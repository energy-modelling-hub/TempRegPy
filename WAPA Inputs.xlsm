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WAPA-bypass-analysis\"/>
    </mc:Choice>
  </mc:AlternateContent>
  <xr:revisionPtr revIDLastSave="0" documentId="13_ncr:1_{37055E99-132F-4087-842D-0300B0D7FDA7}" xr6:coauthVersionLast="47" xr6:coauthVersionMax="47" xr10:uidLastSave="{00000000-0000-0000-0000-000000000000}"/>
  <bookViews>
    <workbookView xWindow="-108" yWindow="-108" windowWidth="23256" windowHeight="13896" xr2:uid="{EDE72A4E-5E83-4998-A3FD-57974B6FA13E}"/>
  </bookViews>
  <sheets>
    <sheet name="Inputs" sheetId="1" r:id="rId1"/>
    <sheet name="HourlyTimeseries" sheetId="8" r:id="rId2"/>
    <sheet name="DailyTimeseries" sheetId="9" r:id="rId3"/>
    <sheet name="Settings" sheetId="10" r:id="rId4"/>
    <sheet name="Supporting Tables" sheetId="11" r:id="rId5"/>
  </sheets>
  <definedNames>
    <definedName name="_xlnm._FilterDatabase" localSheetId="1" hidden="1">HourlyTimeseries!$A$2:$X$1562</definedName>
    <definedName name="_xleta.DAY" hidden="1" xlm="1">#NAME?</definedName>
    <definedName name="_xleta.N" hidden="1" xlm="1">#NAME?</definedName>
    <definedName name="_xleta.T" hidden="1" xlm="1">#NAME?</definedName>
    <definedName name="FolderPath">#REF!</definedName>
    <definedName name="Plant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4" i="8" l="1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U1045" i="8"/>
  <c r="U1046" i="8"/>
  <c r="U1047" i="8"/>
  <c r="U1048" i="8"/>
  <c r="U1049" i="8"/>
  <c r="U1050" i="8"/>
  <c r="U1051" i="8"/>
  <c r="U1052" i="8"/>
  <c r="U1053" i="8"/>
  <c r="U1054" i="8"/>
  <c r="U1055" i="8"/>
  <c r="U1056" i="8"/>
  <c r="U1057" i="8"/>
  <c r="U1058" i="8"/>
  <c r="U1059" i="8"/>
  <c r="U1060" i="8"/>
  <c r="U1061" i="8"/>
  <c r="U1062" i="8"/>
  <c r="U1063" i="8"/>
  <c r="U1064" i="8"/>
  <c r="U1065" i="8"/>
  <c r="U1066" i="8"/>
  <c r="U1067" i="8"/>
  <c r="U1068" i="8"/>
  <c r="U1069" i="8"/>
  <c r="U1070" i="8"/>
  <c r="U1071" i="8"/>
  <c r="U1072" i="8"/>
  <c r="U1073" i="8"/>
  <c r="U1074" i="8"/>
  <c r="U1075" i="8"/>
  <c r="U1076" i="8"/>
  <c r="U1077" i="8"/>
  <c r="U1078" i="8"/>
  <c r="U1079" i="8"/>
  <c r="U1080" i="8"/>
  <c r="U1081" i="8"/>
  <c r="U1082" i="8"/>
  <c r="U1083" i="8"/>
  <c r="U1084" i="8"/>
  <c r="U1085" i="8"/>
  <c r="U1086" i="8"/>
  <c r="U1087" i="8"/>
  <c r="U1088" i="8"/>
  <c r="U1089" i="8"/>
  <c r="U1090" i="8"/>
  <c r="U1091" i="8"/>
  <c r="U1092" i="8"/>
  <c r="U1093" i="8"/>
  <c r="U1094" i="8"/>
  <c r="U1095" i="8"/>
  <c r="U1096" i="8"/>
  <c r="U1097" i="8"/>
  <c r="U1098" i="8"/>
  <c r="U1099" i="8"/>
  <c r="U1100" i="8"/>
  <c r="U1101" i="8"/>
  <c r="U1102" i="8"/>
  <c r="U1103" i="8"/>
  <c r="U1104" i="8"/>
  <c r="U1105" i="8"/>
  <c r="U1106" i="8"/>
  <c r="U1107" i="8"/>
  <c r="U1108" i="8"/>
  <c r="U1109" i="8"/>
  <c r="U1110" i="8"/>
  <c r="U1111" i="8"/>
  <c r="U1112" i="8"/>
  <c r="U1113" i="8"/>
  <c r="U1114" i="8"/>
  <c r="U1115" i="8"/>
  <c r="U1116" i="8"/>
  <c r="U1117" i="8"/>
  <c r="U1118" i="8"/>
  <c r="U1119" i="8"/>
  <c r="U1120" i="8"/>
  <c r="U1121" i="8"/>
  <c r="U1122" i="8"/>
  <c r="U1123" i="8"/>
  <c r="U1124" i="8"/>
  <c r="U1125" i="8"/>
  <c r="U1126" i="8"/>
  <c r="U1127" i="8"/>
  <c r="U1128" i="8"/>
  <c r="U1129" i="8"/>
  <c r="U1130" i="8"/>
  <c r="U1131" i="8"/>
  <c r="U1132" i="8"/>
  <c r="U1133" i="8"/>
  <c r="U1134" i="8"/>
  <c r="U1135" i="8"/>
  <c r="U1136" i="8"/>
  <c r="U1137" i="8"/>
  <c r="U1138" i="8"/>
  <c r="U1139" i="8"/>
  <c r="U1140" i="8"/>
  <c r="U1141" i="8"/>
  <c r="U1142" i="8"/>
  <c r="U1143" i="8"/>
  <c r="U1144" i="8"/>
  <c r="U1145" i="8"/>
  <c r="U1146" i="8"/>
  <c r="U1147" i="8"/>
  <c r="U1148" i="8"/>
  <c r="U1149" i="8"/>
  <c r="U1150" i="8"/>
  <c r="U1151" i="8"/>
  <c r="U1152" i="8"/>
  <c r="U1153" i="8"/>
  <c r="U1154" i="8"/>
  <c r="U1155" i="8"/>
  <c r="U1156" i="8"/>
  <c r="U1157" i="8"/>
  <c r="U1158" i="8"/>
  <c r="U1159" i="8"/>
  <c r="U1160" i="8"/>
  <c r="U1161" i="8"/>
  <c r="U1162" i="8"/>
  <c r="U1163" i="8"/>
  <c r="U1164" i="8"/>
  <c r="U1165" i="8"/>
  <c r="U1166" i="8"/>
  <c r="U1167" i="8"/>
  <c r="U1168" i="8"/>
  <c r="U1169" i="8"/>
  <c r="U1170" i="8"/>
  <c r="U1171" i="8"/>
  <c r="U1172" i="8"/>
  <c r="U1173" i="8"/>
  <c r="U1174" i="8"/>
  <c r="U1175" i="8"/>
  <c r="U1176" i="8"/>
  <c r="U1177" i="8"/>
  <c r="U1178" i="8"/>
  <c r="U1179" i="8"/>
  <c r="U1180" i="8"/>
  <c r="U1181" i="8"/>
  <c r="U1182" i="8"/>
  <c r="U1183" i="8"/>
  <c r="U1184" i="8"/>
  <c r="U1185" i="8"/>
  <c r="U1186" i="8"/>
  <c r="U1187" i="8"/>
  <c r="U1188" i="8"/>
  <c r="U1189" i="8"/>
  <c r="U1190" i="8"/>
  <c r="U1191" i="8"/>
  <c r="U1192" i="8"/>
  <c r="U1193" i="8"/>
  <c r="U1194" i="8"/>
  <c r="U1195" i="8"/>
  <c r="U1196" i="8"/>
  <c r="U1197" i="8"/>
  <c r="U1198" i="8"/>
  <c r="U1199" i="8"/>
  <c r="U1200" i="8"/>
  <c r="U1201" i="8"/>
  <c r="U1202" i="8"/>
  <c r="U1203" i="8"/>
  <c r="U1204" i="8"/>
  <c r="U1205" i="8"/>
  <c r="U1206" i="8"/>
  <c r="U1207" i="8"/>
  <c r="U1208" i="8"/>
  <c r="U1209" i="8"/>
  <c r="U1210" i="8"/>
  <c r="U1211" i="8"/>
  <c r="U1212" i="8"/>
  <c r="U1213" i="8"/>
  <c r="U1214" i="8"/>
  <c r="U1215" i="8"/>
  <c r="U1216" i="8"/>
  <c r="U1217" i="8"/>
  <c r="U1218" i="8"/>
  <c r="U1219" i="8"/>
  <c r="U1220" i="8"/>
  <c r="U1221" i="8"/>
  <c r="U1222" i="8"/>
  <c r="U1223" i="8"/>
  <c r="U1224" i="8"/>
  <c r="U1225" i="8"/>
  <c r="U1226" i="8"/>
  <c r="U1227" i="8"/>
  <c r="U1228" i="8"/>
  <c r="U1229" i="8"/>
  <c r="U1230" i="8"/>
  <c r="U1231" i="8"/>
  <c r="U1232" i="8"/>
  <c r="U1233" i="8"/>
  <c r="U1234" i="8"/>
  <c r="U1235" i="8"/>
  <c r="U1236" i="8"/>
  <c r="U1237" i="8"/>
  <c r="U1238" i="8"/>
  <c r="U1239" i="8"/>
  <c r="U1240" i="8"/>
  <c r="U1241" i="8"/>
  <c r="U1242" i="8"/>
  <c r="U1243" i="8"/>
  <c r="U1244" i="8"/>
  <c r="U1245" i="8"/>
  <c r="U1246" i="8"/>
  <c r="U1247" i="8"/>
  <c r="U1248" i="8"/>
  <c r="U1249" i="8"/>
  <c r="U1250" i="8"/>
  <c r="U1251" i="8"/>
  <c r="U1252" i="8"/>
  <c r="U1253" i="8"/>
  <c r="U1254" i="8"/>
  <c r="U1255" i="8"/>
  <c r="U1256" i="8"/>
  <c r="U1257" i="8"/>
  <c r="U1258" i="8"/>
  <c r="U1259" i="8"/>
  <c r="U1260" i="8"/>
  <c r="U1261" i="8"/>
  <c r="U1262" i="8"/>
  <c r="U1263" i="8"/>
  <c r="U1264" i="8"/>
  <c r="U1265" i="8"/>
  <c r="U1266" i="8"/>
  <c r="U1267" i="8"/>
  <c r="U1268" i="8"/>
  <c r="U1269" i="8"/>
  <c r="U1270" i="8"/>
  <c r="U1271" i="8"/>
  <c r="U1272" i="8"/>
  <c r="U1273" i="8"/>
  <c r="U1274" i="8"/>
  <c r="U1275" i="8"/>
  <c r="U1276" i="8"/>
  <c r="U1277" i="8"/>
  <c r="U1278" i="8"/>
  <c r="U1279" i="8"/>
  <c r="U1280" i="8"/>
  <c r="U1281" i="8"/>
  <c r="U1282" i="8"/>
  <c r="U1283" i="8"/>
  <c r="U1284" i="8"/>
  <c r="U1285" i="8"/>
  <c r="U1286" i="8"/>
  <c r="U1287" i="8"/>
  <c r="U1288" i="8"/>
  <c r="U1289" i="8"/>
  <c r="U1290" i="8"/>
  <c r="U1291" i="8"/>
  <c r="U1292" i="8"/>
  <c r="U1293" i="8"/>
  <c r="U1294" i="8"/>
  <c r="U1295" i="8"/>
  <c r="U1296" i="8"/>
  <c r="U1297" i="8"/>
  <c r="U1298" i="8"/>
  <c r="U1299" i="8"/>
  <c r="U1300" i="8"/>
  <c r="U1301" i="8"/>
  <c r="U1302" i="8"/>
  <c r="U1303" i="8"/>
  <c r="U1304" i="8"/>
  <c r="U1305" i="8"/>
  <c r="U1306" i="8"/>
  <c r="U1307" i="8"/>
  <c r="U1308" i="8"/>
  <c r="U1309" i="8"/>
  <c r="U1310" i="8"/>
  <c r="U1311" i="8"/>
  <c r="U1312" i="8"/>
  <c r="U1313" i="8"/>
  <c r="U1314" i="8"/>
  <c r="U1315" i="8"/>
  <c r="U1316" i="8"/>
  <c r="U1317" i="8"/>
  <c r="U1318" i="8"/>
  <c r="U1319" i="8"/>
  <c r="U1320" i="8"/>
  <c r="U1321" i="8"/>
  <c r="U1322" i="8"/>
  <c r="U1323" i="8"/>
  <c r="U1324" i="8"/>
  <c r="U1325" i="8"/>
  <c r="U1326" i="8"/>
  <c r="U1327" i="8"/>
  <c r="U1328" i="8"/>
  <c r="U1329" i="8"/>
  <c r="U1330" i="8"/>
  <c r="U1331" i="8"/>
  <c r="U1332" i="8"/>
  <c r="U1333" i="8"/>
  <c r="U1334" i="8"/>
  <c r="U1335" i="8"/>
  <c r="U1336" i="8"/>
  <c r="U1337" i="8"/>
  <c r="U1338" i="8"/>
  <c r="U1339" i="8"/>
  <c r="U1340" i="8"/>
  <c r="U1341" i="8"/>
  <c r="U1342" i="8"/>
  <c r="U1343" i="8"/>
  <c r="U1344" i="8"/>
  <c r="U1345" i="8"/>
  <c r="U1346" i="8"/>
  <c r="U1347" i="8"/>
  <c r="U1348" i="8"/>
  <c r="U1349" i="8"/>
  <c r="U1350" i="8"/>
  <c r="U1351" i="8"/>
  <c r="U1352" i="8"/>
  <c r="U1353" i="8"/>
  <c r="U1354" i="8"/>
  <c r="U1355" i="8"/>
  <c r="U1356" i="8"/>
  <c r="U1357" i="8"/>
  <c r="U1358" i="8"/>
  <c r="U1359" i="8"/>
  <c r="U1360" i="8"/>
  <c r="U1361" i="8"/>
  <c r="U1362" i="8"/>
  <c r="U1363" i="8"/>
  <c r="U1364" i="8"/>
  <c r="U1365" i="8"/>
  <c r="U1366" i="8"/>
  <c r="U1367" i="8"/>
  <c r="U1368" i="8"/>
  <c r="U1369" i="8"/>
  <c r="U1370" i="8"/>
  <c r="U1371" i="8"/>
  <c r="U1372" i="8"/>
  <c r="U1373" i="8"/>
  <c r="U1374" i="8"/>
  <c r="U1375" i="8"/>
  <c r="U1376" i="8"/>
  <c r="U1377" i="8"/>
  <c r="U1378" i="8"/>
  <c r="U1379" i="8"/>
  <c r="U1380" i="8"/>
  <c r="U1381" i="8"/>
  <c r="U1382" i="8"/>
  <c r="U1383" i="8"/>
  <c r="U1384" i="8"/>
  <c r="U1385" i="8"/>
  <c r="U1386" i="8"/>
  <c r="U1387" i="8"/>
  <c r="U1388" i="8"/>
  <c r="U1389" i="8"/>
  <c r="U1390" i="8"/>
  <c r="U1391" i="8"/>
  <c r="U1392" i="8"/>
  <c r="U1393" i="8"/>
  <c r="U1394" i="8"/>
  <c r="U1395" i="8"/>
  <c r="U1396" i="8"/>
  <c r="U1397" i="8"/>
  <c r="U1398" i="8"/>
  <c r="U1399" i="8"/>
  <c r="U1400" i="8"/>
  <c r="U1401" i="8"/>
  <c r="U1402" i="8"/>
  <c r="U1403" i="8"/>
  <c r="U1404" i="8"/>
  <c r="U1405" i="8"/>
  <c r="U1406" i="8"/>
  <c r="U1407" i="8"/>
  <c r="U1408" i="8"/>
  <c r="U1409" i="8"/>
  <c r="U1410" i="8"/>
  <c r="U1411" i="8"/>
  <c r="U1412" i="8"/>
  <c r="U1413" i="8"/>
  <c r="U1414" i="8"/>
  <c r="U1415" i="8"/>
  <c r="U1416" i="8"/>
  <c r="U1417" i="8"/>
  <c r="U1418" i="8"/>
  <c r="U1419" i="8"/>
  <c r="U1420" i="8"/>
  <c r="U1421" i="8"/>
  <c r="U1422" i="8"/>
  <c r="U1423" i="8"/>
  <c r="U1424" i="8"/>
  <c r="U1425" i="8"/>
  <c r="U1426" i="8"/>
  <c r="U1427" i="8"/>
  <c r="U1428" i="8"/>
  <c r="U1429" i="8"/>
  <c r="U1430" i="8"/>
  <c r="U1431" i="8"/>
  <c r="U1432" i="8"/>
  <c r="U1433" i="8"/>
  <c r="U1434" i="8"/>
  <c r="U1435" i="8"/>
  <c r="U1436" i="8"/>
  <c r="U1437" i="8"/>
  <c r="U1438" i="8"/>
  <c r="U1439" i="8"/>
  <c r="U1440" i="8"/>
  <c r="U1441" i="8"/>
  <c r="U1442" i="8"/>
  <c r="U1443" i="8"/>
  <c r="U1444" i="8"/>
  <c r="U1445" i="8"/>
  <c r="U1446" i="8"/>
  <c r="U1447" i="8"/>
  <c r="U1448" i="8"/>
  <c r="U1449" i="8"/>
  <c r="U1450" i="8"/>
  <c r="U1451" i="8"/>
  <c r="U1452" i="8"/>
  <c r="U1453" i="8"/>
  <c r="U1454" i="8"/>
  <c r="U1455" i="8"/>
  <c r="U1456" i="8"/>
  <c r="U1457" i="8"/>
  <c r="U1458" i="8"/>
  <c r="U1459" i="8"/>
  <c r="U1460" i="8"/>
  <c r="U1461" i="8"/>
  <c r="U1462" i="8"/>
  <c r="U1463" i="8"/>
  <c r="U1464" i="8"/>
  <c r="U1465" i="8"/>
  <c r="U1466" i="8"/>
  <c r="U1467" i="8"/>
  <c r="U1468" i="8"/>
  <c r="U1469" i="8"/>
  <c r="U1470" i="8"/>
  <c r="U1471" i="8"/>
  <c r="U1472" i="8"/>
  <c r="U1473" i="8"/>
  <c r="U1474" i="8"/>
  <c r="U1475" i="8"/>
  <c r="U1476" i="8"/>
  <c r="U1477" i="8"/>
  <c r="U1478" i="8"/>
  <c r="U1479" i="8"/>
  <c r="U1480" i="8"/>
  <c r="U1481" i="8"/>
  <c r="U1482" i="8"/>
  <c r="U1483" i="8"/>
  <c r="U1484" i="8"/>
  <c r="U1485" i="8"/>
  <c r="U1486" i="8"/>
  <c r="U1487" i="8"/>
  <c r="U1488" i="8"/>
  <c r="U1489" i="8"/>
  <c r="U1490" i="8"/>
  <c r="U1491" i="8"/>
  <c r="U1492" i="8"/>
  <c r="U1493" i="8"/>
  <c r="U1494" i="8"/>
  <c r="U1495" i="8"/>
  <c r="U1496" i="8"/>
  <c r="U1497" i="8"/>
  <c r="U1498" i="8"/>
  <c r="U1499" i="8"/>
  <c r="U1500" i="8"/>
  <c r="U1501" i="8"/>
  <c r="U1502" i="8"/>
  <c r="U1503" i="8"/>
  <c r="U1504" i="8"/>
  <c r="U1505" i="8"/>
  <c r="U1506" i="8"/>
  <c r="U1507" i="8"/>
  <c r="U1508" i="8"/>
  <c r="U1509" i="8"/>
  <c r="U1510" i="8"/>
  <c r="U1511" i="8"/>
  <c r="U1512" i="8"/>
  <c r="U1513" i="8"/>
  <c r="U1514" i="8"/>
  <c r="U1515" i="8"/>
  <c r="U1516" i="8"/>
  <c r="U1517" i="8"/>
  <c r="U1518" i="8"/>
  <c r="U1519" i="8"/>
  <c r="U1520" i="8"/>
  <c r="U1521" i="8"/>
  <c r="U1522" i="8"/>
  <c r="U1523" i="8"/>
  <c r="U1524" i="8"/>
  <c r="U1525" i="8"/>
  <c r="U1526" i="8"/>
  <c r="U1527" i="8"/>
  <c r="U1528" i="8"/>
  <c r="U1529" i="8"/>
  <c r="U1530" i="8"/>
  <c r="U1531" i="8"/>
  <c r="U1532" i="8"/>
  <c r="U1533" i="8"/>
  <c r="U1534" i="8"/>
  <c r="U1535" i="8"/>
  <c r="U1536" i="8"/>
  <c r="U1537" i="8"/>
  <c r="U1538" i="8"/>
  <c r="U1539" i="8"/>
  <c r="U1540" i="8"/>
  <c r="U1541" i="8"/>
  <c r="U1542" i="8"/>
  <c r="U1543" i="8"/>
  <c r="U1544" i="8"/>
  <c r="U1545" i="8"/>
  <c r="U1546" i="8"/>
  <c r="U1547" i="8"/>
  <c r="U1548" i="8"/>
  <c r="U1549" i="8"/>
  <c r="U1550" i="8"/>
  <c r="U1551" i="8"/>
  <c r="U1552" i="8"/>
  <c r="U1553" i="8"/>
  <c r="U1554" i="8"/>
  <c r="U1555" i="8"/>
  <c r="U1556" i="8"/>
  <c r="U1557" i="8"/>
  <c r="U1558" i="8"/>
  <c r="U1559" i="8"/>
  <c r="U1560" i="8"/>
  <c r="U1561" i="8"/>
  <c r="U1562" i="8"/>
  <c r="U1563" i="8"/>
  <c r="U1564" i="8"/>
  <c r="U1565" i="8"/>
  <c r="U1566" i="8"/>
  <c r="U1567" i="8"/>
  <c r="U1568" i="8"/>
  <c r="U1569" i="8"/>
  <c r="U1570" i="8"/>
  <c r="U1571" i="8"/>
  <c r="U1572" i="8"/>
  <c r="U1573" i="8"/>
  <c r="U1574" i="8"/>
  <c r="U1575" i="8"/>
  <c r="U1576" i="8"/>
  <c r="U1577" i="8"/>
  <c r="U1578" i="8"/>
  <c r="U1579" i="8"/>
  <c r="U1580" i="8"/>
  <c r="U1581" i="8"/>
  <c r="U1582" i="8"/>
  <c r="U1583" i="8"/>
  <c r="U1584" i="8"/>
  <c r="U1585" i="8"/>
  <c r="U1586" i="8"/>
  <c r="U1587" i="8"/>
  <c r="U1588" i="8"/>
  <c r="U1589" i="8"/>
  <c r="U1590" i="8"/>
  <c r="U1591" i="8"/>
  <c r="U1592" i="8"/>
  <c r="U1593" i="8"/>
  <c r="U1594" i="8"/>
  <c r="U1595" i="8"/>
  <c r="U1596" i="8"/>
  <c r="U1597" i="8"/>
  <c r="U1598" i="8"/>
  <c r="U1599" i="8"/>
  <c r="U1600" i="8"/>
  <c r="U1601" i="8"/>
  <c r="U1602" i="8"/>
  <c r="U1603" i="8"/>
  <c r="U1604" i="8"/>
  <c r="U1605" i="8"/>
  <c r="U1606" i="8"/>
  <c r="U1607" i="8"/>
  <c r="U1608" i="8"/>
  <c r="U1609" i="8"/>
  <c r="U1610" i="8"/>
  <c r="U1611" i="8"/>
  <c r="U1612" i="8"/>
  <c r="U1613" i="8"/>
  <c r="U1614" i="8"/>
  <c r="U1615" i="8"/>
  <c r="U1616" i="8"/>
  <c r="U1617" i="8"/>
  <c r="U1618" i="8"/>
  <c r="U1619" i="8"/>
  <c r="U1620" i="8"/>
  <c r="U1621" i="8"/>
  <c r="U1622" i="8"/>
  <c r="U1623" i="8"/>
  <c r="U1624" i="8"/>
  <c r="U1625" i="8"/>
  <c r="U1626" i="8"/>
  <c r="U1627" i="8"/>
  <c r="U1628" i="8"/>
  <c r="U1629" i="8"/>
  <c r="U1630" i="8"/>
  <c r="U1631" i="8"/>
  <c r="U1632" i="8"/>
  <c r="U1633" i="8"/>
  <c r="U1634" i="8"/>
  <c r="U1635" i="8"/>
  <c r="U1636" i="8"/>
  <c r="U1637" i="8"/>
  <c r="U1638" i="8"/>
  <c r="U1639" i="8"/>
  <c r="U1640" i="8"/>
  <c r="U1641" i="8"/>
  <c r="U1642" i="8"/>
  <c r="U1643" i="8"/>
  <c r="U1644" i="8"/>
  <c r="U1645" i="8"/>
  <c r="U1646" i="8"/>
  <c r="U1647" i="8"/>
  <c r="U1648" i="8"/>
  <c r="U1649" i="8"/>
  <c r="U1650" i="8"/>
  <c r="U1651" i="8"/>
  <c r="U1652" i="8"/>
  <c r="U1653" i="8"/>
  <c r="U1654" i="8"/>
  <c r="U1655" i="8"/>
  <c r="U1656" i="8"/>
  <c r="U1657" i="8"/>
  <c r="U1658" i="8"/>
  <c r="U1659" i="8"/>
  <c r="U1660" i="8"/>
  <c r="U1661" i="8"/>
  <c r="U1662" i="8"/>
  <c r="U1663" i="8"/>
  <c r="U1664" i="8"/>
  <c r="U1665" i="8"/>
  <c r="U1666" i="8"/>
  <c r="U1667" i="8"/>
  <c r="U1668" i="8"/>
  <c r="U1669" i="8"/>
  <c r="U1670" i="8"/>
  <c r="U1671" i="8"/>
  <c r="U1672" i="8"/>
  <c r="U1673" i="8"/>
  <c r="U1674" i="8"/>
  <c r="U1675" i="8"/>
  <c r="U1676" i="8"/>
  <c r="U1677" i="8"/>
  <c r="U1678" i="8"/>
  <c r="U1679" i="8"/>
  <c r="U1680" i="8"/>
  <c r="U1681" i="8"/>
  <c r="U1682" i="8"/>
  <c r="U1683" i="8"/>
  <c r="U1684" i="8"/>
  <c r="U1685" i="8"/>
  <c r="U1686" i="8"/>
  <c r="U1687" i="8"/>
  <c r="U1688" i="8"/>
  <c r="U1689" i="8"/>
  <c r="U1690" i="8"/>
  <c r="U1691" i="8"/>
  <c r="U1692" i="8"/>
  <c r="U1693" i="8"/>
  <c r="U1694" i="8"/>
  <c r="U1695" i="8"/>
  <c r="U1696" i="8"/>
  <c r="U1697" i="8"/>
  <c r="U1698" i="8"/>
  <c r="U1699" i="8"/>
  <c r="U1700" i="8"/>
  <c r="U1701" i="8"/>
  <c r="U1702" i="8"/>
  <c r="U1703" i="8"/>
  <c r="U1704" i="8"/>
  <c r="U1705" i="8"/>
  <c r="U1706" i="8"/>
  <c r="U1707" i="8"/>
  <c r="U1708" i="8"/>
  <c r="U1709" i="8"/>
  <c r="U1710" i="8"/>
  <c r="U1711" i="8"/>
  <c r="U1712" i="8"/>
  <c r="U1713" i="8"/>
  <c r="U1714" i="8"/>
  <c r="U1715" i="8"/>
  <c r="U1716" i="8"/>
  <c r="U1717" i="8"/>
  <c r="U1718" i="8"/>
  <c r="U1719" i="8"/>
  <c r="U1720" i="8"/>
  <c r="U1721" i="8"/>
  <c r="U1722" i="8"/>
  <c r="U1723" i="8"/>
  <c r="U1724" i="8"/>
  <c r="U1725" i="8"/>
  <c r="U1726" i="8"/>
  <c r="U1727" i="8"/>
  <c r="U1728" i="8"/>
  <c r="U1729" i="8"/>
  <c r="U1730" i="8"/>
  <c r="U1731" i="8"/>
  <c r="U1732" i="8"/>
  <c r="U1733" i="8"/>
  <c r="U1734" i="8"/>
  <c r="U1735" i="8"/>
  <c r="U1736" i="8"/>
  <c r="U1737" i="8"/>
  <c r="U1738" i="8"/>
  <c r="U1739" i="8"/>
  <c r="U1740" i="8"/>
  <c r="U1741" i="8"/>
  <c r="U1742" i="8"/>
  <c r="U1743" i="8"/>
  <c r="U1744" i="8"/>
  <c r="U1745" i="8"/>
  <c r="U1746" i="8"/>
  <c r="U1747" i="8"/>
  <c r="U1748" i="8"/>
  <c r="U1749" i="8"/>
  <c r="U1750" i="8"/>
  <c r="U1751" i="8"/>
  <c r="U1752" i="8"/>
  <c r="U1753" i="8"/>
  <c r="U1754" i="8"/>
  <c r="U1755" i="8"/>
  <c r="U1756" i="8"/>
  <c r="U1757" i="8"/>
  <c r="U1758" i="8"/>
  <c r="U1759" i="8"/>
  <c r="U1760" i="8"/>
  <c r="U1761" i="8"/>
  <c r="U1762" i="8"/>
  <c r="U1763" i="8"/>
  <c r="U1764" i="8"/>
  <c r="U1765" i="8"/>
  <c r="U1766" i="8"/>
  <c r="U1767" i="8"/>
  <c r="U1768" i="8"/>
  <c r="U1769" i="8"/>
  <c r="U1770" i="8"/>
  <c r="U1771" i="8"/>
  <c r="U1772" i="8"/>
  <c r="U1773" i="8"/>
  <c r="U1774" i="8"/>
  <c r="U1775" i="8"/>
  <c r="U1776" i="8"/>
  <c r="U1777" i="8"/>
  <c r="U1778" i="8"/>
  <c r="U1779" i="8"/>
  <c r="U1780" i="8"/>
  <c r="U1781" i="8"/>
  <c r="U1782" i="8"/>
  <c r="U1783" i="8"/>
  <c r="U1784" i="8"/>
  <c r="U1785" i="8"/>
  <c r="U1786" i="8"/>
  <c r="U1787" i="8"/>
  <c r="U1788" i="8"/>
  <c r="U1789" i="8"/>
  <c r="U1790" i="8"/>
  <c r="U1791" i="8"/>
  <c r="U1792" i="8"/>
  <c r="U1793" i="8"/>
  <c r="U1794" i="8"/>
  <c r="U1795" i="8"/>
  <c r="U1796" i="8"/>
  <c r="U1797" i="8"/>
  <c r="U1798" i="8"/>
  <c r="U1799" i="8"/>
  <c r="U1800" i="8"/>
  <c r="U1801" i="8"/>
  <c r="U1802" i="8"/>
  <c r="U1803" i="8"/>
  <c r="U1804" i="8"/>
  <c r="U1805" i="8"/>
  <c r="U1806" i="8"/>
  <c r="U1807" i="8"/>
  <c r="U1808" i="8"/>
  <c r="U1809" i="8"/>
  <c r="U1810" i="8"/>
  <c r="U1811" i="8"/>
  <c r="U1812" i="8"/>
  <c r="U1813" i="8"/>
  <c r="U1814" i="8"/>
  <c r="U1815" i="8"/>
  <c r="U1816" i="8"/>
  <c r="U1817" i="8"/>
  <c r="U1818" i="8"/>
  <c r="U1819" i="8"/>
  <c r="U1820" i="8"/>
  <c r="U1821" i="8"/>
  <c r="U1822" i="8"/>
  <c r="U1823" i="8"/>
  <c r="U1824" i="8"/>
  <c r="U1825" i="8"/>
  <c r="U1826" i="8"/>
  <c r="U1827" i="8"/>
  <c r="U1828" i="8"/>
  <c r="U1829" i="8"/>
  <c r="U1830" i="8"/>
  <c r="U1831" i="8"/>
  <c r="U1832" i="8"/>
  <c r="U1833" i="8"/>
  <c r="U1834" i="8"/>
  <c r="U1835" i="8"/>
  <c r="U1836" i="8"/>
  <c r="U1837" i="8"/>
  <c r="U1838" i="8"/>
  <c r="U1839" i="8"/>
  <c r="U1840" i="8"/>
  <c r="U1841" i="8"/>
  <c r="U1842" i="8"/>
  <c r="U1843" i="8"/>
  <c r="U1844" i="8"/>
  <c r="U1845" i="8"/>
  <c r="U1846" i="8"/>
  <c r="U1847" i="8"/>
  <c r="U1848" i="8"/>
  <c r="U1849" i="8"/>
  <c r="U1850" i="8"/>
  <c r="U1851" i="8"/>
  <c r="U1852" i="8"/>
  <c r="U1853" i="8"/>
  <c r="U1854" i="8"/>
  <c r="U1855" i="8"/>
  <c r="U1856" i="8"/>
  <c r="U1857" i="8"/>
  <c r="U1858" i="8"/>
  <c r="U1859" i="8"/>
  <c r="U1860" i="8"/>
  <c r="U1861" i="8"/>
  <c r="U1862" i="8"/>
  <c r="U1863" i="8"/>
  <c r="U1864" i="8"/>
  <c r="U1865" i="8"/>
  <c r="U1866" i="8"/>
  <c r="U1867" i="8"/>
  <c r="U1868" i="8"/>
  <c r="U1869" i="8"/>
  <c r="U1870" i="8"/>
  <c r="U1871" i="8"/>
  <c r="U1872" i="8"/>
  <c r="U1873" i="8"/>
  <c r="U1874" i="8"/>
  <c r="U1875" i="8"/>
  <c r="U1876" i="8"/>
  <c r="U1877" i="8"/>
  <c r="U1878" i="8"/>
  <c r="U1879" i="8"/>
  <c r="U1880" i="8"/>
  <c r="U1881" i="8"/>
  <c r="U1882" i="8"/>
  <c r="U1883" i="8"/>
  <c r="U1884" i="8"/>
  <c r="U1885" i="8"/>
  <c r="U1886" i="8"/>
  <c r="U1887" i="8"/>
  <c r="U1888" i="8"/>
  <c r="U1889" i="8"/>
  <c r="U1890" i="8"/>
  <c r="U1891" i="8"/>
  <c r="U1892" i="8"/>
  <c r="U1893" i="8"/>
  <c r="U1894" i="8"/>
  <c r="U1895" i="8"/>
  <c r="U1896" i="8"/>
  <c r="U1897" i="8"/>
  <c r="U1898" i="8"/>
  <c r="U1899" i="8"/>
  <c r="U1900" i="8"/>
  <c r="U1901" i="8"/>
  <c r="U1902" i="8"/>
  <c r="U1903" i="8"/>
  <c r="U1904" i="8"/>
  <c r="U1905" i="8"/>
  <c r="U1906" i="8"/>
  <c r="U1907" i="8"/>
  <c r="U1908" i="8"/>
  <c r="U1909" i="8"/>
  <c r="U1910" i="8"/>
  <c r="U1911" i="8"/>
  <c r="U1912" i="8"/>
  <c r="U1913" i="8"/>
  <c r="U1914" i="8"/>
  <c r="U1915" i="8"/>
  <c r="U1916" i="8"/>
  <c r="U1917" i="8"/>
  <c r="U1918" i="8"/>
  <c r="U1919" i="8"/>
  <c r="U1920" i="8"/>
  <c r="U1921" i="8"/>
  <c r="U1922" i="8"/>
  <c r="U1923" i="8"/>
  <c r="U1924" i="8"/>
  <c r="U1925" i="8"/>
  <c r="U1926" i="8"/>
  <c r="U1927" i="8"/>
  <c r="U1928" i="8"/>
  <c r="U1929" i="8"/>
  <c r="U1930" i="8"/>
  <c r="U1931" i="8"/>
  <c r="U1932" i="8"/>
  <c r="U1933" i="8"/>
  <c r="U1934" i="8"/>
  <c r="U1935" i="8"/>
  <c r="U1936" i="8"/>
  <c r="U1937" i="8"/>
  <c r="U1938" i="8"/>
  <c r="U1939" i="8"/>
  <c r="U1940" i="8"/>
  <c r="U1941" i="8"/>
  <c r="U1942" i="8"/>
  <c r="U1943" i="8"/>
  <c r="U1944" i="8"/>
  <c r="U1945" i="8"/>
  <c r="U1946" i="8"/>
  <c r="U1947" i="8"/>
  <c r="U1948" i="8"/>
  <c r="U1949" i="8"/>
  <c r="U1950" i="8"/>
  <c r="U1951" i="8"/>
  <c r="U1952" i="8"/>
  <c r="U1953" i="8"/>
  <c r="U1954" i="8"/>
  <c r="U1955" i="8"/>
  <c r="U1956" i="8"/>
  <c r="U1957" i="8"/>
  <c r="U1958" i="8"/>
  <c r="U1959" i="8"/>
  <c r="U1960" i="8"/>
  <c r="U1961" i="8"/>
  <c r="U1962" i="8"/>
  <c r="U1963" i="8"/>
  <c r="U1964" i="8"/>
  <c r="U1965" i="8"/>
  <c r="U1966" i="8"/>
  <c r="U1967" i="8"/>
  <c r="U1968" i="8"/>
  <c r="U1969" i="8"/>
  <c r="U1970" i="8"/>
  <c r="U1971" i="8"/>
  <c r="U1972" i="8"/>
  <c r="U1973" i="8"/>
  <c r="U1974" i="8"/>
  <c r="U1975" i="8"/>
  <c r="U1976" i="8"/>
  <c r="U1977" i="8"/>
  <c r="U1978" i="8"/>
  <c r="U1979" i="8"/>
  <c r="U1980" i="8"/>
  <c r="U1981" i="8"/>
  <c r="U1982" i="8"/>
  <c r="U1983" i="8"/>
  <c r="U1984" i="8"/>
  <c r="U1985" i="8"/>
  <c r="U1986" i="8"/>
  <c r="U1987" i="8"/>
  <c r="U1988" i="8"/>
  <c r="U1989" i="8"/>
  <c r="U1990" i="8"/>
  <c r="U1991" i="8"/>
  <c r="U1992" i="8"/>
  <c r="U1993" i="8"/>
  <c r="U1994" i="8"/>
  <c r="U1995" i="8"/>
  <c r="U1996" i="8"/>
  <c r="U1997" i="8"/>
  <c r="U1998" i="8"/>
  <c r="U1999" i="8"/>
  <c r="U2000" i="8"/>
  <c r="U2001" i="8"/>
  <c r="U2002" i="8"/>
  <c r="U2003" i="8"/>
  <c r="U2004" i="8"/>
  <c r="U2005" i="8"/>
  <c r="U2006" i="8"/>
  <c r="U2007" i="8"/>
  <c r="U2008" i="8"/>
  <c r="U2009" i="8"/>
  <c r="U2010" i="8"/>
  <c r="U2011" i="8"/>
  <c r="U2012" i="8"/>
  <c r="U2013" i="8"/>
  <c r="U2014" i="8"/>
  <c r="U2015" i="8"/>
  <c r="U2016" i="8"/>
  <c r="U2017" i="8"/>
  <c r="U2018" i="8"/>
  <c r="U2019" i="8"/>
  <c r="U2020" i="8"/>
  <c r="U2021" i="8"/>
  <c r="U2022" i="8"/>
  <c r="U2023" i="8"/>
  <c r="U2024" i="8"/>
  <c r="U2025" i="8"/>
  <c r="U2026" i="8"/>
  <c r="U2027" i="8"/>
  <c r="U2028" i="8"/>
  <c r="U2029" i="8"/>
  <c r="U2030" i="8"/>
  <c r="U2031" i="8"/>
  <c r="U2032" i="8"/>
  <c r="U2033" i="8"/>
  <c r="U2034" i="8"/>
  <c r="U2035" i="8"/>
  <c r="U2036" i="8"/>
  <c r="U2037" i="8"/>
  <c r="U2038" i="8"/>
  <c r="U2039" i="8"/>
  <c r="U2040" i="8"/>
  <c r="U2041" i="8"/>
  <c r="U2042" i="8"/>
  <c r="U2043" i="8"/>
  <c r="U2044" i="8"/>
  <c r="U2045" i="8"/>
  <c r="U2046" i="8"/>
  <c r="U2047" i="8"/>
  <c r="U2048" i="8"/>
  <c r="U2049" i="8"/>
  <c r="U2050" i="8"/>
  <c r="U2051" i="8"/>
  <c r="U2052" i="8"/>
  <c r="U2053" i="8"/>
  <c r="U2054" i="8"/>
  <c r="U2055" i="8"/>
  <c r="U2056" i="8"/>
  <c r="U2057" i="8"/>
  <c r="U2058" i="8"/>
  <c r="U2059" i="8"/>
  <c r="U2060" i="8"/>
  <c r="U2061" i="8"/>
  <c r="U2062" i="8"/>
  <c r="U2063" i="8"/>
  <c r="U2064" i="8"/>
  <c r="U2065" i="8"/>
  <c r="U2066" i="8"/>
  <c r="U2067" i="8"/>
  <c r="U2068" i="8"/>
  <c r="U2069" i="8"/>
  <c r="U2070" i="8"/>
  <c r="U2071" i="8"/>
  <c r="U2072" i="8"/>
  <c r="U2073" i="8"/>
  <c r="U2074" i="8"/>
  <c r="U2075" i="8"/>
  <c r="U2076" i="8"/>
  <c r="U2077" i="8"/>
  <c r="U2078" i="8"/>
  <c r="U2079" i="8"/>
  <c r="U2080" i="8"/>
  <c r="U2081" i="8"/>
  <c r="U2082" i="8"/>
  <c r="U2083" i="8"/>
  <c r="U2084" i="8"/>
  <c r="U2085" i="8"/>
  <c r="U2086" i="8"/>
  <c r="U2087" i="8"/>
  <c r="U2088" i="8"/>
  <c r="U2089" i="8"/>
  <c r="U2090" i="8"/>
  <c r="U2091" i="8"/>
  <c r="U2092" i="8"/>
  <c r="U2093" i="8"/>
  <c r="U2094" i="8"/>
  <c r="U2095" i="8"/>
  <c r="U2096" i="8"/>
  <c r="U2097" i="8"/>
  <c r="U2098" i="8"/>
  <c r="U2099" i="8"/>
  <c r="U2100" i="8"/>
  <c r="U2101" i="8"/>
  <c r="U2102" i="8"/>
  <c r="U2103" i="8"/>
  <c r="U2104" i="8"/>
  <c r="U2105" i="8"/>
  <c r="U2106" i="8"/>
  <c r="U2107" i="8"/>
  <c r="U2108" i="8"/>
  <c r="U2109" i="8"/>
  <c r="U2110" i="8"/>
  <c r="U2111" i="8"/>
  <c r="U2112" i="8"/>
  <c r="U2113" i="8"/>
  <c r="U2114" i="8"/>
  <c r="U2115" i="8"/>
  <c r="U2116" i="8"/>
  <c r="U2117" i="8"/>
  <c r="U2118" i="8"/>
  <c r="U2119" i="8"/>
  <c r="U2120" i="8"/>
  <c r="U2121" i="8"/>
  <c r="U2122" i="8"/>
  <c r="U2123" i="8"/>
  <c r="U2124" i="8"/>
  <c r="U2125" i="8"/>
  <c r="U2126" i="8"/>
  <c r="U2127" i="8"/>
  <c r="U2128" i="8"/>
  <c r="U2129" i="8"/>
  <c r="U2130" i="8"/>
  <c r="U2131" i="8"/>
  <c r="U2132" i="8"/>
  <c r="U2133" i="8"/>
  <c r="U2134" i="8"/>
  <c r="U2135" i="8"/>
  <c r="U2136" i="8"/>
  <c r="U2137" i="8"/>
  <c r="U2138" i="8"/>
  <c r="U2139" i="8"/>
  <c r="U2140" i="8"/>
  <c r="U2141" i="8"/>
  <c r="U2142" i="8"/>
  <c r="U2143" i="8"/>
  <c r="U2144" i="8"/>
  <c r="U2145" i="8"/>
  <c r="U2146" i="8"/>
  <c r="U2147" i="8"/>
  <c r="U2148" i="8"/>
  <c r="U2149" i="8"/>
  <c r="U2150" i="8"/>
  <c r="U2151" i="8"/>
  <c r="U2152" i="8"/>
  <c r="U2153" i="8"/>
  <c r="U2154" i="8"/>
  <c r="U2155" i="8"/>
  <c r="U2156" i="8"/>
  <c r="U2157" i="8"/>
  <c r="U2158" i="8"/>
  <c r="U2159" i="8"/>
  <c r="U2160" i="8"/>
  <c r="U2161" i="8"/>
  <c r="U2162" i="8"/>
  <c r="U2163" i="8"/>
  <c r="U2164" i="8"/>
  <c r="U2165" i="8"/>
  <c r="U2166" i="8"/>
  <c r="U2167" i="8"/>
  <c r="U2168" i="8"/>
  <c r="U2169" i="8"/>
  <c r="U2170" i="8"/>
  <c r="U2171" i="8"/>
  <c r="U2172" i="8"/>
  <c r="U2173" i="8"/>
  <c r="U2174" i="8"/>
  <c r="U2175" i="8"/>
  <c r="U2176" i="8"/>
  <c r="U2177" i="8"/>
  <c r="U2178" i="8"/>
  <c r="U2179" i="8"/>
  <c r="U2180" i="8"/>
  <c r="U2181" i="8"/>
  <c r="U2182" i="8"/>
  <c r="U2183" i="8"/>
  <c r="U2184" i="8"/>
  <c r="U2185" i="8"/>
  <c r="U2186" i="8"/>
  <c r="U2187" i="8"/>
  <c r="U2188" i="8"/>
  <c r="U2189" i="8"/>
  <c r="U2190" i="8"/>
  <c r="U2191" i="8"/>
  <c r="U2192" i="8"/>
  <c r="U2193" i="8"/>
  <c r="U2194" i="8"/>
  <c r="U2195" i="8"/>
  <c r="U2196" i="8"/>
  <c r="U2197" i="8"/>
  <c r="U2198" i="8"/>
  <c r="U2199" i="8"/>
  <c r="U2200" i="8"/>
  <c r="U2201" i="8"/>
  <c r="U2202" i="8"/>
  <c r="U2203" i="8"/>
  <c r="U2204" i="8"/>
  <c r="U2205" i="8"/>
  <c r="U2206" i="8"/>
  <c r="U2207" i="8"/>
  <c r="U2208" i="8"/>
  <c r="U2209" i="8"/>
  <c r="U2210" i="8"/>
  <c r="U2211" i="8"/>
  <c r="U2212" i="8"/>
  <c r="U2213" i="8"/>
  <c r="U2214" i="8"/>
  <c r="U2215" i="8"/>
  <c r="U2216" i="8"/>
  <c r="U2217" i="8"/>
  <c r="U2218" i="8"/>
  <c r="U2219" i="8"/>
  <c r="U2220" i="8"/>
  <c r="U2221" i="8"/>
  <c r="U2222" i="8"/>
  <c r="U2223" i="8"/>
  <c r="U2224" i="8"/>
  <c r="U2225" i="8"/>
  <c r="U2226" i="8"/>
  <c r="U2227" i="8"/>
  <c r="U2228" i="8"/>
  <c r="U2229" i="8"/>
  <c r="U2230" i="8"/>
  <c r="U2231" i="8"/>
  <c r="U2232" i="8"/>
  <c r="U2233" i="8"/>
  <c r="U2234" i="8"/>
  <c r="U2235" i="8"/>
  <c r="U2236" i="8"/>
  <c r="U2237" i="8"/>
  <c r="U2238" i="8"/>
  <c r="U2239" i="8"/>
  <c r="U2240" i="8"/>
  <c r="U2241" i="8"/>
  <c r="U2242" i="8"/>
  <c r="U2243" i="8"/>
  <c r="U2244" i="8"/>
  <c r="U2245" i="8"/>
  <c r="U2246" i="8"/>
  <c r="U2247" i="8"/>
  <c r="U2248" i="8"/>
  <c r="U2249" i="8"/>
  <c r="U2250" i="8"/>
  <c r="U2251" i="8"/>
  <c r="U2252" i="8"/>
  <c r="U2253" i="8"/>
  <c r="U2254" i="8"/>
  <c r="U2255" i="8"/>
  <c r="U2256" i="8"/>
  <c r="U2257" i="8"/>
  <c r="U2258" i="8"/>
  <c r="U2259" i="8"/>
  <c r="U2260" i="8"/>
  <c r="U2261" i="8"/>
  <c r="U2262" i="8"/>
  <c r="U2263" i="8"/>
  <c r="U2264" i="8"/>
  <c r="U2265" i="8"/>
  <c r="U2266" i="8"/>
  <c r="U2267" i="8"/>
  <c r="U2268" i="8"/>
  <c r="U2269" i="8"/>
  <c r="U2270" i="8"/>
  <c r="U2271" i="8"/>
  <c r="U2272" i="8"/>
  <c r="U2273" i="8"/>
  <c r="U2274" i="8"/>
  <c r="U2275" i="8"/>
  <c r="U2276" i="8"/>
  <c r="U2277" i="8"/>
  <c r="U2278" i="8"/>
  <c r="U2279" i="8"/>
  <c r="U2280" i="8"/>
  <c r="U2281" i="8"/>
  <c r="U2282" i="8"/>
  <c r="U2283" i="8"/>
  <c r="U2284" i="8"/>
  <c r="U2285" i="8"/>
  <c r="U2286" i="8"/>
  <c r="U2287" i="8"/>
  <c r="U2288" i="8"/>
  <c r="U2289" i="8"/>
  <c r="U2290" i="8"/>
  <c r="U2291" i="8"/>
  <c r="U2292" i="8"/>
  <c r="U2293" i="8"/>
  <c r="U2294" i="8"/>
  <c r="U2295" i="8"/>
  <c r="U2296" i="8"/>
  <c r="U2297" i="8"/>
  <c r="U2298" i="8"/>
  <c r="U2299" i="8"/>
  <c r="U2300" i="8"/>
  <c r="U2301" i="8"/>
  <c r="U2302" i="8"/>
  <c r="U2303" i="8"/>
  <c r="U2304" i="8"/>
  <c r="U2305" i="8"/>
  <c r="U2306" i="8"/>
  <c r="U2307" i="8"/>
  <c r="U2308" i="8"/>
  <c r="U2309" i="8"/>
  <c r="U2310" i="8"/>
  <c r="U2311" i="8"/>
  <c r="U2312" i="8"/>
  <c r="U2313" i="8"/>
  <c r="U2314" i="8"/>
  <c r="U2315" i="8"/>
  <c r="U2316" i="8"/>
  <c r="U2317" i="8"/>
  <c r="U2318" i="8"/>
  <c r="U2319" i="8"/>
  <c r="U2320" i="8"/>
  <c r="U2321" i="8"/>
  <c r="U2322" i="8"/>
  <c r="U2323" i="8"/>
  <c r="U2324" i="8"/>
  <c r="U2325" i="8"/>
  <c r="U2326" i="8"/>
  <c r="U2327" i="8"/>
  <c r="U2328" i="8"/>
  <c r="U2329" i="8"/>
  <c r="U2330" i="8"/>
  <c r="U2331" i="8"/>
  <c r="U2332" i="8"/>
  <c r="U2333" i="8"/>
  <c r="U2334" i="8"/>
  <c r="U2335" i="8"/>
  <c r="U2336" i="8"/>
  <c r="U2337" i="8"/>
  <c r="U2338" i="8"/>
  <c r="U2339" i="8"/>
  <c r="U2340" i="8"/>
  <c r="U2341" i="8"/>
  <c r="U2342" i="8"/>
  <c r="U2343" i="8"/>
  <c r="U2344" i="8"/>
  <c r="U2345" i="8"/>
  <c r="U2346" i="8"/>
  <c r="U2347" i="8"/>
  <c r="U2348" i="8"/>
  <c r="U2349" i="8"/>
  <c r="U2350" i="8"/>
  <c r="U2351" i="8"/>
  <c r="U2352" i="8"/>
  <c r="U2353" i="8"/>
  <c r="U2354" i="8"/>
  <c r="U2355" i="8"/>
  <c r="U2356" i="8"/>
  <c r="U2357" i="8"/>
  <c r="U2358" i="8"/>
  <c r="U2359" i="8"/>
  <c r="U2360" i="8"/>
  <c r="U2361" i="8"/>
  <c r="U2362" i="8"/>
  <c r="U2363" i="8"/>
  <c r="U2364" i="8"/>
  <c r="U2365" i="8"/>
  <c r="U2366" i="8"/>
  <c r="U2367" i="8"/>
  <c r="U2368" i="8"/>
  <c r="U2369" i="8"/>
  <c r="U2370" i="8"/>
  <c r="U2371" i="8"/>
  <c r="U2372" i="8"/>
  <c r="U2373" i="8"/>
  <c r="U2374" i="8"/>
  <c r="U2375" i="8"/>
  <c r="U2376" i="8"/>
  <c r="U2377" i="8"/>
  <c r="U2378" i="8"/>
  <c r="U2379" i="8"/>
  <c r="U2380" i="8"/>
  <c r="U2381" i="8"/>
  <c r="U2382" i="8"/>
  <c r="U2383" i="8"/>
  <c r="U2384" i="8"/>
  <c r="U2385" i="8"/>
  <c r="U2386" i="8"/>
  <c r="U2387" i="8"/>
  <c r="U2388" i="8"/>
  <c r="U2389" i="8"/>
  <c r="U2390" i="8"/>
  <c r="U2391" i="8"/>
  <c r="U2392" i="8"/>
  <c r="U2393" i="8"/>
  <c r="U2394" i="8"/>
  <c r="U2395" i="8"/>
  <c r="U2396" i="8"/>
  <c r="U2397" i="8"/>
  <c r="U2398" i="8"/>
  <c r="U2399" i="8"/>
  <c r="U2400" i="8"/>
  <c r="U2401" i="8"/>
  <c r="U2402" i="8"/>
  <c r="U2403" i="8"/>
  <c r="U2404" i="8"/>
  <c r="U2405" i="8"/>
  <c r="U2406" i="8"/>
  <c r="U2407" i="8"/>
  <c r="U2408" i="8"/>
  <c r="U2409" i="8"/>
  <c r="U2410" i="8"/>
  <c r="U2411" i="8"/>
  <c r="U2412" i="8"/>
  <c r="U2413" i="8"/>
  <c r="U2414" i="8"/>
  <c r="U2415" i="8"/>
  <c r="U2416" i="8"/>
  <c r="U2417" i="8"/>
  <c r="U2418" i="8"/>
  <c r="U2419" i="8"/>
  <c r="U2420" i="8"/>
  <c r="U2421" i="8"/>
  <c r="U2422" i="8"/>
  <c r="U2423" i="8"/>
  <c r="U2424" i="8"/>
  <c r="U2425" i="8"/>
  <c r="U2426" i="8"/>
  <c r="U2427" i="8"/>
  <c r="U2428" i="8"/>
  <c r="U2429" i="8"/>
  <c r="U2430" i="8"/>
  <c r="U2431" i="8"/>
  <c r="U2432" i="8"/>
  <c r="U2433" i="8"/>
  <c r="U2434" i="8"/>
  <c r="U2435" i="8"/>
  <c r="U2436" i="8"/>
  <c r="U2437" i="8"/>
  <c r="U2438" i="8"/>
  <c r="U2439" i="8"/>
  <c r="U2440" i="8"/>
  <c r="U2441" i="8"/>
  <c r="U2442" i="8"/>
  <c r="U2443" i="8"/>
  <c r="U2444" i="8"/>
  <c r="U2445" i="8"/>
  <c r="U2446" i="8"/>
  <c r="U2447" i="8"/>
  <c r="U2448" i="8"/>
  <c r="U2449" i="8"/>
  <c r="U2450" i="8"/>
  <c r="U2451" i="8"/>
  <c r="U2452" i="8"/>
  <c r="U2453" i="8"/>
  <c r="U2454" i="8"/>
  <c r="U2455" i="8"/>
  <c r="U2456" i="8"/>
  <c r="U2457" i="8"/>
  <c r="U2458" i="8"/>
  <c r="U2459" i="8"/>
  <c r="U2460" i="8"/>
  <c r="U2461" i="8"/>
  <c r="U2462" i="8"/>
  <c r="U2463" i="8"/>
  <c r="U2464" i="8"/>
  <c r="U2465" i="8"/>
  <c r="U2466" i="8"/>
  <c r="U2467" i="8"/>
  <c r="U2468" i="8"/>
  <c r="U2469" i="8"/>
  <c r="U2470" i="8"/>
  <c r="U2471" i="8"/>
  <c r="U2472" i="8"/>
  <c r="U2473" i="8"/>
  <c r="U2474" i="8"/>
  <c r="U2475" i="8"/>
  <c r="U2476" i="8"/>
  <c r="U2477" i="8"/>
  <c r="U2478" i="8"/>
  <c r="U2479" i="8"/>
  <c r="U2480" i="8"/>
  <c r="U2481" i="8"/>
  <c r="U2482" i="8"/>
  <c r="U2483" i="8"/>
  <c r="U2484" i="8"/>
  <c r="U2485" i="8"/>
  <c r="U2486" i="8"/>
  <c r="U2487" i="8"/>
  <c r="U2488" i="8"/>
  <c r="U2489" i="8"/>
  <c r="U2490" i="8"/>
  <c r="U2491" i="8"/>
  <c r="U2492" i="8"/>
  <c r="U2493" i="8"/>
  <c r="U2494" i="8"/>
  <c r="U2495" i="8"/>
  <c r="U2496" i="8"/>
  <c r="U2497" i="8"/>
  <c r="U2498" i="8"/>
  <c r="U2499" i="8"/>
  <c r="U2500" i="8"/>
  <c r="U2501" i="8"/>
  <c r="U2502" i="8"/>
  <c r="U2503" i="8"/>
  <c r="U2504" i="8"/>
  <c r="U2505" i="8"/>
  <c r="U2506" i="8"/>
  <c r="U2507" i="8"/>
  <c r="U2508" i="8"/>
  <c r="U2509" i="8"/>
  <c r="U2510" i="8"/>
  <c r="U2511" i="8"/>
  <c r="U2512" i="8"/>
  <c r="U2513" i="8"/>
  <c r="U2514" i="8"/>
  <c r="U2515" i="8"/>
  <c r="U2516" i="8"/>
  <c r="U2517" i="8"/>
  <c r="U2518" i="8"/>
  <c r="U2519" i="8"/>
  <c r="U2520" i="8"/>
  <c r="U2521" i="8"/>
  <c r="U2522" i="8"/>
  <c r="U2523" i="8"/>
  <c r="U2524" i="8"/>
  <c r="U2525" i="8"/>
  <c r="U2526" i="8"/>
  <c r="U2527" i="8"/>
  <c r="U2528" i="8"/>
  <c r="U2529" i="8"/>
  <c r="U2530" i="8"/>
  <c r="U2531" i="8"/>
  <c r="U2532" i="8"/>
  <c r="U2533" i="8"/>
  <c r="U2534" i="8"/>
  <c r="U2535" i="8"/>
  <c r="U2536" i="8"/>
  <c r="U2537" i="8"/>
  <c r="U2538" i="8"/>
  <c r="U2539" i="8"/>
  <c r="U2540" i="8"/>
  <c r="U2541" i="8"/>
  <c r="U2542" i="8"/>
  <c r="U2543" i="8"/>
  <c r="U2544" i="8"/>
  <c r="U2545" i="8"/>
  <c r="U2546" i="8"/>
  <c r="U2547" i="8"/>
  <c r="U2548" i="8"/>
  <c r="U2549" i="8"/>
  <c r="U2550" i="8"/>
  <c r="U2551" i="8"/>
  <c r="U2552" i="8"/>
  <c r="U2553" i="8"/>
  <c r="U2554" i="8"/>
  <c r="U2555" i="8"/>
  <c r="U2556" i="8"/>
  <c r="U2557" i="8"/>
  <c r="U2558" i="8"/>
  <c r="U2559" i="8"/>
  <c r="U2560" i="8"/>
  <c r="U2561" i="8"/>
  <c r="U2562" i="8"/>
  <c r="U2563" i="8"/>
  <c r="U2564" i="8"/>
  <c r="U2565" i="8"/>
  <c r="U2566" i="8"/>
  <c r="U2567" i="8"/>
  <c r="U2568" i="8"/>
  <c r="U2569" i="8"/>
  <c r="U2570" i="8"/>
  <c r="U2571" i="8"/>
  <c r="U2572" i="8"/>
  <c r="U2573" i="8"/>
  <c r="U2574" i="8"/>
  <c r="U2575" i="8"/>
  <c r="U2576" i="8"/>
  <c r="U2577" i="8"/>
  <c r="U2578" i="8"/>
  <c r="U2579" i="8"/>
  <c r="U2580" i="8"/>
  <c r="U2581" i="8"/>
  <c r="U2582" i="8"/>
  <c r="U2583" i="8"/>
  <c r="U2584" i="8"/>
  <c r="U2585" i="8"/>
  <c r="U2586" i="8"/>
  <c r="U2587" i="8"/>
  <c r="U2588" i="8"/>
  <c r="U2589" i="8"/>
  <c r="U2590" i="8"/>
  <c r="U2591" i="8"/>
  <c r="U2592" i="8"/>
  <c r="U2593" i="8"/>
  <c r="U2594" i="8"/>
  <c r="U2595" i="8"/>
  <c r="U2596" i="8"/>
  <c r="U2597" i="8"/>
  <c r="U2598" i="8"/>
  <c r="U2599" i="8"/>
  <c r="U2600" i="8"/>
  <c r="U2601" i="8"/>
  <c r="U2602" i="8"/>
  <c r="U2603" i="8"/>
  <c r="U2604" i="8"/>
  <c r="U2605" i="8"/>
  <c r="U2606" i="8"/>
  <c r="U2607" i="8"/>
  <c r="U2608" i="8"/>
  <c r="U2609" i="8"/>
  <c r="U2610" i="8"/>
  <c r="U2611" i="8"/>
  <c r="U2612" i="8"/>
  <c r="U2613" i="8"/>
  <c r="U2614" i="8"/>
  <c r="U2615" i="8"/>
  <c r="U2616" i="8"/>
  <c r="U2617" i="8"/>
  <c r="U2618" i="8"/>
  <c r="U2619" i="8"/>
  <c r="U2620" i="8"/>
  <c r="U2621" i="8"/>
  <c r="U2622" i="8"/>
  <c r="U2623" i="8"/>
  <c r="U2624" i="8"/>
  <c r="U2625" i="8"/>
  <c r="U2626" i="8"/>
  <c r="U2627" i="8"/>
  <c r="U2628" i="8"/>
  <c r="U2629" i="8"/>
  <c r="U2630" i="8"/>
  <c r="U2631" i="8"/>
  <c r="U2632" i="8"/>
  <c r="U2633" i="8"/>
  <c r="U2634" i="8"/>
  <c r="U2635" i="8"/>
  <c r="U2636" i="8"/>
  <c r="U2637" i="8"/>
  <c r="U2638" i="8"/>
  <c r="U2639" i="8"/>
  <c r="U2640" i="8"/>
  <c r="U2641" i="8"/>
  <c r="U2642" i="8"/>
  <c r="U2643" i="8"/>
  <c r="U2644" i="8"/>
  <c r="U2645" i="8"/>
  <c r="U2646" i="8"/>
  <c r="U2647" i="8"/>
  <c r="U2648" i="8"/>
  <c r="U2649" i="8"/>
  <c r="U2650" i="8"/>
  <c r="U2651" i="8"/>
  <c r="U2652" i="8"/>
  <c r="U2653" i="8"/>
  <c r="U2654" i="8"/>
  <c r="U2655" i="8"/>
  <c r="U2656" i="8"/>
  <c r="U2657" i="8"/>
  <c r="U2658" i="8"/>
  <c r="U2659" i="8"/>
  <c r="U2660" i="8"/>
  <c r="U2661" i="8"/>
  <c r="U2662" i="8"/>
  <c r="U2663" i="8"/>
  <c r="U2664" i="8"/>
  <c r="U2665" i="8"/>
  <c r="U2666" i="8"/>
  <c r="U2667" i="8"/>
  <c r="U2668" i="8"/>
  <c r="U2669" i="8"/>
  <c r="U2670" i="8"/>
  <c r="U2671" i="8"/>
  <c r="U2672" i="8"/>
  <c r="U2673" i="8"/>
  <c r="U2674" i="8"/>
  <c r="U2675" i="8"/>
  <c r="U2676" i="8"/>
  <c r="U2677" i="8"/>
  <c r="U2678" i="8"/>
  <c r="U2679" i="8"/>
  <c r="U2680" i="8"/>
  <c r="U2681" i="8"/>
  <c r="U2682" i="8"/>
  <c r="U2683" i="8"/>
  <c r="U2684" i="8"/>
  <c r="U2685" i="8"/>
  <c r="U2686" i="8"/>
  <c r="U2687" i="8"/>
  <c r="U2688" i="8"/>
  <c r="U2689" i="8"/>
  <c r="U2690" i="8"/>
  <c r="U2691" i="8"/>
  <c r="U2692" i="8"/>
  <c r="U2693" i="8"/>
  <c r="U2694" i="8"/>
  <c r="U2695" i="8"/>
  <c r="U2696" i="8"/>
  <c r="U2697" i="8"/>
  <c r="U2698" i="8"/>
  <c r="U2699" i="8"/>
  <c r="U2700" i="8"/>
  <c r="U2701" i="8"/>
  <c r="U2702" i="8"/>
  <c r="U2703" i="8"/>
  <c r="U2704" i="8"/>
  <c r="U2705" i="8"/>
  <c r="U2706" i="8"/>
  <c r="U2707" i="8"/>
  <c r="U2708" i="8"/>
  <c r="U2709" i="8"/>
  <c r="U2710" i="8"/>
  <c r="U2711" i="8"/>
  <c r="U2712" i="8"/>
  <c r="U2713" i="8"/>
  <c r="U2714" i="8"/>
  <c r="U2715" i="8"/>
  <c r="U2716" i="8"/>
  <c r="U2717" i="8"/>
  <c r="U2718" i="8"/>
  <c r="U2719" i="8"/>
  <c r="U2720" i="8"/>
  <c r="U2721" i="8"/>
  <c r="U2722" i="8"/>
  <c r="U2723" i="8"/>
  <c r="U2724" i="8"/>
  <c r="U2725" i="8"/>
  <c r="U2726" i="8"/>
  <c r="U2727" i="8"/>
  <c r="U2728" i="8"/>
  <c r="U2729" i="8"/>
  <c r="U2730" i="8"/>
  <c r="U2731" i="8"/>
  <c r="U2732" i="8"/>
  <c r="U2733" i="8"/>
  <c r="U2734" i="8"/>
  <c r="U2735" i="8"/>
  <c r="U2736" i="8"/>
  <c r="U2737" i="8"/>
  <c r="U2738" i="8"/>
  <c r="U2739" i="8"/>
  <c r="U2740" i="8"/>
  <c r="U2741" i="8"/>
  <c r="U2742" i="8"/>
  <c r="U2743" i="8"/>
  <c r="U2744" i="8"/>
  <c r="U2745" i="8"/>
  <c r="U2746" i="8"/>
  <c r="U2747" i="8"/>
  <c r="U2748" i="8"/>
  <c r="U2749" i="8"/>
  <c r="U2750" i="8"/>
  <c r="U2751" i="8"/>
  <c r="U2752" i="8"/>
  <c r="U2753" i="8"/>
  <c r="U2754" i="8"/>
  <c r="U2755" i="8"/>
  <c r="U2756" i="8"/>
  <c r="U2757" i="8"/>
  <c r="U2758" i="8"/>
  <c r="U2759" i="8"/>
  <c r="U2760" i="8"/>
  <c r="U2761" i="8"/>
  <c r="U2762" i="8"/>
  <c r="U2763" i="8"/>
  <c r="U2764" i="8"/>
  <c r="U2765" i="8"/>
  <c r="U2766" i="8"/>
  <c r="U2767" i="8"/>
  <c r="U2768" i="8"/>
  <c r="U2769" i="8"/>
  <c r="U2770" i="8"/>
  <c r="U2771" i="8"/>
  <c r="U2772" i="8"/>
  <c r="U2773" i="8"/>
  <c r="U2774" i="8"/>
  <c r="U2775" i="8"/>
  <c r="U2776" i="8"/>
  <c r="U2777" i="8"/>
  <c r="U2778" i="8"/>
  <c r="U2779" i="8"/>
  <c r="U2780" i="8"/>
  <c r="U2781" i="8"/>
  <c r="U2782" i="8"/>
  <c r="U2783" i="8"/>
  <c r="U2784" i="8"/>
  <c r="U2785" i="8"/>
  <c r="U2786" i="8"/>
  <c r="U2787" i="8"/>
  <c r="U2788" i="8"/>
  <c r="U2789" i="8"/>
  <c r="U2790" i="8"/>
  <c r="U2791" i="8"/>
  <c r="U2792" i="8"/>
  <c r="U2793" i="8"/>
  <c r="U2794" i="8"/>
  <c r="U2795" i="8"/>
  <c r="U2796" i="8"/>
  <c r="U2797" i="8"/>
  <c r="U2798" i="8"/>
  <c r="U2799" i="8"/>
  <c r="U2800" i="8"/>
  <c r="U2801" i="8"/>
  <c r="U2802" i="8"/>
  <c r="U2803" i="8"/>
  <c r="U2804" i="8"/>
  <c r="U2805" i="8"/>
  <c r="U2806" i="8"/>
  <c r="U2807" i="8"/>
  <c r="U2808" i="8"/>
  <c r="U2809" i="8"/>
  <c r="U2810" i="8"/>
  <c r="U2811" i="8"/>
  <c r="U2812" i="8"/>
  <c r="U2813" i="8"/>
  <c r="U2814" i="8"/>
  <c r="U2815" i="8"/>
  <c r="U2816" i="8"/>
  <c r="U2817" i="8"/>
  <c r="U2818" i="8"/>
  <c r="U2819" i="8"/>
  <c r="U2820" i="8"/>
  <c r="U2821" i="8"/>
  <c r="U2822" i="8"/>
  <c r="U2823" i="8"/>
  <c r="U2824" i="8"/>
  <c r="U2825" i="8"/>
  <c r="U2826" i="8"/>
  <c r="U2827" i="8"/>
  <c r="U2828" i="8"/>
  <c r="U2829" i="8"/>
  <c r="U2830" i="8"/>
  <c r="U2831" i="8"/>
  <c r="U2832" i="8"/>
  <c r="U2833" i="8"/>
  <c r="U2834" i="8"/>
  <c r="U2835" i="8"/>
  <c r="U2836" i="8"/>
  <c r="U2837" i="8"/>
  <c r="U2838" i="8"/>
  <c r="U2839" i="8"/>
  <c r="U2840" i="8"/>
  <c r="U2841" i="8"/>
  <c r="U2842" i="8"/>
  <c r="U2843" i="8"/>
  <c r="U2844" i="8"/>
  <c r="U2845" i="8"/>
  <c r="U2846" i="8"/>
  <c r="U2847" i="8"/>
  <c r="U2848" i="8"/>
  <c r="U2849" i="8"/>
  <c r="U2850" i="8"/>
  <c r="U2851" i="8"/>
  <c r="U2852" i="8"/>
  <c r="U2853" i="8"/>
  <c r="U2854" i="8"/>
  <c r="U2855" i="8"/>
  <c r="U2856" i="8"/>
  <c r="U2857" i="8"/>
  <c r="U2858" i="8"/>
  <c r="U2859" i="8"/>
  <c r="U2860" i="8"/>
  <c r="U2861" i="8"/>
  <c r="U2862" i="8"/>
  <c r="U2863" i="8"/>
  <c r="U2864" i="8"/>
  <c r="U2865" i="8"/>
  <c r="U2866" i="8"/>
  <c r="U2867" i="8"/>
  <c r="U2868" i="8"/>
  <c r="U2869" i="8"/>
  <c r="U2870" i="8"/>
  <c r="U2871" i="8"/>
  <c r="U2872" i="8"/>
  <c r="U2873" i="8"/>
  <c r="U2874" i="8"/>
  <c r="U2875" i="8"/>
  <c r="U2876" i="8"/>
  <c r="U2877" i="8"/>
  <c r="U2878" i="8"/>
  <c r="U2879" i="8"/>
  <c r="U2880" i="8"/>
  <c r="U2881" i="8"/>
  <c r="U2882" i="8"/>
  <c r="U2883" i="8"/>
  <c r="U2884" i="8"/>
  <c r="U2885" i="8"/>
  <c r="U2886" i="8"/>
  <c r="U2887" i="8"/>
  <c r="U2888" i="8"/>
  <c r="U2889" i="8"/>
  <c r="U2890" i="8"/>
  <c r="U2891" i="8"/>
  <c r="U2892" i="8"/>
  <c r="U2893" i="8"/>
  <c r="U2894" i="8"/>
  <c r="U2895" i="8"/>
  <c r="U2896" i="8"/>
  <c r="U2897" i="8"/>
  <c r="U2898" i="8"/>
  <c r="U2899" i="8"/>
  <c r="U2900" i="8"/>
  <c r="U2901" i="8"/>
  <c r="U2902" i="8"/>
  <c r="U2903" i="8"/>
  <c r="U2904" i="8"/>
  <c r="U2905" i="8"/>
  <c r="U2906" i="8"/>
  <c r="U2907" i="8"/>
  <c r="U2908" i="8"/>
  <c r="U2909" i="8"/>
  <c r="U2910" i="8"/>
  <c r="U2911" i="8"/>
  <c r="U2912" i="8"/>
  <c r="U2913" i="8"/>
  <c r="U2914" i="8"/>
  <c r="U2915" i="8"/>
  <c r="U2916" i="8"/>
  <c r="U2917" i="8"/>
  <c r="U2918" i="8"/>
  <c r="U2919" i="8"/>
  <c r="U2920" i="8"/>
  <c r="U2921" i="8"/>
  <c r="U2922" i="8"/>
  <c r="U2923" i="8"/>
  <c r="U2924" i="8"/>
  <c r="U2925" i="8"/>
  <c r="U2926" i="8"/>
  <c r="U2927" i="8"/>
  <c r="U2928" i="8"/>
  <c r="U2929" i="8"/>
  <c r="U2930" i="8"/>
  <c r="U2931" i="8"/>
  <c r="U2932" i="8"/>
  <c r="U2933" i="8"/>
  <c r="U2934" i="8"/>
  <c r="U2935" i="8"/>
  <c r="U2936" i="8"/>
  <c r="U2937" i="8"/>
  <c r="U2938" i="8"/>
  <c r="U2939" i="8"/>
  <c r="U2940" i="8"/>
  <c r="U2941" i="8"/>
  <c r="U2942" i="8"/>
  <c r="U2943" i="8"/>
  <c r="U2944" i="8"/>
  <c r="U2945" i="8"/>
  <c r="U2946" i="8"/>
  <c r="U2947" i="8"/>
  <c r="U2948" i="8"/>
  <c r="U2949" i="8"/>
  <c r="U2950" i="8"/>
  <c r="U2951" i="8"/>
  <c r="U2952" i="8"/>
  <c r="U2953" i="8"/>
  <c r="U2954" i="8"/>
  <c r="U2955" i="8"/>
  <c r="U2956" i="8"/>
  <c r="U2957" i="8"/>
  <c r="U2958" i="8"/>
  <c r="U2959" i="8"/>
  <c r="U2960" i="8"/>
  <c r="U2961" i="8"/>
  <c r="U2962" i="8"/>
  <c r="U2963" i="8"/>
  <c r="U2964" i="8"/>
  <c r="U2965" i="8"/>
  <c r="U2966" i="8"/>
  <c r="U2967" i="8"/>
  <c r="U2968" i="8"/>
  <c r="U2969" i="8"/>
  <c r="U2970" i="8"/>
  <c r="U2971" i="8"/>
  <c r="U2972" i="8"/>
  <c r="U2973" i="8"/>
  <c r="U2974" i="8"/>
  <c r="U2975" i="8"/>
  <c r="U2976" i="8"/>
  <c r="U2977" i="8"/>
  <c r="U2978" i="8"/>
  <c r="U2979" i="8"/>
  <c r="U2980" i="8"/>
  <c r="U2981" i="8"/>
  <c r="U2982" i="8"/>
  <c r="U2983" i="8"/>
  <c r="U2984" i="8"/>
  <c r="U2985" i="8"/>
  <c r="U2986" i="8"/>
  <c r="U2987" i="8"/>
  <c r="U2988" i="8"/>
  <c r="U2989" i="8"/>
  <c r="U2990" i="8"/>
  <c r="U2991" i="8"/>
  <c r="U2992" i="8"/>
  <c r="U2993" i="8"/>
  <c r="U2994" i="8"/>
  <c r="U2995" i="8"/>
  <c r="U2996" i="8"/>
  <c r="U2997" i="8"/>
  <c r="U2998" i="8"/>
  <c r="U2999" i="8"/>
  <c r="U3000" i="8"/>
  <c r="U3001" i="8"/>
  <c r="U3002" i="8"/>
  <c r="U3003" i="8"/>
  <c r="U3004" i="8"/>
  <c r="U3005" i="8"/>
  <c r="U3006" i="8"/>
  <c r="U3007" i="8"/>
  <c r="U3008" i="8"/>
  <c r="U3009" i="8"/>
  <c r="U3010" i="8"/>
  <c r="U3011" i="8"/>
  <c r="U3012" i="8"/>
  <c r="U3013" i="8"/>
  <c r="U3014" i="8"/>
  <c r="U3015" i="8"/>
  <c r="U3016" i="8"/>
  <c r="U3017" i="8"/>
  <c r="U3018" i="8"/>
  <c r="U3019" i="8"/>
  <c r="U3020" i="8"/>
  <c r="U3021" i="8"/>
  <c r="U3022" i="8"/>
  <c r="U3023" i="8"/>
  <c r="U3024" i="8"/>
  <c r="U3025" i="8"/>
  <c r="U3026" i="8"/>
  <c r="U3" i="8"/>
  <c r="O4" i="8"/>
  <c r="P4" i="8"/>
  <c r="O5" i="8"/>
  <c r="P5" i="8"/>
  <c r="O6" i="8"/>
  <c r="P6" i="8"/>
  <c r="O7" i="8"/>
  <c r="P7" i="8"/>
  <c r="O8" i="8"/>
  <c r="P8" i="8"/>
  <c r="O9" i="8"/>
  <c r="P9" i="8"/>
  <c r="O10" i="8"/>
  <c r="P10" i="8"/>
  <c r="O11" i="8"/>
  <c r="P11" i="8"/>
  <c r="O12" i="8"/>
  <c r="P12" i="8"/>
  <c r="O13" i="8"/>
  <c r="P13" i="8"/>
  <c r="O14" i="8"/>
  <c r="P14" i="8"/>
  <c r="O15" i="8"/>
  <c r="P15" i="8"/>
  <c r="O16" i="8"/>
  <c r="P16" i="8"/>
  <c r="O17" i="8"/>
  <c r="P17" i="8"/>
  <c r="O18" i="8"/>
  <c r="P18" i="8"/>
  <c r="O19" i="8"/>
  <c r="P19" i="8"/>
  <c r="O20" i="8"/>
  <c r="P20" i="8"/>
  <c r="O21" i="8"/>
  <c r="P21" i="8"/>
  <c r="O22" i="8"/>
  <c r="P22" i="8"/>
  <c r="O23" i="8"/>
  <c r="P23" i="8"/>
  <c r="O24" i="8"/>
  <c r="P24" i="8"/>
  <c r="O25" i="8"/>
  <c r="P25" i="8"/>
  <c r="O26" i="8"/>
  <c r="P26" i="8"/>
  <c r="O27" i="8"/>
  <c r="P27" i="8"/>
  <c r="O28" i="8"/>
  <c r="P28" i="8"/>
  <c r="O29" i="8"/>
  <c r="P29" i="8"/>
  <c r="O30" i="8"/>
  <c r="P30" i="8"/>
  <c r="O31" i="8"/>
  <c r="P31" i="8"/>
  <c r="O32" i="8"/>
  <c r="P32" i="8"/>
  <c r="O33" i="8"/>
  <c r="P33" i="8"/>
  <c r="O34" i="8"/>
  <c r="P34" i="8"/>
  <c r="O35" i="8"/>
  <c r="P35" i="8"/>
  <c r="O36" i="8"/>
  <c r="P36" i="8"/>
  <c r="O37" i="8"/>
  <c r="P37" i="8"/>
  <c r="O38" i="8"/>
  <c r="P38" i="8"/>
  <c r="O39" i="8"/>
  <c r="P39" i="8"/>
  <c r="O40" i="8"/>
  <c r="P40" i="8"/>
  <c r="O41" i="8"/>
  <c r="P41" i="8"/>
  <c r="O42" i="8"/>
  <c r="P42" i="8"/>
  <c r="O43" i="8"/>
  <c r="P43" i="8"/>
  <c r="O44" i="8"/>
  <c r="P44" i="8"/>
  <c r="O45" i="8"/>
  <c r="P45" i="8"/>
  <c r="O46" i="8"/>
  <c r="P46" i="8"/>
  <c r="O47" i="8"/>
  <c r="P47" i="8"/>
  <c r="O48" i="8"/>
  <c r="P48" i="8"/>
  <c r="O49" i="8"/>
  <c r="P49" i="8"/>
  <c r="O50" i="8"/>
  <c r="P50" i="8"/>
  <c r="O51" i="8"/>
  <c r="P51" i="8"/>
  <c r="O52" i="8"/>
  <c r="P52" i="8"/>
  <c r="O53" i="8"/>
  <c r="P53" i="8"/>
  <c r="O54" i="8"/>
  <c r="P54" i="8"/>
  <c r="O55" i="8"/>
  <c r="P55" i="8"/>
  <c r="O56" i="8"/>
  <c r="P56" i="8"/>
  <c r="O57" i="8"/>
  <c r="P57" i="8"/>
  <c r="O58" i="8"/>
  <c r="P58" i="8"/>
  <c r="O59" i="8"/>
  <c r="P59" i="8"/>
  <c r="O60" i="8"/>
  <c r="P60" i="8"/>
  <c r="O61" i="8"/>
  <c r="P61" i="8"/>
  <c r="O62" i="8"/>
  <c r="P62" i="8"/>
  <c r="O63" i="8"/>
  <c r="P63" i="8"/>
  <c r="O64" i="8"/>
  <c r="P64" i="8"/>
  <c r="O65" i="8"/>
  <c r="P65" i="8"/>
  <c r="O66" i="8"/>
  <c r="P66" i="8"/>
  <c r="O67" i="8"/>
  <c r="P67" i="8"/>
  <c r="O68" i="8"/>
  <c r="P68" i="8"/>
  <c r="O69" i="8"/>
  <c r="P69" i="8"/>
  <c r="O70" i="8"/>
  <c r="P70" i="8"/>
  <c r="O71" i="8"/>
  <c r="P71" i="8"/>
  <c r="O72" i="8"/>
  <c r="P72" i="8"/>
  <c r="O73" i="8"/>
  <c r="P73" i="8"/>
  <c r="O74" i="8"/>
  <c r="P74" i="8"/>
  <c r="O75" i="8"/>
  <c r="P75" i="8"/>
  <c r="O76" i="8"/>
  <c r="P76" i="8"/>
  <c r="O77" i="8"/>
  <c r="P77" i="8"/>
  <c r="O78" i="8"/>
  <c r="P78" i="8"/>
  <c r="O79" i="8"/>
  <c r="P79" i="8"/>
  <c r="O80" i="8"/>
  <c r="P80" i="8"/>
  <c r="O81" i="8"/>
  <c r="P81" i="8"/>
  <c r="O82" i="8"/>
  <c r="P82" i="8"/>
  <c r="O83" i="8"/>
  <c r="P83" i="8"/>
  <c r="O84" i="8"/>
  <c r="P84" i="8"/>
  <c r="O85" i="8"/>
  <c r="P85" i="8"/>
  <c r="O86" i="8"/>
  <c r="P86" i="8"/>
  <c r="O87" i="8"/>
  <c r="P87" i="8"/>
  <c r="O88" i="8"/>
  <c r="P88" i="8"/>
  <c r="O89" i="8"/>
  <c r="P89" i="8"/>
  <c r="O90" i="8"/>
  <c r="P90" i="8"/>
  <c r="O91" i="8"/>
  <c r="P91" i="8"/>
  <c r="O92" i="8"/>
  <c r="P92" i="8"/>
  <c r="O93" i="8"/>
  <c r="P93" i="8"/>
  <c r="O94" i="8"/>
  <c r="P94" i="8"/>
  <c r="O95" i="8"/>
  <c r="P95" i="8"/>
  <c r="O96" i="8"/>
  <c r="P96" i="8"/>
  <c r="O97" i="8"/>
  <c r="P97" i="8"/>
  <c r="O98" i="8"/>
  <c r="P98" i="8"/>
  <c r="O99" i="8"/>
  <c r="P99" i="8"/>
  <c r="O100" i="8"/>
  <c r="P100" i="8"/>
  <c r="O101" i="8"/>
  <c r="P101" i="8"/>
  <c r="O102" i="8"/>
  <c r="P102" i="8"/>
  <c r="O103" i="8"/>
  <c r="P103" i="8"/>
  <c r="O104" i="8"/>
  <c r="P104" i="8"/>
  <c r="O105" i="8"/>
  <c r="P105" i="8"/>
  <c r="O106" i="8"/>
  <c r="P106" i="8"/>
  <c r="O107" i="8"/>
  <c r="P107" i="8"/>
  <c r="O108" i="8"/>
  <c r="P108" i="8"/>
  <c r="O109" i="8"/>
  <c r="P109" i="8"/>
  <c r="O110" i="8"/>
  <c r="P110" i="8"/>
  <c r="O111" i="8"/>
  <c r="P111" i="8"/>
  <c r="O112" i="8"/>
  <c r="P112" i="8"/>
  <c r="O113" i="8"/>
  <c r="P113" i="8"/>
  <c r="O114" i="8"/>
  <c r="P114" i="8"/>
  <c r="O115" i="8"/>
  <c r="P115" i="8"/>
  <c r="O116" i="8"/>
  <c r="P116" i="8"/>
  <c r="O117" i="8"/>
  <c r="P117" i="8"/>
  <c r="O118" i="8"/>
  <c r="P118" i="8"/>
  <c r="O119" i="8"/>
  <c r="P119" i="8"/>
  <c r="O120" i="8"/>
  <c r="P120" i="8"/>
  <c r="O121" i="8"/>
  <c r="P121" i="8"/>
  <c r="O122" i="8"/>
  <c r="P122" i="8"/>
  <c r="O123" i="8"/>
  <c r="P123" i="8"/>
  <c r="O124" i="8"/>
  <c r="P124" i="8"/>
  <c r="O125" i="8"/>
  <c r="P125" i="8"/>
  <c r="O126" i="8"/>
  <c r="P126" i="8"/>
  <c r="O127" i="8"/>
  <c r="P127" i="8"/>
  <c r="O128" i="8"/>
  <c r="P128" i="8"/>
  <c r="O129" i="8"/>
  <c r="P129" i="8"/>
  <c r="O130" i="8"/>
  <c r="P130" i="8"/>
  <c r="O131" i="8"/>
  <c r="P131" i="8"/>
  <c r="O132" i="8"/>
  <c r="P132" i="8"/>
  <c r="O133" i="8"/>
  <c r="P133" i="8"/>
  <c r="O134" i="8"/>
  <c r="P134" i="8"/>
  <c r="O135" i="8"/>
  <c r="P135" i="8"/>
  <c r="O136" i="8"/>
  <c r="P136" i="8"/>
  <c r="O137" i="8"/>
  <c r="P137" i="8"/>
  <c r="O138" i="8"/>
  <c r="P138" i="8"/>
  <c r="O139" i="8"/>
  <c r="P139" i="8"/>
  <c r="O140" i="8"/>
  <c r="P140" i="8"/>
  <c r="O141" i="8"/>
  <c r="P141" i="8"/>
  <c r="O142" i="8"/>
  <c r="P142" i="8"/>
  <c r="O143" i="8"/>
  <c r="P143" i="8"/>
  <c r="O144" i="8"/>
  <c r="P144" i="8"/>
  <c r="O145" i="8"/>
  <c r="P145" i="8"/>
  <c r="O146" i="8"/>
  <c r="P146" i="8"/>
  <c r="O147" i="8"/>
  <c r="P147" i="8"/>
  <c r="O148" i="8"/>
  <c r="P148" i="8"/>
  <c r="O149" i="8"/>
  <c r="P149" i="8"/>
  <c r="O150" i="8"/>
  <c r="P150" i="8"/>
  <c r="O151" i="8"/>
  <c r="P151" i="8"/>
  <c r="O152" i="8"/>
  <c r="P152" i="8"/>
  <c r="O153" i="8"/>
  <c r="P153" i="8"/>
  <c r="O154" i="8"/>
  <c r="P154" i="8"/>
  <c r="O155" i="8"/>
  <c r="P155" i="8"/>
  <c r="O156" i="8"/>
  <c r="P156" i="8"/>
  <c r="O157" i="8"/>
  <c r="P157" i="8"/>
  <c r="O158" i="8"/>
  <c r="P158" i="8"/>
  <c r="O159" i="8"/>
  <c r="P159" i="8"/>
  <c r="O160" i="8"/>
  <c r="P160" i="8"/>
  <c r="O161" i="8"/>
  <c r="P161" i="8"/>
  <c r="O162" i="8"/>
  <c r="P162" i="8"/>
  <c r="O163" i="8"/>
  <c r="P163" i="8"/>
  <c r="O164" i="8"/>
  <c r="P164" i="8"/>
  <c r="O165" i="8"/>
  <c r="P165" i="8"/>
  <c r="O166" i="8"/>
  <c r="P166" i="8"/>
  <c r="O167" i="8"/>
  <c r="P167" i="8"/>
  <c r="O168" i="8"/>
  <c r="P168" i="8"/>
  <c r="O169" i="8"/>
  <c r="P169" i="8"/>
  <c r="O170" i="8"/>
  <c r="P170" i="8"/>
  <c r="O171" i="8"/>
  <c r="P171" i="8"/>
  <c r="O172" i="8"/>
  <c r="P172" i="8"/>
  <c r="O173" i="8"/>
  <c r="P173" i="8"/>
  <c r="O174" i="8"/>
  <c r="P174" i="8"/>
  <c r="O175" i="8"/>
  <c r="P175" i="8"/>
  <c r="O176" i="8"/>
  <c r="P176" i="8"/>
  <c r="O177" i="8"/>
  <c r="P177" i="8"/>
  <c r="O178" i="8"/>
  <c r="P178" i="8"/>
  <c r="O179" i="8"/>
  <c r="P179" i="8"/>
  <c r="O180" i="8"/>
  <c r="P180" i="8"/>
  <c r="O181" i="8"/>
  <c r="P181" i="8"/>
  <c r="O182" i="8"/>
  <c r="P182" i="8"/>
  <c r="O183" i="8"/>
  <c r="P183" i="8"/>
  <c r="O184" i="8"/>
  <c r="P184" i="8"/>
  <c r="O185" i="8"/>
  <c r="P185" i="8"/>
  <c r="O186" i="8"/>
  <c r="P186" i="8"/>
  <c r="O187" i="8"/>
  <c r="P187" i="8"/>
  <c r="O188" i="8"/>
  <c r="P188" i="8"/>
  <c r="O189" i="8"/>
  <c r="P189" i="8"/>
  <c r="O190" i="8"/>
  <c r="P190" i="8"/>
  <c r="O191" i="8"/>
  <c r="P191" i="8"/>
  <c r="O192" i="8"/>
  <c r="P192" i="8"/>
  <c r="O193" i="8"/>
  <c r="P193" i="8"/>
  <c r="O194" i="8"/>
  <c r="P194" i="8"/>
  <c r="O195" i="8"/>
  <c r="P195" i="8"/>
  <c r="O196" i="8"/>
  <c r="P196" i="8"/>
  <c r="O197" i="8"/>
  <c r="P197" i="8"/>
  <c r="O198" i="8"/>
  <c r="P198" i="8"/>
  <c r="O199" i="8"/>
  <c r="P199" i="8"/>
  <c r="O200" i="8"/>
  <c r="P200" i="8"/>
  <c r="O201" i="8"/>
  <c r="P201" i="8"/>
  <c r="O202" i="8"/>
  <c r="P202" i="8"/>
  <c r="O203" i="8"/>
  <c r="P203" i="8"/>
  <c r="O204" i="8"/>
  <c r="P204" i="8"/>
  <c r="O205" i="8"/>
  <c r="P205" i="8"/>
  <c r="O206" i="8"/>
  <c r="P206" i="8"/>
  <c r="O207" i="8"/>
  <c r="P207" i="8"/>
  <c r="O208" i="8"/>
  <c r="P208" i="8"/>
  <c r="O209" i="8"/>
  <c r="P209" i="8"/>
  <c r="O210" i="8"/>
  <c r="P210" i="8"/>
  <c r="O211" i="8"/>
  <c r="P211" i="8"/>
  <c r="O212" i="8"/>
  <c r="P212" i="8"/>
  <c r="O213" i="8"/>
  <c r="P213" i="8"/>
  <c r="O214" i="8"/>
  <c r="P214" i="8"/>
  <c r="O215" i="8"/>
  <c r="P215" i="8"/>
  <c r="O216" i="8"/>
  <c r="P216" i="8"/>
  <c r="O217" i="8"/>
  <c r="P217" i="8"/>
  <c r="O218" i="8"/>
  <c r="P218" i="8"/>
  <c r="O219" i="8"/>
  <c r="P219" i="8"/>
  <c r="O220" i="8"/>
  <c r="P220" i="8"/>
  <c r="O221" i="8"/>
  <c r="P221" i="8"/>
  <c r="O222" i="8"/>
  <c r="P222" i="8"/>
  <c r="O223" i="8"/>
  <c r="P223" i="8"/>
  <c r="O224" i="8"/>
  <c r="P224" i="8"/>
  <c r="O225" i="8"/>
  <c r="P225" i="8"/>
  <c r="O226" i="8"/>
  <c r="P226" i="8"/>
  <c r="O227" i="8"/>
  <c r="P227" i="8"/>
  <c r="O228" i="8"/>
  <c r="P228" i="8"/>
  <c r="O229" i="8"/>
  <c r="P229" i="8"/>
  <c r="O230" i="8"/>
  <c r="P230" i="8"/>
  <c r="O231" i="8"/>
  <c r="P231" i="8"/>
  <c r="O232" i="8"/>
  <c r="P232" i="8"/>
  <c r="O233" i="8"/>
  <c r="P233" i="8"/>
  <c r="O234" i="8"/>
  <c r="P234" i="8"/>
  <c r="O235" i="8"/>
  <c r="P235" i="8"/>
  <c r="O236" i="8"/>
  <c r="P236" i="8"/>
  <c r="O237" i="8"/>
  <c r="P237" i="8"/>
  <c r="O238" i="8"/>
  <c r="P238" i="8"/>
  <c r="O239" i="8"/>
  <c r="P239" i="8"/>
  <c r="O240" i="8"/>
  <c r="P240" i="8"/>
  <c r="O241" i="8"/>
  <c r="P241" i="8"/>
  <c r="O242" i="8"/>
  <c r="P242" i="8"/>
  <c r="O243" i="8"/>
  <c r="P243" i="8"/>
  <c r="O244" i="8"/>
  <c r="P244" i="8"/>
  <c r="O245" i="8"/>
  <c r="P245" i="8"/>
  <c r="O246" i="8"/>
  <c r="P246" i="8"/>
  <c r="O247" i="8"/>
  <c r="P247" i="8"/>
  <c r="O248" i="8"/>
  <c r="P248" i="8"/>
  <c r="O249" i="8"/>
  <c r="P249" i="8"/>
  <c r="O250" i="8"/>
  <c r="P250" i="8"/>
  <c r="O251" i="8"/>
  <c r="P251" i="8"/>
  <c r="O252" i="8"/>
  <c r="P252" i="8"/>
  <c r="O253" i="8"/>
  <c r="P253" i="8"/>
  <c r="O254" i="8"/>
  <c r="P254" i="8"/>
  <c r="O255" i="8"/>
  <c r="P255" i="8"/>
  <c r="O256" i="8"/>
  <c r="P256" i="8"/>
  <c r="O257" i="8"/>
  <c r="P257" i="8"/>
  <c r="O258" i="8"/>
  <c r="P258" i="8"/>
  <c r="O259" i="8"/>
  <c r="P259" i="8"/>
  <c r="O260" i="8"/>
  <c r="P260" i="8"/>
  <c r="O261" i="8"/>
  <c r="P261" i="8"/>
  <c r="O262" i="8"/>
  <c r="P262" i="8"/>
  <c r="O263" i="8"/>
  <c r="P263" i="8"/>
  <c r="O264" i="8"/>
  <c r="P264" i="8"/>
  <c r="O265" i="8"/>
  <c r="P265" i="8"/>
  <c r="O266" i="8"/>
  <c r="P266" i="8"/>
  <c r="O267" i="8"/>
  <c r="P267" i="8"/>
  <c r="O268" i="8"/>
  <c r="P268" i="8"/>
  <c r="O269" i="8"/>
  <c r="P269" i="8"/>
  <c r="O270" i="8"/>
  <c r="P270" i="8"/>
  <c r="O271" i="8"/>
  <c r="P271" i="8"/>
  <c r="O272" i="8"/>
  <c r="P272" i="8"/>
  <c r="O273" i="8"/>
  <c r="P273" i="8"/>
  <c r="O274" i="8"/>
  <c r="P274" i="8"/>
  <c r="O275" i="8"/>
  <c r="P275" i="8"/>
  <c r="O276" i="8"/>
  <c r="P276" i="8"/>
  <c r="O277" i="8"/>
  <c r="P277" i="8"/>
  <c r="O278" i="8"/>
  <c r="P278" i="8"/>
  <c r="O279" i="8"/>
  <c r="P279" i="8"/>
  <c r="O280" i="8"/>
  <c r="P280" i="8"/>
  <c r="O281" i="8"/>
  <c r="P281" i="8"/>
  <c r="O282" i="8"/>
  <c r="P282" i="8"/>
  <c r="O283" i="8"/>
  <c r="P283" i="8"/>
  <c r="O284" i="8"/>
  <c r="P284" i="8"/>
  <c r="O285" i="8"/>
  <c r="P285" i="8"/>
  <c r="O286" i="8"/>
  <c r="P286" i="8"/>
  <c r="O287" i="8"/>
  <c r="P287" i="8"/>
  <c r="O288" i="8"/>
  <c r="P288" i="8"/>
  <c r="O289" i="8"/>
  <c r="P289" i="8"/>
  <c r="O290" i="8"/>
  <c r="P290" i="8"/>
  <c r="O291" i="8"/>
  <c r="P291" i="8"/>
  <c r="O292" i="8"/>
  <c r="P292" i="8"/>
  <c r="O293" i="8"/>
  <c r="P293" i="8"/>
  <c r="O294" i="8"/>
  <c r="P294" i="8"/>
  <c r="O295" i="8"/>
  <c r="P295" i="8"/>
  <c r="O296" i="8"/>
  <c r="P296" i="8"/>
  <c r="O297" i="8"/>
  <c r="P297" i="8"/>
  <c r="O298" i="8"/>
  <c r="P298" i="8"/>
  <c r="O299" i="8"/>
  <c r="P299" i="8"/>
  <c r="O300" i="8"/>
  <c r="P300" i="8"/>
  <c r="O301" i="8"/>
  <c r="P301" i="8"/>
  <c r="O302" i="8"/>
  <c r="P302" i="8"/>
  <c r="O303" i="8"/>
  <c r="P303" i="8"/>
  <c r="O304" i="8"/>
  <c r="P304" i="8"/>
  <c r="O305" i="8"/>
  <c r="P305" i="8"/>
  <c r="O306" i="8"/>
  <c r="P306" i="8"/>
  <c r="O307" i="8"/>
  <c r="P307" i="8"/>
  <c r="O308" i="8"/>
  <c r="P308" i="8"/>
  <c r="O309" i="8"/>
  <c r="P309" i="8"/>
  <c r="O310" i="8"/>
  <c r="P310" i="8"/>
  <c r="O311" i="8"/>
  <c r="P311" i="8"/>
  <c r="O312" i="8"/>
  <c r="P312" i="8"/>
  <c r="O313" i="8"/>
  <c r="P313" i="8"/>
  <c r="O314" i="8"/>
  <c r="P314" i="8"/>
  <c r="O315" i="8"/>
  <c r="P315" i="8"/>
  <c r="O316" i="8"/>
  <c r="P316" i="8"/>
  <c r="O317" i="8"/>
  <c r="P317" i="8"/>
  <c r="O318" i="8"/>
  <c r="P318" i="8"/>
  <c r="O319" i="8"/>
  <c r="P319" i="8"/>
  <c r="O320" i="8"/>
  <c r="P320" i="8"/>
  <c r="O321" i="8"/>
  <c r="P321" i="8"/>
  <c r="O322" i="8"/>
  <c r="P322" i="8"/>
  <c r="O323" i="8"/>
  <c r="P323" i="8"/>
  <c r="O324" i="8"/>
  <c r="P324" i="8"/>
  <c r="O325" i="8"/>
  <c r="P325" i="8"/>
  <c r="O326" i="8"/>
  <c r="P326" i="8"/>
  <c r="O327" i="8"/>
  <c r="P327" i="8"/>
  <c r="O328" i="8"/>
  <c r="P328" i="8"/>
  <c r="O329" i="8"/>
  <c r="P329" i="8"/>
  <c r="O330" i="8"/>
  <c r="P330" i="8"/>
  <c r="O331" i="8"/>
  <c r="P331" i="8"/>
  <c r="O332" i="8"/>
  <c r="P332" i="8"/>
  <c r="O333" i="8"/>
  <c r="P333" i="8"/>
  <c r="O334" i="8"/>
  <c r="P334" i="8"/>
  <c r="O335" i="8"/>
  <c r="P335" i="8"/>
  <c r="O336" i="8"/>
  <c r="P336" i="8"/>
  <c r="O337" i="8"/>
  <c r="P337" i="8"/>
  <c r="O338" i="8"/>
  <c r="P338" i="8"/>
  <c r="O339" i="8"/>
  <c r="P339" i="8"/>
  <c r="O340" i="8"/>
  <c r="P340" i="8"/>
  <c r="O341" i="8"/>
  <c r="P341" i="8"/>
  <c r="O342" i="8"/>
  <c r="P342" i="8"/>
  <c r="O343" i="8"/>
  <c r="P343" i="8"/>
  <c r="O344" i="8"/>
  <c r="P344" i="8"/>
  <c r="O345" i="8"/>
  <c r="P345" i="8"/>
  <c r="O346" i="8"/>
  <c r="P346" i="8"/>
  <c r="O347" i="8"/>
  <c r="P347" i="8"/>
  <c r="O348" i="8"/>
  <c r="P348" i="8"/>
  <c r="O349" i="8"/>
  <c r="P349" i="8"/>
  <c r="O350" i="8"/>
  <c r="P350" i="8"/>
  <c r="O351" i="8"/>
  <c r="P351" i="8"/>
  <c r="O352" i="8"/>
  <c r="P352" i="8"/>
  <c r="O353" i="8"/>
  <c r="P353" i="8"/>
  <c r="O354" i="8"/>
  <c r="P354" i="8"/>
  <c r="O355" i="8"/>
  <c r="P355" i="8"/>
  <c r="O356" i="8"/>
  <c r="P356" i="8"/>
  <c r="O357" i="8"/>
  <c r="P357" i="8"/>
  <c r="O358" i="8"/>
  <c r="P358" i="8"/>
  <c r="O359" i="8"/>
  <c r="P359" i="8"/>
  <c r="O360" i="8"/>
  <c r="P360" i="8"/>
  <c r="O361" i="8"/>
  <c r="P361" i="8"/>
  <c r="O362" i="8"/>
  <c r="P362" i="8"/>
  <c r="O363" i="8"/>
  <c r="P363" i="8"/>
  <c r="O364" i="8"/>
  <c r="P364" i="8"/>
  <c r="O365" i="8"/>
  <c r="P365" i="8"/>
  <c r="O366" i="8"/>
  <c r="P366" i="8"/>
  <c r="O367" i="8"/>
  <c r="P367" i="8"/>
  <c r="O368" i="8"/>
  <c r="P368" i="8"/>
  <c r="O369" i="8"/>
  <c r="P369" i="8"/>
  <c r="O370" i="8"/>
  <c r="P370" i="8"/>
  <c r="O371" i="8"/>
  <c r="P371" i="8"/>
  <c r="O372" i="8"/>
  <c r="P372" i="8"/>
  <c r="O373" i="8"/>
  <c r="P373" i="8"/>
  <c r="O374" i="8"/>
  <c r="P374" i="8"/>
  <c r="O375" i="8"/>
  <c r="P375" i="8"/>
  <c r="O376" i="8"/>
  <c r="P376" i="8"/>
  <c r="O377" i="8"/>
  <c r="P377" i="8"/>
  <c r="O378" i="8"/>
  <c r="P378" i="8"/>
  <c r="O379" i="8"/>
  <c r="P379" i="8"/>
  <c r="O380" i="8"/>
  <c r="P380" i="8"/>
  <c r="O381" i="8"/>
  <c r="P381" i="8"/>
  <c r="O382" i="8"/>
  <c r="P382" i="8"/>
  <c r="O383" i="8"/>
  <c r="P383" i="8"/>
  <c r="O384" i="8"/>
  <c r="P384" i="8"/>
  <c r="O385" i="8"/>
  <c r="P385" i="8"/>
  <c r="O386" i="8"/>
  <c r="P386" i="8"/>
  <c r="O387" i="8"/>
  <c r="P387" i="8"/>
  <c r="O388" i="8"/>
  <c r="P388" i="8"/>
  <c r="O389" i="8"/>
  <c r="P389" i="8"/>
  <c r="O390" i="8"/>
  <c r="P390" i="8"/>
  <c r="O391" i="8"/>
  <c r="P391" i="8"/>
  <c r="O392" i="8"/>
  <c r="P392" i="8"/>
  <c r="O393" i="8"/>
  <c r="P393" i="8"/>
  <c r="O394" i="8"/>
  <c r="P394" i="8"/>
  <c r="O395" i="8"/>
  <c r="P395" i="8"/>
  <c r="O396" i="8"/>
  <c r="P396" i="8"/>
  <c r="O397" i="8"/>
  <c r="P397" i="8"/>
  <c r="O398" i="8"/>
  <c r="P398" i="8"/>
  <c r="O399" i="8"/>
  <c r="P399" i="8"/>
  <c r="O400" i="8"/>
  <c r="P400" i="8"/>
  <c r="O401" i="8"/>
  <c r="P401" i="8"/>
  <c r="O402" i="8"/>
  <c r="P402" i="8"/>
  <c r="O403" i="8"/>
  <c r="P403" i="8"/>
  <c r="O404" i="8"/>
  <c r="P404" i="8"/>
  <c r="O405" i="8"/>
  <c r="P405" i="8"/>
  <c r="O406" i="8"/>
  <c r="P406" i="8"/>
  <c r="O407" i="8"/>
  <c r="P407" i="8"/>
  <c r="O408" i="8"/>
  <c r="P408" i="8"/>
  <c r="O409" i="8"/>
  <c r="P409" i="8"/>
  <c r="O410" i="8"/>
  <c r="P410" i="8"/>
  <c r="O411" i="8"/>
  <c r="P411" i="8"/>
  <c r="O412" i="8"/>
  <c r="P412" i="8"/>
  <c r="O413" i="8"/>
  <c r="P413" i="8"/>
  <c r="O414" i="8"/>
  <c r="P414" i="8"/>
  <c r="O415" i="8"/>
  <c r="P415" i="8"/>
  <c r="O416" i="8"/>
  <c r="P416" i="8"/>
  <c r="O417" i="8"/>
  <c r="P417" i="8"/>
  <c r="O418" i="8"/>
  <c r="P418" i="8"/>
  <c r="O419" i="8"/>
  <c r="P419" i="8"/>
  <c r="O420" i="8"/>
  <c r="P420" i="8"/>
  <c r="O421" i="8"/>
  <c r="P421" i="8"/>
  <c r="O422" i="8"/>
  <c r="P422" i="8"/>
  <c r="O423" i="8"/>
  <c r="P423" i="8"/>
  <c r="O424" i="8"/>
  <c r="P424" i="8"/>
  <c r="O425" i="8"/>
  <c r="P425" i="8"/>
  <c r="O426" i="8"/>
  <c r="P426" i="8"/>
  <c r="O427" i="8"/>
  <c r="P427" i="8"/>
  <c r="O428" i="8"/>
  <c r="P428" i="8"/>
  <c r="O429" i="8"/>
  <c r="P429" i="8"/>
  <c r="O430" i="8"/>
  <c r="P430" i="8"/>
  <c r="O431" i="8"/>
  <c r="P431" i="8"/>
  <c r="O432" i="8"/>
  <c r="P432" i="8"/>
  <c r="O433" i="8"/>
  <c r="P433" i="8"/>
  <c r="O434" i="8"/>
  <c r="P434" i="8"/>
  <c r="O435" i="8"/>
  <c r="P435" i="8"/>
  <c r="O436" i="8"/>
  <c r="P436" i="8"/>
  <c r="O437" i="8"/>
  <c r="P437" i="8"/>
  <c r="O438" i="8"/>
  <c r="P438" i="8"/>
  <c r="O439" i="8"/>
  <c r="P439" i="8"/>
  <c r="O440" i="8"/>
  <c r="P440" i="8"/>
  <c r="O441" i="8"/>
  <c r="P441" i="8"/>
  <c r="O442" i="8"/>
  <c r="P442" i="8"/>
  <c r="O443" i="8"/>
  <c r="P443" i="8"/>
  <c r="O444" i="8"/>
  <c r="P444" i="8"/>
  <c r="O445" i="8"/>
  <c r="P445" i="8"/>
  <c r="O446" i="8"/>
  <c r="P446" i="8"/>
  <c r="O447" i="8"/>
  <c r="P447" i="8"/>
  <c r="O448" i="8"/>
  <c r="P448" i="8"/>
  <c r="O449" i="8"/>
  <c r="P449" i="8"/>
  <c r="O450" i="8"/>
  <c r="P450" i="8"/>
  <c r="O451" i="8"/>
  <c r="P451" i="8"/>
  <c r="O452" i="8"/>
  <c r="P452" i="8"/>
  <c r="O453" i="8"/>
  <c r="P453" i="8"/>
  <c r="O454" i="8"/>
  <c r="P454" i="8"/>
  <c r="O455" i="8"/>
  <c r="P455" i="8"/>
  <c r="O456" i="8"/>
  <c r="P456" i="8"/>
  <c r="O457" i="8"/>
  <c r="P457" i="8"/>
  <c r="O458" i="8"/>
  <c r="P458" i="8"/>
  <c r="O459" i="8"/>
  <c r="P459" i="8"/>
  <c r="O460" i="8"/>
  <c r="P460" i="8"/>
  <c r="O461" i="8"/>
  <c r="P461" i="8"/>
  <c r="O462" i="8"/>
  <c r="P462" i="8"/>
  <c r="O463" i="8"/>
  <c r="P463" i="8"/>
  <c r="O464" i="8"/>
  <c r="P464" i="8"/>
  <c r="O465" i="8"/>
  <c r="P465" i="8"/>
  <c r="O466" i="8"/>
  <c r="P466" i="8"/>
  <c r="O467" i="8"/>
  <c r="P467" i="8"/>
  <c r="O468" i="8"/>
  <c r="P468" i="8"/>
  <c r="O469" i="8"/>
  <c r="P469" i="8"/>
  <c r="O470" i="8"/>
  <c r="P470" i="8"/>
  <c r="O471" i="8"/>
  <c r="P471" i="8"/>
  <c r="O472" i="8"/>
  <c r="P472" i="8"/>
  <c r="O473" i="8"/>
  <c r="P473" i="8"/>
  <c r="O474" i="8"/>
  <c r="P474" i="8"/>
  <c r="O475" i="8"/>
  <c r="P475" i="8"/>
  <c r="O476" i="8"/>
  <c r="P476" i="8"/>
  <c r="O477" i="8"/>
  <c r="P477" i="8"/>
  <c r="O478" i="8"/>
  <c r="P478" i="8"/>
  <c r="O479" i="8"/>
  <c r="P479" i="8"/>
  <c r="O480" i="8"/>
  <c r="P480" i="8"/>
  <c r="O481" i="8"/>
  <c r="P481" i="8"/>
  <c r="O482" i="8"/>
  <c r="P482" i="8"/>
  <c r="O483" i="8"/>
  <c r="P483" i="8"/>
  <c r="O484" i="8"/>
  <c r="P484" i="8"/>
  <c r="O485" i="8"/>
  <c r="P485" i="8"/>
  <c r="O486" i="8"/>
  <c r="P486" i="8"/>
  <c r="O487" i="8"/>
  <c r="P487" i="8"/>
  <c r="O488" i="8"/>
  <c r="P488" i="8"/>
  <c r="O489" i="8"/>
  <c r="P489" i="8"/>
  <c r="O490" i="8"/>
  <c r="P490" i="8"/>
  <c r="O491" i="8"/>
  <c r="P491" i="8"/>
  <c r="O492" i="8"/>
  <c r="P492" i="8"/>
  <c r="O493" i="8"/>
  <c r="P493" i="8"/>
  <c r="O494" i="8"/>
  <c r="P494" i="8"/>
  <c r="O495" i="8"/>
  <c r="P495" i="8"/>
  <c r="O496" i="8"/>
  <c r="P496" i="8"/>
  <c r="O497" i="8"/>
  <c r="P497" i="8"/>
  <c r="O498" i="8"/>
  <c r="P498" i="8"/>
  <c r="O499" i="8"/>
  <c r="P499" i="8"/>
  <c r="O500" i="8"/>
  <c r="P500" i="8"/>
  <c r="O501" i="8"/>
  <c r="P501" i="8"/>
  <c r="O502" i="8"/>
  <c r="P502" i="8"/>
  <c r="O503" i="8"/>
  <c r="P503" i="8"/>
  <c r="O504" i="8"/>
  <c r="P504" i="8"/>
  <c r="O505" i="8"/>
  <c r="P505" i="8"/>
  <c r="O506" i="8"/>
  <c r="P506" i="8"/>
  <c r="O507" i="8"/>
  <c r="P507" i="8"/>
  <c r="O508" i="8"/>
  <c r="P508" i="8"/>
  <c r="O509" i="8"/>
  <c r="P509" i="8"/>
  <c r="O510" i="8"/>
  <c r="P510" i="8"/>
  <c r="O511" i="8"/>
  <c r="P511" i="8"/>
  <c r="O512" i="8"/>
  <c r="P512" i="8"/>
  <c r="O513" i="8"/>
  <c r="P513" i="8"/>
  <c r="O514" i="8"/>
  <c r="P514" i="8"/>
  <c r="O515" i="8"/>
  <c r="P515" i="8"/>
  <c r="O516" i="8"/>
  <c r="P516" i="8"/>
  <c r="O517" i="8"/>
  <c r="P517" i="8"/>
  <c r="O518" i="8"/>
  <c r="P518" i="8"/>
  <c r="O519" i="8"/>
  <c r="P519" i="8"/>
  <c r="O520" i="8"/>
  <c r="P520" i="8"/>
  <c r="O521" i="8"/>
  <c r="P521" i="8"/>
  <c r="O522" i="8"/>
  <c r="P522" i="8"/>
  <c r="O523" i="8"/>
  <c r="P523" i="8"/>
  <c r="O524" i="8"/>
  <c r="P524" i="8"/>
  <c r="O525" i="8"/>
  <c r="P525" i="8"/>
  <c r="O526" i="8"/>
  <c r="P526" i="8"/>
  <c r="O527" i="8"/>
  <c r="P527" i="8"/>
  <c r="O528" i="8"/>
  <c r="P528" i="8"/>
  <c r="O529" i="8"/>
  <c r="P529" i="8"/>
  <c r="O530" i="8"/>
  <c r="P530" i="8"/>
  <c r="O531" i="8"/>
  <c r="P531" i="8"/>
  <c r="O532" i="8"/>
  <c r="P532" i="8"/>
  <c r="O533" i="8"/>
  <c r="P533" i="8"/>
  <c r="O534" i="8"/>
  <c r="P534" i="8"/>
  <c r="O535" i="8"/>
  <c r="P535" i="8"/>
  <c r="O536" i="8"/>
  <c r="P536" i="8"/>
  <c r="O537" i="8"/>
  <c r="P537" i="8"/>
  <c r="O538" i="8"/>
  <c r="P538" i="8"/>
  <c r="O539" i="8"/>
  <c r="P539" i="8"/>
  <c r="O540" i="8"/>
  <c r="P540" i="8"/>
  <c r="O541" i="8"/>
  <c r="P541" i="8"/>
  <c r="O542" i="8"/>
  <c r="P542" i="8"/>
  <c r="O543" i="8"/>
  <c r="P543" i="8"/>
  <c r="O544" i="8"/>
  <c r="P544" i="8"/>
  <c r="O545" i="8"/>
  <c r="P545" i="8"/>
  <c r="O546" i="8"/>
  <c r="P546" i="8"/>
  <c r="O547" i="8"/>
  <c r="P547" i="8"/>
  <c r="O548" i="8"/>
  <c r="P548" i="8"/>
  <c r="O549" i="8"/>
  <c r="P549" i="8"/>
  <c r="O550" i="8"/>
  <c r="P550" i="8"/>
  <c r="O551" i="8"/>
  <c r="P551" i="8"/>
  <c r="O552" i="8"/>
  <c r="P552" i="8"/>
  <c r="O553" i="8"/>
  <c r="P553" i="8"/>
  <c r="O554" i="8"/>
  <c r="P554" i="8"/>
  <c r="O555" i="8"/>
  <c r="P555" i="8"/>
  <c r="O556" i="8"/>
  <c r="P556" i="8"/>
  <c r="O557" i="8"/>
  <c r="P557" i="8"/>
  <c r="O558" i="8"/>
  <c r="P558" i="8"/>
  <c r="O559" i="8"/>
  <c r="P559" i="8"/>
  <c r="O560" i="8"/>
  <c r="P560" i="8"/>
  <c r="O561" i="8"/>
  <c r="P561" i="8"/>
  <c r="O562" i="8"/>
  <c r="P562" i="8"/>
  <c r="O563" i="8"/>
  <c r="P563" i="8"/>
  <c r="O564" i="8"/>
  <c r="P564" i="8"/>
  <c r="O565" i="8"/>
  <c r="P565" i="8"/>
  <c r="O566" i="8"/>
  <c r="P566" i="8"/>
  <c r="O567" i="8"/>
  <c r="P567" i="8"/>
  <c r="O568" i="8"/>
  <c r="P568" i="8"/>
  <c r="O569" i="8"/>
  <c r="P569" i="8"/>
  <c r="O570" i="8"/>
  <c r="P570" i="8"/>
  <c r="O571" i="8"/>
  <c r="P571" i="8"/>
  <c r="O572" i="8"/>
  <c r="P572" i="8"/>
  <c r="O573" i="8"/>
  <c r="P573" i="8"/>
  <c r="O574" i="8"/>
  <c r="P574" i="8"/>
  <c r="O575" i="8"/>
  <c r="P575" i="8"/>
  <c r="O576" i="8"/>
  <c r="P576" i="8"/>
  <c r="O577" i="8"/>
  <c r="P577" i="8"/>
  <c r="O578" i="8"/>
  <c r="P578" i="8"/>
  <c r="O579" i="8"/>
  <c r="P579" i="8"/>
  <c r="O580" i="8"/>
  <c r="P580" i="8"/>
  <c r="O581" i="8"/>
  <c r="P581" i="8"/>
  <c r="O582" i="8"/>
  <c r="P582" i="8"/>
  <c r="O583" i="8"/>
  <c r="P583" i="8"/>
  <c r="O584" i="8"/>
  <c r="P584" i="8"/>
  <c r="O585" i="8"/>
  <c r="P585" i="8"/>
  <c r="O586" i="8"/>
  <c r="P586" i="8"/>
  <c r="O587" i="8"/>
  <c r="P587" i="8"/>
  <c r="O588" i="8"/>
  <c r="P588" i="8"/>
  <c r="O589" i="8"/>
  <c r="P589" i="8"/>
  <c r="O590" i="8"/>
  <c r="P590" i="8"/>
  <c r="O591" i="8"/>
  <c r="P591" i="8"/>
  <c r="O592" i="8"/>
  <c r="P592" i="8"/>
  <c r="O593" i="8"/>
  <c r="P593" i="8"/>
  <c r="O594" i="8"/>
  <c r="P594" i="8"/>
  <c r="O595" i="8"/>
  <c r="P595" i="8"/>
  <c r="O596" i="8"/>
  <c r="P596" i="8"/>
  <c r="O597" i="8"/>
  <c r="P597" i="8"/>
  <c r="O598" i="8"/>
  <c r="P598" i="8"/>
  <c r="O599" i="8"/>
  <c r="P599" i="8"/>
  <c r="O600" i="8"/>
  <c r="P600" i="8"/>
  <c r="O601" i="8"/>
  <c r="P601" i="8"/>
  <c r="O602" i="8"/>
  <c r="P602" i="8"/>
  <c r="O603" i="8"/>
  <c r="P603" i="8"/>
  <c r="O604" i="8"/>
  <c r="P604" i="8"/>
  <c r="O605" i="8"/>
  <c r="P605" i="8"/>
  <c r="O606" i="8"/>
  <c r="P606" i="8"/>
  <c r="O607" i="8"/>
  <c r="P607" i="8"/>
  <c r="O608" i="8"/>
  <c r="P608" i="8"/>
  <c r="O609" i="8"/>
  <c r="P609" i="8"/>
  <c r="O610" i="8"/>
  <c r="P610" i="8"/>
  <c r="O611" i="8"/>
  <c r="P611" i="8"/>
  <c r="O612" i="8"/>
  <c r="P612" i="8"/>
  <c r="O613" i="8"/>
  <c r="P613" i="8"/>
  <c r="O614" i="8"/>
  <c r="P614" i="8"/>
  <c r="O615" i="8"/>
  <c r="P615" i="8"/>
  <c r="O616" i="8"/>
  <c r="P616" i="8"/>
  <c r="O617" i="8"/>
  <c r="P617" i="8"/>
  <c r="O618" i="8"/>
  <c r="P618" i="8"/>
  <c r="O619" i="8"/>
  <c r="P619" i="8"/>
  <c r="O620" i="8"/>
  <c r="P620" i="8"/>
  <c r="O621" i="8"/>
  <c r="P621" i="8"/>
  <c r="O622" i="8"/>
  <c r="P622" i="8"/>
  <c r="O623" i="8"/>
  <c r="P623" i="8"/>
  <c r="O624" i="8"/>
  <c r="P624" i="8"/>
  <c r="O625" i="8"/>
  <c r="P625" i="8"/>
  <c r="O626" i="8"/>
  <c r="P626" i="8"/>
  <c r="O627" i="8"/>
  <c r="P627" i="8"/>
  <c r="O628" i="8"/>
  <c r="P628" i="8"/>
  <c r="O629" i="8"/>
  <c r="P629" i="8"/>
  <c r="O630" i="8"/>
  <c r="P630" i="8"/>
  <c r="O631" i="8"/>
  <c r="P631" i="8"/>
  <c r="O632" i="8"/>
  <c r="P632" i="8"/>
  <c r="O633" i="8"/>
  <c r="P633" i="8"/>
  <c r="O634" i="8"/>
  <c r="P634" i="8"/>
  <c r="O635" i="8"/>
  <c r="P635" i="8"/>
  <c r="O636" i="8"/>
  <c r="P636" i="8"/>
  <c r="O637" i="8"/>
  <c r="P637" i="8"/>
  <c r="O638" i="8"/>
  <c r="P638" i="8"/>
  <c r="O639" i="8"/>
  <c r="P639" i="8"/>
  <c r="O640" i="8"/>
  <c r="P640" i="8"/>
  <c r="O641" i="8"/>
  <c r="P641" i="8"/>
  <c r="O642" i="8"/>
  <c r="P642" i="8"/>
  <c r="O643" i="8"/>
  <c r="P643" i="8"/>
  <c r="O644" i="8"/>
  <c r="P644" i="8"/>
  <c r="O645" i="8"/>
  <c r="P645" i="8"/>
  <c r="O646" i="8"/>
  <c r="P646" i="8"/>
  <c r="O647" i="8"/>
  <c r="P647" i="8"/>
  <c r="O648" i="8"/>
  <c r="P648" i="8"/>
  <c r="O649" i="8"/>
  <c r="P649" i="8"/>
  <c r="O650" i="8"/>
  <c r="P650" i="8"/>
  <c r="O651" i="8"/>
  <c r="P651" i="8"/>
  <c r="O652" i="8"/>
  <c r="P652" i="8"/>
  <c r="O653" i="8"/>
  <c r="P653" i="8"/>
  <c r="O654" i="8"/>
  <c r="P654" i="8"/>
  <c r="O655" i="8"/>
  <c r="P655" i="8"/>
  <c r="O656" i="8"/>
  <c r="P656" i="8"/>
  <c r="O657" i="8"/>
  <c r="P657" i="8"/>
  <c r="O658" i="8"/>
  <c r="P658" i="8"/>
  <c r="O659" i="8"/>
  <c r="P659" i="8"/>
  <c r="O660" i="8"/>
  <c r="P660" i="8"/>
  <c r="O661" i="8"/>
  <c r="P661" i="8"/>
  <c r="O662" i="8"/>
  <c r="P662" i="8"/>
  <c r="O663" i="8"/>
  <c r="P663" i="8"/>
  <c r="O664" i="8"/>
  <c r="P664" i="8"/>
  <c r="O665" i="8"/>
  <c r="P665" i="8"/>
  <c r="O666" i="8"/>
  <c r="P666" i="8"/>
  <c r="O667" i="8"/>
  <c r="P667" i="8"/>
  <c r="O668" i="8"/>
  <c r="P668" i="8"/>
  <c r="O669" i="8"/>
  <c r="P669" i="8"/>
  <c r="O670" i="8"/>
  <c r="P670" i="8"/>
  <c r="O671" i="8"/>
  <c r="P671" i="8"/>
  <c r="O672" i="8"/>
  <c r="P672" i="8"/>
  <c r="O673" i="8"/>
  <c r="P673" i="8"/>
  <c r="O674" i="8"/>
  <c r="P674" i="8"/>
  <c r="O675" i="8"/>
  <c r="P675" i="8"/>
  <c r="O676" i="8"/>
  <c r="P676" i="8"/>
  <c r="O677" i="8"/>
  <c r="P677" i="8"/>
  <c r="O678" i="8"/>
  <c r="P678" i="8"/>
  <c r="O679" i="8"/>
  <c r="P679" i="8"/>
  <c r="O680" i="8"/>
  <c r="P680" i="8"/>
  <c r="O681" i="8"/>
  <c r="P681" i="8"/>
  <c r="O682" i="8"/>
  <c r="P682" i="8"/>
  <c r="O683" i="8"/>
  <c r="P683" i="8"/>
  <c r="O684" i="8"/>
  <c r="P684" i="8"/>
  <c r="O685" i="8"/>
  <c r="P685" i="8"/>
  <c r="O686" i="8"/>
  <c r="P686" i="8"/>
  <c r="O687" i="8"/>
  <c r="P687" i="8"/>
  <c r="O688" i="8"/>
  <c r="P688" i="8"/>
  <c r="O689" i="8"/>
  <c r="P689" i="8"/>
  <c r="O690" i="8"/>
  <c r="P690" i="8"/>
  <c r="O691" i="8"/>
  <c r="P691" i="8"/>
  <c r="O692" i="8"/>
  <c r="P692" i="8"/>
  <c r="O693" i="8"/>
  <c r="P693" i="8"/>
  <c r="O694" i="8"/>
  <c r="P694" i="8"/>
  <c r="O695" i="8"/>
  <c r="P695" i="8"/>
  <c r="O696" i="8"/>
  <c r="P696" i="8"/>
  <c r="O697" i="8"/>
  <c r="P697" i="8"/>
  <c r="O698" i="8"/>
  <c r="P698" i="8"/>
  <c r="O699" i="8"/>
  <c r="P699" i="8"/>
  <c r="O700" i="8"/>
  <c r="P700" i="8"/>
  <c r="O701" i="8"/>
  <c r="P701" i="8"/>
  <c r="O702" i="8"/>
  <c r="P702" i="8"/>
  <c r="O703" i="8"/>
  <c r="P703" i="8"/>
  <c r="O704" i="8"/>
  <c r="P704" i="8"/>
  <c r="O705" i="8"/>
  <c r="P705" i="8"/>
  <c r="O706" i="8"/>
  <c r="P706" i="8"/>
  <c r="O707" i="8"/>
  <c r="P707" i="8"/>
  <c r="O708" i="8"/>
  <c r="P708" i="8"/>
  <c r="O709" i="8"/>
  <c r="P709" i="8"/>
  <c r="O710" i="8"/>
  <c r="P710" i="8"/>
  <c r="O711" i="8"/>
  <c r="P711" i="8"/>
  <c r="O712" i="8"/>
  <c r="P712" i="8"/>
  <c r="O713" i="8"/>
  <c r="P713" i="8"/>
  <c r="O714" i="8"/>
  <c r="P714" i="8"/>
  <c r="O715" i="8"/>
  <c r="P715" i="8"/>
  <c r="O716" i="8"/>
  <c r="P716" i="8"/>
  <c r="O717" i="8"/>
  <c r="P717" i="8"/>
  <c r="O718" i="8"/>
  <c r="P718" i="8"/>
  <c r="O719" i="8"/>
  <c r="P719" i="8"/>
  <c r="O720" i="8"/>
  <c r="P720" i="8"/>
  <c r="O721" i="8"/>
  <c r="P721" i="8"/>
  <c r="O722" i="8"/>
  <c r="P722" i="8"/>
  <c r="O723" i="8"/>
  <c r="P723" i="8"/>
  <c r="O724" i="8"/>
  <c r="P724" i="8"/>
  <c r="O725" i="8"/>
  <c r="P725" i="8"/>
  <c r="O726" i="8"/>
  <c r="P726" i="8"/>
  <c r="O727" i="8"/>
  <c r="P727" i="8"/>
  <c r="O728" i="8"/>
  <c r="P728" i="8"/>
  <c r="O729" i="8"/>
  <c r="P729" i="8"/>
  <c r="O730" i="8"/>
  <c r="P730" i="8"/>
  <c r="O731" i="8"/>
  <c r="P731" i="8"/>
  <c r="O732" i="8"/>
  <c r="P732" i="8"/>
  <c r="O733" i="8"/>
  <c r="P733" i="8"/>
  <c r="O734" i="8"/>
  <c r="P734" i="8"/>
  <c r="O735" i="8"/>
  <c r="P735" i="8"/>
  <c r="O736" i="8"/>
  <c r="P736" i="8"/>
  <c r="O737" i="8"/>
  <c r="P737" i="8"/>
  <c r="O738" i="8"/>
  <c r="P738" i="8"/>
  <c r="O739" i="8"/>
  <c r="P739" i="8"/>
  <c r="O740" i="8"/>
  <c r="P740" i="8"/>
  <c r="O741" i="8"/>
  <c r="P741" i="8"/>
  <c r="O742" i="8"/>
  <c r="P742" i="8"/>
  <c r="O743" i="8"/>
  <c r="P743" i="8"/>
  <c r="O744" i="8"/>
  <c r="P744" i="8"/>
  <c r="O745" i="8"/>
  <c r="P745" i="8"/>
  <c r="O746" i="8"/>
  <c r="P746" i="8"/>
  <c r="O747" i="8"/>
  <c r="P747" i="8"/>
  <c r="O748" i="8"/>
  <c r="P748" i="8"/>
  <c r="O749" i="8"/>
  <c r="P749" i="8"/>
  <c r="O750" i="8"/>
  <c r="P750" i="8"/>
  <c r="O751" i="8"/>
  <c r="P751" i="8"/>
  <c r="O752" i="8"/>
  <c r="P752" i="8"/>
  <c r="O753" i="8"/>
  <c r="P753" i="8"/>
  <c r="O754" i="8"/>
  <c r="P754" i="8"/>
  <c r="O755" i="8"/>
  <c r="P755" i="8"/>
  <c r="O756" i="8"/>
  <c r="P756" i="8"/>
  <c r="O757" i="8"/>
  <c r="P757" i="8"/>
  <c r="O758" i="8"/>
  <c r="P758" i="8"/>
  <c r="O759" i="8"/>
  <c r="P759" i="8"/>
  <c r="O760" i="8"/>
  <c r="P760" i="8"/>
  <c r="O761" i="8"/>
  <c r="P761" i="8"/>
  <c r="O762" i="8"/>
  <c r="P762" i="8"/>
  <c r="O763" i="8"/>
  <c r="P763" i="8"/>
  <c r="O764" i="8"/>
  <c r="P764" i="8"/>
  <c r="O765" i="8"/>
  <c r="P765" i="8"/>
  <c r="O766" i="8"/>
  <c r="P766" i="8"/>
  <c r="O767" i="8"/>
  <c r="P767" i="8"/>
  <c r="O768" i="8"/>
  <c r="P768" i="8"/>
  <c r="O769" i="8"/>
  <c r="P769" i="8"/>
  <c r="O770" i="8"/>
  <c r="P770" i="8"/>
  <c r="O771" i="8"/>
  <c r="P771" i="8"/>
  <c r="O772" i="8"/>
  <c r="P772" i="8"/>
  <c r="O773" i="8"/>
  <c r="P773" i="8"/>
  <c r="O774" i="8"/>
  <c r="P774" i="8"/>
  <c r="O775" i="8"/>
  <c r="P775" i="8"/>
  <c r="O776" i="8"/>
  <c r="P776" i="8"/>
  <c r="O777" i="8"/>
  <c r="P777" i="8"/>
  <c r="O778" i="8"/>
  <c r="P778" i="8"/>
  <c r="O779" i="8"/>
  <c r="P779" i="8"/>
  <c r="O780" i="8"/>
  <c r="P780" i="8"/>
  <c r="O781" i="8"/>
  <c r="P781" i="8"/>
  <c r="O782" i="8"/>
  <c r="P782" i="8"/>
  <c r="O783" i="8"/>
  <c r="P783" i="8"/>
  <c r="O784" i="8"/>
  <c r="P784" i="8"/>
  <c r="O785" i="8"/>
  <c r="P785" i="8"/>
  <c r="O786" i="8"/>
  <c r="P786" i="8"/>
  <c r="O787" i="8"/>
  <c r="P787" i="8"/>
  <c r="O788" i="8"/>
  <c r="P788" i="8"/>
  <c r="O789" i="8"/>
  <c r="P789" i="8"/>
  <c r="O790" i="8"/>
  <c r="P790" i="8"/>
  <c r="O791" i="8"/>
  <c r="P791" i="8"/>
  <c r="O792" i="8"/>
  <c r="P792" i="8"/>
  <c r="O793" i="8"/>
  <c r="P793" i="8"/>
  <c r="O794" i="8"/>
  <c r="P794" i="8"/>
  <c r="O795" i="8"/>
  <c r="P795" i="8"/>
  <c r="O796" i="8"/>
  <c r="P796" i="8"/>
  <c r="O797" i="8"/>
  <c r="P797" i="8"/>
  <c r="O798" i="8"/>
  <c r="P798" i="8"/>
  <c r="O799" i="8"/>
  <c r="P799" i="8"/>
  <c r="O800" i="8"/>
  <c r="P800" i="8"/>
  <c r="O801" i="8"/>
  <c r="P801" i="8"/>
  <c r="O802" i="8"/>
  <c r="P802" i="8"/>
  <c r="O803" i="8"/>
  <c r="P803" i="8"/>
  <c r="O804" i="8"/>
  <c r="P804" i="8"/>
  <c r="O805" i="8"/>
  <c r="P805" i="8"/>
  <c r="O806" i="8"/>
  <c r="P806" i="8"/>
  <c r="O807" i="8"/>
  <c r="P807" i="8"/>
  <c r="O808" i="8"/>
  <c r="P808" i="8"/>
  <c r="O809" i="8"/>
  <c r="P809" i="8"/>
  <c r="O810" i="8"/>
  <c r="P810" i="8"/>
  <c r="O811" i="8"/>
  <c r="P811" i="8"/>
  <c r="O812" i="8"/>
  <c r="P812" i="8"/>
  <c r="O813" i="8"/>
  <c r="P813" i="8"/>
  <c r="O814" i="8"/>
  <c r="P814" i="8"/>
  <c r="O815" i="8"/>
  <c r="P815" i="8"/>
  <c r="O816" i="8"/>
  <c r="P816" i="8"/>
  <c r="O817" i="8"/>
  <c r="P817" i="8"/>
  <c r="O818" i="8"/>
  <c r="P818" i="8"/>
  <c r="O819" i="8"/>
  <c r="P819" i="8"/>
  <c r="O820" i="8"/>
  <c r="P820" i="8"/>
  <c r="O821" i="8"/>
  <c r="P821" i="8"/>
  <c r="O822" i="8"/>
  <c r="P822" i="8"/>
  <c r="O823" i="8"/>
  <c r="P823" i="8"/>
  <c r="O824" i="8"/>
  <c r="P824" i="8"/>
  <c r="O825" i="8"/>
  <c r="P825" i="8"/>
  <c r="O826" i="8"/>
  <c r="P826" i="8"/>
  <c r="O827" i="8"/>
  <c r="P827" i="8"/>
  <c r="O828" i="8"/>
  <c r="P828" i="8"/>
  <c r="O829" i="8"/>
  <c r="P829" i="8"/>
  <c r="O830" i="8"/>
  <c r="P830" i="8"/>
  <c r="O831" i="8"/>
  <c r="P831" i="8"/>
  <c r="O832" i="8"/>
  <c r="P832" i="8"/>
  <c r="O833" i="8"/>
  <c r="P833" i="8"/>
  <c r="O834" i="8"/>
  <c r="P834" i="8"/>
  <c r="O835" i="8"/>
  <c r="P835" i="8"/>
  <c r="O836" i="8"/>
  <c r="P836" i="8"/>
  <c r="O837" i="8"/>
  <c r="P837" i="8"/>
  <c r="O838" i="8"/>
  <c r="P838" i="8"/>
  <c r="O839" i="8"/>
  <c r="P839" i="8"/>
  <c r="O840" i="8"/>
  <c r="P840" i="8"/>
  <c r="O841" i="8"/>
  <c r="P841" i="8"/>
  <c r="O842" i="8"/>
  <c r="P842" i="8"/>
  <c r="O843" i="8"/>
  <c r="P843" i="8"/>
  <c r="O844" i="8"/>
  <c r="P844" i="8"/>
  <c r="O845" i="8"/>
  <c r="P845" i="8"/>
  <c r="O846" i="8"/>
  <c r="P846" i="8"/>
  <c r="O847" i="8"/>
  <c r="P847" i="8"/>
  <c r="O848" i="8"/>
  <c r="P848" i="8"/>
  <c r="O849" i="8"/>
  <c r="P849" i="8"/>
  <c r="O850" i="8"/>
  <c r="P850" i="8"/>
  <c r="O851" i="8"/>
  <c r="P851" i="8"/>
  <c r="O852" i="8"/>
  <c r="P852" i="8"/>
  <c r="O853" i="8"/>
  <c r="P853" i="8"/>
  <c r="O854" i="8"/>
  <c r="P854" i="8"/>
  <c r="O855" i="8"/>
  <c r="P855" i="8"/>
  <c r="O856" i="8"/>
  <c r="P856" i="8"/>
  <c r="O857" i="8"/>
  <c r="P857" i="8"/>
  <c r="O858" i="8"/>
  <c r="P858" i="8"/>
  <c r="O859" i="8"/>
  <c r="P859" i="8"/>
  <c r="O860" i="8"/>
  <c r="P860" i="8"/>
  <c r="O861" i="8"/>
  <c r="P861" i="8"/>
  <c r="O862" i="8"/>
  <c r="P862" i="8"/>
  <c r="O863" i="8"/>
  <c r="P863" i="8"/>
  <c r="O864" i="8"/>
  <c r="P864" i="8"/>
  <c r="O865" i="8"/>
  <c r="P865" i="8"/>
  <c r="O866" i="8"/>
  <c r="P866" i="8"/>
  <c r="O867" i="8"/>
  <c r="P867" i="8"/>
  <c r="O868" i="8"/>
  <c r="P868" i="8"/>
  <c r="O869" i="8"/>
  <c r="P869" i="8"/>
  <c r="O870" i="8"/>
  <c r="P870" i="8"/>
  <c r="O871" i="8"/>
  <c r="P871" i="8"/>
  <c r="O872" i="8"/>
  <c r="P872" i="8"/>
  <c r="O873" i="8"/>
  <c r="P873" i="8"/>
  <c r="O874" i="8"/>
  <c r="P874" i="8"/>
  <c r="O875" i="8"/>
  <c r="P875" i="8"/>
  <c r="O876" i="8"/>
  <c r="P876" i="8"/>
  <c r="O877" i="8"/>
  <c r="P877" i="8"/>
  <c r="O878" i="8"/>
  <c r="P878" i="8"/>
  <c r="O879" i="8"/>
  <c r="P879" i="8"/>
  <c r="O880" i="8"/>
  <c r="P880" i="8"/>
  <c r="O881" i="8"/>
  <c r="P881" i="8"/>
  <c r="O882" i="8"/>
  <c r="P882" i="8"/>
  <c r="O883" i="8"/>
  <c r="P883" i="8"/>
  <c r="O884" i="8"/>
  <c r="P884" i="8"/>
  <c r="O885" i="8"/>
  <c r="P885" i="8"/>
  <c r="O886" i="8"/>
  <c r="P886" i="8"/>
  <c r="O887" i="8"/>
  <c r="P887" i="8"/>
  <c r="O888" i="8"/>
  <c r="P888" i="8"/>
  <c r="O889" i="8"/>
  <c r="P889" i="8"/>
  <c r="O890" i="8"/>
  <c r="P890" i="8"/>
  <c r="O891" i="8"/>
  <c r="P891" i="8"/>
  <c r="O892" i="8"/>
  <c r="P892" i="8"/>
  <c r="O893" i="8"/>
  <c r="P893" i="8"/>
  <c r="O894" i="8"/>
  <c r="P894" i="8"/>
  <c r="O895" i="8"/>
  <c r="P895" i="8"/>
  <c r="O896" i="8"/>
  <c r="P896" i="8"/>
  <c r="O897" i="8"/>
  <c r="P897" i="8"/>
  <c r="O898" i="8"/>
  <c r="P898" i="8"/>
  <c r="O899" i="8"/>
  <c r="P899" i="8"/>
  <c r="O900" i="8"/>
  <c r="P900" i="8"/>
  <c r="O901" i="8"/>
  <c r="P901" i="8"/>
  <c r="O902" i="8"/>
  <c r="P902" i="8"/>
  <c r="O903" i="8"/>
  <c r="P903" i="8"/>
  <c r="O904" i="8"/>
  <c r="P904" i="8"/>
  <c r="O905" i="8"/>
  <c r="P905" i="8"/>
  <c r="O906" i="8"/>
  <c r="P906" i="8"/>
  <c r="O907" i="8"/>
  <c r="P907" i="8"/>
  <c r="O908" i="8"/>
  <c r="P908" i="8"/>
  <c r="O909" i="8"/>
  <c r="P909" i="8"/>
  <c r="O910" i="8"/>
  <c r="P910" i="8"/>
  <c r="O911" i="8"/>
  <c r="P911" i="8"/>
  <c r="O912" i="8"/>
  <c r="P912" i="8"/>
  <c r="O913" i="8"/>
  <c r="P913" i="8"/>
  <c r="O914" i="8"/>
  <c r="P914" i="8"/>
  <c r="O915" i="8"/>
  <c r="P915" i="8"/>
  <c r="O916" i="8"/>
  <c r="P916" i="8"/>
  <c r="O917" i="8"/>
  <c r="P917" i="8"/>
  <c r="O918" i="8"/>
  <c r="P918" i="8"/>
  <c r="O919" i="8"/>
  <c r="P919" i="8"/>
  <c r="O920" i="8"/>
  <c r="P920" i="8"/>
  <c r="O921" i="8"/>
  <c r="P921" i="8"/>
  <c r="O922" i="8"/>
  <c r="P922" i="8"/>
  <c r="O923" i="8"/>
  <c r="P923" i="8"/>
  <c r="O924" i="8"/>
  <c r="P924" i="8"/>
  <c r="O925" i="8"/>
  <c r="P925" i="8"/>
  <c r="O926" i="8"/>
  <c r="P926" i="8"/>
  <c r="O927" i="8"/>
  <c r="P927" i="8"/>
  <c r="O928" i="8"/>
  <c r="P928" i="8"/>
  <c r="O929" i="8"/>
  <c r="P929" i="8"/>
  <c r="O930" i="8"/>
  <c r="P930" i="8"/>
  <c r="O931" i="8"/>
  <c r="P931" i="8"/>
  <c r="O932" i="8"/>
  <c r="P932" i="8"/>
  <c r="O933" i="8"/>
  <c r="P933" i="8"/>
  <c r="O934" i="8"/>
  <c r="P934" i="8"/>
  <c r="O935" i="8"/>
  <c r="P935" i="8"/>
  <c r="O936" i="8"/>
  <c r="P936" i="8"/>
  <c r="O937" i="8"/>
  <c r="P937" i="8"/>
  <c r="O938" i="8"/>
  <c r="P938" i="8"/>
  <c r="O939" i="8"/>
  <c r="P939" i="8"/>
  <c r="O940" i="8"/>
  <c r="P940" i="8"/>
  <c r="O941" i="8"/>
  <c r="P941" i="8"/>
  <c r="O942" i="8"/>
  <c r="P942" i="8"/>
  <c r="O943" i="8"/>
  <c r="P943" i="8"/>
  <c r="O944" i="8"/>
  <c r="P944" i="8"/>
  <c r="O945" i="8"/>
  <c r="P945" i="8"/>
  <c r="O946" i="8"/>
  <c r="P946" i="8"/>
  <c r="O947" i="8"/>
  <c r="P947" i="8"/>
  <c r="O948" i="8"/>
  <c r="P948" i="8"/>
  <c r="O949" i="8"/>
  <c r="P949" i="8"/>
  <c r="O950" i="8"/>
  <c r="P950" i="8"/>
  <c r="O951" i="8"/>
  <c r="P951" i="8"/>
  <c r="O952" i="8"/>
  <c r="P952" i="8"/>
  <c r="O953" i="8"/>
  <c r="P953" i="8"/>
  <c r="O954" i="8"/>
  <c r="P954" i="8"/>
  <c r="O955" i="8"/>
  <c r="P955" i="8"/>
  <c r="O956" i="8"/>
  <c r="P956" i="8"/>
  <c r="O957" i="8"/>
  <c r="P957" i="8"/>
  <c r="O958" i="8"/>
  <c r="P958" i="8"/>
  <c r="O959" i="8"/>
  <c r="P959" i="8"/>
  <c r="O960" i="8"/>
  <c r="P960" i="8"/>
  <c r="O961" i="8"/>
  <c r="P961" i="8"/>
  <c r="O962" i="8"/>
  <c r="P962" i="8"/>
  <c r="O963" i="8"/>
  <c r="P963" i="8"/>
  <c r="O964" i="8"/>
  <c r="P964" i="8"/>
  <c r="O965" i="8"/>
  <c r="P965" i="8"/>
  <c r="O966" i="8"/>
  <c r="P966" i="8"/>
  <c r="O967" i="8"/>
  <c r="P967" i="8"/>
  <c r="O968" i="8"/>
  <c r="P968" i="8"/>
  <c r="O969" i="8"/>
  <c r="P969" i="8"/>
  <c r="O970" i="8"/>
  <c r="P970" i="8"/>
  <c r="O971" i="8"/>
  <c r="P971" i="8"/>
  <c r="O972" i="8"/>
  <c r="P972" i="8"/>
  <c r="O973" i="8"/>
  <c r="P973" i="8"/>
  <c r="O974" i="8"/>
  <c r="P974" i="8"/>
  <c r="O975" i="8"/>
  <c r="P975" i="8"/>
  <c r="O976" i="8"/>
  <c r="P976" i="8"/>
  <c r="O977" i="8"/>
  <c r="P977" i="8"/>
  <c r="O978" i="8"/>
  <c r="P978" i="8"/>
  <c r="O979" i="8"/>
  <c r="P979" i="8"/>
  <c r="O980" i="8"/>
  <c r="P980" i="8"/>
  <c r="O981" i="8"/>
  <c r="P981" i="8"/>
  <c r="O982" i="8"/>
  <c r="P982" i="8"/>
  <c r="O983" i="8"/>
  <c r="P983" i="8"/>
  <c r="O984" i="8"/>
  <c r="P984" i="8"/>
  <c r="O985" i="8"/>
  <c r="P985" i="8"/>
  <c r="O986" i="8"/>
  <c r="P986" i="8"/>
  <c r="O987" i="8"/>
  <c r="P987" i="8"/>
  <c r="O988" i="8"/>
  <c r="P988" i="8"/>
  <c r="O989" i="8"/>
  <c r="P989" i="8"/>
  <c r="O990" i="8"/>
  <c r="P990" i="8"/>
  <c r="O991" i="8"/>
  <c r="P991" i="8"/>
  <c r="O992" i="8"/>
  <c r="P992" i="8"/>
  <c r="O993" i="8"/>
  <c r="P993" i="8"/>
  <c r="O994" i="8"/>
  <c r="P994" i="8"/>
  <c r="O995" i="8"/>
  <c r="P995" i="8"/>
  <c r="O996" i="8"/>
  <c r="P996" i="8"/>
  <c r="O997" i="8"/>
  <c r="P997" i="8"/>
  <c r="O998" i="8"/>
  <c r="P998" i="8"/>
  <c r="O999" i="8"/>
  <c r="P999" i="8"/>
  <c r="O1000" i="8"/>
  <c r="P1000" i="8"/>
  <c r="O1001" i="8"/>
  <c r="P1001" i="8"/>
  <c r="O1002" i="8"/>
  <c r="P1002" i="8"/>
  <c r="O1003" i="8"/>
  <c r="P1003" i="8"/>
  <c r="O1004" i="8"/>
  <c r="P1004" i="8"/>
  <c r="O1005" i="8"/>
  <c r="P1005" i="8"/>
  <c r="O1006" i="8"/>
  <c r="P1006" i="8"/>
  <c r="O1007" i="8"/>
  <c r="P1007" i="8"/>
  <c r="O1008" i="8"/>
  <c r="P1008" i="8"/>
  <c r="O1009" i="8"/>
  <c r="P1009" i="8"/>
  <c r="O1010" i="8"/>
  <c r="P1010" i="8"/>
  <c r="O1011" i="8"/>
  <c r="P1011" i="8"/>
  <c r="O1012" i="8"/>
  <c r="P1012" i="8"/>
  <c r="O1013" i="8"/>
  <c r="P1013" i="8"/>
  <c r="O1014" i="8"/>
  <c r="P1014" i="8"/>
  <c r="O1015" i="8"/>
  <c r="P1015" i="8"/>
  <c r="O1016" i="8"/>
  <c r="P1016" i="8"/>
  <c r="O1017" i="8"/>
  <c r="P1017" i="8"/>
  <c r="O1018" i="8"/>
  <c r="P1018" i="8"/>
  <c r="O1019" i="8"/>
  <c r="P1019" i="8"/>
  <c r="O1020" i="8"/>
  <c r="P1020" i="8"/>
  <c r="O1021" i="8"/>
  <c r="P1021" i="8"/>
  <c r="O1022" i="8"/>
  <c r="P1022" i="8"/>
  <c r="O1023" i="8"/>
  <c r="P1023" i="8"/>
  <c r="O1024" i="8"/>
  <c r="P1024" i="8"/>
  <c r="O1025" i="8"/>
  <c r="P1025" i="8"/>
  <c r="O1026" i="8"/>
  <c r="P1026" i="8"/>
  <c r="O1027" i="8"/>
  <c r="P1027" i="8"/>
  <c r="O1028" i="8"/>
  <c r="P1028" i="8"/>
  <c r="O1029" i="8"/>
  <c r="P1029" i="8"/>
  <c r="O1030" i="8"/>
  <c r="P1030" i="8"/>
  <c r="O1031" i="8"/>
  <c r="P1031" i="8"/>
  <c r="O1032" i="8"/>
  <c r="P1032" i="8"/>
  <c r="O1033" i="8"/>
  <c r="P1033" i="8"/>
  <c r="O1034" i="8"/>
  <c r="P1034" i="8"/>
  <c r="O1035" i="8"/>
  <c r="P1035" i="8"/>
  <c r="O1036" i="8"/>
  <c r="P1036" i="8"/>
  <c r="O1037" i="8"/>
  <c r="P1037" i="8"/>
  <c r="O1038" i="8"/>
  <c r="P1038" i="8"/>
  <c r="O1039" i="8"/>
  <c r="P1039" i="8"/>
  <c r="O1040" i="8"/>
  <c r="P1040" i="8"/>
  <c r="O1041" i="8"/>
  <c r="P1041" i="8"/>
  <c r="O1042" i="8"/>
  <c r="P1042" i="8"/>
  <c r="O1043" i="8"/>
  <c r="P1043" i="8"/>
  <c r="O1044" i="8"/>
  <c r="P1044" i="8"/>
  <c r="O1045" i="8"/>
  <c r="P1045" i="8"/>
  <c r="O1046" i="8"/>
  <c r="P1046" i="8"/>
  <c r="O1047" i="8"/>
  <c r="P1047" i="8"/>
  <c r="O1048" i="8"/>
  <c r="P1048" i="8"/>
  <c r="O1049" i="8"/>
  <c r="P1049" i="8"/>
  <c r="O1050" i="8"/>
  <c r="P1050" i="8"/>
  <c r="O1051" i="8"/>
  <c r="P1051" i="8"/>
  <c r="O1052" i="8"/>
  <c r="P1052" i="8"/>
  <c r="O1053" i="8"/>
  <c r="P1053" i="8"/>
  <c r="O1054" i="8"/>
  <c r="P1054" i="8"/>
  <c r="O1055" i="8"/>
  <c r="P1055" i="8"/>
  <c r="O1056" i="8"/>
  <c r="P1056" i="8"/>
  <c r="O1057" i="8"/>
  <c r="P1057" i="8"/>
  <c r="O1058" i="8"/>
  <c r="P1058" i="8"/>
  <c r="O1059" i="8"/>
  <c r="P1059" i="8"/>
  <c r="O1060" i="8"/>
  <c r="P1060" i="8"/>
  <c r="O1061" i="8"/>
  <c r="P1061" i="8"/>
  <c r="O1062" i="8"/>
  <c r="P1062" i="8"/>
  <c r="O1063" i="8"/>
  <c r="P1063" i="8"/>
  <c r="O1064" i="8"/>
  <c r="P1064" i="8"/>
  <c r="O1065" i="8"/>
  <c r="P1065" i="8"/>
  <c r="O1066" i="8"/>
  <c r="P1066" i="8"/>
  <c r="O1067" i="8"/>
  <c r="P1067" i="8"/>
  <c r="O1068" i="8"/>
  <c r="P1068" i="8"/>
  <c r="O1069" i="8"/>
  <c r="P1069" i="8"/>
  <c r="O1070" i="8"/>
  <c r="P1070" i="8"/>
  <c r="O1071" i="8"/>
  <c r="P1071" i="8"/>
  <c r="O1072" i="8"/>
  <c r="P1072" i="8"/>
  <c r="O1073" i="8"/>
  <c r="P1073" i="8"/>
  <c r="O1074" i="8"/>
  <c r="P1074" i="8"/>
  <c r="O1075" i="8"/>
  <c r="P1075" i="8"/>
  <c r="O1076" i="8"/>
  <c r="P1076" i="8"/>
  <c r="O1077" i="8"/>
  <c r="P1077" i="8"/>
  <c r="O1078" i="8"/>
  <c r="P1078" i="8"/>
  <c r="O1079" i="8"/>
  <c r="P1079" i="8"/>
  <c r="O1080" i="8"/>
  <c r="P1080" i="8"/>
  <c r="O1081" i="8"/>
  <c r="P1081" i="8"/>
  <c r="O1082" i="8"/>
  <c r="P1082" i="8"/>
  <c r="O1083" i="8"/>
  <c r="P1083" i="8"/>
  <c r="O1084" i="8"/>
  <c r="P1084" i="8"/>
  <c r="O1085" i="8"/>
  <c r="P1085" i="8"/>
  <c r="O1086" i="8"/>
  <c r="P1086" i="8"/>
  <c r="O1087" i="8"/>
  <c r="P1087" i="8"/>
  <c r="O1088" i="8"/>
  <c r="P1088" i="8"/>
  <c r="O1089" i="8"/>
  <c r="P1089" i="8"/>
  <c r="O1090" i="8"/>
  <c r="P1090" i="8"/>
  <c r="O1091" i="8"/>
  <c r="P1091" i="8"/>
  <c r="O1092" i="8"/>
  <c r="P1092" i="8"/>
  <c r="O1093" i="8"/>
  <c r="P1093" i="8"/>
  <c r="O1094" i="8"/>
  <c r="P1094" i="8"/>
  <c r="O1095" i="8"/>
  <c r="P1095" i="8"/>
  <c r="O1096" i="8"/>
  <c r="P1096" i="8"/>
  <c r="O1097" i="8"/>
  <c r="P1097" i="8"/>
  <c r="O1098" i="8"/>
  <c r="P1098" i="8"/>
  <c r="O1099" i="8"/>
  <c r="P1099" i="8"/>
  <c r="O1100" i="8"/>
  <c r="P1100" i="8"/>
  <c r="O1101" i="8"/>
  <c r="P1101" i="8"/>
  <c r="O1102" i="8"/>
  <c r="P1102" i="8"/>
  <c r="O1103" i="8"/>
  <c r="P1103" i="8"/>
  <c r="O1104" i="8"/>
  <c r="P1104" i="8"/>
  <c r="O1105" i="8"/>
  <c r="P1105" i="8"/>
  <c r="O1106" i="8"/>
  <c r="P1106" i="8"/>
  <c r="O1107" i="8"/>
  <c r="P1107" i="8"/>
  <c r="O1108" i="8"/>
  <c r="P1108" i="8"/>
  <c r="O1109" i="8"/>
  <c r="P1109" i="8"/>
  <c r="O1110" i="8"/>
  <c r="P1110" i="8"/>
  <c r="O1111" i="8"/>
  <c r="P1111" i="8"/>
  <c r="O1112" i="8"/>
  <c r="P1112" i="8"/>
  <c r="O1113" i="8"/>
  <c r="P1113" i="8"/>
  <c r="O1114" i="8"/>
  <c r="P1114" i="8"/>
  <c r="O1115" i="8"/>
  <c r="P1115" i="8"/>
  <c r="O1116" i="8"/>
  <c r="P1116" i="8"/>
  <c r="O1117" i="8"/>
  <c r="P1117" i="8"/>
  <c r="O1118" i="8"/>
  <c r="P1118" i="8"/>
  <c r="O1119" i="8"/>
  <c r="P1119" i="8"/>
  <c r="O1120" i="8"/>
  <c r="P1120" i="8"/>
  <c r="O1121" i="8"/>
  <c r="P1121" i="8"/>
  <c r="O1122" i="8"/>
  <c r="P1122" i="8"/>
  <c r="O1123" i="8"/>
  <c r="P1123" i="8"/>
  <c r="O1124" i="8"/>
  <c r="P1124" i="8"/>
  <c r="O1125" i="8"/>
  <c r="P1125" i="8"/>
  <c r="O1126" i="8"/>
  <c r="P1126" i="8"/>
  <c r="O1127" i="8"/>
  <c r="P1127" i="8"/>
  <c r="O1128" i="8"/>
  <c r="P1128" i="8"/>
  <c r="O1129" i="8"/>
  <c r="P1129" i="8"/>
  <c r="O1130" i="8"/>
  <c r="P1130" i="8"/>
  <c r="O1131" i="8"/>
  <c r="P1131" i="8"/>
  <c r="O1132" i="8"/>
  <c r="P1132" i="8"/>
  <c r="O1133" i="8"/>
  <c r="P1133" i="8"/>
  <c r="O1134" i="8"/>
  <c r="P1134" i="8"/>
  <c r="O1135" i="8"/>
  <c r="P1135" i="8"/>
  <c r="O1136" i="8"/>
  <c r="P1136" i="8"/>
  <c r="O1137" i="8"/>
  <c r="P1137" i="8"/>
  <c r="O1138" i="8"/>
  <c r="P1138" i="8"/>
  <c r="O1139" i="8"/>
  <c r="P1139" i="8"/>
  <c r="O1140" i="8"/>
  <c r="P1140" i="8"/>
  <c r="O1141" i="8"/>
  <c r="P1141" i="8"/>
  <c r="O1142" i="8"/>
  <c r="P1142" i="8"/>
  <c r="O1143" i="8"/>
  <c r="P1143" i="8"/>
  <c r="O1144" i="8"/>
  <c r="P1144" i="8"/>
  <c r="O1145" i="8"/>
  <c r="P1145" i="8"/>
  <c r="O1146" i="8"/>
  <c r="P1146" i="8"/>
  <c r="O1147" i="8"/>
  <c r="P1147" i="8"/>
  <c r="O1148" i="8"/>
  <c r="P1148" i="8"/>
  <c r="O1149" i="8"/>
  <c r="P1149" i="8"/>
  <c r="O1150" i="8"/>
  <c r="P1150" i="8"/>
  <c r="O1151" i="8"/>
  <c r="P1151" i="8"/>
  <c r="O1152" i="8"/>
  <c r="P1152" i="8"/>
  <c r="O1153" i="8"/>
  <c r="P1153" i="8"/>
  <c r="O1154" i="8"/>
  <c r="P1154" i="8"/>
  <c r="O1155" i="8"/>
  <c r="P1155" i="8"/>
  <c r="O1156" i="8"/>
  <c r="P1156" i="8"/>
  <c r="O1157" i="8"/>
  <c r="P1157" i="8"/>
  <c r="O1158" i="8"/>
  <c r="P1158" i="8"/>
  <c r="O1159" i="8"/>
  <c r="P1159" i="8"/>
  <c r="O1160" i="8"/>
  <c r="P1160" i="8"/>
  <c r="O1161" i="8"/>
  <c r="P1161" i="8"/>
  <c r="O1162" i="8"/>
  <c r="P1162" i="8"/>
  <c r="O1163" i="8"/>
  <c r="P1163" i="8"/>
  <c r="O1164" i="8"/>
  <c r="P1164" i="8"/>
  <c r="O1165" i="8"/>
  <c r="P1165" i="8"/>
  <c r="O1166" i="8"/>
  <c r="P1166" i="8"/>
  <c r="O1167" i="8"/>
  <c r="P1167" i="8"/>
  <c r="O1168" i="8"/>
  <c r="P1168" i="8"/>
  <c r="O1169" i="8"/>
  <c r="P1169" i="8"/>
  <c r="O1170" i="8"/>
  <c r="P1170" i="8"/>
  <c r="O1171" i="8"/>
  <c r="P1171" i="8"/>
  <c r="O1172" i="8"/>
  <c r="P1172" i="8"/>
  <c r="O1173" i="8"/>
  <c r="P1173" i="8"/>
  <c r="O1174" i="8"/>
  <c r="P1174" i="8"/>
  <c r="O1175" i="8"/>
  <c r="P1175" i="8"/>
  <c r="O1176" i="8"/>
  <c r="P1176" i="8"/>
  <c r="O1177" i="8"/>
  <c r="P1177" i="8"/>
  <c r="O1178" i="8"/>
  <c r="P1178" i="8"/>
  <c r="O1179" i="8"/>
  <c r="P1179" i="8"/>
  <c r="O1180" i="8"/>
  <c r="P1180" i="8"/>
  <c r="O1181" i="8"/>
  <c r="P1181" i="8"/>
  <c r="O1182" i="8"/>
  <c r="P1182" i="8"/>
  <c r="O1183" i="8"/>
  <c r="P1183" i="8"/>
  <c r="O1184" i="8"/>
  <c r="P1184" i="8"/>
  <c r="O1185" i="8"/>
  <c r="P1185" i="8"/>
  <c r="O1186" i="8"/>
  <c r="P1186" i="8"/>
  <c r="O1187" i="8"/>
  <c r="P1187" i="8"/>
  <c r="O1188" i="8"/>
  <c r="P1188" i="8"/>
  <c r="O1189" i="8"/>
  <c r="P1189" i="8"/>
  <c r="O1190" i="8"/>
  <c r="P1190" i="8"/>
  <c r="O1191" i="8"/>
  <c r="P1191" i="8"/>
  <c r="O1192" i="8"/>
  <c r="P1192" i="8"/>
  <c r="O1193" i="8"/>
  <c r="P1193" i="8"/>
  <c r="O1194" i="8"/>
  <c r="P1194" i="8"/>
  <c r="O1195" i="8"/>
  <c r="P1195" i="8"/>
  <c r="O1196" i="8"/>
  <c r="P1196" i="8"/>
  <c r="O1197" i="8"/>
  <c r="P1197" i="8"/>
  <c r="O1198" i="8"/>
  <c r="P1198" i="8"/>
  <c r="O1199" i="8"/>
  <c r="P1199" i="8"/>
  <c r="O1200" i="8"/>
  <c r="P1200" i="8"/>
  <c r="O1201" i="8"/>
  <c r="P1201" i="8"/>
  <c r="O1202" i="8"/>
  <c r="P1202" i="8"/>
  <c r="O1203" i="8"/>
  <c r="P1203" i="8"/>
  <c r="O1204" i="8"/>
  <c r="P1204" i="8"/>
  <c r="O1205" i="8"/>
  <c r="P1205" i="8"/>
  <c r="O1206" i="8"/>
  <c r="P1206" i="8"/>
  <c r="O1207" i="8"/>
  <c r="P1207" i="8"/>
  <c r="O1208" i="8"/>
  <c r="P1208" i="8"/>
  <c r="O1209" i="8"/>
  <c r="P1209" i="8"/>
  <c r="O1210" i="8"/>
  <c r="P1210" i="8"/>
  <c r="O1211" i="8"/>
  <c r="P1211" i="8"/>
  <c r="O1212" i="8"/>
  <c r="P1212" i="8"/>
  <c r="O1213" i="8"/>
  <c r="P1213" i="8"/>
  <c r="O1214" i="8"/>
  <c r="P1214" i="8"/>
  <c r="O1215" i="8"/>
  <c r="P1215" i="8"/>
  <c r="O1216" i="8"/>
  <c r="P1216" i="8"/>
  <c r="O1217" i="8"/>
  <c r="P1217" i="8"/>
  <c r="O1218" i="8"/>
  <c r="P1218" i="8"/>
  <c r="O1219" i="8"/>
  <c r="P1219" i="8"/>
  <c r="O1220" i="8"/>
  <c r="P1220" i="8"/>
  <c r="O1221" i="8"/>
  <c r="P1221" i="8"/>
  <c r="O1222" i="8"/>
  <c r="P1222" i="8"/>
  <c r="O1223" i="8"/>
  <c r="P1223" i="8"/>
  <c r="O1224" i="8"/>
  <c r="P1224" i="8"/>
  <c r="O1225" i="8"/>
  <c r="P1225" i="8"/>
  <c r="O1226" i="8"/>
  <c r="P1226" i="8"/>
  <c r="O1227" i="8"/>
  <c r="P1227" i="8"/>
  <c r="O1228" i="8"/>
  <c r="P1228" i="8"/>
  <c r="O1229" i="8"/>
  <c r="P1229" i="8"/>
  <c r="O1230" i="8"/>
  <c r="P1230" i="8"/>
  <c r="O1231" i="8"/>
  <c r="P1231" i="8"/>
  <c r="O1232" i="8"/>
  <c r="P1232" i="8"/>
  <c r="O1233" i="8"/>
  <c r="P1233" i="8"/>
  <c r="O1234" i="8"/>
  <c r="P1234" i="8"/>
  <c r="O1235" i="8"/>
  <c r="P1235" i="8"/>
  <c r="O1236" i="8"/>
  <c r="P1236" i="8"/>
  <c r="O1237" i="8"/>
  <c r="P1237" i="8"/>
  <c r="O1238" i="8"/>
  <c r="P1238" i="8"/>
  <c r="O1239" i="8"/>
  <c r="P1239" i="8"/>
  <c r="O1240" i="8"/>
  <c r="P1240" i="8"/>
  <c r="O1241" i="8"/>
  <c r="P1241" i="8"/>
  <c r="O1242" i="8"/>
  <c r="P1242" i="8"/>
  <c r="O1243" i="8"/>
  <c r="P1243" i="8"/>
  <c r="O1244" i="8"/>
  <c r="P1244" i="8"/>
  <c r="O1245" i="8"/>
  <c r="P1245" i="8"/>
  <c r="O1246" i="8"/>
  <c r="P1246" i="8"/>
  <c r="O1247" i="8"/>
  <c r="P1247" i="8"/>
  <c r="O1248" i="8"/>
  <c r="P1248" i="8"/>
  <c r="O1249" i="8"/>
  <c r="P1249" i="8"/>
  <c r="O1250" i="8"/>
  <c r="P1250" i="8"/>
  <c r="O1251" i="8"/>
  <c r="P1251" i="8"/>
  <c r="O1252" i="8"/>
  <c r="P1252" i="8"/>
  <c r="O1253" i="8"/>
  <c r="P1253" i="8"/>
  <c r="O1254" i="8"/>
  <c r="P1254" i="8"/>
  <c r="O1255" i="8"/>
  <c r="P1255" i="8"/>
  <c r="O1256" i="8"/>
  <c r="P1256" i="8"/>
  <c r="O1257" i="8"/>
  <c r="P1257" i="8"/>
  <c r="O1258" i="8"/>
  <c r="P1258" i="8"/>
  <c r="O1259" i="8"/>
  <c r="P1259" i="8"/>
  <c r="O1260" i="8"/>
  <c r="P1260" i="8"/>
  <c r="O1261" i="8"/>
  <c r="P1261" i="8"/>
  <c r="O1262" i="8"/>
  <c r="P1262" i="8"/>
  <c r="O1263" i="8"/>
  <c r="P1263" i="8"/>
  <c r="O1264" i="8"/>
  <c r="P1264" i="8"/>
  <c r="O1265" i="8"/>
  <c r="P1265" i="8"/>
  <c r="O1266" i="8"/>
  <c r="P1266" i="8"/>
  <c r="O1267" i="8"/>
  <c r="P1267" i="8"/>
  <c r="O1268" i="8"/>
  <c r="P1268" i="8"/>
  <c r="O1269" i="8"/>
  <c r="P1269" i="8"/>
  <c r="O1270" i="8"/>
  <c r="P1270" i="8"/>
  <c r="O1271" i="8"/>
  <c r="P1271" i="8"/>
  <c r="O1272" i="8"/>
  <c r="P1272" i="8"/>
  <c r="O1273" i="8"/>
  <c r="P1273" i="8"/>
  <c r="O1274" i="8"/>
  <c r="P1274" i="8"/>
  <c r="O1275" i="8"/>
  <c r="P1275" i="8"/>
  <c r="O1276" i="8"/>
  <c r="P1276" i="8"/>
  <c r="O1277" i="8"/>
  <c r="P1277" i="8"/>
  <c r="O1278" i="8"/>
  <c r="P1278" i="8"/>
  <c r="O1279" i="8"/>
  <c r="P1279" i="8"/>
  <c r="O1280" i="8"/>
  <c r="P1280" i="8"/>
  <c r="O1281" i="8"/>
  <c r="P1281" i="8"/>
  <c r="O1282" i="8"/>
  <c r="P1282" i="8"/>
  <c r="O1283" i="8"/>
  <c r="P1283" i="8"/>
  <c r="O1284" i="8"/>
  <c r="P1284" i="8"/>
  <c r="O1285" i="8"/>
  <c r="P1285" i="8"/>
  <c r="O1286" i="8"/>
  <c r="P1286" i="8"/>
  <c r="O1287" i="8"/>
  <c r="P1287" i="8"/>
  <c r="O1288" i="8"/>
  <c r="P1288" i="8"/>
  <c r="O1289" i="8"/>
  <c r="P1289" i="8"/>
  <c r="O1290" i="8"/>
  <c r="P1290" i="8"/>
  <c r="O1291" i="8"/>
  <c r="P1291" i="8"/>
  <c r="O1292" i="8"/>
  <c r="P1292" i="8"/>
  <c r="O1293" i="8"/>
  <c r="P1293" i="8"/>
  <c r="O1294" i="8"/>
  <c r="P1294" i="8"/>
  <c r="O1295" i="8"/>
  <c r="P1295" i="8"/>
  <c r="O1296" i="8"/>
  <c r="P1296" i="8"/>
  <c r="O1297" i="8"/>
  <c r="P1297" i="8"/>
  <c r="O1298" i="8"/>
  <c r="P1298" i="8"/>
  <c r="O1299" i="8"/>
  <c r="P1299" i="8"/>
  <c r="O1300" i="8"/>
  <c r="P1300" i="8"/>
  <c r="O1301" i="8"/>
  <c r="P1301" i="8"/>
  <c r="O1302" i="8"/>
  <c r="P1302" i="8"/>
  <c r="O1303" i="8"/>
  <c r="P1303" i="8"/>
  <c r="O1304" i="8"/>
  <c r="P1304" i="8"/>
  <c r="O1305" i="8"/>
  <c r="P1305" i="8"/>
  <c r="O1306" i="8"/>
  <c r="P1306" i="8"/>
  <c r="O1307" i="8"/>
  <c r="P1307" i="8"/>
  <c r="O1308" i="8"/>
  <c r="P1308" i="8"/>
  <c r="O1309" i="8"/>
  <c r="P1309" i="8"/>
  <c r="O1310" i="8"/>
  <c r="P1310" i="8"/>
  <c r="O1311" i="8"/>
  <c r="P1311" i="8"/>
  <c r="O1312" i="8"/>
  <c r="P1312" i="8"/>
  <c r="O1313" i="8"/>
  <c r="P1313" i="8"/>
  <c r="O1314" i="8"/>
  <c r="P1314" i="8"/>
  <c r="O1315" i="8"/>
  <c r="P1315" i="8"/>
  <c r="O1316" i="8"/>
  <c r="P1316" i="8"/>
  <c r="O1317" i="8"/>
  <c r="P1317" i="8"/>
  <c r="O1318" i="8"/>
  <c r="P1318" i="8"/>
  <c r="O1319" i="8"/>
  <c r="P1319" i="8"/>
  <c r="O1320" i="8"/>
  <c r="P1320" i="8"/>
  <c r="O1321" i="8"/>
  <c r="P1321" i="8"/>
  <c r="O1322" i="8"/>
  <c r="P1322" i="8"/>
  <c r="O1323" i="8"/>
  <c r="P1323" i="8"/>
  <c r="O1324" i="8"/>
  <c r="P1324" i="8"/>
  <c r="O1325" i="8"/>
  <c r="P1325" i="8"/>
  <c r="O1326" i="8"/>
  <c r="P1326" i="8"/>
  <c r="O1327" i="8"/>
  <c r="P1327" i="8"/>
  <c r="O1328" i="8"/>
  <c r="P1328" i="8"/>
  <c r="O1329" i="8"/>
  <c r="P1329" i="8"/>
  <c r="O1330" i="8"/>
  <c r="P1330" i="8"/>
  <c r="O1331" i="8"/>
  <c r="P1331" i="8"/>
  <c r="O1332" i="8"/>
  <c r="P1332" i="8"/>
  <c r="O1333" i="8"/>
  <c r="P1333" i="8"/>
  <c r="O1334" i="8"/>
  <c r="P1334" i="8"/>
  <c r="O1335" i="8"/>
  <c r="P1335" i="8"/>
  <c r="O1336" i="8"/>
  <c r="P1336" i="8"/>
  <c r="O1337" i="8"/>
  <c r="P1337" i="8"/>
  <c r="O1338" i="8"/>
  <c r="P1338" i="8"/>
  <c r="O1339" i="8"/>
  <c r="P1339" i="8"/>
  <c r="O1340" i="8"/>
  <c r="P1340" i="8"/>
  <c r="O1341" i="8"/>
  <c r="P1341" i="8"/>
  <c r="O1342" i="8"/>
  <c r="P1342" i="8"/>
  <c r="O1343" i="8"/>
  <c r="P1343" i="8"/>
  <c r="O1344" i="8"/>
  <c r="P1344" i="8"/>
  <c r="O1345" i="8"/>
  <c r="P1345" i="8"/>
  <c r="O1346" i="8"/>
  <c r="P1346" i="8"/>
  <c r="O1347" i="8"/>
  <c r="P1347" i="8"/>
  <c r="O1348" i="8"/>
  <c r="P1348" i="8"/>
  <c r="O1349" i="8"/>
  <c r="P1349" i="8"/>
  <c r="O1350" i="8"/>
  <c r="P1350" i="8"/>
  <c r="O1351" i="8"/>
  <c r="P1351" i="8"/>
  <c r="O1352" i="8"/>
  <c r="P1352" i="8"/>
  <c r="O1353" i="8"/>
  <c r="P1353" i="8"/>
  <c r="O1354" i="8"/>
  <c r="P1354" i="8"/>
  <c r="O1355" i="8"/>
  <c r="P1355" i="8"/>
  <c r="O1356" i="8"/>
  <c r="P1356" i="8"/>
  <c r="O1357" i="8"/>
  <c r="P1357" i="8"/>
  <c r="O1358" i="8"/>
  <c r="P1358" i="8"/>
  <c r="O1359" i="8"/>
  <c r="P1359" i="8"/>
  <c r="O1360" i="8"/>
  <c r="P1360" i="8"/>
  <c r="O1361" i="8"/>
  <c r="P1361" i="8"/>
  <c r="O1362" i="8"/>
  <c r="P1362" i="8"/>
  <c r="O1363" i="8"/>
  <c r="P1363" i="8"/>
  <c r="O1364" i="8"/>
  <c r="P1364" i="8"/>
  <c r="O1365" i="8"/>
  <c r="P1365" i="8"/>
  <c r="O1366" i="8"/>
  <c r="P1366" i="8"/>
  <c r="O1367" i="8"/>
  <c r="P1367" i="8"/>
  <c r="O1368" i="8"/>
  <c r="P1368" i="8"/>
  <c r="O1369" i="8"/>
  <c r="P1369" i="8"/>
  <c r="O1370" i="8"/>
  <c r="P1370" i="8"/>
  <c r="O1371" i="8"/>
  <c r="P1371" i="8"/>
  <c r="O1372" i="8"/>
  <c r="P1372" i="8"/>
  <c r="O1373" i="8"/>
  <c r="P1373" i="8"/>
  <c r="O1374" i="8"/>
  <c r="P1374" i="8"/>
  <c r="O1375" i="8"/>
  <c r="P1375" i="8"/>
  <c r="O1376" i="8"/>
  <c r="P1376" i="8"/>
  <c r="O1377" i="8"/>
  <c r="P1377" i="8"/>
  <c r="O1378" i="8"/>
  <c r="P1378" i="8"/>
  <c r="O1379" i="8"/>
  <c r="P1379" i="8"/>
  <c r="O1380" i="8"/>
  <c r="P1380" i="8"/>
  <c r="O1381" i="8"/>
  <c r="P1381" i="8"/>
  <c r="O1382" i="8"/>
  <c r="P1382" i="8"/>
  <c r="O1383" i="8"/>
  <c r="P1383" i="8"/>
  <c r="O1384" i="8"/>
  <c r="P1384" i="8"/>
  <c r="O1385" i="8"/>
  <c r="P1385" i="8"/>
  <c r="O1386" i="8"/>
  <c r="P1386" i="8"/>
  <c r="O1387" i="8"/>
  <c r="P1387" i="8"/>
  <c r="O1388" i="8"/>
  <c r="P1388" i="8"/>
  <c r="O1389" i="8"/>
  <c r="P1389" i="8"/>
  <c r="O1390" i="8"/>
  <c r="P1390" i="8"/>
  <c r="O1391" i="8"/>
  <c r="P1391" i="8"/>
  <c r="O1392" i="8"/>
  <c r="P1392" i="8"/>
  <c r="O1393" i="8"/>
  <c r="P1393" i="8"/>
  <c r="O1394" i="8"/>
  <c r="P1394" i="8"/>
  <c r="O1395" i="8"/>
  <c r="P1395" i="8"/>
  <c r="O1396" i="8"/>
  <c r="P1396" i="8"/>
  <c r="O1397" i="8"/>
  <c r="P1397" i="8"/>
  <c r="O1398" i="8"/>
  <c r="P1398" i="8"/>
  <c r="O1399" i="8"/>
  <c r="P1399" i="8"/>
  <c r="O1400" i="8"/>
  <c r="P1400" i="8"/>
  <c r="O1401" i="8"/>
  <c r="P1401" i="8"/>
  <c r="O1402" i="8"/>
  <c r="P1402" i="8"/>
  <c r="O1403" i="8"/>
  <c r="P1403" i="8"/>
  <c r="O1404" i="8"/>
  <c r="P1404" i="8"/>
  <c r="O1405" i="8"/>
  <c r="P1405" i="8"/>
  <c r="O1406" i="8"/>
  <c r="P1406" i="8"/>
  <c r="O1407" i="8"/>
  <c r="P1407" i="8"/>
  <c r="O1408" i="8"/>
  <c r="P1408" i="8"/>
  <c r="O1409" i="8"/>
  <c r="P1409" i="8"/>
  <c r="O1410" i="8"/>
  <c r="P1410" i="8"/>
  <c r="O1411" i="8"/>
  <c r="P1411" i="8"/>
  <c r="O1412" i="8"/>
  <c r="P1412" i="8"/>
  <c r="O1413" i="8"/>
  <c r="P1413" i="8"/>
  <c r="O1414" i="8"/>
  <c r="P1414" i="8"/>
  <c r="O1415" i="8"/>
  <c r="P1415" i="8"/>
  <c r="O1416" i="8"/>
  <c r="P1416" i="8"/>
  <c r="O1417" i="8"/>
  <c r="P1417" i="8"/>
  <c r="O1418" i="8"/>
  <c r="P1418" i="8"/>
  <c r="O1419" i="8"/>
  <c r="P1419" i="8"/>
  <c r="O1420" i="8"/>
  <c r="P1420" i="8"/>
  <c r="O1421" i="8"/>
  <c r="P1421" i="8"/>
  <c r="O1422" i="8"/>
  <c r="P1422" i="8"/>
  <c r="O1423" i="8"/>
  <c r="P1423" i="8"/>
  <c r="O1424" i="8"/>
  <c r="P1424" i="8"/>
  <c r="O1425" i="8"/>
  <c r="P1425" i="8"/>
  <c r="O1426" i="8"/>
  <c r="P1426" i="8"/>
  <c r="O1427" i="8"/>
  <c r="P1427" i="8"/>
  <c r="O1428" i="8"/>
  <c r="P1428" i="8"/>
  <c r="O1429" i="8"/>
  <c r="P1429" i="8"/>
  <c r="O1430" i="8"/>
  <c r="P1430" i="8"/>
  <c r="O1431" i="8"/>
  <c r="P1431" i="8"/>
  <c r="O1432" i="8"/>
  <c r="P1432" i="8"/>
  <c r="O1433" i="8"/>
  <c r="P1433" i="8"/>
  <c r="O1434" i="8"/>
  <c r="P1434" i="8"/>
  <c r="O1435" i="8"/>
  <c r="P1435" i="8"/>
  <c r="O1436" i="8"/>
  <c r="P1436" i="8"/>
  <c r="O1437" i="8"/>
  <c r="P1437" i="8"/>
  <c r="O1438" i="8"/>
  <c r="P1438" i="8"/>
  <c r="O1439" i="8"/>
  <c r="P1439" i="8"/>
  <c r="O1440" i="8"/>
  <c r="P1440" i="8"/>
  <c r="O1441" i="8"/>
  <c r="P1441" i="8"/>
  <c r="O1442" i="8"/>
  <c r="P1442" i="8"/>
  <c r="O1443" i="8"/>
  <c r="P1443" i="8"/>
  <c r="O1444" i="8"/>
  <c r="P1444" i="8"/>
  <c r="O1445" i="8"/>
  <c r="P1445" i="8"/>
  <c r="O1446" i="8"/>
  <c r="P1446" i="8"/>
  <c r="O1447" i="8"/>
  <c r="P1447" i="8"/>
  <c r="O1448" i="8"/>
  <c r="P1448" i="8"/>
  <c r="O1449" i="8"/>
  <c r="P1449" i="8"/>
  <c r="O1450" i="8"/>
  <c r="P1450" i="8"/>
  <c r="O1451" i="8"/>
  <c r="P1451" i="8"/>
  <c r="O1452" i="8"/>
  <c r="P1452" i="8"/>
  <c r="O1453" i="8"/>
  <c r="P1453" i="8"/>
  <c r="O1454" i="8"/>
  <c r="P1454" i="8"/>
  <c r="O1455" i="8"/>
  <c r="P1455" i="8"/>
  <c r="O1456" i="8"/>
  <c r="P1456" i="8"/>
  <c r="O1457" i="8"/>
  <c r="P1457" i="8"/>
  <c r="O1458" i="8"/>
  <c r="P1458" i="8"/>
  <c r="O1459" i="8"/>
  <c r="P1459" i="8"/>
  <c r="O1460" i="8"/>
  <c r="P1460" i="8"/>
  <c r="O1461" i="8"/>
  <c r="P1461" i="8"/>
  <c r="O1462" i="8"/>
  <c r="P1462" i="8"/>
  <c r="O1463" i="8"/>
  <c r="P1463" i="8"/>
  <c r="O1464" i="8"/>
  <c r="P1464" i="8"/>
  <c r="O1465" i="8"/>
  <c r="P1465" i="8"/>
  <c r="O1466" i="8"/>
  <c r="P1466" i="8"/>
  <c r="O1467" i="8"/>
  <c r="P1467" i="8"/>
  <c r="O1468" i="8"/>
  <c r="P1468" i="8"/>
  <c r="O1469" i="8"/>
  <c r="P1469" i="8"/>
  <c r="O1470" i="8"/>
  <c r="P1470" i="8"/>
  <c r="O1471" i="8"/>
  <c r="P1471" i="8"/>
  <c r="O1472" i="8"/>
  <c r="P1472" i="8"/>
  <c r="O1473" i="8"/>
  <c r="P1473" i="8"/>
  <c r="O1474" i="8"/>
  <c r="P1474" i="8"/>
  <c r="O1475" i="8"/>
  <c r="P1475" i="8"/>
  <c r="O1476" i="8"/>
  <c r="P1476" i="8"/>
  <c r="O1477" i="8"/>
  <c r="P1477" i="8"/>
  <c r="O1478" i="8"/>
  <c r="P1478" i="8"/>
  <c r="O1479" i="8"/>
  <c r="P1479" i="8"/>
  <c r="O1480" i="8"/>
  <c r="P1480" i="8"/>
  <c r="O1481" i="8"/>
  <c r="P1481" i="8"/>
  <c r="O1482" i="8"/>
  <c r="P1482" i="8"/>
  <c r="O1483" i="8"/>
  <c r="P1483" i="8"/>
  <c r="O1484" i="8"/>
  <c r="P1484" i="8"/>
  <c r="O1485" i="8"/>
  <c r="P1485" i="8"/>
  <c r="O1486" i="8"/>
  <c r="P1486" i="8"/>
  <c r="O1487" i="8"/>
  <c r="P1487" i="8"/>
  <c r="O1488" i="8"/>
  <c r="P1488" i="8"/>
  <c r="O1489" i="8"/>
  <c r="P1489" i="8"/>
  <c r="O1490" i="8"/>
  <c r="P1490" i="8"/>
  <c r="O1491" i="8"/>
  <c r="P1491" i="8"/>
  <c r="O1492" i="8"/>
  <c r="P1492" i="8"/>
  <c r="O1493" i="8"/>
  <c r="P1493" i="8"/>
  <c r="O1494" i="8"/>
  <c r="P1494" i="8"/>
  <c r="O1495" i="8"/>
  <c r="P1495" i="8"/>
  <c r="O1496" i="8"/>
  <c r="P1496" i="8"/>
  <c r="O1497" i="8"/>
  <c r="P1497" i="8"/>
  <c r="O1498" i="8"/>
  <c r="P1498" i="8"/>
  <c r="O1499" i="8"/>
  <c r="P1499" i="8"/>
  <c r="O1500" i="8"/>
  <c r="P1500" i="8"/>
  <c r="O1501" i="8"/>
  <c r="P1501" i="8"/>
  <c r="O1502" i="8"/>
  <c r="P1502" i="8"/>
  <c r="O1503" i="8"/>
  <c r="P1503" i="8"/>
  <c r="O1504" i="8"/>
  <c r="P1504" i="8"/>
  <c r="O1505" i="8"/>
  <c r="P1505" i="8"/>
  <c r="O1506" i="8"/>
  <c r="P1506" i="8"/>
  <c r="O1507" i="8"/>
  <c r="P1507" i="8"/>
  <c r="O1508" i="8"/>
  <c r="P1508" i="8"/>
  <c r="O1509" i="8"/>
  <c r="P1509" i="8"/>
  <c r="O1510" i="8"/>
  <c r="P1510" i="8"/>
  <c r="O1511" i="8"/>
  <c r="P1511" i="8"/>
  <c r="O1512" i="8"/>
  <c r="P1512" i="8"/>
  <c r="O1513" i="8"/>
  <c r="P1513" i="8"/>
  <c r="O1514" i="8"/>
  <c r="P1514" i="8"/>
  <c r="O1515" i="8"/>
  <c r="P1515" i="8"/>
  <c r="O1516" i="8"/>
  <c r="P1516" i="8"/>
  <c r="O1517" i="8"/>
  <c r="P1517" i="8"/>
  <c r="O1518" i="8"/>
  <c r="P1518" i="8"/>
  <c r="O1519" i="8"/>
  <c r="P1519" i="8"/>
  <c r="O1520" i="8"/>
  <c r="P1520" i="8"/>
  <c r="O1521" i="8"/>
  <c r="P1521" i="8"/>
  <c r="O1522" i="8"/>
  <c r="P1522" i="8"/>
  <c r="O1523" i="8"/>
  <c r="P1523" i="8"/>
  <c r="O1524" i="8"/>
  <c r="P1524" i="8"/>
  <c r="O1525" i="8"/>
  <c r="P1525" i="8"/>
  <c r="O1526" i="8"/>
  <c r="P1526" i="8"/>
  <c r="O1527" i="8"/>
  <c r="P1527" i="8"/>
  <c r="O1528" i="8"/>
  <c r="P1528" i="8"/>
  <c r="O1529" i="8"/>
  <c r="P1529" i="8"/>
  <c r="O1530" i="8"/>
  <c r="P1530" i="8"/>
  <c r="O1531" i="8"/>
  <c r="P1531" i="8"/>
  <c r="O1532" i="8"/>
  <c r="P1532" i="8"/>
  <c r="O1533" i="8"/>
  <c r="P1533" i="8"/>
  <c r="O1534" i="8"/>
  <c r="P1534" i="8"/>
  <c r="O1535" i="8"/>
  <c r="P1535" i="8"/>
  <c r="O1536" i="8"/>
  <c r="P1536" i="8"/>
  <c r="O1537" i="8"/>
  <c r="P1537" i="8"/>
  <c r="O1538" i="8"/>
  <c r="P1538" i="8"/>
  <c r="O1539" i="8"/>
  <c r="P1539" i="8"/>
  <c r="O1540" i="8"/>
  <c r="P1540" i="8"/>
  <c r="O1541" i="8"/>
  <c r="P1541" i="8"/>
  <c r="O1542" i="8"/>
  <c r="P1542" i="8"/>
  <c r="O1543" i="8"/>
  <c r="P1543" i="8"/>
  <c r="O1544" i="8"/>
  <c r="P1544" i="8"/>
  <c r="O1545" i="8"/>
  <c r="P1545" i="8"/>
  <c r="O1546" i="8"/>
  <c r="P1546" i="8"/>
  <c r="O1547" i="8"/>
  <c r="P1547" i="8"/>
  <c r="O1548" i="8"/>
  <c r="P1548" i="8"/>
  <c r="O1549" i="8"/>
  <c r="P1549" i="8"/>
  <c r="O1550" i="8"/>
  <c r="P1550" i="8"/>
  <c r="O1551" i="8"/>
  <c r="P1551" i="8"/>
  <c r="O1552" i="8"/>
  <c r="P1552" i="8"/>
  <c r="O1553" i="8"/>
  <c r="P1553" i="8"/>
  <c r="O1554" i="8"/>
  <c r="P1554" i="8"/>
  <c r="O1555" i="8"/>
  <c r="P1555" i="8"/>
  <c r="O1556" i="8"/>
  <c r="P1556" i="8"/>
  <c r="O1557" i="8"/>
  <c r="P1557" i="8"/>
  <c r="O1558" i="8"/>
  <c r="P1558" i="8"/>
  <c r="O1559" i="8"/>
  <c r="P1559" i="8"/>
  <c r="O1560" i="8"/>
  <c r="P1560" i="8"/>
  <c r="O1561" i="8"/>
  <c r="P1561" i="8"/>
  <c r="O1562" i="8"/>
  <c r="P1562" i="8"/>
  <c r="O1563" i="8"/>
  <c r="P1563" i="8"/>
  <c r="O1564" i="8"/>
  <c r="P1564" i="8"/>
  <c r="O1565" i="8"/>
  <c r="P1565" i="8"/>
  <c r="O1566" i="8"/>
  <c r="P1566" i="8"/>
  <c r="O1567" i="8"/>
  <c r="P1567" i="8"/>
  <c r="O1568" i="8"/>
  <c r="P1568" i="8"/>
  <c r="O1569" i="8"/>
  <c r="P1569" i="8"/>
  <c r="O1570" i="8"/>
  <c r="P1570" i="8"/>
  <c r="O1571" i="8"/>
  <c r="P1571" i="8"/>
  <c r="O1572" i="8"/>
  <c r="P1572" i="8"/>
  <c r="O1573" i="8"/>
  <c r="P1573" i="8"/>
  <c r="O1574" i="8"/>
  <c r="P1574" i="8"/>
  <c r="O1575" i="8"/>
  <c r="P1575" i="8"/>
  <c r="O1576" i="8"/>
  <c r="P1576" i="8"/>
  <c r="O1577" i="8"/>
  <c r="P1577" i="8"/>
  <c r="O1578" i="8"/>
  <c r="P1578" i="8"/>
  <c r="O1579" i="8"/>
  <c r="P1579" i="8"/>
  <c r="O1580" i="8"/>
  <c r="P1580" i="8"/>
  <c r="O1581" i="8"/>
  <c r="P1581" i="8"/>
  <c r="O1582" i="8"/>
  <c r="P1582" i="8"/>
  <c r="O1583" i="8"/>
  <c r="P1583" i="8"/>
  <c r="O1584" i="8"/>
  <c r="P1584" i="8"/>
  <c r="O1585" i="8"/>
  <c r="P1585" i="8"/>
  <c r="O1586" i="8"/>
  <c r="P1586" i="8"/>
  <c r="O1587" i="8"/>
  <c r="P1587" i="8"/>
  <c r="O1588" i="8"/>
  <c r="P1588" i="8"/>
  <c r="O1589" i="8"/>
  <c r="P1589" i="8"/>
  <c r="O1590" i="8"/>
  <c r="P1590" i="8"/>
  <c r="O1591" i="8"/>
  <c r="P1591" i="8"/>
  <c r="O1592" i="8"/>
  <c r="P1592" i="8"/>
  <c r="O1593" i="8"/>
  <c r="P1593" i="8"/>
  <c r="O1594" i="8"/>
  <c r="P1594" i="8"/>
  <c r="O1595" i="8"/>
  <c r="P1595" i="8"/>
  <c r="O1596" i="8"/>
  <c r="P1596" i="8"/>
  <c r="O1597" i="8"/>
  <c r="P1597" i="8"/>
  <c r="O1598" i="8"/>
  <c r="P1598" i="8"/>
  <c r="O1599" i="8"/>
  <c r="P1599" i="8"/>
  <c r="O1600" i="8"/>
  <c r="P1600" i="8"/>
  <c r="O1601" i="8"/>
  <c r="P1601" i="8"/>
  <c r="O1602" i="8"/>
  <c r="P1602" i="8"/>
  <c r="O1603" i="8"/>
  <c r="P1603" i="8"/>
  <c r="O1604" i="8"/>
  <c r="P1604" i="8"/>
  <c r="O1605" i="8"/>
  <c r="P1605" i="8"/>
  <c r="O1606" i="8"/>
  <c r="P1606" i="8"/>
  <c r="O1607" i="8"/>
  <c r="P1607" i="8"/>
  <c r="O1608" i="8"/>
  <c r="P1608" i="8"/>
  <c r="O1609" i="8"/>
  <c r="P1609" i="8"/>
  <c r="O1610" i="8"/>
  <c r="P1610" i="8"/>
  <c r="O1611" i="8"/>
  <c r="P1611" i="8"/>
  <c r="O1612" i="8"/>
  <c r="P1612" i="8"/>
  <c r="O1613" i="8"/>
  <c r="P1613" i="8"/>
  <c r="O1614" i="8"/>
  <c r="P1614" i="8"/>
  <c r="O1615" i="8"/>
  <c r="P1615" i="8"/>
  <c r="O1616" i="8"/>
  <c r="P1616" i="8"/>
  <c r="O1617" i="8"/>
  <c r="P1617" i="8"/>
  <c r="O1618" i="8"/>
  <c r="P1618" i="8"/>
  <c r="O1619" i="8"/>
  <c r="P1619" i="8"/>
  <c r="O1620" i="8"/>
  <c r="P1620" i="8"/>
  <c r="O1621" i="8"/>
  <c r="P1621" i="8"/>
  <c r="O1622" i="8"/>
  <c r="P1622" i="8"/>
  <c r="O1623" i="8"/>
  <c r="P1623" i="8"/>
  <c r="O1624" i="8"/>
  <c r="P1624" i="8"/>
  <c r="O1625" i="8"/>
  <c r="P1625" i="8"/>
  <c r="O1626" i="8"/>
  <c r="P1626" i="8"/>
  <c r="O1627" i="8"/>
  <c r="P1627" i="8"/>
  <c r="O1628" i="8"/>
  <c r="P1628" i="8"/>
  <c r="O1629" i="8"/>
  <c r="P1629" i="8"/>
  <c r="O1630" i="8"/>
  <c r="P1630" i="8"/>
  <c r="O1631" i="8"/>
  <c r="P1631" i="8"/>
  <c r="O1632" i="8"/>
  <c r="P1632" i="8"/>
  <c r="O1633" i="8"/>
  <c r="P1633" i="8"/>
  <c r="O1634" i="8"/>
  <c r="P1634" i="8"/>
  <c r="O1635" i="8"/>
  <c r="P1635" i="8"/>
  <c r="O1636" i="8"/>
  <c r="P1636" i="8"/>
  <c r="O1637" i="8"/>
  <c r="P1637" i="8"/>
  <c r="O1638" i="8"/>
  <c r="P1638" i="8"/>
  <c r="O1639" i="8"/>
  <c r="P1639" i="8"/>
  <c r="O1640" i="8"/>
  <c r="P1640" i="8"/>
  <c r="O1641" i="8"/>
  <c r="P1641" i="8"/>
  <c r="O1642" i="8"/>
  <c r="P1642" i="8"/>
  <c r="O1643" i="8"/>
  <c r="P1643" i="8"/>
  <c r="O1644" i="8"/>
  <c r="P1644" i="8"/>
  <c r="O1645" i="8"/>
  <c r="P1645" i="8"/>
  <c r="O1646" i="8"/>
  <c r="P1646" i="8"/>
  <c r="O1647" i="8"/>
  <c r="P1647" i="8"/>
  <c r="O1648" i="8"/>
  <c r="P1648" i="8"/>
  <c r="O1649" i="8"/>
  <c r="P1649" i="8"/>
  <c r="O1650" i="8"/>
  <c r="P1650" i="8"/>
  <c r="O1651" i="8"/>
  <c r="P1651" i="8"/>
  <c r="O1652" i="8"/>
  <c r="P1652" i="8"/>
  <c r="O1653" i="8"/>
  <c r="P1653" i="8"/>
  <c r="O1654" i="8"/>
  <c r="P1654" i="8"/>
  <c r="O1655" i="8"/>
  <c r="P1655" i="8"/>
  <c r="O1656" i="8"/>
  <c r="P1656" i="8"/>
  <c r="O1657" i="8"/>
  <c r="P1657" i="8"/>
  <c r="O1658" i="8"/>
  <c r="P1658" i="8"/>
  <c r="O1659" i="8"/>
  <c r="P1659" i="8"/>
  <c r="O1660" i="8"/>
  <c r="P1660" i="8"/>
  <c r="O1661" i="8"/>
  <c r="P1661" i="8"/>
  <c r="O1662" i="8"/>
  <c r="P1662" i="8"/>
  <c r="O1663" i="8"/>
  <c r="P1663" i="8"/>
  <c r="O1664" i="8"/>
  <c r="P1664" i="8"/>
  <c r="O1665" i="8"/>
  <c r="P1665" i="8"/>
  <c r="O1666" i="8"/>
  <c r="P1666" i="8"/>
  <c r="O1667" i="8"/>
  <c r="P1667" i="8"/>
  <c r="O1668" i="8"/>
  <c r="P1668" i="8"/>
  <c r="O1669" i="8"/>
  <c r="P1669" i="8"/>
  <c r="O1670" i="8"/>
  <c r="P1670" i="8"/>
  <c r="O1671" i="8"/>
  <c r="P1671" i="8"/>
  <c r="O1672" i="8"/>
  <c r="P1672" i="8"/>
  <c r="O1673" i="8"/>
  <c r="P1673" i="8"/>
  <c r="O1674" i="8"/>
  <c r="P1674" i="8"/>
  <c r="O1675" i="8"/>
  <c r="P1675" i="8"/>
  <c r="O1676" i="8"/>
  <c r="P1676" i="8"/>
  <c r="O1677" i="8"/>
  <c r="P1677" i="8"/>
  <c r="O1678" i="8"/>
  <c r="P1678" i="8"/>
  <c r="O1679" i="8"/>
  <c r="P1679" i="8"/>
  <c r="O1680" i="8"/>
  <c r="P1680" i="8"/>
  <c r="O1681" i="8"/>
  <c r="P1681" i="8"/>
  <c r="O1682" i="8"/>
  <c r="P1682" i="8"/>
  <c r="O1683" i="8"/>
  <c r="P1683" i="8"/>
  <c r="O1684" i="8"/>
  <c r="P1684" i="8"/>
  <c r="O1685" i="8"/>
  <c r="P1685" i="8"/>
  <c r="O1686" i="8"/>
  <c r="P1686" i="8"/>
  <c r="O1687" i="8"/>
  <c r="P1687" i="8"/>
  <c r="O1688" i="8"/>
  <c r="P1688" i="8"/>
  <c r="O1689" i="8"/>
  <c r="P1689" i="8"/>
  <c r="O1690" i="8"/>
  <c r="P1690" i="8"/>
  <c r="O1691" i="8"/>
  <c r="P1691" i="8"/>
  <c r="O1692" i="8"/>
  <c r="P1692" i="8"/>
  <c r="O1693" i="8"/>
  <c r="P1693" i="8"/>
  <c r="O1694" i="8"/>
  <c r="P1694" i="8"/>
  <c r="O1695" i="8"/>
  <c r="P1695" i="8"/>
  <c r="O1696" i="8"/>
  <c r="P1696" i="8"/>
  <c r="O1697" i="8"/>
  <c r="P1697" i="8"/>
  <c r="O1698" i="8"/>
  <c r="P1698" i="8"/>
  <c r="O1699" i="8"/>
  <c r="P1699" i="8"/>
  <c r="O1700" i="8"/>
  <c r="P1700" i="8"/>
  <c r="O1701" i="8"/>
  <c r="P1701" i="8"/>
  <c r="O1702" i="8"/>
  <c r="P1702" i="8"/>
  <c r="O1703" i="8"/>
  <c r="P1703" i="8"/>
  <c r="O1704" i="8"/>
  <c r="P1704" i="8"/>
  <c r="O1705" i="8"/>
  <c r="P1705" i="8"/>
  <c r="O1706" i="8"/>
  <c r="P1706" i="8"/>
  <c r="O1707" i="8"/>
  <c r="P1707" i="8"/>
  <c r="O1708" i="8"/>
  <c r="P1708" i="8"/>
  <c r="O1709" i="8"/>
  <c r="P1709" i="8"/>
  <c r="O1710" i="8"/>
  <c r="P1710" i="8"/>
  <c r="O1711" i="8"/>
  <c r="P1711" i="8"/>
  <c r="O1712" i="8"/>
  <c r="P1712" i="8"/>
  <c r="O1713" i="8"/>
  <c r="P1713" i="8"/>
  <c r="O1714" i="8"/>
  <c r="P1714" i="8"/>
  <c r="O1715" i="8"/>
  <c r="P1715" i="8"/>
  <c r="O1716" i="8"/>
  <c r="P1716" i="8"/>
  <c r="O1717" i="8"/>
  <c r="P1717" i="8"/>
  <c r="O1718" i="8"/>
  <c r="P1718" i="8"/>
  <c r="O1719" i="8"/>
  <c r="P1719" i="8"/>
  <c r="O1720" i="8"/>
  <c r="P1720" i="8"/>
  <c r="O1721" i="8"/>
  <c r="P1721" i="8"/>
  <c r="O1722" i="8"/>
  <c r="P1722" i="8"/>
  <c r="O1723" i="8"/>
  <c r="P1723" i="8"/>
  <c r="O1724" i="8"/>
  <c r="P1724" i="8"/>
  <c r="O1725" i="8"/>
  <c r="P1725" i="8"/>
  <c r="O1726" i="8"/>
  <c r="P1726" i="8"/>
  <c r="O1727" i="8"/>
  <c r="P1727" i="8"/>
  <c r="O1728" i="8"/>
  <c r="P1728" i="8"/>
  <c r="O1729" i="8"/>
  <c r="P1729" i="8"/>
  <c r="O1730" i="8"/>
  <c r="P1730" i="8"/>
  <c r="O1731" i="8"/>
  <c r="P1731" i="8"/>
  <c r="O1732" i="8"/>
  <c r="P1732" i="8"/>
  <c r="O1733" i="8"/>
  <c r="P1733" i="8"/>
  <c r="O1734" i="8"/>
  <c r="P1734" i="8"/>
  <c r="O1735" i="8"/>
  <c r="P1735" i="8"/>
  <c r="O1736" i="8"/>
  <c r="P1736" i="8"/>
  <c r="O1737" i="8"/>
  <c r="P1737" i="8"/>
  <c r="O1738" i="8"/>
  <c r="P1738" i="8"/>
  <c r="O1739" i="8"/>
  <c r="P1739" i="8"/>
  <c r="O1740" i="8"/>
  <c r="P1740" i="8"/>
  <c r="O1741" i="8"/>
  <c r="P1741" i="8"/>
  <c r="O1742" i="8"/>
  <c r="P1742" i="8"/>
  <c r="O1743" i="8"/>
  <c r="P1743" i="8"/>
  <c r="O1744" i="8"/>
  <c r="P1744" i="8"/>
  <c r="O1745" i="8"/>
  <c r="P1745" i="8"/>
  <c r="O1746" i="8"/>
  <c r="P1746" i="8"/>
  <c r="O1747" i="8"/>
  <c r="P1747" i="8"/>
  <c r="O1748" i="8"/>
  <c r="P1748" i="8"/>
  <c r="O1749" i="8"/>
  <c r="P1749" i="8"/>
  <c r="O1750" i="8"/>
  <c r="P1750" i="8"/>
  <c r="O1751" i="8"/>
  <c r="P1751" i="8"/>
  <c r="O1752" i="8"/>
  <c r="P1752" i="8"/>
  <c r="O1753" i="8"/>
  <c r="P1753" i="8"/>
  <c r="O1754" i="8"/>
  <c r="P1754" i="8"/>
  <c r="O1755" i="8"/>
  <c r="P1755" i="8"/>
  <c r="O1756" i="8"/>
  <c r="P1756" i="8"/>
  <c r="O1757" i="8"/>
  <c r="P1757" i="8"/>
  <c r="O1758" i="8"/>
  <c r="P1758" i="8"/>
  <c r="O1759" i="8"/>
  <c r="P1759" i="8"/>
  <c r="O1760" i="8"/>
  <c r="P1760" i="8"/>
  <c r="O1761" i="8"/>
  <c r="P1761" i="8"/>
  <c r="O1762" i="8"/>
  <c r="P1762" i="8"/>
  <c r="O1763" i="8"/>
  <c r="P1763" i="8"/>
  <c r="O1764" i="8"/>
  <c r="P1764" i="8"/>
  <c r="O1765" i="8"/>
  <c r="P1765" i="8"/>
  <c r="O1766" i="8"/>
  <c r="P1766" i="8"/>
  <c r="O1767" i="8"/>
  <c r="P1767" i="8"/>
  <c r="O1768" i="8"/>
  <c r="P1768" i="8"/>
  <c r="O1769" i="8"/>
  <c r="P1769" i="8"/>
  <c r="O1770" i="8"/>
  <c r="P1770" i="8"/>
  <c r="O1771" i="8"/>
  <c r="P1771" i="8"/>
  <c r="O1772" i="8"/>
  <c r="P1772" i="8"/>
  <c r="O1773" i="8"/>
  <c r="P1773" i="8"/>
  <c r="O1774" i="8"/>
  <c r="P1774" i="8"/>
  <c r="O1775" i="8"/>
  <c r="P1775" i="8"/>
  <c r="O1776" i="8"/>
  <c r="P1776" i="8"/>
  <c r="O1777" i="8"/>
  <c r="P1777" i="8"/>
  <c r="O1778" i="8"/>
  <c r="P1778" i="8"/>
  <c r="O1779" i="8"/>
  <c r="P1779" i="8"/>
  <c r="O1780" i="8"/>
  <c r="P1780" i="8"/>
  <c r="O1781" i="8"/>
  <c r="P1781" i="8"/>
  <c r="O1782" i="8"/>
  <c r="P1782" i="8"/>
  <c r="O1783" i="8"/>
  <c r="P1783" i="8"/>
  <c r="O1784" i="8"/>
  <c r="P1784" i="8"/>
  <c r="O1785" i="8"/>
  <c r="P1785" i="8"/>
  <c r="O1786" i="8"/>
  <c r="P1786" i="8"/>
  <c r="O1787" i="8"/>
  <c r="P1787" i="8"/>
  <c r="O1788" i="8"/>
  <c r="P1788" i="8"/>
  <c r="O1789" i="8"/>
  <c r="P1789" i="8"/>
  <c r="O1790" i="8"/>
  <c r="P1790" i="8"/>
  <c r="O1791" i="8"/>
  <c r="P1791" i="8"/>
  <c r="O1792" i="8"/>
  <c r="P1792" i="8"/>
  <c r="O1793" i="8"/>
  <c r="P1793" i="8"/>
  <c r="O1794" i="8"/>
  <c r="P1794" i="8"/>
  <c r="O1795" i="8"/>
  <c r="P1795" i="8"/>
  <c r="O1796" i="8"/>
  <c r="P1796" i="8"/>
  <c r="O1797" i="8"/>
  <c r="P1797" i="8"/>
  <c r="O1798" i="8"/>
  <c r="P1798" i="8"/>
  <c r="O1799" i="8"/>
  <c r="P1799" i="8"/>
  <c r="O1800" i="8"/>
  <c r="P1800" i="8"/>
  <c r="O1801" i="8"/>
  <c r="P1801" i="8"/>
  <c r="O1802" i="8"/>
  <c r="P1802" i="8"/>
  <c r="O1803" i="8"/>
  <c r="P1803" i="8"/>
  <c r="O1804" i="8"/>
  <c r="P1804" i="8"/>
  <c r="O1805" i="8"/>
  <c r="P1805" i="8"/>
  <c r="O1806" i="8"/>
  <c r="P1806" i="8"/>
  <c r="O1807" i="8"/>
  <c r="P1807" i="8"/>
  <c r="O1808" i="8"/>
  <c r="P1808" i="8"/>
  <c r="O1809" i="8"/>
  <c r="P1809" i="8"/>
  <c r="O1810" i="8"/>
  <c r="P1810" i="8"/>
  <c r="O1811" i="8"/>
  <c r="P1811" i="8"/>
  <c r="O1812" i="8"/>
  <c r="P1812" i="8"/>
  <c r="O1813" i="8"/>
  <c r="P1813" i="8"/>
  <c r="O1814" i="8"/>
  <c r="P1814" i="8"/>
  <c r="O1815" i="8"/>
  <c r="P1815" i="8"/>
  <c r="O1816" i="8"/>
  <c r="P1816" i="8"/>
  <c r="O1817" i="8"/>
  <c r="P1817" i="8"/>
  <c r="O1818" i="8"/>
  <c r="P1818" i="8"/>
  <c r="O1819" i="8"/>
  <c r="P1819" i="8"/>
  <c r="O1820" i="8"/>
  <c r="P1820" i="8"/>
  <c r="O1821" i="8"/>
  <c r="P1821" i="8"/>
  <c r="O1822" i="8"/>
  <c r="P1822" i="8"/>
  <c r="O1823" i="8"/>
  <c r="P1823" i="8"/>
  <c r="O1824" i="8"/>
  <c r="P1824" i="8"/>
  <c r="O1825" i="8"/>
  <c r="P1825" i="8"/>
  <c r="O1826" i="8"/>
  <c r="P1826" i="8"/>
  <c r="O1827" i="8"/>
  <c r="P1827" i="8"/>
  <c r="O1828" i="8"/>
  <c r="P1828" i="8"/>
  <c r="O1829" i="8"/>
  <c r="P1829" i="8"/>
  <c r="O1830" i="8"/>
  <c r="P1830" i="8"/>
  <c r="O1831" i="8"/>
  <c r="P1831" i="8"/>
  <c r="O1832" i="8"/>
  <c r="P1832" i="8"/>
  <c r="O1833" i="8"/>
  <c r="P1833" i="8"/>
  <c r="O1834" i="8"/>
  <c r="P1834" i="8"/>
  <c r="O1835" i="8"/>
  <c r="P1835" i="8"/>
  <c r="O1836" i="8"/>
  <c r="P1836" i="8"/>
  <c r="O1837" i="8"/>
  <c r="P1837" i="8"/>
  <c r="O1838" i="8"/>
  <c r="P1838" i="8"/>
  <c r="O1839" i="8"/>
  <c r="P1839" i="8"/>
  <c r="O1840" i="8"/>
  <c r="P1840" i="8"/>
  <c r="O1841" i="8"/>
  <c r="P1841" i="8"/>
  <c r="O1842" i="8"/>
  <c r="P1842" i="8"/>
  <c r="O1843" i="8"/>
  <c r="P1843" i="8"/>
  <c r="O1844" i="8"/>
  <c r="P1844" i="8"/>
  <c r="O1845" i="8"/>
  <c r="P1845" i="8"/>
  <c r="O1846" i="8"/>
  <c r="P1846" i="8"/>
  <c r="O1847" i="8"/>
  <c r="P1847" i="8"/>
  <c r="O1848" i="8"/>
  <c r="P1848" i="8"/>
  <c r="O1849" i="8"/>
  <c r="P1849" i="8"/>
  <c r="O1850" i="8"/>
  <c r="P1850" i="8"/>
  <c r="O1851" i="8"/>
  <c r="P1851" i="8"/>
  <c r="O1852" i="8"/>
  <c r="P1852" i="8"/>
  <c r="O1853" i="8"/>
  <c r="P1853" i="8"/>
  <c r="O1854" i="8"/>
  <c r="P1854" i="8"/>
  <c r="O1855" i="8"/>
  <c r="P1855" i="8"/>
  <c r="O1856" i="8"/>
  <c r="P1856" i="8"/>
  <c r="O1857" i="8"/>
  <c r="P1857" i="8"/>
  <c r="O1858" i="8"/>
  <c r="P1858" i="8"/>
  <c r="O1859" i="8"/>
  <c r="P1859" i="8"/>
  <c r="O1860" i="8"/>
  <c r="P1860" i="8"/>
  <c r="O1861" i="8"/>
  <c r="P1861" i="8"/>
  <c r="O1862" i="8"/>
  <c r="P1862" i="8"/>
  <c r="O1863" i="8"/>
  <c r="P1863" i="8"/>
  <c r="O1864" i="8"/>
  <c r="P1864" i="8"/>
  <c r="O1865" i="8"/>
  <c r="P1865" i="8"/>
  <c r="O1866" i="8"/>
  <c r="P1866" i="8"/>
  <c r="O1867" i="8"/>
  <c r="P1867" i="8"/>
  <c r="O1868" i="8"/>
  <c r="P1868" i="8"/>
  <c r="O1869" i="8"/>
  <c r="P1869" i="8"/>
  <c r="O1870" i="8"/>
  <c r="P1870" i="8"/>
  <c r="O1871" i="8"/>
  <c r="P1871" i="8"/>
  <c r="O1872" i="8"/>
  <c r="P1872" i="8"/>
  <c r="O1873" i="8"/>
  <c r="P1873" i="8"/>
  <c r="O1874" i="8"/>
  <c r="P1874" i="8"/>
  <c r="O1875" i="8"/>
  <c r="P1875" i="8"/>
  <c r="O1876" i="8"/>
  <c r="P1876" i="8"/>
  <c r="O1877" i="8"/>
  <c r="P1877" i="8"/>
  <c r="O1878" i="8"/>
  <c r="P1878" i="8"/>
  <c r="O1879" i="8"/>
  <c r="P1879" i="8"/>
  <c r="O1880" i="8"/>
  <c r="P1880" i="8"/>
  <c r="O1881" i="8"/>
  <c r="P1881" i="8"/>
  <c r="O1882" i="8"/>
  <c r="P1882" i="8"/>
  <c r="O1883" i="8"/>
  <c r="P1883" i="8"/>
  <c r="O1884" i="8"/>
  <c r="P1884" i="8"/>
  <c r="O1885" i="8"/>
  <c r="P1885" i="8"/>
  <c r="O1886" i="8"/>
  <c r="P1886" i="8"/>
  <c r="O1887" i="8"/>
  <c r="P1887" i="8"/>
  <c r="O1888" i="8"/>
  <c r="P1888" i="8"/>
  <c r="O1889" i="8"/>
  <c r="P1889" i="8"/>
  <c r="O1890" i="8"/>
  <c r="P1890" i="8"/>
  <c r="O1891" i="8"/>
  <c r="P1891" i="8"/>
  <c r="O1892" i="8"/>
  <c r="P1892" i="8"/>
  <c r="O1893" i="8"/>
  <c r="P1893" i="8"/>
  <c r="O1894" i="8"/>
  <c r="P1894" i="8"/>
  <c r="O1895" i="8"/>
  <c r="P1895" i="8"/>
  <c r="O1896" i="8"/>
  <c r="P1896" i="8"/>
  <c r="O1897" i="8"/>
  <c r="P1897" i="8"/>
  <c r="O1898" i="8"/>
  <c r="P1898" i="8"/>
  <c r="O1899" i="8"/>
  <c r="P1899" i="8"/>
  <c r="O1900" i="8"/>
  <c r="P1900" i="8"/>
  <c r="O1901" i="8"/>
  <c r="P1901" i="8"/>
  <c r="O1902" i="8"/>
  <c r="P1902" i="8"/>
  <c r="O1903" i="8"/>
  <c r="P1903" i="8"/>
  <c r="O1904" i="8"/>
  <c r="P1904" i="8"/>
  <c r="O1905" i="8"/>
  <c r="P1905" i="8"/>
  <c r="O1906" i="8"/>
  <c r="P1906" i="8"/>
  <c r="O1907" i="8"/>
  <c r="P1907" i="8"/>
  <c r="O1908" i="8"/>
  <c r="P1908" i="8"/>
  <c r="O1909" i="8"/>
  <c r="P1909" i="8"/>
  <c r="O1910" i="8"/>
  <c r="P1910" i="8"/>
  <c r="O1911" i="8"/>
  <c r="P1911" i="8"/>
  <c r="O1912" i="8"/>
  <c r="P1912" i="8"/>
  <c r="O1913" i="8"/>
  <c r="P1913" i="8"/>
  <c r="O1914" i="8"/>
  <c r="P1914" i="8"/>
  <c r="O1915" i="8"/>
  <c r="P1915" i="8"/>
  <c r="O1916" i="8"/>
  <c r="P1916" i="8"/>
  <c r="O1917" i="8"/>
  <c r="P1917" i="8"/>
  <c r="O1918" i="8"/>
  <c r="P1918" i="8"/>
  <c r="O1919" i="8"/>
  <c r="P1919" i="8"/>
  <c r="O1920" i="8"/>
  <c r="P1920" i="8"/>
  <c r="O1921" i="8"/>
  <c r="P1921" i="8"/>
  <c r="O1922" i="8"/>
  <c r="P1922" i="8"/>
  <c r="O1923" i="8"/>
  <c r="P1923" i="8"/>
  <c r="O1924" i="8"/>
  <c r="P1924" i="8"/>
  <c r="O1925" i="8"/>
  <c r="P1925" i="8"/>
  <c r="O1926" i="8"/>
  <c r="P1926" i="8"/>
  <c r="O1927" i="8"/>
  <c r="P1927" i="8"/>
  <c r="O1928" i="8"/>
  <c r="P1928" i="8"/>
  <c r="O1929" i="8"/>
  <c r="P1929" i="8"/>
  <c r="O1930" i="8"/>
  <c r="P1930" i="8"/>
  <c r="O1931" i="8"/>
  <c r="P1931" i="8"/>
  <c r="O1932" i="8"/>
  <c r="P1932" i="8"/>
  <c r="O1933" i="8"/>
  <c r="P1933" i="8"/>
  <c r="O1934" i="8"/>
  <c r="P1934" i="8"/>
  <c r="O1935" i="8"/>
  <c r="P1935" i="8"/>
  <c r="O1936" i="8"/>
  <c r="P1936" i="8"/>
  <c r="O1937" i="8"/>
  <c r="P1937" i="8"/>
  <c r="O1938" i="8"/>
  <c r="P1938" i="8"/>
  <c r="O1939" i="8"/>
  <c r="P1939" i="8"/>
  <c r="O1940" i="8"/>
  <c r="P1940" i="8"/>
  <c r="O1941" i="8"/>
  <c r="P1941" i="8"/>
  <c r="O1942" i="8"/>
  <c r="P1942" i="8"/>
  <c r="O1943" i="8"/>
  <c r="P1943" i="8"/>
  <c r="O1944" i="8"/>
  <c r="P1944" i="8"/>
  <c r="O1945" i="8"/>
  <c r="P1945" i="8"/>
  <c r="O1946" i="8"/>
  <c r="P1946" i="8"/>
  <c r="O1947" i="8"/>
  <c r="P1947" i="8"/>
  <c r="O1948" i="8"/>
  <c r="P1948" i="8"/>
  <c r="O1949" i="8"/>
  <c r="P1949" i="8"/>
  <c r="O1950" i="8"/>
  <c r="P1950" i="8"/>
  <c r="O1951" i="8"/>
  <c r="P1951" i="8"/>
  <c r="O1952" i="8"/>
  <c r="P1952" i="8"/>
  <c r="O1953" i="8"/>
  <c r="P1953" i="8"/>
  <c r="O1954" i="8"/>
  <c r="P1954" i="8"/>
  <c r="O1955" i="8"/>
  <c r="P1955" i="8"/>
  <c r="O1956" i="8"/>
  <c r="P1956" i="8"/>
  <c r="O1957" i="8"/>
  <c r="P1957" i="8"/>
  <c r="O1958" i="8"/>
  <c r="P1958" i="8"/>
  <c r="O1959" i="8"/>
  <c r="P1959" i="8"/>
  <c r="O1960" i="8"/>
  <c r="P1960" i="8"/>
  <c r="O1961" i="8"/>
  <c r="P1961" i="8"/>
  <c r="O1962" i="8"/>
  <c r="P1962" i="8"/>
  <c r="O1963" i="8"/>
  <c r="P1963" i="8"/>
  <c r="O1964" i="8"/>
  <c r="P1964" i="8"/>
  <c r="O1965" i="8"/>
  <c r="P1965" i="8"/>
  <c r="O1966" i="8"/>
  <c r="P1966" i="8"/>
  <c r="O1967" i="8"/>
  <c r="P1967" i="8"/>
  <c r="O1968" i="8"/>
  <c r="P1968" i="8"/>
  <c r="O1969" i="8"/>
  <c r="P1969" i="8"/>
  <c r="O1970" i="8"/>
  <c r="P1970" i="8"/>
  <c r="O1971" i="8"/>
  <c r="P1971" i="8"/>
  <c r="O1972" i="8"/>
  <c r="P1972" i="8"/>
  <c r="O1973" i="8"/>
  <c r="P1973" i="8"/>
  <c r="O1974" i="8"/>
  <c r="P1974" i="8"/>
  <c r="O1975" i="8"/>
  <c r="P1975" i="8"/>
  <c r="O1976" i="8"/>
  <c r="P1976" i="8"/>
  <c r="O1977" i="8"/>
  <c r="P1977" i="8"/>
  <c r="O1978" i="8"/>
  <c r="P1978" i="8"/>
  <c r="O1979" i="8"/>
  <c r="P1979" i="8"/>
  <c r="O1980" i="8"/>
  <c r="P1980" i="8"/>
  <c r="O1981" i="8"/>
  <c r="P1981" i="8"/>
  <c r="O1982" i="8"/>
  <c r="P1982" i="8"/>
  <c r="O1983" i="8"/>
  <c r="P1983" i="8"/>
  <c r="O1984" i="8"/>
  <c r="P1984" i="8"/>
  <c r="O1985" i="8"/>
  <c r="P1985" i="8"/>
  <c r="O1986" i="8"/>
  <c r="P1986" i="8"/>
  <c r="O1987" i="8"/>
  <c r="P1987" i="8"/>
  <c r="O1988" i="8"/>
  <c r="P1988" i="8"/>
  <c r="O1989" i="8"/>
  <c r="P1989" i="8"/>
  <c r="O1990" i="8"/>
  <c r="P1990" i="8"/>
  <c r="O1991" i="8"/>
  <c r="P1991" i="8"/>
  <c r="O1992" i="8"/>
  <c r="P1992" i="8"/>
  <c r="O1993" i="8"/>
  <c r="P1993" i="8"/>
  <c r="O1994" i="8"/>
  <c r="P1994" i="8"/>
  <c r="O1995" i="8"/>
  <c r="P1995" i="8"/>
  <c r="O1996" i="8"/>
  <c r="P1996" i="8"/>
  <c r="O1997" i="8"/>
  <c r="P1997" i="8"/>
  <c r="O1998" i="8"/>
  <c r="P1998" i="8"/>
  <c r="O1999" i="8"/>
  <c r="P1999" i="8"/>
  <c r="O2000" i="8"/>
  <c r="P2000" i="8"/>
  <c r="O2001" i="8"/>
  <c r="P2001" i="8"/>
  <c r="O2002" i="8"/>
  <c r="P2002" i="8"/>
  <c r="O2003" i="8"/>
  <c r="P2003" i="8"/>
  <c r="O2004" i="8"/>
  <c r="P2004" i="8"/>
  <c r="O2005" i="8"/>
  <c r="P2005" i="8"/>
  <c r="O2006" i="8"/>
  <c r="P2006" i="8"/>
  <c r="O2007" i="8"/>
  <c r="P2007" i="8"/>
  <c r="O2008" i="8"/>
  <c r="P2008" i="8"/>
  <c r="O2009" i="8"/>
  <c r="P2009" i="8"/>
  <c r="O2010" i="8"/>
  <c r="P2010" i="8"/>
  <c r="O2011" i="8"/>
  <c r="P2011" i="8"/>
  <c r="O2012" i="8"/>
  <c r="P2012" i="8"/>
  <c r="O2013" i="8"/>
  <c r="P2013" i="8"/>
  <c r="O2014" i="8"/>
  <c r="P2014" i="8"/>
  <c r="O2015" i="8"/>
  <c r="P2015" i="8"/>
  <c r="O2016" i="8"/>
  <c r="P2016" i="8"/>
  <c r="O2017" i="8"/>
  <c r="P2017" i="8"/>
  <c r="O2018" i="8"/>
  <c r="P2018" i="8"/>
  <c r="O2019" i="8"/>
  <c r="P2019" i="8"/>
  <c r="O2020" i="8"/>
  <c r="P2020" i="8"/>
  <c r="O2021" i="8"/>
  <c r="P2021" i="8"/>
  <c r="O2022" i="8"/>
  <c r="P2022" i="8"/>
  <c r="O2023" i="8"/>
  <c r="P2023" i="8"/>
  <c r="O2024" i="8"/>
  <c r="P2024" i="8"/>
  <c r="O2025" i="8"/>
  <c r="P2025" i="8"/>
  <c r="O2026" i="8"/>
  <c r="P2026" i="8"/>
  <c r="O2027" i="8"/>
  <c r="P2027" i="8"/>
  <c r="O2028" i="8"/>
  <c r="P2028" i="8"/>
  <c r="O2029" i="8"/>
  <c r="P2029" i="8"/>
  <c r="O2030" i="8"/>
  <c r="P2030" i="8"/>
  <c r="O2031" i="8"/>
  <c r="P2031" i="8"/>
  <c r="O2032" i="8"/>
  <c r="P2032" i="8"/>
  <c r="O2033" i="8"/>
  <c r="P2033" i="8"/>
  <c r="O2034" i="8"/>
  <c r="P2034" i="8"/>
  <c r="O2035" i="8"/>
  <c r="P2035" i="8"/>
  <c r="O2036" i="8"/>
  <c r="P2036" i="8"/>
  <c r="O2037" i="8"/>
  <c r="P2037" i="8"/>
  <c r="O2038" i="8"/>
  <c r="P2038" i="8"/>
  <c r="O2039" i="8"/>
  <c r="P2039" i="8"/>
  <c r="O2040" i="8"/>
  <c r="P2040" i="8"/>
  <c r="O2041" i="8"/>
  <c r="P2041" i="8"/>
  <c r="O2042" i="8"/>
  <c r="P2042" i="8"/>
  <c r="O2043" i="8"/>
  <c r="P2043" i="8"/>
  <c r="O2044" i="8"/>
  <c r="P2044" i="8"/>
  <c r="O2045" i="8"/>
  <c r="P2045" i="8"/>
  <c r="O2046" i="8"/>
  <c r="P2046" i="8"/>
  <c r="O2047" i="8"/>
  <c r="P2047" i="8"/>
  <c r="O2048" i="8"/>
  <c r="P2048" i="8"/>
  <c r="O2049" i="8"/>
  <c r="P2049" i="8"/>
  <c r="O2050" i="8"/>
  <c r="P2050" i="8"/>
  <c r="O2051" i="8"/>
  <c r="P2051" i="8"/>
  <c r="O2052" i="8"/>
  <c r="P2052" i="8"/>
  <c r="O2053" i="8"/>
  <c r="P2053" i="8"/>
  <c r="O2054" i="8"/>
  <c r="P2054" i="8"/>
  <c r="O2055" i="8"/>
  <c r="P2055" i="8"/>
  <c r="O2056" i="8"/>
  <c r="P2056" i="8"/>
  <c r="O2057" i="8"/>
  <c r="P2057" i="8"/>
  <c r="O2058" i="8"/>
  <c r="P2058" i="8"/>
  <c r="O2059" i="8"/>
  <c r="P2059" i="8"/>
  <c r="O2060" i="8"/>
  <c r="P2060" i="8"/>
  <c r="O2061" i="8"/>
  <c r="P2061" i="8"/>
  <c r="O2062" i="8"/>
  <c r="P2062" i="8"/>
  <c r="O2063" i="8"/>
  <c r="P2063" i="8"/>
  <c r="O2064" i="8"/>
  <c r="P2064" i="8"/>
  <c r="O2065" i="8"/>
  <c r="P2065" i="8"/>
  <c r="O2066" i="8"/>
  <c r="P2066" i="8"/>
  <c r="O2067" i="8"/>
  <c r="P2067" i="8"/>
  <c r="O2068" i="8"/>
  <c r="P2068" i="8"/>
  <c r="O2069" i="8"/>
  <c r="P2069" i="8"/>
  <c r="O2070" i="8"/>
  <c r="P2070" i="8"/>
  <c r="O2071" i="8"/>
  <c r="P2071" i="8"/>
  <c r="O2072" i="8"/>
  <c r="P2072" i="8"/>
  <c r="O2073" i="8"/>
  <c r="P2073" i="8"/>
  <c r="O2074" i="8"/>
  <c r="P2074" i="8"/>
  <c r="O2075" i="8"/>
  <c r="P2075" i="8"/>
  <c r="O2076" i="8"/>
  <c r="P2076" i="8"/>
  <c r="O2077" i="8"/>
  <c r="P2077" i="8"/>
  <c r="O2078" i="8"/>
  <c r="P2078" i="8"/>
  <c r="O2079" i="8"/>
  <c r="P2079" i="8"/>
  <c r="O2080" i="8"/>
  <c r="P2080" i="8"/>
  <c r="O2081" i="8"/>
  <c r="P2081" i="8"/>
  <c r="O2082" i="8"/>
  <c r="P2082" i="8"/>
  <c r="O2083" i="8"/>
  <c r="P2083" i="8"/>
  <c r="O2084" i="8"/>
  <c r="P2084" i="8"/>
  <c r="O2085" i="8"/>
  <c r="P2085" i="8"/>
  <c r="O2086" i="8"/>
  <c r="P2086" i="8"/>
  <c r="O2087" i="8"/>
  <c r="P2087" i="8"/>
  <c r="O2088" i="8"/>
  <c r="P2088" i="8"/>
  <c r="O2089" i="8"/>
  <c r="P2089" i="8"/>
  <c r="O2090" i="8"/>
  <c r="P2090" i="8"/>
  <c r="O2091" i="8"/>
  <c r="P2091" i="8"/>
  <c r="O2092" i="8"/>
  <c r="P2092" i="8"/>
  <c r="O2093" i="8"/>
  <c r="P2093" i="8"/>
  <c r="O2094" i="8"/>
  <c r="P2094" i="8"/>
  <c r="O2095" i="8"/>
  <c r="P2095" i="8"/>
  <c r="O2096" i="8"/>
  <c r="P2096" i="8"/>
  <c r="O2097" i="8"/>
  <c r="P2097" i="8"/>
  <c r="O2098" i="8"/>
  <c r="P2098" i="8"/>
  <c r="O2099" i="8"/>
  <c r="P2099" i="8"/>
  <c r="O2100" i="8"/>
  <c r="P2100" i="8"/>
  <c r="O2101" i="8"/>
  <c r="P2101" i="8"/>
  <c r="O2102" i="8"/>
  <c r="P2102" i="8"/>
  <c r="O2103" i="8"/>
  <c r="P2103" i="8"/>
  <c r="O2104" i="8"/>
  <c r="P2104" i="8"/>
  <c r="O2105" i="8"/>
  <c r="P2105" i="8"/>
  <c r="O2106" i="8"/>
  <c r="P2106" i="8"/>
  <c r="O2107" i="8"/>
  <c r="P2107" i="8"/>
  <c r="O2108" i="8"/>
  <c r="P2108" i="8"/>
  <c r="O2109" i="8"/>
  <c r="P2109" i="8"/>
  <c r="O2110" i="8"/>
  <c r="P2110" i="8"/>
  <c r="O2111" i="8"/>
  <c r="P2111" i="8"/>
  <c r="O2112" i="8"/>
  <c r="P2112" i="8"/>
  <c r="O2113" i="8"/>
  <c r="P2113" i="8"/>
  <c r="O2114" i="8"/>
  <c r="P2114" i="8"/>
  <c r="O2115" i="8"/>
  <c r="P2115" i="8"/>
  <c r="O2116" i="8"/>
  <c r="P2116" i="8"/>
  <c r="O2117" i="8"/>
  <c r="P2117" i="8"/>
  <c r="O2118" i="8"/>
  <c r="P2118" i="8"/>
  <c r="O2119" i="8"/>
  <c r="P2119" i="8"/>
  <c r="O2120" i="8"/>
  <c r="P2120" i="8"/>
  <c r="O2121" i="8"/>
  <c r="P2121" i="8"/>
  <c r="O2122" i="8"/>
  <c r="P2122" i="8"/>
  <c r="O2123" i="8"/>
  <c r="P2123" i="8"/>
  <c r="O2124" i="8"/>
  <c r="P2124" i="8"/>
  <c r="O2125" i="8"/>
  <c r="P2125" i="8"/>
  <c r="O2126" i="8"/>
  <c r="P2126" i="8"/>
  <c r="O2127" i="8"/>
  <c r="P2127" i="8"/>
  <c r="O2128" i="8"/>
  <c r="P2128" i="8"/>
  <c r="O2129" i="8"/>
  <c r="P2129" i="8"/>
  <c r="O2130" i="8"/>
  <c r="P2130" i="8"/>
  <c r="O2131" i="8"/>
  <c r="P2131" i="8"/>
  <c r="O2132" i="8"/>
  <c r="P2132" i="8"/>
  <c r="O2133" i="8"/>
  <c r="P2133" i="8"/>
  <c r="O2134" i="8"/>
  <c r="P2134" i="8"/>
  <c r="O2135" i="8"/>
  <c r="P2135" i="8"/>
  <c r="O2136" i="8"/>
  <c r="P2136" i="8"/>
  <c r="O2137" i="8"/>
  <c r="P2137" i="8"/>
  <c r="O2138" i="8"/>
  <c r="P2138" i="8"/>
  <c r="O2139" i="8"/>
  <c r="P2139" i="8"/>
  <c r="O2140" i="8"/>
  <c r="P2140" i="8"/>
  <c r="O2141" i="8"/>
  <c r="P2141" i="8"/>
  <c r="O2142" i="8"/>
  <c r="P2142" i="8"/>
  <c r="O2143" i="8"/>
  <c r="P2143" i="8"/>
  <c r="O2144" i="8"/>
  <c r="P2144" i="8"/>
  <c r="O2145" i="8"/>
  <c r="P2145" i="8"/>
  <c r="O2146" i="8"/>
  <c r="P2146" i="8"/>
  <c r="O2147" i="8"/>
  <c r="P2147" i="8"/>
  <c r="O2148" i="8"/>
  <c r="P2148" i="8"/>
  <c r="O2149" i="8"/>
  <c r="P2149" i="8"/>
  <c r="O2150" i="8"/>
  <c r="P2150" i="8"/>
  <c r="O2151" i="8"/>
  <c r="P2151" i="8"/>
  <c r="O2152" i="8"/>
  <c r="P2152" i="8"/>
  <c r="O2153" i="8"/>
  <c r="P2153" i="8"/>
  <c r="O2154" i="8"/>
  <c r="P2154" i="8"/>
  <c r="O2155" i="8"/>
  <c r="P2155" i="8"/>
  <c r="O2156" i="8"/>
  <c r="P2156" i="8"/>
  <c r="O2157" i="8"/>
  <c r="P2157" i="8"/>
  <c r="O2158" i="8"/>
  <c r="P2158" i="8"/>
  <c r="O2159" i="8"/>
  <c r="P2159" i="8"/>
  <c r="O2160" i="8"/>
  <c r="P2160" i="8"/>
  <c r="O2161" i="8"/>
  <c r="P2161" i="8"/>
  <c r="O2162" i="8"/>
  <c r="P2162" i="8"/>
  <c r="O2163" i="8"/>
  <c r="P2163" i="8"/>
  <c r="O2164" i="8"/>
  <c r="P2164" i="8"/>
  <c r="O2165" i="8"/>
  <c r="P2165" i="8"/>
  <c r="O2166" i="8"/>
  <c r="P2166" i="8"/>
  <c r="O2167" i="8"/>
  <c r="P2167" i="8"/>
  <c r="O2168" i="8"/>
  <c r="P2168" i="8"/>
  <c r="O2169" i="8"/>
  <c r="P2169" i="8"/>
  <c r="O2170" i="8"/>
  <c r="P2170" i="8"/>
  <c r="O2171" i="8"/>
  <c r="P2171" i="8"/>
  <c r="O2172" i="8"/>
  <c r="P2172" i="8"/>
  <c r="O2173" i="8"/>
  <c r="P2173" i="8"/>
  <c r="O2174" i="8"/>
  <c r="P2174" i="8"/>
  <c r="O2175" i="8"/>
  <c r="P2175" i="8"/>
  <c r="O2176" i="8"/>
  <c r="P2176" i="8"/>
  <c r="O2177" i="8"/>
  <c r="P2177" i="8"/>
  <c r="O2178" i="8"/>
  <c r="P2178" i="8"/>
  <c r="O2179" i="8"/>
  <c r="P2179" i="8"/>
  <c r="O2180" i="8"/>
  <c r="P2180" i="8"/>
  <c r="O2181" i="8"/>
  <c r="P2181" i="8"/>
  <c r="O2182" i="8"/>
  <c r="P2182" i="8"/>
  <c r="O2183" i="8"/>
  <c r="P2183" i="8"/>
  <c r="O2184" i="8"/>
  <c r="P2184" i="8"/>
  <c r="O2185" i="8"/>
  <c r="P2185" i="8"/>
  <c r="O2186" i="8"/>
  <c r="P2186" i="8"/>
  <c r="O2187" i="8"/>
  <c r="P2187" i="8"/>
  <c r="O2188" i="8"/>
  <c r="P2188" i="8"/>
  <c r="O2189" i="8"/>
  <c r="P2189" i="8"/>
  <c r="O2190" i="8"/>
  <c r="P2190" i="8"/>
  <c r="O2191" i="8"/>
  <c r="P2191" i="8"/>
  <c r="O2192" i="8"/>
  <c r="P2192" i="8"/>
  <c r="O2193" i="8"/>
  <c r="P2193" i="8"/>
  <c r="O2194" i="8"/>
  <c r="P2194" i="8"/>
  <c r="O2195" i="8"/>
  <c r="P2195" i="8"/>
  <c r="O2196" i="8"/>
  <c r="P2196" i="8"/>
  <c r="O2197" i="8"/>
  <c r="P2197" i="8"/>
  <c r="O2198" i="8"/>
  <c r="P2198" i="8"/>
  <c r="O2199" i="8"/>
  <c r="P2199" i="8"/>
  <c r="O2200" i="8"/>
  <c r="P2200" i="8"/>
  <c r="O2201" i="8"/>
  <c r="P2201" i="8"/>
  <c r="O2202" i="8"/>
  <c r="P2202" i="8"/>
  <c r="O2203" i="8"/>
  <c r="P2203" i="8"/>
  <c r="O2204" i="8"/>
  <c r="P2204" i="8"/>
  <c r="O2205" i="8"/>
  <c r="P2205" i="8"/>
  <c r="O2206" i="8"/>
  <c r="P2206" i="8"/>
  <c r="O2207" i="8"/>
  <c r="P2207" i="8"/>
  <c r="O2208" i="8"/>
  <c r="P2208" i="8"/>
  <c r="O2209" i="8"/>
  <c r="P2209" i="8"/>
  <c r="O2210" i="8"/>
  <c r="P2210" i="8"/>
  <c r="O2211" i="8"/>
  <c r="P2211" i="8"/>
  <c r="O2212" i="8"/>
  <c r="P2212" i="8"/>
  <c r="O2213" i="8"/>
  <c r="P2213" i="8"/>
  <c r="O2214" i="8"/>
  <c r="P2214" i="8"/>
  <c r="O2215" i="8"/>
  <c r="P2215" i="8"/>
  <c r="O2216" i="8"/>
  <c r="P2216" i="8"/>
  <c r="O2217" i="8"/>
  <c r="P2217" i="8"/>
  <c r="O2218" i="8"/>
  <c r="P2218" i="8"/>
  <c r="O2219" i="8"/>
  <c r="P2219" i="8"/>
  <c r="O2220" i="8"/>
  <c r="P2220" i="8"/>
  <c r="O2221" i="8"/>
  <c r="P2221" i="8"/>
  <c r="O2222" i="8"/>
  <c r="P2222" i="8"/>
  <c r="O2223" i="8"/>
  <c r="P2223" i="8"/>
  <c r="O2224" i="8"/>
  <c r="P2224" i="8"/>
  <c r="O2225" i="8"/>
  <c r="P2225" i="8"/>
  <c r="O2226" i="8"/>
  <c r="P2226" i="8"/>
  <c r="O2227" i="8"/>
  <c r="P2227" i="8"/>
  <c r="O2228" i="8"/>
  <c r="P2228" i="8"/>
  <c r="O2229" i="8"/>
  <c r="P2229" i="8"/>
  <c r="O2230" i="8"/>
  <c r="P2230" i="8"/>
  <c r="O2231" i="8"/>
  <c r="P2231" i="8"/>
  <c r="O2232" i="8"/>
  <c r="P2232" i="8"/>
  <c r="O2233" i="8"/>
  <c r="P2233" i="8"/>
  <c r="O2234" i="8"/>
  <c r="P2234" i="8"/>
  <c r="O2235" i="8"/>
  <c r="P2235" i="8"/>
  <c r="O2236" i="8"/>
  <c r="P2236" i="8"/>
  <c r="O2237" i="8"/>
  <c r="P2237" i="8"/>
  <c r="O2238" i="8"/>
  <c r="P2238" i="8"/>
  <c r="O2239" i="8"/>
  <c r="P2239" i="8"/>
  <c r="O2240" i="8"/>
  <c r="P2240" i="8"/>
  <c r="O2241" i="8"/>
  <c r="P2241" i="8"/>
  <c r="O2242" i="8"/>
  <c r="P2242" i="8"/>
  <c r="O2243" i="8"/>
  <c r="P2243" i="8"/>
  <c r="O2244" i="8"/>
  <c r="P2244" i="8"/>
  <c r="O2245" i="8"/>
  <c r="P2245" i="8"/>
  <c r="O2246" i="8"/>
  <c r="P2246" i="8"/>
  <c r="O2247" i="8"/>
  <c r="P2247" i="8"/>
  <c r="O2248" i="8"/>
  <c r="P2248" i="8"/>
  <c r="O2249" i="8"/>
  <c r="P2249" i="8"/>
  <c r="O2250" i="8"/>
  <c r="P2250" i="8"/>
  <c r="O2251" i="8"/>
  <c r="P2251" i="8"/>
  <c r="O2252" i="8"/>
  <c r="P2252" i="8"/>
  <c r="O2253" i="8"/>
  <c r="P2253" i="8"/>
  <c r="O2254" i="8"/>
  <c r="P2254" i="8"/>
  <c r="O2255" i="8"/>
  <c r="P2255" i="8"/>
  <c r="O2256" i="8"/>
  <c r="P2256" i="8"/>
  <c r="O2257" i="8"/>
  <c r="P2257" i="8"/>
  <c r="O2258" i="8"/>
  <c r="P2258" i="8"/>
  <c r="O2259" i="8"/>
  <c r="P2259" i="8"/>
  <c r="O2260" i="8"/>
  <c r="P2260" i="8"/>
  <c r="O2261" i="8"/>
  <c r="P2261" i="8"/>
  <c r="O2262" i="8"/>
  <c r="P2262" i="8"/>
  <c r="O2263" i="8"/>
  <c r="P2263" i="8"/>
  <c r="O2264" i="8"/>
  <c r="P2264" i="8"/>
  <c r="O2265" i="8"/>
  <c r="P2265" i="8"/>
  <c r="O2266" i="8"/>
  <c r="P2266" i="8"/>
  <c r="O2267" i="8"/>
  <c r="P2267" i="8"/>
  <c r="O2268" i="8"/>
  <c r="P2268" i="8"/>
  <c r="O2269" i="8"/>
  <c r="P2269" i="8"/>
  <c r="O2270" i="8"/>
  <c r="P2270" i="8"/>
  <c r="O2271" i="8"/>
  <c r="P2271" i="8"/>
  <c r="O2272" i="8"/>
  <c r="P2272" i="8"/>
  <c r="O2273" i="8"/>
  <c r="P2273" i="8"/>
  <c r="O2274" i="8"/>
  <c r="P2274" i="8"/>
  <c r="O2275" i="8"/>
  <c r="P2275" i="8"/>
  <c r="O2276" i="8"/>
  <c r="P2276" i="8"/>
  <c r="O2277" i="8"/>
  <c r="P2277" i="8"/>
  <c r="O2278" i="8"/>
  <c r="P2278" i="8"/>
  <c r="O2279" i="8"/>
  <c r="P2279" i="8"/>
  <c r="O2280" i="8"/>
  <c r="P2280" i="8"/>
  <c r="O2281" i="8"/>
  <c r="P2281" i="8"/>
  <c r="O2282" i="8"/>
  <c r="P2282" i="8"/>
  <c r="O2283" i="8"/>
  <c r="P2283" i="8"/>
  <c r="O2284" i="8"/>
  <c r="P2284" i="8"/>
  <c r="O2285" i="8"/>
  <c r="P2285" i="8"/>
  <c r="O2286" i="8"/>
  <c r="P2286" i="8"/>
  <c r="O2287" i="8"/>
  <c r="P2287" i="8"/>
  <c r="O2288" i="8"/>
  <c r="P2288" i="8"/>
  <c r="O2289" i="8"/>
  <c r="P2289" i="8"/>
  <c r="O2290" i="8"/>
  <c r="P2290" i="8"/>
  <c r="O2291" i="8"/>
  <c r="P2291" i="8"/>
  <c r="O2292" i="8"/>
  <c r="P2292" i="8"/>
  <c r="O2293" i="8"/>
  <c r="P2293" i="8"/>
  <c r="O2294" i="8"/>
  <c r="P2294" i="8"/>
  <c r="O2295" i="8"/>
  <c r="P2295" i="8"/>
  <c r="O2296" i="8"/>
  <c r="P2296" i="8"/>
  <c r="O2297" i="8"/>
  <c r="P2297" i="8"/>
  <c r="O2298" i="8"/>
  <c r="P2298" i="8"/>
  <c r="O2299" i="8"/>
  <c r="P2299" i="8"/>
  <c r="O2300" i="8"/>
  <c r="P2300" i="8"/>
  <c r="O2301" i="8"/>
  <c r="P2301" i="8"/>
  <c r="O2302" i="8"/>
  <c r="P2302" i="8"/>
  <c r="O2303" i="8"/>
  <c r="P2303" i="8"/>
  <c r="O2304" i="8"/>
  <c r="P2304" i="8"/>
  <c r="O2305" i="8"/>
  <c r="P2305" i="8"/>
  <c r="O2306" i="8"/>
  <c r="P2306" i="8"/>
  <c r="O2307" i="8"/>
  <c r="P2307" i="8"/>
  <c r="O2308" i="8"/>
  <c r="P2308" i="8"/>
  <c r="O2309" i="8"/>
  <c r="P2309" i="8"/>
  <c r="O2310" i="8"/>
  <c r="P2310" i="8"/>
  <c r="O2311" i="8"/>
  <c r="P2311" i="8"/>
  <c r="O2312" i="8"/>
  <c r="P2312" i="8"/>
  <c r="O2313" i="8"/>
  <c r="P2313" i="8"/>
  <c r="O2314" i="8"/>
  <c r="P2314" i="8"/>
  <c r="O2315" i="8"/>
  <c r="P2315" i="8"/>
  <c r="O2316" i="8"/>
  <c r="P2316" i="8"/>
  <c r="O2317" i="8"/>
  <c r="P2317" i="8"/>
  <c r="O2318" i="8"/>
  <c r="P2318" i="8"/>
  <c r="O2319" i="8"/>
  <c r="P2319" i="8"/>
  <c r="O2320" i="8"/>
  <c r="P2320" i="8"/>
  <c r="O2321" i="8"/>
  <c r="P2321" i="8"/>
  <c r="O2322" i="8"/>
  <c r="P2322" i="8"/>
  <c r="O2323" i="8"/>
  <c r="P2323" i="8"/>
  <c r="O2324" i="8"/>
  <c r="P2324" i="8"/>
  <c r="O2325" i="8"/>
  <c r="P2325" i="8"/>
  <c r="O2326" i="8"/>
  <c r="P2326" i="8"/>
  <c r="O2327" i="8"/>
  <c r="P2327" i="8"/>
  <c r="O2328" i="8"/>
  <c r="P2328" i="8"/>
  <c r="O2329" i="8"/>
  <c r="P2329" i="8"/>
  <c r="O2330" i="8"/>
  <c r="P2330" i="8"/>
  <c r="O2331" i="8"/>
  <c r="P2331" i="8"/>
  <c r="O2332" i="8"/>
  <c r="P2332" i="8"/>
  <c r="O2333" i="8"/>
  <c r="P2333" i="8"/>
  <c r="O2334" i="8"/>
  <c r="P2334" i="8"/>
  <c r="O2335" i="8"/>
  <c r="P2335" i="8"/>
  <c r="O2336" i="8"/>
  <c r="P2336" i="8"/>
  <c r="O2337" i="8"/>
  <c r="P2337" i="8"/>
  <c r="O2338" i="8"/>
  <c r="P2338" i="8"/>
  <c r="O2339" i="8"/>
  <c r="P2339" i="8"/>
  <c r="O2340" i="8"/>
  <c r="P2340" i="8"/>
  <c r="O2341" i="8"/>
  <c r="P2341" i="8"/>
  <c r="O2342" i="8"/>
  <c r="P2342" i="8"/>
  <c r="O2343" i="8"/>
  <c r="P2343" i="8"/>
  <c r="O2344" i="8"/>
  <c r="P2344" i="8"/>
  <c r="O2345" i="8"/>
  <c r="P2345" i="8"/>
  <c r="O2346" i="8"/>
  <c r="P2346" i="8"/>
  <c r="O2347" i="8"/>
  <c r="P2347" i="8"/>
  <c r="O2348" i="8"/>
  <c r="P2348" i="8"/>
  <c r="O2349" i="8"/>
  <c r="P2349" i="8"/>
  <c r="O2350" i="8"/>
  <c r="P2350" i="8"/>
  <c r="O2351" i="8"/>
  <c r="P2351" i="8"/>
  <c r="O2352" i="8"/>
  <c r="P2352" i="8"/>
  <c r="O2353" i="8"/>
  <c r="P2353" i="8"/>
  <c r="O2354" i="8"/>
  <c r="P2354" i="8"/>
  <c r="O2355" i="8"/>
  <c r="P2355" i="8"/>
  <c r="O2356" i="8"/>
  <c r="P2356" i="8"/>
  <c r="O2357" i="8"/>
  <c r="P2357" i="8"/>
  <c r="O2358" i="8"/>
  <c r="P2358" i="8"/>
  <c r="O2359" i="8"/>
  <c r="P2359" i="8"/>
  <c r="O2360" i="8"/>
  <c r="P2360" i="8"/>
  <c r="O2361" i="8"/>
  <c r="P2361" i="8"/>
  <c r="O2362" i="8"/>
  <c r="P2362" i="8"/>
  <c r="O2363" i="8"/>
  <c r="P2363" i="8"/>
  <c r="O2364" i="8"/>
  <c r="P2364" i="8"/>
  <c r="O2365" i="8"/>
  <c r="P2365" i="8"/>
  <c r="O2366" i="8"/>
  <c r="P2366" i="8"/>
  <c r="O2367" i="8"/>
  <c r="P2367" i="8"/>
  <c r="O2368" i="8"/>
  <c r="P2368" i="8"/>
  <c r="O2369" i="8"/>
  <c r="P2369" i="8"/>
  <c r="O2370" i="8"/>
  <c r="P2370" i="8"/>
  <c r="O2371" i="8"/>
  <c r="P2371" i="8"/>
  <c r="O2372" i="8"/>
  <c r="P2372" i="8"/>
  <c r="O2373" i="8"/>
  <c r="P2373" i="8"/>
  <c r="O2374" i="8"/>
  <c r="P2374" i="8"/>
  <c r="O2375" i="8"/>
  <c r="P2375" i="8"/>
  <c r="O2376" i="8"/>
  <c r="P2376" i="8"/>
  <c r="O2377" i="8"/>
  <c r="P2377" i="8"/>
  <c r="O2378" i="8"/>
  <c r="P2378" i="8"/>
  <c r="O2379" i="8"/>
  <c r="P2379" i="8"/>
  <c r="O2380" i="8"/>
  <c r="P2380" i="8"/>
  <c r="O2381" i="8"/>
  <c r="P2381" i="8"/>
  <c r="O2382" i="8"/>
  <c r="P2382" i="8"/>
  <c r="O2383" i="8"/>
  <c r="P2383" i="8"/>
  <c r="O2384" i="8"/>
  <c r="P2384" i="8"/>
  <c r="O2385" i="8"/>
  <c r="P2385" i="8"/>
  <c r="O2386" i="8"/>
  <c r="P2386" i="8"/>
  <c r="O2387" i="8"/>
  <c r="P2387" i="8"/>
  <c r="O2388" i="8"/>
  <c r="P2388" i="8"/>
  <c r="O2389" i="8"/>
  <c r="P2389" i="8"/>
  <c r="O2390" i="8"/>
  <c r="P2390" i="8"/>
  <c r="O2391" i="8"/>
  <c r="P2391" i="8"/>
  <c r="O2392" i="8"/>
  <c r="P2392" i="8"/>
  <c r="O2393" i="8"/>
  <c r="P2393" i="8"/>
  <c r="O2394" i="8"/>
  <c r="P2394" i="8"/>
  <c r="O2395" i="8"/>
  <c r="P2395" i="8"/>
  <c r="O2396" i="8"/>
  <c r="P2396" i="8"/>
  <c r="O2397" i="8"/>
  <c r="P2397" i="8"/>
  <c r="O2398" i="8"/>
  <c r="P2398" i="8"/>
  <c r="O2399" i="8"/>
  <c r="P2399" i="8"/>
  <c r="O2400" i="8"/>
  <c r="P2400" i="8"/>
  <c r="O2401" i="8"/>
  <c r="P2401" i="8"/>
  <c r="O2402" i="8"/>
  <c r="P2402" i="8"/>
  <c r="O2403" i="8"/>
  <c r="P2403" i="8"/>
  <c r="O2404" i="8"/>
  <c r="P2404" i="8"/>
  <c r="O2405" i="8"/>
  <c r="P2405" i="8"/>
  <c r="O2406" i="8"/>
  <c r="P2406" i="8"/>
  <c r="O2407" i="8"/>
  <c r="P2407" i="8"/>
  <c r="O2408" i="8"/>
  <c r="P2408" i="8"/>
  <c r="O2409" i="8"/>
  <c r="P2409" i="8"/>
  <c r="O2410" i="8"/>
  <c r="P2410" i="8"/>
  <c r="O2411" i="8"/>
  <c r="P2411" i="8"/>
  <c r="O2412" i="8"/>
  <c r="P2412" i="8"/>
  <c r="O2413" i="8"/>
  <c r="P2413" i="8"/>
  <c r="O2414" i="8"/>
  <c r="P2414" i="8"/>
  <c r="O2415" i="8"/>
  <c r="P2415" i="8"/>
  <c r="O2416" i="8"/>
  <c r="P2416" i="8"/>
  <c r="O2417" i="8"/>
  <c r="P2417" i="8"/>
  <c r="O2418" i="8"/>
  <c r="P2418" i="8"/>
  <c r="O2419" i="8"/>
  <c r="P2419" i="8"/>
  <c r="O2420" i="8"/>
  <c r="P2420" i="8"/>
  <c r="O2421" i="8"/>
  <c r="P2421" i="8"/>
  <c r="O2422" i="8"/>
  <c r="P2422" i="8"/>
  <c r="O2423" i="8"/>
  <c r="P2423" i="8"/>
  <c r="O2424" i="8"/>
  <c r="P2424" i="8"/>
  <c r="O2425" i="8"/>
  <c r="P2425" i="8"/>
  <c r="O2426" i="8"/>
  <c r="P2426" i="8"/>
  <c r="O2427" i="8"/>
  <c r="P2427" i="8"/>
  <c r="O2428" i="8"/>
  <c r="P2428" i="8"/>
  <c r="O2429" i="8"/>
  <c r="P2429" i="8"/>
  <c r="O2430" i="8"/>
  <c r="P2430" i="8"/>
  <c r="O2431" i="8"/>
  <c r="P2431" i="8"/>
  <c r="O2432" i="8"/>
  <c r="P2432" i="8"/>
  <c r="O2433" i="8"/>
  <c r="P2433" i="8"/>
  <c r="O2434" i="8"/>
  <c r="P2434" i="8"/>
  <c r="O2435" i="8"/>
  <c r="P2435" i="8"/>
  <c r="O2436" i="8"/>
  <c r="P2436" i="8"/>
  <c r="O2437" i="8"/>
  <c r="P2437" i="8"/>
  <c r="O2438" i="8"/>
  <c r="P2438" i="8"/>
  <c r="O2439" i="8"/>
  <c r="P2439" i="8"/>
  <c r="O2440" i="8"/>
  <c r="P2440" i="8"/>
  <c r="O2441" i="8"/>
  <c r="P2441" i="8"/>
  <c r="O2442" i="8"/>
  <c r="P2442" i="8"/>
  <c r="O2443" i="8"/>
  <c r="P2443" i="8"/>
  <c r="O2444" i="8"/>
  <c r="P2444" i="8"/>
  <c r="O2445" i="8"/>
  <c r="P2445" i="8"/>
  <c r="O2446" i="8"/>
  <c r="P2446" i="8"/>
  <c r="O2447" i="8"/>
  <c r="P2447" i="8"/>
  <c r="O2448" i="8"/>
  <c r="P2448" i="8"/>
  <c r="O2449" i="8"/>
  <c r="P2449" i="8"/>
  <c r="O2450" i="8"/>
  <c r="P2450" i="8"/>
  <c r="O2451" i="8"/>
  <c r="P2451" i="8"/>
  <c r="O2452" i="8"/>
  <c r="P2452" i="8"/>
  <c r="O2453" i="8"/>
  <c r="P2453" i="8"/>
  <c r="O2454" i="8"/>
  <c r="P2454" i="8"/>
  <c r="O2455" i="8"/>
  <c r="P2455" i="8"/>
  <c r="O2456" i="8"/>
  <c r="P2456" i="8"/>
  <c r="O2457" i="8"/>
  <c r="P2457" i="8"/>
  <c r="O2458" i="8"/>
  <c r="P2458" i="8"/>
  <c r="O2459" i="8"/>
  <c r="P2459" i="8"/>
  <c r="O2460" i="8"/>
  <c r="P2460" i="8"/>
  <c r="O2461" i="8"/>
  <c r="P2461" i="8"/>
  <c r="O2462" i="8"/>
  <c r="P2462" i="8"/>
  <c r="O2463" i="8"/>
  <c r="P2463" i="8"/>
  <c r="O2464" i="8"/>
  <c r="P2464" i="8"/>
  <c r="O2465" i="8"/>
  <c r="P2465" i="8"/>
  <c r="O2466" i="8"/>
  <c r="P2466" i="8"/>
  <c r="O2467" i="8"/>
  <c r="P2467" i="8"/>
  <c r="O2468" i="8"/>
  <c r="P2468" i="8"/>
  <c r="O2469" i="8"/>
  <c r="P2469" i="8"/>
  <c r="O2470" i="8"/>
  <c r="P2470" i="8"/>
  <c r="O2471" i="8"/>
  <c r="P2471" i="8"/>
  <c r="O2472" i="8"/>
  <c r="P2472" i="8"/>
  <c r="O2473" i="8"/>
  <c r="P2473" i="8"/>
  <c r="O2474" i="8"/>
  <c r="P2474" i="8"/>
  <c r="O2475" i="8"/>
  <c r="P2475" i="8"/>
  <c r="O2476" i="8"/>
  <c r="P2476" i="8"/>
  <c r="O2477" i="8"/>
  <c r="P2477" i="8"/>
  <c r="O2478" i="8"/>
  <c r="P2478" i="8"/>
  <c r="O2479" i="8"/>
  <c r="P2479" i="8"/>
  <c r="O2480" i="8"/>
  <c r="P2480" i="8"/>
  <c r="O2481" i="8"/>
  <c r="P2481" i="8"/>
  <c r="O2482" i="8"/>
  <c r="P2482" i="8"/>
  <c r="O2483" i="8"/>
  <c r="P2483" i="8"/>
  <c r="O2484" i="8"/>
  <c r="P2484" i="8"/>
  <c r="O2485" i="8"/>
  <c r="P2485" i="8"/>
  <c r="O2486" i="8"/>
  <c r="P2486" i="8"/>
  <c r="O2487" i="8"/>
  <c r="P2487" i="8"/>
  <c r="O2488" i="8"/>
  <c r="P2488" i="8"/>
  <c r="O2489" i="8"/>
  <c r="P2489" i="8"/>
  <c r="O2490" i="8"/>
  <c r="P2490" i="8"/>
  <c r="O2491" i="8"/>
  <c r="P2491" i="8"/>
  <c r="O2492" i="8"/>
  <c r="P2492" i="8"/>
  <c r="O2493" i="8"/>
  <c r="P2493" i="8"/>
  <c r="O2494" i="8"/>
  <c r="P2494" i="8"/>
  <c r="O2495" i="8"/>
  <c r="P2495" i="8"/>
  <c r="O2496" i="8"/>
  <c r="P2496" i="8"/>
  <c r="O2497" i="8"/>
  <c r="P2497" i="8"/>
  <c r="O2498" i="8"/>
  <c r="P2498" i="8"/>
  <c r="O2499" i="8"/>
  <c r="P2499" i="8"/>
  <c r="O2500" i="8"/>
  <c r="P2500" i="8"/>
  <c r="O2501" i="8"/>
  <c r="P2501" i="8"/>
  <c r="O2502" i="8"/>
  <c r="P2502" i="8"/>
  <c r="O2503" i="8"/>
  <c r="P2503" i="8"/>
  <c r="O2504" i="8"/>
  <c r="P2504" i="8"/>
  <c r="O2505" i="8"/>
  <c r="P2505" i="8"/>
  <c r="O2506" i="8"/>
  <c r="P2506" i="8"/>
  <c r="O2507" i="8"/>
  <c r="P2507" i="8"/>
  <c r="O2508" i="8"/>
  <c r="P2508" i="8"/>
  <c r="O2509" i="8"/>
  <c r="P2509" i="8"/>
  <c r="O2510" i="8"/>
  <c r="P2510" i="8"/>
  <c r="O2511" i="8"/>
  <c r="P2511" i="8"/>
  <c r="O2512" i="8"/>
  <c r="P2512" i="8"/>
  <c r="O2513" i="8"/>
  <c r="P2513" i="8"/>
  <c r="O2514" i="8"/>
  <c r="P2514" i="8"/>
  <c r="O2515" i="8"/>
  <c r="P2515" i="8"/>
  <c r="O2516" i="8"/>
  <c r="P2516" i="8"/>
  <c r="O2517" i="8"/>
  <c r="P2517" i="8"/>
  <c r="O2518" i="8"/>
  <c r="P2518" i="8"/>
  <c r="O2519" i="8"/>
  <c r="P2519" i="8"/>
  <c r="O2520" i="8"/>
  <c r="P2520" i="8"/>
  <c r="O2521" i="8"/>
  <c r="P2521" i="8"/>
  <c r="O2522" i="8"/>
  <c r="P2522" i="8"/>
  <c r="O2523" i="8"/>
  <c r="P2523" i="8"/>
  <c r="O2524" i="8"/>
  <c r="P2524" i="8"/>
  <c r="O2525" i="8"/>
  <c r="P2525" i="8"/>
  <c r="O2526" i="8"/>
  <c r="P2526" i="8"/>
  <c r="O2527" i="8"/>
  <c r="P2527" i="8"/>
  <c r="O2528" i="8"/>
  <c r="P2528" i="8"/>
  <c r="O2529" i="8"/>
  <c r="P2529" i="8"/>
  <c r="O2530" i="8"/>
  <c r="P2530" i="8"/>
  <c r="O2531" i="8"/>
  <c r="P2531" i="8"/>
  <c r="O2532" i="8"/>
  <c r="P2532" i="8"/>
  <c r="O2533" i="8"/>
  <c r="P2533" i="8"/>
  <c r="O2534" i="8"/>
  <c r="P2534" i="8"/>
  <c r="O2535" i="8"/>
  <c r="P2535" i="8"/>
  <c r="O2536" i="8"/>
  <c r="P2536" i="8"/>
  <c r="O2537" i="8"/>
  <c r="P2537" i="8"/>
  <c r="O2538" i="8"/>
  <c r="P2538" i="8"/>
  <c r="O2539" i="8"/>
  <c r="P2539" i="8"/>
  <c r="O2540" i="8"/>
  <c r="P2540" i="8"/>
  <c r="O2541" i="8"/>
  <c r="P2541" i="8"/>
  <c r="O2542" i="8"/>
  <c r="P2542" i="8"/>
  <c r="O2543" i="8"/>
  <c r="P2543" i="8"/>
  <c r="O2544" i="8"/>
  <c r="P2544" i="8"/>
  <c r="O2545" i="8"/>
  <c r="P2545" i="8"/>
  <c r="O2546" i="8"/>
  <c r="P2546" i="8"/>
  <c r="O2547" i="8"/>
  <c r="P2547" i="8"/>
  <c r="O2548" i="8"/>
  <c r="P2548" i="8"/>
  <c r="O2549" i="8"/>
  <c r="P2549" i="8"/>
  <c r="O2550" i="8"/>
  <c r="P2550" i="8"/>
  <c r="O2551" i="8"/>
  <c r="P2551" i="8"/>
  <c r="O2552" i="8"/>
  <c r="P2552" i="8"/>
  <c r="O2553" i="8"/>
  <c r="P2553" i="8"/>
  <c r="O2554" i="8"/>
  <c r="P2554" i="8"/>
  <c r="O2555" i="8"/>
  <c r="P2555" i="8"/>
  <c r="O2556" i="8"/>
  <c r="P2556" i="8"/>
  <c r="O2557" i="8"/>
  <c r="P2557" i="8"/>
  <c r="O2558" i="8"/>
  <c r="P2558" i="8"/>
  <c r="O2559" i="8"/>
  <c r="P2559" i="8"/>
  <c r="O2560" i="8"/>
  <c r="P2560" i="8"/>
  <c r="O2561" i="8"/>
  <c r="P2561" i="8"/>
  <c r="O2562" i="8"/>
  <c r="P2562" i="8"/>
  <c r="O2563" i="8"/>
  <c r="P2563" i="8"/>
  <c r="O2564" i="8"/>
  <c r="P2564" i="8"/>
  <c r="O2565" i="8"/>
  <c r="P2565" i="8"/>
  <c r="O2566" i="8"/>
  <c r="P2566" i="8"/>
  <c r="O2567" i="8"/>
  <c r="P2567" i="8"/>
  <c r="O2568" i="8"/>
  <c r="P2568" i="8"/>
  <c r="O2569" i="8"/>
  <c r="P2569" i="8"/>
  <c r="O2570" i="8"/>
  <c r="P2570" i="8"/>
  <c r="O2571" i="8"/>
  <c r="P2571" i="8"/>
  <c r="O2572" i="8"/>
  <c r="P2572" i="8"/>
  <c r="O2573" i="8"/>
  <c r="P2573" i="8"/>
  <c r="O2574" i="8"/>
  <c r="P2574" i="8"/>
  <c r="O2575" i="8"/>
  <c r="P2575" i="8"/>
  <c r="O2576" i="8"/>
  <c r="P2576" i="8"/>
  <c r="O2577" i="8"/>
  <c r="P2577" i="8"/>
  <c r="O2578" i="8"/>
  <c r="P2578" i="8"/>
  <c r="O2579" i="8"/>
  <c r="P2579" i="8"/>
  <c r="O2580" i="8"/>
  <c r="P2580" i="8"/>
  <c r="O2581" i="8"/>
  <c r="P2581" i="8"/>
  <c r="O2582" i="8"/>
  <c r="P2582" i="8"/>
  <c r="O2583" i="8"/>
  <c r="P2583" i="8"/>
  <c r="O2584" i="8"/>
  <c r="P2584" i="8"/>
  <c r="O2585" i="8"/>
  <c r="P2585" i="8"/>
  <c r="O2586" i="8"/>
  <c r="P2586" i="8"/>
  <c r="O2587" i="8"/>
  <c r="P2587" i="8"/>
  <c r="O2588" i="8"/>
  <c r="P2588" i="8"/>
  <c r="O2589" i="8"/>
  <c r="P2589" i="8"/>
  <c r="O2590" i="8"/>
  <c r="P2590" i="8"/>
  <c r="O2591" i="8"/>
  <c r="P2591" i="8"/>
  <c r="O2592" i="8"/>
  <c r="P2592" i="8"/>
  <c r="O2593" i="8"/>
  <c r="P2593" i="8"/>
  <c r="O2594" i="8"/>
  <c r="P2594" i="8"/>
  <c r="O2595" i="8"/>
  <c r="P2595" i="8"/>
  <c r="O2596" i="8"/>
  <c r="P2596" i="8"/>
  <c r="O2597" i="8"/>
  <c r="P2597" i="8"/>
  <c r="O2598" i="8"/>
  <c r="P2598" i="8"/>
  <c r="O2599" i="8"/>
  <c r="P2599" i="8"/>
  <c r="O2600" i="8"/>
  <c r="P2600" i="8"/>
  <c r="O2601" i="8"/>
  <c r="P2601" i="8"/>
  <c r="O2602" i="8"/>
  <c r="P2602" i="8"/>
  <c r="O2603" i="8"/>
  <c r="P2603" i="8"/>
  <c r="O2604" i="8"/>
  <c r="P2604" i="8"/>
  <c r="O2605" i="8"/>
  <c r="P2605" i="8"/>
  <c r="O2606" i="8"/>
  <c r="P2606" i="8"/>
  <c r="O2607" i="8"/>
  <c r="P2607" i="8"/>
  <c r="O2608" i="8"/>
  <c r="P2608" i="8"/>
  <c r="O2609" i="8"/>
  <c r="P2609" i="8"/>
  <c r="O2610" i="8"/>
  <c r="P2610" i="8"/>
  <c r="O2611" i="8"/>
  <c r="P2611" i="8"/>
  <c r="O2612" i="8"/>
  <c r="P2612" i="8"/>
  <c r="O2613" i="8"/>
  <c r="P2613" i="8"/>
  <c r="O2614" i="8"/>
  <c r="P2614" i="8"/>
  <c r="O2615" i="8"/>
  <c r="P2615" i="8"/>
  <c r="O2616" i="8"/>
  <c r="P2616" i="8"/>
  <c r="O2617" i="8"/>
  <c r="P2617" i="8"/>
  <c r="O2618" i="8"/>
  <c r="P2618" i="8"/>
  <c r="O2619" i="8"/>
  <c r="P2619" i="8"/>
  <c r="O2620" i="8"/>
  <c r="P2620" i="8"/>
  <c r="O2621" i="8"/>
  <c r="P2621" i="8"/>
  <c r="O2622" i="8"/>
  <c r="P2622" i="8"/>
  <c r="O2623" i="8"/>
  <c r="P2623" i="8"/>
  <c r="O2624" i="8"/>
  <c r="P2624" i="8"/>
  <c r="O2625" i="8"/>
  <c r="P2625" i="8"/>
  <c r="O2626" i="8"/>
  <c r="P2626" i="8"/>
  <c r="O2627" i="8"/>
  <c r="P2627" i="8"/>
  <c r="O2628" i="8"/>
  <c r="P2628" i="8"/>
  <c r="O2629" i="8"/>
  <c r="P2629" i="8"/>
  <c r="O2630" i="8"/>
  <c r="P2630" i="8"/>
  <c r="O2631" i="8"/>
  <c r="P2631" i="8"/>
  <c r="O2632" i="8"/>
  <c r="P2632" i="8"/>
  <c r="O2633" i="8"/>
  <c r="P2633" i="8"/>
  <c r="O2634" i="8"/>
  <c r="P2634" i="8"/>
  <c r="O2635" i="8"/>
  <c r="P2635" i="8"/>
  <c r="O2636" i="8"/>
  <c r="P2636" i="8"/>
  <c r="O2637" i="8"/>
  <c r="P2637" i="8"/>
  <c r="O2638" i="8"/>
  <c r="P2638" i="8"/>
  <c r="O2639" i="8"/>
  <c r="P2639" i="8"/>
  <c r="O2640" i="8"/>
  <c r="P2640" i="8"/>
  <c r="O2641" i="8"/>
  <c r="P2641" i="8"/>
  <c r="O2642" i="8"/>
  <c r="P2642" i="8"/>
  <c r="O2643" i="8"/>
  <c r="P2643" i="8"/>
  <c r="O2644" i="8"/>
  <c r="P2644" i="8"/>
  <c r="O2645" i="8"/>
  <c r="P2645" i="8"/>
  <c r="O2646" i="8"/>
  <c r="P2646" i="8"/>
  <c r="O2647" i="8"/>
  <c r="P2647" i="8"/>
  <c r="O2648" i="8"/>
  <c r="P2648" i="8"/>
  <c r="O2649" i="8"/>
  <c r="P2649" i="8"/>
  <c r="O2650" i="8"/>
  <c r="P2650" i="8"/>
  <c r="O2651" i="8"/>
  <c r="P2651" i="8"/>
  <c r="O2652" i="8"/>
  <c r="P2652" i="8"/>
  <c r="O2653" i="8"/>
  <c r="P2653" i="8"/>
  <c r="O2654" i="8"/>
  <c r="P2654" i="8"/>
  <c r="O2655" i="8"/>
  <c r="P2655" i="8"/>
  <c r="O2656" i="8"/>
  <c r="P2656" i="8"/>
  <c r="O2657" i="8"/>
  <c r="P2657" i="8"/>
  <c r="O2658" i="8"/>
  <c r="P2658" i="8"/>
  <c r="O2659" i="8"/>
  <c r="P2659" i="8"/>
  <c r="O2660" i="8"/>
  <c r="P2660" i="8"/>
  <c r="O2661" i="8"/>
  <c r="P2661" i="8"/>
  <c r="O2662" i="8"/>
  <c r="P2662" i="8"/>
  <c r="O2663" i="8"/>
  <c r="P2663" i="8"/>
  <c r="O2664" i="8"/>
  <c r="P2664" i="8"/>
  <c r="O2665" i="8"/>
  <c r="P2665" i="8"/>
  <c r="O2666" i="8"/>
  <c r="P2666" i="8"/>
  <c r="O2667" i="8"/>
  <c r="P2667" i="8"/>
  <c r="O2668" i="8"/>
  <c r="P2668" i="8"/>
  <c r="O2669" i="8"/>
  <c r="P2669" i="8"/>
  <c r="O2670" i="8"/>
  <c r="P2670" i="8"/>
  <c r="O2671" i="8"/>
  <c r="P2671" i="8"/>
  <c r="O2672" i="8"/>
  <c r="P2672" i="8"/>
  <c r="O2673" i="8"/>
  <c r="P2673" i="8"/>
  <c r="O2674" i="8"/>
  <c r="P2674" i="8"/>
  <c r="O2675" i="8"/>
  <c r="P2675" i="8"/>
  <c r="O2676" i="8"/>
  <c r="P2676" i="8"/>
  <c r="O2677" i="8"/>
  <c r="P2677" i="8"/>
  <c r="O2678" i="8"/>
  <c r="P2678" i="8"/>
  <c r="O2679" i="8"/>
  <c r="P2679" i="8"/>
  <c r="O2680" i="8"/>
  <c r="P2680" i="8"/>
  <c r="O2681" i="8"/>
  <c r="P2681" i="8"/>
  <c r="O2682" i="8"/>
  <c r="P2682" i="8"/>
  <c r="O2683" i="8"/>
  <c r="P2683" i="8"/>
  <c r="O2684" i="8"/>
  <c r="P2684" i="8"/>
  <c r="O2685" i="8"/>
  <c r="P2685" i="8"/>
  <c r="O2686" i="8"/>
  <c r="P2686" i="8"/>
  <c r="O2687" i="8"/>
  <c r="P2687" i="8"/>
  <c r="O2688" i="8"/>
  <c r="P2688" i="8"/>
  <c r="O2689" i="8"/>
  <c r="P2689" i="8"/>
  <c r="O2690" i="8"/>
  <c r="P2690" i="8"/>
  <c r="O2691" i="8"/>
  <c r="P2691" i="8"/>
  <c r="O2692" i="8"/>
  <c r="P2692" i="8"/>
  <c r="O2693" i="8"/>
  <c r="P2693" i="8"/>
  <c r="O2694" i="8"/>
  <c r="P2694" i="8"/>
  <c r="O2695" i="8"/>
  <c r="P2695" i="8"/>
  <c r="O2696" i="8"/>
  <c r="P2696" i="8"/>
  <c r="O2697" i="8"/>
  <c r="P2697" i="8"/>
  <c r="O2698" i="8"/>
  <c r="P2698" i="8"/>
  <c r="O2699" i="8"/>
  <c r="P2699" i="8"/>
  <c r="O2700" i="8"/>
  <c r="P2700" i="8"/>
  <c r="O2701" i="8"/>
  <c r="P2701" i="8"/>
  <c r="O2702" i="8"/>
  <c r="P2702" i="8"/>
  <c r="O2703" i="8"/>
  <c r="P2703" i="8"/>
  <c r="O2704" i="8"/>
  <c r="P2704" i="8"/>
  <c r="O2705" i="8"/>
  <c r="P2705" i="8"/>
  <c r="O2706" i="8"/>
  <c r="P2706" i="8"/>
  <c r="O2707" i="8"/>
  <c r="P2707" i="8"/>
  <c r="O2708" i="8"/>
  <c r="P2708" i="8"/>
  <c r="O2709" i="8"/>
  <c r="P2709" i="8"/>
  <c r="O2710" i="8"/>
  <c r="P2710" i="8"/>
  <c r="O2711" i="8"/>
  <c r="P2711" i="8"/>
  <c r="O2712" i="8"/>
  <c r="P2712" i="8"/>
  <c r="O2713" i="8"/>
  <c r="P2713" i="8"/>
  <c r="O2714" i="8"/>
  <c r="P2714" i="8"/>
  <c r="O2715" i="8"/>
  <c r="P2715" i="8"/>
  <c r="O2716" i="8"/>
  <c r="P2716" i="8"/>
  <c r="O2717" i="8"/>
  <c r="P2717" i="8"/>
  <c r="O2718" i="8"/>
  <c r="P2718" i="8"/>
  <c r="O2719" i="8"/>
  <c r="P2719" i="8"/>
  <c r="O2720" i="8"/>
  <c r="P2720" i="8"/>
  <c r="O2721" i="8"/>
  <c r="P2721" i="8"/>
  <c r="O2722" i="8"/>
  <c r="P2722" i="8"/>
  <c r="O2723" i="8"/>
  <c r="P2723" i="8"/>
  <c r="O2724" i="8"/>
  <c r="P2724" i="8"/>
  <c r="O2725" i="8"/>
  <c r="P2725" i="8"/>
  <c r="O2726" i="8"/>
  <c r="P2726" i="8"/>
  <c r="O2727" i="8"/>
  <c r="P2727" i="8"/>
  <c r="O2728" i="8"/>
  <c r="P2728" i="8"/>
  <c r="O2729" i="8"/>
  <c r="P2729" i="8"/>
  <c r="O2730" i="8"/>
  <c r="P2730" i="8"/>
  <c r="O2731" i="8"/>
  <c r="P2731" i="8"/>
  <c r="O2732" i="8"/>
  <c r="P2732" i="8"/>
  <c r="O2733" i="8"/>
  <c r="P2733" i="8"/>
  <c r="O2734" i="8"/>
  <c r="P2734" i="8"/>
  <c r="O2735" i="8"/>
  <c r="P2735" i="8"/>
  <c r="O2736" i="8"/>
  <c r="P2736" i="8"/>
  <c r="O2737" i="8"/>
  <c r="P2737" i="8"/>
  <c r="O2738" i="8"/>
  <c r="P2738" i="8"/>
  <c r="O2739" i="8"/>
  <c r="P2739" i="8"/>
  <c r="O2740" i="8"/>
  <c r="P2740" i="8"/>
  <c r="O2741" i="8"/>
  <c r="P2741" i="8"/>
  <c r="O2742" i="8"/>
  <c r="P2742" i="8"/>
  <c r="O2743" i="8"/>
  <c r="P2743" i="8"/>
  <c r="O2744" i="8"/>
  <c r="P2744" i="8"/>
  <c r="O2745" i="8"/>
  <c r="P2745" i="8"/>
  <c r="O2746" i="8"/>
  <c r="P2746" i="8"/>
  <c r="O2747" i="8"/>
  <c r="P2747" i="8"/>
  <c r="O2748" i="8"/>
  <c r="P2748" i="8"/>
  <c r="O2749" i="8"/>
  <c r="P2749" i="8"/>
  <c r="O2750" i="8"/>
  <c r="P2750" i="8"/>
  <c r="O2751" i="8"/>
  <c r="P2751" i="8"/>
  <c r="O2752" i="8"/>
  <c r="P2752" i="8"/>
  <c r="O2753" i="8"/>
  <c r="P2753" i="8"/>
  <c r="O2754" i="8"/>
  <c r="P2754" i="8"/>
  <c r="O2755" i="8"/>
  <c r="P2755" i="8"/>
  <c r="O2756" i="8"/>
  <c r="P2756" i="8"/>
  <c r="O2757" i="8"/>
  <c r="P2757" i="8"/>
  <c r="O2758" i="8"/>
  <c r="P2758" i="8"/>
  <c r="O2759" i="8"/>
  <c r="P2759" i="8"/>
  <c r="O2760" i="8"/>
  <c r="P2760" i="8"/>
  <c r="O2761" i="8"/>
  <c r="P2761" i="8"/>
  <c r="O2762" i="8"/>
  <c r="P2762" i="8"/>
  <c r="O2763" i="8"/>
  <c r="P2763" i="8"/>
  <c r="O2764" i="8"/>
  <c r="P2764" i="8"/>
  <c r="O2765" i="8"/>
  <c r="P2765" i="8"/>
  <c r="O2766" i="8"/>
  <c r="P2766" i="8"/>
  <c r="O2767" i="8"/>
  <c r="P2767" i="8"/>
  <c r="O2768" i="8"/>
  <c r="P2768" i="8"/>
  <c r="O2769" i="8"/>
  <c r="P2769" i="8"/>
  <c r="O2770" i="8"/>
  <c r="P2770" i="8"/>
  <c r="O2771" i="8"/>
  <c r="P2771" i="8"/>
  <c r="O2772" i="8"/>
  <c r="P2772" i="8"/>
  <c r="O2773" i="8"/>
  <c r="P2773" i="8"/>
  <c r="O2774" i="8"/>
  <c r="P2774" i="8"/>
  <c r="O2775" i="8"/>
  <c r="P2775" i="8"/>
  <c r="O2776" i="8"/>
  <c r="P2776" i="8"/>
  <c r="O2777" i="8"/>
  <c r="P2777" i="8"/>
  <c r="O2778" i="8"/>
  <c r="P2778" i="8"/>
  <c r="O2779" i="8"/>
  <c r="P2779" i="8"/>
  <c r="O2780" i="8"/>
  <c r="P2780" i="8"/>
  <c r="O2781" i="8"/>
  <c r="P2781" i="8"/>
  <c r="O2782" i="8"/>
  <c r="P2782" i="8"/>
  <c r="O2783" i="8"/>
  <c r="P2783" i="8"/>
  <c r="O2784" i="8"/>
  <c r="P2784" i="8"/>
  <c r="O2785" i="8"/>
  <c r="P2785" i="8"/>
  <c r="O2786" i="8"/>
  <c r="P2786" i="8"/>
  <c r="O2787" i="8"/>
  <c r="P2787" i="8"/>
  <c r="O2788" i="8"/>
  <c r="P2788" i="8"/>
  <c r="O2789" i="8"/>
  <c r="P2789" i="8"/>
  <c r="O2790" i="8"/>
  <c r="P2790" i="8"/>
  <c r="O2791" i="8"/>
  <c r="P2791" i="8"/>
  <c r="O2792" i="8"/>
  <c r="P2792" i="8"/>
  <c r="O2793" i="8"/>
  <c r="P2793" i="8"/>
  <c r="O2794" i="8"/>
  <c r="P2794" i="8"/>
  <c r="O2795" i="8"/>
  <c r="P2795" i="8"/>
  <c r="O2796" i="8"/>
  <c r="P2796" i="8"/>
  <c r="O2797" i="8"/>
  <c r="P2797" i="8"/>
  <c r="O2798" i="8"/>
  <c r="P2798" i="8"/>
  <c r="O2799" i="8"/>
  <c r="P2799" i="8"/>
  <c r="O2800" i="8"/>
  <c r="P2800" i="8"/>
  <c r="O2801" i="8"/>
  <c r="P2801" i="8"/>
  <c r="O2802" i="8"/>
  <c r="P2802" i="8"/>
  <c r="O2803" i="8"/>
  <c r="P2803" i="8"/>
  <c r="O2804" i="8"/>
  <c r="P2804" i="8"/>
  <c r="O2805" i="8"/>
  <c r="P2805" i="8"/>
  <c r="O2806" i="8"/>
  <c r="P2806" i="8"/>
  <c r="O2807" i="8"/>
  <c r="P2807" i="8"/>
  <c r="O2808" i="8"/>
  <c r="P2808" i="8"/>
  <c r="O2809" i="8"/>
  <c r="P2809" i="8"/>
  <c r="O2810" i="8"/>
  <c r="P2810" i="8"/>
  <c r="O2811" i="8"/>
  <c r="P2811" i="8"/>
  <c r="O2812" i="8"/>
  <c r="P2812" i="8"/>
  <c r="O2813" i="8"/>
  <c r="P2813" i="8"/>
  <c r="O2814" i="8"/>
  <c r="P2814" i="8"/>
  <c r="O2815" i="8"/>
  <c r="P2815" i="8"/>
  <c r="O2816" i="8"/>
  <c r="P2816" i="8"/>
  <c r="O2817" i="8"/>
  <c r="P2817" i="8"/>
  <c r="O2818" i="8"/>
  <c r="P2818" i="8"/>
  <c r="O2819" i="8"/>
  <c r="P2819" i="8"/>
  <c r="O2820" i="8"/>
  <c r="P2820" i="8"/>
  <c r="O2821" i="8"/>
  <c r="P2821" i="8"/>
  <c r="O2822" i="8"/>
  <c r="P2822" i="8"/>
  <c r="O2823" i="8"/>
  <c r="P2823" i="8"/>
  <c r="O2824" i="8"/>
  <c r="P2824" i="8"/>
  <c r="O2825" i="8"/>
  <c r="P2825" i="8"/>
  <c r="O2826" i="8"/>
  <c r="P2826" i="8"/>
  <c r="O2827" i="8"/>
  <c r="P2827" i="8"/>
  <c r="O2828" i="8"/>
  <c r="P2828" i="8"/>
  <c r="O2829" i="8"/>
  <c r="P2829" i="8"/>
  <c r="O2830" i="8"/>
  <c r="P2830" i="8"/>
  <c r="O2831" i="8"/>
  <c r="P2831" i="8"/>
  <c r="O2832" i="8"/>
  <c r="P2832" i="8"/>
  <c r="O2833" i="8"/>
  <c r="P2833" i="8"/>
  <c r="O2834" i="8"/>
  <c r="P2834" i="8"/>
  <c r="O2835" i="8"/>
  <c r="P2835" i="8"/>
  <c r="O2836" i="8"/>
  <c r="P2836" i="8"/>
  <c r="O2837" i="8"/>
  <c r="P2837" i="8"/>
  <c r="O2838" i="8"/>
  <c r="P2838" i="8"/>
  <c r="O2839" i="8"/>
  <c r="P2839" i="8"/>
  <c r="O2840" i="8"/>
  <c r="P2840" i="8"/>
  <c r="O2841" i="8"/>
  <c r="P2841" i="8"/>
  <c r="O2842" i="8"/>
  <c r="P2842" i="8"/>
  <c r="O2843" i="8"/>
  <c r="P2843" i="8"/>
  <c r="O2844" i="8"/>
  <c r="P2844" i="8"/>
  <c r="O2845" i="8"/>
  <c r="P2845" i="8"/>
  <c r="O2846" i="8"/>
  <c r="P2846" i="8"/>
  <c r="O2847" i="8"/>
  <c r="P2847" i="8"/>
  <c r="O2848" i="8"/>
  <c r="P2848" i="8"/>
  <c r="O2849" i="8"/>
  <c r="P2849" i="8"/>
  <c r="O2850" i="8"/>
  <c r="P2850" i="8"/>
  <c r="O2851" i="8"/>
  <c r="P2851" i="8"/>
  <c r="O2852" i="8"/>
  <c r="P2852" i="8"/>
  <c r="O2853" i="8"/>
  <c r="P2853" i="8"/>
  <c r="O2854" i="8"/>
  <c r="P2854" i="8"/>
  <c r="O2855" i="8"/>
  <c r="P2855" i="8"/>
  <c r="O2856" i="8"/>
  <c r="P2856" i="8"/>
  <c r="O2857" i="8"/>
  <c r="P2857" i="8"/>
  <c r="O2858" i="8"/>
  <c r="P2858" i="8"/>
  <c r="O2859" i="8"/>
  <c r="P2859" i="8"/>
  <c r="O2860" i="8"/>
  <c r="P2860" i="8"/>
  <c r="O2861" i="8"/>
  <c r="P2861" i="8"/>
  <c r="O2862" i="8"/>
  <c r="P2862" i="8"/>
  <c r="O2863" i="8"/>
  <c r="P2863" i="8"/>
  <c r="O2864" i="8"/>
  <c r="P2864" i="8"/>
  <c r="O2865" i="8"/>
  <c r="P2865" i="8"/>
  <c r="O2866" i="8"/>
  <c r="P2866" i="8"/>
  <c r="O2867" i="8"/>
  <c r="P2867" i="8"/>
  <c r="O2868" i="8"/>
  <c r="P2868" i="8"/>
  <c r="O2869" i="8"/>
  <c r="P2869" i="8"/>
  <c r="O2870" i="8"/>
  <c r="P2870" i="8"/>
  <c r="O2871" i="8"/>
  <c r="P2871" i="8"/>
  <c r="O2872" i="8"/>
  <c r="P2872" i="8"/>
  <c r="O2873" i="8"/>
  <c r="P2873" i="8"/>
  <c r="O2874" i="8"/>
  <c r="P2874" i="8"/>
  <c r="O2875" i="8"/>
  <c r="P2875" i="8"/>
  <c r="O2876" i="8"/>
  <c r="P2876" i="8"/>
  <c r="O2877" i="8"/>
  <c r="P2877" i="8"/>
  <c r="O2878" i="8"/>
  <c r="P2878" i="8"/>
  <c r="O2879" i="8"/>
  <c r="P2879" i="8"/>
  <c r="O2880" i="8"/>
  <c r="P2880" i="8"/>
  <c r="O2881" i="8"/>
  <c r="P2881" i="8"/>
  <c r="O2882" i="8"/>
  <c r="P2882" i="8"/>
  <c r="O2883" i="8"/>
  <c r="P2883" i="8"/>
  <c r="O2884" i="8"/>
  <c r="P2884" i="8"/>
  <c r="O2885" i="8"/>
  <c r="P2885" i="8"/>
  <c r="O2886" i="8"/>
  <c r="P2886" i="8"/>
  <c r="O2887" i="8"/>
  <c r="P2887" i="8"/>
  <c r="O2888" i="8"/>
  <c r="P2888" i="8"/>
  <c r="O2889" i="8"/>
  <c r="P2889" i="8"/>
  <c r="O2890" i="8"/>
  <c r="P2890" i="8"/>
  <c r="O2891" i="8"/>
  <c r="P2891" i="8"/>
  <c r="O2892" i="8"/>
  <c r="P2892" i="8"/>
  <c r="O2893" i="8"/>
  <c r="P2893" i="8"/>
  <c r="O2894" i="8"/>
  <c r="P2894" i="8"/>
  <c r="O2895" i="8"/>
  <c r="P2895" i="8"/>
  <c r="O2896" i="8"/>
  <c r="P2896" i="8"/>
  <c r="O2897" i="8"/>
  <c r="P2897" i="8"/>
  <c r="O2898" i="8"/>
  <c r="P2898" i="8"/>
  <c r="O2899" i="8"/>
  <c r="P2899" i="8"/>
  <c r="O2900" i="8"/>
  <c r="P2900" i="8"/>
  <c r="O2901" i="8"/>
  <c r="P2901" i="8"/>
  <c r="O2902" i="8"/>
  <c r="P2902" i="8"/>
  <c r="O2903" i="8"/>
  <c r="P2903" i="8"/>
  <c r="O2904" i="8"/>
  <c r="P2904" i="8"/>
  <c r="O2905" i="8"/>
  <c r="P2905" i="8"/>
  <c r="O2906" i="8"/>
  <c r="P2906" i="8"/>
  <c r="O2907" i="8"/>
  <c r="P2907" i="8"/>
  <c r="O2908" i="8"/>
  <c r="P2908" i="8"/>
  <c r="O2909" i="8"/>
  <c r="P2909" i="8"/>
  <c r="O2910" i="8"/>
  <c r="P2910" i="8"/>
  <c r="O2911" i="8"/>
  <c r="P2911" i="8"/>
  <c r="O2912" i="8"/>
  <c r="P2912" i="8"/>
  <c r="O2913" i="8"/>
  <c r="P2913" i="8"/>
  <c r="O2914" i="8"/>
  <c r="P2914" i="8"/>
  <c r="O2915" i="8"/>
  <c r="P2915" i="8"/>
  <c r="O2916" i="8"/>
  <c r="P2916" i="8"/>
  <c r="O2917" i="8"/>
  <c r="P2917" i="8"/>
  <c r="O2918" i="8"/>
  <c r="P2918" i="8"/>
  <c r="O2919" i="8"/>
  <c r="P2919" i="8"/>
  <c r="O2920" i="8"/>
  <c r="P2920" i="8"/>
  <c r="O2921" i="8"/>
  <c r="P2921" i="8"/>
  <c r="O2922" i="8"/>
  <c r="P2922" i="8"/>
  <c r="O2923" i="8"/>
  <c r="P2923" i="8"/>
  <c r="O2924" i="8"/>
  <c r="P2924" i="8"/>
  <c r="O2925" i="8"/>
  <c r="P2925" i="8"/>
  <c r="O2926" i="8"/>
  <c r="P2926" i="8"/>
  <c r="O2927" i="8"/>
  <c r="P2927" i="8"/>
  <c r="O2928" i="8"/>
  <c r="P2928" i="8"/>
  <c r="O2929" i="8"/>
  <c r="P2929" i="8"/>
  <c r="O2930" i="8"/>
  <c r="P2930" i="8"/>
  <c r="O2931" i="8"/>
  <c r="P2931" i="8"/>
  <c r="O2932" i="8"/>
  <c r="P2932" i="8"/>
  <c r="O2933" i="8"/>
  <c r="P2933" i="8"/>
  <c r="O2934" i="8"/>
  <c r="P2934" i="8"/>
  <c r="O2935" i="8"/>
  <c r="P2935" i="8"/>
  <c r="O2936" i="8"/>
  <c r="P2936" i="8"/>
  <c r="O2937" i="8"/>
  <c r="P2937" i="8"/>
  <c r="O2938" i="8"/>
  <c r="P2938" i="8"/>
  <c r="O2939" i="8"/>
  <c r="P2939" i="8"/>
  <c r="O2940" i="8"/>
  <c r="P2940" i="8"/>
  <c r="O2941" i="8"/>
  <c r="P2941" i="8"/>
  <c r="O2942" i="8"/>
  <c r="P2942" i="8"/>
  <c r="O2943" i="8"/>
  <c r="P2943" i="8"/>
  <c r="O2944" i="8"/>
  <c r="P2944" i="8"/>
  <c r="O2945" i="8"/>
  <c r="P2945" i="8"/>
  <c r="O2946" i="8"/>
  <c r="P2946" i="8"/>
  <c r="O2947" i="8"/>
  <c r="P2947" i="8"/>
  <c r="O2948" i="8"/>
  <c r="P2948" i="8"/>
  <c r="O2949" i="8"/>
  <c r="P2949" i="8"/>
  <c r="O2950" i="8"/>
  <c r="P2950" i="8"/>
  <c r="O2951" i="8"/>
  <c r="P2951" i="8"/>
  <c r="O2952" i="8"/>
  <c r="P2952" i="8"/>
  <c r="O2953" i="8"/>
  <c r="P2953" i="8"/>
  <c r="O2954" i="8"/>
  <c r="P2954" i="8"/>
  <c r="O2955" i="8"/>
  <c r="P2955" i="8"/>
  <c r="O2956" i="8"/>
  <c r="P2956" i="8"/>
  <c r="O2957" i="8"/>
  <c r="P2957" i="8"/>
  <c r="O2958" i="8"/>
  <c r="P2958" i="8"/>
  <c r="O2959" i="8"/>
  <c r="P2959" i="8"/>
  <c r="O2960" i="8"/>
  <c r="P2960" i="8"/>
  <c r="O2961" i="8"/>
  <c r="P2961" i="8"/>
  <c r="O2962" i="8"/>
  <c r="P2962" i="8"/>
  <c r="O2963" i="8"/>
  <c r="P2963" i="8"/>
  <c r="O2964" i="8"/>
  <c r="P2964" i="8"/>
  <c r="O2965" i="8"/>
  <c r="P2965" i="8"/>
  <c r="O2966" i="8"/>
  <c r="P2966" i="8"/>
  <c r="O2967" i="8"/>
  <c r="P2967" i="8"/>
  <c r="O2968" i="8"/>
  <c r="P2968" i="8"/>
  <c r="O2969" i="8"/>
  <c r="P2969" i="8"/>
  <c r="O2970" i="8"/>
  <c r="P2970" i="8"/>
  <c r="O2971" i="8"/>
  <c r="P2971" i="8"/>
  <c r="O2972" i="8"/>
  <c r="P2972" i="8"/>
  <c r="O2973" i="8"/>
  <c r="P2973" i="8"/>
  <c r="O2974" i="8"/>
  <c r="P2974" i="8"/>
  <c r="O2975" i="8"/>
  <c r="P2975" i="8"/>
  <c r="O2976" i="8"/>
  <c r="P2976" i="8"/>
  <c r="O2977" i="8"/>
  <c r="P2977" i="8"/>
  <c r="O2978" i="8"/>
  <c r="P2978" i="8"/>
  <c r="O2979" i="8"/>
  <c r="P2979" i="8"/>
  <c r="O2980" i="8"/>
  <c r="P2980" i="8"/>
  <c r="O2981" i="8"/>
  <c r="P2981" i="8"/>
  <c r="O2982" i="8"/>
  <c r="P2982" i="8"/>
  <c r="O2983" i="8"/>
  <c r="P2983" i="8"/>
  <c r="O2984" i="8"/>
  <c r="P2984" i="8"/>
  <c r="O2985" i="8"/>
  <c r="P2985" i="8"/>
  <c r="O2986" i="8"/>
  <c r="P2986" i="8"/>
  <c r="O2987" i="8"/>
  <c r="P2987" i="8"/>
  <c r="O2988" i="8"/>
  <c r="P2988" i="8"/>
  <c r="O2989" i="8"/>
  <c r="P2989" i="8"/>
  <c r="O2990" i="8"/>
  <c r="P2990" i="8"/>
  <c r="O2991" i="8"/>
  <c r="P2991" i="8"/>
  <c r="O2992" i="8"/>
  <c r="P2992" i="8"/>
  <c r="O2993" i="8"/>
  <c r="P2993" i="8"/>
  <c r="O2994" i="8"/>
  <c r="P2994" i="8"/>
  <c r="O2995" i="8"/>
  <c r="P2995" i="8"/>
  <c r="O2996" i="8"/>
  <c r="P2996" i="8"/>
  <c r="O2997" i="8"/>
  <c r="P2997" i="8"/>
  <c r="O2998" i="8"/>
  <c r="P2998" i="8"/>
  <c r="O2999" i="8"/>
  <c r="P2999" i="8"/>
  <c r="O3000" i="8"/>
  <c r="P3000" i="8"/>
  <c r="O3001" i="8"/>
  <c r="P3001" i="8"/>
  <c r="O3002" i="8"/>
  <c r="P3002" i="8"/>
  <c r="O3003" i="8"/>
  <c r="P3003" i="8"/>
  <c r="O3004" i="8"/>
  <c r="P3004" i="8"/>
  <c r="O3005" i="8"/>
  <c r="P3005" i="8"/>
  <c r="O3006" i="8"/>
  <c r="P3006" i="8"/>
  <c r="O3007" i="8"/>
  <c r="P3007" i="8"/>
  <c r="O3008" i="8"/>
  <c r="P3008" i="8"/>
  <c r="O3009" i="8"/>
  <c r="P3009" i="8"/>
  <c r="O3010" i="8"/>
  <c r="P3010" i="8"/>
  <c r="O3011" i="8"/>
  <c r="P3011" i="8"/>
  <c r="O3012" i="8"/>
  <c r="P3012" i="8"/>
  <c r="O3013" i="8"/>
  <c r="P3013" i="8"/>
  <c r="O3014" i="8"/>
  <c r="P3014" i="8"/>
  <c r="O3015" i="8"/>
  <c r="P3015" i="8"/>
  <c r="O3016" i="8"/>
  <c r="P3016" i="8"/>
  <c r="O3017" i="8"/>
  <c r="P3017" i="8"/>
  <c r="O3018" i="8"/>
  <c r="P3018" i="8"/>
  <c r="O3019" i="8"/>
  <c r="P3019" i="8"/>
  <c r="O3020" i="8"/>
  <c r="P3020" i="8"/>
  <c r="O3021" i="8"/>
  <c r="P3021" i="8"/>
  <c r="O3022" i="8"/>
  <c r="P3022" i="8"/>
  <c r="O3023" i="8"/>
  <c r="P3023" i="8"/>
  <c r="O3024" i="8"/>
  <c r="P3024" i="8"/>
  <c r="O3025" i="8"/>
  <c r="P3025" i="8"/>
  <c r="O3026" i="8"/>
  <c r="P3026" i="8"/>
  <c r="P3" i="8"/>
  <c r="O3" i="8"/>
  <c r="K817" i="8"/>
  <c r="K793" i="8" s="1"/>
  <c r="K769" i="8" s="1"/>
  <c r="K745" i="8" s="1"/>
  <c r="K721" i="8" s="1"/>
  <c r="K697" i="8" s="1"/>
  <c r="K673" i="8" s="1"/>
  <c r="K649" i="8" s="1"/>
  <c r="K625" i="8" s="1"/>
  <c r="K601" i="8" s="1"/>
  <c r="K577" i="8" s="1"/>
  <c r="K553" i="8" s="1"/>
  <c r="K529" i="8" s="1"/>
  <c r="K505" i="8" s="1"/>
  <c r="K481" i="8" s="1"/>
  <c r="K457" i="8" s="1"/>
  <c r="K433" i="8" s="1"/>
  <c r="K409" i="8" s="1"/>
  <c r="K385" i="8" s="1"/>
  <c r="K361" i="8" s="1"/>
  <c r="K337" i="8" s="1"/>
  <c r="K313" i="8" s="1"/>
  <c r="K289" i="8" s="1"/>
  <c r="K265" i="8" s="1"/>
  <c r="K241" i="8" s="1"/>
  <c r="K217" i="8" s="1"/>
  <c r="K193" i="8" s="1"/>
  <c r="K169" i="8" s="1"/>
  <c r="K145" i="8" s="1"/>
  <c r="K121" i="8" s="1"/>
  <c r="K97" i="8" s="1"/>
  <c r="K73" i="8" s="1"/>
  <c r="K49" i="8" s="1"/>
  <c r="K25" i="8" s="1"/>
  <c r="I817" i="8"/>
  <c r="H817" i="8"/>
  <c r="G817" i="8"/>
  <c r="G793" i="8" s="1"/>
  <c r="G769" i="8" s="1"/>
  <c r="G745" i="8" s="1"/>
  <c r="G721" i="8" s="1"/>
  <c r="G697" i="8" s="1"/>
  <c r="G673" i="8" s="1"/>
  <c r="G649" i="8" s="1"/>
  <c r="G625" i="8" s="1"/>
  <c r="G601" i="8" s="1"/>
  <c r="G577" i="8" s="1"/>
  <c r="G553" i="8" s="1"/>
  <c r="G529" i="8" s="1"/>
  <c r="G505" i="8" s="1"/>
  <c r="G481" i="8" s="1"/>
  <c r="G457" i="8" s="1"/>
  <c r="G433" i="8" s="1"/>
  <c r="G409" i="8" s="1"/>
  <c r="G385" i="8" s="1"/>
  <c r="G361" i="8" s="1"/>
  <c r="G337" i="8" s="1"/>
  <c r="G313" i="8" s="1"/>
  <c r="G289" i="8" s="1"/>
  <c r="G265" i="8" s="1"/>
  <c r="G241" i="8" s="1"/>
  <c r="G217" i="8" s="1"/>
  <c r="G193" i="8" s="1"/>
  <c r="G169" i="8" s="1"/>
  <c r="G145" i="8" s="1"/>
  <c r="G121" i="8" s="1"/>
  <c r="G97" i="8" s="1"/>
  <c r="G73" i="8" s="1"/>
  <c r="G49" i="8" s="1"/>
  <c r="G25" i="8" s="1"/>
  <c r="C817" i="8"/>
  <c r="C793" i="8" s="1"/>
  <c r="C769" i="8" s="1"/>
  <c r="C745" i="8" s="1"/>
  <c r="C721" i="8" s="1"/>
  <c r="C697" i="8" s="1"/>
  <c r="C673" i="8" s="1"/>
  <c r="C649" i="8" s="1"/>
  <c r="C625" i="8" s="1"/>
  <c r="C601" i="8" s="1"/>
  <c r="C577" i="8" s="1"/>
  <c r="B817" i="8"/>
  <c r="B793" i="8" s="1"/>
  <c r="B769" i="8" s="1"/>
  <c r="B745" i="8" s="1"/>
  <c r="B721" i="8" s="1"/>
  <c r="B697" i="8" s="1"/>
  <c r="B673" i="8" s="1"/>
  <c r="B649" i="8" s="1"/>
  <c r="B625" i="8" s="1"/>
  <c r="B601" i="8" s="1"/>
  <c r="B577" i="8" s="1"/>
  <c r="B553" i="8" s="1"/>
  <c r="B529" i="8" s="1"/>
  <c r="B505" i="8" s="1"/>
  <c r="B481" i="8" s="1"/>
  <c r="B457" i="8" s="1"/>
  <c r="B433" i="8" s="1"/>
  <c r="B409" i="8" s="1"/>
  <c r="B385" i="8" s="1"/>
  <c r="B361" i="8" s="1"/>
  <c r="B337" i="8" s="1"/>
  <c r="B313" i="8" s="1"/>
  <c r="B289" i="8" s="1"/>
  <c r="B265" i="8" s="1"/>
  <c r="B241" i="8" s="1"/>
  <c r="B217" i="8" s="1"/>
  <c r="B193" i="8" s="1"/>
  <c r="B169" i="8" s="1"/>
  <c r="B145" i="8" s="1"/>
  <c r="B121" i="8" s="1"/>
  <c r="B97" i="8" s="1"/>
  <c r="B73" i="8" s="1"/>
  <c r="B49" i="8" s="1"/>
  <c r="B25" i="8" s="1"/>
  <c r="A817" i="8"/>
  <c r="K816" i="8"/>
  <c r="K792" i="8" s="1"/>
  <c r="K768" i="8" s="1"/>
  <c r="K744" i="8" s="1"/>
  <c r="K720" i="8" s="1"/>
  <c r="K696" i="8" s="1"/>
  <c r="K672" i="8" s="1"/>
  <c r="K648" i="8" s="1"/>
  <c r="K624" i="8" s="1"/>
  <c r="K600" i="8" s="1"/>
  <c r="K576" i="8" s="1"/>
  <c r="K552" i="8" s="1"/>
  <c r="K528" i="8" s="1"/>
  <c r="K504" i="8" s="1"/>
  <c r="K480" i="8" s="1"/>
  <c r="K456" i="8" s="1"/>
  <c r="K432" i="8" s="1"/>
  <c r="K408" i="8" s="1"/>
  <c r="K384" i="8" s="1"/>
  <c r="K360" i="8" s="1"/>
  <c r="K336" i="8" s="1"/>
  <c r="K312" i="8" s="1"/>
  <c r="K288" i="8" s="1"/>
  <c r="K264" i="8" s="1"/>
  <c r="K240" i="8" s="1"/>
  <c r="K216" i="8" s="1"/>
  <c r="K192" i="8" s="1"/>
  <c r="K168" i="8" s="1"/>
  <c r="K144" i="8" s="1"/>
  <c r="K120" i="8" s="1"/>
  <c r="K96" i="8" s="1"/>
  <c r="K72" i="8" s="1"/>
  <c r="K48" i="8" s="1"/>
  <c r="K24" i="8" s="1"/>
  <c r="I816" i="8"/>
  <c r="I792" i="8" s="1"/>
  <c r="I768" i="8" s="1"/>
  <c r="I744" i="8" s="1"/>
  <c r="I720" i="8" s="1"/>
  <c r="I696" i="8" s="1"/>
  <c r="I672" i="8" s="1"/>
  <c r="I648" i="8" s="1"/>
  <c r="I624" i="8" s="1"/>
  <c r="I600" i="8" s="1"/>
  <c r="I576" i="8" s="1"/>
  <c r="I552" i="8" s="1"/>
  <c r="I528" i="8" s="1"/>
  <c r="I504" i="8" s="1"/>
  <c r="I480" i="8" s="1"/>
  <c r="I456" i="8" s="1"/>
  <c r="I432" i="8" s="1"/>
  <c r="I408" i="8" s="1"/>
  <c r="I384" i="8" s="1"/>
  <c r="I360" i="8" s="1"/>
  <c r="I336" i="8" s="1"/>
  <c r="I312" i="8" s="1"/>
  <c r="I288" i="8" s="1"/>
  <c r="I264" i="8" s="1"/>
  <c r="I240" i="8" s="1"/>
  <c r="I216" i="8" s="1"/>
  <c r="I192" i="8" s="1"/>
  <c r="I168" i="8" s="1"/>
  <c r="I144" i="8" s="1"/>
  <c r="I120" i="8" s="1"/>
  <c r="I96" i="8" s="1"/>
  <c r="I72" i="8" s="1"/>
  <c r="I48" i="8" s="1"/>
  <c r="I24" i="8" s="1"/>
  <c r="H816" i="8"/>
  <c r="H792" i="8" s="1"/>
  <c r="H768" i="8" s="1"/>
  <c r="H744" i="8" s="1"/>
  <c r="H720" i="8" s="1"/>
  <c r="H696" i="8" s="1"/>
  <c r="H672" i="8" s="1"/>
  <c r="H648" i="8" s="1"/>
  <c r="H624" i="8" s="1"/>
  <c r="H600" i="8" s="1"/>
  <c r="H576" i="8" s="1"/>
  <c r="H552" i="8" s="1"/>
  <c r="H528" i="8" s="1"/>
  <c r="H504" i="8" s="1"/>
  <c r="H480" i="8" s="1"/>
  <c r="H456" i="8" s="1"/>
  <c r="H432" i="8" s="1"/>
  <c r="H408" i="8" s="1"/>
  <c r="H384" i="8" s="1"/>
  <c r="H360" i="8" s="1"/>
  <c r="H336" i="8" s="1"/>
  <c r="H312" i="8" s="1"/>
  <c r="H288" i="8" s="1"/>
  <c r="H264" i="8" s="1"/>
  <c r="H240" i="8" s="1"/>
  <c r="H216" i="8" s="1"/>
  <c r="H192" i="8" s="1"/>
  <c r="H168" i="8" s="1"/>
  <c r="H144" i="8" s="1"/>
  <c r="H120" i="8" s="1"/>
  <c r="H96" i="8" s="1"/>
  <c r="H72" i="8" s="1"/>
  <c r="H48" i="8" s="1"/>
  <c r="H24" i="8" s="1"/>
  <c r="G816" i="8"/>
  <c r="G792" i="8" s="1"/>
  <c r="G768" i="8" s="1"/>
  <c r="G744" i="8" s="1"/>
  <c r="G720" i="8" s="1"/>
  <c r="G696" i="8" s="1"/>
  <c r="G672" i="8" s="1"/>
  <c r="G648" i="8" s="1"/>
  <c r="G624" i="8" s="1"/>
  <c r="G600" i="8" s="1"/>
  <c r="G576" i="8" s="1"/>
  <c r="G552" i="8" s="1"/>
  <c r="G528" i="8" s="1"/>
  <c r="G504" i="8" s="1"/>
  <c r="G480" i="8" s="1"/>
  <c r="G456" i="8" s="1"/>
  <c r="G432" i="8" s="1"/>
  <c r="G408" i="8" s="1"/>
  <c r="G384" i="8" s="1"/>
  <c r="G360" i="8" s="1"/>
  <c r="G336" i="8" s="1"/>
  <c r="G312" i="8" s="1"/>
  <c r="G288" i="8" s="1"/>
  <c r="G264" i="8" s="1"/>
  <c r="G240" i="8" s="1"/>
  <c r="G216" i="8" s="1"/>
  <c r="G192" i="8" s="1"/>
  <c r="G168" i="8" s="1"/>
  <c r="G144" i="8" s="1"/>
  <c r="G120" i="8" s="1"/>
  <c r="G96" i="8" s="1"/>
  <c r="G72" i="8" s="1"/>
  <c r="G48" i="8" s="1"/>
  <c r="G24" i="8" s="1"/>
  <c r="C816" i="8"/>
  <c r="C792" i="8" s="1"/>
  <c r="C768" i="8" s="1"/>
  <c r="C744" i="8" s="1"/>
  <c r="C720" i="8" s="1"/>
  <c r="C696" i="8" s="1"/>
  <c r="C672" i="8" s="1"/>
  <c r="C648" i="8" s="1"/>
  <c r="C624" i="8" s="1"/>
  <c r="C600" i="8" s="1"/>
  <c r="C576" i="8" s="1"/>
  <c r="C552" i="8" s="1"/>
  <c r="C528" i="8" s="1"/>
  <c r="C504" i="8" s="1"/>
  <c r="C480" i="8" s="1"/>
  <c r="C456" i="8" s="1"/>
  <c r="C432" i="8" s="1"/>
  <c r="C408" i="8" s="1"/>
  <c r="C384" i="8" s="1"/>
  <c r="C360" i="8" s="1"/>
  <c r="C336" i="8" s="1"/>
  <c r="C312" i="8" s="1"/>
  <c r="C288" i="8" s="1"/>
  <c r="C264" i="8" s="1"/>
  <c r="C240" i="8" s="1"/>
  <c r="C216" i="8" s="1"/>
  <c r="C192" i="8" s="1"/>
  <c r="C168" i="8" s="1"/>
  <c r="C144" i="8" s="1"/>
  <c r="C120" i="8" s="1"/>
  <c r="C96" i="8" s="1"/>
  <c r="C72" i="8" s="1"/>
  <c r="C48" i="8" s="1"/>
  <c r="C24" i="8" s="1"/>
  <c r="B816" i="8"/>
  <c r="B792" i="8" s="1"/>
  <c r="B768" i="8" s="1"/>
  <c r="B744" i="8" s="1"/>
  <c r="B720" i="8" s="1"/>
  <c r="B696" i="8" s="1"/>
  <c r="B672" i="8" s="1"/>
  <c r="B648" i="8" s="1"/>
  <c r="B624" i="8" s="1"/>
  <c r="B600" i="8" s="1"/>
  <c r="B576" i="8" s="1"/>
  <c r="B552" i="8" s="1"/>
  <c r="B528" i="8" s="1"/>
  <c r="B504" i="8" s="1"/>
  <c r="B480" i="8" s="1"/>
  <c r="B456" i="8" s="1"/>
  <c r="B432" i="8" s="1"/>
  <c r="B408" i="8" s="1"/>
  <c r="B384" i="8" s="1"/>
  <c r="B360" i="8" s="1"/>
  <c r="B336" i="8" s="1"/>
  <c r="B312" i="8" s="1"/>
  <c r="B288" i="8" s="1"/>
  <c r="B264" i="8" s="1"/>
  <c r="B240" i="8" s="1"/>
  <c r="B216" i="8" s="1"/>
  <c r="B192" i="8" s="1"/>
  <c r="B168" i="8" s="1"/>
  <c r="B144" i="8" s="1"/>
  <c r="B120" i="8" s="1"/>
  <c r="B96" i="8" s="1"/>
  <c r="B72" i="8" s="1"/>
  <c r="B48" i="8" s="1"/>
  <c r="B24" i="8" s="1"/>
  <c r="K815" i="8"/>
  <c r="K791" i="8" s="1"/>
  <c r="K767" i="8" s="1"/>
  <c r="K743" i="8" s="1"/>
  <c r="K719" i="8" s="1"/>
  <c r="K695" i="8" s="1"/>
  <c r="K671" i="8" s="1"/>
  <c r="K647" i="8" s="1"/>
  <c r="K623" i="8" s="1"/>
  <c r="K599" i="8" s="1"/>
  <c r="K575" i="8" s="1"/>
  <c r="K551" i="8" s="1"/>
  <c r="K527" i="8" s="1"/>
  <c r="K503" i="8" s="1"/>
  <c r="K479" i="8" s="1"/>
  <c r="K455" i="8" s="1"/>
  <c r="K431" i="8" s="1"/>
  <c r="K407" i="8" s="1"/>
  <c r="K383" i="8" s="1"/>
  <c r="K359" i="8" s="1"/>
  <c r="K335" i="8" s="1"/>
  <c r="K311" i="8" s="1"/>
  <c r="K287" i="8" s="1"/>
  <c r="K263" i="8" s="1"/>
  <c r="K239" i="8" s="1"/>
  <c r="K215" i="8" s="1"/>
  <c r="K191" i="8" s="1"/>
  <c r="K167" i="8" s="1"/>
  <c r="K143" i="8" s="1"/>
  <c r="K119" i="8" s="1"/>
  <c r="K95" i="8" s="1"/>
  <c r="K71" i="8" s="1"/>
  <c r="K47" i="8" s="1"/>
  <c r="K23" i="8" s="1"/>
  <c r="I815" i="8"/>
  <c r="H815" i="8"/>
  <c r="G815" i="8"/>
  <c r="G791" i="8" s="1"/>
  <c r="G767" i="8" s="1"/>
  <c r="G743" i="8" s="1"/>
  <c r="G719" i="8" s="1"/>
  <c r="G695" i="8" s="1"/>
  <c r="G671" i="8" s="1"/>
  <c r="G647" i="8" s="1"/>
  <c r="G623" i="8" s="1"/>
  <c r="G599" i="8" s="1"/>
  <c r="G575" i="8" s="1"/>
  <c r="G551" i="8" s="1"/>
  <c r="G527" i="8" s="1"/>
  <c r="G503" i="8" s="1"/>
  <c r="G479" i="8" s="1"/>
  <c r="G455" i="8" s="1"/>
  <c r="G431" i="8" s="1"/>
  <c r="G407" i="8" s="1"/>
  <c r="G383" i="8" s="1"/>
  <c r="G359" i="8" s="1"/>
  <c r="G335" i="8" s="1"/>
  <c r="G311" i="8" s="1"/>
  <c r="G287" i="8" s="1"/>
  <c r="G263" i="8" s="1"/>
  <c r="G239" i="8" s="1"/>
  <c r="G215" i="8" s="1"/>
  <c r="G191" i="8" s="1"/>
  <c r="G167" i="8" s="1"/>
  <c r="G143" i="8" s="1"/>
  <c r="G119" i="8" s="1"/>
  <c r="G95" i="8" s="1"/>
  <c r="G71" i="8" s="1"/>
  <c r="G47" i="8" s="1"/>
  <c r="G23" i="8" s="1"/>
  <c r="C815" i="8"/>
  <c r="C791" i="8" s="1"/>
  <c r="C767" i="8" s="1"/>
  <c r="C743" i="8" s="1"/>
  <c r="C719" i="8" s="1"/>
  <c r="C695" i="8" s="1"/>
  <c r="C671" i="8" s="1"/>
  <c r="C647" i="8" s="1"/>
  <c r="C623" i="8" s="1"/>
  <c r="C599" i="8" s="1"/>
  <c r="C575" i="8" s="1"/>
  <c r="C551" i="8" s="1"/>
  <c r="C527" i="8" s="1"/>
  <c r="C503" i="8" s="1"/>
  <c r="C479" i="8" s="1"/>
  <c r="C455" i="8" s="1"/>
  <c r="C431" i="8" s="1"/>
  <c r="C407" i="8" s="1"/>
  <c r="C383" i="8" s="1"/>
  <c r="C359" i="8" s="1"/>
  <c r="C335" i="8" s="1"/>
  <c r="C311" i="8" s="1"/>
  <c r="C287" i="8" s="1"/>
  <c r="C263" i="8" s="1"/>
  <c r="C239" i="8" s="1"/>
  <c r="C215" i="8" s="1"/>
  <c r="C191" i="8" s="1"/>
  <c r="C167" i="8" s="1"/>
  <c r="C143" i="8" s="1"/>
  <c r="C119" i="8" s="1"/>
  <c r="C95" i="8" s="1"/>
  <c r="C71" i="8" s="1"/>
  <c r="C47" i="8" s="1"/>
  <c r="C23" i="8" s="1"/>
  <c r="B815" i="8"/>
  <c r="B791" i="8" s="1"/>
  <c r="B767" i="8" s="1"/>
  <c r="B743" i="8" s="1"/>
  <c r="B719" i="8" s="1"/>
  <c r="K814" i="8"/>
  <c r="K790" i="8" s="1"/>
  <c r="K766" i="8" s="1"/>
  <c r="K742" i="8" s="1"/>
  <c r="K718" i="8" s="1"/>
  <c r="K694" i="8" s="1"/>
  <c r="K670" i="8" s="1"/>
  <c r="K646" i="8" s="1"/>
  <c r="K622" i="8" s="1"/>
  <c r="K598" i="8" s="1"/>
  <c r="K574" i="8" s="1"/>
  <c r="K550" i="8" s="1"/>
  <c r="K526" i="8" s="1"/>
  <c r="K502" i="8" s="1"/>
  <c r="K478" i="8" s="1"/>
  <c r="K454" i="8" s="1"/>
  <c r="K430" i="8" s="1"/>
  <c r="K406" i="8" s="1"/>
  <c r="K382" i="8" s="1"/>
  <c r="K358" i="8" s="1"/>
  <c r="K334" i="8" s="1"/>
  <c r="K310" i="8" s="1"/>
  <c r="K286" i="8" s="1"/>
  <c r="K262" i="8" s="1"/>
  <c r="K238" i="8" s="1"/>
  <c r="K214" i="8" s="1"/>
  <c r="K190" i="8" s="1"/>
  <c r="K166" i="8" s="1"/>
  <c r="K142" i="8" s="1"/>
  <c r="K118" i="8" s="1"/>
  <c r="K94" i="8" s="1"/>
  <c r="K70" i="8" s="1"/>
  <c r="K46" i="8" s="1"/>
  <c r="K22" i="8" s="1"/>
  <c r="I814" i="8"/>
  <c r="I790" i="8" s="1"/>
  <c r="I766" i="8" s="1"/>
  <c r="I742" i="8" s="1"/>
  <c r="I718" i="8" s="1"/>
  <c r="I694" i="8" s="1"/>
  <c r="I670" i="8" s="1"/>
  <c r="I646" i="8" s="1"/>
  <c r="I622" i="8" s="1"/>
  <c r="I598" i="8" s="1"/>
  <c r="I574" i="8" s="1"/>
  <c r="I550" i="8" s="1"/>
  <c r="I526" i="8" s="1"/>
  <c r="I502" i="8" s="1"/>
  <c r="I478" i="8" s="1"/>
  <c r="I454" i="8" s="1"/>
  <c r="I430" i="8" s="1"/>
  <c r="I406" i="8" s="1"/>
  <c r="I382" i="8" s="1"/>
  <c r="I358" i="8" s="1"/>
  <c r="I334" i="8" s="1"/>
  <c r="I310" i="8" s="1"/>
  <c r="I286" i="8" s="1"/>
  <c r="I262" i="8" s="1"/>
  <c r="I238" i="8" s="1"/>
  <c r="I214" i="8" s="1"/>
  <c r="I190" i="8" s="1"/>
  <c r="I166" i="8" s="1"/>
  <c r="I142" i="8" s="1"/>
  <c r="I118" i="8" s="1"/>
  <c r="I94" i="8" s="1"/>
  <c r="I70" i="8" s="1"/>
  <c r="I46" i="8" s="1"/>
  <c r="I22" i="8" s="1"/>
  <c r="H814" i="8"/>
  <c r="H790" i="8" s="1"/>
  <c r="H766" i="8" s="1"/>
  <c r="G814" i="8"/>
  <c r="G790" i="8" s="1"/>
  <c r="G766" i="8" s="1"/>
  <c r="C814" i="8"/>
  <c r="C790" i="8" s="1"/>
  <c r="C766" i="8" s="1"/>
  <c r="C742" i="8" s="1"/>
  <c r="C718" i="8" s="1"/>
  <c r="C694" i="8" s="1"/>
  <c r="C670" i="8" s="1"/>
  <c r="C646" i="8" s="1"/>
  <c r="C622" i="8" s="1"/>
  <c r="C598" i="8" s="1"/>
  <c r="C574" i="8" s="1"/>
  <c r="C550" i="8" s="1"/>
  <c r="C526" i="8" s="1"/>
  <c r="C502" i="8" s="1"/>
  <c r="C478" i="8" s="1"/>
  <c r="C454" i="8" s="1"/>
  <c r="C430" i="8" s="1"/>
  <c r="C406" i="8" s="1"/>
  <c r="C382" i="8" s="1"/>
  <c r="C358" i="8" s="1"/>
  <c r="C334" i="8" s="1"/>
  <c r="C310" i="8" s="1"/>
  <c r="C286" i="8" s="1"/>
  <c r="C262" i="8" s="1"/>
  <c r="C238" i="8" s="1"/>
  <c r="C214" i="8" s="1"/>
  <c r="C190" i="8" s="1"/>
  <c r="C166" i="8" s="1"/>
  <c r="C142" i="8" s="1"/>
  <c r="C118" i="8" s="1"/>
  <c r="C94" i="8" s="1"/>
  <c r="C70" i="8" s="1"/>
  <c r="C46" i="8" s="1"/>
  <c r="C22" i="8" s="1"/>
  <c r="B814" i="8"/>
  <c r="K813" i="8"/>
  <c r="I813" i="8"/>
  <c r="I789" i="8" s="1"/>
  <c r="H813" i="8"/>
  <c r="H789" i="8" s="1"/>
  <c r="H765" i="8" s="1"/>
  <c r="H741" i="8" s="1"/>
  <c r="H717" i="8" s="1"/>
  <c r="G813" i="8"/>
  <c r="G789" i="8" s="1"/>
  <c r="G765" i="8" s="1"/>
  <c r="G741" i="8" s="1"/>
  <c r="G717" i="8" s="1"/>
  <c r="G693" i="8" s="1"/>
  <c r="G669" i="8" s="1"/>
  <c r="G645" i="8" s="1"/>
  <c r="G621" i="8" s="1"/>
  <c r="G597" i="8" s="1"/>
  <c r="G573" i="8" s="1"/>
  <c r="G549" i="8" s="1"/>
  <c r="G525" i="8" s="1"/>
  <c r="G501" i="8" s="1"/>
  <c r="G477" i="8" s="1"/>
  <c r="G453" i="8" s="1"/>
  <c r="G429" i="8" s="1"/>
  <c r="G405" i="8" s="1"/>
  <c r="G381" i="8" s="1"/>
  <c r="G357" i="8" s="1"/>
  <c r="G333" i="8" s="1"/>
  <c r="G309" i="8" s="1"/>
  <c r="G285" i="8" s="1"/>
  <c r="G261" i="8" s="1"/>
  <c r="G237" i="8" s="1"/>
  <c r="G213" i="8" s="1"/>
  <c r="G189" i="8" s="1"/>
  <c r="G165" i="8" s="1"/>
  <c r="G141" i="8" s="1"/>
  <c r="G117" i="8" s="1"/>
  <c r="G93" i="8" s="1"/>
  <c r="G69" i="8" s="1"/>
  <c r="G45" i="8" s="1"/>
  <c r="G21" i="8" s="1"/>
  <c r="C813" i="8"/>
  <c r="C789" i="8" s="1"/>
  <c r="C765" i="8" s="1"/>
  <c r="C741" i="8" s="1"/>
  <c r="C717" i="8" s="1"/>
  <c r="C693" i="8" s="1"/>
  <c r="C669" i="8" s="1"/>
  <c r="C645" i="8" s="1"/>
  <c r="C621" i="8" s="1"/>
  <c r="C597" i="8" s="1"/>
  <c r="C573" i="8" s="1"/>
  <c r="C549" i="8" s="1"/>
  <c r="C525" i="8" s="1"/>
  <c r="C501" i="8" s="1"/>
  <c r="C477" i="8" s="1"/>
  <c r="C453" i="8" s="1"/>
  <c r="C429" i="8" s="1"/>
  <c r="C405" i="8" s="1"/>
  <c r="C381" i="8" s="1"/>
  <c r="C357" i="8" s="1"/>
  <c r="C333" i="8" s="1"/>
  <c r="C309" i="8" s="1"/>
  <c r="C285" i="8" s="1"/>
  <c r="C261" i="8" s="1"/>
  <c r="C237" i="8" s="1"/>
  <c r="C213" i="8" s="1"/>
  <c r="C189" i="8" s="1"/>
  <c r="C165" i="8" s="1"/>
  <c r="C141" i="8" s="1"/>
  <c r="C117" i="8" s="1"/>
  <c r="C93" i="8" s="1"/>
  <c r="C69" i="8" s="1"/>
  <c r="C45" i="8" s="1"/>
  <c r="C21" i="8" s="1"/>
  <c r="B813" i="8"/>
  <c r="B789" i="8" s="1"/>
  <c r="B765" i="8" s="1"/>
  <c r="B741" i="8" s="1"/>
  <c r="B717" i="8" s="1"/>
  <c r="B693" i="8" s="1"/>
  <c r="B669" i="8" s="1"/>
  <c r="B645" i="8" s="1"/>
  <c r="B621" i="8" s="1"/>
  <c r="B597" i="8" s="1"/>
  <c r="B573" i="8" s="1"/>
  <c r="B549" i="8" s="1"/>
  <c r="B525" i="8" s="1"/>
  <c r="B501" i="8" s="1"/>
  <c r="B477" i="8" s="1"/>
  <c r="B453" i="8" s="1"/>
  <c r="B429" i="8" s="1"/>
  <c r="B405" i="8" s="1"/>
  <c r="B381" i="8" s="1"/>
  <c r="B357" i="8" s="1"/>
  <c r="B333" i="8" s="1"/>
  <c r="B309" i="8" s="1"/>
  <c r="B285" i="8" s="1"/>
  <c r="B261" i="8" s="1"/>
  <c r="B237" i="8" s="1"/>
  <c r="B213" i="8" s="1"/>
  <c r="B189" i="8" s="1"/>
  <c r="B165" i="8" s="1"/>
  <c r="B141" i="8" s="1"/>
  <c r="B117" i="8" s="1"/>
  <c r="B93" i="8" s="1"/>
  <c r="B69" i="8" s="1"/>
  <c r="B45" i="8" s="1"/>
  <c r="B21" i="8" s="1"/>
  <c r="K812" i="8"/>
  <c r="I812" i="8"/>
  <c r="H812" i="8"/>
  <c r="H788" i="8" s="1"/>
  <c r="H764" i="8" s="1"/>
  <c r="H740" i="8" s="1"/>
  <c r="H716" i="8" s="1"/>
  <c r="H692" i="8" s="1"/>
  <c r="H668" i="8" s="1"/>
  <c r="H644" i="8" s="1"/>
  <c r="H620" i="8" s="1"/>
  <c r="H596" i="8" s="1"/>
  <c r="H572" i="8" s="1"/>
  <c r="H548" i="8" s="1"/>
  <c r="H524" i="8" s="1"/>
  <c r="H500" i="8" s="1"/>
  <c r="H476" i="8" s="1"/>
  <c r="H452" i="8" s="1"/>
  <c r="H428" i="8" s="1"/>
  <c r="H404" i="8" s="1"/>
  <c r="H380" i="8" s="1"/>
  <c r="H356" i="8" s="1"/>
  <c r="H332" i="8" s="1"/>
  <c r="H308" i="8" s="1"/>
  <c r="H284" i="8" s="1"/>
  <c r="H260" i="8" s="1"/>
  <c r="H236" i="8" s="1"/>
  <c r="H212" i="8" s="1"/>
  <c r="H188" i="8" s="1"/>
  <c r="H164" i="8" s="1"/>
  <c r="H140" i="8" s="1"/>
  <c r="H116" i="8" s="1"/>
  <c r="H92" i="8" s="1"/>
  <c r="H68" i="8" s="1"/>
  <c r="H44" i="8" s="1"/>
  <c r="H20" i="8" s="1"/>
  <c r="G812" i="8"/>
  <c r="G788" i="8" s="1"/>
  <c r="G764" i="8" s="1"/>
  <c r="G740" i="8" s="1"/>
  <c r="G716" i="8" s="1"/>
  <c r="G692" i="8" s="1"/>
  <c r="G668" i="8" s="1"/>
  <c r="G644" i="8" s="1"/>
  <c r="G620" i="8" s="1"/>
  <c r="G596" i="8" s="1"/>
  <c r="G572" i="8" s="1"/>
  <c r="G548" i="8" s="1"/>
  <c r="G524" i="8" s="1"/>
  <c r="G500" i="8" s="1"/>
  <c r="G476" i="8" s="1"/>
  <c r="G452" i="8" s="1"/>
  <c r="G428" i="8" s="1"/>
  <c r="G404" i="8" s="1"/>
  <c r="G380" i="8" s="1"/>
  <c r="G356" i="8" s="1"/>
  <c r="G332" i="8" s="1"/>
  <c r="G308" i="8" s="1"/>
  <c r="G284" i="8" s="1"/>
  <c r="G260" i="8" s="1"/>
  <c r="G236" i="8" s="1"/>
  <c r="G212" i="8" s="1"/>
  <c r="G188" i="8" s="1"/>
  <c r="G164" i="8" s="1"/>
  <c r="G140" i="8" s="1"/>
  <c r="G116" i="8" s="1"/>
  <c r="G92" i="8" s="1"/>
  <c r="G68" i="8" s="1"/>
  <c r="G44" i="8" s="1"/>
  <c r="G20" i="8" s="1"/>
  <c r="C812" i="8"/>
  <c r="C788" i="8" s="1"/>
  <c r="C764" i="8" s="1"/>
  <c r="C740" i="8" s="1"/>
  <c r="C716" i="8" s="1"/>
  <c r="C692" i="8" s="1"/>
  <c r="C668" i="8" s="1"/>
  <c r="C644" i="8" s="1"/>
  <c r="C620" i="8" s="1"/>
  <c r="C596" i="8" s="1"/>
  <c r="C572" i="8" s="1"/>
  <c r="C548" i="8" s="1"/>
  <c r="C524" i="8" s="1"/>
  <c r="C500" i="8" s="1"/>
  <c r="C476" i="8" s="1"/>
  <c r="C452" i="8" s="1"/>
  <c r="C428" i="8" s="1"/>
  <c r="C404" i="8" s="1"/>
  <c r="C380" i="8" s="1"/>
  <c r="C356" i="8" s="1"/>
  <c r="C332" i="8" s="1"/>
  <c r="C308" i="8" s="1"/>
  <c r="C284" i="8" s="1"/>
  <c r="C260" i="8" s="1"/>
  <c r="C236" i="8" s="1"/>
  <c r="C212" i="8" s="1"/>
  <c r="C188" i="8" s="1"/>
  <c r="C164" i="8" s="1"/>
  <c r="C140" i="8" s="1"/>
  <c r="C116" i="8" s="1"/>
  <c r="C92" i="8" s="1"/>
  <c r="C68" i="8" s="1"/>
  <c r="C44" i="8" s="1"/>
  <c r="C20" i="8" s="1"/>
  <c r="B812" i="8"/>
  <c r="B788" i="8" s="1"/>
  <c r="K811" i="8"/>
  <c r="K787" i="8" s="1"/>
  <c r="K763" i="8" s="1"/>
  <c r="K739" i="8" s="1"/>
  <c r="K715" i="8" s="1"/>
  <c r="K691" i="8" s="1"/>
  <c r="K667" i="8" s="1"/>
  <c r="K643" i="8" s="1"/>
  <c r="K619" i="8" s="1"/>
  <c r="K595" i="8" s="1"/>
  <c r="K571" i="8" s="1"/>
  <c r="K547" i="8" s="1"/>
  <c r="K523" i="8" s="1"/>
  <c r="K499" i="8" s="1"/>
  <c r="K475" i="8" s="1"/>
  <c r="K451" i="8" s="1"/>
  <c r="K427" i="8" s="1"/>
  <c r="K403" i="8" s="1"/>
  <c r="K379" i="8" s="1"/>
  <c r="I811" i="8"/>
  <c r="H811" i="8"/>
  <c r="G811" i="8"/>
  <c r="C811" i="8"/>
  <c r="C787" i="8" s="1"/>
  <c r="C763" i="8" s="1"/>
  <c r="C739" i="8" s="1"/>
  <c r="C715" i="8" s="1"/>
  <c r="C691" i="8" s="1"/>
  <c r="C667" i="8" s="1"/>
  <c r="C643" i="8" s="1"/>
  <c r="C619" i="8" s="1"/>
  <c r="C595" i="8" s="1"/>
  <c r="C571" i="8" s="1"/>
  <c r="C547" i="8" s="1"/>
  <c r="C523" i="8" s="1"/>
  <c r="B811" i="8"/>
  <c r="B787" i="8" s="1"/>
  <c r="B763" i="8" s="1"/>
  <c r="B739" i="8" s="1"/>
  <c r="B715" i="8" s="1"/>
  <c r="B691" i="8" s="1"/>
  <c r="B667" i="8" s="1"/>
  <c r="B643" i="8" s="1"/>
  <c r="B619" i="8" s="1"/>
  <c r="B595" i="8" s="1"/>
  <c r="B571" i="8" s="1"/>
  <c r="B547" i="8" s="1"/>
  <c r="B523" i="8" s="1"/>
  <c r="B499" i="8" s="1"/>
  <c r="B475" i="8" s="1"/>
  <c r="B451" i="8" s="1"/>
  <c r="B427" i="8" s="1"/>
  <c r="B403" i="8" s="1"/>
  <c r="B379" i="8" s="1"/>
  <c r="B355" i="8" s="1"/>
  <c r="B331" i="8" s="1"/>
  <c r="B307" i="8" s="1"/>
  <c r="B283" i="8" s="1"/>
  <c r="B259" i="8" s="1"/>
  <c r="B235" i="8" s="1"/>
  <c r="B211" i="8" s="1"/>
  <c r="B187" i="8" s="1"/>
  <c r="B163" i="8" s="1"/>
  <c r="B139" i="8" s="1"/>
  <c r="B115" i="8" s="1"/>
  <c r="B91" i="8" s="1"/>
  <c r="B67" i="8" s="1"/>
  <c r="B43" i="8" s="1"/>
  <c r="B19" i="8" s="1"/>
  <c r="K810" i="8"/>
  <c r="K786" i="8" s="1"/>
  <c r="K762" i="8" s="1"/>
  <c r="K738" i="8" s="1"/>
  <c r="K714" i="8" s="1"/>
  <c r="K690" i="8" s="1"/>
  <c r="K666" i="8" s="1"/>
  <c r="K642" i="8" s="1"/>
  <c r="K618" i="8" s="1"/>
  <c r="K594" i="8" s="1"/>
  <c r="K570" i="8" s="1"/>
  <c r="K546" i="8" s="1"/>
  <c r="K522" i="8" s="1"/>
  <c r="K498" i="8" s="1"/>
  <c r="K474" i="8" s="1"/>
  <c r="K450" i="8" s="1"/>
  <c r="K426" i="8" s="1"/>
  <c r="K402" i="8" s="1"/>
  <c r="K378" i="8" s="1"/>
  <c r="K354" i="8" s="1"/>
  <c r="K330" i="8" s="1"/>
  <c r="K306" i="8" s="1"/>
  <c r="K282" i="8" s="1"/>
  <c r="K258" i="8" s="1"/>
  <c r="K234" i="8" s="1"/>
  <c r="K210" i="8" s="1"/>
  <c r="K186" i="8" s="1"/>
  <c r="K162" i="8" s="1"/>
  <c r="K138" i="8" s="1"/>
  <c r="K114" i="8" s="1"/>
  <c r="K90" i="8" s="1"/>
  <c r="K66" i="8" s="1"/>
  <c r="K42" i="8" s="1"/>
  <c r="K18" i="8" s="1"/>
  <c r="I810" i="8"/>
  <c r="I786" i="8" s="1"/>
  <c r="I762" i="8" s="1"/>
  <c r="I738" i="8" s="1"/>
  <c r="I714" i="8" s="1"/>
  <c r="I690" i="8" s="1"/>
  <c r="I666" i="8" s="1"/>
  <c r="I642" i="8" s="1"/>
  <c r="I618" i="8" s="1"/>
  <c r="I594" i="8" s="1"/>
  <c r="I570" i="8" s="1"/>
  <c r="I546" i="8" s="1"/>
  <c r="I522" i="8" s="1"/>
  <c r="I498" i="8" s="1"/>
  <c r="I474" i="8" s="1"/>
  <c r="I450" i="8" s="1"/>
  <c r="I426" i="8" s="1"/>
  <c r="I402" i="8" s="1"/>
  <c r="I378" i="8" s="1"/>
  <c r="I354" i="8" s="1"/>
  <c r="I330" i="8" s="1"/>
  <c r="I306" i="8" s="1"/>
  <c r="I282" i="8" s="1"/>
  <c r="I258" i="8" s="1"/>
  <c r="I234" i="8" s="1"/>
  <c r="I210" i="8" s="1"/>
  <c r="I186" i="8" s="1"/>
  <c r="I162" i="8" s="1"/>
  <c r="I138" i="8" s="1"/>
  <c r="I114" i="8" s="1"/>
  <c r="I90" i="8" s="1"/>
  <c r="I66" i="8" s="1"/>
  <c r="I42" i="8" s="1"/>
  <c r="I18" i="8" s="1"/>
  <c r="H810" i="8"/>
  <c r="H786" i="8" s="1"/>
  <c r="H762" i="8" s="1"/>
  <c r="H738" i="8" s="1"/>
  <c r="H714" i="8" s="1"/>
  <c r="H690" i="8" s="1"/>
  <c r="H666" i="8" s="1"/>
  <c r="H642" i="8" s="1"/>
  <c r="H618" i="8" s="1"/>
  <c r="H594" i="8" s="1"/>
  <c r="H570" i="8" s="1"/>
  <c r="H546" i="8" s="1"/>
  <c r="H522" i="8" s="1"/>
  <c r="H498" i="8" s="1"/>
  <c r="H474" i="8" s="1"/>
  <c r="H450" i="8" s="1"/>
  <c r="H426" i="8" s="1"/>
  <c r="H402" i="8" s="1"/>
  <c r="H378" i="8" s="1"/>
  <c r="H354" i="8" s="1"/>
  <c r="H330" i="8" s="1"/>
  <c r="H306" i="8" s="1"/>
  <c r="H282" i="8" s="1"/>
  <c r="H258" i="8" s="1"/>
  <c r="H234" i="8" s="1"/>
  <c r="H210" i="8" s="1"/>
  <c r="H186" i="8" s="1"/>
  <c r="H162" i="8" s="1"/>
  <c r="H138" i="8" s="1"/>
  <c r="H114" i="8" s="1"/>
  <c r="H90" i="8" s="1"/>
  <c r="H66" i="8" s="1"/>
  <c r="H42" i="8" s="1"/>
  <c r="H18" i="8" s="1"/>
  <c r="G810" i="8"/>
  <c r="G786" i="8" s="1"/>
  <c r="G762" i="8" s="1"/>
  <c r="G738" i="8" s="1"/>
  <c r="G714" i="8" s="1"/>
  <c r="G690" i="8" s="1"/>
  <c r="G666" i="8" s="1"/>
  <c r="G642" i="8" s="1"/>
  <c r="G618" i="8" s="1"/>
  <c r="G594" i="8" s="1"/>
  <c r="G570" i="8" s="1"/>
  <c r="G546" i="8" s="1"/>
  <c r="G522" i="8" s="1"/>
  <c r="G498" i="8" s="1"/>
  <c r="G474" i="8" s="1"/>
  <c r="G450" i="8" s="1"/>
  <c r="G426" i="8" s="1"/>
  <c r="G402" i="8" s="1"/>
  <c r="G378" i="8" s="1"/>
  <c r="G354" i="8" s="1"/>
  <c r="G330" i="8" s="1"/>
  <c r="G306" i="8" s="1"/>
  <c r="G282" i="8" s="1"/>
  <c r="G258" i="8" s="1"/>
  <c r="G234" i="8" s="1"/>
  <c r="G210" i="8" s="1"/>
  <c r="G186" i="8" s="1"/>
  <c r="G162" i="8" s="1"/>
  <c r="G138" i="8" s="1"/>
  <c r="G114" i="8" s="1"/>
  <c r="G90" i="8" s="1"/>
  <c r="G66" i="8" s="1"/>
  <c r="G42" i="8" s="1"/>
  <c r="G18" i="8" s="1"/>
  <c r="C810" i="8"/>
  <c r="C786" i="8" s="1"/>
  <c r="C762" i="8" s="1"/>
  <c r="C738" i="8" s="1"/>
  <c r="C714" i="8" s="1"/>
  <c r="C690" i="8" s="1"/>
  <c r="C666" i="8" s="1"/>
  <c r="C642" i="8" s="1"/>
  <c r="C618" i="8" s="1"/>
  <c r="C594" i="8" s="1"/>
  <c r="C570" i="8" s="1"/>
  <c r="C546" i="8" s="1"/>
  <c r="C522" i="8" s="1"/>
  <c r="C498" i="8" s="1"/>
  <c r="C474" i="8" s="1"/>
  <c r="C450" i="8" s="1"/>
  <c r="C426" i="8" s="1"/>
  <c r="C402" i="8" s="1"/>
  <c r="C378" i="8" s="1"/>
  <c r="C354" i="8" s="1"/>
  <c r="C330" i="8" s="1"/>
  <c r="C306" i="8" s="1"/>
  <c r="C282" i="8" s="1"/>
  <c r="C258" i="8" s="1"/>
  <c r="C234" i="8" s="1"/>
  <c r="C210" i="8" s="1"/>
  <c r="C186" i="8" s="1"/>
  <c r="C162" i="8" s="1"/>
  <c r="C138" i="8" s="1"/>
  <c r="C114" i="8" s="1"/>
  <c r="C90" i="8" s="1"/>
  <c r="C66" i="8" s="1"/>
  <c r="C42" i="8" s="1"/>
  <c r="C18" i="8" s="1"/>
  <c r="B810" i="8"/>
  <c r="K809" i="8"/>
  <c r="K785" i="8" s="1"/>
  <c r="K761" i="8" s="1"/>
  <c r="K737" i="8" s="1"/>
  <c r="K713" i="8" s="1"/>
  <c r="K689" i="8" s="1"/>
  <c r="K665" i="8" s="1"/>
  <c r="K641" i="8" s="1"/>
  <c r="K617" i="8" s="1"/>
  <c r="K593" i="8" s="1"/>
  <c r="K569" i="8" s="1"/>
  <c r="K545" i="8" s="1"/>
  <c r="K521" i="8" s="1"/>
  <c r="K497" i="8" s="1"/>
  <c r="K473" i="8" s="1"/>
  <c r="K449" i="8" s="1"/>
  <c r="K425" i="8" s="1"/>
  <c r="K401" i="8" s="1"/>
  <c r="K377" i="8" s="1"/>
  <c r="K353" i="8" s="1"/>
  <c r="K329" i="8" s="1"/>
  <c r="K305" i="8" s="1"/>
  <c r="K281" i="8" s="1"/>
  <c r="K257" i="8" s="1"/>
  <c r="K233" i="8" s="1"/>
  <c r="K209" i="8" s="1"/>
  <c r="K185" i="8" s="1"/>
  <c r="K161" i="8" s="1"/>
  <c r="K137" i="8" s="1"/>
  <c r="K113" i="8" s="1"/>
  <c r="K89" i="8" s="1"/>
  <c r="K65" i="8" s="1"/>
  <c r="K41" i="8" s="1"/>
  <c r="K17" i="8" s="1"/>
  <c r="I809" i="8"/>
  <c r="I785" i="8" s="1"/>
  <c r="H809" i="8"/>
  <c r="H785" i="8" s="1"/>
  <c r="H761" i="8" s="1"/>
  <c r="H737" i="8" s="1"/>
  <c r="H713" i="8" s="1"/>
  <c r="H689" i="8" s="1"/>
  <c r="H665" i="8" s="1"/>
  <c r="H641" i="8" s="1"/>
  <c r="H617" i="8" s="1"/>
  <c r="H593" i="8" s="1"/>
  <c r="H569" i="8" s="1"/>
  <c r="H545" i="8" s="1"/>
  <c r="H521" i="8" s="1"/>
  <c r="H497" i="8" s="1"/>
  <c r="H473" i="8" s="1"/>
  <c r="H449" i="8" s="1"/>
  <c r="H425" i="8" s="1"/>
  <c r="H401" i="8" s="1"/>
  <c r="H377" i="8" s="1"/>
  <c r="H353" i="8" s="1"/>
  <c r="H329" i="8" s="1"/>
  <c r="H305" i="8" s="1"/>
  <c r="H281" i="8" s="1"/>
  <c r="H257" i="8" s="1"/>
  <c r="H233" i="8" s="1"/>
  <c r="H209" i="8" s="1"/>
  <c r="H185" i="8" s="1"/>
  <c r="H161" i="8" s="1"/>
  <c r="H137" i="8" s="1"/>
  <c r="H113" i="8" s="1"/>
  <c r="H89" i="8" s="1"/>
  <c r="H65" i="8" s="1"/>
  <c r="H41" i="8" s="1"/>
  <c r="H17" i="8" s="1"/>
  <c r="G809" i="8"/>
  <c r="G785" i="8" s="1"/>
  <c r="G761" i="8" s="1"/>
  <c r="G737" i="8" s="1"/>
  <c r="G713" i="8" s="1"/>
  <c r="G689" i="8" s="1"/>
  <c r="G665" i="8" s="1"/>
  <c r="G641" i="8" s="1"/>
  <c r="G617" i="8" s="1"/>
  <c r="G593" i="8" s="1"/>
  <c r="G569" i="8" s="1"/>
  <c r="G545" i="8" s="1"/>
  <c r="G521" i="8" s="1"/>
  <c r="G497" i="8" s="1"/>
  <c r="G473" i="8" s="1"/>
  <c r="G449" i="8" s="1"/>
  <c r="G425" i="8" s="1"/>
  <c r="G401" i="8" s="1"/>
  <c r="G377" i="8" s="1"/>
  <c r="G353" i="8" s="1"/>
  <c r="G329" i="8" s="1"/>
  <c r="G305" i="8" s="1"/>
  <c r="G281" i="8" s="1"/>
  <c r="G257" i="8" s="1"/>
  <c r="G233" i="8" s="1"/>
  <c r="G209" i="8" s="1"/>
  <c r="G185" i="8" s="1"/>
  <c r="G161" i="8" s="1"/>
  <c r="G137" i="8" s="1"/>
  <c r="G113" i="8" s="1"/>
  <c r="G89" i="8" s="1"/>
  <c r="G65" i="8" s="1"/>
  <c r="G41" i="8" s="1"/>
  <c r="G17" i="8" s="1"/>
  <c r="C809" i="8"/>
  <c r="C785" i="8" s="1"/>
  <c r="C761" i="8" s="1"/>
  <c r="C737" i="8" s="1"/>
  <c r="C713" i="8" s="1"/>
  <c r="C689" i="8" s="1"/>
  <c r="C665" i="8" s="1"/>
  <c r="C641" i="8" s="1"/>
  <c r="C617" i="8" s="1"/>
  <c r="C593" i="8" s="1"/>
  <c r="C569" i="8" s="1"/>
  <c r="C545" i="8" s="1"/>
  <c r="C521" i="8" s="1"/>
  <c r="B809" i="8"/>
  <c r="B785" i="8" s="1"/>
  <c r="B761" i="8" s="1"/>
  <c r="B737" i="8" s="1"/>
  <c r="B713" i="8" s="1"/>
  <c r="B689" i="8" s="1"/>
  <c r="B665" i="8" s="1"/>
  <c r="B641" i="8" s="1"/>
  <c r="B617" i="8" s="1"/>
  <c r="B593" i="8" s="1"/>
  <c r="B569" i="8" s="1"/>
  <c r="B545" i="8" s="1"/>
  <c r="B521" i="8" s="1"/>
  <c r="B497" i="8" s="1"/>
  <c r="B473" i="8" s="1"/>
  <c r="B449" i="8" s="1"/>
  <c r="B425" i="8" s="1"/>
  <c r="B401" i="8" s="1"/>
  <c r="B377" i="8" s="1"/>
  <c r="B353" i="8" s="1"/>
  <c r="B329" i="8" s="1"/>
  <c r="B305" i="8" s="1"/>
  <c r="B281" i="8" s="1"/>
  <c r="B257" i="8" s="1"/>
  <c r="B233" i="8" s="1"/>
  <c r="B209" i="8" s="1"/>
  <c r="B185" i="8" s="1"/>
  <c r="B161" i="8" s="1"/>
  <c r="B137" i="8" s="1"/>
  <c r="B113" i="8" s="1"/>
  <c r="B89" i="8" s="1"/>
  <c r="B65" i="8" s="1"/>
  <c r="B41" i="8" s="1"/>
  <c r="B17" i="8" s="1"/>
  <c r="K808" i="8"/>
  <c r="K784" i="8" s="1"/>
  <c r="K760" i="8" s="1"/>
  <c r="K736" i="8" s="1"/>
  <c r="K712" i="8" s="1"/>
  <c r="K688" i="8" s="1"/>
  <c r="K664" i="8" s="1"/>
  <c r="K640" i="8" s="1"/>
  <c r="K616" i="8" s="1"/>
  <c r="K592" i="8" s="1"/>
  <c r="K568" i="8" s="1"/>
  <c r="K544" i="8" s="1"/>
  <c r="K520" i="8" s="1"/>
  <c r="K496" i="8" s="1"/>
  <c r="K472" i="8" s="1"/>
  <c r="K448" i="8" s="1"/>
  <c r="K424" i="8" s="1"/>
  <c r="K400" i="8" s="1"/>
  <c r="K376" i="8" s="1"/>
  <c r="K352" i="8" s="1"/>
  <c r="K328" i="8" s="1"/>
  <c r="K304" i="8" s="1"/>
  <c r="K280" i="8" s="1"/>
  <c r="K256" i="8" s="1"/>
  <c r="K232" i="8" s="1"/>
  <c r="K208" i="8" s="1"/>
  <c r="K184" i="8" s="1"/>
  <c r="K160" i="8" s="1"/>
  <c r="K136" i="8" s="1"/>
  <c r="K112" i="8" s="1"/>
  <c r="K88" i="8" s="1"/>
  <c r="K64" i="8" s="1"/>
  <c r="K40" i="8" s="1"/>
  <c r="K16" i="8" s="1"/>
  <c r="I808" i="8"/>
  <c r="I784" i="8" s="1"/>
  <c r="I760" i="8" s="1"/>
  <c r="I736" i="8" s="1"/>
  <c r="I712" i="8" s="1"/>
  <c r="I688" i="8" s="1"/>
  <c r="I664" i="8" s="1"/>
  <c r="I640" i="8" s="1"/>
  <c r="I616" i="8" s="1"/>
  <c r="I592" i="8" s="1"/>
  <c r="I568" i="8" s="1"/>
  <c r="I544" i="8" s="1"/>
  <c r="I520" i="8" s="1"/>
  <c r="I496" i="8" s="1"/>
  <c r="I472" i="8" s="1"/>
  <c r="I448" i="8" s="1"/>
  <c r="I424" i="8" s="1"/>
  <c r="I400" i="8" s="1"/>
  <c r="I376" i="8" s="1"/>
  <c r="I352" i="8" s="1"/>
  <c r="I328" i="8" s="1"/>
  <c r="I304" i="8" s="1"/>
  <c r="I280" i="8" s="1"/>
  <c r="I256" i="8" s="1"/>
  <c r="I232" i="8" s="1"/>
  <c r="I208" i="8" s="1"/>
  <c r="I184" i="8" s="1"/>
  <c r="I160" i="8" s="1"/>
  <c r="I136" i="8" s="1"/>
  <c r="I112" i="8" s="1"/>
  <c r="I88" i="8" s="1"/>
  <c r="I64" i="8" s="1"/>
  <c r="I40" i="8" s="1"/>
  <c r="I16" i="8" s="1"/>
  <c r="H808" i="8"/>
  <c r="H784" i="8" s="1"/>
  <c r="H760" i="8" s="1"/>
  <c r="H736" i="8" s="1"/>
  <c r="H712" i="8" s="1"/>
  <c r="H688" i="8" s="1"/>
  <c r="H664" i="8" s="1"/>
  <c r="H640" i="8" s="1"/>
  <c r="H616" i="8" s="1"/>
  <c r="H592" i="8" s="1"/>
  <c r="H568" i="8" s="1"/>
  <c r="H544" i="8" s="1"/>
  <c r="H520" i="8" s="1"/>
  <c r="H496" i="8" s="1"/>
  <c r="G808" i="8"/>
  <c r="G784" i="8" s="1"/>
  <c r="G760" i="8" s="1"/>
  <c r="G736" i="8" s="1"/>
  <c r="G712" i="8" s="1"/>
  <c r="G688" i="8" s="1"/>
  <c r="G664" i="8" s="1"/>
  <c r="G640" i="8" s="1"/>
  <c r="G616" i="8" s="1"/>
  <c r="G592" i="8" s="1"/>
  <c r="G568" i="8" s="1"/>
  <c r="G544" i="8" s="1"/>
  <c r="G520" i="8" s="1"/>
  <c r="G496" i="8" s="1"/>
  <c r="G472" i="8" s="1"/>
  <c r="G448" i="8" s="1"/>
  <c r="G424" i="8" s="1"/>
  <c r="G400" i="8" s="1"/>
  <c r="G376" i="8" s="1"/>
  <c r="G352" i="8" s="1"/>
  <c r="G328" i="8" s="1"/>
  <c r="G304" i="8" s="1"/>
  <c r="G280" i="8" s="1"/>
  <c r="G256" i="8" s="1"/>
  <c r="G232" i="8" s="1"/>
  <c r="G208" i="8" s="1"/>
  <c r="G184" i="8" s="1"/>
  <c r="G160" i="8" s="1"/>
  <c r="G136" i="8" s="1"/>
  <c r="G112" i="8" s="1"/>
  <c r="G88" i="8" s="1"/>
  <c r="G64" i="8" s="1"/>
  <c r="G40" i="8" s="1"/>
  <c r="G16" i="8" s="1"/>
  <c r="C808" i="8"/>
  <c r="C784" i="8" s="1"/>
  <c r="C760" i="8" s="1"/>
  <c r="C736" i="8" s="1"/>
  <c r="C712" i="8" s="1"/>
  <c r="C688" i="8" s="1"/>
  <c r="C664" i="8" s="1"/>
  <c r="C640" i="8" s="1"/>
  <c r="C616" i="8" s="1"/>
  <c r="C592" i="8" s="1"/>
  <c r="C568" i="8" s="1"/>
  <c r="C544" i="8" s="1"/>
  <c r="C520" i="8" s="1"/>
  <c r="C496" i="8" s="1"/>
  <c r="C472" i="8" s="1"/>
  <c r="C448" i="8" s="1"/>
  <c r="C424" i="8" s="1"/>
  <c r="C400" i="8" s="1"/>
  <c r="C376" i="8" s="1"/>
  <c r="C352" i="8" s="1"/>
  <c r="C328" i="8" s="1"/>
  <c r="C304" i="8" s="1"/>
  <c r="C280" i="8" s="1"/>
  <c r="C256" i="8" s="1"/>
  <c r="C232" i="8" s="1"/>
  <c r="C208" i="8" s="1"/>
  <c r="C184" i="8" s="1"/>
  <c r="C160" i="8" s="1"/>
  <c r="C136" i="8" s="1"/>
  <c r="C112" i="8" s="1"/>
  <c r="C88" i="8" s="1"/>
  <c r="C64" i="8" s="1"/>
  <c r="C40" i="8" s="1"/>
  <c r="C16" i="8" s="1"/>
  <c r="B808" i="8"/>
  <c r="K807" i="8"/>
  <c r="K783" i="8" s="1"/>
  <c r="K759" i="8" s="1"/>
  <c r="K735" i="8" s="1"/>
  <c r="K711" i="8" s="1"/>
  <c r="K687" i="8" s="1"/>
  <c r="K663" i="8" s="1"/>
  <c r="K639" i="8" s="1"/>
  <c r="K615" i="8" s="1"/>
  <c r="K591" i="8" s="1"/>
  <c r="K567" i="8" s="1"/>
  <c r="K543" i="8" s="1"/>
  <c r="K519" i="8" s="1"/>
  <c r="K495" i="8" s="1"/>
  <c r="K471" i="8" s="1"/>
  <c r="K447" i="8" s="1"/>
  <c r="K423" i="8" s="1"/>
  <c r="K399" i="8" s="1"/>
  <c r="K375" i="8" s="1"/>
  <c r="K351" i="8" s="1"/>
  <c r="K327" i="8" s="1"/>
  <c r="K303" i="8" s="1"/>
  <c r="K279" i="8" s="1"/>
  <c r="K255" i="8" s="1"/>
  <c r="K231" i="8" s="1"/>
  <c r="K207" i="8" s="1"/>
  <c r="K183" i="8" s="1"/>
  <c r="K159" i="8" s="1"/>
  <c r="K135" i="8" s="1"/>
  <c r="K111" i="8" s="1"/>
  <c r="K87" i="8" s="1"/>
  <c r="K63" i="8" s="1"/>
  <c r="K39" i="8" s="1"/>
  <c r="K15" i="8" s="1"/>
  <c r="I807" i="8"/>
  <c r="H807" i="8"/>
  <c r="H783" i="8" s="1"/>
  <c r="H759" i="8" s="1"/>
  <c r="H735" i="8" s="1"/>
  <c r="H711" i="8" s="1"/>
  <c r="H687" i="8" s="1"/>
  <c r="H663" i="8" s="1"/>
  <c r="H639" i="8" s="1"/>
  <c r="H615" i="8" s="1"/>
  <c r="H591" i="8" s="1"/>
  <c r="H567" i="8" s="1"/>
  <c r="H543" i="8" s="1"/>
  <c r="H519" i="8" s="1"/>
  <c r="H495" i="8" s="1"/>
  <c r="G807" i="8"/>
  <c r="C807" i="8"/>
  <c r="C783" i="8" s="1"/>
  <c r="C759" i="8" s="1"/>
  <c r="C735" i="8" s="1"/>
  <c r="C711" i="8" s="1"/>
  <c r="C687" i="8" s="1"/>
  <c r="C663" i="8" s="1"/>
  <c r="B807" i="8"/>
  <c r="B783" i="8" s="1"/>
  <c r="B759" i="8" s="1"/>
  <c r="B735" i="8" s="1"/>
  <c r="B711" i="8" s="1"/>
  <c r="B687" i="8" s="1"/>
  <c r="B663" i="8" s="1"/>
  <c r="B639" i="8" s="1"/>
  <c r="B615" i="8" s="1"/>
  <c r="B591" i="8" s="1"/>
  <c r="B567" i="8" s="1"/>
  <c r="B543" i="8" s="1"/>
  <c r="B519" i="8" s="1"/>
  <c r="B495" i="8" s="1"/>
  <c r="B471" i="8" s="1"/>
  <c r="B447" i="8" s="1"/>
  <c r="B423" i="8" s="1"/>
  <c r="B399" i="8" s="1"/>
  <c r="B375" i="8" s="1"/>
  <c r="B351" i="8" s="1"/>
  <c r="B327" i="8" s="1"/>
  <c r="B303" i="8" s="1"/>
  <c r="B279" i="8" s="1"/>
  <c r="B255" i="8" s="1"/>
  <c r="B231" i="8" s="1"/>
  <c r="B207" i="8" s="1"/>
  <c r="B183" i="8" s="1"/>
  <c r="B159" i="8" s="1"/>
  <c r="B135" i="8" s="1"/>
  <c r="B111" i="8" s="1"/>
  <c r="B87" i="8" s="1"/>
  <c r="B63" i="8" s="1"/>
  <c r="B39" i="8" s="1"/>
  <c r="B15" i="8" s="1"/>
  <c r="K806" i="8"/>
  <c r="K782" i="8" s="1"/>
  <c r="K758" i="8" s="1"/>
  <c r="K734" i="8" s="1"/>
  <c r="K710" i="8" s="1"/>
  <c r="K686" i="8" s="1"/>
  <c r="K662" i="8" s="1"/>
  <c r="K638" i="8" s="1"/>
  <c r="K614" i="8" s="1"/>
  <c r="K590" i="8" s="1"/>
  <c r="K566" i="8" s="1"/>
  <c r="K542" i="8" s="1"/>
  <c r="K518" i="8" s="1"/>
  <c r="K494" i="8" s="1"/>
  <c r="K470" i="8" s="1"/>
  <c r="K446" i="8" s="1"/>
  <c r="K422" i="8" s="1"/>
  <c r="K398" i="8" s="1"/>
  <c r="K374" i="8" s="1"/>
  <c r="K350" i="8" s="1"/>
  <c r="K326" i="8" s="1"/>
  <c r="K302" i="8" s="1"/>
  <c r="K278" i="8" s="1"/>
  <c r="K254" i="8" s="1"/>
  <c r="K230" i="8" s="1"/>
  <c r="K206" i="8" s="1"/>
  <c r="K182" i="8" s="1"/>
  <c r="K158" i="8" s="1"/>
  <c r="K134" i="8" s="1"/>
  <c r="K110" i="8" s="1"/>
  <c r="K86" i="8" s="1"/>
  <c r="K62" i="8" s="1"/>
  <c r="K38" i="8" s="1"/>
  <c r="K14" i="8" s="1"/>
  <c r="I806" i="8"/>
  <c r="I782" i="8" s="1"/>
  <c r="I758" i="8" s="1"/>
  <c r="I734" i="8" s="1"/>
  <c r="I710" i="8" s="1"/>
  <c r="I686" i="8" s="1"/>
  <c r="I662" i="8" s="1"/>
  <c r="I638" i="8" s="1"/>
  <c r="I614" i="8" s="1"/>
  <c r="I590" i="8" s="1"/>
  <c r="I566" i="8" s="1"/>
  <c r="I542" i="8" s="1"/>
  <c r="I518" i="8" s="1"/>
  <c r="I494" i="8" s="1"/>
  <c r="I470" i="8" s="1"/>
  <c r="I446" i="8" s="1"/>
  <c r="I422" i="8" s="1"/>
  <c r="I398" i="8" s="1"/>
  <c r="I374" i="8" s="1"/>
  <c r="I350" i="8" s="1"/>
  <c r="I326" i="8" s="1"/>
  <c r="I302" i="8" s="1"/>
  <c r="I278" i="8" s="1"/>
  <c r="I254" i="8" s="1"/>
  <c r="I230" i="8" s="1"/>
  <c r="I206" i="8" s="1"/>
  <c r="I182" i="8" s="1"/>
  <c r="I158" i="8" s="1"/>
  <c r="I134" i="8" s="1"/>
  <c r="I110" i="8" s="1"/>
  <c r="I86" i="8" s="1"/>
  <c r="I62" i="8" s="1"/>
  <c r="I38" i="8" s="1"/>
  <c r="I14" i="8" s="1"/>
  <c r="H806" i="8"/>
  <c r="H782" i="8" s="1"/>
  <c r="H758" i="8" s="1"/>
  <c r="H734" i="8" s="1"/>
  <c r="H710" i="8" s="1"/>
  <c r="H686" i="8" s="1"/>
  <c r="H662" i="8" s="1"/>
  <c r="H638" i="8" s="1"/>
  <c r="H614" i="8" s="1"/>
  <c r="H590" i="8" s="1"/>
  <c r="H566" i="8" s="1"/>
  <c r="H542" i="8" s="1"/>
  <c r="H518" i="8" s="1"/>
  <c r="H494" i="8" s="1"/>
  <c r="H470" i="8" s="1"/>
  <c r="H446" i="8" s="1"/>
  <c r="H422" i="8" s="1"/>
  <c r="H398" i="8" s="1"/>
  <c r="H374" i="8" s="1"/>
  <c r="H350" i="8" s="1"/>
  <c r="H326" i="8" s="1"/>
  <c r="H302" i="8" s="1"/>
  <c r="H278" i="8" s="1"/>
  <c r="H254" i="8" s="1"/>
  <c r="H230" i="8" s="1"/>
  <c r="H206" i="8" s="1"/>
  <c r="H182" i="8" s="1"/>
  <c r="H158" i="8" s="1"/>
  <c r="H134" i="8" s="1"/>
  <c r="H110" i="8" s="1"/>
  <c r="H86" i="8" s="1"/>
  <c r="H62" i="8" s="1"/>
  <c r="H38" i="8" s="1"/>
  <c r="H14" i="8" s="1"/>
  <c r="G806" i="8"/>
  <c r="G782" i="8" s="1"/>
  <c r="G758" i="8" s="1"/>
  <c r="G734" i="8" s="1"/>
  <c r="G710" i="8" s="1"/>
  <c r="G686" i="8" s="1"/>
  <c r="G662" i="8" s="1"/>
  <c r="G638" i="8" s="1"/>
  <c r="G614" i="8" s="1"/>
  <c r="G590" i="8" s="1"/>
  <c r="G566" i="8" s="1"/>
  <c r="G542" i="8" s="1"/>
  <c r="G518" i="8" s="1"/>
  <c r="G494" i="8" s="1"/>
  <c r="G470" i="8" s="1"/>
  <c r="G446" i="8" s="1"/>
  <c r="G422" i="8" s="1"/>
  <c r="G398" i="8" s="1"/>
  <c r="G374" i="8" s="1"/>
  <c r="G350" i="8" s="1"/>
  <c r="G326" i="8" s="1"/>
  <c r="G302" i="8" s="1"/>
  <c r="G278" i="8" s="1"/>
  <c r="G254" i="8" s="1"/>
  <c r="G230" i="8" s="1"/>
  <c r="G206" i="8" s="1"/>
  <c r="G182" i="8" s="1"/>
  <c r="G158" i="8" s="1"/>
  <c r="G134" i="8" s="1"/>
  <c r="G110" i="8" s="1"/>
  <c r="G86" i="8" s="1"/>
  <c r="G62" i="8" s="1"/>
  <c r="G38" i="8" s="1"/>
  <c r="G14" i="8" s="1"/>
  <c r="C806" i="8"/>
  <c r="C782" i="8" s="1"/>
  <c r="C758" i="8" s="1"/>
  <c r="C734" i="8" s="1"/>
  <c r="C710" i="8" s="1"/>
  <c r="C686" i="8" s="1"/>
  <c r="C662" i="8" s="1"/>
  <c r="C638" i="8" s="1"/>
  <c r="C614" i="8" s="1"/>
  <c r="C590" i="8" s="1"/>
  <c r="C566" i="8" s="1"/>
  <c r="C542" i="8" s="1"/>
  <c r="C518" i="8" s="1"/>
  <c r="C494" i="8" s="1"/>
  <c r="C470" i="8" s="1"/>
  <c r="C446" i="8" s="1"/>
  <c r="C422" i="8" s="1"/>
  <c r="C398" i="8" s="1"/>
  <c r="C374" i="8" s="1"/>
  <c r="C350" i="8" s="1"/>
  <c r="C326" i="8" s="1"/>
  <c r="C302" i="8" s="1"/>
  <c r="C278" i="8" s="1"/>
  <c r="C254" i="8" s="1"/>
  <c r="C230" i="8" s="1"/>
  <c r="C206" i="8" s="1"/>
  <c r="C182" i="8" s="1"/>
  <c r="C158" i="8" s="1"/>
  <c r="C134" i="8" s="1"/>
  <c r="C110" i="8" s="1"/>
  <c r="C86" i="8" s="1"/>
  <c r="C62" i="8" s="1"/>
  <c r="C38" i="8" s="1"/>
  <c r="C14" i="8" s="1"/>
  <c r="B806" i="8"/>
  <c r="K805" i="8"/>
  <c r="K781" i="8" s="1"/>
  <c r="K757" i="8" s="1"/>
  <c r="K733" i="8" s="1"/>
  <c r="K709" i="8" s="1"/>
  <c r="K685" i="8" s="1"/>
  <c r="K661" i="8" s="1"/>
  <c r="K637" i="8" s="1"/>
  <c r="K613" i="8" s="1"/>
  <c r="K589" i="8" s="1"/>
  <c r="K565" i="8" s="1"/>
  <c r="K541" i="8" s="1"/>
  <c r="K517" i="8" s="1"/>
  <c r="K493" i="8" s="1"/>
  <c r="K469" i="8" s="1"/>
  <c r="K445" i="8" s="1"/>
  <c r="K421" i="8" s="1"/>
  <c r="K397" i="8" s="1"/>
  <c r="K373" i="8" s="1"/>
  <c r="K349" i="8" s="1"/>
  <c r="K325" i="8" s="1"/>
  <c r="K301" i="8" s="1"/>
  <c r="K277" i="8" s="1"/>
  <c r="K253" i="8" s="1"/>
  <c r="K229" i="8" s="1"/>
  <c r="K205" i="8" s="1"/>
  <c r="K181" i="8" s="1"/>
  <c r="K157" i="8" s="1"/>
  <c r="K133" i="8" s="1"/>
  <c r="K109" i="8" s="1"/>
  <c r="K85" i="8" s="1"/>
  <c r="K61" i="8" s="1"/>
  <c r="K37" i="8" s="1"/>
  <c r="K13" i="8" s="1"/>
  <c r="I805" i="8"/>
  <c r="H805" i="8"/>
  <c r="G805" i="8"/>
  <c r="C805" i="8"/>
  <c r="C781" i="8" s="1"/>
  <c r="C757" i="8" s="1"/>
  <c r="C733" i="8" s="1"/>
  <c r="C709" i="8" s="1"/>
  <c r="C685" i="8" s="1"/>
  <c r="C661" i="8" s="1"/>
  <c r="C637" i="8" s="1"/>
  <c r="C613" i="8" s="1"/>
  <c r="C589" i="8" s="1"/>
  <c r="C565" i="8" s="1"/>
  <c r="C541" i="8" s="1"/>
  <c r="C517" i="8" s="1"/>
  <c r="C493" i="8" s="1"/>
  <c r="C469" i="8" s="1"/>
  <c r="C445" i="8" s="1"/>
  <c r="C421" i="8" s="1"/>
  <c r="C397" i="8" s="1"/>
  <c r="C373" i="8" s="1"/>
  <c r="C349" i="8" s="1"/>
  <c r="C325" i="8" s="1"/>
  <c r="C301" i="8" s="1"/>
  <c r="C277" i="8" s="1"/>
  <c r="C253" i="8" s="1"/>
  <c r="C229" i="8" s="1"/>
  <c r="C205" i="8" s="1"/>
  <c r="C181" i="8" s="1"/>
  <c r="C157" i="8" s="1"/>
  <c r="C133" i="8" s="1"/>
  <c r="C109" i="8" s="1"/>
  <c r="C85" i="8" s="1"/>
  <c r="C61" i="8" s="1"/>
  <c r="C37" i="8" s="1"/>
  <c r="C13" i="8" s="1"/>
  <c r="B805" i="8"/>
  <c r="B781" i="8" s="1"/>
  <c r="B757" i="8" s="1"/>
  <c r="B733" i="8" s="1"/>
  <c r="B709" i="8" s="1"/>
  <c r="B685" i="8" s="1"/>
  <c r="B661" i="8" s="1"/>
  <c r="B637" i="8" s="1"/>
  <c r="B613" i="8" s="1"/>
  <c r="B589" i="8" s="1"/>
  <c r="B565" i="8" s="1"/>
  <c r="B541" i="8" s="1"/>
  <c r="B517" i="8" s="1"/>
  <c r="B493" i="8" s="1"/>
  <c r="B469" i="8" s="1"/>
  <c r="B445" i="8" s="1"/>
  <c r="B421" i="8" s="1"/>
  <c r="B397" i="8" s="1"/>
  <c r="B373" i="8" s="1"/>
  <c r="B349" i="8" s="1"/>
  <c r="B325" i="8" s="1"/>
  <c r="B301" i="8" s="1"/>
  <c r="B277" i="8" s="1"/>
  <c r="B253" i="8" s="1"/>
  <c r="B229" i="8" s="1"/>
  <c r="B205" i="8" s="1"/>
  <c r="B181" i="8" s="1"/>
  <c r="B157" i="8" s="1"/>
  <c r="B133" i="8" s="1"/>
  <c r="B109" i="8" s="1"/>
  <c r="B85" i="8" s="1"/>
  <c r="B61" i="8" s="1"/>
  <c r="B37" i="8" s="1"/>
  <c r="B13" i="8" s="1"/>
  <c r="K804" i="8"/>
  <c r="K780" i="8" s="1"/>
  <c r="K756" i="8" s="1"/>
  <c r="K732" i="8" s="1"/>
  <c r="K708" i="8" s="1"/>
  <c r="K684" i="8" s="1"/>
  <c r="K660" i="8" s="1"/>
  <c r="K636" i="8" s="1"/>
  <c r="K612" i="8" s="1"/>
  <c r="K588" i="8" s="1"/>
  <c r="K564" i="8" s="1"/>
  <c r="K540" i="8" s="1"/>
  <c r="K516" i="8" s="1"/>
  <c r="K492" i="8" s="1"/>
  <c r="K468" i="8" s="1"/>
  <c r="K444" i="8" s="1"/>
  <c r="K420" i="8" s="1"/>
  <c r="K396" i="8" s="1"/>
  <c r="K372" i="8" s="1"/>
  <c r="K348" i="8" s="1"/>
  <c r="K324" i="8" s="1"/>
  <c r="K300" i="8" s="1"/>
  <c r="K276" i="8" s="1"/>
  <c r="K252" i="8" s="1"/>
  <c r="K228" i="8" s="1"/>
  <c r="K204" i="8" s="1"/>
  <c r="K180" i="8" s="1"/>
  <c r="K156" i="8" s="1"/>
  <c r="K132" i="8" s="1"/>
  <c r="K108" i="8" s="1"/>
  <c r="K84" i="8" s="1"/>
  <c r="K60" i="8" s="1"/>
  <c r="K36" i="8" s="1"/>
  <c r="K12" i="8" s="1"/>
  <c r="I804" i="8"/>
  <c r="I780" i="8" s="1"/>
  <c r="I756" i="8" s="1"/>
  <c r="I732" i="8" s="1"/>
  <c r="I708" i="8" s="1"/>
  <c r="I684" i="8" s="1"/>
  <c r="I660" i="8" s="1"/>
  <c r="I636" i="8" s="1"/>
  <c r="I612" i="8" s="1"/>
  <c r="I588" i="8" s="1"/>
  <c r="I564" i="8" s="1"/>
  <c r="I540" i="8" s="1"/>
  <c r="I516" i="8" s="1"/>
  <c r="I492" i="8" s="1"/>
  <c r="I468" i="8" s="1"/>
  <c r="I444" i="8" s="1"/>
  <c r="I420" i="8" s="1"/>
  <c r="I396" i="8" s="1"/>
  <c r="I372" i="8" s="1"/>
  <c r="I348" i="8" s="1"/>
  <c r="I324" i="8" s="1"/>
  <c r="I300" i="8" s="1"/>
  <c r="I276" i="8" s="1"/>
  <c r="I252" i="8" s="1"/>
  <c r="I228" i="8" s="1"/>
  <c r="I204" i="8" s="1"/>
  <c r="I180" i="8" s="1"/>
  <c r="I156" i="8" s="1"/>
  <c r="I132" i="8" s="1"/>
  <c r="I108" i="8" s="1"/>
  <c r="I84" i="8" s="1"/>
  <c r="I60" i="8" s="1"/>
  <c r="I36" i="8" s="1"/>
  <c r="I12" i="8" s="1"/>
  <c r="H804" i="8"/>
  <c r="H780" i="8" s="1"/>
  <c r="H756" i="8" s="1"/>
  <c r="H732" i="8" s="1"/>
  <c r="H708" i="8" s="1"/>
  <c r="H684" i="8" s="1"/>
  <c r="H660" i="8" s="1"/>
  <c r="H636" i="8" s="1"/>
  <c r="H612" i="8" s="1"/>
  <c r="H588" i="8" s="1"/>
  <c r="H564" i="8" s="1"/>
  <c r="H540" i="8" s="1"/>
  <c r="H516" i="8" s="1"/>
  <c r="H492" i="8" s="1"/>
  <c r="H468" i="8" s="1"/>
  <c r="H444" i="8" s="1"/>
  <c r="H420" i="8" s="1"/>
  <c r="H396" i="8" s="1"/>
  <c r="H372" i="8" s="1"/>
  <c r="H348" i="8" s="1"/>
  <c r="H324" i="8" s="1"/>
  <c r="H300" i="8" s="1"/>
  <c r="H276" i="8" s="1"/>
  <c r="H252" i="8" s="1"/>
  <c r="H228" i="8" s="1"/>
  <c r="H204" i="8" s="1"/>
  <c r="H180" i="8" s="1"/>
  <c r="H156" i="8" s="1"/>
  <c r="H132" i="8" s="1"/>
  <c r="H108" i="8" s="1"/>
  <c r="H84" i="8" s="1"/>
  <c r="H60" i="8" s="1"/>
  <c r="H36" i="8" s="1"/>
  <c r="H12" i="8" s="1"/>
  <c r="G804" i="8"/>
  <c r="G780" i="8" s="1"/>
  <c r="G756" i="8" s="1"/>
  <c r="G732" i="8" s="1"/>
  <c r="G708" i="8" s="1"/>
  <c r="G684" i="8" s="1"/>
  <c r="G660" i="8" s="1"/>
  <c r="G636" i="8" s="1"/>
  <c r="G612" i="8" s="1"/>
  <c r="G588" i="8" s="1"/>
  <c r="G564" i="8" s="1"/>
  <c r="G540" i="8" s="1"/>
  <c r="G516" i="8" s="1"/>
  <c r="G492" i="8" s="1"/>
  <c r="G468" i="8" s="1"/>
  <c r="G444" i="8" s="1"/>
  <c r="G420" i="8" s="1"/>
  <c r="G396" i="8" s="1"/>
  <c r="G372" i="8" s="1"/>
  <c r="G348" i="8" s="1"/>
  <c r="G324" i="8" s="1"/>
  <c r="G300" i="8" s="1"/>
  <c r="G276" i="8" s="1"/>
  <c r="G252" i="8" s="1"/>
  <c r="G228" i="8" s="1"/>
  <c r="G204" i="8" s="1"/>
  <c r="G180" i="8" s="1"/>
  <c r="G156" i="8" s="1"/>
  <c r="G132" i="8" s="1"/>
  <c r="G108" i="8" s="1"/>
  <c r="G84" i="8" s="1"/>
  <c r="G60" i="8" s="1"/>
  <c r="G36" i="8" s="1"/>
  <c r="G12" i="8" s="1"/>
  <c r="C804" i="8"/>
  <c r="C780" i="8" s="1"/>
  <c r="C756" i="8" s="1"/>
  <c r="C732" i="8" s="1"/>
  <c r="C708" i="8" s="1"/>
  <c r="C684" i="8" s="1"/>
  <c r="C660" i="8" s="1"/>
  <c r="C636" i="8" s="1"/>
  <c r="C612" i="8" s="1"/>
  <c r="C588" i="8" s="1"/>
  <c r="C564" i="8" s="1"/>
  <c r="C540" i="8" s="1"/>
  <c r="C516" i="8" s="1"/>
  <c r="C492" i="8" s="1"/>
  <c r="C468" i="8" s="1"/>
  <c r="C444" i="8" s="1"/>
  <c r="C420" i="8" s="1"/>
  <c r="C396" i="8" s="1"/>
  <c r="C372" i="8" s="1"/>
  <c r="C348" i="8" s="1"/>
  <c r="C324" i="8" s="1"/>
  <c r="C300" i="8" s="1"/>
  <c r="C276" i="8" s="1"/>
  <c r="C252" i="8" s="1"/>
  <c r="C228" i="8" s="1"/>
  <c r="C204" i="8" s="1"/>
  <c r="C180" i="8" s="1"/>
  <c r="C156" i="8" s="1"/>
  <c r="C132" i="8" s="1"/>
  <c r="C108" i="8" s="1"/>
  <c r="C84" i="8" s="1"/>
  <c r="C60" i="8" s="1"/>
  <c r="C36" i="8" s="1"/>
  <c r="C12" i="8" s="1"/>
  <c r="B804" i="8"/>
  <c r="B780" i="8" s="1"/>
  <c r="B756" i="8" s="1"/>
  <c r="B732" i="8" s="1"/>
  <c r="B708" i="8" s="1"/>
  <c r="B684" i="8" s="1"/>
  <c r="B660" i="8" s="1"/>
  <c r="K803" i="8"/>
  <c r="I803" i="8"/>
  <c r="I779" i="8" s="1"/>
  <c r="I755" i="8" s="1"/>
  <c r="I731" i="8" s="1"/>
  <c r="I707" i="8" s="1"/>
  <c r="H803" i="8"/>
  <c r="H779" i="8" s="1"/>
  <c r="H755" i="8" s="1"/>
  <c r="H731" i="8" s="1"/>
  <c r="H707" i="8" s="1"/>
  <c r="H683" i="8" s="1"/>
  <c r="H659" i="8" s="1"/>
  <c r="H635" i="8" s="1"/>
  <c r="H611" i="8" s="1"/>
  <c r="H587" i="8" s="1"/>
  <c r="H563" i="8" s="1"/>
  <c r="H539" i="8" s="1"/>
  <c r="H515" i="8" s="1"/>
  <c r="H491" i="8" s="1"/>
  <c r="H467" i="8" s="1"/>
  <c r="H443" i="8" s="1"/>
  <c r="H419" i="8" s="1"/>
  <c r="H395" i="8" s="1"/>
  <c r="H371" i="8" s="1"/>
  <c r="H347" i="8" s="1"/>
  <c r="H323" i="8" s="1"/>
  <c r="H299" i="8" s="1"/>
  <c r="H275" i="8" s="1"/>
  <c r="H251" i="8" s="1"/>
  <c r="H227" i="8" s="1"/>
  <c r="H203" i="8" s="1"/>
  <c r="H179" i="8" s="1"/>
  <c r="H155" i="8" s="1"/>
  <c r="H131" i="8" s="1"/>
  <c r="H107" i="8" s="1"/>
  <c r="H83" i="8" s="1"/>
  <c r="H59" i="8" s="1"/>
  <c r="H35" i="8" s="1"/>
  <c r="H11" i="8" s="1"/>
  <c r="G803" i="8"/>
  <c r="G779" i="8" s="1"/>
  <c r="G755" i="8" s="1"/>
  <c r="G731" i="8" s="1"/>
  <c r="G707" i="8" s="1"/>
  <c r="G683" i="8" s="1"/>
  <c r="G659" i="8" s="1"/>
  <c r="G635" i="8" s="1"/>
  <c r="G611" i="8" s="1"/>
  <c r="G587" i="8" s="1"/>
  <c r="G563" i="8" s="1"/>
  <c r="G539" i="8" s="1"/>
  <c r="G515" i="8" s="1"/>
  <c r="G491" i="8" s="1"/>
  <c r="G467" i="8" s="1"/>
  <c r="G443" i="8" s="1"/>
  <c r="G419" i="8" s="1"/>
  <c r="G395" i="8" s="1"/>
  <c r="G371" i="8" s="1"/>
  <c r="G347" i="8" s="1"/>
  <c r="G323" i="8" s="1"/>
  <c r="G299" i="8" s="1"/>
  <c r="G275" i="8" s="1"/>
  <c r="G251" i="8" s="1"/>
  <c r="G227" i="8" s="1"/>
  <c r="G203" i="8" s="1"/>
  <c r="G179" i="8" s="1"/>
  <c r="G155" i="8" s="1"/>
  <c r="G131" i="8" s="1"/>
  <c r="G107" i="8" s="1"/>
  <c r="G83" i="8" s="1"/>
  <c r="G59" i="8" s="1"/>
  <c r="G35" i="8" s="1"/>
  <c r="G11" i="8" s="1"/>
  <c r="C803" i="8"/>
  <c r="C779" i="8" s="1"/>
  <c r="C755" i="8" s="1"/>
  <c r="C731" i="8" s="1"/>
  <c r="C707" i="8" s="1"/>
  <c r="C683" i="8" s="1"/>
  <c r="C659" i="8" s="1"/>
  <c r="C635" i="8" s="1"/>
  <c r="C611" i="8" s="1"/>
  <c r="C587" i="8" s="1"/>
  <c r="C563" i="8" s="1"/>
  <c r="C539" i="8" s="1"/>
  <c r="C515" i="8" s="1"/>
  <c r="C491" i="8" s="1"/>
  <c r="C467" i="8" s="1"/>
  <c r="C443" i="8" s="1"/>
  <c r="C419" i="8" s="1"/>
  <c r="C395" i="8" s="1"/>
  <c r="C371" i="8" s="1"/>
  <c r="C347" i="8" s="1"/>
  <c r="C323" i="8" s="1"/>
  <c r="C299" i="8" s="1"/>
  <c r="C275" i="8" s="1"/>
  <c r="C251" i="8" s="1"/>
  <c r="C227" i="8" s="1"/>
  <c r="C203" i="8" s="1"/>
  <c r="C179" i="8" s="1"/>
  <c r="C155" i="8" s="1"/>
  <c r="C131" i="8" s="1"/>
  <c r="C107" i="8" s="1"/>
  <c r="C83" i="8" s="1"/>
  <c r="C59" i="8" s="1"/>
  <c r="C35" i="8" s="1"/>
  <c r="C11" i="8" s="1"/>
  <c r="B803" i="8"/>
  <c r="B779" i="8" s="1"/>
  <c r="B755" i="8" s="1"/>
  <c r="B731" i="8" s="1"/>
  <c r="B707" i="8" s="1"/>
  <c r="B683" i="8" s="1"/>
  <c r="B659" i="8" s="1"/>
  <c r="B635" i="8" s="1"/>
  <c r="B611" i="8" s="1"/>
  <c r="B587" i="8" s="1"/>
  <c r="B563" i="8" s="1"/>
  <c r="B539" i="8" s="1"/>
  <c r="B515" i="8" s="1"/>
  <c r="B491" i="8" s="1"/>
  <c r="B467" i="8" s="1"/>
  <c r="B443" i="8" s="1"/>
  <c r="B419" i="8" s="1"/>
  <c r="B395" i="8" s="1"/>
  <c r="B371" i="8" s="1"/>
  <c r="B347" i="8" s="1"/>
  <c r="B323" i="8" s="1"/>
  <c r="B299" i="8" s="1"/>
  <c r="B275" i="8" s="1"/>
  <c r="B251" i="8" s="1"/>
  <c r="B227" i="8" s="1"/>
  <c r="B203" i="8" s="1"/>
  <c r="B179" i="8" s="1"/>
  <c r="B155" i="8" s="1"/>
  <c r="B131" i="8" s="1"/>
  <c r="B107" i="8" s="1"/>
  <c r="B83" i="8" s="1"/>
  <c r="B59" i="8" s="1"/>
  <c r="B35" i="8" s="1"/>
  <c r="B11" i="8" s="1"/>
  <c r="K802" i="8"/>
  <c r="K778" i="8" s="1"/>
  <c r="K754" i="8" s="1"/>
  <c r="K730" i="8" s="1"/>
  <c r="K706" i="8" s="1"/>
  <c r="K682" i="8" s="1"/>
  <c r="K658" i="8" s="1"/>
  <c r="K634" i="8" s="1"/>
  <c r="K610" i="8" s="1"/>
  <c r="K586" i="8" s="1"/>
  <c r="K562" i="8" s="1"/>
  <c r="K538" i="8" s="1"/>
  <c r="K514" i="8" s="1"/>
  <c r="K490" i="8" s="1"/>
  <c r="K466" i="8" s="1"/>
  <c r="K442" i="8" s="1"/>
  <c r="K418" i="8" s="1"/>
  <c r="K394" i="8" s="1"/>
  <c r="K370" i="8" s="1"/>
  <c r="K346" i="8" s="1"/>
  <c r="K322" i="8" s="1"/>
  <c r="K298" i="8" s="1"/>
  <c r="K274" i="8" s="1"/>
  <c r="K250" i="8" s="1"/>
  <c r="K226" i="8" s="1"/>
  <c r="K202" i="8" s="1"/>
  <c r="K178" i="8" s="1"/>
  <c r="K154" i="8" s="1"/>
  <c r="K130" i="8" s="1"/>
  <c r="K106" i="8" s="1"/>
  <c r="K82" i="8" s="1"/>
  <c r="K58" i="8" s="1"/>
  <c r="K34" i="8" s="1"/>
  <c r="K10" i="8" s="1"/>
  <c r="I802" i="8"/>
  <c r="I778" i="8" s="1"/>
  <c r="I754" i="8" s="1"/>
  <c r="I730" i="8" s="1"/>
  <c r="I706" i="8" s="1"/>
  <c r="I682" i="8" s="1"/>
  <c r="I658" i="8" s="1"/>
  <c r="I634" i="8" s="1"/>
  <c r="I610" i="8" s="1"/>
  <c r="I586" i="8" s="1"/>
  <c r="I562" i="8" s="1"/>
  <c r="I538" i="8" s="1"/>
  <c r="I514" i="8" s="1"/>
  <c r="I490" i="8" s="1"/>
  <c r="I466" i="8" s="1"/>
  <c r="I442" i="8" s="1"/>
  <c r="I418" i="8" s="1"/>
  <c r="I394" i="8" s="1"/>
  <c r="I370" i="8" s="1"/>
  <c r="I346" i="8" s="1"/>
  <c r="I322" i="8" s="1"/>
  <c r="I298" i="8" s="1"/>
  <c r="I274" i="8" s="1"/>
  <c r="I250" i="8" s="1"/>
  <c r="I226" i="8" s="1"/>
  <c r="I202" i="8" s="1"/>
  <c r="I178" i="8" s="1"/>
  <c r="I154" i="8" s="1"/>
  <c r="I130" i="8" s="1"/>
  <c r="I106" i="8" s="1"/>
  <c r="I82" i="8" s="1"/>
  <c r="I58" i="8" s="1"/>
  <c r="I34" i="8" s="1"/>
  <c r="I10" i="8" s="1"/>
  <c r="H802" i="8"/>
  <c r="H778" i="8" s="1"/>
  <c r="H754" i="8" s="1"/>
  <c r="H730" i="8" s="1"/>
  <c r="H706" i="8" s="1"/>
  <c r="H682" i="8" s="1"/>
  <c r="H658" i="8" s="1"/>
  <c r="H634" i="8" s="1"/>
  <c r="H610" i="8" s="1"/>
  <c r="H586" i="8" s="1"/>
  <c r="H562" i="8" s="1"/>
  <c r="H538" i="8" s="1"/>
  <c r="H514" i="8" s="1"/>
  <c r="H490" i="8" s="1"/>
  <c r="H466" i="8" s="1"/>
  <c r="H442" i="8" s="1"/>
  <c r="H418" i="8" s="1"/>
  <c r="H394" i="8" s="1"/>
  <c r="H370" i="8" s="1"/>
  <c r="H346" i="8" s="1"/>
  <c r="H322" i="8" s="1"/>
  <c r="H298" i="8" s="1"/>
  <c r="H274" i="8" s="1"/>
  <c r="H250" i="8" s="1"/>
  <c r="H226" i="8" s="1"/>
  <c r="H202" i="8" s="1"/>
  <c r="H178" i="8" s="1"/>
  <c r="H154" i="8" s="1"/>
  <c r="H130" i="8" s="1"/>
  <c r="H106" i="8" s="1"/>
  <c r="H82" i="8" s="1"/>
  <c r="H58" i="8" s="1"/>
  <c r="H34" i="8" s="1"/>
  <c r="H10" i="8" s="1"/>
  <c r="G802" i="8"/>
  <c r="G778" i="8" s="1"/>
  <c r="G754" i="8" s="1"/>
  <c r="G730" i="8" s="1"/>
  <c r="G706" i="8" s="1"/>
  <c r="G682" i="8" s="1"/>
  <c r="G658" i="8" s="1"/>
  <c r="G634" i="8" s="1"/>
  <c r="G610" i="8" s="1"/>
  <c r="G586" i="8" s="1"/>
  <c r="G562" i="8" s="1"/>
  <c r="G538" i="8" s="1"/>
  <c r="G514" i="8" s="1"/>
  <c r="G490" i="8" s="1"/>
  <c r="G466" i="8" s="1"/>
  <c r="G442" i="8" s="1"/>
  <c r="G418" i="8" s="1"/>
  <c r="G394" i="8" s="1"/>
  <c r="G370" i="8" s="1"/>
  <c r="G346" i="8" s="1"/>
  <c r="G322" i="8" s="1"/>
  <c r="G298" i="8" s="1"/>
  <c r="G274" i="8" s="1"/>
  <c r="G250" i="8" s="1"/>
  <c r="G226" i="8" s="1"/>
  <c r="G202" i="8" s="1"/>
  <c r="G178" i="8" s="1"/>
  <c r="G154" i="8" s="1"/>
  <c r="G130" i="8" s="1"/>
  <c r="G106" i="8" s="1"/>
  <c r="G82" i="8" s="1"/>
  <c r="G58" i="8" s="1"/>
  <c r="G34" i="8" s="1"/>
  <c r="G10" i="8" s="1"/>
  <c r="C802" i="8"/>
  <c r="C778" i="8" s="1"/>
  <c r="C754" i="8" s="1"/>
  <c r="C730" i="8" s="1"/>
  <c r="C706" i="8" s="1"/>
  <c r="C682" i="8" s="1"/>
  <c r="C658" i="8" s="1"/>
  <c r="C634" i="8" s="1"/>
  <c r="C610" i="8" s="1"/>
  <c r="C586" i="8" s="1"/>
  <c r="C562" i="8" s="1"/>
  <c r="C538" i="8" s="1"/>
  <c r="C514" i="8" s="1"/>
  <c r="C490" i="8" s="1"/>
  <c r="C466" i="8" s="1"/>
  <c r="C442" i="8" s="1"/>
  <c r="C418" i="8" s="1"/>
  <c r="C394" i="8" s="1"/>
  <c r="C370" i="8" s="1"/>
  <c r="C346" i="8" s="1"/>
  <c r="C322" i="8" s="1"/>
  <c r="C298" i="8" s="1"/>
  <c r="C274" i="8" s="1"/>
  <c r="C250" i="8" s="1"/>
  <c r="C226" i="8" s="1"/>
  <c r="C202" i="8" s="1"/>
  <c r="C178" i="8" s="1"/>
  <c r="C154" i="8" s="1"/>
  <c r="C130" i="8" s="1"/>
  <c r="C106" i="8" s="1"/>
  <c r="C82" i="8" s="1"/>
  <c r="C58" i="8" s="1"/>
  <c r="C34" i="8" s="1"/>
  <c r="C10" i="8" s="1"/>
  <c r="B802" i="8"/>
  <c r="B778" i="8" s="1"/>
  <c r="B754" i="8" s="1"/>
  <c r="B730" i="8" s="1"/>
  <c r="B706" i="8" s="1"/>
  <c r="B682" i="8" s="1"/>
  <c r="K801" i="8"/>
  <c r="K777" i="8" s="1"/>
  <c r="K753" i="8" s="1"/>
  <c r="K729" i="8" s="1"/>
  <c r="K705" i="8" s="1"/>
  <c r="K681" i="8" s="1"/>
  <c r="K657" i="8" s="1"/>
  <c r="K633" i="8" s="1"/>
  <c r="K609" i="8" s="1"/>
  <c r="K585" i="8" s="1"/>
  <c r="K561" i="8" s="1"/>
  <c r="K537" i="8" s="1"/>
  <c r="K513" i="8" s="1"/>
  <c r="K489" i="8" s="1"/>
  <c r="I801" i="8"/>
  <c r="I777" i="8" s="1"/>
  <c r="I753" i="8" s="1"/>
  <c r="H801" i="8"/>
  <c r="H777" i="8" s="1"/>
  <c r="H753" i="8" s="1"/>
  <c r="G801" i="8"/>
  <c r="G777" i="8" s="1"/>
  <c r="G753" i="8" s="1"/>
  <c r="G729" i="8" s="1"/>
  <c r="G705" i="8" s="1"/>
  <c r="G681" i="8" s="1"/>
  <c r="G657" i="8" s="1"/>
  <c r="G633" i="8" s="1"/>
  <c r="G609" i="8" s="1"/>
  <c r="G585" i="8" s="1"/>
  <c r="G561" i="8" s="1"/>
  <c r="G537" i="8" s="1"/>
  <c r="G513" i="8" s="1"/>
  <c r="G489" i="8" s="1"/>
  <c r="G465" i="8" s="1"/>
  <c r="G441" i="8" s="1"/>
  <c r="G417" i="8" s="1"/>
  <c r="G393" i="8" s="1"/>
  <c r="G369" i="8" s="1"/>
  <c r="G345" i="8" s="1"/>
  <c r="G321" i="8" s="1"/>
  <c r="G297" i="8" s="1"/>
  <c r="G273" i="8" s="1"/>
  <c r="G249" i="8" s="1"/>
  <c r="G225" i="8" s="1"/>
  <c r="G201" i="8" s="1"/>
  <c r="G177" i="8" s="1"/>
  <c r="G153" i="8" s="1"/>
  <c r="G129" i="8" s="1"/>
  <c r="G105" i="8" s="1"/>
  <c r="G81" i="8" s="1"/>
  <c r="G57" i="8" s="1"/>
  <c r="G33" i="8" s="1"/>
  <c r="G9" i="8" s="1"/>
  <c r="C801" i="8"/>
  <c r="C777" i="8" s="1"/>
  <c r="C753" i="8" s="1"/>
  <c r="C729" i="8" s="1"/>
  <c r="C705" i="8" s="1"/>
  <c r="C681" i="8" s="1"/>
  <c r="C657" i="8" s="1"/>
  <c r="C633" i="8" s="1"/>
  <c r="C609" i="8" s="1"/>
  <c r="C585" i="8" s="1"/>
  <c r="C561" i="8" s="1"/>
  <c r="C537" i="8" s="1"/>
  <c r="C513" i="8" s="1"/>
  <c r="C489" i="8" s="1"/>
  <c r="C465" i="8" s="1"/>
  <c r="C441" i="8" s="1"/>
  <c r="C417" i="8" s="1"/>
  <c r="C393" i="8" s="1"/>
  <c r="C369" i="8" s="1"/>
  <c r="C345" i="8" s="1"/>
  <c r="C321" i="8" s="1"/>
  <c r="C297" i="8" s="1"/>
  <c r="C273" i="8" s="1"/>
  <c r="C249" i="8" s="1"/>
  <c r="C225" i="8" s="1"/>
  <c r="C201" i="8" s="1"/>
  <c r="C177" i="8" s="1"/>
  <c r="C153" i="8" s="1"/>
  <c r="C129" i="8" s="1"/>
  <c r="C105" i="8" s="1"/>
  <c r="C81" i="8" s="1"/>
  <c r="C57" i="8" s="1"/>
  <c r="C33" i="8" s="1"/>
  <c r="C9" i="8" s="1"/>
  <c r="B801" i="8"/>
  <c r="B777" i="8" s="1"/>
  <c r="B753" i="8" s="1"/>
  <c r="B729" i="8" s="1"/>
  <c r="B705" i="8" s="1"/>
  <c r="B681" i="8" s="1"/>
  <c r="B657" i="8" s="1"/>
  <c r="B633" i="8" s="1"/>
  <c r="B609" i="8" s="1"/>
  <c r="B585" i="8" s="1"/>
  <c r="B561" i="8" s="1"/>
  <c r="B537" i="8" s="1"/>
  <c r="B513" i="8" s="1"/>
  <c r="B489" i="8" s="1"/>
  <c r="B465" i="8" s="1"/>
  <c r="B441" i="8" s="1"/>
  <c r="B417" i="8" s="1"/>
  <c r="B393" i="8" s="1"/>
  <c r="B369" i="8" s="1"/>
  <c r="B345" i="8" s="1"/>
  <c r="B321" i="8" s="1"/>
  <c r="B297" i="8" s="1"/>
  <c r="B273" i="8" s="1"/>
  <c r="B249" i="8" s="1"/>
  <c r="B225" i="8" s="1"/>
  <c r="B201" i="8" s="1"/>
  <c r="B177" i="8" s="1"/>
  <c r="B153" i="8" s="1"/>
  <c r="B129" i="8" s="1"/>
  <c r="B105" i="8" s="1"/>
  <c r="B81" i="8" s="1"/>
  <c r="B57" i="8" s="1"/>
  <c r="B33" i="8" s="1"/>
  <c r="B9" i="8" s="1"/>
  <c r="K800" i="8"/>
  <c r="K776" i="8" s="1"/>
  <c r="K752" i="8" s="1"/>
  <c r="K728" i="8" s="1"/>
  <c r="K704" i="8" s="1"/>
  <c r="K680" i="8" s="1"/>
  <c r="K656" i="8" s="1"/>
  <c r="K632" i="8" s="1"/>
  <c r="K608" i="8" s="1"/>
  <c r="K584" i="8" s="1"/>
  <c r="K560" i="8" s="1"/>
  <c r="K536" i="8" s="1"/>
  <c r="K512" i="8" s="1"/>
  <c r="K488" i="8" s="1"/>
  <c r="K464" i="8" s="1"/>
  <c r="K440" i="8" s="1"/>
  <c r="K416" i="8" s="1"/>
  <c r="K392" i="8" s="1"/>
  <c r="K368" i="8" s="1"/>
  <c r="K344" i="8" s="1"/>
  <c r="K320" i="8" s="1"/>
  <c r="K296" i="8" s="1"/>
  <c r="K272" i="8" s="1"/>
  <c r="K248" i="8" s="1"/>
  <c r="K224" i="8" s="1"/>
  <c r="K200" i="8" s="1"/>
  <c r="K176" i="8" s="1"/>
  <c r="K152" i="8" s="1"/>
  <c r="K128" i="8" s="1"/>
  <c r="K104" i="8" s="1"/>
  <c r="K80" i="8" s="1"/>
  <c r="K56" i="8" s="1"/>
  <c r="K32" i="8" s="1"/>
  <c r="K8" i="8" s="1"/>
  <c r="I800" i="8"/>
  <c r="I776" i="8" s="1"/>
  <c r="I752" i="8" s="1"/>
  <c r="I728" i="8" s="1"/>
  <c r="I704" i="8" s="1"/>
  <c r="I680" i="8" s="1"/>
  <c r="I656" i="8" s="1"/>
  <c r="I632" i="8" s="1"/>
  <c r="I608" i="8" s="1"/>
  <c r="I584" i="8" s="1"/>
  <c r="I560" i="8" s="1"/>
  <c r="I536" i="8" s="1"/>
  <c r="I512" i="8" s="1"/>
  <c r="I488" i="8" s="1"/>
  <c r="I464" i="8" s="1"/>
  <c r="I440" i="8" s="1"/>
  <c r="I416" i="8" s="1"/>
  <c r="I392" i="8" s="1"/>
  <c r="I368" i="8" s="1"/>
  <c r="I344" i="8" s="1"/>
  <c r="I320" i="8" s="1"/>
  <c r="I296" i="8" s="1"/>
  <c r="I272" i="8" s="1"/>
  <c r="I248" i="8" s="1"/>
  <c r="I224" i="8" s="1"/>
  <c r="I200" i="8" s="1"/>
  <c r="I176" i="8" s="1"/>
  <c r="I152" i="8" s="1"/>
  <c r="I128" i="8" s="1"/>
  <c r="I104" i="8" s="1"/>
  <c r="I80" i="8" s="1"/>
  <c r="I56" i="8" s="1"/>
  <c r="I32" i="8" s="1"/>
  <c r="I8" i="8" s="1"/>
  <c r="H800" i="8"/>
  <c r="H776" i="8" s="1"/>
  <c r="H752" i="8" s="1"/>
  <c r="H728" i="8" s="1"/>
  <c r="H704" i="8" s="1"/>
  <c r="H680" i="8" s="1"/>
  <c r="H656" i="8" s="1"/>
  <c r="H632" i="8" s="1"/>
  <c r="H608" i="8" s="1"/>
  <c r="H584" i="8" s="1"/>
  <c r="H560" i="8" s="1"/>
  <c r="H536" i="8" s="1"/>
  <c r="H512" i="8" s="1"/>
  <c r="H488" i="8" s="1"/>
  <c r="H464" i="8" s="1"/>
  <c r="H440" i="8" s="1"/>
  <c r="H416" i="8" s="1"/>
  <c r="H392" i="8" s="1"/>
  <c r="H368" i="8" s="1"/>
  <c r="H344" i="8" s="1"/>
  <c r="H320" i="8" s="1"/>
  <c r="H296" i="8" s="1"/>
  <c r="H272" i="8" s="1"/>
  <c r="H248" i="8" s="1"/>
  <c r="H224" i="8" s="1"/>
  <c r="H200" i="8" s="1"/>
  <c r="H176" i="8" s="1"/>
  <c r="H152" i="8" s="1"/>
  <c r="H128" i="8" s="1"/>
  <c r="H104" i="8" s="1"/>
  <c r="H80" i="8" s="1"/>
  <c r="H56" i="8" s="1"/>
  <c r="H32" i="8" s="1"/>
  <c r="H8" i="8" s="1"/>
  <c r="G800" i="8"/>
  <c r="G776" i="8" s="1"/>
  <c r="G752" i="8" s="1"/>
  <c r="G728" i="8" s="1"/>
  <c r="G704" i="8" s="1"/>
  <c r="G680" i="8" s="1"/>
  <c r="G656" i="8" s="1"/>
  <c r="G632" i="8" s="1"/>
  <c r="G608" i="8" s="1"/>
  <c r="G584" i="8" s="1"/>
  <c r="G560" i="8" s="1"/>
  <c r="G536" i="8" s="1"/>
  <c r="G512" i="8" s="1"/>
  <c r="G488" i="8" s="1"/>
  <c r="G464" i="8" s="1"/>
  <c r="G440" i="8" s="1"/>
  <c r="G416" i="8" s="1"/>
  <c r="G392" i="8" s="1"/>
  <c r="G368" i="8" s="1"/>
  <c r="G344" i="8" s="1"/>
  <c r="G320" i="8" s="1"/>
  <c r="G296" i="8" s="1"/>
  <c r="G272" i="8" s="1"/>
  <c r="G248" i="8" s="1"/>
  <c r="G224" i="8" s="1"/>
  <c r="G200" i="8" s="1"/>
  <c r="G176" i="8" s="1"/>
  <c r="G152" i="8" s="1"/>
  <c r="G128" i="8" s="1"/>
  <c r="G104" i="8" s="1"/>
  <c r="G80" i="8" s="1"/>
  <c r="G56" i="8" s="1"/>
  <c r="G32" i="8" s="1"/>
  <c r="G8" i="8" s="1"/>
  <c r="C800" i="8"/>
  <c r="C776" i="8" s="1"/>
  <c r="C752" i="8" s="1"/>
  <c r="C728" i="8" s="1"/>
  <c r="C704" i="8" s="1"/>
  <c r="C680" i="8" s="1"/>
  <c r="C656" i="8" s="1"/>
  <c r="C632" i="8" s="1"/>
  <c r="C608" i="8" s="1"/>
  <c r="C584" i="8" s="1"/>
  <c r="C560" i="8" s="1"/>
  <c r="C536" i="8" s="1"/>
  <c r="C512" i="8" s="1"/>
  <c r="C488" i="8" s="1"/>
  <c r="C464" i="8" s="1"/>
  <c r="C440" i="8" s="1"/>
  <c r="C416" i="8" s="1"/>
  <c r="C392" i="8" s="1"/>
  <c r="C368" i="8" s="1"/>
  <c r="C344" i="8" s="1"/>
  <c r="C320" i="8" s="1"/>
  <c r="C296" i="8" s="1"/>
  <c r="C272" i="8" s="1"/>
  <c r="C248" i="8" s="1"/>
  <c r="C224" i="8" s="1"/>
  <c r="C200" i="8" s="1"/>
  <c r="C176" i="8" s="1"/>
  <c r="C152" i="8" s="1"/>
  <c r="C128" i="8" s="1"/>
  <c r="C104" i="8" s="1"/>
  <c r="C80" i="8" s="1"/>
  <c r="C56" i="8" s="1"/>
  <c r="C32" i="8" s="1"/>
  <c r="C8" i="8" s="1"/>
  <c r="B800" i="8"/>
  <c r="B776" i="8" s="1"/>
  <c r="B752" i="8" s="1"/>
  <c r="B728" i="8" s="1"/>
  <c r="B704" i="8" s="1"/>
  <c r="B680" i="8" s="1"/>
  <c r="B656" i="8" s="1"/>
  <c r="B632" i="8" s="1"/>
  <c r="B608" i="8" s="1"/>
  <c r="B584" i="8" s="1"/>
  <c r="K799" i="8"/>
  <c r="K775" i="8" s="1"/>
  <c r="K751" i="8" s="1"/>
  <c r="K727" i="8" s="1"/>
  <c r="K703" i="8" s="1"/>
  <c r="K679" i="8" s="1"/>
  <c r="K655" i="8" s="1"/>
  <c r="K631" i="8" s="1"/>
  <c r="K607" i="8" s="1"/>
  <c r="K583" i="8" s="1"/>
  <c r="K559" i="8" s="1"/>
  <c r="K535" i="8" s="1"/>
  <c r="K511" i="8" s="1"/>
  <c r="K487" i="8" s="1"/>
  <c r="K463" i="8" s="1"/>
  <c r="K439" i="8" s="1"/>
  <c r="K415" i="8" s="1"/>
  <c r="K391" i="8" s="1"/>
  <c r="K367" i="8" s="1"/>
  <c r="K343" i="8" s="1"/>
  <c r="K319" i="8" s="1"/>
  <c r="K295" i="8" s="1"/>
  <c r="K271" i="8" s="1"/>
  <c r="K247" i="8" s="1"/>
  <c r="K223" i="8" s="1"/>
  <c r="K199" i="8" s="1"/>
  <c r="K175" i="8" s="1"/>
  <c r="K151" i="8" s="1"/>
  <c r="K127" i="8" s="1"/>
  <c r="K103" i="8" s="1"/>
  <c r="K79" i="8" s="1"/>
  <c r="K55" i="8" s="1"/>
  <c r="K31" i="8" s="1"/>
  <c r="K7" i="8" s="1"/>
  <c r="I799" i="8"/>
  <c r="H799" i="8"/>
  <c r="H775" i="8" s="1"/>
  <c r="H751" i="8" s="1"/>
  <c r="H727" i="8" s="1"/>
  <c r="H703" i="8" s="1"/>
  <c r="H679" i="8" s="1"/>
  <c r="G799" i="8"/>
  <c r="G775" i="8" s="1"/>
  <c r="G751" i="8" s="1"/>
  <c r="G727" i="8" s="1"/>
  <c r="G703" i="8" s="1"/>
  <c r="G679" i="8" s="1"/>
  <c r="G655" i="8" s="1"/>
  <c r="G631" i="8" s="1"/>
  <c r="G607" i="8" s="1"/>
  <c r="G583" i="8" s="1"/>
  <c r="G559" i="8" s="1"/>
  <c r="G535" i="8" s="1"/>
  <c r="G511" i="8" s="1"/>
  <c r="G487" i="8" s="1"/>
  <c r="G463" i="8" s="1"/>
  <c r="G439" i="8" s="1"/>
  <c r="G415" i="8" s="1"/>
  <c r="G391" i="8" s="1"/>
  <c r="G367" i="8" s="1"/>
  <c r="G343" i="8" s="1"/>
  <c r="G319" i="8" s="1"/>
  <c r="G295" i="8" s="1"/>
  <c r="G271" i="8" s="1"/>
  <c r="G247" i="8" s="1"/>
  <c r="G223" i="8" s="1"/>
  <c r="G199" i="8" s="1"/>
  <c r="G175" i="8" s="1"/>
  <c r="G151" i="8" s="1"/>
  <c r="G127" i="8" s="1"/>
  <c r="G103" i="8" s="1"/>
  <c r="G79" i="8" s="1"/>
  <c r="G55" i="8" s="1"/>
  <c r="G31" i="8" s="1"/>
  <c r="G7" i="8" s="1"/>
  <c r="C799" i="8"/>
  <c r="C775" i="8" s="1"/>
  <c r="C751" i="8" s="1"/>
  <c r="C727" i="8" s="1"/>
  <c r="C703" i="8" s="1"/>
  <c r="C679" i="8" s="1"/>
  <c r="C655" i="8" s="1"/>
  <c r="C631" i="8" s="1"/>
  <c r="C607" i="8" s="1"/>
  <c r="C583" i="8" s="1"/>
  <c r="C559" i="8" s="1"/>
  <c r="C535" i="8" s="1"/>
  <c r="C511" i="8" s="1"/>
  <c r="C487" i="8" s="1"/>
  <c r="C463" i="8" s="1"/>
  <c r="C439" i="8" s="1"/>
  <c r="C415" i="8" s="1"/>
  <c r="C391" i="8" s="1"/>
  <c r="C367" i="8" s="1"/>
  <c r="C343" i="8" s="1"/>
  <c r="C319" i="8" s="1"/>
  <c r="C295" i="8" s="1"/>
  <c r="C271" i="8" s="1"/>
  <c r="C247" i="8" s="1"/>
  <c r="C223" i="8" s="1"/>
  <c r="C199" i="8" s="1"/>
  <c r="C175" i="8" s="1"/>
  <c r="C151" i="8" s="1"/>
  <c r="C127" i="8" s="1"/>
  <c r="C103" i="8" s="1"/>
  <c r="C79" i="8" s="1"/>
  <c r="C55" i="8" s="1"/>
  <c r="C31" i="8" s="1"/>
  <c r="C7" i="8" s="1"/>
  <c r="B799" i="8"/>
  <c r="B775" i="8" s="1"/>
  <c r="B751" i="8" s="1"/>
  <c r="B727" i="8" s="1"/>
  <c r="B703" i="8" s="1"/>
  <c r="B679" i="8" s="1"/>
  <c r="B655" i="8" s="1"/>
  <c r="B631" i="8" s="1"/>
  <c r="B607" i="8" s="1"/>
  <c r="B583" i="8" s="1"/>
  <c r="B559" i="8" s="1"/>
  <c r="B535" i="8" s="1"/>
  <c r="B511" i="8" s="1"/>
  <c r="B487" i="8" s="1"/>
  <c r="B463" i="8" s="1"/>
  <c r="B439" i="8" s="1"/>
  <c r="B415" i="8" s="1"/>
  <c r="B391" i="8" s="1"/>
  <c r="B367" i="8" s="1"/>
  <c r="B343" i="8" s="1"/>
  <c r="B319" i="8" s="1"/>
  <c r="B295" i="8" s="1"/>
  <c r="B271" i="8" s="1"/>
  <c r="B247" i="8" s="1"/>
  <c r="B223" i="8" s="1"/>
  <c r="B199" i="8" s="1"/>
  <c r="B175" i="8" s="1"/>
  <c r="B151" i="8" s="1"/>
  <c r="B127" i="8" s="1"/>
  <c r="B103" i="8" s="1"/>
  <c r="B79" i="8" s="1"/>
  <c r="B55" i="8" s="1"/>
  <c r="B31" i="8" s="1"/>
  <c r="B7" i="8" s="1"/>
  <c r="K798" i="8"/>
  <c r="K774" i="8" s="1"/>
  <c r="K750" i="8" s="1"/>
  <c r="K726" i="8" s="1"/>
  <c r="K702" i="8" s="1"/>
  <c r="K678" i="8" s="1"/>
  <c r="K654" i="8" s="1"/>
  <c r="K630" i="8" s="1"/>
  <c r="K606" i="8" s="1"/>
  <c r="K582" i="8" s="1"/>
  <c r="K558" i="8" s="1"/>
  <c r="K534" i="8" s="1"/>
  <c r="K510" i="8" s="1"/>
  <c r="K486" i="8" s="1"/>
  <c r="K462" i="8" s="1"/>
  <c r="K438" i="8" s="1"/>
  <c r="K414" i="8" s="1"/>
  <c r="K390" i="8" s="1"/>
  <c r="K366" i="8" s="1"/>
  <c r="K342" i="8" s="1"/>
  <c r="K318" i="8" s="1"/>
  <c r="K294" i="8" s="1"/>
  <c r="K270" i="8" s="1"/>
  <c r="K246" i="8" s="1"/>
  <c r="K222" i="8" s="1"/>
  <c r="K198" i="8" s="1"/>
  <c r="K174" i="8" s="1"/>
  <c r="K150" i="8" s="1"/>
  <c r="K126" i="8" s="1"/>
  <c r="K102" i="8" s="1"/>
  <c r="K78" i="8" s="1"/>
  <c r="K54" i="8" s="1"/>
  <c r="K30" i="8" s="1"/>
  <c r="K6" i="8" s="1"/>
  <c r="I798" i="8"/>
  <c r="I774" i="8" s="1"/>
  <c r="I750" i="8" s="1"/>
  <c r="I726" i="8" s="1"/>
  <c r="I702" i="8" s="1"/>
  <c r="I678" i="8" s="1"/>
  <c r="I654" i="8" s="1"/>
  <c r="I630" i="8" s="1"/>
  <c r="I606" i="8" s="1"/>
  <c r="I582" i="8" s="1"/>
  <c r="I558" i="8" s="1"/>
  <c r="I534" i="8" s="1"/>
  <c r="I510" i="8" s="1"/>
  <c r="I486" i="8" s="1"/>
  <c r="I462" i="8" s="1"/>
  <c r="I438" i="8" s="1"/>
  <c r="I414" i="8" s="1"/>
  <c r="I390" i="8" s="1"/>
  <c r="I366" i="8" s="1"/>
  <c r="I342" i="8" s="1"/>
  <c r="I318" i="8" s="1"/>
  <c r="I294" i="8" s="1"/>
  <c r="I270" i="8" s="1"/>
  <c r="I246" i="8" s="1"/>
  <c r="I222" i="8" s="1"/>
  <c r="I198" i="8" s="1"/>
  <c r="I174" i="8" s="1"/>
  <c r="I150" i="8" s="1"/>
  <c r="I126" i="8" s="1"/>
  <c r="I102" i="8" s="1"/>
  <c r="I78" i="8" s="1"/>
  <c r="I54" i="8" s="1"/>
  <c r="I30" i="8" s="1"/>
  <c r="I6" i="8" s="1"/>
  <c r="H798" i="8"/>
  <c r="H774" i="8" s="1"/>
  <c r="H750" i="8" s="1"/>
  <c r="H726" i="8" s="1"/>
  <c r="H702" i="8" s="1"/>
  <c r="H678" i="8" s="1"/>
  <c r="H654" i="8" s="1"/>
  <c r="H630" i="8" s="1"/>
  <c r="H606" i="8" s="1"/>
  <c r="H582" i="8" s="1"/>
  <c r="H558" i="8" s="1"/>
  <c r="H534" i="8" s="1"/>
  <c r="H510" i="8" s="1"/>
  <c r="H486" i="8" s="1"/>
  <c r="H462" i="8" s="1"/>
  <c r="H438" i="8" s="1"/>
  <c r="H414" i="8" s="1"/>
  <c r="H390" i="8" s="1"/>
  <c r="H366" i="8" s="1"/>
  <c r="H342" i="8" s="1"/>
  <c r="H318" i="8" s="1"/>
  <c r="H294" i="8" s="1"/>
  <c r="H270" i="8" s="1"/>
  <c r="H246" i="8" s="1"/>
  <c r="H222" i="8" s="1"/>
  <c r="H198" i="8" s="1"/>
  <c r="H174" i="8" s="1"/>
  <c r="H150" i="8" s="1"/>
  <c r="H126" i="8" s="1"/>
  <c r="H102" i="8" s="1"/>
  <c r="H78" i="8" s="1"/>
  <c r="H54" i="8" s="1"/>
  <c r="H30" i="8" s="1"/>
  <c r="H6" i="8" s="1"/>
  <c r="G798" i="8"/>
  <c r="G774" i="8" s="1"/>
  <c r="G750" i="8" s="1"/>
  <c r="G726" i="8" s="1"/>
  <c r="G702" i="8" s="1"/>
  <c r="G678" i="8" s="1"/>
  <c r="G654" i="8" s="1"/>
  <c r="G630" i="8" s="1"/>
  <c r="G606" i="8" s="1"/>
  <c r="G582" i="8" s="1"/>
  <c r="G558" i="8" s="1"/>
  <c r="G534" i="8" s="1"/>
  <c r="G510" i="8" s="1"/>
  <c r="G486" i="8" s="1"/>
  <c r="G462" i="8" s="1"/>
  <c r="G438" i="8" s="1"/>
  <c r="G414" i="8" s="1"/>
  <c r="G390" i="8" s="1"/>
  <c r="G366" i="8" s="1"/>
  <c r="G342" i="8" s="1"/>
  <c r="G318" i="8" s="1"/>
  <c r="G294" i="8" s="1"/>
  <c r="G270" i="8" s="1"/>
  <c r="G246" i="8" s="1"/>
  <c r="G222" i="8" s="1"/>
  <c r="G198" i="8" s="1"/>
  <c r="G174" i="8" s="1"/>
  <c r="G150" i="8" s="1"/>
  <c r="G126" i="8" s="1"/>
  <c r="G102" i="8" s="1"/>
  <c r="G78" i="8" s="1"/>
  <c r="G54" i="8" s="1"/>
  <c r="G30" i="8" s="1"/>
  <c r="G6" i="8" s="1"/>
  <c r="C798" i="8"/>
  <c r="C774" i="8" s="1"/>
  <c r="C750" i="8" s="1"/>
  <c r="C726" i="8" s="1"/>
  <c r="C702" i="8" s="1"/>
  <c r="C678" i="8" s="1"/>
  <c r="C654" i="8" s="1"/>
  <c r="C630" i="8" s="1"/>
  <c r="C606" i="8" s="1"/>
  <c r="C582" i="8" s="1"/>
  <c r="C558" i="8" s="1"/>
  <c r="C534" i="8" s="1"/>
  <c r="C510" i="8" s="1"/>
  <c r="C486" i="8" s="1"/>
  <c r="C462" i="8" s="1"/>
  <c r="C438" i="8" s="1"/>
  <c r="C414" i="8" s="1"/>
  <c r="C390" i="8" s="1"/>
  <c r="C366" i="8" s="1"/>
  <c r="C342" i="8" s="1"/>
  <c r="C318" i="8" s="1"/>
  <c r="C294" i="8" s="1"/>
  <c r="C270" i="8" s="1"/>
  <c r="C246" i="8" s="1"/>
  <c r="C222" i="8" s="1"/>
  <c r="C198" i="8" s="1"/>
  <c r="C174" i="8" s="1"/>
  <c r="C150" i="8" s="1"/>
  <c r="C126" i="8" s="1"/>
  <c r="C102" i="8" s="1"/>
  <c r="C78" i="8" s="1"/>
  <c r="C54" i="8" s="1"/>
  <c r="C30" i="8" s="1"/>
  <c r="C6" i="8" s="1"/>
  <c r="B798" i="8"/>
  <c r="K797" i="8"/>
  <c r="I797" i="8"/>
  <c r="H797" i="8"/>
  <c r="H773" i="8" s="1"/>
  <c r="H749" i="8" s="1"/>
  <c r="H725" i="8" s="1"/>
  <c r="H701" i="8" s="1"/>
  <c r="H677" i="8" s="1"/>
  <c r="H653" i="8" s="1"/>
  <c r="H629" i="8" s="1"/>
  <c r="H605" i="8" s="1"/>
  <c r="G797" i="8"/>
  <c r="G773" i="8" s="1"/>
  <c r="G749" i="8" s="1"/>
  <c r="G725" i="8" s="1"/>
  <c r="G701" i="8" s="1"/>
  <c r="G677" i="8" s="1"/>
  <c r="G653" i="8" s="1"/>
  <c r="G629" i="8" s="1"/>
  <c r="G605" i="8" s="1"/>
  <c r="G581" i="8" s="1"/>
  <c r="G557" i="8" s="1"/>
  <c r="G533" i="8" s="1"/>
  <c r="G509" i="8" s="1"/>
  <c r="G485" i="8" s="1"/>
  <c r="G461" i="8" s="1"/>
  <c r="G437" i="8" s="1"/>
  <c r="G413" i="8" s="1"/>
  <c r="G389" i="8" s="1"/>
  <c r="G365" i="8" s="1"/>
  <c r="G341" i="8" s="1"/>
  <c r="G317" i="8" s="1"/>
  <c r="G293" i="8" s="1"/>
  <c r="G269" i="8" s="1"/>
  <c r="G245" i="8" s="1"/>
  <c r="G221" i="8" s="1"/>
  <c r="G197" i="8" s="1"/>
  <c r="G173" i="8" s="1"/>
  <c r="G149" i="8" s="1"/>
  <c r="G125" i="8" s="1"/>
  <c r="G101" i="8" s="1"/>
  <c r="G77" i="8" s="1"/>
  <c r="G53" i="8" s="1"/>
  <c r="G29" i="8" s="1"/>
  <c r="G5" i="8" s="1"/>
  <c r="C797" i="8"/>
  <c r="B797" i="8"/>
  <c r="B773" i="8" s="1"/>
  <c r="B749" i="8" s="1"/>
  <c r="B725" i="8" s="1"/>
  <c r="B701" i="8" s="1"/>
  <c r="B677" i="8" s="1"/>
  <c r="B653" i="8" s="1"/>
  <c r="B629" i="8" s="1"/>
  <c r="B605" i="8" s="1"/>
  <c r="B581" i="8" s="1"/>
  <c r="B557" i="8" s="1"/>
  <c r="B533" i="8" s="1"/>
  <c r="B509" i="8" s="1"/>
  <c r="B485" i="8" s="1"/>
  <c r="B461" i="8" s="1"/>
  <c r="B437" i="8" s="1"/>
  <c r="B413" i="8" s="1"/>
  <c r="B389" i="8" s="1"/>
  <c r="B365" i="8" s="1"/>
  <c r="B341" i="8" s="1"/>
  <c r="B317" i="8" s="1"/>
  <c r="B293" i="8" s="1"/>
  <c r="B269" i="8" s="1"/>
  <c r="B245" i="8" s="1"/>
  <c r="B221" i="8" s="1"/>
  <c r="B197" i="8" s="1"/>
  <c r="B173" i="8" s="1"/>
  <c r="B149" i="8" s="1"/>
  <c r="B125" i="8" s="1"/>
  <c r="B101" i="8" s="1"/>
  <c r="B77" i="8" s="1"/>
  <c r="B53" i="8" s="1"/>
  <c r="B29" i="8" s="1"/>
  <c r="B5" i="8" s="1"/>
  <c r="K796" i="8"/>
  <c r="K772" i="8" s="1"/>
  <c r="K748" i="8" s="1"/>
  <c r="K724" i="8" s="1"/>
  <c r="K700" i="8" s="1"/>
  <c r="K676" i="8" s="1"/>
  <c r="K652" i="8" s="1"/>
  <c r="K628" i="8" s="1"/>
  <c r="K604" i="8" s="1"/>
  <c r="K580" i="8" s="1"/>
  <c r="K556" i="8" s="1"/>
  <c r="K532" i="8" s="1"/>
  <c r="K508" i="8" s="1"/>
  <c r="K484" i="8" s="1"/>
  <c r="K460" i="8" s="1"/>
  <c r="K436" i="8" s="1"/>
  <c r="K412" i="8" s="1"/>
  <c r="K388" i="8" s="1"/>
  <c r="K364" i="8" s="1"/>
  <c r="K340" i="8" s="1"/>
  <c r="K316" i="8" s="1"/>
  <c r="K292" i="8" s="1"/>
  <c r="K268" i="8" s="1"/>
  <c r="K244" i="8" s="1"/>
  <c r="K220" i="8" s="1"/>
  <c r="K196" i="8" s="1"/>
  <c r="K172" i="8" s="1"/>
  <c r="K148" i="8" s="1"/>
  <c r="K124" i="8" s="1"/>
  <c r="K100" i="8" s="1"/>
  <c r="K76" i="8" s="1"/>
  <c r="K52" i="8" s="1"/>
  <c r="K28" i="8" s="1"/>
  <c r="K4" i="8" s="1"/>
  <c r="I796" i="8"/>
  <c r="I772" i="8" s="1"/>
  <c r="I748" i="8" s="1"/>
  <c r="I724" i="8" s="1"/>
  <c r="I700" i="8" s="1"/>
  <c r="I676" i="8" s="1"/>
  <c r="I652" i="8" s="1"/>
  <c r="I628" i="8" s="1"/>
  <c r="I604" i="8" s="1"/>
  <c r="I580" i="8" s="1"/>
  <c r="I556" i="8" s="1"/>
  <c r="I532" i="8" s="1"/>
  <c r="I508" i="8" s="1"/>
  <c r="I484" i="8" s="1"/>
  <c r="I460" i="8" s="1"/>
  <c r="I436" i="8" s="1"/>
  <c r="I412" i="8" s="1"/>
  <c r="I388" i="8" s="1"/>
  <c r="I364" i="8" s="1"/>
  <c r="I340" i="8" s="1"/>
  <c r="I316" i="8" s="1"/>
  <c r="I292" i="8" s="1"/>
  <c r="I268" i="8" s="1"/>
  <c r="I244" i="8" s="1"/>
  <c r="I220" i="8" s="1"/>
  <c r="I196" i="8" s="1"/>
  <c r="I172" i="8" s="1"/>
  <c r="I148" i="8" s="1"/>
  <c r="I124" i="8" s="1"/>
  <c r="I100" i="8" s="1"/>
  <c r="I76" i="8" s="1"/>
  <c r="I52" i="8" s="1"/>
  <c r="I28" i="8" s="1"/>
  <c r="I4" i="8" s="1"/>
  <c r="H796" i="8"/>
  <c r="H772" i="8" s="1"/>
  <c r="H748" i="8" s="1"/>
  <c r="H724" i="8" s="1"/>
  <c r="H700" i="8" s="1"/>
  <c r="H676" i="8" s="1"/>
  <c r="H652" i="8" s="1"/>
  <c r="H628" i="8" s="1"/>
  <c r="H604" i="8" s="1"/>
  <c r="H580" i="8" s="1"/>
  <c r="H556" i="8" s="1"/>
  <c r="H532" i="8" s="1"/>
  <c r="H508" i="8" s="1"/>
  <c r="H484" i="8" s="1"/>
  <c r="H460" i="8" s="1"/>
  <c r="H436" i="8" s="1"/>
  <c r="H412" i="8" s="1"/>
  <c r="H388" i="8" s="1"/>
  <c r="H364" i="8" s="1"/>
  <c r="H340" i="8" s="1"/>
  <c r="H316" i="8" s="1"/>
  <c r="H292" i="8" s="1"/>
  <c r="H268" i="8" s="1"/>
  <c r="H244" i="8" s="1"/>
  <c r="H220" i="8" s="1"/>
  <c r="H196" i="8" s="1"/>
  <c r="H172" i="8" s="1"/>
  <c r="H148" i="8" s="1"/>
  <c r="H124" i="8" s="1"/>
  <c r="H100" i="8" s="1"/>
  <c r="H76" i="8" s="1"/>
  <c r="H52" i="8" s="1"/>
  <c r="H28" i="8" s="1"/>
  <c r="H4" i="8" s="1"/>
  <c r="G796" i="8"/>
  <c r="G772" i="8" s="1"/>
  <c r="G748" i="8" s="1"/>
  <c r="G724" i="8" s="1"/>
  <c r="G700" i="8" s="1"/>
  <c r="G676" i="8" s="1"/>
  <c r="G652" i="8" s="1"/>
  <c r="G628" i="8" s="1"/>
  <c r="G604" i="8" s="1"/>
  <c r="G580" i="8" s="1"/>
  <c r="G556" i="8" s="1"/>
  <c r="G532" i="8" s="1"/>
  <c r="G508" i="8" s="1"/>
  <c r="G484" i="8" s="1"/>
  <c r="G460" i="8" s="1"/>
  <c r="G436" i="8" s="1"/>
  <c r="G412" i="8" s="1"/>
  <c r="G388" i="8" s="1"/>
  <c r="G364" i="8" s="1"/>
  <c r="G340" i="8" s="1"/>
  <c r="G316" i="8" s="1"/>
  <c r="G292" i="8" s="1"/>
  <c r="G268" i="8" s="1"/>
  <c r="G244" i="8" s="1"/>
  <c r="G220" i="8" s="1"/>
  <c r="G196" i="8" s="1"/>
  <c r="G172" i="8" s="1"/>
  <c r="G148" i="8" s="1"/>
  <c r="G124" i="8" s="1"/>
  <c r="G100" i="8" s="1"/>
  <c r="G76" i="8" s="1"/>
  <c r="G52" i="8" s="1"/>
  <c r="G28" i="8" s="1"/>
  <c r="G4" i="8" s="1"/>
  <c r="C796" i="8"/>
  <c r="C772" i="8" s="1"/>
  <c r="C748" i="8" s="1"/>
  <c r="C724" i="8" s="1"/>
  <c r="C700" i="8" s="1"/>
  <c r="C676" i="8" s="1"/>
  <c r="C652" i="8" s="1"/>
  <c r="C628" i="8" s="1"/>
  <c r="C604" i="8" s="1"/>
  <c r="C580" i="8" s="1"/>
  <c r="C556" i="8" s="1"/>
  <c r="C532" i="8" s="1"/>
  <c r="C508" i="8" s="1"/>
  <c r="C484" i="8" s="1"/>
  <c r="C460" i="8" s="1"/>
  <c r="C436" i="8" s="1"/>
  <c r="C412" i="8" s="1"/>
  <c r="C388" i="8" s="1"/>
  <c r="C364" i="8" s="1"/>
  <c r="C340" i="8" s="1"/>
  <c r="C316" i="8" s="1"/>
  <c r="C292" i="8" s="1"/>
  <c r="C268" i="8" s="1"/>
  <c r="C244" i="8" s="1"/>
  <c r="C220" i="8" s="1"/>
  <c r="C196" i="8" s="1"/>
  <c r="C172" i="8" s="1"/>
  <c r="C148" i="8" s="1"/>
  <c r="C124" i="8" s="1"/>
  <c r="C100" i="8" s="1"/>
  <c r="C76" i="8" s="1"/>
  <c r="C52" i="8" s="1"/>
  <c r="C28" i="8" s="1"/>
  <c r="C4" i="8" s="1"/>
  <c r="B796" i="8"/>
  <c r="K795" i="8"/>
  <c r="I795" i="8"/>
  <c r="I771" i="8" s="1"/>
  <c r="H795" i="8"/>
  <c r="H771" i="8" s="1"/>
  <c r="G795" i="8"/>
  <c r="G771" i="8" s="1"/>
  <c r="G747" i="8" s="1"/>
  <c r="G723" i="8" s="1"/>
  <c r="G699" i="8" s="1"/>
  <c r="G675" i="8" s="1"/>
  <c r="G651" i="8" s="1"/>
  <c r="G627" i="8" s="1"/>
  <c r="G603" i="8" s="1"/>
  <c r="G579" i="8" s="1"/>
  <c r="G555" i="8" s="1"/>
  <c r="G531" i="8" s="1"/>
  <c r="G507" i="8" s="1"/>
  <c r="G483" i="8" s="1"/>
  <c r="G459" i="8" s="1"/>
  <c r="G435" i="8" s="1"/>
  <c r="G411" i="8" s="1"/>
  <c r="G387" i="8" s="1"/>
  <c r="G363" i="8" s="1"/>
  <c r="G339" i="8" s="1"/>
  <c r="G315" i="8" s="1"/>
  <c r="G291" i="8" s="1"/>
  <c r="G267" i="8" s="1"/>
  <c r="G243" i="8" s="1"/>
  <c r="G219" i="8" s="1"/>
  <c r="G195" i="8" s="1"/>
  <c r="G171" i="8" s="1"/>
  <c r="G147" i="8" s="1"/>
  <c r="G123" i="8" s="1"/>
  <c r="G99" i="8" s="1"/>
  <c r="G75" i="8" s="1"/>
  <c r="G51" i="8" s="1"/>
  <c r="G27" i="8" s="1"/>
  <c r="G3" i="8" s="1"/>
  <c r="C795" i="8"/>
  <c r="C771" i="8" s="1"/>
  <c r="C747" i="8" s="1"/>
  <c r="C723" i="8" s="1"/>
  <c r="C699" i="8" s="1"/>
  <c r="C675" i="8" s="1"/>
  <c r="C651" i="8" s="1"/>
  <c r="C627" i="8" s="1"/>
  <c r="C603" i="8" s="1"/>
  <c r="C579" i="8" s="1"/>
  <c r="C555" i="8" s="1"/>
  <c r="C531" i="8" s="1"/>
  <c r="C507" i="8" s="1"/>
  <c r="C483" i="8" s="1"/>
  <c r="C459" i="8" s="1"/>
  <c r="C435" i="8" s="1"/>
  <c r="C411" i="8" s="1"/>
  <c r="C387" i="8" s="1"/>
  <c r="C363" i="8" s="1"/>
  <c r="C339" i="8" s="1"/>
  <c r="C315" i="8" s="1"/>
  <c r="C291" i="8" s="1"/>
  <c r="C267" i="8" s="1"/>
  <c r="C243" i="8" s="1"/>
  <c r="C219" i="8" s="1"/>
  <c r="C195" i="8" s="1"/>
  <c r="C171" i="8" s="1"/>
  <c r="C147" i="8" s="1"/>
  <c r="C123" i="8" s="1"/>
  <c r="C99" i="8" s="1"/>
  <c r="C75" i="8" s="1"/>
  <c r="C51" i="8" s="1"/>
  <c r="C27" i="8" s="1"/>
  <c r="C3" i="8" s="1"/>
  <c r="B795" i="8"/>
  <c r="B771" i="8" s="1"/>
  <c r="B747" i="8" s="1"/>
  <c r="B723" i="8" s="1"/>
  <c r="B699" i="8" s="1"/>
  <c r="B675" i="8" s="1"/>
  <c r="B651" i="8" s="1"/>
  <c r="B627" i="8" s="1"/>
  <c r="B603" i="8" s="1"/>
  <c r="B579" i="8" s="1"/>
  <c r="B555" i="8" s="1"/>
  <c r="B531" i="8" s="1"/>
  <c r="B507" i="8" s="1"/>
  <c r="B483" i="8" s="1"/>
  <c r="B459" i="8" s="1"/>
  <c r="B435" i="8" s="1"/>
  <c r="B411" i="8" s="1"/>
  <c r="B387" i="8" s="1"/>
  <c r="B363" i="8" s="1"/>
  <c r="B339" i="8" s="1"/>
  <c r="B315" i="8" s="1"/>
  <c r="B291" i="8" s="1"/>
  <c r="B267" i="8" s="1"/>
  <c r="B243" i="8" s="1"/>
  <c r="B219" i="8" s="1"/>
  <c r="B195" i="8" s="1"/>
  <c r="B171" i="8" s="1"/>
  <c r="B147" i="8" s="1"/>
  <c r="B123" i="8" s="1"/>
  <c r="B99" i="8" s="1"/>
  <c r="B75" i="8" s="1"/>
  <c r="B51" i="8" s="1"/>
  <c r="B27" i="8" s="1"/>
  <c r="B3" i="8" s="1"/>
  <c r="K794" i="8"/>
  <c r="K770" i="8" s="1"/>
  <c r="K746" i="8" s="1"/>
  <c r="K722" i="8" s="1"/>
  <c r="K698" i="8" s="1"/>
  <c r="K674" i="8" s="1"/>
  <c r="K650" i="8" s="1"/>
  <c r="K626" i="8" s="1"/>
  <c r="K602" i="8" s="1"/>
  <c r="K578" i="8" s="1"/>
  <c r="K554" i="8" s="1"/>
  <c r="K530" i="8" s="1"/>
  <c r="K506" i="8" s="1"/>
  <c r="K482" i="8" s="1"/>
  <c r="K458" i="8" s="1"/>
  <c r="K434" i="8" s="1"/>
  <c r="K410" i="8" s="1"/>
  <c r="K386" i="8" s="1"/>
  <c r="K362" i="8" s="1"/>
  <c r="K338" i="8" s="1"/>
  <c r="K314" i="8" s="1"/>
  <c r="K290" i="8" s="1"/>
  <c r="K266" i="8" s="1"/>
  <c r="K242" i="8" s="1"/>
  <c r="K218" i="8" s="1"/>
  <c r="K194" i="8" s="1"/>
  <c r="K170" i="8" s="1"/>
  <c r="K146" i="8" s="1"/>
  <c r="K122" i="8" s="1"/>
  <c r="K98" i="8" s="1"/>
  <c r="K74" i="8" s="1"/>
  <c r="K50" i="8" s="1"/>
  <c r="K26" i="8" s="1"/>
  <c r="I794" i="8"/>
  <c r="I770" i="8" s="1"/>
  <c r="I746" i="8" s="1"/>
  <c r="I722" i="8" s="1"/>
  <c r="I698" i="8" s="1"/>
  <c r="I674" i="8" s="1"/>
  <c r="I650" i="8" s="1"/>
  <c r="I626" i="8" s="1"/>
  <c r="I602" i="8" s="1"/>
  <c r="I578" i="8" s="1"/>
  <c r="I554" i="8" s="1"/>
  <c r="I530" i="8" s="1"/>
  <c r="I506" i="8" s="1"/>
  <c r="I482" i="8" s="1"/>
  <c r="I458" i="8" s="1"/>
  <c r="I434" i="8" s="1"/>
  <c r="I410" i="8" s="1"/>
  <c r="I386" i="8" s="1"/>
  <c r="I362" i="8" s="1"/>
  <c r="I338" i="8" s="1"/>
  <c r="I314" i="8" s="1"/>
  <c r="I290" i="8" s="1"/>
  <c r="I266" i="8" s="1"/>
  <c r="I242" i="8" s="1"/>
  <c r="I218" i="8" s="1"/>
  <c r="I194" i="8" s="1"/>
  <c r="I170" i="8" s="1"/>
  <c r="I146" i="8" s="1"/>
  <c r="I122" i="8" s="1"/>
  <c r="I98" i="8" s="1"/>
  <c r="I74" i="8" s="1"/>
  <c r="I50" i="8" s="1"/>
  <c r="I26" i="8" s="1"/>
  <c r="H794" i="8"/>
  <c r="G794" i="8"/>
  <c r="G770" i="8" s="1"/>
  <c r="G746" i="8" s="1"/>
  <c r="G722" i="8" s="1"/>
  <c r="G698" i="8" s="1"/>
  <c r="G674" i="8" s="1"/>
  <c r="G650" i="8" s="1"/>
  <c r="G626" i="8" s="1"/>
  <c r="G602" i="8" s="1"/>
  <c r="G578" i="8" s="1"/>
  <c r="G554" i="8" s="1"/>
  <c r="G530" i="8" s="1"/>
  <c r="G506" i="8" s="1"/>
  <c r="G482" i="8" s="1"/>
  <c r="G458" i="8" s="1"/>
  <c r="G434" i="8" s="1"/>
  <c r="G410" i="8" s="1"/>
  <c r="G386" i="8" s="1"/>
  <c r="G362" i="8" s="1"/>
  <c r="G338" i="8" s="1"/>
  <c r="G314" i="8" s="1"/>
  <c r="G290" i="8" s="1"/>
  <c r="G266" i="8" s="1"/>
  <c r="G242" i="8" s="1"/>
  <c r="G218" i="8" s="1"/>
  <c r="G194" i="8" s="1"/>
  <c r="G170" i="8" s="1"/>
  <c r="G146" i="8" s="1"/>
  <c r="G122" i="8" s="1"/>
  <c r="G98" i="8" s="1"/>
  <c r="G74" i="8" s="1"/>
  <c r="G50" i="8" s="1"/>
  <c r="G26" i="8" s="1"/>
  <c r="I793" i="8"/>
  <c r="I769" i="8" s="1"/>
  <c r="I745" i="8" s="1"/>
  <c r="H793" i="8"/>
  <c r="H769" i="8" s="1"/>
  <c r="H745" i="8" s="1"/>
  <c r="I791" i="8"/>
  <c r="I767" i="8" s="1"/>
  <c r="I743" i="8" s="1"/>
  <c r="I719" i="8" s="1"/>
  <c r="H791" i="8"/>
  <c r="H767" i="8" s="1"/>
  <c r="H743" i="8" s="1"/>
  <c r="H719" i="8" s="1"/>
  <c r="H695" i="8" s="1"/>
  <c r="H671" i="8" s="1"/>
  <c r="H647" i="8" s="1"/>
  <c r="H623" i="8" s="1"/>
  <c r="H599" i="8" s="1"/>
  <c r="H575" i="8" s="1"/>
  <c r="H551" i="8" s="1"/>
  <c r="H527" i="8" s="1"/>
  <c r="H503" i="8" s="1"/>
  <c r="H479" i="8" s="1"/>
  <c r="H455" i="8" s="1"/>
  <c r="H431" i="8" s="1"/>
  <c r="H407" i="8" s="1"/>
  <c r="H383" i="8" s="1"/>
  <c r="H359" i="8" s="1"/>
  <c r="H335" i="8" s="1"/>
  <c r="H311" i="8" s="1"/>
  <c r="H287" i="8" s="1"/>
  <c r="H263" i="8" s="1"/>
  <c r="H239" i="8" s="1"/>
  <c r="H215" i="8" s="1"/>
  <c r="H191" i="8" s="1"/>
  <c r="H167" i="8" s="1"/>
  <c r="H143" i="8" s="1"/>
  <c r="H119" i="8" s="1"/>
  <c r="H95" i="8" s="1"/>
  <c r="H71" i="8" s="1"/>
  <c r="H47" i="8" s="1"/>
  <c r="H23" i="8" s="1"/>
  <c r="B790" i="8"/>
  <c r="B766" i="8" s="1"/>
  <c r="B742" i="8" s="1"/>
  <c r="B718" i="8" s="1"/>
  <c r="K789" i="8"/>
  <c r="K765" i="8" s="1"/>
  <c r="K741" i="8" s="1"/>
  <c r="K717" i="8" s="1"/>
  <c r="K693" i="8" s="1"/>
  <c r="K669" i="8" s="1"/>
  <c r="K645" i="8" s="1"/>
  <c r="K621" i="8" s="1"/>
  <c r="K597" i="8" s="1"/>
  <c r="K573" i="8" s="1"/>
  <c r="K549" i="8" s="1"/>
  <c r="K525" i="8" s="1"/>
  <c r="K501" i="8" s="1"/>
  <c r="K477" i="8" s="1"/>
  <c r="K453" i="8" s="1"/>
  <c r="K429" i="8" s="1"/>
  <c r="K405" i="8" s="1"/>
  <c r="K381" i="8" s="1"/>
  <c r="K357" i="8" s="1"/>
  <c r="K333" i="8" s="1"/>
  <c r="K309" i="8" s="1"/>
  <c r="K285" i="8" s="1"/>
  <c r="K261" i="8" s="1"/>
  <c r="K237" i="8" s="1"/>
  <c r="K213" i="8" s="1"/>
  <c r="K189" i="8" s="1"/>
  <c r="K165" i="8" s="1"/>
  <c r="K141" i="8" s="1"/>
  <c r="K117" i="8" s="1"/>
  <c r="K93" i="8" s="1"/>
  <c r="K69" i="8" s="1"/>
  <c r="K45" i="8" s="1"/>
  <c r="K21" i="8" s="1"/>
  <c r="K788" i="8"/>
  <c r="K764" i="8" s="1"/>
  <c r="K740" i="8" s="1"/>
  <c r="K716" i="8" s="1"/>
  <c r="K692" i="8" s="1"/>
  <c r="K668" i="8" s="1"/>
  <c r="K644" i="8" s="1"/>
  <c r="K620" i="8" s="1"/>
  <c r="K596" i="8" s="1"/>
  <c r="K572" i="8" s="1"/>
  <c r="K548" i="8" s="1"/>
  <c r="K524" i="8" s="1"/>
  <c r="K500" i="8" s="1"/>
  <c r="K476" i="8" s="1"/>
  <c r="K452" i="8" s="1"/>
  <c r="K428" i="8" s="1"/>
  <c r="K404" i="8" s="1"/>
  <c r="K380" i="8" s="1"/>
  <c r="K356" i="8" s="1"/>
  <c r="K332" i="8" s="1"/>
  <c r="K308" i="8" s="1"/>
  <c r="K284" i="8" s="1"/>
  <c r="K260" i="8" s="1"/>
  <c r="K236" i="8" s="1"/>
  <c r="K212" i="8" s="1"/>
  <c r="K188" i="8" s="1"/>
  <c r="K164" i="8" s="1"/>
  <c r="K140" i="8" s="1"/>
  <c r="K116" i="8" s="1"/>
  <c r="K92" i="8" s="1"/>
  <c r="K68" i="8" s="1"/>
  <c r="K44" i="8" s="1"/>
  <c r="K20" i="8" s="1"/>
  <c r="I788" i="8"/>
  <c r="I764" i="8" s="1"/>
  <c r="I740" i="8" s="1"/>
  <c r="I716" i="8" s="1"/>
  <c r="I692" i="8" s="1"/>
  <c r="I668" i="8" s="1"/>
  <c r="I644" i="8" s="1"/>
  <c r="I620" i="8" s="1"/>
  <c r="I596" i="8" s="1"/>
  <c r="I572" i="8" s="1"/>
  <c r="I548" i="8" s="1"/>
  <c r="I524" i="8" s="1"/>
  <c r="I500" i="8" s="1"/>
  <c r="I476" i="8" s="1"/>
  <c r="I452" i="8" s="1"/>
  <c r="I428" i="8" s="1"/>
  <c r="I404" i="8" s="1"/>
  <c r="I380" i="8" s="1"/>
  <c r="I356" i="8" s="1"/>
  <c r="I332" i="8" s="1"/>
  <c r="I308" i="8" s="1"/>
  <c r="I284" i="8" s="1"/>
  <c r="I260" i="8" s="1"/>
  <c r="I236" i="8" s="1"/>
  <c r="I212" i="8" s="1"/>
  <c r="I188" i="8" s="1"/>
  <c r="I164" i="8" s="1"/>
  <c r="I140" i="8" s="1"/>
  <c r="I116" i="8" s="1"/>
  <c r="I92" i="8" s="1"/>
  <c r="I68" i="8" s="1"/>
  <c r="I44" i="8" s="1"/>
  <c r="I20" i="8" s="1"/>
  <c r="I787" i="8"/>
  <c r="I763" i="8" s="1"/>
  <c r="I739" i="8" s="1"/>
  <c r="I715" i="8" s="1"/>
  <c r="I691" i="8" s="1"/>
  <c r="I667" i="8" s="1"/>
  <c r="I643" i="8" s="1"/>
  <c r="I619" i="8" s="1"/>
  <c r="I595" i="8" s="1"/>
  <c r="I571" i="8" s="1"/>
  <c r="I547" i="8" s="1"/>
  <c r="I523" i="8" s="1"/>
  <c r="I499" i="8" s="1"/>
  <c r="I475" i="8" s="1"/>
  <c r="I451" i="8" s="1"/>
  <c r="I427" i="8" s="1"/>
  <c r="I403" i="8" s="1"/>
  <c r="I379" i="8" s="1"/>
  <c r="I355" i="8" s="1"/>
  <c r="I331" i="8" s="1"/>
  <c r="I307" i="8" s="1"/>
  <c r="I283" i="8" s="1"/>
  <c r="I259" i="8" s="1"/>
  <c r="I235" i="8" s="1"/>
  <c r="I211" i="8" s="1"/>
  <c r="I187" i="8" s="1"/>
  <c r="I163" i="8" s="1"/>
  <c r="I139" i="8" s="1"/>
  <c r="I115" i="8" s="1"/>
  <c r="I91" i="8" s="1"/>
  <c r="I67" i="8" s="1"/>
  <c r="I43" i="8" s="1"/>
  <c r="I19" i="8" s="1"/>
  <c r="H787" i="8"/>
  <c r="H763" i="8" s="1"/>
  <c r="H739" i="8" s="1"/>
  <c r="H715" i="8" s="1"/>
  <c r="H691" i="8" s="1"/>
  <c r="H667" i="8" s="1"/>
  <c r="H643" i="8" s="1"/>
  <c r="H619" i="8" s="1"/>
  <c r="H595" i="8" s="1"/>
  <c r="H571" i="8" s="1"/>
  <c r="H547" i="8" s="1"/>
  <c r="H523" i="8" s="1"/>
  <c r="H499" i="8" s="1"/>
  <c r="H475" i="8" s="1"/>
  <c r="H451" i="8" s="1"/>
  <c r="H427" i="8" s="1"/>
  <c r="H403" i="8" s="1"/>
  <c r="H379" i="8" s="1"/>
  <c r="H355" i="8" s="1"/>
  <c r="H331" i="8" s="1"/>
  <c r="H307" i="8" s="1"/>
  <c r="H283" i="8" s="1"/>
  <c r="H259" i="8" s="1"/>
  <c r="H235" i="8" s="1"/>
  <c r="H211" i="8" s="1"/>
  <c r="H187" i="8" s="1"/>
  <c r="H163" i="8" s="1"/>
  <c r="H139" i="8" s="1"/>
  <c r="H115" i="8" s="1"/>
  <c r="H91" i="8" s="1"/>
  <c r="H67" i="8" s="1"/>
  <c r="H43" i="8" s="1"/>
  <c r="H19" i="8" s="1"/>
  <c r="G787" i="8"/>
  <c r="G763" i="8" s="1"/>
  <c r="G739" i="8" s="1"/>
  <c r="G715" i="8" s="1"/>
  <c r="G691" i="8" s="1"/>
  <c r="G667" i="8" s="1"/>
  <c r="G643" i="8" s="1"/>
  <c r="G619" i="8" s="1"/>
  <c r="G595" i="8" s="1"/>
  <c r="G571" i="8" s="1"/>
  <c r="G547" i="8" s="1"/>
  <c r="G523" i="8" s="1"/>
  <c r="G499" i="8" s="1"/>
  <c r="G475" i="8" s="1"/>
  <c r="G451" i="8" s="1"/>
  <c r="G427" i="8" s="1"/>
  <c r="G403" i="8" s="1"/>
  <c r="G379" i="8" s="1"/>
  <c r="G355" i="8" s="1"/>
  <c r="G331" i="8" s="1"/>
  <c r="G307" i="8" s="1"/>
  <c r="G283" i="8" s="1"/>
  <c r="G259" i="8" s="1"/>
  <c r="G235" i="8" s="1"/>
  <c r="G211" i="8" s="1"/>
  <c r="G187" i="8" s="1"/>
  <c r="G163" i="8" s="1"/>
  <c r="G139" i="8" s="1"/>
  <c r="G115" i="8" s="1"/>
  <c r="G91" i="8" s="1"/>
  <c r="G67" i="8" s="1"/>
  <c r="G43" i="8" s="1"/>
  <c r="G19" i="8" s="1"/>
  <c r="B786" i="8"/>
  <c r="B762" i="8" s="1"/>
  <c r="B738" i="8" s="1"/>
  <c r="B714" i="8" s="1"/>
  <c r="B690" i="8" s="1"/>
  <c r="B666" i="8" s="1"/>
  <c r="B642" i="8" s="1"/>
  <c r="B618" i="8" s="1"/>
  <c r="B594" i="8" s="1"/>
  <c r="B570" i="8" s="1"/>
  <c r="B546" i="8" s="1"/>
  <c r="B522" i="8" s="1"/>
  <c r="B498" i="8" s="1"/>
  <c r="B474" i="8" s="1"/>
  <c r="B450" i="8" s="1"/>
  <c r="B426" i="8" s="1"/>
  <c r="B402" i="8" s="1"/>
  <c r="B378" i="8" s="1"/>
  <c r="B354" i="8" s="1"/>
  <c r="B330" i="8" s="1"/>
  <c r="B306" i="8" s="1"/>
  <c r="B282" i="8" s="1"/>
  <c r="B258" i="8" s="1"/>
  <c r="B234" i="8" s="1"/>
  <c r="B210" i="8" s="1"/>
  <c r="B186" i="8" s="1"/>
  <c r="B162" i="8" s="1"/>
  <c r="B138" i="8" s="1"/>
  <c r="B114" i="8" s="1"/>
  <c r="B90" i="8" s="1"/>
  <c r="B66" i="8" s="1"/>
  <c r="B42" i="8" s="1"/>
  <c r="B18" i="8" s="1"/>
  <c r="B784" i="8"/>
  <c r="B760" i="8" s="1"/>
  <c r="B736" i="8" s="1"/>
  <c r="B712" i="8" s="1"/>
  <c r="B688" i="8" s="1"/>
  <c r="B664" i="8" s="1"/>
  <c r="B640" i="8" s="1"/>
  <c r="B616" i="8" s="1"/>
  <c r="B592" i="8" s="1"/>
  <c r="B568" i="8" s="1"/>
  <c r="B544" i="8" s="1"/>
  <c r="B520" i="8" s="1"/>
  <c r="B496" i="8" s="1"/>
  <c r="B472" i="8" s="1"/>
  <c r="B448" i="8" s="1"/>
  <c r="B424" i="8" s="1"/>
  <c r="B400" i="8" s="1"/>
  <c r="B376" i="8" s="1"/>
  <c r="B352" i="8" s="1"/>
  <c r="B328" i="8" s="1"/>
  <c r="B304" i="8" s="1"/>
  <c r="B280" i="8" s="1"/>
  <c r="B256" i="8" s="1"/>
  <c r="B232" i="8" s="1"/>
  <c r="B208" i="8" s="1"/>
  <c r="B184" i="8" s="1"/>
  <c r="B160" i="8" s="1"/>
  <c r="B136" i="8" s="1"/>
  <c r="B112" i="8" s="1"/>
  <c r="B88" i="8" s="1"/>
  <c r="B64" i="8" s="1"/>
  <c r="B40" i="8" s="1"/>
  <c r="B16" i="8" s="1"/>
  <c r="I783" i="8"/>
  <c r="I759" i="8" s="1"/>
  <c r="I735" i="8" s="1"/>
  <c r="I711" i="8" s="1"/>
  <c r="I687" i="8" s="1"/>
  <c r="I663" i="8" s="1"/>
  <c r="I639" i="8" s="1"/>
  <c r="I615" i="8" s="1"/>
  <c r="I591" i="8" s="1"/>
  <c r="I567" i="8" s="1"/>
  <c r="I543" i="8" s="1"/>
  <c r="I519" i="8" s="1"/>
  <c r="I495" i="8" s="1"/>
  <c r="I471" i="8" s="1"/>
  <c r="I447" i="8" s="1"/>
  <c r="I423" i="8" s="1"/>
  <c r="I399" i="8" s="1"/>
  <c r="I375" i="8" s="1"/>
  <c r="I351" i="8" s="1"/>
  <c r="I327" i="8" s="1"/>
  <c r="I303" i="8" s="1"/>
  <c r="I279" i="8" s="1"/>
  <c r="I255" i="8" s="1"/>
  <c r="I231" i="8" s="1"/>
  <c r="I207" i="8" s="1"/>
  <c r="I183" i="8" s="1"/>
  <c r="I159" i="8" s="1"/>
  <c r="I135" i="8" s="1"/>
  <c r="I111" i="8" s="1"/>
  <c r="I87" i="8" s="1"/>
  <c r="I63" i="8" s="1"/>
  <c r="I39" i="8" s="1"/>
  <c r="I15" i="8" s="1"/>
  <c r="G783" i="8"/>
  <c r="G759" i="8" s="1"/>
  <c r="G735" i="8" s="1"/>
  <c r="G711" i="8" s="1"/>
  <c r="G687" i="8" s="1"/>
  <c r="G663" i="8" s="1"/>
  <c r="G639" i="8" s="1"/>
  <c r="G615" i="8" s="1"/>
  <c r="G591" i="8" s="1"/>
  <c r="G567" i="8" s="1"/>
  <c r="G543" i="8" s="1"/>
  <c r="G519" i="8" s="1"/>
  <c r="G495" i="8" s="1"/>
  <c r="G471" i="8" s="1"/>
  <c r="G447" i="8" s="1"/>
  <c r="G423" i="8" s="1"/>
  <c r="G399" i="8" s="1"/>
  <c r="G375" i="8" s="1"/>
  <c r="G351" i="8" s="1"/>
  <c r="G327" i="8" s="1"/>
  <c r="G303" i="8" s="1"/>
  <c r="G279" i="8" s="1"/>
  <c r="G255" i="8" s="1"/>
  <c r="G231" i="8" s="1"/>
  <c r="G207" i="8" s="1"/>
  <c r="G183" i="8" s="1"/>
  <c r="G159" i="8" s="1"/>
  <c r="G135" i="8" s="1"/>
  <c r="G111" i="8" s="1"/>
  <c r="G87" i="8" s="1"/>
  <c r="G63" i="8" s="1"/>
  <c r="G39" i="8" s="1"/>
  <c r="G15" i="8" s="1"/>
  <c r="B782" i="8"/>
  <c r="I781" i="8"/>
  <c r="I757" i="8" s="1"/>
  <c r="I733" i="8" s="1"/>
  <c r="I709" i="8" s="1"/>
  <c r="I685" i="8" s="1"/>
  <c r="I661" i="8" s="1"/>
  <c r="I637" i="8" s="1"/>
  <c r="I613" i="8" s="1"/>
  <c r="I589" i="8" s="1"/>
  <c r="I565" i="8" s="1"/>
  <c r="I541" i="8" s="1"/>
  <c r="I517" i="8" s="1"/>
  <c r="I493" i="8" s="1"/>
  <c r="I469" i="8" s="1"/>
  <c r="I445" i="8" s="1"/>
  <c r="I421" i="8" s="1"/>
  <c r="I397" i="8" s="1"/>
  <c r="I373" i="8" s="1"/>
  <c r="I349" i="8" s="1"/>
  <c r="I325" i="8" s="1"/>
  <c r="I301" i="8" s="1"/>
  <c r="I277" i="8" s="1"/>
  <c r="I253" i="8" s="1"/>
  <c r="I229" i="8" s="1"/>
  <c r="I205" i="8" s="1"/>
  <c r="I181" i="8" s="1"/>
  <c r="I157" i="8" s="1"/>
  <c r="I133" i="8" s="1"/>
  <c r="I109" i="8" s="1"/>
  <c r="I85" i="8" s="1"/>
  <c r="I61" i="8" s="1"/>
  <c r="I37" i="8" s="1"/>
  <c r="I13" i="8" s="1"/>
  <c r="H781" i="8"/>
  <c r="H757" i="8" s="1"/>
  <c r="H733" i="8" s="1"/>
  <c r="H709" i="8" s="1"/>
  <c r="H685" i="8" s="1"/>
  <c r="H661" i="8" s="1"/>
  <c r="H637" i="8" s="1"/>
  <c r="H613" i="8" s="1"/>
  <c r="H589" i="8" s="1"/>
  <c r="H565" i="8" s="1"/>
  <c r="H541" i="8" s="1"/>
  <c r="H517" i="8" s="1"/>
  <c r="H493" i="8" s="1"/>
  <c r="H469" i="8" s="1"/>
  <c r="H445" i="8" s="1"/>
  <c r="H421" i="8" s="1"/>
  <c r="H397" i="8" s="1"/>
  <c r="H373" i="8" s="1"/>
  <c r="H349" i="8" s="1"/>
  <c r="H325" i="8" s="1"/>
  <c r="H301" i="8" s="1"/>
  <c r="H277" i="8" s="1"/>
  <c r="H253" i="8" s="1"/>
  <c r="H229" i="8" s="1"/>
  <c r="H205" i="8" s="1"/>
  <c r="H181" i="8" s="1"/>
  <c r="H157" i="8" s="1"/>
  <c r="H133" i="8" s="1"/>
  <c r="H109" i="8" s="1"/>
  <c r="H85" i="8" s="1"/>
  <c r="H61" i="8" s="1"/>
  <c r="H37" i="8" s="1"/>
  <c r="H13" i="8" s="1"/>
  <c r="G781" i="8"/>
  <c r="G757" i="8" s="1"/>
  <c r="G733" i="8" s="1"/>
  <c r="G709" i="8" s="1"/>
  <c r="G685" i="8" s="1"/>
  <c r="G661" i="8" s="1"/>
  <c r="G637" i="8" s="1"/>
  <c r="G613" i="8" s="1"/>
  <c r="G589" i="8" s="1"/>
  <c r="G565" i="8" s="1"/>
  <c r="G541" i="8" s="1"/>
  <c r="G517" i="8" s="1"/>
  <c r="G493" i="8" s="1"/>
  <c r="G469" i="8" s="1"/>
  <c r="G445" i="8" s="1"/>
  <c r="G421" i="8" s="1"/>
  <c r="G397" i="8" s="1"/>
  <c r="G373" i="8" s="1"/>
  <c r="G349" i="8" s="1"/>
  <c r="G325" i="8" s="1"/>
  <c r="G301" i="8" s="1"/>
  <c r="G277" i="8" s="1"/>
  <c r="G253" i="8" s="1"/>
  <c r="G229" i="8" s="1"/>
  <c r="G205" i="8" s="1"/>
  <c r="G181" i="8" s="1"/>
  <c r="G157" i="8" s="1"/>
  <c r="G133" i="8" s="1"/>
  <c r="G109" i="8" s="1"/>
  <c r="G85" i="8" s="1"/>
  <c r="G61" i="8" s="1"/>
  <c r="G37" i="8" s="1"/>
  <c r="G13" i="8" s="1"/>
  <c r="K779" i="8"/>
  <c r="K755" i="8" s="1"/>
  <c r="K731" i="8" s="1"/>
  <c r="K707" i="8" s="1"/>
  <c r="K683" i="8" s="1"/>
  <c r="K659" i="8" s="1"/>
  <c r="K635" i="8" s="1"/>
  <c r="K611" i="8" s="1"/>
  <c r="K587" i="8" s="1"/>
  <c r="K563" i="8" s="1"/>
  <c r="K539" i="8" s="1"/>
  <c r="K515" i="8" s="1"/>
  <c r="K491" i="8" s="1"/>
  <c r="K467" i="8" s="1"/>
  <c r="K443" i="8" s="1"/>
  <c r="K419" i="8" s="1"/>
  <c r="K395" i="8" s="1"/>
  <c r="K371" i="8" s="1"/>
  <c r="K347" i="8" s="1"/>
  <c r="K323" i="8" s="1"/>
  <c r="K299" i="8" s="1"/>
  <c r="K275" i="8" s="1"/>
  <c r="K251" i="8" s="1"/>
  <c r="K227" i="8" s="1"/>
  <c r="K203" i="8" s="1"/>
  <c r="K179" i="8" s="1"/>
  <c r="K155" i="8" s="1"/>
  <c r="K131" i="8" s="1"/>
  <c r="K107" i="8" s="1"/>
  <c r="K83" i="8" s="1"/>
  <c r="K59" i="8" s="1"/>
  <c r="K35" i="8" s="1"/>
  <c r="K11" i="8" s="1"/>
  <c r="I775" i="8"/>
  <c r="I751" i="8" s="1"/>
  <c r="I727" i="8" s="1"/>
  <c r="I703" i="8" s="1"/>
  <c r="I679" i="8" s="1"/>
  <c r="I655" i="8" s="1"/>
  <c r="I631" i="8" s="1"/>
  <c r="I607" i="8" s="1"/>
  <c r="I583" i="8" s="1"/>
  <c r="I559" i="8" s="1"/>
  <c r="I535" i="8" s="1"/>
  <c r="I511" i="8" s="1"/>
  <c r="I487" i="8" s="1"/>
  <c r="I463" i="8" s="1"/>
  <c r="I439" i="8" s="1"/>
  <c r="I415" i="8" s="1"/>
  <c r="I391" i="8" s="1"/>
  <c r="I367" i="8" s="1"/>
  <c r="I343" i="8" s="1"/>
  <c r="I319" i="8" s="1"/>
  <c r="I295" i="8" s="1"/>
  <c r="I271" i="8" s="1"/>
  <c r="I247" i="8" s="1"/>
  <c r="I223" i="8" s="1"/>
  <c r="I199" i="8" s="1"/>
  <c r="I175" i="8" s="1"/>
  <c r="I151" i="8" s="1"/>
  <c r="I127" i="8" s="1"/>
  <c r="I103" i="8" s="1"/>
  <c r="I79" i="8" s="1"/>
  <c r="I55" i="8" s="1"/>
  <c r="I31" i="8" s="1"/>
  <c r="I7" i="8" s="1"/>
  <c r="B774" i="8"/>
  <c r="B750" i="8" s="1"/>
  <c r="B726" i="8" s="1"/>
  <c r="B702" i="8" s="1"/>
  <c r="B678" i="8" s="1"/>
  <c r="B654" i="8" s="1"/>
  <c r="B630" i="8" s="1"/>
  <c r="B606" i="8" s="1"/>
  <c r="B582" i="8" s="1"/>
  <c r="B558" i="8" s="1"/>
  <c r="B534" i="8" s="1"/>
  <c r="B510" i="8" s="1"/>
  <c r="B486" i="8" s="1"/>
  <c r="B462" i="8" s="1"/>
  <c r="B438" i="8" s="1"/>
  <c r="B414" i="8" s="1"/>
  <c r="B390" i="8" s="1"/>
  <c r="B366" i="8" s="1"/>
  <c r="B342" i="8" s="1"/>
  <c r="B318" i="8" s="1"/>
  <c r="B294" i="8" s="1"/>
  <c r="B270" i="8" s="1"/>
  <c r="B246" i="8" s="1"/>
  <c r="B222" i="8" s="1"/>
  <c r="B198" i="8" s="1"/>
  <c r="B174" i="8" s="1"/>
  <c r="B150" i="8" s="1"/>
  <c r="B126" i="8" s="1"/>
  <c r="B102" i="8" s="1"/>
  <c r="B78" i="8" s="1"/>
  <c r="B54" i="8" s="1"/>
  <c r="B30" i="8" s="1"/>
  <c r="B6" i="8" s="1"/>
  <c r="K773" i="8"/>
  <c r="K749" i="8" s="1"/>
  <c r="K725" i="8" s="1"/>
  <c r="K701" i="8" s="1"/>
  <c r="K677" i="8" s="1"/>
  <c r="K653" i="8" s="1"/>
  <c r="K629" i="8" s="1"/>
  <c r="K605" i="8" s="1"/>
  <c r="K581" i="8" s="1"/>
  <c r="K557" i="8" s="1"/>
  <c r="K533" i="8" s="1"/>
  <c r="K509" i="8" s="1"/>
  <c r="K485" i="8" s="1"/>
  <c r="K461" i="8" s="1"/>
  <c r="K437" i="8" s="1"/>
  <c r="K413" i="8" s="1"/>
  <c r="K389" i="8" s="1"/>
  <c r="K365" i="8" s="1"/>
  <c r="K341" i="8" s="1"/>
  <c r="K317" i="8" s="1"/>
  <c r="K293" i="8" s="1"/>
  <c r="I773" i="8"/>
  <c r="I749" i="8" s="1"/>
  <c r="I725" i="8" s="1"/>
  <c r="I701" i="8" s="1"/>
  <c r="I677" i="8" s="1"/>
  <c r="I653" i="8" s="1"/>
  <c r="I629" i="8" s="1"/>
  <c r="I605" i="8" s="1"/>
  <c r="I581" i="8" s="1"/>
  <c r="I557" i="8" s="1"/>
  <c r="I533" i="8" s="1"/>
  <c r="I509" i="8" s="1"/>
  <c r="I485" i="8" s="1"/>
  <c r="I461" i="8" s="1"/>
  <c r="I437" i="8" s="1"/>
  <c r="I413" i="8" s="1"/>
  <c r="I389" i="8" s="1"/>
  <c r="I365" i="8" s="1"/>
  <c r="I341" i="8" s="1"/>
  <c r="I317" i="8" s="1"/>
  <c r="I293" i="8" s="1"/>
  <c r="I269" i="8" s="1"/>
  <c r="I245" i="8" s="1"/>
  <c r="I221" i="8" s="1"/>
  <c r="I197" i="8" s="1"/>
  <c r="I173" i="8" s="1"/>
  <c r="I149" i="8" s="1"/>
  <c r="I125" i="8" s="1"/>
  <c r="I101" i="8" s="1"/>
  <c r="I77" i="8" s="1"/>
  <c r="I53" i="8" s="1"/>
  <c r="I29" i="8" s="1"/>
  <c r="I5" i="8" s="1"/>
  <c r="C773" i="8"/>
  <c r="C749" i="8" s="1"/>
  <c r="C725" i="8" s="1"/>
  <c r="C701" i="8" s="1"/>
  <c r="C677" i="8" s="1"/>
  <c r="C653" i="8" s="1"/>
  <c r="C629" i="8" s="1"/>
  <c r="C605" i="8" s="1"/>
  <c r="C581" i="8" s="1"/>
  <c r="C557" i="8" s="1"/>
  <c r="C533" i="8" s="1"/>
  <c r="C509" i="8" s="1"/>
  <c r="C485" i="8" s="1"/>
  <c r="B772" i="8"/>
  <c r="B748" i="8" s="1"/>
  <c r="K771" i="8"/>
  <c r="K747" i="8" s="1"/>
  <c r="K723" i="8" s="1"/>
  <c r="K699" i="8" s="1"/>
  <c r="K675" i="8" s="1"/>
  <c r="K651" i="8" s="1"/>
  <c r="K627" i="8" s="1"/>
  <c r="K603" i="8" s="1"/>
  <c r="K579" i="8" s="1"/>
  <c r="K555" i="8" s="1"/>
  <c r="K531" i="8" s="1"/>
  <c r="K507" i="8" s="1"/>
  <c r="K483" i="8" s="1"/>
  <c r="K459" i="8" s="1"/>
  <c r="K435" i="8" s="1"/>
  <c r="K411" i="8" s="1"/>
  <c r="K387" i="8" s="1"/>
  <c r="K363" i="8" s="1"/>
  <c r="K339" i="8" s="1"/>
  <c r="K315" i="8" s="1"/>
  <c r="K291" i="8" s="1"/>
  <c r="K267" i="8" s="1"/>
  <c r="K243" i="8" s="1"/>
  <c r="K219" i="8" s="1"/>
  <c r="K195" i="8" s="1"/>
  <c r="K171" i="8" s="1"/>
  <c r="K147" i="8" s="1"/>
  <c r="K123" i="8" s="1"/>
  <c r="K99" i="8" s="1"/>
  <c r="K75" i="8" s="1"/>
  <c r="K51" i="8" s="1"/>
  <c r="K27" i="8" s="1"/>
  <c r="K3" i="8" s="1"/>
  <c r="H770" i="8"/>
  <c r="H746" i="8" s="1"/>
  <c r="H722" i="8" s="1"/>
  <c r="H698" i="8" s="1"/>
  <c r="H674" i="8" s="1"/>
  <c r="H650" i="8" s="1"/>
  <c r="H626" i="8" s="1"/>
  <c r="H602" i="8" s="1"/>
  <c r="H578" i="8" s="1"/>
  <c r="H554" i="8" s="1"/>
  <c r="H530" i="8" s="1"/>
  <c r="H506" i="8" s="1"/>
  <c r="H482" i="8" s="1"/>
  <c r="H458" i="8" s="1"/>
  <c r="H434" i="8" s="1"/>
  <c r="H410" i="8" s="1"/>
  <c r="H386" i="8" s="1"/>
  <c r="H362" i="8" s="1"/>
  <c r="H338" i="8" s="1"/>
  <c r="H314" i="8" s="1"/>
  <c r="H290" i="8" s="1"/>
  <c r="H266" i="8" s="1"/>
  <c r="H242" i="8" s="1"/>
  <c r="H218" i="8" s="1"/>
  <c r="H194" i="8" s="1"/>
  <c r="H170" i="8" s="1"/>
  <c r="H146" i="8" s="1"/>
  <c r="H122" i="8" s="1"/>
  <c r="H98" i="8" s="1"/>
  <c r="H74" i="8" s="1"/>
  <c r="H50" i="8" s="1"/>
  <c r="H26" i="8" s="1"/>
  <c r="I765" i="8"/>
  <c r="I741" i="8" s="1"/>
  <c r="I717" i="8" s="1"/>
  <c r="I693" i="8" s="1"/>
  <c r="I669" i="8" s="1"/>
  <c r="I645" i="8" s="1"/>
  <c r="I621" i="8" s="1"/>
  <c r="I597" i="8" s="1"/>
  <c r="I573" i="8" s="1"/>
  <c r="I549" i="8" s="1"/>
  <c r="I525" i="8" s="1"/>
  <c r="I501" i="8" s="1"/>
  <c r="I477" i="8" s="1"/>
  <c r="I453" i="8" s="1"/>
  <c r="I429" i="8" s="1"/>
  <c r="I405" i="8" s="1"/>
  <c r="I381" i="8" s="1"/>
  <c r="I357" i="8" s="1"/>
  <c r="I333" i="8" s="1"/>
  <c r="I309" i="8" s="1"/>
  <c r="I285" i="8" s="1"/>
  <c r="I261" i="8" s="1"/>
  <c r="I237" i="8" s="1"/>
  <c r="I213" i="8" s="1"/>
  <c r="I189" i="8" s="1"/>
  <c r="I165" i="8" s="1"/>
  <c r="I141" i="8" s="1"/>
  <c r="I117" i="8" s="1"/>
  <c r="I93" i="8" s="1"/>
  <c r="I69" i="8" s="1"/>
  <c r="I45" i="8" s="1"/>
  <c r="I21" i="8" s="1"/>
  <c r="B764" i="8"/>
  <c r="B740" i="8" s="1"/>
  <c r="B716" i="8" s="1"/>
  <c r="B692" i="8" s="1"/>
  <c r="B668" i="8" s="1"/>
  <c r="B644" i="8" s="1"/>
  <c r="B620" i="8" s="1"/>
  <c r="B596" i="8" s="1"/>
  <c r="B572" i="8" s="1"/>
  <c r="B548" i="8" s="1"/>
  <c r="B524" i="8" s="1"/>
  <c r="B500" i="8" s="1"/>
  <c r="B476" i="8" s="1"/>
  <c r="B452" i="8" s="1"/>
  <c r="B428" i="8" s="1"/>
  <c r="B404" i="8" s="1"/>
  <c r="B380" i="8" s="1"/>
  <c r="B356" i="8" s="1"/>
  <c r="B332" i="8" s="1"/>
  <c r="B308" i="8" s="1"/>
  <c r="B284" i="8" s="1"/>
  <c r="B260" i="8" s="1"/>
  <c r="B236" i="8" s="1"/>
  <c r="B212" i="8" s="1"/>
  <c r="B188" i="8" s="1"/>
  <c r="B164" i="8" s="1"/>
  <c r="B140" i="8" s="1"/>
  <c r="B116" i="8" s="1"/>
  <c r="B92" i="8" s="1"/>
  <c r="B68" i="8" s="1"/>
  <c r="B44" i="8" s="1"/>
  <c r="B20" i="8" s="1"/>
  <c r="I761" i="8"/>
  <c r="I737" i="8" s="1"/>
  <c r="I713" i="8" s="1"/>
  <c r="I689" i="8" s="1"/>
  <c r="I665" i="8" s="1"/>
  <c r="I641" i="8" s="1"/>
  <c r="I617" i="8" s="1"/>
  <c r="I593" i="8" s="1"/>
  <c r="I569" i="8" s="1"/>
  <c r="I545" i="8" s="1"/>
  <c r="I521" i="8" s="1"/>
  <c r="I497" i="8" s="1"/>
  <c r="I473" i="8" s="1"/>
  <c r="I449" i="8" s="1"/>
  <c r="I425" i="8" s="1"/>
  <c r="I401" i="8" s="1"/>
  <c r="I377" i="8" s="1"/>
  <c r="I353" i="8" s="1"/>
  <c r="I329" i="8" s="1"/>
  <c r="I305" i="8" s="1"/>
  <c r="I281" i="8" s="1"/>
  <c r="I257" i="8" s="1"/>
  <c r="I233" i="8" s="1"/>
  <c r="I209" i="8" s="1"/>
  <c r="I185" i="8" s="1"/>
  <c r="I161" i="8" s="1"/>
  <c r="I137" i="8" s="1"/>
  <c r="I113" i="8" s="1"/>
  <c r="I89" i="8" s="1"/>
  <c r="I65" i="8" s="1"/>
  <c r="I41" i="8" s="1"/>
  <c r="I17" i="8" s="1"/>
  <c r="B758" i="8"/>
  <c r="B734" i="8" s="1"/>
  <c r="B710" i="8" s="1"/>
  <c r="B686" i="8" s="1"/>
  <c r="B662" i="8" s="1"/>
  <c r="B638" i="8" s="1"/>
  <c r="B614" i="8" s="1"/>
  <c r="B590" i="8" s="1"/>
  <c r="B566" i="8" s="1"/>
  <c r="B542" i="8" s="1"/>
  <c r="B518" i="8" s="1"/>
  <c r="B494" i="8" s="1"/>
  <c r="B470" i="8" s="1"/>
  <c r="B446" i="8" s="1"/>
  <c r="B422" i="8" s="1"/>
  <c r="B398" i="8" s="1"/>
  <c r="B374" i="8" s="1"/>
  <c r="B350" i="8" s="1"/>
  <c r="B326" i="8" s="1"/>
  <c r="B302" i="8" s="1"/>
  <c r="B278" i="8" s="1"/>
  <c r="B254" i="8" s="1"/>
  <c r="B230" i="8" s="1"/>
  <c r="B206" i="8" s="1"/>
  <c r="B182" i="8" s="1"/>
  <c r="B158" i="8" s="1"/>
  <c r="B134" i="8" s="1"/>
  <c r="B110" i="8" s="1"/>
  <c r="B86" i="8" s="1"/>
  <c r="B62" i="8" s="1"/>
  <c r="B38" i="8" s="1"/>
  <c r="B14" i="8" s="1"/>
  <c r="I747" i="8"/>
  <c r="I723" i="8" s="1"/>
  <c r="I699" i="8" s="1"/>
  <c r="I675" i="8" s="1"/>
  <c r="I651" i="8" s="1"/>
  <c r="I627" i="8" s="1"/>
  <c r="I603" i="8" s="1"/>
  <c r="I579" i="8" s="1"/>
  <c r="I555" i="8" s="1"/>
  <c r="I531" i="8" s="1"/>
  <c r="I507" i="8" s="1"/>
  <c r="I483" i="8" s="1"/>
  <c r="I459" i="8" s="1"/>
  <c r="I435" i="8" s="1"/>
  <c r="I411" i="8" s="1"/>
  <c r="I387" i="8" s="1"/>
  <c r="I363" i="8" s="1"/>
  <c r="I339" i="8" s="1"/>
  <c r="I315" i="8" s="1"/>
  <c r="I291" i="8" s="1"/>
  <c r="I267" i="8" s="1"/>
  <c r="I243" i="8" s="1"/>
  <c r="I219" i="8" s="1"/>
  <c r="I195" i="8" s="1"/>
  <c r="I171" i="8" s="1"/>
  <c r="I147" i="8" s="1"/>
  <c r="I123" i="8" s="1"/>
  <c r="I99" i="8" s="1"/>
  <c r="I75" i="8" s="1"/>
  <c r="I51" i="8" s="1"/>
  <c r="I27" i="8" s="1"/>
  <c r="I3" i="8" s="1"/>
  <c r="H747" i="8"/>
  <c r="H723" i="8" s="1"/>
  <c r="H699" i="8" s="1"/>
  <c r="H675" i="8" s="1"/>
  <c r="H651" i="8" s="1"/>
  <c r="H627" i="8" s="1"/>
  <c r="H603" i="8" s="1"/>
  <c r="H579" i="8" s="1"/>
  <c r="H555" i="8" s="1"/>
  <c r="H531" i="8" s="1"/>
  <c r="H507" i="8" s="1"/>
  <c r="H483" i="8" s="1"/>
  <c r="H459" i="8" s="1"/>
  <c r="H435" i="8" s="1"/>
  <c r="H411" i="8" s="1"/>
  <c r="H387" i="8" s="1"/>
  <c r="H363" i="8" s="1"/>
  <c r="H339" i="8" s="1"/>
  <c r="H315" i="8" s="1"/>
  <c r="H291" i="8" s="1"/>
  <c r="H267" i="8" s="1"/>
  <c r="H243" i="8" s="1"/>
  <c r="H219" i="8" s="1"/>
  <c r="H195" i="8" s="1"/>
  <c r="H171" i="8" s="1"/>
  <c r="H147" i="8" s="1"/>
  <c r="H123" i="8" s="1"/>
  <c r="H99" i="8" s="1"/>
  <c r="H75" i="8" s="1"/>
  <c r="H51" i="8" s="1"/>
  <c r="H27" i="8" s="1"/>
  <c r="H3" i="8" s="1"/>
  <c r="H742" i="8"/>
  <c r="H718" i="8" s="1"/>
  <c r="H694" i="8" s="1"/>
  <c r="H670" i="8" s="1"/>
  <c r="H646" i="8" s="1"/>
  <c r="H622" i="8" s="1"/>
  <c r="H598" i="8" s="1"/>
  <c r="H574" i="8" s="1"/>
  <c r="H550" i="8" s="1"/>
  <c r="H526" i="8" s="1"/>
  <c r="H502" i="8" s="1"/>
  <c r="H478" i="8" s="1"/>
  <c r="H454" i="8" s="1"/>
  <c r="H430" i="8" s="1"/>
  <c r="H406" i="8" s="1"/>
  <c r="H382" i="8" s="1"/>
  <c r="H358" i="8" s="1"/>
  <c r="H334" i="8" s="1"/>
  <c r="H310" i="8" s="1"/>
  <c r="H286" i="8" s="1"/>
  <c r="H262" i="8" s="1"/>
  <c r="H238" i="8" s="1"/>
  <c r="H214" i="8" s="1"/>
  <c r="H190" i="8" s="1"/>
  <c r="H166" i="8" s="1"/>
  <c r="H142" i="8" s="1"/>
  <c r="H118" i="8" s="1"/>
  <c r="H94" i="8" s="1"/>
  <c r="H70" i="8" s="1"/>
  <c r="H46" i="8" s="1"/>
  <c r="H22" i="8" s="1"/>
  <c r="G742" i="8"/>
  <c r="G718" i="8" s="1"/>
  <c r="G694" i="8" s="1"/>
  <c r="G670" i="8" s="1"/>
  <c r="G646" i="8" s="1"/>
  <c r="G622" i="8" s="1"/>
  <c r="G598" i="8" s="1"/>
  <c r="G574" i="8" s="1"/>
  <c r="G550" i="8" s="1"/>
  <c r="G526" i="8" s="1"/>
  <c r="G502" i="8" s="1"/>
  <c r="G478" i="8" s="1"/>
  <c r="G454" i="8" s="1"/>
  <c r="G430" i="8" s="1"/>
  <c r="G406" i="8" s="1"/>
  <c r="G382" i="8" s="1"/>
  <c r="G358" i="8" s="1"/>
  <c r="G334" i="8" s="1"/>
  <c r="G310" i="8" s="1"/>
  <c r="G286" i="8" s="1"/>
  <c r="G262" i="8" s="1"/>
  <c r="G238" i="8" s="1"/>
  <c r="G214" i="8" s="1"/>
  <c r="G190" i="8" s="1"/>
  <c r="G166" i="8" s="1"/>
  <c r="G142" i="8" s="1"/>
  <c r="G118" i="8" s="1"/>
  <c r="G94" i="8" s="1"/>
  <c r="G70" i="8" s="1"/>
  <c r="G46" i="8" s="1"/>
  <c r="G22" i="8" s="1"/>
  <c r="I729" i="8"/>
  <c r="I705" i="8" s="1"/>
  <c r="I681" i="8" s="1"/>
  <c r="I657" i="8" s="1"/>
  <c r="I633" i="8" s="1"/>
  <c r="I609" i="8" s="1"/>
  <c r="I585" i="8" s="1"/>
  <c r="I561" i="8" s="1"/>
  <c r="I537" i="8" s="1"/>
  <c r="I513" i="8" s="1"/>
  <c r="I489" i="8" s="1"/>
  <c r="I465" i="8" s="1"/>
  <c r="I441" i="8" s="1"/>
  <c r="I417" i="8" s="1"/>
  <c r="I393" i="8" s="1"/>
  <c r="I369" i="8" s="1"/>
  <c r="I345" i="8" s="1"/>
  <c r="I321" i="8" s="1"/>
  <c r="I297" i="8" s="1"/>
  <c r="I273" i="8" s="1"/>
  <c r="I249" i="8" s="1"/>
  <c r="I225" i="8" s="1"/>
  <c r="I201" i="8" s="1"/>
  <c r="I177" i="8" s="1"/>
  <c r="I153" i="8" s="1"/>
  <c r="I129" i="8" s="1"/>
  <c r="I105" i="8" s="1"/>
  <c r="I81" i="8" s="1"/>
  <c r="I57" i="8" s="1"/>
  <c r="I33" i="8" s="1"/>
  <c r="I9" i="8" s="1"/>
  <c r="H729" i="8"/>
  <c r="H705" i="8" s="1"/>
  <c r="H681" i="8" s="1"/>
  <c r="H657" i="8" s="1"/>
  <c r="H633" i="8" s="1"/>
  <c r="H609" i="8" s="1"/>
  <c r="H585" i="8" s="1"/>
  <c r="H561" i="8" s="1"/>
  <c r="H537" i="8" s="1"/>
  <c r="H513" i="8" s="1"/>
  <c r="H489" i="8" s="1"/>
  <c r="H465" i="8" s="1"/>
  <c r="H441" i="8" s="1"/>
  <c r="H417" i="8" s="1"/>
  <c r="H393" i="8" s="1"/>
  <c r="H369" i="8" s="1"/>
  <c r="H345" i="8" s="1"/>
  <c r="H321" i="8" s="1"/>
  <c r="H297" i="8" s="1"/>
  <c r="H273" i="8" s="1"/>
  <c r="H249" i="8" s="1"/>
  <c r="H225" i="8" s="1"/>
  <c r="H201" i="8" s="1"/>
  <c r="H177" i="8" s="1"/>
  <c r="H153" i="8" s="1"/>
  <c r="H129" i="8" s="1"/>
  <c r="H105" i="8" s="1"/>
  <c r="H81" i="8" s="1"/>
  <c r="H57" i="8" s="1"/>
  <c r="H33" i="8" s="1"/>
  <c r="H9" i="8" s="1"/>
  <c r="B724" i="8"/>
  <c r="B700" i="8" s="1"/>
  <c r="B676" i="8" s="1"/>
  <c r="B652" i="8" s="1"/>
  <c r="B628" i="8" s="1"/>
  <c r="B604" i="8" s="1"/>
  <c r="B580" i="8" s="1"/>
  <c r="B556" i="8" s="1"/>
  <c r="B532" i="8" s="1"/>
  <c r="B508" i="8" s="1"/>
  <c r="B484" i="8" s="1"/>
  <c r="B460" i="8" s="1"/>
  <c r="B436" i="8" s="1"/>
  <c r="B412" i="8" s="1"/>
  <c r="B388" i="8" s="1"/>
  <c r="B364" i="8" s="1"/>
  <c r="B340" i="8" s="1"/>
  <c r="B316" i="8" s="1"/>
  <c r="B292" i="8" s="1"/>
  <c r="B268" i="8" s="1"/>
  <c r="B244" i="8" s="1"/>
  <c r="B220" i="8" s="1"/>
  <c r="B196" i="8" s="1"/>
  <c r="B172" i="8" s="1"/>
  <c r="B148" i="8" s="1"/>
  <c r="B124" i="8" s="1"/>
  <c r="B100" i="8" s="1"/>
  <c r="B76" i="8" s="1"/>
  <c r="B52" i="8" s="1"/>
  <c r="B28" i="8" s="1"/>
  <c r="B4" i="8" s="1"/>
  <c r="I721" i="8"/>
  <c r="I697" i="8" s="1"/>
  <c r="I673" i="8" s="1"/>
  <c r="I649" i="8" s="1"/>
  <c r="I625" i="8" s="1"/>
  <c r="I601" i="8" s="1"/>
  <c r="I577" i="8" s="1"/>
  <c r="H721" i="8"/>
  <c r="H697" i="8" s="1"/>
  <c r="H673" i="8" s="1"/>
  <c r="H649" i="8" s="1"/>
  <c r="H625" i="8" s="1"/>
  <c r="H601" i="8" s="1"/>
  <c r="H577" i="8" s="1"/>
  <c r="H553" i="8" s="1"/>
  <c r="H529" i="8" s="1"/>
  <c r="H505" i="8" s="1"/>
  <c r="H481" i="8" s="1"/>
  <c r="H457" i="8" s="1"/>
  <c r="H433" i="8" s="1"/>
  <c r="H409" i="8" s="1"/>
  <c r="H385" i="8" s="1"/>
  <c r="H361" i="8" s="1"/>
  <c r="H337" i="8" s="1"/>
  <c r="H313" i="8" s="1"/>
  <c r="H289" i="8" s="1"/>
  <c r="H265" i="8" s="1"/>
  <c r="H241" i="8" s="1"/>
  <c r="H217" i="8" s="1"/>
  <c r="H193" i="8" s="1"/>
  <c r="H169" i="8" s="1"/>
  <c r="H145" i="8" s="1"/>
  <c r="H121" i="8" s="1"/>
  <c r="H97" i="8" s="1"/>
  <c r="H73" i="8" s="1"/>
  <c r="H49" i="8" s="1"/>
  <c r="H25" i="8" s="1"/>
  <c r="I695" i="8"/>
  <c r="I671" i="8" s="1"/>
  <c r="I647" i="8" s="1"/>
  <c r="I623" i="8" s="1"/>
  <c r="I599" i="8" s="1"/>
  <c r="I575" i="8" s="1"/>
  <c r="I551" i="8" s="1"/>
  <c r="I527" i="8" s="1"/>
  <c r="I503" i="8" s="1"/>
  <c r="I479" i="8" s="1"/>
  <c r="I455" i="8" s="1"/>
  <c r="I431" i="8" s="1"/>
  <c r="I407" i="8" s="1"/>
  <c r="I383" i="8" s="1"/>
  <c r="I359" i="8" s="1"/>
  <c r="I335" i="8" s="1"/>
  <c r="I311" i="8" s="1"/>
  <c r="I287" i="8" s="1"/>
  <c r="I263" i="8" s="1"/>
  <c r="I239" i="8" s="1"/>
  <c r="I215" i="8" s="1"/>
  <c r="I191" i="8" s="1"/>
  <c r="I167" i="8" s="1"/>
  <c r="I143" i="8" s="1"/>
  <c r="I119" i="8" s="1"/>
  <c r="I95" i="8" s="1"/>
  <c r="I71" i="8" s="1"/>
  <c r="I47" i="8" s="1"/>
  <c r="I23" i="8" s="1"/>
  <c r="B695" i="8"/>
  <c r="B671" i="8" s="1"/>
  <c r="B694" i="8"/>
  <c r="B670" i="8" s="1"/>
  <c r="B646" i="8" s="1"/>
  <c r="B622" i="8" s="1"/>
  <c r="B598" i="8" s="1"/>
  <c r="B574" i="8" s="1"/>
  <c r="B550" i="8" s="1"/>
  <c r="B526" i="8" s="1"/>
  <c r="B502" i="8" s="1"/>
  <c r="B478" i="8" s="1"/>
  <c r="B454" i="8" s="1"/>
  <c r="B430" i="8" s="1"/>
  <c r="B406" i="8" s="1"/>
  <c r="B382" i="8" s="1"/>
  <c r="B358" i="8" s="1"/>
  <c r="B334" i="8" s="1"/>
  <c r="B310" i="8" s="1"/>
  <c r="B286" i="8" s="1"/>
  <c r="B262" i="8" s="1"/>
  <c r="B238" i="8" s="1"/>
  <c r="B214" i="8" s="1"/>
  <c r="B190" i="8" s="1"/>
  <c r="B166" i="8" s="1"/>
  <c r="B142" i="8" s="1"/>
  <c r="B118" i="8" s="1"/>
  <c r="B94" i="8" s="1"/>
  <c r="B70" i="8" s="1"/>
  <c r="B46" i="8" s="1"/>
  <c r="B22" i="8" s="1"/>
  <c r="H693" i="8"/>
  <c r="H669" i="8" s="1"/>
  <c r="H645" i="8" s="1"/>
  <c r="H621" i="8" s="1"/>
  <c r="H597" i="8" s="1"/>
  <c r="H573" i="8" s="1"/>
  <c r="H549" i="8" s="1"/>
  <c r="H525" i="8" s="1"/>
  <c r="H501" i="8" s="1"/>
  <c r="H477" i="8" s="1"/>
  <c r="H453" i="8" s="1"/>
  <c r="H429" i="8" s="1"/>
  <c r="H405" i="8" s="1"/>
  <c r="H381" i="8" s="1"/>
  <c r="H357" i="8" s="1"/>
  <c r="H333" i="8" s="1"/>
  <c r="H309" i="8" s="1"/>
  <c r="H285" i="8" s="1"/>
  <c r="H261" i="8" s="1"/>
  <c r="H237" i="8" s="1"/>
  <c r="H213" i="8" s="1"/>
  <c r="H189" i="8" s="1"/>
  <c r="H165" i="8" s="1"/>
  <c r="H141" i="8" s="1"/>
  <c r="H117" i="8" s="1"/>
  <c r="H93" i="8" s="1"/>
  <c r="H69" i="8" s="1"/>
  <c r="H45" i="8" s="1"/>
  <c r="H21" i="8" s="1"/>
  <c r="I683" i="8"/>
  <c r="I659" i="8"/>
  <c r="I635" i="8" s="1"/>
  <c r="I611" i="8" s="1"/>
  <c r="I587" i="8" s="1"/>
  <c r="I563" i="8" s="1"/>
  <c r="I539" i="8" s="1"/>
  <c r="I515" i="8" s="1"/>
  <c r="I491" i="8" s="1"/>
  <c r="I467" i="8" s="1"/>
  <c r="I443" i="8" s="1"/>
  <c r="I419" i="8" s="1"/>
  <c r="I395" i="8" s="1"/>
  <c r="I371" i="8" s="1"/>
  <c r="I347" i="8" s="1"/>
  <c r="I323" i="8" s="1"/>
  <c r="I299" i="8" s="1"/>
  <c r="I275" i="8" s="1"/>
  <c r="I251" i="8" s="1"/>
  <c r="I227" i="8" s="1"/>
  <c r="I203" i="8" s="1"/>
  <c r="I179" i="8" s="1"/>
  <c r="I155" i="8" s="1"/>
  <c r="I131" i="8" s="1"/>
  <c r="I107" i="8" s="1"/>
  <c r="I83" i="8" s="1"/>
  <c r="I59" i="8" s="1"/>
  <c r="I35" i="8" s="1"/>
  <c r="I11" i="8" s="1"/>
  <c r="B658" i="8"/>
  <c r="B634" i="8" s="1"/>
  <c r="B610" i="8" s="1"/>
  <c r="B586" i="8" s="1"/>
  <c r="B562" i="8" s="1"/>
  <c r="B538" i="8" s="1"/>
  <c r="B514" i="8" s="1"/>
  <c r="B490" i="8" s="1"/>
  <c r="B466" i="8" s="1"/>
  <c r="B442" i="8" s="1"/>
  <c r="B418" i="8" s="1"/>
  <c r="B394" i="8" s="1"/>
  <c r="B370" i="8" s="1"/>
  <c r="B346" i="8" s="1"/>
  <c r="B322" i="8" s="1"/>
  <c r="B298" i="8" s="1"/>
  <c r="B274" i="8" s="1"/>
  <c r="B250" i="8" s="1"/>
  <c r="B226" i="8" s="1"/>
  <c r="B202" i="8" s="1"/>
  <c r="B178" i="8" s="1"/>
  <c r="B154" i="8" s="1"/>
  <c r="B130" i="8" s="1"/>
  <c r="B106" i="8" s="1"/>
  <c r="H655" i="8"/>
  <c r="H631" i="8" s="1"/>
  <c r="H607" i="8" s="1"/>
  <c r="H583" i="8" s="1"/>
  <c r="H559" i="8" s="1"/>
  <c r="H535" i="8" s="1"/>
  <c r="H511" i="8" s="1"/>
  <c r="H487" i="8" s="1"/>
  <c r="H463" i="8" s="1"/>
  <c r="H439" i="8" s="1"/>
  <c r="H415" i="8" s="1"/>
  <c r="H391" i="8" s="1"/>
  <c r="H367" i="8" s="1"/>
  <c r="H343" i="8" s="1"/>
  <c r="H319" i="8" s="1"/>
  <c r="H295" i="8" s="1"/>
  <c r="H271" i="8" s="1"/>
  <c r="H247" i="8" s="1"/>
  <c r="H223" i="8" s="1"/>
  <c r="H199" i="8" s="1"/>
  <c r="H175" i="8" s="1"/>
  <c r="H151" i="8" s="1"/>
  <c r="H127" i="8" s="1"/>
  <c r="H103" i="8" s="1"/>
  <c r="H79" i="8" s="1"/>
  <c r="H55" i="8" s="1"/>
  <c r="H31" i="8" s="1"/>
  <c r="H7" i="8" s="1"/>
  <c r="B647" i="8"/>
  <c r="B623" i="8" s="1"/>
  <c r="B599" i="8" s="1"/>
  <c r="B575" i="8" s="1"/>
  <c r="B551" i="8" s="1"/>
  <c r="B527" i="8" s="1"/>
  <c r="B503" i="8" s="1"/>
  <c r="B479" i="8" s="1"/>
  <c r="B455" i="8" s="1"/>
  <c r="B431" i="8" s="1"/>
  <c r="B407" i="8" s="1"/>
  <c r="B383" i="8" s="1"/>
  <c r="B359" i="8" s="1"/>
  <c r="B335" i="8" s="1"/>
  <c r="B311" i="8" s="1"/>
  <c r="B287" i="8" s="1"/>
  <c r="B263" i="8" s="1"/>
  <c r="B239" i="8" s="1"/>
  <c r="B215" i="8" s="1"/>
  <c r="B191" i="8" s="1"/>
  <c r="B167" i="8" s="1"/>
  <c r="B143" i="8" s="1"/>
  <c r="B119" i="8" s="1"/>
  <c r="B95" i="8" s="1"/>
  <c r="B71" i="8" s="1"/>
  <c r="B47" i="8" s="1"/>
  <c r="B23" i="8" s="1"/>
  <c r="C639" i="8"/>
  <c r="C615" i="8" s="1"/>
  <c r="C591" i="8" s="1"/>
  <c r="C567" i="8" s="1"/>
  <c r="C543" i="8" s="1"/>
  <c r="C519" i="8" s="1"/>
  <c r="C495" i="8" s="1"/>
  <c r="C471" i="8" s="1"/>
  <c r="C447" i="8" s="1"/>
  <c r="C423" i="8" s="1"/>
  <c r="C399" i="8" s="1"/>
  <c r="C375" i="8" s="1"/>
  <c r="C351" i="8" s="1"/>
  <c r="C327" i="8" s="1"/>
  <c r="C303" i="8" s="1"/>
  <c r="C279" i="8" s="1"/>
  <c r="C255" i="8" s="1"/>
  <c r="C231" i="8" s="1"/>
  <c r="C207" i="8" s="1"/>
  <c r="C183" i="8" s="1"/>
  <c r="C159" i="8" s="1"/>
  <c r="C135" i="8" s="1"/>
  <c r="C111" i="8" s="1"/>
  <c r="C87" i="8" s="1"/>
  <c r="C63" i="8" s="1"/>
  <c r="C39" i="8" s="1"/>
  <c r="C15" i="8" s="1"/>
  <c r="B636" i="8"/>
  <c r="B612" i="8" s="1"/>
  <c r="B588" i="8" s="1"/>
  <c r="B564" i="8" s="1"/>
  <c r="B540" i="8" s="1"/>
  <c r="B516" i="8" s="1"/>
  <c r="B492" i="8" s="1"/>
  <c r="B468" i="8" s="1"/>
  <c r="B444" i="8" s="1"/>
  <c r="B420" i="8" s="1"/>
  <c r="B396" i="8" s="1"/>
  <c r="B372" i="8" s="1"/>
  <c r="B348" i="8" s="1"/>
  <c r="B324" i="8" s="1"/>
  <c r="B300" i="8" s="1"/>
  <c r="B276" i="8" s="1"/>
  <c r="B252" i="8" s="1"/>
  <c r="B228" i="8" s="1"/>
  <c r="B204" i="8" s="1"/>
  <c r="B180" i="8" s="1"/>
  <c r="B156" i="8" s="1"/>
  <c r="B132" i="8" s="1"/>
  <c r="B108" i="8" s="1"/>
  <c r="B84" i="8" s="1"/>
  <c r="B60" i="8" s="1"/>
  <c r="B36" i="8" s="1"/>
  <c r="B12" i="8" s="1"/>
  <c r="H581" i="8"/>
  <c r="H557" i="8" s="1"/>
  <c r="H533" i="8" s="1"/>
  <c r="H509" i="8" s="1"/>
  <c r="H485" i="8" s="1"/>
  <c r="H461" i="8" s="1"/>
  <c r="H437" i="8" s="1"/>
  <c r="H413" i="8" s="1"/>
  <c r="H389" i="8" s="1"/>
  <c r="H365" i="8" s="1"/>
  <c r="H341" i="8" s="1"/>
  <c r="H317" i="8" s="1"/>
  <c r="H293" i="8" s="1"/>
  <c r="H269" i="8" s="1"/>
  <c r="H245" i="8" s="1"/>
  <c r="H221" i="8" s="1"/>
  <c r="H197" i="8" s="1"/>
  <c r="H173" i="8" s="1"/>
  <c r="H149" i="8" s="1"/>
  <c r="H125" i="8" s="1"/>
  <c r="H101" i="8" s="1"/>
  <c r="H77" i="8" s="1"/>
  <c r="H53" i="8" s="1"/>
  <c r="H29" i="8" s="1"/>
  <c r="H5" i="8" s="1"/>
  <c r="B560" i="8"/>
  <c r="B536" i="8" s="1"/>
  <c r="B512" i="8" s="1"/>
  <c r="B488" i="8" s="1"/>
  <c r="B464" i="8" s="1"/>
  <c r="B440" i="8" s="1"/>
  <c r="B416" i="8" s="1"/>
  <c r="B392" i="8" s="1"/>
  <c r="B368" i="8" s="1"/>
  <c r="B344" i="8" s="1"/>
  <c r="B320" i="8" s="1"/>
  <c r="B296" i="8" s="1"/>
  <c r="B272" i="8" s="1"/>
  <c r="B248" i="8" s="1"/>
  <c r="B224" i="8" s="1"/>
  <c r="B200" i="8" s="1"/>
  <c r="B176" i="8" s="1"/>
  <c r="B152" i="8" s="1"/>
  <c r="B128" i="8" s="1"/>
  <c r="B104" i="8" s="1"/>
  <c r="B80" i="8" s="1"/>
  <c r="B56" i="8" s="1"/>
  <c r="B32" i="8" s="1"/>
  <c r="B8" i="8" s="1"/>
  <c r="I553" i="8"/>
  <c r="I529" i="8" s="1"/>
  <c r="I505" i="8" s="1"/>
  <c r="I481" i="8" s="1"/>
  <c r="I457" i="8" s="1"/>
  <c r="I433" i="8" s="1"/>
  <c r="I409" i="8" s="1"/>
  <c r="I385" i="8" s="1"/>
  <c r="I361" i="8" s="1"/>
  <c r="I337" i="8" s="1"/>
  <c r="I313" i="8" s="1"/>
  <c r="I289" i="8" s="1"/>
  <c r="I265" i="8" s="1"/>
  <c r="I241" i="8" s="1"/>
  <c r="I217" i="8" s="1"/>
  <c r="I193" i="8" s="1"/>
  <c r="I169" i="8" s="1"/>
  <c r="I145" i="8" s="1"/>
  <c r="I121" i="8" s="1"/>
  <c r="I97" i="8" s="1"/>
  <c r="I73" i="8" s="1"/>
  <c r="I49" i="8" s="1"/>
  <c r="I25" i="8" s="1"/>
  <c r="C553" i="8"/>
  <c r="C529" i="8" s="1"/>
  <c r="C505" i="8" s="1"/>
  <c r="C481" i="8" s="1"/>
  <c r="C457" i="8" s="1"/>
  <c r="C433" i="8" s="1"/>
  <c r="C409" i="8" s="1"/>
  <c r="C385" i="8" s="1"/>
  <c r="C361" i="8" s="1"/>
  <c r="C337" i="8" s="1"/>
  <c r="C313" i="8" s="1"/>
  <c r="C289" i="8" s="1"/>
  <c r="C265" i="8" s="1"/>
  <c r="C241" i="8" s="1"/>
  <c r="C217" i="8" s="1"/>
  <c r="C193" i="8" s="1"/>
  <c r="C169" i="8" s="1"/>
  <c r="C145" i="8" s="1"/>
  <c r="C121" i="8" s="1"/>
  <c r="C97" i="8" s="1"/>
  <c r="C73" i="8" s="1"/>
  <c r="C49" i="8" s="1"/>
  <c r="C25" i="8" s="1"/>
  <c r="C499" i="8"/>
  <c r="C475" i="8" s="1"/>
  <c r="C451" i="8" s="1"/>
  <c r="C427" i="8" s="1"/>
  <c r="C403" i="8" s="1"/>
  <c r="C379" i="8" s="1"/>
  <c r="C355" i="8" s="1"/>
  <c r="C331" i="8" s="1"/>
  <c r="C307" i="8" s="1"/>
  <c r="C283" i="8" s="1"/>
  <c r="C259" i="8" s="1"/>
  <c r="C235" i="8" s="1"/>
  <c r="C211" i="8" s="1"/>
  <c r="C187" i="8" s="1"/>
  <c r="C163" i="8" s="1"/>
  <c r="C139" i="8" s="1"/>
  <c r="C115" i="8" s="1"/>
  <c r="C91" i="8" s="1"/>
  <c r="C67" i="8" s="1"/>
  <c r="C43" i="8" s="1"/>
  <c r="C19" i="8" s="1"/>
  <c r="C497" i="8"/>
  <c r="C473" i="8" s="1"/>
  <c r="C449" i="8" s="1"/>
  <c r="C425" i="8" s="1"/>
  <c r="C401" i="8" s="1"/>
  <c r="C377" i="8" s="1"/>
  <c r="C353" i="8" s="1"/>
  <c r="C329" i="8" s="1"/>
  <c r="C305" i="8" s="1"/>
  <c r="C281" i="8" s="1"/>
  <c r="C257" i="8" s="1"/>
  <c r="C233" i="8" s="1"/>
  <c r="C209" i="8" s="1"/>
  <c r="C185" i="8" s="1"/>
  <c r="C161" i="8" s="1"/>
  <c r="C137" i="8" s="1"/>
  <c r="C113" i="8" s="1"/>
  <c r="C89" i="8" s="1"/>
  <c r="C65" i="8" s="1"/>
  <c r="C41" i="8" s="1"/>
  <c r="C17" i="8" s="1"/>
  <c r="H472" i="8"/>
  <c r="H448" i="8" s="1"/>
  <c r="H424" i="8" s="1"/>
  <c r="H400" i="8" s="1"/>
  <c r="H376" i="8" s="1"/>
  <c r="H352" i="8" s="1"/>
  <c r="H328" i="8" s="1"/>
  <c r="H304" i="8" s="1"/>
  <c r="H280" i="8" s="1"/>
  <c r="H256" i="8" s="1"/>
  <c r="H232" i="8" s="1"/>
  <c r="H208" i="8" s="1"/>
  <c r="H184" i="8" s="1"/>
  <c r="H160" i="8" s="1"/>
  <c r="H136" i="8" s="1"/>
  <c r="H112" i="8" s="1"/>
  <c r="H88" i="8" s="1"/>
  <c r="H64" i="8" s="1"/>
  <c r="H40" i="8" s="1"/>
  <c r="H16" i="8" s="1"/>
  <c r="H471" i="8"/>
  <c r="H447" i="8" s="1"/>
  <c r="H423" i="8" s="1"/>
  <c r="H399" i="8" s="1"/>
  <c r="H375" i="8" s="1"/>
  <c r="H351" i="8" s="1"/>
  <c r="H327" i="8" s="1"/>
  <c r="H303" i="8" s="1"/>
  <c r="H279" i="8" s="1"/>
  <c r="H255" i="8" s="1"/>
  <c r="H231" i="8" s="1"/>
  <c r="H207" i="8" s="1"/>
  <c r="H183" i="8" s="1"/>
  <c r="H159" i="8" s="1"/>
  <c r="H135" i="8" s="1"/>
  <c r="H111" i="8" s="1"/>
  <c r="H87" i="8" s="1"/>
  <c r="H63" i="8" s="1"/>
  <c r="H39" i="8" s="1"/>
  <c r="H15" i="8" s="1"/>
  <c r="K465" i="8"/>
  <c r="K441" i="8" s="1"/>
  <c r="K417" i="8" s="1"/>
  <c r="K393" i="8" s="1"/>
  <c r="K369" i="8" s="1"/>
  <c r="K345" i="8" s="1"/>
  <c r="K321" i="8" s="1"/>
  <c r="K297" i="8" s="1"/>
  <c r="K273" i="8" s="1"/>
  <c r="K249" i="8" s="1"/>
  <c r="K225" i="8" s="1"/>
  <c r="K201" i="8" s="1"/>
  <c r="K177" i="8" s="1"/>
  <c r="K153" i="8" s="1"/>
  <c r="K129" i="8" s="1"/>
  <c r="K105" i="8" s="1"/>
  <c r="K81" i="8" s="1"/>
  <c r="K57" i="8" s="1"/>
  <c r="K33" i="8" s="1"/>
  <c r="K9" i="8" s="1"/>
  <c r="C461" i="8"/>
  <c r="C437" i="8" s="1"/>
  <c r="C413" i="8" s="1"/>
  <c r="C389" i="8" s="1"/>
  <c r="C365" i="8" s="1"/>
  <c r="C341" i="8" s="1"/>
  <c r="C317" i="8" s="1"/>
  <c r="C293" i="8" s="1"/>
  <c r="C269" i="8" s="1"/>
  <c r="C245" i="8" s="1"/>
  <c r="C221" i="8" s="1"/>
  <c r="C197" i="8" s="1"/>
  <c r="C173" i="8" s="1"/>
  <c r="C149" i="8" s="1"/>
  <c r="C125" i="8" s="1"/>
  <c r="C101" i="8" s="1"/>
  <c r="C77" i="8" s="1"/>
  <c r="C53" i="8" s="1"/>
  <c r="C29" i="8" s="1"/>
  <c r="C5" i="8" s="1"/>
  <c r="K355" i="8"/>
  <c r="K331" i="8" s="1"/>
  <c r="K307" i="8" s="1"/>
  <c r="K283" i="8" s="1"/>
  <c r="K259" i="8" s="1"/>
  <c r="K235" i="8" s="1"/>
  <c r="K211" i="8" s="1"/>
  <c r="K187" i="8" s="1"/>
  <c r="K163" i="8" s="1"/>
  <c r="K139" i="8" s="1"/>
  <c r="K115" i="8" s="1"/>
  <c r="K91" i="8" s="1"/>
  <c r="K67" i="8" s="1"/>
  <c r="K43" i="8" s="1"/>
  <c r="K19" i="8" s="1"/>
  <c r="K269" i="8"/>
  <c r="K245" i="8" s="1"/>
  <c r="K221" i="8" s="1"/>
  <c r="K197" i="8" s="1"/>
  <c r="K173" i="8" s="1"/>
  <c r="K149" i="8" s="1"/>
  <c r="K125" i="8" s="1"/>
  <c r="K101" i="8" s="1"/>
  <c r="K77" i="8" s="1"/>
  <c r="K53" i="8" s="1"/>
  <c r="K29" i="8" s="1"/>
  <c r="K5" i="8" s="1"/>
  <c r="B82" i="8"/>
  <c r="B58" i="8" s="1"/>
  <c r="B34" i="8" s="1"/>
  <c r="B10" i="8"/>
  <c r="N818" i="8"/>
  <c r="Q818" i="8"/>
  <c r="T818" i="8"/>
  <c r="C818" i="8"/>
  <c r="C794" i="8" s="1"/>
  <c r="C770" i="8" s="1"/>
  <c r="C746" i="8" s="1"/>
  <c r="C722" i="8" s="1"/>
  <c r="C698" i="8" s="1"/>
  <c r="C674" i="8" s="1"/>
  <c r="C650" i="8" s="1"/>
  <c r="C626" i="8" s="1"/>
  <c r="C602" i="8" s="1"/>
  <c r="C578" i="8" s="1"/>
  <c r="C554" i="8" s="1"/>
  <c r="C530" i="8" s="1"/>
  <c r="C506" i="8" s="1"/>
  <c r="C482" i="8" s="1"/>
  <c r="C458" i="8" s="1"/>
  <c r="C434" i="8" s="1"/>
  <c r="C410" i="8" s="1"/>
  <c r="C386" i="8" s="1"/>
  <c r="C362" i="8" s="1"/>
  <c r="C338" i="8" s="1"/>
  <c r="C314" i="8" s="1"/>
  <c r="C290" i="8" s="1"/>
  <c r="C266" i="8" s="1"/>
  <c r="C242" i="8" s="1"/>
  <c r="C218" i="8" s="1"/>
  <c r="C194" i="8" s="1"/>
  <c r="C170" i="8" s="1"/>
  <c r="C146" i="8" s="1"/>
  <c r="C122" i="8" s="1"/>
  <c r="C98" i="8" s="1"/>
  <c r="C74" i="8" s="1"/>
  <c r="C50" i="8" s="1"/>
  <c r="C26" i="8" s="1"/>
  <c r="G818" i="8"/>
  <c r="H818" i="8"/>
  <c r="I818" i="8"/>
  <c r="K818" i="8"/>
  <c r="B818" i="8"/>
  <c r="B794" i="8" s="1"/>
  <c r="B770" i="8" s="1"/>
  <c r="B746" i="8" s="1"/>
  <c r="B722" i="8" s="1"/>
  <c r="B698" i="8" s="1"/>
  <c r="B674" i="8" s="1"/>
  <c r="B650" i="8" s="1"/>
  <c r="B626" i="8" s="1"/>
  <c r="B602" i="8" s="1"/>
  <c r="B578" i="8" s="1"/>
  <c r="B554" i="8" s="1"/>
  <c r="B530" i="8" s="1"/>
  <c r="B506" i="8" s="1"/>
  <c r="B482" i="8" s="1"/>
  <c r="B458" i="8" s="1"/>
  <c r="B434" i="8" s="1"/>
  <c r="B410" i="8" s="1"/>
  <c r="B386" i="8" s="1"/>
  <c r="B362" i="8" s="1"/>
  <c r="B338" i="8" s="1"/>
  <c r="B314" i="8" s="1"/>
  <c r="B290" i="8" s="1"/>
  <c r="B266" i="8" s="1"/>
  <c r="B242" i="8" s="1"/>
  <c r="B218" i="8" s="1"/>
  <c r="B194" i="8" s="1"/>
  <c r="B170" i="8" s="1"/>
  <c r="B146" i="8" s="1"/>
  <c r="B122" i="8" s="1"/>
  <c r="B98" i="8" s="1"/>
  <c r="B74" i="8" s="1"/>
  <c r="B50" i="8" s="1"/>
  <c r="B26" i="8" s="1"/>
  <c r="A818" i="8"/>
  <c r="D15" i="1"/>
  <c r="D16" i="1" s="1"/>
  <c r="H2211" i="8"/>
  <c r="H2235" i="8" s="1"/>
  <c r="H2259" i="8" s="1"/>
  <c r="H2283" i="8" s="1"/>
  <c r="H2307" i="8" s="1"/>
  <c r="H2331" i="8" s="1"/>
  <c r="H2355" i="8" s="1"/>
  <c r="H2379" i="8" s="1"/>
  <c r="H2403" i="8" s="1"/>
  <c r="H2427" i="8" s="1"/>
  <c r="H2451" i="8" s="1"/>
  <c r="H2475" i="8" s="1"/>
  <c r="H2499" i="8" s="1"/>
  <c r="H2523" i="8" s="1"/>
  <c r="H2547" i="8" s="1"/>
  <c r="H2571" i="8" s="1"/>
  <c r="H2595" i="8" s="1"/>
  <c r="H2619" i="8" s="1"/>
  <c r="H2643" i="8" s="1"/>
  <c r="H2667" i="8" s="1"/>
  <c r="H2691" i="8" s="1"/>
  <c r="H2715" i="8" s="1"/>
  <c r="H2739" i="8" s="1"/>
  <c r="H2763" i="8" s="1"/>
  <c r="H2787" i="8" s="1"/>
  <c r="H2811" i="8" s="1"/>
  <c r="H2835" i="8" s="1"/>
  <c r="H2859" i="8" s="1"/>
  <c r="H2883" i="8" s="1"/>
  <c r="H2907" i="8" s="1"/>
  <c r="H2931" i="8" s="1"/>
  <c r="H2955" i="8" s="1"/>
  <c r="H2979" i="8" s="1"/>
  <c r="H3003" i="8" s="1"/>
  <c r="H2212" i="8"/>
  <c r="H2236" i="8" s="1"/>
  <c r="H2260" i="8" s="1"/>
  <c r="H2284" i="8" s="1"/>
  <c r="H2308" i="8" s="1"/>
  <c r="H2332" i="8" s="1"/>
  <c r="H2356" i="8" s="1"/>
  <c r="H2380" i="8" s="1"/>
  <c r="H2404" i="8" s="1"/>
  <c r="H2428" i="8" s="1"/>
  <c r="H2452" i="8" s="1"/>
  <c r="H2476" i="8" s="1"/>
  <c r="H2500" i="8" s="1"/>
  <c r="H2524" i="8" s="1"/>
  <c r="H2548" i="8" s="1"/>
  <c r="H2572" i="8" s="1"/>
  <c r="H2596" i="8" s="1"/>
  <c r="H2620" i="8" s="1"/>
  <c r="H2644" i="8" s="1"/>
  <c r="H2668" i="8" s="1"/>
  <c r="H2692" i="8" s="1"/>
  <c r="H2716" i="8" s="1"/>
  <c r="H2740" i="8" s="1"/>
  <c r="H2764" i="8" s="1"/>
  <c r="H2788" i="8" s="1"/>
  <c r="H2812" i="8" s="1"/>
  <c r="H2836" i="8" s="1"/>
  <c r="H2860" i="8" s="1"/>
  <c r="H2884" i="8" s="1"/>
  <c r="H2908" i="8" s="1"/>
  <c r="H2932" i="8" s="1"/>
  <c r="H2956" i="8" s="1"/>
  <c r="H2980" i="8" s="1"/>
  <c r="H3004" i="8" s="1"/>
  <c r="H2213" i="8"/>
  <c r="H2237" i="8" s="1"/>
  <c r="H2261" i="8" s="1"/>
  <c r="H2285" i="8" s="1"/>
  <c r="H2309" i="8" s="1"/>
  <c r="H2333" i="8" s="1"/>
  <c r="H2357" i="8" s="1"/>
  <c r="H2381" i="8" s="1"/>
  <c r="H2405" i="8" s="1"/>
  <c r="H2429" i="8" s="1"/>
  <c r="H2453" i="8" s="1"/>
  <c r="H2477" i="8" s="1"/>
  <c r="H2501" i="8" s="1"/>
  <c r="H2525" i="8" s="1"/>
  <c r="H2549" i="8" s="1"/>
  <c r="H2573" i="8" s="1"/>
  <c r="H2597" i="8" s="1"/>
  <c r="H2621" i="8" s="1"/>
  <c r="H2645" i="8" s="1"/>
  <c r="H2669" i="8" s="1"/>
  <c r="H2693" i="8" s="1"/>
  <c r="H2717" i="8" s="1"/>
  <c r="H2741" i="8" s="1"/>
  <c r="H2765" i="8" s="1"/>
  <c r="H2789" i="8" s="1"/>
  <c r="H2813" i="8" s="1"/>
  <c r="H2837" i="8" s="1"/>
  <c r="H2861" i="8" s="1"/>
  <c r="H2885" i="8" s="1"/>
  <c r="H2909" i="8" s="1"/>
  <c r="H2933" i="8" s="1"/>
  <c r="H2957" i="8" s="1"/>
  <c r="H2981" i="8" s="1"/>
  <c r="H3005" i="8" s="1"/>
  <c r="H2214" i="8"/>
  <c r="H2238" i="8" s="1"/>
  <c r="H2262" i="8" s="1"/>
  <c r="H2286" i="8" s="1"/>
  <c r="H2310" i="8" s="1"/>
  <c r="H2334" i="8" s="1"/>
  <c r="H2358" i="8" s="1"/>
  <c r="H2382" i="8" s="1"/>
  <c r="H2406" i="8" s="1"/>
  <c r="H2430" i="8" s="1"/>
  <c r="H2454" i="8" s="1"/>
  <c r="H2478" i="8" s="1"/>
  <c r="H2502" i="8" s="1"/>
  <c r="H2526" i="8" s="1"/>
  <c r="H2550" i="8" s="1"/>
  <c r="H2574" i="8" s="1"/>
  <c r="H2598" i="8" s="1"/>
  <c r="H2622" i="8" s="1"/>
  <c r="H2646" i="8" s="1"/>
  <c r="H2670" i="8" s="1"/>
  <c r="H2694" i="8" s="1"/>
  <c r="H2718" i="8" s="1"/>
  <c r="H2742" i="8" s="1"/>
  <c r="H2766" i="8" s="1"/>
  <c r="H2790" i="8" s="1"/>
  <c r="H2814" i="8" s="1"/>
  <c r="H2838" i="8" s="1"/>
  <c r="H2862" i="8" s="1"/>
  <c r="H2886" i="8" s="1"/>
  <c r="H2910" i="8" s="1"/>
  <c r="H2934" i="8" s="1"/>
  <c r="H2958" i="8" s="1"/>
  <c r="H2982" i="8" s="1"/>
  <c r="H3006" i="8" s="1"/>
  <c r="H2215" i="8"/>
  <c r="H2239" i="8" s="1"/>
  <c r="H2263" i="8" s="1"/>
  <c r="H2287" i="8" s="1"/>
  <c r="H2311" i="8" s="1"/>
  <c r="H2335" i="8" s="1"/>
  <c r="H2359" i="8" s="1"/>
  <c r="H2383" i="8" s="1"/>
  <c r="H2407" i="8" s="1"/>
  <c r="H2431" i="8" s="1"/>
  <c r="H2455" i="8" s="1"/>
  <c r="H2479" i="8" s="1"/>
  <c r="H2503" i="8" s="1"/>
  <c r="H2527" i="8" s="1"/>
  <c r="H2551" i="8" s="1"/>
  <c r="H2575" i="8" s="1"/>
  <c r="H2599" i="8" s="1"/>
  <c r="H2623" i="8" s="1"/>
  <c r="H2647" i="8" s="1"/>
  <c r="H2671" i="8" s="1"/>
  <c r="H2695" i="8" s="1"/>
  <c r="H2719" i="8" s="1"/>
  <c r="H2743" i="8" s="1"/>
  <c r="H2767" i="8" s="1"/>
  <c r="H2791" i="8" s="1"/>
  <c r="H2815" i="8" s="1"/>
  <c r="H2839" i="8" s="1"/>
  <c r="H2863" i="8" s="1"/>
  <c r="H2887" i="8" s="1"/>
  <c r="H2911" i="8" s="1"/>
  <c r="H2935" i="8" s="1"/>
  <c r="H2959" i="8" s="1"/>
  <c r="H2983" i="8" s="1"/>
  <c r="H3007" i="8" s="1"/>
  <c r="H2216" i="8"/>
  <c r="H2240" i="8" s="1"/>
  <c r="H2264" i="8" s="1"/>
  <c r="H2288" i="8" s="1"/>
  <c r="H2312" i="8" s="1"/>
  <c r="H2336" i="8" s="1"/>
  <c r="H2360" i="8" s="1"/>
  <c r="H2384" i="8" s="1"/>
  <c r="H2408" i="8" s="1"/>
  <c r="H2432" i="8" s="1"/>
  <c r="H2456" i="8" s="1"/>
  <c r="H2480" i="8" s="1"/>
  <c r="H2504" i="8" s="1"/>
  <c r="H2528" i="8" s="1"/>
  <c r="H2552" i="8" s="1"/>
  <c r="H2576" i="8" s="1"/>
  <c r="H2600" i="8" s="1"/>
  <c r="H2624" i="8" s="1"/>
  <c r="H2648" i="8" s="1"/>
  <c r="H2672" i="8" s="1"/>
  <c r="H2696" i="8" s="1"/>
  <c r="H2720" i="8" s="1"/>
  <c r="H2744" i="8" s="1"/>
  <c r="H2768" i="8" s="1"/>
  <c r="H2792" i="8" s="1"/>
  <c r="H2816" i="8" s="1"/>
  <c r="H2840" i="8" s="1"/>
  <c r="H2864" i="8" s="1"/>
  <c r="H2888" i="8" s="1"/>
  <c r="H2912" i="8" s="1"/>
  <c r="H2936" i="8" s="1"/>
  <c r="H2960" i="8" s="1"/>
  <c r="H2984" i="8" s="1"/>
  <c r="H3008" i="8" s="1"/>
  <c r="H2217" i="8"/>
  <c r="H2241" i="8" s="1"/>
  <c r="H2265" i="8" s="1"/>
  <c r="H2289" i="8" s="1"/>
  <c r="H2313" i="8" s="1"/>
  <c r="H2337" i="8" s="1"/>
  <c r="H2361" i="8" s="1"/>
  <c r="H2385" i="8" s="1"/>
  <c r="H2409" i="8" s="1"/>
  <c r="H2433" i="8" s="1"/>
  <c r="H2457" i="8" s="1"/>
  <c r="H2481" i="8" s="1"/>
  <c r="H2505" i="8" s="1"/>
  <c r="H2529" i="8" s="1"/>
  <c r="H2553" i="8" s="1"/>
  <c r="H2577" i="8" s="1"/>
  <c r="H2601" i="8" s="1"/>
  <c r="H2625" i="8" s="1"/>
  <c r="H2649" i="8" s="1"/>
  <c r="H2673" i="8" s="1"/>
  <c r="H2697" i="8" s="1"/>
  <c r="H2721" i="8" s="1"/>
  <c r="H2745" i="8" s="1"/>
  <c r="H2769" i="8" s="1"/>
  <c r="H2793" i="8" s="1"/>
  <c r="H2817" i="8" s="1"/>
  <c r="H2841" i="8" s="1"/>
  <c r="H2865" i="8" s="1"/>
  <c r="H2889" i="8" s="1"/>
  <c r="H2913" i="8" s="1"/>
  <c r="H2937" i="8" s="1"/>
  <c r="H2961" i="8" s="1"/>
  <c r="H2985" i="8" s="1"/>
  <c r="H3009" i="8" s="1"/>
  <c r="H2218" i="8"/>
  <c r="H2242" i="8" s="1"/>
  <c r="H2266" i="8" s="1"/>
  <c r="H2290" i="8" s="1"/>
  <c r="H2314" i="8" s="1"/>
  <c r="H2338" i="8" s="1"/>
  <c r="H2362" i="8" s="1"/>
  <c r="H2386" i="8" s="1"/>
  <c r="H2410" i="8" s="1"/>
  <c r="H2434" i="8" s="1"/>
  <c r="H2458" i="8" s="1"/>
  <c r="H2482" i="8" s="1"/>
  <c r="H2506" i="8" s="1"/>
  <c r="H2530" i="8" s="1"/>
  <c r="H2554" i="8" s="1"/>
  <c r="H2578" i="8" s="1"/>
  <c r="H2602" i="8" s="1"/>
  <c r="H2626" i="8" s="1"/>
  <c r="H2650" i="8" s="1"/>
  <c r="H2674" i="8" s="1"/>
  <c r="H2698" i="8" s="1"/>
  <c r="H2722" i="8" s="1"/>
  <c r="H2746" i="8" s="1"/>
  <c r="H2770" i="8" s="1"/>
  <c r="H2794" i="8" s="1"/>
  <c r="H2818" i="8" s="1"/>
  <c r="H2842" i="8" s="1"/>
  <c r="H2866" i="8" s="1"/>
  <c r="H2890" i="8" s="1"/>
  <c r="H2914" i="8" s="1"/>
  <c r="H2938" i="8" s="1"/>
  <c r="H2962" i="8" s="1"/>
  <c r="H2986" i="8" s="1"/>
  <c r="H3010" i="8" s="1"/>
  <c r="H2219" i="8"/>
  <c r="H2243" i="8" s="1"/>
  <c r="H2267" i="8" s="1"/>
  <c r="H2291" i="8" s="1"/>
  <c r="H2315" i="8" s="1"/>
  <c r="H2339" i="8" s="1"/>
  <c r="H2363" i="8" s="1"/>
  <c r="H2387" i="8" s="1"/>
  <c r="H2411" i="8" s="1"/>
  <c r="H2435" i="8" s="1"/>
  <c r="H2459" i="8" s="1"/>
  <c r="H2483" i="8" s="1"/>
  <c r="H2507" i="8" s="1"/>
  <c r="H2531" i="8" s="1"/>
  <c r="H2555" i="8" s="1"/>
  <c r="H2579" i="8" s="1"/>
  <c r="H2603" i="8" s="1"/>
  <c r="H2627" i="8" s="1"/>
  <c r="H2651" i="8" s="1"/>
  <c r="H2675" i="8" s="1"/>
  <c r="H2699" i="8" s="1"/>
  <c r="H2723" i="8" s="1"/>
  <c r="H2747" i="8" s="1"/>
  <c r="H2771" i="8" s="1"/>
  <c r="H2795" i="8" s="1"/>
  <c r="H2819" i="8" s="1"/>
  <c r="H2843" i="8" s="1"/>
  <c r="H2867" i="8" s="1"/>
  <c r="H2891" i="8" s="1"/>
  <c r="H2915" i="8" s="1"/>
  <c r="H2939" i="8" s="1"/>
  <c r="H2963" i="8" s="1"/>
  <c r="H2987" i="8" s="1"/>
  <c r="H3011" i="8" s="1"/>
  <c r="H2220" i="8"/>
  <c r="H2244" i="8" s="1"/>
  <c r="H2268" i="8" s="1"/>
  <c r="H2292" i="8" s="1"/>
  <c r="H2316" i="8" s="1"/>
  <c r="H2340" i="8" s="1"/>
  <c r="H2364" i="8" s="1"/>
  <c r="H2388" i="8" s="1"/>
  <c r="H2412" i="8" s="1"/>
  <c r="H2436" i="8" s="1"/>
  <c r="H2460" i="8" s="1"/>
  <c r="H2484" i="8" s="1"/>
  <c r="H2508" i="8" s="1"/>
  <c r="H2532" i="8" s="1"/>
  <c r="H2556" i="8" s="1"/>
  <c r="H2580" i="8" s="1"/>
  <c r="H2604" i="8" s="1"/>
  <c r="H2628" i="8" s="1"/>
  <c r="H2652" i="8" s="1"/>
  <c r="H2676" i="8" s="1"/>
  <c r="H2700" i="8" s="1"/>
  <c r="H2724" i="8" s="1"/>
  <c r="H2748" i="8" s="1"/>
  <c r="H2772" i="8" s="1"/>
  <c r="H2796" i="8" s="1"/>
  <c r="H2820" i="8" s="1"/>
  <c r="H2844" i="8" s="1"/>
  <c r="H2868" i="8" s="1"/>
  <c r="H2892" i="8" s="1"/>
  <c r="H2916" i="8" s="1"/>
  <c r="H2940" i="8" s="1"/>
  <c r="H2964" i="8" s="1"/>
  <c r="H2988" i="8" s="1"/>
  <c r="H3012" i="8" s="1"/>
  <c r="H2221" i="8"/>
  <c r="H2245" i="8" s="1"/>
  <c r="H2269" i="8" s="1"/>
  <c r="H2293" i="8" s="1"/>
  <c r="H2317" i="8" s="1"/>
  <c r="H2341" i="8" s="1"/>
  <c r="H2365" i="8" s="1"/>
  <c r="H2389" i="8" s="1"/>
  <c r="H2413" i="8" s="1"/>
  <c r="H2437" i="8" s="1"/>
  <c r="H2461" i="8" s="1"/>
  <c r="H2485" i="8" s="1"/>
  <c r="H2509" i="8" s="1"/>
  <c r="H2533" i="8" s="1"/>
  <c r="H2557" i="8" s="1"/>
  <c r="H2581" i="8" s="1"/>
  <c r="H2605" i="8" s="1"/>
  <c r="H2629" i="8" s="1"/>
  <c r="H2653" i="8" s="1"/>
  <c r="H2677" i="8" s="1"/>
  <c r="H2701" i="8" s="1"/>
  <c r="H2725" i="8" s="1"/>
  <c r="H2749" i="8" s="1"/>
  <c r="H2773" i="8" s="1"/>
  <c r="H2797" i="8" s="1"/>
  <c r="H2821" i="8" s="1"/>
  <c r="H2845" i="8" s="1"/>
  <c r="H2869" i="8" s="1"/>
  <c r="H2893" i="8" s="1"/>
  <c r="H2917" i="8" s="1"/>
  <c r="H2941" i="8" s="1"/>
  <c r="H2965" i="8" s="1"/>
  <c r="H2989" i="8" s="1"/>
  <c r="H3013" i="8" s="1"/>
  <c r="H2222" i="8"/>
  <c r="H2246" i="8" s="1"/>
  <c r="H2270" i="8" s="1"/>
  <c r="H2294" i="8" s="1"/>
  <c r="H2318" i="8" s="1"/>
  <c r="H2342" i="8" s="1"/>
  <c r="H2366" i="8" s="1"/>
  <c r="H2390" i="8" s="1"/>
  <c r="H2414" i="8" s="1"/>
  <c r="H2438" i="8" s="1"/>
  <c r="H2462" i="8" s="1"/>
  <c r="H2486" i="8" s="1"/>
  <c r="H2510" i="8" s="1"/>
  <c r="H2534" i="8" s="1"/>
  <c r="H2223" i="8"/>
  <c r="H2247" i="8" s="1"/>
  <c r="H2271" i="8" s="1"/>
  <c r="H2295" i="8" s="1"/>
  <c r="H2319" i="8" s="1"/>
  <c r="H2343" i="8" s="1"/>
  <c r="H2367" i="8" s="1"/>
  <c r="H2391" i="8" s="1"/>
  <c r="H2415" i="8" s="1"/>
  <c r="H2439" i="8" s="1"/>
  <c r="H2463" i="8" s="1"/>
  <c r="H2487" i="8" s="1"/>
  <c r="H2511" i="8" s="1"/>
  <c r="H2535" i="8" s="1"/>
  <c r="H2559" i="8" s="1"/>
  <c r="H2583" i="8" s="1"/>
  <c r="H2607" i="8" s="1"/>
  <c r="H2631" i="8" s="1"/>
  <c r="H2655" i="8" s="1"/>
  <c r="H2679" i="8" s="1"/>
  <c r="H2703" i="8" s="1"/>
  <c r="H2727" i="8" s="1"/>
  <c r="H2751" i="8" s="1"/>
  <c r="H2775" i="8" s="1"/>
  <c r="H2799" i="8" s="1"/>
  <c r="H2823" i="8" s="1"/>
  <c r="H2847" i="8" s="1"/>
  <c r="H2871" i="8" s="1"/>
  <c r="H2895" i="8" s="1"/>
  <c r="H2919" i="8" s="1"/>
  <c r="H2943" i="8" s="1"/>
  <c r="H2967" i="8" s="1"/>
  <c r="H2991" i="8" s="1"/>
  <c r="H3015" i="8" s="1"/>
  <c r="H2224" i="8"/>
  <c r="H2248" i="8" s="1"/>
  <c r="H2272" i="8" s="1"/>
  <c r="H2296" i="8" s="1"/>
  <c r="H2320" i="8" s="1"/>
  <c r="H2344" i="8" s="1"/>
  <c r="H2368" i="8" s="1"/>
  <c r="H2392" i="8" s="1"/>
  <c r="H2416" i="8" s="1"/>
  <c r="H2440" i="8" s="1"/>
  <c r="H2464" i="8" s="1"/>
  <c r="H2488" i="8" s="1"/>
  <c r="H2512" i="8" s="1"/>
  <c r="H2536" i="8" s="1"/>
  <c r="H2560" i="8" s="1"/>
  <c r="H2584" i="8" s="1"/>
  <c r="H2608" i="8" s="1"/>
  <c r="H2632" i="8" s="1"/>
  <c r="H2656" i="8" s="1"/>
  <c r="H2680" i="8" s="1"/>
  <c r="H2704" i="8" s="1"/>
  <c r="H2728" i="8" s="1"/>
  <c r="H2752" i="8" s="1"/>
  <c r="H2776" i="8" s="1"/>
  <c r="H2800" i="8" s="1"/>
  <c r="H2824" i="8" s="1"/>
  <c r="H2848" i="8" s="1"/>
  <c r="H2872" i="8" s="1"/>
  <c r="H2896" i="8" s="1"/>
  <c r="H2920" i="8" s="1"/>
  <c r="H2944" i="8" s="1"/>
  <c r="H2968" i="8" s="1"/>
  <c r="H2992" i="8" s="1"/>
  <c r="H3016" i="8" s="1"/>
  <c r="H2225" i="8"/>
  <c r="H2249" i="8" s="1"/>
  <c r="H2273" i="8" s="1"/>
  <c r="H2297" i="8" s="1"/>
  <c r="H2321" i="8" s="1"/>
  <c r="H2345" i="8" s="1"/>
  <c r="H2369" i="8" s="1"/>
  <c r="H2393" i="8" s="1"/>
  <c r="H2417" i="8" s="1"/>
  <c r="H2441" i="8" s="1"/>
  <c r="H2465" i="8" s="1"/>
  <c r="H2489" i="8" s="1"/>
  <c r="H2513" i="8" s="1"/>
  <c r="H2537" i="8" s="1"/>
  <c r="H2561" i="8" s="1"/>
  <c r="H2585" i="8" s="1"/>
  <c r="H2609" i="8" s="1"/>
  <c r="H2633" i="8" s="1"/>
  <c r="H2657" i="8" s="1"/>
  <c r="H2681" i="8" s="1"/>
  <c r="H2705" i="8" s="1"/>
  <c r="H2729" i="8" s="1"/>
  <c r="H2753" i="8" s="1"/>
  <c r="H2777" i="8" s="1"/>
  <c r="H2801" i="8" s="1"/>
  <c r="H2825" i="8" s="1"/>
  <c r="H2849" i="8" s="1"/>
  <c r="H2873" i="8" s="1"/>
  <c r="H2897" i="8" s="1"/>
  <c r="H2921" i="8" s="1"/>
  <c r="H2945" i="8" s="1"/>
  <c r="H2969" i="8" s="1"/>
  <c r="H2993" i="8" s="1"/>
  <c r="H3017" i="8" s="1"/>
  <c r="H2226" i="8"/>
  <c r="H2250" i="8" s="1"/>
  <c r="H2274" i="8" s="1"/>
  <c r="H2298" i="8" s="1"/>
  <c r="H2322" i="8" s="1"/>
  <c r="H2346" i="8" s="1"/>
  <c r="H2370" i="8" s="1"/>
  <c r="H2394" i="8" s="1"/>
  <c r="H2418" i="8" s="1"/>
  <c r="H2442" i="8" s="1"/>
  <c r="H2466" i="8" s="1"/>
  <c r="H2490" i="8" s="1"/>
  <c r="H2514" i="8" s="1"/>
  <c r="H2538" i="8" s="1"/>
  <c r="H2562" i="8" s="1"/>
  <c r="H2586" i="8" s="1"/>
  <c r="H2610" i="8" s="1"/>
  <c r="H2634" i="8" s="1"/>
  <c r="H2658" i="8" s="1"/>
  <c r="H2682" i="8" s="1"/>
  <c r="H2706" i="8" s="1"/>
  <c r="H2730" i="8" s="1"/>
  <c r="H2754" i="8" s="1"/>
  <c r="H2778" i="8" s="1"/>
  <c r="H2802" i="8" s="1"/>
  <c r="H2826" i="8" s="1"/>
  <c r="H2850" i="8" s="1"/>
  <c r="H2874" i="8" s="1"/>
  <c r="H2898" i="8" s="1"/>
  <c r="H2922" i="8" s="1"/>
  <c r="H2946" i="8" s="1"/>
  <c r="H2970" i="8" s="1"/>
  <c r="H2994" i="8" s="1"/>
  <c r="H3018" i="8" s="1"/>
  <c r="H2227" i="8"/>
  <c r="H2251" i="8" s="1"/>
  <c r="H2275" i="8" s="1"/>
  <c r="H2299" i="8" s="1"/>
  <c r="H2323" i="8" s="1"/>
  <c r="H2347" i="8" s="1"/>
  <c r="H2371" i="8" s="1"/>
  <c r="H2395" i="8" s="1"/>
  <c r="H2419" i="8" s="1"/>
  <c r="H2443" i="8" s="1"/>
  <c r="H2467" i="8" s="1"/>
  <c r="H2491" i="8" s="1"/>
  <c r="H2515" i="8" s="1"/>
  <c r="H2539" i="8" s="1"/>
  <c r="H2563" i="8" s="1"/>
  <c r="H2587" i="8" s="1"/>
  <c r="H2611" i="8" s="1"/>
  <c r="H2635" i="8" s="1"/>
  <c r="H2659" i="8" s="1"/>
  <c r="H2683" i="8" s="1"/>
  <c r="H2707" i="8" s="1"/>
  <c r="H2731" i="8" s="1"/>
  <c r="H2755" i="8" s="1"/>
  <c r="H2779" i="8" s="1"/>
  <c r="H2803" i="8" s="1"/>
  <c r="H2827" i="8" s="1"/>
  <c r="H2851" i="8" s="1"/>
  <c r="H2875" i="8" s="1"/>
  <c r="H2899" i="8" s="1"/>
  <c r="H2923" i="8" s="1"/>
  <c r="H2947" i="8" s="1"/>
  <c r="H2971" i="8" s="1"/>
  <c r="H2995" i="8" s="1"/>
  <c r="H3019" i="8" s="1"/>
  <c r="H2228" i="8"/>
  <c r="H2252" i="8" s="1"/>
  <c r="H2276" i="8" s="1"/>
  <c r="H2300" i="8" s="1"/>
  <c r="H2324" i="8" s="1"/>
  <c r="H2348" i="8" s="1"/>
  <c r="H2372" i="8" s="1"/>
  <c r="H2396" i="8" s="1"/>
  <c r="H2420" i="8" s="1"/>
  <c r="H2444" i="8" s="1"/>
  <c r="H2468" i="8" s="1"/>
  <c r="H2492" i="8" s="1"/>
  <c r="H2516" i="8" s="1"/>
  <c r="H2540" i="8" s="1"/>
  <c r="H2564" i="8" s="1"/>
  <c r="H2588" i="8" s="1"/>
  <c r="H2612" i="8" s="1"/>
  <c r="H2636" i="8" s="1"/>
  <c r="H2660" i="8" s="1"/>
  <c r="H2684" i="8" s="1"/>
  <c r="H2708" i="8" s="1"/>
  <c r="H2732" i="8" s="1"/>
  <c r="H2756" i="8" s="1"/>
  <c r="H2780" i="8" s="1"/>
  <c r="H2804" i="8" s="1"/>
  <c r="H2828" i="8" s="1"/>
  <c r="H2852" i="8" s="1"/>
  <c r="H2876" i="8" s="1"/>
  <c r="H2900" i="8" s="1"/>
  <c r="H2924" i="8" s="1"/>
  <c r="H2948" i="8" s="1"/>
  <c r="H2972" i="8" s="1"/>
  <c r="H2996" i="8" s="1"/>
  <c r="H3020" i="8" s="1"/>
  <c r="H2229" i="8"/>
  <c r="H2253" i="8" s="1"/>
  <c r="H2277" i="8" s="1"/>
  <c r="H2301" i="8" s="1"/>
  <c r="H2325" i="8" s="1"/>
  <c r="H2349" i="8" s="1"/>
  <c r="H2373" i="8" s="1"/>
  <c r="H2397" i="8" s="1"/>
  <c r="H2421" i="8" s="1"/>
  <c r="H2445" i="8" s="1"/>
  <c r="H2469" i="8" s="1"/>
  <c r="H2493" i="8" s="1"/>
  <c r="H2517" i="8" s="1"/>
  <c r="H2541" i="8" s="1"/>
  <c r="H2565" i="8" s="1"/>
  <c r="H2589" i="8" s="1"/>
  <c r="H2613" i="8" s="1"/>
  <c r="H2637" i="8" s="1"/>
  <c r="H2661" i="8" s="1"/>
  <c r="H2685" i="8" s="1"/>
  <c r="H2709" i="8" s="1"/>
  <c r="H2733" i="8" s="1"/>
  <c r="H2757" i="8" s="1"/>
  <c r="H2781" i="8" s="1"/>
  <c r="H2805" i="8" s="1"/>
  <c r="H2829" i="8" s="1"/>
  <c r="H2853" i="8" s="1"/>
  <c r="H2877" i="8" s="1"/>
  <c r="H2901" i="8" s="1"/>
  <c r="H2925" i="8" s="1"/>
  <c r="H2949" i="8" s="1"/>
  <c r="H2973" i="8" s="1"/>
  <c r="H2997" i="8" s="1"/>
  <c r="H3021" i="8" s="1"/>
  <c r="H2230" i="8"/>
  <c r="H2254" i="8" s="1"/>
  <c r="H2278" i="8" s="1"/>
  <c r="H2302" i="8" s="1"/>
  <c r="H2326" i="8" s="1"/>
  <c r="H2350" i="8" s="1"/>
  <c r="H2374" i="8" s="1"/>
  <c r="H2398" i="8" s="1"/>
  <c r="H2422" i="8" s="1"/>
  <c r="H2446" i="8" s="1"/>
  <c r="H2470" i="8" s="1"/>
  <c r="H2494" i="8" s="1"/>
  <c r="H2518" i="8" s="1"/>
  <c r="H2542" i="8" s="1"/>
  <c r="H2566" i="8" s="1"/>
  <c r="H2590" i="8" s="1"/>
  <c r="H2614" i="8" s="1"/>
  <c r="H2638" i="8" s="1"/>
  <c r="H2662" i="8" s="1"/>
  <c r="H2686" i="8" s="1"/>
  <c r="H2710" i="8" s="1"/>
  <c r="H2734" i="8" s="1"/>
  <c r="H2758" i="8" s="1"/>
  <c r="H2782" i="8" s="1"/>
  <c r="H2806" i="8" s="1"/>
  <c r="H2830" i="8" s="1"/>
  <c r="H2854" i="8" s="1"/>
  <c r="H2878" i="8" s="1"/>
  <c r="H2902" i="8" s="1"/>
  <c r="H2926" i="8" s="1"/>
  <c r="H2950" i="8" s="1"/>
  <c r="H2974" i="8" s="1"/>
  <c r="H2998" i="8" s="1"/>
  <c r="H3022" i="8" s="1"/>
  <c r="H2231" i="8"/>
  <c r="H2255" i="8" s="1"/>
  <c r="H2279" i="8" s="1"/>
  <c r="H2303" i="8" s="1"/>
  <c r="H2327" i="8" s="1"/>
  <c r="H2351" i="8" s="1"/>
  <c r="H2375" i="8" s="1"/>
  <c r="H2399" i="8" s="1"/>
  <c r="H2423" i="8" s="1"/>
  <c r="H2447" i="8" s="1"/>
  <c r="H2471" i="8" s="1"/>
  <c r="H2495" i="8" s="1"/>
  <c r="H2519" i="8" s="1"/>
  <c r="H2543" i="8" s="1"/>
  <c r="H2567" i="8" s="1"/>
  <c r="H2591" i="8" s="1"/>
  <c r="H2615" i="8" s="1"/>
  <c r="H2639" i="8" s="1"/>
  <c r="H2663" i="8" s="1"/>
  <c r="H2687" i="8" s="1"/>
  <c r="H2711" i="8" s="1"/>
  <c r="H2735" i="8" s="1"/>
  <c r="H2759" i="8" s="1"/>
  <c r="H2783" i="8" s="1"/>
  <c r="H2807" i="8" s="1"/>
  <c r="H2831" i="8" s="1"/>
  <c r="H2855" i="8" s="1"/>
  <c r="H2879" i="8" s="1"/>
  <c r="H2903" i="8" s="1"/>
  <c r="H2927" i="8" s="1"/>
  <c r="H2951" i="8" s="1"/>
  <c r="H2975" i="8" s="1"/>
  <c r="H2999" i="8" s="1"/>
  <c r="H3023" i="8" s="1"/>
  <c r="H2232" i="8"/>
  <c r="H2256" i="8" s="1"/>
  <c r="H2280" i="8" s="1"/>
  <c r="H2304" i="8" s="1"/>
  <c r="H2328" i="8" s="1"/>
  <c r="H2352" i="8" s="1"/>
  <c r="H2376" i="8" s="1"/>
  <c r="H2400" i="8" s="1"/>
  <c r="H2424" i="8" s="1"/>
  <c r="H2448" i="8" s="1"/>
  <c r="H2472" i="8" s="1"/>
  <c r="H2496" i="8" s="1"/>
  <c r="H2520" i="8" s="1"/>
  <c r="H2544" i="8" s="1"/>
  <c r="H2568" i="8" s="1"/>
  <c r="H2592" i="8" s="1"/>
  <c r="H2616" i="8" s="1"/>
  <c r="H2640" i="8" s="1"/>
  <c r="H2664" i="8" s="1"/>
  <c r="H2688" i="8" s="1"/>
  <c r="H2712" i="8" s="1"/>
  <c r="H2736" i="8" s="1"/>
  <c r="H2760" i="8" s="1"/>
  <c r="H2784" i="8" s="1"/>
  <c r="H2808" i="8" s="1"/>
  <c r="H2832" i="8" s="1"/>
  <c r="H2856" i="8" s="1"/>
  <c r="H2880" i="8" s="1"/>
  <c r="H2904" i="8" s="1"/>
  <c r="H2928" i="8" s="1"/>
  <c r="H2952" i="8" s="1"/>
  <c r="H2976" i="8" s="1"/>
  <c r="H3000" i="8" s="1"/>
  <c r="H3024" i="8" s="1"/>
  <c r="H2233" i="8"/>
  <c r="H2257" i="8"/>
  <c r="H2281" i="8" s="1"/>
  <c r="H2305" i="8" s="1"/>
  <c r="H2329" i="8" s="1"/>
  <c r="H2353" i="8" s="1"/>
  <c r="H2377" i="8" s="1"/>
  <c r="H2401" i="8" s="1"/>
  <c r="H2425" i="8" s="1"/>
  <c r="H2449" i="8" s="1"/>
  <c r="H2473" i="8" s="1"/>
  <c r="H2497" i="8" s="1"/>
  <c r="H2521" i="8" s="1"/>
  <c r="H2545" i="8" s="1"/>
  <c r="H2569" i="8" s="1"/>
  <c r="H2593" i="8" s="1"/>
  <c r="H2617" i="8" s="1"/>
  <c r="H2641" i="8" s="1"/>
  <c r="H2665" i="8" s="1"/>
  <c r="H2689" i="8" s="1"/>
  <c r="H2713" i="8" s="1"/>
  <c r="H2737" i="8" s="1"/>
  <c r="H2761" i="8" s="1"/>
  <c r="H2785" i="8" s="1"/>
  <c r="H2809" i="8" s="1"/>
  <c r="H2833" i="8" s="1"/>
  <c r="H2857" i="8" s="1"/>
  <c r="H2881" i="8" s="1"/>
  <c r="H2905" i="8" s="1"/>
  <c r="H2929" i="8" s="1"/>
  <c r="H2953" i="8" s="1"/>
  <c r="H2977" i="8" s="1"/>
  <c r="H3001" i="8" s="1"/>
  <c r="H3025" i="8" s="1"/>
  <c r="H2558" i="8"/>
  <c r="H2582" i="8" s="1"/>
  <c r="H2606" i="8" s="1"/>
  <c r="H2630" i="8" s="1"/>
  <c r="H2654" i="8" s="1"/>
  <c r="H2678" i="8" s="1"/>
  <c r="H2702" i="8" s="1"/>
  <c r="H2726" i="8" s="1"/>
  <c r="H2750" i="8" s="1"/>
  <c r="H2774" i="8" s="1"/>
  <c r="H2798" i="8" s="1"/>
  <c r="H2822" i="8" s="1"/>
  <c r="H2846" i="8" s="1"/>
  <c r="H2870" i="8" s="1"/>
  <c r="H2894" i="8" s="1"/>
  <c r="H2918" i="8" s="1"/>
  <c r="H2942" i="8" s="1"/>
  <c r="H2966" i="8" s="1"/>
  <c r="H2990" i="8" s="1"/>
  <c r="H3014" i="8" s="1"/>
  <c r="H2210" i="8"/>
  <c r="H2234" i="8" s="1"/>
  <c r="H2258" i="8" s="1"/>
  <c r="H2282" i="8" s="1"/>
  <c r="H2306" i="8" s="1"/>
  <c r="H2330" i="8" s="1"/>
  <c r="H2354" i="8" s="1"/>
  <c r="H2378" i="8" s="1"/>
  <c r="H2402" i="8" s="1"/>
  <c r="H2426" i="8" s="1"/>
  <c r="H2450" i="8" s="1"/>
  <c r="H2474" i="8" s="1"/>
  <c r="H2498" i="8" s="1"/>
  <c r="H2522" i="8" s="1"/>
  <c r="H2546" i="8" s="1"/>
  <c r="H2570" i="8" s="1"/>
  <c r="H2594" i="8" s="1"/>
  <c r="H2618" i="8" s="1"/>
  <c r="H2642" i="8" s="1"/>
  <c r="H2666" i="8" s="1"/>
  <c r="H2690" i="8" s="1"/>
  <c r="H2714" i="8" s="1"/>
  <c r="H2738" i="8" s="1"/>
  <c r="H2762" i="8" s="1"/>
  <c r="H2786" i="8" s="1"/>
  <c r="H2810" i="8" s="1"/>
  <c r="H2834" i="8" s="1"/>
  <c r="H2858" i="8" s="1"/>
  <c r="H2882" i="8" s="1"/>
  <c r="H2906" i="8" s="1"/>
  <c r="H2930" i="8" s="1"/>
  <c r="H2954" i="8" s="1"/>
  <c r="H2978" i="8" s="1"/>
  <c r="H3002" i="8" s="1"/>
  <c r="H3026" i="8" s="1"/>
  <c r="T817" i="8" l="1"/>
  <c r="Q817" i="8"/>
  <c r="N817" i="8"/>
  <c r="A816" i="8"/>
  <c r="V148" i="11"/>
  <c r="V172" i="11" s="1"/>
  <c r="W124" i="11"/>
  <c r="W100" i="11"/>
  <c r="AC220" i="11"/>
  <c r="AC196" i="11"/>
  <c r="AC172" i="11"/>
  <c r="AC148" i="11"/>
  <c r="AC124" i="11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A815" i="8" l="1"/>
  <c r="T816" i="8"/>
  <c r="N816" i="8"/>
  <c r="Q816" i="8"/>
  <c r="V196" i="11"/>
  <c r="W172" i="11"/>
  <c r="W148" i="11"/>
  <c r="A814" i="8" l="1"/>
  <c r="T815" i="8"/>
  <c r="Q815" i="8"/>
  <c r="N815" i="8"/>
  <c r="V220" i="11"/>
  <c r="W196" i="11"/>
  <c r="N814" i="8" l="1"/>
  <c r="T814" i="8"/>
  <c r="Q814" i="8"/>
  <c r="A813" i="8"/>
  <c r="V244" i="11"/>
  <c r="W244" i="11" s="1"/>
  <c r="W220" i="11"/>
  <c r="N813" i="8" l="1"/>
  <c r="T813" i="8"/>
  <c r="A812" i="8"/>
  <c r="Q813" i="8"/>
  <c r="A1" i="8"/>
  <c r="N812" i="8" l="1"/>
  <c r="T812" i="8"/>
  <c r="Q812" i="8"/>
  <c r="A811" i="8"/>
  <c r="Z29" i="11"/>
  <c r="Z30" i="11"/>
  <c r="Z31" i="11"/>
  <c r="Z32" i="11"/>
  <c r="Z33" i="11"/>
  <c r="Z57" i="11" s="1"/>
  <c r="Z34" i="11"/>
  <c r="Z58" i="11" s="1"/>
  <c r="Z35" i="11"/>
  <c r="Z59" i="11" s="1"/>
  <c r="Z36" i="11"/>
  <c r="Z60" i="11" s="1"/>
  <c r="Z84" i="11" s="1"/>
  <c r="Z108" i="11" s="1"/>
  <c r="Z132" i="11" s="1"/>
  <c r="Z156" i="11" s="1"/>
  <c r="Z180" i="11" s="1"/>
  <c r="Z204" i="11" s="1"/>
  <c r="Z228" i="11" s="1"/>
  <c r="Z252" i="11" s="1"/>
  <c r="Z276" i="11" s="1"/>
  <c r="Z300" i="11" s="1"/>
  <c r="Z324" i="11" s="1"/>
  <c r="Z348" i="11" s="1"/>
  <c r="Z372" i="11" s="1"/>
  <c r="Z37" i="11"/>
  <c r="Z61" i="11" s="1"/>
  <c r="Z85" i="11" s="1"/>
  <c r="Z109" i="11" s="1"/>
  <c r="Z133" i="11" s="1"/>
  <c r="Z157" i="11" s="1"/>
  <c r="Z181" i="11" s="1"/>
  <c r="Z205" i="11" s="1"/>
  <c r="Z229" i="11" s="1"/>
  <c r="Z253" i="11" s="1"/>
  <c r="Z277" i="11" s="1"/>
  <c r="Z301" i="11" s="1"/>
  <c r="Z325" i="11" s="1"/>
  <c r="Z349" i="11" s="1"/>
  <c r="Z373" i="11" s="1"/>
  <c r="Z38" i="11"/>
  <c r="Z62" i="11" s="1"/>
  <c r="Z86" i="11" s="1"/>
  <c r="Z110" i="11" s="1"/>
  <c r="Z134" i="11" s="1"/>
  <c r="Z158" i="11" s="1"/>
  <c r="Z182" i="11" s="1"/>
  <c r="Z206" i="11" s="1"/>
  <c r="Z230" i="11" s="1"/>
  <c r="Z254" i="11" s="1"/>
  <c r="Z278" i="11" s="1"/>
  <c r="Z302" i="11" s="1"/>
  <c r="Z326" i="11" s="1"/>
  <c r="Z350" i="11" s="1"/>
  <c r="Z374" i="11" s="1"/>
  <c r="Z39" i="11"/>
  <c r="Z63" i="11" s="1"/>
  <c r="Z87" i="11" s="1"/>
  <c r="Z111" i="11" s="1"/>
  <c r="Z135" i="11" s="1"/>
  <c r="Z159" i="11" s="1"/>
  <c r="Z183" i="11" s="1"/>
  <c r="Z207" i="11" s="1"/>
  <c r="Z231" i="11" s="1"/>
  <c r="Z255" i="11" s="1"/>
  <c r="Z279" i="11" s="1"/>
  <c r="Z303" i="11" s="1"/>
  <c r="Z327" i="11" s="1"/>
  <c r="Z351" i="11" s="1"/>
  <c r="Z375" i="11" s="1"/>
  <c r="Z40" i="11"/>
  <c r="Z64" i="11" s="1"/>
  <c r="Z88" i="11" s="1"/>
  <c r="Z112" i="11" s="1"/>
  <c r="Z136" i="11" s="1"/>
  <c r="Z160" i="11" s="1"/>
  <c r="Z184" i="11" s="1"/>
  <c r="Z208" i="11" s="1"/>
  <c r="Z232" i="11" s="1"/>
  <c r="Z256" i="11" s="1"/>
  <c r="Z280" i="11" s="1"/>
  <c r="Z304" i="11" s="1"/>
  <c r="Z328" i="11" s="1"/>
  <c r="Z352" i="11" s="1"/>
  <c r="Z376" i="11" s="1"/>
  <c r="Z41" i="11"/>
  <c r="Z65" i="11" s="1"/>
  <c r="Z89" i="11" s="1"/>
  <c r="Z113" i="11" s="1"/>
  <c r="Z137" i="11" s="1"/>
  <c r="Z161" i="11" s="1"/>
  <c r="Z185" i="11" s="1"/>
  <c r="Z42" i="11"/>
  <c r="Z66" i="11" s="1"/>
  <c r="Z90" i="11" s="1"/>
  <c r="Z114" i="11" s="1"/>
  <c r="Z138" i="11" s="1"/>
  <c r="Z162" i="11" s="1"/>
  <c r="Z186" i="11" s="1"/>
  <c r="Z43" i="11"/>
  <c r="Z67" i="11" s="1"/>
  <c r="Z91" i="11" s="1"/>
  <c r="Z115" i="11" s="1"/>
  <c r="Z139" i="11" s="1"/>
  <c r="Z163" i="11" s="1"/>
  <c r="Z187" i="11" s="1"/>
  <c r="Z211" i="11" s="1"/>
  <c r="Z235" i="11" s="1"/>
  <c r="Z259" i="11" s="1"/>
  <c r="Z283" i="11" s="1"/>
  <c r="Z307" i="11" s="1"/>
  <c r="Z331" i="11" s="1"/>
  <c r="Z355" i="11" s="1"/>
  <c r="Z379" i="11" s="1"/>
  <c r="Z44" i="11"/>
  <c r="Z68" i="11" s="1"/>
  <c r="Z92" i="11" s="1"/>
  <c r="Z116" i="11" s="1"/>
  <c r="Z140" i="11" s="1"/>
  <c r="Z164" i="11" s="1"/>
  <c r="Z188" i="11" s="1"/>
  <c r="Z212" i="11" s="1"/>
  <c r="Z236" i="11" s="1"/>
  <c r="Z260" i="11" s="1"/>
  <c r="Z284" i="11" s="1"/>
  <c r="Z308" i="11" s="1"/>
  <c r="Z332" i="11" s="1"/>
  <c r="Z45" i="11"/>
  <c r="Z69" i="11" s="1"/>
  <c r="Z93" i="11" s="1"/>
  <c r="Z117" i="11" s="1"/>
  <c r="Z141" i="11" s="1"/>
  <c r="Z165" i="11" s="1"/>
  <c r="Z189" i="11" s="1"/>
  <c r="Z213" i="11" s="1"/>
  <c r="Z237" i="11" s="1"/>
  <c r="Z261" i="11" s="1"/>
  <c r="Z285" i="11" s="1"/>
  <c r="Z309" i="11" s="1"/>
  <c r="Z333" i="11" s="1"/>
  <c r="Z357" i="11" s="1"/>
  <c r="Z381" i="11" s="1"/>
  <c r="Z46" i="11"/>
  <c r="Z70" i="11" s="1"/>
  <c r="Z94" i="11" s="1"/>
  <c r="Z118" i="11" s="1"/>
  <c r="Z142" i="11" s="1"/>
  <c r="Z166" i="11" s="1"/>
  <c r="Z190" i="11" s="1"/>
  <c r="Z214" i="11" s="1"/>
  <c r="Z238" i="11" s="1"/>
  <c r="Z262" i="11" s="1"/>
  <c r="Z286" i="11" s="1"/>
  <c r="Z310" i="11" s="1"/>
  <c r="Z334" i="11" s="1"/>
  <c r="Z358" i="11" s="1"/>
  <c r="Z382" i="11" s="1"/>
  <c r="Z47" i="11"/>
  <c r="Z71" i="11" s="1"/>
  <c r="Z95" i="11" s="1"/>
  <c r="Z119" i="11" s="1"/>
  <c r="Z143" i="11" s="1"/>
  <c r="Z167" i="11" s="1"/>
  <c r="Z191" i="11" s="1"/>
  <c r="Z215" i="11" s="1"/>
  <c r="Z239" i="11" s="1"/>
  <c r="Z263" i="11" s="1"/>
  <c r="Z287" i="11" s="1"/>
  <c r="Z311" i="11" s="1"/>
  <c r="Z335" i="11" s="1"/>
  <c r="Z359" i="11" s="1"/>
  <c r="Z383" i="11" s="1"/>
  <c r="Z48" i="11"/>
  <c r="Z72" i="11" s="1"/>
  <c r="Z96" i="11" s="1"/>
  <c r="Z120" i="11" s="1"/>
  <c r="Z144" i="11" s="1"/>
  <c r="Z168" i="11" s="1"/>
  <c r="Z192" i="11" s="1"/>
  <c r="Z216" i="11" s="1"/>
  <c r="Z240" i="11" s="1"/>
  <c r="Z264" i="11" s="1"/>
  <c r="Z288" i="11" s="1"/>
  <c r="Z312" i="11" s="1"/>
  <c r="Z336" i="11" s="1"/>
  <c r="Z360" i="11" s="1"/>
  <c r="Z384" i="11" s="1"/>
  <c r="Z49" i="11"/>
  <c r="Z73" i="11" s="1"/>
  <c r="Z97" i="11" s="1"/>
  <c r="Z121" i="11" s="1"/>
  <c r="Z145" i="11" s="1"/>
  <c r="Z169" i="11" s="1"/>
  <c r="Z193" i="11" s="1"/>
  <c r="Z217" i="11" s="1"/>
  <c r="Z241" i="11" s="1"/>
  <c r="Z265" i="11" s="1"/>
  <c r="Z289" i="11" s="1"/>
  <c r="Z313" i="11" s="1"/>
  <c r="Z337" i="11" s="1"/>
  <c r="Z361" i="11" s="1"/>
  <c r="Z385" i="11" s="1"/>
  <c r="Z50" i="11"/>
  <c r="Z74" i="11" s="1"/>
  <c r="Z98" i="11" s="1"/>
  <c r="Z122" i="11" s="1"/>
  <c r="Z146" i="11" s="1"/>
  <c r="Z170" i="11" s="1"/>
  <c r="Z194" i="11" s="1"/>
  <c r="Z218" i="11" s="1"/>
  <c r="Z242" i="11" s="1"/>
  <c r="Z266" i="11" s="1"/>
  <c r="Z290" i="11" s="1"/>
  <c r="Z314" i="11" s="1"/>
  <c r="Z338" i="11" s="1"/>
  <c r="Z362" i="11" s="1"/>
  <c r="Z386" i="11" s="1"/>
  <c r="Z51" i="11"/>
  <c r="Z75" i="11" s="1"/>
  <c r="Z99" i="11" s="1"/>
  <c r="Z123" i="11" s="1"/>
  <c r="Z147" i="11" s="1"/>
  <c r="Z171" i="11" s="1"/>
  <c r="Z195" i="11" s="1"/>
  <c r="Z219" i="11" s="1"/>
  <c r="Z243" i="11" s="1"/>
  <c r="Z267" i="11" s="1"/>
  <c r="Z291" i="11" s="1"/>
  <c r="Z315" i="11" s="1"/>
  <c r="Z339" i="11" s="1"/>
  <c r="Z363" i="11" s="1"/>
  <c r="Z387" i="11" s="1"/>
  <c r="Z53" i="11"/>
  <c r="Z77" i="11" s="1"/>
  <c r="Z101" i="11" s="1"/>
  <c r="Z125" i="11" s="1"/>
  <c r="Z149" i="11" s="1"/>
  <c r="Z173" i="11" s="1"/>
  <c r="Z197" i="11" s="1"/>
  <c r="Z221" i="11" s="1"/>
  <c r="Z245" i="11" s="1"/>
  <c r="Z269" i="11" s="1"/>
  <c r="Z293" i="11" s="1"/>
  <c r="Z317" i="11" s="1"/>
  <c r="Z341" i="11" s="1"/>
  <c r="Z365" i="11" s="1"/>
  <c r="Z54" i="11"/>
  <c r="Z78" i="11" s="1"/>
  <c r="Z102" i="11" s="1"/>
  <c r="Z126" i="11" s="1"/>
  <c r="Z150" i="11" s="1"/>
  <c r="Z174" i="11" s="1"/>
  <c r="Z198" i="11" s="1"/>
  <c r="Z222" i="11" s="1"/>
  <c r="Z246" i="11" s="1"/>
  <c r="Z270" i="11" s="1"/>
  <c r="Z294" i="11" s="1"/>
  <c r="Z318" i="11" s="1"/>
  <c r="Z342" i="11" s="1"/>
  <c r="Z366" i="11" s="1"/>
  <c r="Z55" i="11"/>
  <c r="Z79" i="11" s="1"/>
  <c r="Z103" i="11" s="1"/>
  <c r="Z127" i="11" s="1"/>
  <c r="Z151" i="11" s="1"/>
  <c r="Z175" i="11" s="1"/>
  <c r="Z199" i="11" s="1"/>
  <c r="Z223" i="11" s="1"/>
  <c r="Z247" i="11" s="1"/>
  <c r="Z271" i="11" s="1"/>
  <c r="Z295" i="11" s="1"/>
  <c r="Z319" i="11" s="1"/>
  <c r="Z343" i="11" s="1"/>
  <c r="Z367" i="11" s="1"/>
  <c r="Z56" i="11"/>
  <c r="Z80" i="11" s="1"/>
  <c r="Z104" i="11" s="1"/>
  <c r="Z128" i="11" s="1"/>
  <c r="Z152" i="11" s="1"/>
  <c r="Z176" i="11" s="1"/>
  <c r="Z200" i="11" s="1"/>
  <c r="Z224" i="11" s="1"/>
  <c r="Z248" i="11" s="1"/>
  <c r="Z272" i="11" s="1"/>
  <c r="Z296" i="11" s="1"/>
  <c r="Z320" i="11" s="1"/>
  <c r="Z344" i="11" s="1"/>
  <c r="Z368" i="11" s="1"/>
  <c r="Z81" i="11"/>
  <c r="Z105" i="11" s="1"/>
  <c r="Z129" i="11" s="1"/>
  <c r="Z153" i="11" s="1"/>
  <c r="Z177" i="11" s="1"/>
  <c r="Z201" i="11" s="1"/>
  <c r="Z225" i="11" s="1"/>
  <c r="Z249" i="11" s="1"/>
  <c r="Z273" i="11" s="1"/>
  <c r="Z297" i="11" s="1"/>
  <c r="Z82" i="11"/>
  <c r="Z106" i="11" s="1"/>
  <c r="Z83" i="11"/>
  <c r="Z107" i="11" s="1"/>
  <c r="Z130" i="11"/>
  <c r="Z154" i="11" s="1"/>
  <c r="Z178" i="11" s="1"/>
  <c r="Z202" i="11" s="1"/>
  <c r="Z226" i="11" s="1"/>
  <c r="Z250" i="11" s="1"/>
  <c r="Z274" i="11" s="1"/>
  <c r="Z298" i="11" s="1"/>
  <c r="Z131" i="11"/>
  <c r="Z155" i="11" s="1"/>
  <c r="Z179" i="11" s="1"/>
  <c r="Z203" i="11" s="1"/>
  <c r="Z227" i="11" s="1"/>
  <c r="Z251" i="11" s="1"/>
  <c r="Z275" i="11" s="1"/>
  <c r="Z299" i="11" s="1"/>
  <c r="Z209" i="11"/>
  <c r="Z233" i="11" s="1"/>
  <c r="Z257" i="11" s="1"/>
  <c r="Z281" i="11" s="1"/>
  <c r="Z305" i="11" s="1"/>
  <c r="Z329" i="11" s="1"/>
  <c r="Z353" i="11" s="1"/>
  <c r="Z377" i="11" s="1"/>
  <c r="Z210" i="11"/>
  <c r="Z234" i="11" s="1"/>
  <c r="Z258" i="11" s="1"/>
  <c r="Z282" i="11" s="1"/>
  <c r="Z306" i="11" s="1"/>
  <c r="Z330" i="11" s="1"/>
  <c r="Z321" i="11"/>
  <c r="Z345" i="11" s="1"/>
  <c r="Z369" i="11" s="1"/>
  <c r="Z322" i="11"/>
  <c r="Z346" i="11" s="1"/>
  <c r="Z370" i="11" s="1"/>
  <c r="Z323" i="11"/>
  <c r="Z347" i="11" s="1"/>
  <c r="Z371" i="11" s="1"/>
  <c r="Z354" i="11"/>
  <c r="Z378" i="11" s="1"/>
  <c r="Z356" i="11"/>
  <c r="Z380" i="11" s="1"/>
  <c r="Z28" i="11"/>
  <c r="Z52" i="11" s="1"/>
  <c r="Z76" i="11" s="1"/>
  <c r="Z100" i="11" s="1"/>
  <c r="Z124" i="11" s="1"/>
  <c r="Z148" i="11" s="1"/>
  <c r="Z172" i="11" s="1"/>
  <c r="Z196" i="11" s="1"/>
  <c r="Z220" i="11" s="1"/>
  <c r="Z244" i="11" s="1"/>
  <c r="Z268" i="11" s="1"/>
  <c r="Z292" i="11" s="1"/>
  <c r="Z316" i="11" s="1"/>
  <c r="Z340" i="11" s="1"/>
  <c r="Z364" i="11" s="1"/>
  <c r="N819" i="8"/>
  <c r="A820" i="8"/>
  <c r="B843" i="8"/>
  <c r="B867" i="8" s="1"/>
  <c r="G843" i="8"/>
  <c r="G867" i="8" s="1"/>
  <c r="I843" i="8"/>
  <c r="I867" i="8" s="1"/>
  <c r="I891" i="8" s="1"/>
  <c r="I915" i="8" s="1"/>
  <c r="I939" i="8" s="1"/>
  <c r="I963" i="8" s="1"/>
  <c r="I987" i="8" s="1"/>
  <c r="I1011" i="8" s="1"/>
  <c r="I1035" i="8" s="1"/>
  <c r="I1059" i="8" s="1"/>
  <c r="I1083" i="8" s="1"/>
  <c r="I1107" i="8" s="1"/>
  <c r="I1131" i="8" s="1"/>
  <c r="I1155" i="8" s="1"/>
  <c r="I1179" i="8" s="1"/>
  <c r="I1203" i="8" s="1"/>
  <c r="I1227" i="8" s="1"/>
  <c r="I1251" i="8" s="1"/>
  <c r="I1275" i="8" s="1"/>
  <c r="I1299" i="8" s="1"/>
  <c r="I1323" i="8" s="1"/>
  <c r="I1347" i="8" s="1"/>
  <c r="I1371" i="8" s="1"/>
  <c r="I1395" i="8" s="1"/>
  <c r="I1419" i="8" s="1"/>
  <c r="I1443" i="8" s="1"/>
  <c r="I1467" i="8" s="1"/>
  <c r="I1491" i="8" s="1"/>
  <c r="I1515" i="8" s="1"/>
  <c r="I1539" i="8" s="1"/>
  <c r="I1563" i="8" s="1"/>
  <c r="I1587" i="8" s="1"/>
  <c r="I1611" i="8" s="1"/>
  <c r="I1635" i="8" s="1"/>
  <c r="I1659" i="8" s="1"/>
  <c r="I1683" i="8" s="1"/>
  <c r="I1707" i="8" s="1"/>
  <c r="I1731" i="8" s="1"/>
  <c r="I1755" i="8" s="1"/>
  <c r="I1779" i="8" s="1"/>
  <c r="I1803" i="8" s="1"/>
  <c r="I1827" i="8" s="1"/>
  <c r="I1851" i="8" s="1"/>
  <c r="I1875" i="8" s="1"/>
  <c r="I1899" i="8" s="1"/>
  <c r="I1923" i="8" s="1"/>
  <c r="I1947" i="8" s="1"/>
  <c r="I1971" i="8" s="1"/>
  <c r="I1995" i="8" s="1"/>
  <c r="I2019" i="8" s="1"/>
  <c r="I2043" i="8" s="1"/>
  <c r="I2067" i="8" s="1"/>
  <c r="I2091" i="8" s="1"/>
  <c r="I2115" i="8" s="1"/>
  <c r="I2139" i="8" s="1"/>
  <c r="I2163" i="8" s="1"/>
  <c r="I2187" i="8" s="1"/>
  <c r="I2211" i="8" s="1"/>
  <c r="I2235" i="8" s="1"/>
  <c r="I2259" i="8" s="1"/>
  <c r="I2283" i="8" s="1"/>
  <c r="I2307" i="8" s="1"/>
  <c r="I2331" i="8" s="1"/>
  <c r="I2355" i="8" s="1"/>
  <c r="I2379" i="8" s="1"/>
  <c r="I2403" i="8" s="1"/>
  <c r="I2427" i="8" s="1"/>
  <c r="I2451" i="8" s="1"/>
  <c r="I2475" i="8" s="1"/>
  <c r="I2499" i="8" s="1"/>
  <c r="I2523" i="8" s="1"/>
  <c r="I2547" i="8" s="1"/>
  <c r="I2571" i="8" s="1"/>
  <c r="I2595" i="8" s="1"/>
  <c r="I2619" i="8" s="1"/>
  <c r="I2643" i="8" s="1"/>
  <c r="I2667" i="8" s="1"/>
  <c r="I2691" i="8" s="1"/>
  <c r="I2715" i="8" s="1"/>
  <c r="I2739" i="8" s="1"/>
  <c r="I2763" i="8" s="1"/>
  <c r="I2787" i="8" s="1"/>
  <c r="I2811" i="8" s="1"/>
  <c r="I2835" i="8" s="1"/>
  <c r="I2859" i="8" s="1"/>
  <c r="I2883" i="8" s="1"/>
  <c r="I2907" i="8" s="1"/>
  <c r="I2931" i="8" s="1"/>
  <c r="I2955" i="8" s="1"/>
  <c r="I2979" i="8" s="1"/>
  <c r="I3003" i="8" s="1"/>
  <c r="K843" i="8"/>
  <c r="V843" i="8"/>
  <c r="V867" i="8" s="1"/>
  <c r="W843" i="8"/>
  <c r="W867" i="8" s="1"/>
  <c r="B844" i="8"/>
  <c r="B868" i="8" s="1"/>
  <c r="G844" i="8"/>
  <c r="G868" i="8" s="1"/>
  <c r="I844" i="8"/>
  <c r="I868" i="8" s="1"/>
  <c r="I892" i="8" s="1"/>
  <c r="I916" i="8" s="1"/>
  <c r="I940" i="8" s="1"/>
  <c r="I964" i="8" s="1"/>
  <c r="I988" i="8" s="1"/>
  <c r="I1012" i="8" s="1"/>
  <c r="I1036" i="8" s="1"/>
  <c r="I1060" i="8" s="1"/>
  <c r="I1084" i="8" s="1"/>
  <c r="I1108" i="8" s="1"/>
  <c r="I1132" i="8" s="1"/>
  <c r="I1156" i="8" s="1"/>
  <c r="I1180" i="8" s="1"/>
  <c r="I1204" i="8" s="1"/>
  <c r="I1228" i="8" s="1"/>
  <c r="I1252" i="8" s="1"/>
  <c r="I1276" i="8" s="1"/>
  <c r="I1300" i="8" s="1"/>
  <c r="I1324" i="8" s="1"/>
  <c r="I1348" i="8" s="1"/>
  <c r="I1372" i="8" s="1"/>
  <c r="I1396" i="8" s="1"/>
  <c r="I1420" i="8" s="1"/>
  <c r="I1444" i="8" s="1"/>
  <c r="I1468" i="8" s="1"/>
  <c r="I1492" i="8" s="1"/>
  <c r="I1516" i="8" s="1"/>
  <c r="I1540" i="8" s="1"/>
  <c r="I1564" i="8" s="1"/>
  <c r="I1588" i="8" s="1"/>
  <c r="I1612" i="8" s="1"/>
  <c r="I1636" i="8" s="1"/>
  <c r="I1660" i="8" s="1"/>
  <c r="I1684" i="8" s="1"/>
  <c r="I1708" i="8" s="1"/>
  <c r="I1732" i="8" s="1"/>
  <c r="I1756" i="8" s="1"/>
  <c r="I1780" i="8" s="1"/>
  <c r="I1804" i="8" s="1"/>
  <c r="I1828" i="8" s="1"/>
  <c r="I1852" i="8" s="1"/>
  <c r="I1876" i="8" s="1"/>
  <c r="I1900" i="8" s="1"/>
  <c r="I1924" i="8" s="1"/>
  <c r="I1948" i="8" s="1"/>
  <c r="I1972" i="8" s="1"/>
  <c r="I1996" i="8" s="1"/>
  <c r="I2020" i="8" s="1"/>
  <c r="I2044" i="8" s="1"/>
  <c r="I2068" i="8" s="1"/>
  <c r="I2092" i="8" s="1"/>
  <c r="I2116" i="8" s="1"/>
  <c r="I2140" i="8" s="1"/>
  <c r="I2164" i="8" s="1"/>
  <c r="I2188" i="8" s="1"/>
  <c r="I2212" i="8" s="1"/>
  <c r="I2236" i="8" s="1"/>
  <c r="I2260" i="8" s="1"/>
  <c r="I2284" i="8" s="1"/>
  <c r="I2308" i="8" s="1"/>
  <c r="I2332" i="8" s="1"/>
  <c r="I2356" i="8" s="1"/>
  <c r="I2380" i="8" s="1"/>
  <c r="I2404" i="8" s="1"/>
  <c r="I2428" i="8" s="1"/>
  <c r="I2452" i="8" s="1"/>
  <c r="I2476" i="8" s="1"/>
  <c r="I2500" i="8" s="1"/>
  <c r="I2524" i="8" s="1"/>
  <c r="I2548" i="8" s="1"/>
  <c r="I2572" i="8" s="1"/>
  <c r="I2596" i="8" s="1"/>
  <c r="I2620" i="8" s="1"/>
  <c r="I2644" i="8" s="1"/>
  <c r="I2668" i="8" s="1"/>
  <c r="I2692" i="8" s="1"/>
  <c r="I2716" i="8" s="1"/>
  <c r="I2740" i="8" s="1"/>
  <c r="I2764" i="8" s="1"/>
  <c r="I2788" i="8" s="1"/>
  <c r="I2812" i="8" s="1"/>
  <c r="I2836" i="8" s="1"/>
  <c r="I2860" i="8" s="1"/>
  <c r="I2884" i="8" s="1"/>
  <c r="I2908" i="8" s="1"/>
  <c r="I2932" i="8" s="1"/>
  <c r="I2956" i="8" s="1"/>
  <c r="I2980" i="8" s="1"/>
  <c r="I3004" i="8" s="1"/>
  <c r="K844" i="8"/>
  <c r="K868" i="8" s="1"/>
  <c r="V844" i="8"/>
  <c r="V868" i="8" s="1"/>
  <c r="W844" i="8"/>
  <c r="W868" i="8" s="1"/>
  <c r="B845" i="8"/>
  <c r="B869" i="8" s="1"/>
  <c r="G845" i="8"/>
  <c r="G869" i="8" s="1"/>
  <c r="I845" i="8"/>
  <c r="I869" i="8" s="1"/>
  <c r="I893" i="8" s="1"/>
  <c r="I917" i="8" s="1"/>
  <c r="I941" i="8" s="1"/>
  <c r="I965" i="8" s="1"/>
  <c r="I989" i="8" s="1"/>
  <c r="I1013" i="8" s="1"/>
  <c r="I1037" i="8" s="1"/>
  <c r="I1061" i="8" s="1"/>
  <c r="I1085" i="8" s="1"/>
  <c r="I1109" i="8" s="1"/>
  <c r="I1133" i="8" s="1"/>
  <c r="I1157" i="8" s="1"/>
  <c r="I1181" i="8" s="1"/>
  <c r="I1205" i="8" s="1"/>
  <c r="I1229" i="8" s="1"/>
  <c r="I1253" i="8" s="1"/>
  <c r="I1277" i="8" s="1"/>
  <c r="I1301" i="8" s="1"/>
  <c r="I1325" i="8" s="1"/>
  <c r="I1349" i="8" s="1"/>
  <c r="I1373" i="8" s="1"/>
  <c r="I1397" i="8" s="1"/>
  <c r="I1421" i="8" s="1"/>
  <c r="I1445" i="8" s="1"/>
  <c r="I1469" i="8" s="1"/>
  <c r="I1493" i="8" s="1"/>
  <c r="I1517" i="8" s="1"/>
  <c r="I1541" i="8" s="1"/>
  <c r="I1565" i="8" s="1"/>
  <c r="I1589" i="8" s="1"/>
  <c r="I1613" i="8" s="1"/>
  <c r="I1637" i="8" s="1"/>
  <c r="I1661" i="8" s="1"/>
  <c r="I1685" i="8" s="1"/>
  <c r="I1709" i="8" s="1"/>
  <c r="I1733" i="8" s="1"/>
  <c r="I1757" i="8" s="1"/>
  <c r="I1781" i="8" s="1"/>
  <c r="I1805" i="8" s="1"/>
  <c r="I1829" i="8" s="1"/>
  <c r="I1853" i="8" s="1"/>
  <c r="I1877" i="8" s="1"/>
  <c r="I1901" i="8" s="1"/>
  <c r="I1925" i="8" s="1"/>
  <c r="I1949" i="8" s="1"/>
  <c r="I1973" i="8" s="1"/>
  <c r="I1997" i="8" s="1"/>
  <c r="I2021" i="8" s="1"/>
  <c r="I2045" i="8" s="1"/>
  <c r="I2069" i="8" s="1"/>
  <c r="I2093" i="8" s="1"/>
  <c r="I2117" i="8" s="1"/>
  <c r="I2141" i="8" s="1"/>
  <c r="I2165" i="8" s="1"/>
  <c r="I2189" i="8" s="1"/>
  <c r="I2213" i="8" s="1"/>
  <c r="I2237" i="8" s="1"/>
  <c r="I2261" i="8" s="1"/>
  <c r="I2285" i="8" s="1"/>
  <c r="I2309" i="8" s="1"/>
  <c r="I2333" i="8" s="1"/>
  <c r="I2357" i="8" s="1"/>
  <c r="I2381" i="8" s="1"/>
  <c r="I2405" i="8" s="1"/>
  <c r="I2429" i="8" s="1"/>
  <c r="I2453" i="8" s="1"/>
  <c r="I2477" i="8" s="1"/>
  <c r="I2501" i="8" s="1"/>
  <c r="I2525" i="8" s="1"/>
  <c r="I2549" i="8" s="1"/>
  <c r="I2573" i="8" s="1"/>
  <c r="I2597" i="8" s="1"/>
  <c r="I2621" i="8" s="1"/>
  <c r="I2645" i="8" s="1"/>
  <c r="I2669" i="8" s="1"/>
  <c r="I2693" i="8" s="1"/>
  <c r="I2717" i="8" s="1"/>
  <c r="I2741" i="8" s="1"/>
  <c r="I2765" i="8" s="1"/>
  <c r="I2789" i="8" s="1"/>
  <c r="I2813" i="8" s="1"/>
  <c r="I2837" i="8" s="1"/>
  <c r="I2861" i="8" s="1"/>
  <c r="I2885" i="8" s="1"/>
  <c r="I2909" i="8" s="1"/>
  <c r="I2933" i="8" s="1"/>
  <c r="I2957" i="8" s="1"/>
  <c r="I2981" i="8" s="1"/>
  <c r="I3005" i="8" s="1"/>
  <c r="K845" i="8"/>
  <c r="K869" i="8" s="1"/>
  <c r="V845" i="8"/>
  <c r="V869" i="8" s="1"/>
  <c r="W845" i="8"/>
  <c r="W869" i="8" s="1"/>
  <c r="B846" i="8"/>
  <c r="B870" i="8" s="1"/>
  <c r="G846" i="8"/>
  <c r="G870" i="8" s="1"/>
  <c r="I846" i="8"/>
  <c r="I870" i="8" s="1"/>
  <c r="I894" i="8" s="1"/>
  <c r="I918" i="8" s="1"/>
  <c r="I942" i="8" s="1"/>
  <c r="I966" i="8" s="1"/>
  <c r="I990" i="8" s="1"/>
  <c r="I1014" i="8" s="1"/>
  <c r="I1038" i="8" s="1"/>
  <c r="I1062" i="8" s="1"/>
  <c r="I1086" i="8" s="1"/>
  <c r="I1110" i="8" s="1"/>
  <c r="I1134" i="8" s="1"/>
  <c r="I1158" i="8" s="1"/>
  <c r="I1182" i="8" s="1"/>
  <c r="I1206" i="8" s="1"/>
  <c r="I1230" i="8" s="1"/>
  <c r="I1254" i="8" s="1"/>
  <c r="I1278" i="8" s="1"/>
  <c r="I1302" i="8" s="1"/>
  <c r="I1326" i="8" s="1"/>
  <c r="I1350" i="8" s="1"/>
  <c r="I1374" i="8" s="1"/>
  <c r="I1398" i="8" s="1"/>
  <c r="I1422" i="8" s="1"/>
  <c r="I1446" i="8" s="1"/>
  <c r="I1470" i="8" s="1"/>
  <c r="I1494" i="8" s="1"/>
  <c r="I1518" i="8" s="1"/>
  <c r="I1542" i="8" s="1"/>
  <c r="I1566" i="8" s="1"/>
  <c r="I1590" i="8" s="1"/>
  <c r="I1614" i="8" s="1"/>
  <c r="I1638" i="8" s="1"/>
  <c r="I1662" i="8" s="1"/>
  <c r="I1686" i="8" s="1"/>
  <c r="I1710" i="8" s="1"/>
  <c r="I1734" i="8" s="1"/>
  <c r="I1758" i="8" s="1"/>
  <c r="I1782" i="8" s="1"/>
  <c r="I1806" i="8" s="1"/>
  <c r="I1830" i="8" s="1"/>
  <c r="I1854" i="8" s="1"/>
  <c r="I1878" i="8" s="1"/>
  <c r="I1902" i="8" s="1"/>
  <c r="I1926" i="8" s="1"/>
  <c r="I1950" i="8" s="1"/>
  <c r="I1974" i="8" s="1"/>
  <c r="I1998" i="8" s="1"/>
  <c r="I2022" i="8" s="1"/>
  <c r="I2046" i="8" s="1"/>
  <c r="I2070" i="8" s="1"/>
  <c r="I2094" i="8" s="1"/>
  <c r="I2118" i="8" s="1"/>
  <c r="I2142" i="8" s="1"/>
  <c r="I2166" i="8" s="1"/>
  <c r="I2190" i="8" s="1"/>
  <c r="I2214" i="8" s="1"/>
  <c r="I2238" i="8" s="1"/>
  <c r="I2262" i="8" s="1"/>
  <c r="I2286" i="8" s="1"/>
  <c r="I2310" i="8" s="1"/>
  <c r="I2334" i="8" s="1"/>
  <c r="I2358" i="8" s="1"/>
  <c r="I2382" i="8" s="1"/>
  <c r="I2406" i="8" s="1"/>
  <c r="I2430" i="8" s="1"/>
  <c r="I2454" i="8" s="1"/>
  <c r="I2478" i="8" s="1"/>
  <c r="I2502" i="8" s="1"/>
  <c r="I2526" i="8" s="1"/>
  <c r="I2550" i="8" s="1"/>
  <c r="I2574" i="8" s="1"/>
  <c r="I2598" i="8" s="1"/>
  <c r="I2622" i="8" s="1"/>
  <c r="I2646" i="8" s="1"/>
  <c r="I2670" i="8" s="1"/>
  <c r="I2694" i="8" s="1"/>
  <c r="I2718" i="8" s="1"/>
  <c r="I2742" i="8" s="1"/>
  <c r="I2766" i="8" s="1"/>
  <c r="I2790" i="8" s="1"/>
  <c r="I2814" i="8" s="1"/>
  <c r="I2838" i="8" s="1"/>
  <c r="I2862" i="8" s="1"/>
  <c r="I2886" i="8" s="1"/>
  <c r="I2910" i="8" s="1"/>
  <c r="I2934" i="8" s="1"/>
  <c r="I2958" i="8" s="1"/>
  <c r="I2982" i="8" s="1"/>
  <c r="I3006" i="8" s="1"/>
  <c r="K846" i="8"/>
  <c r="K870" i="8" s="1"/>
  <c r="V846" i="8"/>
  <c r="V870" i="8" s="1"/>
  <c r="W846" i="8"/>
  <c r="W870" i="8" s="1"/>
  <c r="B847" i="8"/>
  <c r="B871" i="8" s="1"/>
  <c r="G847" i="8"/>
  <c r="G871" i="8" s="1"/>
  <c r="I847" i="8"/>
  <c r="I871" i="8" s="1"/>
  <c r="I895" i="8" s="1"/>
  <c r="I919" i="8" s="1"/>
  <c r="I943" i="8" s="1"/>
  <c r="I967" i="8" s="1"/>
  <c r="I991" i="8" s="1"/>
  <c r="I1015" i="8" s="1"/>
  <c r="I1039" i="8" s="1"/>
  <c r="I1063" i="8" s="1"/>
  <c r="I1087" i="8" s="1"/>
  <c r="I1111" i="8" s="1"/>
  <c r="I1135" i="8" s="1"/>
  <c r="I1159" i="8" s="1"/>
  <c r="I1183" i="8" s="1"/>
  <c r="I1207" i="8" s="1"/>
  <c r="I1231" i="8" s="1"/>
  <c r="I1255" i="8" s="1"/>
  <c r="I1279" i="8" s="1"/>
  <c r="I1303" i="8" s="1"/>
  <c r="I1327" i="8" s="1"/>
  <c r="I1351" i="8" s="1"/>
  <c r="I1375" i="8" s="1"/>
  <c r="I1399" i="8" s="1"/>
  <c r="I1423" i="8" s="1"/>
  <c r="I1447" i="8" s="1"/>
  <c r="I1471" i="8" s="1"/>
  <c r="I1495" i="8" s="1"/>
  <c r="I1519" i="8" s="1"/>
  <c r="I1543" i="8" s="1"/>
  <c r="I1567" i="8" s="1"/>
  <c r="I1591" i="8" s="1"/>
  <c r="I1615" i="8" s="1"/>
  <c r="I1639" i="8" s="1"/>
  <c r="I1663" i="8" s="1"/>
  <c r="I1687" i="8" s="1"/>
  <c r="I1711" i="8" s="1"/>
  <c r="I1735" i="8" s="1"/>
  <c r="I1759" i="8" s="1"/>
  <c r="I1783" i="8" s="1"/>
  <c r="I1807" i="8" s="1"/>
  <c r="I1831" i="8" s="1"/>
  <c r="I1855" i="8" s="1"/>
  <c r="I1879" i="8" s="1"/>
  <c r="I1903" i="8" s="1"/>
  <c r="I1927" i="8" s="1"/>
  <c r="I1951" i="8" s="1"/>
  <c r="I1975" i="8" s="1"/>
  <c r="I1999" i="8" s="1"/>
  <c r="I2023" i="8" s="1"/>
  <c r="I2047" i="8" s="1"/>
  <c r="I2071" i="8" s="1"/>
  <c r="I2095" i="8" s="1"/>
  <c r="I2119" i="8" s="1"/>
  <c r="I2143" i="8" s="1"/>
  <c r="I2167" i="8" s="1"/>
  <c r="I2191" i="8" s="1"/>
  <c r="I2215" i="8" s="1"/>
  <c r="I2239" i="8" s="1"/>
  <c r="I2263" i="8" s="1"/>
  <c r="I2287" i="8" s="1"/>
  <c r="I2311" i="8" s="1"/>
  <c r="I2335" i="8" s="1"/>
  <c r="I2359" i="8" s="1"/>
  <c r="I2383" i="8" s="1"/>
  <c r="I2407" i="8" s="1"/>
  <c r="I2431" i="8" s="1"/>
  <c r="I2455" i="8" s="1"/>
  <c r="I2479" i="8" s="1"/>
  <c r="I2503" i="8" s="1"/>
  <c r="I2527" i="8" s="1"/>
  <c r="I2551" i="8" s="1"/>
  <c r="I2575" i="8" s="1"/>
  <c r="I2599" i="8" s="1"/>
  <c r="I2623" i="8" s="1"/>
  <c r="I2647" i="8" s="1"/>
  <c r="I2671" i="8" s="1"/>
  <c r="I2695" i="8" s="1"/>
  <c r="I2719" i="8" s="1"/>
  <c r="I2743" i="8" s="1"/>
  <c r="I2767" i="8" s="1"/>
  <c r="I2791" i="8" s="1"/>
  <c r="I2815" i="8" s="1"/>
  <c r="I2839" i="8" s="1"/>
  <c r="I2863" i="8" s="1"/>
  <c r="I2887" i="8" s="1"/>
  <c r="I2911" i="8" s="1"/>
  <c r="I2935" i="8" s="1"/>
  <c r="I2959" i="8" s="1"/>
  <c r="I2983" i="8" s="1"/>
  <c r="I3007" i="8" s="1"/>
  <c r="K847" i="8"/>
  <c r="K871" i="8" s="1"/>
  <c r="V847" i="8"/>
  <c r="V871" i="8" s="1"/>
  <c r="W847" i="8"/>
  <c r="W871" i="8" s="1"/>
  <c r="B848" i="8"/>
  <c r="B872" i="8" s="1"/>
  <c r="G848" i="8"/>
  <c r="G872" i="8" s="1"/>
  <c r="I848" i="8"/>
  <c r="I872" i="8" s="1"/>
  <c r="I896" i="8" s="1"/>
  <c r="I920" i="8" s="1"/>
  <c r="I944" i="8" s="1"/>
  <c r="I968" i="8" s="1"/>
  <c r="I992" i="8" s="1"/>
  <c r="I1016" i="8" s="1"/>
  <c r="I1040" i="8" s="1"/>
  <c r="I1064" i="8" s="1"/>
  <c r="I1088" i="8" s="1"/>
  <c r="I1112" i="8" s="1"/>
  <c r="I1136" i="8" s="1"/>
  <c r="I1160" i="8" s="1"/>
  <c r="I1184" i="8" s="1"/>
  <c r="I1208" i="8" s="1"/>
  <c r="I1232" i="8" s="1"/>
  <c r="I1256" i="8" s="1"/>
  <c r="I1280" i="8" s="1"/>
  <c r="I1304" i="8" s="1"/>
  <c r="I1328" i="8" s="1"/>
  <c r="I1352" i="8" s="1"/>
  <c r="I1376" i="8" s="1"/>
  <c r="I1400" i="8" s="1"/>
  <c r="I1424" i="8" s="1"/>
  <c r="I1448" i="8" s="1"/>
  <c r="I1472" i="8" s="1"/>
  <c r="I1496" i="8" s="1"/>
  <c r="I1520" i="8" s="1"/>
  <c r="I1544" i="8" s="1"/>
  <c r="I1568" i="8" s="1"/>
  <c r="I1592" i="8" s="1"/>
  <c r="I1616" i="8" s="1"/>
  <c r="I1640" i="8" s="1"/>
  <c r="I1664" i="8" s="1"/>
  <c r="I1688" i="8" s="1"/>
  <c r="I1712" i="8" s="1"/>
  <c r="I1736" i="8" s="1"/>
  <c r="I1760" i="8" s="1"/>
  <c r="I1784" i="8" s="1"/>
  <c r="I1808" i="8" s="1"/>
  <c r="I1832" i="8" s="1"/>
  <c r="I1856" i="8" s="1"/>
  <c r="I1880" i="8" s="1"/>
  <c r="I1904" i="8" s="1"/>
  <c r="I1928" i="8" s="1"/>
  <c r="I1952" i="8" s="1"/>
  <c r="I1976" i="8" s="1"/>
  <c r="I2000" i="8" s="1"/>
  <c r="I2024" i="8" s="1"/>
  <c r="I2048" i="8" s="1"/>
  <c r="I2072" i="8" s="1"/>
  <c r="I2096" i="8" s="1"/>
  <c r="I2120" i="8" s="1"/>
  <c r="I2144" i="8" s="1"/>
  <c r="I2168" i="8" s="1"/>
  <c r="I2192" i="8" s="1"/>
  <c r="I2216" i="8" s="1"/>
  <c r="I2240" i="8" s="1"/>
  <c r="I2264" i="8" s="1"/>
  <c r="I2288" i="8" s="1"/>
  <c r="I2312" i="8" s="1"/>
  <c r="I2336" i="8" s="1"/>
  <c r="I2360" i="8" s="1"/>
  <c r="I2384" i="8" s="1"/>
  <c r="I2408" i="8" s="1"/>
  <c r="I2432" i="8" s="1"/>
  <c r="I2456" i="8" s="1"/>
  <c r="I2480" i="8" s="1"/>
  <c r="I2504" i="8" s="1"/>
  <c r="I2528" i="8" s="1"/>
  <c r="I2552" i="8" s="1"/>
  <c r="I2576" i="8" s="1"/>
  <c r="I2600" i="8" s="1"/>
  <c r="I2624" i="8" s="1"/>
  <c r="I2648" i="8" s="1"/>
  <c r="I2672" i="8" s="1"/>
  <c r="I2696" i="8" s="1"/>
  <c r="I2720" i="8" s="1"/>
  <c r="I2744" i="8" s="1"/>
  <c r="I2768" i="8" s="1"/>
  <c r="I2792" i="8" s="1"/>
  <c r="I2816" i="8" s="1"/>
  <c r="I2840" i="8" s="1"/>
  <c r="I2864" i="8" s="1"/>
  <c r="I2888" i="8" s="1"/>
  <c r="I2912" i="8" s="1"/>
  <c r="I2936" i="8" s="1"/>
  <c r="I2960" i="8" s="1"/>
  <c r="I2984" i="8" s="1"/>
  <c r="I3008" i="8" s="1"/>
  <c r="K848" i="8"/>
  <c r="K872" i="8" s="1"/>
  <c r="V848" i="8"/>
  <c r="V872" i="8" s="1"/>
  <c r="W848" i="8"/>
  <c r="W872" i="8" s="1"/>
  <c r="B849" i="8"/>
  <c r="B873" i="8" s="1"/>
  <c r="G849" i="8"/>
  <c r="G873" i="8" s="1"/>
  <c r="I849" i="8"/>
  <c r="I873" i="8" s="1"/>
  <c r="I897" i="8" s="1"/>
  <c r="I921" i="8" s="1"/>
  <c r="I945" i="8" s="1"/>
  <c r="I969" i="8" s="1"/>
  <c r="I993" i="8" s="1"/>
  <c r="I1017" i="8" s="1"/>
  <c r="I1041" i="8" s="1"/>
  <c r="I1065" i="8" s="1"/>
  <c r="I1089" i="8" s="1"/>
  <c r="I1113" i="8" s="1"/>
  <c r="I1137" i="8" s="1"/>
  <c r="I1161" i="8" s="1"/>
  <c r="I1185" i="8" s="1"/>
  <c r="I1209" i="8" s="1"/>
  <c r="I1233" i="8" s="1"/>
  <c r="I1257" i="8" s="1"/>
  <c r="I1281" i="8" s="1"/>
  <c r="I1305" i="8" s="1"/>
  <c r="I1329" i="8" s="1"/>
  <c r="I1353" i="8" s="1"/>
  <c r="I1377" i="8" s="1"/>
  <c r="I1401" i="8" s="1"/>
  <c r="I1425" i="8" s="1"/>
  <c r="I1449" i="8" s="1"/>
  <c r="I1473" i="8" s="1"/>
  <c r="I1497" i="8" s="1"/>
  <c r="I1521" i="8" s="1"/>
  <c r="I1545" i="8" s="1"/>
  <c r="I1569" i="8" s="1"/>
  <c r="I1593" i="8" s="1"/>
  <c r="I1617" i="8" s="1"/>
  <c r="I1641" i="8" s="1"/>
  <c r="I1665" i="8" s="1"/>
  <c r="I1689" i="8" s="1"/>
  <c r="I1713" i="8" s="1"/>
  <c r="I1737" i="8" s="1"/>
  <c r="I1761" i="8" s="1"/>
  <c r="I1785" i="8" s="1"/>
  <c r="I1809" i="8" s="1"/>
  <c r="I1833" i="8" s="1"/>
  <c r="I1857" i="8" s="1"/>
  <c r="I1881" i="8" s="1"/>
  <c r="I1905" i="8" s="1"/>
  <c r="I1929" i="8" s="1"/>
  <c r="I1953" i="8" s="1"/>
  <c r="I1977" i="8" s="1"/>
  <c r="I2001" i="8" s="1"/>
  <c r="I2025" i="8" s="1"/>
  <c r="I2049" i="8" s="1"/>
  <c r="I2073" i="8" s="1"/>
  <c r="I2097" i="8" s="1"/>
  <c r="I2121" i="8" s="1"/>
  <c r="I2145" i="8" s="1"/>
  <c r="I2169" i="8" s="1"/>
  <c r="I2193" i="8" s="1"/>
  <c r="I2217" i="8" s="1"/>
  <c r="I2241" i="8" s="1"/>
  <c r="I2265" i="8" s="1"/>
  <c r="I2289" i="8" s="1"/>
  <c r="I2313" i="8" s="1"/>
  <c r="I2337" i="8" s="1"/>
  <c r="I2361" i="8" s="1"/>
  <c r="I2385" i="8" s="1"/>
  <c r="I2409" i="8" s="1"/>
  <c r="I2433" i="8" s="1"/>
  <c r="I2457" i="8" s="1"/>
  <c r="I2481" i="8" s="1"/>
  <c r="I2505" i="8" s="1"/>
  <c r="I2529" i="8" s="1"/>
  <c r="I2553" i="8" s="1"/>
  <c r="I2577" i="8" s="1"/>
  <c r="I2601" i="8" s="1"/>
  <c r="I2625" i="8" s="1"/>
  <c r="I2649" i="8" s="1"/>
  <c r="I2673" i="8" s="1"/>
  <c r="I2697" i="8" s="1"/>
  <c r="I2721" i="8" s="1"/>
  <c r="I2745" i="8" s="1"/>
  <c r="I2769" i="8" s="1"/>
  <c r="I2793" i="8" s="1"/>
  <c r="I2817" i="8" s="1"/>
  <c r="I2841" i="8" s="1"/>
  <c r="I2865" i="8" s="1"/>
  <c r="I2889" i="8" s="1"/>
  <c r="I2913" i="8" s="1"/>
  <c r="I2937" i="8" s="1"/>
  <c r="I2961" i="8" s="1"/>
  <c r="I2985" i="8" s="1"/>
  <c r="I3009" i="8" s="1"/>
  <c r="K849" i="8"/>
  <c r="K873" i="8" s="1"/>
  <c r="V849" i="8"/>
  <c r="V873" i="8" s="1"/>
  <c r="W849" i="8"/>
  <c r="W873" i="8" s="1"/>
  <c r="B850" i="8"/>
  <c r="B874" i="8" s="1"/>
  <c r="G850" i="8"/>
  <c r="G874" i="8" s="1"/>
  <c r="I850" i="8"/>
  <c r="I874" i="8" s="1"/>
  <c r="I898" i="8" s="1"/>
  <c r="I922" i="8" s="1"/>
  <c r="I946" i="8" s="1"/>
  <c r="I970" i="8" s="1"/>
  <c r="I994" i="8" s="1"/>
  <c r="I1018" i="8" s="1"/>
  <c r="I1042" i="8" s="1"/>
  <c r="I1066" i="8" s="1"/>
  <c r="I1090" i="8" s="1"/>
  <c r="I1114" i="8" s="1"/>
  <c r="I1138" i="8" s="1"/>
  <c r="I1162" i="8" s="1"/>
  <c r="I1186" i="8" s="1"/>
  <c r="I1210" i="8" s="1"/>
  <c r="I1234" i="8" s="1"/>
  <c r="I1258" i="8" s="1"/>
  <c r="I1282" i="8" s="1"/>
  <c r="I1306" i="8" s="1"/>
  <c r="I1330" i="8" s="1"/>
  <c r="I1354" i="8" s="1"/>
  <c r="I1378" i="8" s="1"/>
  <c r="I1402" i="8" s="1"/>
  <c r="I1426" i="8" s="1"/>
  <c r="I1450" i="8" s="1"/>
  <c r="I1474" i="8" s="1"/>
  <c r="I1498" i="8" s="1"/>
  <c r="I1522" i="8" s="1"/>
  <c r="I1546" i="8" s="1"/>
  <c r="I1570" i="8" s="1"/>
  <c r="I1594" i="8" s="1"/>
  <c r="I1618" i="8" s="1"/>
  <c r="I1642" i="8" s="1"/>
  <c r="I1666" i="8" s="1"/>
  <c r="I1690" i="8" s="1"/>
  <c r="I1714" i="8" s="1"/>
  <c r="I1738" i="8" s="1"/>
  <c r="I1762" i="8" s="1"/>
  <c r="I1786" i="8" s="1"/>
  <c r="I1810" i="8" s="1"/>
  <c r="I1834" i="8" s="1"/>
  <c r="I1858" i="8" s="1"/>
  <c r="I1882" i="8" s="1"/>
  <c r="I1906" i="8" s="1"/>
  <c r="I1930" i="8" s="1"/>
  <c r="I1954" i="8" s="1"/>
  <c r="I1978" i="8" s="1"/>
  <c r="I2002" i="8" s="1"/>
  <c r="I2026" i="8" s="1"/>
  <c r="I2050" i="8" s="1"/>
  <c r="I2074" i="8" s="1"/>
  <c r="I2098" i="8" s="1"/>
  <c r="I2122" i="8" s="1"/>
  <c r="I2146" i="8" s="1"/>
  <c r="I2170" i="8" s="1"/>
  <c r="I2194" i="8" s="1"/>
  <c r="I2218" i="8" s="1"/>
  <c r="I2242" i="8" s="1"/>
  <c r="I2266" i="8" s="1"/>
  <c r="I2290" i="8" s="1"/>
  <c r="I2314" i="8" s="1"/>
  <c r="I2338" i="8" s="1"/>
  <c r="I2362" i="8" s="1"/>
  <c r="I2386" i="8" s="1"/>
  <c r="I2410" i="8" s="1"/>
  <c r="I2434" i="8" s="1"/>
  <c r="I2458" i="8" s="1"/>
  <c r="I2482" i="8" s="1"/>
  <c r="I2506" i="8" s="1"/>
  <c r="I2530" i="8" s="1"/>
  <c r="I2554" i="8" s="1"/>
  <c r="I2578" i="8" s="1"/>
  <c r="I2602" i="8" s="1"/>
  <c r="I2626" i="8" s="1"/>
  <c r="I2650" i="8" s="1"/>
  <c r="I2674" i="8" s="1"/>
  <c r="I2698" i="8" s="1"/>
  <c r="I2722" i="8" s="1"/>
  <c r="I2746" i="8" s="1"/>
  <c r="I2770" i="8" s="1"/>
  <c r="I2794" i="8" s="1"/>
  <c r="I2818" i="8" s="1"/>
  <c r="I2842" i="8" s="1"/>
  <c r="I2866" i="8" s="1"/>
  <c r="I2890" i="8" s="1"/>
  <c r="I2914" i="8" s="1"/>
  <c r="I2938" i="8" s="1"/>
  <c r="I2962" i="8" s="1"/>
  <c r="I2986" i="8" s="1"/>
  <c r="I3010" i="8" s="1"/>
  <c r="K850" i="8"/>
  <c r="K874" i="8" s="1"/>
  <c r="V850" i="8"/>
  <c r="V874" i="8" s="1"/>
  <c r="W850" i="8"/>
  <c r="W874" i="8" s="1"/>
  <c r="B851" i="8"/>
  <c r="B875" i="8" s="1"/>
  <c r="G851" i="8"/>
  <c r="G875" i="8" s="1"/>
  <c r="I851" i="8"/>
  <c r="I875" i="8" s="1"/>
  <c r="I899" i="8" s="1"/>
  <c r="I923" i="8" s="1"/>
  <c r="I947" i="8" s="1"/>
  <c r="I971" i="8" s="1"/>
  <c r="I995" i="8" s="1"/>
  <c r="I1019" i="8" s="1"/>
  <c r="I1043" i="8" s="1"/>
  <c r="I1067" i="8" s="1"/>
  <c r="I1091" i="8" s="1"/>
  <c r="I1115" i="8" s="1"/>
  <c r="I1139" i="8" s="1"/>
  <c r="I1163" i="8" s="1"/>
  <c r="I1187" i="8" s="1"/>
  <c r="I1211" i="8" s="1"/>
  <c r="I1235" i="8" s="1"/>
  <c r="I1259" i="8" s="1"/>
  <c r="I1283" i="8" s="1"/>
  <c r="I1307" i="8" s="1"/>
  <c r="I1331" i="8" s="1"/>
  <c r="I1355" i="8" s="1"/>
  <c r="I1379" i="8" s="1"/>
  <c r="I1403" i="8" s="1"/>
  <c r="I1427" i="8" s="1"/>
  <c r="I1451" i="8" s="1"/>
  <c r="I1475" i="8" s="1"/>
  <c r="I1499" i="8" s="1"/>
  <c r="I1523" i="8" s="1"/>
  <c r="I1547" i="8" s="1"/>
  <c r="I1571" i="8" s="1"/>
  <c r="I1595" i="8" s="1"/>
  <c r="I1619" i="8" s="1"/>
  <c r="I1643" i="8" s="1"/>
  <c r="I1667" i="8" s="1"/>
  <c r="I1691" i="8" s="1"/>
  <c r="I1715" i="8" s="1"/>
  <c r="I1739" i="8" s="1"/>
  <c r="I1763" i="8" s="1"/>
  <c r="I1787" i="8" s="1"/>
  <c r="I1811" i="8" s="1"/>
  <c r="I1835" i="8" s="1"/>
  <c r="I1859" i="8" s="1"/>
  <c r="I1883" i="8" s="1"/>
  <c r="I1907" i="8" s="1"/>
  <c r="I1931" i="8" s="1"/>
  <c r="I1955" i="8" s="1"/>
  <c r="I1979" i="8" s="1"/>
  <c r="I2003" i="8" s="1"/>
  <c r="I2027" i="8" s="1"/>
  <c r="I2051" i="8" s="1"/>
  <c r="I2075" i="8" s="1"/>
  <c r="I2099" i="8" s="1"/>
  <c r="I2123" i="8" s="1"/>
  <c r="I2147" i="8" s="1"/>
  <c r="I2171" i="8" s="1"/>
  <c r="I2195" i="8" s="1"/>
  <c r="I2219" i="8" s="1"/>
  <c r="I2243" i="8" s="1"/>
  <c r="I2267" i="8" s="1"/>
  <c r="I2291" i="8" s="1"/>
  <c r="I2315" i="8" s="1"/>
  <c r="I2339" i="8" s="1"/>
  <c r="I2363" i="8" s="1"/>
  <c r="I2387" i="8" s="1"/>
  <c r="I2411" i="8" s="1"/>
  <c r="I2435" i="8" s="1"/>
  <c r="I2459" i="8" s="1"/>
  <c r="I2483" i="8" s="1"/>
  <c r="I2507" i="8" s="1"/>
  <c r="I2531" i="8" s="1"/>
  <c r="I2555" i="8" s="1"/>
  <c r="I2579" i="8" s="1"/>
  <c r="I2603" i="8" s="1"/>
  <c r="I2627" i="8" s="1"/>
  <c r="I2651" i="8" s="1"/>
  <c r="I2675" i="8" s="1"/>
  <c r="I2699" i="8" s="1"/>
  <c r="I2723" i="8" s="1"/>
  <c r="I2747" i="8" s="1"/>
  <c r="I2771" i="8" s="1"/>
  <c r="I2795" i="8" s="1"/>
  <c r="I2819" i="8" s="1"/>
  <c r="I2843" i="8" s="1"/>
  <c r="I2867" i="8" s="1"/>
  <c r="I2891" i="8" s="1"/>
  <c r="I2915" i="8" s="1"/>
  <c r="I2939" i="8" s="1"/>
  <c r="I2963" i="8" s="1"/>
  <c r="I2987" i="8" s="1"/>
  <c r="I3011" i="8" s="1"/>
  <c r="K851" i="8"/>
  <c r="K875" i="8" s="1"/>
  <c r="V851" i="8"/>
  <c r="V875" i="8" s="1"/>
  <c r="W851" i="8"/>
  <c r="W875" i="8" s="1"/>
  <c r="B852" i="8"/>
  <c r="B876" i="8" s="1"/>
  <c r="G852" i="8"/>
  <c r="G876" i="8" s="1"/>
  <c r="I852" i="8"/>
  <c r="I876" i="8" s="1"/>
  <c r="I900" i="8" s="1"/>
  <c r="I924" i="8" s="1"/>
  <c r="I948" i="8" s="1"/>
  <c r="I972" i="8" s="1"/>
  <c r="I996" i="8" s="1"/>
  <c r="I1020" i="8" s="1"/>
  <c r="I1044" i="8" s="1"/>
  <c r="I1068" i="8" s="1"/>
  <c r="I1092" i="8" s="1"/>
  <c r="I1116" i="8" s="1"/>
  <c r="I1140" i="8" s="1"/>
  <c r="I1164" i="8" s="1"/>
  <c r="I1188" i="8" s="1"/>
  <c r="I1212" i="8" s="1"/>
  <c r="I1236" i="8" s="1"/>
  <c r="I1260" i="8" s="1"/>
  <c r="I1284" i="8" s="1"/>
  <c r="I1308" i="8" s="1"/>
  <c r="I1332" i="8" s="1"/>
  <c r="I1356" i="8" s="1"/>
  <c r="I1380" i="8" s="1"/>
  <c r="I1404" i="8" s="1"/>
  <c r="I1428" i="8" s="1"/>
  <c r="I1452" i="8" s="1"/>
  <c r="I1476" i="8" s="1"/>
  <c r="I1500" i="8" s="1"/>
  <c r="I1524" i="8" s="1"/>
  <c r="I1548" i="8" s="1"/>
  <c r="I1572" i="8" s="1"/>
  <c r="I1596" i="8" s="1"/>
  <c r="I1620" i="8" s="1"/>
  <c r="I1644" i="8" s="1"/>
  <c r="I1668" i="8" s="1"/>
  <c r="I1692" i="8" s="1"/>
  <c r="I1716" i="8" s="1"/>
  <c r="I1740" i="8" s="1"/>
  <c r="I1764" i="8" s="1"/>
  <c r="I1788" i="8" s="1"/>
  <c r="I1812" i="8" s="1"/>
  <c r="I1836" i="8" s="1"/>
  <c r="I1860" i="8" s="1"/>
  <c r="I1884" i="8" s="1"/>
  <c r="I1908" i="8" s="1"/>
  <c r="I1932" i="8" s="1"/>
  <c r="I1956" i="8" s="1"/>
  <c r="I1980" i="8" s="1"/>
  <c r="I2004" i="8" s="1"/>
  <c r="I2028" i="8" s="1"/>
  <c r="I2052" i="8" s="1"/>
  <c r="I2076" i="8" s="1"/>
  <c r="I2100" i="8" s="1"/>
  <c r="I2124" i="8" s="1"/>
  <c r="I2148" i="8" s="1"/>
  <c r="I2172" i="8" s="1"/>
  <c r="I2196" i="8" s="1"/>
  <c r="I2220" i="8" s="1"/>
  <c r="I2244" i="8" s="1"/>
  <c r="I2268" i="8" s="1"/>
  <c r="I2292" i="8" s="1"/>
  <c r="I2316" i="8" s="1"/>
  <c r="I2340" i="8" s="1"/>
  <c r="I2364" i="8" s="1"/>
  <c r="I2388" i="8" s="1"/>
  <c r="I2412" i="8" s="1"/>
  <c r="I2436" i="8" s="1"/>
  <c r="I2460" i="8" s="1"/>
  <c r="I2484" i="8" s="1"/>
  <c r="I2508" i="8" s="1"/>
  <c r="I2532" i="8" s="1"/>
  <c r="I2556" i="8" s="1"/>
  <c r="I2580" i="8" s="1"/>
  <c r="I2604" i="8" s="1"/>
  <c r="I2628" i="8" s="1"/>
  <c r="I2652" i="8" s="1"/>
  <c r="I2676" i="8" s="1"/>
  <c r="I2700" i="8" s="1"/>
  <c r="I2724" i="8" s="1"/>
  <c r="I2748" i="8" s="1"/>
  <c r="I2772" i="8" s="1"/>
  <c r="I2796" i="8" s="1"/>
  <c r="I2820" i="8" s="1"/>
  <c r="I2844" i="8" s="1"/>
  <c r="I2868" i="8" s="1"/>
  <c r="I2892" i="8" s="1"/>
  <c r="I2916" i="8" s="1"/>
  <c r="I2940" i="8" s="1"/>
  <c r="I2964" i="8" s="1"/>
  <c r="I2988" i="8" s="1"/>
  <c r="I3012" i="8" s="1"/>
  <c r="K852" i="8"/>
  <c r="K876" i="8" s="1"/>
  <c r="V852" i="8"/>
  <c r="V876" i="8" s="1"/>
  <c r="W852" i="8"/>
  <c r="W876" i="8" s="1"/>
  <c r="B853" i="8"/>
  <c r="B877" i="8" s="1"/>
  <c r="G853" i="8"/>
  <c r="G877" i="8" s="1"/>
  <c r="I853" i="8"/>
  <c r="I877" i="8" s="1"/>
  <c r="I901" i="8" s="1"/>
  <c r="I925" i="8" s="1"/>
  <c r="I949" i="8" s="1"/>
  <c r="I973" i="8" s="1"/>
  <c r="I997" i="8" s="1"/>
  <c r="I1021" i="8" s="1"/>
  <c r="I1045" i="8" s="1"/>
  <c r="I1069" i="8" s="1"/>
  <c r="I1093" i="8" s="1"/>
  <c r="I1117" i="8" s="1"/>
  <c r="I1141" i="8" s="1"/>
  <c r="I1165" i="8" s="1"/>
  <c r="I1189" i="8" s="1"/>
  <c r="I1213" i="8" s="1"/>
  <c r="I1237" i="8" s="1"/>
  <c r="I1261" i="8" s="1"/>
  <c r="I1285" i="8" s="1"/>
  <c r="I1309" i="8" s="1"/>
  <c r="I1333" i="8" s="1"/>
  <c r="I1357" i="8" s="1"/>
  <c r="I1381" i="8" s="1"/>
  <c r="I1405" i="8" s="1"/>
  <c r="I1429" i="8" s="1"/>
  <c r="I1453" i="8" s="1"/>
  <c r="I1477" i="8" s="1"/>
  <c r="I1501" i="8" s="1"/>
  <c r="I1525" i="8" s="1"/>
  <c r="I1549" i="8" s="1"/>
  <c r="I1573" i="8" s="1"/>
  <c r="I1597" i="8" s="1"/>
  <c r="I1621" i="8" s="1"/>
  <c r="I1645" i="8" s="1"/>
  <c r="I1669" i="8" s="1"/>
  <c r="I1693" i="8" s="1"/>
  <c r="I1717" i="8" s="1"/>
  <c r="I1741" i="8" s="1"/>
  <c r="I1765" i="8" s="1"/>
  <c r="I1789" i="8" s="1"/>
  <c r="I1813" i="8" s="1"/>
  <c r="I1837" i="8" s="1"/>
  <c r="I1861" i="8" s="1"/>
  <c r="I1885" i="8" s="1"/>
  <c r="I1909" i="8" s="1"/>
  <c r="I1933" i="8" s="1"/>
  <c r="I1957" i="8" s="1"/>
  <c r="I1981" i="8" s="1"/>
  <c r="I2005" i="8" s="1"/>
  <c r="I2029" i="8" s="1"/>
  <c r="I2053" i="8" s="1"/>
  <c r="I2077" i="8" s="1"/>
  <c r="I2101" i="8" s="1"/>
  <c r="I2125" i="8" s="1"/>
  <c r="I2149" i="8" s="1"/>
  <c r="I2173" i="8" s="1"/>
  <c r="I2197" i="8" s="1"/>
  <c r="I2221" i="8" s="1"/>
  <c r="I2245" i="8" s="1"/>
  <c r="I2269" i="8" s="1"/>
  <c r="I2293" i="8" s="1"/>
  <c r="I2317" i="8" s="1"/>
  <c r="I2341" i="8" s="1"/>
  <c r="I2365" i="8" s="1"/>
  <c r="I2389" i="8" s="1"/>
  <c r="I2413" i="8" s="1"/>
  <c r="I2437" i="8" s="1"/>
  <c r="I2461" i="8" s="1"/>
  <c r="I2485" i="8" s="1"/>
  <c r="I2509" i="8" s="1"/>
  <c r="I2533" i="8" s="1"/>
  <c r="I2557" i="8" s="1"/>
  <c r="I2581" i="8" s="1"/>
  <c r="I2605" i="8" s="1"/>
  <c r="I2629" i="8" s="1"/>
  <c r="I2653" i="8" s="1"/>
  <c r="I2677" i="8" s="1"/>
  <c r="I2701" i="8" s="1"/>
  <c r="I2725" i="8" s="1"/>
  <c r="I2749" i="8" s="1"/>
  <c r="I2773" i="8" s="1"/>
  <c r="I2797" i="8" s="1"/>
  <c r="I2821" i="8" s="1"/>
  <c r="I2845" i="8" s="1"/>
  <c r="I2869" i="8" s="1"/>
  <c r="I2893" i="8" s="1"/>
  <c r="I2917" i="8" s="1"/>
  <c r="I2941" i="8" s="1"/>
  <c r="I2965" i="8" s="1"/>
  <c r="I2989" i="8" s="1"/>
  <c r="I3013" i="8" s="1"/>
  <c r="K853" i="8"/>
  <c r="K877" i="8" s="1"/>
  <c r="V853" i="8"/>
  <c r="V877" i="8" s="1"/>
  <c r="W853" i="8"/>
  <c r="W877" i="8" s="1"/>
  <c r="B854" i="8"/>
  <c r="B878" i="8" s="1"/>
  <c r="G854" i="8"/>
  <c r="G878" i="8" s="1"/>
  <c r="I854" i="8"/>
  <c r="I878" i="8" s="1"/>
  <c r="I902" i="8" s="1"/>
  <c r="I926" i="8" s="1"/>
  <c r="I950" i="8" s="1"/>
  <c r="I974" i="8" s="1"/>
  <c r="I998" i="8" s="1"/>
  <c r="I1022" i="8" s="1"/>
  <c r="I1046" i="8" s="1"/>
  <c r="I1070" i="8" s="1"/>
  <c r="I1094" i="8" s="1"/>
  <c r="I1118" i="8" s="1"/>
  <c r="I1142" i="8" s="1"/>
  <c r="I1166" i="8" s="1"/>
  <c r="I1190" i="8" s="1"/>
  <c r="I1214" i="8" s="1"/>
  <c r="I1238" i="8" s="1"/>
  <c r="I1262" i="8" s="1"/>
  <c r="I1286" i="8" s="1"/>
  <c r="I1310" i="8" s="1"/>
  <c r="I1334" i="8" s="1"/>
  <c r="I1358" i="8" s="1"/>
  <c r="I1382" i="8" s="1"/>
  <c r="I1406" i="8" s="1"/>
  <c r="I1430" i="8" s="1"/>
  <c r="I1454" i="8" s="1"/>
  <c r="I1478" i="8" s="1"/>
  <c r="I1502" i="8" s="1"/>
  <c r="I1526" i="8" s="1"/>
  <c r="I1550" i="8" s="1"/>
  <c r="I1574" i="8" s="1"/>
  <c r="I1598" i="8" s="1"/>
  <c r="I1622" i="8" s="1"/>
  <c r="I1646" i="8" s="1"/>
  <c r="I1670" i="8" s="1"/>
  <c r="I1694" i="8" s="1"/>
  <c r="I1718" i="8" s="1"/>
  <c r="I1742" i="8" s="1"/>
  <c r="I1766" i="8" s="1"/>
  <c r="I1790" i="8" s="1"/>
  <c r="I1814" i="8" s="1"/>
  <c r="I1838" i="8" s="1"/>
  <c r="I1862" i="8" s="1"/>
  <c r="I1886" i="8" s="1"/>
  <c r="I1910" i="8" s="1"/>
  <c r="I1934" i="8" s="1"/>
  <c r="I1958" i="8" s="1"/>
  <c r="I1982" i="8" s="1"/>
  <c r="I2006" i="8" s="1"/>
  <c r="I2030" i="8" s="1"/>
  <c r="I2054" i="8" s="1"/>
  <c r="I2078" i="8" s="1"/>
  <c r="I2102" i="8" s="1"/>
  <c r="I2126" i="8" s="1"/>
  <c r="I2150" i="8" s="1"/>
  <c r="I2174" i="8" s="1"/>
  <c r="I2198" i="8" s="1"/>
  <c r="I2222" i="8" s="1"/>
  <c r="I2246" i="8" s="1"/>
  <c r="I2270" i="8" s="1"/>
  <c r="I2294" i="8" s="1"/>
  <c r="I2318" i="8" s="1"/>
  <c r="I2342" i="8" s="1"/>
  <c r="I2366" i="8" s="1"/>
  <c r="I2390" i="8" s="1"/>
  <c r="I2414" i="8" s="1"/>
  <c r="I2438" i="8" s="1"/>
  <c r="I2462" i="8" s="1"/>
  <c r="I2486" i="8" s="1"/>
  <c r="I2510" i="8" s="1"/>
  <c r="I2534" i="8" s="1"/>
  <c r="I2558" i="8" s="1"/>
  <c r="I2582" i="8" s="1"/>
  <c r="I2606" i="8" s="1"/>
  <c r="I2630" i="8" s="1"/>
  <c r="I2654" i="8" s="1"/>
  <c r="I2678" i="8" s="1"/>
  <c r="I2702" i="8" s="1"/>
  <c r="I2726" i="8" s="1"/>
  <c r="I2750" i="8" s="1"/>
  <c r="I2774" i="8" s="1"/>
  <c r="I2798" i="8" s="1"/>
  <c r="I2822" i="8" s="1"/>
  <c r="I2846" i="8" s="1"/>
  <c r="I2870" i="8" s="1"/>
  <c r="I2894" i="8" s="1"/>
  <c r="I2918" i="8" s="1"/>
  <c r="I2942" i="8" s="1"/>
  <c r="I2966" i="8" s="1"/>
  <c r="I2990" i="8" s="1"/>
  <c r="I3014" i="8" s="1"/>
  <c r="K854" i="8"/>
  <c r="K878" i="8" s="1"/>
  <c r="V854" i="8"/>
  <c r="V878" i="8" s="1"/>
  <c r="W854" i="8"/>
  <c r="W878" i="8" s="1"/>
  <c r="B855" i="8"/>
  <c r="B879" i="8" s="1"/>
  <c r="G855" i="8"/>
  <c r="G879" i="8" s="1"/>
  <c r="I855" i="8"/>
  <c r="I879" i="8" s="1"/>
  <c r="I903" i="8" s="1"/>
  <c r="I927" i="8" s="1"/>
  <c r="I951" i="8" s="1"/>
  <c r="I975" i="8" s="1"/>
  <c r="I999" i="8" s="1"/>
  <c r="I1023" i="8" s="1"/>
  <c r="I1047" i="8" s="1"/>
  <c r="I1071" i="8" s="1"/>
  <c r="I1095" i="8" s="1"/>
  <c r="I1119" i="8" s="1"/>
  <c r="I1143" i="8" s="1"/>
  <c r="I1167" i="8" s="1"/>
  <c r="I1191" i="8" s="1"/>
  <c r="I1215" i="8" s="1"/>
  <c r="I1239" i="8" s="1"/>
  <c r="I1263" i="8" s="1"/>
  <c r="I1287" i="8" s="1"/>
  <c r="I1311" i="8" s="1"/>
  <c r="I1335" i="8" s="1"/>
  <c r="I1359" i="8" s="1"/>
  <c r="I1383" i="8" s="1"/>
  <c r="I1407" i="8" s="1"/>
  <c r="I1431" i="8" s="1"/>
  <c r="I1455" i="8" s="1"/>
  <c r="I1479" i="8" s="1"/>
  <c r="I1503" i="8" s="1"/>
  <c r="I1527" i="8" s="1"/>
  <c r="I1551" i="8" s="1"/>
  <c r="I1575" i="8" s="1"/>
  <c r="I1599" i="8" s="1"/>
  <c r="I1623" i="8" s="1"/>
  <c r="I1647" i="8" s="1"/>
  <c r="I1671" i="8" s="1"/>
  <c r="I1695" i="8" s="1"/>
  <c r="I1719" i="8" s="1"/>
  <c r="I1743" i="8" s="1"/>
  <c r="I1767" i="8" s="1"/>
  <c r="I1791" i="8" s="1"/>
  <c r="I1815" i="8" s="1"/>
  <c r="I1839" i="8" s="1"/>
  <c r="I1863" i="8" s="1"/>
  <c r="I1887" i="8" s="1"/>
  <c r="I1911" i="8" s="1"/>
  <c r="I1935" i="8" s="1"/>
  <c r="I1959" i="8" s="1"/>
  <c r="I1983" i="8" s="1"/>
  <c r="I2007" i="8" s="1"/>
  <c r="I2031" i="8" s="1"/>
  <c r="I2055" i="8" s="1"/>
  <c r="I2079" i="8" s="1"/>
  <c r="I2103" i="8" s="1"/>
  <c r="I2127" i="8" s="1"/>
  <c r="I2151" i="8" s="1"/>
  <c r="I2175" i="8" s="1"/>
  <c r="I2199" i="8" s="1"/>
  <c r="I2223" i="8" s="1"/>
  <c r="I2247" i="8" s="1"/>
  <c r="I2271" i="8" s="1"/>
  <c r="I2295" i="8" s="1"/>
  <c r="I2319" i="8" s="1"/>
  <c r="I2343" i="8" s="1"/>
  <c r="I2367" i="8" s="1"/>
  <c r="I2391" i="8" s="1"/>
  <c r="I2415" i="8" s="1"/>
  <c r="I2439" i="8" s="1"/>
  <c r="I2463" i="8" s="1"/>
  <c r="I2487" i="8" s="1"/>
  <c r="I2511" i="8" s="1"/>
  <c r="I2535" i="8" s="1"/>
  <c r="I2559" i="8" s="1"/>
  <c r="I2583" i="8" s="1"/>
  <c r="I2607" i="8" s="1"/>
  <c r="I2631" i="8" s="1"/>
  <c r="I2655" i="8" s="1"/>
  <c r="I2679" i="8" s="1"/>
  <c r="I2703" i="8" s="1"/>
  <c r="I2727" i="8" s="1"/>
  <c r="I2751" i="8" s="1"/>
  <c r="I2775" i="8" s="1"/>
  <c r="I2799" i="8" s="1"/>
  <c r="I2823" i="8" s="1"/>
  <c r="I2847" i="8" s="1"/>
  <c r="I2871" i="8" s="1"/>
  <c r="I2895" i="8" s="1"/>
  <c r="I2919" i="8" s="1"/>
  <c r="I2943" i="8" s="1"/>
  <c r="I2967" i="8" s="1"/>
  <c r="I2991" i="8" s="1"/>
  <c r="I3015" i="8" s="1"/>
  <c r="K855" i="8"/>
  <c r="K879" i="8" s="1"/>
  <c r="V855" i="8"/>
  <c r="V879" i="8" s="1"/>
  <c r="W855" i="8"/>
  <c r="W879" i="8" s="1"/>
  <c r="B856" i="8"/>
  <c r="B880" i="8" s="1"/>
  <c r="G856" i="8"/>
  <c r="G880" i="8" s="1"/>
  <c r="I856" i="8"/>
  <c r="I880" i="8" s="1"/>
  <c r="I904" i="8" s="1"/>
  <c r="I928" i="8" s="1"/>
  <c r="I952" i="8" s="1"/>
  <c r="I976" i="8" s="1"/>
  <c r="I1000" i="8" s="1"/>
  <c r="I1024" i="8" s="1"/>
  <c r="I1048" i="8" s="1"/>
  <c r="I1072" i="8" s="1"/>
  <c r="I1096" i="8" s="1"/>
  <c r="I1120" i="8" s="1"/>
  <c r="I1144" i="8" s="1"/>
  <c r="I1168" i="8" s="1"/>
  <c r="I1192" i="8" s="1"/>
  <c r="I1216" i="8" s="1"/>
  <c r="I1240" i="8" s="1"/>
  <c r="I1264" i="8" s="1"/>
  <c r="I1288" i="8" s="1"/>
  <c r="I1312" i="8" s="1"/>
  <c r="I1336" i="8" s="1"/>
  <c r="I1360" i="8" s="1"/>
  <c r="I1384" i="8" s="1"/>
  <c r="I1408" i="8" s="1"/>
  <c r="I1432" i="8" s="1"/>
  <c r="I1456" i="8" s="1"/>
  <c r="I1480" i="8" s="1"/>
  <c r="I1504" i="8" s="1"/>
  <c r="I1528" i="8" s="1"/>
  <c r="I1552" i="8" s="1"/>
  <c r="I1576" i="8" s="1"/>
  <c r="I1600" i="8" s="1"/>
  <c r="I1624" i="8" s="1"/>
  <c r="I1648" i="8" s="1"/>
  <c r="I1672" i="8" s="1"/>
  <c r="I1696" i="8" s="1"/>
  <c r="I1720" i="8" s="1"/>
  <c r="I1744" i="8" s="1"/>
  <c r="I1768" i="8" s="1"/>
  <c r="I1792" i="8" s="1"/>
  <c r="I1816" i="8" s="1"/>
  <c r="I1840" i="8" s="1"/>
  <c r="I1864" i="8" s="1"/>
  <c r="I1888" i="8" s="1"/>
  <c r="I1912" i="8" s="1"/>
  <c r="I1936" i="8" s="1"/>
  <c r="I1960" i="8" s="1"/>
  <c r="I1984" i="8" s="1"/>
  <c r="I2008" i="8" s="1"/>
  <c r="I2032" i="8" s="1"/>
  <c r="I2056" i="8" s="1"/>
  <c r="I2080" i="8" s="1"/>
  <c r="I2104" i="8" s="1"/>
  <c r="I2128" i="8" s="1"/>
  <c r="I2152" i="8" s="1"/>
  <c r="I2176" i="8" s="1"/>
  <c r="I2200" i="8" s="1"/>
  <c r="I2224" i="8" s="1"/>
  <c r="I2248" i="8" s="1"/>
  <c r="I2272" i="8" s="1"/>
  <c r="I2296" i="8" s="1"/>
  <c r="I2320" i="8" s="1"/>
  <c r="I2344" i="8" s="1"/>
  <c r="I2368" i="8" s="1"/>
  <c r="I2392" i="8" s="1"/>
  <c r="I2416" i="8" s="1"/>
  <c r="I2440" i="8" s="1"/>
  <c r="I2464" i="8" s="1"/>
  <c r="I2488" i="8" s="1"/>
  <c r="I2512" i="8" s="1"/>
  <c r="I2536" i="8" s="1"/>
  <c r="I2560" i="8" s="1"/>
  <c r="I2584" i="8" s="1"/>
  <c r="I2608" i="8" s="1"/>
  <c r="I2632" i="8" s="1"/>
  <c r="I2656" i="8" s="1"/>
  <c r="I2680" i="8" s="1"/>
  <c r="I2704" i="8" s="1"/>
  <c r="I2728" i="8" s="1"/>
  <c r="I2752" i="8" s="1"/>
  <c r="I2776" i="8" s="1"/>
  <c r="I2800" i="8" s="1"/>
  <c r="I2824" i="8" s="1"/>
  <c r="I2848" i="8" s="1"/>
  <c r="I2872" i="8" s="1"/>
  <c r="I2896" i="8" s="1"/>
  <c r="I2920" i="8" s="1"/>
  <c r="I2944" i="8" s="1"/>
  <c r="I2968" i="8" s="1"/>
  <c r="I2992" i="8" s="1"/>
  <c r="I3016" i="8" s="1"/>
  <c r="K856" i="8"/>
  <c r="K880" i="8" s="1"/>
  <c r="V856" i="8"/>
  <c r="V880" i="8" s="1"/>
  <c r="W856" i="8"/>
  <c r="W880" i="8" s="1"/>
  <c r="B857" i="8"/>
  <c r="B881" i="8" s="1"/>
  <c r="G857" i="8"/>
  <c r="G881" i="8" s="1"/>
  <c r="I857" i="8"/>
  <c r="I881" i="8" s="1"/>
  <c r="I905" i="8" s="1"/>
  <c r="I929" i="8" s="1"/>
  <c r="I953" i="8" s="1"/>
  <c r="I977" i="8" s="1"/>
  <c r="I1001" i="8" s="1"/>
  <c r="I1025" i="8" s="1"/>
  <c r="I1049" i="8" s="1"/>
  <c r="I1073" i="8" s="1"/>
  <c r="I1097" i="8" s="1"/>
  <c r="I1121" i="8" s="1"/>
  <c r="I1145" i="8" s="1"/>
  <c r="I1169" i="8" s="1"/>
  <c r="I1193" i="8" s="1"/>
  <c r="I1217" i="8" s="1"/>
  <c r="I1241" i="8" s="1"/>
  <c r="I1265" i="8" s="1"/>
  <c r="I1289" i="8" s="1"/>
  <c r="I1313" i="8" s="1"/>
  <c r="I1337" i="8" s="1"/>
  <c r="I1361" i="8" s="1"/>
  <c r="I1385" i="8" s="1"/>
  <c r="I1409" i="8" s="1"/>
  <c r="I1433" i="8" s="1"/>
  <c r="I1457" i="8" s="1"/>
  <c r="I1481" i="8" s="1"/>
  <c r="I1505" i="8" s="1"/>
  <c r="I1529" i="8" s="1"/>
  <c r="I1553" i="8" s="1"/>
  <c r="I1577" i="8" s="1"/>
  <c r="I1601" i="8" s="1"/>
  <c r="I1625" i="8" s="1"/>
  <c r="I1649" i="8" s="1"/>
  <c r="I1673" i="8" s="1"/>
  <c r="I1697" i="8" s="1"/>
  <c r="I1721" i="8" s="1"/>
  <c r="I1745" i="8" s="1"/>
  <c r="I1769" i="8" s="1"/>
  <c r="I1793" i="8" s="1"/>
  <c r="I1817" i="8" s="1"/>
  <c r="I1841" i="8" s="1"/>
  <c r="I1865" i="8" s="1"/>
  <c r="I1889" i="8" s="1"/>
  <c r="I1913" i="8" s="1"/>
  <c r="I1937" i="8" s="1"/>
  <c r="I1961" i="8" s="1"/>
  <c r="I1985" i="8" s="1"/>
  <c r="I2009" i="8" s="1"/>
  <c r="I2033" i="8" s="1"/>
  <c r="I2057" i="8" s="1"/>
  <c r="I2081" i="8" s="1"/>
  <c r="I2105" i="8" s="1"/>
  <c r="I2129" i="8" s="1"/>
  <c r="I2153" i="8" s="1"/>
  <c r="I2177" i="8" s="1"/>
  <c r="I2201" i="8" s="1"/>
  <c r="I2225" i="8" s="1"/>
  <c r="I2249" i="8" s="1"/>
  <c r="I2273" i="8" s="1"/>
  <c r="I2297" i="8" s="1"/>
  <c r="I2321" i="8" s="1"/>
  <c r="I2345" i="8" s="1"/>
  <c r="I2369" i="8" s="1"/>
  <c r="I2393" i="8" s="1"/>
  <c r="I2417" i="8" s="1"/>
  <c r="I2441" i="8" s="1"/>
  <c r="I2465" i="8" s="1"/>
  <c r="I2489" i="8" s="1"/>
  <c r="I2513" i="8" s="1"/>
  <c r="I2537" i="8" s="1"/>
  <c r="I2561" i="8" s="1"/>
  <c r="I2585" i="8" s="1"/>
  <c r="I2609" i="8" s="1"/>
  <c r="I2633" i="8" s="1"/>
  <c r="I2657" i="8" s="1"/>
  <c r="I2681" i="8" s="1"/>
  <c r="I2705" i="8" s="1"/>
  <c r="I2729" i="8" s="1"/>
  <c r="I2753" i="8" s="1"/>
  <c r="I2777" i="8" s="1"/>
  <c r="I2801" i="8" s="1"/>
  <c r="I2825" i="8" s="1"/>
  <c r="I2849" i="8" s="1"/>
  <c r="I2873" i="8" s="1"/>
  <c r="I2897" i="8" s="1"/>
  <c r="I2921" i="8" s="1"/>
  <c r="I2945" i="8" s="1"/>
  <c r="I2969" i="8" s="1"/>
  <c r="I2993" i="8" s="1"/>
  <c r="I3017" i="8" s="1"/>
  <c r="K857" i="8"/>
  <c r="K881" i="8" s="1"/>
  <c r="V857" i="8"/>
  <c r="V881" i="8" s="1"/>
  <c r="W857" i="8"/>
  <c r="W881" i="8" s="1"/>
  <c r="B858" i="8"/>
  <c r="B882" i="8" s="1"/>
  <c r="G858" i="8"/>
  <c r="G882" i="8" s="1"/>
  <c r="I858" i="8"/>
  <c r="I882" i="8" s="1"/>
  <c r="I906" i="8" s="1"/>
  <c r="I930" i="8" s="1"/>
  <c r="I954" i="8" s="1"/>
  <c r="I978" i="8" s="1"/>
  <c r="I1002" i="8" s="1"/>
  <c r="I1026" i="8" s="1"/>
  <c r="I1050" i="8" s="1"/>
  <c r="I1074" i="8" s="1"/>
  <c r="I1098" i="8" s="1"/>
  <c r="I1122" i="8" s="1"/>
  <c r="I1146" i="8" s="1"/>
  <c r="I1170" i="8" s="1"/>
  <c r="I1194" i="8" s="1"/>
  <c r="I1218" i="8" s="1"/>
  <c r="I1242" i="8" s="1"/>
  <c r="I1266" i="8" s="1"/>
  <c r="I1290" i="8" s="1"/>
  <c r="I1314" i="8" s="1"/>
  <c r="I1338" i="8" s="1"/>
  <c r="I1362" i="8" s="1"/>
  <c r="I1386" i="8" s="1"/>
  <c r="I1410" i="8" s="1"/>
  <c r="I1434" i="8" s="1"/>
  <c r="I1458" i="8" s="1"/>
  <c r="I1482" i="8" s="1"/>
  <c r="I1506" i="8" s="1"/>
  <c r="I1530" i="8" s="1"/>
  <c r="I1554" i="8" s="1"/>
  <c r="I1578" i="8" s="1"/>
  <c r="I1602" i="8" s="1"/>
  <c r="I1626" i="8" s="1"/>
  <c r="I1650" i="8" s="1"/>
  <c r="I1674" i="8" s="1"/>
  <c r="I1698" i="8" s="1"/>
  <c r="I1722" i="8" s="1"/>
  <c r="I1746" i="8" s="1"/>
  <c r="I1770" i="8" s="1"/>
  <c r="I1794" i="8" s="1"/>
  <c r="I1818" i="8" s="1"/>
  <c r="I1842" i="8" s="1"/>
  <c r="I1866" i="8" s="1"/>
  <c r="I1890" i="8" s="1"/>
  <c r="I1914" i="8" s="1"/>
  <c r="I1938" i="8" s="1"/>
  <c r="I1962" i="8" s="1"/>
  <c r="I1986" i="8" s="1"/>
  <c r="I2010" i="8" s="1"/>
  <c r="I2034" i="8" s="1"/>
  <c r="I2058" i="8" s="1"/>
  <c r="I2082" i="8" s="1"/>
  <c r="I2106" i="8" s="1"/>
  <c r="I2130" i="8" s="1"/>
  <c r="I2154" i="8" s="1"/>
  <c r="I2178" i="8" s="1"/>
  <c r="I2202" i="8" s="1"/>
  <c r="I2226" i="8" s="1"/>
  <c r="I2250" i="8" s="1"/>
  <c r="I2274" i="8" s="1"/>
  <c r="I2298" i="8" s="1"/>
  <c r="I2322" i="8" s="1"/>
  <c r="I2346" i="8" s="1"/>
  <c r="I2370" i="8" s="1"/>
  <c r="I2394" i="8" s="1"/>
  <c r="I2418" i="8" s="1"/>
  <c r="I2442" i="8" s="1"/>
  <c r="I2466" i="8" s="1"/>
  <c r="I2490" i="8" s="1"/>
  <c r="I2514" i="8" s="1"/>
  <c r="I2538" i="8" s="1"/>
  <c r="I2562" i="8" s="1"/>
  <c r="I2586" i="8" s="1"/>
  <c r="I2610" i="8" s="1"/>
  <c r="I2634" i="8" s="1"/>
  <c r="I2658" i="8" s="1"/>
  <c r="I2682" i="8" s="1"/>
  <c r="I2706" i="8" s="1"/>
  <c r="I2730" i="8" s="1"/>
  <c r="I2754" i="8" s="1"/>
  <c r="I2778" i="8" s="1"/>
  <c r="I2802" i="8" s="1"/>
  <c r="I2826" i="8" s="1"/>
  <c r="I2850" i="8" s="1"/>
  <c r="I2874" i="8" s="1"/>
  <c r="I2898" i="8" s="1"/>
  <c r="I2922" i="8" s="1"/>
  <c r="I2946" i="8" s="1"/>
  <c r="I2970" i="8" s="1"/>
  <c r="I2994" i="8" s="1"/>
  <c r="I3018" i="8" s="1"/>
  <c r="K858" i="8"/>
  <c r="K882" i="8" s="1"/>
  <c r="V858" i="8"/>
  <c r="V882" i="8" s="1"/>
  <c r="W858" i="8"/>
  <c r="W882" i="8" s="1"/>
  <c r="B859" i="8"/>
  <c r="B883" i="8" s="1"/>
  <c r="G859" i="8"/>
  <c r="G883" i="8" s="1"/>
  <c r="I859" i="8"/>
  <c r="I883" i="8" s="1"/>
  <c r="I907" i="8" s="1"/>
  <c r="I931" i="8" s="1"/>
  <c r="I955" i="8" s="1"/>
  <c r="I979" i="8" s="1"/>
  <c r="I1003" i="8" s="1"/>
  <c r="I1027" i="8" s="1"/>
  <c r="I1051" i="8" s="1"/>
  <c r="I1075" i="8" s="1"/>
  <c r="I1099" i="8" s="1"/>
  <c r="I1123" i="8" s="1"/>
  <c r="I1147" i="8" s="1"/>
  <c r="I1171" i="8" s="1"/>
  <c r="I1195" i="8" s="1"/>
  <c r="I1219" i="8" s="1"/>
  <c r="I1243" i="8" s="1"/>
  <c r="I1267" i="8" s="1"/>
  <c r="I1291" i="8" s="1"/>
  <c r="I1315" i="8" s="1"/>
  <c r="I1339" i="8" s="1"/>
  <c r="I1363" i="8" s="1"/>
  <c r="I1387" i="8" s="1"/>
  <c r="I1411" i="8" s="1"/>
  <c r="I1435" i="8" s="1"/>
  <c r="I1459" i="8" s="1"/>
  <c r="I1483" i="8" s="1"/>
  <c r="I1507" i="8" s="1"/>
  <c r="I1531" i="8" s="1"/>
  <c r="I1555" i="8" s="1"/>
  <c r="I1579" i="8" s="1"/>
  <c r="I1603" i="8" s="1"/>
  <c r="I1627" i="8" s="1"/>
  <c r="I1651" i="8" s="1"/>
  <c r="I1675" i="8" s="1"/>
  <c r="I1699" i="8" s="1"/>
  <c r="I1723" i="8" s="1"/>
  <c r="I1747" i="8" s="1"/>
  <c r="I1771" i="8" s="1"/>
  <c r="I1795" i="8" s="1"/>
  <c r="I1819" i="8" s="1"/>
  <c r="I1843" i="8" s="1"/>
  <c r="I1867" i="8" s="1"/>
  <c r="I1891" i="8" s="1"/>
  <c r="I1915" i="8" s="1"/>
  <c r="I1939" i="8" s="1"/>
  <c r="I1963" i="8" s="1"/>
  <c r="I1987" i="8" s="1"/>
  <c r="I2011" i="8" s="1"/>
  <c r="I2035" i="8" s="1"/>
  <c r="I2059" i="8" s="1"/>
  <c r="I2083" i="8" s="1"/>
  <c r="I2107" i="8" s="1"/>
  <c r="I2131" i="8" s="1"/>
  <c r="I2155" i="8" s="1"/>
  <c r="I2179" i="8" s="1"/>
  <c r="I2203" i="8" s="1"/>
  <c r="I2227" i="8" s="1"/>
  <c r="I2251" i="8" s="1"/>
  <c r="I2275" i="8" s="1"/>
  <c r="I2299" i="8" s="1"/>
  <c r="I2323" i="8" s="1"/>
  <c r="I2347" i="8" s="1"/>
  <c r="I2371" i="8" s="1"/>
  <c r="I2395" i="8" s="1"/>
  <c r="I2419" i="8" s="1"/>
  <c r="I2443" i="8" s="1"/>
  <c r="I2467" i="8" s="1"/>
  <c r="I2491" i="8" s="1"/>
  <c r="I2515" i="8" s="1"/>
  <c r="I2539" i="8" s="1"/>
  <c r="I2563" i="8" s="1"/>
  <c r="I2587" i="8" s="1"/>
  <c r="I2611" i="8" s="1"/>
  <c r="I2635" i="8" s="1"/>
  <c r="I2659" i="8" s="1"/>
  <c r="I2683" i="8" s="1"/>
  <c r="I2707" i="8" s="1"/>
  <c r="I2731" i="8" s="1"/>
  <c r="I2755" i="8" s="1"/>
  <c r="I2779" i="8" s="1"/>
  <c r="I2803" i="8" s="1"/>
  <c r="I2827" i="8" s="1"/>
  <c r="I2851" i="8" s="1"/>
  <c r="I2875" i="8" s="1"/>
  <c r="I2899" i="8" s="1"/>
  <c r="I2923" i="8" s="1"/>
  <c r="I2947" i="8" s="1"/>
  <c r="I2971" i="8" s="1"/>
  <c r="I2995" i="8" s="1"/>
  <c r="I3019" i="8" s="1"/>
  <c r="K859" i="8"/>
  <c r="K883" i="8" s="1"/>
  <c r="V859" i="8"/>
  <c r="V883" i="8" s="1"/>
  <c r="W859" i="8"/>
  <c r="W883" i="8" s="1"/>
  <c r="B860" i="8"/>
  <c r="B884" i="8" s="1"/>
  <c r="G860" i="8"/>
  <c r="G884" i="8" s="1"/>
  <c r="I860" i="8"/>
  <c r="I884" i="8" s="1"/>
  <c r="I908" i="8" s="1"/>
  <c r="I932" i="8" s="1"/>
  <c r="I956" i="8" s="1"/>
  <c r="I980" i="8" s="1"/>
  <c r="I1004" i="8" s="1"/>
  <c r="I1028" i="8" s="1"/>
  <c r="I1052" i="8" s="1"/>
  <c r="I1076" i="8" s="1"/>
  <c r="I1100" i="8" s="1"/>
  <c r="I1124" i="8" s="1"/>
  <c r="I1148" i="8" s="1"/>
  <c r="I1172" i="8" s="1"/>
  <c r="I1196" i="8" s="1"/>
  <c r="I1220" i="8" s="1"/>
  <c r="I1244" i="8" s="1"/>
  <c r="I1268" i="8" s="1"/>
  <c r="I1292" i="8" s="1"/>
  <c r="I1316" i="8" s="1"/>
  <c r="I1340" i="8" s="1"/>
  <c r="I1364" i="8" s="1"/>
  <c r="I1388" i="8" s="1"/>
  <c r="I1412" i="8" s="1"/>
  <c r="I1436" i="8" s="1"/>
  <c r="I1460" i="8" s="1"/>
  <c r="I1484" i="8" s="1"/>
  <c r="I1508" i="8" s="1"/>
  <c r="I1532" i="8" s="1"/>
  <c r="I1556" i="8" s="1"/>
  <c r="I1580" i="8" s="1"/>
  <c r="I1604" i="8" s="1"/>
  <c r="I1628" i="8" s="1"/>
  <c r="I1652" i="8" s="1"/>
  <c r="I1676" i="8" s="1"/>
  <c r="I1700" i="8" s="1"/>
  <c r="I1724" i="8" s="1"/>
  <c r="I1748" i="8" s="1"/>
  <c r="I1772" i="8" s="1"/>
  <c r="I1796" i="8" s="1"/>
  <c r="I1820" i="8" s="1"/>
  <c r="I1844" i="8" s="1"/>
  <c r="I1868" i="8" s="1"/>
  <c r="I1892" i="8" s="1"/>
  <c r="I1916" i="8" s="1"/>
  <c r="I1940" i="8" s="1"/>
  <c r="I1964" i="8" s="1"/>
  <c r="I1988" i="8" s="1"/>
  <c r="I2012" i="8" s="1"/>
  <c r="I2036" i="8" s="1"/>
  <c r="I2060" i="8" s="1"/>
  <c r="I2084" i="8" s="1"/>
  <c r="I2108" i="8" s="1"/>
  <c r="I2132" i="8" s="1"/>
  <c r="I2156" i="8" s="1"/>
  <c r="I2180" i="8" s="1"/>
  <c r="I2204" i="8" s="1"/>
  <c r="I2228" i="8" s="1"/>
  <c r="I2252" i="8" s="1"/>
  <c r="I2276" i="8" s="1"/>
  <c r="I2300" i="8" s="1"/>
  <c r="I2324" i="8" s="1"/>
  <c r="I2348" i="8" s="1"/>
  <c r="I2372" i="8" s="1"/>
  <c r="I2396" i="8" s="1"/>
  <c r="I2420" i="8" s="1"/>
  <c r="I2444" i="8" s="1"/>
  <c r="I2468" i="8" s="1"/>
  <c r="I2492" i="8" s="1"/>
  <c r="I2516" i="8" s="1"/>
  <c r="I2540" i="8" s="1"/>
  <c r="I2564" i="8" s="1"/>
  <c r="I2588" i="8" s="1"/>
  <c r="I2612" i="8" s="1"/>
  <c r="I2636" i="8" s="1"/>
  <c r="I2660" i="8" s="1"/>
  <c r="I2684" i="8" s="1"/>
  <c r="I2708" i="8" s="1"/>
  <c r="I2732" i="8" s="1"/>
  <c r="I2756" i="8" s="1"/>
  <c r="I2780" i="8" s="1"/>
  <c r="I2804" i="8" s="1"/>
  <c r="I2828" i="8" s="1"/>
  <c r="I2852" i="8" s="1"/>
  <c r="I2876" i="8" s="1"/>
  <c r="I2900" i="8" s="1"/>
  <c r="I2924" i="8" s="1"/>
  <c r="I2948" i="8" s="1"/>
  <c r="I2972" i="8" s="1"/>
  <c r="I2996" i="8" s="1"/>
  <c r="I3020" i="8" s="1"/>
  <c r="K860" i="8"/>
  <c r="K884" i="8" s="1"/>
  <c r="V860" i="8"/>
  <c r="V884" i="8" s="1"/>
  <c r="W860" i="8"/>
  <c r="W884" i="8" s="1"/>
  <c r="B861" i="8"/>
  <c r="B885" i="8" s="1"/>
  <c r="G861" i="8"/>
  <c r="G885" i="8" s="1"/>
  <c r="I861" i="8"/>
  <c r="I885" i="8" s="1"/>
  <c r="I909" i="8" s="1"/>
  <c r="I933" i="8" s="1"/>
  <c r="I957" i="8" s="1"/>
  <c r="I981" i="8" s="1"/>
  <c r="I1005" i="8" s="1"/>
  <c r="I1029" i="8" s="1"/>
  <c r="I1053" i="8" s="1"/>
  <c r="I1077" i="8" s="1"/>
  <c r="I1101" i="8" s="1"/>
  <c r="I1125" i="8" s="1"/>
  <c r="I1149" i="8" s="1"/>
  <c r="I1173" i="8" s="1"/>
  <c r="I1197" i="8" s="1"/>
  <c r="I1221" i="8" s="1"/>
  <c r="I1245" i="8" s="1"/>
  <c r="I1269" i="8" s="1"/>
  <c r="I1293" i="8" s="1"/>
  <c r="I1317" i="8" s="1"/>
  <c r="I1341" i="8" s="1"/>
  <c r="I1365" i="8" s="1"/>
  <c r="I1389" i="8" s="1"/>
  <c r="I1413" i="8" s="1"/>
  <c r="I1437" i="8" s="1"/>
  <c r="I1461" i="8" s="1"/>
  <c r="I1485" i="8" s="1"/>
  <c r="I1509" i="8" s="1"/>
  <c r="I1533" i="8" s="1"/>
  <c r="I1557" i="8" s="1"/>
  <c r="I1581" i="8" s="1"/>
  <c r="I1605" i="8" s="1"/>
  <c r="I1629" i="8" s="1"/>
  <c r="I1653" i="8" s="1"/>
  <c r="I1677" i="8" s="1"/>
  <c r="I1701" i="8" s="1"/>
  <c r="I1725" i="8" s="1"/>
  <c r="I1749" i="8" s="1"/>
  <c r="I1773" i="8" s="1"/>
  <c r="I1797" i="8" s="1"/>
  <c r="I1821" i="8" s="1"/>
  <c r="I1845" i="8" s="1"/>
  <c r="I1869" i="8" s="1"/>
  <c r="I1893" i="8" s="1"/>
  <c r="I1917" i="8" s="1"/>
  <c r="I1941" i="8" s="1"/>
  <c r="I1965" i="8" s="1"/>
  <c r="I1989" i="8" s="1"/>
  <c r="I2013" i="8" s="1"/>
  <c r="I2037" i="8" s="1"/>
  <c r="I2061" i="8" s="1"/>
  <c r="I2085" i="8" s="1"/>
  <c r="I2109" i="8" s="1"/>
  <c r="I2133" i="8" s="1"/>
  <c r="I2157" i="8" s="1"/>
  <c r="I2181" i="8" s="1"/>
  <c r="I2205" i="8" s="1"/>
  <c r="I2229" i="8" s="1"/>
  <c r="I2253" i="8" s="1"/>
  <c r="I2277" i="8" s="1"/>
  <c r="I2301" i="8" s="1"/>
  <c r="I2325" i="8" s="1"/>
  <c r="I2349" i="8" s="1"/>
  <c r="I2373" i="8" s="1"/>
  <c r="I2397" i="8" s="1"/>
  <c r="I2421" i="8" s="1"/>
  <c r="I2445" i="8" s="1"/>
  <c r="I2469" i="8" s="1"/>
  <c r="I2493" i="8" s="1"/>
  <c r="I2517" i="8" s="1"/>
  <c r="I2541" i="8" s="1"/>
  <c r="I2565" i="8" s="1"/>
  <c r="I2589" i="8" s="1"/>
  <c r="I2613" i="8" s="1"/>
  <c r="I2637" i="8" s="1"/>
  <c r="I2661" i="8" s="1"/>
  <c r="I2685" i="8" s="1"/>
  <c r="I2709" i="8" s="1"/>
  <c r="I2733" i="8" s="1"/>
  <c r="I2757" i="8" s="1"/>
  <c r="I2781" i="8" s="1"/>
  <c r="I2805" i="8" s="1"/>
  <c r="I2829" i="8" s="1"/>
  <c r="I2853" i="8" s="1"/>
  <c r="I2877" i="8" s="1"/>
  <c r="I2901" i="8" s="1"/>
  <c r="I2925" i="8" s="1"/>
  <c r="I2949" i="8" s="1"/>
  <c r="I2973" i="8" s="1"/>
  <c r="I2997" i="8" s="1"/>
  <c r="I3021" i="8" s="1"/>
  <c r="K861" i="8"/>
  <c r="K885" i="8" s="1"/>
  <c r="V861" i="8"/>
  <c r="V885" i="8" s="1"/>
  <c r="W861" i="8"/>
  <c r="W885" i="8" s="1"/>
  <c r="B862" i="8"/>
  <c r="B886" i="8" s="1"/>
  <c r="G862" i="8"/>
  <c r="G886" i="8" s="1"/>
  <c r="I862" i="8"/>
  <c r="I886" i="8" s="1"/>
  <c r="I910" i="8" s="1"/>
  <c r="I934" i="8" s="1"/>
  <c r="I958" i="8" s="1"/>
  <c r="I982" i="8" s="1"/>
  <c r="I1006" i="8" s="1"/>
  <c r="I1030" i="8" s="1"/>
  <c r="I1054" i="8" s="1"/>
  <c r="I1078" i="8" s="1"/>
  <c r="I1102" i="8" s="1"/>
  <c r="I1126" i="8" s="1"/>
  <c r="I1150" i="8" s="1"/>
  <c r="I1174" i="8" s="1"/>
  <c r="I1198" i="8" s="1"/>
  <c r="I1222" i="8" s="1"/>
  <c r="I1246" i="8" s="1"/>
  <c r="I1270" i="8" s="1"/>
  <c r="I1294" i="8" s="1"/>
  <c r="I1318" i="8" s="1"/>
  <c r="I1342" i="8" s="1"/>
  <c r="I1366" i="8" s="1"/>
  <c r="I1390" i="8" s="1"/>
  <c r="I1414" i="8" s="1"/>
  <c r="I1438" i="8" s="1"/>
  <c r="I1462" i="8" s="1"/>
  <c r="I1486" i="8" s="1"/>
  <c r="I1510" i="8" s="1"/>
  <c r="I1534" i="8" s="1"/>
  <c r="I1558" i="8" s="1"/>
  <c r="I1582" i="8" s="1"/>
  <c r="I1606" i="8" s="1"/>
  <c r="I1630" i="8" s="1"/>
  <c r="I1654" i="8" s="1"/>
  <c r="I1678" i="8" s="1"/>
  <c r="I1702" i="8" s="1"/>
  <c r="I1726" i="8" s="1"/>
  <c r="I1750" i="8" s="1"/>
  <c r="I1774" i="8" s="1"/>
  <c r="I1798" i="8" s="1"/>
  <c r="I1822" i="8" s="1"/>
  <c r="I1846" i="8" s="1"/>
  <c r="I1870" i="8" s="1"/>
  <c r="I1894" i="8" s="1"/>
  <c r="I1918" i="8" s="1"/>
  <c r="I1942" i="8" s="1"/>
  <c r="I1966" i="8" s="1"/>
  <c r="I1990" i="8" s="1"/>
  <c r="I2014" i="8" s="1"/>
  <c r="I2038" i="8" s="1"/>
  <c r="I2062" i="8" s="1"/>
  <c r="I2086" i="8" s="1"/>
  <c r="I2110" i="8" s="1"/>
  <c r="I2134" i="8" s="1"/>
  <c r="I2158" i="8" s="1"/>
  <c r="I2182" i="8" s="1"/>
  <c r="I2206" i="8" s="1"/>
  <c r="I2230" i="8" s="1"/>
  <c r="I2254" i="8" s="1"/>
  <c r="I2278" i="8" s="1"/>
  <c r="I2302" i="8" s="1"/>
  <c r="I2326" i="8" s="1"/>
  <c r="I2350" i="8" s="1"/>
  <c r="I2374" i="8" s="1"/>
  <c r="I2398" i="8" s="1"/>
  <c r="I2422" i="8" s="1"/>
  <c r="I2446" i="8" s="1"/>
  <c r="I2470" i="8" s="1"/>
  <c r="I2494" i="8" s="1"/>
  <c r="I2518" i="8" s="1"/>
  <c r="I2542" i="8" s="1"/>
  <c r="I2566" i="8" s="1"/>
  <c r="I2590" i="8" s="1"/>
  <c r="I2614" i="8" s="1"/>
  <c r="I2638" i="8" s="1"/>
  <c r="I2662" i="8" s="1"/>
  <c r="I2686" i="8" s="1"/>
  <c r="I2710" i="8" s="1"/>
  <c r="I2734" i="8" s="1"/>
  <c r="I2758" i="8" s="1"/>
  <c r="I2782" i="8" s="1"/>
  <c r="I2806" i="8" s="1"/>
  <c r="I2830" i="8" s="1"/>
  <c r="I2854" i="8" s="1"/>
  <c r="I2878" i="8" s="1"/>
  <c r="I2902" i="8" s="1"/>
  <c r="I2926" i="8" s="1"/>
  <c r="I2950" i="8" s="1"/>
  <c r="I2974" i="8" s="1"/>
  <c r="I2998" i="8" s="1"/>
  <c r="I3022" i="8" s="1"/>
  <c r="K862" i="8"/>
  <c r="K886" i="8" s="1"/>
  <c r="V862" i="8"/>
  <c r="V886" i="8" s="1"/>
  <c r="W862" i="8"/>
  <c r="W886" i="8" s="1"/>
  <c r="B863" i="8"/>
  <c r="B887" i="8" s="1"/>
  <c r="G863" i="8"/>
  <c r="G887" i="8" s="1"/>
  <c r="I863" i="8"/>
  <c r="I887" i="8" s="1"/>
  <c r="I911" i="8" s="1"/>
  <c r="I935" i="8" s="1"/>
  <c r="I959" i="8" s="1"/>
  <c r="I983" i="8" s="1"/>
  <c r="I1007" i="8" s="1"/>
  <c r="I1031" i="8" s="1"/>
  <c r="I1055" i="8" s="1"/>
  <c r="I1079" i="8" s="1"/>
  <c r="I1103" i="8" s="1"/>
  <c r="I1127" i="8" s="1"/>
  <c r="I1151" i="8" s="1"/>
  <c r="I1175" i="8" s="1"/>
  <c r="I1199" i="8" s="1"/>
  <c r="I1223" i="8" s="1"/>
  <c r="I1247" i="8" s="1"/>
  <c r="I1271" i="8" s="1"/>
  <c r="I1295" i="8" s="1"/>
  <c r="I1319" i="8" s="1"/>
  <c r="I1343" i="8" s="1"/>
  <c r="I1367" i="8" s="1"/>
  <c r="I1391" i="8" s="1"/>
  <c r="I1415" i="8" s="1"/>
  <c r="I1439" i="8" s="1"/>
  <c r="I1463" i="8" s="1"/>
  <c r="I1487" i="8" s="1"/>
  <c r="I1511" i="8" s="1"/>
  <c r="I1535" i="8" s="1"/>
  <c r="I1559" i="8" s="1"/>
  <c r="I1583" i="8" s="1"/>
  <c r="I1607" i="8" s="1"/>
  <c r="I1631" i="8" s="1"/>
  <c r="I1655" i="8" s="1"/>
  <c r="I1679" i="8" s="1"/>
  <c r="I1703" i="8" s="1"/>
  <c r="I1727" i="8" s="1"/>
  <c r="I1751" i="8" s="1"/>
  <c r="I1775" i="8" s="1"/>
  <c r="I1799" i="8" s="1"/>
  <c r="I1823" i="8" s="1"/>
  <c r="I1847" i="8" s="1"/>
  <c r="I1871" i="8" s="1"/>
  <c r="I1895" i="8" s="1"/>
  <c r="I1919" i="8" s="1"/>
  <c r="I1943" i="8" s="1"/>
  <c r="I1967" i="8" s="1"/>
  <c r="I1991" i="8" s="1"/>
  <c r="I2015" i="8" s="1"/>
  <c r="I2039" i="8" s="1"/>
  <c r="I2063" i="8" s="1"/>
  <c r="I2087" i="8" s="1"/>
  <c r="I2111" i="8" s="1"/>
  <c r="I2135" i="8" s="1"/>
  <c r="I2159" i="8" s="1"/>
  <c r="I2183" i="8" s="1"/>
  <c r="I2207" i="8" s="1"/>
  <c r="I2231" i="8" s="1"/>
  <c r="I2255" i="8" s="1"/>
  <c r="I2279" i="8" s="1"/>
  <c r="I2303" i="8" s="1"/>
  <c r="I2327" i="8" s="1"/>
  <c r="I2351" i="8" s="1"/>
  <c r="I2375" i="8" s="1"/>
  <c r="I2399" i="8" s="1"/>
  <c r="I2423" i="8" s="1"/>
  <c r="I2447" i="8" s="1"/>
  <c r="I2471" i="8" s="1"/>
  <c r="I2495" i="8" s="1"/>
  <c r="I2519" i="8" s="1"/>
  <c r="I2543" i="8" s="1"/>
  <c r="I2567" i="8" s="1"/>
  <c r="I2591" i="8" s="1"/>
  <c r="I2615" i="8" s="1"/>
  <c r="I2639" i="8" s="1"/>
  <c r="I2663" i="8" s="1"/>
  <c r="I2687" i="8" s="1"/>
  <c r="I2711" i="8" s="1"/>
  <c r="I2735" i="8" s="1"/>
  <c r="I2759" i="8" s="1"/>
  <c r="I2783" i="8" s="1"/>
  <c r="I2807" i="8" s="1"/>
  <c r="I2831" i="8" s="1"/>
  <c r="I2855" i="8" s="1"/>
  <c r="I2879" i="8" s="1"/>
  <c r="I2903" i="8" s="1"/>
  <c r="I2927" i="8" s="1"/>
  <c r="I2951" i="8" s="1"/>
  <c r="I2975" i="8" s="1"/>
  <c r="I2999" i="8" s="1"/>
  <c r="I3023" i="8" s="1"/>
  <c r="K863" i="8"/>
  <c r="K887" i="8" s="1"/>
  <c r="V863" i="8"/>
  <c r="V887" i="8" s="1"/>
  <c r="W863" i="8"/>
  <c r="W887" i="8" s="1"/>
  <c r="B864" i="8"/>
  <c r="B888" i="8" s="1"/>
  <c r="G864" i="8"/>
  <c r="G888" i="8" s="1"/>
  <c r="I864" i="8"/>
  <c r="I888" i="8" s="1"/>
  <c r="I912" i="8" s="1"/>
  <c r="I936" i="8" s="1"/>
  <c r="I960" i="8" s="1"/>
  <c r="I984" i="8" s="1"/>
  <c r="I1008" i="8" s="1"/>
  <c r="I1032" i="8" s="1"/>
  <c r="I1056" i="8" s="1"/>
  <c r="I1080" i="8" s="1"/>
  <c r="I1104" i="8" s="1"/>
  <c r="I1128" i="8" s="1"/>
  <c r="I1152" i="8" s="1"/>
  <c r="I1176" i="8" s="1"/>
  <c r="I1200" i="8" s="1"/>
  <c r="I1224" i="8" s="1"/>
  <c r="I1248" i="8" s="1"/>
  <c r="I1272" i="8" s="1"/>
  <c r="I1296" i="8" s="1"/>
  <c r="I1320" i="8" s="1"/>
  <c r="I1344" i="8" s="1"/>
  <c r="I1368" i="8" s="1"/>
  <c r="I1392" i="8" s="1"/>
  <c r="I1416" i="8" s="1"/>
  <c r="I1440" i="8" s="1"/>
  <c r="I1464" i="8" s="1"/>
  <c r="I1488" i="8" s="1"/>
  <c r="I1512" i="8" s="1"/>
  <c r="I1536" i="8" s="1"/>
  <c r="I1560" i="8" s="1"/>
  <c r="I1584" i="8" s="1"/>
  <c r="I1608" i="8" s="1"/>
  <c r="I1632" i="8" s="1"/>
  <c r="I1656" i="8" s="1"/>
  <c r="I1680" i="8" s="1"/>
  <c r="I1704" i="8" s="1"/>
  <c r="I1728" i="8" s="1"/>
  <c r="I1752" i="8" s="1"/>
  <c r="I1776" i="8" s="1"/>
  <c r="I1800" i="8" s="1"/>
  <c r="I1824" i="8" s="1"/>
  <c r="I1848" i="8" s="1"/>
  <c r="I1872" i="8" s="1"/>
  <c r="I1896" i="8" s="1"/>
  <c r="I1920" i="8" s="1"/>
  <c r="I1944" i="8" s="1"/>
  <c r="I1968" i="8" s="1"/>
  <c r="I1992" i="8" s="1"/>
  <c r="I2016" i="8" s="1"/>
  <c r="I2040" i="8" s="1"/>
  <c r="I2064" i="8" s="1"/>
  <c r="I2088" i="8" s="1"/>
  <c r="I2112" i="8" s="1"/>
  <c r="I2136" i="8" s="1"/>
  <c r="I2160" i="8" s="1"/>
  <c r="I2184" i="8" s="1"/>
  <c r="I2208" i="8" s="1"/>
  <c r="I2232" i="8" s="1"/>
  <c r="I2256" i="8" s="1"/>
  <c r="I2280" i="8" s="1"/>
  <c r="I2304" i="8" s="1"/>
  <c r="I2328" i="8" s="1"/>
  <c r="I2352" i="8" s="1"/>
  <c r="I2376" i="8" s="1"/>
  <c r="I2400" i="8" s="1"/>
  <c r="I2424" i="8" s="1"/>
  <c r="I2448" i="8" s="1"/>
  <c r="I2472" i="8" s="1"/>
  <c r="I2496" i="8" s="1"/>
  <c r="I2520" i="8" s="1"/>
  <c r="I2544" i="8" s="1"/>
  <c r="I2568" i="8" s="1"/>
  <c r="I2592" i="8" s="1"/>
  <c r="I2616" i="8" s="1"/>
  <c r="I2640" i="8" s="1"/>
  <c r="I2664" i="8" s="1"/>
  <c r="I2688" i="8" s="1"/>
  <c r="I2712" i="8" s="1"/>
  <c r="I2736" i="8" s="1"/>
  <c r="I2760" i="8" s="1"/>
  <c r="I2784" i="8" s="1"/>
  <c r="I2808" i="8" s="1"/>
  <c r="I2832" i="8" s="1"/>
  <c r="I2856" i="8" s="1"/>
  <c r="I2880" i="8" s="1"/>
  <c r="I2904" i="8" s="1"/>
  <c r="I2928" i="8" s="1"/>
  <c r="I2952" i="8" s="1"/>
  <c r="I2976" i="8" s="1"/>
  <c r="I3000" i="8" s="1"/>
  <c r="I3024" i="8" s="1"/>
  <c r="K864" i="8"/>
  <c r="K888" i="8" s="1"/>
  <c r="V864" i="8"/>
  <c r="V888" i="8" s="1"/>
  <c r="W864" i="8"/>
  <c r="W888" i="8" s="1"/>
  <c r="B865" i="8"/>
  <c r="B889" i="8" s="1"/>
  <c r="G865" i="8"/>
  <c r="G889" i="8" s="1"/>
  <c r="I865" i="8"/>
  <c r="I889" i="8" s="1"/>
  <c r="I913" i="8" s="1"/>
  <c r="I937" i="8" s="1"/>
  <c r="I961" i="8" s="1"/>
  <c r="I985" i="8" s="1"/>
  <c r="I1009" i="8" s="1"/>
  <c r="I1033" i="8" s="1"/>
  <c r="I1057" i="8" s="1"/>
  <c r="I1081" i="8" s="1"/>
  <c r="I1105" i="8" s="1"/>
  <c r="I1129" i="8" s="1"/>
  <c r="I1153" i="8" s="1"/>
  <c r="I1177" i="8" s="1"/>
  <c r="I1201" i="8" s="1"/>
  <c r="I1225" i="8" s="1"/>
  <c r="I1249" i="8" s="1"/>
  <c r="I1273" i="8" s="1"/>
  <c r="I1297" i="8" s="1"/>
  <c r="I1321" i="8" s="1"/>
  <c r="I1345" i="8" s="1"/>
  <c r="I1369" i="8" s="1"/>
  <c r="I1393" i="8" s="1"/>
  <c r="I1417" i="8" s="1"/>
  <c r="I1441" i="8" s="1"/>
  <c r="I1465" i="8" s="1"/>
  <c r="I1489" i="8" s="1"/>
  <c r="I1513" i="8" s="1"/>
  <c r="I1537" i="8" s="1"/>
  <c r="I1561" i="8" s="1"/>
  <c r="I1585" i="8" s="1"/>
  <c r="I1609" i="8" s="1"/>
  <c r="I1633" i="8" s="1"/>
  <c r="I1657" i="8" s="1"/>
  <c r="I1681" i="8" s="1"/>
  <c r="I1705" i="8" s="1"/>
  <c r="I1729" i="8" s="1"/>
  <c r="I1753" i="8" s="1"/>
  <c r="I1777" i="8" s="1"/>
  <c r="I1801" i="8" s="1"/>
  <c r="I1825" i="8" s="1"/>
  <c r="I1849" i="8" s="1"/>
  <c r="I1873" i="8" s="1"/>
  <c r="I1897" i="8" s="1"/>
  <c r="I1921" i="8" s="1"/>
  <c r="I1945" i="8" s="1"/>
  <c r="I1969" i="8" s="1"/>
  <c r="I1993" i="8" s="1"/>
  <c r="I2017" i="8" s="1"/>
  <c r="I2041" i="8" s="1"/>
  <c r="I2065" i="8" s="1"/>
  <c r="I2089" i="8" s="1"/>
  <c r="I2113" i="8" s="1"/>
  <c r="I2137" i="8" s="1"/>
  <c r="I2161" i="8" s="1"/>
  <c r="I2185" i="8" s="1"/>
  <c r="I2209" i="8" s="1"/>
  <c r="I2233" i="8" s="1"/>
  <c r="I2257" i="8" s="1"/>
  <c r="I2281" i="8" s="1"/>
  <c r="I2305" i="8" s="1"/>
  <c r="I2329" i="8" s="1"/>
  <c r="I2353" i="8" s="1"/>
  <c r="I2377" i="8" s="1"/>
  <c r="I2401" i="8" s="1"/>
  <c r="I2425" i="8" s="1"/>
  <c r="I2449" i="8" s="1"/>
  <c r="I2473" i="8" s="1"/>
  <c r="I2497" i="8" s="1"/>
  <c r="I2521" i="8" s="1"/>
  <c r="I2545" i="8" s="1"/>
  <c r="I2569" i="8" s="1"/>
  <c r="I2593" i="8" s="1"/>
  <c r="I2617" i="8" s="1"/>
  <c r="I2641" i="8" s="1"/>
  <c r="I2665" i="8" s="1"/>
  <c r="I2689" i="8" s="1"/>
  <c r="I2713" i="8" s="1"/>
  <c r="I2737" i="8" s="1"/>
  <c r="I2761" i="8" s="1"/>
  <c r="I2785" i="8" s="1"/>
  <c r="I2809" i="8" s="1"/>
  <c r="I2833" i="8" s="1"/>
  <c r="I2857" i="8" s="1"/>
  <c r="I2881" i="8" s="1"/>
  <c r="I2905" i="8" s="1"/>
  <c r="I2929" i="8" s="1"/>
  <c r="I2953" i="8" s="1"/>
  <c r="I2977" i="8" s="1"/>
  <c r="I3001" i="8" s="1"/>
  <c r="I3025" i="8" s="1"/>
  <c r="K865" i="8"/>
  <c r="K889" i="8" s="1"/>
  <c r="V865" i="8"/>
  <c r="V889" i="8" s="1"/>
  <c r="W865" i="8"/>
  <c r="W889" i="8" s="1"/>
  <c r="B866" i="8"/>
  <c r="B890" i="8" s="1"/>
  <c r="G866" i="8"/>
  <c r="G890" i="8" s="1"/>
  <c r="I866" i="8"/>
  <c r="I890" i="8" s="1"/>
  <c r="I914" i="8" s="1"/>
  <c r="I938" i="8" s="1"/>
  <c r="I962" i="8" s="1"/>
  <c r="I986" i="8" s="1"/>
  <c r="I1010" i="8" s="1"/>
  <c r="I1034" i="8" s="1"/>
  <c r="I1058" i="8" s="1"/>
  <c r="I1082" i="8" s="1"/>
  <c r="I1106" i="8" s="1"/>
  <c r="I1130" i="8" s="1"/>
  <c r="I1154" i="8" s="1"/>
  <c r="I1178" i="8" s="1"/>
  <c r="I1202" i="8" s="1"/>
  <c r="I1226" i="8" s="1"/>
  <c r="I1250" i="8" s="1"/>
  <c r="I1274" i="8" s="1"/>
  <c r="I1298" i="8" s="1"/>
  <c r="I1322" i="8" s="1"/>
  <c r="I1346" i="8" s="1"/>
  <c r="I1370" i="8" s="1"/>
  <c r="I1394" i="8" s="1"/>
  <c r="I1418" i="8" s="1"/>
  <c r="I1442" i="8" s="1"/>
  <c r="I1466" i="8" s="1"/>
  <c r="I1490" i="8" s="1"/>
  <c r="I1514" i="8" s="1"/>
  <c r="I1538" i="8" s="1"/>
  <c r="I1562" i="8" s="1"/>
  <c r="I1586" i="8" s="1"/>
  <c r="I1610" i="8" s="1"/>
  <c r="I1634" i="8" s="1"/>
  <c r="I1658" i="8" s="1"/>
  <c r="I1682" i="8" s="1"/>
  <c r="I1706" i="8" s="1"/>
  <c r="I1730" i="8" s="1"/>
  <c r="I1754" i="8" s="1"/>
  <c r="I1778" i="8" s="1"/>
  <c r="I1802" i="8" s="1"/>
  <c r="I1826" i="8" s="1"/>
  <c r="I1850" i="8" s="1"/>
  <c r="I1874" i="8" s="1"/>
  <c r="I1898" i="8" s="1"/>
  <c r="I1922" i="8" s="1"/>
  <c r="I1946" i="8" s="1"/>
  <c r="I1970" i="8" s="1"/>
  <c r="I1994" i="8" s="1"/>
  <c r="I2018" i="8" s="1"/>
  <c r="I2042" i="8" s="1"/>
  <c r="I2066" i="8" s="1"/>
  <c r="I2090" i="8" s="1"/>
  <c r="I2114" i="8" s="1"/>
  <c r="I2138" i="8" s="1"/>
  <c r="I2162" i="8" s="1"/>
  <c r="I2186" i="8" s="1"/>
  <c r="I2210" i="8" s="1"/>
  <c r="I2234" i="8" s="1"/>
  <c r="I2258" i="8" s="1"/>
  <c r="I2282" i="8" s="1"/>
  <c r="I2306" i="8" s="1"/>
  <c r="I2330" i="8" s="1"/>
  <c r="I2354" i="8" s="1"/>
  <c r="I2378" i="8" s="1"/>
  <c r="I2402" i="8" s="1"/>
  <c r="I2426" i="8" s="1"/>
  <c r="I2450" i="8" s="1"/>
  <c r="I2474" i="8" s="1"/>
  <c r="I2498" i="8" s="1"/>
  <c r="I2522" i="8" s="1"/>
  <c r="I2546" i="8" s="1"/>
  <c r="I2570" i="8" s="1"/>
  <c r="I2594" i="8" s="1"/>
  <c r="I2618" i="8" s="1"/>
  <c r="I2642" i="8" s="1"/>
  <c r="I2666" i="8" s="1"/>
  <c r="I2690" i="8" s="1"/>
  <c r="I2714" i="8" s="1"/>
  <c r="I2738" i="8" s="1"/>
  <c r="I2762" i="8" s="1"/>
  <c r="I2786" i="8" s="1"/>
  <c r="I2810" i="8" s="1"/>
  <c r="I2834" i="8" s="1"/>
  <c r="I2858" i="8" s="1"/>
  <c r="I2882" i="8" s="1"/>
  <c r="I2906" i="8" s="1"/>
  <c r="I2930" i="8" s="1"/>
  <c r="I2954" i="8" s="1"/>
  <c r="I2978" i="8" s="1"/>
  <c r="I3002" i="8" s="1"/>
  <c r="I3026" i="8" s="1"/>
  <c r="K866" i="8"/>
  <c r="K890" i="8" s="1"/>
  <c r="V866" i="8"/>
  <c r="V890" i="8" s="1"/>
  <c r="W866" i="8"/>
  <c r="W890" i="8" s="1"/>
  <c r="K867" i="8"/>
  <c r="M53" i="11"/>
  <c r="M60" i="11" s="1"/>
  <c r="M67" i="11" s="1"/>
  <c r="M74" i="11" s="1"/>
  <c r="M81" i="11" s="1"/>
  <c r="M88" i="11" s="1"/>
  <c r="M95" i="11" s="1"/>
  <c r="M102" i="11" s="1"/>
  <c r="M109" i="11" s="1"/>
  <c r="M116" i="11" s="1"/>
  <c r="M123" i="11" s="1"/>
  <c r="M52" i="11"/>
  <c r="M59" i="11" s="1"/>
  <c r="M66" i="11" s="1"/>
  <c r="M73" i="11" s="1"/>
  <c r="M80" i="11" s="1"/>
  <c r="M87" i="11" s="1"/>
  <c r="M94" i="11" s="1"/>
  <c r="M101" i="11" s="1"/>
  <c r="M108" i="11" s="1"/>
  <c r="M115" i="11" s="1"/>
  <c r="M122" i="11" s="1"/>
  <c r="M129" i="11" s="1"/>
  <c r="M51" i="11"/>
  <c r="M58" i="11" s="1"/>
  <c r="M65" i="11" s="1"/>
  <c r="M72" i="11" s="1"/>
  <c r="M79" i="11" s="1"/>
  <c r="M86" i="11" s="1"/>
  <c r="M93" i="11" s="1"/>
  <c r="M100" i="11" s="1"/>
  <c r="M107" i="11" s="1"/>
  <c r="M114" i="11" s="1"/>
  <c r="M121" i="11" s="1"/>
  <c r="M128" i="11" s="1"/>
  <c r="M50" i="11"/>
  <c r="M57" i="11" s="1"/>
  <c r="M64" i="11" s="1"/>
  <c r="M71" i="11" s="1"/>
  <c r="M78" i="11" s="1"/>
  <c r="M85" i="11" s="1"/>
  <c r="M92" i="11" s="1"/>
  <c r="M99" i="11" s="1"/>
  <c r="M106" i="11" s="1"/>
  <c r="M113" i="11" s="1"/>
  <c r="M120" i="11" s="1"/>
  <c r="M127" i="11" s="1"/>
  <c r="M49" i="11"/>
  <c r="M56" i="11" s="1"/>
  <c r="M63" i="11" s="1"/>
  <c r="M70" i="11" s="1"/>
  <c r="M77" i="11" s="1"/>
  <c r="M84" i="11" s="1"/>
  <c r="M91" i="11" s="1"/>
  <c r="M98" i="11" s="1"/>
  <c r="M105" i="11" s="1"/>
  <c r="M112" i="11" s="1"/>
  <c r="M119" i="11" s="1"/>
  <c r="M126" i="11" s="1"/>
  <c r="M48" i="11"/>
  <c r="M55" i="11" s="1"/>
  <c r="M62" i="11" s="1"/>
  <c r="M69" i="11" s="1"/>
  <c r="M76" i="11" s="1"/>
  <c r="M83" i="11" s="1"/>
  <c r="M90" i="11" s="1"/>
  <c r="M97" i="11" s="1"/>
  <c r="M104" i="11" s="1"/>
  <c r="M111" i="11" s="1"/>
  <c r="M118" i="11" s="1"/>
  <c r="M125" i="11" s="1"/>
  <c r="M47" i="11"/>
  <c r="M54" i="11" s="1"/>
  <c r="M61" i="11" s="1"/>
  <c r="M68" i="11" s="1"/>
  <c r="M75" i="11" s="1"/>
  <c r="M82" i="11" s="1"/>
  <c r="M89" i="11" s="1"/>
  <c r="M96" i="11" s="1"/>
  <c r="M103" i="11" s="1"/>
  <c r="M110" i="11" s="1"/>
  <c r="M117" i="11" s="1"/>
  <c r="M124" i="11" s="1"/>
  <c r="M46" i="11"/>
  <c r="T811" i="8" l="1"/>
  <c r="Q811" i="8"/>
  <c r="N811" i="8"/>
  <c r="A810" i="8"/>
  <c r="A821" i="8"/>
  <c r="N821" i="8" s="1"/>
  <c r="N820" i="8"/>
  <c r="T810" i="8" l="1"/>
  <c r="Q810" i="8"/>
  <c r="N810" i="8"/>
  <c r="A809" i="8"/>
  <c r="A822" i="8"/>
  <c r="T809" i="8" l="1"/>
  <c r="N809" i="8"/>
  <c r="A808" i="8"/>
  <c r="Q809" i="8"/>
  <c r="A823" i="8"/>
  <c r="N822" i="8"/>
  <c r="T808" i="8" l="1"/>
  <c r="Q808" i="8"/>
  <c r="N808" i="8"/>
  <c r="A807" i="8"/>
  <c r="A824" i="8"/>
  <c r="N823" i="8"/>
  <c r="A806" i="8" l="1"/>
  <c r="T807" i="8"/>
  <c r="N807" i="8"/>
  <c r="Q807" i="8"/>
  <c r="N824" i="8"/>
  <c r="A825" i="8"/>
  <c r="A805" i="8" l="1"/>
  <c r="N806" i="8"/>
  <c r="T806" i="8"/>
  <c r="Q806" i="8"/>
  <c r="N825" i="8"/>
  <c r="A826" i="8"/>
  <c r="T805" i="8" l="1"/>
  <c r="Q805" i="8"/>
  <c r="N805" i="8"/>
  <c r="A804" i="8"/>
  <c r="N826" i="8"/>
  <c r="A827" i="8"/>
  <c r="T804" i="8" l="1"/>
  <c r="Q804" i="8"/>
  <c r="N804" i="8"/>
  <c r="A803" i="8"/>
  <c r="N827" i="8"/>
  <c r="A828" i="8"/>
  <c r="A802" i="8" l="1"/>
  <c r="Q803" i="8"/>
  <c r="N803" i="8"/>
  <c r="T803" i="8"/>
  <c r="N828" i="8"/>
  <c r="A829" i="8"/>
  <c r="A801" i="8" l="1"/>
  <c r="N802" i="8"/>
  <c r="Q802" i="8"/>
  <c r="T802" i="8"/>
  <c r="N829" i="8"/>
  <c r="A830" i="8"/>
  <c r="T801" i="8" l="1"/>
  <c r="Q801" i="8"/>
  <c r="N801" i="8"/>
  <c r="A800" i="8"/>
  <c r="A831" i="8"/>
  <c r="N830" i="8"/>
  <c r="Q800" i="8" l="1"/>
  <c r="T800" i="8"/>
  <c r="A799" i="8"/>
  <c r="N800" i="8"/>
  <c r="N831" i="8"/>
  <c r="A832" i="8"/>
  <c r="Q799" i="8" l="1"/>
  <c r="N799" i="8"/>
  <c r="A798" i="8"/>
  <c r="T799" i="8"/>
  <c r="A833" i="8"/>
  <c r="N832" i="8"/>
  <c r="Q798" i="8" l="1"/>
  <c r="N798" i="8"/>
  <c r="T798" i="8"/>
  <c r="A797" i="8"/>
  <c r="A834" i="8"/>
  <c r="N833" i="8"/>
  <c r="Q797" i="8" l="1"/>
  <c r="N797" i="8"/>
  <c r="A796" i="8"/>
  <c r="T797" i="8"/>
  <c r="N834" i="8"/>
  <c r="A835" i="8"/>
  <c r="Q796" i="8" l="1"/>
  <c r="N796" i="8"/>
  <c r="T796" i="8"/>
  <c r="A795" i="8"/>
  <c r="N835" i="8"/>
  <c r="A836" i="8"/>
  <c r="T795" i="8" l="1"/>
  <c r="Q795" i="8"/>
  <c r="A794" i="8"/>
  <c r="N795" i="8"/>
  <c r="A837" i="8"/>
  <c r="N836" i="8"/>
  <c r="T794" i="8" l="1"/>
  <c r="Q794" i="8"/>
  <c r="A793" i="8"/>
  <c r="N794" i="8"/>
  <c r="A838" i="8"/>
  <c r="N837" i="8"/>
  <c r="A792" i="8" l="1"/>
  <c r="T793" i="8"/>
  <c r="Q793" i="8"/>
  <c r="N793" i="8"/>
  <c r="N838" i="8"/>
  <c r="A839" i="8"/>
  <c r="A791" i="8" l="1"/>
  <c r="T792" i="8"/>
  <c r="Q792" i="8"/>
  <c r="N792" i="8"/>
  <c r="N839" i="8"/>
  <c r="A840" i="8"/>
  <c r="T791" i="8" l="1"/>
  <c r="Q791" i="8"/>
  <c r="A790" i="8"/>
  <c r="N791" i="8"/>
  <c r="N840" i="8"/>
  <c r="A841" i="8"/>
  <c r="N790" i="8" l="1"/>
  <c r="T790" i="8"/>
  <c r="Q790" i="8"/>
  <c r="A789" i="8"/>
  <c r="A842" i="8"/>
  <c r="N841" i="8"/>
  <c r="T789" i="8" l="1"/>
  <c r="Q789" i="8"/>
  <c r="N789" i="8"/>
  <c r="A788" i="8"/>
  <c r="A843" i="8"/>
  <c r="N842" i="8"/>
  <c r="Q788" i="8" l="1"/>
  <c r="N788" i="8"/>
  <c r="A787" i="8"/>
  <c r="T788" i="8"/>
  <c r="A844" i="8"/>
  <c r="N843" i="8"/>
  <c r="N787" i="8" l="1"/>
  <c r="A786" i="8"/>
  <c r="Q787" i="8"/>
  <c r="T787" i="8"/>
  <c r="N844" i="8"/>
  <c r="A845" i="8"/>
  <c r="T786" i="8" l="1"/>
  <c r="Q786" i="8"/>
  <c r="N786" i="8"/>
  <c r="A785" i="8"/>
  <c r="N845" i="8"/>
  <c r="A846" i="8"/>
  <c r="N785" i="8" l="1"/>
  <c r="A784" i="8"/>
  <c r="Q785" i="8"/>
  <c r="T785" i="8"/>
  <c r="A847" i="8"/>
  <c r="N846" i="8"/>
  <c r="A783" i="8" l="1"/>
  <c r="T784" i="8"/>
  <c r="Q784" i="8"/>
  <c r="N784" i="8"/>
  <c r="N847" i="8"/>
  <c r="A848" i="8"/>
  <c r="T783" i="8" l="1"/>
  <c r="N783" i="8"/>
  <c r="A782" i="8"/>
  <c r="Q783" i="8"/>
  <c r="N848" i="8"/>
  <c r="A849" i="8"/>
  <c r="T782" i="8" l="1"/>
  <c r="Q782" i="8"/>
  <c r="N782" i="8"/>
  <c r="A781" i="8"/>
  <c r="A850" i="8"/>
  <c r="N849" i="8"/>
  <c r="A780" i="8" l="1"/>
  <c r="Q781" i="8"/>
  <c r="T781" i="8"/>
  <c r="N781" i="8"/>
  <c r="A851" i="8"/>
  <c r="N850" i="8"/>
  <c r="A779" i="8" l="1"/>
  <c r="T780" i="8"/>
  <c r="Q780" i="8"/>
  <c r="N780" i="8"/>
  <c r="A852" i="8"/>
  <c r="N851" i="8"/>
  <c r="N779" i="8" l="1"/>
  <c r="T779" i="8"/>
  <c r="Q779" i="8"/>
  <c r="A778" i="8"/>
  <c r="N852" i="8"/>
  <c r="A853" i="8"/>
  <c r="T778" i="8" l="1"/>
  <c r="A777" i="8"/>
  <c r="N778" i="8"/>
  <c r="Q778" i="8"/>
  <c r="A854" i="8"/>
  <c r="N853" i="8"/>
  <c r="Q777" i="8" l="1"/>
  <c r="N777" i="8"/>
  <c r="T777" i="8"/>
  <c r="A776" i="8"/>
  <c r="N854" i="8"/>
  <c r="A855" i="8"/>
  <c r="A775" i="8" l="1"/>
  <c r="Q776" i="8"/>
  <c r="T776" i="8"/>
  <c r="N776" i="8"/>
  <c r="N855" i="8"/>
  <c r="A856" i="8"/>
  <c r="N775" i="8" l="1"/>
  <c r="A774" i="8"/>
  <c r="T775" i="8"/>
  <c r="Q775" i="8"/>
  <c r="A857" i="8"/>
  <c r="N856" i="8"/>
  <c r="Q774" i="8" l="1"/>
  <c r="T774" i="8"/>
  <c r="N774" i="8"/>
  <c r="A773" i="8"/>
  <c r="N857" i="8"/>
  <c r="A858" i="8"/>
  <c r="T773" i="8" l="1"/>
  <c r="Q773" i="8"/>
  <c r="A772" i="8"/>
  <c r="N773" i="8"/>
  <c r="N858" i="8"/>
  <c r="A859" i="8"/>
  <c r="T772" i="8" l="1"/>
  <c r="Q772" i="8"/>
  <c r="N772" i="8"/>
  <c r="A771" i="8"/>
  <c r="N859" i="8"/>
  <c r="A860" i="8"/>
  <c r="A770" i="8" l="1"/>
  <c r="T771" i="8"/>
  <c r="Q771" i="8"/>
  <c r="N771" i="8"/>
  <c r="A861" i="8"/>
  <c r="N860" i="8"/>
  <c r="T770" i="8" l="1"/>
  <c r="Q770" i="8"/>
  <c r="N770" i="8"/>
  <c r="A769" i="8"/>
  <c r="N861" i="8"/>
  <c r="A862" i="8"/>
  <c r="Q769" i="8" l="1"/>
  <c r="N769" i="8"/>
  <c r="A768" i="8"/>
  <c r="T769" i="8"/>
  <c r="N862" i="8"/>
  <c r="A863" i="8"/>
  <c r="N768" i="8" l="1"/>
  <c r="Q768" i="8"/>
  <c r="A767" i="8"/>
  <c r="T768" i="8"/>
  <c r="A864" i="8"/>
  <c r="N863" i="8"/>
  <c r="A766" i="8" l="1"/>
  <c r="T767" i="8"/>
  <c r="Q767" i="8"/>
  <c r="N767" i="8"/>
  <c r="N864" i="8"/>
  <c r="A865" i="8"/>
  <c r="T766" i="8" l="1"/>
  <c r="Q766" i="8"/>
  <c r="N766" i="8"/>
  <c r="A765" i="8"/>
  <c r="N865" i="8"/>
  <c r="A866" i="8"/>
  <c r="Q765" i="8" l="1"/>
  <c r="N765" i="8"/>
  <c r="A764" i="8"/>
  <c r="T765" i="8"/>
  <c r="N866" i="8"/>
  <c r="A867" i="8"/>
  <c r="T764" i="8" l="1"/>
  <c r="Q764" i="8"/>
  <c r="A763" i="8"/>
  <c r="N764" i="8"/>
  <c r="A868" i="8"/>
  <c r="N867" i="8"/>
  <c r="T763" i="8" l="1"/>
  <c r="A762" i="8"/>
  <c r="Q763" i="8"/>
  <c r="N763" i="8"/>
  <c r="N868" i="8"/>
  <c r="A869" i="8"/>
  <c r="A761" i="8" l="1"/>
  <c r="T762" i="8"/>
  <c r="Q762" i="8"/>
  <c r="N762" i="8"/>
  <c r="N869" i="8"/>
  <c r="A870" i="8"/>
  <c r="A760" i="8" l="1"/>
  <c r="T761" i="8"/>
  <c r="Q761" i="8"/>
  <c r="N761" i="8"/>
  <c r="A871" i="8"/>
  <c r="N870" i="8"/>
  <c r="T760" i="8" l="1"/>
  <c r="A759" i="8"/>
  <c r="Q760" i="8"/>
  <c r="N760" i="8"/>
  <c r="A872" i="8"/>
  <c r="N871" i="8"/>
  <c r="Q759" i="8" l="1"/>
  <c r="A758" i="8"/>
  <c r="N759" i="8"/>
  <c r="T759" i="8"/>
  <c r="A873" i="8"/>
  <c r="N872" i="8"/>
  <c r="N758" i="8" l="1"/>
  <c r="Q758" i="8"/>
  <c r="A757" i="8"/>
  <c r="T758" i="8"/>
  <c r="A874" i="8"/>
  <c r="N873" i="8"/>
  <c r="A756" i="8" l="1"/>
  <c r="T757" i="8"/>
  <c r="Q757" i="8"/>
  <c r="N757" i="8"/>
  <c r="N874" i="8"/>
  <c r="A875" i="8"/>
  <c r="T756" i="8" l="1"/>
  <c r="Q756" i="8"/>
  <c r="N756" i="8"/>
  <c r="A755" i="8"/>
  <c r="N875" i="8"/>
  <c r="A876" i="8"/>
  <c r="Q755" i="8" l="1"/>
  <c r="N755" i="8"/>
  <c r="T755" i="8"/>
  <c r="A754" i="8"/>
  <c r="A877" i="8"/>
  <c r="N876" i="8"/>
  <c r="A753" i="8" l="1"/>
  <c r="Q754" i="8"/>
  <c r="N754" i="8"/>
  <c r="T754" i="8"/>
  <c r="A878" i="8"/>
  <c r="N877" i="8"/>
  <c r="A752" i="8" l="1"/>
  <c r="T753" i="8"/>
  <c r="N753" i="8"/>
  <c r="Q753" i="8"/>
  <c r="N878" i="8"/>
  <c r="A879" i="8"/>
  <c r="T752" i="8" l="1"/>
  <c r="Q752" i="8"/>
  <c r="N752" i="8"/>
  <c r="A751" i="8"/>
  <c r="N879" i="8"/>
  <c r="A880" i="8"/>
  <c r="T751" i="8" l="1"/>
  <c r="A750" i="8"/>
  <c r="N751" i="8"/>
  <c r="Q751" i="8"/>
  <c r="N880" i="8"/>
  <c r="A881" i="8"/>
  <c r="A749" i="8" l="1"/>
  <c r="N750" i="8"/>
  <c r="T750" i="8"/>
  <c r="Q750" i="8"/>
  <c r="A882" i="8"/>
  <c r="N881" i="8"/>
  <c r="A748" i="8" l="1"/>
  <c r="Q749" i="8"/>
  <c r="N749" i="8"/>
  <c r="T749" i="8"/>
  <c r="N882" i="8"/>
  <c r="A883" i="8"/>
  <c r="N748" i="8" l="1"/>
  <c r="A747" i="8"/>
  <c r="T748" i="8"/>
  <c r="Q748" i="8"/>
  <c r="N883" i="8"/>
  <c r="A884" i="8"/>
  <c r="T747" i="8" l="1"/>
  <c r="Q747" i="8"/>
  <c r="A746" i="8"/>
  <c r="N747" i="8"/>
  <c r="A885" i="8"/>
  <c r="N884" i="8"/>
  <c r="N746" i="8" l="1"/>
  <c r="T746" i="8"/>
  <c r="Q746" i="8"/>
  <c r="A745" i="8"/>
  <c r="A886" i="8"/>
  <c r="N885" i="8"/>
  <c r="T745" i="8" l="1"/>
  <c r="Q745" i="8"/>
  <c r="N745" i="8"/>
  <c r="A744" i="8"/>
  <c r="N886" i="8"/>
  <c r="A887" i="8"/>
  <c r="A743" i="8" l="1"/>
  <c r="N744" i="8"/>
  <c r="T744" i="8"/>
  <c r="Q744" i="8"/>
  <c r="N887" i="8"/>
  <c r="A888" i="8"/>
  <c r="N743" i="8" l="1"/>
  <c r="T743" i="8"/>
  <c r="Q743" i="8"/>
  <c r="A742" i="8"/>
  <c r="A889" i="8"/>
  <c r="N888" i="8"/>
  <c r="T742" i="8" l="1"/>
  <c r="Q742" i="8"/>
  <c r="A741" i="8"/>
  <c r="N742" i="8"/>
  <c r="N889" i="8"/>
  <c r="A890" i="8"/>
  <c r="A740" i="8" l="1"/>
  <c r="N741" i="8"/>
  <c r="T741" i="8"/>
  <c r="Q741" i="8"/>
  <c r="N890" i="8"/>
  <c r="A739" i="8" l="1"/>
  <c r="T740" i="8"/>
  <c r="Q740" i="8"/>
  <c r="N740" i="8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Y120" i="11"/>
  <c r="Y121" i="11"/>
  <c r="Y122" i="11"/>
  <c r="Y123" i="11"/>
  <c r="Y124" i="11"/>
  <c r="Y125" i="11"/>
  <c r="Y126" i="11"/>
  <c r="Y127" i="11"/>
  <c r="Y128" i="11"/>
  <c r="Y129" i="11"/>
  <c r="Y130" i="11"/>
  <c r="Y131" i="11"/>
  <c r="Y132" i="11"/>
  <c r="Y133" i="11"/>
  <c r="Y134" i="11"/>
  <c r="Y135" i="11"/>
  <c r="Y136" i="11"/>
  <c r="Y137" i="11"/>
  <c r="Y138" i="11"/>
  <c r="Y139" i="11"/>
  <c r="Y140" i="11"/>
  <c r="Y141" i="11"/>
  <c r="Y142" i="11"/>
  <c r="Y143" i="11"/>
  <c r="Y144" i="11"/>
  <c r="Y145" i="11"/>
  <c r="Y146" i="11"/>
  <c r="Y147" i="11"/>
  <c r="Y148" i="11"/>
  <c r="Y149" i="11"/>
  <c r="Y150" i="11"/>
  <c r="Y151" i="11"/>
  <c r="Y152" i="11"/>
  <c r="Y153" i="11"/>
  <c r="Y154" i="11"/>
  <c r="Y155" i="11"/>
  <c r="Y156" i="11"/>
  <c r="Y157" i="11"/>
  <c r="Y158" i="11"/>
  <c r="Y159" i="11"/>
  <c r="Y160" i="11"/>
  <c r="Y161" i="11"/>
  <c r="Y162" i="11"/>
  <c r="Y163" i="11"/>
  <c r="Y164" i="11"/>
  <c r="Y165" i="11"/>
  <c r="Y166" i="11"/>
  <c r="Y167" i="11"/>
  <c r="Y168" i="11"/>
  <c r="Y169" i="11"/>
  <c r="Y170" i="11"/>
  <c r="Y171" i="11"/>
  <c r="Y172" i="11"/>
  <c r="Y173" i="11"/>
  <c r="Y174" i="11"/>
  <c r="Y175" i="11"/>
  <c r="Y176" i="11"/>
  <c r="Y177" i="11"/>
  <c r="Y178" i="11"/>
  <c r="Y179" i="11"/>
  <c r="Y180" i="11"/>
  <c r="Y181" i="11"/>
  <c r="Y182" i="11"/>
  <c r="Y183" i="11"/>
  <c r="Y184" i="11"/>
  <c r="Y185" i="11"/>
  <c r="Y186" i="11"/>
  <c r="Y187" i="11"/>
  <c r="Y188" i="11"/>
  <c r="Y189" i="11"/>
  <c r="Y190" i="11"/>
  <c r="Y191" i="11"/>
  <c r="Y192" i="11"/>
  <c r="Y193" i="11"/>
  <c r="Y194" i="11"/>
  <c r="Y195" i="11"/>
  <c r="Y196" i="11"/>
  <c r="Y197" i="11"/>
  <c r="Y198" i="11"/>
  <c r="Y199" i="11"/>
  <c r="Y200" i="11"/>
  <c r="Y201" i="11"/>
  <c r="Y202" i="11"/>
  <c r="Y203" i="11"/>
  <c r="Y204" i="11"/>
  <c r="Y205" i="11"/>
  <c r="Y206" i="11"/>
  <c r="Y207" i="11"/>
  <c r="Y208" i="11"/>
  <c r="Y209" i="11"/>
  <c r="Y210" i="11"/>
  <c r="Y211" i="11"/>
  <c r="Y212" i="11"/>
  <c r="Y213" i="11"/>
  <c r="Y214" i="11"/>
  <c r="Y215" i="11"/>
  <c r="Y216" i="11"/>
  <c r="Y217" i="11"/>
  <c r="Y218" i="11"/>
  <c r="Y219" i="11"/>
  <c r="Y220" i="11"/>
  <c r="Y221" i="11"/>
  <c r="Y222" i="11"/>
  <c r="Y223" i="11"/>
  <c r="Y224" i="11"/>
  <c r="Y225" i="11"/>
  <c r="Y226" i="11"/>
  <c r="Y227" i="11"/>
  <c r="Y228" i="11"/>
  <c r="Y229" i="11"/>
  <c r="Y230" i="11"/>
  <c r="Y231" i="11"/>
  <c r="Y232" i="11"/>
  <c r="Y233" i="11"/>
  <c r="Y234" i="11"/>
  <c r="Y235" i="11"/>
  <c r="Y236" i="11"/>
  <c r="Y237" i="11"/>
  <c r="Y238" i="11"/>
  <c r="Y239" i="11"/>
  <c r="Y240" i="11"/>
  <c r="Y241" i="11"/>
  <c r="Y242" i="11"/>
  <c r="Y243" i="11"/>
  <c r="Y244" i="11"/>
  <c r="Y245" i="11"/>
  <c r="Y246" i="11"/>
  <c r="Y247" i="11"/>
  <c r="Y248" i="11"/>
  <c r="Y249" i="11"/>
  <c r="Y250" i="11"/>
  <c r="Y251" i="11"/>
  <c r="Y252" i="11"/>
  <c r="Y253" i="11"/>
  <c r="Y254" i="11"/>
  <c r="Y255" i="11"/>
  <c r="Y256" i="11"/>
  <c r="Y257" i="11"/>
  <c r="Y258" i="11"/>
  <c r="Y259" i="11"/>
  <c r="Y260" i="11"/>
  <c r="Y261" i="11"/>
  <c r="Y262" i="11"/>
  <c r="Y263" i="11"/>
  <c r="Y264" i="11"/>
  <c r="Y265" i="11"/>
  <c r="Y266" i="11"/>
  <c r="Y267" i="11"/>
  <c r="Y268" i="11"/>
  <c r="Y269" i="11"/>
  <c r="Y270" i="11"/>
  <c r="Y271" i="11"/>
  <c r="Y272" i="11"/>
  <c r="Y273" i="11"/>
  <c r="Y274" i="11"/>
  <c r="Y275" i="11"/>
  <c r="Y276" i="11"/>
  <c r="Y277" i="11"/>
  <c r="Y278" i="11"/>
  <c r="Y279" i="11"/>
  <c r="Y280" i="11"/>
  <c r="Y281" i="11"/>
  <c r="Y282" i="11"/>
  <c r="Y283" i="11"/>
  <c r="Y284" i="11"/>
  <c r="Y285" i="11"/>
  <c r="Y286" i="11"/>
  <c r="Y287" i="11"/>
  <c r="Y288" i="11"/>
  <c r="Y289" i="11"/>
  <c r="Y290" i="11"/>
  <c r="Y291" i="11"/>
  <c r="Y292" i="11"/>
  <c r="Y293" i="11"/>
  <c r="Y294" i="11"/>
  <c r="Y295" i="11"/>
  <c r="Y296" i="11"/>
  <c r="Y297" i="11"/>
  <c r="Y298" i="11"/>
  <c r="Y299" i="11"/>
  <c r="Y300" i="11"/>
  <c r="Y301" i="11"/>
  <c r="Y302" i="11"/>
  <c r="Y303" i="11"/>
  <c r="Y304" i="11"/>
  <c r="Y305" i="11"/>
  <c r="Y306" i="11"/>
  <c r="Y307" i="11"/>
  <c r="Y308" i="11"/>
  <c r="Y309" i="11"/>
  <c r="Y310" i="11"/>
  <c r="Y311" i="11"/>
  <c r="Y312" i="11"/>
  <c r="Y313" i="11"/>
  <c r="Y314" i="11"/>
  <c r="Y315" i="11"/>
  <c r="Y316" i="11"/>
  <c r="Y317" i="11"/>
  <c r="Y318" i="11"/>
  <c r="Y319" i="11"/>
  <c r="Y320" i="11"/>
  <c r="Y321" i="11"/>
  <c r="Y322" i="11"/>
  <c r="Y323" i="11"/>
  <c r="Y324" i="11"/>
  <c r="Y325" i="11"/>
  <c r="Y326" i="11"/>
  <c r="Y327" i="11"/>
  <c r="Y328" i="11"/>
  <c r="Y329" i="11"/>
  <c r="Y330" i="11"/>
  <c r="Y331" i="11"/>
  <c r="Y332" i="11"/>
  <c r="Y333" i="11"/>
  <c r="Y334" i="11"/>
  <c r="Y335" i="11"/>
  <c r="Y336" i="11"/>
  <c r="Y337" i="11"/>
  <c r="Y338" i="11"/>
  <c r="Y339" i="11"/>
  <c r="Y340" i="11"/>
  <c r="Y341" i="11"/>
  <c r="Y342" i="11"/>
  <c r="Y343" i="11"/>
  <c r="Y344" i="11"/>
  <c r="Y345" i="11"/>
  <c r="Y346" i="11"/>
  <c r="Y347" i="11"/>
  <c r="Y348" i="11"/>
  <c r="Y349" i="11"/>
  <c r="Y350" i="11"/>
  <c r="Y351" i="11"/>
  <c r="Y352" i="11"/>
  <c r="Y353" i="11"/>
  <c r="Y354" i="11"/>
  <c r="Y355" i="11"/>
  <c r="Y356" i="11"/>
  <c r="Y357" i="11"/>
  <c r="Y358" i="11"/>
  <c r="Y359" i="11"/>
  <c r="Y360" i="11"/>
  <c r="Y361" i="11"/>
  <c r="Y362" i="11"/>
  <c r="Y363" i="11"/>
  <c r="Y364" i="11"/>
  <c r="Y365" i="11"/>
  <c r="Y366" i="11"/>
  <c r="Y367" i="11"/>
  <c r="Y368" i="11"/>
  <c r="Y369" i="11"/>
  <c r="Y370" i="11"/>
  <c r="Y371" i="11"/>
  <c r="Y372" i="11"/>
  <c r="Y373" i="11"/>
  <c r="Y374" i="11"/>
  <c r="Y375" i="11"/>
  <c r="Y376" i="11"/>
  <c r="Y377" i="11"/>
  <c r="Y378" i="11"/>
  <c r="Y379" i="11"/>
  <c r="Y380" i="11"/>
  <c r="Y381" i="11"/>
  <c r="Y382" i="11"/>
  <c r="Y383" i="11"/>
  <c r="Y384" i="11"/>
  <c r="Y385" i="11"/>
  <c r="Y386" i="11"/>
  <c r="Y387" i="11"/>
  <c r="Q739" i="8" l="1"/>
  <c r="T739" i="8"/>
  <c r="N739" i="8"/>
  <c r="A738" i="8"/>
  <c r="Q819" i="8"/>
  <c r="Q820" i="8"/>
  <c r="Q821" i="8"/>
  <c r="Q822" i="8"/>
  <c r="Q823" i="8"/>
  <c r="Q824" i="8"/>
  <c r="Q825" i="8"/>
  <c r="Q826" i="8"/>
  <c r="Q827" i="8"/>
  <c r="Q828" i="8"/>
  <c r="Q829" i="8"/>
  <c r="Q830" i="8"/>
  <c r="Q831" i="8"/>
  <c r="Q832" i="8"/>
  <c r="Q833" i="8"/>
  <c r="Q834" i="8"/>
  <c r="Q835" i="8"/>
  <c r="Q836" i="8"/>
  <c r="Q837" i="8"/>
  <c r="Q838" i="8"/>
  <c r="Q839" i="8"/>
  <c r="Q840" i="8"/>
  <c r="Q841" i="8"/>
  <c r="Q842" i="8"/>
  <c r="Q843" i="8"/>
  <c r="Q844" i="8"/>
  <c r="Q845" i="8"/>
  <c r="Q846" i="8"/>
  <c r="Q847" i="8"/>
  <c r="Q848" i="8"/>
  <c r="Q849" i="8"/>
  <c r="Q850" i="8"/>
  <c r="Q851" i="8"/>
  <c r="Q852" i="8"/>
  <c r="Q853" i="8"/>
  <c r="Q854" i="8"/>
  <c r="Q855" i="8"/>
  <c r="Q856" i="8"/>
  <c r="Q857" i="8"/>
  <c r="Q858" i="8"/>
  <c r="Q859" i="8"/>
  <c r="Q860" i="8"/>
  <c r="Q861" i="8"/>
  <c r="Q862" i="8"/>
  <c r="Q863" i="8"/>
  <c r="Q864" i="8"/>
  <c r="Q865" i="8"/>
  <c r="Q866" i="8"/>
  <c r="Q867" i="8"/>
  <c r="Q868" i="8"/>
  <c r="Q869" i="8"/>
  <c r="Q870" i="8"/>
  <c r="Q871" i="8"/>
  <c r="Q872" i="8"/>
  <c r="Q873" i="8"/>
  <c r="Q874" i="8"/>
  <c r="Q875" i="8"/>
  <c r="Q876" i="8"/>
  <c r="Q877" i="8"/>
  <c r="Q878" i="8"/>
  <c r="Q879" i="8"/>
  <c r="Q880" i="8"/>
  <c r="Q881" i="8"/>
  <c r="Q882" i="8"/>
  <c r="Q883" i="8"/>
  <c r="Q884" i="8"/>
  <c r="Q885" i="8"/>
  <c r="Q886" i="8"/>
  <c r="Q887" i="8"/>
  <c r="Q888" i="8"/>
  <c r="Q889" i="8"/>
  <c r="Q890" i="8"/>
  <c r="T4" i="11"/>
  <c r="T21" i="11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O4" i="9"/>
  <c r="P4" i="9"/>
  <c r="A292" i="11"/>
  <c r="A340" i="11"/>
  <c r="A339" i="11"/>
  <c r="A363" i="11"/>
  <c r="V9" i="11"/>
  <c r="V10" i="11" s="1"/>
  <c r="V11" i="11" s="1"/>
  <c r="V12" i="11" s="1"/>
  <c r="V13" i="11" s="1"/>
  <c r="V14" i="11" s="1"/>
  <c r="V15" i="11" s="1"/>
  <c r="V16" i="11" s="1"/>
  <c r="V17" i="11" s="1"/>
  <c r="V18" i="11" s="1"/>
  <c r="V19" i="11" s="1"/>
  <c r="V20" i="11" s="1"/>
  <c r="T20" i="11" s="1"/>
  <c r="N4" i="11"/>
  <c r="N5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N738" i="8" l="1"/>
  <c r="A737" i="8"/>
  <c r="T738" i="8"/>
  <c r="Q738" i="8"/>
  <c r="A304" i="11"/>
  <c r="A303" i="11"/>
  <c r="A314" i="11"/>
  <c r="A347" i="11"/>
  <c r="A344" i="11"/>
  <c r="A334" i="11"/>
  <c r="A318" i="11"/>
  <c r="A346" i="11"/>
  <c r="A345" i="11"/>
  <c r="A317" i="11"/>
  <c r="A316" i="11"/>
  <c r="A315" i="11"/>
  <c r="T19" i="11"/>
  <c r="T13" i="11"/>
  <c r="T18" i="11"/>
  <c r="T16" i="11"/>
  <c r="T14" i="11"/>
  <c r="T12" i="11"/>
  <c r="T11" i="11"/>
  <c r="T5" i="11"/>
  <c r="T10" i="11"/>
  <c r="T9" i="11"/>
  <c r="T8" i="11"/>
  <c r="T7" i="11"/>
  <c r="T6" i="11"/>
  <c r="A351" i="11"/>
  <c r="A328" i="11"/>
  <c r="A359" i="11"/>
  <c r="A327" i="11"/>
  <c r="A297" i="11"/>
  <c r="A358" i="11"/>
  <c r="A326" i="11"/>
  <c r="A296" i="11"/>
  <c r="A357" i="11"/>
  <c r="A325" i="11"/>
  <c r="A295" i="11"/>
  <c r="A331" i="11"/>
  <c r="A301" i="11"/>
  <c r="A362" i="11"/>
  <c r="A329" i="11"/>
  <c r="A299" i="11"/>
  <c r="A298" i="11"/>
  <c r="A356" i="11"/>
  <c r="A324" i="11"/>
  <c r="A293" i="11"/>
  <c r="A355" i="11"/>
  <c r="A323" i="11"/>
  <c r="A354" i="11"/>
  <c r="A321" i="11"/>
  <c r="T17" i="11"/>
  <c r="A333" i="11"/>
  <c r="A332" i="11"/>
  <c r="A302" i="11"/>
  <c r="A330" i="11"/>
  <c r="A300" i="11"/>
  <c r="A361" i="11"/>
  <c r="A360" i="11"/>
  <c r="A353" i="11"/>
  <c r="A320" i="11"/>
  <c r="A352" i="11"/>
  <c r="A319" i="11"/>
  <c r="T15" i="11"/>
  <c r="A343" i="11"/>
  <c r="A313" i="11"/>
  <c r="A342" i="11"/>
  <c r="A311" i="11"/>
  <c r="A310" i="11"/>
  <c r="A337" i="11"/>
  <c r="A306" i="11"/>
  <c r="A312" i="11"/>
  <c r="A341" i="11"/>
  <c r="A309" i="11"/>
  <c r="A338" i="11"/>
  <c r="A307" i="11"/>
  <c r="A335" i="11"/>
  <c r="A305" i="11"/>
  <c r="A336" i="11"/>
  <c r="A308" i="11"/>
  <c r="A350" i="11"/>
  <c r="A322" i="11"/>
  <c r="A294" i="11"/>
  <c r="A349" i="11"/>
  <c r="A348" i="11"/>
  <c r="N17" i="11"/>
  <c r="T737" i="8" l="1"/>
  <c r="Q737" i="8"/>
  <c r="N737" i="8"/>
  <c r="A736" i="8"/>
  <c r="N18" i="11"/>
  <c r="N16" i="11"/>
  <c r="T736" i="8" l="1"/>
  <c r="Q736" i="8"/>
  <c r="N736" i="8"/>
  <c r="A735" i="8"/>
  <c r="N19" i="11"/>
  <c r="N15" i="11"/>
  <c r="T735" i="8" l="1"/>
  <c r="Q735" i="8"/>
  <c r="N735" i="8"/>
  <c r="A734" i="8"/>
  <c r="N20" i="11"/>
  <c r="N14" i="11"/>
  <c r="A733" i="8" l="1"/>
  <c r="N734" i="8"/>
  <c r="Q734" i="8"/>
  <c r="T734" i="8"/>
  <c r="N21" i="11"/>
  <c r="N13" i="11"/>
  <c r="Q733" i="8" l="1"/>
  <c r="N733" i="8"/>
  <c r="A732" i="8"/>
  <c r="T733" i="8"/>
  <c r="N22" i="11"/>
  <c r="N12" i="11"/>
  <c r="N732" i="8" l="1"/>
  <c r="A731" i="8"/>
  <c r="T732" i="8"/>
  <c r="Q732" i="8"/>
  <c r="N23" i="11"/>
  <c r="N11" i="11"/>
  <c r="T78" i="11"/>
  <c r="T79" i="11"/>
  <c r="T80" i="11"/>
  <c r="T81" i="11"/>
  <c r="T77" i="11"/>
  <c r="A730" i="8" l="1"/>
  <c r="T731" i="8"/>
  <c r="Q731" i="8"/>
  <c r="N731" i="8"/>
  <c r="N24" i="11"/>
  <c r="N10" i="11"/>
  <c r="T730" i="8" l="1"/>
  <c r="N730" i="8"/>
  <c r="A729" i="8"/>
  <c r="Q730" i="8"/>
  <c r="N25" i="11"/>
  <c r="N9" i="11"/>
  <c r="T729" i="8" l="1"/>
  <c r="Q729" i="8"/>
  <c r="N729" i="8"/>
  <c r="A728" i="8"/>
  <c r="N26" i="11"/>
  <c r="N8" i="11"/>
  <c r="E4" i="9"/>
  <c r="E5" i="9"/>
  <c r="E3" i="9"/>
  <c r="T728" i="8" l="1"/>
  <c r="Q728" i="8"/>
  <c r="N728" i="8"/>
  <c r="A727" i="8"/>
  <c r="N27" i="11"/>
  <c r="N7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726" i="8" l="1"/>
  <c r="Q727" i="8"/>
  <c r="T727" i="8"/>
  <c r="N727" i="8"/>
  <c r="N28" i="11"/>
  <c r="N6" i="11"/>
  <c r="A725" i="8" l="1"/>
  <c r="Q726" i="8"/>
  <c r="T726" i="8"/>
  <c r="N726" i="8"/>
  <c r="N29" i="11"/>
  <c r="T725" i="8" l="1"/>
  <c r="Q725" i="8"/>
  <c r="N725" i="8"/>
  <c r="A724" i="8"/>
  <c r="N30" i="11"/>
  <c r="N724" i="8" l="1"/>
  <c r="A723" i="8"/>
  <c r="T724" i="8"/>
  <c r="Q724" i="8"/>
  <c r="N31" i="11"/>
  <c r="T723" i="8" l="1"/>
  <c r="Q723" i="8"/>
  <c r="N723" i="8"/>
  <c r="A722" i="8"/>
  <c r="N32" i="11"/>
  <c r="N722" i="8" l="1"/>
  <c r="A721" i="8"/>
  <c r="T722" i="8"/>
  <c r="Q722" i="8"/>
  <c r="N33" i="11"/>
  <c r="T721" i="8" l="1"/>
  <c r="Q721" i="8"/>
  <c r="A720" i="8"/>
  <c r="N721" i="8"/>
  <c r="N34" i="11"/>
  <c r="T720" i="8" l="1"/>
  <c r="Q720" i="8"/>
  <c r="N720" i="8"/>
  <c r="A719" i="8"/>
  <c r="N35" i="11"/>
  <c r="A718" i="8" l="1"/>
  <c r="T719" i="8"/>
  <c r="Q719" i="8"/>
  <c r="N719" i="8"/>
  <c r="N36" i="11"/>
  <c r="A717" i="8" l="1"/>
  <c r="T718" i="8"/>
  <c r="Q718" i="8"/>
  <c r="N718" i="8"/>
  <c r="N37" i="11"/>
  <c r="A716" i="8" l="1"/>
  <c r="T717" i="8"/>
  <c r="Q717" i="8"/>
  <c r="N717" i="8"/>
  <c r="N38" i="11"/>
  <c r="T716" i="8" l="1"/>
  <c r="Q716" i="8"/>
  <c r="N716" i="8"/>
  <c r="A715" i="8"/>
  <c r="N39" i="11"/>
  <c r="T715" i="8" l="1"/>
  <c r="N715" i="8"/>
  <c r="A714" i="8"/>
  <c r="Q715" i="8"/>
  <c r="N40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O7" i="9"/>
  <c r="P7" i="9" s="1"/>
  <c r="O6" i="9"/>
  <c r="P6" i="9" s="1"/>
  <c r="O5" i="9"/>
  <c r="P5" i="9" s="1"/>
  <c r="O2" i="9"/>
  <c r="P2" i="9" s="1"/>
  <c r="O3" i="9"/>
  <c r="P3" i="9" s="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V892" i="8"/>
  <c r="V916" i="8" s="1"/>
  <c r="V940" i="8" s="1"/>
  <c r="V964" i="8" s="1"/>
  <c r="V988" i="8" s="1"/>
  <c r="V1012" i="8" s="1"/>
  <c r="V1036" i="8" s="1"/>
  <c r="V1060" i="8" s="1"/>
  <c r="V1084" i="8" s="1"/>
  <c r="V1108" i="8" s="1"/>
  <c r="V1132" i="8" s="1"/>
  <c r="V1156" i="8" s="1"/>
  <c r="V1180" i="8" s="1"/>
  <c r="V1204" i="8" s="1"/>
  <c r="V1228" i="8" s="1"/>
  <c r="V1252" i="8" s="1"/>
  <c r="V1276" i="8" s="1"/>
  <c r="V1300" i="8" s="1"/>
  <c r="V1324" i="8" s="1"/>
  <c r="V1348" i="8" s="1"/>
  <c r="V1372" i="8" s="1"/>
  <c r="V1396" i="8" s="1"/>
  <c r="V1420" i="8" s="1"/>
  <c r="V1444" i="8" s="1"/>
  <c r="V1468" i="8" s="1"/>
  <c r="V1492" i="8" s="1"/>
  <c r="V1516" i="8" s="1"/>
  <c r="V1540" i="8" s="1"/>
  <c r="V1564" i="8" s="1"/>
  <c r="V1588" i="8" s="1"/>
  <c r="V1612" i="8" s="1"/>
  <c r="V1636" i="8" s="1"/>
  <c r="V1660" i="8" s="1"/>
  <c r="V1684" i="8" s="1"/>
  <c r="V1708" i="8" s="1"/>
  <c r="V1732" i="8" s="1"/>
  <c r="V1756" i="8" s="1"/>
  <c r="V1780" i="8" s="1"/>
  <c r="V1804" i="8" s="1"/>
  <c r="V1828" i="8" s="1"/>
  <c r="V1852" i="8" s="1"/>
  <c r="V1876" i="8" s="1"/>
  <c r="V1900" i="8" s="1"/>
  <c r="V1924" i="8" s="1"/>
  <c r="V1948" i="8" s="1"/>
  <c r="V1972" i="8" s="1"/>
  <c r="V1996" i="8" s="1"/>
  <c r="V2020" i="8" s="1"/>
  <c r="V2044" i="8" s="1"/>
  <c r="V2068" i="8" s="1"/>
  <c r="V2092" i="8" s="1"/>
  <c r="V2116" i="8" s="1"/>
  <c r="V2140" i="8" s="1"/>
  <c r="V2164" i="8" s="1"/>
  <c r="V2188" i="8" s="1"/>
  <c r="V2212" i="8" s="1"/>
  <c r="V2236" i="8" s="1"/>
  <c r="V2260" i="8" s="1"/>
  <c r="V2284" i="8" s="1"/>
  <c r="V2308" i="8" s="1"/>
  <c r="V2332" i="8" s="1"/>
  <c r="V2356" i="8" s="1"/>
  <c r="V2380" i="8" s="1"/>
  <c r="V2404" i="8" s="1"/>
  <c r="V2428" i="8" s="1"/>
  <c r="V2452" i="8" s="1"/>
  <c r="V2476" i="8" s="1"/>
  <c r="V2500" i="8" s="1"/>
  <c r="V2524" i="8" s="1"/>
  <c r="V2548" i="8" s="1"/>
  <c r="V2572" i="8" s="1"/>
  <c r="V2596" i="8" s="1"/>
  <c r="V2620" i="8" s="1"/>
  <c r="V2644" i="8" s="1"/>
  <c r="V2668" i="8" s="1"/>
  <c r="V2692" i="8" s="1"/>
  <c r="V2716" i="8" s="1"/>
  <c r="V2740" i="8" s="1"/>
  <c r="V2764" i="8" s="1"/>
  <c r="V2788" i="8" s="1"/>
  <c r="V2812" i="8" s="1"/>
  <c r="V2836" i="8" s="1"/>
  <c r="V2860" i="8" s="1"/>
  <c r="V2884" i="8" s="1"/>
  <c r="V2908" i="8" s="1"/>
  <c r="V2932" i="8" s="1"/>
  <c r="V2956" i="8" s="1"/>
  <c r="V2980" i="8" s="1"/>
  <c r="V3004" i="8" s="1"/>
  <c r="W892" i="8"/>
  <c r="W916" i="8" s="1"/>
  <c r="W940" i="8" s="1"/>
  <c r="W964" i="8" s="1"/>
  <c r="W988" i="8" s="1"/>
  <c r="W1012" i="8" s="1"/>
  <c r="W1036" i="8" s="1"/>
  <c r="W1060" i="8" s="1"/>
  <c r="W1084" i="8" s="1"/>
  <c r="W1108" i="8" s="1"/>
  <c r="W1132" i="8" s="1"/>
  <c r="W1156" i="8" s="1"/>
  <c r="W1180" i="8" s="1"/>
  <c r="W1204" i="8" s="1"/>
  <c r="W1228" i="8" s="1"/>
  <c r="W1252" i="8" s="1"/>
  <c r="W1276" i="8" s="1"/>
  <c r="W1300" i="8" s="1"/>
  <c r="W1324" i="8" s="1"/>
  <c r="W1348" i="8" s="1"/>
  <c r="W1372" i="8" s="1"/>
  <c r="W1396" i="8" s="1"/>
  <c r="W1420" i="8" s="1"/>
  <c r="W1444" i="8" s="1"/>
  <c r="W1468" i="8" s="1"/>
  <c r="W1492" i="8" s="1"/>
  <c r="W1516" i="8" s="1"/>
  <c r="W1540" i="8" s="1"/>
  <c r="W1564" i="8" s="1"/>
  <c r="W1588" i="8" s="1"/>
  <c r="W1612" i="8" s="1"/>
  <c r="W1636" i="8" s="1"/>
  <c r="W1660" i="8" s="1"/>
  <c r="W1684" i="8" s="1"/>
  <c r="W1708" i="8" s="1"/>
  <c r="W1732" i="8" s="1"/>
  <c r="W1756" i="8" s="1"/>
  <c r="W1780" i="8" s="1"/>
  <c r="W1804" i="8" s="1"/>
  <c r="W1828" i="8" s="1"/>
  <c r="W1852" i="8" s="1"/>
  <c r="W1876" i="8" s="1"/>
  <c r="W1900" i="8" s="1"/>
  <c r="W1924" i="8" s="1"/>
  <c r="W1948" i="8" s="1"/>
  <c r="W1972" i="8" s="1"/>
  <c r="W1996" i="8" s="1"/>
  <c r="W2020" i="8" s="1"/>
  <c r="W2044" i="8" s="1"/>
  <c r="W2068" i="8" s="1"/>
  <c r="W2092" i="8" s="1"/>
  <c r="W2116" i="8" s="1"/>
  <c r="W2140" i="8" s="1"/>
  <c r="W2164" i="8" s="1"/>
  <c r="W2188" i="8" s="1"/>
  <c r="W2212" i="8" s="1"/>
  <c r="W2236" i="8" s="1"/>
  <c r="W2260" i="8" s="1"/>
  <c r="W2284" i="8" s="1"/>
  <c r="W2308" i="8" s="1"/>
  <c r="W2332" i="8" s="1"/>
  <c r="W2356" i="8" s="1"/>
  <c r="W2380" i="8" s="1"/>
  <c r="W2404" i="8" s="1"/>
  <c r="W2428" i="8" s="1"/>
  <c r="W2452" i="8" s="1"/>
  <c r="W2476" i="8" s="1"/>
  <c r="W2500" i="8" s="1"/>
  <c r="W2524" i="8" s="1"/>
  <c r="W2548" i="8" s="1"/>
  <c r="W2572" i="8" s="1"/>
  <c r="W2596" i="8" s="1"/>
  <c r="W2620" i="8" s="1"/>
  <c r="W2644" i="8" s="1"/>
  <c r="W2668" i="8" s="1"/>
  <c r="W2692" i="8" s="1"/>
  <c r="W2716" i="8" s="1"/>
  <c r="W2740" i="8" s="1"/>
  <c r="W2764" i="8" s="1"/>
  <c r="W2788" i="8" s="1"/>
  <c r="W2812" i="8" s="1"/>
  <c r="W2836" i="8" s="1"/>
  <c r="W2860" i="8" s="1"/>
  <c r="W2884" i="8" s="1"/>
  <c r="W2908" i="8" s="1"/>
  <c r="W2932" i="8" s="1"/>
  <c r="W2956" i="8" s="1"/>
  <c r="W2980" i="8" s="1"/>
  <c r="W3004" i="8" s="1"/>
  <c r="V893" i="8"/>
  <c r="V917" i="8" s="1"/>
  <c r="V941" i="8" s="1"/>
  <c r="V965" i="8" s="1"/>
  <c r="V989" i="8" s="1"/>
  <c r="V1013" i="8" s="1"/>
  <c r="V1037" i="8" s="1"/>
  <c r="V1061" i="8" s="1"/>
  <c r="V1085" i="8" s="1"/>
  <c r="V1109" i="8" s="1"/>
  <c r="V1133" i="8" s="1"/>
  <c r="V1157" i="8" s="1"/>
  <c r="V1181" i="8" s="1"/>
  <c r="V1205" i="8" s="1"/>
  <c r="V1229" i="8" s="1"/>
  <c r="V1253" i="8" s="1"/>
  <c r="V1277" i="8" s="1"/>
  <c r="V1301" i="8" s="1"/>
  <c r="V1325" i="8" s="1"/>
  <c r="V1349" i="8" s="1"/>
  <c r="V1373" i="8" s="1"/>
  <c r="V1397" i="8" s="1"/>
  <c r="V1421" i="8" s="1"/>
  <c r="V1445" i="8" s="1"/>
  <c r="V1469" i="8" s="1"/>
  <c r="V1493" i="8" s="1"/>
  <c r="V1517" i="8" s="1"/>
  <c r="V1541" i="8" s="1"/>
  <c r="V1565" i="8" s="1"/>
  <c r="V1589" i="8" s="1"/>
  <c r="V1613" i="8" s="1"/>
  <c r="V1637" i="8" s="1"/>
  <c r="V1661" i="8" s="1"/>
  <c r="V1685" i="8" s="1"/>
  <c r="V1709" i="8" s="1"/>
  <c r="V1733" i="8" s="1"/>
  <c r="V1757" i="8" s="1"/>
  <c r="V1781" i="8" s="1"/>
  <c r="V1805" i="8" s="1"/>
  <c r="V1829" i="8" s="1"/>
  <c r="V1853" i="8" s="1"/>
  <c r="V1877" i="8" s="1"/>
  <c r="V1901" i="8" s="1"/>
  <c r="V1925" i="8" s="1"/>
  <c r="V1949" i="8" s="1"/>
  <c r="V1973" i="8" s="1"/>
  <c r="V1997" i="8" s="1"/>
  <c r="V2021" i="8" s="1"/>
  <c r="V2045" i="8" s="1"/>
  <c r="V2069" i="8" s="1"/>
  <c r="V2093" i="8" s="1"/>
  <c r="V2117" i="8" s="1"/>
  <c r="V2141" i="8" s="1"/>
  <c r="V2165" i="8" s="1"/>
  <c r="V2189" i="8" s="1"/>
  <c r="V2213" i="8" s="1"/>
  <c r="V2237" i="8" s="1"/>
  <c r="V2261" i="8" s="1"/>
  <c r="V2285" i="8" s="1"/>
  <c r="V2309" i="8" s="1"/>
  <c r="V2333" i="8" s="1"/>
  <c r="V2357" i="8" s="1"/>
  <c r="V2381" i="8" s="1"/>
  <c r="V2405" i="8" s="1"/>
  <c r="V2429" i="8" s="1"/>
  <c r="V2453" i="8" s="1"/>
  <c r="V2477" i="8" s="1"/>
  <c r="V2501" i="8" s="1"/>
  <c r="V2525" i="8" s="1"/>
  <c r="V2549" i="8" s="1"/>
  <c r="V2573" i="8" s="1"/>
  <c r="V2597" i="8" s="1"/>
  <c r="V2621" i="8" s="1"/>
  <c r="V2645" i="8" s="1"/>
  <c r="V2669" i="8" s="1"/>
  <c r="V2693" i="8" s="1"/>
  <c r="V2717" i="8" s="1"/>
  <c r="V2741" i="8" s="1"/>
  <c r="V2765" i="8" s="1"/>
  <c r="V2789" i="8" s="1"/>
  <c r="V2813" i="8" s="1"/>
  <c r="V2837" i="8" s="1"/>
  <c r="V2861" i="8" s="1"/>
  <c r="V2885" i="8" s="1"/>
  <c r="V2909" i="8" s="1"/>
  <c r="V2933" i="8" s="1"/>
  <c r="V2957" i="8" s="1"/>
  <c r="V2981" i="8" s="1"/>
  <c r="V3005" i="8" s="1"/>
  <c r="W893" i="8"/>
  <c r="W917" i="8" s="1"/>
  <c r="W941" i="8" s="1"/>
  <c r="W965" i="8" s="1"/>
  <c r="W989" i="8" s="1"/>
  <c r="W1013" i="8" s="1"/>
  <c r="W1037" i="8" s="1"/>
  <c r="W1061" i="8" s="1"/>
  <c r="W1085" i="8" s="1"/>
  <c r="W1109" i="8" s="1"/>
  <c r="W1133" i="8" s="1"/>
  <c r="W1157" i="8" s="1"/>
  <c r="W1181" i="8" s="1"/>
  <c r="W1205" i="8" s="1"/>
  <c r="W1229" i="8" s="1"/>
  <c r="W1253" i="8" s="1"/>
  <c r="W1277" i="8" s="1"/>
  <c r="W1301" i="8" s="1"/>
  <c r="W1325" i="8" s="1"/>
  <c r="W1349" i="8" s="1"/>
  <c r="W1373" i="8" s="1"/>
  <c r="W1397" i="8" s="1"/>
  <c r="W1421" i="8" s="1"/>
  <c r="W1445" i="8" s="1"/>
  <c r="W1469" i="8" s="1"/>
  <c r="W1493" i="8" s="1"/>
  <c r="W1517" i="8" s="1"/>
  <c r="W1541" i="8" s="1"/>
  <c r="W1565" i="8" s="1"/>
  <c r="W1589" i="8" s="1"/>
  <c r="W1613" i="8" s="1"/>
  <c r="W1637" i="8" s="1"/>
  <c r="W1661" i="8" s="1"/>
  <c r="W1685" i="8" s="1"/>
  <c r="W1709" i="8" s="1"/>
  <c r="W1733" i="8" s="1"/>
  <c r="W1757" i="8" s="1"/>
  <c r="W1781" i="8" s="1"/>
  <c r="W1805" i="8" s="1"/>
  <c r="W1829" i="8" s="1"/>
  <c r="W1853" i="8" s="1"/>
  <c r="W1877" i="8" s="1"/>
  <c r="W1901" i="8" s="1"/>
  <c r="W1925" i="8" s="1"/>
  <c r="W1949" i="8" s="1"/>
  <c r="W1973" i="8" s="1"/>
  <c r="W1997" i="8" s="1"/>
  <c r="W2021" i="8" s="1"/>
  <c r="W2045" i="8" s="1"/>
  <c r="W2069" i="8" s="1"/>
  <c r="W2093" i="8" s="1"/>
  <c r="W2117" i="8" s="1"/>
  <c r="W2141" i="8" s="1"/>
  <c r="W2165" i="8" s="1"/>
  <c r="W2189" i="8" s="1"/>
  <c r="W2213" i="8" s="1"/>
  <c r="W2237" i="8" s="1"/>
  <c r="W2261" i="8" s="1"/>
  <c r="W2285" i="8" s="1"/>
  <c r="W2309" i="8" s="1"/>
  <c r="W2333" i="8" s="1"/>
  <c r="W2357" i="8" s="1"/>
  <c r="W2381" i="8" s="1"/>
  <c r="W2405" i="8" s="1"/>
  <c r="W2429" i="8" s="1"/>
  <c r="W2453" i="8" s="1"/>
  <c r="W2477" i="8" s="1"/>
  <c r="W2501" i="8" s="1"/>
  <c r="W2525" i="8" s="1"/>
  <c r="W2549" i="8" s="1"/>
  <c r="W2573" i="8" s="1"/>
  <c r="W2597" i="8" s="1"/>
  <c r="W2621" i="8" s="1"/>
  <c r="W2645" i="8" s="1"/>
  <c r="W2669" i="8" s="1"/>
  <c r="W2693" i="8" s="1"/>
  <c r="W2717" i="8" s="1"/>
  <c r="W2741" i="8" s="1"/>
  <c r="W2765" i="8" s="1"/>
  <c r="W2789" i="8" s="1"/>
  <c r="W2813" i="8" s="1"/>
  <c r="W2837" i="8" s="1"/>
  <c r="W2861" i="8" s="1"/>
  <c r="W2885" i="8" s="1"/>
  <c r="W2909" i="8" s="1"/>
  <c r="W2933" i="8" s="1"/>
  <c r="W2957" i="8" s="1"/>
  <c r="W2981" i="8" s="1"/>
  <c r="W3005" i="8" s="1"/>
  <c r="V894" i="8"/>
  <c r="V918" i="8" s="1"/>
  <c r="V942" i="8" s="1"/>
  <c r="V966" i="8" s="1"/>
  <c r="V990" i="8" s="1"/>
  <c r="V1014" i="8" s="1"/>
  <c r="V1038" i="8" s="1"/>
  <c r="V1062" i="8" s="1"/>
  <c r="V1086" i="8" s="1"/>
  <c r="V1110" i="8" s="1"/>
  <c r="V1134" i="8" s="1"/>
  <c r="V1158" i="8" s="1"/>
  <c r="V1182" i="8" s="1"/>
  <c r="V1206" i="8" s="1"/>
  <c r="V1230" i="8" s="1"/>
  <c r="V1254" i="8" s="1"/>
  <c r="V1278" i="8" s="1"/>
  <c r="V1302" i="8" s="1"/>
  <c r="V1326" i="8" s="1"/>
  <c r="V1350" i="8" s="1"/>
  <c r="V1374" i="8" s="1"/>
  <c r="V1398" i="8" s="1"/>
  <c r="V1422" i="8" s="1"/>
  <c r="V1446" i="8" s="1"/>
  <c r="V1470" i="8" s="1"/>
  <c r="V1494" i="8" s="1"/>
  <c r="V1518" i="8" s="1"/>
  <c r="V1542" i="8" s="1"/>
  <c r="V1566" i="8" s="1"/>
  <c r="V1590" i="8" s="1"/>
  <c r="V1614" i="8" s="1"/>
  <c r="V1638" i="8" s="1"/>
  <c r="V1662" i="8" s="1"/>
  <c r="V1686" i="8" s="1"/>
  <c r="V1710" i="8" s="1"/>
  <c r="V1734" i="8" s="1"/>
  <c r="V1758" i="8" s="1"/>
  <c r="V1782" i="8" s="1"/>
  <c r="V1806" i="8" s="1"/>
  <c r="V1830" i="8" s="1"/>
  <c r="V1854" i="8" s="1"/>
  <c r="V1878" i="8" s="1"/>
  <c r="V1902" i="8" s="1"/>
  <c r="V1926" i="8" s="1"/>
  <c r="V1950" i="8" s="1"/>
  <c r="V1974" i="8" s="1"/>
  <c r="V1998" i="8" s="1"/>
  <c r="V2022" i="8" s="1"/>
  <c r="V2046" i="8" s="1"/>
  <c r="V2070" i="8" s="1"/>
  <c r="V2094" i="8" s="1"/>
  <c r="V2118" i="8" s="1"/>
  <c r="V2142" i="8" s="1"/>
  <c r="V2166" i="8" s="1"/>
  <c r="V2190" i="8" s="1"/>
  <c r="V2214" i="8" s="1"/>
  <c r="V2238" i="8" s="1"/>
  <c r="V2262" i="8" s="1"/>
  <c r="V2286" i="8" s="1"/>
  <c r="V2310" i="8" s="1"/>
  <c r="V2334" i="8" s="1"/>
  <c r="V2358" i="8" s="1"/>
  <c r="V2382" i="8" s="1"/>
  <c r="V2406" i="8" s="1"/>
  <c r="V2430" i="8" s="1"/>
  <c r="V2454" i="8" s="1"/>
  <c r="V2478" i="8" s="1"/>
  <c r="V2502" i="8" s="1"/>
  <c r="V2526" i="8" s="1"/>
  <c r="V2550" i="8" s="1"/>
  <c r="V2574" i="8" s="1"/>
  <c r="V2598" i="8" s="1"/>
  <c r="V2622" i="8" s="1"/>
  <c r="V2646" i="8" s="1"/>
  <c r="V2670" i="8" s="1"/>
  <c r="V2694" i="8" s="1"/>
  <c r="V2718" i="8" s="1"/>
  <c r="V2742" i="8" s="1"/>
  <c r="V2766" i="8" s="1"/>
  <c r="V2790" i="8" s="1"/>
  <c r="V2814" i="8" s="1"/>
  <c r="V2838" i="8" s="1"/>
  <c r="V2862" i="8" s="1"/>
  <c r="V2886" i="8" s="1"/>
  <c r="V2910" i="8" s="1"/>
  <c r="V2934" i="8" s="1"/>
  <c r="V2958" i="8" s="1"/>
  <c r="V2982" i="8" s="1"/>
  <c r="V3006" i="8" s="1"/>
  <c r="W894" i="8"/>
  <c r="W918" i="8" s="1"/>
  <c r="W942" i="8" s="1"/>
  <c r="W966" i="8" s="1"/>
  <c r="W990" i="8" s="1"/>
  <c r="W1014" i="8" s="1"/>
  <c r="W1038" i="8" s="1"/>
  <c r="W1062" i="8" s="1"/>
  <c r="W1086" i="8" s="1"/>
  <c r="W1110" i="8" s="1"/>
  <c r="W1134" i="8" s="1"/>
  <c r="W1158" i="8" s="1"/>
  <c r="W1182" i="8" s="1"/>
  <c r="W1206" i="8" s="1"/>
  <c r="W1230" i="8" s="1"/>
  <c r="W1254" i="8" s="1"/>
  <c r="W1278" i="8" s="1"/>
  <c r="W1302" i="8" s="1"/>
  <c r="W1326" i="8" s="1"/>
  <c r="W1350" i="8" s="1"/>
  <c r="W1374" i="8" s="1"/>
  <c r="W1398" i="8" s="1"/>
  <c r="W1422" i="8" s="1"/>
  <c r="W1446" i="8" s="1"/>
  <c r="W1470" i="8" s="1"/>
  <c r="W1494" i="8" s="1"/>
  <c r="W1518" i="8" s="1"/>
  <c r="W1542" i="8" s="1"/>
  <c r="W1566" i="8" s="1"/>
  <c r="W1590" i="8" s="1"/>
  <c r="W1614" i="8" s="1"/>
  <c r="W1638" i="8" s="1"/>
  <c r="W1662" i="8" s="1"/>
  <c r="W1686" i="8" s="1"/>
  <c r="W1710" i="8" s="1"/>
  <c r="W1734" i="8" s="1"/>
  <c r="W1758" i="8" s="1"/>
  <c r="W1782" i="8" s="1"/>
  <c r="W1806" i="8" s="1"/>
  <c r="W1830" i="8" s="1"/>
  <c r="W1854" i="8" s="1"/>
  <c r="W1878" i="8" s="1"/>
  <c r="W1902" i="8" s="1"/>
  <c r="W1926" i="8" s="1"/>
  <c r="W1950" i="8" s="1"/>
  <c r="W1974" i="8" s="1"/>
  <c r="W1998" i="8" s="1"/>
  <c r="W2022" i="8" s="1"/>
  <c r="W2046" i="8" s="1"/>
  <c r="W2070" i="8" s="1"/>
  <c r="W2094" i="8" s="1"/>
  <c r="W2118" i="8" s="1"/>
  <c r="W2142" i="8" s="1"/>
  <c r="W2166" i="8" s="1"/>
  <c r="W2190" i="8" s="1"/>
  <c r="W2214" i="8" s="1"/>
  <c r="W2238" i="8" s="1"/>
  <c r="W2262" i="8" s="1"/>
  <c r="W2286" i="8" s="1"/>
  <c r="W2310" i="8" s="1"/>
  <c r="W2334" i="8" s="1"/>
  <c r="W2358" i="8" s="1"/>
  <c r="W2382" i="8" s="1"/>
  <c r="W2406" i="8" s="1"/>
  <c r="W2430" i="8" s="1"/>
  <c r="W2454" i="8" s="1"/>
  <c r="W2478" i="8" s="1"/>
  <c r="W2502" i="8" s="1"/>
  <c r="W2526" i="8" s="1"/>
  <c r="W2550" i="8" s="1"/>
  <c r="W2574" i="8" s="1"/>
  <c r="W2598" i="8" s="1"/>
  <c r="W2622" i="8" s="1"/>
  <c r="W2646" i="8" s="1"/>
  <c r="W2670" i="8" s="1"/>
  <c r="W2694" i="8" s="1"/>
  <c r="W2718" i="8" s="1"/>
  <c r="W2742" i="8" s="1"/>
  <c r="W2766" i="8" s="1"/>
  <c r="W2790" i="8" s="1"/>
  <c r="W2814" i="8" s="1"/>
  <c r="W2838" i="8" s="1"/>
  <c r="W2862" i="8" s="1"/>
  <c r="W2886" i="8" s="1"/>
  <c r="W2910" i="8" s="1"/>
  <c r="W2934" i="8" s="1"/>
  <c r="W2958" i="8" s="1"/>
  <c r="W2982" i="8" s="1"/>
  <c r="W3006" i="8" s="1"/>
  <c r="V895" i="8"/>
  <c r="V919" i="8" s="1"/>
  <c r="V943" i="8" s="1"/>
  <c r="V967" i="8" s="1"/>
  <c r="V991" i="8" s="1"/>
  <c r="V1015" i="8" s="1"/>
  <c r="V1039" i="8" s="1"/>
  <c r="V1063" i="8" s="1"/>
  <c r="V1087" i="8" s="1"/>
  <c r="V1111" i="8" s="1"/>
  <c r="V1135" i="8" s="1"/>
  <c r="V1159" i="8" s="1"/>
  <c r="V1183" i="8" s="1"/>
  <c r="V1207" i="8" s="1"/>
  <c r="V1231" i="8" s="1"/>
  <c r="V1255" i="8" s="1"/>
  <c r="V1279" i="8" s="1"/>
  <c r="V1303" i="8" s="1"/>
  <c r="V1327" i="8" s="1"/>
  <c r="V1351" i="8" s="1"/>
  <c r="V1375" i="8" s="1"/>
  <c r="V1399" i="8" s="1"/>
  <c r="V1423" i="8" s="1"/>
  <c r="V1447" i="8" s="1"/>
  <c r="V1471" i="8" s="1"/>
  <c r="V1495" i="8" s="1"/>
  <c r="V1519" i="8" s="1"/>
  <c r="V1543" i="8" s="1"/>
  <c r="V1567" i="8" s="1"/>
  <c r="V1591" i="8" s="1"/>
  <c r="V1615" i="8" s="1"/>
  <c r="V1639" i="8" s="1"/>
  <c r="V1663" i="8" s="1"/>
  <c r="V1687" i="8" s="1"/>
  <c r="V1711" i="8" s="1"/>
  <c r="V1735" i="8" s="1"/>
  <c r="V1759" i="8" s="1"/>
  <c r="V1783" i="8" s="1"/>
  <c r="V1807" i="8" s="1"/>
  <c r="V1831" i="8" s="1"/>
  <c r="V1855" i="8" s="1"/>
  <c r="V1879" i="8" s="1"/>
  <c r="V1903" i="8" s="1"/>
  <c r="V1927" i="8" s="1"/>
  <c r="V1951" i="8" s="1"/>
  <c r="V1975" i="8" s="1"/>
  <c r="V1999" i="8" s="1"/>
  <c r="V2023" i="8" s="1"/>
  <c r="V2047" i="8" s="1"/>
  <c r="V2071" i="8" s="1"/>
  <c r="V2095" i="8" s="1"/>
  <c r="V2119" i="8" s="1"/>
  <c r="V2143" i="8" s="1"/>
  <c r="V2167" i="8" s="1"/>
  <c r="V2191" i="8" s="1"/>
  <c r="V2215" i="8" s="1"/>
  <c r="V2239" i="8" s="1"/>
  <c r="V2263" i="8" s="1"/>
  <c r="V2287" i="8" s="1"/>
  <c r="V2311" i="8" s="1"/>
  <c r="V2335" i="8" s="1"/>
  <c r="V2359" i="8" s="1"/>
  <c r="V2383" i="8" s="1"/>
  <c r="V2407" i="8" s="1"/>
  <c r="V2431" i="8" s="1"/>
  <c r="V2455" i="8" s="1"/>
  <c r="V2479" i="8" s="1"/>
  <c r="V2503" i="8" s="1"/>
  <c r="V2527" i="8" s="1"/>
  <c r="V2551" i="8" s="1"/>
  <c r="V2575" i="8" s="1"/>
  <c r="V2599" i="8" s="1"/>
  <c r="V2623" i="8" s="1"/>
  <c r="V2647" i="8" s="1"/>
  <c r="V2671" i="8" s="1"/>
  <c r="V2695" i="8" s="1"/>
  <c r="V2719" i="8" s="1"/>
  <c r="V2743" i="8" s="1"/>
  <c r="V2767" i="8" s="1"/>
  <c r="V2791" i="8" s="1"/>
  <c r="V2815" i="8" s="1"/>
  <c r="V2839" i="8" s="1"/>
  <c r="V2863" i="8" s="1"/>
  <c r="V2887" i="8" s="1"/>
  <c r="V2911" i="8" s="1"/>
  <c r="V2935" i="8" s="1"/>
  <c r="V2959" i="8" s="1"/>
  <c r="V2983" i="8" s="1"/>
  <c r="V3007" i="8" s="1"/>
  <c r="W895" i="8"/>
  <c r="W919" i="8" s="1"/>
  <c r="W943" i="8" s="1"/>
  <c r="W967" i="8" s="1"/>
  <c r="W991" i="8" s="1"/>
  <c r="W1015" i="8" s="1"/>
  <c r="W1039" i="8" s="1"/>
  <c r="W1063" i="8" s="1"/>
  <c r="W1087" i="8" s="1"/>
  <c r="W1111" i="8" s="1"/>
  <c r="W1135" i="8" s="1"/>
  <c r="W1159" i="8" s="1"/>
  <c r="W1183" i="8" s="1"/>
  <c r="W1207" i="8" s="1"/>
  <c r="W1231" i="8" s="1"/>
  <c r="W1255" i="8" s="1"/>
  <c r="W1279" i="8" s="1"/>
  <c r="W1303" i="8" s="1"/>
  <c r="W1327" i="8" s="1"/>
  <c r="W1351" i="8" s="1"/>
  <c r="W1375" i="8" s="1"/>
  <c r="W1399" i="8" s="1"/>
  <c r="W1423" i="8" s="1"/>
  <c r="W1447" i="8" s="1"/>
  <c r="W1471" i="8" s="1"/>
  <c r="W1495" i="8" s="1"/>
  <c r="W1519" i="8" s="1"/>
  <c r="W1543" i="8" s="1"/>
  <c r="W1567" i="8" s="1"/>
  <c r="W1591" i="8" s="1"/>
  <c r="W1615" i="8" s="1"/>
  <c r="W1639" i="8" s="1"/>
  <c r="W1663" i="8" s="1"/>
  <c r="W1687" i="8" s="1"/>
  <c r="W1711" i="8" s="1"/>
  <c r="W1735" i="8" s="1"/>
  <c r="W1759" i="8" s="1"/>
  <c r="W1783" i="8" s="1"/>
  <c r="W1807" i="8" s="1"/>
  <c r="W1831" i="8" s="1"/>
  <c r="W1855" i="8" s="1"/>
  <c r="W1879" i="8" s="1"/>
  <c r="W1903" i="8" s="1"/>
  <c r="W1927" i="8" s="1"/>
  <c r="W1951" i="8" s="1"/>
  <c r="W1975" i="8" s="1"/>
  <c r="W1999" i="8" s="1"/>
  <c r="W2023" i="8" s="1"/>
  <c r="W2047" i="8" s="1"/>
  <c r="W2071" i="8" s="1"/>
  <c r="W2095" i="8" s="1"/>
  <c r="W2119" i="8" s="1"/>
  <c r="W2143" i="8" s="1"/>
  <c r="W2167" i="8" s="1"/>
  <c r="W2191" i="8" s="1"/>
  <c r="W2215" i="8" s="1"/>
  <c r="W2239" i="8" s="1"/>
  <c r="W2263" i="8" s="1"/>
  <c r="W2287" i="8" s="1"/>
  <c r="W2311" i="8" s="1"/>
  <c r="W2335" i="8" s="1"/>
  <c r="W2359" i="8" s="1"/>
  <c r="W2383" i="8" s="1"/>
  <c r="W2407" i="8" s="1"/>
  <c r="W2431" i="8" s="1"/>
  <c r="W2455" i="8" s="1"/>
  <c r="W2479" i="8" s="1"/>
  <c r="W2503" i="8" s="1"/>
  <c r="W2527" i="8" s="1"/>
  <c r="W2551" i="8" s="1"/>
  <c r="W2575" i="8" s="1"/>
  <c r="W2599" i="8" s="1"/>
  <c r="W2623" i="8" s="1"/>
  <c r="W2647" i="8" s="1"/>
  <c r="W2671" i="8" s="1"/>
  <c r="W2695" i="8" s="1"/>
  <c r="W2719" i="8" s="1"/>
  <c r="W2743" i="8" s="1"/>
  <c r="W2767" i="8" s="1"/>
  <c r="W2791" i="8" s="1"/>
  <c r="W2815" i="8" s="1"/>
  <c r="W2839" i="8" s="1"/>
  <c r="W2863" i="8" s="1"/>
  <c r="W2887" i="8" s="1"/>
  <c r="W2911" i="8" s="1"/>
  <c r="W2935" i="8" s="1"/>
  <c r="W2959" i="8" s="1"/>
  <c r="W2983" i="8" s="1"/>
  <c r="W3007" i="8" s="1"/>
  <c r="V896" i="8"/>
  <c r="V920" i="8" s="1"/>
  <c r="V944" i="8" s="1"/>
  <c r="V968" i="8" s="1"/>
  <c r="V992" i="8" s="1"/>
  <c r="V1016" i="8" s="1"/>
  <c r="V1040" i="8" s="1"/>
  <c r="V1064" i="8" s="1"/>
  <c r="V1088" i="8" s="1"/>
  <c r="V1112" i="8" s="1"/>
  <c r="V1136" i="8" s="1"/>
  <c r="V1160" i="8" s="1"/>
  <c r="V1184" i="8" s="1"/>
  <c r="V1208" i="8" s="1"/>
  <c r="V1232" i="8" s="1"/>
  <c r="V1256" i="8" s="1"/>
  <c r="V1280" i="8" s="1"/>
  <c r="V1304" i="8" s="1"/>
  <c r="V1328" i="8" s="1"/>
  <c r="V1352" i="8" s="1"/>
  <c r="V1376" i="8" s="1"/>
  <c r="V1400" i="8" s="1"/>
  <c r="V1424" i="8" s="1"/>
  <c r="V1448" i="8" s="1"/>
  <c r="V1472" i="8" s="1"/>
  <c r="V1496" i="8" s="1"/>
  <c r="V1520" i="8" s="1"/>
  <c r="V1544" i="8" s="1"/>
  <c r="V1568" i="8" s="1"/>
  <c r="V1592" i="8" s="1"/>
  <c r="V1616" i="8" s="1"/>
  <c r="V1640" i="8" s="1"/>
  <c r="V1664" i="8" s="1"/>
  <c r="V1688" i="8" s="1"/>
  <c r="V1712" i="8" s="1"/>
  <c r="V1736" i="8" s="1"/>
  <c r="V1760" i="8" s="1"/>
  <c r="V1784" i="8" s="1"/>
  <c r="V1808" i="8" s="1"/>
  <c r="V1832" i="8" s="1"/>
  <c r="V1856" i="8" s="1"/>
  <c r="V1880" i="8" s="1"/>
  <c r="V1904" i="8" s="1"/>
  <c r="V1928" i="8" s="1"/>
  <c r="V1952" i="8" s="1"/>
  <c r="V1976" i="8" s="1"/>
  <c r="V2000" i="8" s="1"/>
  <c r="V2024" i="8" s="1"/>
  <c r="V2048" i="8" s="1"/>
  <c r="V2072" i="8" s="1"/>
  <c r="V2096" i="8" s="1"/>
  <c r="V2120" i="8" s="1"/>
  <c r="V2144" i="8" s="1"/>
  <c r="V2168" i="8" s="1"/>
  <c r="V2192" i="8" s="1"/>
  <c r="V2216" i="8" s="1"/>
  <c r="V2240" i="8" s="1"/>
  <c r="V2264" i="8" s="1"/>
  <c r="V2288" i="8" s="1"/>
  <c r="V2312" i="8" s="1"/>
  <c r="V2336" i="8" s="1"/>
  <c r="V2360" i="8" s="1"/>
  <c r="V2384" i="8" s="1"/>
  <c r="V2408" i="8" s="1"/>
  <c r="V2432" i="8" s="1"/>
  <c r="V2456" i="8" s="1"/>
  <c r="V2480" i="8" s="1"/>
  <c r="V2504" i="8" s="1"/>
  <c r="V2528" i="8" s="1"/>
  <c r="V2552" i="8" s="1"/>
  <c r="V2576" i="8" s="1"/>
  <c r="V2600" i="8" s="1"/>
  <c r="V2624" i="8" s="1"/>
  <c r="V2648" i="8" s="1"/>
  <c r="V2672" i="8" s="1"/>
  <c r="V2696" i="8" s="1"/>
  <c r="V2720" i="8" s="1"/>
  <c r="V2744" i="8" s="1"/>
  <c r="V2768" i="8" s="1"/>
  <c r="V2792" i="8" s="1"/>
  <c r="V2816" i="8" s="1"/>
  <c r="V2840" i="8" s="1"/>
  <c r="V2864" i="8" s="1"/>
  <c r="V2888" i="8" s="1"/>
  <c r="V2912" i="8" s="1"/>
  <c r="V2936" i="8" s="1"/>
  <c r="V2960" i="8" s="1"/>
  <c r="V2984" i="8" s="1"/>
  <c r="V3008" i="8" s="1"/>
  <c r="W896" i="8"/>
  <c r="W920" i="8" s="1"/>
  <c r="W944" i="8" s="1"/>
  <c r="W968" i="8" s="1"/>
  <c r="W992" i="8" s="1"/>
  <c r="W1016" i="8" s="1"/>
  <c r="W1040" i="8" s="1"/>
  <c r="W1064" i="8" s="1"/>
  <c r="W1088" i="8" s="1"/>
  <c r="W1112" i="8" s="1"/>
  <c r="W1136" i="8" s="1"/>
  <c r="W1160" i="8" s="1"/>
  <c r="W1184" i="8" s="1"/>
  <c r="W1208" i="8" s="1"/>
  <c r="W1232" i="8" s="1"/>
  <c r="W1256" i="8" s="1"/>
  <c r="W1280" i="8" s="1"/>
  <c r="W1304" i="8" s="1"/>
  <c r="W1328" i="8" s="1"/>
  <c r="W1352" i="8" s="1"/>
  <c r="W1376" i="8" s="1"/>
  <c r="W1400" i="8" s="1"/>
  <c r="W1424" i="8" s="1"/>
  <c r="W1448" i="8" s="1"/>
  <c r="W1472" i="8" s="1"/>
  <c r="W1496" i="8" s="1"/>
  <c r="W1520" i="8" s="1"/>
  <c r="W1544" i="8" s="1"/>
  <c r="W1568" i="8" s="1"/>
  <c r="W1592" i="8" s="1"/>
  <c r="W1616" i="8" s="1"/>
  <c r="W1640" i="8" s="1"/>
  <c r="W1664" i="8" s="1"/>
  <c r="W1688" i="8" s="1"/>
  <c r="W1712" i="8" s="1"/>
  <c r="W1736" i="8" s="1"/>
  <c r="W1760" i="8" s="1"/>
  <c r="W1784" i="8" s="1"/>
  <c r="W1808" i="8" s="1"/>
  <c r="W1832" i="8" s="1"/>
  <c r="W1856" i="8" s="1"/>
  <c r="W1880" i="8" s="1"/>
  <c r="W1904" i="8" s="1"/>
  <c r="W1928" i="8" s="1"/>
  <c r="W1952" i="8" s="1"/>
  <c r="W1976" i="8" s="1"/>
  <c r="W2000" i="8" s="1"/>
  <c r="W2024" i="8" s="1"/>
  <c r="W2048" i="8" s="1"/>
  <c r="W2072" i="8" s="1"/>
  <c r="W2096" i="8" s="1"/>
  <c r="W2120" i="8" s="1"/>
  <c r="W2144" i="8" s="1"/>
  <c r="W2168" i="8" s="1"/>
  <c r="W2192" i="8" s="1"/>
  <c r="W2216" i="8" s="1"/>
  <c r="W2240" i="8" s="1"/>
  <c r="W2264" i="8" s="1"/>
  <c r="W2288" i="8" s="1"/>
  <c r="W2312" i="8" s="1"/>
  <c r="W2336" i="8" s="1"/>
  <c r="W2360" i="8" s="1"/>
  <c r="W2384" i="8" s="1"/>
  <c r="W2408" i="8" s="1"/>
  <c r="W2432" i="8" s="1"/>
  <c r="W2456" i="8" s="1"/>
  <c r="W2480" i="8" s="1"/>
  <c r="W2504" i="8" s="1"/>
  <c r="W2528" i="8" s="1"/>
  <c r="W2552" i="8" s="1"/>
  <c r="W2576" i="8" s="1"/>
  <c r="W2600" i="8" s="1"/>
  <c r="W2624" i="8" s="1"/>
  <c r="W2648" i="8" s="1"/>
  <c r="W2672" i="8" s="1"/>
  <c r="W2696" i="8" s="1"/>
  <c r="W2720" i="8" s="1"/>
  <c r="W2744" i="8" s="1"/>
  <c r="W2768" i="8" s="1"/>
  <c r="W2792" i="8" s="1"/>
  <c r="W2816" i="8" s="1"/>
  <c r="W2840" i="8" s="1"/>
  <c r="W2864" i="8" s="1"/>
  <c r="W2888" i="8" s="1"/>
  <c r="W2912" i="8" s="1"/>
  <c r="W2936" i="8" s="1"/>
  <c r="W2960" i="8" s="1"/>
  <c r="W2984" i="8" s="1"/>
  <c r="W3008" i="8" s="1"/>
  <c r="V897" i="8"/>
  <c r="V921" i="8" s="1"/>
  <c r="V945" i="8" s="1"/>
  <c r="V969" i="8" s="1"/>
  <c r="V993" i="8" s="1"/>
  <c r="V1017" i="8" s="1"/>
  <c r="V1041" i="8" s="1"/>
  <c r="V1065" i="8" s="1"/>
  <c r="V1089" i="8" s="1"/>
  <c r="V1113" i="8" s="1"/>
  <c r="V1137" i="8" s="1"/>
  <c r="V1161" i="8" s="1"/>
  <c r="V1185" i="8" s="1"/>
  <c r="V1209" i="8" s="1"/>
  <c r="V1233" i="8" s="1"/>
  <c r="V1257" i="8" s="1"/>
  <c r="V1281" i="8" s="1"/>
  <c r="V1305" i="8" s="1"/>
  <c r="V1329" i="8" s="1"/>
  <c r="V1353" i="8" s="1"/>
  <c r="V1377" i="8" s="1"/>
  <c r="V1401" i="8" s="1"/>
  <c r="V1425" i="8" s="1"/>
  <c r="V1449" i="8" s="1"/>
  <c r="V1473" i="8" s="1"/>
  <c r="V1497" i="8" s="1"/>
  <c r="V1521" i="8" s="1"/>
  <c r="V1545" i="8" s="1"/>
  <c r="V1569" i="8" s="1"/>
  <c r="V1593" i="8" s="1"/>
  <c r="V1617" i="8" s="1"/>
  <c r="V1641" i="8" s="1"/>
  <c r="V1665" i="8" s="1"/>
  <c r="V1689" i="8" s="1"/>
  <c r="V1713" i="8" s="1"/>
  <c r="V1737" i="8" s="1"/>
  <c r="V1761" i="8" s="1"/>
  <c r="V1785" i="8" s="1"/>
  <c r="V1809" i="8" s="1"/>
  <c r="V1833" i="8" s="1"/>
  <c r="V1857" i="8" s="1"/>
  <c r="V1881" i="8" s="1"/>
  <c r="V1905" i="8" s="1"/>
  <c r="V1929" i="8" s="1"/>
  <c r="V1953" i="8" s="1"/>
  <c r="V1977" i="8" s="1"/>
  <c r="V2001" i="8" s="1"/>
  <c r="V2025" i="8" s="1"/>
  <c r="V2049" i="8" s="1"/>
  <c r="V2073" i="8" s="1"/>
  <c r="V2097" i="8" s="1"/>
  <c r="V2121" i="8" s="1"/>
  <c r="V2145" i="8" s="1"/>
  <c r="V2169" i="8" s="1"/>
  <c r="V2193" i="8" s="1"/>
  <c r="V2217" i="8" s="1"/>
  <c r="V2241" i="8" s="1"/>
  <c r="V2265" i="8" s="1"/>
  <c r="V2289" i="8" s="1"/>
  <c r="V2313" i="8" s="1"/>
  <c r="V2337" i="8" s="1"/>
  <c r="V2361" i="8" s="1"/>
  <c r="V2385" i="8" s="1"/>
  <c r="V2409" i="8" s="1"/>
  <c r="V2433" i="8" s="1"/>
  <c r="V2457" i="8" s="1"/>
  <c r="V2481" i="8" s="1"/>
  <c r="V2505" i="8" s="1"/>
  <c r="V2529" i="8" s="1"/>
  <c r="V2553" i="8" s="1"/>
  <c r="V2577" i="8" s="1"/>
  <c r="V2601" i="8" s="1"/>
  <c r="V2625" i="8" s="1"/>
  <c r="V2649" i="8" s="1"/>
  <c r="V2673" i="8" s="1"/>
  <c r="V2697" i="8" s="1"/>
  <c r="V2721" i="8" s="1"/>
  <c r="V2745" i="8" s="1"/>
  <c r="V2769" i="8" s="1"/>
  <c r="V2793" i="8" s="1"/>
  <c r="V2817" i="8" s="1"/>
  <c r="V2841" i="8" s="1"/>
  <c r="V2865" i="8" s="1"/>
  <c r="V2889" i="8" s="1"/>
  <c r="V2913" i="8" s="1"/>
  <c r="V2937" i="8" s="1"/>
  <c r="V2961" i="8" s="1"/>
  <c r="V2985" i="8" s="1"/>
  <c r="V3009" i="8" s="1"/>
  <c r="W897" i="8"/>
  <c r="W921" i="8" s="1"/>
  <c r="W945" i="8" s="1"/>
  <c r="W969" i="8" s="1"/>
  <c r="W993" i="8" s="1"/>
  <c r="W1017" i="8" s="1"/>
  <c r="W1041" i="8" s="1"/>
  <c r="W1065" i="8" s="1"/>
  <c r="W1089" i="8" s="1"/>
  <c r="W1113" i="8" s="1"/>
  <c r="W1137" i="8" s="1"/>
  <c r="W1161" i="8" s="1"/>
  <c r="W1185" i="8" s="1"/>
  <c r="W1209" i="8" s="1"/>
  <c r="W1233" i="8" s="1"/>
  <c r="W1257" i="8" s="1"/>
  <c r="W1281" i="8" s="1"/>
  <c r="W1305" i="8" s="1"/>
  <c r="W1329" i="8" s="1"/>
  <c r="W1353" i="8" s="1"/>
  <c r="W1377" i="8" s="1"/>
  <c r="W1401" i="8" s="1"/>
  <c r="W1425" i="8" s="1"/>
  <c r="W1449" i="8" s="1"/>
  <c r="W1473" i="8" s="1"/>
  <c r="W1497" i="8" s="1"/>
  <c r="W1521" i="8" s="1"/>
  <c r="W1545" i="8" s="1"/>
  <c r="W1569" i="8" s="1"/>
  <c r="W1593" i="8" s="1"/>
  <c r="W1617" i="8" s="1"/>
  <c r="W1641" i="8" s="1"/>
  <c r="W1665" i="8" s="1"/>
  <c r="W1689" i="8" s="1"/>
  <c r="W1713" i="8" s="1"/>
  <c r="W1737" i="8" s="1"/>
  <c r="W1761" i="8" s="1"/>
  <c r="W1785" i="8" s="1"/>
  <c r="W1809" i="8" s="1"/>
  <c r="W1833" i="8" s="1"/>
  <c r="W1857" i="8" s="1"/>
  <c r="W1881" i="8" s="1"/>
  <c r="W1905" i="8" s="1"/>
  <c r="W1929" i="8" s="1"/>
  <c r="W1953" i="8" s="1"/>
  <c r="W1977" i="8" s="1"/>
  <c r="W2001" i="8" s="1"/>
  <c r="W2025" i="8" s="1"/>
  <c r="W2049" i="8" s="1"/>
  <c r="W2073" i="8" s="1"/>
  <c r="W2097" i="8" s="1"/>
  <c r="W2121" i="8" s="1"/>
  <c r="W2145" i="8" s="1"/>
  <c r="W2169" i="8" s="1"/>
  <c r="W2193" i="8" s="1"/>
  <c r="W2217" i="8" s="1"/>
  <c r="W2241" i="8" s="1"/>
  <c r="W2265" i="8" s="1"/>
  <c r="W2289" i="8" s="1"/>
  <c r="W2313" i="8" s="1"/>
  <c r="W2337" i="8" s="1"/>
  <c r="W2361" i="8" s="1"/>
  <c r="W2385" i="8" s="1"/>
  <c r="W2409" i="8" s="1"/>
  <c r="W2433" i="8" s="1"/>
  <c r="W2457" i="8" s="1"/>
  <c r="W2481" i="8" s="1"/>
  <c r="W2505" i="8" s="1"/>
  <c r="W2529" i="8" s="1"/>
  <c r="W2553" i="8" s="1"/>
  <c r="W2577" i="8" s="1"/>
  <c r="W2601" i="8" s="1"/>
  <c r="W2625" i="8" s="1"/>
  <c r="W2649" i="8" s="1"/>
  <c r="W2673" i="8" s="1"/>
  <c r="W2697" i="8" s="1"/>
  <c r="W2721" i="8" s="1"/>
  <c r="W2745" i="8" s="1"/>
  <c r="W2769" i="8" s="1"/>
  <c r="W2793" i="8" s="1"/>
  <c r="W2817" i="8" s="1"/>
  <c r="W2841" i="8" s="1"/>
  <c r="W2865" i="8" s="1"/>
  <c r="W2889" i="8" s="1"/>
  <c r="W2913" i="8" s="1"/>
  <c r="W2937" i="8" s="1"/>
  <c r="W2961" i="8" s="1"/>
  <c r="W2985" i="8" s="1"/>
  <c r="W3009" i="8" s="1"/>
  <c r="V898" i="8"/>
  <c r="V922" i="8" s="1"/>
  <c r="V946" i="8" s="1"/>
  <c r="V970" i="8" s="1"/>
  <c r="V994" i="8" s="1"/>
  <c r="V1018" i="8" s="1"/>
  <c r="V1042" i="8" s="1"/>
  <c r="V1066" i="8" s="1"/>
  <c r="V1090" i="8" s="1"/>
  <c r="V1114" i="8" s="1"/>
  <c r="V1138" i="8" s="1"/>
  <c r="V1162" i="8" s="1"/>
  <c r="V1186" i="8" s="1"/>
  <c r="V1210" i="8" s="1"/>
  <c r="V1234" i="8" s="1"/>
  <c r="V1258" i="8" s="1"/>
  <c r="V1282" i="8" s="1"/>
  <c r="V1306" i="8" s="1"/>
  <c r="V1330" i="8" s="1"/>
  <c r="V1354" i="8" s="1"/>
  <c r="V1378" i="8" s="1"/>
  <c r="V1402" i="8" s="1"/>
  <c r="V1426" i="8" s="1"/>
  <c r="V1450" i="8" s="1"/>
  <c r="V1474" i="8" s="1"/>
  <c r="V1498" i="8" s="1"/>
  <c r="V1522" i="8" s="1"/>
  <c r="V1546" i="8" s="1"/>
  <c r="V1570" i="8" s="1"/>
  <c r="V1594" i="8" s="1"/>
  <c r="V1618" i="8" s="1"/>
  <c r="V1642" i="8" s="1"/>
  <c r="V1666" i="8" s="1"/>
  <c r="V1690" i="8" s="1"/>
  <c r="V1714" i="8" s="1"/>
  <c r="V1738" i="8" s="1"/>
  <c r="V1762" i="8" s="1"/>
  <c r="V1786" i="8" s="1"/>
  <c r="V1810" i="8" s="1"/>
  <c r="V1834" i="8" s="1"/>
  <c r="V1858" i="8" s="1"/>
  <c r="V1882" i="8" s="1"/>
  <c r="V1906" i="8" s="1"/>
  <c r="V1930" i="8" s="1"/>
  <c r="V1954" i="8" s="1"/>
  <c r="V1978" i="8" s="1"/>
  <c r="V2002" i="8" s="1"/>
  <c r="V2026" i="8" s="1"/>
  <c r="V2050" i="8" s="1"/>
  <c r="V2074" i="8" s="1"/>
  <c r="V2098" i="8" s="1"/>
  <c r="V2122" i="8" s="1"/>
  <c r="V2146" i="8" s="1"/>
  <c r="V2170" i="8" s="1"/>
  <c r="V2194" i="8" s="1"/>
  <c r="V2218" i="8" s="1"/>
  <c r="V2242" i="8" s="1"/>
  <c r="V2266" i="8" s="1"/>
  <c r="V2290" i="8" s="1"/>
  <c r="V2314" i="8" s="1"/>
  <c r="V2338" i="8" s="1"/>
  <c r="V2362" i="8" s="1"/>
  <c r="V2386" i="8" s="1"/>
  <c r="V2410" i="8" s="1"/>
  <c r="V2434" i="8" s="1"/>
  <c r="V2458" i="8" s="1"/>
  <c r="V2482" i="8" s="1"/>
  <c r="V2506" i="8" s="1"/>
  <c r="V2530" i="8" s="1"/>
  <c r="V2554" i="8" s="1"/>
  <c r="V2578" i="8" s="1"/>
  <c r="V2602" i="8" s="1"/>
  <c r="V2626" i="8" s="1"/>
  <c r="V2650" i="8" s="1"/>
  <c r="V2674" i="8" s="1"/>
  <c r="V2698" i="8" s="1"/>
  <c r="V2722" i="8" s="1"/>
  <c r="V2746" i="8" s="1"/>
  <c r="V2770" i="8" s="1"/>
  <c r="V2794" i="8" s="1"/>
  <c r="V2818" i="8" s="1"/>
  <c r="V2842" i="8" s="1"/>
  <c r="V2866" i="8" s="1"/>
  <c r="V2890" i="8" s="1"/>
  <c r="V2914" i="8" s="1"/>
  <c r="V2938" i="8" s="1"/>
  <c r="V2962" i="8" s="1"/>
  <c r="V2986" i="8" s="1"/>
  <c r="V3010" i="8" s="1"/>
  <c r="W898" i="8"/>
  <c r="W922" i="8" s="1"/>
  <c r="W946" i="8" s="1"/>
  <c r="W970" i="8" s="1"/>
  <c r="W994" i="8" s="1"/>
  <c r="W1018" i="8" s="1"/>
  <c r="W1042" i="8" s="1"/>
  <c r="W1066" i="8" s="1"/>
  <c r="W1090" i="8" s="1"/>
  <c r="W1114" i="8" s="1"/>
  <c r="W1138" i="8" s="1"/>
  <c r="W1162" i="8" s="1"/>
  <c r="W1186" i="8" s="1"/>
  <c r="W1210" i="8" s="1"/>
  <c r="W1234" i="8" s="1"/>
  <c r="W1258" i="8" s="1"/>
  <c r="W1282" i="8" s="1"/>
  <c r="W1306" i="8" s="1"/>
  <c r="W1330" i="8" s="1"/>
  <c r="W1354" i="8" s="1"/>
  <c r="W1378" i="8" s="1"/>
  <c r="W1402" i="8" s="1"/>
  <c r="W1426" i="8" s="1"/>
  <c r="W1450" i="8" s="1"/>
  <c r="W1474" i="8" s="1"/>
  <c r="W1498" i="8" s="1"/>
  <c r="W1522" i="8" s="1"/>
  <c r="W1546" i="8" s="1"/>
  <c r="W1570" i="8" s="1"/>
  <c r="W1594" i="8" s="1"/>
  <c r="W1618" i="8" s="1"/>
  <c r="W1642" i="8" s="1"/>
  <c r="W1666" i="8" s="1"/>
  <c r="W1690" i="8" s="1"/>
  <c r="W1714" i="8" s="1"/>
  <c r="W1738" i="8" s="1"/>
  <c r="W1762" i="8" s="1"/>
  <c r="W1786" i="8" s="1"/>
  <c r="W1810" i="8" s="1"/>
  <c r="W1834" i="8" s="1"/>
  <c r="W1858" i="8" s="1"/>
  <c r="W1882" i="8" s="1"/>
  <c r="W1906" i="8" s="1"/>
  <c r="W1930" i="8" s="1"/>
  <c r="W1954" i="8" s="1"/>
  <c r="W1978" i="8" s="1"/>
  <c r="W2002" i="8" s="1"/>
  <c r="W2026" i="8" s="1"/>
  <c r="W2050" i="8" s="1"/>
  <c r="W2074" i="8" s="1"/>
  <c r="W2098" i="8" s="1"/>
  <c r="W2122" i="8" s="1"/>
  <c r="W2146" i="8" s="1"/>
  <c r="W2170" i="8" s="1"/>
  <c r="W2194" i="8" s="1"/>
  <c r="W2218" i="8" s="1"/>
  <c r="W2242" i="8" s="1"/>
  <c r="W2266" i="8" s="1"/>
  <c r="W2290" i="8" s="1"/>
  <c r="W2314" i="8" s="1"/>
  <c r="W2338" i="8" s="1"/>
  <c r="W2362" i="8" s="1"/>
  <c r="W2386" i="8" s="1"/>
  <c r="W2410" i="8" s="1"/>
  <c r="W2434" i="8" s="1"/>
  <c r="W2458" i="8" s="1"/>
  <c r="W2482" i="8" s="1"/>
  <c r="W2506" i="8" s="1"/>
  <c r="W2530" i="8" s="1"/>
  <c r="W2554" i="8" s="1"/>
  <c r="W2578" i="8" s="1"/>
  <c r="W2602" i="8" s="1"/>
  <c r="W2626" i="8" s="1"/>
  <c r="W2650" i="8" s="1"/>
  <c r="W2674" i="8" s="1"/>
  <c r="W2698" i="8" s="1"/>
  <c r="W2722" i="8" s="1"/>
  <c r="W2746" i="8" s="1"/>
  <c r="W2770" i="8" s="1"/>
  <c r="W2794" i="8" s="1"/>
  <c r="W2818" i="8" s="1"/>
  <c r="W2842" i="8" s="1"/>
  <c r="W2866" i="8" s="1"/>
  <c r="W2890" i="8" s="1"/>
  <c r="W2914" i="8" s="1"/>
  <c r="W2938" i="8" s="1"/>
  <c r="W2962" i="8" s="1"/>
  <c r="W2986" i="8" s="1"/>
  <c r="W3010" i="8" s="1"/>
  <c r="V899" i="8"/>
  <c r="V923" i="8" s="1"/>
  <c r="V947" i="8" s="1"/>
  <c r="V971" i="8" s="1"/>
  <c r="V995" i="8" s="1"/>
  <c r="V1019" i="8" s="1"/>
  <c r="V1043" i="8" s="1"/>
  <c r="V1067" i="8" s="1"/>
  <c r="V1091" i="8" s="1"/>
  <c r="V1115" i="8" s="1"/>
  <c r="V1139" i="8" s="1"/>
  <c r="V1163" i="8" s="1"/>
  <c r="V1187" i="8" s="1"/>
  <c r="V1211" i="8" s="1"/>
  <c r="V1235" i="8" s="1"/>
  <c r="V1259" i="8" s="1"/>
  <c r="V1283" i="8" s="1"/>
  <c r="V1307" i="8" s="1"/>
  <c r="V1331" i="8" s="1"/>
  <c r="V1355" i="8" s="1"/>
  <c r="V1379" i="8" s="1"/>
  <c r="V1403" i="8" s="1"/>
  <c r="V1427" i="8" s="1"/>
  <c r="V1451" i="8" s="1"/>
  <c r="V1475" i="8" s="1"/>
  <c r="V1499" i="8" s="1"/>
  <c r="V1523" i="8" s="1"/>
  <c r="V1547" i="8" s="1"/>
  <c r="V1571" i="8" s="1"/>
  <c r="V1595" i="8" s="1"/>
  <c r="V1619" i="8" s="1"/>
  <c r="V1643" i="8" s="1"/>
  <c r="V1667" i="8" s="1"/>
  <c r="V1691" i="8" s="1"/>
  <c r="V1715" i="8" s="1"/>
  <c r="V1739" i="8" s="1"/>
  <c r="V1763" i="8" s="1"/>
  <c r="V1787" i="8" s="1"/>
  <c r="V1811" i="8" s="1"/>
  <c r="V1835" i="8" s="1"/>
  <c r="V1859" i="8" s="1"/>
  <c r="V1883" i="8" s="1"/>
  <c r="V1907" i="8" s="1"/>
  <c r="V1931" i="8" s="1"/>
  <c r="V1955" i="8" s="1"/>
  <c r="V1979" i="8" s="1"/>
  <c r="V2003" i="8" s="1"/>
  <c r="V2027" i="8" s="1"/>
  <c r="V2051" i="8" s="1"/>
  <c r="V2075" i="8" s="1"/>
  <c r="V2099" i="8" s="1"/>
  <c r="V2123" i="8" s="1"/>
  <c r="V2147" i="8" s="1"/>
  <c r="V2171" i="8" s="1"/>
  <c r="V2195" i="8" s="1"/>
  <c r="V2219" i="8" s="1"/>
  <c r="V2243" i="8" s="1"/>
  <c r="V2267" i="8" s="1"/>
  <c r="V2291" i="8" s="1"/>
  <c r="V2315" i="8" s="1"/>
  <c r="V2339" i="8" s="1"/>
  <c r="V2363" i="8" s="1"/>
  <c r="V2387" i="8" s="1"/>
  <c r="V2411" i="8" s="1"/>
  <c r="V2435" i="8" s="1"/>
  <c r="V2459" i="8" s="1"/>
  <c r="V2483" i="8" s="1"/>
  <c r="V2507" i="8" s="1"/>
  <c r="V2531" i="8" s="1"/>
  <c r="V2555" i="8" s="1"/>
  <c r="V2579" i="8" s="1"/>
  <c r="V2603" i="8" s="1"/>
  <c r="V2627" i="8" s="1"/>
  <c r="V2651" i="8" s="1"/>
  <c r="V2675" i="8" s="1"/>
  <c r="V2699" i="8" s="1"/>
  <c r="V2723" i="8" s="1"/>
  <c r="V2747" i="8" s="1"/>
  <c r="V2771" i="8" s="1"/>
  <c r="V2795" i="8" s="1"/>
  <c r="V2819" i="8" s="1"/>
  <c r="V2843" i="8" s="1"/>
  <c r="V2867" i="8" s="1"/>
  <c r="V2891" i="8" s="1"/>
  <c r="V2915" i="8" s="1"/>
  <c r="V2939" i="8" s="1"/>
  <c r="V2963" i="8" s="1"/>
  <c r="V2987" i="8" s="1"/>
  <c r="V3011" i="8" s="1"/>
  <c r="W899" i="8"/>
  <c r="W923" i="8" s="1"/>
  <c r="W947" i="8" s="1"/>
  <c r="W971" i="8" s="1"/>
  <c r="W995" i="8" s="1"/>
  <c r="W1019" i="8" s="1"/>
  <c r="W1043" i="8" s="1"/>
  <c r="W1067" i="8" s="1"/>
  <c r="W1091" i="8" s="1"/>
  <c r="W1115" i="8" s="1"/>
  <c r="W1139" i="8" s="1"/>
  <c r="W1163" i="8" s="1"/>
  <c r="W1187" i="8" s="1"/>
  <c r="W1211" i="8" s="1"/>
  <c r="W1235" i="8" s="1"/>
  <c r="W1259" i="8" s="1"/>
  <c r="W1283" i="8" s="1"/>
  <c r="W1307" i="8" s="1"/>
  <c r="W1331" i="8" s="1"/>
  <c r="W1355" i="8" s="1"/>
  <c r="W1379" i="8" s="1"/>
  <c r="W1403" i="8" s="1"/>
  <c r="W1427" i="8" s="1"/>
  <c r="W1451" i="8" s="1"/>
  <c r="W1475" i="8" s="1"/>
  <c r="W1499" i="8" s="1"/>
  <c r="W1523" i="8" s="1"/>
  <c r="W1547" i="8" s="1"/>
  <c r="W1571" i="8" s="1"/>
  <c r="W1595" i="8" s="1"/>
  <c r="W1619" i="8" s="1"/>
  <c r="W1643" i="8" s="1"/>
  <c r="W1667" i="8" s="1"/>
  <c r="W1691" i="8" s="1"/>
  <c r="W1715" i="8" s="1"/>
  <c r="W1739" i="8" s="1"/>
  <c r="W1763" i="8" s="1"/>
  <c r="W1787" i="8" s="1"/>
  <c r="W1811" i="8" s="1"/>
  <c r="W1835" i="8" s="1"/>
  <c r="W1859" i="8" s="1"/>
  <c r="W1883" i="8" s="1"/>
  <c r="W1907" i="8" s="1"/>
  <c r="W1931" i="8" s="1"/>
  <c r="W1955" i="8" s="1"/>
  <c r="W1979" i="8" s="1"/>
  <c r="W2003" i="8" s="1"/>
  <c r="W2027" i="8" s="1"/>
  <c r="W2051" i="8" s="1"/>
  <c r="W2075" i="8" s="1"/>
  <c r="W2099" i="8" s="1"/>
  <c r="W2123" i="8" s="1"/>
  <c r="W2147" i="8" s="1"/>
  <c r="W2171" i="8" s="1"/>
  <c r="W2195" i="8" s="1"/>
  <c r="W2219" i="8" s="1"/>
  <c r="W2243" i="8" s="1"/>
  <c r="W2267" i="8" s="1"/>
  <c r="W2291" i="8" s="1"/>
  <c r="W2315" i="8" s="1"/>
  <c r="W2339" i="8" s="1"/>
  <c r="W2363" i="8" s="1"/>
  <c r="W2387" i="8" s="1"/>
  <c r="W2411" i="8" s="1"/>
  <c r="W2435" i="8" s="1"/>
  <c r="W2459" i="8" s="1"/>
  <c r="W2483" i="8" s="1"/>
  <c r="W2507" i="8" s="1"/>
  <c r="W2531" i="8" s="1"/>
  <c r="W2555" i="8" s="1"/>
  <c r="W2579" i="8" s="1"/>
  <c r="W2603" i="8" s="1"/>
  <c r="W2627" i="8" s="1"/>
  <c r="W2651" i="8" s="1"/>
  <c r="W2675" i="8" s="1"/>
  <c r="W2699" i="8" s="1"/>
  <c r="W2723" i="8" s="1"/>
  <c r="W2747" i="8" s="1"/>
  <c r="W2771" i="8" s="1"/>
  <c r="W2795" i="8" s="1"/>
  <c r="W2819" i="8" s="1"/>
  <c r="W2843" i="8" s="1"/>
  <c r="W2867" i="8" s="1"/>
  <c r="W2891" i="8" s="1"/>
  <c r="W2915" i="8" s="1"/>
  <c r="W2939" i="8" s="1"/>
  <c r="W2963" i="8" s="1"/>
  <c r="W2987" i="8" s="1"/>
  <c r="W3011" i="8" s="1"/>
  <c r="V900" i="8"/>
  <c r="V924" i="8" s="1"/>
  <c r="V948" i="8" s="1"/>
  <c r="V972" i="8" s="1"/>
  <c r="V996" i="8" s="1"/>
  <c r="V1020" i="8" s="1"/>
  <c r="V1044" i="8" s="1"/>
  <c r="V1068" i="8" s="1"/>
  <c r="V1092" i="8" s="1"/>
  <c r="V1116" i="8" s="1"/>
  <c r="V1140" i="8" s="1"/>
  <c r="V1164" i="8" s="1"/>
  <c r="V1188" i="8" s="1"/>
  <c r="V1212" i="8" s="1"/>
  <c r="V1236" i="8" s="1"/>
  <c r="V1260" i="8" s="1"/>
  <c r="V1284" i="8" s="1"/>
  <c r="V1308" i="8" s="1"/>
  <c r="V1332" i="8" s="1"/>
  <c r="V1356" i="8" s="1"/>
  <c r="V1380" i="8" s="1"/>
  <c r="V1404" i="8" s="1"/>
  <c r="V1428" i="8" s="1"/>
  <c r="V1452" i="8" s="1"/>
  <c r="V1476" i="8" s="1"/>
  <c r="V1500" i="8" s="1"/>
  <c r="V1524" i="8" s="1"/>
  <c r="V1548" i="8" s="1"/>
  <c r="V1572" i="8" s="1"/>
  <c r="V1596" i="8" s="1"/>
  <c r="V1620" i="8" s="1"/>
  <c r="V1644" i="8" s="1"/>
  <c r="V1668" i="8" s="1"/>
  <c r="V1692" i="8" s="1"/>
  <c r="V1716" i="8" s="1"/>
  <c r="V1740" i="8" s="1"/>
  <c r="V1764" i="8" s="1"/>
  <c r="V1788" i="8" s="1"/>
  <c r="V1812" i="8" s="1"/>
  <c r="V1836" i="8" s="1"/>
  <c r="V1860" i="8" s="1"/>
  <c r="V1884" i="8" s="1"/>
  <c r="V1908" i="8" s="1"/>
  <c r="V1932" i="8" s="1"/>
  <c r="V1956" i="8" s="1"/>
  <c r="V1980" i="8" s="1"/>
  <c r="V2004" i="8" s="1"/>
  <c r="V2028" i="8" s="1"/>
  <c r="V2052" i="8" s="1"/>
  <c r="V2076" i="8" s="1"/>
  <c r="V2100" i="8" s="1"/>
  <c r="V2124" i="8" s="1"/>
  <c r="V2148" i="8" s="1"/>
  <c r="V2172" i="8" s="1"/>
  <c r="V2196" i="8" s="1"/>
  <c r="V2220" i="8" s="1"/>
  <c r="V2244" i="8" s="1"/>
  <c r="V2268" i="8" s="1"/>
  <c r="V2292" i="8" s="1"/>
  <c r="V2316" i="8" s="1"/>
  <c r="V2340" i="8" s="1"/>
  <c r="V2364" i="8" s="1"/>
  <c r="V2388" i="8" s="1"/>
  <c r="V2412" i="8" s="1"/>
  <c r="V2436" i="8" s="1"/>
  <c r="V2460" i="8" s="1"/>
  <c r="V2484" i="8" s="1"/>
  <c r="V2508" i="8" s="1"/>
  <c r="V2532" i="8" s="1"/>
  <c r="V2556" i="8" s="1"/>
  <c r="V2580" i="8" s="1"/>
  <c r="V2604" i="8" s="1"/>
  <c r="V2628" i="8" s="1"/>
  <c r="V2652" i="8" s="1"/>
  <c r="V2676" i="8" s="1"/>
  <c r="V2700" i="8" s="1"/>
  <c r="V2724" i="8" s="1"/>
  <c r="V2748" i="8" s="1"/>
  <c r="V2772" i="8" s="1"/>
  <c r="V2796" i="8" s="1"/>
  <c r="V2820" i="8" s="1"/>
  <c r="V2844" i="8" s="1"/>
  <c r="V2868" i="8" s="1"/>
  <c r="V2892" i="8" s="1"/>
  <c r="V2916" i="8" s="1"/>
  <c r="V2940" i="8" s="1"/>
  <c r="V2964" i="8" s="1"/>
  <c r="V2988" i="8" s="1"/>
  <c r="V3012" i="8" s="1"/>
  <c r="W900" i="8"/>
  <c r="W924" i="8" s="1"/>
  <c r="W948" i="8" s="1"/>
  <c r="W972" i="8" s="1"/>
  <c r="W996" i="8" s="1"/>
  <c r="W1020" i="8" s="1"/>
  <c r="W1044" i="8" s="1"/>
  <c r="W1068" i="8" s="1"/>
  <c r="W1092" i="8" s="1"/>
  <c r="W1116" i="8" s="1"/>
  <c r="W1140" i="8" s="1"/>
  <c r="W1164" i="8" s="1"/>
  <c r="W1188" i="8" s="1"/>
  <c r="W1212" i="8" s="1"/>
  <c r="W1236" i="8" s="1"/>
  <c r="W1260" i="8" s="1"/>
  <c r="W1284" i="8" s="1"/>
  <c r="W1308" i="8" s="1"/>
  <c r="W1332" i="8" s="1"/>
  <c r="W1356" i="8" s="1"/>
  <c r="W1380" i="8" s="1"/>
  <c r="W1404" i="8" s="1"/>
  <c r="W1428" i="8" s="1"/>
  <c r="W1452" i="8" s="1"/>
  <c r="W1476" i="8" s="1"/>
  <c r="W1500" i="8" s="1"/>
  <c r="W1524" i="8" s="1"/>
  <c r="W1548" i="8" s="1"/>
  <c r="W1572" i="8" s="1"/>
  <c r="W1596" i="8" s="1"/>
  <c r="W1620" i="8" s="1"/>
  <c r="W1644" i="8" s="1"/>
  <c r="W1668" i="8" s="1"/>
  <c r="W1692" i="8" s="1"/>
  <c r="W1716" i="8" s="1"/>
  <c r="W1740" i="8" s="1"/>
  <c r="W1764" i="8" s="1"/>
  <c r="W1788" i="8" s="1"/>
  <c r="W1812" i="8" s="1"/>
  <c r="W1836" i="8" s="1"/>
  <c r="W1860" i="8" s="1"/>
  <c r="W1884" i="8" s="1"/>
  <c r="W1908" i="8" s="1"/>
  <c r="W1932" i="8" s="1"/>
  <c r="W1956" i="8" s="1"/>
  <c r="W1980" i="8" s="1"/>
  <c r="W2004" i="8" s="1"/>
  <c r="W2028" i="8" s="1"/>
  <c r="W2052" i="8" s="1"/>
  <c r="W2076" i="8" s="1"/>
  <c r="W2100" i="8" s="1"/>
  <c r="W2124" i="8" s="1"/>
  <c r="W2148" i="8" s="1"/>
  <c r="W2172" i="8" s="1"/>
  <c r="W2196" i="8" s="1"/>
  <c r="W2220" i="8" s="1"/>
  <c r="W2244" i="8" s="1"/>
  <c r="W2268" i="8" s="1"/>
  <c r="W2292" i="8" s="1"/>
  <c r="W2316" i="8" s="1"/>
  <c r="W2340" i="8" s="1"/>
  <c r="W2364" i="8" s="1"/>
  <c r="W2388" i="8" s="1"/>
  <c r="W2412" i="8" s="1"/>
  <c r="W2436" i="8" s="1"/>
  <c r="W2460" i="8" s="1"/>
  <c r="W2484" i="8" s="1"/>
  <c r="W2508" i="8" s="1"/>
  <c r="W2532" i="8" s="1"/>
  <c r="W2556" i="8" s="1"/>
  <c r="W2580" i="8" s="1"/>
  <c r="W2604" i="8" s="1"/>
  <c r="W2628" i="8" s="1"/>
  <c r="W2652" i="8" s="1"/>
  <c r="W2676" i="8" s="1"/>
  <c r="W2700" i="8" s="1"/>
  <c r="W2724" i="8" s="1"/>
  <c r="W2748" i="8" s="1"/>
  <c r="W2772" i="8" s="1"/>
  <c r="W2796" i="8" s="1"/>
  <c r="W2820" i="8" s="1"/>
  <c r="W2844" i="8" s="1"/>
  <c r="W2868" i="8" s="1"/>
  <c r="W2892" i="8" s="1"/>
  <c r="W2916" i="8" s="1"/>
  <c r="W2940" i="8" s="1"/>
  <c r="W2964" i="8" s="1"/>
  <c r="W2988" i="8" s="1"/>
  <c r="W3012" i="8" s="1"/>
  <c r="V901" i="8"/>
  <c r="V925" i="8" s="1"/>
  <c r="V949" i="8" s="1"/>
  <c r="V973" i="8" s="1"/>
  <c r="V997" i="8" s="1"/>
  <c r="V1021" i="8" s="1"/>
  <c r="V1045" i="8" s="1"/>
  <c r="V1069" i="8" s="1"/>
  <c r="V1093" i="8" s="1"/>
  <c r="V1117" i="8" s="1"/>
  <c r="V1141" i="8" s="1"/>
  <c r="V1165" i="8" s="1"/>
  <c r="V1189" i="8" s="1"/>
  <c r="V1213" i="8" s="1"/>
  <c r="V1237" i="8" s="1"/>
  <c r="V1261" i="8" s="1"/>
  <c r="V1285" i="8" s="1"/>
  <c r="V1309" i="8" s="1"/>
  <c r="V1333" i="8" s="1"/>
  <c r="V1357" i="8" s="1"/>
  <c r="V1381" i="8" s="1"/>
  <c r="V1405" i="8" s="1"/>
  <c r="V1429" i="8" s="1"/>
  <c r="V1453" i="8" s="1"/>
  <c r="V1477" i="8" s="1"/>
  <c r="V1501" i="8" s="1"/>
  <c r="V1525" i="8" s="1"/>
  <c r="V1549" i="8" s="1"/>
  <c r="V1573" i="8" s="1"/>
  <c r="V1597" i="8" s="1"/>
  <c r="V1621" i="8" s="1"/>
  <c r="V1645" i="8" s="1"/>
  <c r="V1669" i="8" s="1"/>
  <c r="V1693" i="8" s="1"/>
  <c r="V1717" i="8" s="1"/>
  <c r="V1741" i="8" s="1"/>
  <c r="V1765" i="8" s="1"/>
  <c r="V1789" i="8" s="1"/>
  <c r="V1813" i="8" s="1"/>
  <c r="V1837" i="8" s="1"/>
  <c r="V1861" i="8" s="1"/>
  <c r="V1885" i="8" s="1"/>
  <c r="V1909" i="8" s="1"/>
  <c r="V1933" i="8" s="1"/>
  <c r="V1957" i="8" s="1"/>
  <c r="V1981" i="8" s="1"/>
  <c r="V2005" i="8" s="1"/>
  <c r="V2029" i="8" s="1"/>
  <c r="V2053" i="8" s="1"/>
  <c r="V2077" i="8" s="1"/>
  <c r="V2101" i="8" s="1"/>
  <c r="V2125" i="8" s="1"/>
  <c r="V2149" i="8" s="1"/>
  <c r="V2173" i="8" s="1"/>
  <c r="V2197" i="8" s="1"/>
  <c r="V2221" i="8" s="1"/>
  <c r="V2245" i="8" s="1"/>
  <c r="V2269" i="8" s="1"/>
  <c r="V2293" i="8" s="1"/>
  <c r="V2317" i="8" s="1"/>
  <c r="V2341" i="8" s="1"/>
  <c r="V2365" i="8" s="1"/>
  <c r="V2389" i="8" s="1"/>
  <c r="V2413" i="8" s="1"/>
  <c r="V2437" i="8" s="1"/>
  <c r="V2461" i="8" s="1"/>
  <c r="V2485" i="8" s="1"/>
  <c r="V2509" i="8" s="1"/>
  <c r="V2533" i="8" s="1"/>
  <c r="V2557" i="8" s="1"/>
  <c r="V2581" i="8" s="1"/>
  <c r="V2605" i="8" s="1"/>
  <c r="V2629" i="8" s="1"/>
  <c r="V2653" i="8" s="1"/>
  <c r="V2677" i="8" s="1"/>
  <c r="V2701" i="8" s="1"/>
  <c r="V2725" i="8" s="1"/>
  <c r="V2749" i="8" s="1"/>
  <c r="V2773" i="8" s="1"/>
  <c r="V2797" i="8" s="1"/>
  <c r="V2821" i="8" s="1"/>
  <c r="V2845" i="8" s="1"/>
  <c r="V2869" i="8" s="1"/>
  <c r="V2893" i="8" s="1"/>
  <c r="V2917" i="8" s="1"/>
  <c r="V2941" i="8" s="1"/>
  <c r="V2965" i="8" s="1"/>
  <c r="V2989" i="8" s="1"/>
  <c r="V3013" i="8" s="1"/>
  <c r="W901" i="8"/>
  <c r="W925" i="8" s="1"/>
  <c r="W949" i="8" s="1"/>
  <c r="W973" i="8" s="1"/>
  <c r="W997" i="8" s="1"/>
  <c r="W1021" i="8" s="1"/>
  <c r="W1045" i="8" s="1"/>
  <c r="W1069" i="8" s="1"/>
  <c r="W1093" i="8" s="1"/>
  <c r="W1117" i="8" s="1"/>
  <c r="W1141" i="8" s="1"/>
  <c r="W1165" i="8" s="1"/>
  <c r="W1189" i="8" s="1"/>
  <c r="W1213" i="8" s="1"/>
  <c r="W1237" i="8" s="1"/>
  <c r="W1261" i="8" s="1"/>
  <c r="W1285" i="8" s="1"/>
  <c r="W1309" i="8" s="1"/>
  <c r="W1333" i="8" s="1"/>
  <c r="W1357" i="8" s="1"/>
  <c r="W1381" i="8" s="1"/>
  <c r="W1405" i="8" s="1"/>
  <c r="W1429" i="8" s="1"/>
  <c r="W1453" i="8" s="1"/>
  <c r="W1477" i="8" s="1"/>
  <c r="W1501" i="8" s="1"/>
  <c r="W1525" i="8" s="1"/>
  <c r="W1549" i="8" s="1"/>
  <c r="W1573" i="8" s="1"/>
  <c r="W1597" i="8" s="1"/>
  <c r="W1621" i="8" s="1"/>
  <c r="W1645" i="8" s="1"/>
  <c r="W1669" i="8" s="1"/>
  <c r="W1693" i="8" s="1"/>
  <c r="W1717" i="8" s="1"/>
  <c r="W1741" i="8" s="1"/>
  <c r="W1765" i="8" s="1"/>
  <c r="W1789" i="8" s="1"/>
  <c r="W1813" i="8" s="1"/>
  <c r="W1837" i="8" s="1"/>
  <c r="W1861" i="8" s="1"/>
  <c r="W1885" i="8" s="1"/>
  <c r="W1909" i="8" s="1"/>
  <c r="W1933" i="8" s="1"/>
  <c r="W1957" i="8" s="1"/>
  <c r="W1981" i="8" s="1"/>
  <c r="W2005" i="8" s="1"/>
  <c r="W2029" i="8" s="1"/>
  <c r="W2053" i="8" s="1"/>
  <c r="W2077" i="8" s="1"/>
  <c r="W2101" i="8" s="1"/>
  <c r="W2125" i="8" s="1"/>
  <c r="W2149" i="8" s="1"/>
  <c r="W2173" i="8" s="1"/>
  <c r="W2197" i="8" s="1"/>
  <c r="W2221" i="8" s="1"/>
  <c r="W2245" i="8" s="1"/>
  <c r="W2269" i="8" s="1"/>
  <c r="W2293" i="8" s="1"/>
  <c r="W2317" i="8" s="1"/>
  <c r="W2341" i="8" s="1"/>
  <c r="W2365" i="8" s="1"/>
  <c r="W2389" i="8" s="1"/>
  <c r="W2413" i="8" s="1"/>
  <c r="W2437" i="8" s="1"/>
  <c r="W2461" i="8" s="1"/>
  <c r="W2485" i="8" s="1"/>
  <c r="W2509" i="8" s="1"/>
  <c r="W2533" i="8" s="1"/>
  <c r="W2557" i="8" s="1"/>
  <c r="W2581" i="8" s="1"/>
  <c r="W2605" i="8" s="1"/>
  <c r="W2629" i="8" s="1"/>
  <c r="W2653" i="8" s="1"/>
  <c r="W2677" i="8" s="1"/>
  <c r="W2701" i="8" s="1"/>
  <c r="W2725" i="8" s="1"/>
  <c r="W2749" i="8" s="1"/>
  <c r="W2773" i="8" s="1"/>
  <c r="W2797" i="8" s="1"/>
  <c r="W2821" i="8" s="1"/>
  <c r="W2845" i="8" s="1"/>
  <c r="W2869" i="8" s="1"/>
  <c r="W2893" i="8" s="1"/>
  <c r="W2917" i="8" s="1"/>
  <c r="W2941" i="8" s="1"/>
  <c r="W2965" i="8" s="1"/>
  <c r="W2989" i="8" s="1"/>
  <c r="W3013" i="8" s="1"/>
  <c r="V902" i="8"/>
  <c r="V926" i="8" s="1"/>
  <c r="V950" i="8" s="1"/>
  <c r="V974" i="8" s="1"/>
  <c r="V998" i="8" s="1"/>
  <c r="V1022" i="8" s="1"/>
  <c r="V1046" i="8" s="1"/>
  <c r="V1070" i="8" s="1"/>
  <c r="V1094" i="8" s="1"/>
  <c r="V1118" i="8" s="1"/>
  <c r="V1142" i="8" s="1"/>
  <c r="V1166" i="8" s="1"/>
  <c r="V1190" i="8" s="1"/>
  <c r="V1214" i="8" s="1"/>
  <c r="V1238" i="8" s="1"/>
  <c r="V1262" i="8" s="1"/>
  <c r="V1286" i="8" s="1"/>
  <c r="V1310" i="8" s="1"/>
  <c r="V1334" i="8" s="1"/>
  <c r="V1358" i="8" s="1"/>
  <c r="V1382" i="8" s="1"/>
  <c r="V1406" i="8" s="1"/>
  <c r="V1430" i="8" s="1"/>
  <c r="V1454" i="8" s="1"/>
  <c r="V1478" i="8" s="1"/>
  <c r="V1502" i="8" s="1"/>
  <c r="V1526" i="8" s="1"/>
  <c r="V1550" i="8" s="1"/>
  <c r="V1574" i="8" s="1"/>
  <c r="V1598" i="8" s="1"/>
  <c r="V1622" i="8" s="1"/>
  <c r="V1646" i="8" s="1"/>
  <c r="V1670" i="8" s="1"/>
  <c r="V1694" i="8" s="1"/>
  <c r="V1718" i="8" s="1"/>
  <c r="V1742" i="8" s="1"/>
  <c r="V1766" i="8" s="1"/>
  <c r="V1790" i="8" s="1"/>
  <c r="V1814" i="8" s="1"/>
  <c r="V1838" i="8" s="1"/>
  <c r="V1862" i="8" s="1"/>
  <c r="V1886" i="8" s="1"/>
  <c r="V1910" i="8" s="1"/>
  <c r="V1934" i="8" s="1"/>
  <c r="V1958" i="8" s="1"/>
  <c r="V1982" i="8" s="1"/>
  <c r="V2006" i="8" s="1"/>
  <c r="V2030" i="8" s="1"/>
  <c r="V2054" i="8" s="1"/>
  <c r="V2078" i="8" s="1"/>
  <c r="V2102" i="8" s="1"/>
  <c r="V2126" i="8" s="1"/>
  <c r="V2150" i="8" s="1"/>
  <c r="V2174" i="8" s="1"/>
  <c r="V2198" i="8" s="1"/>
  <c r="V2222" i="8" s="1"/>
  <c r="V2246" i="8" s="1"/>
  <c r="V2270" i="8" s="1"/>
  <c r="V2294" i="8" s="1"/>
  <c r="V2318" i="8" s="1"/>
  <c r="V2342" i="8" s="1"/>
  <c r="V2366" i="8" s="1"/>
  <c r="V2390" i="8" s="1"/>
  <c r="V2414" i="8" s="1"/>
  <c r="V2438" i="8" s="1"/>
  <c r="V2462" i="8" s="1"/>
  <c r="V2486" i="8" s="1"/>
  <c r="V2510" i="8" s="1"/>
  <c r="V2534" i="8" s="1"/>
  <c r="V2558" i="8" s="1"/>
  <c r="V2582" i="8" s="1"/>
  <c r="V2606" i="8" s="1"/>
  <c r="V2630" i="8" s="1"/>
  <c r="V2654" i="8" s="1"/>
  <c r="V2678" i="8" s="1"/>
  <c r="V2702" i="8" s="1"/>
  <c r="V2726" i="8" s="1"/>
  <c r="V2750" i="8" s="1"/>
  <c r="V2774" i="8" s="1"/>
  <c r="V2798" i="8" s="1"/>
  <c r="V2822" i="8" s="1"/>
  <c r="V2846" i="8" s="1"/>
  <c r="V2870" i="8" s="1"/>
  <c r="V2894" i="8" s="1"/>
  <c r="V2918" i="8" s="1"/>
  <c r="V2942" i="8" s="1"/>
  <c r="V2966" i="8" s="1"/>
  <c r="V2990" i="8" s="1"/>
  <c r="V3014" i="8" s="1"/>
  <c r="W902" i="8"/>
  <c r="W926" i="8" s="1"/>
  <c r="W950" i="8" s="1"/>
  <c r="W974" i="8" s="1"/>
  <c r="W998" i="8" s="1"/>
  <c r="W1022" i="8" s="1"/>
  <c r="W1046" i="8" s="1"/>
  <c r="W1070" i="8" s="1"/>
  <c r="W1094" i="8" s="1"/>
  <c r="W1118" i="8" s="1"/>
  <c r="W1142" i="8" s="1"/>
  <c r="W1166" i="8" s="1"/>
  <c r="W1190" i="8" s="1"/>
  <c r="W1214" i="8" s="1"/>
  <c r="W1238" i="8" s="1"/>
  <c r="W1262" i="8" s="1"/>
  <c r="W1286" i="8" s="1"/>
  <c r="W1310" i="8" s="1"/>
  <c r="W1334" i="8" s="1"/>
  <c r="W1358" i="8" s="1"/>
  <c r="W1382" i="8" s="1"/>
  <c r="W1406" i="8" s="1"/>
  <c r="W1430" i="8" s="1"/>
  <c r="W1454" i="8" s="1"/>
  <c r="W1478" i="8" s="1"/>
  <c r="W1502" i="8" s="1"/>
  <c r="W1526" i="8" s="1"/>
  <c r="W1550" i="8" s="1"/>
  <c r="W1574" i="8" s="1"/>
  <c r="W1598" i="8" s="1"/>
  <c r="W1622" i="8" s="1"/>
  <c r="W1646" i="8" s="1"/>
  <c r="W1670" i="8" s="1"/>
  <c r="W1694" i="8" s="1"/>
  <c r="W1718" i="8" s="1"/>
  <c r="W1742" i="8" s="1"/>
  <c r="W1766" i="8" s="1"/>
  <c r="W1790" i="8" s="1"/>
  <c r="W1814" i="8" s="1"/>
  <c r="W1838" i="8" s="1"/>
  <c r="W1862" i="8" s="1"/>
  <c r="W1886" i="8" s="1"/>
  <c r="W1910" i="8" s="1"/>
  <c r="W1934" i="8" s="1"/>
  <c r="W1958" i="8" s="1"/>
  <c r="W1982" i="8" s="1"/>
  <c r="W2006" i="8" s="1"/>
  <c r="W2030" i="8" s="1"/>
  <c r="W2054" i="8" s="1"/>
  <c r="W2078" i="8" s="1"/>
  <c r="W2102" i="8" s="1"/>
  <c r="W2126" i="8" s="1"/>
  <c r="W2150" i="8" s="1"/>
  <c r="W2174" i="8" s="1"/>
  <c r="W2198" i="8" s="1"/>
  <c r="W2222" i="8" s="1"/>
  <c r="W2246" i="8" s="1"/>
  <c r="W2270" i="8" s="1"/>
  <c r="W2294" i="8" s="1"/>
  <c r="W2318" i="8" s="1"/>
  <c r="W2342" i="8" s="1"/>
  <c r="W2366" i="8" s="1"/>
  <c r="W2390" i="8" s="1"/>
  <c r="W2414" i="8" s="1"/>
  <c r="W2438" i="8" s="1"/>
  <c r="W2462" i="8" s="1"/>
  <c r="W2486" i="8" s="1"/>
  <c r="W2510" i="8" s="1"/>
  <c r="W2534" i="8" s="1"/>
  <c r="W2558" i="8" s="1"/>
  <c r="W2582" i="8" s="1"/>
  <c r="W2606" i="8" s="1"/>
  <c r="W2630" i="8" s="1"/>
  <c r="W2654" i="8" s="1"/>
  <c r="W2678" i="8" s="1"/>
  <c r="W2702" i="8" s="1"/>
  <c r="W2726" i="8" s="1"/>
  <c r="W2750" i="8" s="1"/>
  <c r="W2774" i="8" s="1"/>
  <c r="W2798" i="8" s="1"/>
  <c r="W2822" i="8" s="1"/>
  <c r="W2846" i="8" s="1"/>
  <c r="W2870" i="8" s="1"/>
  <c r="W2894" i="8" s="1"/>
  <c r="W2918" i="8" s="1"/>
  <c r="W2942" i="8" s="1"/>
  <c r="W2966" i="8" s="1"/>
  <c r="W2990" i="8" s="1"/>
  <c r="W3014" i="8" s="1"/>
  <c r="V903" i="8"/>
  <c r="V927" i="8" s="1"/>
  <c r="V951" i="8" s="1"/>
  <c r="V975" i="8" s="1"/>
  <c r="V999" i="8" s="1"/>
  <c r="V1023" i="8" s="1"/>
  <c r="V1047" i="8" s="1"/>
  <c r="V1071" i="8" s="1"/>
  <c r="V1095" i="8" s="1"/>
  <c r="V1119" i="8" s="1"/>
  <c r="V1143" i="8" s="1"/>
  <c r="V1167" i="8" s="1"/>
  <c r="V1191" i="8" s="1"/>
  <c r="V1215" i="8" s="1"/>
  <c r="V1239" i="8" s="1"/>
  <c r="V1263" i="8" s="1"/>
  <c r="V1287" i="8" s="1"/>
  <c r="V1311" i="8" s="1"/>
  <c r="V1335" i="8" s="1"/>
  <c r="V1359" i="8" s="1"/>
  <c r="V1383" i="8" s="1"/>
  <c r="V1407" i="8" s="1"/>
  <c r="V1431" i="8" s="1"/>
  <c r="V1455" i="8" s="1"/>
  <c r="V1479" i="8" s="1"/>
  <c r="V1503" i="8" s="1"/>
  <c r="V1527" i="8" s="1"/>
  <c r="V1551" i="8" s="1"/>
  <c r="V1575" i="8" s="1"/>
  <c r="V1599" i="8" s="1"/>
  <c r="V1623" i="8" s="1"/>
  <c r="V1647" i="8" s="1"/>
  <c r="V1671" i="8" s="1"/>
  <c r="V1695" i="8" s="1"/>
  <c r="V1719" i="8" s="1"/>
  <c r="V1743" i="8" s="1"/>
  <c r="V1767" i="8" s="1"/>
  <c r="V1791" i="8" s="1"/>
  <c r="V1815" i="8" s="1"/>
  <c r="V1839" i="8" s="1"/>
  <c r="V1863" i="8" s="1"/>
  <c r="V1887" i="8" s="1"/>
  <c r="V1911" i="8" s="1"/>
  <c r="V1935" i="8" s="1"/>
  <c r="V1959" i="8" s="1"/>
  <c r="V1983" i="8" s="1"/>
  <c r="V2007" i="8" s="1"/>
  <c r="V2031" i="8" s="1"/>
  <c r="V2055" i="8" s="1"/>
  <c r="V2079" i="8" s="1"/>
  <c r="V2103" i="8" s="1"/>
  <c r="V2127" i="8" s="1"/>
  <c r="V2151" i="8" s="1"/>
  <c r="V2175" i="8" s="1"/>
  <c r="V2199" i="8" s="1"/>
  <c r="V2223" i="8" s="1"/>
  <c r="V2247" i="8" s="1"/>
  <c r="V2271" i="8" s="1"/>
  <c r="V2295" i="8" s="1"/>
  <c r="V2319" i="8" s="1"/>
  <c r="V2343" i="8" s="1"/>
  <c r="V2367" i="8" s="1"/>
  <c r="V2391" i="8" s="1"/>
  <c r="V2415" i="8" s="1"/>
  <c r="V2439" i="8" s="1"/>
  <c r="V2463" i="8" s="1"/>
  <c r="V2487" i="8" s="1"/>
  <c r="V2511" i="8" s="1"/>
  <c r="V2535" i="8" s="1"/>
  <c r="V2559" i="8" s="1"/>
  <c r="V2583" i="8" s="1"/>
  <c r="V2607" i="8" s="1"/>
  <c r="V2631" i="8" s="1"/>
  <c r="V2655" i="8" s="1"/>
  <c r="V2679" i="8" s="1"/>
  <c r="V2703" i="8" s="1"/>
  <c r="V2727" i="8" s="1"/>
  <c r="V2751" i="8" s="1"/>
  <c r="V2775" i="8" s="1"/>
  <c r="V2799" i="8" s="1"/>
  <c r="V2823" i="8" s="1"/>
  <c r="V2847" i="8" s="1"/>
  <c r="V2871" i="8" s="1"/>
  <c r="V2895" i="8" s="1"/>
  <c r="V2919" i="8" s="1"/>
  <c r="V2943" i="8" s="1"/>
  <c r="V2967" i="8" s="1"/>
  <c r="V2991" i="8" s="1"/>
  <c r="V3015" i="8" s="1"/>
  <c r="W903" i="8"/>
  <c r="W927" i="8" s="1"/>
  <c r="W951" i="8" s="1"/>
  <c r="W975" i="8" s="1"/>
  <c r="W999" i="8" s="1"/>
  <c r="W1023" i="8" s="1"/>
  <c r="W1047" i="8" s="1"/>
  <c r="W1071" i="8" s="1"/>
  <c r="W1095" i="8" s="1"/>
  <c r="W1119" i="8" s="1"/>
  <c r="W1143" i="8" s="1"/>
  <c r="W1167" i="8" s="1"/>
  <c r="W1191" i="8" s="1"/>
  <c r="W1215" i="8" s="1"/>
  <c r="W1239" i="8" s="1"/>
  <c r="W1263" i="8" s="1"/>
  <c r="W1287" i="8" s="1"/>
  <c r="W1311" i="8" s="1"/>
  <c r="W1335" i="8" s="1"/>
  <c r="W1359" i="8" s="1"/>
  <c r="W1383" i="8" s="1"/>
  <c r="W1407" i="8" s="1"/>
  <c r="W1431" i="8" s="1"/>
  <c r="W1455" i="8" s="1"/>
  <c r="W1479" i="8" s="1"/>
  <c r="W1503" i="8" s="1"/>
  <c r="W1527" i="8" s="1"/>
  <c r="W1551" i="8" s="1"/>
  <c r="W1575" i="8" s="1"/>
  <c r="W1599" i="8" s="1"/>
  <c r="W1623" i="8" s="1"/>
  <c r="W1647" i="8" s="1"/>
  <c r="W1671" i="8" s="1"/>
  <c r="W1695" i="8" s="1"/>
  <c r="W1719" i="8" s="1"/>
  <c r="W1743" i="8" s="1"/>
  <c r="W1767" i="8" s="1"/>
  <c r="W1791" i="8" s="1"/>
  <c r="W1815" i="8" s="1"/>
  <c r="W1839" i="8" s="1"/>
  <c r="W1863" i="8" s="1"/>
  <c r="W1887" i="8" s="1"/>
  <c r="W1911" i="8" s="1"/>
  <c r="W1935" i="8" s="1"/>
  <c r="W1959" i="8" s="1"/>
  <c r="W1983" i="8" s="1"/>
  <c r="W2007" i="8" s="1"/>
  <c r="W2031" i="8" s="1"/>
  <c r="W2055" i="8" s="1"/>
  <c r="W2079" i="8" s="1"/>
  <c r="W2103" i="8" s="1"/>
  <c r="W2127" i="8" s="1"/>
  <c r="W2151" i="8" s="1"/>
  <c r="W2175" i="8" s="1"/>
  <c r="W2199" i="8" s="1"/>
  <c r="W2223" i="8" s="1"/>
  <c r="W2247" i="8" s="1"/>
  <c r="W2271" i="8" s="1"/>
  <c r="W2295" i="8" s="1"/>
  <c r="W2319" i="8" s="1"/>
  <c r="W2343" i="8" s="1"/>
  <c r="W2367" i="8" s="1"/>
  <c r="W2391" i="8" s="1"/>
  <c r="W2415" i="8" s="1"/>
  <c r="W2439" i="8" s="1"/>
  <c r="W2463" i="8" s="1"/>
  <c r="W2487" i="8" s="1"/>
  <c r="W2511" i="8" s="1"/>
  <c r="W2535" i="8" s="1"/>
  <c r="W2559" i="8" s="1"/>
  <c r="W2583" i="8" s="1"/>
  <c r="W2607" i="8" s="1"/>
  <c r="W2631" i="8" s="1"/>
  <c r="W2655" i="8" s="1"/>
  <c r="W2679" i="8" s="1"/>
  <c r="W2703" i="8" s="1"/>
  <c r="W2727" i="8" s="1"/>
  <c r="W2751" i="8" s="1"/>
  <c r="W2775" i="8" s="1"/>
  <c r="W2799" i="8" s="1"/>
  <c r="W2823" i="8" s="1"/>
  <c r="W2847" i="8" s="1"/>
  <c r="W2871" i="8" s="1"/>
  <c r="W2895" i="8" s="1"/>
  <c r="W2919" i="8" s="1"/>
  <c r="W2943" i="8" s="1"/>
  <c r="W2967" i="8" s="1"/>
  <c r="W2991" i="8" s="1"/>
  <c r="W3015" i="8" s="1"/>
  <c r="V904" i="8"/>
  <c r="V928" i="8" s="1"/>
  <c r="V952" i="8" s="1"/>
  <c r="V976" i="8" s="1"/>
  <c r="V1000" i="8" s="1"/>
  <c r="V1024" i="8" s="1"/>
  <c r="V1048" i="8" s="1"/>
  <c r="V1072" i="8" s="1"/>
  <c r="V1096" i="8" s="1"/>
  <c r="V1120" i="8" s="1"/>
  <c r="V1144" i="8" s="1"/>
  <c r="V1168" i="8" s="1"/>
  <c r="V1192" i="8" s="1"/>
  <c r="V1216" i="8" s="1"/>
  <c r="V1240" i="8" s="1"/>
  <c r="V1264" i="8" s="1"/>
  <c r="V1288" i="8" s="1"/>
  <c r="V1312" i="8" s="1"/>
  <c r="V1336" i="8" s="1"/>
  <c r="V1360" i="8" s="1"/>
  <c r="V1384" i="8" s="1"/>
  <c r="V1408" i="8" s="1"/>
  <c r="V1432" i="8" s="1"/>
  <c r="V1456" i="8" s="1"/>
  <c r="V1480" i="8" s="1"/>
  <c r="V1504" i="8" s="1"/>
  <c r="V1528" i="8" s="1"/>
  <c r="V1552" i="8" s="1"/>
  <c r="V1576" i="8" s="1"/>
  <c r="V1600" i="8" s="1"/>
  <c r="V1624" i="8" s="1"/>
  <c r="V1648" i="8" s="1"/>
  <c r="V1672" i="8" s="1"/>
  <c r="V1696" i="8" s="1"/>
  <c r="V1720" i="8" s="1"/>
  <c r="V1744" i="8" s="1"/>
  <c r="V1768" i="8" s="1"/>
  <c r="V1792" i="8" s="1"/>
  <c r="V1816" i="8" s="1"/>
  <c r="V1840" i="8" s="1"/>
  <c r="V1864" i="8" s="1"/>
  <c r="V1888" i="8" s="1"/>
  <c r="V1912" i="8" s="1"/>
  <c r="V1936" i="8" s="1"/>
  <c r="V1960" i="8" s="1"/>
  <c r="V1984" i="8" s="1"/>
  <c r="V2008" i="8" s="1"/>
  <c r="V2032" i="8" s="1"/>
  <c r="V2056" i="8" s="1"/>
  <c r="V2080" i="8" s="1"/>
  <c r="V2104" i="8" s="1"/>
  <c r="V2128" i="8" s="1"/>
  <c r="V2152" i="8" s="1"/>
  <c r="V2176" i="8" s="1"/>
  <c r="V2200" i="8" s="1"/>
  <c r="V2224" i="8" s="1"/>
  <c r="V2248" i="8" s="1"/>
  <c r="V2272" i="8" s="1"/>
  <c r="V2296" i="8" s="1"/>
  <c r="V2320" i="8" s="1"/>
  <c r="V2344" i="8" s="1"/>
  <c r="V2368" i="8" s="1"/>
  <c r="V2392" i="8" s="1"/>
  <c r="V2416" i="8" s="1"/>
  <c r="V2440" i="8" s="1"/>
  <c r="V2464" i="8" s="1"/>
  <c r="V2488" i="8" s="1"/>
  <c r="V2512" i="8" s="1"/>
  <c r="V2536" i="8" s="1"/>
  <c r="V2560" i="8" s="1"/>
  <c r="V2584" i="8" s="1"/>
  <c r="V2608" i="8" s="1"/>
  <c r="V2632" i="8" s="1"/>
  <c r="V2656" i="8" s="1"/>
  <c r="V2680" i="8" s="1"/>
  <c r="V2704" i="8" s="1"/>
  <c r="V2728" i="8" s="1"/>
  <c r="V2752" i="8" s="1"/>
  <c r="V2776" i="8" s="1"/>
  <c r="V2800" i="8" s="1"/>
  <c r="V2824" i="8" s="1"/>
  <c r="V2848" i="8" s="1"/>
  <c r="V2872" i="8" s="1"/>
  <c r="V2896" i="8" s="1"/>
  <c r="V2920" i="8" s="1"/>
  <c r="V2944" i="8" s="1"/>
  <c r="V2968" i="8" s="1"/>
  <c r="V2992" i="8" s="1"/>
  <c r="V3016" i="8" s="1"/>
  <c r="W904" i="8"/>
  <c r="W928" i="8" s="1"/>
  <c r="W952" i="8" s="1"/>
  <c r="W976" i="8" s="1"/>
  <c r="W1000" i="8" s="1"/>
  <c r="W1024" i="8" s="1"/>
  <c r="W1048" i="8" s="1"/>
  <c r="W1072" i="8" s="1"/>
  <c r="W1096" i="8" s="1"/>
  <c r="W1120" i="8" s="1"/>
  <c r="W1144" i="8" s="1"/>
  <c r="W1168" i="8" s="1"/>
  <c r="W1192" i="8" s="1"/>
  <c r="W1216" i="8" s="1"/>
  <c r="W1240" i="8" s="1"/>
  <c r="W1264" i="8" s="1"/>
  <c r="W1288" i="8" s="1"/>
  <c r="W1312" i="8" s="1"/>
  <c r="W1336" i="8" s="1"/>
  <c r="W1360" i="8" s="1"/>
  <c r="W1384" i="8" s="1"/>
  <c r="W1408" i="8" s="1"/>
  <c r="W1432" i="8" s="1"/>
  <c r="W1456" i="8" s="1"/>
  <c r="W1480" i="8" s="1"/>
  <c r="W1504" i="8" s="1"/>
  <c r="W1528" i="8" s="1"/>
  <c r="W1552" i="8" s="1"/>
  <c r="W1576" i="8" s="1"/>
  <c r="W1600" i="8" s="1"/>
  <c r="W1624" i="8" s="1"/>
  <c r="W1648" i="8" s="1"/>
  <c r="W1672" i="8" s="1"/>
  <c r="W1696" i="8" s="1"/>
  <c r="W1720" i="8" s="1"/>
  <c r="W1744" i="8" s="1"/>
  <c r="W1768" i="8" s="1"/>
  <c r="W1792" i="8" s="1"/>
  <c r="W1816" i="8" s="1"/>
  <c r="W1840" i="8" s="1"/>
  <c r="W1864" i="8" s="1"/>
  <c r="W1888" i="8" s="1"/>
  <c r="W1912" i="8" s="1"/>
  <c r="W1936" i="8" s="1"/>
  <c r="W1960" i="8" s="1"/>
  <c r="W1984" i="8" s="1"/>
  <c r="W2008" i="8" s="1"/>
  <c r="W2032" i="8" s="1"/>
  <c r="W2056" i="8" s="1"/>
  <c r="W2080" i="8" s="1"/>
  <c r="W2104" i="8" s="1"/>
  <c r="W2128" i="8" s="1"/>
  <c r="W2152" i="8" s="1"/>
  <c r="W2176" i="8" s="1"/>
  <c r="W2200" i="8" s="1"/>
  <c r="W2224" i="8" s="1"/>
  <c r="W2248" i="8" s="1"/>
  <c r="W2272" i="8" s="1"/>
  <c r="W2296" i="8" s="1"/>
  <c r="W2320" i="8" s="1"/>
  <c r="W2344" i="8" s="1"/>
  <c r="W2368" i="8" s="1"/>
  <c r="W2392" i="8" s="1"/>
  <c r="W2416" i="8" s="1"/>
  <c r="W2440" i="8" s="1"/>
  <c r="W2464" i="8" s="1"/>
  <c r="W2488" i="8" s="1"/>
  <c r="W2512" i="8" s="1"/>
  <c r="W2536" i="8" s="1"/>
  <c r="W2560" i="8" s="1"/>
  <c r="W2584" i="8" s="1"/>
  <c r="W2608" i="8" s="1"/>
  <c r="W2632" i="8" s="1"/>
  <c r="W2656" i="8" s="1"/>
  <c r="W2680" i="8" s="1"/>
  <c r="W2704" i="8" s="1"/>
  <c r="W2728" i="8" s="1"/>
  <c r="W2752" i="8" s="1"/>
  <c r="W2776" i="8" s="1"/>
  <c r="W2800" i="8" s="1"/>
  <c r="W2824" i="8" s="1"/>
  <c r="W2848" i="8" s="1"/>
  <c r="W2872" i="8" s="1"/>
  <c r="W2896" i="8" s="1"/>
  <c r="W2920" i="8" s="1"/>
  <c r="W2944" i="8" s="1"/>
  <c r="W2968" i="8" s="1"/>
  <c r="W2992" i="8" s="1"/>
  <c r="W3016" i="8" s="1"/>
  <c r="V905" i="8"/>
  <c r="V929" i="8" s="1"/>
  <c r="V953" i="8" s="1"/>
  <c r="V977" i="8" s="1"/>
  <c r="V1001" i="8" s="1"/>
  <c r="V1025" i="8" s="1"/>
  <c r="V1049" i="8" s="1"/>
  <c r="V1073" i="8" s="1"/>
  <c r="V1097" i="8" s="1"/>
  <c r="V1121" i="8" s="1"/>
  <c r="V1145" i="8" s="1"/>
  <c r="V1169" i="8" s="1"/>
  <c r="V1193" i="8" s="1"/>
  <c r="V1217" i="8" s="1"/>
  <c r="V1241" i="8" s="1"/>
  <c r="V1265" i="8" s="1"/>
  <c r="V1289" i="8" s="1"/>
  <c r="V1313" i="8" s="1"/>
  <c r="V1337" i="8" s="1"/>
  <c r="V1361" i="8" s="1"/>
  <c r="V1385" i="8" s="1"/>
  <c r="V1409" i="8" s="1"/>
  <c r="V1433" i="8" s="1"/>
  <c r="V1457" i="8" s="1"/>
  <c r="V1481" i="8" s="1"/>
  <c r="V1505" i="8" s="1"/>
  <c r="V1529" i="8" s="1"/>
  <c r="V1553" i="8" s="1"/>
  <c r="V1577" i="8" s="1"/>
  <c r="V1601" i="8" s="1"/>
  <c r="V1625" i="8" s="1"/>
  <c r="V1649" i="8" s="1"/>
  <c r="V1673" i="8" s="1"/>
  <c r="V1697" i="8" s="1"/>
  <c r="V1721" i="8" s="1"/>
  <c r="V1745" i="8" s="1"/>
  <c r="V1769" i="8" s="1"/>
  <c r="V1793" i="8" s="1"/>
  <c r="V1817" i="8" s="1"/>
  <c r="V1841" i="8" s="1"/>
  <c r="V1865" i="8" s="1"/>
  <c r="V1889" i="8" s="1"/>
  <c r="V1913" i="8" s="1"/>
  <c r="V1937" i="8" s="1"/>
  <c r="V1961" i="8" s="1"/>
  <c r="V1985" i="8" s="1"/>
  <c r="V2009" i="8" s="1"/>
  <c r="V2033" i="8" s="1"/>
  <c r="V2057" i="8" s="1"/>
  <c r="V2081" i="8" s="1"/>
  <c r="V2105" i="8" s="1"/>
  <c r="V2129" i="8" s="1"/>
  <c r="V2153" i="8" s="1"/>
  <c r="V2177" i="8" s="1"/>
  <c r="V2201" i="8" s="1"/>
  <c r="V2225" i="8" s="1"/>
  <c r="V2249" i="8" s="1"/>
  <c r="V2273" i="8" s="1"/>
  <c r="V2297" i="8" s="1"/>
  <c r="V2321" i="8" s="1"/>
  <c r="V2345" i="8" s="1"/>
  <c r="V2369" i="8" s="1"/>
  <c r="V2393" i="8" s="1"/>
  <c r="V2417" i="8" s="1"/>
  <c r="V2441" i="8" s="1"/>
  <c r="V2465" i="8" s="1"/>
  <c r="V2489" i="8" s="1"/>
  <c r="V2513" i="8" s="1"/>
  <c r="V2537" i="8" s="1"/>
  <c r="V2561" i="8" s="1"/>
  <c r="V2585" i="8" s="1"/>
  <c r="V2609" i="8" s="1"/>
  <c r="V2633" i="8" s="1"/>
  <c r="V2657" i="8" s="1"/>
  <c r="V2681" i="8" s="1"/>
  <c r="V2705" i="8" s="1"/>
  <c r="V2729" i="8" s="1"/>
  <c r="V2753" i="8" s="1"/>
  <c r="V2777" i="8" s="1"/>
  <c r="V2801" i="8" s="1"/>
  <c r="V2825" i="8" s="1"/>
  <c r="V2849" i="8" s="1"/>
  <c r="V2873" i="8" s="1"/>
  <c r="V2897" i="8" s="1"/>
  <c r="V2921" i="8" s="1"/>
  <c r="V2945" i="8" s="1"/>
  <c r="V2969" i="8" s="1"/>
  <c r="V2993" i="8" s="1"/>
  <c r="V3017" i="8" s="1"/>
  <c r="W905" i="8"/>
  <c r="W929" i="8" s="1"/>
  <c r="W953" i="8" s="1"/>
  <c r="W977" i="8" s="1"/>
  <c r="W1001" i="8" s="1"/>
  <c r="W1025" i="8" s="1"/>
  <c r="W1049" i="8" s="1"/>
  <c r="W1073" i="8" s="1"/>
  <c r="W1097" i="8" s="1"/>
  <c r="W1121" i="8" s="1"/>
  <c r="W1145" i="8" s="1"/>
  <c r="W1169" i="8" s="1"/>
  <c r="W1193" i="8" s="1"/>
  <c r="W1217" i="8" s="1"/>
  <c r="W1241" i="8" s="1"/>
  <c r="W1265" i="8" s="1"/>
  <c r="W1289" i="8" s="1"/>
  <c r="W1313" i="8" s="1"/>
  <c r="W1337" i="8" s="1"/>
  <c r="W1361" i="8" s="1"/>
  <c r="W1385" i="8" s="1"/>
  <c r="W1409" i="8" s="1"/>
  <c r="W1433" i="8" s="1"/>
  <c r="W1457" i="8" s="1"/>
  <c r="W1481" i="8" s="1"/>
  <c r="W1505" i="8" s="1"/>
  <c r="W1529" i="8" s="1"/>
  <c r="W1553" i="8" s="1"/>
  <c r="W1577" i="8" s="1"/>
  <c r="W1601" i="8" s="1"/>
  <c r="W1625" i="8" s="1"/>
  <c r="W1649" i="8" s="1"/>
  <c r="W1673" i="8" s="1"/>
  <c r="W1697" i="8" s="1"/>
  <c r="W1721" i="8" s="1"/>
  <c r="W1745" i="8" s="1"/>
  <c r="W1769" i="8" s="1"/>
  <c r="W1793" i="8" s="1"/>
  <c r="W1817" i="8" s="1"/>
  <c r="W1841" i="8" s="1"/>
  <c r="W1865" i="8" s="1"/>
  <c r="W1889" i="8" s="1"/>
  <c r="W1913" i="8" s="1"/>
  <c r="W1937" i="8" s="1"/>
  <c r="W1961" i="8" s="1"/>
  <c r="W1985" i="8" s="1"/>
  <c r="W2009" i="8" s="1"/>
  <c r="W2033" i="8" s="1"/>
  <c r="W2057" i="8" s="1"/>
  <c r="W2081" i="8" s="1"/>
  <c r="W2105" i="8" s="1"/>
  <c r="W2129" i="8" s="1"/>
  <c r="W2153" i="8" s="1"/>
  <c r="W2177" i="8" s="1"/>
  <c r="W2201" i="8" s="1"/>
  <c r="W2225" i="8" s="1"/>
  <c r="W2249" i="8" s="1"/>
  <c r="W2273" i="8" s="1"/>
  <c r="W2297" i="8" s="1"/>
  <c r="W2321" i="8" s="1"/>
  <c r="W2345" i="8" s="1"/>
  <c r="W2369" i="8" s="1"/>
  <c r="W2393" i="8" s="1"/>
  <c r="W2417" i="8" s="1"/>
  <c r="W2441" i="8" s="1"/>
  <c r="W2465" i="8" s="1"/>
  <c r="W2489" i="8" s="1"/>
  <c r="W2513" i="8" s="1"/>
  <c r="W2537" i="8" s="1"/>
  <c r="W2561" i="8" s="1"/>
  <c r="W2585" i="8" s="1"/>
  <c r="W2609" i="8" s="1"/>
  <c r="W2633" i="8" s="1"/>
  <c r="W2657" i="8" s="1"/>
  <c r="W2681" i="8" s="1"/>
  <c r="W2705" i="8" s="1"/>
  <c r="W2729" i="8" s="1"/>
  <c r="W2753" i="8" s="1"/>
  <c r="W2777" i="8" s="1"/>
  <c r="W2801" i="8" s="1"/>
  <c r="W2825" i="8" s="1"/>
  <c r="W2849" i="8" s="1"/>
  <c r="W2873" i="8" s="1"/>
  <c r="W2897" i="8" s="1"/>
  <c r="W2921" i="8" s="1"/>
  <c r="W2945" i="8" s="1"/>
  <c r="W2969" i="8" s="1"/>
  <c r="W2993" i="8" s="1"/>
  <c r="W3017" i="8" s="1"/>
  <c r="V906" i="8"/>
  <c r="V930" i="8" s="1"/>
  <c r="V954" i="8" s="1"/>
  <c r="V978" i="8" s="1"/>
  <c r="V1002" i="8" s="1"/>
  <c r="V1026" i="8" s="1"/>
  <c r="V1050" i="8" s="1"/>
  <c r="V1074" i="8" s="1"/>
  <c r="V1098" i="8" s="1"/>
  <c r="V1122" i="8" s="1"/>
  <c r="V1146" i="8" s="1"/>
  <c r="V1170" i="8" s="1"/>
  <c r="V1194" i="8" s="1"/>
  <c r="V1218" i="8" s="1"/>
  <c r="V1242" i="8" s="1"/>
  <c r="V1266" i="8" s="1"/>
  <c r="V1290" i="8" s="1"/>
  <c r="V1314" i="8" s="1"/>
  <c r="V1338" i="8" s="1"/>
  <c r="V1362" i="8" s="1"/>
  <c r="V1386" i="8" s="1"/>
  <c r="V1410" i="8" s="1"/>
  <c r="V1434" i="8" s="1"/>
  <c r="V1458" i="8" s="1"/>
  <c r="V1482" i="8" s="1"/>
  <c r="V1506" i="8" s="1"/>
  <c r="V1530" i="8" s="1"/>
  <c r="V1554" i="8" s="1"/>
  <c r="V1578" i="8" s="1"/>
  <c r="V1602" i="8" s="1"/>
  <c r="V1626" i="8" s="1"/>
  <c r="V1650" i="8" s="1"/>
  <c r="V1674" i="8" s="1"/>
  <c r="V1698" i="8" s="1"/>
  <c r="V1722" i="8" s="1"/>
  <c r="V1746" i="8" s="1"/>
  <c r="V1770" i="8" s="1"/>
  <c r="V1794" i="8" s="1"/>
  <c r="V1818" i="8" s="1"/>
  <c r="V1842" i="8" s="1"/>
  <c r="V1866" i="8" s="1"/>
  <c r="V1890" i="8" s="1"/>
  <c r="V1914" i="8" s="1"/>
  <c r="V1938" i="8" s="1"/>
  <c r="V1962" i="8" s="1"/>
  <c r="V1986" i="8" s="1"/>
  <c r="V2010" i="8" s="1"/>
  <c r="V2034" i="8" s="1"/>
  <c r="V2058" i="8" s="1"/>
  <c r="V2082" i="8" s="1"/>
  <c r="V2106" i="8" s="1"/>
  <c r="V2130" i="8" s="1"/>
  <c r="V2154" i="8" s="1"/>
  <c r="V2178" i="8" s="1"/>
  <c r="V2202" i="8" s="1"/>
  <c r="V2226" i="8" s="1"/>
  <c r="V2250" i="8" s="1"/>
  <c r="V2274" i="8" s="1"/>
  <c r="V2298" i="8" s="1"/>
  <c r="V2322" i="8" s="1"/>
  <c r="V2346" i="8" s="1"/>
  <c r="V2370" i="8" s="1"/>
  <c r="V2394" i="8" s="1"/>
  <c r="V2418" i="8" s="1"/>
  <c r="V2442" i="8" s="1"/>
  <c r="V2466" i="8" s="1"/>
  <c r="V2490" i="8" s="1"/>
  <c r="V2514" i="8" s="1"/>
  <c r="V2538" i="8" s="1"/>
  <c r="V2562" i="8" s="1"/>
  <c r="V2586" i="8" s="1"/>
  <c r="V2610" i="8" s="1"/>
  <c r="V2634" i="8" s="1"/>
  <c r="V2658" i="8" s="1"/>
  <c r="V2682" i="8" s="1"/>
  <c r="V2706" i="8" s="1"/>
  <c r="V2730" i="8" s="1"/>
  <c r="V2754" i="8" s="1"/>
  <c r="V2778" i="8" s="1"/>
  <c r="V2802" i="8" s="1"/>
  <c r="V2826" i="8" s="1"/>
  <c r="V2850" i="8" s="1"/>
  <c r="V2874" i="8" s="1"/>
  <c r="V2898" i="8" s="1"/>
  <c r="V2922" i="8" s="1"/>
  <c r="V2946" i="8" s="1"/>
  <c r="V2970" i="8" s="1"/>
  <c r="V2994" i="8" s="1"/>
  <c r="V3018" i="8" s="1"/>
  <c r="W906" i="8"/>
  <c r="W930" i="8" s="1"/>
  <c r="W954" i="8" s="1"/>
  <c r="W978" i="8" s="1"/>
  <c r="W1002" i="8" s="1"/>
  <c r="W1026" i="8" s="1"/>
  <c r="W1050" i="8" s="1"/>
  <c r="W1074" i="8" s="1"/>
  <c r="W1098" i="8" s="1"/>
  <c r="W1122" i="8" s="1"/>
  <c r="W1146" i="8" s="1"/>
  <c r="W1170" i="8" s="1"/>
  <c r="W1194" i="8" s="1"/>
  <c r="W1218" i="8" s="1"/>
  <c r="W1242" i="8" s="1"/>
  <c r="W1266" i="8" s="1"/>
  <c r="W1290" i="8" s="1"/>
  <c r="W1314" i="8" s="1"/>
  <c r="W1338" i="8" s="1"/>
  <c r="W1362" i="8" s="1"/>
  <c r="W1386" i="8" s="1"/>
  <c r="W1410" i="8" s="1"/>
  <c r="W1434" i="8" s="1"/>
  <c r="W1458" i="8" s="1"/>
  <c r="W1482" i="8" s="1"/>
  <c r="W1506" i="8" s="1"/>
  <c r="W1530" i="8" s="1"/>
  <c r="W1554" i="8" s="1"/>
  <c r="W1578" i="8" s="1"/>
  <c r="W1602" i="8" s="1"/>
  <c r="W1626" i="8" s="1"/>
  <c r="W1650" i="8" s="1"/>
  <c r="W1674" i="8" s="1"/>
  <c r="W1698" i="8" s="1"/>
  <c r="W1722" i="8" s="1"/>
  <c r="W1746" i="8" s="1"/>
  <c r="W1770" i="8" s="1"/>
  <c r="W1794" i="8" s="1"/>
  <c r="W1818" i="8" s="1"/>
  <c r="W1842" i="8" s="1"/>
  <c r="W1866" i="8" s="1"/>
  <c r="W1890" i="8" s="1"/>
  <c r="W1914" i="8" s="1"/>
  <c r="W1938" i="8" s="1"/>
  <c r="W1962" i="8" s="1"/>
  <c r="W1986" i="8" s="1"/>
  <c r="W2010" i="8" s="1"/>
  <c r="W2034" i="8" s="1"/>
  <c r="W2058" i="8" s="1"/>
  <c r="W2082" i="8" s="1"/>
  <c r="W2106" i="8" s="1"/>
  <c r="W2130" i="8" s="1"/>
  <c r="W2154" i="8" s="1"/>
  <c r="W2178" i="8" s="1"/>
  <c r="W2202" i="8" s="1"/>
  <c r="W2226" i="8" s="1"/>
  <c r="W2250" i="8" s="1"/>
  <c r="W2274" i="8" s="1"/>
  <c r="W2298" i="8" s="1"/>
  <c r="W2322" i="8" s="1"/>
  <c r="W2346" i="8" s="1"/>
  <c r="W2370" i="8" s="1"/>
  <c r="W2394" i="8" s="1"/>
  <c r="W2418" i="8" s="1"/>
  <c r="W2442" i="8" s="1"/>
  <c r="W2466" i="8" s="1"/>
  <c r="W2490" i="8" s="1"/>
  <c r="W2514" i="8" s="1"/>
  <c r="W2538" i="8" s="1"/>
  <c r="W2562" i="8" s="1"/>
  <c r="W2586" i="8" s="1"/>
  <c r="W2610" i="8" s="1"/>
  <c r="W2634" i="8" s="1"/>
  <c r="W2658" i="8" s="1"/>
  <c r="W2682" i="8" s="1"/>
  <c r="W2706" i="8" s="1"/>
  <c r="W2730" i="8" s="1"/>
  <c r="W2754" i="8" s="1"/>
  <c r="W2778" i="8" s="1"/>
  <c r="W2802" i="8" s="1"/>
  <c r="W2826" i="8" s="1"/>
  <c r="W2850" i="8" s="1"/>
  <c r="W2874" i="8" s="1"/>
  <c r="W2898" i="8" s="1"/>
  <c r="W2922" i="8" s="1"/>
  <c r="W2946" i="8" s="1"/>
  <c r="W2970" i="8" s="1"/>
  <c r="W2994" i="8" s="1"/>
  <c r="W3018" i="8" s="1"/>
  <c r="V907" i="8"/>
  <c r="V931" i="8" s="1"/>
  <c r="V955" i="8" s="1"/>
  <c r="V979" i="8" s="1"/>
  <c r="V1003" i="8" s="1"/>
  <c r="V1027" i="8" s="1"/>
  <c r="V1051" i="8" s="1"/>
  <c r="V1075" i="8" s="1"/>
  <c r="V1099" i="8" s="1"/>
  <c r="V1123" i="8" s="1"/>
  <c r="V1147" i="8" s="1"/>
  <c r="V1171" i="8" s="1"/>
  <c r="V1195" i="8" s="1"/>
  <c r="V1219" i="8" s="1"/>
  <c r="V1243" i="8" s="1"/>
  <c r="V1267" i="8" s="1"/>
  <c r="V1291" i="8" s="1"/>
  <c r="V1315" i="8" s="1"/>
  <c r="V1339" i="8" s="1"/>
  <c r="V1363" i="8" s="1"/>
  <c r="V1387" i="8" s="1"/>
  <c r="V1411" i="8" s="1"/>
  <c r="V1435" i="8" s="1"/>
  <c r="V1459" i="8" s="1"/>
  <c r="V1483" i="8" s="1"/>
  <c r="V1507" i="8" s="1"/>
  <c r="V1531" i="8" s="1"/>
  <c r="V1555" i="8" s="1"/>
  <c r="V1579" i="8" s="1"/>
  <c r="V1603" i="8" s="1"/>
  <c r="V1627" i="8" s="1"/>
  <c r="V1651" i="8" s="1"/>
  <c r="V1675" i="8" s="1"/>
  <c r="V1699" i="8" s="1"/>
  <c r="V1723" i="8" s="1"/>
  <c r="V1747" i="8" s="1"/>
  <c r="V1771" i="8" s="1"/>
  <c r="V1795" i="8" s="1"/>
  <c r="V1819" i="8" s="1"/>
  <c r="V1843" i="8" s="1"/>
  <c r="V1867" i="8" s="1"/>
  <c r="V1891" i="8" s="1"/>
  <c r="V1915" i="8" s="1"/>
  <c r="V1939" i="8" s="1"/>
  <c r="V1963" i="8" s="1"/>
  <c r="V1987" i="8" s="1"/>
  <c r="V2011" i="8" s="1"/>
  <c r="V2035" i="8" s="1"/>
  <c r="V2059" i="8" s="1"/>
  <c r="V2083" i="8" s="1"/>
  <c r="V2107" i="8" s="1"/>
  <c r="V2131" i="8" s="1"/>
  <c r="V2155" i="8" s="1"/>
  <c r="V2179" i="8" s="1"/>
  <c r="V2203" i="8" s="1"/>
  <c r="V2227" i="8" s="1"/>
  <c r="V2251" i="8" s="1"/>
  <c r="V2275" i="8" s="1"/>
  <c r="V2299" i="8" s="1"/>
  <c r="V2323" i="8" s="1"/>
  <c r="V2347" i="8" s="1"/>
  <c r="V2371" i="8" s="1"/>
  <c r="V2395" i="8" s="1"/>
  <c r="V2419" i="8" s="1"/>
  <c r="V2443" i="8" s="1"/>
  <c r="V2467" i="8" s="1"/>
  <c r="V2491" i="8" s="1"/>
  <c r="V2515" i="8" s="1"/>
  <c r="V2539" i="8" s="1"/>
  <c r="V2563" i="8" s="1"/>
  <c r="V2587" i="8" s="1"/>
  <c r="V2611" i="8" s="1"/>
  <c r="V2635" i="8" s="1"/>
  <c r="V2659" i="8" s="1"/>
  <c r="V2683" i="8" s="1"/>
  <c r="V2707" i="8" s="1"/>
  <c r="V2731" i="8" s="1"/>
  <c r="V2755" i="8" s="1"/>
  <c r="V2779" i="8" s="1"/>
  <c r="V2803" i="8" s="1"/>
  <c r="V2827" i="8" s="1"/>
  <c r="V2851" i="8" s="1"/>
  <c r="V2875" i="8" s="1"/>
  <c r="V2899" i="8" s="1"/>
  <c r="V2923" i="8" s="1"/>
  <c r="V2947" i="8" s="1"/>
  <c r="V2971" i="8" s="1"/>
  <c r="V2995" i="8" s="1"/>
  <c r="V3019" i="8" s="1"/>
  <c r="W907" i="8"/>
  <c r="W931" i="8" s="1"/>
  <c r="W955" i="8" s="1"/>
  <c r="W979" i="8" s="1"/>
  <c r="W1003" i="8" s="1"/>
  <c r="W1027" i="8" s="1"/>
  <c r="W1051" i="8" s="1"/>
  <c r="W1075" i="8" s="1"/>
  <c r="W1099" i="8" s="1"/>
  <c r="W1123" i="8" s="1"/>
  <c r="W1147" i="8" s="1"/>
  <c r="W1171" i="8" s="1"/>
  <c r="W1195" i="8" s="1"/>
  <c r="W1219" i="8" s="1"/>
  <c r="W1243" i="8" s="1"/>
  <c r="W1267" i="8" s="1"/>
  <c r="W1291" i="8" s="1"/>
  <c r="W1315" i="8" s="1"/>
  <c r="W1339" i="8" s="1"/>
  <c r="W1363" i="8" s="1"/>
  <c r="W1387" i="8" s="1"/>
  <c r="W1411" i="8" s="1"/>
  <c r="W1435" i="8" s="1"/>
  <c r="W1459" i="8" s="1"/>
  <c r="W1483" i="8" s="1"/>
  <c r="W1507" i="8" s="1"/>
  <c r="W1531" i="8" s="1"/>
  <c r="W1555" i="8" s="1"/>
  <c r="W1579" i="8" s="1"/>
  <c r="W1603" i="8" s="1"/>
  <c r="W1627" i="8" s="1"/>
  <c r="W1651" i="8" s="1"/>
  <c r="W1675" i="8" s="1"/>
  <c r="W1699" i="8" s="1"/>
  <c r="W1723" i="8" s="1"/>
  <c r="W1747" i="8" s="1"/>
  <c r="W1771" i="8" s="1"/>
  <c r="W1795" i="8" s="1"/>
  <c r="W1819" i="8" s="1"/>
  <c r="W1843" i="8" s="1"/>
  <c r="W1867" i="8" s="1"/>
  <c r="W1891" i="8" s="1"/>
  <c r="W1915" i="8" s="1"/>
  <c r="W1939" i="8" s="1"/>
  <c r="W1963" i="8" s="1"/>
  <c r="W1987" i="8" s="1"/>
  <c r="W2011" i="8" s="1"/>
  <c r="W2035" i="8" s="1"/>
  <c r="W2059" i="8" s="1"/>
  <c r="W2083" i="8" s="1"/>
  <c r="W2107" i="8" s="1"/>
  <c r="W2131" i="8" s="1"/>
  <c r="W2155" i="8" s="1"/>
  <c r="W2179" i="8" s="1"/>
  <c r="W2203" i="8" s="1"/>
  <c r="W2227" i="8" s="1"/>
  <c r="W2251" i="8" s="1"/>
  <c r="W2275" i="8" s="1"/>
  <c r="W2299" i="8" s="1"/>
  <c r="W2323" i="8" s="1"/>
  <c r="W2347" i="8" s="1"/>
  <c r="W2371" i="8" s="1"/>
  <c r="W2395" i="8" s="1"/>
  <c r="W2419" i="8" s="1"/>
  <c r="W2443" i="8" s="1"/>
  <c r="W2467" i="8" s="1"/>
  <c r="W2491" i="8" s="1"/>
  <c r="W2515" i="8" s="1"/>
  <c r="W2539" i="8" s="1"/>
  <c r="W2563" i="8" s="1"/>
  <c r="W2587" i="8" s="1"/>
  <c r="W2611" i="8" s="1"/>
  <c r="W2635" i="8" s="1"/>
  <c r="W2659" i="8" s="1"/>
  <c r="W2683" i="8" s="1"/>
  <c r="W2707" i="8" s="1"/>
  <c r="W2731" i="8" s="1"/>
  <c r="W2755" i="8" s="1"/>
  <c r="W2779" i="8" s="1"/>
  <c r="W2803" i="8" s="1"/>
  <c r="W2827" i="8" s="1"/>
  <c r="W2851" i="8" s="1"/>
  <c r="W2875" i="8" s="1"/>
  <c r="W2899" i="8" s="1"/>
  <c r="W2923" i="8" s="1"/>
  <c r="W2947" i="8" s="1"/>
  <c r="W2971" i="8" s="1"/>
  <c r="W2995" i="8" s="1"/>
  <c r="W3019" i="8" s="1"/>
  <c r="V908" i="8"/>
  <c r="V932" i="8" s="1"/>
  <c r="V956" i="8" s="1"/>
  <c r="V980" i="8" s="1"/>
  <c r="V1004" i="8" s="1"/>
  <c r="V1028" i="8" s="1"/>
  <c r="V1052" i="8" s="1"/>
  <c r="V1076" i="8" s="1"/>
  <c r="V1100" i="8" s="1"/>
  <c r="V1124" i="8" s="1"/>
  <c r="V1148" i="8" s="1"/>
  <c r="V1172" i="8" s="1"/>
  <c r="V1196" i="8" s="1"/>
  <c r="V1220" i="8" s="1"/>
  <c r="V1244" i="8" s="1"/>
  <c r="V1268" i="8" s="1"/>
  <c r="V1292" i="8" s="1"/>
  <c r="V1316" i="8" s="1"/>
  <c r="V1340" i="8" s="1"/>
  <c r="V1364" i="8" s="1"/>
  <c r="V1388" i="8" s="1"/>
  <c r="V1412" i="8" s="1"/>
  <c r="V1436" i="8" s="1"/>
  <c r="V1460" i="8" s="1"/>
  <c r="V1484" i="8" s="1"/>
  <c r="V1508" i="8" s="1"/>
  <c r="V1532" i="8" s="1"/>
  <c r="V1556" i="8" s="1"/>
  <c r="V1580" i="8" s="1"/>
  <c r="V1604" i="8" s="1"/>
  <c r="V1628" i="8" s="1"/>
  <c r="V1652" i="8" s="1"/>
  <c r="V1676" i="8" s="1"/>
  <c r="V1700" i="8" s="1"/>
  <c r="V1724" i="8" s="1"/>
  <c r="V1748" i="8" s="1"/>
  <c r="V1772" i="8" s="1"/>
  <c r="V1796" i="8" s="1"/>
  <c r="V1820" i="8" s="1"/>
  <c r="V1844" i="8" s="1"/>
  <c r="V1868" i="8" s="1"/>
  <c r="V1892" i="8" s="1"/>
  <c r="V1916" i="8" s="1"/>
  <c r="V1940" i="8" s="1"/>
  <c r="V1964" i="8" s="1"/>
  <c r="V1988" i="8" s="1"/>
  <c r="V2012" i="8" s="1"/>
  <c r="V2036" i="8" s="1"/>
  <c r="V2060" i="8" s="1"/>
  <c r="V2084" i="8" s="1"/>
  <c r="V2108" i="8" s="1"/>
  <c r="V2132" i="8" s="1"/>
  <c r="V2156" i="8" s="1"/>
  <c r="V2180" i="8" s="1"/>
  <c r="V2204" i="8" s="1"/>
  <c r="V2228" i="8" s="1"/>
  <c r="V2252" i="8" s="1"/>
  <c r="V2276" i="8" s="1"/>
  <c r="V2300" i="8" s="1"/>
  <c r="V2324" i="8" s="1"/>
  <c r="V2348" i="8" s="1"/>
  <c r="V2372" i="8" s="1"/>
  <c r="V2396" i="8" s="1"/>
  <c r="V2420" i="8" s="1"/>
  <c r="V2444" i="8" s="1"/>
  <c r="V2468" i="8" s="1"/>
  <c r="V2492" i="8" s="1"/>
  <c r="V2516" i="8" s="1"/>
  <c r="V2540" i="8" s="1"/>
  <c r="V2564" i="8" s="1"/>
  <c r="V2588" i="8" s="1"/>
  <c r="V2612" i="8" s="1"/>
  <c r="V2636" i="8" s="1"/>
  <c r="V2660" i="8" s="1"/>
  <c r="V2684" i="8" s="1"/>
  <c r="V2708" i="8" s="1"/>
  <c r="V2732" i="8" s="1"/>
  <c r="V2756" i="8" s="1"/>
  <c r="V2780" i="8" s="1"/>
  <c r="V2804" i="8" s="1"/>
  <c r="V2828" i="8" s="1"/>
  <c r="V2852" i="8" s="1"/>
  <c r="V2876" i="8" s="1"/>
  <c r="V2900" i="8" s="1"/>
  <c r="V2924" i="8" s="1"/>
  <c r="V2948" i="8" s="1"/>
  <c r="V2972" i="8" s="1"/>
  <c r="V2996" i="8" s="1"/>
  <c r="V3020" i="8" s="1"/>
  <c r="W908" i="8"/>
  <c r="W932" i="8" s="1"/>
  <c r="W956" i="8" s="1"/>
  <c r="W980" i="8" s="1"/>
  <c r="W1004" i="8" s="1"/>
  <c r="W1028" i="8" s="1"/>
  <c r="W1052" i="8" s="1"/>
  <c r="W1076" i="8" s="1"/>
  <c r="W1100" i="8" s="1"/>
  <c r="W1124" i="8" s="1"/>
  <c r="W1148" i="8" s="1"/>
  <c r="W1172" i="8" s="1"/>
  <c r="W1196" i="8" s="1"/>
  <c r="W1220" i="8" s="1"/>
  <c r="W1244" i="8" s="1"/>
  <c r="W1268" i="8" s="1"/>
  <c r="W1292" i="8" s="1"/>
  <c r="W1316" i="8" s="1"/>
  <c r="W1340" i="8" s="1"/>
  <c r="W1364" i="8" s="1"/>
  <c r="W1388" i="8" s="1"/>
  <c r="W1412" i="8" s="1"/>
  <c r="W1436" i="8" s="1"/>
  <c r="W1460" i="8" s="1"/>
  <c r="W1484" i="8" s="1"/>
  <c r="W1508" i="8" s="1"/>
  <c r="W1532" i="8" s="1"/>
  <c r="W1556" i="8" s="1"/>
  <c r="W1580" i="8" s="1"/>
  <c r="W1604" i="8" s="1"/>
  <c r="W1628" i="8" s="1"/>
  <c r="W1652" i="8" s="1"/>
  <c r="W1676" i="8" s="1"/>
  <c r="W1700" i="8" s="1"/>
  <c r="W1724" i="8" s="1"/>
  <c r="W1748" i="8" s="1"/>
  <c r="W1772" i="8" s="1"/>
  <c r="W1796" i="8" s="1"/>
  <c r="W1820" i="8" s="1"/>
  <c r="W1844" i="8" s="1"/>
  <c r="W1868" i="8" s="1"/>
  <c r="W1892" i="8" s="1"/>
  <c r="W1916" i="8" s="1"/>
  <c r="W1940" i="8" s="1"/>
  <c r="W1964" i="8" s="1"/>
  <c r="W1988" i="8" s="1"/>
  <c r="W2012" i="8" s="1"/>
  <c r="W2036" i="8" s="1"/>
  <c r="W2060" i="8" s="1"/>
  <c r="W2084" i="8" s="1"/>
  <c r="W2108" i="8" s="1"/>
  <c r="W2132" i="8" s="1"/>
  <c r="W2156" i="8" s="1"/>
  <c r="W2180" i="8" s="1"/>
  <c r="W2204" i="8" s="1"/>
  <c r="W2228" i="8" s="1"/>
  <c r="W2252" i="8" s="1"/>
  <c r="W2276" i="8" s="1"/>
  <c r="W2300" i="8" s="1"/>
  <c r="W2324" i="8" s="1"/>
  <c r="W2348" i="8" s="1"/>
  <c r="W2372" i="8" s="1"/>
  <c r="W2396" i="8" s="1"/>
  <c r="W2420" i="8" s="1"/>
  <c r="W2444" i="8" s="1"/>
  <c r="W2468" i="8" s="1"/>
  <c r="W2492" i="8" s="1"/>
  <c r="W2516" i="8" s="1"/>
  <c r="W2540" i="8" s="1"/>
  <c r="W2564" i="8" s="1"/>
  <c r="W2588" i="8" s="1"/>
  <c r="W2612" i="8" s="1"/>
  <c r="W2636" i="8" s="1"/>
  <c r="W2660" i="8" s="1"/>
  <c r="W2684" i="8" s="1"/>
  <c r="W2708" i="8" s="1"/>
  <c r="W2732" i="8" s="1"/>
  <c r="W2756" i="8" s="1"/>
  <c r="W2780" i="8" s="1"/>
  <c r="W2804" i="8" s="1"/>
  <c r="W2828" i="8" s="1"/>
  <c r="W2852" i="8" s="1"/>
  <c r="W2876" i="8" s="1"/>
  <c r="W2900" i="8" s="1"/>
  <c r="W2924" i="8" s="1"/>
  <c r="W2948" i="8" s="1"/>
  <c r="W2972" i="8" s="1"/>
  <c r="W2996" i="8" s="1"/>
  <c r="W3020" i="8" s="1"/>
  <c r="V909" i="8"/>
  <c r="V933" i="8" s="1"/>
  <c r="V957" i="8" s="1"/>
  <c r="V981" i="8" s="1"/>
  <c r="V1005" i="8" s="1"/>
  <c r="V1029" i="8" s="1"/>
  <c r="V1053" i="8" s="1"/>
  <c r="V1077" i="8" s="1"/>
  <c r="V1101" i="8" s="1"/>
  <c r="V1125" i="8" s="1"/>
  <c r="V1149" i="8" s="1"/>
  <c r="V1173" i="8" s="1"/>
  <c r="V1197" i="8" s="1"/>
  <c r="V1221" i="8" s="1"/>
  <c r="V1245" i="8" s="1"/>
  <c r="V1269" i="8" s="1"/>
  <c r="V1293" i="8" s="1"/>
  <c r="V1317" i="8" s="1"/>
  <c r="V1341" i="8" s="1"/>
  <c r="V1365" i="8" s="1"/>
  <c r="V1389" i="8" s="1"/>
  <c r="V1413" i="8" s="1"/>
  <c r="V1437" i="8" s="1"/>
  <c r="V1461" i="8" s="1"/>
  <c r="V1485" i="8" s="1"/>
  <c r="V1509" i="8" s="1"/>
  <c r="V1533" i="8" s="1"/>
  <c r="V1557" i="8" s="1"/>
  <c r="V1581" i="8" s="1"/>
  <c r="V1605" i="8" s="1"/>
  <c r="V1629" i="8" s="1"/>
  <c r="V1653" i="8" s="1"/>
  <c r="V1677" i="8" s="1"/>
  <c r="V1701" i="8" s="1"/>
  <c r="V1725" i="8" s="1"/>
  <c r="V1749" i="8" s="1"/>
  <c r="V1773" i="8" s="1"/>
  <c r="V1797" i="8" s="1"/>
  <c r="V1821" i="8" s="1"/>
  <c r="V1845" i="8" s="1"/>
  <c r="V1869" i="8" s="1"/>
  <c r="V1893" i="8" s="1"/>
  <c r="V1917" i="8" s="1"/>
  <c r="V1941" i="8" s="1"/>
  <c r="V1965" i="8" s="1"/>
  <c r="V1989" i="8" s="1"/>
  <c r="V2013" i="8" s="1"/>
  <c r="V2037" i="8" s="1"/>
  <c r="V2061" i="8" s="1"/>
  <c r="V2085" i="8" s="1"/>
  <c r="V2109" i="8" s="1"/>
  <c r="V2133" i="8" s="1"/>
  <c r="V2157" i="8" s="1"/>
  <c r="V2181" i="8" s="1"/>
  <c r="V2205" i="8" s="1"/>
  <c r="V2229" i="8" s="1"/>
  <c r="V2253" i="8" s="1"/>
  <c r="V2277" i="8" s="1"/>
  <c r="V2301" i="8" s="1"/>
  <c r="V2325" i="8" s="1"/>
  <c r="V2349" i="8" s="1"/>
  <c r="V2373" i="8" s="1"/>
  <c r="V2397" i="8" s="1"/>
  <c r="V2421" i="8" s="1"/>
  <c r="V2445" i="8" s="1"/>
  <c r="V2469" i="8" s="1"/>
  <c r="V2493" i="8" s="1"/>
  <c r="V2517" i="8" s="1"/>
  <c r="V2541" i="8" s="1"/>
  <c r="V2565" i="8" s="1"/>
  <c r="V2589" i="8" s="1"/>
  <c r="V2613" i="8" s="1"/>
  <c r="V2637" i="8" s="1"/>
  <c r="V2661" i="8" s="1"/>
  <c r="V2685" i="8" s="1"/>
  <c r="V2709" i="8" s="1"/>
  <c r="V2733" i="8" s="1"/>
  <c r="V2757" i="8" s="1"/>
  <c r="V2781" i="8" s="1"/>
  <c r="V2805" i="8" s="1"/>
  <c r="V2829" i="8" s="1"/>
  <c r="V2853" i="8" s="1"/>
  <c r="V2877" i="8" s="1"/>
  <c r="V2901" i="8" s="1"/>
  <c r="V2925" i="8" s="1"/>
  <c r="V2949" i="8" s="1"/>
  <c r="V2973" i="8" s="1"/>
  <c r="V2997" i="8" s="1"/>
  <c r="V3021" i="8" s="1"/>
  <c r="W909" i="8"/>
  <c r="W933" i="8" s="1"/>
  <c r="W957" i="8" s="1"/>
  <c r="W981" i="8" s="1"/>
  <c r="W1005" i="8" s="1"/>
  <c r="W1029" i="8" s="1"/>
  <c r="W1053" i="8" s="1"/>
  <c r="W1077" i="8" s="1"/>
  <c r="W1101" i="8" s="1"/>
  <c r="W1125" i="8" s="1"/>
  <c r="W1149" i="8" s="1"/>
  <c r="W1173" i="8" s="1"/>
  <c r="W1197" i="8" s="1"/>
  <c r="W1221" i="8" s="1"/>
  <c r="W1245" i="8" s="1"/>
  <c r="W1269" i="8" s="1"/>
  <c r="W1293" i="8" s="1"/>
  <c r="W1317" i="8" s="1"/>
  <c r="W1341" i="8" s="1"/>
  <c r="W1365" i="8" s="1"/>
  <c r="W1389" i="8" s="1"/>
  <c r="W1413" i="8" s="1"/>
  <c r="W1437" i="8" s="1"/>
  <c r="W1461" i="8" s="1"/>
  <c r="W1485" i="8" s="1"/>
  <c r="W1509" i="8" s="1"/>
  <c r="W1533" i="8" s="1"/>
  <c r="W1557" i="8" s="1"/>
  <c r="W1581" i="8" s="1"/>
  <c r="W1605" i="8" s="1"/>
  <c r="W1629" i="8" s="1"/>
  <c r="W1653" i="8" s="1"/>
  <c r="W1677" i="8" s="1"/>
  <c r="W1701" i="8" s="1"/>
  <c r="W1725" i="8" s="1"/>
  <c r="W1749" i="8" s="1"/>
  <c r="W1773" i="8" s="1"/>
  <c r="W1797" i="8" s="1"/>
  <c r="W1821" i="8" s="1"/>
  <c r="W1845" i="8" s="1"/>
  <c r="W1869" i="8" s="1"/>
  <c r="W1893" i="8" s="1"/>
  <c r="W1917" i="8" s="1"/>
  <c r="W1941" i="8" s="1"/>
  <c r="W1965" i="8" s="1"/>
  <c r="W1989" i="8" s="1"/>
  <c r="W2013" i="8" s="1"/>
  <c r="W2037" i="8" s="1"/>
  <c r="W2061" i="8" s="1"/>
  <c r="W2085" i="8" s="1"/>
  <c r="W2109" i="8" s="1"/>
  <c r="W2133" i="8" s="1"/>
  <c r="W2157" i="8" s="1"/>
  <c r="W2181" i="8" s="1"/>
  <c r="W2205" i="8" s="1"/>
  <c r="W2229" i="8" s="1"/>
  <c r="W2253" i="8" s="1"/>
  <c r="W2277" i="8" s="1"/>
  <c r="W2301" i="8" s="1"/>
  <c r="W2325" i="8" s="1"/>
  <c r="W2349" i="8" s="1"/>
  <c r="W2373" i="8" s="1"/>
  <c r="W2397" i="8" s="1"/>
  <c r="W2421" i="8" s="1"/>
  <c r="W2445" i="8" s="1"/>
  <c r="W2469" i="8" s="1"/>
  <c r="W2493" i="8" s="1"/>
  <c r="W2517" i="8" s="1"/>
  <c r="W2541" i="8" s="1"/>
  <c r="W2565" i="8" s="1"/>
  <c r="W2589" i="8" s="1"/>
  <c r="W2613" i="8" s="1"/>
  <c r="W2637" i="8" s="1"/>
  <c r="W2661" i="8" s="1"/>
  <c r="W2685" i="8" s="1"/>
  <c r="W2709" i="8" s="1"/>
  <c r="W2733" i="8" s="1"/>
  <c r="W2757" i="8" s="1"/>
  <c r="W2781" i="8" s="1"/>
  <c r="W2805" i="8" s="1"/>
  <c r="W2829" i="8" s="1"/>
  <c r="W2853" i="8" s="1"/>
  <c r="W2877" i="8" s="1"/>
  <c r="W2901" i="8" s="1"/>
  <c r="W2925" i="8" s="1"/>
  <c r="W2949" i="8" s="1"/>
  <c r="W2973" i="8" s="1"/>
  <c r="W2997" i="8" s="1"/>
  <c r="W3021" i="8" s="1"/>
  <c r="V910" i="8"/>
  <c r="V934" i="8" s="1"/>
  <c r="V958" i="8" s="1"/>
  <c r="V982" i="8" s="1"/>
  <c r="V1006" i="8" s="1"/>
  <c r="V1030" i="8" s="1"/>
  <c r="V1054" i="8" s="1"/>
  <c r="V1078" i="8" s="1"/>
  <c r="V1102" i="8" s="1"/>
  <c r="V1126" i="8" s="1"/>
  <c r="V1150" i="8" s="1"/>
  <c r="V1174" i="8" s="1"/>
  <c r="V1198" i="8" s="1"/>
  <c r="V1222" i="8" s="1"/>
  <c r="V1246" i="8" s="1"/>
  <c r="V1270" i="8" s="1"/>
  <c r="V1294" i="8" s="1"/>
  <c r="V1318" i="8" s="1"/>
  <c r="V1342" i="8" s="1"/>
  <c r="V1366" i="8" s="1"/>
  <c r="V1390" i="8" s="1"/>
  <c r="V1414" i="8" s="1"/>
  <c r="V1438" i="8" s="1"/>
  <c r="V1462" i="8" s="1"/>
  <c r="V1486" i="8" s="1"/>
  <c r="V1510" i="8" s="1"/>
  <c r="V1534" i="8" s="1"/>
  <c r="V1558" i="8" s="1"/>
  <c r="V1582" i="8" s="1"/>
  <c r="V1606" i="8" s="1"/>
  <c r="V1630" i="8" s="1"/>
  <c r="V1654" i="8" s="1"/>
  <c r="V1678" i="8" s="1"/>
  <c r="V1702" i="8" s="1"/>
  <c r="V1726" i="8" s="1"/>
  <c r="V1750" i="8" s="1"/>
  <c r="V1774" i="8" s="1"/>
  <c r="V1798" i="8" s="1"/>
  <c r="V1822" i="8" s="1"/>
  <c r="V1846" i="8" s="1"/>
  <c r="V1870" i="8" s="1"/>
  <c r="V1894" i="8" s="1"/>
  <c r="V1918" i="8" s="1"/>
  <c r="V1942" i="8" s="1"/>
  <c r="V1966" i="8" s="1"/>
  <c r="V1990" i="8" s="1"/>
  <c r="V2014" i="8" s="1"/>
  <c r="V2038" i="8" s="1"/>
  <c r="V2062" i="8" s="1"/>
  <c r="V2086" i="8" s="1"/>
  <c r="V2110" i="8" s="1"/>
  <c r="V2134" i="8" s="1"/>
  <c r="V2158" i="8" s="1"/>
  <c r="V2182" i="8" s="1"/>
  <c r="V2206" i="8" s="1"/>
  <c r="V2230" i="8" s="1"/>
  <c r="V2254" i="8" s="1"/>
  <c r="V2278" i="8" s="1"/>
  <c r="V2302" i="8" s="1"/>
  <c r="V2326" i="8" s="1"/>
  <c r="V2350" i="8" s="1"/>
  <c r="V2374" i="8" s="1"/>
  <c r="V2398" i="8" s="1"/>
  <c r="V2422" i="8" s="1"/>
  <c r="V2446" i="8" s="1"/>
  <c r="V2470" i="8" s="1"/>
  <c r="V2494" i="8" s="1"/>
  <c r="V2518" i="8" s="1"/>
  <c r="V2542" i="8" s="1"/>
  <c r="V2566" i="8" s="1"/>
  <c r="V2590" i="8" s="1"/>
  <c r="V2614" i="8" s="1"/>
  <c r="V2638" i="8" s="1"/>
  <c r="V2662" i="8" s="1"/>
  <c r="V2686" i="8" s="1"/>
  <c r="V2710" i="8" s="1"/>
  <c r="V2734" i="8" s="1"/>
  <c r="V2758" i="8" s="1"/>
  <c r="V2782" i="8" s="1"/>
  <c r="V2806" i="8" s="1"/>
  <c r="V2830" i="8" s="1"/>
  <c r="V2854" i="8" s="1"/>
  <c r="V2878" i="8" s="1"/>
  <c r="V2902" i="8" s="1"/>
  <c r="V2926" i="8" s="1"/>
  <c r="V2950" i="8" s="1"/>
  <c r="V2974" i="8" s="1"/>
  <c r="V2998" i="8" s="1"/>
  <c r="V3022" i="8" s="1"/>
  <c r="W910" i="8"/>
  <c r="W934" i="8" s="1"/>
  <c r="W958" i="8" s="1"/>
  <c r="W982" i="8" s="1"/>
  <c r="W1006" i="8" s="1"/>
  <c r="W1030" i="8" s="1"/>
  <c r="W1054" i="8" s="1"/>
  <c r="W1078" i="8" s="1"/>
  <c r="W1102" i="8" s="1"/>
  <c r="W1126" i="8" s="1"/>
  <c r="W1150" i="8" s="1"/>
  <c r="W1174" i="8" s="1"/>
  <c r="W1198" i="8" s="1"/>
  <c r="W1222" i="8" s="1"/>
  <c r="W1246" i="8" s="1"/>
  <c r="W1270" i="8" s="1"/>
  <c r="W1294" i="8" s="1"/>
  <c r="W1318" i="8" s="1"/>
  <c r="W1342" i="8" s="1"/>
  <c r="W1366" i="8" s="1"/>
  <c r="W1390" i="8" s="1"/>
  <c r="W1414" i="8" s="1"/>
  <c r="W1438" i="8" s="1"/>
  <c r="W1462" i="8" s="1"/>
  <c r="W1486" i="8" s="1"/>
  <c r="W1510" i="8" s="1"/>
  <c r="W1534" i="8" s="1"/>
  <c r="W1558" i="8" s="1"/>
  <c r="W1582" i="8" s="1"/>
  <c r="W1606" i="8" s="1"/>
  <c r="W1630" i="8" s="1"/>
  <c r="W1654" i="8" s="1"/>
  <c r="W1678" i="8" s="1"/>
  <c r="W1702" i="8" s="1"/>
  <c r="W1726" i="8" s="1"/>
  <c r="W1750" i="8" s="1"/>
  <c r="W1774" i="8" s="1"/>
  <c r="W1798" i="8" s="1"/>
  <c r="W1822" i="8" s="1"/>
  <c r="W1846" i="8" s="1"/>
  <c r="W1870" i="8" s="1"/>
  <c r="W1894" i="8" s="1"/>
  <c r="W1918" i="8" s="1"/>
  <c r="W1942" i="8" s="1"/>
  <c r="W1966" i="8" s="1"/>
  <c r="W1990" i="8" s="1"/>
  <c r="W2014" i="8" s="1"/>
  <c r="W2038" i="8" s="1"/>
  <c r="W2062" i="8" s="1"/>
  <c r="W2086" i="8" s="1"/>
  <c r="W2110" i="8" s="1"/>
  <c r="W2134" i="8" s="1"/>
  <c r="W2158" i="8" s="1"/>
  <c r="W2182" i="8" s="1"/>
  <c r="W2206" i="8" s="1"/>
  <c r="W2230" i="8" s="1"/>
  <c r="W2254" i="8" s="1"/>
  <c r="W2278" i="8" s="1"/>
  <c r="W2302" i="8" s="1"/>
  <c r="W2326" i="8" s="1"/>
  <c r="W2350" i="8" s="1"/>
  <c r="W2374" i="8" s="1"/>
  <c r="W2398" i="8" s="1"/>
  <c r="W2422" i="8" s="1"/>
  <c r="W2446" i="8" s="1"/>
  <c r="W2470" i="8" s="1"/>
  <c r="W2494" i="8" s="1"/>
  <c r="W2518" i="8" s="1"/>
  <c r="W2542" i="8" s="1"/>
  <c r="W2566" i="8" s="1"/>
  <c r="W2590" i="8" s="1"/>
  <c r="W2614" i="8" s="1"/>
  <c r="W2638" i="8" s="1"/>
  <c r="W2662" i="8" s="1"/>
  <c r="W2686" i="8" s="1"/>
  <c r="W2710" i="8" s="1"/>
  <c r="W2734" i="8" s="1"/>
  <c r="W2758" i="8" s="1"/>
  <c r="W2782" i="8" s="1"/>
  <c r="W2806" i="8" s="1"/>
  <c r="W2830" i="8" s="1"/>
  <c r="W2854" i="8" s="1"/>
  <c r="W2878" i="8" s="1"/>
  <c r="W2902" i="8" s="1"/>
  <c r="W2926" i="8" s="1"/>
  <c r="W2950" i="8" s="1"/>
  <c r="W2974" i="8" s="1"/>
  <c r="W2998" i="8" s="1"/>
  <c r="W3022" i="8" s="1"/>
  <c r="V911" i="8"/>
  <c r="V935" i="8" s="1"/>
  <c r="V959" i="8" s="1"/>
  <c r="V983" i="8" s="1"/>
  <c r="V1007" i="8" s="1"/>
  <c r="V1031" i="8" s="1"/>
  <c r="V1055" i="8" s="1"/>
  <c r="V1079" i="8" s="1"/>
  <c r="V1103" i="8" s="1"/>
  <c r="V1127" i="8" s="1"/>
  <c r="V1151" i="8" s="1"/>
  <c r="V1175" i="8" s="1"/>
  <c r="V1199" i="8" s="1"/>
  <c r="V1223" i="8" s="1"/>
  <c r="V1247" i="8" s="1"/>
  <c r="V1271" i="8" s="1"/>
  <c r="V1295" i="8" s="1"/>
  <c r="V1319" i="8" s="1"/>
  <c r="V1343" i="8" s="1"/>
  <c r="V1367" i="8" s="1"/>
  <c r="V1391" i="8" s="1"/>
  <c r="V1415" i="8" s="1"/>
  <c r="V1439" i="8" s="1"/>
  <c r="V1463" i="8" s="1"/>
  <c r="V1487" i="8" s="1"/>
  <c r="V1511" i="8" s="1"/>
  <c r="V1535" i="8" s="1"/>
  <c r="V1559" i="8" s="1"/>
  <c r="V1583" i="8" s="1"/>
  <c r="V1607" i="8" s="1"/>
  <c r="V1631" i="8" s="1"/>
  <c r="V1655" i="8" s="1"/>
  <c r="V1679" i="8" s="1"/>
  <c r="V1703" i="8" s="1"/>
  <c r="V1727" i="8" s="1"/>
  <c r="V1751" i="8" s="1"/>
  <c r="V1775" i="8" s="1"/>
  <c r="V1799" i="8" s="1"/>
  <c r="V1823" i="8" s="1"/>
  <c r="V1847" i="8" s="1"/>
  <c r="V1871" i="8" s="1"/>
  <c r="V1895" i="8" s="1"/>
  <c r="V1919" i="8" s="1"/>
  <c r="V1943" i="8" s="1"/>
  <c r="V1967" i="8" s="1"/>
  <c r="V1991" i="8" s="1"/>
  <c r="V2015" i="8" s="1"/>
  <c r="V2039" i="8" s="1"/>
  <c r="V2063" i="8" s="1"/>
  <c r="V2087" i="8" s="1"/>
  <c r="V2111" i="8" s="1"/>
  <c r="V2135" i="8" s="1"/>
  <c r="V2159" i="8" s="1"/>
  <c r="V2183" i="8" s="1"/>
  <c r="V2207" i="8" s="1"/>
  <c r="V2231" i="8" s="1"/>
  <c r="V2255" i="8" s="1"/>
  <c r="V2279" i="8" s="1"/>
  <c r="V2303" i="8" s="1"/>
  <c r="V2327" i="8" s="1"/>
  <c r="V2351" i="8" s="1"/>
  <c r="V2375" i="8" s="1"/>
  <c r="V2399" i="8" s="1"/>
  <c r="V2423" i="8" s="1"/>
  <c r="V2447" i="8" s="1"/>
  <c r="V2471" i="8" s="1"/>
  <c r="V2495" i="8" s="1"/>
  <c r="V2519" i="8" s="1"/>
  <c r="V2543" i="8" s="1"/>
  <c r="V2567" i="8" s="1"/>
  <c r="V2591" i="8" s="1"/>
  <c r="V2615" i="8" s="1"/>
  <c r="V2639" i="8" s="1"/>
  <c r="V2663" i="8" s="1"/>
  <c r="V2687" i="8" s="1"/>
  <c r="V2711" i="8" s="1"/>
  <c r="V2735" i="8" s="1"/>
  <c r="V2759" i="8" s="1"/>
  <c r="V2783" i="8" s="1"/>
  <c r="V2807" i="8" s="1"/>
  <c r="V2831" i="8" s="1"/>
  <c r="V2855" i="8" s="1"/>
  <c r="V2879" i="8" s="1"/>
  <c r="V2903" i="8" s="1"/>
  <c r="V2927" i="8" s="1"/>
  <c r="V2951" i="8" s="1"/>
  <c r="V2975" i="8" s="1"/>
  <c r="V2999" i="8" s="1"/>
  <c r="V3023" i="8" s="1"/>
  <c r="W911" i="8"/>
  <c r="W935" i="8" s="1"/>
  <c r="W959" i="8" s="1"/>
  <c r="W983" i="8" s="1"/>
  <c r="W1007" i="8" s="1"/>
  <c r="W1031" i="8" s="1"/>
  <c r="W1055" i="8" s="1"/>
  <c r="W1079" i="8" s="1"/>
  <c r="W1103" i="8" s="1"/>
  <c r="W1127" i="8" s="1"/>
  <c r="W1151" i="8" s="1"/>
  <c r="W1175" i="8" s="1"/>
  <c r="W1199" i="8" s="1"/>
  <c r="W1223" i="8" s="1"/>
  <c r="W1247" i="8" s="1"/>
  <c r="W1271" i="8" s="1"/>
  <c r="W1295" i="8" s="1"/>
  <c r="W1319" i="8" s="1"/>
  <c r="W1343" i="8" s="1"/>
  <c r="W1367" i="8" s="1"/>
  <c r="W1391" i="8" s="1"/>
  <c r="W1415" i="8" s="1"/>
  <c r="W1439" i="8" s="1"/>
  <c r="W1463" i="8" s="1"/>
  <c r="W1487" i="8" s="1"/>
  <c r="W1511" i="8" s="1"/>
  <c r="W1535" i="8" s="1"/>
  <c r="W1559" i="8" s="1"/>
  <c r="W1583" i="8" s="1"/>
  <c r="W1607" i="8" s="1"/>
  <c r="W1631" i="8" s="1"/>
  <c r="W1655" i="8" s="1"/>
  <c r="W1679" i="8" s="1"/>
  <c r="W1703" i="8" s="1"/>
  <c r="W1727" i="8" s="1"/>
  <c r="W1751" i="8" s="1"/>
  <c r="W1775" i="8" s="1"/>
  <c r="W1799" i="8" s="1"/>
  <c r="W1823" i="8" s="1"/>
  <c r="W1847" i="8" s="1"/>
  <c r="W1871" i="8" s="1"/>
  <c r="W1895" i="8" s="1"/>
  <c r="W1919" i="8" s="1"/>
  <c r="W1943" i="8" s="1"/>
  <c r="W1967" i="8" s="1"/>
  <c r="W1991" i="8" s="1"/>
  <c r="W2015" i="8" s="1"/>
  <c r="W2039" i="8" s="1"/>
  <c r="W2063" i="8" s="1"/>
  <c r="W2087" i="8" s="1"/>
  <c r="W2111" i="8" s="1"/>
  <c r="W2135" i="8" s="1"/>
  <c r="W2159" i="8" s="1"/>
  <c r="W2183" i="8" s="1"/>
  <c r="W2207" i="8" s="1"/>
  <c r="W2231" i="8" s="1"/>
  <c r="W2255" i="8" s="1"/>
  <c r="W2279" i="8" s="1"/>
  <c r="W2303" i="8" s="1"/>
  <c r="W2327" i="8" s="1"/>
  <c r="W2351" i="8" s="1"/>
  <c r="W2375" i="8" s="1"/>
  <c r="W2399" i="8" s="1"/>
  <c r="W2423" i="8" s="1"/>
  <c r="W2447" i="8" s="1"/>
  <c r="W2471" i="8" s="1"/>
  <c r="W2495" i="8" s="1"/>
  <c r="W2519" i="8" s="1"/>
  <c r="W2543" i="8" s="1"/>
  <c r="W2567" i="8" s="1"/>
  <c r="W2591" i="8" s="1"/>
  <c r="W2615" i="8" s="1"/>
  <c r="W2639" i="8" s="1"/>
  <c r="W2663" i="8" s="1"/>
  <c r="W2687" i="8" s="1"/>
  <c r="W2711" i="8" s="1"/>
  <c r="W2735" i="8" s="1"/>
  <c r="W2759" i="8" s="1"/>
  <c r="W2783" i="8" s="1"/>
  <c r="W2807" i="8" s="1"/>
  <c r="W2831" i="8" s="1"/>
  <c r="W2855" i="8" s="1"/>
  <c r="W2879" i="8" s="1"/>
  <c r="W2903" i="8" s="1"/>
  <c r="W2927" i="8" s="1"/>
  <c r="W2951" i="8" s="1"/>
  <c r="W2975" i="8" s="1"/>
  <c r="W2999" i="8" s="1"/>
  <c r="W3023" i="8" s="1"/>
  <c r="V912" i="8"/>
  <c r="V936" i="8" s="1"/>
  <c r="V960" i="8" s="1"/>
  <c r="V984" i="8" s="1"/>
  <c r="V1008" i="8" s="1"/>
  <c r="V1032" i="8" s="1"/>
  <c r="V1056" i="8" s="1"/>
  <c r="V1080" i="8" s="1"/>
  <c r="V1104" i="8" s="1"/>
  <c r="V1128" i="8" s="1"/>
  <c r="V1152" i="8" s="1"/>
  <c r="V1176" i="8" s="1"/>
  <c r="V1200" i="8" s="1"/>
  <c r="V1224" i="8" s="1"/>
  <c r="V1248" i="8" s="1"/>
  <c r="V1272" i="8" s="1"/>
  <c r="V1296" i="8" s="1"/>
  <c r="V1320" i="8" s="1"/>
  <c r="V1344" i="8" s="1"/>
  <c r="V1368" i="8" s="1"/>
  <c r="V1392" i="8" s="1"/>
  <c r="V1416" i="8" s="1"/>
  <c r="V1440" i="8" s="1"/>
  <c r="V1464" i="8" s="1"/>
  <c r="V1488" i="8" s="1"/>
  <c r="V1512" i="8" s="1"/>
  <c r="V1536" i="8" s="1"/>
  <c r="V1560" i="8" s="1"/>
  <c r="V1584" i="8" s="1"/>
  <c r="V1608" i="8" s="1"/>
  <c r="V1632" i="8" s="1"/>
  <c r="V1656" i="8" s="1"/>
  <c r="V1680" i="8" s="1"/>
  <c r="V1704" i="8" s="1"/>
  <c r="V1728" i="8" s="1"/>
  <c r="V1752" i="8" s="1"/>
  <c r="V1776" i="8" s="1"/>
  <c r="V1800" i="8" s="1"/>
  <c r="V1824" i="8" s="1"/>
  <c r="V1848" i="8" s="1"/>
  <c r="V1872" i="8" s="1"/>
  <c r="V1896" i="8" s="1"/>
  <c r="V1920" i="8" s="1"/>
  <c r="V1944" i="8" s="1"/>
  <c r="V1968" i="8" s="1"/>
  <c r="V1992" i="8" s="1"/>
  <c r="V2016" i="8" s="1"/>
  <c r="V2040" i="8" s="1"/>
  <c r="V2064" i="8" s="1"/>
  <c r="V2088" i="8" s="1"/>
  <c r="V2112" i="8" s="1"/>
  <c r="V2136" i="8" s="1"/>
  <c r="V2160" i="8" s="1"/>
  <c r="V2184" i="8" s="1"/>
  <c r="V2208" i="8" s="1"/>
  <c r="V2232" i="8" s="1"/>
  <c r="V2256" i="8" s="1"/>
  <c r="V2280" i="8" s="1"/>
  <c r="V2304" i="8" s="1"/>
  <c r="V2328" i="8" s="1"/>
  <c r="V2352" i="8" s="1"/>
  <c r="V2376" i="8" s="1"/>
  <c r="V2400" i="8" s="1"/>
  <c r="V2424" i="8" s="1"/>
  <c r="V2448" i="8" s="1"/>
  <c r="V2472" i="8" s="1"/>
  <c r="V2496" i="8" s="1"/>
  <c r="V2520" i="8" s="1"/>
  <c r="V2544" i="8" s="1"/>
  <c r="V2568" i="8" s="1"/>
  <c r="V2592" i="8" s="1"/>
  <c r="V2616" i="8" s="1"/>
  <c r="V2640" i="8" s="1"/>
  <c r="V2664" i="8" s="1"/>
  <c r="V2688" i="8" s="1"/>
  <c r="V2712" i="8" s="1"/>
  <c r="V2736" i="8" s="1"/>
  <c r="V2760" i="8" s="1"/>
  <c r="V2784" i="8" s="1"/>
  <c r="V2808" i="8" s="1"/>
  <c r="V2832" i="8" s="1"/>
  <c r="V2856" i="8" s="1"/>
  <c r="V2880" i="8" s="1"/>
  <c r="V2904" i="8" s="1"/>
  <c r="V2928" i="8" s="1"/>
  <c r="V2952" i="8" s="1"/>
  <c r="V2976" i="8" s="1"/>
  <c r="V3000" i="8" s="1"/>
  <c r="V3024" i="8" s="1"/>
  <c r="W912" i="8"/>
  <c r="W936" i="8" s="1"/>
  <c r="W960" i="8" s="1"/>
  <c r="W984" i="8" s="1"/>
  <c r="W1008" i="8" s="1"/>
  <c r="W1032" i="8" s="1"/>
  <c r="W1056" i="8" s="1"/>
  <c r="W1080" i="8" s="1"/>
  <c r="W1104" i="8" s="1"/>
  <c r="W1128" i="8" s="1"/>
  <c r="W1152" i="8" s="1"/>
  <c r="W1176" i="8" s="1"/>
  <c r="W1200" i="8" s="1"/>
  <c r="W1224" i="8" s="1"/>
  <c r="W1248" i="8" s="1"/>
  <c r="W1272" i="8" s="1"/>
  <c r="W1296" i="8" s="1"/>
  <c r="W1320" i="8" s="1"/>
  <c r="W1344" i="8" s="1"/>
  <c r="W1368" i="8" s="1"/>
  <c r="W1392" i="8" s="1"/>
  <c r="W1416" i="8" s="1"/>
  <c r="W1440" i="8" s="1"/>
  <c r="W1464" i="8" s="1"/>
  <c r="W1488" i="8" s="1"/>
  <c r="W1512" i="8" s="1"/>
  <c r="W1536" i="8" s="1"/>
  <c r="W1560" i="8" s="1"/>
  <c r="W1584" i="8" s="1"/>
  <c r="W1608" i="8" s="1"/>
  <c r="W1632" i="8" s="1"/>
  <c r="W1656" i="8" s="1"/>
  <c r="W1680" i="8" s="1"/>
  <c r="W1704" i="8" s="1"/>
  <c r="W1728" i="8" s="1"/>
  <c r="W1752" i="8" s="1"/>
  <c r="W1776" i="8" s="1"/>
  <c r="W1800" i="8" s="1"/>
  <c r="W1824" i="8" s="1"/>
  <c r="W1848" i="8" s="1"/>
  <c r="W1872" i="8" s="1"/>
  <c r="W1896" i="8" s="1"/>
  <c r="W1920" i="8" s="1"/>
  <c r="W1944" i="8" s="1"/>
  <c r="W1968" i="8" s="1"/>
  <c r="W1992" i="8" s="1"/>
  <c r="W2016" i="8" s="1"/>
  <c r="W2040" i="8" s="1"/>
  <c r="W2064" i="8" s="1"/>
  <c r="W2088" i="8" s="1"/>
  <c r="W2112" i="8" s="1"/>
  <c r="W2136" i="8" s="1"/>
  <c r="W2160" i="8" s="1"/>
  <c r="W2184" i="8" s="1"/>
  <c r="W2208" i="8" s="1"/>
  <c r="W2232" i="8" s="1"/>
  <c r="W2256" i="8" s="1"/>
  <c r="W2280" i="8" s="1"/>
  <c r="W2304" i="8" s="1"/>
  <c r="W2328" i="8" s="1"/>
  <c r="W2352" i="8" s="1"/>
  <c r="W2376" i="8" s="1"/>
  <c r="W2400" i="8" s="1"/>
  <c r="W2424" i="8" s="1"/>
  <c r="W2448" i="8" s="1"/>
  <c r="W2472" i="8" s="1"/>
  <c r="W2496" i="8" s="1"/>
  <c r="W2520" i="8" s="1"/>
  <c r="W2544" i="8" s="1"/>
  <c r="W2568" i="8" s="1"/>
  <c r="W2592" i="8" s="1"/>
  <c r="W2616" i="8" s="1"/>
  <c r="W2640" i="8" s="1"/>
  <c r="W2664" i="8" s="1"/>
  <c r="W2688" i="8" s="1"/>
  <c r="W2712" i="8" s="1"/>
  <c r="W2736" i="8" s="1"/>
  <c r="W2760" i="8" s="1"/>
  <c r="W2784" i="8" s="1"/>
  <c r="W2808" i="8" s="1"/>
  <c r="W2832" i="8" s="1"/>
  <c r="W2856" i="8" s="1"/>
  <c r="W2880" i="8" s="1"/>
  <c r="W2904" i="8" s="1"/>
  <c r="W2928" i="8" s="1"/>
  <c r="W2952" i="8" s="1"/>
  <c r="W2976" i="8" s="1"/>
  <c r="W3000" i="8" s="1"/>
  <c r="W3024" i="8" s="1"/>
  <c r="V913" i="8"/>
  <c r="V937" i="8" s="1"/>
  <c r="V961" i="8" s="1"/>
  <c r="V985" i="8" s="1"/>
  <c r="V1009" i="8" s="1"/>
  <c r="V1033" i="8" s="1"/>
  <c r="V1057" i="8" s="1"/>
  <c r="V1081" i="8" s="1"/>
  <c r="V1105" i="8" s="1"/>
  <c r="V1129" i="8" s="1"/>
  <c r="V1153" i="8" s="1"/>
  <c r="V1177" i="8" s="1"/>
  <c r="V1201" i="8" s="1"/>
  <c r="V1225" i="8" s="1"/>
  <c r="V1249" i="8" s="1"/>
  <c r="V1273" i="8" s="1"/>
  <c r="V1297" i="8" s="1"/>
  <c r="V1321" i="8" s="1"/>
  <c r="V1345" i="8" s="1"/>
  <c r="V1369" i="8" s="1"/>
  <c r="V1393" i="8" s="1"/>
  <c r="V1417" i="8" s="1"/>
  <c r="V1441" i="8" s="1"/>
  <c r="V1465" i="8" s="1"/>
  <c r="V1489" i="8" s="1"/>
  <c r="V1513" i="8" s="1"/>
  <c r="V1537" i="8" s="1"/>
  <c r="V1561" i="8" s="1"/>
  <c r="V1585" i="8" s="1"/>
  <c r="V1609" i="8" s="1"/>
  <c r="V1633" i="8" s="1"/>
  <c r="V1657" i="8" s="1"/>
  <c r="V1681" i="8" s="1"/>
  <c r="V1705" i="8" s="1"/>
  <c r="V1729" i="8" s="1"/>
  <c r="V1753" i="8" s="1"/>
  <c r="V1777" i="8" s="1"/>
  <c r="V1801" i="8" s="1"/>
  <c r="V1825" i="8" s="1"/>
  <c r="V1849" i="8" s="1"/>
  <c r="V1873" i="8" s="1"/>
  <c r="V1897" i="8" s="1"/>
  <c r="V1921" i="8" s="1"/>
  <c r="V1945" i="8" s="1"/>
  <c r="V1969" i="8" s="1"/>
  <c r="V1993" i="8" s="1"/>
  <c r="V2017" i="8" s="1"/>
  <c r="V2041" i="8" s="1"/>
  <c r="V2065" i="8" s="1"/>
  <c r="V2089" i="8" s="1"/>
  <c r="V2113" i="8" s="1"/>
  <c r="V2137" i="8" s="1"/>
  <c r="V2161" i="8" s="1"/>
  <c r="V2185" i="8" s="1"/>
  <c r="V2209" i="8" s="1"/>
  <c r="V2233" i="8" s="1"/>
  <c r="V2257" i="8" s="1"/>
  <c r="V2281" i="8" s="1"/>
  <c r="V2305" i="8" s="1"/>
  <c r="V2329" i="8" s="1"/>
  <c r="V2353" i="8" s="1"/>
  <c r="V2377" i="8" s="1"/>
  <c r="V2401" i="8" s="1"/>
  <c r="V2425" i="8" s="1"/>
  <c r="V2449" i="8" s="1"/>
  <c r="V2473" i="8" s="1"/>
  <c r="V2497" i="8" s="1"/>
  <c r="V2521" i="8" s="1"/>
  <c r="V2545" i="8" s="1"/>
  <c r="V2569" i="8" s="1"/>
  <c r="V2593" i="8" s="1"/>
  <c r="V2617" i="8" s="1"/>
  <c r="V2641" i="8" s="1"/>
  <c r="V2665" i="8" s="1"/>
  <c r="V2689" i="8" s="1"/>
  <c r="V2713" i="8" s="1"/>
  <c r="V2737" i="8" s="1"/>
  <c r="V2761" i="8" s="1"/>
  <c r="V2785" i="8" s="1"/>
  <c r="V2809" i="8" s="1"/>
  <c r="V2833" i="8" s="1"/>
  <c r="V2857" i="8" s="1"/>
  <c r="V2881" i="8" s="1"/>
  <c r="V2905" i="8" s="1"/>
  <c r="V2929" i="8" s="1"/>
  <c r="V2953" i="8" s="1"/>
  <c r="V2977" i="8" s="1"/>
  <c r="V3001" i="8" s="1"/>
  <c r="V3025" i="8" s="1"/>
  <c r="W913" i="8"/>
  <c r="W937" i="8" s="1"/>
  <c r="W961" i="8" s="1"/>
  <c r="W985" i="8" s="1"/>
  <c r="W1009" i="8" s="1"/>
  <c r="W1033" i="8" s="1"/>
  <c r="W1057" i="8" s="1"/>
  <c r="W1081" i="8" s="1"/>
  <c r="W1105" i="8" s="1"/>
  <c r="W1129" i="8" s="1"/>
  <c r="W1153" i="8" s="1"/>
  <c r="W1177" i="8" s="1"/>
  <c r="W1201" i="8" s="1"/>
  <c r="W1225" i="8" s="1"/>
  <c r="W1249" i="8" s="1"/>
  <c r="W1273" i="8" s="1"/>
  <c r="W1297" i="8" s="1"/>
  <c r="W1321" i="8" s="1"/>
  <c r="W1345" i="8" s="1"/>
  <c r="W1369" i="8" s="1"/>
  <c r="W1393" i="8" s="1"/>
  <c r="W1417" i="8" s="1"/>
  <c r="W1441" i="8" s="1"/>
  <c r="W1465" i="8" s="1"/>
  <c r="W1489" i="8" s="1"/>
  <c r="W1513" i="8" s="1"/>
  <c r="W1537" i="8" s="1"/>
  <c r="W1561" i="8" s="1"/>
  <c r="W1585" i="8" s="1"/>
  <c r="W1609" i="8" s="1"/>
  <c r="W1633" i="8" s="1"/>
  <c r="W1657" i="8" s="1"/>
  <c r="W1681" i="8" s="1"/>
  <c r="W1705" i="8" s="1"/>
  <c r="W1729" i="8" s="1"/>
  <c r="W1753" i="8" s="1"/>
  <c r="W1777" i="8" s="1"/>
  <c r="W1801" i="8" s="1"/>
  <c r="W1825" i="8" s="1"/>
  <c r="W1849" i="8" s="1"/>
  <c r="W1873" i="8" s="1"/>
  <c r="W1897" i="8" s="1"/>
  <c r="W1921" i="8" s="1"/>
  <c r="W1945" i="8" s="1"/>
  <c r="W1969" i="8" s="1"/>
  <c r="W1993" i="8" s="1"/>
  <c r="W2017" i="8" s="1"/>
  <c r="W2041" i="8" s="1"/>
  <c r="W2065" i="8" s="1"/>
  <c r="W2089" i="8" s="1"/>
  <c r="W2113" i="8" s="1"/>
  <c r="W2137" i="8" s="1"/>
  <c r="W2161" i="8" s="1"/>
  <c r="W2185" i="8" s="1"/>
  <c r="W2209" i="8" s="1"/>
  <c r="W2233" i="8" s="1"/>
  <c r="W2257" i="8" s="1"/>
  <c r="W2281" i="8" s="1"/>
  <c r="W2305" i="8" s="1"/>
  <c r="W2329" i="8" s="1"/>
  <c r="W2353" i="8" s="1"/>
  <c r="W2377" i="8" s="1"/>
  <c r="W2401" i="8" s="1"/>
  <c r="W2425" i="8" s="1"/>
  <c r="W2449" i="8" s="1"/>
  <c r="W2473" i="8" s="1"/>
  <c r="W2497" i="8" s="1"/>
  <c r="W2521" i="8" s="1"/>
  <c r="W2545" i="8" s="1"/>
  <c r="W2569" i="8" s="1"/>
  <c r="W2593" i="8" s="1"/>
  <c r="W2617" i="8" s="1"/>
  <c r="W2641" i="8" s="1"/>
  <c r="W2665" i="8" s="1"/>
  <c r="W2689" i="8" s="1"/>
  <c r="W2713" i="8" s="1"/>
  <c r="W2737" i="8" s="1"/>
  <c r="W2761" i="8" s="1"/>
  <c r="W2785" i="8" s="1"/>
  <c r="W2809" i="8" s="1"/>
  <c r="W2833" i="8" s="1"/>
  <c r="W2857" i="8" s="1"/>
  <c r="W2881" i="8" s="1"/>
  <c r="W2905" i="8" s="1"/>
  <c r="W2929" i="8" s="1"/>
  <c r="W2953" i="8" s="1"/>
  <c r="W2977" i="8" s="1"/>
  <c r="W3001" i="8" s="1"/>
  <c r="W3025" i="8" s="1"/>
  <c r="V914" i="8"/>
  <c r="V938" i="8" s="1"/>
  <c r="V962" i="8" s="1"/>
  <c r="V986" i="8" s="1"/>
  <c r="V1010" i="8" s="1"/>
  <c r="V1034" i="8" s="1"/>
  <c r="V1058" i="8" s="1"/>
  <c r="V1082" i="8" s="1"/>
  <c r="V1106" i="8" s="1"/>
  <c r="V1130" i="8" s="1"/>
  <c r="V1154" i="8" s="1"/>
  <c r="V1178" i="8" s="1"/>
  <c r="V1202" i="8" s="1"/>
  <c r="V1226" i="8" s="1"/>
  <c r="V1250" i="8" s="1"/>
  <c r="V1274" i="8" s="1"/>
  <c r="V1298" i="8" s="1"/>
  <c r="V1322" i="8" s="1"/>
  <c r="V1346" i="8" s="1"/>
  <c r="V1370" i="8" s="1"/>
  <c r="V1394" i="8" s="1"/>
  <c r="V1418" i="8" s="1"/>
  <c r="V1442" i="8" s="1"/>
  <c r="V1466" i="8" s="1"/>
  <c r="V1490" i="8" s="1"/>
  <c r="V1514" i="8" s="1"/>
  <c r="V1538" i="8" s="1"/>
  <c r="V1562" i="8" s="1"/>
  <c r="V1586" i="8" s="1"/>
  <c r="V1610" i="8" s="1"/>
  <c r="V1634" i="8" s="1"/>
  <c r="V1658" i="8" s="1"/>
  <c r="V1682" i="8" s="1"/>
  <c r="V1706" i="8" s="1"/>
  <c r="V1730" i="8" s="1"/>
  <c r="V1754" i="8" s="1"/>
  <c r="V1778" i="8" s="1"/>
  <c r="V1802" i="8" s="1"/>
  <c r="V1826" i="8" s="1"/>
  <c r="V1850" i="8" s="1"/>
  <c r="V1874" i="8" s="1"/>
  <c r="V1898" i="8" s="1"/>
  <c r="V1922" i="8" s="1"/>
  <c r="V1946" i="8" s="1"/>
  <c r="V1970" i="8" s="1"/>
  <c r="V1994" i="8" s="1"/>
  <c r="V2018" i="8" s="1"/>
  <c r="V2042" i="8" s="1"/>
  <c r="V2066" i="8" s="1"/>
  <c r="V2090" i="8" s="1"/>
  <c r="V2114" i="8" s="1"/>
  <c r="V2138" i="8" s="1"/>
  <c r="V2162" i="8" s="1"/>
  <c r="V2186" i="8" s="1"/>
  <c r="V2210" i="8" s="1"/>
  <c r="V2234" i="8" s="1"/>
  <c r="V2258" i="8" s="1"/>
  <c r="V2282" i="8" s="1"/>
  <c r="V2306" i="8" s="1"/>
  <c r="V2330" i="8" s="1"/>
  <c r="V2354" i="8" s="1"/>
  <c r="V2378" i="8" s="1"/>
  <c r="V2402" i="8" s="1"/>
  <c r="V2426" i="8" s="1"/>
  <c r="V2450" i="8" s="1"/>
  <c r="V2474" i="8" s="1"/>
  <c r="V2498" i="8" s="1"/>
  <c r="V2522" i="8" s="1"/>
  <c r="V2546" i="8" s="1"/>
  <c r="V2570" i="8" s="1"/>
  <c r="V2594" i="8" s="1"/>
  <c r="V2618" i="8" s="1"/>
  <c r="V2642" i="8" s="1"/>
  <c r="V2666" i="8" s="1"/>
  <c r="V2690" i="8" s="1"/>
  <c r="V2714" i="8" s="1"/>
  <c r="V2738" i="8" s="1"/>
  <c r="V2762" i="8" s="1"/>
  <c r="V2786" i="8" s="1"/>
  <c r="V2810" i="8" s="1"/>
  <c r="V2834" i="8" s="1"/>
  <c r="V2858" i="8" s="1"/>
  <c r="V2882" i="8" s="1"/>
  <c r="V2906" i="8" s="1"/>
  <c r="V2930" i="8" s="1"/>
  <c r="V2954" i="8" s="1"/>
  <c r="V2978" i="8" s="1"/>
  <c r="V3002" i="8" s="1"/>
  <c r="V3026" i="8" s="1"/>
  <c r="W914" i="8"/>
  <c r="W938" i="8" s="1"/>
  <c r="W962" i="8" s="1"/>
  <c r="W986" i="8" s="1"/>
  <c r="W1010" i="8" s="1"/>
  <c r="W1034" i="8" s="1"/>
  <c r="W1058" i="8" s="1"/>
  <c r="W1082" i="8" s="1"/>
  <c r="W1106" i="8" s="1"/>
  <c r="W1130" i="8" s="1"/>
  <c r="W1154" i="8" s="1"/>
  <c r="W1178" i="8" s="1"/>
  <c r="W1202" i="8" s="1"/>
  <c r="W1226" i="8" s="1"/>
  <c r="W1250" i="8" s="1"/>
  <c r="W1274" i="8" s="1"/>
  <c r="W1298" i="8" s="1"/>
  <c r="W1322" i="8" s="1"/>
  <c r="W1346" i="8" s="1"/>
  <c r="W1370" i="8" s="1"/>
  <c r="W1394" i="8" s="1"/>
  <c r="W1418" i="8" s="1"/>
  <c r="W1442" i="8" s="1"/>
  <c r="W1466" i="8" s="1"/>
  <c r="W1490" i="8" s="1"/>
  <c r="W1514" i="8" s="1"/>
  <c r="W1538" i="8" s="1"/>
  <c r="W1562" i="8" s="1"/>
  <c r="W1586" i="8" s="1"/>
  <c r="W1610" i="8" s="1"/>
  <c r="W1634" i="8" s="1"/>
  <c r="W1658" i="8" s="1"/>
  <c r="W1682" i="8" s="1"/>
  <c r="W1706" i="8" s="1"/>
  <c r="W1730" i="8" s="1"/>
  <c r="W1754" i="8" s="1"/>
  <c r="W1778" i="8" s="1"/>
  <c r="W1802" i="8" s="1"/>
  <c r="W1826" i="8" s="1"/>
  <c r="W1850" i="8" s="1"/>
  <c r="W1874" i="8" s="1"/>
  <c r="W1898" i="8" s="1"/>
  <c r="W1922" i="8" s="1"/>
  <c r="W1946" i="8" s="1"/>
  <c r="W1970" i="8" s="1"/>
  <c r="W1994" i="8" s="1"/>
  <c r="W2018" i="8" s="1"/>
  <c r="W2042" i="8" s="1"/>
  <c r="W2066" i="8" s="1"/>
  <c r="W2090" i="8" s="1"/>
  <c r="W2114" i="8" s="1"/>
  <c r="W2138" i="8" s="1"/>
  <c r="W2162" i="8" s="1"/>
  <c r="W2186" i="8" s="1"/>
  <c r="W2210" i="8" s="1"/>
  <c r="W2234" i="8" s="1"/>
  <c r="W2258" i="8" s="1"/>
  <c r="W2282" i="8" s="1"/>
  <c r="W2306" i="8" s="1"/>
  <c r="W2330" i="8" s="1"/>
  <c r="W2354" i="8" s="1"/>
  <c r="W2378" i="8" s="1"/>
  <c r="W2402" i="8" s="1"/>
  <c r="W2426" i="8" s="1"/>
  <c r="W2450" i="8" s="1"/>
  <c r="W2474" i="8" s="1"/>
  <c r="W2498" i="8" s="1"/>
  <c r="W2522" i="8" s="1"/>
  <c r="W2546" i="8" s="1"/>
  <c r="W2570" i="8" s="1"/>
  <c r="W2594" i="8" s="1"/>
  <c r="W2618" i="8" s="1"/>
  <c r="W2642" i="8" s="1"/>
  <c r="W2666" i="8" s="1"/>
  <c r="W2690" i="8" s="1"/>
  <c r="W2714" i="8" s="1"/>
  <c r="W2738" i="8" s="1"/>
  <c r="W2762" i="8" s="1"/>
  <c r="W2786" i="8" s="1"/>
  <c r="W2810" i="8" s="1"/>
  <c r="W2834" i="8" s="1"/>
  <c r="W2858" i="8" s="1"/>
  <c r="W2882" i="8" s="1"/>
  <c r="W2906" i="8" s="1"/>
  <c r="W2930" i="8" s="1"/>
  <c r="W2954" i="8" s="1"/>
  <c r="W2978" i="8" s="1"/>
  <c r="W3002" i="8" s="1"/>
  <c r="W3026" i="8" s="1"/>
  <c r="W891" i="8"/>
  <c r="W915" i="8" s="1"/>
  <c r="W939" i="8" s="1"/>
  <c r="W963" i="8" s="1"/>
  <c r="W987" i="8" s="1"/>
  <c r="W1011" i="8" s="1"/>
  <c r="W1035" i="8" s="1"/>
  <c r="W1059" i="8" s="1"/>
  <c r="W1083" i="8" s="1"/>
  <c r="W1107" i="8" s="1"/>
  <c r="W1131" i="8" s="1"/>
  <c r="W1155" i="8" s="1"/>
  <c r="W1179" i="8" s="1"/>
  <c r="W1203" i="8" s="1"/>
  <c r="W1227" i="8" s="1"/>
  <c r="W1251" i="8" s="1"/>
  <c r="W1275" i="8" s="1"/>
  <c r="W1299" i="8" s="1"/>
  <c r="W1323" i="8" s="1"/>
  <c r="W1347" i="8" s="1"/>
  <c r="W1371" i="8" s="1"/>
  <c r="W1395" i="8" s="1"/>
  <c r="W1419" i="8" s="1"/>
  <c r="W1443" i="8" s="1"/>
  <c r="W1467" i="8" s="1"/>
  <c r="W1491" i="8" s="1"/>
  <c r="W1515" i="8" s="1"/>
  <c r="W1539" i="8" s="1"/>
  <c r="W1563" i="8" s="1"/>
  <c r="W1587" i="8" s="1"/>
  <c r="W1611" i="8" s="1"/>
  <c r="W1635" i="8" s="1"/>
  <c r="W1659" i="8" s="1"/>
  <c r="W1683" i="8" s="1"/>
  <c r="W1707" i="8" s="1"/>
  <c r="W1731" i="8" s="1"/>
  <c r="W1755" i="8" s="1"/>
  <c r="W1779" i="8" s="1"/>
  <c r="W1803" i="8" s="1"/>
  <c r="W1827" i="8" s="1"/>
  <c r="W1851" i="8" s="1"/>
  <c r="W1875" i="8" s="1"/>
  <c r="W1899" i="8" s="1"/>
  <c r="W1923" i="8" s="1"/>
  <c r="W1947" i="8" s="1"/>
  <c r="W1971" i="8" s="1"/>
  <c r="W1995" i="8" s="1"/>
  <c r="W2019" i="8" s="1"/>
  <c r="W2043" i="8" s="1"/>
  <c r="W2067" i="8" s="1"/>
  <c r="W2091" i="8" s="1"/>
  <c r="W2115" i="8" s="1"/>
  <c r="W2139" i="8" s="1"/>
  <c r="W2163" i="8" s="1"/>
  <c r="W2187" i="8" s="1"/>
  <c r="W2211" i="8" s="1"/>
  <c r="W2235" i="8" s="1"/>
  <c r="W2259" i="8" s="1"/>
  <c r="W2283" i="8" s="1"/>
  <c r="W2307" i="8" s="1"/>
  <c r="W2331" i="8" s="1"/>
  <c r="W2355" i="8" s="1"/>
  <c r="W2379" i="8" s="1"/>
  <c r="W2403" i="8" s="1"/>
  <c r="W2427" i="8" s="1"/>
  <c r="W2451" i="8" s="1"/>
  <c r="W2475" i="8" s="1"/>
  <c r="W2499" i="8" s="1"/>
  <c r="W2523" i="8" s="1"/>
  <c r="W2547" i="8" s="1"/>
  <c r="W2571" i="8" s="1"/>
  <c r="W2595" i="8" s="1"/>
  <c r="W2619" i="8" s="1"/>
  <c r="W2643" i="8" s="1"/>
  <c r="W2667" i="8" s="1"/>
  <c r="W2691" i="8" s="1"/>
  <c r="W2715" i="8" s="1"/>
  <c r="W2739" i="8" s="1"/>
  <c r="W2763" i="8" s="1"/>
  <c r="W2787" i="8" s="1"/>
  <c r="W2811" i="8" s="1"/>
  <c r="W2835" i="8" s="1"/>
  <c r="W2859" i="8" s="1"/>
  <c r="W2883" i="8" s="1"/>
  <c r="W2907" i="8" s="1"/>
  <c r="W2931" i="8" s="1"/>
  <c r="W2955" i="8" s="1"/>
  <c r="W2979" i="8" s="1"/>
  <c r="W3003" i="8" s="1"/>
  <c r="V891" i="8"/>
  <c r="V915" i="8" s="1"/>
  <c r="V939" i="8" s="1"/>
  <c r="V963" i="8" s="1"/>
  <c r="V987" i="8" s="1"/>
  <c r="V1011" i="8" s="1"/>
  <c r="V1035" i="8" s="1"/>
  <c r="V1059" i="8" s="1"/>
  <c r="V1083" i="8" s="1"/>
  <c r="V1107" i="8" s="1"/>
  <c r="V1131" i="8" s="1"/>
  <c r="V1155" i="8" s="1"/>
  <c r="V1179" i="8" s="1"/>
  <c r="V1203" i="8" s="1"/>
  <c r="V1227" i="8" s="1"/>
  <c r="V1251" i="8" s="1"/>
  <c r="V1275" i="8" s="1"/>
  <c r="V1299" i="8" s="1"/>
  <c r="V1323" i="8" s="1"/>
  <c r="V1347" i="8" s="1"/>
  <c r="V1371" i="8" s="1"/>
  <c r="V1395" i="8" s="1"/>
  <c r="V1419" i="8" s="1"/>
  <c r="V1443" i="8" s="1"/>
  <c r="V1467" i="8" s="1"/>
  <c r="V1491" i="8" s="1"/>
  <c r="V1515" i="8" s="1"/>
  <c r="V1539" i="8" s="1"/>
  <c r="V1563" i="8" s="1"/>
  <c r="V1587" i="8" s="1"/>
  <c r="V1611" i="8" s="1"/>
  <c r="V1635" i="8" s="1"/>
  <c r="V1659" i="8" s="1"/>
  <c r="V1683" i="8" s="1"/>
  <c r="V1707" i="8" s="1"/>
  <c r="V1731" i="8" s="1"/>
  <c r="V1755" i="8" s="1"/>
  <c r="V1779" i="8" s="1"/>
  <c r="V1803" i="8" s="1"/>
  <c r="V1827" i="8" s="1"/>
  <c r="V1851" i="8" s="1"/>
  <c r="V1875" i="8" s="1"/>
  <c r="V1899" i="8" s="1"/>
  <c r="V1923" i="8" s="1"/>
  <c r="V1947" i="8" s="1"/>
  <c r="V1971" i="8" s="1"/>
  <c r="V1995" i="8" s="1"/>
  <c r="V2019" i="8" s="1"/>
  <c r="V2043" i="8" s="1"/>
  <c r="V2067" i="8" s="1"/>
  <c r="V2091" i="8" s="1"/>
  <c r="V2115" i="8" s="1"/>
  <c r="V2139" i="8" s="1"/>
  <c r="V2163" i="8" s="1"/>
  <c r="V2187" i="8" s="1"/>
  <c r="V2211" i="8" s="1"/>
  <c r="V2235" i="8" s="1"/>
  <c r="V2259" i="8" s="1"/>
  <c r="V2283" i="8" s="1"/>
  <c r="V2307" i="8" s="1"/>
  <c r="V2331" i="8" s="1"/>
  <c r="V2355" i="8" s="1"/>
  <c r="V2379" i="8" s="1"/>
  <c r="V2403" i="8" s="1"/>
  <c r="V2427" i="8" s="1"/>
  <c r="V2451" i="8" s="1"/>
  <c r="V2475" i="8" s="1"/>
  <c r="V2499" i="8" s="1"/>
  <c r="V2523" i="8" s="1"/>
  <c r="V2547" i="8" s="1"/>
  <c r="V2571" i="8" s="1"/>
  <c r="V2595" i="8" s="1"/>
  <c r="V2619" i="8" s="1"/>
  <c r="V2643" i="8" s="1"/>
  <c r="V2667" i="8" s="1"/>
  <c r="V2691" i="8" s="1"/>
  <c r="V2715" i="8" s="1"/>
  <c r="V2739" i="8" s="1"/>
  <c r="V2763" i="8" s="1"/>
  <c r="V2787" i="8" s="1"/>
  <c r="V2811" i="8" s="1"/>
  <c r="V2835" i="8" s="1"/>
  <c r="V2859" i="8" s="1"/>
  <c r="V2883" i="8" s="1"/>
  <c r="V2907" i="8" s="1"/>
  <c r="V2931" i="8" s="1"/>
  <c r="V2955" i="8" s="1"/>
  <c r="V2979" i="8" s="1"/>
  <c r="V3003" i="8" s="1"/>
  <c r="A713" i="8" l="1"/>
  <c r="T714" i="8"/>
  <c r="Q714" i="8"/>
  <c r="N714" i="8"/>
  <c r="C97" i="9"/>
  <c r="C87" i="9"/>
  <c r="C75" i="9"/>
  <c r="C91" i="9"/>
  <c r="C80" i="9"/>
  <c r="C95" i="9"/>
  <c r="C84" i="9"/>
  <c r="C74" i="9"/>
  <c r="C89" i="9"/>
  <c r="C90" i="9"/>
  <c r="C77" i="9"/>
  <c r="C92" i="9"/>
  <c r="C93" i="9"/>
  <c r="C83" i="9"/>
  <c r="C76" i="9"/>
  <c r="C82" i="9"/>
  <c r="C85" i="9"/>
  <c r="C73" i="9"/>
  <c r="C88" i="9"/>
  <c r="C79" i="9"/>
  <c r="C81" i="9"/>
  <c r="C96" i="9"/>
  <c r="C86" i="9"/>
  <c r="C78" i="9"/>
  <c r="C94" i="9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C47" i="9"/>
  <c r="C61" i="9"/>
  <c r="C62" i="9"/>
  <c r="C49" i="9"/>
  <c r="C64" i="9"/>
  <c r="C48" i="9"/>
  <c r="C65" i="9"/>
  <c r="C52" i="9"/>
  <c r="C39" i="9"/>
  <c r="C56" i="9"/>
  <c r="C58" i="9"/>
  <c r="C63" i="9"/>
  <c r="C37" i="9"/>
  <c r="C38" i="9"/>
  <c r="C67" i="9"/>
  <c r="C44" i="9"/>
  <c r="C57" i="9"/>
  <c r="C59" i="9"/>
  <c r="C46" i="9"/>
  <c r="C50" i="9"/>
  <c r="C66" i="9"/>
  <c r="C51" i="9"/>
  <c r="C53" i="9"/>
  <c r="C42" i="9"/>
  <c r="C43" i="9"/>
  <c r="C45" i="9"/>
  <c r="C40" i="9"/>
  <c r="C54" i="9"/>
  <c r="C41" i="9"/>
  <c r="C55" i="9"/>
  <c r="C60" i="9"/>
  <c r="C19" i="9"/>
  <c r="C33" i="9"/>
  <c r="C6" i="9"/>
  <c r="C34" i="9"/>
  <c r="C21" i="9"/>
  <c r="C23" i="9"/>
  <c r="C24" i="9"/>
  <c r="C25" i="9"/>
  <c r="C18" i="9"/>
  <c r="C20" i="9"/>
  <c r="C35" i="9"/>
  <c r="C29" i="9"/>
  <c r="C30" i="9"/>
  <c r="C31" i="9"/>
  <c r="C7" i="9"/>
  <c r="C11" i="9"/>
  <c r="C28" i="9"/>
  <c r="C32" i="9"/>
  <c r="C17" i="9"/>
  <c r="C8" i="9"/>
  <c r="C22" i="9"/>
  <c r="C36" i="9"/>
  <c r="C9" i="9"/>
  <c r="C10" i="9"/>
  <c r="C12" i="9"/>
  <c r="C26" i="9"/>
  <c r="C13" i="9"/>
  <c r="C27" i="9"/>
  <c r="C14" i="9"/>
  <c r="C15" i="9"/>
  <c r="C16" i="9"/>
  <c r="C71" i="9"/>
  <c r="C72" i="9"/>
  <c r="C70" i="9"/>
  <c r="C68" i="9"/>
  <c r="C69" i="9"/>
  <c r="C103" i="9"/>
  <c r="C117" i="9"/>
  <c r="C118" i="9"/>
  <c r="C106" i="9"/>
  <c r="C121" i="9"/>
  <c r="C104" i="9"/>
  <c r="C119" i="9"/>
  <c r="C122" i="9"/>
  <c r="C115" i="9"/>
  <c r="C98" i="9"/>
  <c r="C101" i="9"/>
  <c r="C105" i="9"/>
  <c r="C120" i="9"/>
  <c r="C107" i="9"/>
  <c r="C99" i="9"/>
  <c r="C128" i="9"/>
  <c r="C126" i="9"/>
  <c r="C102" i="9"/>
  <c r="C123" i="9"/>
  <c r="C114" i="9"/>
  <c r="C112" i="9"/>
  <c r="C108" i="9"/>
  <c r="C109" i="9"/>
  <c r="C127" i="9"/>
  <c r="C100" i="9"/>
  <c r="C116" i="9"/>
  <c r="C110" i="9"/>
  <c r="C124" i="9"/>
  <c r="C111" i="9"/>
  <c r="C125" i="9"/>
  <c r="C113" i="9"/>
  <c r="N41" i="11"/>
  <c r="C4" i="9"/>
  <c r="C5" i="9"/>
  <c r="C3" i="9"/>
  <c r="V2" i="8"/>
  <c r="W2" i="8"/>
  <c r="T713" i="8" l="1"/>
  <c r="A712" i="8"/>
  <c r="Q713" i="8"/>
  <c r="N713" i="8"/>
  <c r="E16" i="1"/>
  <c r="N42" i="11"/>
  <c r="K892" i="8"/>
  <c r="K916" i="8" s="1"/>
  <c r="K940" i="8" s="1"/>
  <c r="K964" i="8" s="1"/>
  <c r="K988" i="8" s="1"/>
  <c r="K1012" i="8" s="1"/>
  <c r="K1036" i="8" s="1"/>
  <c r="K1060" i="8" s="1"/>
  <c r="K1084" i="8" s="1"/>
  <c r="K1108" i="8" s="1"/>
  <c r="K1132" i="8" s="1"/>
  <c r="K1156" i="8" s="1"/>
  <c r="K1180" i="8" s="1"/>
  <c r="K1204" i="8" s="1"/>
  <c r="K1228" i="8" s="1"/>
  <c r="K1252" i="8" s="1"/>
  <c r="K1276" i="8" s="1"/>
  <c r="K1300" i="8" s="1"/>
  <c r="K1324" i="8" s="1"/>
  <c r="K1348" i="8" s="1"/>
  <c r="K1372" i="8" s="1"/>
  <c r="K1396" i="8" s="1"/>
  <c r="K1420" i="8" s="1"/>
  <c r="K1444" i="8" s="1"/>
  <c r="K1468" i="8" s="1"/>
  <c r="K1492" i="8" s="1"/>
  <c r="K1516" i="8" s="1"/>
  <c r="K1540" i="8" s="1"/>
  <c r="K1564" i="8" s="1"/>
  <c r="K1588" i="8" s="1"/>
  <c r="K1612" i="8" s="1"/>
  <c r="K1636" i="8" s="1"/>
  <c r="K1660" i="8" s="1"/>
  <c r="K1684" i="8" s="1"/>
  <c r="K1708" i="8" s="1"/>
  <c r="K1732" i="8" s="1"/>
  <c r="K1756" i="8" s="1"/>
  <c r="K1780" i="8" s="1"/>
  <c r="K1804" i="8" s="1"/>
  <c r="K1828" i="8" s="1"/>
  <c r="K1852" i="8" s="1"/>
  <c r="K1876" i="8" s="1"/>
  <c r="K1900" i="8" s="1"/>
  <c r="K1924" i="8" s="1"/>
  <c r="K1948" i="8" s="1"/>
  <c r="K1972" i="8" s="1"/>
  <c r="K1996" i="8" s="1"/>
  <c r="K2020" i="8" s="1"/>
  <c r="K2044" i="8" s="1"/>
  <c r="K2068" i="8" s="1"/>
  <c r="K2092" i="8" s="1"/>
  <c r="K2116" i="8" s="1"/>
  <c r="K2140" i="8" s="1"/>
  <c r="K2164" i="8" s="1"/>
  <c r="K2188" i="8" s="1"/>
  <c r="K2212" i="8" s="1"/>
  <c r="K2236" i="8" s="1"/>
  <c r="K2260" i="8" s="1"/>
  <c r="K2284" i="8" s="1"/>
  <c r="K2308" i="8" s="1"/>
  <c r="K2332" i="8" s="1"/>
  <c r="K2356" i="8" s="1"/>
  <c r="K2380" i="8" s="1"/>
  <c r="K2404" i="8" s="1"/>
  <c r="K2428" i="8" s="1"/>
  <c r="K2452" i="8" s="1"/>
  <c r="K2476" i="8" s="1"/>
  <c r="K2500" i="8" s="1"/>
  <c r="K2524" i="8" s="1"/>
  <c r="K2548" i="8" s="1"/>
  <c r="K2572" i="8" s="1"/>
  <c r="K2596" i="8" s="1"/>
  <c r="K2620" i="8" s="1"/>
  <c r="K2644" i="8" s="1"/>
  <c r="K2668" i="8" s="1"/>
  <c r="K2692" i="8" s="1"/>
  <c r="K2716" i="8" s="1"/>
  <c r="K2740" i="8" s="1"/>
  <c r="K2764" i="8" s="1"/>
  <c r="K2788" i="8" s="1"/>
  <c r="K2812" i="8" s="1"/>
  <c r="K2836" i="8" s="1"/>
  <c r="K2860" i="8" s="1"/>
  <c r="K2884" i="8" s="1"/>
  <c r="K2908" i="8" s="1"/>
  <c r="K2932" i="8" s="1"/>
  <c r="K2956" i="8" s="1"/>
  <c r="K2980" i="8" s="1"/>
  <c r="K3004" i="8" s="1"/>
  <c r="K893" i="8"/>
  <c r="K917" i="8" s="1"/>
  <c r="K941" i="8" s="1"/>
  <c r="K965" i="8" s="1"/>
  <c r="K989" i="8" s="1"/>
  <c r="K1013" i="8" s="1"/>
  <c r="K1037" i="8" s="1"/>
  <c r="K1061" i="8" s="1"/>
  <c r="K1085" i="8" s="1"/>
  <c r="K1109" i="8" s="1"/>
  <c r="K1133" i="8" s="1"/>
  <c r="K1157" i="8" s="1"/>
  <c r="K1181" i="8" s="1"/>
  <c r="K1205" i="8" s="1"/>
  <c r="K1229" i="8" s="1"/>
  <c r="K1253" i="8" s="1"/>
  <c r="K1277" i="8" s="1"/>
  <c r="K1301" i="8" s="1"/>
  <c r="K1325" i="8" s="1"/>
  <c r="K1349" i="8" s="1"/>
  <c r="K1373" i="8" s="1"/>
  <c r="K1397" i="8" s="1"/>
  <c r="K1421" i="8" s="1"/>
  <c r="K1445" i="8" s="1"/>
  <c r="K1469" i="8" s="1"/>
  <c r="K1493" i="8" s="1"/>
  <c r="K1517" i="8" s="1"/>
  <c r="K1541" i="8" s="1"/>
  <c r="K1565" i="8" s="1"/>
  <c r="K1589" i="8" s="1"/>
  <c r="K1613" i="8" s="1"/>
  <c r="K1637" i="8" s="1"/>
  <c r="K1661" i="8" s="1"/>
  <c r="K1685" i="8" s="1"/>
  <c r="K1709" i="8" s="1"/>
  <c r="K1733" i="8" s="1"/>
  <c r="K1757" i="8" s="1"/>
  <c r="K1781" i="8" s="1"/>
  <c r="K1805" i="8" s="1"/>
  <c r="K1829" i="8" s="1"/>
  <c r="K1853" i="8" s="1"/>
  <c r="K1877" i="8" s="1"/>
  <c r="K1901" i="8" s="1"/>
  <c r="K1925" i="8" s="1"/>
  <c r="K1949" i="8" s="1"/>
  <c r="K1973" i="8" s="1"/>
  <c r="K1997" i="8" s="1"/>
  <c r="K2021" i="8" s="1"/>
  <c r="K2045" i="8" s="1"/>
  <c r="K2069" i="8" s="1"/>
  <c r="K2093" i="8" s="1"/>
  <c r="K2117" i="8" s="1"/>
  <c r="K2141" i="8" s="1"/>
  <c r="K2165" i="8" s="1"/>
  <c r="K2189" i="8" s="1"/>
  <c r="K2213" i="8" s="1"/>
  <c r="K2237" i="8" s="1"/>
  <c r="K2261" i="8" s="1"/>
  <c r="K2285" i="8" s="1"/>
  <c r="K2309" i="8" s="1"/>
  <c r="K2333" i="8" s="1"/>
  <c r="K2357" i="8" s="1"/>
  <c r="K2381" i="8" s="1"/>
  <c r="K2405" i="8" s="1"/>
  <c r="K2429" i="8" s="1"/>
  <c r="K2453" i="8" s="1"/>
  <c r="K2477" i="8" s="1"/>
  <c r="K2501" i="8" s="1"/>
  <c r="K2525" i="8" s="1"/>
  <c r="K2549" i="8" s="1"/>
  <c r="K2573" i="8" s="1"/>
  <c r="K2597" i="8" s="1"/>
  <c r="K2621" i="8" s="1"/>
  <c r="K2645" i="8" s="1"/>
  <c r="K2669" i="8" s="1"/>
  <c r="K2693" i="8" s="1"/>
  <c r="K2717" i="8" s="1"/>
  <c r="K2741" i="8" s="1"/>
  <c r="K2765" i="8" s="1"/>
  <c r="K2789" i="8" s="1"/>
  <c r="K2813" i="8" s="1"/>
  <c r="K2837" i="8" s="1"/>
  <c r="K2861" i="8" s="1"/>
  <c r="K2885" i="8" s="1"/>
  <c r="K2909" i="8" s="1"/>
  <c r="K2933" i="8" s="1"/>
  <c r="K2957" i="8" s="1"/>
  <c r="K2981" i="8" s="1"/>
  <c r="K3005" i="8" s="1"/>
  <c r="K894" i="8"/>
  <c r="K918" i="8" s="1"/>
  <c r="K942" i="8" s="1"/>
  <c r="K966" i="8" s="1"/>
  <c r="K990" i="8" s="1"/>
  <c r="K1014" i="8" s="1"/>
  <c r="K1038" i="8" s="1"/>
  <c r="K1062" i="8" s="1"/>
  <c r="K1086" i="8" s="1"/>
  <c r="K1110" i="8" s="1"/>
  <c r="K1134" i="8" s="1"/>
  <c r="K1158" i="8" s="1"/>
  <c r="K1182" i="8" s="1"/>
  <c r="K1206" i="8" s="1"/>
  <c r="K1230" i="8" s="1"/>
  <c r="K1254" i="8" s="1"/>
  <c r="K1278" i="8" s="1"/>
  <c r="K1302" i="8" s="1"/>
  <c r="K1326" i="8" s="1"/>
  <c r="K1350" i="8" s="1"/>
  <c r="K1374" i="8" s="1"/>
  <c r="K1398" i="8" s="1"/>
  <c r="K1422" i="8" s="1"/>
  <c r="K1446" i="8" s="1"/>
  <c r="K1470" i="8" s="1"/>
  <c r="K1494" i="8" s="1"/>
  <c r="K1518" i="8" s="1"/>
  <c r="K1542" i="8" s="1"/>
  <c r="K1566" i="8" s="1"/>
  <c r="K1590" i="8" s="1"/>
  <c r="K1614" i="8" s="1"/>
  <c r="K1638" i="8" s="1"/>
  <c r="K1662" i="8" s="1"/>
  <c r="K1686" i="8" s="1"/>
  <c r="K1710" i="8" s="1"/>
  <c r="K1734" i="8" s="1"/>
  <c r="K1758" i="8" s="1"/>
  <c r="K1782" i="8" s="1"/>
  <c r="K1806" i="8" s="1"/>
  <c r="K1830" i="8" s="1"/>
  <c r="K1854" i="8" s="1"/>
  <c r="K1878" i="8" s="1"/>
  <c r="K1902" i="8" s="1"/>
  <c r="K1926" i="8" s="1"/>
  <c r="K1950" i="8" s="1"/>
  <c r="K1974" i="8" s="1"/>
  <c r="K1998" i="8" s="1"/>
  <c r="K2022" i="8" s="1"/>
  <c r="K2046" i="8" s="1"/>
  <c r="K2070" i="8" s="1"/>
  <c r="K2094" i="8" s="1"/>
  <c r="K2118" i="8" s="1"/>
  <c r="K2142" i="8" s="1"/>
  <c r="K2166" i="8" s="1"/>
  <c r="K2190" i="8" s="1"/>
  <c r="K2214" i="8" s="1"/>
  <c r="K2238" i="8" s="1"/>
  <c r="K2262" i="8" s="1"/>
  <c r="K2286" i="8" s="1"/>
  <c r="K2310" i="8" s="1"/>
  <c r="K2334" i="8" s="1"/>
  <c r="K2358" i="8" s="1"/>
  <c r="K2382" i="8" s="1"/>
  <c r="K2406" i="8" s="1"/>
  <c r="K2430" i="8" s="1"/>
  <c r="K2454" i="8" s="1"/>
  <c r="K2478" i="8" s="1"/>
  <c r="K2502" i="8" s="1"/>
  <c r="K2526" i="8" s="1"/>
  <c r="K2550" i="8" s="1"/>
  <c r="K2574" i="8" s="1"/>
  <c r="K2598" i="8" s="1"/>
  <c r="K2622" i="8" s="1"/>
  <c r="K2646" i="8" s="1"/>
  <c r="K2670" i="8" s="1"/>
  <c r="K2694" i="8" s="1"/>
  <c r="K2718" i="8" s="1"/>
  <c r="K2742" i="8" s="1"/>
  <c r="K2766" i="8" s="1"/>
  <c r="K2790" i="8" s="1"/>
  <c r="K2814" i="8" s="1"/>
  <c r="K2838" i="8" s="1"/>
  <c r="K2862" i="8" s="1"/>
  <c r="K2886" i="8" s="1"/>
  <c r="K2910" i="8" s="1"/>
  <c r="K2934" i="8" s="1"/>
  <c r="K2958" i="8" s="1"/>
  <c r="K2982" i="8" s="1"/>
  <c r="K3006" i="8" s="1"/>
  <c r="K895" i="8"/>
  <c r="K919" i="8" s="1"/>
  <c r="K943" i="8" s="1"/>
  <c r="K967" i="8" s="1"/>
  <c r="K991" i="8" s="1"/>
  <c r="K1015" i="8" s="1"/>
  <c r="K1039" i="8" s="1"/>
  <c r="K1063" i="8" s="1"/>
  <c r="K1087" i="8" s="1"/>
  <c r="K1111" i="8" s="1"/>
  <c r="K1135" i="8" s="1"/>
  <c r="K1159" i="8" s="1"/>
  <c r="K1183" i="8" s="1"/>
  <c r="K1207" i="8" s="1"/>
  <c r="K1231" i="8" s="1"/>
  <c r="K1255" i="8" s="1"/>
  <c r="K1279" i="8" s="1"/>
  <c r="K1303" i="8" s="1"/>
  <c r="K1327" i="8" s="1"/>
  <c r="K1351" i="8" s="1"/>
  <c r="K1375" i="8" s="1"/>
  <c r="K1399" i="8" s="1"/>
  <c r="K1423" i="8" s="1"/>
  <c r="K1447" i="8" s="1"/>
  <c r="K1471" i="8" s="1"/>
  <c r="K1495" i="8" s="1"/>
  <c r="K1519" i="8" s="1"/>
  <c r="K1543" i="8" s="1"/>
  <c r="K1567" i="8" s="1"/>
  <c r="K1591" i="8" s="1"/>
  <c r="K1615" i="8" s="1"/>
  <c r="K1639" i="8" s="1"/>
  <c r="K1663" i="8" s="1"/>
  <c r="K1687" i="8" s="1"/>
  <c r="K1711" i="8" s="1"/>
  <c r="K1735" i="8" s="1"/>
  <c r="K1759" i="8" s="1"/>
  <c r="K1783" i="8" s="1"/>
  <c r="K1807" i="8" s="1"/>
  <c r="K1831" i="8" s="1"/>
  <c r="K1855" i="8" s="1"/>
  <c r="K1879" i="8" s="1"/>
  <c r="K1903" i="8" s="1"/>
  <c r="K1927" i="8" s="1"/>
  <c r="K1951" i="8" s="1"/>
  <c r="K1975" i="8" s="1"/>
  <c r="K1999" i="8" s="1"/>
  <c r="K2023" i="8" s="1"/>
  <c r="K2047" i="8" s="1"/>
  <c r="K2071" i="8" s="1"/>
  <c r="K2095" i="8" s="1"/>
  <c r="K2119" i="8" s="1"/>
  <c r="K2143" i="8" s="1"/>
  <c r="K2167" i="8" s="1"/>
  <c r="K2191" i="8" s="1"/>
  <c r="K2215" i="8" s="1"/>
  <c r="K2239" i="8" s="1"/>
  <c r="K2263" i="8" s="1"/>
  <c r="K2287" i="8" s="1"/>
  <c r="K2311" i="8" s="1"/>
  <c r="K2335" i="8" s="1"/>
  <c r="K2359" i="8" s="1"/>
  <c r="K2383" i="8" s="1"/>
  <c r="K2407" i="8" s="1"/>
  <c r="K2431" i="8" s="1"/>
  <c r="K2455" i="8" s="1"/>
  <c r="K2479" i="8" s="1"/>
  <c r="K2503" i="8" s="1"/>
  <c r="K2527" i="8" s="1"/>
  <c r="K2551" i="8" s="1"/>
  <c r="K2575" i="8" s="1"/>
  <c r="K2599" i="8" s="1"/>
  <c r="K2623" i="8" s="1"/>
  <c r="K2647" i="8" s="1"/>
  <c r="K2671" i="8" s="1"/>
  <c r="K2695" i="8" s="1"/>
  <c r="K2719" i="8" s="1"/>
  <c r="K2743" i="8" s="1"/>
  <c r="K2767" i="8" s="1"/>
  <c r="K2791" i="8" s="1"/>
  <c r="K2815" i="8" s="1"/>
  <c r="K2839" i="8" s="1"/>
  <c r="K2863" i="8" s="1"/>
  <c r="K2887" i="8" s="1"/>
  <c r="K2911" i="8" s="1"/>
  <c r="K2935" i="8" s="1"/>
  <c r="K2959" i="8" s="1"/>
  <c r="K2983" i="8" s="1"/>
  <c r="K3007" i="8" s="1"/>
  <c r="K896" i="8"/>
  <c r="K920" i="8" s="1"/>
  <c r="K944" i="8" s="1"/>
  <c r="K968" i="8" s="1"/>
  <c r="K992" i="8" s="1"/>
  <c r="K1016" i="8" s="1"/>
  <c r="K1040" i="8" s="1"/>
  <c r="K1064" i="8" s="1"/>
  <c r="K1088" i="8" s="1"/>
  <c r="K1112" i="8" s="1"/>
  <c r="K1136" i="8" s="1"/>
  <c r="K1160" i="8" s="1"/>
  <c r="K1184" i="8" s="1"/>
  <c r="K1208" i="8" s="1"/>
  <c r="K1232" i="8" s="1"/>
  <c r="K1256" i="8" s="1"/>
  <c r="K1280" i="8" s="1"/>
  <c r="K1304" i="8" s="1"/>
  <c r="K1328" i="8" s="1"/>
  <c r="K1352" i="8" s="1"/>
  <c r="K1376" i="8" s="1"/>
  <c r="K1400" i="8" s="1"/>
  <c r="K1424" i="8" s="1"/>
  <c r="K1448" i="8" s="1"/>
  <c r="K1472" i="8" s="1"/>
  <c r="K1496" i="8" s="1"/>
  <c r="K1520" i="8" s="1"/>
  <c r="K1544" i="8" s="1"/>
  <c r="K1568" i="8" s="1"/>
  <c r="K1592" i="8" s="1"/>
  <c r="K1616" i="8" s="1"/>
  <c r="K1640" i="8" s="1"/>
  <c r="K1664" i="8" s="1"/>
  <c r="K1688" i="8" s="1"/>
  <c r="K1712" i="8" s="1"/>
  <c r="K1736" i="8" s="1"/>
  <c r="K1760" i="8" s="1"/>
  <c r="K1784" i="8" s="1"/>
  <c r="K1808" i="8" s="1"/>
  <c r="K1832" i="8" s="1"/>
  <c r="K1856" i="8" s="1"/>
  <c r="K1880" i="8" s="1"/>
  <c r="K1904" i="8" s="1"/>
  <c r="K1928" i="8" s="1"/>
  <c r="K1952" i="8" s="1"/>
  <c r="K1976" i="8" s="1"/>
  <c r="K2000" i="8" s="1"/>
  <c r="K2024" i="8" s="1"/>
  <c r="K2048" i="8" s="1"/>
  <c r="K2072" i="8" s="1"/>
  <c r="K2096" i="8" s="1"/>
  <c r="K2120" i="8" s="1"/>
  <c r="K2144" i="8" s="1"/>
  <c r="K2168" i="8" s="1"/>
  <c r="K2192" i="8" s="1"/>
  <c r="K2216" i="8" s="1"/>
  <c r="K2240" i="8" s="1"/>
  <c r="K2264" i="8" s="1"/>
  <c r="K2288" i="8" s="1"/>
  <c r="K2312" i="8" s="1"/>
  <c r="K2336" i="8" s="1"/>
  <c r="K2360" i="8" s="1"/>
  <c r="K2384" i="8" s="1"/>
  <c r="K2408" i="8" s="1"/>
  <c r="K2432" i="8" s="1"/>
  <c r="K2456" i="8" s="1"/>
  <c r="K2480" i="8" s="1"/>
  <c r="K2504" i="8" s="1"/>
  <c r="K2528" i="8" s="1"/>
  <c r="K2552" i="8" s="1"/>
  <c r="K2576" i="8" s="1"/>
  <c r="K2600" i="8" s="1"/>
  <c r="K2624" i="8" s="1"/>
  <c r="K2648" i="8" s="1"/>
  <c r="K2672" i="8" s="1"/>
  <c r="K2696" i="8" s="1"/>
  <c r="K2720" i="8" s="1"/>
  <c r="K2744" i="8" s="1"/>
  <c r="K2768" i="8" s="1"/>
  <c r="K2792" i="8" s="1"/>
  <c r="K2816" i="8" s="1"/>
  <c r="K2840" i="8" s="1"/>
  <c r="K2864" i="8" s="1"/>
  <c r="K2888" i="8" s="1"/>
  <c r="K2912" i="8" s="1"/>
  <c r="K2936" i="8" s="1"/>
  <c r="K2960" i="8" s="1"/>
  <c r="K2984" i="8" s="1"/>
  <c r="K3008" i="8" s="1"/>
  <c r="K897" i="8"/>
  <c r="K921" i="8" s="1"/>
  <c r="K945" i="8" s="1"/>
  <c r="K969" i="8" s="1"/>
  <c r="K993" i="8" s="1"/>
  <c r="K1017" i="8" s="1"/>
  <c r="K1041" i="8" s="1"/>
  <c r="K1065" i="8" s="1"/>
  <c r="K1089" i="8" s="1"/>
  <c r="K1113" i="8" s="1"/>
  <c r="K1137" i="8" s="1"/>
  <c r="K1161" i="8" s="1"/>
  <c r="K1185" i="8" s="1"/>
  <c r="K1209" i="8" s="1"/>
  <c r="K1233" i="8" s="1"/>
  <c r="K1257" i="8" s="1"/>
  <c r="K1281" i="8" s="1"/>
  <c r="K1305" i="8" s="1"/>
  <c r="K1329" i="8" s="1"/>
  <c r="K1353" i="8" s="1"/>
  <c r="K1377" i="8" s="1"/>
  <c r="K1401" i="8" s="1"/>
  <c r="K1425" i="8" s="1"/>
  <c r="K1449" i="8" s="1"/>
  <c r="K1473" i="8" s="1"/>
  <c r="K1497" i="8" s="1"/>
  <c r="K1521" i="8" s="1"/>
  <c r="K1545" i="8" s="1"/>
  <c r="K1569" i="8" s="1"/>
  <c r="K1593" i="8" s="1"/>
  <c r="K1617" i="8" s="1"/>
  <c r="K1641" i="8" s="1"/>
  <c r="K1665" i="8" s="1"/>
  <c r="K1689" i="8" s="1"/>
  <c r="K1713" i="8" s="1"/>
  <c r="K1737" i="8" s="1"/>
  <c r="K1761" i="8" s="1"/>
  <c r="K1785" i="8" s="1"/>
  <c r="K1809" i="8" s="1"/>
  <c r="K1833" i="8" s="1"/>
  <c r="K1857" i="8" s="1"/>
  <c r="K1881" i="8" s="1"/>
  <c r="K1905" i="8" s="1"/>
  <c r="K1929" i="8" s="1"/>
  <c r="K1953" i="8" s="1"/>
  <c r="K1977" i="8" s="1"/>
  <c r="K2001" i="8" s="1"/>
  <c r="K2025" i="8" s="1"/>
  <c r="K2049" i="8" s="1"/>
  <c r="K2073" i="8" s="1"/>
  <c r="K2097" i="8" s="1"/>
  <c r="K2121" i="8" s="1"/>
  <c r="K2145" i="8" s="1"/>
  <c r="K2169" i="8" s="1"/>
  <c r="K2193" i="8" s="1"/>
  <c r="K2217" i="8" s="1"/>
  <c r="K2241" i="8" s="1"/>
  <c r="K2265" i="8" s="1"/>
  <c r="K2289" i="8" s="1"/>
  <c r="K2313" i="8" s="1"/>
  <c r="K2337" i="8" s="1"/>
  <c r="K2361" i="8" s="1"/>
  <c r="K2385" i="8" s="1"/>
  <c r="K2409" i="8" s="1"/>
  <c r="K2433" i="8" s="1"/>
  <c r="K2457" i="8" s="1"/>
  <c r="K2481" i="8" s="1"/>
  <c r="K2505" i="8" s="1"/>
  <c r="K2529" i="8" s="1"/>
  <c r="K2553" i="8" s="1"/>
  <c r="K2577" i="8" s="1"/>
  <c r="K2601" i="8" s="1"/>
  <c r="K2625" i="8" s="1"/>
  <c r="K2649" i="8" s="1"/>
  <c r="K2673" i="8" s="1"/>
  <c r="K2697" i="8" s="1"/>
  <c r="K2721" i="8" s="1"/>
  <c r="K2745" i="8" s="1"/>
  <c r="K2769" i="8" s="1"/>
  <c r="K2793" i="8" s="1"/>
  <c r="K2817" i="8" s="1"/>
  <c r="K2841" i="8" s="1"/>
  <c r="K2865" i="8" s="1"/>
  <c r="K2889" i="8" s="1"/>
  <c r="K2913" i="8" s="1"/>
  <c r="K2937" i="8" s="1"/>
  <c r="K2961" i="8" s="1"/>
  <c r="K2985" i="8" s="1"/>
  <c r="K3009" i="8" s="1"/>
  <c r="K898" i="8"/>
  <c r="K922" i="8" s="1"/>
  <c r="K946" i="8" s="1"/>
  <c r="K970" i="8" s="1"/>
  <c r="K994" i="8" s="1"/>
  <c r="K1018" i="8" s="1"/>
  <c r="K1042" i="8" s="1"/>
  <c r="K1066" i="8" s="1"/>
  <c r="K1090" i="8" s="1"/>
  <c r="K1114" i="8" s="1"/>
  <c r="K1138" i="8" s="1"/>
  <c r="K1162" i="8" s="1"/>
  <c r="K1186" i="8" s="1"/>
  <c r="K1210" i="8" s="1"/>
  <c r="K1234" i="8" s="1"/>
  <c r="K1258" i="8" s="1"/>
  <c r="K1282" i="8" s="1"/>
  <c r="K1306" i="8" s="1"/>
  <c r="K1330" i="8" s="1"/>
  <c r="K1354" i="8" s="1"/>
  <c r="K1378" i="8" s="1"/>
  <c r="K1402" i="8" s="1"/>
  <c r="K1426" i="8" s="1"/>
  <c r="K1450" i="8" s="1"/>
  <c r="K1474" i="8" s="1"/>
  <c r="K1498" i="8" s="1"/>
  <c r="K1522" i="8" s="1"/>
  <c r="K1546" i="8" s="1"/>
  <c r="K1570" i="8" s="1"/>
  <c r="K1594" i="8" s="1"/>
  <c r="K1618" i="8" s="1"/>
  <c r="K1642" i="8" s="1"/>
  <c r="K1666" i="8" s="1"/>
  <c r="K1690" i="8" s="1"/>
  <c r="K1714" i="8" s="1"/>
  <c r="K1738" i="8" s="1"/>
  <c r="K1762" i="8" s="1"/>
  <c r="K1786" i="8" s="1"/>
  <c r="K1810" i="8" s="1"/>
  <c r="K1834" i="8" s="1"/>
  <c r="K1858" i="8" s="1"/>
  <c r="K1882" i="8" s="1"/>
  <c r="K1906" i="8" s="1"/>
  <c r="K1930" i="8" s="1"/>
  <c r="K1954" i="8" s="1"/>
  <c r="K1978" i="8" s="1"/>
  <c r="K2002" i="8" s="1"/>
  <c r="K2026" i="8" s="1"/>
  <c r="K2050" i="8" s="1"/>
  <c r="K2074" i="8" s="1"/>
  <c r="K2098" i="8" s="1"/>
  <c r="K2122" i="8" s="1"/>
  <c r="K2146" i="8" s="1"/>
  <c r="K2170" i="8" s="1"/>
  <c r="K2194" i="8" s="1"/>
  <c r="K2218" i="8" s="1"/>
  <c r="K2242" i="8" s="1"/>
  <c r="K2266" i="8" s="1"/>
  <c r="K2290" i="8" s="1"/>
  <c r="K2314" i="8" s="1"/>
  <c r="K2338" i="8" s="1"/>
  <c r="K2362" i="8" s="1"/>
  <c r="K2386" i="8" s="1"/>
  <c r="K2410" i="8" s="1"/>
  <c r="K2434" i="8" s="1"/>
  <c r="K2458" i="8" s="1"/>
  <c r="K2482" i="8" s="1"/>
  <c r="K2506" i="8" s="1"/>
  <c r="K2530" i="8" s="1"/>
  <c r="K2554" i="8" s="1"/>
  <c r="K2578" i="8" s="1"/>
  <c r="K2602" i="8" s="1"/>
  <c r="K2626" i="8" s="1"/>
  <c r="K2650" i="8" s="1"/>
  <c r="K2674" i="8" s="1"/>
  <c r="K2698" i="8" s="1"/>
  <c r="K2722" i="8" s="1"/>
  <c r="K2746" i="8" s="1"/>
  <c r="K2770" i="8" s="1"/>
  <c r="K2794" i="8" s="1"/>
  <c r="K2818" i="8" s="1"/>
  <c r="K2842" i="8" s="1"/>
  <c r="K2866" i="8" s="1"/>
  <c r="K2890" i="8" s="1"/>
  <c r="K2914" i="8" s="1"/>
  <c r="K2938" i="8" s="1"/>
  <c r="K2962" i="8" s="1"/>
  <c r="K2986" i="8" s="1"/>
  <c r="K3010" i="8" s="1"/>
  <c r="K899" i="8"/>
  <c r="K923" i="8" s="1"/>
  <c r="K947" i="8" s="1"/>
  <c r="K971" i="8" s="1"/>
  <c r="K995" i="8" s="1"/>
  <c r="K1019" i="8" s="1"/>
  <c r="K1043" i="8" s="1"/>
  <c r="K1067" i="8" s="1"/>
  <c r="K1091" i="8" s="1"/>
  <c r="K1115" i="8" s="1"/>
  <c r="K1139" i="8" s="1"/>
  <c r="K1163" i="8" s="1"/>
  <c r="K1187" i="8" s="1"/>
  <c r="K1211" i="8" s="1"/>
  <c r="K1235" i="8" s="1"/>
  <c r="K1259" i="8" s="1"/>
  <c r="K1283" i="8" s="1"/>
  <c r="K1307" i="8" s="1"/>
  <c r="K1331" i="8" s="1"/>
  <c r="K1355" i="8" s="1"/>
  <c r="K1379" i="8" s="1"/>
  <c r="K1403" i="8" s="1"/>
  <c r="K1427" i="8" s="1"/>
  <c r="K1451" i="8" s="1"/>
  <c r="K1475" i="8" s="1"/>
  <c r="K1499" i="8" s="1"/>
  <c r="K1523" i="8" s="1"/>
  <c r="K1547" i="8" s="1"/>
  <c r="K1571" i="8" s="1"/>
  <c r="K1595" i="8" s="1"/>
  <c r="K1619" i="8" s="1"/>
  <c r="K1643" i="8" s="1"/>
  <c r="K1667" i="8" s="1"/>
  <c r="K1691" i="8" s="1"/>
  <c r="K1715" i="8" s="1"/>
  <c r="K1739" i="8" s="1"/>
  <c r="K1763" i="8" s="1"/>
  <c r="K1787" i="8" s="1"/>
  <c r="K1811" i="8" s="1"/>
  <c r="K1835" i="8" s="1"/>
  <c r="K1859" i="8" s="1"/>
  <c r="K1883" i="8" s="1"/>
  <c r="K1907" i="8" s="1"/>
  <c r="K1931" i="8" s="1"/>
  <c r="K1955" i="8" s="1"/>
  <c r="K1979" i="8" s="1"/>
  <c r="K2003" i="8" s="1"/>
  <c r="K2027" i="8" s="1"/>
  <c r="K2051" i="8" s="1"/>
  <c r="K2075" i="8" s="1"/>
  <c r="K2099" i="8" s="1"/>
  <c r="K2123" i="8" s="1"/>
  <c r="K2147" i="8" s="1"/>
  <c r="K2171" i="8" s="1"/>
  <c r="K2195" i="8" s="1"/>
  <c r="K2219" i="8" s="1"/>
  <c r="K2243" i="8" s="1"/>
  <c r="K2267" i="8" s="1"/>
  <c r="K2291" i="8" s="1"/>
  <c r="K2315" i="8" s="1"/>
  <c r="K2339" i="8" s="1"/>
  <c r="K2363" i="8" s="1"/>
  <c r="K2387" i="8" s="1"/>
  <c r="K2411" i="8" s="1"/>
  <c r="K2435" i="8" s="1"/>
  <c r="K2459" i="8" s="1"/>
  <c r="K2483" i="8" s="1"/>
  <c r="K2507" i="8" s="1"/>
  <c r="K2531" i="8" s="1"/>
  <c r="K2555" i="8" s="1"/>
  <c r="K2579" i="8" s="1"/>
  <c r="K2603" i="8" s="1"/>
  <c r="K2627" i="8" s="1"/>
  <c r="K2651" i="8" s="1"/>
  <c r="K2675" i="8" s="1"/>
  <c r="K2699" i="8" s="1"/>
  <c r="K2723" i="8" s="1"/>
  <c r="K2747" i="8" s="1"/>
  <c r="K2771" i="8" s="1"/>
  <c r="K2795" i="8" s="1"/>
  <c r="K2819" i="8" s="1"/>
  <c r="K2843" i="8" s="1"/>
  <c r="K2867" i="8" s="1"/>
  <c r="K2891" i="8" s="1"/>
  <c r="K2915" i="8" s="1"/>
  <c r="K2939" i="8" s="1"/>
  <c r="K2963" i="8" s="1"/>
  <c r="K2987" i="8" s="1"/>
  <c r="K3011" i="8" s="1"/>
  <c r="K900" i="8"/>
  <c r="K924" i="8" s="1"/>
  <c r="K948" i="8" s="1"/>
  <c r="K972" i="8" s="1"/>
  <c r="K996" i="8" s="1"/>
  <c r="K1020" i="8" s="1"/>
  <c r="K1044" i="8" s="1"/>
  <c r="K1068" i="8" s="1"/>
  <c r="K1092" i="8" s="1"/>
  <c r="K1116" i="8" s="1"/>
  <c r="K1140" i="8" s="1"/>
  <c r="K1164" i="8" s="1"/>
  <c r="K1188" i="8" s="1"/>
  <c r="K1212" i="8" s="1"/>
  <c r="K1236" i="8" s="1"/>
  <c r="K1260" i="8" s="1"/>
  <c r="K1284" i="8" s="1"/>
  <c r="K1308" i="8" s="1"/>
  <c r="K1332" i="8" s="1"/>
  <c r="K1356" i="8" s="1"/>
  <c r="K1380" i="8" s="1"/>
  <c r="K1404" i="8" s="1"/>
  <c r="K1428" i="8" s="1"/>
  <c r="K1452" i="8" s="1"/>
  <c r="K1476" i="8" s="1"/>
  <c r="K1500" i="8" s="1"/>
  <c r="K1524" i="8" s="1"/>
  <c r="K1548" i="8" s="1"/>
  <c r="K1572" i="8" s="1"/>
  <c r="K1596" i="8" s="1"/>
  <c r="K1620" i="8" s="1"/>
  <c r="K1644" i="8" s="1"/>
  <c r="K1668" i="8" s="1"/>
  <c r="K1692" i="8" s="1"/>
  <c r="K1716" i="8" s="1"/>
  <c r="K1740" i="8" s="1"/>
  <c r="K1764" i="8" s="1"/>
  <c r="K1788" i="8" s="1"/>
  <c r="K1812" i="8" s="1"/>
  <c r="K1836" i="8" s="1"/>
  <c r="K1860" i="8" s="1"/>
  <c r="K1884" i="8" s="1"/>
  <c r="K1908" i="8" s="1"/>
  <c r="K1932" i="8" s="1"/>
  <c r="K1956" i="8" s="1"/>
  <c r="K1980" i="8" s="1"/>
  <c r="K2004" i="8" s="1"/>
  <c r="K2028" i="8" s="1"/>
  <c r="K2052" i="8" s="1"/>
  <c r="K2076" i="8" s="1"/>
  <c r="K2100" i="8" s="1"/>
  <c r="K2124" i="8" s="1"/>
  <c r="K2148" i="8" s="1"/>
  <c r="K2172" i="8" s="1"/>
  <c r="K2196" i="8" s="1"/>
  <c r="K2220" i="8" s="1"/>
  <c r="K2244" i="8" s="1"/>
  <c r="K2268" i="8" s="1"/>
  <c r="K2292" i="8" s="1"/>
  <c r="K2316" i="8" s="1"/>
  <c r="K2340" i="8" s="1"/>
  <c r="K2364" i="8" s="1"/>
  <c r="K2388" i="8" s="1"/>
  <c r="K2412" i="8" s="1"/>
  <c r="K2436" i="8" s="1"/>
  <c r="K2460" i="8" s="1"/>
  <c r="K2484" i="8" s="1"/>
  <c r="K2508" i="8" s="1"/>
  <c r="K2532" i="8" s="1"/>
  <c r="K2556" i="8" s="1"/>
  <c r="K2580" i="8" s="1"/>
  <c r="K2604" i="8" s="1"/>
  <c r="K2628" i="8" s="1"/>
  <c r="K2652" i="8" s="1"/>
  <c r="K2676" i="8" s="1"/>
  <c r="K2700" i="8" s="1"/>
  <c r="K2724" i="8" s="1"/>
  <c r="K2748" i="8" s="1"/>
  <c r="K2772" i="8" s="1"/>
  <c r="K2796" i="8" s="1"/>
  <c r="K2820" i="8" s="1"/>
  <c r="K2844" i="8" s="1"/>
  <c r="K2868" i="8" s="1"/>
  <c r="K2892" i="8" s="1"/>
  <c r="K2916" i="8" s="1"/>
  <c r="K2940" i="8" s="1"/>
  <c r="K2964" i="8" s="1"/>
  <c r="K2988" i="8" s="1"/>
  <c r="K3012" i="8" s="1"/>
  <c r="K901" i="8"/>
  <c r="K925" i="8" s="1"/>
  <c r="K949" i="8" s="1"/>
  <c r="K973" i="8" s="1"/>
  <c r="K997" i="8" s="1"/>
  <c r="K1021" i="8" s="1"/>
  <c r="K1045" i="8" s="1"/>
  <c r="K1069" i="8" s="1"/>
  <c r="K1093" i="8" s="1"/>
  <c r="K1117" i="8" s="1"/>
  <c r="K1141" i="8" s="1"/>
  <c r="K1165" i="8" s="1"/>
  <c r="K1189" i="8" s="1"/>
  <c r="K1213" i="8" s="1"/>
  <c r="K1237" i="8" s="1"/>
  <c r="K1261" i="8" s="1"/>
  <c r="K1285" i="8" s="1"/>
  <c r="K1309" i="8" s="1"/>
  <c r="K1333" i="8" s="1"/>
  <c r="K1357" i="8" s="1"/>
  <c r="K1381" i="8" s="1"/>
  <c r="K1405" i="8" s="1"/>
  <c r="K1429" i="8" s="1"/>
  <c r="K1453" i="8" s="1"/>
  <c r="K1477" i="8" s="1"/>
  <c r="K1501" i="8" s="1"/>
  <c r="K1525" i="8" s="1"/>
  <c r="K1549" i="8" s="1"/>
  <c r="K1573" i="8" s="1"/>
  <c r="K1597" i="8" s="1"/>
  <c r="K1621" i="8" s="1"/>
  <c r="K1645" i="8" s="1"/>
  <c r="K1669" i="8" s="1"/>
  <c r="K1693" i="8" s="1"/>
  <c r="K1717" i="8" s="1"/>
  <c r="K1741" i="8" s="1"/>
  <c r="K1765" i="8" s="1"/>
  <c r="K1789" i="8" s="1"/>
  <c r="K1813" i="8" s="1"/>
  <c r="K1837" i="8" s="1"/>
  <c r="K1861" i="8" s="1"/>
  <c r="K1885" i="8" s="1"/>
  <c r="K1909" i="8" s="1"/>
  <c r="K1933" i="8" s="1"/>
  <c r="K1957" i="8" s="1"/>
  <c r="K1981" i="8" s="1"/>
  <c r="K2005" i="8" s="1"/>
  <c r="K2029" i="8" s="1"/>
  <c r="K2053" i="8" s="1"/>
  <c r="K2077" i="8" s="1"/>
  <c r="K2101" i="8" s="1"/>
  <c r="K2125" i="8" s="1"/>
  <c r="K2149" i="8" s="1"/>
  <c r="K2173" i="8" s="1"/>
  <c r="K2197" i="8" s="1"/>
  <c r="K2221" i="8" s="1"/>
  <c r="K2245" i="8" s="1"/>
  <c r="K2269" i="8" s="1"/>
  <c r="K2293" i="8" s="1"/>
  <c r="K2317" i="8" s="1"/>
  <c r="K2341" i="8" s="1"/>
  <c r="K2365" i="8" s="1"/>
  <c r="K2389" i="8" s="1"/>
  <c r="K2413" i="8" s="1"/>
  <c r="K2437" i="8" s="1"/>
  <c r="K2461" i="8" s="1"/>
  <c r="K2485" i="8" s="1"/>
  <c r="K2509" i="8" s="1"/>
  <c r="K2533" i="8" s="1"/>
  <c r="K2557" i="8" s="1"/>
  <c r="K2581" i="8" s="1"/>
  <c r="K2605" i="8" s="1"/>
  <c r="K2629" i="8" s="1"/>
  <c r="K2653" i="8" s="1"/>
  <c r="K2677" i="8" s="1"/>
  <c r="K2701" i="8" s="1"/>
  <c r="K2725" i="8" s="1"/>
  <c r="K2749" i="8" s="1"/>
  <c r="K2773" i="8" s="1"/>
  <c r="K2797" i="8" s="1"/>
  <c r="K2821" i="8" s="1"/>
  <c r="K2845" i="8" s="1"/>
  <c r="K2869" i="8" s="1"/>
  <c r="K2893" i="8" s="1"/>
  <c r="K2917" i="8" s="1"/>
  <c r="K2941" i="8" s="1"/>
  <c r="K2965" i="8" s="1"/>
  <c r="K2989" i="8" s="1"/>
  <c r="K3013" i="8" s="1"/>
  <c r="K902" i="8"/>
  <c r="K926" i="8" s="1"/>
  <c r="K950" i="8" s="1"/>
  <c r="K974" i="8" s="1"/>
  <c r="K998" i="8" s="1"/>
  <c r="K1022" i="8" s="1"/>
  <c r="K1046" i="8" s="1"/>
  <c r="K1070" i="8" s="1"/>
  <c r="K1094" i="8" s="1"/>
  <c r="K1118" i="8" s="1"/>
  <c r="K1142" i="8" s="1"/>
  <c r="K1166" i="8" s="1"/>
  <c r="K1190" i="8" s="1"/>
  <c r="K1214" i="8" s="1"/>
  <c r="K1238" i="8" s="1"/>
  <c r="K1262" i="8" s="1"/>
  <c r="K1286" i="8" s="1"/>
  <c r="K1310" i="8" s="1"/>
  <c r="K1334" i="8" s="1"/>
  <c r="K1358" i="8" s="1"/>
  <c r="K1382" i="8" s="1"/>
  <c r="K1406" i="8" s="1"/>
  <c r="K1430" i="8" s="1"/>
  <c r="K1454" i="8" s="1"/>
  <c r="K1478" i="8" s="1"/>
  <c r="K1502" i="8" s="1"/>
  <c r="K1526" i="8" s="1"/>
  <c r="K1550" i="8" s="1"/>
  <c r="K1574" i="8" s="1"/>
  <c r="K1598" i="8" s="1"/>
  <c r="K1622" i="8" s="1"/>
  <c r="K1646" i="8" s="1"/>
  <c r="K1670" i="8" s="1"/>
  <c r="K1694" i="8" s="1"/>
  <c r="K1718" i="8" s="1"/>
  <c r="K1742" i="8" s="1"/>
  <c r="K1766" i="8" s="1"/>
  <c r="K1790" i="8" s="1"/>
  <c r="K1814" i="8" s="1"/>
  <c r="K1838" i="8" s="1"/>
  <c r="K1862" i="8" s="1"/>
  <c r="K1886" i="8" s="1"/>
  <c r="K1910" i="8" s="1"/>
  <c r="K1934" i="8" s="1"/>
  <c r="K1958" i="8" s="1"/>
  <c r="K1982" i="8" s="1"/>
  <c r="K2006" i="8" s="1"/>
  <c r="K2030" i="8" s="1"/>
  <c r="K2054" i="8" s="1"/>
  <c r="K2078" i="8" s="1"/>
  <c r="K2102" i="8" s="1"/>
  <c r="K2126" i="8" s="1"/>
  <c r="K2150" i="8" s="1"/>
  <c r="K2174" i="8" s="1"/>
  <c r="K2198" i="8" s="1"/>
  <c r="K2222" i="8" s="1"/>
  <c r="K2246" i="8" s="1"/>
  <c r="K2270" i="8" s="1"/>
  <c r="K2294" i="8" s="1"/>
  <c r="K2318" i="8" s="1"/>
  <c r="K2342" i="8" s="1"/>
  <c r="K2366" i="8" s="1"/>
  <c r="K2390" i="8" s="1"/>
  <c r="K2414" i="8" s="1"/>
  <c r="K2438" i="8" s="1"/>
  <c r="K2462" i="8" s="1"/>
  <c r="K2486" i="8" s="1"/>
  <c r="K2510" i="8" s="1"/>
  <c r="K2534" i="8" s="1"/>
  <c r="K2558" i="8" s="1"/>
  <c r="K2582" i="8" s="1"/>
  <c r="K2606" i="8" s="1"/>
  <c r="K2630" i="8" s="1"/>
  <c r="K2654" i="8" s="1"/>
  <c r="K2678" i="8" s="1"/>
  <c r="K2702" i="8" s="1"/>
  <c r="K2726" i="8" s="1"/>
  <c r="K2750" i="8" s="1"/>
  <c r="K2774" i="8" s="1"/>
  <c r="K2798" i="8" s="1"/>
  <c r="K2822" i="8" s="1"/>
  <c r="K2846" i="8" s="1"/>
  <c r="K2870" i="8" s="1"/>
  <c r="K2894" i="8" s="1"/>
  <c r="K2918" i="8" s="1"/>
  <c r="K2942" i="8" s="1"/>
  <c r="K2966" i="8" s="1"/>
  <c r="K2990" i="8" s="1"/>
  <c r="K3014" i="8" s="1"/>
  <c r="K903" i="8"/>
  <c r="K927" i="8" s="1"/>
  <c r="K951" i="8" s="1"/>
  <c r="K975" i="8" s="1"/>
  <c r="K999" i="8" s="1"/>
  <c r="K1023" i="8" s="1"/>
  <c r="K1047" i="8" s="1"/>
  <c r="K1071" i="8" s="1"/>
  <c r="K1095" i="8" s="1"/>
  <c r="K1119" i="8" s="1"/>
  <c r="K1143" i="8" s="1"/>
  <c r="K1167" i="8" s="1"/>
  <c r="K1191" i="8" s="1"/>
  <c r="K1215" i="8" s="1"/>
  <c r="K1239" i="8" s="1"/>
  <c r="K1263" i="8" s="1"/>
  <c r="K1287" i="8" s="1"/>
  <c r="K1311" i="8" s="1"/>
  <c r="K1335" i="8" s="1"/>
  <c r="K1359" i="8" s="1"/>
  <c r="K1383" i="8" s="1"/>
  <c r="K1407" i="8" s="1"/>
  <c r="K1431" i="8" s="1"/>
  <c r="K1455" i="8" s="1"/>
  <c r="K1479" i="8" s="1"/>
  <c r="K1503" i="8" s="1"/>
  <c r="K1527" i="8" s="1"/>
  <c r="K1551" i="8" s="1"/>
  <c r="K1575" i="8" s="1"/>
  <c r="K1599" i="8" s="1"/>
  <c r="K1623" i="8" s="1"/>
  <c r="K1647" i="8" s="1"/>
  <c r="K1671" i="8" s="1"/>
  <c r="K1695" i="8" s="1"/>
  <c r="K1719" i="8" s="1"/>
  <c r="K1743" i="8" s="1"/>
  <c r="K1767" i="8" s="1"/>
  <c r="K1791" i="8" s="1"/>
  <c r="K1815" i="8" s="1"/>
  <c r="K1839" i="8" s="1"/>
  <c r="K1863" i="8" s="1"/>
  <c r="K1887" i="8" s="1"/>
  <c r="K1911" i="8" s="1"/>
  <c r="K1935" i="8" s="1"/>
  <c r="K1959" i="8" s="1"/>
  <c r="K1983" i="8" s="1"/>
  <c r="K2007" i="8" s="1"/>
  <c r="K2031" i="8" s="1"/>
  <c r="K2055" i="8" s="1"/>
  <c r="K2079" i="8" s="1"/>
  <c r="K2103" i="8" s="1"/>
  <c r="K2127" i="8" s="1"/>
  <c r="K2151" i="8" s="1"/>
  <c r="K2175" i="8" s="1"/>
  <c r="K2199" i="8" s="1"/>
  <c r="K2223" i="8" s="1"/>
  <c r="K2247" i="8" s="1"/>
  <c r="K2271" i="8" s="1"/>
  <c r="K2295" i="8" s="1"/>
  <c r="K2319" i="8" s="1"/>
  <c r="K2343" i="8" s="1"/>
  <c r="K2367" i="8" s="1"/>
  <c r="K2391" i="8" s="1"/>
  <c r="K2415" i="8" s="1"/>
  <c r="K2439" i="8" s="1"/>
  <c r="K2463" i="8" s="1"/>
  <c r="K2487" i="8" s="1"/>
  <c r="K2511" i="8" s="1"/>
  <c r="K2535" i="8" s="1"/>
  <c r="K2559" i="8" s="1"/>
  <c r="K2583" i="8" s="1"/>
  <c r="K2607" i="8" s="1"/>
  <c r="K2631" i="8" s="1"/>
  <c r="K2655" i="8" s="1"/>
  <c r="K2679" i="8" s="1"/>
  <c r="K2703" i="8" s="1"/>
  <c r="K2727" i="8" s="1"/>
  <c r="K2751" i="8" s="1"/>
  <c r="K2775" i="8" s="1"/>
  <c r="K2799" i="8" s="1"/>
  <c r="K2823" i="8" s="1"/>
  <c r="K2847" i="8" s="1"/>
  <c r="K2871" i="8" s="1"/>
  <c r="K2895" i="8" s="1"/>
  <c r="K2919" i="8" s="1"/>
  <c r="K2943" i="8" s="1"/>
  <c r="K2967" i="8" s="1"/>
  <c r="K2991" i="8" s="1"/>
  <c r="K3015" i="8" s="1"/>
  <c r="K904" i="8"/>
  <c r="K928" i="8" s="1"/>
  <c r="K952" i="8" s="1"/>
  <c r="K976" i="8" s="1"/>
  <c r="K1000" i="8" s="1"/>
  <c r="K1024" i="8" s="1"/>
  <c r="K1048" i="8" s="1"/>
  <c r="K1072" i="8" s="1"/>
  <c r="K1096" i="8" s="1"/>
  <c r="K1120" i="8" s="1"/>
  <c r="K1144" i="8" s="1"/>
  <c r="K1168" i="8" s="1"/>
  <c r="K1192" i="8" s="1"/>
  <c r="K1216" i="8" s="1"/>
  <c r="K1240" i="8" s="1"/>
  <c r="K1264" i="8" s="1"/>
  <c r="K1288" i="8" s="1"/>
  <c r="K1312" i="8" s="1"/>
  <c r="K1336" i="8" s="1"/>
  <c r="K1360" i="8" s="1"/>
  <c r="K1384" i="8" s="1"/>
  <c r="K1408" i="8" s="1"/>
  <c r="K1432" i="8" s="1"/>
  <c r="K1456" i="8" s="1"/>
  <c r="K1480" i="8" s="1"/>
  <c r="K1504" i="8" s="1"/>
  <c r="K1528" i="8" s="1"/>
  <c r="K1552" i="8" s="1"/>
  <c r="K1576" i="8" s="1"/>
  <c r="K1600" i="8" s="1"/>
  <c r="K1624" i="8" s="1"/>
  <c r="K1648" i="8" s="1"/>
  <c r="K1672" i="8" s="1"/>
  <c r="K1696" i="8" s="1"/>
  <c r="K1720" i="8" s="1"/>
  <c r="K1744" i="8" s="1"/>
  <c r="K1768" i="8" s="1"/>
  <c r="K1792" i="8" s="1"/>
  <c r="K1816" i="8" s="1"/>
  <c r="K1840" i="8" s="1"/>
  <c r="K1864" i="8" s="1"/>
  <c r="K1888" i="8" s="1"/>
  <c r="K1912" i="8" s="1"/>
  <c r="K1936" i="8" s="1"/>
  <c r="K1960" i="8" s="1"/>
  <c r="K1984" i="8" s="1"/>
  <c r="K2008" i="8" s="1"/>
  <c r="K2032" i="8" s="1"/>
  <c r="K2056" i="8" s="1"/>
  <c r="K2080" i="8" s="1"/>
  <c r="K2104" i="8" s="1"/>
  <c r="K2128" i="8" s="1"/>
  <c r="K2152" i="8" s="1"/>
  <c r="K2176" i="8" s="1"/>
  <c r="K2200" i="8" s="1"/>
  <c r="K2224" i="8" s="1"/>
  <c r="K2248" i="8" s="1"/>
  <c r="K2272" i="8" s="1"/>
  <c r="K2296" i="8" s="1"/>
  <c r="K2320" i="8" s="1"/>
  <c r="K2344" i="8" s="1"/>
  <c r="K2368" i="8" s="1"/>
  <c r="K2392" i="8" s="1"/>
  <c r="K2416" i="8" s="1"/>
  <c r="K2440" i="8" s="1"/>
  <c r="K2464" i="8" s="1"/>
  <c r="K2488" i="8" s="1"/>
  <c r="K2512" i="8" s="1"/>
  <c r="K2536" i="8" s="1"/>
  <c r="K2560" i="8" s="1"/>
  <c r="K2584" i="8" s="1"/>
  <c r="K2608" i="8" s="1"/>
  <c r="K2632" i="8" s="1"/>
  <c r="K2656" i="8" s="1"/>
  <c r="K2680" i="8" s="1"/>
  <c r="K2704" i="8" s="1"/>
  <c r="K2728" i="8" s="1"/>
  <c r="K2752" i="8" s="1"/>
  <c r="K2776" i="8" s="1"/>
  <c r="K2800" i="8" s="1"/>
  <c r="K2824" i="8" s="1"/>
  <c r="K2848" i="8" s="1"/>
  <c r="K2872" i="8" s="1"/>
  <c r="K2896" i="8" s="1"/>
  <c r="K2920" i="8" s="1"/>
  <c r="K2944" i="8" s="1"/>
  <c r="K2968" i="8" s="1"/>
  <c r="K2992" i="8" s="1"/>
  <c r="K3016" i="8" s="1"/>
  <c r="K905" i="8"/>
  <c r="K929" i="8" s="1"/>
  <c r="K953" i="8" s="1"/>
  <c r="K977" i="8" s="1"/>
  <c r="K1001" i="8" s="1"/>
  <c r="K1025" i="8" s="1"/>
  <c r="K1049" i="8" s="1"/>
  <c r="K1073" i="8" s="1"/>
  <c r="K1097" i="8" s="1"/>
  <c r="K1121" i="8" s="1"/>
  <c r="K1145" i="8" s="1"/>
  <c r="K1169" i="8" s="1"/>
  <c r="K1193" i="8" s="1"/>
  <c r="K1217" i="8" s="1"/>
  <c r="K1241" i="8" s="1"/>
  <c r="K1265" i="8" s="1"/>
  <c r="K1289" i="8" s="1"/>
  <c r="K1313" i="8" s="1"/>
  <c r="K1337" i="8" s="1"/>
  <c r="K1361" i="8" s="1"/>
  <c r="K1385" i="8" s="1"/>
  <c r="K1409" i="8" s="1"/>
  <c r="K1433" i="8" s="1"/>
  <c r="K1457" i="8" s="1"/>
  <c r="K1481" i="8" s="1"/>
  <c r="K1505" i="8" s="1"/>
  <c r="K1529" i="8" s="1"/>
  <c r="K1553" i="8" s="1"/>
  <c r="K1577" i="8" s="1"/>
  <c r="K1601" i="8" s="1"/>
  <c r="K1625" i="8" s="1"/>
  <c r="K1649" i="8" s="1"/>
  <c r="K1673" i="8" s="1"/>
  <c r="K1697" i="8" s="1"/>
  <c r="K1721" i="8" s="1"/>
  <c r="K1745" i="8" s="1"/>
  <c r="K1769" i="8" s="1"/>
  <c r="K1793" i="8" s="1"/>
  <c r="K1817" i="8" s="1"/>
  <c r="K1841" i="8" s="1"/>
  <c r="K1865" i="8" s="1"/>
  <c r="K1889" i="8" s="1"/>
  <c r="K1913" i="8" s="1"/>
  <c r="K1937" i="8" s="1"/>
  <c r="K1961" i="8" s="1"/>
  <c r="K1985" i="8" s="1"/>
  <c r="K2009" i="8" s="1"/>
  <c r="K2033" i="8" s="1"/>
  <c r="K2057" i="8" s="1"/>
  <c r="K2081" i="8" s="1"/>
  <c r="K2105" i="8" s="1"/>
  <c r="K2129" i="8" s="1"/>
  <c r="K2153" i="8" s="1"/>
  <c r="K2177" i="8" s="1"/>
  <c r="K2201" i="8" s="1"/>
  <c r="K2225" i="8" s="1"/>
  <c r="K2249" i="8" s="1"/>
  <c r="K2273" i="8" s="1"/>
  <c r="K2297" i="8" s="1"/>
  <c r="K2321" i="8" s="1"/>
  <c r="K2345" i="8" s="1"/>
  <c r="K2369" i="8" s="1"/>
  <c r="K2393" i="8" s="1"/>
  <c r="K2417" i="8" s="1"/>
  <c r="K2441" i="8" s="1"/>
  <c r="K2465" i="8" s="1"/>
  <c r="K2489" i="8" s="1"/>
  <c r="K2513" i="8" s="1"/>
  <c r="K2537" i="8" s="1"/>
  <c r="K2561" i="8" s="1"/>
  <c r="K2585" i="8" s="1"/>
  <c r="K2609" i="8" s="1"/>
  <c r="K2633" i="8" s="1"/>
  <c r="K2657" i="8" s="1"/>
  <c r="K2681" i="8" s="1"/>
  <c r="K2705" i="8" s="1"/>
  <c r="K2729" i="8" s="1"/>
  <c r="K2753" i="8" s="1"/>
  <c r="K2777" i="8" s="1"/>
  <c r="K2801" i="8" s="1"/>
  <c r="K2825" i="8" s="1"/>
  <c r="K2849" i="8" s="1"/>
  <c r="K2873" i="8" s="1"/>
  <c r="K2897" i="8" s="1"/>
  <c r="K2921" i="8" s="1"/>
  <c r="K2945" i="8" s="1"/>
  <c r="K2969" i="8" s="1"/>
  <c r="K2993" i="8" s="1"/>
  <c r="K3017" i="8" s="1"/>
  <c r="K906" i="8"/>
  <c r="K930" i="8" s="1"/>
  <c r="K954" i="8" s="1"/>
  <c r="K978" i="8" s="1"/>
  <c r="K1002" i="8" s="1"/>
  <c r="K1026" i="8" s="1"/>
  <c r="K1050" i="8" s="1"/>
  <c r="K1074" i="8" s="1"/>
  <c r="K1098" i="8" s="1"/>
  <c r="K1122" i="8" s="1"/>
  <c r="K1146" i="8" s="1"/>
  <c r="K1170" i="8" s="1"/>
  <c r="K1194" i="8" s="1"/>
  <c r="K1218" i="8" s="1"/>
  <c r="K1242" i="8" s="1"/>
  <c r="K1266" i="8" s="1"/>
  <c r="K1290" i="8" s="1"/>
  <c r="K1314" i="8" s="1"/>
  <c r="K1338" i="8" s="1"/>
  <c r="K1362" i="8" s="1"/>
  <c r="K1386" i="8" s="1"/>
  <c r="K1410" i="8" s="1"/>
  <c r="K1434" i="8" s="1"/>
  <c r="K1458" i="8" s="1"/>
  <c r="K1482" i="8" s="1"/>
  <c r="K1506" i="8" s="1"/>
  <c r="K1530" i="8" s="1"/>
  <c r="K1554" i="8" s="1"/>
  <c r="K1578" i="8" s="1"/>
  <c r="K1602" i="8" s="1"/>
  <c r="K1626" i="8" s="1"/>
  <c r="K1650" i="8" s="1"/>
  <c r="K1674" i="8" s="1"/>
  <c r="K1698" i="8" s="1"/>
  <c r="K1722" i="8" s="1"/>
  <c r="K1746" i="8" s="1"/>
  <c r="K1770" i="8" s="1"/>
  <c r="K1794" i="8" s="1"/>
  <c r="K1818" i="8" s="1"/>
  <c r="K1842" i="8" s="1"/>
  <c r="K1866" i="8" s="1"/>
  <c r="K1890" i="8" s="1"/>
  <c r="K1914" i="8" s="1"/>
  <c r="K1938" i="8" s="1"/>
  <c r="K1962" i="8" s="1"/>
  <c r="K1986" i="8" s="1"/>
  <c r="K2010" i="8" s="1"/>
  <c r="K2034" i="8" s="1"/>
  <c r="K2058" i="8" s="1"/>
  <c r="K2082" i="8" s="1"/>
  <c r="K2106" i="8" s="1"/>
  <c r="K2130" i="8" s="1"/>
  <c r="K2154" i="8" s="1"/>
  <c r="K2178" i="8" s="1"/>
  <c r="K2202" i="8" s="1"/>
  <c r="K2226" i="8" s="1"/>
  <c r="K2250" i="8" s="1"/>
  <c r="K2274" i="8" s="1"/>
  <c r="K2298" i="8" s="1"/>
  <c r="K2322" i="8" s="1"/>
  <c r="K2346" i="8" s="1"/>
  <c r="K2370" i="8" s="1"/>
  <c r="K2394" i="8" s="1"/>
  <c r="K2418" i="8" s="1"/>
  <c r="K2442" i="8" s="1"/>
  <c r="K2466" i="8" s="1"/>
  <c r="K2490" i="8" s="1"/>
  <c r="K2514" i="8" s="1"/>
  <c r="K2538" i="8" s="1"/>
  <c r="K2562" i="8" s="1"/>
  <c r="K2586" i="8" s="1"/>
  <c r="K2610" i="8" s="1"/>
  <c r="K2634" i="8" s="1"/>
  <c r="K2658" i="8" s="1"/>
  <c r="K2682" i="8" s="1"/>
  <c r="K2706" i="8" s="1"/>
  <c r="K2730" i="8" s="1"/>
  <c r="K2754" i="8" s="1"/>
  <c r="K2778" i="8" s="1"/>
  <c r="K2802" i="8" s="1"/>
  <c r="K2826" i="8" s="1"/>
  <c r="K2850" i="8" s="1"/>
  <c r="K2874" i="8" s="1"/>
  <c r="K2898" i="8" s="1"/>
  <c r="K2922" i="8" s="1"/>
  <c r="K2946" i="8" s="1"/>
  <c r="K2970" i="8" s="1"/>
  <c r="K2994" i="8" s="1"/>
  <c r="K3018" i="8" s="1"/>
  <c r="K907" i="8"/>
  <c r="K931" i="8" s="1"/>
  <c r="K955" i="8" s="1"/>
  <c r="K979" i="8" s="1"/>
  <c r="K1003" i="8" s="1"/>
  <c r="K1027" i="8" s="1"/>
  <c r="K1051" i="8" s="1"/>
  <c r="K1075" i="8" s="1"/>
  <c r="K1099" i="8" s="1"/>
  <c r="K1123" i="8" s="1"/>
  <c r="K1147" i="8" s="1"/>
  <c r="K1171" i="8" s="1"/>
  <c r="K1195" i="8" s="1"/>
  <c r="K1219" i="8" s="1"/>
  <c r="K1243" i="8" s="1"/>
  <c r="K1267" i="8" s="1"/>
  <c r="K1291" i="8" s="1"/>
  <c r="K1315" i="8" s="1"/>
  <c r="K1339" i="8" s="1"/>
  <c r="K1363" i="8" s="1"/>
  <c r="K1387" i="8" s="1"/>
  <c r="K1411" i="8" s="1"/>
  <c r="K1435" i="8" s="1"/>
  <c r="K1459" i="8" s="1"/>
  <c r="K1483" i="8" s="1"/>
  <c r="K1507" i="8" s="1"/>
  <c r="K1531" i="8" s="1"/>
  <c r="K1555" i="8" s="1"/>
  <c r="K1579" i="8" s="1"/>
  <c r="K1603" i="8" s="1"/>
  <c r="K1627" i="8" s="1"/>
  <c r="K1651" i="8" s="1"/>
  <c r="K1675" i="8" s="1"/>
  <c r="K1699" i="8" s="1"/>
  <c r="K1723" i="8" s="1"/>
  <c r="K1747" i="8" s="1"/>
  <c r="K1771" i="8" s="1"/>
  <c r="K1795" i="8" s="1"/>
  <c r="K1819" i="8" s="1"/>
  <c r="K1843" i="8" s="1"/>
  <c r="K1867" i="8" s="1"/>
  <c r="K1891" i="8" s="1"/>
  <c r="K1915" i="8" s="1"/>
  <c r="K1939" i="8" s="1"/>
  <c r="K1963" i="8" s="1"/>
  <c r="K1987" i="8" s="1"/>
  <c r="K2011" i="8" s="1"/>
  <c r="K2035" i="8" s="1"/>
  <c r="K2059" i="8" s="1"/>
  <c r="K2083" i="8" s="1"/>
  <c r="K2107" i="8" s="1"/>
  <c r="K2131" i="8" s="1"/>
  <c r="K2155" i="8" s="1"/>
  <c r="K2179" i="8" s="1"/>
  <c r="K2203" i="8" s="1"/>
  <c r="K2227" i="8" s="1"/>
  <c r="K2251" i="8" s="1"/>
  <c r="K2275" i="8" s="1"/>
  <c r="K2299" i="8" s="1"/>
  <c r="K2323" i="8" s="1"/>
  <c r="K2347" i="8" s="1"/>
  <c r="K2371" i="8" s="1"/>
  <c r="K2395" i="8" s="1"/>
  <c r="K2419" i="8" s="1"/>
  <c r="K2443" i="8" s="1"/>
  <c r="K2467" i="8" s="1"/>
  <c r="K2491" i="8" s="1"/>
  <c r="K2515" i="8" s="1"/>
  <c r="K2539" i="8" s="1"/>
  <c r="K2563" i="8" s="1"/>
  <c r="K2587" i="8" s="1"/>
  <c r="K2611" i="8" s="1"/>
  <c r="K2635" i="8" s="1"/>
  <c r="K2659" i="8" s="1"/>
  <c r="K2683" i="8" s="1"/>
  <c r="K2707" i="8" s="1"/>
  <c r="K2731" i="8" s="1"/>
  <c r="K2755" i="8" s="1"/>
  <c r="K2779" i="8" s="1"/>
  <c r="K2803" i="8" s="1"/>
  <c r="K2827" i="8" s="1"/>
  <c r="K2851" i="8" s="1"/>
  <c r="K2875" i="8" s="1"/>
  <c r="K2899" i="8" s="1"/>
  <c r="K2923" i="8" s="1"/>
  <c r="K2947" i="8" s="1"/>
  <c r="K2971" i="8" s="1"/>
  <c r="K2995" i="8" s="1"/>
  <c r="K3019" i="8" s="1"/>
  <c r="K908" i="8"/>
  <c r="K932" i="8" s="1"/>
  <c r="K956" i="8" s="1"/>
  <c r="K980" i="8" s="1"/>
  <c r="K1004" i="8" s="1"/>
  <c r="K1028" i="8" s="1"/>
  <c r="K1052" i="8" s="1"/>
  <c r="K1076" i="8" s="1"/>
  <c r="K1100" i="8" s="1"/>
  <c r="K1124" i="8" s="1"/>
  <c r="K1148" i="8" s="1"/>
  <c r="K1172" i="8" s="1"/>
  <c r="K1196" i="8" s="1"/>
  <c r="K1220" i="8" s="1"/>
  <c r="K1244" i="8" s="1"/>
  <c r="K1268" i="8" s="1"/>
  <c r="K1292" i="8" s="1"/>
  <c r="K1316" i="8" s="1"/>
  <c r="K1340" i="8" s="1"/>
  <c r="K1364" i="8" s="1"/>
  <c r="K1388" i="8" s="1"/>
  <c r="K1412" i="8" s="1"/>
  <c r="K1436" i="8" s="1"/>
  <c r="K1460" i="8" s="1"/>
  <c r="K1484" i="8" s="1"/>
  <c r="K1508" i="8" s="1"/>
  <c r="K1532" i="8" s="1"/>
  <c r="K1556" i="8" s="1"/>
  <c r="K1580" i="8" s="1"/>
  <c r="K1604" i="8" s="1"/>
  <c r="K1628" i="8" s="1"/>
  <c r="K1652" i="8" s="1"/>
  <c r="K1676" i="8" s="1"/>
  <c r="K1700" i="8" s="1"/>
  <c r="K1724" i="8" s="1"/>
  <c r="K1748" i="8" s="1"/>
  <c r="K1772" i="8" s="1"/>
  <c r="K1796" i="8" s="1"/>
  <c r="K1820" i="8" s="1"/>
  <c r="K1844" i="8" s="1"/>
  <c r="K1868" i="8" s="1"/>
  <c r="K1892" i="8" s="1"/>
  <c r="K1916" i="8" s="1"/>
  <c r="K1940" i="8" s="1"/>
  <c r="K1964" i="8" s="1"/>
  <c r="K1988" i="8" s="1"/>
  <c r="K2012" i="8" s="1"/>
  <c r="K2036" i="8" s="1"/>
  <c r="K2060" i="8" s="1"/>
  <c r="K2084" i="8" s="1"/>
  <c r="K2108" i="8" s="1"/>
  <c r="K2132" i="8" s="1"/>
  <c r="K2156" i="8" s="1"/>
  <c r="K2180" i="8" s="1"/>
  <c r="K2204" i="8" s="1"/>
  <c r="K2228" i="8" s="1"/>
  <c r="K2252" i="8" s="1"/>
  <c r="K2276" i="8" s="1"/>
  <c r="K2300" i="8" s="1"/>
  <c r="K2324" i="8" s="1"/>
  <c r="K2348" i="8" s="1"/>
  <c r="K2372" i="8" s="1"/>
  <c r="K2396" i="8" s="1"/>
  <c r="K2420" i="8" s="1"/>
  <c r="K2444" i="8" s="1"/>
  <c r="K2468" i="8" s="1"/>
  <c r="K2492" i="8" s="1"/>
  <c r="K2516" i="8" s="1"/>
  <c r="K2540" i="8" s="1"/>
  <c r="K2564" i="8" s="1"/>
  <c r="K2588" i="8" s="1"/>
  <c r="K2612" i="8" s="1"/>
  <c r="K2636" i="8" s="1"/>
  <c r="K2660" i="8" s="1"/>
  <c r="K2684" i="8" s="1"/>
  <c r="K2708" i="8" s="1"/>
  <c r="K2732" i="8" s="1"/>
  <c r="K2756" i="8" s="1"/>
  <c r="K2780" i="8" s="1"/>
  <c r="K2804" i="8" s="1"/>
  <c r="K2828" i="8" s="1"/>
  <c r="K2852" i="8" s="1"/>
  <c r="K2876" i="8" s="1"/>
  <c r="K2900" i="8" s="1"/>
  <c r="K2924" i="8" s="1"/>
  <c r="K2948" i="8" s="1"/>
  <c r="K2972" i="8" s="1"/>
  <c r="K2996" i="8" s="1"/>
  <c r="K3020" i="8" s="1"/>
  <c r="K909" i="8"/>
  <c r="K933" i="8" s="1"/>
  <c r="K957" i="8" s="1"/>
  <c r="K981" i="8" s="1"/>
  <c r="K1005" i="8" s="1"/>
  <c r="K1029" i="8" s="1"/>
  <c r="K1053" i="8" s="1"/>
  <c r="K1077" i="8" s="1"/>
  <c r="K1101" i="8" s="1"/>
  <c r="K1125" i="8" s="1"/>
  <c r="K1149" i="8" s="1"/>
  <c r="K1173" i="8" s="1"/>
  <c r="K1197" i="8" s="1"/>
  <c r="K1221" i="8" s="1"/>
  <c r="K1245" i="8" s="1"/>
  <c r="K1269" i="8" s="1"/>
  <c r="K1293" i="8" s="1"/>
  <c r="K1317" i="8" s="1"/>
  <c r="K1341" i="8" s="1"/>
  <c r="K1365" i="8" s="1"/>
  <c r="K1389" i="8" s="1"/>
  <c r="K1413" i="8" s="1"/>
  <c r="K1437" i="8" s="1"/>
  <c r="K1461" i="8" s="1"/>
  <c r="K1485" i="8" s="1"/>
  <c r="K1509" i="8" s="1"/>
  <c r="K1533" i="8" s="1"/>
  <c r="K1557" i="8" s="1"/>
  <c r="K1581" i="8" s="1"/>
  <c r="K1605" i="8" s="1"/>
  <c r="K1629" i="8" s="1"/>
  <c r="K1653" i="8" s="1"/>
  <c r="K1677" i="8" s="1"/>
  <c r="K1701" i="8" s="1"/>
  <c r="K1725" i="8" s="1"/>
  <c r="K1749" i="8" s="1"/>
  <c r="K1773" i="8" s="1"/>
  <c r="K1797" i="8" s="1"/>
  <c r="K1821" i="8" s="1"/>
  <c r="K1845" i="8" s="1"/>
  <c r="K1869" i="8" s="1"/>
  <c r="K1893" i="8" s="1"/>
  <c r="K1917" i="8" s="1"/>
  <c r="K1941" i="8" s="1"/>
  <c r="K1965" i="8" s="1"/>
  <c r="K1989" i="8" s="1"/>
  <c r="K2013" i="8" s="1"/>
  <c r="K2037" i="8" s="1"/>
  <c r="K2061" i="8" s="1"/>
  <c r="K2085" i="8" s="1"/>
  <c r="K2109" i="8" s="1"/>
  <c r="K2133" i="8" s="1"/>
  <c r="K2157" i="8" s="1"/>
  <c r="K2181" i="8" s="1"/>
  <c r="K2205" i="8" s="1"/>
  <c r="K2229" i="8" s="1"/>
  <c r="K2253" i="8" s="1"/>
  <c r="K2277" i="8" s="1"/>
  <c r="K2301" i="8" s="1"/>
  <c r="K2325" i="8" s="1"/>
  <c r="K2349" i="8" s="1"/>
  <c r="K2373" i="8" s="1"/>
  <c r="K2397" i="8" s="1"/>
  <c r="K2421" i="8" s="1"/>
  <c r="K2445" i="8" s="1"/>
  <c r="K2469" i="8" s="1"/>
  <c r="K2493" i="8" s="1"/>
  <c r="K2517" i="8" s="1"/>
  <c r="K2541" i="8" s="1"/>
  <c r="K2565" i="8" s="1"/>
  <c r="K2589" i="8" s="1"/>
  <c r="K2613" i="8" s="1"/>
  <c r="K2637" i="8" s="1"/>
  <c r="K2661" i="8" s="1"/>
  <c r="K2685" i="8" s="1"/>
  <c r="K2709" i="8" s="1"/>
  <c r="K2733" i="8" s="1"/>
  <c r="K2757" i="8" s="1"/>
  <c r="K2781" i="8" s="1"/>
  <c r="K2805" i="8" s="1"/>
  <c r="K2829" i="8" s="1"/>
  <c r="K2853" i="8" s="1"/>
  <c r="K2877" i="8" s="1"/>
  <c r="K2901" i="8" s="1"/>
  <c r="K2925" i="8" s="1"/>
  <c r="K2949" i="8" s="1"/>
  <c r="K2973" i="8" s="1"/>
  <c r="K2997" i="8" s="1"/>
  <c r="K3021" i="8" s="1"/>
  <c r="K910" i="8"/>
  <c r="K934" i="8" s="1"/>
  <c r="K958" i="8" s="1"/>
  <c r="K982" i="8" s="1"/>
  <c r="K1006" i="8" s="1"/>
  <c r="K1030" i="8" s="1"/>
  <c r="K1054" i="8" s="1"/>
  <c r="K1078" i="8" s="1"/>
  <c r="K1102" i="8" s="1"/>
  <c r="K1126" i="8" s="1"/>
  <c r="K1150" i="8" s="1"/>
  <c r="K1174" i="8" s="1"/>
  <c r="K1198" i="8" s="1"/>
  <c r="K1222" i="8" s="1"/>
  <c r="K1246" i="8" s="1"/>
  <c r="K1270" i="8" s="1"/>
  <c r="K1294" i="8" s="1"/>
  <c r="K1318" i="8" s="1"/>
  <c r="K1342" i="8" s="1"/>
  <c r="K1366" i="8" s="1"/>
  <c r="K1390" i="8" s="1"/>
  <c r="K1414" i="8" s="1"/>
  <c r="K1438" i="8" s="1"/>
  <c r="K1462" i="8" s="1"/>
  <c r="K1486" i="8" s="1"/>
  <c r="K1510" i="8" s="1"/>
  <c r="K1534" i="8" s="1"/>
  <c r="K1558" i="8" s="1"/>
  <c r="K1582" i="8" s="1"/>
  <c r="K1606" i="8" s="1"/>
  <c r="K1630" i="8" s="1"/>
  <c r="K1654" i="8" s="1"/>
  <c r="K1678" i="8" s="1"/>
  <c r="K1702" i="8" s="1"/>
  <c r="K1726" i="8" s="1"/>
  <c r="K1750" i="8" s="1"/>
  <c r="K1774" i="8" s="1"/>
  <c r="K1798" i="8" s="1"/>
  <c r="K1822" i="8" s="1"/>
  <c r="K1846" i="8" s="1"/>
  <c r="K1870" i="8" s="1"/>
  <c r="K1894" i="8" s="1"/>
  <c r="K1918" i="8" s="1"/>
  <c r="K1942" i="8" s="1"/>
  <c r="K1966" i="8" s="1"/>
  <c r="K1990" i="8" s="1"/>
  <c r="K2014" i="8" s="1"/>
  <c r="K2038" i="8" s="1"/>
  <c r="K2062" i="8" s="1"/>
  <c r="K2086" i="8" s="1"/>
  <c r="K2110" i="8" s="1"/>
  <c r="K2134" i="8" s="1"/>
  <c r="K2158" i="8" s="1"/>
  <c r="K2182" i="8" s="1"/>
  <c r="K2206" i="8" s="1"/>
  <c r="K2230" i="8" s="1"/>
  <c r="K2254" i="8" s="1"/>
  <c r="K2278" i="8" s="1"/>
  <c r="K2302" i="8" s="1"/>
  <c r="K2326" i="8" s="1"/>
  <c r="K2350" i="8" s="1"/>
  <c r="K2374" i="8" s="1"/>
  <c r="K2398" i="8" s="1"/>
  <c r="K2422" i="8" s="1"/>
  <c r="K2446" i="8" s="1"/>
  <c r="K2470" i="8" s="1"/>
  <c r="K2494" i="8" s="1"/>
  <c r="K2518" i="8" s="1"/>
  <c r="K2542" i="8" s="1"/>
  <c r="K2566" i="8" s="1"/>
  <c r="K2590" i="8" s="1"/>
  <c r="K2614" i="8" s="1"/>
  <c r="K2638" i="8" s="1"/>
  <c r="K2662" i="8" s="1"/>
  <c r="K2686" i="8" s="1"/>
  <c r="K2710" i="8" s="1"/>
  <c r="K2734" i="8" s="1"/>
  <c r="K2758" i="8" s="1"/>
  <c r="K2782" i="8" s="1"/>
  <c r="K2806" i="8" s="1"/>
  <c r="K2830" i="8" s="1"/>
  <c r="K2854" i="8" s="1"/>
  <c r="K2878" i="8" s="1"/>
  <c r="K2902" i="8" s="1"/>
  <c r="K2926" i="8" s="1"/>
  <c r="K2950" i="8" s="1"/>
  <c r="K2974" i="8" s="1"/>
  <c r="K2998" i="8" s="1"/>
  <c r="K3022" i="8" s="1"/>
  <c r="K911" i="8"/>
  <c r="K935" i="8" s="1"/>
  <c r="K959" i="8" s="1"/>
  <c r="K983" i="8" s="1"/>
  <c r="K1007" i="8" s="1"/>
  <c r="K1031" i="8" s="1"/>
  <c r="K1055" i="8" s="1"/>
  <c r="K1079" i="8" s="1"/>
  <c r="K1103" i="8" s="1"/>
  <c r="K1127" i="8" s="1"/>
  <c r="K1151" i="8" s="1"/>
  <c r="K1175" i="8" s="1"/>
  <c r="K1199" i="8" s="1"/>
  <c r="K1223" i="8" s="1"/>
  <c r="K1247" i="8" s="1"/>
  <c r="K1271" i="8" s="1"/>
  <c r="K1295" i="8" s="1"/>
  <c r="K1319" i="8" s="1"/>
  <c r="K1343" i="8" s="1"/>
  <c r="K1367" i="8" s="1"/>
  <c r="K1391" i="8" s="1"/>
  <c r="K1415" i="8" s="1"/>
  <c r="K1439" i="8" s="1"/>
  <c r="K1463" i="8" s="1"/>
  <c r="K1487" i="8" s="1"/>
  <c r="K1511" i="8" s="1"/>
  <c r="K1535" i="8" s="1"/>
  <c r="K1559" i="8" s="1"/>
  <c r="K1583" i="8" s="1"/>
  <c r="K1607" i="8" s="1"/>
  <c r="K1631" i="8" s="1"/>
  <c r="K1655" i="8" s="1"/>
  <c r="K1679" i="8" s="1"/>
  <c r="K1703" i="8" s="1"/>
  <c r="K1727" i="8" s="1"/>
  <c r="K1751" i="8" s="1"/>
  <c r="K1775" i="8" s="1"/>
  <c r="K1799" i="8" s="1"/>
  <c r="K1823" i="8" s="1"/>
  <c r="K1847" i="8" s="1"/>
  <c r="K1871" i="8" s="1"/>
  <c r="K1895" i="8" s="1"/>
  <c r="K1919" i="8" s="1"/>
  <c r="K1943" i="8" s="1"/>
  <c r="K1967" i="8" s="1"/>
  <c r="K1991" i="8" s="1"/>
  <c r="K2015" i="8" s="1"/>
  <c r="K2039" i="8" s="1"/>
  <c r="K2063" i="8" s="1"/>
  <c r="K2087" i="8" s="1"/>
  <c r="K2111" i="8" s="1"/>
  <c r="K2135" i="8" s="1"/>
  <c r="K2159" i="8" s="1"/>
  <c r="K2183" i="8" s="1"/>
  <c r="K2207" i="8" s="1"/>
  <c r="K2231" i="8" s="1"/>
  <c r="K2255" i="8" s="1"/>
  <c r="K2279" i="8" s="1"/>
  <c r="K2303" i="8" s="1"/>
  <c r="K2327" i="8" s="1"/>
  <c r="K2351" i="8" s="1"/>
  <c r="K2375" i="8" s="1"/>
  <c r="K2399" i="8" s="1"/>
  <c r="K2423" i="8" s="1"/>
  <c r="K2447" i="8" s="1"/>
  <c r="K2471" i="8" s="1"/>
  <c r="K2495" i="8" s="1"/>
  <c r="K2519" i="8" s="1"/>
  <c r="K2543" i="8" s="1"/>
  <c r="K2567" i="8" s="1"/>
  <c r="K2591" i="8" s="1"/>
  <c r="K2615" i="8" s="1"/>
  <c r="K2639" i="8" s="1"/>
  <c r="K2663" i="8" s="1"/>
  <c r="K2687" i="8" s="1"/>
  <c r="K2711" i="8" s="1"/>
  <c r="K2735" i="8" s="1"/>
  <c r="K2759" i="8" s="1"/>
  <c r="K2783" i="8" s="1"/>
  <c r="K2807" i="8" s="1"/>
  <c r="K2831" i="8" s="1"/>
  <c r="K2855" i="8" s="1"/>
  <c r="K2879" i="8" s="1"/>
  <c r="K2903" i="8" s="1"/>
  <c r="K2927" i="8" s="1"/>
  <c r="K2951" i="8" s="1"/>
  <c r="K2975" i="8" s="1"/>
  <c r="K2999" i="8" s="1"/>
  <c r="K3023" i="8" s="1"/>
  <c r="K912" i="8"/>
  <c r="K936" i="8" s="1"/>
  <c r="K960" i="8" s="1"/>
  <c r="K984" i="8" s="1"/>
  <c r="K1008" i="8" s="1"/>
  <c r="K1032" i="8" s="1"/>
  <c r="K1056" i="8" s="1"/>
  <c r="K1080" i="8" s="1"/>
  <c r="K1104" i="8" s="1"/>
  <c r="K1128" i="8" s="1"/>
  <c r="K1152" i="8" s="1"/>
  <c r="K1176" i="8" s="1"/>
  <c r="K1200" i="8" s="1"/>
  <c r="K1224" i="8" s="1"/>
  <c r="K1248" i="8" s="1"/>
  <c r="K1272" i="8" s="1"/>
  <c r="K1296" i="8" s="1"/>
  <c r="K1320" i="8" s="1"/>
  <c r="K1344" i="8" s="1"/>
  <c r="K1368" i="8" s="1"/>
  <c r="K1392" i="8" s="1"/>
  <c r="K1416" i="8" s="1"/>
  <c r="K1440" i="8" s="1"/>
  <c r="K1464" i="8" s="1"/>
  <c r="K1488" i="8" s="1"/>
  <c r="K1512" i="8" s="1"/>
  <c r="K1536" i="8" s="1"/>
  <c r="K1560" i="8" s="1"/>
  <c r="K1584" i="8" s="1"/>
  <c r="K1608" i="8" s="1"/>
  <c r="K1632" i="8" s="1"/>
  <c r="K1656" i="8" s="1"/>
  <c r="K1680" i="8" s="1"/>
  <c r="K1704" i="8" s="1"/>
  <c r="K1728" i="8" s="1"/>
  <c r="K1752" i="8" s="1"/>
  <c r="K1776" i="8" s="1"/>
  <c r="K1800" i="8" s="1"/>
  <c r="K1824" i="8" s="1"/>
  <c r="K1848" i="8" s="1"/>
  <c r="K1872" i="8" s="1"/>
  <c r="K1896" i="8" s="1"/>
  <c r="K1920" i="8" s="1"/>
  <c r="K1944" i="8" s="1"/>
  <c r="K1968" i="8" s="1"/>
  <c r="K1992" i="8" s="1"/>
  <c r="K2016" i="8" s="1"/>
  <c r="K2040" i="8" s="1"/>
  <c r="K2064" i="8" s="1"/>
  <c r="K2088" i="8" s="1"/>
  <c r="K2112" i="8" s="1"/>
  <c r="K2136" i="8" s="1"/>
  <c r="K2160" i="8" s="1"/>
  <c r="K2184" i="8" s="1"/>
  <c r="K2208" i="8" s="1"/>
  <c r="K2232" i="8" s="1"/>
  <c r="K2256" i="8" s="1"/>
  <c r="K2280" i="8" s="1"/>
  <c r="K2304" i="8" s="1"/>
  <c r="K2328" i="8" s="1"/>
  <c r="K2352" i="8" s="1"/>
  <c r="K2376" i="8" s="1"/>
  <c r="K2400" i="8" s="1"/>
  <c r="K2424" i="8" s="1"/>
  <c r="K2448" i="8" s="1"/>
  <c r="K2472" i="8" s="1"/>
  <c r="K2496" i="8" s="1"/>
  <c r="K2520" i="8" s="1"/>
  <c r="K2544" i="8" s="1"/>
  <c r="K2568" i="8" s="1"/>
  <c r="K2592" i="8" s="1"/>
  <c r="K2616" i="8" s="1"/>
  <c r="K2640" i="8" s="1"/>
  <c r="K2664" i="8" s="1"/>
  <c r="K2688" i="8" s="1"/>
  <c r="K2712" i="8" s="1"/>
  <c r="K2736" i="8" s="1"/>
  <c r="K2760" i="8" s="1"/>
  <c r="K2784" i="8" s="1"/>
  <c r="K2808" i="8" s="1"/>
  <c r="K2832" i="8" s="1"/>
  <c r="K2856" i="8" s="1"/>
  <c r="K2880" i="8" s="1"/>
  <c r="K2904" i="8" s="1"/>
  <c r="K2928" i="8" s="1"/>
  <c r="K2952" i="8" s="1"/>
  <c r="K2976" i="8" s="1"/>
  <c r="K3000" i="8" s="1"/>
  <c r="K3024" i="8" s="1"/>
  <c r="K913" i="8"/>
  <c r="K937" i="8" s="1"/>
  <c r="K961" i="8" s="1"/>
  <c r="K985" i="8" s="1"/>
  <c r="K1009" i="8" s="1"/>
  <c r="K1033" i="8" s="1"/>
  <c r="K1057" i="8" s="1"/>
  <c r="K1081" i="8" s="1"/>
  <c r="K1105" i="8" s="1"/>
  <c r="K1129" i="8" s="1"/>
  <c r="K1153" i="8" s="1"/>
  <c r="K1177" i="8" s="1"/>
  <c r="K1201" i="8" s="1"/>
  <c r="K1225" i="8" s="1"/>
  <c r="K1249" i="8" s="1"/>
  <c r="K1273" i="8" s="1"/>
  <c r="K1297" i="8" s="1"/>
  <c r="K1321" i="8" s="1"/>
  <c r="K1345" i="8" s="1"/>
  <c r="K1369" i="8" s="1"/>
  <c r="K1393" i="8" s="1"/>
  <c r="K1417" i="8" s="1"/>
  <c r="K1441" i="8" s="1"/>
  <c r="K1465" i="8" s="1"/>
  <c r="K1489" i="8" s="1"/>
  <c r="K1513" i="8" s="1"/>
  <c r="K1537" i="8" s="1"/>
  <c r="K1561" i="8" s="1"/>
  <c r="K1585" i="8" s="1"/>
  <c r="K1609" i="8" s="1"/>
  <c r="K1633" i="8" s="1"/>
  <c r="K1657" i="8" s="1"/>
  <c r="K1681" i="8" s="1"/>
  <c r="K1705" i="8" s="1"/>
  <c r="K1729" i="8" s="1"/>
  <c r="K1753" i="8" s="1"/>
  <c r="K1777" i="8" s="1"/>
  <c r="K1801" i="8" s="1"/>
  <c r="K1825" i="8" s="1"/>
  <c r="K1849" i="8" s="1"/>
  <c r="K1873" i="8" s="1"/>
  <c r="K1897" i="8" s="1"/>
  <c r="K1921" i="8" s="1"/>
  <c r="K1945" i="8" s="1"/>
  <c r="K1969" i="8" s="1"/>
  <c r="K1993" i="8" s="1"/>
  <c r="K2017" i="8" s="1"/>
  <c r="K2041" i="8" s="1"/>
  <c r="K2065" i="8" s="1"/>
  <c r="K2089" i="8" s="1"/>
  <c r="K2113" i="8" s="1"/>
  <c r="K2137" i="8" s="1"/>
  <c r="K2161" i="8" s="1"/>
  <c r="K2185" i="8" s="1"/>
  <c r="K2209" i="8" s="1"/>
  <c r="K2233" i="8" s="1"/>
  <c r="K2257" i="8" s="1"/>
  <c r="K2281" i="8" s="1"/>
  <c r="K2305" i="8" s="1"/>
  <c r="K2329" i="8" s="1"/>
  <c r="K2353" i="8" s="1"/>
  <c r="K2377" i="8" s="1"/>
  <c r="K2401" i="8" s="1"/>
  <c r="K2425" i="8" s="1"/>
  <c r="K2449" i="8" s="1"/>
  <c r="K2473" i="8" s="1"/>
  <c r="K2497" i="8" s="1"/>
  <c r="K2521" i="8" s="1"/>
  <c r="K2545" i="8" s="1"/>
  <c r="K2569" i="8" s="1"/>
  <c r="K2593" i="8" s="1"/>
  <c r="K2617" i="8" s="1"/>
  <c r="K2641" i="8" s="1"/>
  <c r="K2665" i="8" s="1"/>
  <c r="K2689" i="8" s="1"/>
  <c r="K2713" i="8" s="1"/>
  <c r="K2737" i="8" s="1"/>
  <c r="K2761" i="8" s="1"/>
  <c r="K2785" i="8" s="1"/>
  <c r="K2809" i="8" s="1"/>
  <c r="K2833" i="8" s="1"/>
  <c r="K2857" i="8" s="1"/>
  <c r="K2881" i="8" s="1"/>
  <c r="K2905" i="8" s="1"/>
  <c r="K2929" i="8" s="1"/>
  <c r="K2953" i="8" s="1"/>
  <c r="K2977" i="8" s="1"/>
  <c r="K3001" i="8" s="1"/>
  <c r="K3025" i="8" s="1"/>
  <c r="K914" i="8"/>
  <c r="K938" i="8" s="1"/>
  <c r="K962" i="8" s="1"/>
  <c r="K986" i="8" s="1"/>
  <c r="K1010" i="8" s="1"/>
  <c r="K1034" i="8" s="1"/>
  <c r="K1058" i="8" s="1"/>
  <c r="K1082" i="8" s="1"/>
  <c r="K1106" i="8" s="1"/>
  <c r="K1130" i="8" s="1"/>
  <c r="K1154" i="8" s="1"/>
  <c r="K1178" i="8" s="1"/>
  <c r="K1202" i="8" s="1"/>
  <c r="K1226" i="8" s="1"/>
  <c r="K1250" i="8" s="1"/>
  <c r="K1274" i="8" s="1"/>
  <c r="K1298" i="8" s="1"/>
  <c r="K1322" i="8" s="1"/>
  <c r="K1346" i="8" s="1"/>
  <c r="K1370" i="8" s="1"/>
  <c r="K1394" i="8" s="1"/>
  <c r="K1418" i="8" s="1"/>
  <c r="K1442" i="8" s="1"/>
  <c r="K1466" i="8" s="1"/>
  <c r="K1490" i="8" s="1"/>
  <c r="K1514" i="8" s="1"/>
  <c r="K1538" i="8" s="1"/>
  <c r="K1562" i="8" s="1"/>
  <c r="K1586" i="8" s="1"/>
  <c r="K1610" i="8" s="1"/>
  <c r="K1634" i="8" s="1"/>
  <c r="K1658" i="8" s="1"/>
  <c r="K1682" i="8" s="1"/>
  <c r="K1706" i="8" s="1"/>
  <c r="K1730" i="8" s="1"/>
  <c r="K1754" i="8" s="1"/>
  <c r="K1778" i="8" s="1"/>
  <c r="K1802" i="8" s="1"/>
  <c r="K1826" i="8" s="1"/>
  <c r="K1850" i="8" s="1"/>
  <c r="K1874" i="8" s="1"/>
  <c r="K1898" i="8" s="1"/>
  <c r="K1922" i="8" s="1"/>
  <c r="K1946" i="8" s="1"/>
  <c r="K1970" i="8" s="1"/>
  <c r="K1994" i="8" s="1"/>
  <c r="K2018" i="8" s="1"/>
  <c r="K2042" i="8" s="1"/>
  <c r="K2066" i="8" s="1"/>
  <c r="K2090" i="8" s="1"/>
  <c r="K2114" i="8" s="1"/>
  <c r="K2138" i="8" s="1"/>
  <c r="K2162" i="8" s="1"/>
  <c r="K2186" i="8" s="1"/>
  <c r="K2210" i="8" s="1"/>
  <c r="K2234" i="8" s="1"/>
  <c r="K2258" i="8" s="1"/>
  <c r="K2282" i="8" s="1"/>
  <c r="K2306" i="8" s="1"/>
  <c r="K2330" i="8" s="1"/>
  <c r="K2354" i="8" s="1"/>
  <c r="K2378" i="8" s="1"/>
  <c r="K2402" i="8" s="1"/>
  <c r="K2426" i="8" s="1"/>
  <c r="K2450" i="8" s="1"/>
  <c r="K2474" i="8" s="1"/>
  <c r="K2498" i="8" s="1"/>
  <c r="K2522" i="8" s="1"/>
  <c r="K2546" i="8" s="1"/>
  <c r="K2570" i="8" s="1"/>
  <c r="K2594" i="8" s="1"/>
  <c r="K2618" i="8" s="1"/>
  <c r="K2642" i="8" s="1"/>
  <c r="K2666" i="8" s="1"/>
  <c r="K2690" i="8" s="1"/>
  <c r="K2714" i="8" s="1"/>
  <c r="K2738" i="8" s="1"/>
  <c r="K2762" i="8" s="1"/>
  <c r="K2786" i="8" s="1"/>
  <c r="K2810" i="8" s="1"/>
  <c r="K2834" i="8" s="1"/>
  <c r="K2858" i="8" s="1"/>
  <c r="K2882" i="8" s="1"/>
  <c r="K2906" i="8" s="1"/>
  <c r="K2930" i="8" s="1"/>
  <c r="K2954" i="8" s="1"/>
  <c r="K2978" i="8" s="1"/>
  <c r="K3002" i="8" s="1"/>
  <c r="K3026" i="8" s="1"/>
  <c r="K891" i="8"/>
  <c r="K915" i="8" s="1"/>
  <c r="K939" i="8" s="1"/>
  <c r="K963" i="8" s="1"/>
  <c r="K987" i="8" s="1"/>
  <c r="K1011" i="8" s="1"/>
  <c r="K1035" i="8" s="1"/>
  <c r="K1059" i="8" s="1"/>
  <c r="K1083" i="8" s="1"/>
  <c r="K1107" i="8" s="1"/>
  <c r="K1131" i="8" s="1"/>
  <c r="K1155" i="8" s="1"/>
  <c r="K1179" i="8" s="1"/>
  <c r="K1203" i="8" s="1"/>
  <c r="K1227" i="8" s="1"/>
  <c r="K1251" i="8" s="1"/>
  <c r="K1275" i="8" s="1"/>
  <c r="K1299" i="8" s="1"/>
  <c r="K1323" i="8" s="1"/>
  <c r="K1347" i="8" s="1"/>
  <c r="K1371" i="8" s="1"/>
  <c r="K1395" i="8" s="1"/>
  <c r="K1419" i="8" s="1"/>
  <c r="K1443" i="8" s="1"/>
  <c r="K1467" i="8" s="1"/>
  <c r="K1491" i="8" s="1"/>
  <c r="K1515" i="8" s="1"/>
  <c r="K1539" i="8" s="1"/>
  <c r="K1563" i="8" s="1"/>
  <c r="K1587" i="8" s="1"/>
  <c r="K1611" i="8" s="1"/>
  <c r="K1635" i="8" s="1"/>
  <c r="K1659" i="8" s="1"/>
  <c r="K1683" i="8" s="1"/>
  <c r="K1707" i="8" s="1"/>
  <c r="K1731" i="8" s="1"/>
  <c r="K1755" i="8" s="1"/>
  <c r="K1779" i="8" s="1"/>
  <c r="K1803" i="8" s="1"/>
  <c r="K1827" i="8" s="1"/>
  <c r="K1851" i="8" s="1"/>
  <c r="K1875" i="8" s="1"/>
  <c r="K1899" i="8" s="1"/>
  <c r="K1923" i="8" s="1"/>
  <c r="K1947" i="8" s="1"/>
  <c r="K1971" i="8" s="1"/>
  <c r="K1995" i="8" s="1"/>
  <c r="K2019" i="8" s="1"/>
  <c r="K2043" i="8" s="1"/>
  <c r="K2067" i="8" s="1"/>
  <c r="K2091" i="8" s="1"/>
  <c r="K2115" i="8" s="1"/>
  <c r="K2139" i="8" s="1"/>
  <c r="K2163" i="8" s="1"/>
  <c r="K2187" i="8" s="1"/>
  <c r="K2211" i="8" s="1"/>
  <c r="K2235" i="8" s="1"/>
  <c r="K2259" i="8" s="1"/>
  <c r="K2283" i="8" s="1"/>
  <c r="K2307" i="8" s="1"/>
  <c r="K2331" i="8" s="1"/>
  <c r="K2355" i="8" s="1"/>
  <c r="K2379" i="8" s="1"/>
  <c r="K2403" i="8" s="1"/>
  <c r="K2427" i="8" s="1"/>
  <c r="K2451" i="8" s="1"/>
  <c r="K2475" i="8" s="1"/>
  <c r="K2499" i="8" s="1"/>
  <c r="K2523" i="8" s="1"/>
  <c r="K2547" i="8" s="1"/>
  <c r="K2571" i="8" s="1"/>
  <c r="K2595" i="8" s="1"/>
  <c r="K2619" i="8" s="1"/>
  <c r="K2643" i="8" s="1"/>
  <c r="K2667" i="8" s="1"/>
  <c r="K2691" i="8" s="1"/>
  <c r="K2715" i="8" s="1"/>
  <c r="K2739" i="8" s="1"/>
  <c r="K2763" i="8" s="1"/>
  <c r="K2787" i="8" s="1"/>
  <c r="K2811" i="8" s="1"/>
  <c r="K2835" i="8" s="1"/>
  <c r="K2859" i="8" s="1"/>
  <c r="K2883" i="8" s="1"/>
  <c r="K2907" i="8" s="1"/>
  <c r="K2931" i="8" s="1"/>
  <c r="K2955" i="8" s="1"/>
  <c r="K2979" i="8" s="1"/>
  <c r="K3003" i="8" s="1"/>
  <c r="G892" i="8"/>
  <c r="G916" i="8" s="1"/>
  <c r="G940" i="8" s="1"/>
  <c r="G964" i="8" s="1"/>
  <c r="G988" i="8" s="1"/>
  <c r="G1012" i="8" s="1"/>
  <c r="G1036" i="8" s="1"/>
  <c r="G1060" i="8" s="1"/>
  <c r="G1084" i="8" s="1"/>
  <c r="G1108" i="8" s="1"/>
  <c r="G1132" i="8" s="1"/>
  <c r="G1156" i="8" s="1"/>
  <c r="G1180" i="8" s="1"/>
  <c r="G1204" i="8" s="1"/>
  <c r="G1228" i="8" s="1"/>
  <c r="G893" i="8"/>
  <c r="G917" i="8" s="1"/>
  <c r="G941" i="8" s="1"/>
  <c r="G965" i="8" s="1"/>
  <c r="G989" i="8" s="1"/>
  <c r="G1013" i="8" s="1"/>
  <c r="G1037" i="8" s="1"/>
  <c r="G1061" i="8" s="1"/>
  <c r="G1085" i="8" s="1"/>
  <c r="G1109" i="8" s="1"/>
  <c r="G1133" i="8" s="1"/>
  <c r="G1157" i="8" s="1"/>
  <c r="G1181" i="8" s="1"/>
  <c r="G1205" i="8" s="1"/>
  <c r="G1229" i="8" s="1"/>
  <c r="G1253" i="8" s="1"/>
  <c r="G1277" i="8" s="1"/>
  <c r="G1301" i="8" s="1"/>
  <c r="G1325" i="8" s="1"/>
  <c r="G1349" i="8" s="1"/>
  <c r="G1373" i="8" s="1"/>
  <c r="G1397" i="8" s="1"/>
  <c r="G1421" i="8" s="1"/>
  <c r="G1445" i="8" s="1"/>
  <c r="G1469" i="8" s="1"/>
  <c r="G1493" i="8" s="1"/>
  <c r="G1517" i="8" s="1"/>
  <c r="G1541" i="8" s="1"/>
  <c r="G1565" i="8" s="1"/>
  <c r="G1589" i="8" s="1"/>
  <c r="G1613" i="8" s="1"/>
  <c r="G1637" i="8" s="1"/>
  <c r="G1661" i="8" s="1"/>
  <c r="G1685" i="8" s="1"/>
  <c r="G1709" i="8" s="1"/>
  <c r="G1733" i="8" s="1"/>
  <c r="G1757" i="8" s="1"/>
  <c r="G1781" i="8" s="1"/>
  <c r="G1805" i="8" s="1"/>
  <c r="G1829" i="8" s="1"/>
  <c r="G1853" i="8" s="1"/>
  <c r="G1877" i="8" s="1"/>
  <c r="G1901" i="8" s="1"/>
  <c r="G1925" i="8" s="1"/>
  <c r="G1949" i="8" s="1"/>
  <c r="G1973" i="8" s="1"/>
  <c r="G1997" i="8" s="1"/>
  <c r="G2021" i="8" s="1"/>
  <c r="G2045" i="8" s="1"/>
  <c r="G2069" i="8" s="1"/>
  <c r="G2093" i="8" s="1"/>
  <c r="G2117" i="8" s="1"/>
  <c r="G2141" i="8" s="1"/>
  <c r="G2165" i="8" s="1"/>
  <c r="G2453" i="8" s="1"/>
  <c r="G2477" i="8" s="1"/>
  <c r="G2501" i="8" s="1"/>
  <c r="G2525" i="8" s="1"/>
  <c r="G2549" i="8" s="1"/>
  <c r="G2573" i="8" s="1"/>
  <c r="G2597" i="8" s="1"/>
  <c r="G2621" i="8" s="1"/>
  <c r="G2645" i="8" s="1"/>
  <c r="G2669" i="8" s="1"/>
  <c r="G2693" i="8" s="1"/>
  <c r="G2717" i="8" s="1"/>
  <c r="G2741" i="8" s="1"/>
  <c r="G2765" i="8" s="1"/>
  <c r="G2789" i="8" s="1"/>
  <c r="G2813" i="8" s="1"/>
  <c r="G2837" i="8" s="1"/>
  <c r="G2861" i="8" s="1"/>
  <c r="G2885" i="8" s="1"/>
  <c r="G2909" i="8" s="1"/>
  <c r="G2933" i="8" s="1"/>
  <c r="G2957" i="8" s="1"/>
  <c r="G2981" i="8" s="1"/>
  <c r="G3005" i="8" s="1"/>
  <c r="G894" i="8"/>
  <c r="G918" i="8" s="1"/>
  <c r="G942" i="8" s="1"/>
  <c r="G966" i="8" s="1"/>
  <c r="G990" i="8" s="1"/>
  <c r="G1014" i="8" s="1"/>
  <c r="G1038" i="8" s="1"/>
  <c r="G1062" i="8" s="1"/>
  <c r="G1086" i="8" s="1"/>
  <c r="G1110" i="8" s="1"/>
  <c r="G1134" i="8" s="1"/>
  <c r="G1158" i="8" s="1"/>
  <c r="G1182" i="8" s="1"/>
  <c r="G1206" i="8" s="1"/>
  <c r="G1230" i="8" s="1"/>
  <c r="G1254" i="8" s="1"/>
  <c r="G1278" i="8" s="1"/>
  <c r="G1302" i="8" s="1"/>
  <c r="G1326" i="8" s="1"/>
  <c r="G1350" i="8" s="1"/>
  <c r="G1374" i="8" s="1"/>
  <c r="G1398" i="8" s="1"/>
  <c r="G1422" i="8" s="1"/>
  <c r="G1446" i="8" s="1"/>
  <c r="G1470" i="8" s="1"/>
  <c r="G1494" i="8" s="1"/>
  <c r="G1518" i="8" s="1"/>
  <c r="G1542" i="8" s="1"/>
  <c r="G1566" i="8" s="1"/>
  <c r="G1590" i="8" s="1"/>
  <c r="G1614" i="8" s="1"/>
  <c r="G1638" i="8" s="1"/>
  <c r="G1662" i="8" s="1"/>
  <c r="G1686" i="8" s="1"/>
  <c r="G1710" i="8" s="1"/>
  <c r="G1734" i="8" s="1"/>
  <c r="G1758" i="8" s="1"/>
  <c r="G1782" i="8" s="1"/>
  <c r="G1806" i="8" s="1"/>
  <c r="G1830" i="8" s="1"/>
  <c r="G1854" i="8" s="1"/>
  <c r="G1878" i="8" s="1"/>
  <c r="G1902" i="8" s="1"/>
  <c r="G1926" i="8" s="1"/>
  <c r="G1950" i="8" s="1"/>
  <c r="G1974" i="8" s="1"/>
  <c r="G1998" i="8" s="1"/>
  <c r="G2022" i="8" s="1"/>
  <c r="G2046" i="8" s="1"/>
  <c r="G2070" i="8" s="1"/>
  <c r="G2094" i="8" s="1"/>
  <c r="G2118" i="8" s="1"/>
  <c r="G2142" i="8" s="1"/>
  <c r="G2166" i="8" s="1"/>
  <c r="G2454" i="8" s="1"/>
  <c r="G2478" i="8" s="1"/>
  <c r="G2502" i="8" s="1"/>
  <c r="G2526" i="8" s="1"/>
  <c r="G2550" i="8" s="1"/>
  <c r="G2574" i="8" s="1"/>
  <c r="G2598" i="8" s="1"/>
  <c r="G2622" i="8" s="1"/>
  <c r="G2646" i="8" s="1"/>
  <c r="G2670" i="8" s="1"/>
  <c r="G2694" i="8" s="1"/>
  <c r="G2718" i="8" s="1"/>
  <c r="G2742" i="8" s="1"/>
  <c r="G2766" i="8" s="1"/>
  <c r="G2790" i="8" s="1"/>
  <c r="G2814" i="8" s="1"/>
  <c r="G2838" i="8" s="1"/>
  <c r="G2862" i="8" s="1"/>
  <c r="G2886" i="8" s="1"/>
  <c r="G2910" i="8" s="1"/>
  <c r="G2934" i="8" s="1"/>
  <c r="G2958" i="8" s="1"/>
  <c r="G2982" i="8" s="1"/>
  <c r="G3006" i="8" s="1"/>
  <c r="G895" i="8"/>
  <c r="G919" i="8" s="1"/>
  <c r="G943" i="8" s="1"/>
  <c r="G967" i="8" s="1"/>
  <c r="G991" i="8" s="1"/>
  <c r="G1015" i="8" s="1"/>
  <c r="G1039" i="8" s="1"/>
  <c r="G1063" i="8" s="1"/>
  <c r="G1087" i="8" s="1"/>
  <c r="G1111" i="8" s="1"/>
  <c r="G1135" i="8" s="1"/>
  <c r="G1159" i="8" s="1"/>
  <c r="G1183" i="8" s="1"/>
  <c r="G1207" i="8" s="1"/>
  <c r="G1231" i="8" s="1"/>
  <c r="G1255" i="8" s="1"/>
  <c r="G1279" i="8" s="1"/>
  <c r="G1303" i="8" s="1"/>
  <c r="G1327" i="8" s="1"/>
  <c r="G1351" i="8" s="1"/>
  <c r="G1375" i="8" s="1"/>
  <c r="G1399" i="8" s="1"/>
  <c r="G1423" i="8" s="1"/>
  <c r="G1447" i="8" s="1"/>
  <c r="G1471" i="8" s="1"/>
  <c r="G1495" i="8" s="1"/>
  <c r="G1519" i="8" s="1"/>
  <c r="G1543" i="8" s="1"/>
  <c r="G1567" i="8" s="1"/>
  <c r="G1591" i="8" s="1"/>
  <c r="G1615" i="8" s="1"/>
  <c r="G1639" i="8" s="1"/>
  <c r="G1663" i="8" s="1"/>
  <c r="G1687" i="8" s="1"/>
  <c r="G1711" i="8" s="1"/>
  <c r="G1735" i="8" s="1"/>
  <c r="G1759" i="8" s="1"/>
  <c r="G1783" i="8" s="1"/>
  <c r="G1807" i="8" s="1"/>
  <c r="G1831" i="8" s="1"/>
  <c r="G1855" i="8" s="1"/>
  <c r="G1879" i="8" s="1"/>
  <c r="G1903" i="8" s="1"/>
  <c r="G1927" i="8" s="1"/>
  <c r="G1951" i="8" s="1"/>
  <c r="G1975" i="8" s="1"/>
  <c r="G1999" i="8" s="1"/>
  <c r="G2023" i="8" s="1"/>
  <c r="G2047" i="8" s="1"/>
  <c r="G2071" i="8" s="1"/>
  <c r="G2095" i="8" s="1"/>
  <c r="G2119" i="8" s="1"/>
  <c r="G2143" i="8" s="1"/>
  <c r="G2167" i="8" s="1"/>
  <c r="G2455" i="8" s="1"/>
  <c r="G2479" i="8" s="1"/>
  <c r="G2503" i="8" s="1"/>
  <c r="G2527" i="8" s="1"/>
  <c r="G2551" i="8" s="1"/>
  <c r="G2575" i="8" s="1"/>
  <c r="G2599" i="8" s="1"/>
  <c r="G2623" i="8" s="1"/>
  <c r="G2647" i="8" s="1"/>
  <c r="G2671" i="8" s="1"/>
  <c r="G2695" i="8" s="1"/>
  <c r="G2719" i="8" s="1"/>
  <c r="G2743" i="8" s="1"/>
  <c r="G2767" i="8" s="1"/>
  <c r="G2791" i="8" s="1"/>
  <c r="G2815" i="8" s="1"/>
  <c r="G2839" i="8" s="1"/>
  <c r="G2863" i="8" s="1"/>
  <c r="G2887" i="8" s="1"/>
  <c r="G2911" i="8" s="1"/>
  <c r="G2935" i="8" s="1"/>
  <c r="G2959" i="8" s="1"/>
  <c r="G2983" i="8" s="1"/>
  <c r="G3007" i="8" s="1"/>
  <c r="G896" i="8"/>
  <c r="G920" i="8" s="1"/>
  <c r="G944" i="8" s="1"/>
  <c r="G968" i="8" s="1"/>
  <c r="G992" i="8" s="1"/>
  <c r="G1016" i="8" s="1"/>
  <c r="G1040" i="8" s="1"/>
  <c r="G1064" i="8" s="1"/>
  <c r="G1088" i="8" s="1"/>
  <c r="G1112" i="8" s="1"/>
  <c r="G1136" i="8" s="1"/>
  <c r="G1160" i="8" s="1"/>
  <c r="G1184" i="8" s="1"/>
  <c r="G1208" i="8" s="1"/>
  <c r="G1232" i="8" s="1"/>
  <c r="G1256" i="8" s="1"/>
  <c r="G1280" i="8" s="1"/>
  <c r="G1304" i="8" s="1"/>
  <c r="G1328" i="8" s="1"/>
  <c r="G1352" i="8" s="1"/>
  <c r="G1376" i="8" s="1"/>
  <c r="G1400" i="8" s="1"/>
  <c r="G1424" i="8" s="1"/>
  <c r="G1448" i="8" s="1"/>
  <c r="G1472" i="8" s="1"/>
  <c r="G1496" i="8" s="1"/>
  <c r="G1520" i="8" s="1"/>
  <c r="G1544" i="8" s="1"/>
  <c r="G1568" i="8" s="1"/>
  <c r="G1592" i="8" s="1"/>
  <c r="G1616" i="8" s="1"/>
  <c r="G1640" i="8" s="1"/>
  <c r="G1664" i="8" s="1"/>
  <c r="G1688" i="8" s="1"/>
  <c r="G1712" i="8" s="1"/>
  <c r="G1736" i="8" s="1"/>
  <c r="G1760" i="8" s="1"/>
  <c r="G1784" i="8" s="1"/>
  <c r="G1808" i="8" s="1"/>
  <c r="G1832" i="8" s="1"/>
  <c r="G1856" i="8" s="1"/>
  <c r="G1880" i="8" s="1"/>
  <c r="G1904" i="8" s="1"/>
  <c r="G1928" i="8" s="1"/>
  <c r="G1952" i="8" s="1"/>
  <c r="G1976" i="8" s="1"/>
  <c r="G2000" i="8" s="1"/>
  <c r="G2024" i="8" s="1"/>
  <c r="G2048" i="8" s="1"/>
  <c r="G2072" i="8" s="1"/>
  <c r="G2096" i="8" s="1"/>
  <c r="G2120" i="8" s="1"/>
  <c r="G2144" i="8" s="1"/>
  <c r="G2168" i="8" s="1"/>
  <c r="G2456" i="8" s="1"/>
  <c r="G2480" i="8" s="1"/>
  <c r="G2504" i="8" s="1"/>
  <c r="G2528" i="8" s="1"/>
  <c r="G2552" i="8" s="1"/>
  <c r="G2576" i="8" s="1"/>
  <c r="G2600" i="8" s="1"/>
  <c r="G2624" i="8" s="1"/>
  <c r="G2648" i="8" s="1"/>
  <c r="G2672" i="8" s="1"/>
  <c r="G2696" i="8" s="1"/>
  <c r="G2720" i="8" s="1"/>
  <c r="G2744" i="8" s="1"/>
  <c r="G2768" i="8" s="1"/>
  <c r="G2792" i="8" s="1"/>
  <c r="G2816" i="8" s="1"/>
  <c r="G2840" i="8" s="1"/>
  <c r="G2864" i="8" s="1"/>
  <c r="G2888" i="8" s="1"/>
  <c r="G2912" i="8" s="1"/>
  <c r="G2936" i="8" s="1"/>
  <c r="G2960" i="8" s="1"/>
  <c r="G2984" i="8" s="1"/>
  <c r="G3008" i="8" s="1"/>
  <c r="G897" i="8"/>
  <c r="G921" i="8" s="1"/>
  <c r="G945" i="8" s="1"/>
  <c r="G969" i="8" s="1"/>
  <c r="G993" i="8" s="1"/>
  <c r="G1017" i="8" s="1"/>
  <c r="G1041" i="8" s="1"/>
  <c r="G1065" i="8" s="1"/>
  <c r="G1089" i="8" s="1"/>
  <c r="G1113" i="8" s="1"/>
  <c r="G1137" i="8" s="1"/>
  <c r="G1161" i="8" s="1"/>
  <c r="G1185" i="8" s="1"/>
  <c r="G1209" i="8" s="1"/>
  <c r="G1233" i="8" s="1"/>
  <c r="G1257" i="8" s="1"/>
  <c r="G1281" i="8" s="1"/>
  <c r="G1305" i="8" s="1"/>
  <c r="G1329" i="8" s="1"/>
  <c r="G1353" i="8" s="1"/>
  <c r="G1377" i="8" s="1"/>
  <c r="G1401" i="8" s="1"/>
  <c r="G1425" i="8" s="1"/>
  <c r="G1449" i="8" s="1"/>
  <c r="G1473" i="8" s="1"/>
  <c r="G1497" i="8" s="1"/>
  <c r="G1521" i="8" s="1"/>
  <c r="G1545" i="8" s="1"/>
  <c r="G1569" i="8" s="1"/>
  <c r="G1593" i="8" s="1"/>
  <c r="G1617" i="8" s="1"/>
  <c r="G1641" i="8" s="1"/>
  <c r="G1665" i="8" s="1"/>
  <c r="G1689" i="8" s="1"/>
  <c r="G1713" i="8" s="1"/>
  <c r="G1737" i="8" s="1"/>
  <c r="G1761" i="8" s="1"/>
  <c r="G1785" i="8" s="1"/>
  <c r="G1809" i="8" s="1"/>
  <c r="G1833" i="8" s="1"/>
  <c r="G1857" i="8" s="1"/>
  <c r="G1881" i="8" s="1"/>
  <c r="G1905" i="8" s="1"/>
  <c r="G1929" i="8" s="1"/>
  <c r="G1953" i="8" s="1"/>
  <c r="G1977" i="8" s="1"/>
  <c r="G2001" i="8" s="1"/>
  <c r="G2025" i="8" s="1"/>
  <c r="G2049" i="8" s="1"/>
  <c r="G2073" i="8" s="1"/>
  <c r="G2097" i="8" s="1"/>
  <c r="G2121" i="8" s="1"/>
  <c r="G2145" i="8" s="1"/>
  <c r="G2169" i="8" s="1"/>
  <c r="G2457" i="8" s="1"/>
  <c r="G2481" i="8" s="1"/>
  <c r="G2505" i="8" s="1"/>
  <c r="G2529" i="8" s="1"/>
  <c r="G2553" i="8" s="1"/>
  <c r="G2577" i="8" s="1"/>
  <c r="G2601" i="8" s="1"/>
  <c r="G2625" i="8" s="1"/>
  <c r="G2649" i="8" s="1"/>
  <c r="G2673" i="8" s="1"/>
  <c r="G2697" i="8" s="1"/>
  <c r="G2721" i="8" s="1"/>
  <c r="G2745" i="8" s="1"/>
  <c r="G2769" i="8" s="1"/>
  <c r="G2793" i="8" s="1"/>
  <c r="G2817" i="8" s="1"/>
  <c r="G2841" i="8" s="1"/>
  <c r="G2865" i="8" s="1"/>
  <c r="G2889" i="8" s="1"/>
  <c r="G2913" i="8" s="1"/>
  <c r="G2937" i="8" s="1"/>
  <c r="G2961" i="8" s="1"/>
  <c r="G2985" i="8" s="1"/>
  <c r="G3009" i="8" s="1"/>
  <c r="G898" i="8"/>
  <c r="G922" i="8" s="1"/>
  <c r="G946" i="8" s="1"/>
  <c r="G970" i="8" s="1"/>
  <c r="G994" i="8" s="1"/>
  <c r="G1018" i="8" s="1"/>
  <c r="G1042" i="8" s="1"/>
  <c r="G1066" i="8" s="1"/>
  <c r="G1090" i="8" s="1"/>
  <c r="G1114" i="8" s="1"/>
  <c r="G1138" i="8" s="1"/>
  <c r="G1162" i="8" s="1"/>
  <c r="G1186" i="8" s="1"/>
  <c r="G1210" i="8" s="1"/>
  <c r="G1234" i="8" s="1"/>
  <c r="G1258" i="8" s="1"/>
  <c r="G1282" i="8" s="1"/>
  <c r="G1306" i="8" s="1"/>
  <c r="G1330" i="8" s="1"/>
  <c r="G1354" i="8" s="1"/>
  <c r="G1378" i="8" s="1"/>
  <c r="G1402" i="8" s="1"/>
  <c r="G1426" i="8" s="1"/>
  <c r="G1450" i="8" s="1"/>
  <c r="G1474" i="8" s="1"/>
  <c r="G1498" i="8" s="1"/>
  <c r="G1522" i="8" s="1"/>
  <c r="G1546" i="8" s="1"/>
  <c r="G1570" i="8" s="1"/>
  <c r="G1594" i="8" s="1"/>
  <c r="G1618" i="8" s="1"/>
  <c r="G1642" i="8" s="1"/>
  <c r="G1666" i="8" s="1"/>
  <c r="G1690" i="8" s="1"/>
  <c r="G1714" i="8" s="1"/>
  <c r="G1738" i="8" s="1"/>
  <c r="G1762" i="8" s="1"/>
  <c r="G1786" i="8" s="1"/>
  <c r="G1810" i="8" s="1"/>
  <c r="G1834" i="8" s="1"/>
  <c r="G1858" i="8" s="1"/>
  <c r="G1882" i="8" s="1"/>
  <c r="G1906" i="8" s="1"/>
  <c r="G1930" i="8" s="1"/>
  <c r="G1954" i="8" s="1"/>
  <c r="G1978" i="8" s="1"/>
  <c r="G2002" i="8" s="1"/>
  <c r="G2026" i="8" s="1"/>
  <c r="G2050" i="8" s="1"/>
  <c r="G2074" i="8" s="1"/>
  <c r="G2098" i="8" s="1"/>
  <c r="G2122" i="8" s="1"/>
  <c r="G2146" i="8" s="1"/>
  <c r="G2170" i="8" s="1"/>
  <c r="G2458" i="8" s="1"/>
  <c r="G2482" i="8" s="1"/>
  <c r="G2506" i="8" s="1"/>
  <c r="G2530" i="8" s="1"/>
  <c r="G2554" i="8" s="1"/>
  <c r="G2578" i="8" s="1"/>
  <c r="G2602" i="8" s="1"/>
  <c r="G2626" i="8" s="1"/>
  <c r="G2650" i="8" s="1"/>
  <c r="G2674" i="8" s="1"/>
  <c r="G2698" i="8" s="1"/>
  <c r="G2722" i="8" s="1"/>
  <c r="G2746" i="8" s="1"/>
  <c r="G2770" i="8" s="1"/>
  <c r="G2794" i="8" s="1"/>
  <c r="G2818" i="8" s="1"/>
  <c r="G2842" i="8" s="1"/>
  <c r="G2866" i="8" s="1"/>
  <c r="G2890" i="8" s="1"/>
  <c r="G2914" i="8" s="1"/>
  <c r="G2938" i="8" s="1"/>
  <c r="G2962" i="8" s="1"/>
  <c r="G2986" i="8" s="1"/>
  <c r="G3010" i="8" s="1"/>
  <c r="G899" i="8"/>
  <c r="G923" i="8" s="1"/>
  <c r="G947" i="8" s="1"/>
  <c r="G971" i="8" s="1"/>
  <c r="G995" i="8" s="1"/>
  <c r="G1019" i="8" s="1"/>
  <c r="G1043" i="8" s="1"/>
  <c r="G1067" i="8" s="1"/>
  <c r="G1091" i="8" s="1"/>
  <c r="G1115" i="8" s="1"/>
  <c r="G1139" i="8" s="1"/>
  <c r="G1163" i="8" s="1"/>
  <c r="G1187" i="8" s="1"/>
  <c r="G1211" i="8" s="1"/>
  <c r="G1235" i="8" s="1"/>
  <c r="G1259" i="8" s="1"/>
  <c r="G1283" i="8" s="1"/>
  <c r="G1307" i="8" s="1"/>
  <c r="G1331" i="8" s="1"/>
  <c r="G1355" i="8" s="1"/>
  <c r="G1379" i="8" s="1"/>
  <c r="G1403" i="8" s="1"/>
  <c r="G1427" i="8" s="1"/>
  <c r="G1451" i="8" s="1"/>
  <c r="G1475" i="8" s="1"/>
  <c r="G1499" i="8" s="1"/>
  <c r="G1523" i="8" s="1"/>
  <c r="G1547" i="8" s="1"/>
  <c r="G1571" i="8" s="1"/>
  <c r="G1595" i="8" s="1"/>
  <c r="G1619" i="8" s="1"/>
  <c r="G1643" i="8" s="1"/>
  <c r="G1667" i="8" s="1"/>
  <c r="G1691" i="8" s="1"/>
  <c r="G1715" i="8" s="1"/>
  <c r="G1739" i="8" s="1"/>
  <c r="G1763" i="8" s="1"/>
  <c r="G1787" i="8" s="1"/>
  <c r="G1811" i="8" s="1"/>
  <c r="G1835" i="8" s="1"/>
  <c r="G1859" i="8" s="1"/>
  <c r="G1883" i="8" s="1"/>
  <c r="G1907" i="8" s="1"/>
  <c r="G1931" i="8" s="1"/>
  <c r="G1955" i="8" s="1"/>
  <c r="G1979" i="8" s="1"/>
  <c r="G2003" i="8" s="1"/>
  <c r="G2027" i="8" s="1"/>
  <c r="G2051" i="8" s="1"/>
  <c r="G2075" i="8" s="1"/>
  <c r="G2099" i="8" s="1"/>
  <c r="G2123" i="8" s="1"/>
  <c r="G2147" i="8" s="1"/>
  <c r="G2171" i="8" s="1"/>
  <c r="G2435" i="8" s="1"/>
  <c r="G2459" i="8" s="1"/>
  <c r="G2483" i="8" s="1"/>
  <c r="G2507" i="8" s="1"/>
  <c r="G2531" i="8" s="1"/>
  <c r="G2555" i="8" s="1"/>
  <c r="G2579" i="8" s="1"/>
  <c r="G2603" i="8" s="1"/>
  <c r="G2627" i="8" s="1"/>
  <c r="G2651" i="8" s="1"/>
  <c r="G2675" i="8" s="1"/>
  <c r="G2699" i="8" s="1"/>
  <c r="G2723" i="8" s="1"/>
  <c r="G2747" i="8" s="1"/>
  <c r="G2771" i="8" s="1"/>
  <c r="G2795" i="8" s="1"/>
  <c r="G2819" i="8" s="1"/>
  <c r="G2843" i="8" s="1"/>
  <c r="G2867" i="8" s="1"/>
  <c r="G2891" i="8" s="1"/>
  <c r="G2915" i="8" s="1"/>
  <c r="G2939" i="8" s="1"/>
  <c r="G2963" i="8" s="1"/>
  <c r="G2987" i="8" s="1"/>
  <c r="G3011" i="8" s="1"/>
  <c r="G900" i="8"/>
  <c r="G924" i="8" s="1"/>
  <c r="G948" i="8" s="1"/>
  <c r="G972" i="8" s="1"/>
  <c r="G996" i="8" s="1"/>
  <c r="G1020" i="8" s="1"/>
  <c r="G1044" i="8" s="1"/>
  <c r="G1068" i="8" s="1"/>
  <c r="G1092" i="8" s="1"/>
  <c r="G1116" i="8" s="1"/>
  <c r="G1140" i="8" s="1"/>
  <c r="G1164" i="8" s="1"/>
  <c r="G1188" i="8" s="1"/>
  <c r="G1212" i="8" s="1"/>
  <c r="G1236" i="8" s="1"/>
  <c r="G1260" i="8" s="1"/>
  <c r="G1284" i="8" s="1"/>
  <c r="G1308" i="8" s="1"/>
  <c r="G1332" i="8" s="1"/>
  <c r="G1356" i="8" s="1"/>
  <c r="G1380" i="8" s="1"/>
  <c r="G1404" i="8" s="1"/>
  <c r="G1428" i="8" s="1"/>
  <c r="G1452" i="8" s="1"/>
  <c r="G1476" i="8" s="1"/>
  <c r="G1500" i="8" s="1"/>
  <c r="G1524" i="8" s="1"/>
  <c r="G1548" i="8" s="1"/>
  <c r="G1572" i="8" s="1"/>
  <c r="G1596" i="8" s="1"/>
  <c r="G1620" i="8" s="1"/>
  <c r="G1644" i="8" s="1"/>
  <c r="G1668" i="8" s="1"/>
  <c r="G1692" i="8" s="1"/>
  <c r="G1716" i="8" s="1"/>
  <c r="G1740" i="8" s="1"/>
  <c r="G1764" i="8" s="1"/>
  <c r="G1788" i="8" s="1"/>
  <c r="G1812" i="8" s="1"/>
  <c r="G1836" i="8" s="1"/>
  <c r="G1860" i="8" s="1"/>
  <c r="G1884" i="8" s="1"/>
  <c r="G1908" i="8" s="1"/>
  <c r="G1932" i="8" s="1"/>
  <c r="G1956" i="8" s="1"/>
  <c r="G1980" i="8" s="1"/>
  <c r="G2004" i="8" s="1"/>
  <c r="G2028" i="8" s="1"/>
  <c r="G2052" i="8" s="1"/>
  <c r="G2076" i="8" s="1"/>
  <c r="G2100" i="8" s="1"/>
  <c r="G2124" i="8" s="1"/>
  <c r="G2148" i="8" s="1"/>
  <c r="G2172" i="8" s="1"/>
  <c r="G2436" i="8" s="1"/>
  <c r="G2460" i="8" s="1"/>
  <c r="G2484" i="8" s="1"/>
  <c r="G2508" i="8" s="1"/>
  <c r="G2532" i="8" s="1"/>
  <c r="G2556" i="8" s="1"/>
  <c r="G2580" i="8" s="1"/>
  <c r="G2604" i="8" s="1"/>
  <c r="G2628" i="8" s="1"/>
  <c r="G2652" i="8" s="1"/>
  <c r="G2676" i="8" s="1"/>
  <c r="G2700" i="8" s="1"/>
  <c r="G2724" i="8" s="1"/>
  <c r="G2748" i="8" s="1"/>
  <c r="G2772" i="8" s="1"/>
  <c r="G2796" i="8" s="1"/>
  <c r="G2820" i="8" s="1"/>
  <c r="G2844" i="8" s="1"/>
  <c r="G2868" i="8" s="1"/>
  <c r="G2892" i="8" s="1"/>
  <c r="G2916" i="8" s="1"/>
  <c r="G2940" i="8" s="1"/>
  <c r="G2964" i="8" s="1"/>
  <c r="G2988" i="8" s="1"/>
  <c r="G3012" i="8" s="1"/>
  <c r="G901" i="8"/>
  <c r="G925" i="8" s="1"/>
  <c r="G949" i="8" s="1"/>
  <c r="G973" i="8" s="1"/>
  <c r="G997" i="8" s="1"/>
  <c r="G1021" i="8" s="1"/>
  <c r="G1045" i="8" s="1"/>
  <c r="G1069" i="8" s="1"/>
  <c r="G1093" i="8" s="1"/>
  <c r="G1117" i="8" s="1"/>
  <c r="G1141" i="8" s="1"/>
  <c r="G1165" i="8" s="1"/>
  <c r="G1189" i="8" s="1"/>
  <c r="G1213" i="8" s="1"/>
  <c r="G1237" i="8" s="1"/>
  <c r="G1261" i="8" s="1"/>
  <c r="G1285" i="8" s="1"/>
  <c r="G1309" i="8" s="1"/>
  <c r="G1333" i="8" s="1"/>
  <c r="G1357" i="8" s="1"/>
  <c r="G1381" i="8" s="1"/>
  <c r="G1405" i="8" s="1"/>
  <c r="G1429" i="8" s="1"/>
  <c r="G1453" i="8" s="1"/>
  <c r="G1477" i="8" s="1"/>
  <c r="G1501" i="8" s="1"/>
  <c r="G1525" i="8" s="1"/>
  <c r="G1549" i="8" s="1"/>
  <c r="G1573" i="8" s="1"/>
  <c r="G1597" i="8" s="1"/>
  <c r="G1621" i="8" s="1"/>
  <c r="G1645" i="8" s="1"/>
  <c r="G1669" i="8" s="1"/>
  <c r="G1693" i="8" s="1"/>
  <c r="G1717" i="8" s="1"/>
  <c r="G1741" i="8" s="1"/>
  <c r="G1765" i="8" s="1"/>
  <c r="G1789" i="8" s="1"/>
  <c r="G1813" i="8" s="1"/>
  <c r="G1837" i="8" s="1"/>
  <c r="G1861" i="8" s="1"/>
  <c r="G1885" i="8" s="1"/>
  <c r="G1909" i="8" s="1"/>
  <c r="G1933" i="8" s="1"/>
  <c r="G1957" i="8" s="1"/>
  <c r="G1981" i="8" s="1"/>
  <c r="G2005" i="8" s="1"/>
  <c r="G2029" i="8" s="1"/>
  <c r="G2053" i="8" s="1"/>
  <c r="G2077" i="8" s="1"/>
  <c r="G2101" i="8" s="1"/>
  <c r="G2125" i="8" s="1"/>
  <c r="G2149" i="8" s="1"/>
  <c r="G2173" i="8" s="1"/>
  <c r="G2437" i="8" s="1"/>
  <c r="G2461" i="8" s="1"/>
  <c r="G2485" i="8" s="1"/>
  <c r="G2509" i="8" s="1"/>
  <c r="G2533" i="8" s="1"/>
  <c r="G2557" i="8" s="1"/>
  <c r="G2581" i="8" s="1"/>
  <c r="G2605" i="8" s="1"/>
  <c r="G2629" i="8" s="1"/>
  <c r="G2653" i="8" s="1"/>
  <c r="G2677" i="8" s="1"/>
  <c r="G2701" i="8" s="1"/>
  <c r="G2725" i="8" s="1"/>
  <c r="G2749" i="8" s="1"/>
  <c r="G2773" i="8" s="1"/>
  <c r="G2797" i="8" s="1"/>
  <c r="G2821" i="8" s="1"/>
  <c r="G2845" i="8" s="1"/>
  <c r="G2869" i="8" s="1"/>
  <c r="G2893" i="8" s="1"/>
  <c r="G2917" i="8" s="1"/>
  <c r="G2941" i="8" s="1"/>
  <c r="G2965" i="8" s="1"/>
  <c r="G2989" i="8" s="1"/>
  <c r="G3013" i="8" s="1"/>
  <c r="G902" i="8"/>
  <c r="G926" i="8" s="1"/>
  <c r="G950" i="8" s="1"/>
  <c r="G974" i="8" s="1"/>
  <c r="G998" i="8" s="1"/>
  <c r="G1022" i="8" s="1"/>
  <c r="G1046" i="8" s="1"/>
  <c r="G1070" i="8" s="1"/>
  <c r="G1094" i="8" s="1"/>
  <c r="G1118" i="8" s="1"/>
  <c r="G1142" i="8" s="1"/>
  <c r="G1166" i="8" s="1"/>
  <c r="G1190" i="8" s="1"/>
  <c r="G1214" i="8" s="1"/>
  <c r="G1238" i="8" s="1"/>
  <c r="G1262" i="8" s="1"/>
  <c r="G1286" i="8" s="1"/>
  <c r="G1310" i="8" s="1"/>
  <c r="G1334" i="8" s="1"/>
  <c r="G1358" i="8" s="1"/>
  <c r="G1382" i="8" s="1"/>
  <c r="G1406" i="8" s="1"/>
  <c r="G1430" i="8" s="1"/>
  <c r="G1454" i="8" s="1"/>
  <c r="G1478" i="8" s="1"/>
  <c r="G1502" i="8" s="1"/>
  <c r="G1526" i="8" s="1"/>
  <c r="G1550" i="8" s="1"/>
  <c r="G1574" i="8" s="1"/>
  <c r="G1598" i="8" s="1"/>
  <c r="G1622" i="8" s="1"/>
  <c r="G1646" i="8" s="1"/>
  <c r="G1670" i="8" s="1"/>
  <c r="G1694" i="8" s="1"/>
  <c r="G1718" i="8" s="1"/>
  <c r="G1742" i="8" s="1"/>
  <c r="G1766" i="8" s="1"/>
  <c r="G1790" i="8" s="1"/>
  <c r="G1814" i="8" s="1"/>
  <c r="G1838" i="8" s="1"/>
  <c r="G1862" i="8" s="1"/>
  <c r="G1886" i="8" s="1"/>
  <c r="G1910" i="8" s="1"/>
  <c r="G1934" i="8" s="1"/>
  <c r="G1958" i="8" s="1"/>
  <c r="G1982" i="8" s="1"/>
  <c r="G2006" i="8" s="1"/>
  <c r="G2030" i="8" s="1"/>
  <c r="G2054" i="8" s="1"/>
  <c r="G2078" i="8" s="1"/>
  <c r="G2102" i="8" s="1"/>
  <c r="G2126" i="8" s="1"/>
  <c r="G2150" i="8" s="1"/>
  <c r="G2174" i="8" s="1"/>
  <c r="G2438" i="8" s="1"/>
  <c r="G2462" i="8" s="1"/>
  <c r="G2486" i="8" s="1"/>
  <c r="G2510" i="8" s="1"/>
  <c r="G2534" i="8" s="1"/>
  <c r="G2558" i="8" s="1"/>
  <c r="G2582" i="8" s="1"/>
  <c r="G2606" i="8" s="1"/>
  <c r="G2630" i="8" s="1"/>
  <c r="G2654" i="8" s="1"/>
  <c r="G2678" i="8" s="1"/>
  <c r="G2702" i="8" s="1"/>
  <c r="G2726" i="8" s="1"/>
  <c r="G2750" i="8" s="1"/>
  <c r="G2774" i="8" s="1"/>
  <c r="G2798" i="8" s="1"/>
  <c r="G2822" i="8" s="1"/>
  <c r="G2846" i="8" s="1"/>
  <c r="G2870" i="8" s="1"/>
  <c r="G2894" i="8" s="1"/>
  <c r="G2918" i="8" s="1"/>
  <c r="G2942" i="8" s="1"/>
  <c r="G2966" i="8" s="1"/>
  <c r="G2990" i="8" s="1"/>
  <c r="G3014" i="8" s="1"/>
  <c r="G903" i="8"/>
  <c r="G927" i="8" s="1"/>
  <c r="G951" i="8" s="1"/>
  <c r="G975" i="8" s="1"/>
  <c r="G999" i="8" s="1"/>
  <c r="G1023" i="8" s="1"/>
  <c r="G1047" i="8" s="1"/>
  <c r="G1071" i="8" s="1"/>
  <c r="G1095" i="8" s="1"/>
  <c r="G1119" i="8" s="1"/>
  <c r="G1143" i="8" s="1"/>
  <c r="G1167" i="8" s="1"/>
  <c r="G1191" i="8" s="1"/>
  <c r="G1215" i="8" s="1"/>
  <c r="G1239" i="8" s="1"/>
  <c r="G1263" i="8" s="1"/>
  <c r="G1287" i="8" s="1"/>
  <c r="G1311" i="8" s="1"/>
  <c r="G1335" i="8" s="1"/>
  <c r="G1359" i="8" s="1"/>
  <c r="G1383" i="8" s="1"/>
  <c r="G1407" i="8" s="1"/>
  <c r="G1431" i="8" s="1"/>
  <c r="G1455" i="8" s="1"/>
  <c r="G1479" i="8" s="1"/>
  <c r="G1503" i="8" s="1"/>
  <c r="G1527" i="8" s="1"/>
  <c r="G1551" i="8" s="1"/>
  <c r="G1575" i="8" s="1"/>
  <c r="G1599" i="8" s="1"/>
  <c r="G1623" i="8" s="1"/>
  <c r="G1647" i="8" s="1"/>
  <c r="G1671" i="8" s="1"/>
  <c r="G1695" i="8" s="1"/>
  <c r="G1719" i="8" s="1"/>
  <c r="G1743" i="8" s="1"/>
  <c r="G1767" i="8" s="1"/>
  <c r="G1791" i="8" s="1"/>
  <c r="G1815" i="8" s="1"/>
  <c r="G1839" i="8" s="1"/>
  <c r="G1863" i="8" s="1"/>
  <c r="G1887" i="8" s="1"/>
  <c r="G1911" i="8" s="1"/>
  <c r="G1935" i="8" s="1"/>
  <c r="G1959" i="8" s="1"/>
  <c r="G1983" i="8" s="1"/>
  <c r="G2007" i="8" s="1"/>
  <c r="G2031" i="8" s="1"/>
  <c r="G2055" i="8" s="1"/>
  <c r="G2079" i="8" s="1"/>
  <c r="G2103" i="8" s="1"/>
  <c r="G2127" i="8" s="1"/>
  <c r="G2151" i="8" s="1"/>
  <c r="G2175" i="8" s="1"/>
  <c r="G2439" i="8" s="1"/>
  <c r="G2463" i="8" s="1"/>
  <c r="G2487" i="8" s="1"/>
  <c r="G2511" i="8" s="1"/>
  <c r="G2535" i="8" s="1"/>
  <c r="G2559" i="8" s="1"/>
  <c r="G2583" i="8" s="1"/>
  <c r="G2607" i="8" s="1"/>
  <c r="G2631" i="8" s="1"/>
  <c r="G2655" i="8" s="1"/>
  <c r="G2679" i="8" s="1"/>
  <c r="G2703" i="8" s="1"/>
  <c r="G2727" i="8" s="1"/>
  <c r="G2751" i="8" s="1"/>
  <c r="G2775" i="8" s="1"/>
  <c r="G2799" i="8" s="1"/>
  <c r="G2823" i="8" s="1"/>
  <c r="G2847" i="8" s="1"/>
  <c r="G2871" i="8" s="1"/>
  <c r="G2895" i="8" s="1"/>
  <c r="G2919" i="8" s="1"/>
  <c r="G2943" i="8" s="1"/>
  <c r="G2967" i="8" s="1"/>
  <c r="G2991" i="8" s="1"/>
  <c r="G3015" i="8" s="1"/>
  <c r="G904" i="8"/>
  <c r="G928" i="8" s="1"/>
  <c r="G952" i="8" s="1"/>
  <c r="G976" i="8" s="1"/>
  <c r="G1000" i="8" s="1"/>
  <c r="G1024" i="8" s="1"/>
  <c r="G1048" i="8" s="1"/>
  <c r="G1072" i="8" s="1"/>
  <c r="G1096" i="8" s="1"/>
  <c r="G1120" i="8" s="1"/>
  <c r="G1144" i="8" s="1"/>
  <c r="G1168" i="8" s="1"/>
  <c r="G1192" i="8" s="1"/>
  <c r="G1216" i="8" s="1"/>
  <c r="G1240" i="8" s="1"/>
  <c r="G1264" i="8" s="1"/>
  <c r="G1288" i="8" s="1"/>
  <c r="G1312" i="8" s="1"/>
  <c r="G1336" i="8" s="1"/>
  <c r="G1360" i="8" s="1"/>
  <c r="G1384" i="8" s="1"/>
  <c r="G1408" i="8" s="1"/>
  <c r="G1432" i="8" s="1"/>
  <c r="G1456" i="8" s="1"/>
  <c r="G1480" i="8" s="1"/>
  <c r="G1504" i="8" s="1"/>
  <c r="G1528" i="8" s="1"/>
  <c r="G1552" i="8" s="1"/>
  <c r="G1576" i="8" s="1"/>
  <c r="G1600" i="8" s="1"/>
  <c r="G1624" i="8" s="1"/>
  <c r="G1648" i="8" s="1"/>
  <c r="G1672" i="8" s="1"/>
  <c r="G1696" i="8" s="1"/>
  <c r="G1720" i="8" s="1"/>
  <c r="G1744" i="8" s="1"/>
  <c r="G1768" i="8" s="1"/>
  <c r="G1792" i="8" s="1"/>
  <c r="G1816" i="8" s="1"/>
  <c r="G1840" i="8" s="1"/>
  <c r="G1864" i="8" s="1"/>
  <c r="G1888" i="8" s="1"/>
  <c r="G1912" i="8" s="1"/>
  <c r="G1936" i="8" s="1"/>
  <c r="G1960" i="8" s="1"/>
  <c r="G1984" i="8" s="1"/>
  <c r="G2008" i="8" s="1"/>
  <c r="G2032" i="8" s="1"/>
  <c r="G2056" i="8" s="1"/>
  <c r="G2080" i="8" s="1"/>
  <c r="G2104" i="8" s="1"/>
  <c r="G2128" i="8" s="1"/>
  <c r="G2152" i="8" s="1"/>
  <c r="G2176" i="8" s="1"/>
  <c r="G2440" i="8" s="1"/>
  <c r="G2464" i="8" s="1"/>
  <c r="G2488" i="8" s="1"/>
  <c r="G2512" i="8" s="1"/>
  <c r="G2536" i="8" s="1"/>
  <c r="G2560" i="8" s="1"/>
  <c r="G2584" i="8" s="1"/>
  <c r="G2608" i="8" s="1"/>
  <c r="G2632" i="8" s="1"/>
  <c r="G2656" i="8" s="1"/>
  <c r="G2680" i="8" s="1"/>
  <c r="G2704" i="8" s="1"/>
  <c r="G2728" i="8" s="1"/>
  <c r="G2752" i="8" s="1"/>
  <c r="G2776" i="8" s="1"/>
  <c r="G2800" i="8" s="1"/>
  <c r="G2824" i="8" s="1"/>
  <c r="G2848" i="8" s="1"/>
  <c r="G2872" i="8" s="1"/>
  <c r="G2896" i="8" s="1"/>
  <c r="G2920" i="8" s="1"/>
  <c r="G2944" i="8" s="1"/>
  <c r="G2968" i="8" s="1"/>
  <c r="G2992" i="8" s="1"/>
  <c r="G3016" i="8" s="1"/>
  <c r="G905" i="8"/>
  <c r="G929" i="8" s="1"/>
  <c r="G953" i="8" s="1"/>
  <c r="G977" i="8" s="1"/>
  <c r="G1001" i="8" s="1"/>
  <c r="G1025" i="8" s="1"/>
  <c r="G1049" i="8" s="1"/>
  <c r="G1073" i="8" s="1"/>
  <c r="G1097" i="8" s="1"/>
  <c r="G1121" i="8" s="1"/>
  <c r="G1145" i="8" s="1"/>
  <c r="G1169" i="8" s="1"/>
  <c r="G1193" i="8" s="1"/>
  <c r="G1217" i="8" s="1"/>
  <c r="G1241" i="8" s="1"/>
  <c r="G1265" i="8" s="1"/>
  <c r="G1289" i="8" s="1"/>
  <c r="G1313" i="8" s="1"/>
  <c r="G1337" i="8" s="1"/>
  <c r="G1361" i="8" s="1"/>
  <c r="G1385" i="8" s="1"/>
  <c r="G1409" i="8" s="1"/>
  <c r="G1433" i="8" s="1"/>
  <c r="G1457" i="8" s="1"/>
  <c r="G1481" i="8" s="1"/>
  <c r="G1505" i="8" s="1"/>
  <c r="G1529" i="8" s="1"/>
  <c r="G1553" i="8" s="1"/>
  <c r="G1577" i="8" s="1"/>
  <c r="G1601" i="8" s="1"/>
  <c r="G1625" i="8" s="1"/>
  <c r="G1649" i="8" s="1"/>
  <c r="G1673" i="8" s="1"/>
  <c r="G1697" i="8" s="1"/>
  <c r="G1721" i="8" s="1"/>
  <c r="G1745" i="8" s="1"/>
  <c r="G1769" i="8" s="1"/>
  <c r="G1793" i="8" s="1"/>
  <c r="G1817" i="8" s="1"/>
  <c r="G1841" i="8" s="1"/>
  <c r="G1865" i="8" s="1"/>
  <c r="G1889" i="8" s="1"/>
  <c r="G1913" i="8" s="1"/>
  <c r="G1937" i="8" s="1"/>
  <c r="G1961" i="8" s="1"/>
  <c r="G1985" i="8" s="1"/>
  <c r="G2009" i="8" s="1"/>
  <c r="G2033" i="8" s="1"/>
  <c r="G2057" i="8" s="1"/>
  <c r="G2081" i="8" s="1"/>
  <c r="G2105" i="8" s="1"/>
  <c r="G2129" i="8" s="1"/>
  <c r="G2153" i="8" s="1"/>
  <c r="G2177" i="8" s="1"/>
  <c r="G2441" i="8" s="1"/>
  <c r="G2465" i="8" s="1"/>
  <c r="G2489" i="8" s="1"/>
  <c r="G2513" i="8" s="1"/>
  <c r="G2537" i="8" s="1"/>
  <c r="G2561" i="8" s="1"/>
  <c r="G2585" i="8" s="1"/>
  <c r="G2609" i="8" s="1"/>
  <c r="G2633" i="8" s="1"/>
  <c r="G2657" i="8" s="1"/>
  <c r="G2681" i="8" s="1"/>
  <c r="G2705" i="8" s="1"/>
  <c r="G2729" i="8" s="1"/>
  <c r="G2753" i="8" s="1"/>
  <c r="G2777" i="8" s="1"/>
  <c r="G2801" i="8" s="1"/>
  <c r="G2825" i="8" s="1"/>
  <c r="G2849" i="8" s="1"/>
  <c r="G2873" i="8" s="1"/>
  <c r="G2897" i="8" s="1"/>
  <c r="G2921" i="8" s="1"/>
  <c r="G2945" i="8" s="1"/>
  <c r="G2969" i="8" s="1"/>
  <c r="G2993" i="8" s="1"/>
  <c r="G3017" i="8" s="1"/>
  <c r="G906" i="8"/>
  <c r="G930" i="8" s="1"/>
  <c r="G954" i="8" s="1"/>
  <c r="G978" i="8" s="1"/>
  <c r="G1002" i="8" s="1"/>
  <c r="G1026" i="8" s="1"/>
  <c r="G1050" i="8" s="1"/>
  <c r="G1074" i="8" s="1"/>
  <c r="G1098" i="8" s="1"/>
  <c r="G1122" i="8" s="1"/>
  <c r="G1146" i="8" s="1"/>
  <c r="G1170" i="8" s="1"/>
  <c r="G1194" i="8" s="1"/>
  <c r="G1218" i="8" s="1"/>
  <c r="G1242" i="8" s="1"/>
  <c r="G1266" i="8" s="1"/>
  <c r="G1290" i="8" s="1"/>
  <c r="G1314" i="8" s="1"/>
  <c r="G1338" i="8" s="1"/>
  <c r="G1362" i="8" s="1"/>
  <c r="G1386" i="8" s="1"/>
  <c r="G1410" i="8" s="1"/>
  <c r="G1434" i="8" s="1"/>
  <c r="G1458" i="8" s="1"/>
  <c r="G1482" i="8" s="1"/>
  <c r="G1506" i="8" s="1"/>
  <c r="G1530" i="8" s="1"/>
  <c r="G1554" i="8" s="1"/>
  <c r="G1578" i="8" s="1"/>
  <c r="G1602" i="8" s="1"/>
  <c r="G1626" i="8" s="1"/>
  <c r="G1650" i="8" s="1"/>
  <c r="G1674" i="8" s="1"/>
  <c r="G1698" i="8" s="1"/>
  <c r="G1722" i="8" s="1"/>
  <c r="G1746" i="8" s="1"/>
  <c r="G1770" i="8" s="1"/>
  <c r="G1794" i="8" s="1"/>
  <c r="G1818" i="8" s="1"/>
  <c r="G1842" i="8" s="1"/>
  <c r="G1866" i="8" s="1"/>
  <c r="G1890" i="8" s="1"/>
  <c r="G1914" i="8" s="1"/>
  <c r="G1938" i="8" s="1"/>
  <c r="G1962" i="8" s="1"/>
  <c r="G1986" i="8" s="1"/>
  <c r="G2010" i="8" s="1"/>
  <c r="G2034" i="8" s="1"/>
  <c r="G2058" i="8" s="1"/>
  <c r="G2082" i="8" s="1"/>
  <c r="G2106" i="8" s="1"/>
  <c r="G2130" i="8" s="1"/>
  <c r="G2154" i="8" s="1"/>
  <c r="G2178" i="8" s="1"/>
  <c r="G2442" i="8" s="1"/>
  <c r="G2466" i="8" s="1"/>
  <c r="G2490" i="8" s="1"/>
  <c r="G2514" i="8" s="1"/>
  <c r="G2538" i="8" s="1"/>
  <c r="G2562" i="8" s="1"/>
  <c r="G2586" i="8" s="1"/>
  <c r="G2610" i="8" s="1"/>
  <c r="G2634" i="8" s="1"/>
  <c r="G2658" i="8" s="1"/>
  <c r="G2682" i="8" s="1"/>
  <c r="G2706" i="8" s="1"/>
  <c r="G2730" i="8" s="1"/>
  <c r="G2754" i="8" s="1"/>
  <c r="G2778" i="8" s="1"/>
  <c r="G2802" i="8" s="1"/>
  <c r="G2826" i="8" s="1"/>
  <c r="G2850" i="8" s="1"/>
  <c r="G2874" i="8" s="1"/>
  <c r="G2898" i="8" s="1"/>
  <c r="G2922" i="8" s="1"/>
  <c r="G2946" i="8" s="1"/>
  <c r="G2970" i="8" s="1"/>
  <c r="G2994" i="8" s="1"/>
  <c r="G3018" i="8" s="1"/>
  <c r="G907" i="8"/>
  <c r="G931" i="8" s="1"/>
  <c r="G955" i="8" s="1"/>
  <c r="G979" i="8" s="1"/>
  <c r="G1003" i="8" s="1"/>
  <c r="G1027" i="8" s="1"/>
  <c r="G1051" i="8" s="1"/>
  <c r="G1075" i="8" s="1"/>
  <c r="G1099" i="8" s="1"/>
  <c r="G1123" i="8" s="1"/>
  <c r="G1147" i="8" s="1"/>
  <c r="G1171" i="8" s="1"/>
  <c r="G1195" i="8" s="1"/>
  <c r="G1219" i="8" s="1"/>
  <c r="G1243" i="8" s="1"/>
  <c r="G1267" i="8" s="1"/>
  <c r="G1291" i="8" s="1"/>
  <c r="G1315" i="8" s="1"/>
  <c r="G1339" i="8" s="1"/>
  <c r="G1363" i="8" s="1"/>
  <c r="G1387" i="8" s="1"/>
  <c r="G1411" i="8" s="1"/>
  <c r="G1435" i="8" s="1"/>
  <c r="G1459" i="8" s="1"/>
  <c r="G1483" i="8" s="1"/>
  <c r="G1507" i="8" s="1"/>
  <c r="G1531" i="8" s="1"/>
  <c r="G1555" i="8" s="1"/>
  <c r="G1579" i="8" s="1"/>
  <c r="G1603" i="8" s="1"/>
  <c r="G1627" i="8" s="1"/>
  <c r="G1651" i="8" s="1"/>
  <c r="G1675" i="8" s="1"/>
  <c r="G1699" i="8" s="1"/>
  <c r="G1723" i="8" s="1"/>
  <c r="G1747" i="8" s="1"/>
  <c r="G1771" i="8" s="1"/>
  <c r="G1795" i="8" s="1"/>
  <c r="G1819" i="8" s="1"/>
  <c r="G1843" i="8" s="1"/>
  <c r="G1867" i="8" s="1"/>
  <c r="G1891" i="8" s="1"/>
  <c r="G1915" i="8" s="1"/>
  <c r="G1939" i="8" s="1"/>
  <c r="G1963" i="8" s="1"/>
  <c r="G1987" i="8" s="1"/>
  <c r="G2011" i="8" s="1"/>
  <c r="G2035" i="8" s="1"/>
  <c r="G2059" i="8" s="1"/>
  <c r="G2083" i="8" s="1"/>
  <c r="G2107" i="8" s="1"/>
  <c r="G2131" i="8" s="1"/>
  <c r="G2155" i="8" s="1"/>
  <c r="G2179" i="8" s="1"/>
  <c r="G2443" i="8" s="1"/>
  <c r="G2467" i="8" s="1"/>
  <c r="G2491" i="8" s="1"/>
  <c r="G2515" i="8" s="1"/>
  <c r="G2539" i="8" s="1"/>
  <c r="G2563" i="8" s="1"/>
  <c r="G2587" i="8" s="1"/>
  <c r="G2611" i="8" s="1"/>
  <c r="G2635" i="8" s="1"/>
  <c r="G2659" i="8" s="1"/>
  <c r="G2683" i="8" s="1"/>
  <c r="G2707" i="8" s="1"/>
  <c r="G2731" i="8" s="1"/>
  <c r="G2755" i="8" s="1"/>
  <c r="G2779" i="8" s="1"/>
  <c r="G2803" i="8" s="1"/>
  <c r="G2827" i="8" s="1"/>
  <c r="G2851" i="8" s="1"/>
  <c r="G2875" i="8" s="1"/>
  <c r="G2899" i="8" s="1"/>
  <c r="G2923" i="8" s="1"/>
  <c r="G2947" i="8" s="1"/>
  <c r="G2971" i="8" s="1"/>
  <c r="G2995" i="8" s="1"/>
  <c r="G3019" i="8" s="1"/>
  <c r="G908" i="8"/>
  <c r="G932" i="8" s="1"/>
  <c r="G956" i="8" s="1"/>
  <c r="G980" i="8" s="1"/>
  <c r="G1004" i="8" s="1"/>
  <c r="G1028" i="8" s="1"/>
  <c r="G1052" i="8" s="1"/>
  <c r="G1076" i="8" s="1"/>
  <c r="G1100" i="8" s="1"/>
  <c r="G1124" i="8" s="1"/>
  <c r="G1148" i="8" s="1"/>
  <c r="G1172" i="8" s="1"/>
  <c r="G1196" i="8" s="1"/>
  <c r="G1220" i="8" s="1"/>
  <c r="G1244" i="8" s="1"/>
  <c r="G1268" i="8" s="1"/>
  <c r="G1292" i="8" s="1"/>
  <c r="G1316" i="8" s="1"/>
  <c r="G1340" i="8" s="1"/>
  <c r="G1364" i="8" s="1"/>
  <c r="G1388" i="8" s="1"/>
  <c r="G1412" i="8" s="1"/>
  <c r="G1436" i="8" s="1"/>
  <c r="G1460" i="8" s="1"/>
  <c r="G1484" i="8" s="1"/>
  <c r="G1508" i="8" s="1"/>
  <c r="G1532" i="8" s="1"/>
  <c r="G1556" i="8" s="1"/>
  <c r="G1580" i="8" s="1"/>
  <c r="G1604" i="8" s="1"/>
  <c r="G1628" i="8" s="1"/>
  <c r="G1652" i="8" s="1"/>
  <c r="G1676" i="8" s="1"/>
  <c r="G1700" i="8" s="1"/>
  <c r="G1724" i="8" s="1"/>
  <c r="G1748" i="8" s="1"/>
  <c r="G1772" i="8" s="1"/>
  <c r="G1796" i="8" s="1"/>
  <c r="G1820" i="8" s="1"/>
  <c r="G1844" i="8" s="1"/>
  <c r="G1868" i="8" s="1"/>
  <c r="G1892" i="8" s="1"/>
  <c r="G1916" i="8" s="1"/>
  <c r="G1940" i="8" s="1"/>
  <c r="G1964" i="8" s="1"/>
  <c r="G1988" i="8" s="1"/>
  <c r="G2012" i="8" s="1"/>
  <c r="G2036" i="8" s="1"/>
  <c r="G2060" i="8" s="1"/>
  <c r="G2084" i="8" s="1"/>
  <c r="G2108" i="8" s="1"/>
  <c r="G2132" i="8" s="1"/>
  <c r="G2156" i="8" s="1"/>
  <c r="G2180" i="8" s="1"/>
  <c r="G2444" i="8" s="1"/>
  <c r="G2468" i="8" s="1"/>
  <c r="G2492" i="8" s="1"/>
  <c r="G2516" i="8" s="1"/>
  <c r="G2540" i="8" s="1"/>
  <c r="G2564" i="8" s="1"/>
  <c r="G2588" i="8" s="1"/>
  <c r="G2612" i="8" s="1"/>
  <c r="G2636" i="8" s="1"/>
  <c r="G2660" i="8" s="1"/>
  <c r="G2684" i="8" s="1"/>
  <c r="G2708" i="8" s="1"/>
  <c r="G2732" i="8" s="1"/>
  <c r="G2756" i="8" s="1"/>
  <c r="G2780" i="8" s="1"/>
  <c r="G2804" i="8" s="1"/>
  <c r="G2828" i="8" s="1"/>
  <c r="G2852" i="8" s="1"/>
  <c r="G2876" i="8" s="1"/>
  <c r="G2900" i="8" s="1"/>
  <c r="G2924" i="8" s="1"/>
  <c r="G2948" i="8" s="1"/>
  <c r="G2972" i="8" s="1"/>
  <c r="G2996" i="8" s="1"/>
  <c r="G3020" i="8" s="1"/>
  <c r="G909" i="8"/>
  <c r="G933" i="8" s="1"/>
  <c r="G957" i="8" s="1"/>
  <c r="G981" i="8" s="1"/>
  <c r="G1005" i="8" s="1"/>
  <c r="G1029" i="8" s="1"/>
  <c r="G1053" i="8" s="1"/>
  <c r="G1077" i="8" s="1"/>
  <c r="G1101" i="8" s="1"/>
  <c r="G1125" i="8" s="1"/>
  <c r="G1149" i="8" s="1"/>
  <c r="G1173" i="8" s="1"/>
  <c r="G1197" i="8" s="1"/>
  <c r="G1221" i="8" s="1"/>
  <c r="G1245" i="8" s="1"/>
  <c r="G1269" i="8" s="1"/>
  <c r="G1293" i="8" s="1"/>
  <c r="G1317" i="8" s="1"/>
  <c r="G1341" i="8" s="1"/>
  <c r="G1365" i="8" s="1"/>
  <c r="G1389" i="8" s="1"/>
  <c r="G1413" i="8" s="1"/>
  <c r="G1437" i="8" s="1"/>
  <c r="G1461" i="8" s="1"/>
  <c r="G1485" i="8" s="1"/>
  <c r="G1509" i="8" s="1"/>
  <c r="G1533" i="8" s="1"/>
  <c r="G1557" i="8" s="1"/>
  <c r="G1581" i="8" s="1"/>
  <c r="G1605" i="8" s="1"/>
  <c r="G1629" i="8" s="1"/>
  <c r="G1653" i="8" s="1"/>
  <c r="G1677" i="8" s="1"/>
  <c r="G1701" i="8" s="1"/>
  <c r="G1725" i="8" s="1"/>
  <c r="G1749" i="8" s="1"/>
  <c r="G1773" i="8" s="1"/>
  <c r="G1797" i="8" s="1"/>
  <c r="G1821" i="8" s="1"/>
  <c r="G1845" i="8" s="1"/>
  <c r="G1869" i="8" s="1"/>
  <c r="G1893" i="8" s="1"/>
  <c r="G1917" i="8" s="1"/>
  <c r="G1941" i="8" s="1"/>
  <c r="G1965" i="8" s="1"/>
  <c r="G1989" i="8" s="1"/>
  <c r="G2013" i="8" s="1"/>
  <c r="G2037" i="8" s="1"/>
  <c r="G2061" i="8" s="1"/>
  <c r="G2085" i="8" s="1"/>
  <c r="G2109" i="8" s="1"/>
  <c r="G2133" i="8" s="1"/>
  <c r="G2157" i="8" s="1"/>
  <c r="G2181" i="8" s="1"/>
  <c r="G2445" i="8" s="1"/>
  <c r="G2469" i="8" s="1"/>
  <c r="G2493" i="8" s="1"/>
  <c r="G2517" i="8" s="1"/>
  <c r="G2541" i="8" s="1"/>
  <c r="G2565" i="8" s="1"/>
  <c r="G2589" i="8" s="1"/>
  <c r="G2613" i="8" s="1"/>
  <c r="G2637" i="8" s="1"/>
  <c r="G2661" i="8" s="1"/>
  <c r="G2685" i="8" s="1"/>
  <c r="G2709" i="8" s="1"/>
  <c r="G2733" i="8" s="1"/>
  <c r="G2757" i="8" s="1"/>
  <c r="G2781" i="8" s="1"/>
  <c r="G2805" i="8" s="1"/>
  <c r="G2829" i="8" s="1"/>
  <c r="G2853" i="8" s="1"/>
  <c r="G2877" i="8" s="1"/>
  <c r="G2901" i="8" s="1"/>
  <c r="G2925" i="8" s="1"/>
  <c r="G2949" i="8" s="1"/>
  <c r="G2973" i="8" s="1"/>
  <c r="G2997" i="8" s="1"/>
  <c r="G3021" i="8" s="1"/>
  <c r="G910" i="8"/>
  <c r="G934" i="8" s="1"/>
  <c r="G958" i="8" s="1"/>
  <c r="G982" i="8" s="1"/>
  <c r="G1006" i="8" s="1"/>
  <c r="G1030" i="8" s="1"/>
  <c r="G1054" i="8" s="1"/>
  <c r="G1078" i="8" s="1"/>
  <c r="G1102" i="8" s="1"/>
  <c r="G1126" i="8" s="1"/>
  <c r="G1150" i="8" s="1"/>
  <c r="G1174" i="8" s="1"/>
  <c r="G1198" i="8" s="1"/>
  <c r="G1222" i="8" s="1"/>
  <c r="G1246" i="8" s="1"/>
  <c r="G1270" i="8" s="1"/>
  <c r="G1294" i="8" s="1"/>
  <c r="G1318" i="8" s="1"/>
  <c r="G1342" i="8" s="1"/>
  <c r="G1366" i="8" s="1"/>
  <c r="G1390" i="8" s="1"/>
  <c r="G1414" i="8" s="1"/>
  <c r="G1438" i="8" s="1"/>
  <c r="G1462" i="8" s="1"/>
  <c r="G1486" i="8" s="1"/>
  <c r="G1510" i="8" s="1"/>
  <c r="G1534" i="8" s="1"/>
  <c r="G1558" i="8" s="1"/>
  <c r="G1582" i="8" s="1"/>
  <c r="G1606" i="8" s="1"/>
  <c r="G1630" i="8" s="1"/>
  <c r="G1654" i="8" s="1"/>
  <c r="G1678" i="8" s="1"/>
  <c r="G1702" i="8" s="1"/>
  <c r="G1726" i="8" s="1"/>
  <c r="G1750" i="8" s="1"/>
  <c r="G1774" i="8" s="1"/>
  <c r="G1798" i="8" s="1"/>
  <c r="G1822" i="8" s="1"/>
  <c r="G1846" i="8" s="1"/>
  <c r="G1870" i="8" s="1"/>
  <c r="G1894" i="8" s="1"/>
  <c r="G1918" i="8" s="1"/>
  <c r="G1942" i="8" s="1"/>
  <c r="G1966" i="8" s="1"/>
  <c r="G1990" i="8" s="1"/>
  <c r="G2014" i="8" s="1"/>
  <c r="G2038" i="8" s="1"/>
  <c r="G2062" i="8" s="1"/>
  <c r="G2086" i="8" s="1"/>
  <c r="G2110" i="8" s="1"/>
  <c r="G2134" i="8" s="1"/>
  <c r="G2158" i="8" s="1"/>
  <c r="G2182" i="8" s="1"/>
  <c r="G2446" i="8" s="1"/>
  <c r="G2470" i="8" s="1"/>
  <c r="G2494" i="8" s="1"/>
  <c r="G2518" i="8" s="1"/>
  <c r="G2542" i="8" s="1"/>
  <c r="G2566" i="8" s="1"/>
  <c r="G2590" i="8" s="1"/>
  <c r="G2614" i="8" s="1"/>
  <c r="G2638" i="8" s="1"/>
  <c r="G2662" i="8" s="1"/>
  <c r="G2686" i="8" s="1"/>
  <c r="G2710" i="8" s="1"/>
  <c r="G2734" i="8" s="1"/>
  <c r="G2758" i="8" s="1"/>
  <c r="G2782" i="8" s="1"/>
  <c r="G2806" i="8" s="1"/>
  <c r="G2830" i="8" s="1"/>
  <c r="G2854" i="8" s="1"/>
  <c r="G2878" i="8" s="1"/>
  <c r="G2902" i="8" s="1"/>
  <c r="G2926" i="8" s="1"/>
  <c r="G2950" i="8" s="1"/>
  <c r="G2974" i="8" s="1"/>
  <c r="G2998" i="8" s="1"/>
  <c r="G3022" i="8" s="1"/>
  <c r="G911" i="8"/>
  <c r="G935" i="8" s="1"/>
  <c r="G959" i="8" s="1"/>
  <c r="G983" i="8" s="1"/>
  <c r="G1007" i="8" s="1"/>
  <c r="G1031" i="8" s="1"/>
  <c r="G1055" i="8" s="1"/>
  <c r="G1079" i="8" s="1"/>
  <c r="G1103" i="8" s="1"/>
  <c r="G1127" i="8" s="1"/>
  <c r="G1151" i="8" s="1"/>
  <c r="G1175" i="8" s="1"/>
  <c r="G1199" i="8" s="1"/>
  <c r="G1223" i="8" s="1"/>
  <c r="G1247" i="8" s="1"/>
  <c r="G1271" i="8" s="1"/>
  <c r="G1295" i="8" s="1"/>
  <c r="G1319" i="8" s="1"/>
  <c r="G1343" i="8" s="1"/>
  <c r="G1367" i="8" s="1"/>
  <c r="G1391" i="8" s="1"/>
  <c r="G1415" i="8" s="1"/>
  <c r="G1439" i="8" s="1"/>
  <c r="G1463" i="8" s="1"/>
  <c r="G1487" i="8" s="1"/>
  <c r="G1511" i="8" s="1"/>
  <c r="G1535" i="8" s="1"/>
  <c r="G1559" i="8" s="1"/>
  <c r="G1583" i="8" s="1"/>
  <c r="G1607" i="8" s="1"/>
  <c r="G1631" i="8" s="1"/>
  <c r="G1655" i="8" s="1"/>
  <c r="G1679" i="8" s="1"/>
  <c r="G1703" i="8" s="1"/>
  <c r="G1727" i="8" s="1"/>
  <c r="G1751" i="8" s="1"/>
  <c r="G1775" i="8" s="1"/>
  <c r="G1799" i="8" s="1"/>
  <c r="G1823" i="8" s="1"/>
  <c r="G1847" i="8" s="1"/>
  <c r="G1871" i="8" s="1"/>
  <c r="G1895" i="8" s="1"/>
  <c r="G1919" i="8" s="1"/>
  <c r="G1943" i="8" s="1"/>
  <c r="G1967" i="8" s="1"/>
  <c r="G1991" i="8" s="1"/>
  <c r="G2015" i="8" s="1"/>
  <c r="G2039" i="8" s="1"/>
  <c r="G2063" i="8" s="1"/>
  <c r="G2087" i="8" s="1"/>
  <c r="G2111" i="8" s="1"/>
  <c r="G2135" i="8" s="1"/>
  <c r="G2159" i="8" s="1"/>
  <c r="G2183" i="8" s="1"/>
  <c r="G2447" i="8" s="1"/>
  <c r="G2471" i="8" s="1"/>
  <c r="G2495" i="8" s="1"/>
  <c r="G2519" i="8" s="1"/>
  <c r="G2543" i="8" s="1"/>
  <c r="G2567" i="8" s="1"/>
  <c r="G2591" i="8" s="1"/>
  <c r="G2615" i="8" s="1"/>
  <c r="G2639" i="8" s="1"/>
  <c r="G2663" i="8" s="1"/>
  <c r="G2687" i="8" s="1"/>
  <c r="G2711" i="8" s="1"/>
  <c r="G2735" i="8" s="1"/>
  <c r="G2759" i="8" s="1"/>
  <c r="G2783" i="8" s="1"/>
  <c r="G2807" i="8" s="1"/>
  <c r="G2831" i="8" s="1"/>
  <c r="G2855" i="8" s="1"/>
  <c r="G2879" i="8" s="1"/>
  <c r="G2903" i="8" s="1"/>
  <c r="G2927" i="8" s="1"/>
  <c r="G2951" i="8" s="1"/>
  <c r="G2975" i="8" s="1"/>
  <c r="G2999" i="8" s="1"/>
  <c r="G3023" i="8" s="1"/>
  <c r="G912" i="8"/>
  <c r="G936" i="8" s="1"/>
  <c r="G960" i="8" s="1"/>
  <c r="G984" i="8" s="1"/>
  <c r="G1008" i="8" s="1"/>
  <c r="G1032" i="8" s="1"/>
  <c r="G1056" i="8" s="1"/>
  <c r="G1080" i="8" s="1"/>
  <c r="G1104" i="8" s="1"/>
  <c r="G1128" i="8" s="1"/>
  <c r="G1152" i="8" s="1"/>
  <c r="G1176" i="8" s="1"/>
  <c r="G1200" i="8" s="1"/>
  <c r="G1224" i="8" s="1"/>
  <c r="G1248" i="8" s="1"/>
  <c r="G1272" i="8" s="1"/>
  <c r="G1296" i="8" s="1"/>
  <c r="G1320" i="8" s="1"/>
  <c r="G1344" i="8" s="1"/>
  <c r="G1368" i="8" s="1"/>
  <c r="G1392" i="8" s="1"/>
  <c r="G1416" i="8" s="1"/>
  <c r="G1440" i="8" s="1"/>
  <c r="G1464" i="8" s="1"/>
  <c r="G1488" i="8" s="1"/>
  <c r="G1512" i="8" s="1"/>
  <c r="G1536" i="8" s="1"/>
  <c r="G1560" i="8" s="1"/>
  <c r="G1584" i="8" s="1"/>
  <c r="G1608" i="8" s="1"/>
  <c r="G1632" i="8" s="1"/>
  <c r="G1656" i="8" s="1"/>
  <c r="G1680" i="8" s="1"/>
  <c r="G1704" i="8" s="1"/>
  <c r="G1728" i="8" s="1"/>
  <c r="G1752" i="8" s="1"/>
  <c r="G1776" i="8" s="1"/>
  <c r="G1800" i="8" s="1"/>
  <c r="G1824" i="8" s="1"/>
  <c r="G1848" i="8" s="1"/>
  <c r="G1872" i="8" s="1"/>
  <c r="G1896" i="8" s="1"/>
  <c r="G1920" i="8" s="1"/>
  <c r="G1944" i="8" s="1"/>
  <c r="G1968" i="8" s="1"/>
  <c r="G1992" i="8" s="1"/>
  <c r="G2016" i="8" s="1"/>
  <c r="G2040" i="8" s="1"/>
  <c r="G2064" i="8" s="1"/>
  <c r="G2088" i="8" s="1"/>
  <c r="G2112" i="8" s="1"/>
  <c r="G2136" i="8" s="1"/>
  <c r="G2160" i="8" s="1"/>
  <c r="G2184" i="8" s="1"/>
  <c r="G2448" i="8" s="1"/>
  <c r="G2472" i="8" s="1"/>
  <c r="G2496" i="8" s="1"/>
  <c r="G2520" i="8" s="1"/>
  <c r="G2544" i="8" s="1"/>
  <c r="G2568" i="8" s="1"/>
  <c r="G2592" i="8" s="1"/>
  <c r="G2616" i="8" s="1"/>
  <c r="G2640" i="8" s="1"/>
  <c r="G2664" i="8" s="1"/>
  <c r="G2688" i="8" s="1"/>
  <c r="G2712" i="8" s="1"/>
  <c r="G2736" i="8" s="1"/>
  <c r="G2760" i="8" s="1"/>
  <c r="G2784" i="8" s="1"/>
  <c r="G2808" i="8" s="1"/>
  <c r="G2832" i="8" s="1"/>
  <c r="G2856" i="8" s="1"/>
  <c r="G2880" i="8" s="1"/>
  <c r="G2904" i="8" s="1"/>
  <c r="G2928" i="8" s="1"/>
  <c r="G2952" i="8" s="1"/>
  <c r="G2976" i="8" s="1"/>
  <c r="G3000" i="8" s="1"/>
  <c r="G3024" i="8" s="1"/>
  <c r="G913" i="8"/>
  <c r="G937" i="8" s="1"/>
  <c r="G961" i="8" s="1"/>
  <c r="G985" i="8" s="1"/>
  <c r="G1009" i="8" s="1"/>
  <c r="G1033" i="8" s="1"/>
  <c r="G1057" i="8" s="1"/>
  <c r="G1081" i="8" s="1"/>
  <c r="G1105" i="8" s="1"/>
  <c r="G1129" i="8" s="1"/>
  <c r="G1153" i="8" s="1"/>
  <c r="G1177" i="8" s="1"/>
  <c r="G1201" i="8" s="1"/>
  <c r="G1225" i="8" s="1"/>
  <c r="G1249" i="8" s="1"/>
  <c r="G1273" i="8" s="1"/>
  <c r="G1297" i="8" s="1"/>
  <c r="G1321" i="8" s="1"/>
  <c r="G1345" i="8" s="1"/>
  <c r="G1369" i="8" s="1"/>
  <c r="G1393" i="8" s="1"/>
  <c r="G1417" i="8" s="1"/>
  <c r="G1441" i="8" s="1"/>
  <c r="G1465" i="8" s="1"/>
  <c r="G1489" i="8" s="1"/>
  <c r="G1513" i="8" s="1"/>
  <c r="G1537" i="8" s="1"/>
  <c r="G1561" i="8" s="1"/>
  <c r="G1585" i="8" s="1"/>
  <c r="G1609" i="8" s="1"/>
  <c r="G1633" i="8" s="1"/>
  <c r="G1657" i="8" s="1"/>
  <c r="G1681" i="8" s="1"/>
  <c r="G1705" i="8" s="1"/>
  <c r="G1729" i="8" s="1"/>
  <c r="G1753" i="8" s="1"/>
  <c r="G1777" i="8" s="1"/>
  <c r="G1801" i="8" s="1"/>
  <c r="G1825" i="8" s="1"/>
  <c r="G1849" i="8" s="1"/>
  <c r="G1873" i="8" s="1"/>
  <c r="G1897" i="8" s="1"/>
  <c r="G1921" i="8" s="1"/>
  <c r="G1945" i="8" s="1"/>
  <c r="G1969" i="8" s="1"/>
  <c r="G1993" i="8" s="1"/>
  <c r="G2017" i="8" s="1"/>
  <c r="G2041" i="8" s="1"/>
  <c r="G2065" i="8" s="1"/>
  <c r="G2089" i="8" s="1"/>
  <c r="G2113" i="8" s="1"/>
  <c r="G2137" i="8" s="1"/>
  <c r="G2161" i="8" s="1"/>
  <c r="G2185" i="8" s="1"/>
  <c r="G2449" i="8" s="1"/>
  <c r="G2473" i="8" s="1"/>
  <c r="G2497" i="8" s="1"/>
  <c r="G2521" i="8" s="1"/>
  <c r="G2545" i="8" s="1"/>
  <c r="G2569" i="8" s="1"/>
  <c r="G2593" i="8" s="1"/>
  <c r="G2617" i="8" s="1"/>
  <c r="G2641" i="8" s="1"/>
  <c r="G2665" i="8" s="1"/>
  <c r="G2689" i="8" s="1"/>
  <c r="G2713" i="8" s="1"/>
  <c r="G2737" i="8" s="1"/>
  <c r="G2761" i="8" s="1"/>
  <c r="G2785" i="8" s="1"/>
  <c r="G2809" i="8" s="1"/>
  <c r="G2833" i="8" s="1"/>
  <c r="G2857" i="8" s="1"/>
  <c r="G2881" i="8" s="1"/>
  <c r="G2905" i="8" s="1"/>
  <c r="G2929" i="8" s="1"/>
  <c r="G2953" i="8" s="1"/>
  <c r="G2977" i="8" s="1"/>
  <c r="G3001" i="8" s="1"/>
  <c r="G3025" i="8" s="1"/>
  <c r="G914" i="8"/>
  <c r="G938" i="8" s="1"/>
  <c r="G962" i="8" s="1"/>
  <c r="G986" i="8" s="1"/>
  <c r="G1010" i="8" s="1"/>
  <c r="G1034" i="8" s="1"/>
  <c r="G1058" i="8" s="1"/>
  <c r="G1082" i="8" s="1"/>
  <c r="G1106" i="8" s="1"/>
  <c r="G1130" i="8" s="1"/>
  <c r="G1154" i="8" s="1"/>
  <c r="G1178" i="8" s="1"/>
  <c r="G1202" i="8" s="1"/>
  <c r="G1226" i="8" s="1"/>
  <c r="G1250" i="8" s="1"/>
  <c r="G1274" i="8" s="1"/>
  <c r="G1298" i="8" s="1"/>
  <c r="G1322" i="8" s="1"/>
  <c r="G1346" i="8" s="1"/>
  <c r="G1370" i="8" s="1"/>
  <c r="G1394" i="8" s="1"/>
  <c r="G1418" i="8" s="1"/>
  <c r="G1442" i="8" s="1"/>
  <c r="G1466" i="8" s="1"/>
  <c r="G1490" i="8" s="1"/>
  <c r="G1514" i="8" s="1"/>
  <c r="G1538" i="8" s="1"/>
  <c r="G1562" i="8" s="1"/>
  <c r="G1586" i="8" s="1"/>
  <c r="G1610" i="8" s="1"/>
  <c r="G1634" i="8" s="1"/>
  <c r="G1658" i="8" s="1"/>
  <c r="G1682" i="8" s="1"/>
  <c r="G1706" i="8" s="1"/>
  <c r="G1730" i="8" s="1"/>
  <c r="G1754" i="8" s="1"/>
  <c r="G1778" i="8" s="1"/>
  <c r="G1802" i="8" s="1"/>
  <c r="G1826" i="8" s="1"/>
  <c r="G1850" i="8" s="1"/>
  <c r="G1874" i="8" s="1"/>
  <c r="G1898" i="8" s="1"/>
  <c r="G1922" i="8" s="1"/>
  <c r="G1946" i="8" s="1"/>
  <c r="G1970" i="8" s="1"/>
  <c r="G1994" i="8" s="1"/>
  <c r="G2018" i="8" s="1"/>
  <c r="G2042" i="8" s="1"/>
  <c r="G2066" i="8" s="1"/>
  <c r="G2090" i="8" s="1"/>
  <c r="G2114" i="8" s="1"/>
  <c r="G2138" i="8" s="1"/>
  <c r="G2162" i="8" s="1"/>
  <c r="G2450" i="8" s="1"/>
  <c r="G2474" i="8" s="1"/>
  <c r="G2498" i="8" s="1"/>
  <c r="G2522" i="8" s="1"/>
  <c r="G2546" i="8" s="1"/>
  <c r="G2570" i="8" s="1"/>
  <c r="G2594" i="8" s="1"/>
  <c r="G2618" i="8" s="1"/>
  <c r="G2642" i="8" s="1"/>
  <c r="G2666" i="8" s="1"/>
  <c r="G2690" i="8" s="1"/>
  <c r="G2714" i="8" s="1"/>
  <c r="G2738" i="8" s="1"/>
  <c r="G2762" i="8" s="1"/>
  <c r="G2786" i="8" s="1"/>
  <c r="G2810" i="8" s="1"/>
  <c r="G2834" i="8" s="1"/>
  <c r="G2858" i="8" s="1"/>
  <c r="G2882" i="8" s="1"/>
  <c r="G2906" i="8" s="1"/>
  <c r="G2930" i="8" s="1"/>
  <c r="G2954" i="8" s="1"/>
  <c r="G2978" i="8" s="1"/>
  <c r="G3002" i="8" s="1"/>
  <c r="G3026" i="8" s="1"/>
  <c r="G891" i="8"/>
  <c r="G915" i="8" s="1"/>
  <c r="G939" i="8" s="1"/>
  <c r="G963" i="8" s="1"/>
  <c r="G987" i="8" s="1"/>
  <c r="G1011" i="8" s="1"/>
  <c r="G1035" i="8" s="1"/>
  <c r="G1059" i="8" s="1"/>
  <c r="G1083" i="8" s="1"/>
  <c r="G1107" i="8" s="1"/>
  <c r="G1131" i="8" s="1"/>
  <c r="G1155" i="8" s="1"/>
  <c r="G1179" i="8" s="1"/>
  <c r="G1203" i="8" s="1"/>
  <c r="G1227" i="8" s="1"/>
  <c r="G1251" i="8" s="1"/>
  <c r="G1275" i="8" s="1"/>
  <c r="G1299" i="8" s="1"/>
  <c r="G1323" i="8" s="1"/>
  <c r="G1347" i="8" s="1"/>
  <c r="G1371" i="8" s="1"/>
  <c r="G1395" i="8" s="1"/>
  <c r="G1419" i="8" s="1"/>
  <c r="G1443" i="8" s="1"/>
  <c r="G1467" i="8" s="1"/>
  <c r="G1491" i="8" s="1"/>
  <c r="G1515" i="8" s="1"/>
  <c r="G1539" i="8" s="1"/>
  <c r="G1563" i="8" s="1"/>
  <c r="G1587" i="8" s="1"/>
  <c r="G1611" i="8" s="1"/>
  <c r="G1635" i="8" s="1"/>
  <c r="G1659" i="8" s="1"/>
  <c r="G1683" i="8" s="1"/>
  <c r="G1707" i="8" s="1"/>
  <c r="G1731" i="8" s="1"/>
  <c r="G1755" i="8" s="1"/>
  <c r="G1779" i="8" s="1"/>
  <c r="G1803" i="8" s="1"/>
  <c r="G1827" i="8" s="1"/>
  <c r="G1851" i="8" s="1"/>
  <c r="G1875" i="8" s="1"/>
  <c r="G1899" i="8" s="1"/>
  <c r="G1923" i="8" s="1"/>
  <c r="G1947" i="8" s="1"/>
  <c r="G1971" i="8" s="1"/>
  <c r="G1995" i="8" s="1"/>
  <c r="G2019" i="8" s="1"/>
  <c r="G2043" i="8" s="1"/>
  <c r="G2067" i="8" s="1"/>
  <c r="G2091" i="8" s="1"/>
  <c r="G2115" i="8" s="1"/>
  <c r="G2139" i="8" s="1"/>
  <c r="G2163" i="8" s="1"/>
  <c r="G2451" i="8" s="1"/>
  <c r="G2475" i="8" s="1"/>
  <c r="G2499" i="8" s="1"/>
  <c r="G2523" i="8" s="1"/>
  <c r="G2547" i="8" s="1"/>
  <c r="G2571" i="8" s="1"/>
  <c r="G2595" i="8" s="1"/>
  <c r="G2619" i="8" s="1"/>
  <c r="G2643" i="8" s="1"/>
  <c r="G2667" i="8" s="1"/>
  <c r="G2691" i="8" s="1"/>
  <c r="G2715" i="8" s="1"/>
  <c r="G2739" i="8" s="1"/>
  <c r="G2763" i="8" s="1"/>
  <c r="G2787" i="8" s="1"/>
  <c r="G2811" i="8" s="1"/>
  <c r="G2835" i="8" s="1"/>
  <c r="G2859" i="8" s="1"/>
  <c r="G2883" i="8" s="1"/>
  <c r="G2907" i="8" s="1"/>
  <c r="G2931" i="8" s="1"/>
  <c r="G2955" i="8" s="1"/>
  <c r="G2979" i="8" s="1"/>
  <c r="G3003" i="8" s="1"/>
  <c r="B891" i="8"/>
  <c r="B915" i="8" s="1"/>
  <c r="B939" i="8" s="1"/>
  <c r="B963" i="8" s="1"/>
  <c r="B987" i="8" s="1"/>
  <c r="B1011" i="8" s="1"/>
  <c r="B1035" i="8" s="1"/>
  <c r="B1059" i="8" s="1"/>
  <c r="B1083" i="8" s="1"/>
  <c r="B1107" i="8" s="1"/>
  <c r="B1131" i="8" s="1"/>
  <c r="B1155" i="8" s="1"/>
  <c r="B1179" i="8" s="1"/>
  <c r="B1203" i="8" s="1"/>
  <c r="B1227" i="8" s="1"/>
  <c r="B1251" i="8" s="1"/>
  <c r="B1275" i="8" s="1"/>
  <c r="B1299" i="8" s="1"/>
  <c r="B1323" i="8" s="1"/>
  <c r="B1347" i="8" s="1"/>
  <c r="B1371" i="8" s="1"/>
  <c r="B1395" i="8" s="1"/>
  <c r="B1419" i="8" s="1"/>
  <c r="B1443" i="8" s="1"/>
  <c r="B1467" i="8" s="1"/>
  <c r="B1491" i="8" s="1"/>
  <c r="B1515" i="8" s="1"/>
  <c r="B1539" i="8" s="1"/>
  <c r="B1563" i="8" s="1"/>
  <c r="B1587" i="8" s="1"/>
  <c r="B1611" i="8" s="1"/>
  <c r="B1635" i="8" s="1"/>
  <c r="B1659" i="8" s="1"/>
  <c r="B1683" i="8" s="1"/>
  <c r="B1707" i="8" s="1"/>
  <c r="B1731" i="8" s="1"/>
  <c r="B1755" i="8" s="1"/>
  <c r="B1779" i="8" s="1"/>
  <c r="B1803" i="8" s="1"/>
  <c r="B1827" i="8" s="1"/>
  <c r="B1851" i="8" s="1"/>
  <c r="B1875" i="8" s="1"/>
  <c r="B1899" i="8" s="1"/>
  <c r="B1923" i="8" s="1"/>
  <c r="B1947" i="8" s="1"/>
  <c r="B1971" i="8" s="1"/>
  <c r="B1995" i="8" s="1"/>
  <c r="B2019" i="8" s="1"/>
  <c r="B2043" i="8" s="1"/>
  <c r="B2067" i="8" s="1"/>
  <c r="B2091" i="8" s="1"/>
  <c r="B2115" i="8" s="1"/>
  <c r="B2139" i="8" s="1"/>
  <c r="B2163" i="8" s="1"/>
  <c r="B2187" i="8" s="1"/>
  <c r="B2211" i="8" s="1"/>
  <c r="B2235" i="8" s="1"/>
  <c r="B2259" i="8" s="1"/>
  <c r="B2283" i="8" s="1"/>
  <c r="B2307" i="8" s="1"/>
  <c r="B2331" i="8" s="1"/>
  <c r="B2355" i="8" s="1"/>
  <c r="B2379" i="8" s="1"/>
  <c r="B2403" i="8" s="1"/>
  <c r="B2427" i="8" s="1"/>
  <c r="B2451" i="8" s="1"/>
  <c r="B2475" i="8" s="1"/>
  <c r="B2499" i="8" s="1"/>
  <c r="B2523" i="8" s="1"/>
  <c r="B2547" i="8" s="1"/>
  <c r="B2571" i="8" s="1"/>
  <c r="B2595" i="8" s="1"/>
  <c r="B2619" i="8" s="1"/>
  <c r="B2643" i="8" s="1"/>
  <c r="B2667" i="8" s="1"/>
  <c r="B2691" i="8" s="1"/>
  <c r="B2715" i="8" s="1"/>
  <c r="B2739" i="8" s="1"/>
  <c r="B2763" i="8" s="1"/>
  <c r="B2787" i="8" s="1"/>
  <c r="B2811" i="8" s="1"/>
  <c r="B2835" i="8" s="1"/>
  <c r="B2859" i="8" s="1"/>
  <c r="B2883" i="8" s="1"/>
  <c r="B2907" i="8" s="1"/>
  <c r="B2931" i="8" s="1"/>
  <c r="B2955" i="8" s="1"/>
  <c r="B2979" i="8" s="1"/>
  <c r="B3003" i="8" s="1"/>
  <c r="B892" i="8"/>
  <c r="B916" i="8" s="1"/>
  <c r="B940" i="8" s="1"/>
  <c r="B964" i="8" s="1"/>
  <c r="B988" i="8" s="1"/>
  <c r="B1012" i="8" s="1"/>
  <c r="B1036" i="8" s="1"/>
  <c r="B1060" i="8" s="1"/>
  <c r="B1084" i="8" s="1"/>
  <c r="B1108" i="8" s="1"/>
  <c r="B1132" i="8" s="1"/>
  <c r="B1156" i="8" s="1"/>
  <c r="B1180" i="8" s="1"/>
  <c r="B1204" i="8" s="1"/>
  <c r="B1228" i="8" s="1"/>
  <c r="B1252" i="8" s="1"/>
  <c r="B1276" i="8" s="1"/>
  <c r="B1300" i="8" s="1"/>
  <c r="B1324" i="8" s="1"/>
  <c r="B1348" i="8" s="1"/>
  <c r="B1372" i="8" s="1"/>
  <c r="B1396" i="8" s="1"/>
  <c r="B1420" i="8" s="1"/>
  <c r="B1444" i="8" s="1"/>
  <c r="B1468" i="8" s="1"/>
  <c r="B1492" i="8" s="1"/>
  <c r="B1516" i="8" s="1"/>
  <c r="B1540" i="8" s="1"/>
  <c r="B1564" i="8" s="1"/>
  <c r="B1588" i="8" s="1"/>
  <c r="B1612" i="8" s="1"/>
  <c r="B1636" i="8" s="1"/>
  <c r="B1660" i="8" s="1"/>
  <c r="B1684" i="8" s="1"/>
  <c r="B1708" i="8" s="1"/>
  <c r="B1732" i="8" s="1"/>
  <c r="B1756" i="8" s="1"/>
  <c r="B1780" i="8" s="1"/>
  <c r="B1804" i="8" s="1"/>
  <c r="B1828" i="8" s="1"/>
  <c r="B1852" i="8" s="1"/>
  <c r="B1876" i="8" s="1"/>
  <c r="B1900" i="8" s="1"/>
  <c r="B1924" i="8" s="1"/>
  <c r="B1948" i="8" s="1"/>
  <c r="B1972" i="8" s="1"/>
  <c r="B1996" i="8" s="1"/>
  <c r="B2020" i="8" s="1"/>
  <c r="B2044" i="8" s="1"/>
  <c r="B2068" i="8" s="1"/>
  <c r="B2092" i="8" s="1"/>
  <c r="B2116" i="8" s="1"/>
  <c r="B2140" i="8" s="1"/>
  <c r="B2164" i="8" s="1"/>
  <c r="B2188" i="8" s="1"/>
  <c r="B2212" i="8" s="1"/>
  <c r="B2236" i="8" s="1"/>
  <c r="B2260" i="8" s="1"/>
  <c r="B2284" i="8" s="1"/>
  <c r="B2308" i="8" s="1"/>
  <c r="B2332" i="8" s="1"/>
  <c r="B2356" i="8" s="1"/>
  <c r="B2380" i="8" s="1"/>
  <c r="B2404" i="8" s="1"/>
  <c r="B2428" i="8" s="1"/>
  <c r="B2452" i="8" s="1"/>
  <c r="B2476" i="8" s="1"/>
  <c r="B2500" i="8" s="1"/>
  <c r="B2524" i="8" s="1"/>
  <c r="B2548" i="8" s="1"/>
  <c r="B2572" i="8" s="1"/>
  <c r="B2596" i="8" s="1"/>
  <c r="B2620" i="8" s="1"/>
  <c r="B2644" i="8" s="1"/>
  <c r="B2668" i="8" s="1"/>
  <c r="B2692" i="8" s="1"/>
  <c r="B2716" i="8" s="1"/>
  <c r="B2740" i="8" s="1"/>
  <c r="B2764" i="8" s="1"/>
  <c r="B2788" i="8" s="1"/>
  <c r="B2812" i="8" s="1"/>
  <c r="B2836" i="8" s="1"/>
  <c r="B2860" i="8" s="1"/>
  <c r="B2884" i="8" s="1"/>
  <c r="B2908" i="8" s="1"/>
  <c r="B2932" i="8" s="1"/>
  <c r="B2956" i="8" s="1"/>
  <c r="B2980" i="8" s="1"/>
  <c r="B3004" i="8" s="1"/>
  <c r="B893" i="8"/>
  <c r="B917" i="8" s="1"/>
  <c r="B941" i="8" s="1"/>
  <c r="B965" i="8" s="1"/>
  <c r="B989" i="8" s="1"/>
  <c r="B1013" i="8" s="1"/>
  <c r="B1037" i="8" s="1"/>
  <c r="B1061" i="8" s="1"/>
  <c r="B1085" i="8" s="1"/>
  <c r="B1109" i="8" s="1"/>
  <c r="B1133" i="8" s="1"/>
  <c r="B1157" i="8" s="1"/>
  <c r="B1181" i="8" s="1"/>
  <c r="B1205" i="8" s="1"/>
  <c r="B1229" i="8" s="1"/>
  <c r="B1253" i="8" s="1"/>
  <c r="B1277" i="8" s="1"/>
  <c r="B1301" i="8" s="1"/>
  <c r="B1325" i="8" s="1"/>
  <c r="B1349" i="8" s="1"/>
  <c r="B1373" i="8" s="1"/>
  <c r="B1397" i="8" s="1"/>
  <c r="B1421" i="8" s="1"/>
  <c r="B1445" i="8" s="1"/>
  <c r="B1469" i="8" s="1"/>
  <c r="B1493" i="8" s="1"/>
  <c r="B1517" i="8" s="1"/>
  <c r="B1541" i="8" s="1"/>
  <c r="B1565" i="8" s="1"/>
  <c r="B1589" i="8" s="1"/>
  <c r="B1613" i="8" s="1"/>
  <c r="B1637" i="8" s="1"/>
  <c r="B1661" i="8" s="1"/>
  <c r="B1685" i="8" s="1"/>
  <c r="B1709" i="8" s="1"/>
  <c r="B1733" i="8" s="1"/>
  <c r="B1757" i="8" s="1"/>
  <c r="B1781" i="8" s="1"/>
  <c r="B1805" i="8" s="1"/>
  <c r="B1829" i="8" s="1"/>
  <c r="B1853" i="8" s="1"/>
  <c r="B1877" i="8" s="1"/>
  <c r="B1901" i="8" s="1"/>
  <c r="B1925" i="8" s="1"/>
  <c r="B1949" i="8" s="1"/>
  <c r="B1973" i="8" s="1"/>
  <c r="B1997" i="8" s="1"/>
  <c r="B2021" i="8" s="1"/>
  <c r="B2045" i="8" s="1"/>
  <c r="B2069" i="8" s="1"/>
  <c r="B2093" i="8" s="1"/>
  <c r="B2117" i="8" s="1"/>
  <c r="B2141" i="8" s="1"/>
  <c r="B2165" i="8" s="1"/>
  <c r="B2189" i="8" s="1"/>
  <c r="B2213" i="8" s="1"/>
  <c r="B2237" i="8" s="1"/>
  <c r="B2261" i="8" s="1"/>
  <c r="B2285" i="8" s="1"/>
  <c r="B2309" i="8" s="1"/>
  <c r="B2333" i="8" s="1"/>
  <c r="B2357" i="8" s="1"/>
  <c r="B2381" i="8" s="1"/>
  <c r="B2405" i="8" s="1"/>
  <c r="B2429" i="8" s="1"/>
  <c r="B2453" i="8" s="1"/>
  <c r="B2477" i="8" s="1"/>
  <c r="B2501" i="8" s="1"/>
  <c r="B2525" i="8" s="1"/>
  <c r="B2549" i="8" s="1"/>
  <c r="B2573" i="8" s="1"/>
  <c r="B2597" i="8" s="1"/>
  <c r="B2621" i="8" s="1"/>
  <c r="B2645" i="8" s="1"/>
  <c r="B2669" i="8" s="1"/>
  <c r="B2693" i="8" s="1"/>
  <c r="B2717" i="8" s="1"/>
  <c r="B2741" i="8" s="1"/>
  <c r="B2765" i="8" s="1"/>
  <c r="B2789" i="8" s="1"/>
  <c r="B2813" i="8" s="1"/>
  <c r="B2837" i="8" s="1"/>
  <c r="B2861" i="8" s="1"/>
  <c r="B2885" i="8" s="1"/>
  <c r="B2909" i="8" s="1"/>
  <c r="B2933" i="8" s="1"/>
  <c r="B2957" i="8" s="1"/>
  <c r="B2981" i="8" s="1"/>
  <c r="B3005" i="8" s="1"/>
  <c r="B894" i="8"/>
  <c r="B918" i="8" s="1"/>
  <c r="B942" i="8" s="1"/>
  <c r="B966" i="8" s="1"/>
  <c r="B990" i="8" s="1"/>
  <c r="B1014" i="8" s="1"/>
  <c r="B1038" i="8" s="1"/>
  <c r="B1062" i="8" s="1"/>
  <c r="B1086" i="8" s="1"/>
  <c r="B1110" i="8" s="1"/>
  <c r="B1134" i="8" s="1"/>
  <c r="B1158" i="8" s="1"/>
  <c r="B1182" i="8" s="1"/>
  <c r="B1206" i="8" s="1"/>
  <c r="B1230" i="8" s="1"/>
  <c r="B1254" i="8" s="1"/>
  <c r="B1278" i="8" s="1"/>
  <c r="B1302" i="8" s="1"/>
  <c r="B1326" i="8" s="1"/>
  <c r="B1350" i="8" s="1"/>
  <c r="B1374" i="8" s="1"/>
  <c r="B1398" i="8" s="1"/>
  <c r="B1422" i="8" s="1"/>
  <c r="B1446" i="8" s="1"/>
  <c r="B1470" i="8" s="1"/>
  <c r="B1494" i="8" s="1"/>
  <c r="B1518" i="8" s="1"/>
  <c r="B1542" i="8" s="1"/>
  <c r="B1566" i="8" s="1"/>
  <c r="B1590" i="8" s="1"/>
  <c r="B1614" i="8" s="1"/>
  <c r="B1638" i="8" s="1"/>
  <c r="B1662" i="8" s="1"/>
  <c r="B1686" i="8" s="1"/>
  <c r="B1710" i="8" s="1"/>
  <c r="B1734" i="8" s="1"/>
  <c r="B1758" i="8" s="1"/>
  <c r="B1782" i="8" s="1"/>
  <c r="B1806" i="8" s="1"/>
  <c r="B1830" i="8" s="1"/>
  <c r="B1854" i="8" s="1"/>
  <c r="B1878" i="8" s="1"/>
  <c r="B1902" i="8" s="1"/>
  <c r="B1926" i="8" s="1"/>
  <c r="B1950" i="8" s="1"/>
  <c r="B1974" i="8" s="1"/>
  <c r="B1998" i="8" s="1"/>
  <c r="B2022" i="8" s="1"/>
  <c r="B2046" i="8" s="1"/>
  <c r="B2070" i="8" s="1"/>
  <c r="B2094" i="8" s="1"/>
  <c r="B2118" i="8" s="1"/>
  <c r="B2142" i="8" s="1"/>
  <c r="B2166" i="8" s="1"/>
  <c r="B2190" i="8" s="1"/>
  <c r="B2214" i="8" s="1"/>
  <c r="B2238" i="8" s="1"/>
  <c r="B2262" i="8" s="1"/>
  <c r="B2286" i="8" s="1"/>
  <c r="B2310" i="8" s="1"/>
  <c r="B2334" i="8" s="1"/>
  <c r="B2358" i="8" s="1"/>
  <c r="B2382" i="8" s="1"/>
  <c r="B2406" i="8" s="1"/>
  <c r="B2430" i="8" s="1"/>
  <c r="B2454" i="8" s="1"/>
  <c r="B2478" i="8" s="1"/>
  <c r="B2502" i="8" s="1"/>
  <c r="B2526" i="8" s="1"/>
  <c r="B2550" i="8" s="1"/>
  <c r="B2574" i="8" s="1"/>
  <c r="B2598" i="8" s="1"/>
  <c r="B2622" i="8" s="1"/>
  <c r="B2646" i="8" s="1"/>
  <c r="B2670" i="8" s="1"/>
  <c r="B2694" i="8" s="1"/>
  <c r="B2718" i="8" s="1"/>
  <c r="B2742" i="8" s="1"/>
  <c r="B2766" i="8" s="1"/>
  <c r="B2790" i="8" s="1"/>
  <c r="B2814" i="8" s="1"/>
  <c r="B2838" i="8" s="1"/>
  <c r="B2862" i="8" s="1"/>
  <c r="B2886" i="8" s="1"/>
  <c r="B2910" i="8" s="1"/>
  <c r="B2934" i="8" s="1"/>
  <c r="B2958" i="8" s="1"/>
  <c r="B2982" i="8" s="1"/>
  <c r="B3006" i="8" s="1"/>
  <c r="B895" i="8"/>
  <c r="B919" i="8" s="1"/>
  <c r="B943" i="8" s="1"/>
  <c r="B967" i="8" s="1"/>
  <c r="B991" i="8" s="1"/>
  <c r="B1015" i="8" s="1"/>
  <c r="B1039" i="8" s="1"/>
  <c r="B1063" i="8" s="1"/>
  <c r="B1087" i="8" s="1"/>
  <c r="B1111" i="8" s="1"/>
  <c r="B1135" i="8" s="1"/>
  <c r="B1159" i="8" s="1"/>
  <c r="B1183" i="8" s="1"/>
  <c r="B1207" i="8" s="1"/>
  <c r="B1231" i="8" s="1"/>
  <c r="B1255" i="8" s="1"/>
  <c r="B1279" i="8" s="1"/>
  <c r="B1303" i="8" s="1"/>
  <c r="B1327" i="8" s="1"/>
  <c r="B1351" i="8" s="1"/>
  <c r="B1375" i="8" s="1"/>
  <c r="B1399" i="8" s="1"/>
  <c r="B1423" i="8" s="1"/>
  <c r="B1447" i="8" s="1"/>
  <c r="B1471" i="8" s="1"/>
  <c r="B1495" i="8" s="1"/>
  <c r="B1519" i="8" s="1"/>
  <c r="B1543" i="8" s="1"/>
  <c r="B1567" i="8" s="1"/>
  <c r="B1591" i="8" s="1"/>
  <c r="B1615" i="8" s="1"/>
  <c r="B1639" i="8" s="1"/>
  <c r="B1663" i="8" s="1"/>
  <c r="B1687" i="8" s="1"/>
  <c r="B1711" i="8" s="1"/>
  <c r="B1735" i="8" s="1"/>
  <c r="B1759" i="8" s="1"/>
  <c r="B1783" i="8" s="1"/>
  <c r="B1807" i="8" s="1"/>
  <c r="B1831" i="8" s="1"/>
  <c r="B1855" i="8" s="1"/>
  <c r="B1879" i="8" s="1"/>
  <c r="B1903" i="8" s="1"/>
  <c r="B1927" i="8" s="1"/>
  <c r="B1951" i="8" s="1"/>
  <c r="B1975" i="8" s="1"/>
  <c r="B1999" i="8" s="1"/>
  <c r="B2023" i="8" s="1"/>
  <c r="B2047" i="8" s="1"/>
  <c r="B2071" i="8" s="1"/>
  <c r="B2095" i="8" s="1"/>
  <c r="B2119" i="8" s="1"/>
  <c r="B2143" i="8" s="1"/>
  <c r="B2167" i="8" s="1"/>
  <c r="B2191" i="8" s="1"/>
  <c r="B2215" i="8" s="1"/>
  <c r="B2239" i="8" s="1"/>
  <c r="B2263" i="8" s="1"/>
  <c r="B2287" i="8" s="1"/>
  <c r="B2311" i="8" s="1"/>
  <c r="B2335" i="8" s="1"/>
  <c r="B2359" i="8" s="1"/>
  <c r="B2383" i="8" s="1"/>
  <c r="B2407" i="8" s="1"/>
  <c r="B2431" i="8" s="1"/>
  <c r="B2455" i="8" s="1"/>
  <c r="B2479" i="8" s="1"/>
  <c r="B2503" i="8" s="1"/>
  <c r="B2527" i="8" s="1"/>
  <c r="B2551" i="8" s="1"/>
  <c r="B2575" i="8" s="1"/>
  <c r="B2599" i="8" s="1"/>
  <c r="B2623" i="8" s="1"/>
  <c r="B2647" i="8" s="1"/>
  <c r="B2671" i="8" s="1"/>
  <c r="B2695" i="8" s="1"/>
  <c r="B2719" i="8" s="1"/>
  <c r="B2743" i="8" s="1"/>
  <c r="B2767" i="8" s="1"/>
  <c r="B2791" i="8" s="1"/>
  <c r="B2815" i="8" s="1"/>
  <c r="B2839" i="8" s="1"/>
  <c r="B2863" i="8" s="1"/>
  <c r="B2887" i="8" s="1"/>
  <c r="B2911" i="8" s="1"/>
  <c r="B2935" i="8" s="1"/>
  <c r="B2959" i="8" s="1"/>
  <c r="B2983" i="8" s="1"/>
  <c r="B3007" i="8" s="1"/>
  <c r="B896" i="8"/>
  <c r="B920" i="8" s="1"/>
  <c r="B944" i="8" s="1"/>
  <c r="B968" i="8" s="1"/>
  <c r="B992" i="8" s="1"/>
  <c r="B1016" i="8" s="1"/>
  <c r="B1040" i="8" s="1"/>
  <c r="B1064" i="8" s="1"/>
  <c r="B1088" i="8" s="1"/>
  <c r="B1112" i="8" s="1"/>
  <c r="B1136" i="8" s="1"/>
  <c r="B1160" i="8" s="1"/>
  <c r="B1184" i="8" s="1"/>
  <c r="B1208" i="8" s="1"/>
  <c r="B1232" i="8" s="1"/>
  <c r="B1256" i="8" s="1"/>
  <c r="B1280" i="8" s="1"/>
  <c r="B1304" i="8" s="1"/>
  <c r="B1328" i="8" s="1"/>
  <c r="B1352" i="8" s="1"/>
  <c r="B1376" i="8" s="1"/>
  <c r="B1400" i="8" s="1"/>
  <c r="B1424" i="8" s="1"/>
  <c r="B1448" i="8" s="1"/>
  <c r="B1472" i="8" s="1"/>
  <c r="B1496" i="8" s="1"/>
  <c r="B1520" i="8" s="1"/>
  <c r="B1544" i="8" s="1"/>
  <c r="B1568" i="8" s="1"/>
  <c r="B1592" i="8" s="1"/>
  <c r="B1616" i="8" s="1"/>
  <c r="B1640" i="8" s="1"/>
  <c r="B1664" i="8" s="1"/>
  <c r="B1688" i="8" s="1"/>
  <c r="B1712" i="8" s="1"/>
  <c r="B1736" i="8" s="1"/>
  <c r="B1760" i="8" s="1"/>
  <c r="B1784" i="8" s="1"/>
  <c r="B1808" i="8" s="1"/>
  <c r="B1832" i="8" s="1"/>
  <c r="B1856" i="8" s="1"/>
  <c r="B1880" i="8" s="1"/>
  <c r="B1904" i="8" s="1"/>
  <c r="B1928" i="8" s="1"/>
  <c r="B1952" i="8" s="1"/>
  <c r="B1976" i="8" s="1"/>
  <c r="B2000" i="8" s="1"/>
  <c r="B2024" i="8" s="1"/>
  <c r="B2048" i="8" s="1"/>
  <c r="B2072" i="8" s="1"/>
  <c r="B2096" i="8" s="1"/>
  <c r="B2120" i="8" s="1"/>
  <c r="B2144" i="8" s="1"/>
  <c r="B2168" i="8" s="1"/>
  <c r="B2192" i="8" s="1"/>
  <c r="B2216" i="8" s="1"/>
  <c r="B2240" i="8" s="1"/>
  <c r="B2264" i="8" s="1"/>
  <c r="B2288" i="8" s="1"/>
  <c r="B2312" i="8" s="1"/>
  <c r="B2336" i="8" s="1"/>
  <c r="B2360" i="8" s="1"/>
  <c r="B2384" i="8" s="1"/>
  <c r="B2408" i="8" s="1"/>
  <c r="B2432" i="8" s="1"/>
  <c r="B2456" i="8" s="1"/>
  <c r="B2480" i="8" s="1"/>
  <c r="B2504" i="8" s="1"/>
  <c r="B2528" i="8" s="1"/>
  <c r="B2552" i="8" s="1"/>
  <c r="B2576" i="8" s="1"/>
  <c r="B2600" i="8" s="1"/>
  <c r="B2624" i="8" s="1"/>
  <c r="B2648" i="8" s="1"/>
  <c r="B2672" i="8" s="1"/>
  <c r="B2696" i="8" s="1"/>
  <c r="B2720" i="8" s="1"/>
  <c r="B2744" i="8" s="1"/>
  <c r="B2768" i="8" s="1"/>
  <c r="B2792" i="8" s="1"/>
  <c r="B2816" i="8" s="1"/>
  <c r="B2840" i="8" s="1"/>
  <c r="B2864" i="8" s="1"/>
  <c r="B2888" i="8" s="1"/>
  <c r="B2912" i="8" s="1"/>
  <c r="B2936" i="8" s="1"/>
  <c r="B2960" i="8" s="1"/>
  <c r="B2984" i="8" s="1"/>
  <c r="B3008" i="8" s="1"/>
  <c r="B897" i="8"/>
  <c r="B921" i="8" s="1"/>
  <c r="B945" i="8" s="1"/>
  <c r="B969" i="8" s="1"/>
  <c r="B993" i="8" s="1"/>
  <c r="B1017" i="8" s="1"/>
  <c r="B1041" i="8" s="1"/>
  <c r="B1065" i="8" s="1"/>
  <c r="B1089" i="8" s="1"/>
  <c r="B1113" i="8" s="1"/>
  <c r="B1137" i="8" s="1"/>
  <c r="B1161" i="8" s="1"/>
  <c r="B1185" i="8" s="1"/>
  <c r="B1209" i="8" s="1"/>
  <c r="B1233" i="8" s="1"/>
  <c r="B1257" i="8" s="1"/>
  <c r="B1281" i="8" s="1"/>
  <c r="B1305" i="8" s="1"/>
  <c r="B1329" i="8" s="1"/>
  <c r="B1353" i="8" s="1"/>
  <c r="B1377" i="8" s="1"/>
  <c r="B1401" i="8" s="1"/>
  <c r="B1425" i="8" s="1"/>
  <c r="B1449" i="8" s="1"/>
  <c r="B1473" i="8" s="1"/>
  <c r="B1497" i="8" s="1"/>
  <c r="B1521" i="8" s="1"/>
  <c r="B1545" i="8" s="1"/>
  <c r="B1569" i="8" s="1"/>
  <c r="B1593" i="8" s="1"/>
  <c r="B1617" i="8" s="1"/>
  <c r="B1641" i="8" s="1"/>
  <c r="B1665" i="8" s="1"/>
  <c r="B1689" i="8" s="1"/>
  <c r="B1713" i="8" s="1"/>
  <c r="B1737" i="8" s="1"/>
  <c r="B1761" i="8" s="1"/>
  <c r="B1785" i="8" s="1"/>
  <c r="B1809" i="8" s="1"/>
  <c r="B1833" i="8" s="1"/>
  <c r="B1857" i="8" s="1"/>
  <c r="B1881" i="8" s="1"/>
  <c r="B1905" i="8" s="1"/>
  <c r="B1929" i="8" s="1"/>
  <c r="B1953" i="8" s="1"/>
  <c r="B1977" i="8" s="1"/>
  <c r="B2001" i="8" s="1"/>
  <c r="B2025" i="8" s="1"/>
  <c r="B2049" i="8" s="1"/>
  <c r="B2073" i="8" s="1"/>
  <c r="B2097" i="8" s="1"/>
  <c r="B2121" i="8" s="1"/>
  <c r="B2145" i="8" s="1"/>
  <c r="B2169" i="8" s="1"/>
  <c r="B2193" i="8" s="1"/>
  <c r="B2217" i="8" s="1"/>
  <c r="B2241" i="8" s="1"/>
  <c r="B2265" i="8" s="1"/>
  <c r="B2289" i="8" s="1"/>
  <c r="B2313" i="8" s="1"/>
  <c r="B2337" i="8" s="1"/>
  <c r="B2361" i="8" s="1"/>
  <c r="B2385" i="8" s="1"/>
  <c r="B2409" i="8" s="1"/>
  <c r="B2433" i="8" s="1"/>
  <c r="B2457" i="8" s="1"/>
  <c r="B2481" i="8" s="1"/>
  <c r="B2505" i="8" s="1"/>
  <c r="B2529" i="8" s="1"/>
  <c r="B2553" i="8" s="1"/>
  <c r="B2577" i="8" s="1"/>
  <c r="B2601" i="8" s="1"/>
  <c r="B2625" i="8" s="1"/>
  <c r="B2649" i="8" s="1"/>
  <c r="B2673" i="8" s="1"/>
  <c r="B2697" i="8" s="1"/>
  <c r="B2721" i="8" s="1"/>
  <c r="B2745" i="8" s="1"/>
  <c r="B2769" i="8" s="1"/>
  <c r="B2793" i="8" s="1"/>
  <c r="B2817" i="8" s="1"/>
  <c r="B2841" i="8" s="1"/>
  <c r="B2865" i="8" s="1"/>
  <c r="B2889" i="8" s="1"/>
  <c r="B2913" i="8" s="1"/>
  <c r="B2937" i="8" s="1"/>
  <c r="B2961" i="8" s="1"/>
  <c r="B2985" i="8" s="1"/>
  <c r="B3009" i="8" s="1"/>
  <c r="B898" i="8"/>
  <c r="B922" i="8" s="1"/>
  <c r="B946" i="8" s="1"/>
  <c r="B970" i="8" s="1"/>
  <c r="B994" i="8" s="1"/>
  <c r="B1018" i="8" s="1"/>
  <c r="B1042" i="8" s="1"/>
  <c r="B1066" i="8" s="1"/>
  <c r="B1090" i="8" s="1"/>
  <c r="B1114" i="8" s="1"/>
  <c r="B1138" i="8" s="1"/>
  <c r="B1162" i="8" s="1"/>
  <c r="B1186" i="8" s="1"/>
  <c r="B1210" i="8" s="1"/>
  <c r="B1234" i="8" s="1"/>
  <c r="B1258" i="8" s="1"/>
  <c r="B1282" i="8" s="1"/>
  <c r="B1306" i="8" s="1"/>
  <c r="B1330" i="8" s="1"/>
  <c r="B1354" i="8" s="1"/>
  <c r="B1378" i="8" s="1"/>
  <c r="B1402" i="8" s="1"/>
  <c r="B1426" i="8" s="1"/>
  <c r="B1450" i="8" s="1"/>
  <c r="B1474" i="8" s="1"/>
  <c r="B1498" i="8" s="1"/>
  <c r="B1522" i="8" s="1"/>
  <c r="B1546" i="8" s="1"/>
  <c r="B1570" i="8" s="1"/>
  <c r="B1594" i="8" s="1"/>
  <c r="B1618" i="8" s="1"/>
  <c r="B1642" i="8" s="1"/>
  <c r="B1666" i="8" s="1"/>
  <c r="B1690" i="8" s="1"/>
  <c r="B1714" i="8" s="1"/>
  <c r="B1738" i="8" s="1"/>
  <c r="B1762" i="8" s="1"/>
  <c r="B1786" i="8" s="1"/>
  <c r="B1810" i="8" s="1"/>
  <c r="B1834" i="8" s="1"/>
  <c r="B1858" i="8" s="1"/>
  <c r="B1882" i="8" s="1"/>
  <c r="B1906" i="8" s="1"/>
  <c r="B1930" i="8" s="1"/>
  <c r="B1954" i="8" s="1"/>
  <c r="B1978" i="8" s="1"/>
  <c r="B2002" i="8" s="1"/>
  <c r="B2026" i="8" s="1"/>
  <c r="B2050" i="8" s="1"/>
  <c r="B2074" i="8" s="1"/>
  <c r="B2098" i="8" s="1"/>
  <c r="B2122" i="8" s="1"/>
  <c r="B2146" i="8" s="1"/>
  <c r="B2170" i="8" s="1"/>
  <c r="B2194" i="8" s="1"/>
  <c r="B2218" i="8" s="1"/>
  <c r="B2242" i="8" s="1"/>
  <c r="B2266" i="8" s="1"/>
  <c r="B2290" i="8" s="1"/>
  <c r="B2314" i="8" s="1"/>
  <c r="B2338" i="8" s="1"/>
  <c r="B2362" i="8" s="1"/>
  <c r="B2386" i="8" s="1"/>
  <c r="B2410" i="8" s="1"/>
  <c r="B2434" i="8" s="1"/>
  <c r="B2458" i="8" s="1"/>
  <c r="B2482" i="8" s="1"/>
  <c r="B2506" i="8" s="1"/>
  <c r="B2530" i="8" s="1"/>
  <c r="B2554" i="8" s="1"/>
  <c r="B2578" i="8" s="1"/>
  <c r="B2602" i="8" s="1"/>
  <c r="B2626" i="8" s="1"/>
  <c r="B2650" i="8" s="1"/>
  <c r="B2674" i="8" s="1"/>
  <c r="B2698" i="8" s="1"/>
  <c r="B2722" i="8" s="1"/>
  <c r="B2746" i="8" s="1"/>
  <c r="B2770" i="8" s="1"/>
  <c r="B2794" i="8" s="1"/>
  <c r="B2818" i="8" s="1"/>
  <c r="B2842" i="8" s="1"/>
  <c r="B2866" i="8" s="1"/>
  <c r="B2890" i="8" s="1"/>
  <c r="B2914" i="8" s="1"/>
  <c r="B2938" i="8" s="1"/>
  <c r="B2962" i="8" s="1"/>
  <c r="B2986" i="8" s="1"/>
  <c r="B3010" i="8" s="1"/>
  <c r="B899" i="8"/>
  <c r="B923" i="8" s="1"/>
  <c r="B947" i="8" s="1"/>
  <c r="B971" i="8" s="1"/>
  <c r="B995" i="8" s="1"/>
  <c r="B1019" i="8" s="1"/>
  <c r="B1043" i="8" s="1"/>
  <c r="B1067" i="8" s="1"/>
  <c r="B1091" i="8" s="1"/>
  <c r="B1115" i="8" s="1"/>
  <c r="B1139" i="8" s="1"/>
  <c r="B1163" i="8" s="1"/>
  <c r="B1187" i="8" s="1"/>
  <c r="B1211" i="8" s="1"/>
  <c r="B1235" i="8" s="1"/>
  <c r="B1259" i="8" s="1"/>
  <c r="B1283" i="8" s="1"/>
  <c r="B1307" i="8" s="1"/>
  <c r="B1331" i="8" s="1"/>
  <c r="B1355" i="8" s="1"/>
  <c r="B1379" i="8" s="1"/>
  <c r="B1403" i="8" s="1"/>
  <c r="B1427" i="8" s="1"/>
  <c r="B1451" i="8" s="1"/>
  <c r="B1475" i="8" s="1"/>
  <c r="B1499" i="8" s="1"/>
  <c r="B1523" i="8" s="1"/>
  <c r="B1547" i="8" s="1"/>
  <c r="B1571" i="8" s="1"/>
  <c r="B1595" i="8" s="1"/>
  <c r="B1619" i="8" s="1"/>
  <c r="B1643" i="8" s="1"/>
  <c r="B1667" i="8" s="1"/>
  <c r="B1691" i="8" s="1"/>
  <c r="B1715" i="8" s="1"/>
  <c r="B1739" i="8" s="1"/>
  <c r="B1763" i="8" s="1"/>
  <c r="B1787" i="8" s="1"/>
  <c r="B1811" i="8" s="1"/>
  <c r="B1835" i="8" s="1"/>
  <c r="B1859" i="8" s="1"/>
  <c r="B1883" i="8" s="1"/>
  <c r="B1907" i="8" s="1"/>
  <c r="B1931" i="8" s="1"/>
  <c r="B1955" i="8" s="1"/>
  <c r="B1979" i="8" s="1"/>
  <c r="B2003" i="8" s="1"/>
  <c r="B2027" i="8" s="1"/>
  <c r="B2051" i="8" s="1"/>
  <c r="B2075" i="8" s="1"/>
  <c r="B2099" i="8" s="1"/>
  <c r="B2123" i="8" s="1"/>
  <c r="B2147" i="8" s="1"/>
  <c r="B2171" i="8" s="1"/>
  <c r="B2195" i="8" s="1"/>
  <c r="B2219" i="8" s="1"/>
  <c r="B2243" i="8" s="1"/>
  <c r="B2267" i="8" s="1"/>
  <c r="B2291" i="8" s="1"/>
  <c r="B2315" i="8" s="1"/>
  <c r="B2339" i="8" s="1"/>
  <c r="B2363" i="8" s="1"/>
  <c r="B2387" i="8" s="1"/>
  <c r="B2411" i="8" s="1"/>
  <c r="B2435" i="8" s="1"/>
  <c r="B2459" i="8" s="1"/>
  <c r="B2483" i="8" s="1"/>
  <c r="B2507" i="8" s="1"/>
  <c r="B2531" i="8" s="1"/>
  <c r="B2555" i="8" s="1"/>
  <c r="B2579" i="8" s="1"/>
  <c r="B2603" i="8" s="1"/>
  <c r="B2627" i="8" s="1"/>
  <c r="B2651" i="8" s="1"/>
  <c r="B2675" i="8" s="1"/>
  <c r="B2699" i="8" s="1"/>
  <c r="B2723" i="8" s="1"/>
  <c r="B2747" i="8" s="1"/>
  <c r="B2771" i="8" s="1"/>
  <c r="B2795" i="8" s="1"/>
  <c r="B2819" i="8" s="1"/>
  <c r="B2843" i="8" s="1"/>
  <c r="B2867" i="8" s="1"/>
  <c r="B2891" i="8" s="1"/>
  <c r="B2915" i="8" s="1"/>
  <c r="B2939" i="8" s="1"/>
  <c r="B2963" i="8" s="1"/>
  <c r="B2987" i="8" s="1"/>
  <c r="B3011" i="8" s="1"/>
  <c r="B900" i="8"/>
  <c r="B924" i="8" s="1"/>
  <c r="B948" i="8" s="1"/>
  <c r="B972" i="8" s="1"/>
  <c r="B996" i="8" s="1"/>
  <c r="B1020" i="8" s="1"/>
  <c r="B1044" i="8" s="1"/>
  <c r="B1068" i="8" s="1"/>
  <c r="B1092" i="8" s="1"/>
  <c r="B1116" i="8" s="1"/>
  <c r="B1140" i="8" s="1"/>
  <c r="B1164" i="8" s="1"/>
  <c r="B1188" i="8" s="1"/>
  <c r="B1212" i="8" s="1"/>
  <c r="B1236" i="8" s="1"/>
  <c r="B1260" i="8" s="1"/>
  <c r="B1284" i="8" s="1"/>
  <c r="B1308" i="8" s="1"/>
  <c r="B1332" i="8" s="1"/>
  <c r="B1356" i="8" s="1"/>
  <c r="B1380" i="8" s="1"/>
  <c r="B1404" i="8" s="1"/>
  <c r="B1428" i="8" s="1"/>
  <c r="B1452" i="8" s="1"/>
  <c r="B1476" i="8" s="1"/>
  <c r="B1500" i="8" s="1"/>
  <c r="B1524" i="8" s="1"/>
  <c r="B1548" i="8" s="1"/>
  <c r="B1572" i="8" s="1"/>
  <c r="B1596" i="8" s="1"/>
  <c r="B1620" i="8" s="1"/>
  <c r="B1644" i="8" s="1"/>
  <c r="B1668" i="8" s="1"/>
  <c r="B1692" i="8" s="1"/>
  <c r="B1716" i="8" s="1"/>
  <c r="B1740" i="8" s="1"/>
  <c r="B1764" i="8" s="1"/>
  <c r="B1788" i="8" s="1"/>
  <c r="B1812" i="8" s="1"/>
  <c r="B1836" i="8" s="1"/>
  <c r="B1860" i="8" s="1"/>
  <c r="B1884" i="8" s="1"/>
  <c r="B1908" i="8" s="1"/>
  <c r="B1932" i="8" s="1"/>
  <c r="B1956" i="8" s="1"/>
  <c r="B1980" i="8" s="1"/>
  <c r="B2004" i="8" s="1"/>
  <c r="B2028" i="8" s="1"/>
  <c r="B2052" i="8" s="1"/>
  <c r="B2076" i="8" s="1"/>
  <c r="B2100" i="8" s="1"/>
  <c r="B2124" i="8" s="1"/>
  <c r="B2148" i="8" s="1"/>
  <c r="B2172" i="8" s="1"/>
  <c r="B2196" i="8" s="1"/>
  <c r="B2220" i="8" s="1"/>
  <c r="B2244" i="8" s="1"/>
  <c r="B2268" i="8" s="1"/>
  <c r="B2292" i="8" s="1"/>
  <c r="B2316" i="8" s="1"/>
  <c r="B2340" i="8" s="1"/>
  <c r="B2364" i="8" s="1"/>
  <c r="B2388" i="8" s="1"/>
  <c r="B2412" i="8" s="1"/>
  <c r="B2436" i="8" s="1"/>
  <c r="B2460" i="8" s="1"/>
  <c r="B2484" i="8" s="1"/>
  <c r="B2508" i="8" s="1"/>
  <c r="B2532" i="8" s="1"/>
  <c r="B2556" i="8" s="1"/>
  <c r="B2580" i="8" s="1"/>
  <c r="B2604" i="8" s="1"/>
  <c r="B2628" i="8" s="1"/>
  <c r="B2652" i="8" s="1"/>
  <c r="B2676" i="8" s="1"/>
  <c r="B2700" i="8" s="1"/>
  <c r="B2724" i="8" s="1"/>
  <c r="B2748" i="8" s="1"/>
  <c r="B2772" i="8" s="1"/>
  <c r="B2796" i="8" s="1"/>
  <c r="B2820" i="8" s="1"/>
  <c r="B2844" i="8" s="1"/>
  <c r="B2868" i="8" s="1"/>
  <c r="B2892" i="8" s="1"/>
  <c r="B2916" i="8" s="1"/>
  <c r="B2940" i="8" s="1"/>
  <c r="B2964" i="8" s="1"/>
  <c r="B2988" i="8" s="1"/>
  <c r="B3012" i="8" s="1"/>
  <c r="B901" i="8"/>
  <c r="B925" i="8" s="1"/>
  <c r="B949" i="8" s="1"/>
  <c r="B973" i="8" s="1"/>
  <c r="B997" i="8" s="1"/>
  <c r="B1021" i="8" s="1"/>
  <c r="B1045" i="8" s="1"/>
  <c r="B1069" i="8" s="1"/>
  <c r="B1093" i="8" s="1"/>
  <c r="B1117" i="8" s="1"/>
  <c r="B1141" i="8" s="1"/>
  <c r="B1165" i="8" s="1"/>
  <c r="B1189" i="8" s="1"/>
  <c r="B1213" i="8" s="1"/>
  <c r="B1237" i="8" s="1"/>
  <c r="B1261" i="8" s="1"/>
  <c r="B1285" i="8" s="1"/>
  <c r="B1309" i="8" s="1"/>
  <c r="B1333" i="8" s="1"/>
  <c r="B1357" i="8" s="1"/>
  <c r="B1381" i="8" s="1"/>
  <c r="B1405" i="8" s="1"/>
  <c r="B1429" i="8" s="1"/>
  <c r="B1453" i="8" s="1"/>
  <c r="B1477" i="8" s="1"/>
  <c r="B1501" i="8" s="1"/>
  <c r="B1525" i="8" s="1"/>
  <c r="B1549" i="8" s="1"/>
  <c r="B1573" i="8" s="1"/>
  <c r="B1597" i="8" s="1"/>
  <c r="B1621" i="8" s="1"/>
  <c r="B1645" i="8" s="1"/>
  <c r="B1669" i="8" s="1"/>
  <c r="B1693" i="8" s="1"/>
  <c r="B1717" i="8" s="1"/>
  <c r="B1741" i="8" s="1"/>
  <c r="B1765" i="8" s="1"/>
  <c r="B1789" i="8" s="1"/>
  <c r="B1813" i="8" s="1"/>
  <c r="B1837" i="8" s="1"/>
  <c r="B1861" i="8" s="1"/>
  <c r="B1885" i="8" s="1"/>
  <c r="B1909" i="8" s="1"/>
  <c r="B1933" i="8" s="1"/>
  <c r="B1957" i="8" s="1"/>
  <c r="B1981" i="8" s="1"/>
  <c r="B2005" i="8" s="1"/>
  <c r="B2029" i="8" s="1"/>
  <c r="B2053" i="8" s="1"/>
  <c r="B2077" i="8" s="1"/>
  <c r="B2101" i="8" s="1"/>
  <c r="B2125" i="8" s="1"/>
  <c r="B2149" i="8" s="1"/>
  <c r="B2173" i="8" s="1"/>
  <c r="B2197" i="8" s="1"/>
  <c r="B2221" i="8" s="1"/>
  <c r="B2245" i="8" s="1"/>
  <c r="B2269" i="8" s="1"/>
  <c r="B2293" i="8" s="1"/>
  <c r="B2317" i="8" s="1"/>
  <c r="B2341" i="8" s="1"/>
  <c r="B2365" i="8" s="1"/>
  <c r="B2389" i="8" s="1"/>
  <c r="B2413" i="8" s="1"/>
  <c r="B2437" i="8" s="1"/>
  <c r="B2461" i="8" s="1"/>
  <c r="B2485" i="8" s="1"/>
  <c r="B2509" i="8" s="1"/>
  <c r="B2533" i="8" s="1"/>
  <c r="B2557" i="8" s="1"/>
  <c r="B2581" i="8" s="1"/>
  <c r="B2605" i="8" s="1"/>
  <c r="B2629" i="8" s="1"/>
  <c r="B2653" i="8" s="1"/>
  <c r="B2677" i="8" s="1"/>
  <c r="B2701" i="8" s="1"/>
  <c r="B2725" i="8" s="1"/>
  <c r="B2749" i="8" s="1"/>
  <c r="B2773" i="8" s="1"/>
  <c r="B2797" i="8" s="1"/>
  <c r="B2821" i="8" s="1"/>
  <c r="B2845" i="8" s="1"/>
  <c r="B2869" i="8" s="1"/>
  <c r="B2893" i="8" s="1"/>
  <c r="B2917" i="8" s="1"/>
  <c r="B2941" i="8" s="1"/>
  <c r="B2965" i="8" s="1"/>
  <c r="B2989" i="8" s="1"/>
  <c r="B3013" i="8" s="1"/>
  <c r="B902" i="8"/>
  <c r="B926" i="8" s="1"/>
  <c r="B950" i="8" s="1"/>
  <c r="B974" i="8" s="1"/>
  <c r="B998" i="8" s="1"/>
  <c r="B1022" i="8" s="1"/>
  <c r="B1046" i="8" s="1"/>
  <c r="B1070" i="8" s="1"/>
  <c r="B1094" i="8" s="1"/>
  <c r="B1118" i="8" s="1"/>
  <c r="B1142" i="8" s="1"/>
  <c r="B1166" i="8" s="1"/>
  <c r="B1190" i="8" s="1"/>
  <c r="B1214" i="8" s="1"/>
  <c r="B1238" i="8" s="1"/>
  <c r="B1262" i="8" s="1"/>
  <c r="B1286" i="8" s="1"/>
  <c r="B1310" i="8" s="1"/>
  <c r="B1334" i="8" s="1"/>
  <c r="B1358" i="8" s="1"/>
  <c r="B1382" i="8" s="1"/>
  <c r="B1406" i="8" s="1"/>
  <c r="B1430" i="8" s="1"/>
  <c r="B1454" i="8" s="1"/>
  <c r="B1478" i="8" s="1"/>
  <c r="B1502" i="8" s="1"/>
  <c r="B1526" i="8" s="1"/>
  <c r="B1550" i="8" s="1"/>
  <c r="B1574" i="8" s="1"/>
  <c r="B1598" i="8" s="1"/>
  <c r="B1622" i="8" s="1"/>
  <c r="B1646" i="8" s="1"/>
  <c r="B1670" i="8" s="1"/>
  <c r="B1694" i="8" s="1"/>
  <c r="B1718" i="8" s="1"/>
  <c r="B1742" i="8" s="1"/>
  <c r="B1766" i="8" s="1"/>
  <c r="B1790" i="8" s="1"/>
  <c r="B1814" i="8" s="1"/>
  <c r="B1838" i="8" s="1"/>
  <c r="B1862" i="8" s="1"/>
  <c r="B1886" i="8" s="1"/>
  <c r="B1910" i="8" s="1"/>
  <c r="B1934" i="8" s="1"/>
  <c r="B1958" i="8" s="1"/>
  <c r="B1982" i="8" s="1"/>
  <c r="B2006" i="8" s="1"/>
  <c r="B2030" i="8" s="1"/>
  <c r="B2054" i="8" s="1"/>
  <c r="B2078" i="8" s="1"/>
  <c r="B2102" i="8" s="1"/>
  <c r="B2126" i="8" s="1"/>
  <c r="B2150" i="8" s="1"/>
  <c r="B2174" i="8" s="1"/>
  <c r="B2198" i="8" s="1"/>
  <c r="B2222" i="8" s="1"/>
  <c r="B2246" i="8" s="1"/>
  <c r="B2270" i="8" s="1"/>
  <c r="B2294" i="8" s="1"/>
  <c r="B2318" i="8" s="1"/>
  <c r="B2342" i="8" s="1"/>
  <c r="B2366" i="8" s="1"/>
  <c r="B2390" i="8" s="1"/>
  <c r="B2414" i="8" s="1"/>
  <c r="B2438" i="8" s="1"/>
  <c r="B2462" i="8" s="1"/>
  <c r="B2486" i="8" s="1"/>
  <c r="B2510" i="8" s="1"/>
  <c r="B2534" i="8" s="1"/>
  <c r="B2558" i="8" s="1"/>
  <c r="B2582" i="8" s="1"/>
  <c r="B2606" i="8" s="1"/>
  <c r="B2630" i="8" s="1"/>
  <c r="B2654" i="8" s="1"/>
  <c r="B2678" i="8" s="1"/>
  <c r="B2702" i="8" s="1"/>
  <c r="B2726" i="8" s="1"/>
  <c r="B2750" i="8" s="1"/>
  <c r="B2774" i="8" s="1"/>
  <c r="B2798" i="8" s="1"/>
  <c r="B2822" i="8" s="1"/>
  <c r="B2846" i="8" s="1"/>
  <c r="B2870" i="8" s="1"/>
  <c r="B2894" i="8" s="1"/>
  <c r="B2918" i="8" s="1"/>
  <c r="B2942" i="8" s="1"/>
  <c r="B2966" i="8" s="1"/>
  <c r="B2990" i="8" s="1"/>
  <c r="B3014" i="8" s="1"/>
  <c r="B903" i="8"/>
  <c r="B927" i="8" s="1"/>
  <c r="B951" i="8" s="1"/>
  <c r="B975" i="8" s="1"/>
  <c r="B999" i="8" s="1"/>
  <c r="B1023" i="8" s="1"/>
  <c r="B1047" i="8" s="1"/>
  <c r="B1071" i="8" s="1"/>
  <c r="B1095" i="8" s="1"/>
  <c r="B1119" i="8" s="1"/>
  <c r="B1143" i="8" s="1"/>
  <c r="B1167" i="8" s="1"/>
  <c r="B1191" i="8" s="1"/>
  <c r="B1215" i="8" s="1"/>
  <c r="B1239" i="8" s="1"/>
  <c r="B1263" i="8" s="1"/>
  <c r="B1287" i="8" s="1"/>
  <c r="B1311" i="8" s="1"/>
  <c r="B1335" i="8" s="1"/>
  <c r="B1359" i="8" s="1"/>
  <c r="B1383" i="8" s="1"/>
  <c r="B1407" i="8" s="1"/>
  <c r="B1431" i="8" s="1"/>
  <c r="B1455" i="8" s="1"/>
  <c r="B1479" i="8" s="1"/>
  <c r="B1503" i="8" s="1"/>
  <c r="B1527" i="8" s="1"/>
  <c r="B1551" i="8" s="1"/>
  <c r="B1575" i="8" s="1"/>
  <c r="B1599" i="8" s="1"/>
  <c r="B1623" i="8" s="1"/>
  <c r="B1647" i="8" s="1"/>
  <c r="B1671" i="8" s="1"/>
  <c r="B1695" i="8" s="1"/>
  <c r="B1719" i="8" s="1"/>
  <c r="B1743" i="8" s="1"/>
  <c r="B1767" i="8" s="1"/>
  <c r="B1791" i="8" s="1"/>
  <c r="B1815" i="8" s="1"/>
  <c r="B1839" i="8" s="1"/>
  <c r="B1863" i="8" s="1"/>
  <c r="B1887" i="8" s="1"/>
  <c r="B1911" i="8" s="1"/>
  <c r="B1935" i="8" s="1"/>
  <c r="B1959" i="8" s="1"/>
  <c r="B1983" i="8" s="1"/>
  <c r="B2007" i="8" s="1"/>
  <c r="B2031" i="8" s="1"/>
  <c r="B2055" i="8" s="1"/>
  <c r="B2079" i="8" s="1"/>
  <c r="B2103" i="8" s="1"/>
  <c r="B2127" i="8" s="1"/>
  <c r="B2151" i="8" s="1"/>
  <c r="B2175" i="8" s="1"/>
  <c r="B2199" i="8" s="1"/>
  <c r="B2223" i="8" s="1"/>
  <c r="B2247" i="8" s="1"/>
  <c r="B2271" i="8" s="1"/>
  <c r="B2295" i="8" s="1"/>
  <c r="B2319" i="8" s="1"/>
  <c r="B2343" i="8" s="1"/>
  <c r="B2367" i="8" s="1"/>
  <c r="B2391" i="8" s="1"/>
  <c r="B2415" i="8" s="1"/>
  <c r="B2439" i="8" s="1"/>
  <c r="B2463" i="8" s="1"/>
  <c r="B2487" i="8" s="1"/>
  <c r="B2511" i="8" s="1"/>
  <c r="B2535" i="8" s="1"/>
  <c r="B2559" i="8" s="1"/>
  <c r="B2583" i="8" s="1"/>
  <c r="B2607" i="8" s="1"/>
  <c r="B2631" i="8" s="1"/>
  <c r="B2655" i="8" s="1"/>
  <c r="B2679" i="8" s="1"/>
  <c r="B2703" i="8" s="1"/>
  <c r="B2727" i="8" s="1"/>
  <c r="B2751" i="8" s="1"/>
  <c r="B2775" i="8" s="1"/>
  <c r="B2799" i="8" s="1"/>
  <c r="B2823" i="8" s="1"/>
  <c r="B2847" i="8" s="1"/>
  <c r="B2871" i="8" s="1"/>
  <c r="B2895" i="8" s="1"/>
  <c r="B2919" i="8" s="1"/>
  <c r="B2943" i="8" s="1"/>
  <c r="B2967" i="8" s="1"/>
  <c r="B2991" i="8" s="1"/>
  <c r="B3015" i="8" s="1"/>
  <c r="B904" i="8"/>
  <c r="B928" i="8" s="1"/>
  <c r="B952" i="8" s="1"/>
  <c r="B976" i="8" s="1"/>
  <c r="B1000" i="8" s="1"/>
  <c r="B1024" i="8" s="1"/>
  <c r="B1048" i="8" s="1"/>
  <c r="B1072" i="8" s="1"/>
  <c r="B1096" i="8" s="1"/>
  <c r="B1120" i="8" s="1"/>
  <c r="B1144" i="8" s="1"/>
  <c r="B1168" i="8" s="1"/>
  <c r="B1192" i="8" s="1"/>
  <c r="B1216" i="8" s="1"/>
  <c r="B1240" i="8" s="1"/>
  <c r="B1264" i="8" s="1"/>
  <c r="B1288" i="8" s="1"/>
  <c r="B1312" i="8" s="1"/>
  <c r="B1336" i="8" s="1"/>
  <c r="B1360" i="8" s="1"/>
  <c r="B1384" i="8" s="1"/>
  <c r="B1408" i="8" s="1"/>
  <c r="B1432" i="8" s="1"/>
  <c r="B1456" i="8" s="1"/>
  <c r="B1480" i="8" s="1"/>
  <c r="B1504" i="8" s="1"/>
  <c r="B1528" i="8" s="1"/>
  <c r="B1552" i="8" s="1"/>
  <c r="B1576" i="8" s="1"/>
  <c r="B1600" i="8" s="1"/>
  <c r="B1624" i="8" s="1"/>
  <c r="B1648" i="8" s="1"/>
  <c r="B1672" i="8" s="1"/>
  <c r="B1696" i="8" s="1"/>
  <c r="B1720" i="8" s="1"/>
  <c r="B1744" i="8" s="1"/>
  <c r="B1768" i="8" s="1"/>
  <c r="B1792" i="8" s="1"/>
  <c r="B1816" i="8" s="1"/>
  <c r="B1840" i="8" s="1"/>
  <c r="B1864" i="8" s="1"/>
  <c r="B1888" i="8" s="1"/>
  <c r="B1912" i="8" s="1"/>
  <c r="B1936" i="8" s="1"/>
  <c r="B1960" i="8" s="1"/>
  <c r="B1984" i="8" s="1"/>
  <c r="B2008" i="8" s="1"/>
  <c r="B2032" i="8" s="1"/>
  <c r="B2056" i="8" s="1"/>
  <c r="B2080" i="8" s="1"/>
  <c r="B2104" i="8" s="1"/>
  <c r="B2128" i="8" s="1"/>
  <c r="B2152" i="8" s="1"/>
  <c r="B2176" i="8" s="1"/>
  <c r="B2200" i="8" s="1"/>
  <c r="B2224" i="8" s="1"/>
  <c r="B2248" i="8" s="1"/>
  <c r="B2272" i="8" s="1"/>
  <c r="B2296" i="8" s="1"/>
  <c r="B2320" i="8" s="1"/>
  <c r="B2344" i="8" s="1"/>
  <c r="B2368" i="8" s="1"/>
  <c r="B2392" i="8" s="1"/>
  <c r="B2416" i="8" s="1"/>
  <c r="B2440" i="8" s="1"/>
  <c r="B2464" i="8" s="1"/>
  <c r="B2488" i="8" s="1"/>
  <c r="B2512" i="8" s="1"/>
  <c r="B2536" i="8" s="1"/>
  <c r="B2560" i="8" s="1"/>
  <c r="B2584" i="8" s="1"/>
  <c r="B2608" i="8" s="1"/>
  <c r="B2632" i="8" s="1"/>
  <c r="B2656" i="8" s="1"/>
  <c r="B2680" i="8" s="1"/>
  <c r="B2704" i="8" s="1"/>
  <c r="B2728" i="8" s="1"/>
  <c r="B2752" i="8" s="1"/>
  <c r="B2776" i="8" s="1"/>
  <c r="B2800" i="8" s="1"/>
  <c r="B2824" i="8" s="1"/>
  <c r="B2848" i="8" s="1"/>
  <c r="B2872" i="8" s="1"/>
  <c r="B2896" i="8" s="1"/>
  <c r="B2920" i="8" s="1"/>
  <c r="B2944" i="8" s="1"/>
  <c r="B2968" i="8" s="1"/>
  <c r="B2992" i="8" s="1"/>
  <c r="B3016" i="8" s="1"/>
  <c r="B905" i="8"/>
  <c r="B929" i="8" s="1"/>
  <c r="B953" i="8" s="1"/>
  <c r="B977" i="8" s="1"/>
  <c r="B1001" i="8" s="1"/>
  <c r="B1025" i="8" s="1"/>
  <c r="B1049" i="8" s="1"/>
  <c r="B1073" i="8" s="1"/>
  <c r="B1097" i="8" s="1"/>
  <c r="B1121" i="8" s="1"/>
  <c r="B1145" i="8" s="1"/>
  <c r="B1169" i="8" s="1"/>
  <c r="B1193" i="8" s="1"/>
  <c r="B1217" i="8" s="1"/>
  <c r="B1241" i="8" s="1"/>
  <c r="B1265" i="8" s="1"/>
  <c r="B1289" i="8" s="1"/>
  <c r="B1313" i="8" s="1"/>
  <c r="B1337" i="8" s="1"/>
  <c r="B1361" i="8" s="1"/>
  <c r="B1385" i="8" s="1"/>
  <c r="B1409" i="8" s="1"/>
  <c r="B1433" i="8" s="1"/>
  <c r="B1457" i="8" s="1"/>
  <c r="B1481" i="8" s="1"/>
  <c r="B1505" i="8" s="1"/>
  <c r="B1529" i="8" s="1"/>
  <c r="B1553" i="8" s="1"/>
  <c r="B1577" i="8" s="1"/>
  <c r="B1601" i="8" s="1"/>
  <c r="B1625" i="8" s="1"/>
  <c r="B1649" i="8" s="1"/>
  <c r="B1673" i="8" s="1"/>
  <c r="B1697" i="8" s="1"/>
  <c r="B1721" i="8" s="1"/>
  <c r="B1745" i="8" s="1"/>
  <c r="B1769" i="8" s="1"/>
  <c r="B1793" i="8" s="1"/>
  <c r="B1817" i="8" s="1"/>
  <c r="B1841" i="8" s="1"/>
  <c r="B1865" i="8" s="1"/>
  <c r="B1889" i="8" s="1"/>
  <c r="B1913" i="8" s="1"/>
  <c r="B1937" i="8" s="1"/>
  <c r="B1961" i="8" s="1"/>
  <c r="B1985" i="8" s="1"/>
  <c r="B2009" i="8" s="1"/>
  <c r="B2033" i="8" s="1"/>
  <c r="B2057" i="8" s="1"/>
  <c r="B2081" i="8" s="1"/>
  <c r="B2105" i="8" s="1"/>
  <c r="B2129" i="8" s="1"/>
  <c r="B2153" i="8" s="1"/>
  <c r="B2177" i="8" s="1"/>
  <c r="B2201" i="8" s="1"/>
  <c r="B2225" i="8" s="1"/>
  <c r="B2249" i="8" s="1"/>
  <c r="B2273" i="8" s="1"/>
  <c r="B2297" i="8" s="1"/>
  <c r="B2321" i="8" s="1"/>
  <c r="B2345" i="8" s="1"/>
  <c r="B2369" i="8" s="1"/>
  <c r="B2393" i="8" s="1"/>
  <c r="B2417" i="8" s="1"/>
  <c r="B2441" i="8" s="1"/>
  <c r="B2465" i="8" s="1"/>
  <c r="B2489" i="8" s="1"/>
  <c r="B2513" i="8" s="1"/>
  <c r="B2537" i="8" s="1"/>
  <c r="B2561" i="8" s="1"/>
  <c r="B2585" i="8" s="1"/>
  <c r="B2609" i="8" s="1"/>
  <c r="B2633" i="8" s="1"/>
  <c r="B2657" i="8" s="1"/>
  <c r="B2681" i="8" s="1"/>
  <c r="B2705" i="8" s="1"/>
  <c r="B2729" i="8" s="1"/>
  <c r="B2753" i="8" s="1"/>
  <c r="B2777" i="8" s="1"/>
  <c r="B2801" i="8" s="1"/>
  <c r="B2825" i="8" s="1"/>
  <c r="B2849" i="8" s="1"/>
  <c r="B2873" i="8" s="1"/>
  <c r="B2897" i="8" s="1"/>
  <c r="B2921" i="8" s="1"/>
  <c r="B2945" i="8" s="1"/>
  <c r="B2969" i="8" s="1"/>
  <c r="B2993" i="8" s="1"/>
  <c r="B3017" i="8" s="1"/>
  <c r="B906" i="8"/>
  <c r="B930" i="8" s="1"/>
  <c r="B954" i="8" s="1"/>
  <c r="B978" i="8" s="1"/>
  <c r="B1002" i="8" s="1"/>
  <c r="B1026" i="8" s="1"/>
  <c r="B1050" i="8" s="1"/>
  <c r="B1074" i="8" s="1"/>
  <c r="B1098" i="8" s="1"/>
  <c r="B1122" i="8" s="1"/>
  <c r="B1146" i="8" s="1"/>
  <c r="B1170" i="8" s="1"/>
  <c r="B1194" i="8" s="1"/>
  <c r="B1218" i="8" s="1"/>
  <c r="B1242" i="8" s="1"/>
  <c r="B1266" i="8" s="1"/>
  <c r="B1290" i="8" s="1"/>
  <c r="B1314" i="8" s="1"/>
  <c r="B1338" i="8" s="1"/>
  <c r="B1362" i="8" s="1"/>
  <c r="B1386" i="8" s="1"/>
  <c r="B1410" i="8" s="1"/>
  <c r="B1434" i="8" s="1"/>
  <c r="B1458" i="8" s="1"/>
  <c r="B1482" i="8" s="1"/>
  <c r="B1506" i="8" s="1"/>
  <c r="B1530" i="8" s="1"/>
  <c r="B1554" i="8" s="1"/>
  <c r="B1578" i="8" s="1"/>
  <c r="B1602" i="8" s="1"/>
  <c r="B1626" i="8" s="1"/>
  <c r="B1650" i="8" s="1"/>
  <c r="B1674" i="8" s="1"/>
  <c r="B1698" i="8" s="1"/>
  <c r="B1722" i="8" s="1"/>
  <c r="B1746" i="8" s="1"/>
  <c r="B1770" i="8" s="1"/>
  <c r="B1794" i="8" s="1"/>
  <c r="B1818" i="8" s="1"/>
  <c r="B1842" i="8" s="1"/>
  <c r="B1866" i="8" s="1"/>
  <c r="B1890" i="8" s="1"/>
  <c r="B1914" i="8" s="1"/>
  <c r="B1938" i="8" s="1"/>
  <c r="B1962" i="8" s="1"/>
  <c r="B1986" i="8" s="1"/>
  <c r="B2010" i="8" s="1"/>
  <c r="B2034" i="8" s="1"/>
  <c r="B2058" i="8" s="1"/>
  <c r="B2082" i="8" s="1"/>
  <c r="B2106" i="8" s="1"/>
  <c r="B2130" i="8" s="1"/>
  <c r="B2154" i="8" s="1"/>
  <c r="B2178" i="8" s="1"/>
  <c r="B2202" i="8" s="1"/>
  <c r="B2226" i="8" s="1"/>
  <c r="B2250" i="8" s="1"/>
  <c r="B2274" i="8" s="1"/>
  <c r="B2298" i="8" s="1"/>
  <c r="B2322" i="8" s="1"/>
  <c r="B2346" i="8" s="1"/>
  <c r="B2370" i="8" s="1"/>
  <c r="B2394" i="8" s="1"/>
  <c r="B2418" i="8" s="1"/>
  <c r="B2442" i="8" s="1"/>
  <c r="B2466" i="8" s="1"/>
  <c r="B2490" i="8" s="1"/>
  <c r="B2514" i="8" s="1"/>
  <c r="B2538" i="8" s="1"/>
  <c r="B2562" i="8" s="1"/>
  <c r="B2586" i="8" s="1"/>
  <c r="B2610" i="8" s="1"/>
  <c r="B2634" i="8" s="1"/>
  <c r="B2658" i="8" s="1"/>
  <c r="B2682" i="8" s="1"/>
  <c r="B2706" i="8" s="1"/>
  <c r="B2730" i="8" s="1"/>
  <c r="B2754" i="8" s="1"/>
  <c r="B2778" i="8" s="1"/>
  <c r="B2802" i="8" s="1"/>
  <c r="B2826" i="8" s="1"/>
  <c r="B2850" i="8" s="1"/>
  <c r="B2874" i="8" s="1"/>
  <c r="B2898" i="8" s="1"/>
  <c r="B2922" i="8" s="1"/>
  <c r="B2946" i="8" s="1"/>
  <c r="B2970" i="8" s="1"/>
  <c r="B2994" i="8" s="1"/>
  <c r="B3018" i="8" s="1"/>
  <c r="B907" i="8"/>
  <c r="B931" i="8" s="1"/>
  <c r="B955" i="8" s="1"/>
  <c r="B979" i="8" s="1"/>
  <c r="B1003" i="8" s="1"/>
  <c r="B1027" i="8" s="1"/>
  <c r="B1051" i="8" s="1"/>
  <c r="B1075" i="8" s="1"/>
  <c r="B1099" i="8" s="1"/>
  <c r="B1123" i="8" s="1"/>
  <c r="B1147" i="8" s="1"/>
  <c r="B1171" i="8" s="1"/>
  <c r="B1195" i="8" s="1"/>
  <c r="B1219" i="8" s="1"/>
  <c r="B1243" i="8" s="1"/>
  <c r="B1267" i="8" s="1"/>
  <c r="B1291" i="8" s="1"/>
  <c r="B1315" i="8" s="1"/>
  <c r="B1339" i="8" s="1"/>
  <c r="B1363" i="8" s="1"/>
  <c r="B1387" i="8" s="1"/>
  <c r="B1411" i="8" s="1"/>
  <c r="B1435" i="8" s="1"/>
  <c r="B1459" i="8" s="1"/>
  <c r="B1483" i="8" s="1"/>
  <c r="B1507" i="8" s="1"/>
  <c r="B1531" i="8" s="1"/>
  <c r="B1555" i="8" s="1"/>
  <c r="B1579" i="8" s="1"/>
  <c r="B1603" i="8" s="1"/>
  <c r="B1627" i="8" s="1"/>
  <c r="B1651" i="8" s="1"/>
  <c r="B1675" i="8" s="1"/>
  <c r="B1699" i="8" s="1"/>
  <c r="B1723" i="8" s="1"/>
  <c r="B1747" i="8" s="1"/>
  <c r="B1771" i="8" s="1"/>
  <c r="B1795" i="8" s="1"/>
  <c r="B1819" i="8" s="1"/>
  <c r="B1843" i="8" s="1"/>
  <c r="B1867" i="8" s="1"/>
  <c r="B1891" i="8" s="1"/>
  <c r="B1915" i="8" s="1"/>
  <c r="B1939" i="8" s="1"/>
  <c r="B1963" i="8" s="1"/>
  <c r="B1987" i="8" s="1"/>
  <c r="B2011" i="8" s="1"/>
  <c r="B2035" i="8" s="1"/>
  <c r="B2059" i="8" s="1"/>
  <c r="B2083" i="8" s="1"/>
  <c r="B2107" i="8" s="1"/>
  <c r="B2131" i="8" s="1"/>
  <c r="B2155" i="8" s="1"/>
  <c r="B2179" i="8" s="1"/>
  <c r="B2203" i="8" s="1"/>
  <c r="B2227" i="8" s="1"/>
  <c r="B2251" i="8" s="1"/>
  <c r="B2275" i="8" s="1"/>
  <c r="B2299" i="8" s="1"/>
  <c r="B2323" i="8" s="1"/>
  <c r="B2347" i="8" s="1"/>
  <c r="B2371" i="8" s="1"/>
  <c r="B2395" i="8" s="1"/>
  <c r="B2419" i="8" s="1"/>
  <c r="B2443" i="8" s="1"/>
  <c r="B2467" i="8" s="1"/>
  <c r="B2491" i="8" s="1"/>
  <c r="B2515" i="8" s="1"/>
  <c r="B2539" i="8" s="1"/>
  <c r="B2563" i="8" s="1"/>
  <c r="B2587" i="8" s="1"/>
  <c r="B2611" i="8" s="1"/>
  <c r="B2635" i="8" s="1"/>
  <c r="B2659" i="8" s="1"/>
  <c r="B2683" i="8" s="1"/>
  <c r="B2707" i="8" s="1"/>
  <c r="B2731" i="8" s="1"/>
  <c r="B2755" i="8" s="1"/>
  <c r="B2779" i="8" s="1"/>
  <c r="B2803" i="8" s="1"/>
  <c r="B2827" i="8" s="1"/>
  <c r="B2851" i="8" s="1"/>
  <c r="B2875" i="8" s="1"/>
  <c r="B2899" i="8" s="1"/>
  <c r="B2923" i="8" s="1"/>
  <c r="B2947" i="8" s="1"/>
  <c r="B2971" i="8" s="1"/>
  <c r="B2995" i="8" s="1"/>
  <c r="B3019" i="8" s="1"/>
  <c r="B908" i="8"/>
  <c r="B932" i="8" s="1"/>
  <c r="B956" i="8" s="1"/>
  <c r="B980" i="8" s="1"/>
  <c r="B1004" i="8" s="1"/>
  <c r="B1028" i="8" s="1"/>
  <c r="B1052" i="8" s="1"/>
  <c r="B1076" i="8" s="1"/>
  <c r="B1100" i="8" s="1"/>
  <c r="B1124" i="8" s="1"/>
  <c r="B1148" i="8" s="1"/>
  <c r="B1172" i="8" s="1"/>
  <c r="B1196" i="8" s="1"/>
  <c r="B1220" i="8" s="1"/>
  <c r="B1244" i="8" s="1"/>
  <c r="B1268" i="8" s="1"/>
  <c r="B1292" i="8" s="1"/>
  <c r="B1316" i="8" s="1"/>
  <c r="B1340" i="8" s="1"/>
  <c r="B1364" i="8" s="1"/>
  <c r="B1388" i="8" s="1"/>
  <c r="B1412" i="8" s="1"/>
  <c r="B1436" i="8" s="1"/>
  <c r="B1460" i="8" s="1"/>
  <c r="B1484" i="8" s="1"/>
  <c r="B1508" i="8" s="1"/>
  <c r="B1532" i="8" s="1"/>
  <c r="B1556" i="8" s="1"/>
  <c r="B1580" i="8" s="1"/>
  <c r="B1604" i="8" s="1"/>
  <c r="B1628" i="8" s="1"/>
  <c r="B1652" i="8" s="1"/>
  <c r="B1676" i="8" s="1"/>
  <c r="B1700" i="8" s="1"/>
  <c r="B1724" i="8" s="1"/>
  <c r="B1748" i="8" s="1"/>
  <c r="B1772" i="8" s="1"/>
  <c r="B1796" i="8" s="1"/>
  <c r="B1820" i="8" s="1"/>
  <c r="B1844" i="8" s="1"/>
  <c r="B1868" i="8" s="1"/>
  <c r="B1892" i="8" s="1"/>
  <c r="B1916" i="8" s="1"/>
  <c r="B1940" i="8" s="1"/>
  <c r="B1964" i="8" s="1"/>
  <c r="B1988" i="8" s="1"/>
  <c r="B2012" i="8" s="1"/>
  <c r="B2036" i="8" s="1"/>
  <c r="B2060" i="8" s="1"/>
  <c r="B2084" i="8" s="1"/>
  <c r="B2108" i="8" s="1"/>
  <c r="B2132" i="8" s="1"/>
  <c r="B2156" i="8" s="1"/>
  <c r="B2180" i="8" s="1"/>
  <c r="B2204" i="8" s="1"/>
  <c r="B2228" i="8" s="1"/>
  <c r="B2252" i="8" s="1"/>
  <c r="B2276" i="8" s="1"/>
  <c r="B2300" i="8" s="1"/>
  <c r="B2324" i="8" s="1"/>
  <c r="B2348" i="8" s="1"/>
  <c r="B2372" i="8" s="1"/>
  <c r="B2396" i="8" s="1"/>
  <c r="B2420" i="8" s="1"/>
  <c r="B2444" i="8" s="1"/>
  <c r="B2468" i="8" s="1"/>
  <c r="B2492" i="8" s="1"/>
  <c r="B2516" i="8" s="1"/>
  <c r="B2540" i="8" s="1"/>
  <c r="B2564" i="8" s="1"/>
  <c r="B2588" i="8" s="1"/>
  <c r="B2612" i="8" s="1"/>
  <c r="B2636" i="8" s="1"/>
  <c r="B2660" i="8" s="1"/>
  <c r="B2684" i="8" s="1"/>
  <c r="B2708" i="8" s="1"/>
  <c r="B2732" i="8" s="1"/>
  <c r="B2756" i="8" s="1"/>
  <c r="B2780" i="8" s="1"/>
  <c r="B2804" i="8" s="1"/>
  <c r="B2828" i="8" s="1"/>
  <c r="B2852" i="8" s="1"/>
  <c r="B2876" i="8" s="1"/>
  <c r="B2900" i="8" s="1"/>
  <c r="B2924" i="8" s="1"/>
  <c r="B2948" i="8" s="1"/>
  <c r="B2972" i="8" s="1"/>
  <c r="B2996" i="8" s="1"/>
  <c r="B3020" i="8" s="1"/>
  <c r="B909" i="8"/>
  <c r="B933" i="8" s="1"/>
  <c r="B957" i="8" s="1"/>
  <c r="B981" i="8" s="1"/>
  <c r="B1005" i="8" s="1"/>
  <c r="B1029" i="8" s="1"/>
  <c r="B1053" i="8" s="1"/>
  <c r="B1077" i="8" s="1"/>
  <c r="B1101" i="8" s="1"/>
  <c r="B1125" i="8" s="1"/>
  <c r="B1149" i="8" s="1"/>
  <c r="B1173" i="8" s="1"/>
  <c r="B1197" i="8" s="1"/>
  <c r="B1221" i="8" s="1"/>
  <c r="B1245" i="8" s="1"/>
  <c r="B1269" i="8" s="1"/>
  <c r="B1293" i="8" s="1"/>
  <c r="B1317" i="8" s="1"/>
  <c r="B1341" i="8" s="1"/>
  <c r="B1365" i="8" s="1"/>
  <c r="B1389" i="8" s="1"/>
  <c r="B1413" i="8" s="1"/>
  <c r="B1437" i="8" s="1"/>
  <c r="B1461" i="8" s="1"/>
  <c r="B1485" i="8" s="1"/>
  <c r="B1509" i="8" s="1"/>
  <c r="B1533" i="8" s="1"/>
  <c r="B1557" i="8" s="1"/>
  <c r="B1581" i="8" s="1"/>
  <c r="B1605" i="8" s="1"/>
  <c r="B1629" i="8" s="1"/>
  <c r="B1653" i="8" s="1"/>
  <c r="B1677" i="8" s="1"/>
  <c r="B1701" i="8" s="1"/>
  <c r="B1725" i="8" s="1"/>
  <c r="B1749" i="8" s="1"/>
  <c r="B1773" i="8" s="1"/>
  <c r="B1797" i="8" s="1"/>
  <c r="B1821" i="8" s="1"/>
  <c r="B1845" i="8" s="1"/>
  <c r="B1869" i="8" s="1"/>
  <c r="B1893" i="8" s="1"/>
  <c r="B1917" i="8" s="1"/>
  <c r="B1941" i="8" s="1"/>
  <c r="B1965" i="8" s="1"/>
  <c r="B1989" i="8" s="1"/>
  <c r="B2013" i="8" s="1"/>
  <c r="B2037" i="8" s="1"/>
  <c r="B2061" i="8" s="1"/>
  <c r="B2085" i="8" s="1"/>
  <c r="B2109" i="8" s="1"/>
  <c r="B2133" i="8" s="1"/>
  <c r="B2157" i="8" s="1"/>
  <c r="B2181" i="8" s="1"/>
  <c r="B2205" i="8" s="1"/>
  <c r="B2229" i="8" s="1"/>
  <c r="B2253" i="8" s="1"/>
  <c r="B2277" i="8" s="1"/>
  <c r="B2301" i="8" s="1"/>
  <c r="B2325" i="8" s="1"/>
  <c r="B2349" i="8" s="1"/>
  <c r="B2373" i="8" s="1"/>
  <c r="B2397" i="8" s="1"/>
  <c r="B2421" i="8" s="1"/>
  <c r="B2445" i="8" s="1"/>
  <c r="B2469" i="8" s="1"/>
  <c r="B2493" i="8" s="1"/>
  <c r="B2517" i="8" s="1"/>
  <c r="B2541" i="8" s="1"/>
  <c r="B2565" i="8" s="1"/>
  <c r="B2589" i="8" s="1"/>
  <c r="B2613" i="8" s="1"/>
  <c r="B2637" i="8" s="1"/>
  <c r="B2661" i="8" s="1"/>
  <c r="B2685" i="8" s="1"/>
  <c r="B2709" i="8" s="1"/>
  <c r="B2733" i="8" s="1"/>
  <c r="B2757" i="8" s="1"/>
  <c r="B2781" i="8" s="1"/>
  <c r="B2805" i="8" s="1"/>
  <c r="B2829" i="8" s="1"/>
  <c r="B2853" i="8" s="1"/>
  <c r="B2877" i="8" s="1"/>
  <c r="B2901" i="8" s="1"/>
  <c r="B2925" i="8" s="1"/>
  <c r="B2949" i="8" s="1"/>
  <c r="B2973" i="8" s="1"/>
  <c r="B2997" i="8" s="1"/>
  <c r="B3021" i="8" s="1"/>
  <c r="B910" i="8"/>
  <c r="B934" i="8" s="1"/>
  <c r="B958" i="8" s="1"/>
  <c r="B982" i="8" s="1"/>
  <c r="B1006" i="8" s="1"/>
  <c r="B1030" i="8" s="1"/>
  <c r="B1054" i="8" s="1"/>
  <c r="B1078" i="8" s="1"/>
  <c r="B1102" i="8" s="1"/>
  <c r="B1126" i="8" s="1"/>
  <c r="B1150" i="8" s="1"/>
  <c r="B1174" i="8" s="1"/>
  <c r="B1198" i="8" s="1"/>
  <c r="B1222" i="8" s="1"/>
  <c r="B1246" i="8" s="1"/>
  <c r="B1270" i="8" s="1"/>
  <c r="B1294" i="8" s="1"/>
  <c r="B1318" i="8" s="1"/>
  <c r="B1342" i="8" s="1"/>
  <c r="B1366" i="8" s="1"/>
  <c r="B1390" i="8" s="1"/>
  <c r="B1414" i="8" s="1"/>
  <c r="B1438" i="8" s="1"/>
  <c r="B1462" i="8" s="1"/>
  <c r="B1486" i="8" s="1"/>
  <c r="B1510" i="8" s="1"/>
  <c r="B1534" i="8" s="1"/>
  <c r="B1558" i="8" s="1"/>
  <c r="B1582" i="8" s="1"/>
  <c r="B1606" i="8" s="1"/>
  <c r="B1630" i="8" s="1"/>
  <c r="B1654" i="8" s="1"/>
  <c r="B1678" i="8" s="1"/>
  <c r="B1702" i="8" s="1"/>
  <c r="B1726" i="8" s="1"/>
  <c r="B1750" i="8" s="1"/>
  <c r="B1774" i="8" s="1"/>
  <c r="B1798" i="8" s="1"/>
  <c r="B1822" i="8" s="1"/>
  <c r="B1846" i="8" s="1"/>
  <c r="B1870" i="8" s="1"/>
  <c r="B1894" i="8" s="1"/>
  <c r="B1918" i="8" s="1"/>
  <c r="B1942" i="8" s="1"/>
  <c r="B1966" i="8" s="1"/>
  <c r="B1990" i="8" s="1"/>
  <c r="B2014" i="8" s="1"/>
  <c r="B2038" i="8" s="1"/>
  <c r="B2062" i="8" s="1"/>
  <c r="B2086" i="8" s="1"/>
  <c r="B2110" i="8" s="1"/>
  <c r="B2134" i="8" s="1"/>
  <c r="B2158" i="8" s="1"/>
  <c r="B2182" i="8" s="1"/>
  <c r="B2206" i="8" s="1"/>
  <c r="B2230" i="8" s="1"/>
  <c r="B2254" i="8" s="1"/>
  <c r="B2278" i="8" s="1"/>
  <c r="B2302" i="8" s="1"/>
  <c r="B2326" i="8" s="1"/>
  <c r="B2350" i="8" s="1"/>
  <c r="B2374" i="8" s="1"/>
  <c r="B2398" i="8" s="1"/>
  <c r="B2422" i="8" s="1"/>
  <c r="B2446" i="8" s="1"/>
  <c r="B2470" i="8" s="1"/>
  <c r="B2494" i="8" s="1"/>
  <c r="B2518" i="8" s="1"/>
  <c r="B2542" i="8" s="1"/>
  <c r="B2566" i="8" s="1"/>
  <c r="B2590" i="8" s="1"/>
  <c r="B2614" i="8" s="1"/>
  <c r="B2638" i="8" s="1"/>
  <c r="B2662" i="8" s="1"/>
  <c r="B2686" i="8" s="1"/>
  <c r="B2710" i="8" s="1"/>
  <c r="B2734" i="8" s="1"/>
  <c r="B2758" i="8" s="1"/>
  <c r="B2782" i="8" s="1"/>
  <c r="B2806" i="8" s="1"/>
  <c r="B2830" i="8" s="1"/>
  <c r="B2854" i="8" s="1"/>
  <c r="B2878" i="8" s="1"/>
  <c r="B2902" i="8" s="1"/>
  <c r="B2926" i="8" s="1"/>
  <c r="B2950" i="8" s="1"/>
  <c r="B2974" i="8" s="1"/>
  <c r="B2998" i="8" s="1"/>
  <c r="B3022" i="8" s="1"/>
  <c r="B911" i="8"/>
  <c r="B935" i="8" s="1"/>
  <c r="B959" i="8" s="1"/>
  <c r="B983" i="8" s="1"/>
  <c r="B1007" i="8" s="1"/>
  <c r="B1031" i="8" s="1"/>
  <c r="B1055" i="8" s="1"/>
  <c r="B1079" i="8" s="1"/>
  <c r="B1103" i="8" s="1"/>
  <c r="B1127" i="8" s="1"/>
  <c r="B1151" i="8" s="1"/>
  <c r="B1175" i="8" s="1"/>
  <c r="B1199" i="8" s="1"/>
  <c r="B1223" i="8" s="1"/>
  <c r="B1247" i="8" s="1"/>
  <c r="B1271" i="8" s="1"/>
  <c r="B1295" i="8" s="1"/>
  <c r="B1319" i="8" s="1"/>
  <c r="B1343" i="8" s="1"/>
  <c r="B1367" i="8" s="1"/>
  <c r="B1391" i="8" s="1"/>
  <c r="B1415" i="8" s="1"/>
  <c r="B1439" i="8" s="1"/>
  <c r="B1463" i="8" s="1"/>
  <c r="B1487" i="8" s="1"/>
  <c r="B1511" i="8" s="1"/>
  <c r="B1535" i="8" s="1"/>
  <c r="B1559" i="8" s="1"/>
  <c r="B1583" i="8" s="1"/>
  <c r="B1607" i="8" s="1"/>
  <c r="B1631" i="8" s="1"/>
  <c r="B1655" i="8" s="1"/>
  <c r="B1679" i="8" s="1"/>
  <c r="B1703" i="8" s="1"/>
  <c r="B1727" i="8" s="1"/>
  <c r="B1751" i="8" s="1"/>
  <c r="B1775" i="8" s="1"/>
  <c r="B1799" i="8" s="1"/>
  <c r="B1823" i="8" s="1"/>
  <c r="B1847" i="8" s="1"/>
  <c r="B1871" i="8" s="1"/>
  <c r="B1895" i="8" s="1"/>
  <c r="B1919" i="8" s="1"/>
  <c r="B1943" i="8" s="1"/>
  <c r="B1967" i="8" s="1"/>
  <c r="B1991" i="8" s="1"/>
  <c r="B2015" i="8" s="1"/>
  <c r="B2039" i="8" s="1"/>
  <c r="B2063" i="8" s="1"/>
  <c r="B2087" i="8" s="1"/>
  <c r="B2111" i="8" s="1"/>
  <c r="B2135" i="8" s="1"/>
  <c r="B2159" i="8" s="1"/>
  <c r="B2183" i="8" s="1"/>
  <c r="B2207" i="8" s="1"/>
  <c r="B2231" i="8" s="1"/>
  <c r="B2255" i="8" s="1"/>
  <c r="B2279" i="8" s="1"/>
  <c r="B2303" i="8" s="1"/>
  <c r="B2327" i="8" s="1"/>
  <c r="B2351" i="8" s="1"/>
  <c r="B2375" i="8" s="1"/>
  <c r="B2399" i="8" s="1"/>
  <c r="B2423" i="8" s="1"/>
  <c r="B2447" i="8" s="1"/>
  <c r="B2471" i="8" s="1"/>
  <c r="B2495" i="8" s="1"/>
  <c r="B2519" i="8" s="1"/>
  <c r="B2543" i="8" s="1"/>
  <c r="B2567" i="8" s="1"/>
  <c r="B2591" i="8" s="1"/>
  <c r="B2615" i="8" s="1"/>
  <c r="B2639" i="8" s="1"/>
  <c r="B2663" i="8" s="1"/>
  <c r="B2687" i="8" s="1"/>
  <c r="B2711" i="8" s="1"/>
  <c r="B2735" i="8" s="1"/>
  <c r="B2759" i="8" s="1"/>
  <c r="B2783" i="8" s="1"/>
  <c r="B2807" i="8" s="1"/>
  <c r="B2831" i="8" s="1"/>
  <c r="B2855" i="8" s="1"/>
  <c r="B2879" i="8" s="1"/>
  <c r="B2903" i="8" s="1"/>
  <c r="B2927" i="8" s="1"/>
  <c r="B2951" i="8" s="1"/>
  <c r="B2975" i="8" s="1"/>
  <c r="B2999" i="8" s="1"/>
  <c r="B3023" i="8" s="1"/>
  <c r="B912" i="8"/>
  <c r="B936" i="8" s="1"/>
  <c r="B960" i="8" s="1"/>
  <c r="B984" i="8" s="1"/>
  <c r="B1008" i="8" s="1"/>
  <c r="B1032" i="8" s="1"/>
  <c r="B1056" i="8" s="1"/>
  <c r="B1080" i="8" s="1"/>
  <c r="B1104" i="8" s="1"/>
  <c r="B1128" i="8" s="1"/>
  <c r="B1152" i="8" s="1"/>
  <c r="B1176" i="8" s="1"/>
  <c r="B1200" i="8" s="1"/>
  <c r="B1224" i="8" s="1"/>
  <c r="B1248" i="8" s="1"/>
  <c r="B1272" i="8" s="1"/>
  <c r="B1296" i="8" s="1"/>
  <c r="B1320" i="8" s="1"/>
  <c r="B1344" i="8" s="1"/>
  <c r="B1368" i="8" s="1"/>
  <c r="B1392" i="8" s="1"/>
  <c r="B1416" i="8" s="1"/>
  <c r="B1440" i="8" s="1"/>
  <c r="B1464" i="8" s="1"/>
  <c r="B1488" i="8" s="1"/>
  <c r="B1512" i="8" s="1"/>
  <c r="B1536" i="8" s="1"/>
  <c r="B1560" i="8" s="1"/>
  <c r="B1584" i="8" s="1"/>
  <c r="B1608" i="8" s="1"/>
  <c r="B1632" i="8" s="1"/>
  <c r="B1656" i="8" s="1"/>
  <c r="B1680" i="8" s="1"/>
  <c r="B1704" i="8" s="1"/>
  <c r="B1728" i="8" s="1"/>
  <c r="B1752" i="8" s="1"/>
  <c r="B1776" i="8" s="1"/>
  <c r="B1800" i="8" s="1"/>
  <c r="B1824" i="8" s="1"/>
  <c r="B1848" i="8" s="1"/>
  <c r="B1872" i="8" s="1"/>
  <c r="B1896" i="8" s="1"/>
  <c r="B1920" i="8" s="1"/>
  <c r="B1944" i="8" s="1"/>
  <c r="B1968" i="8" s="1"/>
  <c r="B1992" i="8" s="1"/>
  <c r="B2016" i="8" s="1"/>
  <c r="B2040" i="8" s="1"/>
  <c r="B2064" i="8" s="1"/>
  <c r="B2088" i="8" s="1"/>
  <c r="B2112" i="8" s="1"/>
  <c r="B2136" i="8" s="1"/>
  <c r="B2160" i="8" s="1"/>
  <c r="B2184" i="8" s="1"/>
  <c r="B2208" i="8" s="1"/>
  <c r="B2232" i="8" s="1"/>
  <c r="B2256" i="8" s="1"/>
  <c r="B2280" i="8" s="1"/>
  <c r="B2304" i="8" s="1"/>
  <c r="B2328" i="8" s="1"/>
  <c r="B2352" i="8" s="1"/>
  <c r="B2376" i="8" s="1"/>
  <c r="B2400" i="8" s="1"/>
  <c r="B2424" i="8" s="1"/>
  <c r="B2448" i="8" s="1"/>
  <c r="B2472" i="8" s="1"/>
  <c r="B2496" i="8" s="1"/>
  <c r="B2520" i="8" s="1"/>
  <c r="B2544" i="8" s="1"/>
  <c r="B2568" i="8" s="1"/>
  <c r="B2592" i="8" s="1"/>
  <c r="B2616" i="8" s="1"/>
  <c r="B2640" i="8" s="1"/>
  <c r="B2664" i="8" s="1"/>
  <c r="B2688" i="8" s="1"/>
  <c r="B2712" i="8" s="1"/>
  <c r="B2736" i="8" s="1"/>
  <c r="B2760" i="8" s="1"/>
  <c r="B2784" i="8" s="1"/>
  <c r="B2808" i="8" s="1"/>
  <c r="B2832" i="8" s="1"/>
  <c r="B2856" i="8" s="1"/>
  <c r="B2880" i="8" s="1"/>
  <c r="B2904" i="8" s="1"/>
  <c r="B2928" i="8" s="1"/>
  <c r="B2952" i="8" s="1"/>
  <c r="B2976" i="8" s="1"/>
  <c r="B3000" i="8" s="1"/>
  <c r="B3024" i="8" s="1"/>
  <c r="B913" i="8"/>
  <c r="B937" i="8" s="1"/>
  <c r="B961" i="8" s="1"/>
  <c r="B985" i="8" s="1"/>
  <c r="B1009" i="8" s="1"/>
  <c r="B1033" i="8" s="1"/>
  <c r="B1057" i="8" s="1"/>
  <c r="B1081" i="8" s="1"/>
  <c r="B1105" i="8" s="1"/>
  <c r="B1129" i="8" s="1"/>
  <c r="B1153" i="8" s="1"/>
  <c r="B1177" i="8" s="1"/>
  <c r="B1201" i="8" s="1"/>
  <c r="B1225" i="8" s="1"/>
  <c r="B1249" i="8" s="1"/>
  <c r="B1273" i="8" s="1"/>
  <c r="B1297" i="8" s="1"/>
  <c r="B1321" i="8" s="1"/>
  <c r="B1345" i="8" s="1"/>
  <c r="B1369" i="8" s="1"/>
  <c r="B1393" i="8" s="1"/>
  <c r="B1417" i="8" s="1"/>
  <c r="B1441" i="8" s="1"/>
  <c r="B1465" i="8" s="1"/>
  <c r="B1489" i="8" s="1"/>
  <c r="B1513" i="8" s="1"/>
  <c r="B1537" i="8" s="1"/>
  <c r="B1561" i="8" s="1"/>
  <c r="B1585" i="8" s="1"/>
  <c r="B1609" i="8" s="1"/>
  <c r="B1633" i="8" s="1"/>
  <c r="B1657" i="8" s="1"/>
  <c r="B1681" i="8" s="1"/>
  <c r="B1705" i="8" s="1"/>
  <c r="B1729" i="8" s="1"/>
  <c r="B1753" i="8" s="1"/>
  <c r="B1777" i="8" s="1"/>
  <c r="B1801" i="8" s="1"/>
  <c r="B1825" i="8" s="1"/>
  <c r="B1849" i="8" s="1"/>
  <c r="B1873" i="8" s="1"/>
  <c r="B1897" i="8" s="1"/>
  <c r="B1921" i="8" s="1"/>
  <c r="B1945" i="8" s="1"/>
  <c r="B1969" i="8" s="1"/>
  <c r="B1993" i="8" s="1"/>
  <c r="B2017" i="8" s="1"/>
  <c r="B2041" i="8" s="1"/>
  <c r="B2065" i="8" s="1"/>
  <c r="B2089" i="8" s="1"/>
  <c r="B2113" i="8" s="1"/>
  <c r="B2137" i="8" s="1"/>
  <c r="B2161" i="8" s="1"/>
  <c r="B2185" i="8" s="1"/>
  <c r="B2209" i="8" s="1"/>
  <c r="B2233" i="8" s="1"/>
  <c r="B2257" i="8" s="1"/>
  <c r="B2281" i="8" s="1"/>
  <c r="B2305" i="8" s="1"/>
  <c r="B2329" i="8" s="1"/>
  <c r="B2353" i="8" s="1"/>
  <c r="B2377" i="8" s="1"/>
  <c r="B2401" i="8" s="1"/>
  <c r="B2425" i="8" s="1"/>
  <c r="B2449" i="8" s="1"/>
  <c r="B2473" i="8" s="1"/>
  <c r="B2497" i="8" s="1"/>
  <c r="B2521" i="8" s="1"/>
  <c r="B2545" i="8" s="1"/>
  <c r="B2569" i="8" s="1"/>
  <c r="B2593" i="8" s="1"/>
  <c r="B2617" i="8" s="1"/>
  <c r="B2641" i="8" s="1"/>
  <c r="B2665" i="8" s="1"/>
  <c r="B2689" i="8" s="1"/>
  <c r="B2713" i="8" s="1"/>
  <c r="B2737" i="8" s="1"/>
  <c r="B2761" i="8" s="1"/>
  <c r="B2785" i="8" s="1"/>
  <c r="B2809" i="8" s="1"/>
  <c r="B2833" i="8" s="1"/>
  <c r="B2857" i="8" s="1"/>
  <c r="B2881" i="8" s="1"/>
  <c r="B2905" i="8" s="1"/>
  <c r="B2929" i="8" s="1"/>
  <c r="B2953" i="8" s="1"/>
  <c r="B2977" i="8" s="1"/>
  <c r="B3001" i="8" s="1"/>
  <c r="B3025" i="8" s="1"/>
  <c r="B914" i="8"/>
  <c r="B938" i="8" s="1"/>
  <c r="B962" i="8" s="1"/>
  <c r="B986" i="8" s="1"/>
  <c r="B1010" i="8" s="1"/>
  <c r="B1034" i="8" s="1"/>
  <c r="B1058" i="8" s="1"/>
  <c r="B1082" i="8" s="1"/>
  <c r="B1106" i="8" s="1"/>
  <c r="B1130" i="8" s="1"/>
  <c r="B1154" i="8" s="1"/>
  <c r="B1178" i="8" s="1"/>
  <c r="B1202" i="8" s="1"/>
  <c r="B1226" i="8" s="1"/>
  <c r="B1250" i="8" s="1"/>
  <c r="B1274" i="8" s="1"/>
  <c r="B1298" i="8" s="1"/>
  <c r="B1322" i="8" s="1"/>
  <c r="B1346" i="8" s="1"/>
  <c r="B1370" i="8" s="1"/>
  <c r="B1394" i="8" s="1"/>
  <c r="B1418" i="8" s="1"/>
  <c r="B1442" i="8" s="1"/>
  <c r="B1466" i="8" s="1"/>
  <c r="B1490" i="8" s="1"/>
  <c r="B1514" i="8" s="1"/>
  <c r="B1538" i="8" s="1"/>
  <c r="B1562" i="8" s="1"/>
  <c r="B1586" i="8" s="1"/>
  <c r="B1610" i="8" s="1"/>
  <c r="B1634" i="8" s="1"/>
  <c r="B1658" i="8" s="1"/>
  <c r="B1682" i="8" s="1"/>
  <c r="B1706" i="8" s="1"/>
  <c r="B1730" i="8" s="1"/>
  <c r="B1754" i="8" s="1"/>
  <c r="B1778" i="8" s="1"/>
  <c r="B1802" i="8" s="1"/>
  <c r="B1826" i="8" s="1"/>
  <c r="B1850" i="8" s="1"/>
  <c r="B1874" i="8" s="1"/>
  <c r="B1898" i="8" s="1"/>
  <c r="B1922" i="8" s="1"/>
  <c r="B1946" i="8" s="1"/>
  <c r="B1970" i="8" s="1"/>
  <c r="B1994" i="8" s="1"/>
  <c r="B2018" i="8" s="1"/>
  <c r="B2042" i="8" s="1"/>
  <c r="B2066" i="8" s="1"/>
  <c r="B2090" i="8" s="1"/>
  <c r="B2114" i="8" s="1"/>
  <c r="B2138" i="8" s="1"/>
  <c r="B2162" i="8" s="1"/>
  <c r="B2186" i="8" s="1"/>
  <c r="B2210" i="8" s="1"/>
  <c r="B2234" i="8" s="1"/>
  <c r="B2258" i="8" s="1"/>
  <c r="B2282" i="8" s="1"/>
  <c r="B2306" i="8" s="1"/>
  <c r="B2330" i="8" s="1"/>
  <c r="B2354" i="8" s="1"/>
  <c r="B2378" i="8" s="1"/>
  <c r="B2402" i="8" s="1"/>
  <c r="B2426" i="8" s="1"/>
  <c r="B2450" i="8" s="1"/>
  <c r="B2474" i="8" s="1"/>
  <c r="B2498" i="8" s="1"/>
  <c r="B2522" i="8" s="1"/>
  <c r="B2546" i="8" s="1"/>
  <c r="B2570" i="8" s="1"/>
  <c r="B2594" i="8" s="1"/>
  <c r="B2618" i="8" s="1"/>
  <c r="B2642" i="8" s="1"/>
  <c r="B2666" i="8" s="1"/>
  <c r="B2690" i="8" s="1"/>
  <c r="B2714" i="8" s="1"/>
  <c r="B2738" i="8" s="1"/>
  <c r="B2762" i="8" s="1"/>
  <c r="B2786" i="8" s="1"/>
  <c r="B2810" i="8" s="1"/>
  <c r="B2834" i="8" s="1"/>
  <c r="B2858" i="8" s="1"/>
  <c r="B2882" i="8" s="1"/>
  <c r="B2906" i="8" s="1"/>
  <c r="B2930" i="8" s="1"/>
  <c r="B2954" i="8" s="1"/>
  <c r="B2978" i="8" s="1"/>
  <c r="B3002" i="8" s="1"/>
  <c r="B3026" i="8" s="1"/>
  <c r="E92" i="1"/>
  <c r="E93" i="1"/>
  <c r="E94" i="1"/>
  <c r="E95" i="1"/>
  <c r="E96" i="1"/>
  <c r="E97" i="1"/>
  <c r="N712" i="8" l="1"/>
  <c r="T712" i="8"/>
  <c r="A711" i="8"/>
  <c r="Q712" i="8"/>
  <c r="E15" i="1"/>
  <c r="E18" i="1"/>
  <c r="E19" i="1" s="1"/>
  <c r="E20" i="1"/>
  <c r="E78" i="1" s="1"/>
  <c r="N43" i="11"/>
  <c r="G1252" i="8"/>
  <c r="G1276" i="8" s="1"/>
  <c r="G1300" i="8" s="1"/>
  <c r="G1324" i="8" s="1"/>
  <c r="G1348" i="8" s="1"/>
  <c r="G1372" i="8" s="1"/>
  <c r="G1396" i="8" s="1"/>
  <c r="G1420" i="8" s="1"/>
  <c r="G1444" i="8" s="1"/>
  <c r="G1468" i="8" s="1"/>
  <c r="G1492" i="8" s="1"/>
  <c r="G1516" i="8" s="1"/>
  <c r="G1540" i="8" s="1"/>
  <c r="G1564" i="8" s="1"/>
  <c r="G1588" i="8" s="1"/>
  <c r="G1612" i="8" s="1"/>
  <c r="G1636" i="8" s="1"/>
  <c r="G1660" i="8" s="1"/>
  <c r="G1684" i="8" s="1"/>
  <c r="G1708" i="8" s="1"/>
  <c r="G1732" i="8" s="1"/>
  <c r="G1756" i="8" s="1"/>
  <c r="G1780" i="8" s="1"/>
  <c r="G1804" i="8" s="1"/>
  <c r="G1828" i="8" s="1"/>
  <c r="G1852" i="8" s="1"/>
  <c r="G1876" i="8" s="1"/>
  <c r="G1900" i="8" s="1"/>
  <c r="G1924" i="8" s="1"/>
  <c r="G1948" i="8" s="1"/>
  <c r="G1972" i="8" s="1"/>
  <c r="G1996" i="8" s="1"/>
  <c r="G2020" i="8" s="1"/>
  <c r="G2044" i="8" s="1"/>
  <c r="G2068" i="8" s="1"/>
  <c r="G2092" i="8" s="1"/>
  <c r="G2116" i="8" s="1"/>
  <c r="G2140" i="8" s="1"/>
  <c r="G2164" i="8" s="1"/>
  <c r="G2452" i="8" s="1"/>
  <c r="G2476" i="8" s="1"/>
  <c r="G2500" i="8" s="1"/>
  <c r="G2524" i="8" s="1"/>
  <c r="G2548" i="8" s="1"/>
  <c r="G2572" i="8" s="1"/>
  <c r="G2596" i="8" s="1"/>
  <c r="G2620" i="8" s="1"/>
  <c r="G2644" i="8" s="1"/>
  <c r="G2668" i="8" s="1"/>
  <c r="G2692" i="8" s="1"/>
  <c r="G2716" i="8" s="1"/>
  <c r="G2740" i="8" s="1"/>
  <c r="G2764" i="8" s="1"/>
  <c r="G2788" i="8" s="1"/>
  <c r="G2812" i="8" s="1"/>
  <c r="G2836" i="8" s="1"/>
  <c r="G2860" i="8" s="1"/>
  <c r="G2884" i="8" s="1"/>
  <c r="G2908" i="8" s="1"/>
  <c r="G2932" i="8" s="1"/>
  <c r="G2956" i="8" s="1"/>
  <c r="G2980" i="8" s="1"/>
  <c r="G3004" i="8" s="1"/>
  <c r="Q711" i="8" l="1"/>
  <c r="N711" i="8"/>
  <c r="T711" i="8"/>
  <c r="A710" i="8"/>
  <c r="E37" i="1"/>
  <c r="E40" i="1"/>
  <c r="F20" i="1"/>
  <c r="F40" i="1" s="1"/>
  <c r="E21" i="1"/>
  <c r="F18" i="1"/>
  <c r="G18" i="1" s="1"/>
  <c r="E85" i="1"/>
  <c r="N44" i="11"/>
  <c r="T710" i="8" l="1"/>
  <c r="Q710" i="8"/>
  <c r="N710" i="8"/>
  <c r="A709" i="8"/>
  <c r="F37" i="1"/>
  <c r="G20" i="1"/>
  <c r="G37" i="1" s="1"/>
  <c r="F21" i="1"/>
  <c r="F78" i="1"/>
  <c r="F19" i="1"/>
  <c r="F85" i="1"/>
  <c r="N45" i="11"/>
  <c r="H18" i="1"/>
  <c r="G19" i="1"/>
  <c r="N709" i="8" l="1"/>
  <c r="A708" i="8"/>
  <c r="T709" i="8"/>
  <c r="Q709" i="8"/>
  <c r="G21" i="1"/>
  <c r="G78" i="1"/>
  <c r="G85" i="1"/>
  <c r="H20" i="1"/>
  <c r="H40" i="1" s="1"/>
  <c r="G40" i="1"/>
  <c r="N46" i="11"/>
  <c r="I18" i="1"/>
  <c r="H19" i="1"/>
  <c r="T708" i="8" l="1"/>
  <c r="Q708" i="8"/>
  <c r="N708" i="8"/>
  <c r="A707" i="8"/>
  <c r="I20" i="1"/>
  <c r="I21" i="1" s="1"/>
  <c r="H85" i="1"/>
  <c r="H78" i="1"/>
  <c r="H37" i="1"/>
  <c r="H21" i="1"/>
  <c r="N47" i="11"/>
  <c r="J18" i="1"/>
  <c r="I19" i="1"/>
  <c r="T707" i="8" l="1"/>
  <c r="A706" i="8"/>
  <c r="Q707" i="8"/>
  <c r="N707" i="8"/>
  <c r="I78" i="1"/>
  <c r="I85" i="1"/>
  <c r="J20" i="1"/>
  <c r="J78" i="1" s="1"/>
  <c r="I40" i="1"/>
  <c r="I37" i="1"/>
  <c r="N48" i="11"/>
  <c r="K18" i="1"/>
  <c r="J19" i="1"/>
  <c r="T706" i="8" l="1"/>
  <c r="Q706" i="8"/>
  <c r="N706" i="8"/>
  <c r="A705" i="8"/>
  <c r="J37" i="1"/>
  <c r="J85" i="1"/>
  <c r="K20" i="1"/>
  <c r="K85" i="1" s="1"/>
  <c r="J40" i="1"/>
  <c r="J21" i="1"/>
  <c r="N49" i="11"/>
  <c r="L18" i="1"/>
  <c r="K19" i="1"/>
  <c r="A704" i="8" l="1"/>
  <c r="T705" i="8"/>
  <c r="Q705" i="8"/>
  <c r="N705" i="8"/>
  <c r="K40" i="1"/>
  <c r="K78" i="1"/>
  <c r="K37" i="1"/>
  <c r="L20" i="1"/>
  <c r="M20" i="1" s="1"/>
  <c r="K21" i="1"/>
  <c r="N50" i="11"/>
  <c r="M18" i="1"/>
  <c r="L19" i="1"/>
  <c r="Q704" i="8" l="1"/>
  <c r="N704" i="8"/>
  <c r="A703" i="8"/>
  <c r="T704" i="8"/>
  <c r="N51" i="11"/>
  <c r="N18" i="1"/>
  <c r="M19" i="1"/>
  <c r="N703" i="8" l="1"/>
  <c r="A702" i="8"/>
  <c r="Q703" i="8"/>
  <c r="T703" i="8"/>
  <c r="N52" i="11"/>
  <c r="O18" i="1"/>
  <c r="N19" i="1"/>
  <c r="N702" i="8" l="1"/>
  <c r="T702" i="8"/>
  <c r="Q702" i="8"/>
  <c r="A701" i="8"/>
  <c r="N53" i="11"/>
  <c r="P18" i="1"/>
  <c r="O19" i="1"/>
  <c r="Q701" i="8" l="1"/>
  <c r="N701" i="8"/>
  <c r="A700" i="8"/>
  <c r="T701" i="8"/>
  <c r="N54" i="11"/>
  <c r="Q18" i="1"/>
  <c r="P19" i="1"/>
  <c r="A699" i="8" l="1"/>
  <c r="N700" i="8"/>
  <c r="T700" i="8"/>
  <c r="Q700" i="8"/>
  <c r="N55" i="11"/>
  <c r="R18" i="1"/>
  <c r="Q19" i="1"/>
  <c r="Q699" i="8" l="1"/>
  <c r="N699" i="8"/>
  <c r="T699" i="8"/>
  <c r="A698" i="8"/>
  <c r="N56" i="11"/>
  <c r="S18" i="1"/>
  <c r="R19" i="1"/>
  <c r="T698" i="8" l="1"/>
  <c r="Q698" i="8"/>
  <c r="N698" i="8"/>
  <c r="A697" i="8"/>
  <c r="N57" i="11"/>
  <c r="T18" i="1"/>
  <c r="S19" i="1"/>
  <c r="A696" i="8" l="1"/>
  <c r="Q697" i="8"/>
  <c r="N697" i="8"/>
  <c r="T697" i="8"/>
  <c r="N58" i="11"/>
  <c r="U18" i="1"/>
  <c r="T19" i="1"/>
  <c r="A695" i="8" l="1"/>
  <c r="T696" i="8"/>
  <c r="Q696" i="8"/>
  <c r="N696" i="8"/>
  <c r="N59" i="11"/>
  <c r="V18" i="1"/>
  <c r="U19" i="1"/>
  <c r="T695" i="8" l="1"/>
  <c r="Q695" i="8"/>
  <c r="A694" i="8"/>
  <c r="N695" i="8"/>
  <c r="N60" i="11"/>
  <c r="W18" i="1"/>
  <c r="V19" i="1"/>
  <c r="A693" i="8" l="1"/>
  <c r="T694" i="8"/>
  <c r="N694" i="8"/>
  <c r="Q694" i="8"/>
  <c r="N61" i="11"/>
  <c r="X18" i="1"/>
  <c r="W19" i="1"/>
  <c r="T693" i="8" l="1"/>
  <c r="Q693" i="8"/>
  <c r="N693" i="8"/>
  <c r="A692" i="8"/>
  <c r="N62" i="11"/>
  <c r="Y18" i="1"/>
  <c r="X19" i="1"/>
  <c r="T692" i="8" l="1"/>
  <c r="Q692" i="8"/>
  <c r="N692" i="8"/>
  <c r="A691" i="8"/>
  <c r="N63" i="11"/>
  <c r="Z18" i="1"/>
  <c r="Y19" i="1"/>
  <c r="T691" i="8" l="1"/>
  <c r="Q691" i="8"/>
  <c r="N691" i="8"/>
  <c r="A690" i="8"/>
  <c r="N64" i="11"/>
  <c r="AA18" i="1"/>
  <c r="Z19" i="1"/>
  <c r="A689" i="8" l="1"/>
  <c r="T690" i="8"/>
  <c r="Q690" i="8"/>
  <c r="N690" i="8"/>
  <c r="N65" i="11"/>
  <c r="AB18" i="1"/>
  <c r="AA19" i="1"/>
  <c r="A688" i="8" l="1"/>
  <c r="T689" i="8"/>
  <c r="Q689" i="8"/>
  <c r="N689" i="8"/>
  <c r="N66" i="11"/>
  <c r="AC18" i="1"/>
  <c r="AB19" i="1"/>
  <c r="N688" i="8" l="1"/>
  <c r="T688" i="8"/>
  <c r="A687" i="8"/>
  <c r="Q688" i="8"/>
  <c r="N67" i="11"/>
  <c r="AD18" i="1"/>
  <c r="AC19" i="1"/>
  <c r="T687" i="8" l="1"/>
  <c r="Q687" i="8"/>
  <c r="N687" i="8"/>
  <c r="A686" i="8"/>
  <c r="N68" i="11"/>
  <c r="AE18" i="1"/>
  <c r="AD19" i="1"/>
  <c r="N686" i="8" l="1"/>
  <c r="T686" i="8"/>
  <c r="Q686" i="8"/>
  <c r="A685" i="8"/>
  <c r="N69" i="11"/>
  <c r="AF18" i="1"/>
  <c r="AE19" i="1"/>
  <c r="A684" i="8" l="1"/>
  <c r="T685" i="8"/>
  <c r="Q685" i="8"/>
  <c r="N685" i="8"/>
  <c r="N70" i="11"/>
  <c r="AG18" i="1"/>
  <c r="AF19" i="1"/>
  <c r="Q684" i="8" l="1"/>
  <c r="N684" i="8"/>
  <c r="T684" i="8"/>
  <c r="A683" i="8"/>
  <c r="N71" i="11"/>
  <c r="AH18" i="1"/>
  <c r="AG19" i="1"/>
  <c r="Q683" i="8" l="1"/>
  <c r="N683" i="8"/>
  <c r="A682" i="8"/>
  <c r="T683" i="8"/>
  <c r="N72" i="11"/>
  <c r="AI18" i="1"/>
  <c r="AH19" i="1"/>
  <c r="T682" i="8" l="1"/>
  <c r="Q682" i="8"/>
  <c r="N682" i="8"/>
  <c r="A681" i="8"/>
  <c r="N73" i="11"/>
  <c r="AJ18" i="1"/>
  <c r="AI19" i="1"/>
  <c r="A680" i="8" l="1"/>
  <c r="T681" i="8"/>
  <c r="Q681" i="8"/>
  <c r="N681" i="8"/>
  <c r="N74" i="11"/>
  <c r="AK18" i="1"/>
  <c r="AJ19" i="1"/>
  <c r="A679" i="8" l="1"/>
  <c r="T680" i="8"/>
  <c r="Q680" i="8"/>
  <c r="N680" i="8"/>
  <c r="N75" i="11"/>
  <c r="AL18" i="1"/>
  <c r="AK19" i="1"/>
  <c r="N679" i="8" l="1"/>
  <c r="A678" i="8"/>
  <c r="T679" i="8"/>
  <c r="Q679" i="8"/>
  <c r="N76" i="11"/>
  <c r="AM18" i="1"/>
  <c r="AL19" i="1"/>
  <c r="T678" i="8" l="1"/>
  <c r="Q678" i="8"/>
  <c r="A677" i="8"/>
  <c r="N678" i="8"/>
  <c r="N77" i="11"/>
  <c r="AN18" i="1"/>
  <c r="AM19" i="1"/>
  <c r="Q677" i="8" l="1"/>
  <c r="T677" i="8"/>
  <c r="N677" i="8"/>
  <c r="A676" i="8"/>
  <c r="N78" i="11"/>
  <c r="AO18" i="1"/>
  <c r="AN19" i="1"/>
  <c r="A675" i="8" l="1"/>
  <c r="T676" i="8"/>
  <c r="N676" i="8"/>
  <c r="Q676" i="8"/>
  <c r="N79" i="11"/>
  <c r="AP18" i="1"/>
  <c r="AO19" i="1"/>
  <c r="T675" i="8" l="1"/>
  <c r="Q675" i="8"/>
  <c r="N675" i="8"/>
  <c r="A674" i="8"/>
  <c r="N80" i="11"/>
  <c r="AQ18" i="1"/>
  <c r="AP19" i="1"/>
  <c r="N674" i="8" l="1"/>
  <c r="T674" i="8"/>
  <c r="Q674" i="8"/>
  <c r="A673" i="8"/>
  <c r="N81" i="11"/>
  <c r="AR18" i="1"/>
  <c r="AQ19" i="1"/>
  <c r="Q673" i="8" l="1"/>
  <c r="N673" i="8"/>
  <c r="A672" i="8"/>
  <c r="T673" i="8"/>
  <c r="N82" i="11"/>
  <c r="AS18" i="1"/>
  <c r="AR19" i="1"/>
  <c r="A671" i="8" l="1"/>
  <c r="T672" i="8"/>
  <c r="Q672" i="8"/>
  <c r="N672" i="8"/>
  <c r="N83" i="11"/>
  <c r="AT18" i="1"/>
  <c r="AS19" i="1"/>
  <c r="T671" i="8" l="1"/>
  <c r="Q671" i="8"/>
  <c r="A670" i="8"/>
  <c r="N671" i="8"/>
  <c r="N84" i="11"/>
  <c r="AU18" i="1"/>
  <c r="AT19" i="1"/>
  <c r="T670" i="8" l="1"/>
  <c r="A669" i="8"/>
  <c r="Q670" i="8"/>
  <c r="N670" i="8"/>
  <c r="N85" i="11"/>
  <c r="AV18" i="1"/>
  <c r="AU19" i="1"/>
  <c r="T669" i="8" l="1"/>
  <c r="A668" i="8"/>
  <c r="Q669" i="8"/>
  <c r="N669" i="8"/>
  <c r="N86" i="11"/>
  <c r="AW18" i="1"/>
  <c r="AV19" i="1"/>
  <c r="Q668" i="8" l="1"/>
  <c r="A667" i="8"/>
  <c r="T668" i="8"/>
  <c r="N668" i="8"/>
  <c r="N87" i="11"/>
  <c r="AX18" i="1"/>
  <c r="AW19" i="1"/>
  <c r="A666" i="8" l="1"/>
  <c r="N667" i="8"/>
  <c r="T667" i="8"/>
  <c r="Q667" i="8"/>
  <c r="N88" i="11"/>
  <c r="AY18" i="1"/>
  <c r="AX19" i="1"/>
  <c r="A665" i="8" l="1"/>
  <c r="T666" i="8"/>
  <c r="Q666" i="8"/>
  <c r="N666" i="8"/>
  <c r="N89" i="11"/>
  <c r="AZ18" i="1"/>
  <c r="AY19" i="1"/>
  <c r="A664" i="8" l="1"/>
  <c r="T665" i="8"/>
  <c r="Q665" i="8"/>
  <c r="N665" i="8"/>
  <c r="N90" i="11"/>
  <c r="BA18" i="1"/>
  <c r="AZ19" i="1"/>
  <c r="N664" i="8" l="1"/>
  <c r="T664" i="8"/>
  <c r="Q664" i="8"/>
  <c r="A663" i="8"/>
  <c r="N91" i="11"/>
  <c r="BB18" i="1"/>
  <c r="BA19" i="1"/>
  <c r="A662" i="8" l="1"/>
  <c r="T663" i="8"/>
  <c r="Q663" i="8"/>
  <c r="N663" i="8"/>
  <c r="N92" i="11"/>
  <c r="BC18" i="1"/>
  <c r="BB19" i="1"/>
  <c r="T662" i="8" l="1"/>
  <c r="A661" i="8"/>
  <c r="Q662" i="8"/>
  <c r="N662" i="8"/>
  <c r="N93" i="11"/>
  <c r="BD18" i="1"/>
  <c r="BC19" i="1"/>
  <c r="Q661" i="8" l="1"/>
  <c r="A660" i="8"/>
  <c r="T661" i="8"/>
  <c r="N661" i="8"/>
  <c r="N94" i="11"/>
  <c r="BE18" i="1"/>
  <c r="BD19" i="1"/>
  <c r="T660" i="8" l="1"/>
  <c r="Q660" i="8"/>
  <c r="A659" i="8"/>
  <c r="N660" i="8"/>
  <c r="N95" i="11"/>
  <c r="BF18" i="1"/>
  <c r="BE19" i="1"/>
  <c r="T659" i="8" l="1"/>
  <c r="A658" i="8"/>
  <c r="Q659" i="8"/>
  <c r="N659" i="8"/>
  <c r="N96" i="11"/>
  <c r="BG18" i="1"/>
  <c r="BF19" i="1"/>
  <c r="A657" i="8" l="1"/>
  <c r="T658" i="8"/>
  <c r="Q658" i="8"/>
  <c r="N658" i="8"/>
  <c r="N97" i="11"/>
  <c r="BH18" i="1"/>
  <c r="BG19" i="1"/>
  <c r="N657" i="8" l="1"/>
  <c r="A656" i="8"/>
  <c r="T657" i="8"/>
  <c r="Q657" i="8"/>
  <c r="N98" i="11"/>
  <c r="BI18" i="1"/>
  <c r="BH19" i="1"/>
  <c r="N656" i="8" l="1"/>
  <c r="A655" i="8"/>
  <c r="T656" i="8"/>
  <c r="Q656" i="8"/>
  <c r="N99" i="11"/>
  <c r="BJ18" i="1"/>
  <c r="BI19" i="1"/>
  <c r="Q655" i="8" l="1"/>
  <c r="T655" i="8"/>
  <c r="N655" i="8"/>
  <c r="A654" i="8"/>
  <c r="N100" i="11"/>
  <c r="BK18" i="1"/>
  <c r="BJ19" i="1"/>
  <c r="T654" i="8" l="1"/>
  <c r="N654" i="8"/>
  <c r="A653" i="8"/>
  <c r="Q654" i="8"/>
  <c r="N101" i="11"/>
  <c r="BL18" i="1"/>
  <c r="BK19" i="1"/>
  <c r="T653" i="8" l="1"/>
  <c r="Q653" i="8"/>
  <c r="N653" i="8"/>
  <c r="A652" i="8"/>
  <c r="N102" i="11"/>
  <c r="BM18" i="1"/>
  <c r="BL19" i="1"/>
  <c r="A651" i="8" l="1"/>
  <c r="T652" i="8"/>
  <c r="Q652" i="8"/>
  <c r="N652" i="8"/>
  <c r="N103" i="11"/>
  <c r="BN18" i="1"/>
  <c r="BM19" i="1"/>
  <c r="Q651" i="8" l="1"/>
  <c r="N651" i="8"/>
  <c r="A650" i="8"/>
  <c r="T651" i="8"/>
  <c r="N104" i="11"/>
  <c r="BO18" i="1"/>
  <c r="BN19" i="1"/>
  <c r="A649" i="8" l="1"/>
  <c r="T650" i="8"/>
  <c r="Q650" i="8"/>
  <c r="N650" i="8"/>
  <c r="N105" i="11"/>
  <c r="BP18" i="1"/>
  <c r="BO19" i="1"/>
  <c r="N649" i="8" l="1"/>
  <c r="A648" i="8"/>
  <c r="T649" i="8"/>
  <c r="Q649" i="8"/>
  <c r="N106" i="11"/>
  <c r="BQ18" i="1"/>
  <c r="BP19" i="1"/>
  <c r="N648" i="8" l="1"/>
  <c r="A647" i="8"/>
  <c r="T648" i="8"/>
  <c r="Q648" i="8"/>
  <c r="N107" i="11"/>
  <c r="BR18" i="1"/>
  <c r="BQ19" i="1"/>
  <c r="T647" i="8" l="1"/>
  <c r="N647" i="8"/>
  <c r="A646" i="8"/>
  <c r="Q647" i="8"/>
  <c r="N108" i="11"/>
  <c r="BS18" i="1"/>
  <c r="BR19" i="1"/>
  <c r="T646" i="8" l="1"/>
  <c r="Q646" i="8"/>
  <c r="N646" i="8"/>
  <c r="A645" i="8"/>
  <c r="N109" i="11"/>
  <c r="BT18" i="1"/>
  <c r="BS19" i="1"/>
  <c r="A644" i="8" l="1"/>
  <c r="T645" i="8"/>
  <c r="Q645" i="8"/>
  <c r="N645" i="8"/>
  <c r="N110" i="11"/>
  <c r="BU18" i="1"/>
  <c r="BT19" i="1"/>
  <c r="T644" i="8" l="1"/>
  <c r="N644" i="8"/>
  <c r="A643" i="8"/>
  <c r="Q644" i="8"/>
  <c r="N111" i="11"/>
  <c r="BV18" i="1"/>
  <c r="BU19" i="1"/>
  <c r="A642" i="8" l="1"/>
  <c r="T643" i="8"/>
  <c r="Q643" i="8"/>
  <c r="N643" i="8"/>
  <c r="N112" i="11"/>
  <c r="BW18" i="1"/>
  <c r="BV19" i="1"/>
  <c r="N642" i="8" l="1"/>
  <c r="A641" i="8"/>
  <c r="T642" i="8"/>
  <c r="Q642" i="8"/>
  <c r="A891" i="8"/>
  <c r="N113" i="11"/>
  <c r="BX18" i="1"/>
  <c r="BW19" i="1"/>
  <c r="T641" i="8" l="1"/>
  <c r="Q641" i="8"/>
  <c r="N641" i="8"/>
  <c r="A640" i="8"/>
  <c r="T891" i="8"/>
  <c r="Q891" i="8"/>
  <c r="A892" i="8"/>
  <c r="N891" i="8"/>
  <c r="N114" i="11"/>
  <c r="BY18" i="1"/>
  <c r="BX19" i="1"/>
  <c r="Q640" i="8" l="1"/>
  <c r="N640" i="8"/>
  <c r="T640" i="8"/>
  <c r="A639" i="8"/>
  <c r="T892" i="8"/>
  <c r="Q892" i="8"/>
  <c r="A893" i="8"/>
  <c r="N892" i="8"/>
  <c r="N115" i="11"/>
  <c r="BZ18" i="1"/>
  <c r="BY19" i="1"/>
  <c r="T639" i="8" l="1"/>
  <c r="N639" i="8"/>
  <c r="A638" i="8"/>
  <c r="Q639" i="8"/>
  <c r="T893" i="8"/>
  <c r="Q893" i="8"/>
  <c r="A894" i="8"/>
  <c r="N893" i="8"/>
  <c r="N116" i="11"/>
  <c r="CA18" i="1"/>
  <c r="BZ19" i="1"/>
  <c r="T638" i="8" l="1"/>
  <c r="Q638" i="8"/>
  <c r="A637" i="8"/>
  <c r="N638" i="8"/>
  <c r="T894" i="8"/>
  <c r="Q894" i="8"/>
  <c r="A895" i="8"/>
  <c r="N894" i="8"/>
  <c r="N117" i="11"/>
  <c r="CB18" i="1"/>
  <c r="CA19" i="1"/>
  <c r="T637" i="8" l="1"/>
  <c r="Q637" i="8"/>
  <c r="N637" i="8"/>
  <c r="A636" i="8"/>
  <c r="T895" i="8"/>
  <c r="Q895" i="8"/>
  <c r="A896" i="8"/>
  <c r="N895" i="8"/>
  <c r="N118" i="11"/>
  <c r="CC18" i="1"/>
  <c r="CB19" i="1"/>
  <c r="A635" i="8" l="1"/>
  <c r="Q636" i="8"/>
  <c r="T636" i="8"/>
  <c r="N636" i="8"/>
  <c r="T896" i="8"/>
  <c r="Q896" i="8"/>
  <c r="A897" i="8"/>
  <c r="N896" i="8"/>
  <c r="N119" i="11"/>
  <c r="CD18" i="1"/>
  <c r="CC19" i="1"/>
  <c r="A634" i="8" l="1"/>
  <c r="T635" i="8"/>
  <c r="Q635" i="8"/>
  <c r="N635" i="8"/>
  <c r="T897" i="8"/>
  <c r="Q897" i="8"/>
  <c r="A898" i="8"/>
  <c r="N897" i="8"/>
  <c r="N120" i="11"/>
  <c r="CE18" i="1"/>
  <c r="CD19" i="1"/>
  <c r="T634" i="8" l="1"/>
  <c r="Q634" i="8"/>
  <c r="A633" i="8"/>
  <c r="N634" i="8"/>
  <c r="T898" i="8"/>
  <c r="Q898" i="8"/>
  <c r="A899" i="8"/>
  <c r="N898" i="8"/>
  <c r="N121" i="11"/>
  <c r="CF18" i="1"/>
  <c r="CE19" i="1"/>
  <c r="N633" i="8" l="1"/>
  <c r="A632" i="8"/>
  <c r="Q633" i="8"/>
  <c r="T633" i="8"/>
  <c r="T899" i="8"/>
  <c r="Q899" i="8"/>
  <c r="A900" i="8"/>
  <c r="N899" i="8"/>
  <c r="N122" i="11"/>
  <c r="CG18" i="1"/>
  <c r="CF19" i="1"/>
  <c r="T632" i="8" l="1"/>
  <c r="Q632" i="8"/>
  <c r="N632" i="8"/>
  <c r="A631" i="8"/>
  <c r="T900" i="8"/>
  <c r="Q900" i="8"/>
  <c r="A901" i="8"/>
  <c r="N900" i="8"/>
  <c r="N123" i="11"/>
  <c r="CG19" i="1"/>
  <c r="CH18" i="1"/>
  <c r="N631" i="8" l="1"/>
  <c r="A630" i="8"/>
  <c r="T631" i="8"/>
  <c r="Q631" i="8"/>
  <c r="T901" i="8"/>
  <c r="Q901" i="8"/>
  <c r="A902" i="8"/>
  <c r="N901" i="8"/>
  <c r="N124" i="11"/>
  <c r="CH19" i="1"/>
  <c r="CI18" i="1"/>
  <c r="T630" i="8" l="1"/>
  <c r="Q630" i="8"/>
  <c r="N630" i="8"/>
  <c r="A629" i="8"/>
  <c r="T902" i="8"/>
  <c r="Q902" i="8"/>
  <c r="A903" i="8"/>
  <c r="N902" i="8"/>
  <c r="N125" i="11"/>
  <c r="CI19" i="1"/>
  <c r="CJ18" i="1"/>
  <c r="Q629" i="8" l="1"/>
  <c r="N629" i="8"/>
  <c r="T629" i="8"/>
  <c r="A628" i="8"/>
  <c r="T903" i="8"/>
  <c r="Q903" i="8"/>
  <c r="A904" i="8"/>
  <c r="N903" i="8"/>
  <c r="N126" i="11"/>
  <c r="CJ19" i="1"/>
  <c r="CK18" i="1"/>
  <c r="A627" i="8" l="1"/>
  <c r="Q628" i="8"/>
  <c r="N628" i="8"/>
  <c r="T628" i="8"/>
  <c r="T904" i="8"/>
  <c r="Q904" i="8"/>
  <c r="A905" i="8"/>
  <c r="N904" i="8"/>
  <c r="N127" i="11"/>
  <c r="CK19" i="1"/>
  <c r="CL18" i="1"/>
  <c r="T627" i="8" l="1"/>
  <c r="Q627" i="8"/>
  <c r="N627" i="8"/>
  <c r="A626" i="8"/>
  <c r="T905" i="8"/>
  <c r="Q905" i="8"/>
  <c r="A906" i="8"/>
  <c r="N905" i="8"/>
  <c r="N128" i="11"/>
  <c r="CL19" i="1"/>
  <c r="CM18" i="1"/>
  <c r="A625" i="8" l="1"/>
  <c r="Q626" i="8"/>
  <c r="T626" i="8"/>
  <c r="N626" i="8"/>
  <c r="T906" i="8"/>
  <c r="Q906" i="8"/>
  <c r="A907" i="8"/>
  <c r="N906" i="8"/>
  <c r="N129" i="11"/>
  <c r="CM19" i="1"/>
  <c r="CN18" i="1"/>
  <c r="T625" i="8" l="1"/>
  <c r="N625" i="8"/>
  <c r="Q625" i="8"/>
  <c r="A624" i="8"/>
  <c r="T907" i="8"/>
  <c r="Q907" i="8"/>
  <c r="A908" i="8"/>
  <c r="N907" i="8"/>
  <c r="CN19" i="1"/>
  <c r="CO18" i="1"/>
  <c r="A623" i="8" l="1"/>
  <c r="T624" i="8"/>
  <c r="Q624" i="8"/>
  <c r="N624" i="8"/>
  <c r="T908" i="8"/>
  <c r="Q908" i="8"/>
  <c r="A909" i="8"/>
  <c r="N908" i="8"/>
  <c r="CO19" i="1"/>
  <c r="CP18" i="1"/>
  <c r="A622" i="8" l="1"/>
  <c r="N623" i="8"/>
  <c r="T623" i="8"/>
  <c r="Q623" i="8"/>
  <c r="T909" i="8"/>
  <c r="Q909" i="8"/>
  <c r="A910" i="8"/>
  <c r="N909" i="8"/>
  <c r="CP19" i="1"/>
  <c r="CQ18" i="1"/>
  <c r="T622" i="8" l="1"/>
  <c r="A621" i="8"/>
  <c r="N622" i="8"/>
  <c r="Q622" i="8"/>
  <c r="T910" i="8"/>
  <c r="Q910" i="8"/>
  <c r="A911" i="8"/>
  <c r="N910" i="8"/>
  <c r="CQ19" i="1"/>
  <c r="CR18" i="1"/>
  <c r="A620" i="8" l="1"/>
  <c r="Q621" i="8"/>
  <c r="T621" i="8"/>
  <c r="N621" i="8"/>
  <c r="T911" i="8"/>
  <c r="Q911" i="8"/>
  <c r="A912" i="8"/>
  <c r="N911" i="8"/>
  <c r="CR19" i="1"/>
  <c r="CS18" i="1"/>
  <c r="N620" i="8" l="1"/>
  <c r="Q620" i="8"/>
  <c r="A619" i="8"/>
  <c r="T620" i="8"/>
  <c r="T912" i="8"/>
  <c r="Q912" i="8"/>
  <c r="A913" i="8"/>
  <c r="N912" i="8"/>
  <c r="CS19" i="1"/>
  <c r="CT18" i="1"/>
  <c r="T619" i="8" l="1"/>
  <c r="Q619" i="8"/>
  <c r="A618" i="8"/>
  <c r="N619" i="8"/>
  <c r="T913" i="8"/>
  <c r="Q913" i="8"/>
  <c r="A914" i="8"/>
  <c r="N913" i="8"/>
  <c r="CT19" i="1"/>
  <c r="CU18" i="1"/>
  <c r="A617" i="8" l="1"/>
  <c r="T618" i="8"/>
  <c r="Q618" i="8"/>
  <c r="N618" i="8"/>
  <c r="T914" i="8"/>
  <c r="Q914" i="8"/>
  <c r="A915" i="8"/>
  <c r="N914" i="8"/>
  <c r="CU19" i="1"/>
  <c r="CV18" i="1"/>
  <c r="T617" i="8" l="1"/>
  <c r="Q617" i="8"/>
  <c r="A616" i="8"/>
  <c r="N617" i="8"/>
  <c r="T915" i="8"/>
  <c r="Q915" i="8"/>
  <c r="A916" i="8"/>
  <c r="N915" i="8"/>
  <c r="CV19" i="1"/>
  <c r="CW18" i="1"/>
  <c r="T616" i="8" l="1"/>
  <c r="Q616" i="8"/>
  <c r="A615" i="8"/>
  <c r="N616" i="8"/>
  <c r="T916" i="8"/>
  <c r="Q916" i="8"/>
  <c r="A917" i="8"/>
  <c r="N916" i="8"/>
  <c r="CW19" i="1"/>
  <c r="CX18" i="1"/>
  <c r="A614" i="8" l="1"/>
  <c r="T615" i="8"/>
  <c r="N615" i="8"/>
  <c r="Q615" i="8"/>
  <c r="T917" i="8"/>
  <c r="Q917" i="8"/>
  <c r="A918" i="8"/>
  <c r="N917" i="8"/>
  <c r="CX19" i="1"/>
  <c r="CY18" i="1"/>
  <c r="A613" i="8" l="1"/>
  <c r="Q614" i="8"/>
  <c r="T614" i="8"/>
  <c r="N614" i="8"/>
  <c r="T918" i="8"/>
  <c r="Q918" i="8"/>
  <c r="A919" i="8"/>
  <c r="N918" i="8"/>
  <c r="CY19" i="1"/>
  <c r="CZ18" i="1"/>
  <c r="N613" i="8" l="1"/>
  <c r="A612" i="8"/>
  <c r="T613" i="8"/>
  <c r="Q613" i="8"/>
  <c r="T919" i="8"/>
  <c r="Q919" i="8"/>
  <c r="A920" i="8"/>
  <c r="N919" i="8"/>
  <c r="CZ19" i="1"/>
  <c r="DA18" i="1"/>
  <c r="T612" i="8" l="1"/>
  <c r="A611" i="8"/>
  <c r="Q612" i="8"/>
  <c r="N612" i="8"/>
  <c r="T920" i="8"/>
  <c r="Q920" i="8"/>
  <c r="A921" i="8"/>
  <c r="N920" i="8"/>
  <c r="DA19" i="1"/>
  <c r="DB18" i="1"/>
  <c r="N611" i="8" l="1"/>
  <c r="T611" i="8"/>
  <c r="Q611" i="8"/>
  <c r="A610" i="8"/>
  <c r="T921" i="8"/>
  <c r="Q921" i="8"/>
  <c r="A922" i="8"/>
  <c r="N921" i="8"/>
  <c r="DB19" i="1"/>
  <c r="DC18" i="1"/>
  <c r="Q610" i="8" l="1"/>
  <c r="N610" i="8"/>
  <c r="A609" i="8"/>
  <c r="T610" i="8"/>
  <c r="T922" i="8"/>
  <c r="Q922" i="8"/>
  <c r="A923" i="8"/>
  <c r="N922" i="8"/>
  <c r="DC19" i="1"/>
  <c r="DD18" i="1"/>
  <c r="A608" i="8" l="1"/>
  <c r="T609" i="8"/>
  <c r="Q609" i="8"/>
  <c r="N609" i="8"/>
  <c r="T923" i="8"/>
  <c r="Q923" i="8"/>
  <c r="A924" i="8"/>
  <c r="N923" i="8"/>
  <c r="DD19" i="1"/>
  <c r="DE18" i="1"/>
  <c r="T608" i="8" l="1"/>
  <c r="Q608" i="8"/>
  <c r="N608" i="8"/>
  <c r="A607" i="8"/>
  <c r="T924" i="8"/>
  <c r="Q924" i="8"/>
  <c r="A925" i="8"/>
  <c r="N924" i="8"/>
  <c r="DE19" i="1"/>
  <c r="DF18" i="1"/>
  <c r="Q607" i="8" l="1"/>
  <c r="N607" i="8"/>
  <c r="T607" i="8"/>
  <c r="A606" i="8"/>
  <c r="T925" i="8"/>
  <c r="Q925" i="8"/>
  <c r="A926" i="8"/>
  <c r="N925" i="8"/>
  <c r="DF19" i="1"/>
  <c r="DG18" i="1"/>
  <c r="A605" i="8" l="1"/>
  <c r="T606" i="8"/>
  <c r="N606" i="8"/>
  <c r="Q606" i="8"/>
  <c r="T926" i="8"/>
  <c r="Q926" i="8"/>
  <c r="A927" i="8"/>
  <c r="N926" i="8"/>
  <c r="DG19" i="1"/>
  <c r="DH18" i="1"/>
  <c r="T605" i="8" l="1"/>
  <c r="Q605" i="8"/>
  <c r="A604" i="8"/>
  <c r="N605" i="8"/>
  <c r="T927" i="8"/>
  <c r="Q927" i="8"/>
  <c r="A928" i="8"/>
  <c r="N927" i="8"/>
  <c r="DH19" i="1"/>
  <c r="DI18" i="1"/>
  <c r="T604" i="8" l="1"/>
  <c r="Q604" i="8"/>
  <c r="N604" i="8"/>
  <c r="A603" i="8"/>
  <c r="T928" i="8"/>
  <c r="Q928" i="8"/>
  <c r="A929" i="8"/>
  <c r="N928" i="8"/>
  <c r="DI19" i="1"/>
  <c r="DJ18" i="1"/>
  <c r="T603" i="8" l="1"/>
  <c r="N603" i="8"/>
  <c r="A602" i="8"/>
  <c r="Q603" i="8"/>
  <c r="T929" i="8"/>
  <c r="Q929" i="8"/>
  <c r="A930" i="8"/>
  <c r="N929" i="8"/>
  <c r="DJ19" i="1"/>
  <c r="DK18" i="1"/>
  <c r="Q602" i="8" l="1"/>
  <c r="N602" i="8"/>
  <c r="A601" i="8"/>
  <c r="T602" i="8"/>
  <c r="T930" i="8"/>
  <c r="Q930" i="8"/>
  <c r="A931" i="8"/>
  <c r="N930" i="8"/>
  <c r="DK19" i="1"/>
  <c r="DL18" i="1"/>
  <c r="A600" i="8" l="1"/>
  <c r="T601" i="8"/>
  <c r="Q601" i="8"/>
  <c r="N601" i="8"/>
  <c r="T931" i="8"/>
  <c r="Q931" i="8"/>
  <c r="A932" i="8"/>
  <c r="N931" i="8"/>
  <c r="DL19" i="1"/>
  <c r="DM18" i="1"/>
  <c r="Q600" i="8" l="1"/>
  <c r="N600" i="8"/>
  <c r="A599" i="8"/>
  <c r="T600" i="8"/>
  <c r="T932" i="8"/>
  <c r="Q932" i="8"/>
  <c r="A933" i="8"/>
  <c r="N932" i="8"/>
  <c r="DM19" i="1"/>
  <c r="DN18" i="1"/>
  <c r="A598" i="8" l="1"/>
  <c r="Q599" i="8"/>
  <c r="N599" i="8"/>
  <c r="T599" i="8"/>
  <c r="T933" i="8"/>
  <c r="Q933" i="8"/>
  <c r="A934" i="8"/>
  <c r="N933" i="8"/>
  <c r="DN19" i="1"/>
  <c r="DO18" i="1"/>
  <c r="N598" i="8" l="1"/>
  <c r="A597" i="8"/>
  <c r="Q598" i="8"/>
  <c r="T598" i="8"/>
  <c r="T934" i="8"/>
  <c r="Q934" i="8"/>
  <c r="A935" i="8"/>
  <c r="N934" i="8"/>
  <c r="DO19" i="1"/>
  <c r="DP18" i="1"/>
  <c r="Q597" i="8" l="1"/>
  <c r="A596" i="8"/>
  <c r="N597" i="8"/>
  <c r="T597" i="8"/>
  <c r="T935" i="8"/>
  <c r="Q935" i="8"/>
  <c r="A936" i="8"/>
  <c r="N935" i="8"/>
  <c r="DP19" i="1"/>
  <c r="DQ18" i="1"/>
  <c r="A595" i="8" l="1"/>
  <c r="T596" i="8"/>
  <c r="Q596" i="8"/>
  <c r="N596" i="8"/>
  <c r="T936" i="8"/>
  <c r="Q936" i="8"/>
  <c r="A937" i="8"/>
  <c r="N936" i="8"/>
  <c r="DQ19" i="1"/>
  <c r="DR18" i="1"/>
  <c r="Q595" i="8" l="1"/>
  <c r="N595" i="8"/>
  <c r="T595" i="8"/>
  <c r="A594" i="8"/>
  <c r="T937" i="8"/>
  <c r="Q937" i="8"/>
  <c r="A938" i="8"/>
  <c r="N937" i="8"/>
  <c r="DR19" i="1"/>
  <c r="DS18" i="1"/>
  <c r="T594" i="8" l="1"/>
  <c r="Q594" i="8"/>
  <c r="N594" i="8"/>
  <c r="A593" i="8"/>
  <c r="T938" i="8"/>
  <c r="Q938" i="8"/>
  <c r="A939" i="8"/>
  <c r="N938" i="8"/>
  <c r="DS19" i="1"/>
  <c r="DT18" i="1"/>
  <c r="N593" i="8" l="1"/>
  <c r="A592" i="8"/>
  <c r="Q593" i="8"/>
  <c r="T593" i="8"/>
  <c r="T939" i="8"/>
  <c r="Q939" i="8"/>
  <c r="A940" i="8"/>
  <c r="N939" i="8"/>
  <c r="DT19" i="1"/>
  <c r="DU18" i="1"/>
  <c r="A591" i="8" l="1"/>
  <c r="Q592" i="8"/>
  <c r="N592" i="8"/>
  <c r="T592" i="8"/>
  <c r="T940" i="8"/>
  <c r="Q940" i="8"/>
  <c r="A941" i="8"/>
  <c r="N940" i="8"/>
  <c r="DU19" i="1"/>
  <c r="DV18" i="1"/>
  <c r="N591" i="8" l="1"/>
  <c r="A590" i="8"/>
  <c r="T591" i="8"/>
  <c r="Q591" i="8"/>
  <c r="T941" i="8"/>
  <c r="Q941" i="8"/>
  <c r="A942" i="8"/>
  <c r="N941" i="8"/>
  <c r="DV19" i="1"/>
  <c r="DW18" i="1"/>
  <c r="Q590" i="8" l="1"/>
  <c r="N590" i="8"/>
  <c r="T590" i="8"/>
  <c r="A589" i="8"/>
  <c r="T942" i="8"/>
  <c r="Q942" i="8"/>
  <c r="A943" i="8"/>
  <c r="N942" i="8"/>
  <c r="DW19" i="1"/>
  <c r="DX18" i="1"/>
  <c r="A588" i="8" l="1"/>
  <c r="T589" i="8"/>
  <c r="Q589" i="8"/>
  <c r="N589" i="8"/>
  <c r="T943" i="8"/>
  <c r="Q943" i="8"/>
  <c r="A944" i="8"/>
  <c r="N943" i="8"/>
  <c r="DX19" i="1"/>
  <c r="DY18" i="1"/>
  <c r="A587" i="8" l="1"/>
  <c r="N588" i="8"/>
  <c r="Q588" i="8"/>
  <c r="T588" i="8"/>
  <c r="T944" i="8"/>
  <c r="Q944" i="8"/>
  <c r="A945" i="8"/>
  <c r="N944" i="8"/>
  <c r="DY19" i="1"/>
  <c r="DZ18" i="1"/>
  <c r="T587" i="8" l="1"/>
  <c r="A586" i="8"/>
  <c r="Q587" i="8"/>
  <c r="N587" i="8"/>
  <c r="T945" i="8"/>
  <c r="Q945" i="8"/>
  <c r="A946" i="8"/>
  <c r="N945" i="8"/>
  <c r="DZ19" i="1"/>
  <c r="EA18" i="1"/>
  <c r="T586" i="8" l="1"/>
  <c r="N586" i="8"/>
  <c r="Q586" i="8"/>
  <c r="A585" i="8"/>
  <c r="T946" i="8"/>
  <c r="Q946" i="8"/>
  <c r="A947" i="8"/>
  <c r="N946" i="8"/>
  <c r="EA19" i="1"/>
  <c r="EB18" i="1"/>
  <c r="Q585" i="8" l="1"/>
  <c r="N585" i="8"/>
  <c r="A584" i="8"/>
  <c r="T585" i="8"/>
  <c r="T947" i="8"/>
  <c r="Q947" i="8"/>
  <c r="A948" i="8"/>
  <c r="N947" i="8"/>
  <c r="EB19" i="1"/>
  <c r="EC18" i="1"/>
  <c r="T584" i="8" l="1"/>
  <c r="N584" i="8"/>
  <c r="A583" i="8"/>
  <c r="Q584" i="8"/>
  <c r="T948" i="8"/>
  <c r="Q948" i="8"/>
  <c r="A949" i="8"/>
  <c r="N948" i="8"/>
  <c r="EC19" i="1"/>
  <c r="ED18" i="1"/>
  <c r="T583" i="8" l="1"/>
  <c r="Q583" i="8"/>
  <c r="N583" i="8"/>
  <c r="A582" i="8"/>
  <c r="T949" i="8"/>
  <c r="Q949" i="8"/>
  <c r="A950" i="8"/>
  <c r="N949" i="8"/>
  <c r="ED19" i="1"/>
  <c r="EE18" i="1"/>
  <c r="A581" i="8" l="1"/>
  <c r="T582" i="8"/>
  <c r="Q582" i="8"/>
  <c r="N582" i="8"/>
  <c r="T950" i="8"/>
  <c r="Q950" i="8"/>
  <c r="A951" i="8"/>
  <c r="N950" i="8"/>
  <c r="EE19" i="1"/>
  <c r="EF18" i="1"/>
  <c r="A580" i="8" l="1"/>
  <c r="N581" i="8"/>
  <c r="T581" i="8"/>
  <c r="Q581" i="8"/>
  <c r="T951" i="8"/>
  <c r="Q951" i="8"/>
  <c r="A952" i="8"/>
  <c r="N951" i="8"/>
  <c r="EF19" i="1"/>
  <c r="EG18" i="1"/>
  <c r="N580" i="8" l="1"/>
  <c r="T580" i="8"/>
  <c r="Q580" i="8"/>
  <c r="A579" i="8"/>
  <c r="T952" i="8"/>
  <c r="Q952" i="8"/>
  <c r="A953" i="8"/>
  <c r="N952" i="8"/>
  <c r="EG19" i="1"/>
  <c r="EH18" i="1"/>
  <c r="N579" i="8" l="1"/>
  <c r="T579" i="8"/>
  <c r="Q579" i="8"/>
  <c r="A578" i="8"/>
  <c r="T953" i="8"/>
  <c r="Q953" i="8"/>
  <c r="A954" i="8"/>
  <c r="N953" i="8"/>
  <c r="EH19" i="1"/>
  <c r="EI18" i="1"/>
  <c r="T578" i="8" l="1"/>
  <c r="A577" i="8"/>
  <c r="Q578" i="8"/>
  <c r="N578" i="8"/>
  <c r="T954" i="8"/>
  <c r="Q954" i="8"/>
  <c r="A955" i="8"/>
  <c r="N954" i="8"/>
  <c r="EI19" i="1"/>
  <c r="EJ18" i="1"/>
  <c r="T577" i="8" l="1"/>
  <c r="Q577" i="8"/>
  <c r="N577" i="8"/>
  <c r="A576" i="8"/>
  <c r="T955" i="8"/>
  <c r="Q955" i="8"/>
  <c r="A956" i="8"/>
  <c r="N955" i="8"/>
  <c r="EJ19" i="1"/>
  <c r="EK18" i="1"/>
  <c r="T576" i="8" l="1"/>
  <c r="N576" i="8"/>
  <c r="Q576" i="8"/>
  <c r="A575" i="8"/>
  <c r="T956" i="8"/>
  <c r="Q956" i="8"/>
  <c r="A957" i="8"/>
  <c r="N956" i="8"/>
  <c r="EK19" i="1"/>
  <c r="EL18" i="1"/>
  <c r="N575" i="8" l="1"/>
  <c r="A574" i="8"/>
  <c r="T575" i="8"/>
  <c r="Q575" i="8"/>
  <c r="T957" i="8"/>
  <c r="Q957" i="8"/>
  <c r="A958" i="8"/>
  <c r="N957" i="8"/>
  <c r="EL19" i="1"/>
  <c r="EM18" i="1"/>
  <c r="Q574" i="8" l="1"/>
  <c r="N574" i="8"/>
  <c r="T574" i="8"/>
  <c r="A573" i="8"/>
  <c r="T958" i="8"/>
  <c r="Q958" i="8"/>
  <c r="A959" i="8"/>
  <c r="N958" i="8"/>
  <c r="EM19" i="1"/>
  <c r="EN18" i="1"/>
  <c r="Q573" i="8" l="1"/>
  <c r="N573" i="8"/>
  <c r="T573" i="8"/>
  <c r="A572" i="8"/>
  <c r="T959" i="8"/>
  <c r="Q959" i="8"/>
  <c r="A960" i="8"/>
  <c r="N959" i="8"/>
  <c r="EN19" i="1"/>
  <c r="EO18" i="1"/>
  <c r="A571" i="8" l="1"/>
  <c r="T572" i="8"/>
  <c r="Q572" i="8"/>
  <c r="N572" i="8"/>
  <c r="T960" i="8"/>
  <c r="Q960" i="8"/>
  <c r="A961" i="8"/>
  <c r="N960" i="8"/>
  <c r="EO19" i="1"/>
  <c r="EP18" i="1"/>
  <c r="Q571" i="8" l="1"/>
  <c r="N571" i="8"/>
  <c r="A570" i="8"/>
  <c r="T571" i="8"/>
  <c r="T961" i="8"/>
  <c r="Q961" i="8"/>
  <c r="A962" i="8"/>
  <c r="N961" i="8"/>
  <c r="EP19" i="1"/>
  <c r="EQ18" i="1"/>
  <c r="T570" i="8" l="1"/>
  <c r="Q570" i="8"/>
  <c r="N570" i="8"/>
  <c r="A569" i="8"/>
  <c r="T962" i="8"/>
  <c r="Q962" i="8"/>
  <c r="A963" i="8"/>
  <c r="N962" i="8"/>
  <c r="EQ19" i="1"/>
  <c r="ER18" i="1"/>
  <c r="T569" i="8" l="1"/>
  <c r="Q569" i="8"/>
  <c r="A568" i="8"/>
  <c r="N569" i="8"/>
  <c r="T963" i="8"/>
  <c r="Q963" i="8"/>
  <c r="A964" i="8"/>
  <c r="N963" i="8"/>
  <c r="ER19" i="1"/>
  <c r="ES18" i="1"/>
  <c r="A567" i="8" l="1"/>
  <c r="Q568" i="8"/>
  <c r="T568" i="8"/>
  <c r="N568" i="8"/>
  <c r="T964" i="8"/>
  <c r="Q964" i="8"/>
  <c r="A965" i="8"/>
  <c r="N964" i="8"/>
  <c r="ES19" i="1"/>
  <c r="ET18" i="1"/>
  <c r="A566" i="8" l="1"/>
  <c r="T567" i="8"/>
  <c r="Q567" i="8"/>
  <c r="N567" i="8"/>
  <c r="T965" i="8"/>
  <c r="Q965" i="8"/>
  <c r="A966" i="8"/>
  <c r="N965" i="8"/>
  <c r="ET19" i="1"/>
  <c r="EU18" i="1"/>
  <c r="T566" i="8" l="1"/>
  <c r="N566" i="8"/>
  <c r="Q566" i="8"/>
  <c r="A565" i="8"/>
  <c r="T966" i="8"/>
  <c r="Q966" i="8"/>
  <c r="A967" i="8"/>
  <c r="N966" i="8"/>
  <c r="EU19" i="1"/>
  <c r="EV18" i="1"/>
  <c r="N565" i="8" l="1"/>
  <c r="T565" i="8"/>
  <c r="Q565" i="8"/>
  <c r="A564" i="8"/>
  <c r="T967" i="8"/>
  <c r="Q967" i="8"/>
  <c r="A968" i="8"/>
  <c r="N967" i="8"/>
  <c r="EV19" i="1"/>
  <c r="EW18" i="1"/>
  <c r="Q564" i="8" l="1"/>
  <c r="A563" i="8"/>
  <c r="T564" i="8"/>
  <c r="N564" i="8"/>
  <c r="T968" i="8"/>
  <c r="Q968" i="8"/>
  <c r="A969" i="8"/>
  <c r="N968" i="8"/>
  <c r="EW19" i="1"/>
  <c r="EX18" i="1"/>
  <c r="T563" i="8" l="1"/>
  <c r="Q563" i="8"/>
  <c r="N563" i="8"/>
  <c r="A562" i="8"/>
  <c r="T969" i="8"/>
  <c r="Q969" i="8"/>
  <c r="A970" i="8"/>
  <c r="N969" i="8"/>
  <c r="EX19" i="1"/>
  <c r="EY18" i="1"/>
  <c r="A561" i="8" l="1"/>
  <c r="N562" i="8"/>
  <c r="T562" i="8"/>
  <c r="Q562" i="8"/>
  <c r="T970" i="8"/>
  <c r="Q970" i="8"/>
  <c r="A971" i="8"/>
  <c r="N970" i="8"/>
  <c r="EY19" i="1"/>
  <c r="EZ18" i="1"/>
  <c r="T561" i="8" l="1"/>
  <c r="Q561" i="8"/>
  <c r="A560" i="8"/>
  <c r="N561" i="8"/>
  <c r="T971" i="8"/>
  <c r="Q971" i="8"/>
  <c r="A972" i="8"/>
  <c r="N971" i="8"/>
  <c r="EZ19" i="1"/>
  <c r="FA18" i="1"/>
  <c r="T560" i="8" l="1"/>
  <c r="Q560" i="8"/>
  <c r="N560" i="8"/>
  <c r="A559" i="8"/>
  <c r="T972" i="8"/>
  <c r="Q972" i="8"/>
  <c r="A973" i="8"/>
  <c r="N972" i="8"/>
  <c r="FA19" i="1"/>
  <c r="FB18" i="1"/>
  <c r="A558" i="8" l="1"/>
  <c r="T559" i="8"/>
  <c r="Q559" i="8"/>
  <c r="N559" i="8"/>
  <c r="T973" i="8"/>
  <c r="Q973" i="8"/>
  <c r="A974" i="8"/>
  <c r="N973" i="8"/>
  <c r="FB19" i="1"/>
  <c r="FC18" i="1"/>
  <c r="A557" i="8" l="1"/>
  <c r="T558" i="8"/>
  <c r="N558" i="8"/>
  <c r="Q558" i="8"/>
  <c r="T974" i="8"/>
  <c r="Q974" i="8"/>
  <c r="A975" i="8"/>
  <c r="N974" i="8"/>
  <c r="FC19" i="1"/>
  <c r="FD18" i="1"/>
  <c r="T557" i="8" l="1"/>
  <c r="Q557" i="8"/>
  <c r="A556" i="8"/>
  <c r="N557" i="8"/>
  <c r="T975" i="8"/>
  <c r="Q975" i="8"/>
  <c r="A976" i="8"/>
  <c r="N975" i="8"/>
  <c r="FD19" i="1"/>
  <c r="FE18" i="1"/>
  <c r="Q556" i="8" l="1"/>
  <c r="N556" i="8"/>
  <c r="A555" i="8"/>
  <c r="T556" i="8"/>
  <c r="T976" i="8"/>
  <c r="Q976" i="8"/>
  <c r="A977" i="8"/>
  <c r="N976" i="8"/>
  <c r="FE19" i="1"/>
  <c r="FF18" i="1"/>
  <c r="T555" i="8" l="1"/>
  <c r="Q555" i="8"/>
  <c r="A554" i="8"/>
  <c r="N555" i="8"/>
  <c r="T977" i="8"/>
  <c r="Q977" i="8"/>
  <c r="A978" i="8"/>
  <c r="N977" i="8"/>
  <c r="FF19" i="1"/>
  <c r="FG18" i="1"/>
  <c r="T554" i="8" l="1"/>
  <c r="Q554" i="8"/>
  <c r="N554" i="8"/>
  <c r="A553" i="8"/>
  <c r="T978" i="8"/>
  <c r="Q978" i="8"/>
  <c r="A979" i="8"/>
  <c r="N978" i="8"/>
  <c r="FG19" i="1"/>
  <c r="FH18" i="1"/>
  <c r="Q553" i="8" l="1"/>
  <c r="N553" i="8"/>
  <c r="T553" i="8"/>
  <c r="A552" i="8"/>
  <c r="T979" i="8"/>
  <c r="Q979" i="8"/>
  <c r="A980" i="8"/>
  <c r="N979" i="8"/>
  <c r="FH19" i="1"/>
  <c r="FI18" i="1"/>
  <c r="Q552" i="8" l="1"/>
  <c r="N552" i="8"/>
  <c r="A551" i="8"/>
  <c r="T552" i="8"/>
  <c r="T980" i="8"/>
  <c r="Q980" i="8"/>
  <c r="A981" i="8"/>
  <c r="N980" i="8"/>
  <c r="FI19" i="1"/>
  <c r="FJ18" i="1"/>
  <c r="N551" i="8" l="1"/>
  <c r="Q551" i="8"/>
  <c r="T551" i="8"/>
  <c r="A550" i="8"/>
  <c r="T981" i="8"/>
  <c r="Q981" i="8"/>
  <c r="A982" i="8"/>
  <c r="N981" i="8"/>
  <c r="FJ19" i="1"/>
  <c r="FK18" i="1"/>
  <c r="T550" i="8" l="1"/>
  <c r="N550" i="8"/>
  <c r="A549" i="8"/>
  <c r="Q550" i="8"/>
  <c r="T982" i="8"/>
  <c r="Q982" i="8"/>
  <c r="A983" i="8"/>
  <c r="N982" i="8"/>
  <c r="FK19" i="1"/>
  <c r="FL18" i="1"/>
  <c r="T549" i="8" l="1"/>
  <c r="Q549" i="8"/>
  <c r="A548" i="8"/>
  <c r="N549" i="8"/>
  <c r="T983" i="8"/>
  <c r="Q983" i="8"/>
  <c r="A984" i="8"/>
  <c r="N983" i="8"/>
  <c r="FL19" i="1"/>
  <c r="FM18" i="1"/>
  <c r="T548" i="8" l="1"/>
  <c r="A547" i="8"/>
  <c r="Q548" i="8"/>
  <c r="N548" i="8"/>
  <c r="T984" i="8"/>
  <c r="Q984" i="8"/>
  <c r="A985" i="8"/>
  <c r="N984" i="8"/>
  <c r="FM19" i="1"/>
  <c r="FN18" i="1"/>
  <c r="Q547" i="8" l="1"/>
  <c r="N547" i="8"/>
  <c r="T547" i="8"/>
  <c r="A546" i="8"/>
  <c r="T985" i="8"/>
  <c r="Q985" i="8"/>
  <c r="A986" i="8"/>
  <c r="N985" i="8"/>
  <c r="FN19" i="1"/>
  <c r="FO18" i="1"/>
  <c r="A545" i="8" l="1"/>
  <c r="N546" i="8"/>
  <c r="T546" i="8"/>
  <c r="Q546" i="8"/>
  <c r="T986" i="8"/>
  <c r="Q986" i="8"/>
  <c r="A987" i="8"/>
  <c r="N986" i="8"/>
  <c r="FO19" i="1"/>
  <c r="FP18" i="1"/>
  <c r="A544" i="8" l="1"/>
  <c r="Q545" i="8"/>
  <c r="N545" i="8"/>
  <c r="T545" i="8"/>
  <c r="T987" i="8"/>
  <c r="Q987" i="8"/>
  <c r="A988" i="8"/>
  <c r="N987" i="8"/>
  <c r="FP19" i="1"/>
  <c r="Q544" i="8" l="1"/>
  <c r="N544" i="8"/>
  <c r="T544" i="8"/>
  <c r="A543" i="8"/>
  <c r="T988" i="8"/>
  <c r="Q988" i="8"/>
  <c r="A989" i="8"/>
  <c r="N988" i="8"/>
  <c r="N543" i="8" l="1"/>
  <c r="A542" i="8"/>
  <c r="T543" i="8"/>
  <c r="Q543" i="8"/>
  <c r="T989" i="8"/>
  <c r="Q989" i="8"/>
  <c r="A990" i="8"/>
  <c r="N989" i="8"/>
  <c r="Q542" i="8" l="1"/>
  <c r="N542" i="8"/>
  <c r="A541" i="8"/>
  <c r="T542" i="8"/>
  <c r="T990" i="8"/>
  <c r="Q990" i="8"/>
  <c r="A991" i="8"/>
  <c r="N990" i="8"/>
  <c r="N541" i="8" l="1"/>
  <c r="T541" i="8"/>
  <c r="A540" i="8"/>
  <c r="Q541" i="8"/>
  <c r="T991" i="8"/>
  <c r="Q991" i="8"/>
  <c r="A992" i="8"/>
  <c r="N991" i="8"/>
  <c r="A539" i="8" l="1"/>
  <c r="T540" i="8"/>
  <c r="Q540" i="8"/>
  <c r="N540" i="8"/>
  <c r="T992" i="8"/>
  <c r="Q992" i="8"/>
  <c r="A993" i="8"/>
  <c r="N992" i="8"/>
  <c r="T539" i="8" l="1"/>
  <c r="Q539" i="8"/>
  <c r="N539" i="8"/>
  <c r="A538" i="8"/>
  <c r="T993" i="8"/>
  <c r="Q993" i="8"/>
  <c r="A994" i="8"/>
  <c r="N993" i="8"/>
  <c r="Q538" i="8" l="1"/>
  <c r="N538" i="8"/>
  <c r="T538" i="8"/>
  <c r="A537" i="8"/>
  <c r="T994" i="8"/>
  <c r="Q994" i="8"/>
  <c r="A995" i="8"/>
  <c r="N994" i="8"/>
  <c r="A536" i="8" l="1"/>
  <c r="T537" i="8"/>
  <c r="Q537" i="8"/>
  <c r="N537" i="8"/>
  <c r="T995" i="8"/>
  <c r="Q995" i="8"/>
  <c r="A996" i="8"/>
  <c r="N995" i="8"/>
  <c r="Q536" i="8" l="1"/>
  <c r="N536" i="8"/>
  <c r="A535" i="8"/>
  <c r="T536" i="8"/>
  <c r="T996" i="8"/>
  <c r="Q996" i="8"/>
  <c r="A997" i="8"/>
  <c r="N996" i="8"/>
  <c r="Q535" i="8" l="1"/>
  <c r="N535" i="8"/>
  <c r="T535" i="8"/>
  <c r="A534" i="8"/>
  <c r="T997" i="8"/>
  <c r="Q997" i="8"/>
  <c r="A998" i="8"/>
  <c r="N997" i="8"/>
  <c r="T534" i="8" l="1"/>
  <c r="A533" i="8"/>
  <c r="N534" i="8"/>
  <c r="Q534" i="8"/>
  <c r="T998" i="8"/>
  <c r="Q998" i="8"/>
  <c r="A999" i="8"/>
  <c r="N998" i="8"/>
  <c r="T533" i="8" l="1"/>
  <c r="Q533" i="8"/>
  <c r="N533" i="8"/>
  <c r="A532" i="8"/>
  <c r="T999" i="8"/>
  <c r="Q999" i="8"/>
  <c r="A1000" i="8"/>
  <c r="N999" i="8"/>
  <c r="A531" i="8" l="1"/>
  <c r="T532" i="8"/>
  <c r="Q532" i="8"/>
  <c r="N532" i="8"/>
  <c r="T1000" i="8"/>
  <c r="Q1000" i="8"/>
  <c r="A1001" i="8"/>
  <c r="N1000" i="8"/>
  <c r="N531" i="8" l="1"/>
  <c r="T531" i="8"/>
  <c r="Q531" i="8"/>
  <c r="A530" i="8"/>
  <c r="T1001" i="8"/>
  <c r="Q1001" i="8"/>
  <c r="A1002" i="8"/>
  <c r="N1001" i="8"/>
  <c r="T530" i="8" l="1"/>
  <c r="A529" i="8"/>
  <c r="Q530" i="8"/>
  <c r="N530" i="8"/>
  <c r="T1002" i="8"/>
  <c r="Q1002" i="8"/>
  <c r="A1003" i="8"/>
  <c r="N1002" i="8"/>
  <c r="N529" i="8" l="1"/>
  <c r="Q529" i="8"/>
  <c r="T529" i="8"/>
  <c r="A528" i="8"/>
  <c r="T1003" i="8"/>
  <c r="Q1003" i="8"/>
  <c r="A1004" i="8"/>
  <c r="N1003" i="8"/>
  <c r="T528" i="8" l="1"/>
  <c r="A527" i="8"/>
  <c r="Q528" i="8"/>
  <c r="N528" i="8"/>
  <c r="T1004" i="8"/>
  <c r="Q1004" i="8"/>
  <c r="A1005" i="8"/>
  <c r="N1004" i="8"/>
  <c r="T527" i="8" l="1"/>
  <c r="Q527" i="8"/>
  <c r="N527" i="8"/>
  <c r="A526" i="8"/>
  <c r="T1005" i="8"/>
  <c r="Q1005" i="8"/>
  <c r="A1006" i="8"/>
  <c r="N1005" i="8"/>
  <c r="T526" i="8" l="1"/>
  <c r="Q526" i="8"/>
  <c r="N526" i="8"/>
  <c r="A525" i="8"/>
  <c r="T1006" i="8"/>
  <c r="Q1006" i="8"/>
  <c r="A1007" i="8"/>
  <c r="N1006" i="8"/>
  <c r="T525" i="8" l="1"/>
  <c r="Q525" i="8"/>
  <c r="A524" i="8"/>
  <c r="N525" i="8"/>
  <c r="T1007" i="8"/>
  <c r="Q1007" i="8"/>
  <c r="A1008" i="8"/>
  <c r="N1007" i="8"/>
  <c r="A523" i="8" l="1"/>
  <c r="T524" i="8"/>
  <c r="Q524" i="8"/>
  <c r="N524" i="8"/>
  <c r="T1008" i="8"/>
  <c r="Q1008" i="8"/>
  <c r="A1009" i="8"/>
  <c r="N1008" i="8"/>
  <c r="A522" i="8" l="1"/>
  <c r="T523" i="8"/>
  <c r="Q523" i="8"/>
  <c r="N523" i="8"/>
  <c r="T1009" i="8"/>
  <c r="Q1009" i="8"/>
  <c r="A1010" i="8"/>
  <c r="N1009" i="8"/>
  <c r="Q522" i="8" l="1"/>
  <c r="A521" i="8"/>
  <c r="N522" i="8"/>
  <c r="T522" i="8"/>
  <c r="T1010" i="8"/>
  <c r="Q1010" i="8"/>
  <c r="A1011" i="8"/>
  <c r="N1010" i="8"/>
  <c r="N521" i="8" l="1"/>
  <c r="Q521" i="8"/>
  <c r="T521" i="8"/>
  <c r="A520" i="8"/>
  <c r="T1011" i="8"/>
  <c r="Q1011" i="8"/>
  <c r="A1012" i="8"/>
  <c r="N1011" i="8"/>
  <c r="T520" i="8" l="1"/>
  <c r="Q520" i="8"/>
  <c r="N520" i="8"/>
  <c r="A519" i="8"/>
  <c r="T1012" i="8"/>
  <c r="Q1012" i="8"/>
  <c r="A1013" i="8"/>
  <c r="N1012" i="8"/>
  <c r="A518" i="8" l="1"/>
  <c r="T519" i="8"/>
  <c r="N519" i="8"/>
  <c r="Q519" i="8"/>
  <c r="T1013" i="8"/>
  <c r="Q1013" i="8"/>
  <c r="A1014" i="8"/>
  <c r="N1013" i="8"/>
  <c r="T518" i="8" l="1"/>
  <c r="N518" i="8"/>
  <c r="A517" i="8"/>
  <c r="Q518" i="8"/>
  <c r="T1014" i="8"/>
  <c r="Q1014" i="8"/>
  <c r="A1015" i="8"/>
  <c r="N1014" i="8"/>
  <c r="A516" i="8" l="1"/>
  <c r="Q517" i="8"/>
  <c r="N517" i="8"/>
  <c r="T517" i="8"/>
  <c r="T1015" i="8"/>
  <c r="Q1015" i="8"/>
  <c r="A1016" i="8"/>
  <c r="N1015" i="8"/>
  <c r="Q516" i="8" l="1"/>
  <c r="N516" i="8"/>
  <c r="A515" i="8"/>
  <c r="T516" i="8"/>
  <c r="T1016" i="8"/>
  <c r="Q1016" i="8"/>
  <c r="A1017" i="8"/>
  <c r="N1016" i="8"/>
  <c r="T515" i="8" l="1"/>
  <c r="Q515" i="8"/>
  <c r="A514" i="8"/>
  <c r="N515" i="8"/>
  <c r="T1017" i="8"/>
  <c r="Q1017" i="8"/>
  <c r="A1018" i="8"/>
  <c r="N1017" i="8"/>
  <c r="A513" i="8" l="1"/>
  <c r="T514" i="8"/>
  <c r="Q514" i="8"/>
  <c r="N514" i="8"/>
  <c r="T1018" i="8"/>
  <c r="Q1018" i="8"/>
  <c r="A1019" i="8"/>
  <c r="N1018" i="8"/>
  <c r="T513" i="8" l="1"/>
  <c r="Q513" i="8"/>
  <c r="N513" i="8"/>
  <c r="A512" i="8"/>
  <c r="T1019" i="8"/>
  <c r="Q1019" i="8"/>
  <c r="A1020" i="8"/>
  <c r="N1019" i="8"/>
  <c r="T512" i="8" l="1"/>
  <c r="Q512" i="8"/>
  <c r="A511" i="8"/>
  <c r="N512" i="8"/>
  <c r="T1020" i="8"/>
  <c r="Q1020" i="8"/>
  <c r="A1021" i="8"/>
  <c r="N1020" i="8"/>
  <c r="T511" i="8" l="1"/>
  <c r="Q511" i="8"/>
  <c r="A510" i="8"/>
  <c r="N511" i="8"/>
  <c r="T1021" i="8"/>
  <c r="Q1021" i="8"/>
  <c r="A1022" i="8"/>
  <c r="N1021" i="8"/>
  <c r="A509" i="8" l="1"/>
  <c r="T510" i="8"/>
  <c r="Q510" i="8"/>
  <c r="N510" i="8"/>
  <c r="T1022" i="8"/>
  <c r="Q1022" i="8"/>
  <c r="A1023" i="8"/>
  <c r="N1022" i="8"/>
  <c r="Q509" i="8" l="1"/>
  <c r="N509" i="8"/>
  <c r="A508" i="8"/>
  <c r="T509" i="8"/>
  <c r="T1023" i="8"/>
  <c r="Q1023" i="8"/>
  <c r="A1024" i="8"/>
  <c r="N1023" i="8"/>
  <c r="T508" i="8" l="1"/>
  <c r="A507" i="8"/>
  <c r="Q508" i="8"/>
  <c r="N508" i="8"/>
  <c r="T1024" i="8"/>
  <c r="Q1024" i="8"/>
  <c r="A1025" i="8"/>
  <c r="N1024" i="8"/>
  <c r="N507" i="8" l="1"/>
  <c r="Q507" i="8"/>
  <c r="A506" i="8"/>
  <c r="T507" i="8"/>
  <c r="T1025" i="8"/>
  <c r="Q1025" i="8"/>
  <c r="A1026" i="8"/>
  <c r="N1025" i="8"/>
  <c r="N506" i="8" l="1"/>
  <c r="A505" i="8"/>
  <c r="T506" i="8"/>
  <c r="Q506" i="8"/>
  <c r="T1026" i="8"/>
  <c r="Q1026" i="8"/>
  <c r="A1027" i="8"/>
  <c r="N1026" i="8"/>
  <c r="T505" i="8" l="1"/>
  <c r="Q505" i="8"/>
  <c r="N505" i="8"/>
  <c r="A504" i="8"/>
  <c r="T1027" i="8"/>
  <c r="Q1027" i="8"/>
  <c r="A1028" i="8"/>
  <c r="N1027" i="8"/>
  <c r="A503" i="8" l="1"/>
  <c r="T504" i="8"/>
  <c r="Q504" i="8"/>
  <c r="N504" i="8"/>
  <c r="T1028" i="8"/>
  <c r="Q1028" i="8"/>
  <c r="A1029" i="8"/>
  <c r="N1028" i="8"/>
  <c r="T503" i="8" l="1"/>
  <c r="Q503" i="8"/>
  <c r="A502" i="8"/>
  <c r="N503" i="8"/>
  <c r="T1029" i="8"/>
  <c r="Q1029" i="8"/>
  <c r="A1030" i="8"/>
  <c r="N1029" i="8"/>
  <c r="A501" i="8" l="1"/>
  <c r="T502" i="8"/>
  <c r="Q502" i="8"/>
  <c r="N502" i="8"/>
  <c r="T1030" i="8"/>
  <c r="Q1030" i="8"/>
  <c r="A1031" i="8"/>
  <c r="N1030" i="8"/>
  <c r="A500" i="8" l="1"/>
  <c r="T501" i="8"/>
  <c r="Q501" i="8"/>
  <c r="N501" i="8"/>
  <c r="T1031" i="8"/>
  <c r="Q1031" i="8"/>
  <c r="A1032" i="8"/>
  <c r="N1031" i="8"/>
  <c r="A499" i="8" l="1"/>
  <c r="T500" i="8"/>
  <c r="Q500" i="8"/>
  <c r="N500" i="8"/>
  <c r="T1032" i="8"/>
  <c r="Q1032" i="8"/>
  <c r="A1033" i="8"/>
  <c r="N1032" i="8"/>
  <c r="T499" i="8" l="1"/>
  <c r="Q499" i="8"/>
  <c r="A498" i="8"/>
  <c r="N499" i="8"/>
  <c r="T1033" i="8"/>
  <c r="Q1033" i="8"/>
  <c r="A1034" i="8"/>
  <c r="N1033" i="8"/>
  <c r="T498" i="8" l="1"/>
  <c r="Q498" i="8"/>
  <c r="N498" i="8"/>
  <c r="A497" i="8"/>
  <c r="T1034" i="8"/>
  <c r="Q1034" i="8"/>
  <c r="A1035" i="8"/>
  <c r="N1034" i="8"/>
  <c r="T497" i="8" l="1"/>
  <c r="Q497" i="8"/>
  <c r="N497" i="8"/>
  <c r="A496" i="8"/>
  <c r="T1035" i="8"/>
  <c r="Q1035" i="8"/>
  <c r="A1036" i="8"/>
  <c r="N1035" i="8"/>
  <c r="Q496" i="8" l="1"/>
  <c r="N496" i="8"/>
  <c r="A495" i="8"/>
  <c r="T496" i="8"/>
  <c r="T1036" i="8"/>
  <c r="Q1036" i="8"/>
  <c r="A1037" i="8"/>
  <c r="N1036" i="8"/>
  <c r="A494" i="8" l="1"/>
  <c r="T495" i="8"/>
  <c r="Q495" i="8"/>
  <c r="N495" i="8"/>
  <c r="T1037" i="8"/>
  <c r="Q1037" i="8"/>
  <c r="A1038" i="8"/>
  <c r="N1037" i="8"/>
  <c r="Q494" i="8" l="1"/>
  <c r="N494" i="8"/>
  <c r="A493" i="8"/>
  <c r="T494" i="8"/>
  <c r="T1038" i="8"/>
  <c r="Q1038" i="8"/>
  <c r="A1039" i="8"/>
  <c r="N1038" i="8"/>
  <c r="A492" i="8" l="1"/>
  <c r="T493" i="8"/>
  <c r="Q493" i="8"/>
  <c r="N493" i="8"/>
  <c r="T1039" i="8"/>
  <c r="Q1039" i="8"/>
  <c r="A1040" i="8"/>
  <c r="N1039" i="8"/>
  <c r="Q492" i="8" l="1"/>
  <c r="A491" i="8"/>
  <c r="N492" i="8"/>
  <c r="T492" i="8"/>
  <c r="T1040" i="8"/>
  <c r="Q1040" i="8"/>
  <c r="A1041" i="8"/>
  <c r="N1040" i="8"/>
  <c r="T491" i="8" l="1"/>
  <c r="Q491" i="8"/>
  <c r="A490" i="8"/>
  <c r="N491" i="8"/>
  <c r="T1041" i="8"/>
  <c r="Q1041" i="8"/>
  <c r="A1042" i="8"/>
  <c r="N1041" i="8"/>
  <c r="T490" i="8" l="1"/>
  <c r="A489" i="8"/>
  <c r="Q490" i="8"/>
  <c r="N490" i="8"/>
  <c r="T1042" i="8"/>
  <c r="Q1042" i="8"/>
  <c r="A1043" i="8"/>
  <c r="N1042" i="8"/>
  <c r="N489" i="8" l="1"/>
  <c r="A488" i="8"/>
  <c r="Q489" i="8"/>
  <c r="T489" i="8"/>
  <c r="T1043" i="8"/>
  <c r="Q1043" i="8"/>
  <c r="A1044" i="8"/>
  <c r="N1043" i="8"/>
  <c r="A487" i="8" l="1"/>
  <c r="T488" i="8"/>
  <c r="N488" i="8"/>
  <c r="Q488" i="8"/>
  <c r="T1044" i="8"/>
  <c r="Q1044" i="8"/>
  <c r="A1045" i="8"/>
  <c r="N1044" i="8"/>
  <c r="T487" i="8" l="1"/>
  <c r="N487" i="8"/>
  <c r="Q487" i="8"/>
  <c r="A486" i="8"/>
  <c r="T1045" i="8"/>
  <c r="Q1045" i="8"/>
  <c r="A1046" i="8"/>
  <c r="N1045" i="8"/>
  <c r="A485" i="8" l="1"/>
  <c r="T486" i="8"/>
  <c r="Q486" i="8"/>
  <c r="N486" i="8"/>
  <c r="T1046" i="8"/>
  <c r="Q1046" i="8"/>
  <c r="A1047" i="8"/>
  <c r="N1046" i="8"/>
  <c r="T485" i="8" l="1"/>
  <c r="Q485" i="8"/>
  <c r="N485" i="8"/>
  <c r="A484" i="8"/>
  <c r="T1047" i="8"/>
  <c r="Q1047" i="8"/>
  <c r="A1048" i="8"/>
  <c r="N1047" i="8"/>
  <c r="T484" i="8" l="1"/>
  <c r="Q484" i="8"/>
  <c r="A483" i="8"/>
  <c r="N484" i="8"/>
  <c r="T1048" i="8"/>
  <c r="Q1048" i="8"/>
  <c r="A1049" i="8"/>
  <c r="N1048" i="8"/>
  <c r="A482" i="8" l="1"/>
  <c r="Q483" i="8"/>
  <c r="N483" i="8"/>
  <c r="T483" i="8"/>
  <c r="T1049" i="8"/>
  <c r="Q1049" i="8"/>
  <c r="A1050" i="8"/>
  <c r="N1049" i="8"/>
  <c r="A481" i="8" l="1"/>
  <c r="N482" i="8"/>
  <c r="T482" i="8"/>
  <c r="Q482" i="8"/>
  <c r="T1050" i="8"/>
  <c r="Q1050" i="8"/>
  <c r="A1051" i="8"/>
  <c r="N1050" i="8"/>
  <c r="T481" i="8" l="1"/>
  <c r="A480" i="8"/>
  <c r="Q481" i="8"/>
  <c r="N481" i="8"/>
  <c r="T1051" i="8"/>
  <c r="Q1051" i="8"/>
  <c r="A1052" i="8"/>
  <c r="N1051" i="8"/>
  <c r="T480" i="8" l="1"/>
  <c r="Q480" i="8"/>
  <c r="N480" i="8"/>
  <c r="A479" i="8"/>
  <c r="T1052" i="8"/>
  <c r="Q1052" i="8"/>
  <c r="A1053" i="8"/>
  <c r="N1052" i="8"/>
  <c r="N479" i="8" l="1"/>
  <c r="T479" i="8"/>
  <c r="Q479" i="8"/>
  <c r="A478" i="8"/>
  <c r="T1053" i="8"/>
  <c r="Q1053" i="8"/>
  <c r="A1054" i="8"/>
  <c r="N1053" i="8"/>
  <c r="A477" i="8" l="1"/>
  <c r="Q478" i="8"/>
  <c r="N478" i="8"/>
  <c r="T478" i="8"/>
  <c r="T1054" i="8"/>
  <c r="Q1054" i="8"/>
  <c r="A1055" i="8"/>
  <c r="N1054" i="8"/>
  <c r="Q477" i="8" l="1"/>
  <c r="N477" i="8"/>
  <c r="T477" i="8"/>
  <c r="A476" i="8"/>
  <c r="T1055" i="8"/>
  <c r="Q1055" i="8"/>
  <c r="A1056" i="8"/>
  <c r="N1055" i="8"/>
  <c r="A475" i="8" l="1"/>
  <c r="Q476" i="8"/>
  <c r="N476" i="8"/>
  <c r="T476" i="8"/>
  <c r="T1056" i="8"/>
  <c r="Q1056" i="8"/>
  <c r="A1057" i="8"/>
  <c r="N1056" i="8"/>
  <c r="T475" i="8" l="1"/>
  <c r="Q475" i="8"/>
  <c r="A474" i="8"/>
  <c r="N475" i="8"/>
  <c r="T1057" i="8"/>
  <c r="Q1057" i="8"/>
  <c r="A1058" i="8"/>
  <c r="N1057" i="8"/>
  <c r="Q474" i="8" l="1"/>
  <c r="A473" i="8"/>
  <c r="N474" i="8"/>
  <c r="T474" i="8"/>
  <c r="T1058" i="8"/>
  <c r="Q1058" i="8"/>
  <c r="A1059" i="8"/>
  <c r="N1058" i="8"/>
  <c r="A472" i="8" l="1"/>
  <c r="Q473" i="8"/>
  <c r="N473" i="8"/>
  <c r="T473" i="8"/>
  <c r="T1059" i="8"/>
  <c r="Q1059" i="8"/>
  <c r="A1060" i="8"/>
  <c r="N1059" i="8"/>
  <c r="Q472" i="8" l="1"/>
  <c r="N472" i="8"/>
  <c r="A471" i="8"/>
  <c r="T472" i="8"/>
  <c r="T1060" i="8"/>
  <c r="Q1060" i="8"/>
  <c r="A1061" i="8"/>
  <c r="N1060" i="8"/>
  <c r="T471" i="8" l="1"/>
  <c r="N471" i="8"/>
  <c r="A470" i="8"/>
  <c r="Q471" i="8"/>
  <c r="T1061" i="8"/>
  <c r="Q1061" i="8"/>
  <c r="A1062" i="8"/>
  <c r="N1061" i="8"/>
  <c r="N470" i="8" l="1"/>
  <c r="T470" i="8"/>
  <c r="A469" i="8"/>
  <c r="Q470" i="8"/>
  <c r="T1062" i="8"/>
  <c r="Q1062" i="8"/>
  <c r="A1063" i="8"/>
  <c r="N1062" i="8"/>
  <c r="A468" i="8" l="1"/>
  <c r="T469" i="8"/>
  <c r="Q469" i="8"/>
  <c r="N469" i="8"/>
  <c r="T1063" i="8"/>
  <c r="Q1063" i="8"/>
  <c r="A1064" i="8"/>
  <c r="N1063" i="8"/>
  <c r="N468" i="8" l="1"/>
  <c r="Q468" i="8"/>
  <c r="T468" i="8"/>
  <c r="A467" i="8"/>
  <c r="T1064" i="8"/>
  <c r="Q1064" i="8"/>
  <c r="A1065" i="8"/>
  <c r="N1064" i="8"/>
  <c r="Q467" i="8" l="1"/>
  <c r="N467" i="8"/>
  <c r="T467" i="8"/>
  <c r="A466" i="8"/>
  <c r="T1065" i="8"/>
  <c r="Q1065" i="8"/>
  <c r="A1066" i="8"/>
  <c r="N1065" i="8"/>
  <c r="Q466" i="8" l="1"/>
  <c r="N466" i="8"/>
  <c r="A465" i="8"/>
  <c r="T466" i="8"/>
  <c r="T1066" i="8"/>
  <c r="Q1066" i="8"/>
  <c r="A1067" i="8"/>
  <c r="N1066" i="8"/>
  <c r="Q465" i="8" l="1"/>
  <c r="A464" i="8"/>
  <c r="T465" i="8"/>
  <c r="N465" i="8"/>
  <c r="T1067" i="8"/>
  <c r="Q1067" i="8"/>
  <c r="A1068" i="8"/>
  <c r="N1067" i="8"/>
  <c r="Q464" i="8" l="1"/>
  <c r="A463" i="8"/>
  <c r="T464" i="8"/>
  <c r="N464" i="8"/>
  <c r="T1068" i="8"/>
  <c r="Q1068" i="8"/>
  <c r="A1069" i="8"/>
  <c r="N1068" i="8"/>
  <c r="A462" i="8" l="1"/>
  <c r="T463" i="8"/>
  <c r="Q463" i="8"/>
  <c r="N463" i="8"/>
  <c r="T1069" i="8"/>
  <c r="Q1069" i="8"/>
  <c r="A1070" i="8"/>
  <c r="N1069" i="8"/>
  <c r="T462" i="8" l="1"/>
  <c r="Q462" i="8"/>
  <c r="N462" i="8"/>
  <c r="A461" i="8"/>
  <c r="T1070" i="8"/>
  <c r="Q1070" i="8"/>
  <c r="A1071" i="8"/>
  <c r="N1070" i="8"/>
  <c r="A460" i="8" l="1"/>
  <c r="T461" i="8"/>
  <c r="Q461" i="8"/>
  <c r="N461" i="8"/>
  <c r="T1071" i="8"/>
  <c r="Q1071" i="8"/>
  <c r="A1072" i="8"/>
  <c r="N1071" i="8"/>
  <c r="A459" i="8" l="1"/>
  <c r="N460" i="8"/>
  <c r="T460" i="8"/>
  <c r="Q460" i="8"/>
  <c r="T1072" i="8"/>
  <c r="Q1072" i="8"/>
  <c r="A1073" i="8"/>
  <c r="N1072" i="8"/>
  <c r="T459" i="8" l="1"/>
  <c r="Q459" i="8"/>
  <c r="N459" i="8"/>
  <c r="A458" i="8"/>
  <c r="T1073" i="8"/>
  <c r="Q1073" i="8"/>
  <c r="A1074" i="8"/>
  <c r="N1073" i="8"/>
  <c r="A457" i="8" l="1"/>
  <c r="T458" i="8"/>
  <c r="Q458" i="8"/>
  <c r="N458" i="8"/>
  <c r="T1074" i="8"/>
  <c r="Q1074" i="8"/>
  <c r="A1075" i="8"/>
  <c r="N1074" i="8"/>
  <c r="N457" i="8" l="1"/>
  <c r="T457" i="8"/>
  <c r="Q457" i="8"/>
  <c r="A456" i="8"/>
  <c r="T1075" i="8"/>
  <c r="Q1075" i="8"/>
  <c r="A1076" i="8"/>
  <c r="N1075" i="8"/>
  <c r="A455" i="8" l="1"/>
  <c r="Q456" i="8"/>
  <c r="N456" i="8"/>
  <c r="T456" i="8"/>
  <c r="T1076" i="8"/>
  <c r="Q1076" i="8"/>
  <c r="A1077" i="8"/>
  <c r="N1076" i="8"/>
  <c r="T455" i="8" l="1"/>
  <c r="Q455" i="8"/>
  <c r="A454" i="8"/>
  <c r="N455" i="8"/>
  <c r="T1077" i="8"/>
  <c r="Q1077" i="8"/>
  <c r="A1078" i="8"/>
  <c r="N1077" i="8"/>
  <c r="T454" i="8" l="1"/>
  <c r="A453" i="8"/>
  <c r="Q454" i="8"/>
  <c r="N454" i="8"/>
  <c r="T1078" i="8"/>
  <c r="Q1078" i="8"/>
  <c r="A1079" i="8"/>
  <c r="N1078" i="8"/>
  <c r="T453" i="8" l="1"/>
  <c r="Q453" i="8"/>
  <c r="A452" i="8"/>
  <c r="N453" i="8"/>
  <c r="T1079" i="8"/>
  <c r="Q1079" i="8"/>
  <c r="A1080" i="8"/>
  <c r="N1079" i="8"/>
  <c r="A451" i="8" l="1"/>
  <c r="T452" i="8"/>
  <c r="Q452" i="8"/>
  <c r="N452" i="8"/>
  <c r="T1080" i="8"/>
  <c r="Q1080" i="8"/>
  <c r="A1081" i="8"/>
  <c r="N1080" i="8"/>
  <c r="A450" i="8" l="1"/>
  <c r="T451" i="8"/>
  <c r="Q451" i="8"/>
  <c r="N451" i="8"/>
  <c r="T1081" i="8"/>
  <c r="Q1081" i="8"/>
  <c r="A1082" i="8"/>
  <c r="N1081" i="8"/>
  <c r="N450" i="8" l="1"/>
  <c r="A449" i="8"/>
  <c r="T450" i="8"/>
  <c r="Q450" i="8"/>
  <c r="T1082" i="8"/>
  <c r="Q1082" i="8"/>
  <c r="A1083" i="8"/>
  <c r="N1082" i="8"/>
  <c r="N449" i="8" l="1"/>
  <c r="A448" i="8"/>
  <c r="T449" i="8"/>
  <c r="Q449" i="8"/>
  <c r="T1083" i="8"/>
  <c r="Q1083" i="8"/>
  <c r="A1084" i="8"/>
  <c r="N1083" i="8"/>
  <c r="T448" i="8" l="1"/>
  <c r="Q448" i="8"/>
  <c r="N448" i="8"/>
  <c r="A447" i="8"/>
  <c r="T1084" i="8"/>
  <c r="Q1084" i="8"/>
  <c r="A1085" i="8"/>
  <c r="N1084" i="8"/>
  <c r="T447" i="8" l="1"/>
  <c r="Q447" i="8"/>
  <c r="A446" i="8"/>
  <c r="N447" i="8"/>
  <c r="T1085" i="8"/>
  <c r="Q1085" i="8"/>
  <c r="A1086" i="8"/>
  <c r="N1085" i="8"/>
  <c r="A445" i="8" l="1"/>
  <c r="T446" i="8"/>
  <c r="Q446" i="8"/>
  <c r="N446" i="8"/>
  <c r="T1086" i="8"/>
  <c r="Q1086" i="8"/>
  <c r="A1087" i="8"/>
  <c r="N1086" i="8"/>
  <c r="N445" i="8" l="1"/>
  <c r="T445" i="8"/>
  <c r="A444" i="8"/>
  <c r="Q445" i="8"/>
  <c r="T1087" i="8"/>
  <c r="Q1087" i="8"/>
  <c r="A1088" i="8"/>
  <c r="N1087" i="8"/>
  <c r="Q444" i="8" l="1"/>
  <c r="N444" i="8"/>
  <c r="T444" i="8"/>
  <c r="A443" i="8"/>
  <c r="T1088" i="8"/>
  <c r="Q1088" i="8"/>
  <c r="A1089" i="8"/>
  <c r="N1088" i="8"/>
  <c r="Q443" i="8" l="1"/>
  <c r="N443" i="8"/>
  <c r="T443" i="8"/>
  <c r="A442" i="8"/>
  <c r="T1089" i="8"/>
  <c r="Q1089" i="8"/>
  <c r="A1090" i="8"/>
  <c r="N1089" i="8"/>
  <c r="T442" i="8" l="1"/>
  <c r="Q442" i="8"/>
  <c r="A441" i="8"/>
  <c r="N442" i="8"/>
  <c r="T1090" i="8"/>
  <c r="Q1090" i="8"/>
  <c r="A1091" i="8"/>
  <c r="N1090" i="8"/>
  <c r="T441" i="8" l="1"/>
  <c r="Q441" i="8"/>
  <c r="N441" i="8"/>
  <c r="A440" i="8"/>
  <c r="T1091" i="8"/>
  <c r="Q1091" i="8"/>
  <c r="A1092" i="8"/>
  <c r="N1091" i="8"/>
  <c r="T440" i="8" l="1"/>
  <c r="Q440" i="8"/>
  <c r="N440" i="8"/>
  <c r="A439" i="8"/>
  <c r="T1092" i="8"/>
  <c r="Q1092" i="8"/>
  <c r="A1093" i="8"/>
  <c r="N1092" i="8"/>
  <c r="N439" i="8" l="1"/>
  <c r="A438" i="8"/>
  <c r="T439" i="8"/>
  <c r="Q439" i="8"/>
  <c r="T1093" i="8"/>
  <c r="Q1093" i="8"/>
  <c r="A1094" i="8"/>
  <c r="N1093" i="8"/>
  <c r="T438" i="8" l="1"/>
  <c r="Q438" i="8"/>
  <c r="N438" i="8"/>
  <c r="A437" i="8"/>
  <c r="T1094" i="8"/>
  <c r="Q1094" i="8"/>
  <c r="A1095" i="8"/>
  <c r="N1094" i="8"/>
  <c r="A436" i="8" l="1"/>
  <c r="T437" i="8"/>
  <c r="Q437" i="8"/>
  <c r="N437" i="8"/>
  <c r="T1095" i="8"/>
  <c r="Q1095" i="8"/>
  <c r="A1096" i="8"/>
  <c r="N1095" i="8"/>
  <c r="Q436" i="8" l="1"/>
  <c r="N436" i="8"/>
  <c r="A435" i="8"/>
  <c r="T436" i="8"/>
  <c r="T1096" i="8"/>
  <c r="Q1096" i="8"/>
  <c r="A1097" i="8"/>
  <c r="N1096" i="8"/>
  <c r="T435" i="8" l="1"/>
  <c r="Q435" i="8"/>
  <c r="A434" i="8"/>
  <c r="N435" i="8"/>
  <c r="T1097" i="8"/>
  <c r="Q1097" i="8"/>
  <c r="A1098" i="8"/>
  <c r="N1097" i="8"/>
  <c r="T434" i="8" l="1"/>
  <c r="Q434" i="8"/>
  <c r="N434" i="8"/>
  <c r="A433" i="8"/>
  <c r="T1098" i="8"/>
  <c r="Q1098" i="8"/>
  <c r="A1099" i="8"/>
  <c r="N1098" i="8"/>
  <c r="Q433" i="8" l="1"/>
  <c r="N433" i="8"/>
  <c r="T433" i="8"/>
  <c r="A432" i="8"/>
  <c r="T1099" i="8"/>
  <c r="Q1099" i="8"/>
  <c r="A1100" i="8"/>
  <c r="N1099" i="8"/>
  <c r="T432" i="8" l="1"/>
  <c r="A431" i="8"/>
  <c r="Q432" i="8"/>
  <c r="N432" i="8"/>
  <c r="T1100" i="8"/>
  <c r="Q1100" i="8"/>
  <c r="A1101" i="8"/>
  <c r="N1100" i="8"/>
  <c r="T431" i="8" l="1"/>
  <c r="Q431" i="8"/>
  <c r="N431" i="8"/>
  <c r="A430" i="8"/>
  <c r="T1101" i="8"/>
  <c r="Q1101" i="8"/>
  <c r="A1102" i="8"/>
  <c r="N1101" i="8"/>
  <c r="A429" i="8" l="1"/>
  <c r="T430" i="8"/>
  <c r="Q430" i="8"/>
  <c r="N430" i="8"/>
  <c r="T1102" i="8"/>
  <c r="Q1102" i="8"/>
  <c r="A1103" i="8"/>
  <c r="N1102" i="8"/>
  <c r="T429" i="8" l="1"/>
  <c r="Q429" i="8"/>
  <c r="N429" i="8"/>
  <c r="A428" i="8"/>
  <c r="T1103" i="8"/>
  <c r="Q1103" i="8"/>
  <c r="A1104" i="8"/>
  <c r="N1103" i="8"/>
  <c r="T428" i="8" l="1"/>
  <c r="Q428" i="8"/>
  <c r="A427" i="8"/>
  <c r="N428" i="8"/>
  <c r="T1104" i="8"/>
  <c r="Q1104" i="8"/>
  <c r="A1105" i="8"/>
  <c r="N1104" i="8"/>
  <c r="N427" i="8" l="1"/>
  <c r="A426" i="8"/>
  <c r="Q427" i="8"/>
  <c r="T427" i="8"/>
  <c r="T1105" i="8"/>
  <c r="Q1105" i="8"/>
  <c r="A1106" i="8"/>
  <c r="N1105" i="8"/>
  <c r="N426" i="8" l="1"/>
  <c r="A425" i="8"/>
  <c r="Q426" i="8"/>
  <c r="T426" i="8"/>
  <c r="T1106" i="8"/>
  <c r="Q1106" i="8"/>
  <c r="A1107" i="8"/>
  <c r="N1106" i="8"/>
  <c r="T425" i="8" l="1"/>
  <c r="Q425" i="8"/>
  <c r="N425" i="8"/>
  <c r="A424" i="8"/>
  <c r="T1107" i="8"/>
  <c r="Q1107" i="8"/>
  <c r="A1108" i="8"/>
  <c r="N1107" i="8"/>
  <c r="T424" i="8" l="1"/>
  <c r="A423" i="8"/>
  <c r="Q424" i="8"/>
  <c r="N424" i="8"/>
  <c r="T1108" i="8"/>
  <c r="Q1108" i="8"/>
  <c r="A1109" i="8"/>
  <c r="N1108" i="8"/>
  <c r="T423" i="8" l="1"/>
  <c r="Q423" i="8"/>
  <c r="N423" i="8"/>
  <c r="A422" i="8"/>
  <c r="T1109" i="8"/>
  <c r="Q1109" i="8"/>
  <c r="A1110" i="8"/>
  <c r="N1109" i="8"/>
  <c r="A421" i="8" l="1"/>
  <c r="T422" i="8"/>
  <c r="Q422" i="8"/>
  <c r="N422" i="8"/>
  <c r="T1110" i="8"/>
  <c r="Q1110" i="8"/>
  <c r="A1111" i="8"/>
  <c r="N1110" i="8"/>
  <c r="A420" i="8" l="1"/>
  <c r="T421" i="8"/>
  <c r="Q421" i="8"/>
  <c r="N421" i="8"/>
  <c r="T1111" i="8"/>
  <c r="Q1111" i="8"/>
  <c r="A1112" i="8"/>
  <c r="N1111" i="8"/>
  <c r="T420" i="8" l="1"/>
  <c r="A419" i="8"/>
  <c r="Q420" i="8"/>
  <c r="N420" i="8"/>
  <c r="T1112" i="8"/>
  <c r="Q1112" i="8"/>
  <c r="A1113" i="8"/>
  <c r="N1112" i="8"/>
  <c r="N419" i="8" l="1"/>
  <c r="Q419" i="8"/>
  <c r="T419" i="8"/>
  <c r="A418" i="8"/>
  <c r="T1113" i="8"/>
  <c r="Q1113" i="8"/>
  <c r="A1114" i="8"/>
  <c r="N1113" i="8"/>
  <c r="A417" i="8" l="1"/>
  <c r="T418" i="8"/>
  <c r="N418" i="8"/>
  <c r="Q418" i="8"/>
  <c r="T1114" i="8"/>
  <c r="Q1114" i="8"/>
  <c r="A1115" i="8"/>
  <c r="N1114" i="8"/>
  <c r="Q417" i="8" l="1"/>
  <c r="N417" i="8"/>
  <c r="A416" i="8"/>
  <c r="T417" i="8"/>
  <c r="T1115" i="8"/>
  <c r="Q1115" i="8"/>
  <c r="A1116" i="8"/>
  <c r="N1115" i="8"/>
  <c r="N416" i="8" l="1"/>
  <c r="A415" i="8"/>
  <c r="Q416" i="8"/>
  <c r="T416" i="8"/>
  <c r="T1116" i="8"/>
  <c r="Q1116" i="8"/>
  <c r="A1117" i="8"/>
  <c r="N1116" i="8"/>
  <c r="N415" i="8" l="1"/>
  <c r="T415" i="8"/>
  <c r="Q415" i="8"/>
  <c r="A414" i="8"/>
  <c r="T1117" i="8"/>
  <c r="Q1117" i="8"/>
  <c r="A1118" i="8"/>
  <c r="N1117" i="8"/>
  <c r="Q414" i="8" l="1"/>
  <c r="N414" i="8"/>
  <c r="A413" i="8"/>
  <c r="T414" i="8"/>
  <c r="T1118" i="8"/>
  <c r="Q1118" i="8"/>
  <c r="A1119" i="8"/>
  <c r="N1118" i="8"/>
  <c r="T413" i="8" l="1"/>
  <c r="Q413" i="8"/>
  <c r="A412" i="8"/>
  <c r="N413" i="8"/>
  <c r="T1119" i="8"/>
  <c r="Q1119" i="8"/>
  <c r="A1120" i="8"/>
  <c r="N1119" i="8"/>
  <c r="A411" i="8" l="1"/>
  <c r="T412" i="8"/>
  <c r="Q412" i="8"/>
  <c r="N412" i="8"/>
  <c r="T1120" i="8"/>
  <c r="Q1120" i="8"/>
  <c r="A1121" i="8"/>
  <c r="N1120" i="8"/>
  <c r="A410" i="8" l="1"/>
  <c r="T411" i="8"/>
  <c r="Q411" i="8"/>
  <c r="N411" i="8"/>
  <c r="T1121" i="8"/>
  <c r="Q1121" i="8"/>
  <c r="A1122" i="8"/>
  <c r="N1121" i="8"/>
  <c r="T410" i="8" l="1"/>
  <c r="A409" i="8"/>
  <c r="Q410" i="8"/>
  <c r="N410" i="8"/>
  <c r="T1122" i="8"/>
  <c r="Q1122" i="8"/>
  <c r="A1123" i="8"/>
  <c r="N1122" i="8"/>
  <c r="N409" i="8" l="1"/>
  <c r="T409" i="8"/>
  <c r="A408" i="8"/>
  <c r="Q409" i="8"/>
  <c r="T1123" i="8"/>
  <c r="Q1123" i="8"/>
  <c r="A1124" i="8"/>
  <c r="N1123" i="8"/>
  <c r="A407" i="8" l="1"/>
  <c r="T408" i="8"/>
  <c r="Q408" i="8"/>
  <c r="N408" i="8"/>
  <c r="T1124" i="8"/>
  <c r="Q1124" i="8"/>
  <c r="A1125" i="8"/>
  <c r="N1124" i="8"/>
  <c r="T407" i="8" l="1"/>
  <c r="Q407" i="8"/>
  <c r="N407" i="8"/>
  <c r="A406" i="8"/>
  <c r="T1125" i="8"/>
  <c r="Q1125" i="8"/>
  <c r="A1126" i="8"/>
  <c r="N1125" i="8"/>
  <c r="N406" i="8" l="1"/>
  <c r="A405" i="8"/>
  <c r="T406" i="8"/>
  <c r="Q406" i="8"/>
  <c r="T1126" i="8"/>
  <c r="Q1126" i="8"/>
  <c r="A1127" i="8"/>
  <c r="N1126" i="8"/>
  <c r="N405" i="8" l="1"/>
  <c r="A404" i="8"/>
  <c r="T405" i="8"/>
  <c r="Q405" i="8"/>
  <c r="T1127" i="8"/>
  <c r="Q1127" i="8"/>
  <c r="A1128" i="8"/>
  <c r="N1127" i="8"/>
  <c r="A403" i="8" l="1"/>
  <c r="T404" i="8"/>
  <c r="N404" i="8"/>
  <c r="Q404" i="8"/>
  <c r="T1128" i="8"/>
  <c r="Q1128" i="8"/>
  <c r="A1129" i="8"/>
  <c r="N1128" i="8"/>
  <c r="T403" i="8" l="1"/>
  <c r="Q403" i="8"/>
  <c r="N403" i="8"/>
  <c r="A402" i="8"/>
  <c r="T1129" i="8"/>
  <c r="Q1129" i="8"/>
  <c r="A1130" i="8"/>
  <c r="N1129" i="8"/>
  <c r="A401" i="8" l="1"/>
  <c r="T402" i="8"/>
  <c r="Q402" i="8"/>
  <c r="N402" i="8"/>
  <c r="T1130" i="8"/>
  <c r="Q1130" i="8"/>
  <c r="A1131" i="8"/>
  <c r="N1130" i="8"/>
  <c r="T401" i="8" l="1"/>
  <c r="Q401" i="8"/>
  <c r="A400" i="8"/>
  <c r="N401" i="8"/>
  <c r="T1131" i="8"/>
  <c r="Q1131" i="8"/>
  <c r="N1131" i="8"/>
  <c r="A1132" i="8"/>
  <c r="T400" i="8" l="1"/>
  <c r="Q400" i="8"/>
  <c r="N400" i="8"/>
  <c r="A399" i="8"/>
  <c r="T1132" i="8"/>
  <c r="Q1132" i="8"/>
  <c r="N1132" i="8"/>
  <c r="A1133" i="8"/>
  <c r="A398" i="8" l="1"/>
  <c r="Q399" i="8"/>
  <c r="N399" i="8"/>
  <c r="T399" i="8"/>
  <c r="T1133" i="8"/>
  <c r="Q1133" i="8"/>
  <c r="N1133" i="8"/>
  <c r="A1134" i="8"/>
  <c r="T398" i="8" l="1"/>
  <c r="Q398" i="8"/>
  <c r="A397" i="8"/>
  <c r="N398" i="8"/>
  <c r="T1134" i="8"/>
  <c r="Q1134" i="8"/>
  <c r="N1134" i="8"/>
  <c r="A1135" i="8"/>
  <c r="T397" i="8" l="1"/>
  <c r="Q397" i="8"/>
  <c r="A396" i="8"/>
  <c r="N397" i="8"/>
  <c r="T1135" i="8"/>
  <c r="Q1135" i="8"/>
  <c r="N1135" i="8"/>
  <c r="A1136" i="8"/>
  <c r="T396" i="8" l="1"/>
  <c r="Q396" i="8"/>
  <c r="N396" i="8"/>
  <c r="A395" i="8"/>
  <c r="T1136" i="8"/>
  <c r="Q1136" i="8"/>
  <c r="N1136" i="8"/>
  <c r="A1137" i="8"/>
  <c r="T395" i="8" l="1"/>
  <c r="Q395" i="8"/>
  <c r="N395" i="8"/>
  <c r="A394" i="8"/>
  <c r="T1137" i="8"/>
  <c r="Q1137" i="8"/>
  <c r="N1137" i="8"/>
  <c r="A1138" i="8"/>
  <c r="N394" i="8" l="1"/>
  <c r="A393" i="8"/>
  <c r="T394" i="8"/>
  <c r="Q394" i="8"/>
  <c r="T1138" i="8"/>
  <c r="Q1138" i="8"/>
  <c r="N1138" i="8"/>
  <c r="A1139" i="8"/>
  <c r="T393" i="8" l="1"/>
  <c r="Q393" i="8"/>
  <c r="A392" i="8"/>
  <c r="N393" i="8"/>
  <c r="T1139" i="8"/>
  <c r="Q1139" i="8"/>
  <c r="N1139" i="8"/>
  <c r="A1140" i="8"/>
  <c r="Q392" i="8" l="1"/>
  <c r="N392" i="8"/>
  <c r="A391" i="8"/>
  <c r="T392" i="8"/>
  <c r="T1140" i="8"/>
  <c r="Q1140" i="8"/>
  <c r="N1140" i="8"/>
  <c r="A1141" i="8"/>
  <c r="T391" i="8" l="1"/>
  <c r="N391" i="8"/>
  <c r="Q391" i="8"/>
  <c r="A390" i="8"/>
  <c r="T1141" i="8"/>
  <c r="Q1141" i="8"/>
  <c r="N1141" i="8"/>
  <c r="A1142" i="8"/>
  <c r="Q390" i="8" l="1"/>
  <c r="A389" i="8"/>
  <c r="N390" i="8"/>
  <c r="T390" i="8"/>
  <c r="T1142" i="8"/>
  <c r="Q1142" i="8"/>
  <c r="N1142" i="8"/>
  <c r="A1143" i="8"/>
  <c r="T389" i="8" l="1"/>
  <c r="Q389" i="8"/>
  <c r="N389" i="8"/>
  <c r="A388" i="8"/>
  <c r="T1143" i="8"/>
  <c r="Q1143" i="8"/>
  <c r="N1143" i="8"/>
  <c r="A1144" i="8"/>
  <c r="T388" i="8" l="1"/>
  <c r="Q388" i="8"/>
  <c r="A387" i="8"/>
  <c r="N388" i="8"/>
  <c r="T1144" i="8"/>
  <c r="Q1144" i="8"/>
  <c r="N1144" i="8"/>
  <c r="A1145" i="8"/>
  <c r="N387" i="8" l="1"/>
  <c r="T387" i="8"/>
  <c r="Q387" i="8"/>
  <c r="A386" i="8"/>
  <c r="T1145" i="8"/>
  <c r="Q1145" i="8"/>
  <c r="N1145" i="8"/>
  <c r="A1146" i="8"/>
  <c r="T386" i="8" l="1"/>
  <c r="Q386" i="8"/>
  <c r="N386" i="8"/>
  <c r="A385" i="8"/>
  <c r="T1146" i="8"/>
  <c r="Q1146" i="8"/>
  <c r="N1146" i="8"/>
  <c r="A1147" i="8"/>
  <c r="T385" i="8" l="1"/>
  <c r="N385" i="8"/>
  <c r="A384" i="8"/>
  <c r="Q385" i="8"/>
  <c r="T1147" i="8"/>
  <c r="Q1147" i="8"/>
  <c r="N1147" i="8"/>
  <c r="A1148" i="8"/>
  <c r="T384" i="8" l="1"/>
  <c r="Q384" i="8"/>
  <c r="A383" i="8"/>
  <c r="N384" i="8"/>
  <c r="T1148" i="8"/>
  <c r="Q1148" i="8"/>
  <c r="N1148" i="8"/>
  <c r="A1149" i="8"/>
  <c r="N383" i="8" l="1"/>
  <c r="Q383" i="8"/>
  <c r="T383" i="8"/>
  <c r="A382" i="8"/>
  <c r="T1149" i="8"/>
  <c r="Q1149" i="8"/>
  <c r="N1149" i="8"/>
  <c r="A1150" i="8"/>
  <c r="Q382" i="8" l="1"/>
  <c r="N382" i="8"/>
  <c r="A381" i="8"/>
  <c r="T382" i="8"/>
  <c r="T1150" i="8"/>
  <c r="Q1150" i="8"/>
  <c r="N1150" i="8"/>
  <c r="A1151" i="8"/>
  <c r="A380" i="8" l="1"/>
  <c r="T381" i="8"/>
  <c r="Q381" i="8"/>
  <c r="N381" i="8"/>
  <c r="T1151" i="8"/>
  <c r="Q1151" i="8"/>
  <c r="N1151" i="8"/>
  <c r="A1152" i="8"/>
  <c r="T380" i="8" l="1"/>
  <c r="N380" i="8"/>
  <c r="A379" i="8"/>
  <c r="Q380" i="8"/>
  <c r="T1152" i="8"/>
  <c r="Q1152" i="8"/>
  <c r="N1152" i="8"/>
  <c r="A1153" i="8"/>
  <c r="T379" i="8" l="1"/>
  <c r="N379" i="8"/>
  <c r="A378" i="8"/>
  <c r="Q379" i="8"/>
  <c r="T1153" i="8"/>
  <c r="Q1153" i="8"/>
  <c r="N1153" i="8"/>
  <c r="A1154" i="8"/>
  <c r="N378" i="8" l="1"/>
  <c r="Q378" i="8"/>
  <c r="A377" i="8"/>
  <c r="T378" i="8"/>
  <c r="T1154" i="8"/>
  <c r="Q1154" i="8"/>
  <c r="N1154" i="8"/>
  <c r="A1155" i="8"/>
  <c r="A376" i="8" l="1"/>
  <c r="Q377" i="8"/>
  <c r="N377" i="8"/>
  <c r="T377" i="8"/>
  <c r="T1155" i="8"/>
  <c r="Q1155" i="8"/>
  <c r="N1155" i="8"/>
  <c r="A1156" i="8"/>
  <c r="Q376" i="8" l="1"/>
  <c r="A375" i="8"/>
  <c r="N376" i="8"/>
  <c r="T376" i="8"/>
  <c r="T1156" i="8"/>
  <c r="Q1156" i="8"/>
  <c r="N1156" i="8"/>
  <c r="A1157" i="8"/>
  <c r="T375" i="8" l="1"/>
  <c r="A374" i="8"/>
  <c r="Q375" i="8"/>
  <c r="N375" i="8"/>
  <c r="T1157" i="8"/>
  <c r="Q1157" i="8"/>
  <c r="N1157" i="8"/>
  <c r="A1158" i="8"/>
  <c r="A373" i="8" l="1"/>
  <c r="T374" i="8"/>
  <c r="N374" i="8"/>
  <c r="Q374" i="8"/>
  <c r="T1158" i="8"/>
  <c r="Q1158" i="8"/>
  <c r="N1158" i="8"/>
  <c r="A1159" i="8"/>
  <c r="T373" i="8" l="1"/>
  <c r="A372" i="8"/>
  <c r="Q373" i="8"/>
  <c r="N373" i="8"/>
  <c r="T1159" i="8"/>
  <c r="Q1159" i="8"/>
  <c r="N1159" i="8"/>
  <c r="A1160" i="8"/>
  <c r="T372" i="8" l="1"/>
  <c r="Q372" i="8"/>
  <c r="N372" i="8"/>
  <c r="A371" i="8"/>
  <c r="T1160" i="8"/>
  <c r="Q1160" i="8"/>
  <c r="N1160" i="8"/>
  <c r="A1161" i="8"/>
  <c r="T371" i="8" l="1"/>
  <c r="Q371" i="8"/>
  <c r="N371" i="8"/>
  <c r="A370" i="8"/>
  <c r="T1161" i="8"/>
  <c r="Q1161" i="8"/>
  <c r="N1161" i="8"/>
  <c r="A1162" i="8"/>
  <c r="Q370" i="8" l="1"/>
  <c r="T370" i="8"/>
  <c r="N370" i="8"/>
  <c r="A369" i="8"/>
  <c r="T1162" i="8"/>
  <c r="Q1162" i="8"/>
  <c r="N1162" i="8"/>
  <c r="A1163" i="8"/>
  <c r="A368" i="8" l="1"/>
  <c r="N369" i="8"/>
  <c r="T369" i="8"/>
  <c r="Q369" i="8"/>
  <c r="T1163" i="8"/>
  <c r="Q1163" i="8"/>
  <c r="N1163" i="8"/>
  <c r="A1164" i="8"/>
  <c r="T368" i="8" l="1"/>
  <c r="A367" i="8"/>
  <c r="Q368" i="8"/>
  <c r="N368" i="8"/>
  <c r="T1164" i="8"/>
  <c r="Q1164" i="8"/>
  <c r="N1164" i="8"/>
  <c r="A1165" i="8"/>
  <c r="T367" i="8" l="1"/>
  <c r="N367" i="8"/>
  <c r="A366" i="8"/>
  <c r="Q367" i="8"/>
  <c r="T1165" i="8"/>
  <c r="Q1165" i="8"/>
  <c r="N1165" i="8"/>
  <c r="A1166" i="8"/>
  <c r="T366" i="8" l="1"/>
  <c r="N366" i="8"/>
  <c r="A365" i="8"/>
  <c r="Q366" i="8"/>
  <c r="T1166" i="8"/>
  <c r="Q1166" i="8"/>
  <c r="N1166" i="8"/>
  <c r="A1167" i="8"/>
  <c r="A364" i="8" l="1"/>
  <c r="T365" i="8"/>
  <c r="Q365" i="8"/>
  <c r="N365" i="8"/>
  <c r="T1167" i="8"/>
  <c r="Q1167" i="8"/>
  <c r="N1167" i="8"/>
  <c r="A1168" i="8"/>
  <c r="Q364" i="8" l="1"/>
  <c r="N364" i="8"/>
  <c r="A363" i="8"/>
  <c r="T364" i="8"/>
  <c r="T1168" i="8"/>
  <c r="Q1168" i="8"/>
  <c r="N1168" i="8"/>
  <c r="A1169" i="8"/>
  <c r="T363" i="8" l="1"/>
  <c r="N363" i="8"/>
  <c r="A362" i="8"/>
  <c r="Q363" i="8"/>
  <c r="T1169" i="8"/>
  <c r="Q1169" i="8"/>
  <c r="N1169" i="8"/>
  <c r="A1170" i="8"/>
  <c r="Q362" i="8" l="1"/>
  <c r="N362" i="8"/>
  <c r="A361" i="8"/>
  <c r="T362" i="8"/>
  <c r="T1170" i="8"/>
  <c r="Q1170" i="8"/>
  <c r="N1170" i="8"/>
  <c r="A1171" i="8"/>
  <c r="T361" i="8" l="1"/>
  <c r="Q361" i="8"/>
  <c r="N361" i="8"/>
  <c r="A360" i="8"/>
  <c r="T1171" i="8"/>
  <c r="Q1171" i="8"/>
  <c r="N1171" i="8"/>
  <c r="A1172" i="8"/>
  <c r="T360" i="8" l="1"/>
  <c r="Q360" i="8"/>
  <c r="N360" i="8"/>
  <c r="A359" i="8"/>
  <c r="T1172" i="8"/>
  <c r="Q1172" i="8"/>
  <c r="N1172" i="8"/>
  <c r="A1173" i="8"/>
  <c r="T359" i="8" l="1"/>
  <c r="Q359" i="8"/>
  <c r="A358" i="8"/>
  <c r="N359" i="8"/>
  <c r="T1173" i="8"/>
  <c r="Q1173" i="8"/>
  <c r="N1173" i="8"/>
  <c r="A1174" i="8"/>
  <c r="T358" i="8" l="1"/>
  <c r="Q358" i="8"/>
  <c r="N358" i="8"/>
  <c r="A357" i="8"/>
  <c r="T1174" i="8"/>
  <c r="Q1174" i="8"/>
  <c r="N1174" i="8"/>
  <c r="A1175" i="8"/>
  <c r="T357" i="8" l="1"/>
  <c r="Q357" i="8"/>
  <c r="N357" i="8"/>
  <c r="A356" i="8"/>
  <c r="T1175" i="8"/>
  <c r="Q1175" i="8"/>
  <c r="N1175" i="8"/>
  <c r="A1176" i="8"/>
  <c r="A355" i="8" l="1"/>
  <c r="Q356" i="8"/>
  <c r="N356" i="8"/>
  <c r="T356" i="8"/>
  <c r="T1176" i="8"/>
  <c r="Q1176" i="8"/>
  <c r="N1176" i="8"/>
  <c r="A1177" i="8"/>
  <c r="Q355" i="8" l="1"/>
  <c r="N355" i="8"/>
  <c r="A354" i="8"/>
  <c r="T355" i="8"/>
  <c r="T1177" i="8"/>
  <c r="Q1177" i="8"/>
  <c r="N1177" i="8"/>
  <c r="A1178" i="8"/>
  <c r="T354" i="8" l="1"/>
  <c r="Q354" i="8"/>
  <c r="N354" i="8"/>
  <c r="A353" i="8"/>
  <c r="T1178" i="8"/>
  <c r="Q1178" i="8"/>
  <c r="N1178" i="8"/>
  <c r="A1179" i="8"/>
  <c r="N353" i="8" l="1"/>
  <c r="Q353" i="8"/>
  <c r="A352" i="8"/>
  <c r="T353" i="8"/>
  <c r="T1179" i="8"/>
  <c r="Q1179" i="8"/>
  <c r="N1179" i="8"/>
  <c r="A1180" i="8"/>
  <c r="T352" i="8" l="1"/>
  <c r="Q352" i="8"/>
  <c r="N352" i="8"/>
  <c r="A351" i="8"/>
  <c r="T1180" i="8"/>
  <c r="Q1180" i="8"/>
  <c r="N1180" i="8"/>
  <c r="A1181" i="8"/>
  <c r="A350" i="8" l="1"/>
  <c r="T351" i="8"/>
  <c r="Q351" i="8"/>
  <c r="N351" i="8"/>
  <c r="T1181" i="8"/>
  <c r="Q1181" i="8"/>
  <c r="N1181" i="8"/>
  <c r="A1182" i="8"/>
  <c r="T350" i="8" l="1"/>
  <c r="A349" i="8"/>
  <c r="Q350" i="8"/>
  <c r="N350" i="8"/>
  <c r="T1182" i="8"/>
  <c r="Q1182" i="8"/>
  <c r="N1182" i="8"/>
  <c r="A1183" i="8"/>
  <c r="T349" i="8" l="1"/>
  <c r="Q349" i="8"/>
  <c r="A348" i="8"/>
  <c r="N349" i="8"/>
  <c r="T1183" i="8"/>
  <c r="Q1183" i="8"/>
  <c r="N1183" i="8"/>
  <c r="A1184" i="8"/>
  <c r="Q348" i="8" l="1"/>
  <c r="T348" i="8"/>
  <c r="N348" i="8"/>
  <c r="A347" i="8"/>
  <c r="T1184" i="8"/>
  <c r="Q1184" i="8"/>
  <c r="N1184" i="8"/>
  <c r="A1185" i="8"/>
  <c r="A346" i="8" l="1"/>
  <c r="T347" i="8"/>
  <c r="Q347" i="8"/>
  <c r="N347" i="8"/>
  <c r="T1185" i="8"/>
  <c r="Q1185" i="8"/>
  <c r="N1185" i="8"/>
  <c r="A1186" i="8"/>
  <c r="Q346" i="8" l="1"/>
  <c r="T346" i="8"/>
  <c r="N346" i="8"/>
  <c r="A345" i="8"/>
  <c r="T1186" i="8"/>
  <c r="Q1186" i="8"/>
  <c r="N1186" i="8"/>
  <c r="A1187" i="8"/>
  <c r="N345" i="8" l="1"/>
  <c r="A344" i="8"/>
  <c r="T345" i="8"/>
  <c r="Q345" i="8"/>
  <c r="T1187" i="8"/>
  <c r="Q1187" i="8"/>
  <c r="N1187" i="8"/>
  <c r="A1188" i="8"/>
  <c r="T344" i="8" l="1"/>
  <c r="Q344" i="8"/>
  <c r="N344" i="8"/>
  <c r="A343" i="8"/>
  <c r="T1188" i="8"/>
  <c r="Q1188" i="8"/>
  <c r="N1188" i="8"/>
  <c r="A1189" i="8"/>
  <c r="A342" i="8" l="1"/>
  <c r="T343" i="8"/>
  <c r="N343" i="8"/>
  <c r="Q343" i="8"/>
  <c r="T1189" i="8"/>
  <c r="Q1189" i="8"/>
  <c r="N1189" i="8"/>
  <c r="A1190" i="8"/>
  <c r="T342" i="8" l="1"/>
  <c r="Q342" i="8"/>
  <c r="N342" i="8"/>
  <c r="A341" i="8"/>
  <c r="T1190" i="8"/>
  <c r="Q1190" i="8"/>
  <c r="N1190" i="8"/>
  <c r="A1191" i="8"/>
  <c r="A340" i="8" l="1"/>
  <c r="N341" i="8"/>
  <c r="T341" i="8"/>
  <c r="Q341" i="8"/>
  <c r="T1191" i="8"/>
  <c r="Q1191" i="8"/>
  <c r="N1191" i="8"/>
  <c r="A1192" i="8"/>
  <c r="Q340" i="8" l="1"/>
  <c r="N340" i="8"/>
  <c r="T340" i="8"/>
  <c r="A339" i="8"/>
  <c r="T1192" i="8"/>
  <c r="Q1192" i="8"/>
  <c r="N1192" i="8"/>
  <c r="A1193" i="8"/>
  <c r="N339" i="8" l="1"/>
  <c r="T339" i="8"/>
  <c r="Q339" i="8"/>
  <c r="A338" i="8"/>
  <c r="T1193" i="8"/>
  <c r="Q1193" i="8"/>
  <c r="N1193" i="8"/>
  <c r="A1194" i="8"/>
  <c r="T338" i="8" l="1"/>
  <c r="Q338" i="8"/>
  <c r="N338" i="8"/>
  <c r="A337" i="8"/>
  <c r="T1194" i="8"/>
  <c r="Q1194" i="8"/>
  <c r="N1194" i="8"/>
  <c r="A1195" i="8"/>
  <c r="A336" i="8" l="1"/>
  <c r="N337" i="8"/>
  <c r="T337" i="8"/>
  <c r="Q337" i="8"/>
  <c r="T1195" i="8"/>
  <c r="Q1195" i="8"/>
  <c r="N1195" i="8"/>
  <c r="A1196" i="8"/>
  <c r="T336" i="8" l="1"/>
  <c r="A335" i="8"/>
  <c r="N336" i="8"/>
  <c r="Q336" i="8"/>
  <c r="T1196" i="8"/>
  <c r="Q1196" i="8"/>
  <c r="N1196" i="8"/>
  <c r="A1197" i="8"/>
  <c r="T335" i="8" l="1"/>
  <c r="Q335" i="8"/>
  <c r="N335" i="8"/>
  <c r="A334" i="8"/>
  <c r="T1197" i="8"/>
  <c r="Q1197" i="8"/>
  <c r="N1197" i="8"/>
  <c r="A1198" i="8"/>
  <c r="A333" i="8" l="1"/>
  <c r="Q334" i="8"/>
  <c r="T334" i="8"/>
  <c r="N334" i="8"/>
  <c r="T1198" i="8"/>
  <c r="Q1198" i="8"/>
  <c r="N1198" i="8"/>
  <c r="A1199" i="8"/>
  <c r="Q333" i="8" l="1"/>
  <c r="N333" i="8"/>
  <c r="T333" i="8"/>
  <c r="A332" i="8"/>
  <c r="T1199" i="8"/>
  <c r="Q1199" i="8"/>
  <c r="N1199" i="8"/>
  <c r="A1200" i="8"/>
  <c r="T332" i="8" l="1"/>
  <c r="Q332" i="8"/>
  <c r="A331" i="8"/>
  <c r="N332" i="8"/>
  <c r="T1200" i="8"/>
  <c r="Q1200" i="8"/>
  <c r="N1200" i="8"/>
  <c r="A1201" i="8"/>
  <c r="N331" i="8" l="1"/>
  <c r="A330" i="8"/>
  <c r="T331" i="8"/>
  <c r="Q331" i="8"/>
  <c r="T1201" i="8"/>
  <c r="Q1201" i="8"/>
  <c r="N1201" i="8"/>
  <c r="A1202" i="8"/>
  <c r="T330" i="8" l="1"/>
  <c r="Q330" i="8"/>
  <c r="N330" i="8"/>
  <c r="A329" i="8"/>
  <c r="T1202" i="8"/>
  <c r="Q1202" i="8"/>
  <c r="N1202" i="8"/>
  <c r="A1203" i="8"/>
  <c r="T329" i="8" l="1"/>
  <c r="Q329" i="8"/>
  <c r="N329" i="8"/>
  <c r="A328" i="8"/>
  <c r="T1203" i="8"/>
  <c r="Q1203" i="8"/>
  <c r="N1203" i="8"/>
  <c r="A1204" i="8"/>
  <c r="A327" i="8" l="1"/>
  <c r="T328" i="8"/>
  <c r="Q328" i="8"/>
  <c r="N328" i="8"/>
  <c r="T1204" i="8"/>
  <c r="Q1204" i="8"/>
  <c r="N1204" i="8"/>
  <c r="A1205" i="8"/>
  <c r="T327" i="8" l="1"/>
  <c r="Q327" i="8"/>
  <c r="A326" i="8"/>
  <c r="N327" i="8"/>
  <c r="T1205" i="8"/>
  <c r="Q1205" i="8"/>
  <c r="N1205" i="8"/>
  <c r="A1206" i="8"/>
  <c r="T326" i="8" l="1"/>
  <c r="Q326" i="8"/>
  <c r="N326" i="8"/>
  <c r="A325" i="8"/>
  <c r="T1206" i="8"/>
  <c r="Q1206" i="8"/>
  <c r="N1206" i="8"/>
  <c r="A1207" i="8"/>
  <c r="A324" i="8" l="1"/>
  <c r="T325" i="8"/>
  <c r="Q325" i="8"/>
  <c r="N325" i="8"/>
  <c r="T1207" i="8"/>
  <c r="Q1207" i="8"/>
  <c r="N1207" i="8"/>
  <c r="A1208" i="8"/>
  <c r="A323" i="8" l="1"/>
  <c r="T324" i="8"/>
  <c r="Q324" i="8"/>
  <c r="N324" i="8"/>
  <c r="T1208" i="8"/>
  <c r="Q1208" i="8"/>
  <c r="N1208" i="8"/>
  <c r="A1209" i="8"/>
  <c r="T323" i="8" l="1"/>
  <c r="N323" i="8"/>
  <c r="A322" i="8"/>
  <c r="Q323" i="8"/>
  <c r="T1209" i="8"/>
  <c r="Q1209" i="8"/>
  <c r="N1209" i="8"/>
  <c r="A1210" i="8"/>
  <c r="N322" i="8" l="1"/>
  <c r="A321" i="8"/>
  <c r="T322" i="8"/>
  <c r="Q322" i="8"/>
  <c r="T1210" i="8"/>
  <c r="Q1210" i="8"/>
  <c r="N1210" i="8"/>
  <c r="A1211" i="8"/>
  <c r="A320" i="8" l="1"/>
  <c r="T321" i="8"/>
  <c r="N321" i="8"/>
  <c r="Q321" i="8"/>
  <c r="T1211" i="8"/>
  <c r="Q1211" i="8"/>
  <c r="N1211" i="8"/>
  <c r="A1212" i="8"/>
  <c r="T320" i="8" l="1"/>
  <c r="A319" i="8"/>
  <c r="Q320" i="8"/>
  <c r="N320" i="8"/>
  <c r="T1212" i="8"/>
  <c r="Q1212" i="8"/>
  <c r="N1212" i="8"/>
  <c r="A1213" i="8"/>
  <c r="T319" i="8" l="1"/>
  <c r="A318" i="8"/>
  <c r="N319" i="8"/>
  <c r="Q319" i="8"/>
  <c r="T1213" i="8"/>
  <c r="Q1213" i="8"/>
  <c r="N1213" i="8"/>
  <c r="A1214" i="8"/>
  <c r="Q318" i="8" l="1"/>
  <c r="N318" i="8"/>
  <c r="T318" i="8"/>
  <c r="A317" i="8"/>
  <c r="T1214" i="8"/>
  <c r="Q1214" i="8"/>
  <c r="N1214" i="8"/>
  <c r="A1215" i="8"/>
  <c r="T317" i="8" l="1"/>
  <c r="Q317" i="8"/>
  <c r="N317" i="8"/>
  <c r="A316" i="8"/>
  <c r="T1215" i="8"/>
  <c r="Q1215" i="8"/>
  <c r="N1215" i="8"/>
  <c r="A1216" i="8"/>
  <c r="T316" i="8" l="1"/>
  <c r="Q316" i="8"/>
  <c r="N316" i="8"/>
  <c r="A315" i="8"/>
  <c r="T1216" i="8"/>
  <c r="Q1216" i="8"/>
  <c r="N1216" i="8"/>
  <c r="A1217" i="8"/>
  <c r="T315" i="8" l="1"/>
  <c r="Q315" i="8"/>
  <c r="N315" i="8"/>
  <c r="A314" i="8"/>
  <c r="T1217" i="8"/>
  <c r="Q1217" i="8"/>
  <c r="N1217" i="8"/>
  <c r="A1218" i="8"/>
  <c r="T314" i="8" l="1"/>
  <c r="A313" i="8"/>
  <c r="Q314" i="8"/>
  <c r="N314" i="8"/>
  <c r="T1218" i="8"/>
  <c r="Q1218" i="8"/>
  <c r="N1218" i="8"/>
  <c r="A1219" i="8"/>
  <c r="N313" i="8" l="1"/>
  <c r="T313" i="8"/>
  <c r="Q313" i="8"/>
  <c r="A312" i="8"/>
  <c r="T1219" i="8"/>
  <c r="Q1219" i="8"/>
  <c r="N1219" i="8"/>
  <c r="A1220" i="8"/>
  <c r="A311" i="8" l="1"/>
  <c r="Q312" i="8"/>
  <c r="N312" i="8"/>
  <c r="T312" i="8"/>
  <c r="T1220" i="8"/>
  <c r="Q1220" i="8"/>
  <c r="N1220" i="8"/>
  <c r="A1221" i="8"/>
  <c r="N311" i="8" l="1"/>
  <c r="T311" i="8"/>
  <c r="Q311" i="8"/>
  <c r="A310" i="8"/>
  <c r="T1221" i="8"/>
  <c r="Q1221" i="8"/>
  <c r="N1221" i="8"/>
  <c r="A1222" i="8"/>
  <c r="N310" i="8" l="1"/>
  <c r="A309" i="8"/>
  <c r="Q310" i="8"/>
  <c r="T310" i="8"/>
  <c r="T1222" i="8"/>
  <c r="Q1222" i="8"/>
  <c r="N1222" i="8"/>
  <c r="A1223" i="8"/>
  <c r="N309" i="8" l="1"/>
  <c r="A308" i="8"/>
  <c r="T309" i="8"/>
  <c r="Q309" i="8"/>
  <c r="T1223" i="8"/>
  <c r="Q1223" i="8"/>
  <c r="N1223" i="8"/>
  <c r="A1224" i="8"/>
  <c r="Q308" i="8" l="1"/>
  <c r="N308" i="8"/>
  <c r="A307" i="8"/>
  <c r="T308" i="8"/>
  <c r="T1224" i="8"/>
  <c r="Q1224" i="8"/>
  <c r="N1224" i="8"/>
  <c r="A1225" i="8"/>
  <c r="A306" i="8" l="1"/>
  <c r="T307" i="8"/>
  <c r="Q307" i="8"/>
  <c r="N307" i="8"/>
  <c r="T1225" i="8"/>
  <c r="Q1225" i="8"/>
  <c r="N1225" i="8"/>
  <c r="A1226" i="8"/>
  <c r="Q306" i="8" l="1"/>
  <c r="A305" i="8"/>
  <c r="T306" i="8"/>
  <c r="N306" i="8"/>
  <c r="T1226" i="8"/>
  <c r="Q1226" i="8"/>
  <c r="N1226" i="8"/>
  <c r="A1227" i="8"/>
  <c r="T305" i="8" l="1"/>
  <c r="Q305" i="8"/>
  <c r="N305" i="8"/>
  <c r="A304" i="8"/>
  <c r="T1227" i="8"/>
  <c r="Q1227" i="8"/>
  <c r="N1227" i="8"/>
  <c r="A1228" i="8"/>
  <c r="A303" i="8" l="1"/>
  <c r="N304" i="8"/>
  <c r="Q304" i="8"/>
  <c r="T304" i="8"/>
  <c r="T1228" i="8"/>
  <c r="Q1228" i="8"/>
  <c r="N1228" i="8"/>
  <c r="A1229" i="8"/>
  <c r="A302" i="8" l="1"/>
  <c r="T303" i="8"/>
  <c r="Q303" i="8"/>
  <c r="N303" i="8"/>
  <c r="T1229" i="8"/>
  <c r="Q1229" i="8"/>
  <c r="N1229" i="8"/>
  <c r="A1230" i="8"/>
  <c r="T302" i="8" l="1"/>
  <c r="Q302" i="8"/>
  <c r="N302" i="8"/>
  <c r="A301" i="8"/>
  <c r="T1230" i="8"/>
  <c r="Q1230" i="8"/>
  <c r="N1230" i="8"/>
  <c r="A1231" i="8"/>
  <c r="A300" i="8" l="1"/>
  <c r="T301" i="8"/>
  <c r="Q301" i="8"/>
  <c r="N301" i="8"/>
  <c r="T1231" i="8"/>
  <c r="Q1231" i="8"/>
  <c r="N1231" i="8"/>
  <c r="A1232" i="8"/>
  <c r="A299" i="8" l="1"/>
  <c r="T300" i="8"/>
  <c r="Q300" i="8"/>
  <c r="N300" i="8"/>
  <c r="T1232" i="8"/>
  <c r="Q1232" i="8"/>
  <c r="N1232" i="8"/>
  <c r="A1233" i="8"/>
  <c r="A298" i="8" l="1"/>
  <c r="T299" i="8"/>
  <c r="Q299" i="8"/>
  <c r="N299" i="8"/>
  <c r="T1233" i="8"/>
  <c r="Q1233" i="8"/>
  <c r="N1233" i="8"/>
  <c r="A1234" i="8"/>
  <c r="Q298" i="8" l="1"/>
  <c r="N298" i="8"/>
  <c r="A297" i="8"/>
  <c r="T298" i="8"/>
  <c r="T1234" i="8"/>
  <c r="Q1234" i="8"/>
  <c r="N1234" i="8"/>
  <c r="A1235" i="8"/>
  <c r="A296" i="8" l="1"/>
  <c r="T297" i="8"/>
  <c r="N297" i="8"/>
  <c r="Q297" i="8"/>
  <c r="T1235" i="8"/>
  <c r="Q1235" i="8"/>
  <c r="N1235" i="8"/>
  <c r="A1236" i="8"/>
  <c r="Q296" i="8" l="1"/>
  <c r="N296" i="8"/>
  <c r="A295" i="8"/>
  <c r="T296" i="8"/>
  <c r="T1236" i="8"/>
  <c r="Q1236" i="8"/>
  <c r="N1236" i="8"/>
  <c r="A1237" i="8"/>
  <c r="T295" i="8" l="1"/>
  <c r="A294" i="8"/>
  <c r="Q295" i="8"/>
  <c r="N295" i="8"/>
  <c r="T1237" i="8"/>
  <c r="Q1237" i="8"/>
  <c r="N1237" i="8"/>
  <c r="A1238" i="8"/>
  <c r="Q294" i="8" l="1"/>
  <c r="N294" i="8"/>
  <c r="A293" i="8"/>
  <c r="T294" i="8"/>
  <c r="T1238" i="8"/>
  <c r="Q1238" i="8"/>
  <c r="N1238" i="8"/>
  <c r="A1239" i="8"/>
  <c r="A292" i="8" l="1"/>
  <c r="T293" i="8"/>
  <c r="N293" i="8"/>
  <c r="Q293" i="8"/>
  <c r="T1239" i="8"/>
  <c r="Q1239" i="8"/>
  <c r="N1239" i="8"/>
  <c r="A1240" i="8"/>
  <c r="T292" i="8" l="1"/>
  <c r="Q292" i="8"/>
  <c r="A291" i="8"/>
  <c r="N292" i="8"/>
  <c r="T1240" i="8"/>
  <c r="Q1240" i="8"/>
  <c r="N1240" i="8"/>
  <c r="A1241" i="8"/>
  <c r="N291" i="8" l="1"/>
  <c r="T291" i="8"/>
  <c r="Q291" i="8"/>
  <c r="A290" i="8"/>
  <c r="T1241" i="8"/>
  <c r="Q1241" i="8"/>
  <c r="N1241" i="8"/>
  <c r="A1242" i="8"/>
  <c r="A289" i="8" l="1"/>
  <c r="T290" i="8"/>
  <c r="Q290" i="8"/>
  <c r="N290" i="8"/>
  <c r="T1242" i="8"/>
  <c r="Q1242" i="8"/>
  <c r="N1242" i="8"/>
  <c r="A1243" i="8"/>
  <c r="N289" i="8" l="1"/>
  <c r="A288" i="8"/>
  <c r="T289" i="8"/>
  <c r="Q289" i="8"/>
  <c r="T1243" i="8"/>
  <c r="Q1243" i="8"/>
  <c r="N1243" i="8"/>
  <c r="A1244" i="8"/>
  <c r="Q288" i="8" l="1"/>
  <c r="N288" i="8"/>
  <c r="A287" i="8"/>
  <c r="T288" i="8"/>
  <c r="T1244" i="8"/>
  <c r="Q1244" i="8"/>
  <c r="N1244" i="8"/>
  <c r="A1245" i="8"/>
  <c r="N287" i="8" l="1"/>
  <c r="Q287" i="8"/>
  <c r="T287" i="8"/>
  <c r="A286" i="8"/>
  <c r="T1245" i="8"/>
  <c r="Q1245" i="8"/>
  <c r="N1245" i="8"/>
  <c r="A1246" i="8"/>
  <c r="T286" i="8" l="1"/>
  <c r="A285" i="8"/>
  <c r="Q286" i="8"/>
  <c r="N286" i="8"/>
  <c r="T1246" i="8"/>
  <c r="Q1246" i="8"/>
  <c r="N1246" i="8"/>
  <c r="A1247" i="8"/>
  <c r="A284" i="8" l="1"/>
  <c r="Q285" i="8"/>
  <c r="N285" i="8"/>
  <c r="T285" i="8"/>
  <c r="T1247" i="8"/>
  <c r="Q1247" i="8"/>
  <c r="N1247" i="8"/>
  <c r="A1248" i="8"/>
  <c r="T284" i="8" l="1"/>
  <c r="Q284" i="8"/>
  <c r="N284" i="8"/>
  <c r="A283" i="8"/>
  <c r="T1248" i="8"/>
  <c r="Q1248" i="8"/>
  <c r="N1248" i="8"/>
  <c r="A1249" i="8"/>
  <c r="A282" i="8" l="1"/>
  <c r="T283" i="8"/>
  <c r="Q283" i="8"/>
  <c r="N283" i="8"/>
  <c r="T1249" i="8"/>
  <c r="Q1249" i="8"/>
  <c r="N1249" i="8"/>
  <c r="A1250" i="8"/>
  <c r="A281" i="8" l="1"/>
  <c r="T282" i="8"/>
  <c r="N282" i="8"/>
  <c r="Q282" i="8"/>
  <c r="T1250" i="8"/>
  <c r="Q1250" i="8"/>
  <c r="N1250" i="8"/>
  <c r="A1251" i="8"/>
  <c r="A280" i="8" l="1"/>
  <c r="T281" i="8"/>
  <c r="Q281" i="8"/>
  <c r="N281" i="8"/>
  <c r="T1251" i="8"/>
  <c r="Q1251" i="8"/>
  <c r="N1251" i="8"/>
  <c r="A1252" i="8"/>
  <c r="T280" i="8" l="1"/>
  <c r="Q280" i="8"/>
  <c r="N280" i="8"/>
  <c r="A279" i="8"/>
  <c r="T1252" i="8"/>
  <c r="Q1252" i="8"/>
  <c r="N1252" i="8"/>
  <c r="A1253" i="8"/>
  <c r="N279" i="8" l="1"/>
  <c r="A278" i="8"/>
  <c r="T279" i="8"/>
  <c r="Q279" i="8"/>
  <c r="T1253" i="8"/>
  <c r="Q1253" i="8"/>
  <c r="N1253" i="8"/>
  <c r="A1254" i="8"/>
  <c r="Q278" i="8" l="1"/>
  <c r="A277" i="8"/>
  <c r="T278" i="8"/>
  <c r="N278" i="8"/>
  <c r="T1254" i="8"/>
  <c r="Q1254" i="8"/>
  <c r="N1254" i="8"/>
  <c r="A1255" i="8"/>
  <c r="N277" i="8" l="1"/>
  <c r="A276" i="8"/>
  <c r="T277" i="8"/>
  <c r="Q277" i="8"/>
  <c r="T1255" i="8"/>
  <c r="Q1255" i="8"/>
  <c r="N1255" i="8"/>
  <c r="A1256" i="8"/>
  <c r="A275" i="8" l="1"/>
  <c r="T276" i="8"/>
  <c r="Q276" i="8"/>
  <c r="N276" i="8"/>
  <c r="T1256" i="8"/>
  <c r="Q1256" i="8"/>
  <c r="N1256" i="8"/>
  <c r="A1257" i="8"/>
  <c r="Q275" i="8" l="1"/>
  <c r="N275" i="8"/>
  <c r="A274" i="8"/>
  <c r="T275" i="8"/>
  <c r="T1257" i="8"/>
  <c r="Q1257" i="8"/>
  <c r="N1257" i="8"/>
  <c r="A1258" i="8"/>
  <c r="T274" i="8" l="1"/>
  <c r="Q274" i="8"/>
  <c r="A273" i="8"/>
  <c r="N274" i="8"/>
  <c r="T1258" i="8"/>
  <c r="Q1258" i="8"/>
  <c r="N1258" i="8"/>
  <c r="A1259" i="8"/>
  <c r="A272" i="8" l="1"/>
  <c r="T273" i="8"/>
  <c r="Q273" i="8"/>
  <c r="N273" i="8"/>
  <c r="T1259" i="8"/>
  <c r="Q1259" i="8"/>
  <c r="N1259" i="8"/>
  <c r="A1260" i="8"/>
  <c r="A271" i="8" l="1"/>
  <c r="T272" i="8"/>
  <c r="Q272" i="8"/>
  <c r="N272" i="8"/>
  <c r="T1260" i="8"/>
  <c r="Q1260" i="8"/>
  <c r="N1260" i="8"/>
  <c r="A1261" i="8"/>
  <c r="T271" i="8" l="1"/>
  <c r="A270" i="8"/>
  <c r="Q271" i="8"/>
  <c r="N271" i="8"/>
  <c r="T1261" i="8"/>
  <c r="Q1261" i="8"/>
  <c r="N1261" i="8"/>
  <c r="A1262" i="8"/>
  <c r="A269" i="8" l="1"/>
  <c r="N270" i="8"/>
  <c r="T270" i="8"/>
  <c r="Q270" i="8"/>
  <c r="T1262" i="8"/>
  <c r="Q1262" i="8"/>
  <c r="N1262" i="8"/>
  <c r="A1263" i="8"/>
  <c r="A268" i="8" l="1"/>
  <c r="T269" i="8"/>
  <c r="Q269" i="8"/>
  <c r="N269" i="8"/>
  <c r="T1263" i="8"/>
  <c r="Q1263" i="8"/>
  <c r="N1263" i="8"/>
  <c r="A1264" i="8"/>
  <c r="Q268" i="8" l="1"/>
  <c r="N268" i="8"/>
  <c r="A267" i="8"/>
  <c r="T268" i="8"/>
  <c r="T1264" i="8"/>
  <c r="Q1264" i="8"/>
  <c r="N1264" i="8"/>
  <c r="A1265" i="8"/>
  <c r="N267" i="8" l="1"/>
  <c r="A266" i="8"/>
  <c r="T267" i="8"/>
  <c r="Q267" i="8"/>
  <c r="T1265" i="8"/>
  <c r="Q1265" i="8"/>
  <c r="N1265" i="8"/>
  <c r="A1266" i="8"/>
  <c r="N266" i="8" l="1"/>
  <c r="T266" i="8"/>
  <c r="Q266" i="8"/>
  <c r="A265" i="8"/>
  <c r="T1266" i="8"/>
  <c r="Q1266" i="8"/>
  <c r="N1266" i="8"/>
  <c r="A1267" i="8"/>
  <c r="N265" i="8" l="1"/>
  <c r="A264" i="8"/>
  <c r="T265" i="8"/>
  <c r="Q265" i="8"/>
  <c r="T1267" i="8"/>
  <c r="Q1267" i="8"/>
  <c r="N1267" i="8"/>
  <c r="A1268" i="8"/>
  <c r="T264" i="8" l="1"/>
  <c r="Q264" i="8"/>
  <c r="A263" i="8"/>
  <c r="N264" i="8"/>
  <c r="T1268" i="8"/>
  <c r="Q1268" i="8"/>
  <c r="N1268" i="8"/>
  <c r="A1269" i="8"/>
  <c r="A262" i="8" l="1"/>
  <c r="T263" i="8"/>
  <c r="Q263" i="8"/>
  <c r="N263" i="8"/>
  <c r="T1269" i="8"/>
  <c r="Q1269" i="8"/>
  <c r="N1269" i="8"/>
  <c r="A1270" i="8"/>
  <c r="T262" i="8" l="1"/>
  <c r="Q262" i="8"/>
  <c r="N262" i="8"/>
  <c r="A261" i="8"/>
  <c r="T1270" i="8"/>
  <c r="Q1270" i="8"/>
  <c r="N1270" i="8"/>
  <c r="A1271" i="8"/>
  <c r="N261" i="8" l="1"/>
  <c r="T261" i="8"/>
  <c r="Q261" i="8"/>
  <c r="A260" i="8"/>
  <c r="T1271" i="8"/>
  <c r="Q1271" i="8"/>
  <c r="N1271" i="8"/>
  <c r="A1272" i="8"/>
  <c r="A259" i="8" l="1"/>
  <c r="N260" i="8"/>
  <c r="T260" i="8"/>
  <c r="Q260" i="8"/>
  <c r="T1272" i="8"/>
  <c r="Q1272" i="8"/>
  <c r="N1272" i="8"/>
  <c r="A1273" i="8"/>
  <c r="T259" i="8" l="1"/>
  <c r="A258" i="8"/>
  <c r="Q259" i="8"/>
  <c r="N259" i="8"/>
  <c r="T1273" i="8"/>
  <c r="Q1273" i="8"/>
  <c r="N1273" i="8"/>
  <c r="A1274" i="8"/>
  <c r="Q258" i="8" l="1"/>
  <c r="A257" i="8"/>
  <c r="T258" i="8"/>
  <c r="N258" i="8"/>
  <c r="T1274" i="8"/>
  <c r="Q1274" i="8"/>
  <c r="N1274" i="8"/>
  <c r="A1275" i="8"/>
  <c r="T257" i="8" l="1"/>
  <c r="Q257" i="8"/>
  <c r="N257" i="8"/>
  <c r="A256" i="8"/>
  <c r="T1275" i="8"/>
  <c r="Q1275" i="8"/>
  <c r="N1275" i="8"/>
  <c r="A1276" i="8"/>
  <c r="N256" i="8" l="1"/>
  <c r="A255" i="8"/>
  <c r="Q256" i="8"/>
  <c r="T256" i="8"/>
  <c r="T1276" i="8"/>
  <c r="Q1276" i="8"/>
  <c r="N1276" i="8"/>
  <c r="A1277" i="8"/>
  <c r="Q255" i="8" l="1"/>
  <c r="N255" i="8"/>
  <c r="A254" i="8"/>
  <c r="T255" i="8"/>
  <c r="T1277" i="8"/>
  <c r="Q1277" i="8"/>
  <c r="N1277" i="8"/>
  <c r="A1278" i="8"/>
  <c r="T254" i="8" l="1"/>
  <c r="Q254" i="8"/>
  <c r="A253" i="8"/>
  <c r="N254" i="8"/>
  <c r="T1278" i="8"/>
  <c r="Q1278" i="8"/>
  <c r="N1278" i="8"/>
  <c r="A1279" i="8"/>
  <c r="Q253" i="8" l="1"/>
  <c r="N253" i="8"/>
  <c r="A252" i="8"/>
  <c r="T253" i="8"/>
  <c r="T1279" i="8"/>
  <c r="Q1279" i="8"/>
  <c r="N1279" i="8"/>
  <c r="A1280" i="8"/>
  <c r="A251" i="8" l="1"/>
  <c r="T252" i="8"/>
  <c r="Q252" i="8"/>
  <c r="N252" i="8"/>
  <c r="T1280" i="8"/>
  <c r="Q1280" i="8"/>
  <c r="N1280" i="8"/>
  <c r="A1281" i="8"/>
  <c r="N251" i="8" l="1"/>
  <c r="Q251" i="8"/>
  <c r="A250" i="8"/>
  <c r="T251" i="8"/>
  <c r="T1281" i="8"/>
  <c r="Q1281" i="8"/>
  <c r="N1281" i="8"/>
  <c r="A1282" i="8"/>
  <c r="A249" i="8" l="1"/>
  <c r="T250" i="8"/>
  <c r="Q250" i="8"/>
  <c r="N250" i="8"/>
  <c r="T1282" i="8"/>
  <c r="Q1282" i="8"/>
  <c r="N1282" i="8"/>
  <c r="A1283" i="8"/>
  <c r="T249" i="8" l="1"/>
  <c r="Q249" i="8"/>
  <c r="N249" i="8"/>
  <c r="A248" i="8"/>
  <c r="T1283" i="8"/>
  <c r="Q1283" i="8"/>
  <c r="N1283" i="8"/>
  <c r="A1284" i="8"/>
  <c r="A247" i="8" l="1"/>
  <c r="T248" i="8"/>
  <c r="Q248" i="8"/>
  <c r="N248" i="8"/>
  <c r="T1284" i="8"/>
  <c r="Q1284" i="8"/>
  <c r="N1284" i="8"/>
  <c r="A1285" i="8"/>
  <c r="A246" i="8" l="1"/>
  <c r="T247" i="8"/>
  <c r="Q247" i="8"/>
  <c r="N247" i="8"/>
  <c r="T1285" i="8"/>
  <c r="Q1285" i="8"/>
  <c r="N1285" i="8"/>
  <c r="A1286" i="8"/>
  <c r="A245" i="8" l="1"/>
  <c r="T246" i="8"/>
  <c r="Q246" i="8"/>
  <c r="N246" i="8"/>
  <c r="T1286" i="8"/>
  <c r="Q1286" i="8"/>
  <c r="N1286" i="8"/>
  <c r="A1287" i="8"/>
  <c r="A244" i="8" l="1"/>
  <c r="T245" i="8"/>
  <c r="Q245" i="8"/>
  <c r="N245" i="8"/>
  <c r="T1287" i="8"/>
  <c r="Q1287" i="8"/>
  <c r="N1287" i="8"/>
  <c r="A1288" i="8"/>
  <c r="N244" i="8" l="1"/>
  <c r="T244" i="8"/>
  <c r="Q244" i="8"/>
  <c r="A243" i="8"/>
  <c r="T1288" i="8"/>
  <c r="Q1288" i="8"/>
  <c r="N1288" i="8"/>
  <c r="A1289" i="8"/>
  <c r="A242" i="8" l="1"/>
  <c r="T243" i="8"/>
  <c r="Q243" i="8"/>
  <c r="N243" i="8"/>
  <c r="T1289" i="8"/>
  <c r="Q1289" i="8"/>
  <c r="N1289" i="8"/>
  <c r="A1290" i="8"/>
  <c r="T242" i="8" l="1"/>
  <c r="Q242" i="8"/>
  <c r="A241" i="8"/>
  <c r="N242" i="8"/>
  <c r="T1290" i="8"/>
  <c r="Q1290" i="8"/>
  <c r="N1290" i="8"/>
  <c r="A1291" i="8"/>
  <c r="A240" i="8" l="1"/>
  <c r="N241" i="8"/>
  <c r="T241" i="8"/>
  <c r="Q241" i="8"/>
  <c r="T1291" i="8"/>
  <c r="Q1291" i="8"/>
  <c r="N1291" i="8"/>
  <c r="A1292" i="8"/>
  <c r="T240" i="8" l="1"/>
  <c r="Q240" i="8"/>
  <c r="A239" i="8"/>
  <c r="N240" i="8"/>
  <c r="T1292" i="8"/>
  <c r="Q1292" i="8"/>
  <c r="N1292" i="8"/>
  <c r="A1293" i="8"/>
  <c r="N239" i="8" l="1"/>
  <c r="T239" i="8"/>
  <c r="A238" i="8"/>
  <c r="Q239" i="8"/>
  <c r="T1293" i="8"/>
  <c r="Q1293" i="8"/>
  <c r="N1293" i="8"/>
  <c r="A1294" i="8"/>
  <c r="A237" i="8" l="1"/>
  <c r="T238" i="8"/>
  <c r="N238" i="8"/>
  <c r="Q238" i="8"/>
  <c r="T1294" i="8"/>
  <c r="Q1294" i="8"/>
  <c r="N1294" i="8"/>
  <c r="A1295" i="8"/>
  <c r="T237" i="8" l="1"/>
  <c r="Q237" i="8"/>
  <c r="N237" i="8"/>
  <c r="A236" i="8"/>
  <c r="T1295" i="8"/>
  <c r="Q1295" i="8"/>
  <c r="N1295" i="8"/>
  <c r="A1296" i="8"/>
  <c r="T236" i="8" l="1"/>
  <c r="Q236" i="8"/>
  <c r="N236" i="8"/>
  <c r="A235" i="8"/>
  <c r="T1296" i="8"/>
  <c r="Q1296" i="8"/>
  <c r="N1296" i="8"/>
  <c r="A1297" i="8"/>
  <c r="A234" i="8" l="1"/>
  <c r="T235" i="8"/>
  <c r="Q235" i="8"/>
  <c r="N235" i="8"/>
  <c r="T1297" i="8"/>
  <c r="Q1297" i="8"/>
  <c r="N1297" i="8"/>
  <c r="A1298" i="8"/>
  <c r="T234" i="8" l="1"/>
  <c r="N234" i="8"/>
  <c r="Q234" i="8"/>
  <c r="A233" i="8"/>
  <c r="T1298" i="8"/>
  <c r="Q1298" i="8"/>
  <c r="N1298" i="8"/>
  <c r="A1299" i="8"/>
  <c r="T233" i="8" l="1"/>
  <c r="Q233" i="8"/>
  <c r="N233" i="8"/>
  <c r="A232" i="8"/>
  <c r="T1299" i="8"/>
  <c r="Q1299" i="8"/>
  <c r="N1299" i="8"/>
  <c r="A1300" i="8"/>
  <c r="A231" i="8" l="1"/>
  <c r="T232" i="8"/>
  <c r="Q232" i="8"/>
  <c r="N232" i="8"/>
  <c r="T1300" i="8"/>
  <c r="Q1300" i="8"/>
  <c r="N1300" i="8"/>
  <c r="A1301" i="8"/>
  <c r="Q231" i="8" l="1"/>
  <c r="N231" i="8"/>
  <c r="T231" i="8"/>
  <c r="A230" i="8"/>
  <c r="T1301" i="8"/>
  <c r="Q1301" i="8"/>
  <c r="N1301" i="8"/>
  <c r="A1302" i="8"/>
  <c r="A229" i="8" l="1"/>
  <c r="Q230" i="8"/>
  <c r="T230" i="8"/>
  <c r="N230" i="8"/>
  <c r="T1302" i="8"/>
  <c r="Q1302" i="8"/>
  <c r="N1302" i="8"/>
  <c r="A1303" i="8"/>
  <c r="Q229" i="8" l="1"/>
  <c r="N229" i="8"/>
  <c r="T229" i="8"/>
  <c r="A228" i="8"/>
  <c r="T1303" i="8"/>
  <c r="Q1303" i="8"/>
  <c r="N1303" i="8"/>
  <c r="A1304" i="8"/>
  <c r="A227" i="8" l="1"/>
  <c r="T228" i="8"/>
  <c r="Q228" i="8"/>
  <c r="N228" i="8"/>
  <c r="T1304" i="8"/>
  <c r="Q1304" i="8"/>
  <c r="N1304" i="8"/>
  <c r="A1305" i="8"/>
  <c r="N227" i="8" l="1"/>
  <c r="A226" i="8"/>
  <c r="Q227" i="8"/>
  <c r="T227" i="8"/>
  <c r="T1305" i="8"/>
  <c r="Q1305" i="8"/>
  <c r="N1305" i="8"/>
  <c r="A1306" i="8"/>
  <c r="Q226" i="8" l="1"/>
  <c r="N226" i="8"/>
  <c r="A225" i="8"/>
  <c r="T226" i="8"/>
  <c r="T1306" i="8"/>
  <c r="Q1306" i="8"/>
  <c r="N1306" i="8"/>
  <c r="A1307" i="8"/>
  <c r="N225" i="8" l="1"/>
  <c r="T225" i="8"/>
  <c r="Q225" i="8"/>
  <c r="A224" i="8"/>
  <c r="T1307" i="8"/>
  <c r="Q1307" i="8"/>
  <c r="N1307" i="8"/>
  <c r="A1308" i="8"/>
  <c r="A223" i="8" l="1"/>
  <c r="T224" i="8"/>
  <c r="Q224" i="8"/>
  <c r="N224" i="8"/>
  <c r="T1308" i="8"/>
  <c r="Q1308" i="8"/>
  <c r="N1308" i="8"/>
  <c r="A1309" i="8"/>
  <c r="T223" i="8" l="1"/>
  <c r="Q223" i="8"/>
  <c r="N223" i="8"/>
  <c r="A222" i="8"/>
  <c r="T1309" i="8"/>
  <c r="Q1309" i="8"/>
  <c r="N1309" i="8"/>
  <c r="A1310" i="8"/>
  <c r="N222" i="8" l="1"/>
  <c r="T222" i="8"/>
  <c r="Q222" i="8"/>
  <c r="A221" i="8"/>
  <c r="T1310" i="8"/>
  <c r="Q1310" i="8"/>
  <c r="N1310" i="8"/>
  <c r="A1311" i="8"/>
  <c r="Q221" i="8" l="1"/>
  <c r="N221" i="8"/>
  <c r="T221" i="8"/>
  <c r="A220" i="8"/>
  <c r="T1311" i="8"/>
  <c r="Q1311" i="8"/>
  <c r="N1311" i="8"/>
  <c r="A1312" i="8"/>
  <c r="A219" i="8" l="1"/>
  <c r="N220" i="8"/>
  <c r="T220" i="8"/>
  <c r="Q220" i="8"/>
  <c r="T1312" i="8"/>
  <c r="Q1312" i="8"/>
  <c r="N1312" i="8"/>
  <c r="A1313" i="8"/>
  <c r="T219" i="8" l="1"/>
  <c r="Q219" i="8"/>
  <c r="N219" i="8"/>
  <c r="A218" i="8"/>
  <c r="T1313" i="8"/>
  <c r="Q1313" i="8"/>
  <c r="N1313" i="8"/>
  <c r="A1314" i="8"/>
  <c r="A217" i="8" l="1"/>
  <c r="T218" i="8"/>
  <c r="Q218" i="8"/>
  <c r="N218" i="8"/>
  <c r="T1314" i="8"/>
  <c r="Q1314" i="8"/>
  <c r="N1314" i="8"/>
  <c r="A1315" i="8"/>
  <c r="N217" i="8" l="1"/>
  <c r="T217" i="8"/>
  <c r="Q217" i="8"/>
  <c r="A216" i="8"/>
  <c r="T1315" i="8"/>
  <c r="Q1315" i="8"/>
  <c r="N1315" i="8"/>
  <c r="A1316" i="8"/>
  <c r="N216" i="8" l="1"/>
  <c r="Q216" i="8"/>
  <c r="A215" i="8"/>
  <c r="T216" i="8"/>
  <c r="T1316" i="8"/>
  <c r="Q1316" i="8"/>
  <c r="N1316" i="8"/>
  <c r="A1317" i="8"/>
  <c r="A214" i="8" l="1"/>
  <c r="T215" i="8"/>
  <c r="Q215" i="8"/>
  <c r="N215" i="8"/>
  <c r="T1317" i="8"/>
  <c r="Q1317" i="8"/>
  <c r="N1317" i="8"/>
  <c r="A1318" i="8"/>
  <c r="T214" i="8" l="1"/>
  <c r="Q214" i="8"/>
  <c r="A213" i="8"/>
  <c r="N214" i="8"/>
  <c r="T1318" i="8"/>
  <c r="Q1318" i="8"/>
  <c r="N1318" i="8"/>
  <c r="A1319" i="8"/>
  <c r="Q213" i="8" l="1"/>
  <c r="N213" i="8"/>
  <c r="A212" i="8"/>
  <c r="T213" i="8"/>
  <c r="T1319" i="8"/>
  <c r="Q1319" i="8"/>
  <c r="N1319" i="8"/>
  <c r="A1320" i="8"/>
  <c r="Q212" i="8" l="1"/>
  <c r="N212" i="8"/>
  <c r="A211" i="8"/>
  <c r="T212" i="8"/>
  <c r="T1320" i="8"/>
  <c r="Q1320" i="8"/>
  <c r="N1320" i="8"/>
  <c r="A1321" i="8"/>
  <c r="A210" i="8" l="1"/>
  <c r="T211" i="8"/>
  <c r="Q211" i="8"/>
  <c r="N211" i="8"/>
  <c r="T1321" i="8"/>
  <c r="Q1321" i="8"/>
  <c r="N1321" i="8"/>
  <c r="A1322" i="8"/>
  <c r="Q210" i="8" l="1"/>
  <c r="A209" i="8"/>
  <c r="T210" i="8"/>
  <c r="N210" i="8"/>
  <c r="T1322" i="8"/>
  <c r="Q1322" i="8"/>
  <c r="N1322" i="8"/>
  <c r="A1323" i="8"/>
  <c r="T209" i="8" l="1"/>
  <c r="Q209" i="8"/>
  <c r="N209" i="8"/>
  <c r="A208" i="8"/>
  <c r="T1323" i="8"/>
  <c r="Q1323" i="8"/>
  <c r="N1323" i="8"/>
  <c r="A1324" i="8"/>
  <c r="A207" i="8" l="1"/>
  <c r="Q208" i="8"/>
  <c r="T208" i="8"/>
  <c r="N208" i="8"/>
  <c r="T1324" i="8"/>
  <c r="Q1324" i="8"/>
  <c r="N1324" i="8"/>
  <c r="A1325" i="8"/>
  <c r="A206" i="8" l="1"/>
  <c r="T207" i="8"/>
  <c r="Q207" i="8"/>
  <c r="N207" i="8"/>
  <c r="T1325" i="8"/>
  <c r="Q1325" i="8"/>
  <c r="N1325" i="8"/>
  <c r="A1326" i="8"/>
  <c r="N206" i="8" l="1"/>
  <c r="A205" i="8"/>
  <c r="T206" i="8"/>
  <c r="Q206" i="8"/>
  <c r="T1326" i="8"/>
  <c r="Q1326" i="8"/>
  <c r="N1326" i="8"/>
  <c r="A1327" i="8"/>
  <c r="T205" i="8" l="1"/>
  <c r="N205" i="8"/>
  <c r="A204" i="8"/>
  <c r="Q205" i="8"/>
  <c r="T1327" i="8"/>
  <c r="Q1327" i="8"/>
  <c r="N1327" i="8"/>
  <c r="A1328" i="8"/>
  <c r="N204" i="8" l="1"/>
  <c r="A203" i="8"/>
  <c r="T204" i="8"/>
  <c r="Q204" i="8"/>
  <c r="T1328" i="8"/>
  <c r="Q1328" i="8"/>
  <c r="N1328" i="8"/>
  <c r="A1329" i="8"/>
  <c r="A202" i="8" l="1"/>
  <c r="N203" i="8"/>
  <c r="T203" i="8"/>
  <c r="Q203" i="8"/>
  <c r="T1329" i="8"/>
  <c r="Q1329" i="8"/>
  <c r="N1329" i="8"/>
  <c r="A1330" i="8"/>
  <c r="Q202" i="8" l="1"/>
  <c r="N202" i="8"/>
  <c r="T202" i="8"/>
  <c r="A201" i="8"/>
  <c r="T1330" i="8"/>
  <c r="Q1330" i="8"/>
  <c r="N1330" i="8"/>
  <c r="A1331" i="8"/>
  <c r="A200" i="8" l="1"/>
  <c r="Q201" i="8"/>
  <c r="N201" i="8"/>
  <c r="T201" i="8"/>
  <c r="T1331" i="8"/>
  <c r="Q1331" i="8"/>
  <c r="N1331" i="8"/>
  <c r="A1332" i="8"/>
  <c r="T200" i="8" l="1"/>
  <c r="Q200" i="8"/>
  <c r="A199" i="8"/>
  <c r="N200" i="8"/>
  <c r="T1332" i="8"/>
  <c r="Q1332" i="8"/>
  <c r="N1332" i="8"/>
  <c r="A1333" i="8"/>
  <c r="T199" i="8" l="1"/>
  <c r="A198" i="8"/>
  <c r="Q199" i="8"/>
  <c r="N199" i="8"/>
  <c r="T1333" i="8"/>
  <c r="Q1333" i="8"/>
  <c r="N1333" i="8"/>
  <c r="A1334" i="8"/>
  <c r="A197" i="8" l="1"/>
  <c r="N198" i="8"/>
  <c r="T198" i="8"/>
  <c r="Q198" i="8"/>
  <c r="T1334" i="8"/>
  <c r="Q1334" i="8"/>
  <c r="N1334" i="8"/>
  <c r="A1335" i="8"/>
  <c r="A196" i="8" l="1"/>
  <c r="T197" i="8"/>
  <c r="Q197" i="8"/>
  <c r="N197" i="8"/>
  <c r="T1335" i="8"/>
  <c r="Q1335" i="8"/>
  <c r="N1335" i="8"/>
  <c r="A1336" i="8"/>
  <c r="N196" i="8" l="1"/>
  <c r="A195" i="8"/>
  <c r="T196" i="8"/>
  <c r="Q196" i="8"/>
  <c r="T1336" i="8"/>
  <c r="Q1336" i="8"/>
  <c r="N1336" i="8"/>
  <c r="A1337" i="8"/>
  <c r="N195" i="8" l="1"/>
  <c r="A194" i="8"/>
  <c r="T195" i="8"/>
  <c r="Q195" i="8"/>
  <c r="T1337" i="8"/>
  <c r="Q1337" i="8"/>
  <c r="N1337" i="8"/>
  <c r="A1338" i="8"/>
  <c r="A193" i="8" l="1"/>
  <c r="T194" i="8"/>
  <c r="Q194" i="8"/>
  <c r="N194" i="8"/>
  <c r="T1338" i="8"/>
  <c r="Q1338" i="8"/>
  <c r="N1338" i="8"/>
  <c r="A1339" i="8"/>
  <c r="T193" i="8" l="1"/>
  <c r="A192" i="8"/>
  <c r="Q193" i="8"/>
  <c r="N193" i="8"/>
  <c r="T1339" i="8"/>
  <c r="Q1339" i="8"/>
  <c r="N1339" i="8"/>
  <c r="A1340" i="8"/>
  <c r="Q192" i="8" l="1"/>
  <c r="N192" i="8"/>
  <c r="T192" i="8"/>
  <c r="A191" i="8"/>
  <c r="T1340" i="8"/>
  <c r="Q1340" i="8"/>
  <c r="N1340" i="8"/>
  <c r="A1341" i="8"/>
  <c r="Q191" i="8" l="1"/>
  <c r="N191" i="8"/>
  <c r="A190" i="8"/>
  <c r="T191" i="8"/>
  <c r="T1341" i="8"/>
  <c r="Q1341" i="8"/>
  <c r="N1341" i="8"/>
  <c r="A1342" i="8"/>
  <c r="N190" i="8" l="1"/>
  <c r="A189" i="8"/>
  <c r="T190" i="8"/>
  <c r="Q190" i="8"/>
  <c r="T1342" i="8"/>
  <c r="Q1342" i="8"/>
  <c r="N1342" i="8"/>
  <c r="A1343" i="8"/>
  <c r="T189" i="8" l="1"/>
  <c r="A188" i="8"/>
  <c r="Q189" i="8"/>
  <c r="N189" i="8"/>
  <c r="T1343" i="8"/>
  <c r="Q1343" i="8"/>
  <c r="N1343" i="8"/>
  <c r="A1344" i="8"/>
  <c r="T188" i="8" l="1"/>
  <c r="Q188" i="8"/>
  <c r="A187" i="8"/>
  <c r="N188" i="8"/>
  <c r="T1344" i="8"/>
  <c r="Q1344" i="8"/>
  <c r="N1344" i="8"/>
  <c r="A1345" i="8"/>
  <c r="T187" i="8" l="1"/>
  <c r="A186" i="8"/>
  <c r="Q187" i="8"/>
  <c r="N187" i="8"/>
  <c r="T1345" i="8"/>
  <c r="Q1345" i="8"/>
  <c r="N1345" i="8"/>
  <c r="A1346" i="8"/>
  <c r="T186" i="8" l="1"/>
  <c r="N186" i="8"/>
  <c r="A185" i="8"/>
  <c r="Q186" i="8"/>
  <c r="T1346" i="8"/>
  <c r="Q1346" i="8"/>
  <c r="N1346" i="8"/>
  <c r="A1347" i="8"/>
  <c r="A184" i="8" l="1"/>
  <c r="N185" i="8"/>
  <c r="T185" i="8"/>
  <c r="Q185" i="8"/>
  <c r="T1347" i="8"/>
  <c r="Q1347" i="8"/>
  <c r="N1347" i="8"/>
  <c r="A1348" i="8"/>
  <c r="T184" i="8" l="1"/>
  <c r="Q184" i="8"/>
  <c r="N184" i="8"/>
  <c r="A183" i="8"/>
  <c r="T1348" i="8"/>
  <c r="Q1348" i="8"/>
  <c r="N1348" i="8"/>
  <c r="A1349" i="8"/>
  <c r="A182" i="8" l="1"/>
  <c r="Q183" i="8"/>
  <c r="N183" i="8"/>
  <c r="T183" i="8"/>
  <c r="T1349" i="8"/>
  <c r="Q1349" i="8"/>
  <c r="N1349" i="8"/>
  <c r="A1350" i="8"/>
  <c r="N182" i="8" l="1"/>
  <c r="T182" i="8"/>
  <c r="Q182" i="8"/>
  <c r="A181" i="8"/>
  <c r="T1350" i="8"/>
  <c r="Q1350" i="8"/>
  <c r="N1350" i="8"/>
  <c r="A1351" i="8"/>
  <c r="A180" i="8" l="1"/>
  <c r="T181" i="8"/>
  <c r="Q181" i="8"/>
  <c r="N181" i="8"/>
  <c r="T1351" i="8"/>
  <c r="Q1351" i="8"/>
  <c r="N1351" i="8"/>
  <c r="A1352" i="8"/>
  <c r="A179" i="8" l="1"/>
  <c r="T180" i="8"/>
  <c r="Q180" i="8"/>
  <c r="N180" i="8"/>
  <c r="T1352" i="8"/>
  <c r="Q1352" i="8"/>
  <c r="N1352" i="8"/>
  <c r="A1353" i="8"/>
  <c r="T179" i="8" l="1"/>
  <c r="N179" i="8"/>
  <c r="A178" i="8"/>
  <c r="Q179" i="8"/>
  <c r="T1353" i="8"/>
  <c r="Q1353" i="8"/>
  <c r="N1353" i="8"/>
  <c r="A1354" i="8"/>
  <c r="T178" i="8" l="1"/>
  <c r="Q178" i="8"/>
  <c r="N178" i="8"/>
  <c r="A177" i="8"/>
  <c r="T1354" i="8"/>
  <c r="Q1354" i="8"/>
  <c r="N1354" i="8"/>
  <c r="A1355" i="8"/>
  <c r="A176" i="8" l="1"/>
  <c r="Q177" i="8"/>
  <c r="N177" i="8"/>
  <c r="T177" i="8"/>
  <c r="T1355" i="8"/>
  <c r="Q1355" i="8"/>
  <c r="N1355" i="8"/>
  <c r="A1356" i="8"/>
  <c r="A175" i="8" l="1"/>
  <c r="T176" i="8"/>
  <c r="N176" i="8"/>
  <c r="Q176" i="8"/>
  <c r="T1356" i="8"/>
  <c r="Q1356" i="8"/>
  <c r="N1356" i="8"/>
  <c r="A1357" i="8"/>
  <c r="N175" i="8" l="1"/>
  <c r="A174" i="8"/>
  <c r="T175" i="8"/>
  <c r="Q175" i="8"/>
  <c r="T1357" i="8"/>
  <c r="Q1357" i="8"/>
  <c r="N1357" i="8"/>
  <c r="A1358" i="8"/>
  <c r="T174" i="8" l="1"/>
  <c r="Q174" i="8"/>
  <c r="A173" i="8"/>
  <c r="N174" i="8"/>
  <c r="T1358" i="8"/>
  <c r="Q1358" i="8"/>
  <c r="N1358" i="8"/>
  <c r="A1359" i="8"/>
  <c r="A172" i="8" l="1"/>
  <c r="T173" i="8"/>
  <c r="Q173" i="8"/>
  <c r="N173" i="8"/>
  <c r="T1359" i="8"/>
  <c r="Q1359" i="8"/>
  <c r="N1359" i="8"/>
  <c r="A1360" i="8"/>
  <c r="Q172" i="8" l="1"/>
  <c r="A171" i="8"/>
  <c r="T172" i="8"/>
  <c r="N172" i="8"/>
  <c r="T1360" i="8"/>
  <c r="Q1360" i="8"/>
  <c r="N1360" i="8"/>
  <c r="A1361" i="8"/>
  <c r="A170" i="8" l="1"/>
  <c r="Q171" i="8"/>
  <c r="N171" i="8"/>
  <c r="T171" i="8"/>
  <c r="T1361" i="8"/>
  <c r="Q1361" i="8"/>
  <c r="N1361" i="8"/>
  <c r="A1362" i="8"/>
  <c r="T170" i="8" l="1"/>
  <c r="Q170" i="8"/>
  <c r="N170" i="8"/>
  <c r="A169" i="8"/>
  <c r="T1362" i="8"/>
  <c r="Q1362" i="8"/>
  <c r="N1362" i="8"/>
  <c r="A1363" i="8"/>
  <c r="Q169" i="8" l="1"/>
  <c r="N169" i="8"/>
  <c r="A168" i="8"/>
  <c r="T169" i="8"/>
  <c r="T1363" i="8"/>
  <c r="Q1363" i="8"/>
  <c r="N1363" i="8"/>
  <c r="A1364" i="8"/>
  <c r="A167" i="8" l="1"/>
  <c r="T168" i="8"/>
  <c r="Q168" i="8"/>
  <c r="N168" i="8"/>
  <c r="T1364" i="8"/>
  <c r="Q1364" i="8"/>
  <c r="N1364" i="8"/>
  <c r="A1365" i="8"/>
  <c r="T167" i="8" l="1"/>
  <c r="A166" i="8"/>
  <c r="N167" i="8"/>
  <c r="Q167" i="8"/>
  <c r="T1365" i="8"/>
  <c r="Q1365" i="8"/>
  <c r="N1365" i="8"/>
  <c r="A1366" i="8"/>
  <c r="T166" i="8" l="1"/>
  <c r="N166" i="8"/>
  <c r="A165" i="8"/>
  <c r="Q166" i="8"/>
  <c r="T1366" i="8"/>
  <c r="Q1366" i="8"/>
  <c r="N1366" i="8"/>
  <c r="A1367" i="8"/>
  <c r="T165" i="8" l="1"/>
  <c r="N165" i="8"/>
  <c r="Q165" i="8"/>
  <c r="A164" i="8"/>
  <c r="T1367" i="8"/>
  <c r="Q1367" i="8"/>
  <c r="N1367" i="8"/>
  <c r="A1368" i="8"/>
  <c r="Q164" i="8" l="1"/>
  <c r="N164" i="8"/>
  <c r="T164" i="8"/>
  <c r="A163" i="8"/>
  <c r="T1368" i="8"/>
  <c r="Q1368" i="8"/>
  <c r="N1368" i="8"/>
  <c r="A1369" i="8"/>
  <c r="T163" i="8" l="1"/>
  <c r="Q163" i="8"/>
  <c r="N163" i="8"/>
  <c r="A162" i="8"/>
  <c r="T1369" i="8"/>
  <c r="Q1369" i="8"/>
  <c r="N1369" i="8"/>
  <c r="A1370" i="8"/>
  <c r="Q162" i="8" l="1"/>
  <c r="N162" i="8"/>
  <c r="A161" i="8"/>
  <c r="T162" i="8"/>
  <c r="T1370" i="8"/>
  <c r="Q1370" i="8"/>
  <c r="N1370" i="8"/>
  <c r="A1371" i="8"/>
  <c r="T161" i="8" l="1"/>
  <c r="Q161" i="8"/>
  <c r="N161" i="8"/>
  <c r="A160" i="8"/>
  <c r="T1371" i="8"/>
  <c r="Q1371" i="8"/>
  <c r="N1371" i="8"/>
  <c r="A1372" i="8"/>
  <c r="N160" i="8" l="1"/>
  <c r="A159" i="8"/>
  <c r="T160" i="8"/>
  <c r="Q160" i="8"/>
  <c r="T1372" i="8"/>
  <c r="Q1372" i="8"/>
  <c r="N1372" i="8"/>
  <c r="A1373" i="8"/>
  <c r="T159" i="8" l="1"/>
  <c r="Q159" i="8"/>
  <c r="N159" i="8"/>
  <c r="A158" i="8"/>
  <c r="T1373" i="8"/>
  <c r="Q1373" i="8"/>
  <c r="N1373" i="8"/>
  <c r="A1374" i="8"/>
  <c r="T158" i="8" l="1"/>
  <c r="N158" i="8"/>
  <c r="Q158" i="8"/>
  <c r="A157" i="8"/>
  <c r="T1374" i="8"/>
  <c r="Q1374" i="8"/>
  <c r="N1374" i="8"/>
  <c r="A1375" i="8"/>
  <c r="Q157" i="8" l="1"/>
  <c r="T157" i="8"/>
  <c r="N157" i="8"/>
  <c r="A156" i="8"/>
  <c r="T1375" i="8"/>
  <c r="Q1375" i="8"/>
  <c r="N1375" i="8"/>
  <c r="A1376" i="8"/>
  <c r="T156" i="8" l="1"/>
  <c r="Q156" i="8"/>
  <c r="N156" i="8"/>
  <c r="A155" i="8"/>
  <c r="T1376" i="8"/>
  <c r="Q1376" i="8"/>
  <c r="N1376" i="8"/>
  <c r="A1377" i="8"/>
  <c r="T155" i="8" l="1"/>
  <c r="Q155" i="8"/>
  <c r="N155" i="8"/>
  <c r="A154" i="8"/>
  <c r="T1377" i="8"/>
  <c r="Q1377" i="8"/>
  <c r="N1377" i="8"/>
  <c r="A1378" i="8"/>
  <c r="A153" i="8" l="1"/>
  <c r="Q154" i="8"/>
  <c r="N154" i="8"/>
  <c r="T154" i="8"/>
  <c r="T1378" i="8"/>
  <c r="Q1378" i="8"/>
  <c r="N1378" i="8"/>
  <c r="A1379" i="8"/>
  <c r="A152" i="8" l="1"/>
  <c r="T153" i="8"/>
  <c r="Q153" i="8"/>
  <c r="N153" i="8"/>
  <c r="T1379" i="8"/>
  <c r="Q1379" i="8"/>
  <c r="N1379" i="8"/>
  <c r="A1380" i="8"/>
  <c r="T152" i="8" l="1"/>
  <c r="Q152" i="8"/>
  <c r="N152" i="8"/>
  <c r="A151" i="8"/>
  <c r="T1380" i="8"/>
  <c r="Q1380" i="8"/>
  <c r="N1380" i="8"/>
  <c r="A1381" i="8"/>
  <c r="A150" i="8" l="1"/>
  <c r="T151" i="8"/>
  <c r="Q151" i="8"/>
  <c r="N151" i="8"/>
  <c r="T1381" i="8"/>
  <c r="Q1381" i="8"/>
  <c r="N1381" i="8"/>
  <c r="A1382" i="8"/>
  <c r="N150" i="8" l="1"/>
  <c r="T150" i="8"/>
  <c r="Q150" i="8"/>
  <c r="A149" i="8"/>
  <c r="T1382" i="8"/>
  <c r="Q1382" i="8"/>
  <c r="N1382" i="8"/>
  <c r="A1383" i="8"/>
  <c r="T149" i="8" l="1"/>
  <c r="Q149" i="8"/>
  <c r="A148" i="8"/>
  <c r="N149" i="8"/>
  <c r="T1383" i="8"/>
  <c r="Q1383" i="8"/>
  <c r="N1383" i="8"/>
  <c r="A1384" i="8"/>
  <c r="A147" i="8" l="1"/>
  <c r="N148" i="8"/>
  <c r="T148" i="8"/>
  <c r="Q148" i="8"/>
  <c r="T1384" i="8"/>
  <c r="Q1384" i="8"/>
  <c r="N1384" i="8"/>
  <c r="A1385" i="8"/>
  <c r="Q147" i="8" l="1"/>
  <c r="A146" i="8"/>
  <c r="T147" i="8"/>
  <c r="N147" i="8"/>
  <c r="T1385" i="8"/>
  <c r="Q1385" i="8"/>
  <c r="N1385" i="8"/>
  <c r="A1386" i="8"/>
  <c r="T146" i="8" l="1"/>
  <c r="N146" i="8"/>
  <c r="A145" i="8"/>
  <c r="Q146" i="8"/>
  <c r="T1386" i="8"/>
  <c r="Q1386" i="8"/>
  <c r="N1386" i="8"/>
  <c r="A1387" i="8"/>
  <c r="A144" i="8" l="1"/>
  <c r="T145" i="8"/>
  <c r="Q145" i="8"/>
  <c r="N145" i="8"/>
  <c r="T1387" i="8"/>
  <c r="Q1387" i="8"/>
  <c r="N1387" i="8"/>
  <c r="A1388" i="8"/>
  <c r="N144" i="8" l="1"/>
  <c r="A143" i="8"/>
  <c r="T144" i="8"/>
  <c r="Q144" i="8"/>
  <c r="T1388" i="8"/>
  <c r="Q1388" i="8"/>
  <c r="N1388" i="8"/>
  <c r="A1389" i="8"/>
  <c r="Q143" i="8" l="1"/>
  <c r="T143" i="8"/>
  <c r="A142" i="8"/>
  <c r="N143" i="8"/>
  <c r="T1389" i="8"/>
  <c r="Q1389" i="8"/>
  <c r="N1389" i="8"/>
  <c r="A1390" i="8"/>
  <c r="A141" i="8" l="1"/>
  <c r="T142" i="8"/>
  <c r="Q142" i="8"/>
  <c r="N142" i="8"/>
  <c r="T1390" i="8"/>
  <c r="Q1390" i="8"/>
  <c r="N1390" i="8"/>
  <c r="A1391" i="8"/>
  <c r="T141" i="8" l="1"/>
  <c r="Q141" i="8"/>
  <c r="N141" i="8"/>
  <c r="A140" i="8"/>
  <c r="T1391" i="8"/>
  <c r="Q1391" i="8"/>
  <c r="N1391" i="8"/>
  <c r="A1392" i="8"/>
  <c r="N140" i="8" l="1"/>
  <c r="T140" i="8"/>
  <c r="Q140" i="8"/>
  <c r="A139" i="8"/>
  <c r="T1392" i="8"/>
  <c r="Q1392" i="8"/>
  <c r="N1392" i="8"/>
  <c r="A1393" i="8"/>
  <c r="Q139" i="8" l="1"/>
  <c r="N139" i="8"/>
  <c r="T139" i="8"/>
  <c r="A138" i="8"/>
  <c r="T1393" i="8"/>
  <c r="Q1393" i="8"/>
  <c r="N1393" i="8"/>
  <c r="A1394" i="8"/>
  <c r="N138" i="8" l="1"/>
  <c r="T138" i="8"/>
  <c r="Q138" i="8"/>
  <c r="A137" i="8"/>
  <c r="T1394" i="8"/>
  <c r="Q1394" i="8"/>
  <c r="N1394" i="8"/>
  <c r="A1395" i="8"/>
  <c r="N137" i="8" l="1"/>
  <c r="A136" i="8"/>
  <c r="T137" i="8"/>
  <c r="Q137" i="8"/>
  <c r="T1395" i="8"/>
  <c r="Q1395" i="8"/>
  <c r="N1395" i="8"/>
  <c r="A1396" i="8"/>
  <c r="T136" i="8" l="1"/>
  <c r="Q136" i="8"/>
  <c r="N136" i="8"/>
  <c r="A135" i="8"/>
  <c r="T1396" i="8"/>
  <c r="Q1396" i="8"/>
  <c r="N1396" i="8"/>
  <c r="A1397" i="8"/>
  <c r="A134" i="8" l="1"/>
  <c r="Q135" i="8"/>
  <c r="T135" i="8"/>
  <c r="N135" i="8"/>
  <c r="T1397" i="8"/>
  <c r="Q1397" i="8"/>
  <c r="N1397" i="8"/>
  <c r="A1398" i="8"/>
  <c r="T134" i="8" l="1"/>
  <c r="N134" i="8"/>
  <c r="A133" i="8"/>
  <c r="Q134" i="8"/>
  <c r="T1398" i="8"/>
  <c r="Q1398" i="8"/>
  <c r="N1398" i="8"/>
  <c r="A1399" i="8"/>
  <c r="T133" i="8" l="1"/>
  <c r="Q133" i="8"/>
  <c r="A132" i="8"/>
  <c r="N133" i="8"/>
  <c r="T1399" i="8"/>
  <c r="Q1399" i="8"/>
  <c r="N1399" i="8"/>
  <c r="A1400" i="8"/>
  <c r="A131" i="8" l="1"/>
  <c r="T132" i="8"/>
  <c r="Q132" i="8"/>
  <c r="N132" i="8"/>
  <c r="T1400" i="8"/>
  <c r="Q1400" i="8"/>
  <c r="N1400" i="8"/>
  <c r="A1401" i="8"/>
  <c r="A130" i="8" l="1"/>
  <c r="N131" i="8"/>
  <c r="T131" i="8"/>
  <c r="Q131" i="8"/>
  <c r="T1401" i="8"/>
  <c r="Q1401" i="8"/>
  <c r="N1401" i="8"/>
  <c r="A1402" i="8"/>
  <c r="T130" i="8" l="1"/>
  <c r="N130" i="8"/>
  <c r="A129" i="8"/>
  <c r="Q130" i="8"/>
  <c r="T1402" i="8"/>
  <c r="Q1402" i="8"/>
  <c r="N1402" i="8"/>
  <c r="A1403" i="8"/>
  <c r="Q129" i="8" l="1"/>
  <c r="N129" i="8"/>
  <c r="T129" i="8"/>
  <c r="A128" i="8"/>
  <c r="T1403" i="8"/>
  <c r="Q1403" i="8"/>
  <c r="N1403" i="8"/>
  <c r="A1404" i="8"/>
  <c r="A127" i="8" l="1"/>
  <c r="T128" i="8"/>
  <c r="N128" i="8"/>
  <c r="Q128" i="8"/>
  <c r="T1404" i="8"/>
  <c r="Q1404" i="8"/>
  <c r="N1404" i="8"/>
  <c r="A1405" i="8"/>
  <c r="A126" i="8" l="1"/>
  <c r="T127" i="8"/>
  <c r="Q127" i="8"/>
  <c r="N127" i="8"/>
  <c r="T1405" i="8"/>
  <c r="Q1405" i="8"/>
  <c r="N1405" i="8"/>
  <c r="A1406" i="8"/>
  <c r="T126" i="8" l="1"/>
  <c r="Q126" i="8"/>
  <c r="N126" i="8"/>
  <c r="A125" i="8"/>
  <c r="T1406" i="8"/>
  <c r="Q1406" i="8"/>
  <c r="N1406" i="8"/>
  <c r="A1407" i="8"/>
  <c r="Q125" i="8" l="1"/>
  <c r="A124" i="8"/>
  <c r="T125" i="8"/>
  <c r="N125" i="8"/>
  <c r="T1407" i="8"/>
  <c r="Q1407" i="8"/>
  <c r="N1407" i="8"/>
  <c r="A1408" i="8"/>
  <c r="A123" i="8" l="1"/>
  <c r="T124" i="8"/>
  <c r="Q124" i="8"/>
  <c r="N124" i="8"/>
  <c r="T1408" i="8"/>
  <c r="Q1408" i="8"/>
  <c r="N1408" i="8"/>
  <c r="A1409" i="8"/>
  <c r="Q123" i="8" l="1"/>
  <c r="N123" i="8"/>
  <c r="A122" i="8"/>
  <c r="T123" i="8"/>
  <c r="T1409" i="8"/>
  <c r="Q1409" i="8"/>
  <c r="N1409" i="8"/>
  <c r="A1410" i="8"/>
  <c r="A121" i="8" l="1"/>
  <c r="T122" i="8"/>
  <c r="N122" i="8"/>
  <c r="Q122" i="8"/>
  <c r="T1410" i="8"/>
  <c r="Q1410" i="8"/>
  <c r="N1410" i="8"/>
  <c r="A1411" i="8"/>
  <c r="Q121" i="8" l="1"/>
  <c r="T121" i="8"/>
  <c r="A120" i="8"/>
  <c r="N121" i="8"/>
  <c r="T1411" i="8"/>
  <c r="Q1411" i="8"/>
  <c r="N1411" i="8"/>
  <c r="A1412" i="8"/>
  <c r="T120" i="8" l="1"/>
  <c r="Q120" i="8"/>
  <c r="N120" i="8"/>
  <c r="A119" i="8"/>
  <c r="T1412" i="8"/>
  <c r="Q1412" i="8"/>
  <c r="N1412" i="8"/>
  <c r="A1413" i="8"/>
  <c r="Q119" i="8" l="1"/>
  <c r="N119" i="8"/>
  <c r="A118" i="8"/>
  <c r="T119" i="8"/>
  <c r="T1413" i="8"/>
  <c r="Q1413" i="8"/>
  <c r="N1413" i="8"/>
  <c r="A1414" i="8"/>
  <c r="A117" i="8" l="1"/>
  <c r="T118" i="8"/>
  <c r="Q118" i="8"/>
  <c r="N118" i="8"/>
  <c r="T1414" i="8"/>
  <c r="Q1414" i="8"/>
  <c r="N1414" i="8"/>
  <c r="A1415" i="8"/>
  <c r="A116" i="8" l="1"/>
  <c r="T117" i="8"/>
  <c r="Q117" i="8"/>
  <c r="N117" i="8"/>
  <c r="T1415" i="8"/>
  <c r="Q1415" i="8"/>
  <c r="N1415" i="8"/>
  <c r="A1416" i="8"/>
  <c r="N116" i="8" l="1"/>
  <c r="T116" i="8"/>
  <c r="Q116" i="8"/>
  <c r="A115" i="8"/>
  <c r="T1416" i="8"/>
  <c r="Q1416" i="8"/>
  <c r="N1416" i="8"/>
  <c r="A1417" i="8"/>
  <c r="A114" i="8" l="1"/>
  <c r="T115" i="8"/>
  <c r="Q115" i="8"/>
  <c r="N115" i="8"/>
  <c r="T1417" i="8"/>
  <c r="Q1417" i="8"/>
  <c r="N1417" i="8"/>
  <c r="A1418" i="8"/>
  <c r="T114" i="8" l="1"/>
  <c r="N114" i="8"/>
  <c r="A113" i="8"/>
  <c r="Q114" i="8"/>
  <c r="T1418" i="8"/>
  <c r="Q1418" i="8"/>
  <c r="N1418" i="8"/>
  <c r="A1419" i="8"/>
  <c r="N113" i="8" l="1"/>
  <c r="A112" i="8"/>
  <c r="Q113" i="8"/>
  <c r="T113" i="8"/>
  <c r="T1419" i="8"/>
  <c r="Q1419" i="8"/>
  <c r="N1419" i="8"/>
  <c r="A1420" i="8"/>
  <c r="T112" i="8" l="1"/>
  <c r="N112" i="8"/>
  <c r="Q112" i="8"/>
  <c r="A111" i="8"/>
  <c r="T1420" i="8"/>
  <c r="Q1420" i="8"/>
  <c r="N1420" i="8"/>
  <c r="A1421" i="8"/>
  <c r="N111" i="8" l="1"/>
  <c r="A110" i="8"/>
  <c r="T111" i="8"/>
  <c r="Q111" i="8"/>
  <c r="T1421" i="8"/>
  <c r="Q1421" i="8"/>
  <c r="N1421" i="8"/>
  <c r="A1422" i="8"/>
  <c r="A109" i="8" l="1"/>
  <c r="T110" i="8"/>
  <c r="Q110" i="8"/>
  <c r="N110" i="8"/>
  <c r="T1422" i="8"/>
  <c r="Q1422" i="8"/>
  <c r="N1422" i="8"/>
  <c r="A1423" i="8"/>
  <c r="Q109" i="8" l="1"/>
  <c r="N109" i="8"/>
  <c r="T109" i="8"/>
  <c r="A108" i="8"/>
  <c r="T1423" i="8"/>
  <c r="Q1423" i="8"/>
  <c r="N1423" i="8"/>
  <c r="A1424" i="8"/>
  <c r="T108" i="8" l="1"/>
  <c r="A107" i="8"/>
  <c r="N108" i="8"/>
  <c r="Q108" i="8"/>
  <c r="T1424" i="8"/>
  <c r="Q1424" i="8"/>
  <c r="N1424" i="8"/>
  <c r="A1425" i="8"/>
  <c r="Q107" i="8" l="1"/>
  <c r="N107" i="8"/>
  <c r="A106" i="8"/>
  <c r="T107" i="8"/>
  <c r="T1425" i="8"/>
  <c r="Q1425" i="8"/>
  <c r="N1425" i="8"/>
  <c r="A1426" i="8"/>
  <c r="T106" i="8" l="1"/>
  <c r="Q106" i="8"/>
  <c r="N106" i="8"/>
  <c r="A105" i="8"/>
  <c r="T1426" i="8"/>
  <c r="Q1426" i="8"/>
  <c r="N1426" i="8"/>
  <c r="A1427" i="8"/>
  <c r="T105" i="8" l="1"/>
  <c r="Q105" i="8"/>
  <c r="N105" i="8"/>
  <c r="A104" i="8"/>
  <c r="T1427" i="8"/>
  <c r="Q1427" i="8"/>
  <c r="N1427" i="8"/>
  <c r="A1428" i="8"/>
  <c r="N104" i="8" l="1"/>
  <c r="A103" i="8"/>
  <c r="T104" i="8"/>
  <c r="Q104" i="8"/>
  <c r="T1428" i="8"/>
  <c r="Q1428" i="8"/>
  <c r="N1428" i="8"/>
  <c r="A1429" i="8"/>
  <c r="Q103" i="8" l="1"/>
  <c r="T103" i="8"/>
  <c r="A102" i="8"/>
  <c r="N103" i="8"/>
  <c r="T1429" i="8"/>
  <c r="Q1429" i="8"/>
  <c r="N1429" i="8"/>
  <c r="A1430" i="8"/>
  <c r="T102" i="8" l="1"/>
  <c r="Q102" i="8"/>
  <c r="N102" i="8"/>
  <c r="A101" i="8"/>
  <c r="T1430" i="8"/>
  <c r="Q1430" i="8"/>
  <c r="N1430" i="8"/>
  <c r="A1431" i="8"/>
  <c r="A100" i="8" l="1"/>
  <c r="T101" i="8"/>
  <c r="Q101" i="8"/>
  <c r="N101" i="8"/>
  <c r="T1431" i="8"/>
  <c r="Q1431" i="8"/>
  <c r="N1431" i="8"/>
  <c r="A1432" i="8"/>
  <c r="T100" i="8" l="1"/>
  <c r="A99" i="8"/>
  <c r="Q100" i="8"/>
  <c r="N100" i="8"/>
  <c r="T1432" i="8"/>
  <c r="Q1432" i="8"/>
  <c r="N1432" i="8"/>
  <c r="A1433" i="8"/>
  <c r="Q99" i="8" l="1"/>
  <c r="N99" i="8"/>
  <c r="A98" i="8"/>
  <c r="T99" i="8"/>
  <c r="T1433" i="8"/>
  <c r="Q1433" i="8"/>
  <c r="N1433" i="8"/>
  <c r="A1434" i="8"/>
  <c r="Q98" i="8" l="1"/>
  <c r="N98" i="8"/>
  <c r="T98" i="8"/>
  <c r="A97" i="8"/>
  <c r="T1434" i="8"/>
  <c r="Q1434" i="8"/>
  <c r="N1434" i="8"/>
  <c r="A1435" i="8"/>
  <c r="A96" i="8" l="1"/>
  <c r="T97" i="8"/>
  <c r="Q97" i="8"/>
  <c r="N97" i="8"/>
  <c r="T1435" i="8"/>
  <c r="Q1435" i="8"/>
  <c r="N1435" i="8"/>
  <c r="A1436" i="8"/>
  <c r="T96" i="8" l="1"/>
  <c r="Q96" i="8"/>
  <c r="N96" i="8"/>
  <c r="A95" i="8"/>
  <c r="T1436" i="8"/>
  <c r="Q1436" i="8"/>
  <c r="N1436" i="8"/>
  <c r="A1437" i="8"/>
  <c r="A94" i="8" l="1"/>
  <c r="N95" i="8"/>
  <c r="T95" i="8"/>
  <c r="Q95" i="8"/>
  <c r="T1437" i="8"/>
  <c r="Q1437" i="8"/>
  <c r="N1437" i="8"/>
  <c r="A1438" i="8"/>
  <c r="N94" i="8" l="1"/>
  <c r="T94" i="8"/>
  <c r="Q94" i="8"/>
  <c r="A93" i="8"/>
  <c r="T1438" i="8"/>
  <c r="Q1438" i="8"/>
  <c r="N1438" i="8"/>
  <c r="A1439" i="8"/>
  <c r="A92" i="8" l="1"/>
  <c r="T93" i="8"/>
  <c r="Q93" i="8"/>
  <c r="N93" i="8"/>
  <c r="T1439" i="8"/>
  <c r="Q1439" i="8"/>
  <c r="N1439" i="8"/>
  <c r="A1440" i="8"/>
  <c r="A91" i="8" l="1"/>
  <c r="Q92" i="8"/>
  <c r="T92" i="8"/>
  <c r="N92" i="8"/>
  <c r="T1440" i="8"/>
  <c r="Q1440" i="8"/>
  <c r="N1440" i="8"/>
  <c r="A1441" i="8"/>
  <c r="T91" i="8" l="1"/>
  <c r="A90" i="8"/>
  <c r="Q91" i="8"/>
  <c r="N91" i="8"/>
  <c r="T1441" i="8"/>
  <c r="Q1441" i="8"/>
  <c r="N1441" i="8"/>
  <c r="A1442" i="8"/>
  <c r="T90" i="8" l="1"/>
  <c r="Q90" i="8"/>
  <c r="N90" i="8"/>
  <c r="A89" i="8"/>
  <c r="T1442" i="8"/>
  <c r="Q1442" i="8"/>
  <c r="N1442" i="8"/>
  <c r="A1443" i="8"/>
  <c r="A88" i="8" l="1"/>
  <c r="T89" i="8"/>
  <c r="Q89" i="8"/>
  <c r="N89" i="8"/>
  <c r="T1443" i="8"/>
  <c r="Q1443" i="8"/>
  <c r="N1443" i="8"/>
  <c r="A1444" i="8"/>
  <c r="A87" i="8" l="1"/>
  <c r="Q88" i="8"/>
  <c r="N88" i="8"/>
  <c r="T88" i="8"/>
  <c r="T1444" i="8"/>
  <c r="Q1444" i="8"/>
  <c r="N1444" i="8"/>
  <c r="A1445" i="8"/>
  <c r="T87" i="8" l="1"/>
  <c r="Q87" i="8"/>
  <c r="N87" i="8"/>
  <c r="A86" i="8"/>
  <c r="T1445" i="8"/>
  <c r="Q1445" i="8"/>
  <c r="N1445" i="8"/>
  <c r="A1446" i="8"/>
  <c r="T86" i="8" l="1"/>
  <c r="Q86" i="8"/>
  <c r="N86" i="8"/>
  <c r="A85" i="8"/>
  <c r="T1446" i="8"/>
  <c r="Q1446" i="8"/>
  <c r="N1446" i="8"/>
  <c r="A1447" i="8"/>
  <c r="N85" i="8" l="1"/>
  <c r="T85" i="8"/>
  <c r="Q85" i="8"/>
  <c r="A84" i="8"/>
  <c r="T1447" i="8"/>
  <c r="Q1447" i="8"/>
  <c r="N1447" i="8"/>
  <c r="A1448" i="8"/>
  <c r="T84" i="8" l="1"/>
  <c r="N84" i="8"/>
  <c r="Q84" i="8"/>
  <c r="A83" i="8"/>
  <c r="T1448" i="8"/>
  <c r="Q1448" i="8"/>
  <c r="N1448" i="8"/>
  <c r="A1449" i="8"/>
  <c r="T83" i="8" l="1"/>
  <c r="Q83" i="8"/>
  <c r="A82" i="8"/>
  <c r="N83" i="8"/>
  <c r="T1449" i="8"/>
  <c r="Q1449" i="8"/>
  <c r="N1449" i="8"/>
  <c r="A1450" i="8"/>
  <c r="A81" i="8" l="1"/>
  <c r="T82" i="8"/>
  <c r="Q82" i="8"/>
  <c r="N82" i="8"/>
  <c r="T1450" i="8"/>
  <c r="Q1450" i="8"/>
  <c r="N1450" i="8"/>
  <c r="A1451" i="8"/>
  <c r="Q81" i="8" l="1"/>
  <c r="T81" i="8"/>
  <c r="N81" i="8"/>
  <c r="A80" i="8"/>
  <c r="T1451" i="8"/>
  <c r="Q1451" i="8"/>
  <c r="N1451" i="8"/>
  <c r="A1452" i="8"/>
  <c r="A79" i="8" l="1"/>
  <c r="T80" i="8"/>
  <c r="N80" i="8"/>
  <c r="Q80" i="8"/>
  <c r="T1452" i="8"/>
  <c r="Q1452" i="8"/>
  <c r="N1452" i="8"/>
  <c r="A1453" i="8"/>
  <c r="T79" i="8" l="1"/>
  <c r="Q79" i="8"/>
  <c r="A78" i="8"/>
  <c r="N79" i="8"/>
  <c r="T1453" i="8"/>
  <c r="Q1453" i="8"/>
  <c r="N1453" i="8"/>
  <c r="A1454" i="8"/>
  <c r="N78" i="8" l="1"/>
  <c r="A77" i="8"/>
  <c r="T78" i="8"/>
  <c r="Q78" i="8"/>
  <c r="T1454" i="8"/>
  <c r="Q1454" i="8"/>
  <c r="N1454" i="8"/>
  <c r="A1455" i="8"/>
  <c r="A76" i="8" l="1"/>
  <c r="N77" i="8"/>
  <c r="T77" i="8"/>
  <c r="Q77" i="8"/>
  <c r="T1455" i="8"/>
  <c r="Q1455" i="8"/>
  <c r="N1455" i="8"/>
  <c r="A1456" i="8"/>
  <c r="T76" i="8" l="1"/>
  <c r="A75" i="8"/>
  <c r="N76" i="8"/>
  <c r="Q76" i="8"/>
  <c r="T1456" i="8"/>
  <c r="Q1456" i="8"/>
  <c r="N1456" i="8"/>
  <c r="A1457" i="8"/>
  <c r="Q75" i="8" l="1"/>
  <c r="N75" i="8"/>
  <c r="T75" i="8"/>
  <c r="A74" i="8"/>
  <c r="T1457" i="8"/>
  <c r="Q1457" i="8"/>
  <c r="N1457" i="8"/>
  <c r="A1458" i="8"/>
  <c r="T74" i="8" l="1"/>
  <c r="Q74" i="8"/>
  <c r="N74" i="8"/>
  <c r="A73" i="8"/>
  <c r="T1458" i="8"/>
  <c r="Q1458" i="8"/>
  <c r="N1458" i="8"/>
  <c r="A1459" i="8"/>
  <c r="N73" i="8" l="1"/>
  <c r="A72" i="8"/>
  <c r="T73" i="8"/>
  <c r="Q73" i="8"/>
  <c r="T1459" i="8"/>
  <c r="Q1459" i="8"/>
  <c r="N1459" i="8"/>
  <c r="A1460" i="8"/>
  <c r="T72" i="8" l="1"/>
  <c r="A71" i="8"/>
  <c r="N72" i="8"/>
  <c r="Q72" i="8"/>
  <c r="T1460" i="8"/>
  <c r="Q1460" i="8"/>
  <c r="N1460" i="8"/>
  <c r="A1461" i="8"/>
  <c r="T71" i="8" l="1"/>
  <c r="N71" i="8"/>
  <c r="Q71" i="8"/>
  <c r="A70" i="8"/>
  <c r="T1461" i="8"/>
  <c r="Q1461" i="8"/>
  <c r="N1461" i="8"/>
  <c r="A1462" i="8"/>
  <c r="Q70" i="8" l="1"/>
  <c r="N70" i="8"/>
  <c r="A69" i="8"/>
  <c r="T70" i="8"/>
  <c r="T1462" i="8"/>
  <c r="Q1462" i="8"/>
  <c r="N1462" i="8"/>
  <c r="A1463" i="8"/>
  <c r="N69" i="8" l="1"/>
  <c r="A68" i="8"/>
  <c r="Q69" i="8"/>
  <c r="T69" i="8"/>
  <c r="T1463" i="8"/>
  <c r="Q1463" i="8"/>
  <c r="N1463" i="8"/>
  <c r="A1464" i="8"/>
  <c r="N68" i="8" l="1"/>
  <c r="A67" i="8"/>
  <c r="T68" i="8"/>
  <c r="Q68" i="8"/>
  <c r="T1464" i="8"/>
  <c r="Q1464" i="8"/>
  <c r="N1464" i="8"/>
  <c r="A1465" i="8"/>
  <c r="T67" i="8" l="1"/>
  <c r="Q67" i="8"/>
  <c r="N67" i="8"/>
  <c r="A66" i="8"/>
  <c r="T1465" i="8"/>
  <c r="Q1465" i="8"/>
  <c r="N1465" i="8"/>
  <c r="A1466" i="8"/>
  <c r="T66" i="8" l="1"/>
  <c r="A65" i="8"/>
  <c r="N66" i="8"/>
  <c r="Q66" i="8"/>
  <c r="T1466" i="8"/>
  <c r="Q1466" i="8"/>
  <c r="N1466" i="8"/>
  <c r="A1467" i="8"/>
  <c r="T65" i="8" l="1"/>
  <c r="N65" i="8"/>
  <c r="A64" i="8"/>
  <c r="Q65" i="8"/>
  <c r="T1467" i="8"/>
  <c r="Q1467" i="8"/>
  <c r="N1467" i="8"/>
  <c r="A1468" i="8"/>
  <c r="A63" i="8" l="1"/>
  <c r="T64" i="8"/>
  <c r="Q64" i="8"/>
  <c r="N64" i="8"/>
  <c r="T1468" i="8"/>
  <c r="Q1468" i="8"/>
  <c r="N1468" i="8"/>
  <c r="A1469" i="8"/>
  <c r="A62" i="8" l="1"/>
  <c r="T63" i="8"/>
  <c r="Q63" i="8"/>
  <c r="N63" i="8"/>
  <c r="T1469" i="8"/>
  <c r="Q1469" i="8"/>
  <c r="N1469" i="8"/>
  <c r="A1470" i="8"/>
  <c r="A61" i="8" l="1"/>
  <c r="T62" i="8"/>
  <c r="N62" i="8"/>
  <c r="Q62" i="8"/>
  <c r="T1470" i="8"/>
  <c r="Q1470" i="8"/>
  <c r="N1470" i="8"/>
  <c r="A1471" i="8"/>
  <c r="N61" i="8" l="1"/>
  <c r="T61" i="8"/>
  <c r="Q61" i="8"/>
  <c r="A60" i="8"/>
  <c r="T1471" i="8"/>
  <c r="Q1471" i="8"/>
  <c r="N1471" i="8"/>
  <c r="A1472" i="8"/>
  <c r="A59" i="8" l="1"/>
  <c r="T60" i="8"/>
  <c r="Q60" i="8"/>
  <c r="N60" i="8"/>
  <c r="T1472" i="8"/>
  <c r="Q1472" i="8"/>
  <c r="N1472" i="8"/>
  <c r="A1473" i="8"/>
  <c r="T59" i="8" l="1"/>
  <c r="Q59" i="8"/>
  <c r="N59" i="8"/>
  <c r="A58" i="8"/>
  <c r="T1473" i="8"/>
  <c r="Q1473" i="8"/>
  <c r="N1473" i="8"/>
  <c r="A1474" i="8"/>
  <c r="N58" i="8" l="1"/>
  <c r="Q58" i="8"/>
  <c r="A57" i="8"/>
  <c r="T58" i="8"/>
  <c r="T1474" i="8"/>
  <c r="Q1474" i="8"/>
  <c r="N1474" i="8"/>
  <c r="A1475" i="8"/>
  <c r="T57" i="8" l="1"/>
  <c r="Q57" i="8"/>
  <c r="A56" i="8"/>
  <c r="N57" i="8"/>
  <c r="T1475" i="8"/>
  <c r="Q1475" i="8"/>
  <c r="N1475" i="8"/>
  <c r="A1476" i="8"/>
  <c r="T56" i="8" l="1"/>
  <c r="A55" i="8"/>
  <c r="Q56" i="8"/>
  <c r="N56" i="8"/>
  <c r="T1476" i="8"/>
  <c r="Q1476" i="8"/>
  <c r="N1476" i="8"/>
  <c r="A1477" i="8"/>
  <c r="A54" i="8" l="1"/>
  <c r="T55" i="8"/>
  <c r="Q55" i="8"/>
  <c r="N55" i="8"/>
  <c r="T1477" i="8"/>
  <c r="Q1477" i="8"/>
  <c r="N1477" i="8"/>
  <c r="A1478" i="8"/>
  <c r="T54" i="8" l="1"/>
  <c r="Q54" i="8"/>
  <c r="N54" i="8"/>
  <c r="A53" i="8"/>
  <c r="T1478" i="8"/>
  <c r="Q1478" i="8"/>
  <c r="N1478" i="8"/>
  <c r="A1479" i="8"/>
  <c r="A52" i="8" l="1"/>
  <c r="T53" i="8"/>
  <c r="Q53" i="8"/>
  <c r="N53" i="8"/>
  <c r="T1479" i="8"/>
  <c r="Q1479" i="8"/>
  <c r="N1479" i="8"/>
  <c r="A1480" i="8"/>
  <c r="T52" i="8" l="1"/>
  <c r="A51" i="8"/>
  <c r="Q52" i="8"/>
  <c r="N52" i="8"/>
  <c r="T1480" i="8"/>
  <c r="Q1480" i="8"/>
  <c r="N1480" i="8"/>
  <c r="A1481" i="8"/>
  <c r="T51" i="8" l="1"/>
  <c r="A50" i="8"/>
  <c r="Q51" i="8"/>
  <c r="N51" i="8"/>
  <c r="T1481" i="8"/>
  <c r="Q1481" i="8"/>
  <c r="N1481" i="8"/>
  <c r="A1482" i="8"/>
  <c r="A49" i="8" l="1"/>
  <c r="T50" i="8"/>
  <c r="Q50" i="8"/>
  <c r="N50" i="8"/>
  <c r="T1482" i="8"/>
  <c r="Q1482" i="8"/>
  <c r="N1482" i="8"/>
  <c r="A1483" i="8"/>
  <c r="T49" i="8" l="1"/>
  <c r="Q49" i="8"/>
  <c r="A48" i="8"/>
  <c r="N49" i="8"/>
  <c r="T1483" i="8"/>
  <c r="Q1483" i="8"/>
  <c r="N1483" i="8"/>
  <c r="A1484" i="8"/>
  <c r="Q48" i="8" l="1"/>
  <c r="N48" i="8"/>
  <c r="T48" i="8"/>
  <c r="A47" i="8"/>
  <c r="T1484" i="8"/>
  <c r="Q1484" i="8"/>
  <c r="N1484" i="8"/>
  <c r="A1485" i="8"/>
  <c r="Q47" i="8" l="1"/>
  <c r="N47" i="8"/>
  <c r="A46" i="8"/>
  <c r="T47" i="8"/>
  <c r="T1485" i="8"/>
  <c r="Q1485" i="8"/>
  <c r="N1485" i="8"/>
  <c r="A1486" i="8"/>
  <c r="A45" i="8" l="1"/>
  <c r="T46" i="8"/>
  <c r="Q46" i="8"/>
  <c r="N46" i="8"/>
  <c r="T1486" i="8"/>
  <c r="Q1486" i="8"/>
  <c r="N1486" i="8"/>
  <c r="A1487" i="8"/>
  <c r="T45" i="8" l="1"/>
  <c r="N45" i="8"/>
  <c r="Q45" i="8"/>
  <c r="A44" i="8"/>
  <c r="T1487" i="8"/>
  <c r="Q1487" i="8"/>
  <c r="N1487" i="8"/>
  <c r="A1488" i="8"/>
  <c r="T44" i="8" l="1"/>
  <c r="Q44" i="8"/>
  <c r="N44" i="8"/>
  <c r="A43" i="8"/>
  <c r="T1488" i="8"/>
  <c r="Q1488" i="8"/>
  <c r="N1488" i="8"/>
  <c r="A1489" i="8"/>
  <c r="A42" i="8" l="1"/>
  <c r="T43" i="8"/>
  <c r="Q43" i="8"/>
  <c r="N43" i="8"/>
  <c r="T1489" i="8"/>
  <c r="Q1489" i="8"/>
  <c r="N1489" i="8"/>
  <c r="A1490" i="8"/>
  <c r="A41" i="8" l="1"/>
  <c r="T42" i="8"/>
  <c r="Q42" i="8"/>
  <c r="N42" i="8"/>
  <c r="T1490" i="8"/>
  <c r="Q1490" i="8"/>
  <c r="N1490" i="8"/>
  <c r="A1491" i="8"/>
  <c r="T41" i="8" l="1"/>
  <c r="Q41" i="8"/>
  <c r="A40" i="8"/>
  <c r="N41" i="8"/>
  <c r="T1491" i="8"/>
  <c r="Q1491" i="8"/>
  <c r="N1491" i="8"/>
  <c r="A1492" i="8"/>
  <c r="T40" i="8" l="1"/>
  <c r="Q40" i="8"/>
  <c r="N40" i="8"/>
  <c r="A39" i="8"/>
  <c r="T1492" i="8"/>
  <c r="Q1492" i="8"/>
  <c r="N1492" i="8"/>
  <c r="A1493" i="8"/>
  <c r="N39" i="8" l="1"/>
  <c r="T39" i="8"/>
  <c r="A38" i="8"/>
  <c r="Q39" i="8"/>
  <c r="T1493" i="8"/>
  <c r="Q1493" i="8"/>
  <c r="N1493" i="8"/>
  <c r="A1494" i="8"/>
  <c r="T38" i="8" l="1"/>
  <c r="Q38" i="8"/>
  <c r="A37" i="8"/>
  <c r="N38" i="8"/>
  <c r="T1494" i="8"/>
  <c r="Q1494" i="8"/>
  <c r="N1494" i="8"/>
  <c r="A1495" i="8"/>
  <c r="Q37" i="8" l="1"/>
  <c r="N37" i="8"/>
  <c r="A36" i="8"/>
  <c r="T37" i="8"/>
  <c r="T1495" i="8"/>
  <c r="Q1495" i="8"/>
  <c r="N1495" i="8"/>
  <c r="A1496" i="8"/>
  <c r="A35" i="8" l="1"/>
  <c r="T36" i="8"/>
  <c r="N36" i="8"/>
  <c r="Q36" i="8"/>
  <c r="T1496" i="8"/>
  <c r="Q1496" i="8"/>
  <c r="N1496" i="8"/>
  <c r="A1497" i="8"/>
  <c r="T35" i="8" l="1"/>
  <c r="Q35" i="8"/>
  <c r="N35" i="8"/>
  <c r="A34" i="8"/>
  <c r="T1497" i="8"/>
  <c r="Q1497" i="8"/>
  <c r="N1497" i="8"/>
  <c r="A1498" i="8"/>
  <c r="T34" i="8" l="1"/>
  <c r="Q34" i="8"/>
  <c r="A33" i="8"/>
  <c r="N34" i="8"/>
  <c r="T1498" i="8"/>
  <c r="Q1498" i="8"/>
  <c r="N1498" i="8"/>
  <c r="A1499" i="8"/>
  <c r="A32" i="8" l="1"/>
  <c r="T33" i="8"/>
  <c r="Q33" i="8"/>
  <c r="N33" i="8"/>
  <c r="T1499" i="8"/>
  <c r="Q1499" i="8"/>
  <c r="N1499" i="8"/>
  <c r="A1500" i="8"/>
  <c r="A31" i="8" l="1"/>
  <c r="T32" i="8"/>
  <c r="N32" i="8"/>
  <c r="Q32" i="8"/>
  <c r="T1500" i="8"/>
  <c r="Q1500" i="8"/>
  <c r="N1500" i="8"/>
  <c r="A1501" i="8"/>
  <c r="T31" i="8" l="1"/>
  <c r="A30" i="8"/>
  <c r="Q31" i="8"/>
  <c r="N31" i="8"/>
  <c r="T1501" i="8"/>
  <c r="Q1501" i="8"/>
  <c r="N1501" i="8"/>
  <c r="A1502" i="8"/>
  <c r="N30" i="8" l="1"/>
  <c r="Q30" i="8"/>
  <c r="T30" i="8"/>
  <c r="A29" i="8"/>
  <c r="T1502" i="8"/>
  <c r="Q1502" i="8"/>
  <c r="N1502" i="8"/>
  <c r="A1503" i="8"/>
  <c r="T29" i="8" l="1"/>
  <c r="Q29" i="8"/>
  <c r="N29" i="8"/>
  <c r="A28" i="8"/>
  <c r="T1503" i="8"/>
  <c r="Q1503" i="8"/>
  <c r="N1503" i="8"/>
  <c r="A1504" i="8"/>
  <c r="T28" i="8" l="1"/>
  <c r="Q28" i="8"/>
  <c r="A27" i="8"/>
  <c r="N28" i="8"/>
  <c r="T1504" i="8"/>
  <c r="Q1504" i="8"/>
  <c r="N1504" i="8"/>
  <c r="A1505" i="8"/>
  <c r="Q27" i="8" l="1"/>
  <c r="N27" i="8"/>
  <c r="A26" i="8"/>
  <c r="T27" i="8"/>
  <c r="T1505" i="8"/>
  <c r="Q1505" i="8"/>
  <c r="N1505" i="8"/>
  <c r="A1506" i="8"/>
  <c r="Q26" i="8" l="1"/>
  <c r="N26" i="8"/>
  <c r="A25" i="8"/>
  <c r="T26" i="8"/>
  <c r="T1506" i="8"/>
  <c r="Q1506" i="8"/>
  <c r="N1506" i="8"/>
  <c r="A1507" i="8"/>
  <c r="A24" i="8" l="1"/>
  <c r="T25" i="8"/>
  <c r="Q25" i="8"/>
  <c r="N25" i="8"/>
  <c r="T1507" i="8"/>
  <c r="Q1507" i="8"/>
  <c r="N1507" i="8"/>
  <c r="A1508" i="8"/>
  <c r="Q24" i="8" l="1"/>
  <c r="T24" i="8"/>
  <c r="N24" i="8"/>
  <c r="A23" i="8"/>
  <c r="T1508" i="8"/>
  <c r="Q1508" i="8"/>
  <c r="N1508" i="8"/>
  <c r="A1509" i="8"/>
  <c r="A22" i="8" l="1"/>
  <c r="T23" i="8"/>
  <c r="Q23" i="8"/>
  <c r="N23" i="8"/>
  <c r="T1509" i="8"/>
  <c r="Q1509" i="8"/>
  <c r="N1509" i="8"/>
  <c r="A1510" i="8"/>
  <c r="T22" i="8" l="1"/>
  <c r="A21" i="8"/>
  <c r="Q22" i="8"/>
  <c r="N22" i="8"/>
  <c r="T1510" i="8"/>
  <c r="Q1510" i="8"/>
  <c r="N1510" i="8"/>
  <c r="A1511" i="8"/>
  <c r="Q21" i="8" l="1"/>
  <c r="N21" i="8"/>
  <c r="T21" i="8"/>
  <c r="A20" i="8"/>
  <c r="T1511" i="8"/>
  <c r="Q1511" i="8"/>
  <c r="N1511" i="8"/>
  <c r="A1512" i="8"/>
  <c r="A19" i="8" l="1"/>
  <c r="N20" i="8"/>
  <c r="T20" i="8"/>
  <c r="Q20" i="8"/>
  <c r="T1512" i="8"/>
  <c r="Q1512" i="8"/>
  <c r="N1512" i="8"/>
  <c r="A1513" i="8"/>
  <c r="A18" i="8" l="1"/>
  <c r="N19" i="8"/>
  <c r="T19" i="8"/>
  <c r="Q19" i="8"/>
  <c r="T1513" i="8"/>
  <c r="Q1513" i="8"/>
  <c r="N1513" i="8"/>
  <c r="A1514" i="8"/>
  <c r="T18" i="8" l="1"/>
  <c r="Q18" i="8"/>
  <c r="N18" i="8"/>
  <c r="A17" i="8"/>
  <c r="T1514" i="8"/>
  <c r="Q1514" i="8"/>
  <c r="N1514" i="8"/>
  <c r="A1515" i="8"/>
  <c r="N17" i="8" l="1"/>
  <c r="T17" i="8"/>
  <c r="Q17" i="8"/>
  <c r="A16" i="8"/>
  <c r="T1515" i="8"/>
  <c r="Q1515" i="8"/>
  <c r="N1515" i="8"/>
  <c r="A1516" i="8"/>
  <c r="A15" i="8" l="1"/>
  <c r="N16" i="8"/>
  <c r="T16" i="8"/>
  <c r="Q16" i="8"/>
  <c r="T1516" i="8"/>
  <c r="Q1516" i="8"/>
  <c r="N1516" i="8"/>
  <c r="A1517" i="8"/>
  <c r="T15" i="8" l="1"/>
  <c r="A14" i="8"/>
  <c r="Q15" i="8"/>
  <c r="N15" i="8"/>
  <c r="T1517" i="8"/>
  <c r="Q1517" i="8"/>
  <c r="N1517" i="8"/>
  <c r="A1518" i="8"/>
  <c r="T14" i="8" l="1"/>
  <c r="Q14" i="8"/>
  <c r="N14" i="8"/>
  <c r="A13" i="8"/>
  <c r="T1518" i="8"/>
  <c r="Q1518" i="8"/>
  <c r="N1518" i="8"/>
  <c r="A1519" i="8"/>
  <c r="T13" i="8" l="1"/>
  <c r="Q13" i="8"/>
  <c r="A12" i="8"/>
  <c r="N13" i="8"/>
  <c r="T1519" i="8"/>
  <c r="Q1519" i="8"/>
  <c r="N1519" i="8"/>
  <c r="A1520" i="8"/>
  <c r="T12" i="8" l="1"/>
  <c r="A11" i="8"/>
  <c r="Q12" i="8"/>
  <c r="N12" i="8"/>
  <c r="T1520" i="8"/>
  <c r="Q1520" i="8"/>
  <c r="N1520" i="8"/>
  <c r="A1521" i="8"/>
  <c r="A10" i="8" l="1"/>
  <c r="Q11" i="8"/>
  <c r="N11" i="8"/>
  <c r="T11" i="8"/>
  <c r="T1521" i="8"/>
  <c r="Q1521" i="8"/>
  <c r="N1521" i="8"/>
  <c r="A1522" i="8"/>
  <c r="N10" i="8" l="1"/>
  <c r="A9" i="8"/>
  <c r="T10" i="8"/>
  <c r="Q10" i="8"/>
  <c r="T1522" i="8"/>
  <c r="Q1522" i="8"/>
  <c r="N1522" i="8"/>
  <c r="A1523" i="8"/>
  <c r="Q9" i="8" l="1"/>
  <c r="N9" i="8"/>
  <c r="A8" i="8"/>
  <c r="T9" i="8"/>
  <c r="T1523" i="8"/>
  <c r="Q1523" i="8"/>
  <c r="N1523" i="8"/>
  <c r="A1524" i="8"/>
  <c r="Q8" i="8" l="1"/>
  <c r="N8" i="8"/>
  <c r="T8" i="8"/>
  <c r="A7" i="8"/>
  <c r="T1524" i="8"/>
  <c r="Q1524" i="8"/>
  <c r="N1524" i="8"/>
  <c r="A1525" i="8"/>
  <c r="T7" i="8" l="1"/>
  <c r="Q7" i="8"/>
  <c r="N7" i="8"/>
  <c r="A6" i="8"/>
  <c r="T1525" i="8"/>
  <c r="Q1525" i="8"/>
  <c r="N1525" i="8"/>
  <c r="A1526" i="8"/>
  <c r="A5" i="8" l="1"/>
  <c r="Q6" i="8"/>
  <c r="T6" i="8"/>
  <c r="N6" i="8"/>
  <c r="T1526" i="8"/>
  <c r="Q1526" i="8"/>
  <c r="N1526" i="8"/>
  <c r="A1527" i="8"/>
  <c r="A4" i="8" l="1"/>
  <c r="Q5" i="8"/>
  <c r="T5" i="8"/>
  <c r="N5" i="8"/>
  <c r="T1527" i="8"/>
  <c r="Q1527" i="8"/>
  <c r="N1527" i="8"/>
  <c r="A1528" i="8"/>
  <c r="Q4" i="8" l="1"/>
  <c r="N4" i="8"/>
  <c r="A3" i="8"/>
  <c r="T4" i="8"/>
  <c r="T1528" i="8"/>
  <c r="Q1528" i="8"/>
  <c r="N1528" i="8"/>
  <c r="A1529" i="8"/>
  <c r="Q3" i="8" l="1"/>
  <c r="T3" i="8"/>
  <c r="N3" i="8"/>
  <c r="T1529" i="8"/>
  <c r="Q1529" i="8"/>
  <c r="N1529" i="8"/>
  <c r="A1530" i="8"/>
  <c r="T1530" i="8" l="1"/>
  <c r="Q1530" i="8"/>
  <c r="N1530" i="8"/>
  <c r="A1531" i="8"/>
  <c r="T1531" i="8" l="1"/>
  <c r="Q1531" i="8"/>
  <c r="N1531" i="8"/>
  <c r="A1532" i="8"/>
  <c r="T1532" i="8" l="1"/>
  <c r="Q1532" i="8"/>
  <c r="N1532" i="8"/>
  <c r="A1533" i="8"/>
  <c r="T1533" i="8" l="1"/>
  <c r="Q1533" i="8"/>
  <c r="N1533" i="8"/>
  <c r="A1534" i="8"/>
  <c r="T1534" i="8" l="1"/>
  <c r="Q1534" i="8"/>
  <c r="N1534" i="8"/>
  <c r="A1535" i="8"/>
  <c r="T1535" i="8" l="1"/>
  <c r="Q1535" i="8"/>
  <c r="N1535" i="8"/>
  <c r="A1536" i="8"/>
  <c r="T1536" i="8" l="1"/>
  <c r="Q1536" i="8"/>
  <c r="N1536" i="8"/>
  <c r="A1537" i="8"/>
  <c r="T1537" i="8" l="1"/>
  <c r="Q1537" i="8"/>
  <c r="N1537" i="8"/>
  <c r="A1538" i="8"/>
  <c r="T1538" i="8" l="1"/>
  <c r="Q1538" i="8"/>
  <c r="N1538" i="8"/>
  <c r="A1539" i="8"/>
  <c r="T1539" i="8" l="1"/>
  <c r="Q1539" i="8"/>
  <c r="N1539" i="8"/>
  <c r="A1540" i="8"/>
  <c r="T1540" i="8" l="1"/>
  <c r="Q1540" i="8"/>
  <c r="N1540" i="8"/>
  <c r="A1541" i="8"/>
  <c r="T1541" i="8" l="1"/>
  <c r="Q1541" i="8"/>
  <c r="N1541" i="8"/>
  <c r="A1542" i="8"/>
  <c r="T1542" i="8" l="1"/>
  <c r="Q1542" i="8"/>
  <c r="N1542" i="8"/>
  <c r="A1543" i="8"/>
  <c r="T1543" i="8" l="1"/>
  <c r="Q1543" i="8"/>
  <c r="N1543" i="8"/>
  <c r="A1544" i="8"/>
  <c r="T1544" i="8" l="1"/>
  <c r="Q1544" i="8"/>
  <c r="N1544" i="8"/>
  <c r="A1545" i="8"/>
  <c r="T1545" i="8" l="1"/>
  <c r="Q1545" i="8"/>
  <c r="N1545" i="8"/>
  <c r="A1546" i="8"/>
  <c r="T1546" i="8" l="1"/>
  <c r="Q1546" i="8"/>
  <c r="N1546" i="8"/>
  <c r="A1547" i="8"/>
  <c r="T1547" i="8" l="1"/>
  <c r="Q1547" i="8"/>
  <c r="N1547" i="8"/>
  <c r="A1548" i="8"/>
  <c r="T1548" i="8" l="1"/>
  <c r="Q1548" i="8"/>
  <c r="N1548" i="8"/>
  <c r="A1549" i="8"/>
  <c r="T1549" i="8" l="1"/>
  <c r="Q1549" i="8"/>
  <c r="N1549" i="8"/>
  <c r="A1550" i="8"/>
  <c r="T1550" i="8" l="1"/>
  <c r="Q1550" i="8"/>
  <c r="N1550" i="8"/>
  <c r="A1551" i="8"/>
  <c r="T1551" i="8" l="1"/>
  <c r="Q1551" i="8"/>
  <c r="N1551" i="8"/>
  <c r="A1552" i="8"/>
  <c r="T1552" i="8" l="1"/>
  <c r="Q1552" i="8"/>
  <c r="N1552" i="8"/>
  <c r="A1553" i="8"/>
  <c r="T1553" i="8" l="1"/>
  <c r="Q1553" i="8"/>
  <c r="N1553" i="8"/>
  <c r="A1554" i="8"/>
  <c r="T1554" i="8" l="1"/>
  <c r="Q1554" i="8"/>
  <c r="N1554" i="8"/>
  <c r="A1555" i="8"/>
  <c r="T1555" i="8" l="1"/>
  <c r="Q1555" i="8"/>
  <c r="N1555" i="8"/>
  <c r="A1556" i="8"/>
  <c r="T1556" i="8" l="1"/>
  <c r="Q1556" i="8"/>
  <c r="N1556" i="8"/>
  <c r="A1557" i="8"/>
  <c r="T1557" i="8" l="1"/>
  <c r="Q1557" i="8"/>
  <c r="N1557" i="8"/>
  <c r="A1558" i="8"/>
  <c r="T1558" i="8" l="1"/>
  <c r="Q1558" i="8"/>
  <c r="N1558" i="8"/>
  <c r="A1559" i="8"/>
  <c r="T1559" i="8" l="1"/>
  <c r="Q1559" i="8"/>
  <c r="N1559" i="8"/>
  <c r="A1560" i="8"/>
  <c r="T1560" i="8" l="1"/>
  <c r="Q1560" i="8"/>
  <c r="N1560" i="8"/>
  <c r="A1561" i="8"/>
  <c r="T1561" i="8" l="1"/>
  <c r="Q1561" i="8"/>
  <c r="N1561" i="8"/>
  <c r="A1562" i="8"/>
  <c r="T1562" i="8" l="1"/>
  <c r="Q1562" i="8"/>
  <c r="N1562" i="8"/>
  <c r="A1563" i="8"/>
  <c r="T1563" i="8" l="1"/>
  <c r="Q1563" i="8"/>
  <c r="N1563" i="8"/>
  <c r="A1564" i="8"/>
  <c r="T1564" i="8" l="1"/>
  <c r="Q1564" i="8"/>
  <c r="N1564" i="8"/>
  <c r="A1565" i="8"/>
  <c r="T1565" i="8" l="1"/>
  <c r="Q1565" i="8"/>
  <c r="N1565" i="8"/>
  <c r="A1566" i="8"/>
  <c r="T1566" i="8" l="1"/>
  <c r="Q1566" i="8"/>
  <c r="N1566" i="8"/>
  <c r="A1567" i="8"/>
  <c r="T1567" i="8" l="1"/>
  <c r="Q1567" i="8"/>
  <c r="N1567" i="8"/>
  <c r="A1568" i="8"/>
  <c r="T1568" i="8" l="1"/>
  <c r="Q1568" i="8"/>
  <c r="N1568" i="8"/>
  <c r="A1569" i="8"/>
  <c r="T1569" i="8" l="1"/>
  <c r="Q1569" i="8"/>
  <c r="N1569" i="8"/>
  <c r="A1570" i="8"/>
  <c r="T1570" i="8" l="1"/>
  <c r="Q1570" i="8"/>
  <c r="N1570" i="8"/>
  <c r="A1571" i="8"/>
  <c r="T1571" i="8" l="1"/>
  <c r="Q1571" i="8"/>
  <c r="N1571" i="8"/>
  <c r="A1572" i="8"/>
  <c r="T1572" i="8" l="1"/>
  <c r="Q1572" i="8"/>
  <c r="N1572" i="8"/>
  <c r="A1573" i="8"/>
  <c r="T1573" i="8" l="1"/>
  <c r="Q1573" i="8"/>
  <c r="N1573" i="8"/>
  <c r="A1574" i="8"/>
  <c r="T1574" i="8" l="1"/>
  <c r="Q1574" i="8"/>
  <c r="N1574" i="8"/>
  <c r="A1575" i="8"/>
  <c r="T1575" i="8" l="1"/>
  <c r="Q1575" i="8"/>
  <c r="N1575" i="8"/>
  <c r="A1576" i="8"/>
  <c r="T1576" i="8" l="1"/>
  <c r="Q1576" i="8"/>
  <c r="N1576" i="8"/>
  <c r="A1577" i="8"/>
  <c r="T1577" i="8" l="1"/>
  <c r="Q1577" i="8"/>
  <c r="N1577" i="8"/>
  <c r="A1578" i="8"/>
  <c r="T1578" i="8" l="1"/>
  <c r="Q1578" i="8"/>
  <c r="N1578" i="8"/>
  <c r="A1579" i="8"/>
  <c r="T1579" i="8" l="1"/>
  <c r="Q1579" i="8"/>
  <c r="N1579" i="8"/>
  <c r="A1580" i="8"/>
  <c r="T1580" i="8" l="1"/>
  <c r="Q1580" i="8"/>
  <c r="N1580" i="8"/>
  <c r="A1581" i="8"/>
  <c r="T1581" i="8" l="1"/>
  <c r="Q1581" i="8"/>
  <c r="N1581" i="8"/>
  <c r="A1582" i="8"/>
  <c r="T1582" i="8" l="1"/>
  <c r="Q1582" i="8"/>
  <c r="N1582" i="8"/>
  <c r="A1583" i="8"/>
  <c r="T1583" i="8" l="1"/>
  <c r="Q1583" i="8"/>
  <c r="N1583" i="8"/>
  <c r="A1584" i="8"/>
  <c r="T1584" i="8" l="1"/>
  <c r="Q1584" i="8"/>
  <c r="N1584" i="8"/>
  <c r="A1585" i="8"/>
  <c r="T1585" i="8" l="1"/>
  <c r="Q1585" i="8"/>
  <c r="N1585" i="8"/>
  <c r="A1586" i="8"/>
  <c r="T1586" i="8" l="1"/>
  <c r="Q1586" i="8"/>
  <c r="N1586" i="8"/>
  <c r="A1587" i="8"/>
  <c r="T1587" i="8" l="1"/>
  <c r="Q1587" i="8"/>
  <c r="N1587" i="8"/>
  <c r="A1588" i="8"/>
  <c r="T1588" i="8" l="1"/>
  <c r="Q1588" i="8"/>
  <c r="N1588" i="8"/>
  <c r="A1589" i="8"/>
  <c r="T1589" i="8" l="1"/>
  <c r="Q1589" i="8"/>
  <c r="N1589" i="8"/>
  <c r="A1590" i="8"/>
  <c r="T1590" i="8" l="1"/>
  <c r="Q1590" i="8"/>
  <c r="N1590" i="8"/>
  <c r="A1591" i="8"/>
  <c r="T1591" i="8" l="1"/>
  <c r="Q1591" i="8"/>
  <c r="N1591" i="8"/>
  <c r="A1592" i="8"/>
  <c r="T1592" i="8" l="1"/>
  <c r="Q1592" i="8"/>
  <c r="N1592" i="8"/>
  <c r="A1593" i="8"/>
  <c r="T1593" i="8" l="1"/>
  <c r="Q1593" i="8"/>
  <c r="N1593" i="8"/>
  <c r="A1594" i="8"/>
  <c r="T1594" i="8" l="1"/>
  <c r="Q1594" i="8"/>
  <c r="N1594" i="8"/>
  <c r="A1595" i="8"/>
  <c r="T1595" i="8" l="1"/>
  <c r="Q1595" i="8"/>
  <c r="N1595" i="8"/>
  <c r="A1596" i="8"/>
  <c r="T1596" i="8" l="1"/>
  <c r="Q1596" i="8"/>
  <c r="N1596" i="8"/>
  <c r="A1597" i="8"/>
  <c r="T1597" i="8" l="1"/>
  <c r="Q1597" i="8"/>
  <c r="N1597" i="8"/>
  <c r="A1598" i="8"/>
  <c r="T1598" i="8" l="1"/>
  <c r="Q1598" i="8"/>
  <c r="N1598" i="8"/>
  <c r="A1599" i="8"/>
  <c r="T1599" i="8" l="1"/>
  <c r="Q1599" i="8"/>
  <c r="N1599" i="8"/>
  <c r="A1600" i="8"/>
  <c r="T1600" i="8" l="1"/>
  <c r="Q1600" i="8"/>
  <c r="N1600" i="8"/>
  <c r="A1601" i="8"/>
  <c r="T1601" i="8" l="1"/>
  <c r="Q1601" i="8"/>
  <c r="N1601" i="8"/>
  <c r="A1602" i="8"/>
  <c r="T1602" i="8" l="1"/>
  <c r="Q1602" i="8"/>
  <c r="N1602" i="8"/>
  <c r="A1603" i="8"/>
  <c r="T1603" i="8" l="1"/>
  <c r="Q1603" i="8"/>
  <c r="N1603" i="8"/>
  <c r="A1604" i="8"/>
  <c r="T1604" i="8" l="1"/>
  <c r="Q1604" i="8"/>
  <c r="N1604" i="8"/>
  <c r="A1605" i="8"/>
  <c r="T1605" i="8" l="1"/>
  <c r="Q1605" i="8"/>
  <c r="N1605" i="8"/>
  <c r="A1606" i="8"/>
  <c r="T1606" i="8" l="1"/>
  <c r="Q1606" i="8"/>
  <c r="N1606" i="8"/>
  <c r="A1607" i="8"/>
  <c r="T1607" i="8" l="1"/>
  <c r="Q1607" i="8"/>
  <c r="N1607" i="8"/>
  <c r="A1608" i="8"/>
  <c r="T1608" i="8" l="1"/>
  <c r="Q1608" i="8"/>
  <c r="N1608" i="8"/>
  <c r="A1609" i="8"/>
  <c r="T1609" i="8" l="1"/>
  <c r="Q1609" i="8"/>
  <c r="N1609" i="8"/>
  <c r="A1610" i="8"/>
  <c r="T1610" i="8" l="1"/>
  <c r="Q1610" i="8"/>
  <c r="N1610" i="8"/>
  <c r="A1611" i="8"/>
  <c r="T1611" i="8" l="1"/>
  <c r="Q1611" i="8"/>
  <c r="N1611" i="8"/>
  <c r="A1612" i="8"/>
  <c r="T1612" i="8" l="1"/>
  <c r="Q1612" i="8"/>
  <c r="N1612" i="8"/>
  <c r="A1613" i="8"/>
  <c r="T1613" i="8" l="1"/>
  <c r="Q1613" i="8"/>
  <c r="N1613" i="8"/>
  <c r="A1614" i="8"/>
  <c r="T1614" i="8" l="1"/>
  <c r="Q1614" i="8"/>
  <c r="N1614" i="8"/>
  <c r="A1615" i="8"/>
  <c r="T1615" i="8" l="1"/>
  <c r="Q1615" i="8"/>
  <c r="N1615" i="8"/>
  <c r="A1616" i="8"/>
  <c r="T1616" i="8" l="1"/>
  <c r="Q1616" i="8"/>
  <c r="N1616" i="8"/>
  <c r="A1617" i="8"/>
  <c r="T1617" i="8" l="1"/>
  <c r="Q1617" i="8"/>
  <c r="N1617" i="8"/>
  <c r="A1618" i="8"/>
  <c r="T1618" i="8" l="1"/>
  <c r="Q1618" i="8"/>
  <c r="N1618" i="8"/>
  <c r="A1619" i="8"/>
  <c r="T1619" i="8" l="1"/>
  <c r="Q1619" i="8"/>
  <c r="N1619" i="8"/>
  <c r="A1620" i="8"/>
  <c r="T1620" i="8" l="1"/>
  <c r="Q1620" i="8"/>
  <c r="N1620" i="8"/>
  <c r="A1621" i="8"/>
  <c r="T1621" i="8" l="1"/>
  <c r="Q1621" i="8"/>
  <c r="N1621" i="8"/>
  <c r="A1622" i="8"/>
  <c r="T1622" i="8" l="1"/>
  <c r="Q1622" i="8"/>
  <c r="N1622" i="8"/>
  <c r="A1623" i="8"/>
  <c r="T1623" i="8" l="1"/>
  <c r="Q1623" i="8"/>
  <c r="N1623" i="8"/>
  <c r="A1624" i="8"/>
  <c r="T1624" i="8" l="1"/>
  <c r="Q1624" i="8"/>
  <c r="N1624" i="8"/>
  <c r="A1625" i="8"/>
  <c r="T1625" i="8" l="1"/>
  <c r="Q1625" i="8"/>
  <c r="N1625" i="8"/>
  <c r="A1626" i="8"/>
  <c r="T1626" i="8" l="1"/>
  <c r="Q1626" i="8"/>
  <c r="N1626" i="8"/>
  <c r="A1627" i="8"/>
  <c r="T1627" i="8" l="1"/>
  <c r="Q1627" i="8"/>
  <c r="N1627" i="8"/>
  <c r="A1628" i="8"/>
  <c r="T1628" i="8" l="1"/>
  <c r="Q1628" i="8"/>
  <c r="N1628" i="8"/>
  <c r="A1629" i="8"/>
  <c r="T1629" i="8" l="1"/>
  <c r="Q1629" i="8"/>
  <c r="N1629" i="8"/>
  <c r="A1630" i="8"/>
  <c r="T1630" i="8" l="1"/>
  <c r="Q1630" i="8"/>
  <c r="N1630" i="8"/>
  <c r="A1631" i="8"/>
  <c r="T1631" i="8" l="1"/>
  <c r="Q1631" i="8"/>
  <c r="N1631" i="8"/>
  <c r="A1632" i="8"/>
  <c r="T1632" i="8" l="1"/>
  <c r="Q1632" i="8"/>
  <c r="N1632" i="8"/>
  <c r="A1633" i="8"/>
  <c r="T1633" i="8" l="1"/>
  <c r="Q1633" i="8"/>
  <c r="N1633" i="8"/>
  <c r="A1634" i="8"/>
  <c r="T1634" i="8" l="1"/>
  <c r="Q1634" i="8"/>
  <c r="N1634" i="8"/>
  <c r="A1635" i="8"/>
  <c r="T1635" i="8" l="1"/>
  <c r="Q1635" i="8"/>
  <c r="N1635" i="8"/>
  <c r="A1636" i="8"/>
  <c r="T1636" i="8" l="1"/>
  <c r="Q1636" i="8"/>
  <c r="N1636" i="8"/>
  <c r="A1637" i="8"/>
  <c r="T1637" i="8" l="1"/>
  <c r="Q1637" i="8"/>
  <c r="N1637" i="8"/>
  <c r="A1638" i="8"/>
  <c r="T1638" i="8" l="1"/>
  <c r="Q1638" i="8"/>
  <c r="N1638" i="8"/>
  <c r="A1639" i="8"/>
  <c r="T1639" i="8" l="1"/>
  <c r="Q1639" i="8"/>
  <c r="N1639" i="8"/>
  <c r="A1640" i="8"/>
  <c r="T1640" i="8" l="1"/>
  <c r="Q1640" i="8"/>
  <c r="N1640" i="8"/>
  <c r="A1641" i="8"/>
  <c r="T1641" i="8" l="1"/>
  <c r="Q1641" i="8"/>
  <c r="N1641" i="8"/>
  <c r="A1642" i="8"/>
  <c r="T1642" i="8" l="1"/>
  <c r="Q1642" i="8"/>
  <c r="N1642" i="8"/>
  <c r="A1643" i="8"/>
  <c r="T1643" i="8" l="1"/>
  <c r="Q1643" i="8"/>
  <c r="N1643" i="8"/>
  <c r="A1644" i="8"/>
  <c r="T1644" i="8" l="1"/>
  <c r="Q1644" i="8"/>
  <c r="N1644" i="8"/>
  <c r="A1645" i="8"/>
  <c r="T1645" i="8" l="1"/>
  <c r="Q1645" i="8"/>
  <c r="N1645" i="8"/>
  <c r="A1646" i="8"/>
  <c r="T1646" i="8" l="1"/>
  <c r="Q1646" i="8"/>
  <c r="N1646" i="8"/>
  <c r="A1647" i="8"/>
  <c r="T1647" i="8" l="1"/>
  <c r="Q1647" i="8"/>
  <c r="N1647" i="8"/>
  <c r="A1648" i="8"/>
  <c r="T1648" i="8" l="1"/>
  <c r="Q1648" i="8"/>
  <c r="N1648" i="8"/>
  <c r="A1649" i="8"/>
  <c r="T1649" i="8" l="1"/>
  <c r="Q1649" i="8"/>
  <c r="N1649" i="8"/>
  <c r="A1650" i="8"/>
  <c r="T1650" i="8" l="1"/>
  <c r="Q1650" i="8"/>
  <c r="N1650" i="8"/>
  <c r="A1651" i="8"/>
  <c r="T1651" i="8" l="1"/>
  <c r="Q1651" i="8"/>
  <c r="N1651" i="8"/>
  <c r="A1652" i="8"/>
  <c r="T1652" i="8" l="1"/>
  <c r="Q1652" i="8"/>
  <c r="N1652" i="8"/>
  <c r="A1653" i="8"/>
  <c r="T1653" i="8" l="1"/>
  <c r="Q1653" i="8"/>
  <c r="N1653" i="8"/>
  <c r="A1654" i="8"/>
  <c r="T1654" i="8" l="1"/>
  <c r="Q1654" i="8"/>
  <c r="N1654" i="8"/>
  <c r="A1655" i="8"/>
  <c r="T1655" i="8" l="1"/>
  <c r="Q1655" i="8"/>
  <c r="N1655" i="8"/>
  <c r="A1656" i="8"/>
  <c r="T1656" i="8" l="1"/>
  <c r="Q1656" i="8"/>
  <c r="N1656" i="8"/>
  <c r="A1657" i="8"/>
  <c r="T1657" i="8" l="1"/>
  <c r="Q1657" i="8"/>
  <c r="N1657" i="8"/>
  <c r="A1658" i="8"/>
  <c r="T1658" i="8" l="1"/>
  <c r="Q1658" i="8"/>
  <c r="N1658" i="8"/>
  <c r="A1659" i="8"/>
  <c r="T1659" i="8" l="1"/>
  <c r="Q1659" i="8"/>
  <c r="N1659" i="8"/>
  <c r="A1660" i="8"/>
  <c r="T1660" i="8" l="1"/>
  <c r="Q1660" i="8"/>
  <c r="N1660" i="8"/>
  <c r="A1661" i="8"/>
  <c r="T1661" i="8" l="1"/>
  <c r="Q1661" i="8"/>
  <c r="N1661" i="8"/>
  <c r="A1662" i="8"/>
  <c r="T1662" i="8" l="1"/>
  <c r="Q1662" i="8"/>
  <c r="N1662" i="8"/>
  <c r="A1663" i="8"/>
  <c r="T1663" i="8" l="1"/>
  <c r="Q1663" i="8"/>
  <c r="N1663" i="8"/>
  <c r="A1664" i="8"/>
  <c r="T1664" i="8" l="1"/>
  <c r="Q1664" i="8"/>
  <c r="N1664" i="8"/>
  <c r="A1665" i="8"/>
  <c r="T1665" i="8" l="1"/>
  <c r="Q1665" i="8"/>
  <c r="N1665" i="8"/>
  <c r="A1666" i="8"/>
  <c r="T1666" i="8" l="1"/>
  <c r="Q1666" i="8"/>
  <c r="N1666" i="8"/>
  <c r="A1667" i="8"/>
  <c r="T1667" i="8" l="1"/>
  <c r="Q1667" i="8"/>
  <c r="N1667" i="8"/>
  <c r="A1668" i="8"/>
  <c r="T1668" i="8" l="1"/>
  <c r="Q1668" i="8"/>
  <c r="N1668" i="8"/>
  <c r="A1669" i="8"/>
  <c r="T1669" i="8" l="1"/>
  <c r="Q1669" i="8"/>
  <c r="N1669" i="8"/>
  <c r="A1670" i="8"/>
  <c r="T1670" i="8" l="1"/>
  <c r="Q1670" i="8"/>
  <c r="N1670" i="8"/>
  <c r="A1671" i="8"/>
  <c r="T1671" i="8" l="1"/>
  <c r="Q1671" i="8"/>
  <c r="N1671" i="8"/>
  <c r="A1672" i="8"/>
  <c r="T1672" i="8" l="1"/>
  <c r="Q1672" i="8"/>
  <c r="N1672" i="8"/>
  <c r="A1673" i="8"/>
  <c r="T1673" i="8" l="1"/>
  <c r="Q1673" i="8"/>
  <c r="N1673" i="8"/>
  <c r="A1674" i="8"/>
  <c r="T1674" i="8" l="1"/>
  <c r="Q1674" i="8"/>
  <c r="N1674" i="8"/>
  <c r="A1675" i="8"/>
  <c r="T1675" i="8" l="1"/>
  <c r="Q1675" i="8"/>
  <c r="N1675" i="8"/>
  <c r="A1676" i="8"/>
  <c r="T1676" i="8" l="1"/>
  <c r="Q1676" i="8"/>
  <c r="N1676" i="8"/>
  <c r="A1677" i="8"/>
  <c r="T1677" i="8" l="1"/>
  <c r="Q1677" i="8"/>
  <c r="N1677" i="8"/>
  <c r="A1678" i="8"/>
  <c r="T1678" i="8" l="1"/>
  <c r="Q1678" i="8"/>
  <c r="N1678" i="8"/>
  <c r="A1679" i="8"/>
  <c r="T1679" i="8" l="1"/>
  <c r="Q1679" i="8"/>
  <c r="N1679" i="8"/>
  <c r="A1680" i="8"/>
  <c r="T1680" i="8" l="1"/>
  <c r="Q1680" i="8"/>
  <c r="N1680" i="8"/>
  <c r="A1681" i="8"/>
  <c r="T1681" i="8" l="1"/>
  <c r="Q1681" i="8"/>
  <c r="N1681" i="8"/>
  <c r="A1682" i="8"/>
  <c r="T1682" i="8" l="1"/>
  <c r="Q1682" i="8"/>
  <c r="N1682" i="8"/>
  <c r="A1683" i="8"/>
  <c r="T1683" i="8" l="1"/>
  <c r="Q1683" i="8"/>
  <c r="N1683" i="8"/>
  <c r="A1684" i="8"/>
  <c r="T1684" i="8" l="1"/>
  <c r="Q1684" i="8"/>
  <c r="N1684" i="8"/>
  <c r="A1685" i="8"/>
  <c r="T1685" i="8" l="1"/>
  <c r="Q1685" i="8"/>
  <c r="N1685" i="8"/>
  <c r="A1686" i="8"/>
  <c r="T1686" i="8" l="1"/>
  <c r="Q1686" i="8"/>
  <c r="N1686" i="8"/>
  <c r="A1687" i="8"/>
  <c r="T1687" i="8" l="1"/>
  <c r="Q1687" i="8"/>
  <c r="N1687" i="8"/>
  <c r="A1688" i="8"/>
  <c r="T1688" i="8" l="1"/>
  <c r="Q1688" i="8"/>
  <c r="N1688" i="8"/>
  <c r="A1689" i="8"/>
  <c r="T1689" i="8" l="1"/>
  <c r="Q1689" i="8"/>
  <c r="N1689" i="8"/>
  <c r="A1690" i="8"/>
  <c r="T1690" i="8" l="1"/>
  <c r="Q1690" i="8"/>
  <c r="N1690" i="8"/>
  <c r="A1691" i="8"/>
  <c r="T1691" i="8" l="1"/>
  <c r="Q1691" i="8"/>
  <c r="N1691" i="8"/>
  <c r="A1692" i="8"/>
  <c r="T1692" i="8" l="1"/>
  <c r="Q1692" i="8"/>
  <c r="N1692" i="8"/>
  <c r="A1693" i="8"/>
  <c r="T1693" i="8" l="1"/>
  <c r="Q1693" i="8"/>
  <c r="N1693" i="8"/>
  <c r="A1694" i="8"/>
  <c r="T1694" i="8" l="1"/>
  <c r="Q1694" i="8"/>
  <c r="N1694" i="8"/>
  <c r="A1695" i="8"/>
  <c r="T1695" i="8" l="1"/>
  <c r="Q1695" i="8"/>
  <c r="N1695" i="8"/>
  <c r="A1696" i="8"/>
  <c r="T1696" i="8" l="1"/>
  <c r="Q1696" i="8"/>
  <c r="N1696" i="8"/>
  <c r="A1697" i="8"/>
  <c r="T1697" i="8" l="1"/>
  <c r="Q1697" i="8"/>
  <c r="N1697" i="8"/>
  <c r="A1698" i="8"/>
  <c r="T1698" i="8" l="1"/>
  <c r="Q1698" i="8"/>
  <c r="N1698" i="8"/>
  <c r="A1699" i="8"/>
  <c r="T1699" i="8" l="1"/>
  <c r="Q1699" i="8"/>
  <c r="N1699" i="8"/>
  <c r="A1700" i="8"/>
  <c r="T1700" i="8" l="1"/>
  <c r="Q1700" i="8"/>
  <c r="N1700" i="8"/>
  <c r="A1701" i="8"/>
  <c r="T1701" i="8" l="1"/>
  <c r="Q1701" i="8"/>
  <c r="N1701" i="8"/>
  <c r="A1702" i="8"/>
  <c r="T1702" i="8" l="1"/>
  <c r="Q1702" i="8"/>
  <c r="N1702" i="8"/>
  <c r="A1703" i="8"/>
  <c r="T1703" i="8" l="1"/>
  <c r="Q1703" i="8"/>
  <c r="N1703" i="8"/>
  <c r="A1704" i="8"/>
  <c r="T1704" i="8" l="1"/>
  <c r="Q1704" i="8"/>
  <c r="N1704" i="8"/>
  <c r="A1705" i="8"/>
  <c r="T1705" i="8" l="1"/>
  <c r="Q1705" i="8"/>
  <c r="N1705" i="8"/>
  <c r="A1706" i="8"/>
  <c r="T1706" i="8" l="1"/>
  <c r="Q1706" i="8"/>
  <c r="N1706" i="8"/>
  <c r="A1707" i="8"/>
  <c r="T1707" i="8" l="1"/>
  <c r="Q1707" i="8"/>
  <c r="N1707" i="8"/>
  <c r="A1708" i="8"/>
  <c r="T1708" i="8" l="1"/>
  <c r="Q1708" i="8"/>
  <c r="N1708" i="8"/>
  <c r="A1709" i="8"/>
  <c r="T1709" i="8" l="1"/>
  <c r="Q1709" i="8"/>
  <c r="N1709" i="8"/>
  <c r="A1710" i="8"/>
  <c r="T1710" i="8" l="1"/>
  <c r="Q1710" i="8"/>
  <c r="N1710" i="8"/>
  <c r="A1711" i="8"/>
  <c r="T1711" i="8" l="1"/>
  <c r="Q1711" i="8"/>
  <c r="N1711" i="8"/>
  <c r="A1712" i="8"/>
  <c r="T1712" i="8" l="1"/>
  <c r="Q1712" i="8"/>
  <c r="N1712" i="8"/>
  <c r="A1713" i="8"/>
  <c r="T1713" i="8" l="1"/>
  <c r="Q1713" i="8"/>
  <c r="N1713" i="8"/>
  <c r="A1714" i="8"/>
  <c r="T1714" i="8" l="1"/>
  <c r="Q1714" i="8"/>
  <c r="N1714" i="8"/>
  <c r="A1715" i="8"/>
  <c r="T1715" i="8" l="1"/>
  <c r="Q1715" i="8"/>
  <c r="N1715" i="8"/>
  <c r="A1716" i="8"/>
  <c r="T1716" i="8" l="1"/>
  <c r="Q1716" i="8"/>
  <c r="N1716" i="8"/>
  <c r="A1717" i="8"/>
  <c r="T1717" i="8" l="1"/>
  <c r="Q1717" i="8"/>
  <c r="N1717" i="8"/>
  <c r="A1718" i="8"/>
  <c r="T1718" i="8" l="1"/>
  <c r="Q1718" i="8"/>
  <c r="N1718" i="8"/>
  <c r="A1719" i="8"/>
  <c r="T1719" i="8" l="1"/>
  <c r="Q1719" i="8"/>
  <c r="N1719" i="8"/>
  <c r="A1720" i="8"/>
  <c r="T1720" i="8" l="1"/>
  <c r="Q1720" i="8"/>
  <c r="N1720" i="8"/>
  <c r="A1721" i="8"/>
  <c r="T1721" i="8" l="1"/>
  <c r="Q1721" i="8"/>
  <c r="N1721" i="8"/>
  <c r="A1722" i="8"/>
  <c r="T1722" i="8" l="1"/>
  <c r="Q1722" i="8"/>
  <c r="N1722" i="8"/>
  <c r="A1723" i="8"/>
  <c r="T1723" i="8" l="1"/>
  <c r="Q1723" i="8"/>
  <c r="N1723" i="8"/>
  <c r="A1724" i="8"/>
  <c r="T1724" i="8" l="1"/>
  <c r="Q1724" i="8"/>
  <c r="N1724" i="8"/>
  <c r="A1725" i="8"/>
  <c r="T1725" i="8" l="1"/>
  <c r="Q1725" i="8"/>
  <c r="N1725" i="8"/>
  <c r="A1726" i="8"/>
  <c r="T1726" i="8" l="1"/>
  <c r="Q1726" i="8"/>
  <c r="N1726" i="8"/>
  <c r="A1727" i="8"/>
  <c r="T1727" i="8" l="1"/>
  <c r="Q1727" i="8"/>
  <c r="N1727" i="8"/>
  <c r="A1728" i="8"/>
  <c r="T1728" i="8" l="1"/>
  <c r="Q1728" i="8"/>
  <c r="N1728" i="8"/>
  <c r="A1729" i="8"/>
  <c r="T1729" i="8" l="1"/>
  <c r="Q1729" i="8"/>
  <c r="N1729" i="8"/>
  <c r="A1730" i="8"/>
  <c r="T1730" i="8" l="1"/>
  <c r="Q1730" i="8"/>
  <c r="N1730" i="8"/>
  <c r="A1731" i="8"/>
  <c r="T1731" i="8" l="1"/>
  <c r="Q1731" i="8"/>
  <c r="N1731" i="8"/>
  <c r="A1732" i="8"/>
  <c r="T1732" i="8" l="1"/>
  <c r="Q1732" i="8"/>
  <c r="N1732" i="8"/>
  <c r="A1733" i="8"/>
  <c r="T1733" i="8" l="1"/>
  <c r="Q1733" i="8"/>
  <c r="N1733" i="8"/>
  <c r="A1734" i="8"/>
  <c r="T1734" i="8" l="1"/>
  <c r="Q1734" i="8"/>
  <c r="N1734" i="8"/>
  <c r="A1735" i="8"/>
  <c r="T1735" i="8" l="1"/>
  <c r="Q1735" i="8"/>
  <c r="N1735" i="8"/>
  <c r="A1736" i="8"/>
  <c r="T1736" i="8" l="1"/>
  <c r="Q1736" i="8"/>
  <c r="N1736" i="8"/>
  <c r="A1737" i="8"/>
  <c r="T1737" i="8" l="1"/>
  <c r="Q1737" i="8"/>
  <c r="N1737" i="8"/>
  <c r="A1738" i="8"/>
  <c r="T1738" i="8" l="1"/>
  <c r="Q1738" i="8"/>
  <c r="N1738" i="8"/>
  <c r="A1739" i="8"/>
  <c r="T1739" i="8" l="1"/>
  <c r="Q1739" i="8"/>
  <c r="N1739" i="8"/>
  <c r="A1740" i="8"/>
  <c r="T1740" i="8" l="1"/>
  <c r="Q1740" i="8"/>
  <c r="N1740" i="8"/>
  <c r="A1741" i="8"/>
  <c r="T1741" i="8" l="1"/>
  <c r="Q1741" i="8"/>
  <c r="N1741" i="8"/>
  <c r="A1742" i="8"/>
  <c r="T1742" i="8" l="1"/>
  <c r="Q1742" i="8"/>
  <c r="N1742" i="8"/>
  <c r="A1743" i="8"/>
  <c r="T1743" i="8" l="1"/>
  <c r="Q1743" i="8"/>
  <c r="N1743" i="8"/>
  <c r="A1744" i="8"/>
  <c r="T1744" i="8" l="1"/>
  <c r="Q1744" i="8"/>
  <c r="N1744" i="8"/>
  <c r="A1745" i="8"/>
  <c r="T1745" i="8" l="1"/>
  <c r="Q1745" i="8"/>
  <c r="N1745" i="8"/>
  <c r="A1746" i="8"/>
  <c r="T1746" i="8" l="1"/>
  <c r="Q1746" i="8"/>
  <c r="N1746" i="8"/>
  <c r="A1747" i="8"/>
  <c r="T1747" i="8" l="1"/>
  <c r="Q1747" i="8"/>
  <c r="N1747" i="8"/>
  <c r="A1748" i="8"/>
  <c r="T1748" i="8" l="1"/>
  <c r="Q1748" i="8"/>
  <c r="N1748" i="8"/>
  <c r="A1749" i="8"/>
  <c r="T1749" i="8" l="1"/>
  <c r="Q1749" i="8"/>
  <c r="N1749" i="8"/>
  <c r="A1750" i="8"/>
  <c r="T1750" i="8" l="1"/>
  <c r="Q1750" i="8"/>
  <c r="N1750" i="8"/>
  <c r="A1751" i="8"/>
  <c r="T1751" i="8" l="1"/>
  <c r="Q1751" i="8"/>
  <c r="N1751" i="8"/>
  <c r="A1752" i="8"/>
  <c r="T1752" i="8" l="1"/>
  <c r="Q1752" i="8"/>
  <c r="N1752" i="8"/>
  <c r="A1753" i="8"/>
  <c r="T1753" i="8" l="1"/>
  <c r="Q1753" i="8"/>
  <c r="N1753" i="8"/>
  <c r="A1754" i="8"/>
  <c r="T1754" i="8" l="1"/>
  <c r="Q1754" i="8"/>
  <c r="N1754" i="8"/>
  <c r="A1755" i="8"/>
  <c r="T1755" i="8" l="1"/>
  <c r="Q1755" i="8"/>
  <c r="N1755" i="8"/>
  <c r="A1756" i="8"/>
  <c r="T1756" i="8" l="1"/>
  <c r="Q1756" i="8"/>
  <c r="N1756" i="8"/>
  <c r="A1757" i="8"/>
  <c r="T1757" i="8" l="1"/>
  <c r="Q1757" i="8"/>
  <c r="N1757" i="8"/>
  <c r="A1758" i="8"/>
  <c r="T1758" i="8" l="1"/>
  <c r="Q1758" i="8"/>
  <c r="N1758" i="8"/>
  <c r="A1759" i="8"/>
  <c r="T1759" i="8" l="1"/>
  <c r="Q1759" i="8"/>
  <c r="N1759" i="8"/>
  <c r="A1760" i="8"/>
  <c r="T1760" i="8" l="1"/>
  <c r="Q1760" i="8"/>
  <c r="N1760" i="8"/>
  <c r="A1761" i="8"/>
  <c r="T1761" i="8" l="1"/>
  <c r="Q1761" i="8"/>
  <c r="N1761" i="8"/>
  <c r="A1762" i="8"/>
  <c r="T1762" i="8" l="1"/>
  <c r="Q1762" i="8"/>
  <c r="N1762" i="8"/>
  <c r="A1763" i="8"/>
  <c r="T1763" i="8" l="1"/>
  <c r="Q1763" i="8"/>
  <c r="N1763" i="8"/>
  <c r="A1764" i="8"/>
  <c r="T1764" i="8" l="1"/>
  <c r="Q1764" i="8"/>
  <c r="N1764" i="8"/>
  <c r="A1765" i="8"/>
  <c r="T1765" i="8" l="1"/>
  <c r="Q1765" i="8"/>
  <c r="N1765" i="8"/>
  <c r="A1766" i="8"/>
  <c r="T1766" i="8" l="1"/>
  <c r="Q1766" i="8"/>
  <c r="N1766" i="8"/>
  <c r="A1767" i="8"/>
  <c r="T1767" i="8" l="1"/>
  <c r="Q1767" i="8"/>
  <c r="N1767" i="8"/>
  <c r="A1768" i="8"/>
  <c r="T1768" i="8" l="1"/>
  <c r="Q1768" i="8"/>
  <c r="N1768" i="8"/>
  <c r="A1769" i="8"/>
  <c r="T1769" i="8" l="1"/>
  <c r="Q1769" i="8"/>
  <c r="N1769" i="8"/>
  <c r="A1770" i="8"/>
  <c r="T1770" i="8" l="1"/>
  <c r="Q1770" i="8"/>
  <c r="N1770" i="8"/>
  <c r="A1771" i="8"/>
  <c r="T1771" i="8" l="1"/>
  <c r="Q1771" i="8"/>
  <c r="N1771" i="8"/>
  <c r="A1772" i="8"/>
  <c r="T1772" i="8" l="1"/>
  <c r="Q1772" i="8"/>
  <c r="N1772" i="8"/>
  <c r="A1773" i="8"/>
  <c r="T1773" i="8" l="1"/>
  <c r="Q1773" i="8"/>
  <c r="N1773" i="8"/>
  <c r="A1774" i="8"/>
  <c r="T1774" i="8" l="1"/>
  <c r="Q1774" i="8"/>
  <c r="N1774" i="8"/>
  <c r="A1775" i="8"/>
  <c r="T1775" i="8" l="1"/>
  <c r="Q1775" i="8"/>
  <c r="N1775" i="8"/>
  <c r="A1776" i="8"/>
  <c r="T1776" i="8" l="1"/>
  <c r="Q1776" i="8"/>
  <c r="N1776" i="8"/>
  <c r="A1777" i="8"/>
  <c r="T1777" i="8" l="1"/>
  <c r="Q1777" i="8"/>
  <c r="N1777" i="8"/>
  <c r="A1778" i="8"/>
  <c r="T1778" i="8" l="1"/>
  <c r="Q1778" i="8"/>
  <c r="N1778" i="8"/>
  <c r="A1779" i="8"/>
  <c r="T1779" i="8" l="1"/>
  <c r="Q1779" i="8"/>
  <c r="N1779" i="8"/>
  <c r="A1780" i="8"/>
  <c r="T1780" i="8" l="1"/>
  <c r="Q1780" i="8"/>
  <c r="N1780" i="8"/>
  <c r="A1781" i="8"/>
  <c r="T1781" i="8" l="1"/>
  <c r="Q1781" i="8"/>
  <c r="N1781" i="8"/>
  <c r="A1782" i="8"/>
  <c r="T1782" i="8" l="1"/>
  <c r="Q1782" i="8"/>
  <c r="N1782" i="8"/>
  <c r="A1783" i="8"/>
  <c r="T1783" i="8" l="1"/>
  <c r="Q1783" i="8"/>
  <c r="N1783" i="8"/>
  <c r="A1784" i="8"/>
  <c r="T1784" i="8" l="1"/>
  <c r="Q1784" i="8"/>
  <c r="N1784" i="8"/>
  <c r="A1785" i="8"/>
  <c r="T1785" i="8" l="1"/>
  <c r="Q1785" i="8"/>
  <c r="N1785" i="8"/>
  <c r="A1786" i="8"/>
  <c r="T1786" i="8" l="1"/>
  <c r="Q1786" i="8"/>
  <c r="N1786" i="8"/>
  <c r="A1787" i="8"/>
  <c r="T1787" i="8" l="1"/>
  <c r="Q1787" i="8"/>
  <c r="N1787" i="8"/>
  <c r="A1788" i="8"/>
  <c r="T1788" i="8" l="1"/>
  <c r="Q1788" i="8"/>
  <c r="N1788" i="8"/>
  <c r="A1789" i="8"/>
  <c r="T1789" i="8" l="1"/>
  <c r="Q1789" i="8"/>
  <c r="N1789" i="8"/>
  <c r="A1790" i="8"/>
  <c r="T1790" i="8" l="1"/>
  <c r="Q1790" i="8"/>
  <c r="N1790" i="8"/>
  <c r="A1791" i="8"/>
  <c r="T1791" i="8" l="1"/>
  <c r="Q1791" i="8"/>
  <c r="N1791" i="8"/>
  <c r="A1792" i="8"/>
  <c r="T1792" i="8" l="1"/>
  <c r="Q1792" i="8"/>
  <c r="N1792" i="8"/>
  <c r="A1793" i="8"/>
  <c r="T1793" i="8" l="1"/>
  <c r="Q1793" i="8"/>
  <c r="N1793" i="8"/>
  <c r="A1794" i="8"/>
  <c r="T1794" i="8" l="1"/>
  <c r="Q1794" i="8"/>
  <c r="N1794" i="8"/>
  <c r="A1795" i="8"/>
  <c r="T1795" i="8" l="1"/>
  <c r="Q1795" i="8"/>
  <c r="N1795" i="8"/>
  <c r="A1796" i="8"/>
  <c r="T1796" i="8" l="1"/>
  <c r="Q1796" i="8"/>
  <c r="N1796" i="8"/>
  <c r="A1797" i="8"/>
  <c r="T1797" i="8" l="1"/>
  <c r="Q1797" i="8"/>
  <c r="N1797" i="8"/>
  <c r="A1798" i="8"/>
  <c r="T1798" i="8" l="1"/>
  <c r="Q1798" i="8"/>
  <c r="N1798" i="8"/>
  <c r="A1799" i="8"/>
  <c r="T1799" i="8" l="1"/>
  <c r="Q1799" i="8"/>
  <c r="N1799" i="8"/>
  <c r="A1800" i="8"/>
  <c r="T1800" i="8" l="1"/>
  <c r="Q1800" i="8"/>
  <c r="N1800" i="8"/>
  <c r="A1801" i="8"/>
  <c r="T1801" i="8" l="1"/>
  <c r="Q1801" i="8"/>
  <c r="N1801" i="8"/>
  <c r="A1802" i="8"/>
  <c r="T1802" i="8" l="1"/>
  <c r="Q1802" i="8"/>
  <c r="N1802" i="8"/>
  <c r="A1803" i="8"/>
  <c r="T1803" i="8" l="1"/>
  <c r="Q1803" i="8"/>
  <c r="N1803" i="8"/>
  <c r="A1804" i="8"/>
  <c r="T1804" i="8" l="1"/>
  <c r="Q1804" i="8"/>
  <c r="N1804" i="8"/>
  <c r="A1805" i="8"/>
  <c r="T1805" i="8" l="1"/>
  <c r="Q1805" i="8"/>
  <c r="N1805" i="8"/>
  <c r="A1806" i="8"/>
  <c r="T1806" i="8" l="1"/>
  <c r="Q1806" i="8"/>
  <c r="N1806" i="8"/>
  <c r="A1807" i="8"/>
  <c r="T1807" i="8" l="1"/>
  <c r="Q1807" i="8"/>
  <c r="N1807" i="8"/>
  <c r="A1808" i="8"/>
  <c r="T1808" i="8" l="1"/>
  <c r="Q1808" i="8"/>
  <c r="N1808" i="8"/>
  <c r="A1809" i="8"/>
  <c r="T1809" i="8" l="1"/>
  <c r="Q1809" i="8"/>
  <c r="N1809" i="8"/>
  <c r="A1810" i="8"/>
  <c r="T1810" i="8" l="1"/>
  <c r="Q1810" i="8"/>
  <c r="N1810" i="8"/>
  <c r="A1811" i="8"/>
  <c r="T1811" i="8" l="1"/>
  <c r="Q1811" i="8"/>
  <c r="N1811" i="8"/>
  <c r="A1812" i="8"/>
  <c r="T1812" i="8" l="1"/>
  <c r="Q1812" i="8"/>
  <c r="N1812" i="8"/>
  <c r="A1813" i="8"/>
  <c r="T1813" i="8" l="1"/>
  <c r="Q1813" i="8"/>
  <c r="N1813" i="8"/>
  <c r="A1814" i="8"/>
  <c r="T1814" i="8" l="1"/>
  <c r="Q1814" i="8"/>
  <c r="N1814" i="8"/>
  <c r="A1815" i="8"/>
  <c r="T1815" i="8" l="1"/>
  <c r="Q1815" i="8"/>
  <c r="N1815" i="8"/>
  <c r="A1816" i="8"/>
  <c r="T1816" i="8" l="1"/>
  <c r="Q1816" i="8"/>
  <c r="N1816" i="8"/>
  <c r="A1817" i="8"/>
  <c r="T1817" i="8" l="1"/>
  <c r="Q1817" i="8"/>
  <c r="N1817" i="8"/>
  <c r="A1818" i="8"/>
  <c r="T1818" i="8" l="1"/>
  <c r="Q1818" i="8"/>
  <c r="N1818" i="8"/>
  <c r="A1819" i="8"/>
  <c r="T1819" i="8" l="1"/>
  <c r="Q1819" i="8"/>
  <c r="N1819" i="8"/>
  <c r="A1820" i="8"/>
  <c r="T1820" i="8" l="1"/>
  <c r="Q1820" i="8"/>
  <c r="N1820" i="8"/>
  <c r="A1821" i="8"/>
  <c r="T1821" i="8" l="1"/>
  <c r="Q1821" i="8"/>
  <c r="N1821" i="8"/>
  <c r="A1822" i="8"/>
  <c r="T1822" i="8" l="1"/>
  <c r="Q1822" i="8"/>
  <c r="N1822" i="8"/>
  <c r="A1823" i="8"/>
  <c r="T1823" i="8" l="1"/>
  <c r="Q1823" i="8"/>
  <c r="N1823" i="8"/>
  <c r="A1824" i="8"/>
  <c r="T1824" i="8" l="1"/>
  <c r="Q1824" i="8"/>
  <c r="N1824" i="8"/>
  <c r="A1825" i="8"/>
  <c r="T1825" i="8" l="1"/>
  <c r="Q1825" i="8"/>
  <c r="N1825" i="8"/>
  <c r="A1826" i="8"/>
  <c r="T1826" i="8" l="1"/>
  <c r="Q1826" i="8"/>
  <c r="N1826" i="8"/>
  <c r="A1827" i="8"/>
  <c r="T1827" i="8" l="1"/>
  <c r="Q1827" i="8"/>
  <c r="N1827" i="8"/>
  <c r="A1828" i="8"/>
  <c r="T1828" i="8" l="1"/>
  <c r="Q1828" i="8"/>
  <c r="N1828" i="8"/>
  <c r="A1829" i="8"/>
  <c r="T1829" i="8" l="1"/>
  <c r="Q1829" i="8"/>
  <c r="N1829" i="8"/>
  <c r="A1830" i="8"/>
  <c r="T1830" i="8" l="1"/>
  <c r="Q1830" i="8"/>
  <c r="N1830" i="8"/>
  <c r="A1831" i="8"/>
  <c r="T1831" i="8" l="1"/>
  <c r="Q1831" i="8"/>
  <c r="N1831" i="8"/>
  <c r="A1832" i="8"/>
  <c r="T1832" i="8" l="1"/>
  <c r="Q1832" i="8"/>
  <c r="N1832" i="8"/>
  <c r="A1833" i="8"/>
  <c r="T1833" i="8" l="1"/>
  <c r="Q1833" i="8"/>
  <c r="N1833" i="8"/>
  <c r="A1834" i="8"/>
  <c r="T1834" i="8" l="1"/>
  <c r="Q1834" i="8"/>
  <c r="N1834" i="8"/>
  <c r="A1835" i="8"/>
  <c r="T1835" i="8" l="1"/>
  <c r="Q1835" i="8"/>
  <c r="N1835" i="8"/>
  <c r="A1836" i="8"/>
  <c r="T1836" i="8" l="1"/>
  <c r="Q1836" i="8"/>
  <c r="N1836" i="8"/>
  <c r="A1837" i="8"/>
  <c r="T1837" i="8" l="1"/>
  <c r="Q1837" i="8"/>
  <c r="N1837" i="8"/>
  <c r="A1838" i="8"/>
  <c r="T1838" i="8" l="1"/>
  <c r="Q1838" i="8"/>
  <c r="N1838" i="8"/>
  <c r="A1839" i="8"/>
  <c r="T1839" i="8" l="1"/>
  <c r="Q1839" i="8"/>
  <c r="N1839" i="8"/>
  <c r="A1840" i="8"/>
  <c r="T1840" i="8" l="1"/>
  <c r="Q1840" i="8"/>
  <c r="N1840" i="8"/>
  <c r="A1841" i="8"/>
  <c r="T1841" i="8" l="1"/>
  <c r="Q1841" i="8"/>
  <c r="N1841" i="8"/>
  <c r="A1842" i="8"/>
  <c r="T1842" i="8" l="1"/>
  <c r="Q1842" i="8"/>
  <c r="N1842" i="8"/>
  <c r="A1843" i="8"/>
  <c r="T1843" i="8" l="1"/>
  <c r="Q1843" i="8"/>
  <c r="N1843" i="8"/>
  <c r="A1844" i="8"/>
  <c r="T1844" i="8" l="1"/>
  <c r="Q1844" i="8"/>
  <c r="N1844" i="8"/>
  <c r="A1845" i="8"/>
  <c r="T1845" i="8" l="1"/>
  <c r="Q1845" i="8"/>
  <c r="N1845" i="8"/>
  <c r="A1846" i="8"/>
  <c r="T1846" i="8" l="1"/>
  <c r="Q1846" i="8"/>
  <c r="N1846" i="8"/>
  <c r="A1847" i="8"/>
  <c r="T1847" i="8" l="1"/>
  <c r="Q1847" i="8"/>
  <c r="N1847" i="8"/>
  <c r="A1848" i="8"/>
  <c r="T1848" i="8" l="1"/>
  <c r="Q1848" i="8"/>
  <c r="N1848" i="8"/>
  <c r="A1849" i="8"/>
  <c r="T1849" i="8" l="1"/>
  <c r="Q1849" i="8"/>
  <c r="N1849" i="8"/>
  <c r="A1850" i="8"/>
  <c r="T1850" i="8" l="1"/>
  <c r="Q1850" i="8"/>
  <c r="N1850" i="8"/>
  <c r="A1851" i="8"/>
  <c r="T1851" i="8" l="1"/>
  <c r="Q1851" i="8"/>
  <c r="N1851" i="8"/>
  <c r="A1852" i="8"/>
  <c r="T1852" i="8" l="1"/>
  <c r="Q1852" i="8"/>
  <c r="N1852" i="8"/>
  <c r="A1853" i="8"/>
  <c r="T1853" i="8" l="1"/>
  <c r="Q1853" i="8"/>
  <c r="N1853" i="8"/>
  <c r="A1854" i="8"/>
  <c r="T1854" i="8" l="1"/>
  <c r="Q1854" i="8"/>
  <c r="N1854" i="8"/>
  <c r="A1855" i="8"/>
  <c r="T1855" i="8" l="1"/>
  <c r="Q1855" i="8"/>
  <c r="N1855" i="8"/>
  <c r="A1856" i="8"/>
  <c r="T1856" i="8" l="1"/>
  <c r="Q1856" i="8"/>
  <c r="N1856" i="8"/>
  <c r="A1857" i="8"/>
  <c r="T1857" i="8" l="1"/>
  <c r="Q1857" i="8"/>
  <c r="N1857" i="8"/>
  <c r="A1858" i="8"/>
  <c r="T1858" i="8" l="1"/>
  <c r="Q1858" i="8"/>
  <c r="N1858" i="8"/>
  <c r="A1859" i="8"/>
  <c r="T1859" i="8" l="1"/>
  <c r="Q1859" i="8"/>
  <c r="N1859" i="8"/>
  <c r="A1860" i="8"/>
  <c r="T1860" i="8" l="1"/>
  <c r="Q1860" i="8"/>
  <c r="N1860" i="8"/>
  <c r="A1861" i="8"/>
  <c r="T1861" i="8" l="1"/>
  <c r="Q1861" i="8"/>
  <c r="N1861" i="8"/>
  <c r="A1862" i="8"/>
  <c r="T1862" i="8" l="1"/>
  <c r="Q1862" i="8"/>
  <c r="N1862" i="8"/>
  <c r="A1863" i="8"/>
  <c r="T1863" i="8" l="1"/>
  <c r="Q1863" i="8"/>
  <c r="N1863" i="8"/>
  <c r="A1864" i="8"/>
  <c r="T1864" i="8" l="1"/>
  <c r="Q1864" i="8"/>
  <c r="N1864" i="8"/>
  <c r="A1865" i="8"/>
  <c r="T1865" i="8" l="1"/>
  <c r="Q1865" i="8"/>
  <c r="N1865" i="8"/>
  <c r="A1866" i="8"/>
  <c r="T1866" i="8" l="1"/>
  <c r="Q1866" i="8"/>
  <c r="N1866" i="8"/>
  <c r="A1867" i="8"/>
  <c r="T1867" i="8" l="1"/>
  <c r="Q1867" i="8"/>
  <c r="N1867" i="8"/>
  <c r="A1868" i="8"/>
  <c r="T1868" i="8" l="1"/>
  <c r="Q1868" i="8"/>
  <c r="N1868" i="8"/>
  <c r="A1869" i="8"/>
  <c r="T1869" i="8" l="1"/>
  <c r="Q1869" i="8"/>
  <c r="N1869" i="8"/>
  <c r="A1870" i="8"/>
  <c r="T1870" i="8" l="1"/>
  <c r="Q1870" i="8"/>
  <c r="N1870" i="8"/>
  <c r="A1871" i="8"/>
  <c r="T1871" i="8" l="1"/>
  <c r="Q1871" i="8"/>
  <c r="N1871" i="8"/>
  <c r="A1872" i="8"/>
  <c r="T1872" i="8" l="1"/>
  <c r="Q1872" i="8"/>
  <c r="N1872" i="8"/>
  <c r="A1873" i="8"/>
  <c r="T1873" i="8" l="1"/>
  <c r="Q1873" i="8"/>
  <c r="N1873" i="8"/>
  <c r="A1874" i="8"/>
  <c r="T1874" i="8" l="1"/>
  <c r="Q1874" i="8"/>
  <c r="N1874" i="8"/>
  <c r="A1875" i="8"/>
  <c r="T1875" i="8" l="1"/>
  <c r="Q1875" i="8"/>
  <c r="N1875" i="8"/>
  <c r="A1876" i="8"/>
  <c r="T1876" i="8" l="1"/>
  <c r="Q1876" i="8"/>
  <c r="N1876" i="8"/>
  <c r="A1877" i="8"/>
  <c r="T1877" i="8" l="1"/>
  <c r="Q1877" i="8"/>
  <c r="N1877" i="8"/>
  <c r="A1878" i="8"/>
  <c r="T1878" i="8" l="1"/>
  <c r="Q1878" i="8"/>
  <c r="N1878" i="8"/>
  <c r="A1879" i="8"/>
  <c r="T1879" i="8" l="1"/>
  <c r="Q1879" i="8"/>
  <c r="N1879" i="8"/>
  <c r="A1880" i="8"/>
  <c r="T1880" i="8" l="1"/>
  <c r="Q1880" i="8"/>
  <c r="N1880" i="8"/>
  <c r="A1881" i="8"/>
  <c r="T1881" i="8" l="1"/>
  <c r="Q1881" i="8"/>
  <c r="N1881" i="8"/>
  <c r="A1882" i="8"/>
  <c r="T1882" i="8" l="1"/>
  <c r="Q1882" i="8"/>
  <c r="N1882" i="8"/>
  <c r="A1883" i="8"/>
  <c r="T1883" i="8" l="1"/>
  <c r="Q1883" i="8"/>
  <c r="N1883" i="8"/>
  <c r="A1884" i="8"/>
  <c r="T1884" i="8" l="1"/>
  <c r="Q1884" i="8"/>
  <c r="N1884" i="8"/>
  <c r="A1885" i="8"/>
  <c r="T1885" i="8" l="1"/>
  <c r="Q1885" i="8"/>
  <c r="N1885" i="8"/>
  <c r="A1886" i="8"/>
  <c r="T1886" i="8" l="1"/>
  <c r="Q1886" i="8"/>
  <c r="N1886" i="8"/>
  <c r="A1887" i="8"/>
  <c r="T1887" i="8" l="1"/>
  <c r="Q1887" i="8"/>
  <c r="N1887" i="8"/>
  <c r="A1888" i="8"/>
  <c r="T1888" i="8" l="1"/>
  <c r="Q1888" i="8"/>
  <c r="N1888" i="8"/>
  <c r="A1889" i="8"/>
  <c r="T1889" i="8" l="1"/>
  <c r="Q1889" i="8"/>
  <c r="N1889" i="8"/>
  <c r="A1890" i="8"/>
  <c r="T1890" i="8" l="1"/>
  <c r="Q1890" i="8"/>
  <c r="N1890" i="8"/>
  <c r="A1891" i="8"/>
  <c r="T1891" i="8" l="1"/>
  <c r="Q1891" i="8"/>
  <c r="N1891" i="8"/>
  <c r="A1892" i="8"/>
  <c r="T1892" i="8" l="1"/>
  <c r="Q1892" i="8"/>
  <c r="N1892" i="8"/>
  <c r="A1893" i="8"/>
  <c r="T1893" i="8" l="1"/>
  <c r="Q1893" i="8"/>
  <c r="N1893" i="8"/>
  <c r="A1894" i="8"/>
  <c r="T1894" i="8" l="1"/>
  <c r="Q1894" i="8"/>
  <c r="N1894" i="8"/>
  <c r="A1895" i="8"/>
  <c r="T1895" i="8" l="1"/>
  <c r="Q1895" i="8"/>
  <c r="N1895" i="8"/>
  <c r="A1896" i="8"/>
  <c r="T1896" i="8" l="1"/>
  <c r="Q1896" i="8"/>
  <c r="N1896" i="8"/>
  <c r="A1897" i="8"/>
  <c r="T1897" i="8" l="1"/>
  <c r="Q1897" i="8"/>
  <c r="N1897" i="8"/>
  <c r="A1898" i="8"/>
  <c r="T1898" i="8" l="1"/>
  <c r="Q1898" i="8"/>
  <c r="N1898" i="8"/>
  <c r="A1899" i="8"/>
  <c r="T1899" i="8" l="1"/>
  <c r="Q1899" i="8"/>
  <c r="N1899" i="8"/>
  <c r="A1900" i="8"/>
  <c r="T1900" i="8" l="1"/>
  <c r="Q1900" i="8"/>
  <c r="N1900" i="8"/>
  <c r="A1901" i="8"/>
  <c r="T1901" i="8" l="1"/>
  <c r="Q1901" i="8"/>
  <c r="N1901" i="8"/>
  <c r="A1902" i="8"/>
  <c r="T1902" i="8" l="1"/>
  <c r="Q1902" i="8"/>
  <c r="N1902" i="8"/>
  <c r="A1903" i="8"/>
  <c r="T1903" i="8" l="1"/>
  <c r="Q1903" i="8"/>
  <c r="N1903" i="8"/>
  <c r="A1904" i="8"/>
  <c r="T1904" i="8" l="1"/>
  <c r="Q1904" i="8"/>
  <c r="N1904" i="8"/>
  <c r="A1905" i="8"/>
  <c r="T1905" i="8" l="1"/>
  <c r="Q1905" i="8"/>
  <c r="N1905" i="8"/>
  <c r="A1906" i="8"/>
  <c r="T1906" i="8" l="1"/>
  <c r="Q1906" i="8"/>
  <c r="N1906" i="8"/>
  <c r="A1907" i="8"/>
  <c r="T1907" i="8" l="1"/>
  <c r="Q1907" i="8"/>
  <c r="N1907" i="8"/>
  <c r="A1908" i="8"/>
  <c r="T1908" i="8" l="1"/>
  <c r="Q1908" i="8"/>
  <c r="N1908" i="8"/>
  <c r="A1909" i="8"/>
  <c r="T1909" i="8" l="1"/>
  <c r="Q1909" i="8"/>
  <c r="N1909" i="8"/>
  <c r="A1910" i="8"/>
  <c r="T1910" i="8" l="1"/>
  <c r="Q1910" i="8"/>
  <c r="N1910" i="8"/>
  <c r="A1911" i="8"/>
  <c r="T1911" i="8" l="1"/>
  <c r="Q1911" i="8"/>
  <c r="N1911" i="8"/>
  <c r="A1912" i="8"/>
  <c r="T1912" i="8" l="1"/>
  <c r="Q1912" i="8"/>
  <c r="N1912" i="8"/>
  <c r="A1913" i="8"/>
  <c r="T1913" i="8" l="1"/>
  <c r="Q1913" i="8"/>
  <c r="N1913" i="8"/>
  <c r="A1914" i="8"/>
  <c r="T1914" i="8" l="1"/>
  <c r="Q1914" i="8"/>
  <c r="N1914" i="8"/>
  <c r="A1915" i="8"/>
  <c r="T1915" i="8" l="1"/>
  <c r="Q1915" i="8"/>
  <c r="N1915" i="8"/>
  <c r="A1916" i="8"/>
  <c r="T1916" i="8" l="1"/>
  <c r="Q1916" i="8"/>
  <c r="N1916" i="8"/>
  <c r="A1917" i="8"/>
  <c r="T1917" i="8" l="1"/>
  <c r="Q1917" i="8"/>
  <c r="N1917" i="8"/>
  <c r="A1918" i="8"/>
  <c r="T1918" i="8" l="1"/>
  <c r="Q1918" i="8"/>
  <c r="N1918" i="8"/>
  <c r="A1919" i="8"/>
  <c r="T1919" i="8" l="1"/>
  <c r="Q1919" i="8"/>
  <c r="N1919" i="8"/>
  <c r="A1920" i="8"/>
  <c r="T1920" i="8" l="1"/>
  <c r="Q1920" i="8"/>
  <c r="N1920" i="8"/>
  <c r="A1921" i="8"/>
  <c r="T1921" i="8" l="1"/>
  <c r="Q1921" i="8"/>
  <c r="N1921" i="8"/>
  <c r="A1922" i="8"/>
  <c r="T1922" i="8" l="1"/>
  <c r="Q1922" i="8"/>
  <c r="N1922" i="8"/>
  <c r="A1923" i="8"/>
  <c r="T1923" i="8" l="1"/>
  <c r="Q1923" i="8"/>
  <c r="N1923" i="8"/>
  <c r="A1924" i="8"/>
  <c r="T1924" i="8" l="1"/>
  <c r="Q1924" i="8"/>
  <c r="N1924" i="8"/>
  <c r="A1925" i="8"/>
  <c r="T1925" i="8" l="1"/>
  <c r="Q1925" i="8"/>
  <c r="N1925" i="8"/>
  <c r="A1926" i="8"/>
  <c r="T1926" i="8" l="1"/>
  <c r="Q1926" i="8"/>
  <c r="N1926" i="8"/>
  <c r="A1927" i="8"/>
  <c r="T1927" i="8" l="1"/>
  <c r="Q1927" i="8"/>
  <c r="N1927" i="8"/>
  <c r="A1928" i="8"/>
  <c r="T1928" i="8" l="1"/>
  <c r="Q1928" i="8"/>
  <c r="N1928" i="8"/>
  <c r="A1929" i="8"/>
  <c r="T1929" i="8" l="1"/>
  <c r="Q1929" i="8"/>
  <c r="N1929" i="8"/>
  <c r="A1930" i="8"/>
  <c r="T1930" i="8" l="1"/>
  <c r="Q1930" i="8"/>
  <c r="N1930" i="8"/>
  <c r="A1931" i="8"/>
  <c r="T1931" i="8" l="1"/>
  <c r="Q1931" i="8"/>
  <c r="N1931" i="8"/>
  <c r="A1932" i="8"/>
  <c r="T1932" i="8" l="1"/>
  <c r="Q1932" i="8"/>
  <c r="N1932" i="8"/>
  <c r="A1933" i="8"/>
  <c r="T1933" i="8" l="1"/>
  <c r="Q1933" i="8"/>
  <c r="N1933" i="8"/>
  <c r="A1934" i="8"/>
  <c r="T1934" i="8" l="1"/>
  <c r="Q1934" i="8"/>
  <c r="N1934" i="8"/>
  <c r="A1935" i="8"/>
  <c r="T1935" i="8" l="1"/>
  <c r="Q1935" i="8"/>
  <c r="N1935" i="8"/>
  <c r="A1936" i="8"/>
  <c r="T1936" i="8" l="1"/>
  <c r="Q1936" i="8"/>
  <c r="N1936" i="8"/>
  <c r="A1937" i="8"/>
  <c r="T1937" i="8" l="1"/>
  <c r="Q1937" i="8"/>
  <c r="N1937" i="8"/>
  <c r="A1938" i="8"/>
  <c r="T1938" i="8" l="1"/>
  <c r="Q1938" i="8"/>
  <c r="N1938" i="8"/>
  <c r="A1939" i="8"/>
  <c r="T1939" i="8" l="1"/>
  <c r="Q1939" i="8"/>
  <c r="N1939" i="8"/>
  <c r="A1940" i="8"/>
  <c r="T1940" i="8" l="1"/>
  <c r="Q1940" i="8"/>
  <c r="N1940" i="8"/>
  <c r="A1941" i="8"/>
  <c r="T1941" i="8" l="1"/>
  <c r="Q1941" i="8"/>
  <c r="N1941" i="8"/>
  <c r="A1942" i="8"/>
  <c r="T1942" i="8" l="1"/>
  <c r="Q1942" i="8"/>
  <c r="N1942" i="8"/>
  <c r="A1943" i="8"/>
  <c r="T1943" i="8" l="1"/>
  <c r="Q1943" i="8"/>
  <c r="N1943" i="8"/>
  <c r="A1944" i="8"/>
  <c r="T1944" i="8" l="1"/>
  <c r="Q1944" i="8"/>
  <c r="N1944" i="8"/>
  <c r="A1945" i="8"/>
  <c r="T1945" i="8" l="1"/>
  <c r="Q1945" i="8"/>
  <c r="N1945" i="8"/>
  <c r="A1946" i="8"/>
  <c r="T1946" i="8" l="1"/>
  <c r="Q1946" i="8"/>
  <c r="N1946" i="8"/>
  <c r="A1947" i="8"/>
  <c r="T1947" i="8" l="1"/>
  <c r="Q1947" i="8"/>
  <c r="N1947" i="8"/>
  <c r="A1948" i="8"/>
  <c r="T1948" i="8" l="1"/>
  <c r="Q1948" i="8"/>
  <c r="N1948" i="8"/>
  <c r="A1949" i="8"/>
  <c r="T1949" i="8" l="1"/>
  <c r="Q1949" i="8"/>
  <c r="N1949" i="8"/>
  <c r="A1950" i="8"/>
  <c r="T1950" i="8" l="1"/>
  <c r="Q1950" i="8"/>
  <c r="N1950" i="8"/>
  <c r="A1951" i="8"/>
  <c r="T1951" i="8" l="1"/>
  <c r="Q1951" i="8"/>
  <c r="N1951" i="8"/>
  <c r="A1952" i="8"/>
  <c r="T1952" i="8" l="1"/>
  <c r="Q1952" i="8"/>
  <c r="N1952" i="8"/>
  <c r="A1953" i="8"/>
  <c r="T1953" i="8" l="1"/>
  <c r="Q1953" i="8"/>
  <c r="N1953" i="8"/>
  <c r="A1954" i="8"/>
  <c r="T1954" i="8" l="1"/>
  <c r="Q1954" i="8"/>
  <c r="N1954" i="8"/>
  <c r="A1955" i="8"/>
  <c r="T1955" i="8" l="1"/>
  <c r="Q1955" i="8"/>
  <c r="N1955" i="8"/>
  <c r="A1956" i="8"/>
  <c r="T1956" i="8" l="1"/>
  <c r="Q1956" i="8"/>
  <c r="N1956" i="8"/>
  <c r="A1957" i="8"/>
  <c r="T1957" i="8" l="1"/>
  <c r="Q1957" i="8"/>
  <c r="N1957" i="8"/>
  <c r="A1958" i="8"/>
  <c r="T1958" i="8" l="1"/>
  <c r="Q1958" i="8"/>
  <c r="N1958" i="8"/>
  <c r="A1959" i="8"/>
  <c r="T1959" i="8" l="1"/>
  <c r="Q1959" i="8"/>
  <c r="N1959" i="8"/>
  <c r="A1960" i="8"/>
  <c r="T1960" i="8" l="1"/>
  <c r="Q1960" i="8"/>
  <c r="N1960" i="8"/>
  <c r="A1961" i="8"/>
  <c r="T1961" i="8" l="1"/>
  <c r="Q1961" i="8"/>
  <c r="N1961" i="8"/>
  <c r="A1962" i="8"/>
  <c r="T1962" i="8" l="1"/>
  <c r="Q1962" i="8"/>
  <c r="N1962" i="8"/>
  <c r="A1963" i="8"/>
  <c r="T1963" i="8" l="1"/>
  <c r="Q1963" i="8"/>
  <c r="N1963" i="8"/>
  <c r="A1964" i="8"/>
  <c r="T1964" i="8" l="1"/>
  <c r="Q1964" i="8"/>
  <c r="N1964" i="8"/>
  <c r="A1965" i="8"/>
  <c r="T1965" i="8" l="1"/>
  <c r="Q1965" i="8"/>
  <c r="N1965" i="8"/>
  <c r="A1966" i="8"/>
  <c r="T1966" i="8" l="1"/>
  <c r="Q1966" i="8"/>
  <c r="N1966" i="8"/>
  <c r="A1967" i="8"/>
  <c r="T1967" i="8" l="1"/>
  <c r="Q1967" i="8"/>
  <c r="N1967" i="8"/>
  <c r="A1968" i="8"/>
  <c r="T1968" i="8" l="1"/>
  <c r="Q1968" i="8"/>
  <c r="N1968" i="8"/>
  <c r="A1969" i="8"/>
  <c r="T1969" i="8" l="1"/>
  <c r="Q1969" i="8"/>
  <c r="N1969" i="8"/>
  <c r="A1970" i="8"/>
  <c r="T1970" i="8" l="1"/>
  <c r="Q1970" i="8"/>
  <c r="N1970" i="8"/>
  <c r="A1971" i="8"/>
  <c r="T1971" i="8" l="1"/>
  <c r="Q1971" i="8"/>
  <c r="N1971" i="8"/>
  <c r="A1972" i="8"/>
  <c r="T1972" i="8" l="1"/>
  <c r="Q1972" i="8"/>
  <c r="N1972" i="8"/>
  <c r="A1973" i="8"/>
  <c r="T1973" i="8" l="1"/>
  <c r="Q1973" i="8"/>
  <c r="N1973" i="8"/>
  <c r="A1974" i="8"/>
  <c r="T1974" i="8" l="1"/>
  <c r="Q1974" i="8"/>
  <c r="N1974" i="8"/>
  <c r="A1975" i="8"/>
  <c r="T1975" i="8" l="1"/>
  <c r="Q1975" i="8"/>
  <c r="N1975" i="8"/>
  <c r="A1976" i="8"/>
  <c r="T1976" i="8" l="1"/>
  <c r="Q1976" i="8"/>
  <c r="N1976" i="8"/>
  <c r="A1977" i="8"/>
  <c r="T1977" i="8" l="1"/>
  <c r="Q1977" i="8"/>
  <c r="N1977" i="8"/>
  <c r="A1978" i="8"/>
  <c r="T1978" i="8" l="1"/>
  <c r="Q1978" i="8"/>
  <c r="N1978" i="8"/>
  <c r="A1979" i="8"/>
  <c r="T1979" i="8" l="1"/>
  <c r="Q1979" i="8"/>
  <c r="N1979" i="8"/>
  <c r="A1980" i="8"/>
  <c r="T1980" i="8" l="1"/>
  <c r="Q1980" i="8"/>
  <c r="N1980" i="8"/>
  <c r="A1981" i="8"/>
  <c r="T1981" i="8" l="1"/>
  <c r="Q1981" i="8"/>
  <c r="N1981" i="8"/>
  <c r="A1982" i="8"/>
  <c r="T1982" i="8" l="1"/>
  <c r="Q1982" i="8"/>
  <c r="N1982" i="8"/>
  <c r="A1983" i="8"/>
  <c r="T1983" i="8" l="1"/>
  <c r="Q1983" i="8"/>
  <c r="N1983" i="8"/>
  <c r="A1984" i="8"/>
  <c r="T1984" i="8" l="1"/>
  <c r="Q1984" i="8"/>
  <c r="N1984" i="8"/>
  <c r="A1985" i="8"/>
  <c r="T1985" i="8" l="1"/>
  <c r="Q1985" i="8"/>
  <c r="N1985" i="8"/>
  <c r="A1986" i="8"/>
  <c r="T1986" i="8" l="1"/>
  <c r="Q1986" i="8"/>
  <c r="N1986" i="8"/>
  <c r="A1987" i="8"/>
  <c r="T1987" i="8" l="1"/>
  <c r="Q1987" i="8"/>
  <c r="N1987" i="8"/>
  <c r="A1988" i="8"/>
  <c r="T1988" i="8" l="1"/>
  <c r="Q1988" i="8"/>
  <c r="N1988" i="8"/>
  <c r="A1989" i="8"/>
  <c r="T1989" i="8" l="1"/>
  <c r="Q1989" i="8"/>
  <c r="N1989" i="8"/>
  <c r="A1990" i="8"/>
  <c r="T1990" i="8" l="1"/>
  <c r="Q1990" i="8"/>
  <c r="N1990" i="8"/>
  <c r="A1991" i="8"/>
  <c r="T1991" i="8" l="1"/>
  <c r="Q1991" i="8"/>
  <c r="N1991" i="8"/>
  <c r="A1992" i="8"/>
  <c r="T1992" i="8" l="1"/>
  <c r="Q1992" i="8"/>
  <c r="N1992" i="8"/>
  <c r="A1993" i="8"/>
  <c r="T1993" i="8" l="1"/>
  <c r="Q1993" i="8"/>
  <c r="N1993" i="8"/>
  <c r="A1994" i="8"/>
  <c r="T1994" i="8" l="1"/>
  <c r="Q1994" i="8"/>
  <c r="N1994" i="8"/>
  <c r="A1995" i="8"/>
  <c r="T1995" i="8" l="1"/>
  <c r="Q1995" i="8"/>
  <c r="N1995" i="8"/>
  <c r="A1996" i="8"/>
  <c r="T1996" i="8" l="1"/>
  <c r="Q1996" i="8"/>
  <c r="N1996" i="8"/>
  <c r="A1997" i="8"/>
  <c r="T1997" i="8" l="1"/>
  <c r="Q1997" i="8"/>
  <c r="N1997" i="8"/>
  <c r="A1998" i="8"/>
  <c r="T1998" i="8" l="1"/>
  <c r="Q1998" i="8"/>
  <c r="N1998" i="8"/>
  <c r="A1999" i="8"/>
  <c r="T1999" i="8" l="1"/>
  <c r="Q1999" i="8"/>
  <c r="N1999" i="8"/>
  <c r="A2000" i="8"/>
  <c r="T2000" i="8" l="1"/>
  <c r="Q2000" i="8"/>
  <c r="N2000" i="8"/>
  <c r="A2001" i="8"/>
  <c r="T2001" i="8" l="1"/>
  <c r="Q2001" i="8"/>
  <c r="N2001" i="8"/>
  <c r="A2002" i="8"/>
  <c r="T2002" i="8" l="1"/>
  <c r="Q2002" i="8"/>
  <c r="N2002" i="8"/>
  <c r="A2003" i="8"/>
  <c r="T2003" i="8" l="1"/>
  <c r="Q2003" i="8"/>
  <c r="N2003" i="8"/>
  <c r="A2004" i="8"/>
  <c r="T2004" i="8" l="1"/>
  <c r="Q2004" i="8"/>
  <c r="N2004" i="8"/>
  <c r="A2005" i="8"/>
  <c r="T2005" i="8" l="1"/>
  <c r="Q2005" i="8"/>
  <c r="N2005" i="8"/>
  <c r="A2006" i="8"/>
  <c r="T2006" i="8" l="1"/>
  <c r="Q2006" i="8"/>
  <c r="N2006" i="8"/>
  <c r="A2007" i="8"/>
  <c r="T2007" i="8" l="1"/>
  <c r="Q2007" i="8"/>
  <c r="N2007" i="8"/>
  <c r="A2008" i="8"/>
  <c r="T2008" i="8" l="1"/>
  <c r="Q2008" i="8"/>
  <c r="N2008" i="8"/>
  <c r="A2009" i="8"/>
  <c r="T2009" i="8" l="1"/>
  <c r="Q2009" i="8"/>
  <c r="N2009" i="8"/>
  <c r="A2010" i="8"/>
  <c r="T2010" i="8" l="1"/>
  <c r="Q2010" i="8"/>
  <c r="N2010" i="8"/>
  <c r="A2011" i="8"/>
  <c r="T2011" i="8" l="1"/>
  <c r="Q2011" i="8"/>
  <c r="N2011" i="8"/>
  <c r="A2012" i="8"/>
  <c r="T2012" i="8" l="1"/>
  <c r="Q2012" i="8"/>
  <c r="N2012" i="8"/>
  <c r="A2013" i="8"/>
  <c r="T2013" i="8" l="1"/>
  <c r="Q2013" i="8"/>
  <c r="N2013" i="8"/>
  <c r="A2014" i="8"/>
  <c r="T2014" i="8" l="1"/>
  <c r="Q2014" i="8"/>
  <c r="N2014" i="8"/>
  <c r="A2015" i="8"/>
  <c r="T2015" i="8" l="1"/>
  <c r="Q2015" i="8"/>
  <c r="N2015" i="8"/>
  <c r="A2016" i="8"/>
  <c r="T2016" i="8" l="1"/>
  <c r="Q2016" i="8"/>
  <c r="N2016" i="8"/>
  <c r="A2017" i="8"/>
  <c r="T2017" i="8" l="1"/>
  <c r="Q2017" i="8"/>
  <c r="N2017" i="8"/>
  <c r="A2018" i="8"/>
  <c r="T2018" i="8" l="1"/>
  <c r="Q2018" i="8"/>
  <c r="N2018" i="8"/>
  <c r="A2019" i="8"/>
  <c r="T2019" i="8" l="1"/>
  <c r="Q2019" i="8"/>
  <c r="N2019" i="8"/>
  <c r="A2020" i="8"/>
  <c r="T2020" i="8" l="1"/>
  <c r="Q2020" i="8"/>
  <c r="N2020" i="8"/>
  <c r="A2021" i="8"/>
  <c r="T2021" i="8" l="1"/>
  <c r="Q2021" i="8"/>
  <c r="N2021" i="8"/>
  <c r="A2022" i="8"/>
  <c r="T2022" i="8" l="1"/>
  <c r="Q2022" i="8"/>
  <c r="N2022" i="8"/>
  <c r="A2023" i="8"/>
  <c r="T2023" i="8" l="1"/>
  <c r="Q2023" i="8"/>
  <c r="N2023" i="8"/>
  <c r="A2024" i="8"/>
  <c r="T2024" i="8" l="1"/>
  <c r="Q2024" i="8"/>
  <c r="N2024" i="8"/>
  <c r="A2025" i="8"/>
  <c r="T2025" i="8" l="1"/>
  <c r="Q2025" i="8"/>
  <c r="N2025" i="8"/>
  <c r="A2026" i="8"/>
  <c r="T2026" i="8" l="1"/>
  <c r="Q2026" i="8"/>
  <c r="N2026" i="8"/>
  <c r="A2027" i="8"/>
  <c r="T2027" i="8" l="1"/>
  <c r="Q2027" i="8"/>
  <c r="N2027" i="8"/>
  <c r="A2028" i="8"/>
  <c r="T2028" i="8" l="1"/>
  <c r="Q2028" i="8"/>
  <c r="N2028" i="8"/>
  <c r="A2029" i="8"/>
  <c r="T2029" i="8" l="1"/>
  <c r="Q2029" i="8"/>
  <c r="N2029" i="8"/>
  <c r="A2030" i="8"/>
  <c r="T2030" i="8" l="1"/>
  <c r="Q2030" i="8"/>
  <c r="N2030" i="8"/>
  <c r="A2031" i="8"/>
  <c r="T2031" i="8" l="1"/>
  <c r="Q2031" i="8"/>
  <c r="N2031" i="8"/>
  <c r="A2032" i="8"/>
  <c r="T2032" i="8" l="1"/>
  <c r="Q2032" i="8"/>
  <c r="N2032" i="8"/>
  <c r="A2033" i="8"/>
  <c r="T2033" i="8" l="1"/>
  <c r="Q2033" i="8"/>
  <c r="N2033" i="8"/>
  <c r="A2034" i="8"/>
  <c r="T2034" i="8" l="1"/>
  <c r="Q2034" i="8"/>
  <c r="N2034" i="8"/>
  <c r="A2035" i="8"/>
  <c r="T2035" i="8" l="1"/>
  <c r="Q2035" i="8"/>
  <c r="N2035" i="8"/>
  <c r="A2036" i="8"/>
  <c r="T2036" i="8" l="1"/>
  <c r="Q2036" i="8"/>
  <c r="N2036" i="8"/>
  <c r="A2037" i="8"/>
  <c r="T2037" i="8" l="1"/>
  <c r="Q2037" i="8"/>
  <c r="N2037" i="8"/>
  <c r="A2038" i="8"/>
  <c r="T2038" i="8" l="1"/>
  <c r="Q2038" i="8"/>
  <c r="N2038" i="8"/>
  <c r="A2039" i="8"/>
  <c r="T2039" i="8" l="1"/>
  <c r="Q2039" i="8"/>
  <c r="N2039" i="8"/>
  <c r="A2040" i="8"/>
  <c r="T2040" i="8" l="1"/>
  <c r="Q2040" i="8"/>
  <c r="N2040" i="8"/>
  <c r="A2041" i="8"/>
  <c r="T2041" i="8" l="1"/>
  <c r="Q2041" i="8"/>
  <c r="N2041" i="8"/>
  <c r="A2042" i="8"/>
  <c r="T2042" i="8" l="1"/>
  <c r="Q2042" i="8"/>
  <c r="N2042" i="8"/>
  <c r="A2043" i="8"/>
  <c r="T2043" i="8" l="1"/>
  <c r="Q2043" i="8"/>
  <c r="N2043" i="8"/>
  <c r="A2044" i="8"/>
  <c r="T2044" i="8" l="1"/>
  <c r="Q2044" i="8"/>
  <c r="N2044" i="8"/>
  <c r="A2045" i="8"/>
  <c r="T2045" i="8" l="1"/>
  <c r="Q2045" i="8"/>
  <c r="N2045" i="8"/>
  <c r="A2046" i="8"/>
  <c r="T2046" i="8" l="1"/>
  <c r="Q2046" i="8"/>
  <c r="N2046" i="8"/>
  <c r="A2047" i="8"/>
  <c r="T2047" i="8" l="1"/>
  <c r="Q2047" i="8"/>
  <c r="N2047" i="8"/>
  <c r="A2048" i="8"/>
  <c r="T2048" i="8" l="1"/>
  <c r="Q2048" i="8"/>
  <c r="N2048" i="8"/>
  <c r="A2049" i="8"/>
  <c r="T2049" i="8" l="1"/>
  <c r="Q2049" i="8"/>
  <c r="N2049" i="8"/>
  <c r="A2050" i="8"/>
  <c r="T2050" i="8" l="1"/>
  <c r="Q2050" i="8"/>
  <c r="N2050" i="8"/>
  <c r="A2051" i="8"/>
  <c r="T2051" i="8" l="1"/>
  <c r="Q2051" i="8"/>
  <c r="N2051" i="8"/>
  <c r="A2052" i="8"/>
  <c r="T2052" i="8" l="1"/>
  <c r="Q2052" i="8"/>
  <c r="N2052" i="8"/>
  <c r="A2053" i="8"/>
  <c r="T2053" i="8" l="1"/>
  <c r="Q2053" i="8"/>
  <c r="N2053" i="8"/>
  <c r="A2054" i="8"/>
  <c r="T2054" i="8" l="1"/>
  <c r="Q2054" i="8"/>
  <c r="N2054" i="8"/>
  <c r="A2055" i="8"/>
  <c r="T2055" i="8" l="1"/>
  <c r="Q2055" i="8"/>
  <c r="N2055" i="8"/>
  <c r="A2056" i="8"/>
  <c r="T2056" i="8" l="1"/>
  <c r="Q2056" i="8"/>
  <c r="N2056" i="8"/>
  <c r="A2057" i="8"/>
  <c r="T2057" i="8" l="1"/>
  <c r="Q2057" i="8"/>
  <c r="N2057" i="8"/>
  <c r="A2058" i="8"/>
  <c r="T2058" i="8" l="1"/>
  <c r="Q2058" i="8"/>
  <c r="N2058" i="8"/>
  <c r="A2059" i="8"/>
  <c r="T2059" i="8" l="1"/>
  <c r="Q2059" i="8"/>
  <c r="N2059" i="8"/>
  <c r="A2060" i="8"/>
  <c r="T2060" i="8" l="1"/>
  <c r="Q2060" i="8"/>
  <c r="N2060" i="8"/>
  <c r="A2061" i="8"/>
  <c r="T2061" i="8" l="1"/>
  <c r="Q2061" i="8"/>
  <c r="N2061" i="8"/>
  <c r="A2062" i="8"/>
  <c r="T2062" i="8" l="1"/>
  <c r="Q2062" i="8"/>
  <c r="N2062" i="8"/>
  <c r="A2063" i="8"/>
  <c r="T2063" i="8" l="1"/>
  <c r="Q2063" i="8"/>
  <c r="N2063" i="8"/>
  <c r="A2064" i="8"/>
  <c r="T2064" i="8" l="1"/>
  <c r="Q2064" i="8"/>
  <c r="N2064" i="8"/>
  <c r="A2065" i="8"/>
  <c r="T2065" i="8" l="1"/>
  <c r="Q2065" i="8"/>
  <c r="N2065" i="8"/>
  <c r="A2066" i="8"/>
  <c r="T2066" i="8" l="1"/>
  <c r="Q2066" i="8"/>
  <c r="N2066" i="8"/>
  <c r="A2067" i="8"/>
  <c r="T2067" i="8" l="1"/>
  <c r="Q2067" i="8"/>
  <c r="N2067" i="8"/>
  <c r="A2068" i="8"/>
  <c r="T2068" i="8" l="1"/>
  <c r="Q2068" i="8"/>
  <c r="N2068" i="8"/>
  <c r="A2069" i="8"/>
  <c r="T2069" i="8" l="1"/>
  <c r="Q2069" i="8"/>
  <c r="N2069" i="8"/>
  <c r="A2070" i="8"/>
  <c r="T2070" i="8" l="1"/>
  <c r="Q2070" i="8"/>
  <c r="N2070" i="8"/>
  <c r="A2071" i="8"/>
  <c r="T2071" i="8" l="1"/>
  <c r="Q2071" i="8"/>
  <c r="N2071" i="8"/>
  <c r="A2072" i="8"/>
  <c r="T2072" i="8" l="1"/>
  <c r="Q2072" i="8"/>
  <c r="N2072" i="8"/>
  <c r="A2073" i="8"/>
  <c r="T2073" i="8" l="1"/>
  <c r="Q2073" i="8"/>
  <c r="N2073" i="8"/>
  <c r="A2074" i="8"/>
  <c r="T2074" i="8" l="1"/>
  <c r="Q2074" i="8"/>
  <c r="N2074" i="8"/>
  <c r="A2075" i="8"/>
  <c r="T2075" i="8" l="1"/>
  <c r="Q2075" i="8"/>
  <c r="N2075" i="8"/>
  <c r="A2076" i="8"/>
  <c r="T2076" i="8" l="1"/>
  <c r="Q2076" i="8"/>
  <c r="N2076" i="8"/>
  <c r="A2077" i="8"/>
  <c r="T2077" i="8" l="1"/>
  <c r="Q2077" i="8"/>
  <c r="N2077" i="8"/>
  <c r="A2078" i="8"/>
  <c r="T2078" i="8" l="1"/>
  <c r="Q2078" i="8"/>
  <c r="N2078" i="8"/>
  <c r="A2079" i="8"/>
  <c r="T2079" i="8" l="1"/>
  <c r="Q2079" i="8"/>
  <c r="N2079" i="8"/>
  <c r="A2080" i="8"/>
  <c r="T2080" i="8" l="1"/>
  <c r="Q2080" i="8"/>
  <c r="N2080" i="8"/>
  <c r="A2081" i="8"/>
  <c r="T2081" i="8" l="1"/>
  <c r="Q2081" i="8"/>
  <c r="N2081" i="8"/>
  <c r="A2082" i="8"/>
  <c r="T2082" i="8" l="1"/>
  <c r="Q2082" i="8"/>
  <c r="N2082" i="8"/>
  <c r="A2083" i="8"/>
  <c r="T2083" i="8" l="1"/>
  <c r="Q2083" i="8"/>
  <c r="N2083" i="8"/>
  <c r="A2084" i="8"/>
  <c r="T2084" i="8" l="1"/>
  <c r="Q2084" i="8"/>
  <c r="N2084" i="8"/>
  <c r="A2085" i="8"/>
  <c r="T2085" i="8" l="1"/>
  <c r="Q2085" i="8"/>
  <c r="N2085" i="8"/>
  <c r="A2086" i="8"/>
  <c r="T2086" i="8" l="1"/>
  <c r="Q2086" i="8"/>
  <c r="N2086" i="8"/>
  <c r="A2087" i="8"/>
  <c r="T2087" i="8" l="1"/>
  <c r="Q2087" i="8"/>
  <c r="N2087" i="8"/>
  <c r="A2088" i="8"/>
  <c r="T2088" i="8" l="1"/>
  <c r="Q2088" i="8"/>
  <c r="N2088" i="8"/>
  <c r="A2089" i="8"/>
  <c r="T2089" i="8" l="1"/>
  <c r="Q2089" i="8"/>
  <c r="N2089" i="8"/>
  <c r="A2090" i="8"/>
  <c r="T2090" i="8" l="1"/>
  <c r="Q2090" i="8"/>
  <c r="N2090" i="8"/>
  <c r="A2091" i="8"/>
  <c r="T2091" i="8" l="1"/>
  <c r="Q2091" i="8"/>
  <c r="N2091" i="8"/>
  <c r="A2092" i="8"/>
  <c r="T2092" i="8" l="1"/>
  <c r="Q2092" i="8"/>
  <c r="N2092" i="8"/>
  <c r="A2093" i="8"/>
  <c r="T2093" i="8" l="1"/>
  <c r="Q2093" i="8"/>
  <c r="N2093" i="8"/>
  <c r="A2094" i="8"/>
  <c r="T2094" i="8" l="1"/>
  <c r="Q2094" i="8"/>
  <c r="N2094" i="8"/>
  <c r="A2095" i="8"/>
  <c r="T2095" i="8" l="1"/>
  <c r="Q2095" i="8"/>
  <c r="N2095" i="8"/>
  <c r="A2096" i="8"/>
  <c r="T2096" i="8" l="1"/>
  <c r="Q2096" i="8"/>
  <c r="N2096" i="8"/>
  <c r="A2097" i="8"/>
  <c r="T2097" i="8" l="1"/>
  <c r="Q2097" i="8"/>
  <c r="N2097" i="8"/>
  <c r="A2098" i="8"/>
  <c r="T2098" i="8" l="1"/>
  <c r="Q2098" i="8"/>
  <c r="N2098" i="8"/>
  <c r="A2099" i="8"/>
  <c r="T2099" i="8" l="1"/>
  <c r="Q2099" i="8"/>
  <c r="N2099" i="8"/>
  <c r="A2100" i="8"/>
  <c r="T2100" i="8" l="1"/>
  <c r="Q2100" i="8"/>
  <c r="N2100" i="8"/>
  <c r="A2101" i="8"/>
  <c r="T2101" i="8" l="1"/>
  <c r="Q2101" i="8"/>
  <c r="N2101" i="8"/>
  <c r="A2102" i="8"/>
  <c r="T2102" i="8" l="1"/>
  <c r="Q2102" i="8"/>
  <c r="N2102" i="8"/>
  <c r="A2103" i="8"/>
  <c r="T2103" i="8" l="1"/>
  <c r="Q2103" i="8"/>
  <c r="N2103" i="8"/>
  <c r="A2104" i="8"/>
  <c r="T2104" i="8" l="1"/>
  <c r="Q2104" i="8"/>
  <c r="N2104" i="8"/>
  <c r="A2105" i="8"/>
  <c r="T2105" i="8" l="1"/>
  <c r="Q2105" i="8"/>
  <c r="N2105" i="8"/>
  <c r="A2106" i="8"/>
  <c r="T2106" i="8" l="1"/>
  <c r="Q2106" i="8"/>
  <c r="N2106" i="8"/>
  <c r="A2107" i="8"/>
  <c r="T2107" i="8" l="1"/>
  <c r="Q2107" i="8"/>
  <c r="N2107" i="8"/>
  <c r="A2108" i="8"/>
  <c r="T2108" i="8" l="1"/>
  <c r="Q2108" i="8"/>
  <c r="N2108" i="8"/>
  <c r="A2109" i="8"/>
  <c r="T2109" i="8" l="1"/>
  <c r="Q2109" i="8"/>
  <c r="N2109" i="8"/>
  <c r="A2110" i="8"/>
  <c r="T2110" i="8" l="1"/>
  <c r="Q2110" i="8"/>
  <c r="N2110" i="8"/>
  <c r="A2111" i="8"/>
  <c r="T2111" i="8" l="1"/>
  <c r="Q2111" i="8"/>
  <c r="N2111" i="8"/>
  <c r="A2112" i="8"/>
  <c r="T2112" i="8" l="1"/>
  <c r="Q2112" i="8"/>
  <c r="N2112" i="8"/>
  <c r="A2113" i="8"/>
  <c r="T2113" i="8" l="1"/>
  <c r="Q2113" i="8"/>
  <c r="N2113" i="8"/>
  <c r="A2114" i="8"/>
  <c r="T2114" i="8" l="1"/>
  <c r="Q2114" i="8"/>
  <c r="N2114" i="8"/>
  <c r="A2115" i="8"/>
  <c r="T2115" i="8" l="1"/>
  <c r="Q2115" i="8"/>
  <c r="N2115" i="8"/>
  <c r="A2116" i="8"/>
  <c r="T2116" i="8" l="1"/>
  <c r="Q2116" i="8"/>
  <c r="N2116" i="8"/>
  <c r="A2117" i="8"/>
  <c r="T2117" i="8" l="1"/>
  <c r="Q2117" i="8"/>
  <c r="N2117" i="8"/>
  <c r="A2118" i="8"/>
  <c r="T2118" i="8" l="1"/>
  <c r="Q2118" i="8"/>
  <c r="N2118" i="8"/>
  <c r="A2119" i="8"/>
  <c r="T2119" i="8" l="1"/>
  <c r="Q2119" i="8"/>
  <c r="N2119" i="8"/>
  <c r="A2120" i="8"/>
  <c r="T2120" i="8" l="1"/>
  <c r="Q2120" i="8"/>
  <c r="N2120" i="8"/>
  <c r="A2121" i="8"/>
  <c r="T2121" i="8" l="1"/>
  <c r="Q2121" i="8"/>
  <c r="N2121" i="8"/>
  <c r="A2122" i="8"/>
  <c r="T2122" i="8" l="1"/>
  <c r="Q2122" i="8"/>
  <c r="N2122" i="8"/>
  <c r="A2123" i="8"/>
  <c r="T2123" i="8" l="1"/>
  <c r="Q2123" i="8"/>
  <c r="N2123" i="8"/>
  <c r="A2124" i="8"/>
  <c r="T2124" i="8" l="1"/>
  <c r="Q2124" i="8"/>
  <c r="N2124" i="8"/>
  <c r="A2125" i="8"/>
  <c r="T2125" i="8" l="1"/>
  <c r="Q2125" i="8"/>
  <c r="N2125" i="8"/>
  <c r="A2126" i="8"/>
  <c r="T2126" i="8" l="1"/>
  <c r="Q2126" i="8"/>
  <c r="N2126" i="8"/>
  <c r="A2127" i="8"/>
  <c r="T2127" i="8" l="1"/>
  <c r="Q2127" i="8"/>
  <c r="N2127" i="8"/>
  <c r="A2128" i="8"/>
  <c r="T2128" i="8" l="1"/>
  <c r="Q2128" i="8"/>
  <c r="N2128" i="8"/>
  <c r="A2129" i="8"/>
  <c r="T2129" i="8" l="1"/>
  <c r="Q2129" i="8"/>
  <c r="N2129" i="8"/>
  <c r="A2130" i="8"/>
  <c r="T2130" i="8" l="1"/>
  <c r="Q2130" i="8"/>
  <c r="N2130" i="8"/>
  <c r="A2131" i="8"/>
  <c r="T2131" i="8" l="1"/>
  <c r="Q2131" i="8"/>
  <c r="N2131" i="8"/>
  <c r="A2132" i="8"/>
  <c r="T2132" i="8" l="1"/>
  <c r="Q2132" i="8"/>
  <c r="N2132" i="8"/>
  <c r="A2133" i="8"/>
  <c r="T2133" i="8" l="1"/>
  <c r="Q2133" i="8"/>
  <c r="N2133" i="8"/>
  <c r="A2134" i="8"/>
  <c r="T2134" i="8" l="1"/>
  <c r="Q2134" i="8"/>
  <c r="N2134" i="8"/>
  <c r="A2135" i="8"/>
  <c r="T2135" i="8" l="1"/>
  <c r="Q2135" i="8"/>
  <c r="N2135" i="8"/>
  <c r="A2136" i="8"/>
  <c r="T2136" i="8" l="1"/>
  <c r="Q2136" i="8"/>
  <c r="N2136" i="8"/>
  <c r="A2137" i="8"/>
  <c r="T2137" i="8" l="1"/>
  <c r="Q2137" i="8"/>
  <c r="N2137" i="8"/>
  <c r="A2138" i="8"/>
  <c r="T2138" i="8" l="1"/>
  <c r="Q2138" i="8"/>
  <c r="N2138" i="8"/>
  <c r="A2139" i="8"/>
  <c r="T2139" i="8" l="1"/>
  <c r="Q2139" i="8"/>
  <c r="N2139" i="8"/>
  <c r="A2140" i="8"/>
  <c r="T2140" i="8" l="1"/>
  <c r="Q2140" i="8"/>
  <c r="N2140" i="8"/>
  <c r="A2141" i="8"/>
  <c r="T2141" i="8" l="1"/>
  <c r="Q2141" i="8"/>
  <c r="N2141" i="8"/>
  <c r="A2142" i="8"/>
  <c r="T2142" i="8" l="1"/>
  <c r="Q2142" i="8"/>
  <c r="N2142" i="8"/>
  <c r="A2143" i="8"/>
  <c r="T2143" i="8" l="1"/>
  <c r="Q2143" i="8"/>
  <c r="N2143" i="8"/>
  <c r="A2144" i="8"/>
  <c r="T2144" i="8" l="1"/>
  <c r="Q2144" i="8"/>
  <c r="N2144" i="8"/>
  <c r="A2145" i="8"/>
  <c r="T2145" i="8" l="1"/>
  <c r="Q2145" i="8"/>
  <c r="N2145" i="8"/>
  <c r="A2146" i="8"/>
  <c r="T2146" i="8" l="1"/>
  <c r="Q2146" i="8"/>
  <c r="N2146" i="8"/>
  <c r="A2147" i="8"/>
  <c r="T2147" i="8" l="1"/>
  <c r="Q2147" i="8"/>
  <c r="N2147" i="8"/>
  <c r="A2148" i="8"/>
  <c r="T2148" i="8" l="1"/>
  <c r="Q2148" i="8"/>
  <c r="N2148" i="8"/>
  <c r="A2149" i="8"/>
  <c r="T2149" i="8" l="1"/>
  <c r="Q2149" i="8"/>
  <c r="N2149" i="8"/>
  <c r="A2150" i="8"/>
  <c r="T2150" i="8" l="1"/>
  <c r="Q2150" i="8"/>
  <c r="N2150" i="8"/>
  <c r="A2151" i="8"/>
  <c r="T2151" i="8" l="1"/>
  <c r="Q2151" i="8"/>
  <c r="N2151" i="8"/>
  <c r="A2152" i="8"/>
  <c r="T2152" i="8" l="1"/>
  <c r="Q2152" i="8"/>
  <c r="N2152" i="8"/>
  <c r="A2153" i="8"/>
  <c r="T2153" i="8" l="1"/>
  <c r="Q2153" i="8"/>
  <c r="N2153" i="8"/>
  <c r="A2154" i="8"/>
  <c r="T2154" i="8" l="1"/>
  <c r="Q2154" i="8"/>
  <c r="N2154" i="8"/>
  <c r="A2155" i="8"/>
  <c r="T2155" i="8" l="1"/>
  <c r="Q2155" i="8"/>
  <c r="N2155" i="8"/>
  <c r="A2156" i="8"/>
  <c r="T2156" i="8" l="1"/>
  <c r="Q2156" i="8"/>
  <c r="N2156" i="8"/>
  <c r="A2157" i="8"/>
  <c r="T2157" i="8" l="1"/>
  <c r="Q2157" i="8"/>
  <c r="N2157" i="8"/>
  <c r="A2158" i="8"/>
  <c r="T2158" i="8" l="1"/>
  <c r="Q2158" i="8"/>
  <c r="N2158" i="8"/>
  <c r="A2159" i="8"/>
  <c r="T2159" i="8" l="1"/>
  <c r="Q2159" i="8"/>
  <c r="N2159" i="8"/>
  <c r="A2160" i="8"/>
  <c r="T2160" i="8" l="1"/>
  <c r="Q2160" i="8"/>
  <c r="N2160" i="8"/>
  <c r="A2161" i="8"/>
  <c r="T2161" i="8" l="1"/>
  <c r="Q2161" i="8"/>
  <c r="N2161" i="8"/>
  <c r="A2162" i="8"/>
  <c r="T2162" i="8" l="1"/>
  <c r="Q2162" i="8"/>
  <c r="N2162" i="8"/>
  <c r="A2163" i="8"/>
  <c r="T2163" i="8" l="1"/>
  <c r="Q2163" i="8"/>
  <c r="N2163" i="8"/>
  <c r="A2164" i="8"/>
  <c r="T2164" i="8" l="1"/>
  <c r="Q2164" i="8"/>
  <c r="N2164" i="8"/>
  <c r="A2165" i="8"/>
  <c r="T2165" i="8" l="1"/>
  <c r="Q2165" i="8"/>
  <c r="N2165" i="8"/>
  <c r="A2166" i="8"/>
  <c r="T2166" i="8" l="1"/>
  <c r="Q2166" i="8"/>
  <c r="N2166" i="8"/>
  <c r="A2167" i="8"/>
  <c r="T2167" i="8" l="1"/>
  <c r="Q2167" i="8"/>
  <c r="N2167" i="8"/>
  <c r="A2168" i="8"/>
  <c r="T2168" i="8" l="1"/>
  <c r="Q2168" i="8"/>
  <c r="N2168" i="8"/>
  <c r="A2169" i="8"/>
  <c r="T2169" i="8" l="1"/>
  <c r="Q2169" i="8"/>
  <c r="N2169" i="8"/>
  <c r="A2170" i="8"/>
  <c r="T2170" i="8" l="1"/>
  <c r="Q2170" i="8"/>
  <c r="N2170" i="8"/>
  <c r="A2171" i="8"/>
  <c r="T2171" i="8" l="1"/>
  <c r="Q2171" i="8"/>
  <c r="N2171" i="8"/>
  <c r="A2172" i="8"/>
  <c r="T2172" i="8" l="1"/>
  <c r="Q2172" i="8"/>
  <c r="N2172" i="8"/>
  <c r="A2173" i="8"/>
  <c r="T2173" i="8" l="1"/>
  <c r="Q2173" i="8"/>
  <c r="N2173" i="8"/>
  <c r="A2174" i="8"/>
  <c r="T2174" i="8" l="1"/>
  <c r="Q2174" i="8"/>
  <c r="N2174" i="8"/>
  <c r="A2175" i="8"/>
  <c r="T2175" i="8" l="1"/>
  <c r="Q2175" i="8"/>
  <c r="N2175" i="8"/>
  <c r="A2176" i="8"/>
  <c r="T2176" i="8" l="1"/>
  <c r="Q2176" i="8"/>
  <c r="N2176" i="8"/>
  <c r="A2177" i="8"/>
  <c r="T2177" i="8" l="1"/>
  <c r="Q2177" i="8"/>
  <c r="N2177" i="8"/>
  <c r="A2178" i="8"/>
  <c r="T2178" i="8" l="1"/>
  <c r="Q2178" i="8"/>
  <c r="N2178" i="8"/>
  <c r="A2179" i="8"/>
  <c r="T2179" i="8" l="1"/>
  <c r="Q2179" i="8"/>
  <c r="N2179" i="8"/>
  <c r="A2180" i="8"/>
  <c r="T2180" i="8" l="1"/>
  <c r="Q2180" i="8"/>
  <c r="N2180" i="8"/>
  <c r="A2181" i="8"/>
  <c r="T2181" i="8" l="1"/>
  <c r="Q2181" i="8"/>
  <c r="N2181" i="8"/>
  <c r="A2182" i="8"/>
  <c r="T2182" i="8" l="1"/>
  <c r="Q2182" i="8"/>
  <c r="N2182" i="8"/>
  <c r="A2183" i="8"/>
  <c r="T2183" i="8" l="1"/>
  <c r="Q2183" i="8"/>
  <c r="N2183" i="8"/>
  <c r="A2184" i="8"/>
  <c r="T2184" i="8" l="1"/>
  <c r="Q2184" i="8"/>
  <c r="N2184" i="8"/>
  <c r="A2185" i="8"/>
  <c r="T2185" i="8" l="1"/>
  <c r="Q2185" i="8"/>
  <c r="N2185" i="8"/>
  <c r="A2186" i="8"/>
  <c r="T2186" i="8" l="1"/>
  <c r="Q2186" i="8"/>
  <c r="N2186" i="8"/>
  <c r="A2187" i="8"/>
  <c r="T2187" i="8" l="1"/>
  <c r="Q2187" i="8"/>
  <c r="N2187" i="8"/>
  <c r="A2188" i="8"/>
  <c r="T2188" i="8" l="1"/>
  <c r="Q2188" i="8"/>
  <c r="N2188" i="8"/>
  <c r="A2189" i="8"/>
  <c r="T2189" i="8" l="1"/>
  <c r="Q2189" i="8"/>
  <c r="N2189" i="8"/>
  <c r="A2190" i="8"/>
  <c r="T2190" i="8" l="1"/>
  <c r="Q2190" i="8"/>
  <c r="N2190" i="8"/>
  <c r="A2191" i="8"/>
  <c r="T2191" i="8" l="1"/>
  <c r="Q2191" i="8"/>
  <c r="N2191" i="8"/>
  <c r="A2192" i="8"/>
  <c r="T2192" i="8" l="1"/>
  <c r="Q2192" i="8"/>
  <c r="N2192" i="8"/>
  <c r="A2193" i="8"/>
  <c r="T2193" i="8" l="1"/>
  <c r="Q2193" i="8"/>
  <c r="N2193" i="8"/>
  <c r="A2194" i="8"/>
  <c r="T2194" i="8" l="1"/>
  <c r="Q2194" i="8"/>
  <c r="N2194" i="8"/>
  <c r="A2195" i="8"/>
  <c r="T2195" i="8" l="1"/>
  <c r="Q2195" i="8"/>
  <c r="N2195" i="8"/>
  <c r="A2196" i="8"/>
  <c r="T2196" i="8" l="1"/>
  <c r="Q2196" i="8"/>
  <c r="N2196" i="8"/>
  <c r="A2197" i="8"/>
  <c r="T2197" i="8" l="1"/>
  <c r="Q2197" i="8"/>
  <c r="N2197" i="8"/>
  <c r="A2198" i="8"/>
  <c r="T2198" i="8" l="1"/>
  <c r="Q2198" i="8"/>
  <c r="N2198" i="8"/>
  <c r="A2199" i="8"/>
  <c r="T2199" i="8" l="1"/>
  <c r="Q2199" i="8"/>
  <c r="N2199" i="8"/>
  <c r="A2200" i="8"/>
  <c r="T2200" i="8" l="1"/>
  <c r="Q2200" i="8"/>
  <c r="N2200" i="8"/>
  <c r="A2201" i="8"/>
  <c r="T2201" i="8" l="1"/>
  <c r="Q2201" i="8"/>
  <c r="N2201" i="8"/>
  <c r="A2202" i="8"/>
  <c r="T2202" i="8" l="1"/>
  <c r="Q2202" i="8"/>
  <c r="N2202" i="8"/>
  <c r="A2203" i="8"/>
  <c r="T2203" i="8" l="1"/>
  <c r="Q2203" i="8"/>
  <c r="N2203" i="8"/>
  <c r="A2204" i="8"/>
  <c r="T2204" i="8" l="1"/>
  <c r="Q2204" i="8"/>
  <c r="N2204" i="8"/>
  <c r="A2205" i="8"/>
  <c r="T2205" i="8" l="1"/>
  <c r="Q2205" i="8"/>
  <c r="N2205" i="8"/>
  <c r="A2206" i="8"/>
  <c r="T2206" i="8" l="1"/>
  <c r="Q2206" i="8"/>
  <c r="N2206" i="8"/>
  <c r="A2207" i="8"/>
  <c r="T2207" i="8" l="1"/>
  <c r="Q2207" i="8"/>
  <c r="N2207" i="8"/>
  <c r="A2208" i="8"/>
  <c r="T2208" i="8" l="1"/>
  <c r="Q2208" i="8"/>
  <c r="N2208" i="8"/>
  <c r="A2209" i="8"/>
  <c r="T2209" i="8" l="1"/>
  <c r="Q2209" i="8"/>
  <c r="N2209" i="8"/>
  <c r="A2210" i="8"/>
  <c r="T2210" i="8" l="1"/>
  <c r="Q2210" i="8"/>
  <c r="N2210" i="8"/>
  <c r="A2211" i="8"/>
  <c r="T2211" i="8" l="1"/>
  <c r="Q2211" i="8"/>
  <c r="N2211" i="8"/>
  <c r="A2212" i="8"/>
  <c r="T2212" i="8" l="1"/>
  <c r="Q2212" i="8"/>
  <c r="N2212" i="8"/>
  <c r="A2213" i="8"/>
  <c r="T2213" i="8" l="1"/>
  <c r="Q2213" i="8"/>
  <c r="N2213" i="8"/>
  <c r="A2214" i="8"/>
  <c r="T2214" i="8" l="1"/>
  <c r="Q2214" i="8"/>
  <c r="N2214" i="8"/>
  <c r="A2215" i="8"/>
  <c r="T2215" i="8" l="1"/>
  <c r="Q2215" i="8"/>
  <c r="N2215" i="8"/>
  <c r="A2216" i="8"/>
  <c r="T2216" i="8" l="1"/>
  <c r="Q2216" i="8"/>
  <c r="N2216" i="8"/>
  <c r="A2217" i="8"/>
  <c r="T2217" i="8" l="1"/>
  <c r="Q2217" i="8"/>
  <c r="N2217" i="8"/>
  <c r="A2218" i="8"/>
  <c r="T2218" i="8" l="1"/>
  <c r="Q2218" i="8"/>
  <c r="N2218" i="8"/>
  <c r="A2219" i="8"/>
  <c r="T2219" i="8" l="1"/>
  <c r="Q2219" i="8"/>
  <c r="N2219" i="8"/>
  <c r="A2220" i="8"/>
  <c r="T2220" i="8" l="1"/>
  <c r="Q2220" i="8"/>
  <c r="N2220" i="8"/>
  <c r="A2221" i="8"/>
  <c r="T2221" i="8" l="1"/>
  <c r="Q2221" i="8"/>
  <c r="N2221" i="8"/>
  <c r="A2222" i="8"/>
  <c r="T2222" i="8" l="1"/>
  <c r="Q2222" i="8"/>
  <c r="N2222" i="8"/>
  <c r="A2223" i="8"/>
  <c r="T2223" i="8" l="1"/>
  <c r="Q2223" i="8"/>
  <c r="N2223" i="8"/>
  <c r="A2224" i="8"/>
  <c r="T2224" i="8" l="1"/>
  <c r="Q2224" i="8"/>
  <c r="N2224" i="8"/>
  <c r="A2225" i="8"/>
  <c r="T2225" i="8" l="1"/>
  <c r="Q2225" i="8"/>
  <c r="N2225" i="8"/>
  <c r="A2226" i="8"/>
  <c r="T2226" i="8" l="1"/>
  <c r="Q2226" i="8"/>
  <c r="N2226" i="8"/>
  <c r="A2227" i="8"/>
  <c r="T2227" i="8" l="1"/>
  <c r="Q2227" i="8"/>
  <c r="N2227" i="8"/>
  <c r="A2228" i="8"/>
  <c r="T2228" i="8" l="1"/>
  <c r="Q2228" i="8"/>
  <c r="N2228" i="8"/>
  <c r="A2229" i="8"/>
  <c r="T2229" i="8" l="1"/>
  <c r="Q2229" i="8"/>
  <c r="N2229" i="8"/>
  <c r="A2230" i="8"/>
  <c r="T2230" i="8" l="1"/>
  <c r="Q2230" i="8"/>
  <c r="N2230" i="8"/>
  <c r="A2231" i="8"/>
  <c r="T2231" i="8" l="1"/>
  <c r="Q2231" i="8"/>
  <c r="N2231" i="8"/>
  <c r="A2232" i="8"/>
  <c r="T2232" i="8" l="1"/>
  <c r="Q2232" i="8"/>
  <c r="N2232" i="8"/>
  <c r="A2233" i="8"/>
  <c r="T2233" i="8" l="1"/>
  <c r="Q2233" i="8"/>
  <c r="N2233" i="8"/>
  <c r="A2234" i="8"/>
  <c r="T2234" i="8" l="1"/>
  <c r="Q2234" i="8"/>
  <c r="N2234" i="8"/>
  <c r="A2235" i="8"/>
  <c r="T2235" i="8" l="1"/>
  <c r="Q2235" i="8"/>
  <c r="N2235" i="8"/>
  <c r="A2236" i="8"/>
  <c r="T2236" i="8" l="1"/>
  <c r="Q2236" i="8"/>
  <c r="N2236" i="8"/>
  <c r="A2237" i="8"/>
  <c r="T2237" i="8" l="1"/>
  <c r="Q2237" i="8"/>
  <c r="N2237" i="8"/>
  <c r="A2238" i="8"/>
  <c r="T2238" i="8" l="1"/>
  <c r="Q2238" i="8"/>
  <c r="N2238" i="8"/>
  <c r="A2239" i="8"/>
  <c r="T2239" i="8" l="1"/>
  <c r="Q2239" i="8"/>
  <c r="N2239" i="8"/>
  <c r="A2240" i="8"/>
  <c r="T2240" i="8" l="1"/>
  <c r="Q2240" i="8"/>
  <c r="N2240" i="8"/>
  <c r="A2241" i="8"/>
  <c r="T2241" i="8" l="1"/>
  <c r="Q2241" i="8"/>
  <c r="N2241" i="8"/>
  <c r="A2242" i="8"/>
  <c r="T2242" i="8" l="1"/>
  <c r="Q2242" i="8"/>
  <c r="N2242" i="8"/>
  <c r="A2243" i="8"/>
  <c r="T2243" i="8" l="1"/>
  <c r="Q2243" i="8"/>
  <c r="N2243" i="8"/>
  <c r="A2244" i="8"/>
  <c r="T2244" i="8" l="1"/>
  <c r="Q2244" i="8"/>
  <c r="N2244" i="8"/>
  <c r="A2245" i="8"/>
  <c r="T2245" i="8" l="1"/>
  <c r="Q2245" i="8"/>
  <c r="N2245" i="8"/>
  <c r="A2246" i="8"/>
  <c r="T2246" i="8" l="1"/>
  <c r="Q2246" i="8"/>
  <c r="N2246" i="8"/>
  <c r="A2247" i="8"/>
  <c r="T2247" i="8" l="1"/>
  <c r="Q2247" i="8"/>
  <c r="N2247" i="8"/>
  <c r="A2248" i="8"/>
  <c r="T2248" i="8" l="1"/>
  <c r="Q2248" i="8"/>
  <c r="N2248" i="8"/>
  <c r="A2249" i="8"/>
  <c r="T2249" i="8" l="1"/>
  <c r="Q2249" i="8"/>
  <c r="N2249" i="8"/>
  <c r="A2250" i="8"/>
  <c r="T2250" i="8" l="1"/>
  <c r="Q2250" i="8"/>
  <c r="N2250" i="8"/>
  <c r="A2251" i="8"/>
  <c r="T2251" i="8" l="1"/>
  <c r="Q2251" i="8"/>
  <c r="N2251" i="8"/>
  <c r="A2252" i="8"/>
  <c r="T2252" i="8" l="1"/>
  <c r="Q2252" i="8"/>
  <c r="N2252" i="8"/>
  <c r="A2253" i="8"/>
  <c r="T2253" i="8" l="1"/>
  <c r="Q2253" i="8"/>
  <c r="N2253" i="8"/>
  <c r="A2254" i="8"/>
  <c r="T2254" i="8" l="1"/>
  <c r="Q2254" i="8"/>
  <c r="N2254" i="8"/>
  <c r="A2255" i="8"/>
  <c r="T2255" i="8" l="1"/>
  <c r="Q2255" i="8"/>
  <c r="N2255" i="8"/>
  <c r="A2256" i="8"/>
  <c r="T2256" i="8" l="1"/>
  <c r="Q2256" i="8"/>
  <c r="N2256" i="8"/>
  <c r="A2257" i="8"/>
  <c r="T2257" i="8" l="1"/>
  <c r="Q2257" i="8"/>
  <c r="N2257" i="8"/>
  <c r="A2258" i="8"/>
  <c r="T2258" i="8" l="1"/>
  <c r="Q2258" i="8"/>
  <c r="N2258" i="8"/>
  <c r="A2259" i="8"/>
  <c r="T2259" i="8" l="1"/>
  <c r="Q2259" i="8"/>
  <c r="N2259" i="8"/>
  <c r="A2260" i="8"/>
  <c r="T2260" i="8" l="1"/>
  <c r="Q2260" i="8"/>
  <c r="N2260" i="8"/>
  <c r="A2261" i="8"/>
  <c r="T2261" i="8" l="1"/>
  <c r="Q2261" i="8"/>
  <c r="N2261" i="8"/>
  <c r="A2262" i="8"/>
  <c r="T2262" i="8" l="1"/>
  <c r="Q2262" i="8"/>
  <c r="N2262" i="8"/>
  <c r="A2263" i="8"/>
  <c r="T2263" i="8" l="1"/>
  <c r="Q2263" i="8"/>
  <c r="N2263" i="8"/>
  <c r="A2264" i="8"/>
  <c r="T2264" i="8" l="1"/>
  <c r="Q2264" i="8"/>
  <c r="N2264" i="8"/>
  <c r="A2265" i="8"/>
  <c r="T2265" i="8" l="1"/>
  <c r="Q2265" i="8"/>
  <c r="N2265" i="8"/>
  <c r="A2266" i="8"/>
  <c r="T2266" i="8" l="1"/>
  <c r="Q2266" i="8"/>
  <c r="N2266" i="8"/>
  <c r="A2267" i="8"/>
  <c r="T2267" i="8" l="1"/>
  <c r="Q2267" i="8"/>
  <c r="N2267" i="8"/>
  <c r="A2268" i="8"/>
  <c r="T2268" i="8" l="1"/>
  <c r="Q2268" i="8"/>
  <c r="N2268" i="8"/>
  <c r="A2269" i="8"/>
  <c r="T2269" i="8" l="1"/>
  <c r="Q2269" i="8"/>
  <c r="N2269" i="8"/>
  <c r="A2270" i="8"/>
  <c r="T2270" i="8" l="1"/>
  <c r="Q2270" i="8"/>
  <c r="N2270" i="8"/>
  <c r="A2271" i="8"/>
  <c r="T2271" i="8" l="1"/>
  <c r="Q2271" i="8"/>
  <c r="N2271" i="8"/>
  <c r="A2272" i="8"/>
  <c r="T2272" i="8" l="1"/>
  <c r="Q2272" i="8"/>
  <c r="N2272" i="8"/>
  <c r="A2273" i="8"/>
  <c r="T2273" i="8" l="1"/>
  <c r="Q2273" i="8"/>
  <c r="N2273" i="8"/>
  <c r="A2274" i="8"/>
  <c r="T2274" i="8" l="1"/>
  <c r="Q2274" i="8"/>
  <c r="N2274" i="8"/>
  <c r="A2275" i="8"/>
  <c r="T2275" i="8" l="1"/>
  <c r="Q2275" i="8"/>
  <c r="N2275" i="8"/>
  <c r="A2276" i="8"/>
  <c r="T2276" i="8" l="1"/>
  <c r="Q2276" i="8"/>
  <c r="N2276" i="8"/>
  <c r="A2277" i="8"/>
  <c r="T2277" i="8" l="1"/>
  <c r="Q2277" i="8"/>
  <c r="N2277" i="8"/>
  <c r="A2278" i="8"/>
  <c r="T2278" i="8" l="1"/>
  <c r="Q2278" i="8"/>
  <c r="N2278" i="8"/>
  <c r="A2279" i="8"/>
  <c r="T2279" i="8" l="1"/>
  <c r="Q2279" i="8"/>
  <c r="N2279" i="8"/>
  <c r="A2280" i="8"/>
  <c r="T2280" i="8" l="1"/>
  <c r="Q2280" i="8"/>
  <c r="N2280" i="8"/>
  <c r="A2281" i="8"/>
  <c r="T2281" i="8" l="1"/>
  <c r="Q2281" i="8"/>
  <c r="N2281" i="8"/>
  <c r="A2282" i="8"/>
  <c r="T2282" i="8" l="1"/>
  <c r="Q2282" i="8"/>
  <c r="N2282" i="8"/>
  <c r="A2283" i="8"/>
  <c r="T2283" i="8" l="1"/>
  <c r="Q2283" i="8"/>
  <c r="N2283" i="8"/>
  <c r="A2284" i="8"/>
  <c r="T2284" i="8" l="1"/>
  <c r="Q2284" i="8"/>
  <c r="N2284" i="8"/>
  <c r="A2285" i="8"/>
  <c r="T2285" i="8" l="1"/>
  <c r="Q2285" i="8"/>
  <c r="N2285" i="8"/>
  <c r="A2286" i="8"/>
  <c r="T2286" i="8" l="1"/>
  <c r="Q2286" i="8"/>
  <c r="N2286" i="8"/>
  <c r="A2287" i="8"/>
  <c r="T2287" i="8" l="1"/>
  <c r="Q2287" i="8"/>
  <c r="N2287" i="8"/>
  <c r="A2288" i="8"/>
  <c r="T2288" i="8" l="1"/>
  <c r="Q2288" i="8"/>
  <c r="N2288" i="8"/>
  <c r="A2289" i="8"/>
  <c r="T2289" i="8" l="1"/>
  <c r="Q2289" i="8"/>
  <c r="N2289" i="8"/>
  <c r="A2290" i="8"/>
  <c r="T2290" i="8" l="1"/>
  <c r="Q2290" i="8"/>
  <c r="N2290" i="8"/>
  <c r="A2291" i="8"/>
  <c r="T2291" i="8" l="1"/>
  <c r="Q2291" i="8"/>
  <c r="N2291" i="8"/>
  <c r="A2292" i="8"/>
  <c r="T2292" i="8" l="1"/>
  <c r="Q2292" i="8"/>
  <c r="N2292" i="8"/>
  <c r="A2293" i="8"/>
  <c r="T2293" i="8" l="1"/>
  <c r="Q2293" i="8"/>
  <c r="N2293" i="8"/>
  <c r="A2294" i="8"/>
  <c r="T2294" i="8" l="1"/>
  <c r="Q2294" i="8"/>
  <c r="N2294" i="8"/>
  <c r="A2295" i="8"/>
  <c r="T2295" i="8" l="1"/>
  <c r="Q2295" i="8"/>
  <c r="N2295" i="8"/>
  <c r="A2296" i="8"/>
  <c r="T2296" i="8" l="1"/>
  <c r="Q2296" i="8"/>
  <c r="N2296" i="8"/>
  <c r="A2297" i="8"/>
  <c r="T2297" i="8" l="1"/>
  <c r="Q2297" i="8"/>
  <c r="N2297" i="8"/>
  <c r="A2298" i="8"/>
  <c r="T2298" i="8" l="1"/>
  <c r="Q2298" i="8"/>
  <c r="N2298" i="8"/>
  <c r="A2299" i="8"/>
  <c r="T2299" i="8" l="1"/>
  <c r="Q2299" i="8"/>
  <c r="N2299" i="8"/>
  <c r="A2300" i="8"/>
  <c r="T2300" i="8" l="1"/>
  <c r="Q2300" i="8"/>
  <c r="N2300" i="8"/>
  <c r="A2301" i="8"/>
  <c r="T2301" i="8" l="1"/>
  <c r="Q2301" i="8"/>
  <c r="N2301" i="8"/>
  <c r="A2302" i="8"/>
  <c r="T2302" i="8" l="1"/>
  <c r="Q2302" i="8"/>
  <c r="N2302" i="8"/>
  <c r="A2303" i="8"/>
  <c r="T2303" i="8" l="1"/>
  <c r="Q2303" i="8"/>
  <c r="N2303" i="8"/>
  <c r="A2304" i="8"/>
  <c r="T2304" i="8" l="1"/>
  <c r="Q2304" i="8"/>
  <c r="N2304" i="8"/>
  <c r="A2305" i="8"/>
  <c r="T2305" i="8" l="1"/>
  <c r="Q2305" i="8"/>
  <c r="N2305" i="8"/>
  <c r="A2306" i="8"/>
  <c r="T2306" i="8" l="1"/>
  <c r="Q2306" i="8"/>
  <c r="N2306" i="8"/>
  <c r="A2307" i="8"/>
  <c r="T2307" i="8" l="1"/>
  <c r="Q2307" i="8"/>
  <c r="N2307" i="8"/>
  <c r="A2308" i="8"/>
  <c r="T2308" i="8" l="1"/>
  <c r="Q2308" i="8"/>
  <c r="N2308" i="8"/>
  <c r="A2309" i="8"/>
  <c r="T2309" i="8" l="1"/>
  <c r="Q2309" i="8"/>
  <c r="N2309" i="8"/>
  <c r="A2310" i="8"/>
  <c r="T2310" i="8" l="1"/>
  <c r="Q2310" i="8"/>
  <c r="N2310" i="8"/>
  <c r="A2311" i="8"/>
  <c r="T2311" i="8" l="1"/>
  <c r="Q2311" i="8"/>
  <c r="N2311" i="8"/>
  <c r="A2312" i="8"/>
  <c r="T2312" i="8" l="1"/>
  <c r="Q2312" i="8"/>
  <c r="N2312" i="8"/>
  <c r="A2313" i="8"/>
  <c r="T2313" i="8" l="1"/>
  <c r="Q2313" i="8"/>
  <c r="N2313" i="8"/>
  <c r="A2314" i="8"/>
  <c r="T2314" i="8" l="1"/>
  <c r="Q2314" i="8"/>
  <c r="N2314" i="8"/>
  <c r="A2315" i="8"/>
  <c r="T2315" i="8" l="1"/>
  <c r="Q2315" i="8"/>
  <c r="N2315" i="8"/>
  <c r="A2316" i="8"/>
  <c r="T2316" i="8" l="1"/>
  <c r="Q2316" i="8"/>
  <c r="N2316" i="8"/>
  <c r="A2317" i="8"/>
  <c r="T2317" i="8" l="1"/>
  <c r="Q2317" i="8"/>
  <c r="N2317" i="8"/>
  <c r="A2318" i="8"/>
  <c r="T2318" i="8" l="1"/>
  <c r="Q2318" i="8"/>
  <c r="N2318" i="8"/>
  <c r="A2319" i="8"/>
  <c r="T2319" i="8" l="1"/>
  <c r="Q2319" i="8"/>
  <c r="N2319" i="8"/>
  <c r="A2320" i="8"/>
  <c r="T2320" i="8" l="1"/>
  <c r="Q2320" i="8"/>
  <c r="N2320" i="8"/>
  <c r="A2321" i="8"/>
  <c r="T2321" i="8" l="1"/>
  <c r="Q2321" i="8"/>
  <c r="N2321" i="8"/>
  <c r="A2322" i="8"/>
  <c r="T2322" i="8" l="1"/>
  <c r="Q2322" i="8"/>
  <c r="N2322" i="8"/>
  <c r="A2323" i="8"/>
  <c r="T2323" i="8" l="1"/>
  <c r="Q2323" i="8"/>
  <c r="N2323" i="8"/>
  <c r="A2324" i="8"/>
  <c r="T2324" i="8" l="1"/>
  <c r="Q2324" i="8"/>
  <c r="N2324" i="8"/>
  <c r="A2325" i="8"/>
  <c r="T2325" i="8" l="1"/>
  <c r="Q2325" i="8"/>
  <c r="N2325" i="8"/>
  <c r="A2326" i="8"/>
  <c r="T2326" i="8" l="1"/>
  <c r="Q2326" i="8"/>
  <c r="N2326" i="8"/>
  <c r="A2327" i="8"/>
  <c r="T2327" i="8" l="1"/>
  <c r="Q2327" i="8"/>
  <c r="N2327" i="8"/>
  <c r="A2328" i="8"/>
  <c r="T2328" i="8" l="1"/>
  <c r="Q2328" i="8"/>
  <c r="N2328" i="8"/>
  <c r="A2329" i="8"/>
  <c r="T2329" i="8" l="1"/>
  <c r="Q2329" i="8"/>
  <c r="N2329" i="8"/>
  <c r="A2330" i="8"/>
  <c r="T2330" i="8" l="1"/>
  <c r="Q2330" i="8"/>
  <c r="N2330" i="8"/>
  <c r="A2331" i="8"/>
  <c r="T2331" i="8" l="1"/>
  <c r="Q2331" i="8"/>
  <c r="N2331" i="8"/>
  <c r="A2332" i="8"/>
  <c r="T2332" i="8" l="1"/>
  <c r="Q2332" i="8"/>
  <c r="N2332" i="8"/>
  <c r="A2333" i="8"/>
  <c r="T2333" i="8" l="1"/>
  <c r="Q2333" i="8"/>
  <c r="N2333" i="8"/>
  <c r="A2334" i="8"/>
  <c r="T2334" i="8" l="1"/>
  <c r="Q2334" i="8"/>
  <c r="N2334" i="8"/>
  <c r="A2335" i="8"/>
  <c r="T2335" i="8" l="1"/>
  <c r="Q2335" i="8"/>
  <c r="N2335" i="8"/>
  <c r="A2336" i="8"/>
  <c r="T2336" i="8" l="1"/>
  <c r="Q2336" i="8"/>
  <c r="N2336" i="8"/>
  <c r="A2337" i="8"/>
  <c r="T2337" i="8" l="1"/>
  <c r="Q2337" i="8"/>
  <c r="N2337" i="8"/>
  <c r="A2338" i="8"/>
  <c r="T2338" i="8" l="1"/>
  <c r="Q2338" i="8"/>
  <c r="N2338" i="8"/>
  <c r="A2339" i="8"/>
  <c r="T2339" i="8" l="1"/>
  <c r="Q2339" i="8"/>
  <c r="N2339" i="8"/>
  <c r="A2340" i="8"/>
  <c r="T2340" i="8" l="1"/>
  <c r="Q2340" i="8"/>
  <c r="N2340" i="8"/>
  <c r="A2341" i="8"/>
  <c r="T2341" i="8" l="1"/>
  <c r="Q2341" i="8"/>
  <c r="N2341" i="8"/>
  <c r="A2342" i="8"/>
  <c r="T2342" i="8" l="1"/>
  <c r="Q2342" i="8"/>
  <c r="N2342" i="8"/>
  <c r="A2343" i="8"/>
  <c r="T2343" i="8" l="1"/>
  <c r="Q2343" i="8"/>
  <c r="N2343" i="8"/>
  <c r="A2344" i="8"/>
  <c r="T2344" i="8" l="1"/>
  <c r="Q2344" i="8"/>
  <c r="N2344" i="8"/>
  <c r="A2345" i="8"/>
  <c r="T2345" i="8" l="1"/>
  <c r="Q2345" i="8"/>
  <c r="N2345" i="8"/>
  <c r="A2346" i="8"/>
  <c r="T2346" i="8" l="1"/>
  <c r="Q2346" i="8"/>
  <c r="N2346" i="8"/>
  <c r="A2347" i="8"/>
  <c r="T2347" i="8" l="1"/>
  <c r="Q2347" i="8"/>
  <c r="N2347" i="8"/>
  <c r="A2348" i="8"/>
  <c r="T2348" i="8" l="1"/>
  <c r="Q2348" i="8"/>
  <c r="N2348" i="8"/>
  <c r="A2349" i="8"/>
  <c r="T2349" i="8" l="1"/>
  <c r="Q2349" i="8"/>
  <c r="N2349" i="8"/>
  <c r="A2350" i="8"/>
  <c r="T2350" i="8" l="1"/>
  <c r="Q2350" i="8"/>
  <c r="N2350" i="8"/>
  <c r="A2351" i="8"/>
  <c r="T2351" i="8" l="1"/>
  <c r="Q2351" i="8"/>
  <c r="N2351" i="8"/>
  <c r="A2352" i="8"/>
  <c r="T2352" i="8" l="1"/>
  <c r="Q2352" i="8"/>
  <c r="N2352" i="8"/>
  <c r="A2353" i="8"/>
  <c r="T2353" i="8" l="1"/>
  <c r="Q2353" i="8"/>
  <c r="N2353" i="8"/>
  <c r="A2354" i="8"/>
  <c r="T2354" i="8" l="1"/>
  <c r="Q2354" i="8"/>
  <c r="N2354" i="8"/>
  <c r="A2355" i="8"/>
  <c r="T2355" i="8" l="1"/>
  <c r="Q2355" i="8"/>
  <c r="N2355" i="8"/>
  <c r="A2356" i="8"/>
  <c r="T2356" i="8" l="1"/>
  <c r="Q2356" i="8"/>
  <c r="N2356" i="8"/>
  <c r="A2357" i="8"/>
  <c r="T2357" i="8" l="1"/>
  <c r="Q2357" i="8"/>
  <c r="N2357" i="8"/>
  <c r="A2358" i="8"/>
  <c r="T2358" i="8" l="1"/>
  <c r="Q2358" i="8"/>
  <c r="N2358" i="8"/>
  <c r="A2359" i="8"/>
  <c r="T2359" i="8" l="1"/>
  <c r="Q2359" i="8"/>
  <c r="N2359" i="8"/>
  <c r="A2360" i="8"/>
  <c r="T2360" i="8" l="1"/>
  <c r="Q2360" i="8"/>
  <c r="N2360" i="8"/>
  <c r="A2361" i="8"/>
  <c r="T2361" i="8" l="1"/>
  <c r="Q2361" i="8"/>
  <c r="N2361" i="8"/>
  <c r="A2362" i="8"/>
  <c r="T2362" i="8" l="1"/>
  <c r="Q2362" i="8"/>
  <c r="N2362" i="8"/>
  <c r="A2363" i="8"/>
  <c r="T2363" i="8" l="1"/>
  <c r="Q2363" i="8"/>
  <c r="N2363" i="8"/>
  <c r="A2364" i="8"/>
  <c r="T2364" i="8" l="1"/>
  <c r="Q2364" i="8"/>
  <c r="N2364" i="8"/>
  <c r="A2365" i="8"/>
  <c r="T2365" i="8" l="1"/>
  <c r="Q2365" i="8"/>
  <c r="N2365" i="8"/>
  <c r="A2366" i="8"/>
  <c r="T2366" i="8" l="1"/>
  <c r="Q2366" i="8"/>
  <c r="N2366" i="8"/>
  <c r="A2367" i="8"/>
  <c r="T2367" i="8" l="1"/>
  <c r="Q2367" i="8"/>
  <c r="N2367" i="8"/>
  <c r="A2368" i="8"/>
  <c r="T2368" i="8" l="1"/>
  <c r="Q2368" i="8"/>
  <c r="N2368" i="8"/>
  <c r="A2369" i="8"/>
  <c r="T2369" i="8" l="1"/>
  <c r="Q2369" i="8"/>
  <c r="N2369" i="8"/>
  <c r="A2370" i="8"/>
  <c r="T2370" i="8" l="1"/>
  <c r="Q2370" i="8"/>
  <c r="N2370" i="8"/>
  <c r="A2371" i="8"/>
  <c r="T2371" i="8" l="1"/>
  <c r="Q2371" i="8"/>
  <c r="N2371" i="8"/>
  <c r="A2372" i="8"/>
  <c r="T2372" i="8" l="1"/>
  <c r="Q2372" i="8"/>
  <c r="N2372" i="8"/>
  <c r="A2373" i="8"/>
  <c r="T2373" i="8" l="1"/>
  <c r="Q2373" i="8"/>
  <c r="N2373" i="8"/>
  <c r="A2374" i="8"/>
  <c r="T2374" i="8" l="1"/>
  <c r="Q2374" i="8"/>
  <c r="N2374" i="8"/>
  <c r="A2375" i="8"/>
  <c r="T2375" i="8" l="1"/>
  <c r="Q2375" i="8"/>
  <c r="N2375" i="8"/>
  <c r="A2376" i="8"/>
  <c r="T2376" i="8" l="1"/>
  <c r="Q2376" i="8"/>
  <c r="N2376" i="8"/>
  <c r="A2377" i="8"/>
  <c r="T2377" i="8" l="1"/>
  <c r="Q2377" i="8"/>
  <c r="N2377" i="8"/>
  <c r="A2378" i="8"/>
  <c r="T2378" i="8" l="1"/>
  <c r="Q2378" i="8"/>
  <c r="N2378" i="8"/>
  <c r="A2379" i="8"/>
  <c r="T2379" i="8" l="1"/>
  <c r="Q2379" i="8"/>
  <c r="N2379" i="8"/>
  <c r="A2380" i="8"/>
  <c r="T2380" i="8" l="1"/>
  <c r="Q2380" i="8"/>
  <c r="N2380" i="8"/>
  <c r="A2381" i="8"/>
  <c r="T2381" i="8" l="1"/>
  <c r="Q2381" i="8"/>
  <c r="N2381" i="8"/>
  <c r="A2382" i="8"/>
  <c r="T2382" i="8" l="1"/>
  <c r="Q2382" i="8"/>
  <c r="N2382" i="8"/>
  <c r="A2383" i="8"/>
  <c r="T2383" i="8" l="1"/>
  <c r="Q2383" i="8"/>
  <c r="N2383" i="8"/>
  <c r="A2384" i="8"/>
  <c r="T2384" i="8" l="1"/>
  <c r="Q2384" i="8"/>
  <c r="N2384" i="8"/>
  <c r="A2385" i="8"/>
  <c r="T2385" i="8" l="1"/>
  <c r="Q2385" i="8"/>
  <c r="N2385" i="8"/>
  <c r="A2386" i="8"/>
  <c r="T2386" i="8" l="1"/>
  <c r="Q2386" i="8"/>
  <c r="N2386" i="8"/>
  <c r="A2387" i="8"/>
  <c r="T2387" i="8" l="1"/>
  <c r="Q2387" i="8"/>
  <c r="N2387" i="8"/>
  <c r="A2388" i="8"/>
  <c r="T2388" i="8" l="1"/>
  <c r="Q2388" i="8"/>
  <c r="N2388" i="8"/>
  <c r="A2389" i="8"/>
  <c r="T2389" i="8" l="1"/>
  <c r="Q2389" i="8"/>
  <c r="N2389" i="8"/>
  <c r="A2390" i="8"/>
  <c r="T2390" i="8" l="1"/>
  <c r="Q2390" i="8"/>
  <c r="N2390" i="8"/>
  <c r="A2391" i="8"/>
  <c r="T2391" i="8" l="1"/>
  <c r="Q2391" i="8"/>
  <c r="N2391" i="8"/>
  <c r="A2392" i="8"/>
  <c r="T2392" i="8" l="1"/>
  <c r="Q2392" i="8"/>
  <c r="N2392" i="8"/>
  <c r="A2393" i="8"/>
  <c r="T2393" i="8" l="1"/>
  <c r="Q2393" i="8"/>
  <c r="N2393" i="8"/>
  <c r="A2394" i="8"/>
  <c r="T2394" i="8" l="1"/>
  <c r="Q2394" i="8"/>
  <c r="N2394" i="8"/>
  <c r="A2395" i="8"/>
  <c r="T2395" i="8" l="1"/>
  <c r="Q2395" i="8"/>
  <c r="N2395" i="8"/>
  <c r="A2396" i="8"/>
  <c r="T2396" i="8" l="1"/>
  <c r="Q2396" i="8"/>
  <c r="N2396" i="8"/>
  <c r="A2397" i="8"/>
  <c r="T2397" i="8" l="1"/>
  <c r="Q2397" i="8"/>
  <c r="N2397" i="8"/>
  <c r="A2398" i="8"/>
  <c r="T2398" i="8" l="1"/>
  <c r="Q2398" i="8"/>
  <c r="N2398" i="8"/>
  <c r="A2399" i="8"/>
  <c r="T2399" i="8" l="1"/>
  <c r="Q2399" i="8"/>
  <c r="N2399" i="8"/>
  <c r="A2400" i="8"/>
  <c r="T2400" i="8" l="1"/>
  <c r="Q2400" i="8"/>
  <c r="N2400" i="8"/>
  <c r="A2401" i="8"/>
  <c r="T2401" i="8" l="1"/>
  <c r="Q2401" i="8"/>
  <c r="N2401" i="8"/>
  <c r="A2402" i="8"/>
  <c r="T2402" i="8" l="1"/>
  <c r="Q2402" i="8"/>
  <c r="N2402" i="8"/>
  <c r="A2403" i="8"/>
  <c r="T2403" i="8" l="1"/>
  <c r="Q2403" i="8"/>
  <c r="N2403" i="8"/>
  <c r="A2404" i="8"/>
  <c r="T2404" i="8" l="1"/>
  <c r="Q2404" i="8"/>
  <c r="N2404" i="8"/>
  <c r="A2405" i="8"/>
  <c r="T2405" i="8" l="1"/>
  <c r="Q2405" i="8"/>
  <c r="N2405" i="8"/>
  <c r="A2406" i="8"/>
  <c r="T2406" i="8" l="1"/>
  <c r="Q2406" i="8"/>
  <c r="N2406" i="8"/>
  <c r="A2407" i="8"/>
  <c r="T2407" i="8" l="1"/>
  <c r="Q2407" i="8"/>
  <c r="N2407" i="8"/>
  <c r="A2408" i="8"/>
  <c r="T2408" i="8" l="1"/>
  <c r="Q2408" i="8"/>
  <c r="N2408" i="8"/>
  <c r="A2409" i="8"/>
  <c r="T2409" i="8" l="1"/>
  <c r="Q2409" i="8"/>
  <c r="N2409" i="8"/>
  <c r="A2410" i="8"/>
  <c r="T2410" i="8" l="1"/>
  <c r="Q2410" i="8"/>
  <c r="N2410" i="8"/>
  <c r="A2411" i="8"/>
  <c r="T2411" i="8" l="1"/>
  <c r="Q2411" i="8"/>
  <c r="N2411" i="8"/>
  <c r="A2412" i="8"/>
  <c r="T2412" i="8" l="1"/>
  <c r="Q2412" i="8"/>
  <c r="N2412" i="8"/>
  <c r="A2413" i="8"/>
  <c r="T2413" i="8" l="1"/>
  <c r="Q2413" i="8"/>
  <c r="N2413" i="8"/>
  <c r="A2414" i="8"/>
  <c r="T2414" i="8" l="1"/>
  <c r="Q2414" i="8"/>
  <c r="N2414" i="8"/>
  <c r="A2415" i="8"/>
  <c r="T2415" i="8" l="1"/>
  <c r="Q2415" i="8"/>
  <c r="N2415" i="8"/>
  <c r="A2416" i="8"/>
  <c r="T2416" i="8" l="1"/>
  <c r="Q2416" i="8"/>
  <c r="N2416" i="8"/>
  <c r="A2417" i="8"/>
  <c r="T2417" i="8" l="1"/>
  <c r="Q2417" i="8"/>
  <c r="N2417" i="8"/>
  <c r="A2418" i="8"/>
  <c r="T2418" i="8" l="1"/>
  <c r="Q2418" i="8"/>
  <c r="N2418" i="8"/>
  <c r="A2419" i="8"/>
  <c r="T2419" i="8" l="1"/>
  <c r="Q2419" i="8"/>
  <c r="N2419" i="8"/>
  <c r="A2420" i="8"/>
  <c r="T2420" i="8" l="1"/>
  <c r="Q2420" i="8"/>
  <c r="N2420" i="8"/>
  <c r="A2421" i="8"/>
  <c r="T2421" i="8" l="1"/>
  <c r="Q2421" i="8"/>
  <c r="N2421" i="8"/>
  <c r="A2422" i="8"/>
  <c r="T2422" i="8" l="1"/>
  <c r="Q2422" i="8"/>
  <c r="N2422" i="8"/>
  <c r="A2423" i="8"/>
  <c r="T2423" i="8" l="1"/>
  <c r="Q2423" i="8"/>
  <c r="N2423" i="8"/>
  <c r="A2424" i="8"/>
  <c r="T2424" i="8" l="1"/>
  <c r="Q2424" i="8"/>
  <c r="N2424" i="8"/>
  <c r="A2425" i="8"/>
  <c r="T2425" i="8" l="1"/>
  <c r="Q2425" i="8"/>
  <c r="N2425" i="8"/>
  <c r="A2426" i="8"/>
  <c r="T2426" i="8" l="1"/>
  <c r="Q2426" i="8"/>
  <c r="N2426" i="8"/>
  <c r="A2427" i="8"/>
  <c r="T2427" i="8" l="1"/>
  <c r="Q2427" i="8"/>
  <c r="N2427" i="8"/>
  <c r="A2428" i="8"/>
  <c r="T2428" i="8" l="1"/>
  <c r="Q2428" i="8"/>
  <c r="N2428" i="8"/>
  <c r="A2429" i="8"/>
  <c r="T2429" i="8" l="1"/>
  <c r="Q2429" i="8"/>
  <c r="N2429" i="8"/>
  <c r="A2430" i="8"/>
  <c r="T2430" i="8" l="1"/>
  <c r="Q2430" i="8"/>
  <c r="N2430" i="8"/>
  <c r="A2431" i="8"/>
  <c r="T2431" i="8" l="1"/>
  <c r="Q2431" i="8"/>
  <c r="N2431" i="8"/>
  <c r="A2432" i="8"/>
  <c r="T2432" i="8" l="1"/>
  <c r="Q2432" i="8"/>
  <c r="N2432" i="8"/>
  <c r="A2433" i="8"/>
  <c r="T2433" i="8" l="1"/>
  <c r="Q2433" i="8"/>
  <c r="N2433" i="8"/>
  <c r="A2434" i="8"/>
  <c r="T2434" i="8" l="1"/>
  <c r="Q2434" i="8"/>
  <c r="N2434" i="8"/>
  <c r="A2435" i="8"/>
  <c r="T2435" i="8" l="1"/>
  <c r="Q2435" i="8"/>
  <c r="N2435" i="8"/>
  <c r="A2436" i="8"/>
  <c r="T2436" i="8" l="1"/>
  <c r="Q2436" i="8"/>
  <c r="N2436" i="8"/>
  <c r="A2437" i="8"/>
  <c r="T2437" i="8" l="1"/>
  <c r="Q2437" i="8"/>
  <c r="N2437" i="8"/>
  <c r="A2438" i="8"/>
  <c r="T2438" i="8" l="1"/>
  <c r="Q2438" i="8"/>
  <c r="N2438" i="8"/>
  <c r="A2439" i="8"/>
  <c r="T2439" i="8" l="1"/>
  <c r="Q2439" i="8"/>
  <c r="N2439" i="8"/>
  <c r="A2440" i="8"/>
  <c r="T2440" i="8" l="1"/>
  <c r="Q2440" i="8"/>
  <c r="N2440" i="8"/>
  <c r="A2441" i="8"/>
  <c r="T2441" i="8" l="1"/>
  <c r="Q2441" i="8"/>
  <c r="N2441" i="8"/>
  <c r="A2442" i="8"/>
  <c r="T2442" i="8" l="1"/>
  <c r="Q2442" i="8"/>
  <c r="N2442" i="8"/>
  <c r="A2443" i="8"/>
  <c r="T2443" i="8" l="1"/>
  <c r="Q2443" i="8"/>
  <c r="N2443" i="8"/>
  <c r="A2444" i="8"/>
  <c r="T2444" i="8" l="1"/>
  <c r="Q2444" i="8"/>
  <c r="N2444" i="8"/>
  <c r="A2445" i="8"/>
  <c r="T2445" i="8" l="1"/>
  <c r="Q2445" i="8"/>
  <c r="N2445" i="8"/>
  <c r="A2446" i="8"/>
  <c r="T2446" i="8" l="1"/>
  <c r="Q2446" i="8"/>
  <c r="N2446" i="8"/>
  <c r="A2447" i="8"/>
  <c r="T2447" i="8" l="1"/>
  <c r="Q2447" i="8"/>
  <c r="N2447" i="8"/>
  <c r="A2448" i="8"/>
  <c r="T2448" i="8" l="1"/>
  <c r="Q2448" i="8"/>
  <c r="N2448" i="8"/>
  <c r="A2449" i="8"/>
  <c r="T2449" i="8" l="1"/>
  <c r="Q2449" i="8"/>
  <c r="N2449" i="8"/>
  <c r="A2450" i="8"/>
  <c r="T2450" i="8" l="1"/>
  <c r="Q2450" i="8"/>
  <c r="N2450" i="8"/>
  <c r="A2451" i="8"/>
  <c r="T2451" i="8" l="1"/>
  <c r="Q2451" i="8"/>
  <c r="N2451" i="8"/>
  <c r="A2452" i="8"/>
  <c r="T2452" i="8" l="1"/>
  <c r="Q2452" i="8"/>
  <c r="N2452" i="8"/>
  <c r="A2453" i="8"/>
  <c r="T2453" i="8" l="1"/>
  <c r="Q2453" i="8"/>
  <c r="N2453" i="8"/>
  <c r="A2454" i="8"/>
  <c r="T2454" i="8" l="1"/>
  <c r="Q2454" i="8"/>
  <c r="N2454" i="8"/>
  <c r="A2455" i="8"/>
  <c r="T2455" i="8" l="1"/>
  <c r="Q2455" i="8"/>
  <c r="N2455" i="8"/>
  <c r="A2456" i="8"/>
  <c r="T2456" i="8" l="1"/>
  <c r="Q2456" i="8"/>
  <c r="N2456" i="8"/>
  <c r="A2457" i="8"/>
  <c r="T2457" i="8" l="1"/>
  <c r="Q2457" i="8"/>
  <c r="N2457" i="8"/>
  <c r="A2458" i="8"/>
  <c r="T2458" i="8" l="1"/>
  <c r="Q2458" i="8"/>
  <c r="N2458" i="8"/>
  <c r="A2459" i="8"/>
  <c r="T2459" i="8" l="1"/>
  <c r="Q2459" i="8"/>
  <c r="N2459" i="8"/>
  <c r="A2460" i="8"/>
  <c r="T2460" i="8" l="1"/>
  <c r="Q2460" i="8"/>
  <c r="N2460" i="8"/>
  <c r="A2461" i="8"/>
  <c r="T2461" i="8" l="1"/>
  <c r="Q2461" i="8"/>
  <c r="N2461" i="8"/>
  <c r="A2462" i="8"/>
  <c r="T2462" i="8" l="1"/>
  <c r="Q2462" i="8"/>
  <c r="N2462" i="8"/>
  <c r="A2463" i="8"/>
  <c r="T2463" i="8" l="1"/>
  <c r="Q2463" i="8"/>
  <c r="N2463" i="8"/>
  <c r="A2464" i="8"/>
  <c r="T2464" i="8" l="1"/>
  <c r="Q2464" i="8"/>
  <c r="N2464" i="8"/>
  <c r="A2465" i="8"/>
  <c r="T2465" i="8" l="1"/>
  <c r="Q2465" i="8"/>
  <c r="N2465" i="8"/>
  <c r="A2466" i="8"/>
  <c r="T2466" i="8" l="1"/>
  <c r="Q2466" i="8"/>
  <c r="N2466" i="8"/>
  <c r="A2467" i="8"/>
  <c r="T2467" i="8" l="1"/>
  <c r="Q2467" i="8"/>
  <c r="N2467" i="8"/>
  <c r="A2468" i="8"/>
  <c r="T2468" i="8" l="1"/>
  <c r="Q2468" i="8"/>
  <c r="N2468" i="8"/>
  <c r="A2469" i="8"/>
  <c r="T2469" i="8" l="1"/>
  <c r="Q2469" i="8"/>
  <c r="N2469" i="8"/>
  <c r="A2470" i="8"/>
  <c r="T2470" i="8" l="1"/>
  <c r="Q2470" i="8"/>
  <c r="N2470" i="8"/>
  <c r="A2471" i="8"/>
  <c r="T2471" i="8" l="1"/>
  <c r="Q2471" i="8"/>
  <c r="N2471" i="8"/>
  <c r="A2472" i="8"/>
  <c r="T2472" i="8" l="1"/>
  <c r="Q2472" i="8"/>
  <c r="N2472" i="8"/>
  <c r="A2473" i="8"/>
  <c r="T2473" i="8" l="1"/>
  <c r="Q2473" i="8"/>
  <c r="N2473" i="8"/>
  <c r="A2474" i="8"/>
  <c r="T2474" i="8" l="1"/>
  <c r="Q2474" i="8"/>
  <c r="N2474" i="8"/>
  <c r="A2475" i="8"/>
  <c r="T2475" i="8" l="1"/>
  <c r="Q2475" i="8"/>
  <c r="N2475" i="8"/>
  <c r="A2476" i="8"/>
  <c r="T2476" i="8" l="1"/>
  <c r="Q2476" i="8"/>
  <c r="N2476" i="8"/>
  <c r="A2477" i="8"/>
  <c r="T2477" i="8" l="1"/>
  <c r="Q2477" i="8"/>
  <c r="N2477" i="8"/>
  <c r="A2478" i="8"/>
  <c r="T2478" i="8" l="1"/>
  <c r="Q2478" i="8"/>
  <c r="N2478" i="8"/>
  <c r="A2479" i="8"/>
  <c r="T2479" i="8" l="1"/>
  <c r="Q2479" i="8"/>
  <c r="N2479" i="8"/>
  <c r="A2480" i="8"/>
  <c r="T2480" i="8" l="1"/>
  <c r="Q2480" i="8"/>
  <c r="N2480" i="8"/>
  <c r="A2481" i="8"/>
  <c r="T2481" i="8" l="1"/>
  <c r="Q2481" i="8"/>
  <c r="N2481" i="8"/>
  <c r="A2482" i="8"/>
  <c r="T2482" i="8" l="1"/>
  <c r="Q2482" i="8"/>
  <c r="N2482" i="8"/>
  <c r="A2483" i="8"/>
  <c r="T2483" i="8" l="1"/>
  <c r="Q2483" i="8"/>
  <c r="N2483" i="8"/>
  <c r="A2484" i="8"/>
  <c r="T2484" i="8" l="1"/>
  <c r="Q2484" i="8"/>
  <c r="N2484" i="8"/>
  <c r="A2485" i="8"/>
  <c r="T2485" i="8" l="1"/>
  <c r="Q2485" i="8"/>
  <c r="N2485" i="8"/>
  <c r="A2486" i="8"/>
  <c r="T2486" i="8" l="1"/>
  <c r="Q2486" i="8"/>
  <c r="N2486" i="8"/>
  <c r="A2487" i="8"/>
  <c r="T2487" i="8" l="1"/>
  <c r="Q2487" i="8"/>
  <c r="N2487" i="8"/>
  <c r="A2488" i="8"/>
  <c r="T2488" i="8" l="1"/>
  <c r="Q2488" i="8"/>
  <c r="N2488" i="8"/>
  <c r="A2489" i="8"/>
  <c r="T2489" i="8" l="1"/>
  <c r="Q2489" i="8"/>
  <c r="N2489" i="8"/>
  <c r="A2490" i="8"/>
  <c r="T2490" i="8" l="1"/>
  <c r="Q2490" i="8"/>
  <c r="N2490" i="8"/>
  <c r="A2491" i="8"/>
  <c r="T2491" i="8" l="1"/>
  <c r="Q2491" i="8"/>
  <c r="N2491" i="8"/>
  <c r="A2492" i="8"/>
  <c r="T2492" i="8" l="1"/>
  <c r="Q2492" i="8"/>
  <c r="N2492" i="8"/>
  <c r="A2493" i="8"/>
  <c r="T2493" i="8" l="1"/>
  <c r="Q2493" i="8"/>
  <c r="N2493" i="8"/>
  <c r="A2494" i="8"/>
  <c r="T2494" i="8" l="1"/>
  <c r="Q2494" i="8"/>
  <c r="N2494" i="8"/>
  <c r="A2495" i="8"/>
  <c r="T2495" i="8" l="1"/>
  <c r="Q2495" i="8"/>
  <c r="N2495" i="8"/>
  <c r="A2496" i="8"/>
  <c r="T2496" i="8" l="1"/>
  <c r="Q2496" i="8"/>
  <c r="N2496" i="8"/>
  <c r="A2497" i="8"/>
  <c r="T2497" i="8" l="1"/>
  <c r="Q2497" i="8"/>
  <c r="N2497" i="8"/>
  <c r="A2498" i="8"/>
  <c r="T2498" i="8" l="1"/>
  <c r="Q2498" i="8"/>
  <c r="N2498" i="8"/>
  <c r="A2499" i="8"/>
  <c r="T2499" i="8" l="1"/>
  <c r="Q2499" i="8"/>
  <c r="N2499" i="8"/>
  <c r="A2500" i="8"/>
  <c r="T2500" i="8" l="1"/>
  <c r="Q2500" i="8"/>
  <c r="N2500" i="8"/>
  <c r="A2501" i="8"/>
  <c r="T2501" i="8" l="1"/>
  <c r="Q2501" i="8"/>
  <c r="N2501" i="8"/>
  <c r="A2502" i="8"/>
  <c r="T2502" i="8" l="1"/>
  <c r="Q2502" i="8"/>
  <c r="N2502" i="8"/>
  <c r="A2503" i="8"/>
  <c r="T2503" i="8" l="1"/>
  <c r="Q2503" i="8"/>
  <c r="N2503" i="8"/>
  <c r="A2504" i="8"/>
  <c r="T2504" i="8" l="1"/>
  <c r="Q2504" i="8"/>
  <c r="N2504" i="8"/>
  <c r="A2505" i="8"/>
  <c r="T2505" i="8" l="1"/>
  <c r="Q2505" i="8"/>
  <c r="N2505" i="8"/>
  <c r="A2506" i="8"/>
  <c r="T2506" i="8" l="1"/>
  <c r="Q2506" i="8"/>
  <c r="N2506" i="8"/>
  <c r="A2507" i="8"/>
  <c r="T2507" i="8" l="1"/>
  <c r="Q2507" i="8"/>
  <c r="N2507" i="8"/>
  <c r="A2508" i="8"/>
  <c r="T2508" i="8" l="1"/>
  <c r="Q2508" i="8"/>
  <c r="N2508" i="8"/>
  <c r="A2509" i="8"/>
  <c r="T2509" i="8" l="1"/>
  <c r="Q2509" i="8"/>
  <c r="N2509" i="8"/>
  <c r="A2510" i="8"/>
  <c r="T2510" i="8" l="1"/>
  <c r="Q2510" i="8"/>
  <c r="N2510" i="8"/>
  <c r="A2511" i="8"/>
  <c r="T2511" i="8" l="1"/>
  <c r="Q2511" i="8"/>
  <c r="N2511" i="8"/>
  <c r="A2512" i="8"/>
  <c r="T2512" i="8" l="1"/>
  <c r="Q2512" i="8"/>
  <c r="N2512" i="8"/>
  <c r="A2513" i="8"/>
  <c r="T2513" i="8" l="1"/>
  <c r="Q2513" i="8"/>
  <c r="N2513" i="8"/>
  <c r="A2514" i="8"/>
  <c r="T2514" i="8" l="1"/>
  <c r="Q2514" i="8"/>
  <c r="N2514" i="8"/>
  <c r="A2515" i="8"/>
  <c r="T2515" i="8" l="1"/>
  <c r="Q2515" i="8"/>
  <c r="N2515" i="8"/>
  <c r="A2516" i="8"/>
  <c r="T2516" i="8" l="1"/>
  <c r="Q2516" i="8"/>
  <c r="N2516" i="8"/>
  <c r="A2517" i="8"/>
  <c r="T2517" i="8" l="1"/>
  <c r="Q2517" i="8"/>
  <c r="N2517" i="8"/>
  <c r="A2518" i="8"/>
  <c r="T2518" i="8" l="1"/>
  <c r="Q2518" i="8"/>
  <c r="N2518" i="8"/>
  <c r="A2519" i="8"/>
  <c r="T2519" i="8" l="1"/>
  <c r="Q2519" i="8"/>
  <c r="N2519" i="8"/>
  <c r="A2520" i="8"/>
  <c r="T2520" i="8" l="1"/>
  <c r="Q2520" i="8"/>
  <c r="N2520" i="8"/>
  <c r="A2521" i="8"/>
  <c r="T2521" i="8" l="1"/>
  <c r="Q2521" i="8"/>
  <c r="N2521" i="8"/>
  <c r="A2522" i="8"/>
  <c r="T2522" i="8" l="1"/>
  <c r="Q2522" i="8"/>
  <c r="N2522" i="8"/>
  <c r="A2523" i="8"/>
  <c r="T2523" i="8" l="1"/>
  <c r="Q2523" i="8"/>
  <c r="N2523" i="8"/>
  <c r="A2524" i="8"/>
  <c r="T2524" i="8" l="1"/>
  <c r="Q2524" i="8"/>
  <c r="N2524" i="8"/>
  <c r="A2525" i="8"/>
  <c r="T2525" i="8" l="1"/>
  <c r="Q2525" i="8"/>
  <c r="N2525" i="8"/>
  <c r="A2526" i="8"/>
  <c r="T2526" i="8" l="1"/>
  <c r="Q2526" i="8"/>
  <c r="N2526" i="8"/>
  <c r="A2527" i="8"/>
  <c r="T2527" i="8" l="1"/>
  <c r="Q2527" i="8"/>
  <c r="N2527" i="8"/>
  <c r="A2528" i="8"/>
  <c r="T2528" i="8" l="1"/>
  <c r="Q2528" i="8"/>
  <c r="N2528" i="8"/>
  <c r="A2529" i="8"/>
  <c r="T2529" i="8" l="1"/>
  <c r="Q2529" i="8"/>
  <c r="N2529" i="8"/>
  <c r="A2530" i="8"/>
  <c r="T2530" i="8" l="1"/>
  <c r="Q2530" i="8"/>
  <c r="N2530" i="8"/>
  <c r="A2531" i="8"/>
  <c r="T2531" i="8" l="1"/>
  <c r="Q2531" i="8"/>
  <c r="N2531" i="8"/>
  <c r="A2532" i="8"/>
  <c r="T2532" i="8" l="1"/>
  <c r="Q2532" i="8"/>
  <c r="N2532" i="8"/>
  <c r="A2533" i="8"/>
  <c r="T2533" i="8" l="1"/>
  <c r="Q2533" i="8"/>
  <c r="N2533" i="8"/>
  <c r="A2534" i="8"/>
  <c r="T2534" i="8" l="1"/>
  <c r="Q2534" i="8"/>
  <c r="N2534" i="8"/>
  <c r="A2535" i="8"/>
  <c r="T2535" i="8" l="1"/>
  <c r="Q2535" i="8"/>
  <c r="N2535" i="8"/>
  <c r="A2536" i="8"/>
  <c r="T2536" i="8" l="1"/>
  <c r="Q2536" i="8"/>
  <c r="N2536" i="8"/>
  <c r="A2537" i="8"/>
  <c r="T2537" i="8" l="1"/>
  <c r="Q2537" i="8"/>
  <c r="N2537" i="8"/>
  <c r="A2538" i="8"/>
  <c r="T2538" i="8" l="1"/>
  <c r="Q2538" i="8"/>
  <c r="N2538" i="8"/>
  <c r="A2539" i="8"/>
  <c r="T2539" i="8" l="1"/>
  <c r="Q2539" i="8"/>
  <c r="N2539" i="8"/>
  <c r="A2540" i="8"/>
  <c r="T2540" i="8" l="1"/>
  <c r="Q2540" i="8"/>
  <c r="N2540" i="8"/>
  <c r="A2541" i="8"/>
  <c r="T2541" i="8" l="1"/>
  <c r="Q2541" i="8"/>
  <c r="N2541" i="8"/>
  <c r="A2542" i="8"/>
  <c r="T2542" i="8" l="1"/>
  <c r="Q2542" i="8"/>
  <c r="N2542" i="8"/>
  <c r="A2543" i="8"/>
  <c r="T2543" i="8" l="1"/>
  <c r="Q2543" i="8"/>
  <c r="N2543" i="8"/>
  <c r="A2544" i="8"/>
  <c r="T2544" i="8" l="1"/>
  <c r="Q2544" i="8"/>
  <c r="N2544" i="8"/>
  <c r="A2545" i="8"/>
  <c r="T2545" i="8" l="1"/>
  <c r="Q2545" i="8"/>
  <c r="N2545" i="8"/>
  <c r="A2546" i="8"/>
  <c r="T2546" i="8" l="1"/>
  <c r="Q2546" i="8"/>
  <c r="N2546" i="8"/>
  <c r="A2547" i="8"/>
  <c r="T2547" i="8" l="1"/>
  <c r="Q2547" i="8"/>
  <c r="N2547" i="8"/>
  <c r="A2548" i="8"/>
  <c r="T2548" i="8" l="1"/>
  <c r="Q2548" i="8"/>
  <c r="N2548" i="8"/>
  <c r="A2549" i="8"/>
  <c r="T2549" i="8" l="1"/>
  <c r="Q2549" i="8"/>
  <c r="N2549" i="8"/>
  <c r="A2550" i="8"/>
  <c r="T2550" i="8" l="1"/>
  <c r="Q2550" i="8"/>
  <c r="N2550" i="8"/>
  <c r="A2551" i="8"/>
  <c r="T2551" i="8" l="1"/>
  <c r="Q2551" i="8"/>
  <c r="N2551" i="8"/>
  <c r="A2552" i="8"/>
  <c r="T2552" i="8" l="1"/>
  <c r="Q2552" i="8"/>
  <c r="N2552" i="8"/>
  <c r="A2553" i="8"/>
  <c r="T2553" i="8" l="1"/>
  <c r="Q2553" i="8"/>
  <c r="N2553" i="8"/>
  <c r="A2554" i="8"/>
  <c r="T2554" i="8" l="1"/>
  <c r="Q2554" i="8"/>
  <c r="N2554" i="8"/>
  <c r="A2555" i="8"/>
  <c r="T2555" i="8" l="1"/>
  <c r="Q2555" i="8"/>
  <c r="N2555" i="8"/>
  <c r="A2556" i="8"/>
  <c r="T2556" i="8" l="1"/>
  <c r="Q2556" i="8"/>
  <c r="N2556" i="8"/>
  <c r="A2557" i="8"/>
  <c r="T2557" i="8" l="1"/>
  <c r="Q2557" i="8"/>
  <c r="N2557" i="8"/>
  <c r="A2558" i="8"/>
  <c r="T2558" i="8" l="1"/>
  <c r="Q2558" i="8"/>
  <c r="N2558" i="8"/>
  <c r="A2559" i="8"/>
  <c r="T2559" i="8" l="1"/>
  <c r="Q2559" i="8"/>
  <c r="N2559" i="8"/>
  <c r="A2560" i="8"/>
  <c r="T2560" i="8" l="1"/>
  <c r="Q2560" i="8"/>
  <c r="N2560" i="8"/>
  <c r="A2561" i="8"/>
  <c r="T2561" i="8" l="1"/>
  <c r="Q2561" i="8"/>
  <c r="N2561" i="8"/>
  <c r="A2562" i="8"/>
  <c r="T2562" i="8" l="1"/>
  <c r="Q2562" i="8"/>
  <c r="N2562" i="8"/>
  <c r="A2563" i="8"/>
  <c r="T2563" i="8" l="1"/>
  <c r="Q2563" i="8"/>
  <c r="N2563" i="8"/>
  <c r="A2564" i="8"/>
  <c r="T2564" i="8" l="1"/>
  <c r="Q2564" i="8"/>
  <c r="N2564" i="8"/>
  <c r="A2565" i="8"/>
  <c r="T2565" i="8" l="1"/>
  <c r="Q2565" i="8"/>
  <c r="N2565" i="8"/>
  <c r="A2566" i="8"/>
  <c r="T2566" i="8" l="1"/>
  <c r="Q2566" i="8"/>
  <c r="N2566" i="8"/>
  <c r="A2567" i="8"/>
  <c r="T2567" i="8" l="1"/>
  <c r="Q2567" i="8"/>
  <c r="N2567" i="8"/>
  <c r="A2568" i="8"/>
  <c r="T2568" i="8" l="1"/>
  <c r="Q2568" i="8"/>
  <c r="N2568" i="8"/>
  <c r="A2569" i="8"/>
  <c r="T2569" i="8" l="1"/>
  <c r="Q2569" i="8"/>
  <c r="N2569" i="8"/>
  <c r="A2570" i="8"/>
  <c r="T2570" i="8" l="1"/>
  <c r="Q2570" i="8"/>
  <c r="N2570" i="8"/>
  <c r="A2571" i="8"/>
  <c r="T2571" i="8" l="1"/>
  <c r="Q2571" i="8"/>
  <c r="N2571" i="8"/>
  <c r="A2572" i="8"/>
  <c r="T2572" i="8" l="1"/>
  <c r="Q2572" i="8"/>
  <c r="N2572" i="8"/>
  <c r="A2573" i="8"/>
  <c r="T2573" i="8" l="1"/>
  <c r="Q2573" i="8"/>
  <c r="N2573" i="8"/>
  <c r="A2574" i="8"/>
  <c r="T2574" i="8" l="1"/>
  <c r="Q2574" i="8"/>
  <c r="N2574" i="8"/>
  <c r="A2575" i="8"/>
  <c r="T2575" i="8" l="1"/>
  <c r="Q2575" i="8"/>
  <c r="N2575" i="8"/>
  <c r="A2576" i="8"/>
  <c r="T2576" i="8" l="1"/>
  <c r="Q2576" i="8"/>
  <c r="N2576" i="8"/>
  <c r="A2577" i="8"/>
  <c r="T2577" i="8" l="1"/>
  <c r="Q2577" i="8"/>
  <c r="N2577" i="8"/>
  <c r="A2578" i="8"/>
  <c r="T2578" i="8" l="1"/>
  <c r="Q2578" i="8"/>
  <c r="N2578" i="8"/>
  <c r="A2579" i="8"/>
  <c r="T2579" i="8" l="1"/>
  <c r="Q2579" i="8"/>
  <c r="N2579" i="8"/>
  <c r="A2580" i="8"/>
  <c r="T2580" i="8" l="1"/>
  <c r="Q2580" i="8"/>
  <c r="N2580" i="8"/>
  <c r="A2581" i="8"/>
  <c r="T2581" i="8" l="1"/>
  <c r="Q2581" i="8"/>
  <c r="N2581" i="8"/>
  <c r="A2582" i="8"/>
  <c r="T2582" i="8" l="1"/>
  <c r="Q2582" i="8"/>
  <c r="N2582" i="8"/>
  <c r="A2583" i="8"/>
  <c r="T2583" i="8" l="1"/>
  <c r="Q2583" i="8"/>
  <c r="N2583" i="8"/>
  <c r="A2584" i="8"/>
  <c r="T2584" i="8" l="1"/>
  <c r="Q2584" i="8"/>
  <c r="N2584" i="8"/>
  <c r="A2585" i="8"/>
  <c r="T2585" i="8" l="1"/>
  <c r="Q2585" i="8"/>
  <c r="N2585" i="8"/>
  <c r="A2586" i="8"/>
  <c r="T2586" i="8" l="1"/>
  <c r="Q2586" i="8"/>
  <c r="N2586" i="8"/>
  <c r="A2587" i="8"/>
  <c r="T2587" i="8" l="1"/>
  <c r="Q2587" i="8"/>
  <c r="N2587" i="8"/>
  <c r="A2588" i="8"/>
  <c r="T2588" i="8" l="1"/>
  <c r="Q2588" i="8"/>
  <c r="N2588" i="8"/>
  <c r="A2589" i="8"/>
  <c r="T2589" i="8" l="1"/>
  <c r="Q2589" i="8"/>
  <c r="N2589" i="8"/>
  <c r="A2590" i="8"/>
  <c r="T2590" i="8" l="1"/>
  <c r="Q2590" i="8"/>
  <c r="N2590" i="8"/>
  <c r="A2591" i="8"/>
  <c r="T2591" i="8" l="1"/>
  <c r="Q2591" i="8"/>
  <c r="N2591" i="8"/>
  <c r="A2592" i="8"/>
  <c r="T2592" i="8" l="1"/>
  <c r="Q2592" i="8"/>
  <c r="N2592" i="8"/>
  <c r="A2593" i="8"/>
  <c r="T2593" i="8" l="1"/>
  <c r="Q2593" i="8"/>
  <c r="N2593" i="8"/>
  <c r="A2594" i="8"/>
  <c r="T2594" i="8" l="1"/>
  <c r="Q2594" i="8"/>
  <c r="N2594" i="8"/>
  <c r="A2595" i="8"/>
  <c r="T2595" i="8" l="1"/>
  <c r="Q2595" i="8"/>
  <c r="N2595" i="8"/>
  <c r="A2596" i="8"/>
  <c r="T2596" i="8" l="1"/>
  <c r="Q2596" i="8"/>
  <c r="N2596" i="8"/>
  <c r="A2597" i="8"/>
  <c r="T2597" i="8" l="1"/>
  <c r="Q2597" i="8"/>
  <c r="N2597" i="8"/>
  <c r="A2598" i="8"/>
  <c r="T2598" i="8" l="1"/>
  <c r="Q2598" i="8"/>
  <c r="N2598" i="8"/>
  <c r="A2599" i="8"/>
  <c r="T2599" i="8" l="1"/>
  <c r="Q2599" i="8"/>
  <c r="N2599" i="8"/>
  <c r="A2600" i="8"/>
  <c r="T2600" i="8" l="1"/>
  <c r="Q2600" i="8"/>
  <c r="N2600" i="8"/>
  <c r="A2601" i="8"/>
  <c r="T2601" i="8" l="1"/>
  <c r="Q2601" i="8"/>
  <c r="N2601" i="8"/>
  <c r="A2602" i="8"/>
  <c r="T2602" i="8" l="1"/>
  <c r="Q2602" i="8"/>
  <c r="N2602" i="8"/>
  <c r="A2603" i="8"/>
  <c r="T2603" i="8" l="1"/>
  <c r="Q2603" i="8"/>
  <c r="N2603" i="8"/>
  <c r="A2604" i="8"/>
  <c r="T2604" i="8" l="1"/>
  <c r="Q2604" i="8"/>
  <c r="N2604" i="8"/>
  <c r="A2605" i="8"/>
  <c r="T2605" i="8" l="1"/>
  <c r="Q2605" i="8"/>
  <c r="N2605" i="8"/>
  <c r="A2606" i="8"/>
  <c r="T2606" i="8" l="1"/>
  <c r="Q2606" i="8"/>
  <c r="N2606" i="8"/>
  <c r="A2607" i="8"/>
  <c r="T2607" i="8" l="1"/>
  <c r="Q2607" i="8"/>
  <c r="N2607" i="8"/>
  <c r="A2608" i="8"/>
  <c r="T2608" i="8" l="1"/>
  <c r="Q2608" i="8"/>
  <c r="N2608" i="8"/>
  <c r="A2609" i="8"/>
  <c r="T2609" i="8" l="1"/>
  <c r="Q2609" i="8"/>
  <c r="N2609" i="8"/>
  <c r="A2610" i="8"/>
  <c r="T2610" i="8" l="1"/>
  <c r="Q2610" i="8"/>
  <c r="N2610" i="8"/>
  <c r="A2611" i="8"/>
  <c r="T2611" i="8" l="1"/>
  <c r="Q2611" i="8"/>
  <c r="N2611" i="8"/>
  <c r="A2612" i="8"/>
  <c r="T2612" i="8" l="1"/>
  <c r="Q2612" i="8"/>
  <c r="N2612" i="8"/>
  <c r="A2613" i="8"/>
  <c r="T2613" i="8" l="1"/>
  <c r="Q2613" i="8"/>
  <c r="N2613" i="8"/>
  <c r="A2614" i="8"/>
  <c r="T2614" i="8" l="1"/>
  <c r="Q2614" i="8"/>
  <c r="N2614" i="8"/>
  <c r="A2615" i="8"/>
  <c r="T2615" i="8" l="1"/>
  <c r="Q2615" i="8"/>
  <c r="N2615" i="8"/>
  <c r="A2616" i="8"/>
  <c r="T2616" i="8" l="1"/>
  <c r="Q2616" i="8"/>
  <c r="N2616" i="8"/>
  <c r="A2617" i="8"/>
  <c r="T2617" i="8" l="1"/>
  <c r="Q2617" i="8"/>
  <c r="N2617" i="8"/>
  <c r="A2618" i="8"/>
  <c r="T2618" i="8" l="1"/>
  <c r="Q2618" i="8"/>
  <c r="N2618" i="8"/>
  <c r="A2619" i="8"/>
  <c r="T2619" i="8" l="1"/>
  <c r="Q2619" i="8"/>
  <c r="N2619" i="8"/>
  <c r="A2620" i="8"/>
  <c r="T2620" i="8" l="1"/>
  <c r="Q2620" i="8"/>
  <c r="N2620" i="8"/>
  <c r="A2621" i="8"/>
  <c r="T2621" i="8" l="1"/>
  <c r="Q2621" i="8"/>
  <c r="N2621" i="8"/>
  <c r="A2622" i="8"/>
  <c r="T2622" i="8" l="1"/>
  <c r="Q2622" i="8"/>
  <c r="N2622" i="8"/>
  <c r="A2623" i="8"/>
  <c r="T2623" i="8" l="1"/>
  <c r="Q2623" i="8"/>
  <c r="N2623" i="8"/>
  <c r="A2624" i="8"/>
  <c r="T2624" i="8" l="1"/>
  <c r="Q2624" i="8"/>
  <c r="N2624" i="8"/>
  <c r="A2625" i="8"/>
  <c r="T2625" i="8" l="1"/>
  <c r="Q2625" i="8"/>
  <c r="N2625" i="8"/>
  <c r="A2626" i="8"/>
  <c r="T2626" i="8" l="1"/>
  <c r="Q2626" i="8"/>
  <c r="N2626" i="8"/>
  <c r="A2627" i="8"/>
  <c r="T2627" i="8" l="1"/>
  <c r="Q2627" i="8"/>
  <c r="N2627" i="8"/>
  <c r="A2628" i="8"/>
  <c r="T2628" i="8" l="1"/>
  <c r="Q2628" i="8"/>
  <c r="N2628" i="8"/>
  <c r="A2629" i="8"/>
  <c r="T2629" i="8" l="1"/>
  <c r="Q2629" i="8"/>
  <c r="N2629" i="8"/>
  <c r="A2630" i="8"/>
  <c r="T2630" i="8" l="1"/>
  <c r="Q2630" i="8"/>
  <c r="N2630" i="8"/>
  <c r="A2631" i="8"/>
  <c r="T2631" i="8" l="1"/>
  <c r="Q2631" i="8"/>
  <c r="N2631" i="8"/>
  <c r="A2632" i="8"/>
  <c r="T2632" i="8" l="1"/>
  <c r="Q2632" i="8"/>
  <c r="N2632" i="8"/>
  <c r="A2633" i="8"/>
  <c r="T2633" i="8" l="1"/>
  <c r="Q2633" i="8"/>
  <c r="N2633" i="8"/>
  <c r="A2634" i="8"/>
  <c r="T2634" i="8" l="1"/>
  <c r="Q2634" i="8"/>
  <c r="N2634" i="8"/>
  <c r="A2635" i="8"/>
  <c r="T2635" i="8" l="1"/>
  <c r="Q2635" i="8"/>
  <c r="N2635" i="8"/>
  <c r="A2636" i="8"/>
  <c r="T2636" i="8" l="1"/>
  <c r="Q2636" i="8"/>
  <c r="N2636" i="8"/>
  <c r="A2637" i="8"/>
  <c r="T2637" i="8" l="1"/>
  <c r="Q2637" i="8"/>
  <c r="N2637" i="8"/>
  <c r="A2638" i="8"/>
  <c r="T2638" i="8" l="1"/>
  <c r="Q2638" i="8"/>
  <c r="N2638" i="8"/>
  <c r="A2639" i="8"/>
  <c r="T2639" i="8" l="1"/>
  <c r="Q2639" i="8"/>
  <c r="N2639" i="8"/>
  <c r="A2640" i="8"/>
  <c r="T2640" i="8" l="1"/>
  <c r="Q2640" i="8"/>
  <c r="N2640" i="8"/>
  <c r="A2641" i="8"/>
  <c r="T2641" i="8" l="1"/>
  <c r="Q2641" i="8"/>
  <c r="N2641" i="8"/>
  <c r="A2642" i="8"/>
  <c r="T2642" i="8" l="1"/>
  <c r="Q2642" i="8"/>
  <c r="N2642" i="8"/>
  <c r="A2643" i="8"/>
  <c r="T2643" i="8" l="1"/>
  <c r="Q2643" i="8"/>
  <c r="N2643" i="8"/>
  <c r="A2644" i="8"/>
  <c r="T2644" i="8" l="1"/>
  <c r="Q2644" i="8"/>
  <c r="N2644" i="8"/>
  <c r="A2645" i="8"/>
  <c r="T2645" i="8" l="1"/>
  <c r="Q2645" i="8"/>
  <c r="N2645" i="8"/>
  <c r="A2646" i="8"/>
  <c r="T2646" i="8" l="1"/>
  <c r="Q2646" i="8"/>
  <c r="N2646" i="8"/>
  <c r="A2647" i="8"/>
  <c r="T2647" i="8" l="1"/>
  <c r="Q2647" i="8"/>
  <c r="N2647" i="8"/>
  <c r="A2648" i="8"/>
  <c r="T2648" i="8" l="1"/>
  <c r="Q2648" i="8"/>
  <c r="N2648" i="8"/>
  <c r="A2649" i="8"/>
  <c r="T2649" i="8" l="1"/>
  <c r="Q2649" i="8"/>
  <c r="N2649" i="8"/>
  <c r="A2650" i="8"/>
  <c r="T2650" i="8" l="1"/>
  <c r="Q2650" i="8"/>
  <c r="N2650" i="8"/>
  <c r="A2651" i="8"/>
  <c r="T2651" i="8" l="1"/>
  <c r="Q2651" i="8"/>
  <c r="N2651" i="8"/>
  <c r="A2652" i="8"/>
  <c r="T2652" i="8" l="1"/>
  <c r="Q2652" i="8"/>
  <c r="N2652" i="8"/>
  <c r="A2653" i="8"/>
  <c r="T2653" i="8" l="1"/>
  <c r="Q2653" i="8"/>
  <c r="N2653" i="8"/>
  <c r="A2654" i="8"/>
  <c r="T2654" i="8" l="1"/>
  <c r="Q2654" i="8"/>
  <c r="N2654" i="8"/>
  <c r="A2655" i="8"/>
  <c r="T2655" i="8" l="1"/>
  <c r="Q2655" i="8"/>
  <c r="N2655" i="8"/>
  <c r="A2656" i="8"/>
  <c r="T2656" i="8" l="1"/>
  <c r="Q2656" i="8"/>
  <c r="N2656" i="8"/>
  <c r="A2657" i="8"/>
  <c r="T2657" i="8" l="1"/>
  <c r="Q2657" i="8"/>
  <c r="N2657" i="8"/>
  <c r="A2658" i="8"/>
  <c r="T2658" i="8" l="1"/>
  <c r="Q2658" i="8"/>
  <c r="N2658" i="8"/>
  <c r="A2659" i="8"/>
  <c r="T2659" i="8" l="1"/>
  <c r="Q2659" i="8"/>
  <c r="N2659" i="8"/>
  <c r="A2660" i="8"/>
  <c r="T2660" i="8" l="1"/>
  <c r="Q2660" i="8"/>
  <c r="N2660" i="8"/>
  <c r="A2661" i="8"/>
  <c r="T2661" i="8" l="1"/>
  <c r="Q2661" i="8"/>
  <c r="N2661" i="8"/>
  <c r="A2662" i="8"/>
  <c r="T2662" i="8" l="1"/>
  <c r="Q2662" i="8"/>
  <c r="N2662" i="8"/>
  <c r="A2663" i="8"/>
  <c r="T2663" i="8" l="1"/>
  <c r="Q2663" i="8"/>
  <c r="N2663" i="8"/>
  <c r="A2664" i="8"/>
  <c r="T2664" i="8" l="1"/>
  <c r="Q2664" i="8"/>
  <c r="N2664" i="8"/>
  <c r="A2665" i="8"/>
  <c r="T2665" i="8" l="1"/>
  <c r="Q2665" i="8"/>
  <c r="N2665" i="8"/>
  <c r="A2666" i="8"/>
  <c r="T2666" i="8" l="1"/>
  <c r="Q2666" i="8"/>
  <c r="N2666" i="8"/>
  <c r="A2667" i="8"/>
  <c r="T2667" i="8" l="1"/>
  <c r="Q2667" i="8"/>
  <c r="N2667" i="8"/>
  <c r="A2668" i="8"/>
  <c r="T2668" i="8" l="1"/>
  <c r="Q2668" i="8"/>
  <c r="N2668" i="8"/>
  <c r="A2669" i="8"/>
  <c r="T2669" i="8" l="1"/>
  <c r="Q2669" i="8"/>
  <c r="N2669" i="8"/>
  <c r="A2670" i="8"/>
  <c r="T2670" i="8" l="1"/>
  <c r="Q2670" i="8"/>
  <c r="N2670" i="8"/>
  <c r="A2671" i="8"/>
  <c r="T2671" i="8" l="1"/>
  <c r="Q2671" i="8"/>
  <c r="N2671" i="8"/>
  <c r="A2672" i="8"/>
  <c r="T2672" i="8" l="1"/>
  <c r="Q2672" i="8"/>
  <c r="N2672" i="8"/>
  <c r="A2673" i="8"/>
  <c r="T2673" i="8" l="1"/>
  <c r="Q2673" i="8"/>
  <c r="N2673" i="8"/>
  <c r="A2674" i="8"/>
  <c r="T2674" i="8" l="1"/>
  <c r="Q2674" i="8"/>
  <c r="N2674" i="8"/>
  <c r="A2675" i="8"/>
  <c r="T2675" i="8" l="1"/>
  <c r="Q2675" i="8"/>
  <c r="N2675" i="8"/>
  <c r="A2676" i="8"/>
  <c r="T2676" i="8" l="1"/>
  <c r="Q2676" i="8"/>
  <c r="N2676" i="8"/>
  <c r="A2677" i="8"/>
  <c r="T2677" i="8" l="1"/>
  <c r="Q2677" i="8"/>
  <c r="N2677" i="8"/>
  <c r="A2678" i="8"/>
  <c r="T2678" i="8" l="1"/>
  <c r="Q2678" i="8"/>
  <c r="N2678" i="8"/>
  <c r="A2679" i="8"/>
  <c r="T2679" i="8" l="1"/>
  <c r="Q2679" i="8"/>
  <c r="N2679" i="8"/>
  <c r="A2680" i="8"/>
  <c r="T2680" i="8" l="1"/>
  <c r="Q2680" i="8"/>
  <c r="N2680" i="8"/>
  <c r="A2681" i="8"/>
  <c r="T2681" i="8" l="1"/>
  <c r="Q2681" i="8"/>
  <c r="N2681" i="8"/>
  <c r="A2682" i="8"/>
  <c r="T2682" i="8" l="1"/>
  <c r="Q2682" i="8"/>
  <c r="N2682" i="8"/>
  <c r="A2683" i="8"/>
  <c r="T2683" i="8" l="1"/>
  <c r="Q2683" i="8"/>
  <c r="N2683" i="8"/>
  <c r="A2684" i="8"/>
  <c r="T2684" i="8" l="1"/>
  <c r="Q2684" i="8"/>
  <c r="N2684" i="8"/>
  <c r="A2685" i="8"/>
  <c r="T2685" i="8" l="1"/>
  <c r="Q2685" i="8"/>
  <c r="N2685" i="8"/>
  <c r="A2686" i="8"/>
  <c r="T2686" i="8" l="1"/>
  <c r="Q2686" i="8"/>
  <c r="N2686" i="8"/>
  <c r="A2687" i="8"/>
  <c r="T2687" i="8" l="1"/>
  <c r="Q2687" i="8"/>
  <c r="N2687" i="8"/>
  <c r="A2688" i="8"/>
  <c r="T2688" i="8" l="1"/>
  <c r="Q2688" i="8"/>
  <c r="N2688" i="8"/>
  <c r="A2689" i="8"/>
  <c r="T2689" i="8" l="1"/>
  <c r="Q2689" i="8"/>
  <c r="N2689" i="8"/>
  <c r="A2690" i="8"/>
  <c r="T2690" i="8" l="1"/>
  <c r="Q2690" i="8"/>
  <c r="N2690" i="8"/>
  <c r="A2691" i="8"/>
  <c r="T2691" i="8" l="1"/>
  <c r="Q2691" i="8"/>
  <c r="N2691" i="8"/>
  <c r="A2692" i="8"/>
  <c r="T2692" i="8" l="1"/>
  <c r="Q2692" i="8"/>
  <c r="N2692" i="8"/>
  <c r="A2693" i="8"/>
  <c r="T2693" i="8" l="1"/>
  <c r="Q2693" i="8"/>
  <c r="N2693" i="8"/>
  <c r="A2694" i="8"/>
  <c r="T2694" i="8" l="1"/>
  <c r="Q2694" i="8"/>
  <c r="N2694" i="8"/>
  <c r="A2695" i="8"/>
  <c r="T2695" i="8" l="1"/>
  <c r="Q2695" i="8"/>
  <c r="N2695" i="8"/>
  <c r="A2696" i="8"/>
  <c r="T2696" i="8" l="1"/>
  <c r="Q2696" i="8"/>
  <c r="N2696" i="8"/>
  <c r="A2697" i="8"/>
  <c r="T2697" i="8" l="1"/>
  <c r="Q2697" i="8"/>
  <c r="N2697" i="8"/>
  <c r="A2698" i="8"/>
  <c r="T2698" i="8" l="1"/>
  <c r="Q2698" i="8"/>
  <c r="N2698" i="8"/>
  <c r="A2699" i="8"/>
  <c r="T2699" i="8" l="1"/>
  <c r="Q2699" i="8"/>
  <c r="N2699" i="8"/>
  <c r="A2700" i="8"/>
  <c r="T2700" i="8" l="1"/>
  <c r="Q2700" i="8"/>
  <c r="N2700" i="8"/>
  <c r="A2701" i="8"/>
  <c r="T2701" i="8" l="1"/>
  <c r="Q2701" i="8"/>
  <c r="N2701" i="8"/>
  <c r="A2702" i="8"/>
  <c r="T2702" i="8" l="1"/>
  <c r="Q2702" i="8"/>
  <c r="N2702" i="8"/>
  <c r="A2703" i="8"/>
  <c r="T2703" i="8" l="1"/>
  <c r="Q2703" i="8"/>
  <c r="N2703" i="8"/>
  <c r="A2704" i="8"/>
  <c r="T2704" i="8" l="1"/>
  <c r="Q2704" i="8"/>
  <c r="N2704" i="8"/>
  <c r="A2705" i="8"/>
  <c r="T2705" i="8" l="1"/>
  <c r="Q2705" i="8"/>
  <c r="N2705" i="8"/>
  <c r="A2706" i="8"/>
  <c r="T2706" i="8" l="1"/>
  <c r="Q2706" i="8"/>
  <c r="N2706" i="8"/>
  <c r="A2707" i="8"/>
  <c r="T2707" i="8" l="1"/>
  <c r="Q2707" i="8"/>
  <c r="N2707" i="8"/>
  <c r="A2708" i="8"/>
  <c r="T2708" i="8" l="1"/>
  <c r="Q2708" i="8"/>
  <c r="N2708" i="8"/>
  <c r="A2709" i="8"/>
  <c r="T2709" i="8" l="1"/>
  <c r="Q2709" i="8"/>
  <c r="N2709" i="8"/>
  <c r="A2710" i="8"/>
  <c r="T2710" i="8" l="1"/>
  <c r="Q2710" i="8"/>
  <c r="N2710" i="8"/>
  <c r="A2711" i="8"/>
  <c r="T2711" i="8" l="1"/>
  <c r="Q2711" i="8"/>
  <c r="N2711" i="8"/>
  <c r="A2712" i="8"/>
  <c r="T2712" i="8" l="1"/>
  <c r="Q2712" i="8"/>
  <c r="N2712" i="8"/>
  <c r="A2713" i="8"/>
  <c r="T2713" i="8" l="1"/>
  <c r="Q2713" i="8"/>
  <c r="N2713" i="8"/>
  <c r="A2714" i="8"/>
  <c r="T2714" i="8" l="1"/>
  <c r="Q2714" i="8"/>
  <c r="N2714" i="8"/>
  <c r="A2715" i="8"/>
  <c r="T2715" i="8" l="1"/>
  <c r="Q2715" i="8"/>
  <c r="N2715" i="8"/>
  <c r="A2716" i="8"/>
  <c r="T2716" i="8" l="1"/>
  <c r="Q2716" i="8"/>
  <c r="N2716" i="8"/>
  <c r="A2717" i="8"/>
  <c r="T2717" i="8" l="1"/>
  <c r="Q2717" i="8"/>
  <c r="N2717" i="8"/>
  <c r="A2718" i="8"/>
  <c r="T2718" i="8" l="1"/>
  <c r="Q2718" i="8"/>
  <c r="N2718" i="8"/>
  <c r="A2719" i="8"/>
  <c r="T2719" i="8" l="1"/>
  <c r="Q2719" i="8"/>
  <c r="N2719" i="8"/>
  <c r="A2720" i="8"/>
  <c r="T2720" i="8" l="1"/>
  <c r="Q2720" i="8"/>
  <c r="N2720" i="8"/>
  <c r="A2721" i="8"/>
  <c r="T2721" i="8" l="1"/>
  <c r="Q2721" i="8"/>
  <c r="N2721" i="8"/>
  <c r="A2722" i="8"/>
  <c r="T2722" i="8" l="1"/>
  <c r="Q2722" i="8"/>
  <c r="N2722" i="8"/>
  <c r="A2723" i="8"/>
  <c r="T2723" i="8" l="1"/>
  <c r="Q2723" i="8"/>
  <c r="N2723" i="8"/>
  <c r="A2724" i="8"/>
  <c r="T2724" i="8" l="1"/>
  <c r="Q2724" i="8"/>
  <c r="N2724" i="8"/>
  <c r="A2725" i="8"/>
  <c r="T2725" i="8" l="1"/>
  <c r="Q2725" i="8"/>
  <c r="N2725" i="8"/>
  <c r="A2726" i="8"/>
  <c r="T2726" i="8" l="1"/>
  <c r="Q2726" i="8"/>
  <c r="N2726" i="8"/>
  <c r="A2727" i="8"/>
  <c r="T2727" i="8" l="1"/>
  <c r="Q2727" i="8"/>
  <c r="N2727" i="8"/>
  <c r="A2728" i="8"/>
  <c r="T2728" i="8" l="1"/>
  <c r="Q2728" i="8"/>
  <c r="N2728" i="8"/>
  <c r="A2729" i="8"/>
  <c r="T2729" i="8" l="1"/>
  <c r="Q2729" i="8"/>
  <c r="N2729" i="8"/>
  <c r="A2730" i="8"/>
  <c r="T2730" i="8" l="1"/>
  <c r="Q2730" i="8"/>
  <c r="N2730" i="8"/>
  <c r="A2731" i="8"/>
  <c r="T2731" i="8" l="1"/>
  <c r="Q2731" i="8"/>
  <c r="N2731" i="8"/>
  <c r="A2732" i="8"/>
  <c r="T2732" i="8" l="1"/>
  <c r="Q2732" i="8"/>
  <c r="N2732" i="8"/>
  <c r="A2733" i="8"/>
  <c r="T2733" i="8" l="1"/>
  <c r="Q2733" i="8"/>
  <c r="N2733" i="8"/>
  <c r="A2734" i="8"/>
  <c r="T2734" i="8" l="1"/>
  <c r="Q2734" i="8"/>
  <c r="N2734" i="8"/>
  <c r="A2735" i="8"/>
  <c r="T2735" i="8" l="1"/>
  <c r="Q2735" i="8"/>
  <c r="N2735" i="8"/>
  <c r="A2736" i="8"/>
  <c r="T2736" i="8" l="1"/>
  <c r="Q2736" i="8"/>
  <c r="N2736" i="8"/>
  <c r="A2737" i="8"/>
  <c r="T2737" i="8" l="1"/>
  <c r="Q2737" i="8"/>
  <c r="N2737" i="8"/>
  <c r="A2738" i="8"/>
  <c r="T2738" i="8" l="1"/>
  <c r="Q2738" i="8"/>
  <c r="N2738" i="8"/>
  <c r="A2739" i="8"/>
  <c r="T2739" i="8" l="1"/>
  <c r="Q2739" i="8"/>
  <c r="N2739" i="8"/>
  <c r="A2740" i="8"/>
  <c r="T2740" i="8" l="1"/>
  <c r="Q2740" i="8"/>
  <c r="N2740" i="8"/>
  <c r="A2741" i="8"/>
  <c r="T2741" i="8" l="1"/>
  <c r="Q2741" i="8"/>
  <c r="N2741" i="8"/>
  <c r="A2742" i="8"/>
  <c r="T2742" i="8" l="1"/>
  <c r="Q2742" i="8"/>
  <c r="N2742" i="8"/>
  <c r="A2743" i="8"/>
  <c r="T2743" i="8" l="1"/>
  <c r="Q2743" i="8"/>
  <c r="N2743" i="8"/>
  <c r="A2744" i="8"/>
  <c r="T2744" i="8" l="1"/>
  <c r="Q2744" i="8"/>
  <c r="N2744" i="8"/>
  <c r="A2745" i="8"/>
  <c r="T2745" i="8" l="1"/>
  <c r="Q2745" i="8"/>
  <c r="N2745" i="8"/>
  <c r="A2746" i="8"/>
  <c r="T2746" i="8" l="1"/>
  <c r="Q2746" i="8"/>
  <c r="N2746" i="8"/>
  <c r="A2747" i="8"/>
  <c r="T2747" i="8" l="1"/>
  <c r="Q2747" i="8"/>
  <c r="N2747" i="8"/>
  <c r="A2748" i="8"/>
  <c r="T2748" i="8" l="1"/>
  <c r="Q2748" i="8"/>
  <c r="N2748" i="8"/>
  <c r="A2749" i="8"/>
  <c r="T2749" i="8" l="1"/>
  <c r="Q2749" i="8"/>
  <c r="N2749" i="8"/>
  <c r="A2750" i="8"/>
  <c r="T2750" i="8" l="1"/>
  <c r="Q2750" i="8"/>
  <c r="N2750" i="8"/>
  <c r="A2751" i="8"/>
  <c r="T2751" i="8" l="1"/>
  <c r="Q2751" i="8"/>
  <c r="N2751" i="8"/>
  <c r="A2752" i="8"/>
  <c r="T2752" i="8" l="1"/>
  <c r="Q2752" i="8"/>
  <c r="N2752" i="8"/>
  <c r="A2753" i="8"/>
  <c r="T2753" i="8" l="1"/>
  <c r="Q2753" i="8"/>
  <c r="N2753" i="8"/>
  <c r="A2754" i="8"/>
  <c r="T2754" i="8" l="1"/>
  <c r="Q2754" i="8"/>
  <c r="N2754" i="8"/>
  <c r="A2755" i="8"/>
  <c r="T2755" i="8" l="1"/>
  <c r="Q2755" i="8"/>
  <c r="N2755" i="8"/>
  <c r="A2756" i="8"/>
  <c r="T2756" i="8" l="1"/>
  <c r="Q2756" i="8"/>
  <c r="N2756" i="8"/>
  <c r="A2757" i="8"/>
  <c r="T2757" i="8" l="1"/>
  <c r="Q2757" i="8"/>
  <c r="N2757" i="8"/>
  <c r="A2758" i="8"/>
  <c r="T2758" i="8" l="1"/>
  <c r="Q2758" i="8"/>
  <c r="N2758" i="8"/>
  <c r="A2759" i="8"/>
  <c r="T2759" i="8" l="1"/>
  <c r="Q2759" i="8"/>
  <c r="N2759" i="8"/>
  <c r="A2760" i="8"/>
  <c r="T2760" i="8" l="1"/>
  <c r="Q2760" i="8"/>
  <c r="N2760" i="8"/>
  <c r="A2761" i="8"/>
  <c r="T2761" i="8" l="1"/>
  <c r="Q2761" i="8"/>
  <c r="N2761" i="8"/>
  <c r="A2762" i="8"/>
  <c r="T2762" i="8" l="1"/>
  <c r="Q2762" i="8"/>
  <c r="N2762" i="8"/>
  <c r="A2763" i="8"/>
  <c r="T2763" i="8" l="1"/>
  <c r="Q2763" i="8"/>
  <c r="N2763" i="8"/>
  <c r="A2764" i="8"/>
  <c r="T2764" i="8" l="1"/>
  <c r="Q2764" i="8"/>
  <c r="N2764" i="8"/>
  <c r="A2765" i="8"/>
  <c r="T2765" i="8" l="1"/>
  <c r="Q2765" i="8"/>
  <c r="N2765" i="8"/>
  <c r="A2766" i="8"/>
  <c r="T2766" i="8" l="1"/>
  <c r="Q2766" i="8"/>
  <c r="N2766" i="8"/>
  <c r="A2767" i="8"/>
  <c r="T2767" i="8" l="1"/>
  <c r="Q2767" i="8"/>
  <c r="N2767" i="8"/>
  <c r="A2768" i="8"/>
  <c r="T2768" i="8" l="1"/>
  <c r="Q2768" i="8"/>
  <c r="N2768" i="8"/>
  <c r="A2769" i="8"/>
  <c r="T2769" i="8" l="1"/>
  <c r="Q2769" i="8"/>
  <c r="N2769" i="8"/>
  <c r="A2770" i="8"/>
  <c r="T2770" i="8" l="1"/>
  <c r="Q2770" i="8"/>
  <c r="N2770" i="8"/>
  <c r="A2771" i="8"/>
  <c r="T2771" i="8" l="1"/>
  <c r="Q2771" i="8"/>
  <c r="N2771" i="8"/>
  <c r="A2772" i="8"/>
  <c r="T2772" i="8" l="1"/>
  <c r="Q2772" i="8"/>
  <c r="N2772" i="8"/>
  <c r="A2773" i="8"/>
  <c r="T2773" i="8" l="1"/>
  <c r="Q2773" i="8"/>
  <c r="N2773" i="8"/>
  <c r="A2774" i="8"/>
  <c r="T2774" i="8" l="1"/>
  <c r="Q2774" i="8"/>
  <c r="N2774" i="8"/>
  <c r="A2775" i="8"/>
  <c r="T2775" i="8" l="1"/>
  <c r="Q2775" i="8"/>
  <c r="N2775" i="8"/>
  <c r="A2776" i="8"/>
  <c r="T2776" i="8" l="1"/>
  <c r="Q2776" i="8"/>
  <c r="N2776" i="8"/>
  <c r="A2777" i="8"/>
  <c r="T2777" i="8" l="1"/>
  <c r="Q2777" i="8"/>
  <c r="N2777" i="8"/>
  <c r="A2778" i="8"/>
  <c r="T2778" i="8" l="1"/>
  <c r="Q2778" i="8"/>
  <c r="N2778" i="8"/>
  <c r="A2779" i="8"/>
  <c r="T2779" i="8" l="1"/>
  <c r="Q2779" i="8"/>
  <c r="N2779" i="8"/>
  <c r="A2780" i="8"/>
  <c r="T2780" i="8" l="1"/>
  <c r="Q2780" i="8"/>
  <c r="N2780" i="8"/>
  <c r="A2781" i="8"/>
  <c r="T2781" i="8" l="1"/>
  <c r="Q2781" i="8"/>
  <c r="N2781" i="8"/>
  <c r="A2782" i="8"/>
  <c r="T2782" i="8" l="1"/>
  <c r="Q2782" i="8"/>
  <c r="N2782" i="8"/>
  <c r="A2783" i="8"/>
  <c r="T2783" i="8" l="1"/>
  <c r="Q2783" i="8"/>
  <c r="N2783" i="8"/>
  <c r="A2784" i="8"/>
  <c r="T2784" i="8" l="1"/>
  <c r="Q2784" i="8"/>
  <c r="N2784" i="8"/>
  <c r="A2785" i="8"/>
  <c r="T2785" i="8" l="1"/>
  <c r="Q2785" i="8"/>
  <c r="N2785" i="8"/>
  <c r="A2786" i="8"/>
  <c r="T2786" i="8" l="1"/>
  <c r="Q2786" i="8"/>
  <c r="N2786" i="8"/>
  <c r="A2787" i="8"/>
  <c r="T2787" i="8" l="1"/>
  <c r="Q2787" i="8"/>
  <c r="N2787" i="8"/>
  <c r="A2788" i="8"/>
  <c r="T2788" i="8" l="1"/>
  <c r="Q2788" i="8"/>
  <c r="N2788" i="8"/>
  <c r="A2789" i="8"/>
  <c r="T2789" i="8" l="1"/>
  <c r="Q2789" i="8"/>
  <c r="N2789" i="8"/>
  <c r="A2790" i="8"/>
  <c r="T2790" i="8" l="1"/>
  <c r="Q2790" i="8"/>
  <c r="N2790" i="8"/>
  <c r="A2791" i="8"/>
  <c r="T2791" i="8" l="1"/>
  <c r="Q2791" i="8"/>
  <c r="N2791" i="8"/>
  <c r="A2792" i="8"/>
  <c r="T2792" i="8" l="1"/>
  <c r="Q2792" i="8"/>
  <c r="N2792" i="8"/>
  <c r="A2793" i="8"/>
  <c r="T2793" i="8" l="1"/>
  <c r="Q2793" i="8"/>
  <c r="N2793" i="8"/>
  <c r="A2794" i="8"/>
  <c r="T2794" i="8" l="1"/>
  <c r="Q2794" i="8"/>
  <c r="N2794" i="8"/>
  <c r="A2795" i="8"/>
  <c r="T2795" i="8" l="1"/>
  <c r="Q2795" i="8"/>
  <c r="N2795" i="8"/>
  <c r="A2796" i="8"/>
  <c r="T2796" i="8" l="1"/>
  <c r="Q2796" i="8"/>
  <c r="N2796" i="8"/>
  <c r="A2797" i="8"/>
  <c r="T2797" i="8" l="1"/>
  <c r="Q2797" i="8"/>
  <c r="N2797" i="8"/>
  <c r="A2798" i="8"/>
  <c r="T2798" i="8" l="1"/>
  <c r="Q2798" i="8"/>
  <c r="N2798" i="8"/>
  <c r="A2799" i="8"/>
  <c r="T2799" i="8" l="1"/>
  <c r="Q2799" i="8"/>
  <c r="N2799" i="8"/>
  <c r="A2800" i="8"/>
  <c r="T2800" i="8" l="1"/>
  <c r="Q2800" i="8"/>
  <c r="N2800" i="8"/>
  <c r="A2801" i="8"/>
  <c r="T2801" i="8" l="1"/>
  <c r="Q2801" i="8"/>
  <c r="N2801" i="8"/>
  <c r="A2802" i="8"/>
  <c r="T2802" i="8" l="1"/>
  <c r="Q2802" i="8"/>
  <c r="N2802" i="8"/>
  <c r="A2803" i="8"/>
  <c r="T2803" i="8" l="1"/>
  <c r="Q2803" i="8"/>
  <c r="N2803" i="8"/>
  <c r="A2804" i="8"/>
  <c r="T2804" i="8" l="1"/>
  <c r="Q2804" i="8"/>
  <c r="N2804" i="8"/>
  <c r="A2805" i="8"/>
  <c r="T2805" i="8" l="1"/>
  <c r="Q2805" i="8"/>
  <c r="N2805" i="8"/>
  <c r="A2806" i="8"/>
  <c r="T2806" i="8" l="1"/>
  <c r="Q2806" i="8"/>
  <c r="N2806" i="8"/>
  <c r="A2807" i="8"/>
  <c r="T2807" i="8" l="1"/>
  <c r="Q2807" i="8"/>
  <c r="N2807" i="8"/>
  <c r="A2808" i="8"/>
  <c r="T2808" i="8" l="1"/>
  <c r="Q2808" i="8"/>
  <c r="N2808" i="8"/>
  <c r="A2809" i="8"/>
  <c r="T2809" i="8" l="1"/>
  <c r="Q2809" i="8"/>
  <c r="N2809" i="8"/>
  <c r="A2810" i="8"/>
  <c r="T2810" i="8" l="1"/>
  <c r="Q2810" i="8"/>
  <c r="N2810" i="8"/>
  <c r="A2811" i="8"/>
  <c r="T2811" i="8" l="1"/>
  <c r="Q2811" i="8"/>
  <c r="N2811" i="8"/>
  <c r="A2812" i="8"/>
  <c r="T2812" i="8" l="1"/>
  <c r="Q2812" i="8"/>
  <c r="N2812" i="8"/>
  <c r="A2813" i="8"/>
  <c r="T2813" i="8" l="1"/>
  <c r="Q2813" i="8"/>
  <c r="N2813" i="8"/>
  <c r="A2814" i="8"/>
  <c r="T2814" i="8" l="1"/>
  <c r="Q2814" i="8"/>
  <c r="N2814" i="8"/>
  <c r="A2815" i="8"/>
  <c r="T2815" i="8" l="1"/>
  <c r="Q2815" i="8"/>
  <c r="N2815" i="8"/>
  <c r="A2816" i="8"/>
  <c r="T2816" i="8" l="1"/>
  <c r="Q2816" i="8"/>
  <c r="N2816" i="8"/>
  <c r="A2817" i="8"/>
  <c r="T2817" i="8" l="1"/>
  <c r="Q2817" i="8"/>
  <c r="N2817" i="8"/>
  <c r="A2818" i="8"/>
  <c r="T2818" i="8" l="1"/>
  <c r="Q2818" i="8"/>
  <c r="N2818" i="8"/>
  <c r="A2819" i="8"/>
  <c r="T2819" i="8" l="1"/>
  <c r="Q2819" i="8"/>
  <c r="N2819" i="8"/>
  <c r="A2820" i="8"/>
  <c r="T2820" i="8" l="1"/>
  <c r="Q2820" i="8"/>
  <c r="N2820" i="8"/>
  <c r="A2821" i="8"/>
  <c r="T2821" i="8" l="1"/>
  <c r="Q2821" i="8"/>
  <c r="N2821" i="8"/>
  <c r="A2822" i="8"/>
  <c r="T2822" i="8" l="1"/>
  <c r="Q2822" i="8"/>
  <c r="N2822" i="8"/>
  <c r="A2823" i="8"/>
  <c r="T2823" i="8" l="1"/>
  <c r="Q2823" i="8"/>
  <c r="N2823" i="8"/>
  <c r="A2824" i="8"/>
  <c r="T2824" i="8" l="1"/>
  <c r="Q2824" i="8"/>
  <c r="N2824" i="8"/>
  <c r="A2825" i="8"/>
  <c r="T2825" i="8" l="1"/>
  <c r="Q2825" i="8"/>
  <c r="N2825" i="8"/>
  <c r="A2826" i="8"/>
  <c r="T2826" i="8" l="1"/>
  <c r="Q2826" i="8"/>
  <c r="N2826" i="8"/>
  <c r="A2827" i="8"/>
  <c r="T2827" i="8" l="1"/>
  <c r="Q2827" i="8"/>
  <c r="N2827" i="8"/>
  <c r="A2828" i="8"/>
  <c r="T2828" i="8" l="1"/>
  <c r="Q2828" i="8"/>
  <c r="N2828" i="8"/>
  <c r="A2829" i="8"/>
  <c r="T2829" i="8" l="1"/>
  <c r="Q2829" i="8"/>
  <c r="N2829" i="8"/>
  <c r="A2830" i="8"/>
  <c r="T2830" i="8" l="1"/>
  <c r="Q2830" i="8"/>
  <c r="N2830" i="8"/>
  <c r="A2831" i="8"/>
  <c r="T2831" i="8" l="1"/>
  <c r="Q2831" i="8"/>
  <c r="N2831" i="8"/>
  <c r="A2832" i="8"/>
  <c r="T2832" i="8" l="1"/>
  <c r="Q2832" i="8"/>
  <c r="N2832" i="8"/>
  <c r="A2833" i="8"/>
  <c r="T2833" i="8" l="1"/>
  <c r="Q2833" i="8"/>
  <c r="N2833" i="8"/>
  <c r="A2834" i="8"/>
  <c r="T2834" i="8" l="1"/>
  <c r="Q2834" i="8"/>
  <c r="N2834" i="8"/>
  <c r="A2835" i="8"/>
  <c r="T2835" i="8" l="1"/>
  <c r="Q2835" i="8"/>
  <c r="N2835" i="8"/>
  <c r="A2836" i="8"/>
  <c r="T2836" i="8" l="1"/>
  <c r="Q2836" i="8"/>
  <c r="N2836" i="8"/>
  <c r="A2837" i="8"/>
  <c r="T2837" i="8" l="1"/>
  <c r="Q2837" i="8"/>
  <c r="N2837" i="8"/>
  <c r="A2838" i="8"/>
  <c r="T2838" i="8" l="1"/>
  <c r="Q2838" i="8"/>
  <c r="N2838" i="8"/>
  <c r="A2839" i="8"/>
  <c r="T2839" i="8" l="1"/>
  <c r="Q2839" i="8"/>
  <c r="N2839" i="8"/>
  <c r="A2840" i="8"/>
  <c r="T2840" i="8" l="1"/>
  <c r="Q2840" i="8"/>
  <c r="N2840" i="8"/>
  <c r="A2841" i="8"/>
  <c r="T2841" i="8" l="1"/>
  <c r="Q2841" i="8"/>
  <c r="N2841" i="8"/>
  <c r="A2842" i="8"/>
  <c r="T2842" i="8" l="1"/>
  <c r="Q2842" i="8"/>
  <c r="N2842" i="8"/>
  <c r="A2843" i="8"/>
  <c r="T2843" i="8" l="1"/>
  <c r="Q2843" i="8"/>
  <c r="N2843" i="8"/>
  <c r="A2844" i="8"/>
  <c r="T2844" i="8" l="1"/>
  <c r="Q2844" i="8"/>
  <c r="N2844" i="8"/>
  <c r="A2845" i="8"/>
  <c r="T2845" i="8" l="1"/>
  <c r="Q2845" i="8"/>
  <c r="N2845" i="8"/>
  <c r="A2846" i="8"/>
  <c r="T2846" i="8" l="1"/>
  <c r="Q2846" i="8"/>
  <c r="N2846" i="8"/>
  <c r="A2847" i="8"/>
  <c r="T2847" i="8" l="1"/>
  <c r="Q2847" i="8"/>
  <c r="N2847" i="8"/>
  <c r="A2848" i="8"/>
  <c r="T2848" i="8" l="1"/>
  <c r="Q2848" i="8"/>
  <c r="N2848" i="8"/>
  <c r="A2849" i="8"/>
  <c r="T2849" i="8" l="1"/>
  <c r="Q2849" i="8"/>
  <c r="N2849" i="8"/>
  <c r="A2850" i="8"/>
  <c r="T2850" i="8" l="1"/>
  <c r="Q2850" i="8"/>
  <c r="N2850" i="8"/>
  <c r="A2851" i="8"/>
  <c r="T2851" i="8" l="1"/>
  <c r="Q2851" i="8"/>
  <c r="N2851" i="8"/>
  <c r="A2852" i="8"/>
  <c r="T2852" i="8" l="1"/>
  <c r="Q2852" i="8"/>
  <c r="N2852" i="8"/>
  <c r="A2853" i="8"/>
  <c r="T2853" i="8" l="1"/>
  <c r="Q2853" i="8"/>
  <c r="N2853" i="8"/>
  <c r="A2854" i="8"/>
  <c r="T2854" i="8" l="1"/>
  <c r="Q2854" i="8"/>
  <c r="N2854" i="8"/>
  <c r="A2855" i="8"/>
  <c r="T2855" i="8" l="1"/>
  <c r="Q2855" i="8"/>
  <c r="N2855" i="8"/>
  <c r="A2856" i="8"/>
  <c r="T2856" i="8" l="1"/>
  <c r="Q2856" i="8"/>
  <c r="N2856" i="8"/>
  <c r="A2857" i="8"/>
  <c r="T2857" i="8" l="1"/>
  <c r="Q2857" i="8"/>
  <c r="N2857" i="8"/>
  <c r="A2858" i="8"/>
  <c r="T2858" i="8" l="1"/>
  <c r="Q2858" i="8"/>
  <c r="N2858" i="8"/>
  <c r="A2859" i="8"/>
  <c r="T2859" i="8" l="1"/>
  <c r="Q2859" i="8"/>
  <c r="N2859" i="8"/>
  <c r="A2860" i="8"/>
  <c r="T2860" i="8" l="1"/>
  <c r="Q2860" i="8"/>
  <c r="N2860" i="8"/>
  <c r="A2861" i="8"/>
  <c r="T2861" i="8" l="1"/>
  <c r="Q2861" i="8"/>
  <c r="N2861" i="8"/>
  <c r="A2862" i="8"/>
  <c r="T2862" i="8" l="1"/>
  <c r="Q2862" i="8"/>
  <c r="N2862" i="8"/>
  <c r="A2863" i="8"/>
  <c r="T2863" i="8" l="1"/>
  <c r="Q2863" i="8"/>
  <c r="N2863" i="8"/>
  <c r="A2864" i="8"/>
  <c r="T2864" i="8" l="1"/>
  <c r="Q2864" i="8"/>
  <c r="N2864" i="8"/>
  <c r="A2865" i="8"/>
  <c r="T2865" i="8" l="1"/>
  <c r="Q2865" i="8"/>
  <c r="N2865" i="8"/>
  <c r="A2866" i="8"/>
  <c r="T2866" i="8" l="1"/>
  <c r="Q2866" i="8"/>
  <c r="N2866" i="8"/>
  <c r="A2867" i="8"/>
  <c r="T2867" i="8" l="1"/>
  <c r="Q2867" i="8"/>
  <c r="N2867" i="8"/>
  <c r="A2868" i="8"/>
  <c r="T2868" i="8" l="1"/>
  <c r="Q2868" i="8"/>
  <c r="N2868" i="8"/>
  <c r="A2869" i="8"/>
  <c r="T2869" i="8" l="1"/>
  <c r="Q2869" i="8"/>
  <c r="N2869" i="8"/>
  <c r="A2870" i="8"/>
  <c r="T2870" i="8" l="1"/>
  <c r="Q2870" i="8"/>
  <c r="N2870" i="8"/>
  <c r="A2871" i="8"/>
  <c r="T2871" i="8" l="1"/>
  <c r="Q2871" i="8"/>
  <c r="N2871" i="8"/>
  <c r="A2872" i="8"/>
  <c r="T2872" i="8" l="1"/>
  <c r="Q2872" i="8"/>
  <c r="N2872" i="8"/>
  <c r="A2873" i="8"/>
  <c r="T2873" i="8" l="1"/>
  <c r="Q2873" i="8"/>
  <c r="N2873" i="8"/>
  <c r="A2874" i="8"/>
  <c r="T2874" i="8" l="1"/>
  <c r="Q2874" i="8"/>
  <c r="N2874" i="8"/>
  <c r="A2875" i="8"/>
  <c r="T2875" i="8" l="1"/>
  <c r="Q2875" i="8"/>
  <c r="N2875" i="8"/>
  <c r="A2876" i="8"/>
  <c r="T2876" i="8" l="1"/>
  <c r="Q2876" i="8"/>
  <c r="N2876" i="8"/>
  <c r="A2877" i="8"/>
  <c r="T2877" i="8" l="1"/>
  <c r="Q2877" i="8"/>
  <c r="N2877" i="8"/>
  <c r="A2878" i="8"/>
  <c r="T2878" i="8" l="1"/>
  <c r="Q2878" i="8"/>
  <c r="N2878" i="8"/>
  <c r="A2879" i="8"/>
  <c r="T2879" i="8" l="1"/>
  <c r="Q2879" i="8"/>
  <c r="N2879" i="8"/>
  <c r="A2880" i="8"/>
  <c r="T2880" i="8" l="1"/>
  <c r="Q2880" i="8"/>
  <c r="N2880" i="8"/>
  <c r="A2881" i="8"/>
  <c r="T2881" i="8" l="1"/>
  <c r="Q2881" i="8"/>
  <c r="N2881" i="8"/>
  <c r="A2882" i="8"/>
  <c r="T2882" i="8" l="1"/>
  <c r="Q2882" i="8"/>
  <c r="N2882" i="8"/>
  <c r="A2883" i="8"/>
  <c r="T2883" i="8" l="1"/>
  <c r="Q2883" i="8"/>
  <c r="N2883" i="8"/>
  <c r="A2884" i="8"/>
  <c r="T2884" i="8" l="1"/>
  <c r="Q2884" i="8"/>
  <c r="N2884" i="8"/>
  <c r="A2885" i="8"/>
  <c r="T2885" i="8" l="1"/>
  <c r="Q2885" i="8"/>
  <c r="N2885" i="8"/>
  <c r="A2886" i="8"/>
  <c r="T2886" i="8" l="1"/>
  <c r="Q2886" i="8"/>
  <c r="N2886" i="8"/>
  <c r="A2887" i="8"/>
  <c r="T2887" i="8" l="1"/>
  <c r="Q2887" i="8"/>
  <c r="N2887" i="8"/>
  <c r="A2888" i="8"/>
  <c r="T2888" i="8" l="1"/>
  <c r="Q2888" i="8"/>
  <c r="N2888" i="8"/>
  <c r="A2889" i="8"/>
  <c r="T2889" i="8" l="1"/>
  <c r="Q2889" i="8"/>
  <c r="N2889" i="8"/>
  <c r="A2890" i="8"/>
  <c r="T2890" i="8" l="1"/>
  <c r="Q2890" i="8"/>
  <c r="N2890" i="8"/>
  <c r="A2891" i="8"/>
  <c r="T2891" i="8" l="1"/>
  <c r="Q2891" i="8"/>
  <c r="N2891" i="8"/>
  <c r="A2892" i="8"/>
  <c r="T2892" i="8" l="1"/>
  <c r="Q2892" i="8"/>
  <c r="N2892" i="8"/>
  <c r="A2893" i="8"/>
  <c r="T2893" i="8" l="1"/>
  <c r="Q2893" i="8"/>
  <c r="N2893" i="8"/>
  <c r="A2894" i="8"/>
  <c r="T2894" i="8" l="1"/>
  <c r="Q2894" i="8"/>
  <c r="N2894" i="8"/>
  <c r="A2895" i="8"/>
  <c r="T2895" i="8" l="1"/>
  <c r="Q2895" i="8"/>
  <c r="N2895" i="8"/>
  <c r="A2896" i="8"/>
  <c r="T2896" i="8" l="1"/>
  <c r="Q2896" i="8"/>
  <c r="N2896" i="8"/>
  <c r="A2897" i="8"/>
  <c r="T2897" i="8" l="1"/>
  <c r="Q2897" i="8"/>
  <c r="N2897" i="8"/>
  <c r="A2898" i="8"/>
  <c r="T2898" i="8" l="1"/>
  <c r="Q2898" i="8"/>
  <c r="N2898" i="8"/>
  <c r="A2899" i="8"/>
  <c r="T2899" i="8" l="1"/>
  <c r="Q2899" i="8"/>
  <c r="N2899" i="8"/>
  <c r="A2900" i="8"/>
  <c r="T2900" i="8" l="1"/>
  <c r="Q2900" i="8"/>
  <c r="N2900" i="8"/>
  <c r="A2901" i="8"/>
  <c r="T2901" i="8" l="1"/>
  <c r="Q2901" i="8"/>
  <c r="N2901" i="8"/>
  <c r="A2902" i="8"/>
  <c r="T2902" i="8" l="1"/>
  <c r="Q2902" i="8"/>
  <c r="N2902" i="8"/>
  <c r="A2903" i="8"/>
  <c r="T2903" i="8" l="1"/>
  <c r="Q2903" i="8"/>
  <c r="N2903" i="8"/>
  <c r="A2904" i="8"/>
  <c r="T2904" i="8" l="1"/>
  <c r="Q2904" i="8"/>
  <c r="N2904" i="8"/>
  <c r="A2905" i="8"/>
  <c r="T2905" i="8" l="1"/>
  <c r="Q2905" i="8"/>
  <c r="N2905" i="8"/>
  <c r="A2906" i="8"/>
  <c r="T2906" i="8" l="1"/>
  <c r="Q2906" i="8"/>
  <c r="N2906" i="8"/>
  <c r="A2907" i="8"/>
  <c r="T2907" i="8" l="1"/>
  <c r="Q2907" i="8"/>
  <c r="N2907" i="8"/>
  <c r="A2908" i="8"/>
  <c r="T2908" i="8" l="1"/>
  <c r="Q2908" i="8"/>
  <c r="N2908" i="8"/>
  <c r="A2909" i="8"/>
  <c r="T2909" i="8" l="1"/>
  <c r="Q2909" i="8"/>
  <c r="N2909" i="8"/>
  <c r="A2910" i="8"/>
  <c r="T2910" i="8" l="1"/>
  <c r="Q2910" i="8"/>
  <c r="N2910" i="8"/>
  <c r="A2911" i="8"/>
  <c r="T2911" i="8" l="1"/>
  <c r="Q2911" i="8"/>
  <c r="N2911" i="8"/>
  <c r="A2912" i="8"/>
  <c r="T2912" i="8" l="1"/>
  <c r="Q2912" i="8"/>
  <c r="N2912" i="8"/>
  <c r="A2913" i="8"/>
  <c r="T2913" i="8" l="1"/>
  <c r="Q2913" i="8"/>
  <c r="N2913" i="8"/>
  <c r="A2914" i="8"/>
  <c r="T2914" i="8" l="1"/>
  <c r="Q2914" i="8"/>
  <c r="N2914" i="8"/>
  <c r="A2915" i="8"/>
  <c r="T2915" i="8" l="1"/>
  <c r="Q2915" i="8"/>
  <c r="N2915" i="8"/>
  <c r="A2916" i="8"/>
  <c r="T2916" i="8" l="1"/>
  <c r="Q2916" i="8"/>
  <c r="N2916" i="8"/>
  <c r="A2917" i="8"/>
  <c r="T2917" i="8" l="1"/>
  <c r="Q2917" i="8"/>
  <c r="N2917" i="8"/>
  <c r="A2918" i="8"/>
  <c r="T2918" i="8" l="1"/>
  <c r="Q2918" i="8"/>
  <c r="N2918" i="8"/>
  <c r="A2919" i="8"/>
  <c r="T2919" i="8" l="1"/>
  <c r="Q2919" i="8"/>
  <c r="N2919" i="8"/>
  <c r="A2920" i="8"/>
  <c r="T2920" i="8" l="1"/>
  <c r="Q2920" i="8"/>
  <c r="N2920" i="8"/>
  <c r="A2921" i="8"/>
  <c r="T2921" i="8" l="1"/>
  <c r="Q2921" i="8"/>
  <c r="N2921" i="8"/>
  <c r="A2922" i="8"/>
  <c r="T2922" i="8" l="1"/>
  <c r="Q2922" i="8"/>
  <c r="N2922" i="8"/>
  <c r="A2923" i="8"/>
  <c r="T2923" i="8" l="1"/>
  <c r="Q2923" i="8"/>
  <c r="N2923" i="8"/>
  <c r="A2924" i="8"/>
  <c r="T2924" i="8" l="1"/>
  <c r="Q2924" i="8"/>
  <c r="N2924" i="8"/>
  <c r="A2925" i="8"/>
  <c r="T2925" i="8" l="1"/>
  <c r="Q2925" i="8"/>
  <c r="N2925" i="8"/>
  <c r="A2926" i="8"/>
  <c r="T2926" i="8" l="1"/>
  <c r="Q2926" i="8"/>
  <c r="N2926" i="8"/>
  <c r="A2927" i="8"/>
  <c r="T2927" i="8" l="1"/>
  <c r="Q2927" i="8"/>
  <c r="N2927" i="8"/>
  <c r="A2928" i="8"/>
  <c r="T2928" i="8" l="1"/>
  <c r="Q2928" i="8"/>
  <c r="N2928" i="8"/>
  <c r="A2929" i="8"/>
  <c r="T2929" i="8" l="1"/>
  <c r="Q2929" i="8"/>
  <c r="N2929" i="8"/>
  <c r="A2930" i="8"/>
  <c r="T2930" i="8" l="1"/>
  <c r="Q2930" i="8"/>
  <c r="N2930" i="8"/>
  <c r="A2931" i="8"/>
  <c r="T2931" i="8" l="1"/>
  <c r="Q2931" i="8"/>
  <c r="N2931" i="8"/>
  <c r="A2932" i="8"/>
  <c r="T2932" i="8" l="1"/>
  <c r="Q2932" i="8"/>
  <c r="N2932" i="8"/>
  <c r="A2933" i="8"/>
  <c r="T2933" i="8" l="1"/>
  <c r="Q2933" i="8"/>
  <c r="N2933" i="8"/>
  <c r="A2934" i="8"/>
  <c r="T2934" i="8" l="1"/>
  <c r="Q2934" i="8"/>
  <c r="N2934" i="8"/>
  <c r="A2935" i="8"/>
  <c r="T2935" i="8" l="1"/>
  <c r="Q2935" i="8"/>
  <c r="N2935" i="8"/>
  <c r="A2936" i="8"/>
  <c r="T2936" i="8" l="1"/>
  <c r="Q2936" i="8"/>
  <c r="N2936" i="8"/>
  <c r="A2937" i="8"/>
  <c r="T2937" i="8" l="1"/>
  <c r="Q2937" i="8"/>
  <c r="N2937" i="8"/>
  <c r="A2938" i="8"/>
  <c r="T2938" i="8" l="1"/>
  <c r="Q2938" i="8"/>
  <c r="N2938" i="8"/>
  <c r="A2939" i="8"/>
  <c r="T2939" i="8" l="1"/>
  <c r="Q2939" i="8"/>
  <c r="N2939" i="8"/>
  <c r="A2940" i="8"/>
  <c r="T2940" i="8" l="1"/>
  <c r="Q2940" i="8"/>
  <c r="N2940" i="8"/>
  <c r="A2941" i="8"/>
  <c r="T2941" i="8" l="1"/>
  <c r="Q2941" i="8"/>
  <c r="N2941" i="8"/>
  <c r="A2942" i="8"/>
  <c r="T2942" i="8" l="1"/>
  <c r="Q2942" i="8"/>
  <c r="N2942" i="8"/>
  <c r="A2943" i="8"/>
  <c r="T2943" i="8" l="1"/>
  <c r="Q2943" i="8"/>
  <c r="N2943" i="8"/>
  <c r="A2944" i="8"/>
  <c r="T2944" i="8" l="1"/>
  <c r="Q2944" i="8"/>
  <c r="N2944" i="8"/>
  <c r="A2945" i="8"/>
  <c r="T2945" i="8" l="1"/>
  <c r="Q2945" i="8"/>
  <c r="N2945" i="8"/>
  <c r="A2946" i="8"/>
  <c r="T2946" i="8" l="1"/>
  <c r="Q2946" i="8"/>
  <c r="N2946" i="8"/>
  <c r="A2947" i="8"/>
  <c r="T2947" i="8" l="1"/>
  <c r="Q2947" i="8"/>
  <c r="N2947" i="8"/>
  <c r="A2948" i="8"/>
  <c r="T2948" i="8" l="1"/>
  <c r="Q2948" i="8"/>
  <c r="N2948" i="8"/>
  <c r="A2949" i="8"/>
  <c r="T2949" i="8" l="1"/>
  <c r="Q2949" i="8"/>
  <c r="N2949" i="8"/>
  <c r="A2950" i="8"/>
  <c r="T2950" i="8" l="1"/>
  <c r="Q2950" i="8"/>
  <c r="N2950" i="8"/>
  <c r="A2951" i="8"/>
  <c r="T2951" i="8" l="1"/>
  <c r="Q2951" i="8"/>
  <c r="N2951" i="8"/>
  <c r="A2952" i="8"/>
  <c r="T2952" i="8" l="1"/>
  <c r="Q2952" i="8"/>
  <c r="N2952" i="8"/>
  <c r="A2953" i="8"/>
  <c r="T2953" i="8" l="1"/>
  <c r="Q2953" i="8"/>
  <c r="N2953" i="8"/>
  <c r="A2954" i="8"/>
  <c r="T2954" i="8" l="1"/>
  <c r="Q2954" i="8"/>
  <c r="N2954" i="8"/>
  <c r="A2955" i="8"/>
  <c r="T2955" i="8" l="1"/>
  <c r="Q2955" i="8"/>
  <c r="N2955" i="8"/>
  <c r="A2956" i="8"/>
  <c r="T2956" i="8" l="1"/>
  <c r="Q2956" i="8"/>
  <c r="N2956" i="8"/>
  <c r="A2957" i="8"/>
  <c r="T2957" i="8" l="1"/>
  <c r="Q2957" i="8"/>
  <c r="N2957" i="8"/>
  <c r="A2958" i="8"/>
  <c r="T2958" i="8" l="1"/>
  <c r="Q2958" i="8"/>
  <c r="N2958" i="8"/>
  <c r="A2959" i="8"/>
  <c r="T2959" i="8" l="1"/>
  <c r="Q2959" i="8"/>
  <c r="N2959" i="8"/>
  <c r="A2960" i="8"/>
  <c r="T2960" i="8" l="1"/>
  <c r="Q2960" i="8"/>
  <c r="N2960" i="8"/>
  <c r="A2961" i="8"/>
  <c r="T2961" i="8" l="1"/>
  <c r="Q2961" i="8"/>
  <c r="N2961" i="8"/>
  <c r="A2962" i="8"/>
  <c r="T2962" i="8" l="1"/>
  <c r="Q2962" i="8"/>
  <c r="N2962" i="8"/>
  <c r="A2963" i="8"/>
  <c r="T2963" i="8" l="1"/>
  <c r="Q2963" i="8"/>
  <c r="N2963" i="8"/>
  <c r="A2964" i="8"/>
  <c r="T2964" i="8" l="1"/>
  <c r="Q2964" i="8"/>
  <c r="N2964" i="8"/>
  <c r="A2965" i="8"/>
  <c r="T2965" i="8" l="1"/>
  <c r="Q2965" i="8"/>
  <c r="N2965" i="8"/>
  <c r="A2966" i="8"/>
  <c r="T2966" i="8" l="1"/>
  <c r="Q2966" i="8"/>
  <c r="N2966" i="8"/>
  <c r="A2967" i="8"/>
  <c r="T2967" i="8" l="1"/>
  <c r="Q2967" i="8"/>
  <c r="N2967" i="8"/>
  <c r="A2968" i="8"/>
  <c r="T2968" i="8" l="1"/>
  <c r="Q2968" i="8"/>
  <c r="N2968" i="8"/>
  <c r="A2969" i="8"/>
  <c r="T2969" i="8" l="1"/>
  <c r="Q2969" i="8"/>
  <c r="N2969" i="8"/>
  <c r="A2970" i="8"/>
  <c r="T2970" i="8" l="1"/>
  <c r="Q2970" i="8"/>
  <c r="N2970" i="8"/>
  <c r="A2971" i="8"/>
  <c r="T2971" i="8" l="1"/>
  <c r="Q2971" i="8"/>
  <c r="N2971" i="8"/>
  <c r="A2972" i="8"/>
  <c r="T2972" i="8" l="1"/>
  <c r="Q2972" i="8"/>
  <c r="N2972" i="8"/>
  <c r="A2973" i="8"/>
  <c r="T2973" i="8" l="1"/>
  <c r="Q2973" i="8"/>
  <c r="N2973" i="8"/>
  <c r="A2974" i="8"/>
  <c r="T2974" i="8" l="1"/>
  <c r="Q2974" i="8"/>
  <c r="N2974" i="8"/>
  <c r="A2975" i="8"/>
  <c r="T2975" i="8" l="1"/>
  <c r="Q2975" i="8"/>
  <c r="N2975" i="8"/>
  <c r="A2976" i="8"/>
  <c r="T2976" i="8" l="1"/>
  <c r="Q2976" i="8"/>
  <c r="N2976" i="8"/>
  <c r="A2977" i="8"/>
  <c r="T2977" i="8" l="1"/>
  <c r="Q2977" i="8"/>
  <c r="N2977" i="8"/>
  <c r="A2978" i="8"/>
  <c r="T2978" i="8" l="1"/>
  <c r="Q2978" i="8"/>
  <c r="N2978" i="8"/>
  <c r="A2979" i="8"/>
  <c r="T2979" i="8" l="1"/>
  <c r="Q2979" i="8"/>
  <c r="N2979" i="8"/>
  <c r="A2980" i="8"/>
  <c r="T2980" i="8" l="1"/>
  <c r="Q2980" i="8"/>
  <c r="N2980" i="8"/>
  <c r="A2981" i="8"/>
  <c r="T2981" i="8" l="1"/>
  <c r="Q2981" i="8"/>
  <c r="N2981" i="8"/>
  <c r="A2982" i="8"/>
  <c r="T2982" i="8" l="1"/>
  <c r="Q2982" i="8"/>
  <c r="N2982" i="8"/>
  <c r="A2983" i="8"/>
  <c r="T2983" i="8" l="1"/>
  <c r="Q2983" i="8"/>
  <c r="N2983" i="8"/>
  <c r="A2984" i="8"/>
  <c r="T2984" i="8" l="1"/>
  <c r="Q2984" i="8"/>
  <c r="N2984" i="8"/>
  <c r="A2985" i="8"/>
  <c r="T2985" i="8" l="1"/>
  <c r="Q2985" i="8"/>
  <c r="N2985" i="8"/>
  <c r="A2986" i="8"/>
  <c r="T2986" i="8" l="1"/>
  <c r="Q2986" i="8"/>
  <c r="N2986" i="8"/>
  <c r="A2987" i="8"/>
  <c r="T2987" i="8" l="1"/>
  <c r="Q2987" i="8"/>
  <c r="N2987" i="8"/>
  <c r="A2988" i="8"/>
  <c r="T2988" i="8" l="1"/>
  <c r="Q2988" i="8"/>
  <c r="N2988" i="8"/>
  <c r="A2989" i="8"/>
  <c r="T2989" i="8" l="1"/>
  <c r="Q2989" i="8"/>
  <c r="N2989" i="8"/>
  <c r="A2990" i="8"/>
  <c r="T2990" i="8" l="1"/>
  <c r="Q2990" i="8"/>
  <c r="N2990" i="8"/>
  <c r="A2991" i="8"/>
  <c r="T2991" i="8" l="1"/>
  <c r="Q2991" i="8"/>
  <c r="N2991" i="8"/>
  <c r="A2992" i="8"/>
  <c r="T2992" i="8" l="1"/>
  <c r="Q2992" i="8"/>
  <c r="N2992" i="8"/>
  <c r="A2993" i="8"/>
  <c r="T2993" i="8" l="1"/>
  <c r="Q2993" i="8"/>
  <c r="N2993" i="8"/>
  <c r="A2994" i="8"/>
  <c r="T2994" i="8" l="1"/>
  <c r="Q2994" i="8"/>
  <c r="N2994" i="8"/>
  <c r="A2995" i="8"/>
  <c r="T2995" i="8" l="1"/>
  <c r="Q2995" i="8"/>
  <c r="N2995" i="8"/>
  <c r="A2996" i="8"/>
  <c r="T2996" i="8" l="1"/>
  <c r="Q2996" i="8"/>
  <c r="N2996" i="8"/>
  <c r="A2997" i="8"/>
  <c r="T2997" i="8" l="1"/>
  <c r="Q2997" i="8"/>
  <c r="N2997" i="8"/>
  <c r="A2998" i="8"/>
  <c r="T2998" i="8" l="1"/>
  <c r="Q2998" i="8"/>
  <c r="N2998" i="8"/>
  <c r="A2999" i="8"/>
  <c r="T2999" i="8" l="1"/>
  <c r="Q2999" i="8"/>
  <c r="N2999" i="8"/>
  <c r="A3000" i="8"/>
  <c r="T3000" i="8" l="1"/>
  <c r="Q3000" i="8"/>
  <c r="N3000" i="8"/>
  <c r="A3001" i="8"/>
  <c r="T3001" i="8" l="1"/>
  <c r="Q3001" i="8"/>
  <c r="N3001" i="8"/>
  <c r="A3002" i="8"/>
  <c r="T3002" i="8" l="1"/>
  <c r="Q3002" i="8"/>
  <c r="N3002" i="8"/>
  <c r="A3003" i="8"/>
  <c r="T3003" i="8" l="1"/>
  <c r="Q3003" i="8"/>
  <c r="N3003" i="8"/>
  <c r="A3004" i="8"/>
  <c r="T3004" i="8" l="1"/>
  <c r="Q3004" i="8"/>
  <c r="N3004" i="8"/>
  <c r="A3005" i="8"/>
  <c r="T3005" i="8" l="1"/>
  <c r="Q3005" i="8"/>
  <c r="N3005" i="8"/>
  <c r="A3006" i="8"/>
  <c r="T3006" i="8" l="1"/>
  <c r="Q3006" i="8"/>
  <c r="N3006" i="8"/>
  <c r="A3007" i="8"/>
  <c r="T3007" i="8" l="1"/>
  <c r="Q3007" i="8"/>
  <c r="N3007" i="8"/>
  <c r="A3008" i="8"/>
  <c r="T3008" i="8" l="1"/>
  <c r="Q3008" i="8"/>
  <c r="N3008" i="8"/>
  <c r="A3009" i="8"/>
  <c r="T3009" i="8" l="1"/>
  <c r="Q3009" i="8"/>
  <c r="N3009" i="8"/>
  <c r="A3010" i="8"/>
  <c r="T3010" i="8" l="1"/>
  <c r="Q3010" i="8"/>
  <c r="N3010" i="8"/>
  <c r="A3011" i="8"/>
  <c r="T3011" i="8" l="1"/>
  <c r="Q3011" i="8"/>
  <c r="N3011" i="8"/>
  <c r="A3012" i="8"/>
  <c r="T3012" i="8" l="1"/>
  <c r="Q3012" i="8"/>
  <c r="N3012" i="8"/>
  <c r="A3013" i="8"/>
  <c r="T3013" i="8" l="1"/>
  <c r="Q3013" i="8"/>
  <c r="N3013" i="8"/>
  <c r="A3014" i="8"/>
  <c r="T3014" i="8" l="1"/>
  <c r="Q3014" i="8"/>
  <c r="N3014" i="8"/>
  <c r="A3015" i="8"/>
  <c r="T3015" i="8" l="1"/>
  <c r="Q3015" i="8"/>
  <c r="N3015" i="8"/>
  <c r="A3016" i="8"/>
  <c r="T3016" i="8" l="1"/>
  <c r="Q3016" i="8"/>
  <c r="N3016" i="8"/>
  <c r="A3017" i="8"/>
  <c r="T3017" i="8" l="1"/>
  <c r="Q3017" i="8"/>
  <c r="N3017" i="8"/>
  <c r="A3018" i="8"/>
  <c r="T3018" i="8" l="1"/>
  <c r="Q3018" i="8"/>
  <c r="N3018" i="8"/>
  <c r="A3019" i="8"/>
  <c r="T3019" i="8" l="1"/>
  <c r="Q3019" i="8"/>
  <c r="N3019" i="8"/>
  <c r="A3020" i="8"/>
  <c r="T3020" i="8" l="1"/>
  <c r="Q3020" i="8"/>
  <c r="N3020" i="8"/>
  <c r="A3021" i="8"/>
  <c r="T3021" i="8" l="1"/>
  <c r="Q3021" i="8"/>
  <c r="N3021" i="8"/>
  <c r="A3022" i="8"/>
  <c r="T3022" i="8" l="1"/>
  <c r="Q3022" i="8"/>
  <c r="N3022" i="8"/>
  <c r="A3023" i="8"/>
  <c r="T3023" i="8" l="1"/>
  <c r="Q3023" i="8"/>
  <c r="N3023" i="8"/>
  <c r="A3024" i="8"/>
  <c r="T3024" i="8" l="1"/>
  <c r="Q3024" i="8"/>
  <c r="N3024" i="8"/>
  <c r="A3025" i="8"/>
  <c r="T3025" i="8" l="1"/>
  <c r="Q3025" i="8"/>
  <c r="N3025" i="8"/>
  <c r="A3026" i="8"/>
  <c r="T3026" i="8" l="1"/>
  <c r="Q3026" i="8"/>
  <c r="N3026" i="8"/>
  <c r="CE71" i="1" l="1"/>
  <c r="BU72" i="1"/>
  <c r="CC72" i="1"/>
  <c r="BB71" i="1"/>
  <c r="BF72" i="1"/>
  <c r="P55" i="1"/>
  <c r="CG72" i="1"/>
  <c r="AF66" i="1"/>
  <c r="FE82" i="1"/>
  <c r="AU74" i="1"/>
  <c r="AJ67" i="1"/>
  <c r="FJ34" i="1"/>
  <c r="BN72" i="1"/>
  <c r="Q34" i="1"/>
  <c r="AU45" i="1"/>
  <c r="AF67" i="1"/>
  <c r="P74" i="1"/>
  <c r="AO71" i="1"/>
  <c r="BB72" i="1"/>
  <c r="CS71" i="1"/>
  <c r="AJ72" i="1"/>
  <c r="BO71" i="1"/>
  <c r="BM72" i="1"/>
  <c r="AM60" i="1"/>
  <c r="Z34" i="1"/>
  <c r="BK71" i="1"/>
  <c r="M71" i="1"/>
  <c r="BP71" i="1"/>
  <c r="AU71" i="1"/>
  <c r="F74" i="1"/>
  <c r="FF82" i="1"/>
  <c r="AJ71" i="1"/>
  <c r="FC82" i="1"/>
  <c r="CU71" i="1"/>
  <c r="CC71" i="1"/>
  <c r="DG61" i="1"/>
  <c r="BL72" i="1"/>
  <c r="J74" i="1"/>
  <c r="BD72" i="1"/>
  <c r="AY71" i="1"/>
  <c r="CG82" i="1"/>
  <c r="EW55" i="1"/>
  <c r="AK55" i="1"/>
  <c r="AI72" i="1"/>
  <c r="EN82" i="1"/>
  <c r="CY71" i="1"/>
  <c r="AW72" i="1"/>
  <c r="AS72" i="1"/>
  <c r="AF35" i="1"/>
  <c r="AR72" i="1"/>
  <c r="CA71" i="1"/>
  <c r="CT66" i="1"/>
  <c r="EJ46" i="1"/>
  <c r="DC83" i="1"/>
  <c r="BH71" i="1"/>
  <c r="BV72" i="1"/>
  <c r="BV71" i="1"/>
  <c r="AR55" i="1"/>
  <c r="CL71" i="1"/>
  <c r="DE44" i="1"/>
  <c r="CE55" i="1"/>
  <c r="AK72" i="1"/>
  <c r="CP71" i="1"/>
  <c r="CW72" i="1"/>
  <c r="BB34" i="1"/>
  <c r="BW71" i="1"/>
  <c r="BA72" i="1"/>
  <c r="BN71" i="1"/>
  <c r="BT72" i="1"/>
  <c r="CV71" i="1"/>
  <c r="BZ76" i="1"/>
  <c r="BC71" i="1"/>
  <c r="AN71" i="1"/>
  <c r="AI71" i="1"/>
  <c r="CU61" i="1"/>
  <c r="BD71" i="1"/>
  <c r="AY72" i="1"/>
  <c r="EA44" i="1"/>
  <c r="BU71" i="1"/>
  <c r="AD60" i="1"/>
  <c r="DX82" i="1"/>
  <c r="CZ67" i="1"/>
  <c r="DK44" i="1"/>
  <c r="CH71" i="1"/>
  <c r="AP72" i="1"/>
  <c r="BL71" i="1"/>
  <c r="AJ34" i="1"/>
  <c r="EX82" i="1"/>
  <c r="CS72" i="1"/>
  <c r="CX72" i="1"/>
  <c r="BN74" i="1"/>
  <c r="CD71" i="1"/>
  <c r="AT60" i="1"/>
  <c r="DF82" i="1"/>
  <c r="N83" i="1"/>
  <c r="CM72" i="1"/>
  <c r="CG71" i="1"/>
  <c r="CZ72" i="1"/>
  <c r="AK83" i="1"/>
  <c r="CL72" i="1"/>
  <c r="CM75" i="1"/>
  <c r="EZ44" i="1"/>
  <c r="AZ71" i="1"/>
  <c r="BM82" i="1"/>
  <c r="BK72" i="1"/>
  <c r="FE61" i="1"/>
  <c r="ED75" i="1"/>
  <c r="CN71" i="1"/>
  <c r="AR46" i="1"/>
  <c r="FG35" i="1"/>
  <c r="EN35" i="1"/>
  <c r="CE72" i="1"/>
  <c r="DG44" i="1"/>
  <c r="BE71" i="1"/>
  <c r="U60" i="1"/>
  <c r="BH72" i="1"/>
  <c r="S71" i="1"/>
  <c r="CY72" i="1"/>
  <c r="BY71" i="1"/>
  <c r="FI75" i="1"/>
  <c r="BW75" i="1"/>
  <c r="Q61" i="1"/>
  <c r="FH55" i="1"/>
  <c r="X45" i="1"/>
  <c r="EH35" i="1"/>
  <c r="EJ75" i="1"/>
  <c r="AZ82" i="1"/>
  <c r="EA83" i="1"/>
  <c r="DH46" i="1"/>
  <c r="I72" i="1"/>
  <c r="FB46" i="1"/>
  <c r="AV45" i="1"/>
  <c r="F54" i="1"/>
  <c r="BH61" i="1"/>
  <c r="CO72" i="1"/>
  <c r="CE61" i="1"/>
  <c r="CQ55" i="1"/>
  <c r="AN44" i="1"/>
  <c r="EO61" i="1"/>
  <c r="CJ71" i="1"/>
  <c r="AH54" i="1"/>
  <c r="EQ66" i="1"/>
  <c r="DF60" i="1"/>
  <c r="AZ83" i="1"/>
  <c r="FK44" i="1"/>
  <c r="BO67" i="1"/>
  <c r="DV45" i="1"/>
  <c r="BA71" i="1"/>
  <c r="BT67" i="1"/>
  <c r="CO54" i="1"/>
  <c r="DZ34" i="1"/>
  <c r="AY82" i="1"/>
  <c r="DW44" i="1"/>
  <c r="BR61" i="1"/>
  <c r="AT72" i="1"/>
  <c r="AP45" i="1"/>
  <c r="AA60" i="1"/>
  <c r="EP83" i="1"/>
  <c r="M76" i="1"/>
  <c r="DQ34" i="1"/>
  <c r="J34" i="1"/>
  <c r="FP61" i="1"/>
  <c r="EJ82" i="1"/>
  <c r="BE46" i="1"/>
  <c r="CP83" i="1"/>
  <c r="BR75" i="1"/>
  <c r="AM71" i="1"/>
  <c r="DS82" i="1"/>
  <c r="CF45" i="1"/>
  <c r="AD54" i="1"/>
  <c r="G44" i="1"/>
  <c r="EO34" i="1"/>
  <c r="CY76" i="1"/>
  <c r="N61" i="1"/>
  <c r="FM35" i="1"/>
  <c r="EG82" i="1"/>
  <c r="BW72" i="1"/>
  <c r="BZ34" i="1"/>
  <c r="CD61" i="1"/>
  <c r="AX75" i="1"/>
  <c r="F71" i="1"/>
  <c r="DL83" i="1"/>
  <c r="Y76" i="1"/>
  <c r="I54" i="1"/>
  <c r="DH61" i="1"/>
  <c r="DL67" i="1"/>
  <c r="CP76" i="1"/>
  <c r="CA44" i="1"/>
  <c r="DW46" i="1"/>
  <c r="DM55" i="1"/>
  <c r="DD67" i="1"/>
  <c r="BF74" i="1"/>
  <c r="CY61" i="1"/>
  <c r="F44" i="1"/>
  <c r="BI46" i="1"/>
  <c r="X44" i="1"/>
  <c r="DD45" i="1"/>
  <c r="EO82" i="1"/>
  <c r="EX55" i="1"/>
  <c r="CB72" i="1"/>
  <c r="DN76" i="1"/>
  <c r="CM71" i="1"/>
  <c r="BY72" i="1"/>
  <c r="J55" i="1"/>
  <c r="AU72" i="1"/>
  <c r="S54" i="1"/>
  <c r="FK75" i="1"/>
  <c r="AN75" i="1"/>
  <c r="BX54" i="1"/>
  <c r="AX34" i="1"/>
  <c r="R35" i="1"/>
  <c r="CJ83" i="1"/>
  <c r="DT45" i="1"/>
  <c r="CC67" i="1"/>
  <c r="DU74" i="1"/>
  <c r="CO76" i="1"/>
  <c r="F72" i="1"/>
  <c r="CC66" i="1"/>
  <c r="DY76" i="1"/>
  <c r="DW55" i="1"/>
  <c r="EK55" i="1"/>
  <c r="FJ76" i="1"/>
  <c r="X34" i="1"/>
  <c r="EP74" i="1"/>
  <c r="FG60" i="1"/>
  <c r="L44" i="1"/>
  <c r="W44" i="1"/>
  <c r="BR71" i="1"/>
  <c r="AX67" i="1"/>
  <c r="DV44" i="1"/>
  <c r="BG72" i="1"/>
  <c r="AT75" i="1"/>
  <c r="DY66" i="1"/>
  <c r="BD74" i="1"/>
  <c r="BS71" i="1"/>
  <c r="AS71" i="1"/>
  <c r="AP44" i="1"/>
  <c r="EY54" i="1"/>
  <c r="BJ72" i="1"/>
  <c r="AQ72" i="1"/>
  <c r="DA72" i="1"/>
  <c r="CQ72" i="1"/>
  <c r="AE71" i="1"/>
  <c r="AU34" i="1"/>
  <c r="AR44" i="1"/>
  <c r="AC54" i="1"/>
  <c r="Q66" i="1"/>
  <c r="BL44" i="1"/>
  <c r="BW66" i="1"/>
  <c r="EB74" i="1"/>
  <c r="BK35" i="1"/>
  <c r="AX66" i="1"/>
  <c r="AN55" i="1"/>
  <c r="BN44" i="1"/>
  <c r="CT72" i="1"/>
  <c r="BC72" i="1"/>
  <c r="EO75" i="1"/>
  <c r="DG75" i="1"/>
  <c r="T72" i="1"/>
  <c r="DF34" i="1"/>
  <c r="DK34" i="1"/>
  <c r="CG60" i="1"/>
  <c r="AB35" i="1"/>
  <c r="EZ54" i="1"/>
  <c r="CP72" i="1"/>
  <c r="BS72" i="1"/>
  <c r="AZ67" i="1"/>
  <c r="DF66" i="1"/>
  <c r="CD34" i="1"/>
  <c r="P54" i="1"/>
  <c r="BS35" i="1"/>
  <c r="L61" i="1"/>
  <c r="DJ76" i="1"/>
  <c r="V46" i="1"/>
  <c r="O72" i="1"/>
  <c r="CJ72" i="1"/>
  <c r="CD35" i="1"/>
  <c r="EQ45" i="1"/>
  <c r="BC44" i="1"/>
  <c r="DA60" i="1"/>
  <c r="N44" i="1"/>
  <c r="BR83" i="1"/>
  <c r="FB76" i="1"/>
  <c r="BI72" i="1"/>
  <c r="DM54" i="1"/>
  <c r="FE34" i="1"/>
  <c r="AA46" i="1"/>
  <c r="CU72" i="1"/>
  <c r="CN45" i="1"/>
  <c r="EL44" i="1"/>
  <c r="DW67" i="1"/>
  <c r="CW71" i="1"/>
  <c r="V45" i="1"/>
  <c r="J46" i="1"/>
  <c r="EZ82" i="1"/>
  <c r="Z72" i="1"/>
  <c r="EH75" i="1"/>
  <c r="DZ82" i="1"/>
  <c r="CB75" i="1"/>
  <c r="DS66" i="1"/>
  <c r="DO35" i="1"/>
  <c r="F46" i="1"/>
  <c r="AQ54" i="1"/>
  <c r="BS83" i="1"/>
  <c r="DJ75" i="1"/>
  <c r="BS54" i="1"/>
  <c r="FN66" i="1"/>
  <c r="EA61" i="1"/>
  <c r="CK54" i="1"/>
  <c r="DB74" i="1"/>
  <c r="AY66" i="1"/>
  <c r="DU46" i="1"/>
  <c r="EI76" i="1"/>
  <c r="AA71" i="1"/>
  <c r="CZ35" i="1"/>
  <c r="BI71" i="1"/>
  <c r="BT71" i="1"/>
  <c r="AR71" i="1"/>
  <c r="AB45" i="1"/>
  <c r="AJ61" i="1"/>
  <c r="ER75" i="1"/>
  <c r="DT46" i="1"/>
  <c r="BQ46" i="1"/>
  <c r="DL74" i="1"/>
  <c r="BT60" i="1"/>
  <c r="DS83" i="1"/>
  <c r="EK61" i="1"/>
  <c r="AK71" i="1"/>
  <c r="CT76" i="1"/>
  <c r="H44" i="1"/>
  <c r="AS76" i="1"/>
  <c r="DM46" i="1"/>
  <c r="AG44" i="1"/>
  <c r="BZ71" i="1"/>
  <c r="CV35" i="1"/>
  <c r="EC61" i="1"/>
  <c r="BM71" i="1"/>
  <c r="BI34" i="1"/>
  <c r="BN46" i="1"/>
  <c r="BU46" i="1"/>
  <c r="AQ71" i="1"/>
  <c r="CT34" i="1"/>
  <c r="DN67" i="1"/>
  <c r="ER34" i="1"/>
  <c r="AL71" i="1"/>
  <c r="AB67" i="1"/>
  <c r="DA76" i="1"/>
  <c r="AX72" i="1"/>
  <c r="CD72" i="1"/>
  <c r="CK34" i="1"/>
  <c r="FA54" i="1"/>
  <c r="G75" i="1"/>
  <c r="DC44" i="1"/>
  <c r="EH46" i="1"/>
  <c r="FO34" i="1"/>
  <c r="DB44" i="1"/>
  <c r="AK61" i="1"/>
  <c r="EJ61" i="1"/>
  <c r="ED46" i="1"/>
  <c r="BE60" i="1"/>
  <c r="FL55" i="1"/>
  <c r="BA67" i="1"/>
  <c r="CJ67" i="1"/>
  <c r="BX72" i="1"/>
  <c r="DE46" i="1"/>
  <c r="R55" i="1"/>
  <c r="DG54" i="1"/>
  <c r="G55" i="1"/>
  <c r="BP72" i="1"/>
  <c r="CE54" i="1"/>
  <c r="DV83" i="1"/>
  <c r="ET45" i="1"/>
  <c r="CA34" i="1"/>
  <c r="DG76" i="1"/>
  <c r="BG45" i="1"/>
  <c r="DN55" i="1"/>
  <c r="AE46" i="1"/>
  <c r="EX83" i="1"/>
  <c r="AV71" i="1"/>
  <c r="CK72" i="1"/>
  <c r="AL60" i="1"/>
  <c r="AB82" i="1"/>
  <c r="CQ71" i="1"/>
  <c r="Y75" i="1"/>
  <c r="EZ45" i="1"/>
  <c r="FK46" i="1"/>
  <c r="DF75" i="1"/>
  <c r="I83" i="1"/>
  <c r="BP54" i="1"/>
  <c r="AM76" i="1"/>
  <c r="EN54" i="1"/>
  <c r="EV60" i="1"/>
  <c r="DN75" i="1"/>
  <c r="BY61" i="1"/>
  <c r="R61" i="1"/>
  <c r="AO72" i="1"/>
  <c r="AT71" i="1"/>
  <c r="FH46" i="1"/>
  <c r="DN82" i="1"/>
  <c r="AP60" i="1"/>
  <c r="ED55" i="1"/>
  <c r="AP54" i="1"/>
  <c r="FO82" i="1"/>
  <c r="CD67" i="1"/>
  <c r="AW82" i="1"/>
  <c r="CB71" i="1"/>
  <c r="CI60" i="1"/>
  <c r="BJ71" i="1"/>
  <c r="FB54" i="1"/>
  <c r="CI35" i="1"/>
  <c r="FF46" i="1"/>
  <c r="CZ71" i="1"/>
  <c r="CR60" i="1"/>
  <c r="BA66" i="1"/>
  <c r="DX35" i="1"/>
  <c r="CH66" i="1"/>
  <c r="BF71" i="1"/>
  <c r="AA75" i="1"/>
  <c r="EU46" i="1"/>
  <c r="AW71" i="1"/>
  <c r="EH67" i="1"/>
  <c r="AJ35" i="1"/>
  <c r="EF61" i="1"/>
  <c r="EU74" i="1"/>
  <c r="BQ72" i="1"/>
  <c r="DR66" i="1"/>
  <c r="BV66" i="1"/>
  <c r="AP66" i="1"/>
  <c r="AT54" i="1"/>
  <c r="FB82" i="1"/>
  <c r="CD44" i="1"/>
  <c r="CI71" i="1"/>
  <c r="EN44" i="1"/>
  <c r="EY44" i="1"/>
  <c r="R46" i="1"/>
  <c r="AV35" i="1"/>
  <c r="FH76" i="1"/>
  <c r="CK35" i="1"/>
  <c r="EB67" i="1"/>
  <c r="EX45" i="1"/>
  <c r="AR66" i="1"/>
  <c r="CK60" i="1"/>
  <c r="AX71" i="1"/>
  <c r="AR60" i="1"/>
  <c r="EO35" i="1"/>
  <c r="CF66" i="1"/>
  <c r="DU54" i="1"/>
  <c r="BJ54" i="1"/>
  <c r="K34" i="1"/>
  <c r="EV66" i="1"/>
  <c r="AV72" i="1"/>
  <c r="ES74" i="1"/>
  <c r="CK71" i="1"/>
  <c r="BZ74" i="1"/>
  <c r="BH44" i="1"/>
  <c r="AJ54" i="1"/>
  <c r="AP71" i="1"/>
  <c r="FE44" i="1"/>
  <c r="DO55" i="1"/>
  <c r="BG75" i="1"/>
  <c r="DB46" i="1"/>
  <c r="EI61" i="1"/>
  <c r="FL35" i="1"/>
  <c r="CN72" i="1"/>
  <c r="EK76" i="1"/>
  <c r="BU76" i="1"/>
  <c r="S45" i="1"/>
  <c r="EX60" i="1"/>
  <c r="BG71" i="1"/>
  <c r="CS76" i="1"/>
  <c r="CA72" i="1"/>
  <c r="CF72" i="1"/>
  <c r="BY44" i="1"/>
  <c r="FP44" i="1"/>
  <c r="FE55" i="1"/>
  <c r="EL83" i="1"/>
  <c r="AJ82" i="1"/>
  <c r="EU76" i="1"/>
  <c r="DC60" i="1"/>
  <c r="J76" i="1"/>
  <c r="AK34" i="1"/>
  <c r="CD45" i="1"/>
  <c r="ED44" i="1"/>
  <c r="AA74" i="1"/>
  <c r="CO71" i="1"/>
  <c r="AL54" i="1"/>
  <c r="BX75" i="1"/>
  <c r="BE72" i="1"/>
  <c r="AG76" i="1"/>
  <c r="FD66" i="1"/>
  <c r="DU60" i="1"/>
  <c r="CM44" i="1"/>
  <c r="AL72" i="1"/>
  <c r="AG61" i="1"/>
  <c r="CK45" i="1"/>
  <c r="ET82" i="1"/>
  <c r="FL67" i="1"/>
  <c r="DH82" i="1"/>
  <c r="BD35" i="1"/>
  <c r="CM83" i="1"/>
  <c r="W61" i="1"/>
  <c r="AQ44" i="1"/>
  <c r="DX76" i="1"/>
  <c r="BN55" i="1"/>
  <c r="FM83" i="1"/>
  <c r="BO72" i="1"/>
  <c r="AW76" i="1"/>
  <c r="FE66" i="1"/>
  <c r="CW34" i="1"/>
  <c r="EF75" i="1"/>
  <c r="EF45" i="1"/>
  <c r="Q74" i="1"/>
  <c r="DD61" i="1"/>
  <c r="FH44" i="1"/>
  <c r="EG55" i="1"/>
  <c r="FH66" i="1"/>
  <c r="H71" i="1"/>
  <c r="EM55" i="1"/>
  <c r="AD66" i="1"/>
  <c r="EJ83" i="1"/>
  <c r="AZ72" i="1"/>
  <c r="AN72" i="1"/>
  <c r="CV72" i="1"/>
  <c r="BX71" i="1"/>
  <c r="BM44" i="1"/>
  <c r="BO76" i="1"/>
  <c r="CI66" i="1"/>
  <c r="DA71" i="1"/>
  <c r="AQ45" i="1"/>
  <c r="EB44" i="1"/>
  <c r="AH67" i="1"/>
  <c r="W82" i="1"/>
  <c r="CR71" i="1"/>
  <c r="AW35" i="1"/>
  <c r="AN74" i="1"/>
  <c r="BY54" i="1"/>
  <c r="F61" i="1"/>
  <c r="H67" i="1"/>
  <c r="CW61" i="1"/>
  <c r="Y67" i="1"/>
  <c r="AJ66" i="1"/>
  <c r="EW75" i="1"/>
  <c r="CI72" i="1"/>
  <c r="CT71" i="1"/>
  <c r="DJ34" i="1"/>
  <c r="DD75" i="1"/>
  <c r="DL75" i="1"/>
  <c r="DH35" i="1"/>
  <c r="R82" i="1"/>
  <c r="BZ44" i="1"/>
  <c r="BZ75" i="1"/>
  <c r="CR72" i="1"/>
  <c r="CY54" i="1"/>
  <c r="EE61" i="1"/>
  <c r="DU35" i="1"/>
  <c r="CX71" i="1"/>
  <c r="AH74" i="1"/>
  <c r="AO67" i="1"/>
  <c r="DE61" i="1"/>
  <c r="CF71" i="1"/>
  <c r="FN60" i="1"/>
  <c r="CM67" i="1"/>
  <c r="CH72" i="1"/>
  <c r="CN60" i="1"/>
  <c r="DL44" i="1"/>
  <c r="FD61" i="1"/>
  <c r="DS54" i="1"/>
  <c r="E66" i="1"/>
  <c r="DA44" i="1"/>
  <c r="CR35" i="1"/>
  <c r="BT34" i="1"/>
  <c r="FP60" i="1"/>
  <c r="BU83" i="1"/>
  <c r="AF76" i="1"/>
  <c r="EK75" i="1"/>
  <c r="CE83" i="1"/>
  <c r="AW55" i="1"/>
  <c r="Q55" i="1"/>
  <c r="AS83" i="1"/>
  <c r="CC46" i="1"/>
  <c r="U66" i="1"/>
  <c r="I55" i="1"/>
  <c r="CH44" i="1"/>
  <c r="DR54" i="1"/>
  <c r="BO45" i="1"/>
  <c r="AO66" i="1"/>
  <c r="AB34" i="1"/>
  <c r="EA76" i="1"/>
  <c r="DF54" i="1"/>
  <c r="DP34" i="1"/>
  <c r="FH35" i="1"/>
  <c r="EC35" i="1"/>
  <c r="AN60" i="1"/>
  <c r="AL34" i="1"/>
  <c r="FP75" i="1"/>
  <c r="BP44" i="1"/>
  <c r="BO55" i="1"/>
  <c r="AV67" i="1"/>
  <c r="EC74" i="1"/>
  <c r="EP35" i="1"/>
  <c r="BO82" i="1"/>
  <c r="BD54" i="1"/>
  <c r="AA44" i="1"/>
  <c r="CJ54" i="1"/>
  <c r="Z35" i="1"/>
  <c r="H74" i="1"/>
  <c r="EU35" i="1"/>
  <c r="CX54" i="1"/>
  <c r="DI83" i="1"/>
  <c r="BA55" i="1"/>
  <c r="O76" i="1"/>
  <c r="U72" i="1"/>
  <c r="EV34" i="1"/>
  <c r="CZ74" i="1"/>
  <c r="V67" i="1"/>
  <c r="ER35" i="1"/>
  <c r="BJ76" i="1"/>
  <c r="CC35" i="1"/>
  <c r="EN34" i="1"/>
  <c r="CR66" i="1"/>
  <c r="FO60" i="1"/>
  <c r="DY61" i="1"/>
  <c r="Y46" i="1"/>
  <c r="AX55" i="1"/>
  <c r="AK76" i="1"/>
  <c r="AB83" i="1"/>
  <c r="AE75" i="1"/>
  <c r="AZ66" i="1"/>
  <c r="CE76" i="1"/>
  <c r="FL83" i="1"/>
  <c r="AN34" i="1"/>
  <c r="AC66" i="1"/>
  <c r="EJ45" i="1"/>
  <c r="AT44" i="1"/>
  <c r="AL82" i="1"/>
  <c r="DF61" i="1"/>
  <c r="BY66" i="1"/>
  <c r="EF46" i="1"/>
  <c r="EF55" i="1"/>
  <c r="CC83" i="1"/>
  <c r="AC46" i="1"/>
  <c r="FH61" i="1"/>
  <c r="CR46" i="1"/>
  <c r="AL75" i="1"/>
  <c r="DK83" i="1"/>
  <c r="CV44" i="1"/>
  <c r="V75" i="1"/>
  <c r="K67" i="1"/>
  <c r="BW34" i="1"/>
  <c r="EB54" i="1"/>
  <c r="FN82" i="1"/>
  <c r="BG34" i="1"/>
  <c r="T75" i="1"/>
  <c r="AL55" i="1"/>
  <c r="K72" i="1"/>
  <c r="E67" i="1"/>
  <c r="FM66" i="1"/>
  <c r="AM34" i="1"/>
  <c r="BI67" i="1"/>
  <c r="DO60" i="1"/>
  <c r="CB67" i="1"/>
  <c r="EP44" i="1"/>
  <c r="FD60" i="1"/>
  <c r="K83" i="1"/>
  <c r="DH74" i="1"/>
  <c r="DS44" i="1"/>
  <c r="FO46" i="1"/>
  <c r="DL76" i="1"/>
  <c r="DN34" i="1"/>
  <c r="FD34" i="1"/>
  <c r="ER74" i="1"/>
  <c r="CB82" i="1"/>
  <c r="EI34" i="1"/>
  <c r="CE35" i="1"/>
  <c r="J61" i="1"/>
  <c r="BJ83" i="1"/>
  <c r="BQ44" i="1"/>
  <c r="AB66" i="1"/>
  <c r="EU60" i="1"/>
  <c r="DH66" i="1"/>
  <c r="R34" i="1"/>
  <c r="EJ55" i="1"/>
  <c r="W72" i="1"/>
  <c r="P75" i="1"/>
  <c r="CM66" i="1"/>
  <c r="BT46" i="1"/>
  <c r="EB45" i="1"/>
  <c r="FG82" i="1"/>
  <c r="AG54" i="1"/>
  <c r="DE35" i="1"/>
  <c r="BL55" i="1"/>
  <c r="CW35" i="1"/>
  <c r="J83" i="1"/>
  <c r="T44" i="1"/>
  <c r="H55" i="1"/>
  <c r="I34" i="1"/>
  <c r="AL61" i="1"/>
  <c r="AZ60" i="1"/>
  <c r="AU55" i="1"/>
  <c r="Q71" i="1"/>
  <c r="CJ66" i="1"/>
  <c r="AI55" i="1"/>
  <c r="AA76" i="1"/>
  <c r="FG45" i="1"/>
  <c r="CO74" i="1"/>
  <c r="CU35" i="1"/>
  <c r="DD60" i="1"/>
  <c r="I35" i="1"/>
  <c r="DO67" i="1"/>
  <c r="AI66" i="1"/>
  <c r="AB75" i="1"/>
  <c r="AK44" i="1"/>
  <c r="H76" i="1"/>
  <c r="AD83" i="1"/>
  <c r="EZ75" i="1"/>
  <c r="K55" i="1"/>
  <c r="CL66" i="1"/>
  <c r="BG61" i="1"/>
  <c r="DG83" i="1"/>
  <c r="CX44" i="1"/>
  <c r="BD67" i="1"/>
  <c r="CG46" i="1"/>
  <c r="EW46" i="1"/>
  <c r="AF45" i="1"/>
  <c r="BW74" i="1"/>
  <c r="DH75" i="1"/>
  <c r="DU55" i="1"/>
  <c r="AL76" i="1"/>
  <c r="CZ54" i="1"/>
  <c r="FN74" i="1"/>
  <c r="AH61" i="1"/>
  <c r="DX34" i="1"/>
  <c r="FN45" i="1"/>
  <c r="AM82" i="1"/>
  <c r="DS67" i="1"/>
  <c r="EV67" i="1"/>
  <c r="BP66" i="1"/>
  <c r="DU76" i="1"/>
  <c r="BE82" i="1"/>
  <c r="AG55" i="1"/>
  <c r="CR54" i="1"/>
  <c r="AF54" i="1"/>
  <c r="FA55" i="1"/>
  <c r="Y61" i="1"/>
  <c r="ED45" i="1"/>
  <c r="ET66" i="1"/>
  <c r="BZ83" i="1"/>
  <c r="CW46" i="1"/>
  <c r="CE60" i="1"/>
  <c r="AD75" i="1"/>
  <c r="DB45" i="1"/>
  <c r="AZ74" i="1"/>
  <c r="BL82" i="1"/>
  <c r="FA67" i="1"/>
  <c r="BD61" i="1"/>
  <c r="BC61" i="1"/>
  <c r="BQ82" i="1"/>
  <c r="M55" i="1"/>
  <c r="CW74" i="1"/>
  <c r="BD83" i="1"/>
  <c r="BI66" i="1"/>
  <c r="DD44" i="1"/>
  <c r="FP74" i="1"/>
  <c r="DR44" i="1"/>
  <c r="FP34" i="1"/>
  <c r="CD55" i="1"/>
  <c r="CL82" i="1"/>
  <c r="AJ55" i="1"/>
  <c r="AC60" i="1"/>
  <c r="AX83" i="1"/>
  <c r="DD46" i="1"/>
  <c r="DR83" i="1"/>
  <c r="ET67" i="1"/>
  <c r="AA66" i="1"/>
  <c r="CL45" i="1"/>
  <c r="FL76" i="1"/>
  <c r="DJ82" i="1"/>
  <c r="CC55" i="1"/>
  <c r="BP74" i="1"/>
  <c r="EO60" i="1"/>
  <c r="FK83" i="1"/>
  <c r="DI75" i="1"/>
  <c r="K82" i="1"/>
  <c r="CT35" i="1"/>
  <c r="H75" i="1"/>
  <c r="EO76" i="1"/>
  <c r="DY44" i="1"/>
  <c r="CZ60" i="1"/>
  <c r="S76" i="1"/>
  <c r="W54" i="1"/>
  <c r="L83" i="1"/>
  <c r="EL60" i="1"/>
  <c r="FN76" i="1"/>
  <c r="BH34" i="1"/>
  <c r="BJ60" i="1"/>
  <c r="CV45" i="1"/>
  <c r="AT67" i="1"/>
  <c r="EE75" i="1"/>
  <c r="FI60" i="1"/>
  <c r="FP55" i="1"/>
  <c r="EY60" i="1"/>
  <c r="AE74" i="1"/>
  <c r="FL82" i="1"/>
  <c r="BL46" i="1"/>
  <c r="S44" i="1"/>
  <c r="EY83" i="1"/>
  <c r="BB45" i="1"/>
  <c r="EG54" i="1"/>
  <c r="EJ60" i="1"/>
  <c r="AP67" i="1"/>
  <c r="FD46" i="1"/>
  <c r="DK55" i="1"/>
  <c r="AC82" i="1"/>
  <c r="DQ66" i="1"/>
  <c r="BM35" i="1"/>
  <c r="CV54" i="1"/>
  <c r="BT66" i="1"/>
  <c r="DA61" i="1"/>
  <c r="CS61" i="1"/>
  <c r="N82" i="1"/>
  <c r="EB66" i="1"/>
  <c r="DT61" i="1"/>
  <c r="FJ82" i="1"/>
  <c r="AX76" i="1"/>
  <c r="CF35" i="1"/>
  <c r="DN61" i="1"/>
  <c r="CU44" i="1"/>
  <c r="DT75" i="1"/>
  <c r="AQ83" i="1"/>
  <c r="E71" i="1"/>
  <c r="AD46" i="1"/>
  <c r="BS55" i="1"/>
  <c r="EQ83" i="1"/>
  <c r="EX76" i="1"/>
  <c r="DH67" i="1"/>
  <c r="FM67" i="1"/>
  <c r="G72" i="1"/>
  <c r="V55" i="1"/>
  <c r="P46" i="1"/>
  <c r="CA54" i="1"/>
  <c r="AV55" i="1"/>
  <c r="R75" i="1"/>
  <c r="AX35" i="1"/>
  <c r="DP54" i="1"/>
  <c r="AY55" i="1"/>
  <c r="ER83" i="1"/>
  <c r="FB66" i="1"/>
  <c r="DM45" i="1"/>
  <c r="EO45" i="1"/>
  <c r="FL75" i="1"/>
  <c r="AN76" i="1"/>
  <c r="FA45" i="1"/>
  <c r="J35" i="1"/>
  <c r="EC76" i="1"/>
  <c r="FC46" i="1"/>
  <c r="G76" i="1"/>
  <c r="U74" i="1"/>
  <c r="E34" i="1"/>
  <c r="AE55" i="1"/>
  <c r="BT44" i="1"/>
  <c r="CJ75" i="1"/>
  <c r="O71" i="1"/>
  <c r="EB60" i="1"/>
  <c r="F35" i="1"/>
  <c r="CP55" i="1"/>
  <c r="AN66" i="1"/>
  <c r="CC76" i="1"/>
  <c r="FG54" i="1"/>
  <c r="O74" i="1"/>
  <c r="CD82" i="1"/>
  <c r="DQ82" i="1"/>
  <c r="BZ67" i="1"/>
  <c r="CP54" i="1"/>
  <c r="BC34" i="1"/>
  <c r="FF45" i="1"/>
  <c r="EZ55" i="1"/>
  <c r="AQ67" i="1"/>
  <c r="CO55" i="1"/>
  <c r="AF60" i="1"/>
  <c r="DN45" i="1"/>
  <c r="BO61" i="1"/>
  <c r="L67" i="1"/>
  <c r="DC75" i="1"/>
  <c r="AG66" i="1"/>
  <c r="J60" i="1"/>
  <c r="AR82" i="1"/>
  <c r="CY82" i="1"/>
  <c r="DO34" i="1"/>
  <c r="AY76" i="1"/>
  <c r="BN66" i="1"/>
  <c r="U76" i="1"/>
  <c r="BC75" i="1"/>
  <c r="FJ44" i="1"/>
  <c r="CO45" i="1"/>
  <c r="FC45" i="1"/>
  <c r="I46" i="1"/>
  <c r="FF35" i="1"/>
  <c r="BR66" i="1"/>
  <c r="FJ60" i="1"/>
  <c r="FG76" i="1"/>
  <c r="BG55" i="1"/>
  <c r="AJ46" i="1"/>
  <c r="CW66" i="1"/>
  <c r="BU35" i="1"/>
  <c r="FJ66" i="1"/>
  <c r="AQ34" i="1"/>
  <c r="W75" i="1"/>
  <c r="DI74" i="1"/>
  <c r="BB54" i="1"/>
  <c r="FM82" i="1"/>
  <c r="EU67" i="1"/>
  <c r="BQ61" i="1"/>
  <c r="Q76" i="1"/>
  <c r="N45" i="1"/>
  <c r="DD54" i="1"/>
  <c r="AE35" i="1"/>
  <c r="CT61" i="1"/>
  <c r="EG44" i="1"/>
  <c r="X83" i="1"/>
  <c r="CY35" i="1"/>
  <c r="AF34" i="1"/>
  <c r="CZ66" i="1"/>
  <c r="BE74" i="1"/>
  <c r="DP83" i="1"/>
  <c r="AQ60" i="1"/>
  <c r="AW60" i="1"/>
  <c r="AK75" i="1"/>
  <c r="DZ66" i="1"/>
  <c r="ET76" i="1"/>
  <c r="BX34" i="1"/>
  <c r="DE54" i="1"/>
  <c r="FF61" i="1"/>
  <c r="AJ74" i="1"/>
  <c r="DR45" i="1"/>
  <c r="FF54" i="1"/>
  <c r="BY46" i="1"/>
  <c r="BV55" i="1"/>
  <c r="AZ45" i="1"/>
  <c r="L54" i="1"/>
  <c r="DM83" i="1"/>
  <c r="CN66" i="1"/>
  <c r="AD72" i="1"/>
  <c r="ES55" i="1"/>
  <c r="CF83" i="1"/>
  <c r="AN82" i="1"/>
  <c r="EP75" i="1"/>
  <c r="AV83" i="1"/>
  <c r="DD55" i="1"/>
  <c r="EL46" i="1"/>
  <c r="DK54" i="1"/>
  <c r="AN67" i="1"/>
  <c r="DQ45" i="1"/>
  <c r="DP74" i="1"/>
  <c r="CG45" i="1"/>
  <c r="N55" i="1"/>
  <c r="CV82" i="1"/>
  <c r="CT75" i="1"/>
  <c r="DO45" i="1"/>
  <c r="BJ46" i="1"/>
  <c r="EK60" i="1"/>
  <c r="FG74" i="1"/>
  <c r="FP46" i="1"/>
  <c r="CZ76" i="1"/>
  <c r="FG46" i="1"/>
  <c r="DI54" i="1"/>
  <c r="ED83" i="1"/>
  <c r="AV74" i="1"/>
  <c r="DR67" i="1"/>
  <c r="DD83" i="1"/>
  <c r="AO45" i="1"/>
  <c r="EG75" i="1"/>
  <c r="U35" i="1"/>
  <c r="DC46" i="1"/>
  <c r="CA74" i="1"/>
  <c r="F82" i="1"/>
  <c r="AH34" i="1"/>
  <c r="EJ66" i="1"/>
  <c r="AB72" i="1"/>
  <c r="FI44" i="1"/>
  <c r="FG66" i="1"/>
  <c r="ER82" i="1"/>
  <c r="DC54" i="1"/>
  <c r="EK66" i="1"/>
  <c r="FC35" i="1"/>
  <c r="CE67" i="1"/>
  <c r="V44" i="1"/>
  <c r="CP74" i="1"/>
  <c r="CM54" i="1"/>
  <c r="E60" i="1"/>
  <c r="EM75" i="1"/>
  <c r="ET35" i="1"/>
  <c r="AD82" i="1"/>
  <c r="AQ76" i="1"/>
  <c r="AT55" i="1"/>
  <c r="EA34" i="1"/>
  <c r="EA74" i="1"/>
  <c r="CS83" i="1"/>
  <c r="FJ45" i="1"/>
  <c r="O45" i="1"/>
  <c r="DV46" i="1"/>
  <c r="CX66" i="1"/>
  <c r="BE55" i="1"/>
  <c r="EP76" i="1"/>
  <c r="M61" i="1"/>
  <c r="L55" i="1"/>
  <c r="ER60" i="1"/>
  <c r="CC74" i="1"/>
  <c r="CP35" i="1"/>
  <c r="AS60" i="1"/>
  <c r="FO35" i="1"/>
  <c r="EO55" i="1"/>
  <c r="FA83" i="1"/>
  <c r="DP82" i="1"/>
  <c r="CR34" i="1"/>
  <c r="DI35" i="1"/>
  <c r="FD35" i="1"/>
  <c r="AD55" i="1"/>
  <c r="Y35" i="1"/>
  <c r="T67" i="1"/>
  <c r="CV60" i="1"/>
  <c r="F66" i="1"/>
  <c r="FC60" i="1"/>
  <c r="ES76" i="1"/>
  <c r="BU82" i="1"/>
  <c r="DR55" i="1"/>
  <c r="BK74" i="1"/>
  <c r="DQ76" i="1"/>
  <c r="AE45" i="1"/>
  <c r="BB67" i="1"/>
  <c r="AH60" i="1"/>
  <c r="CQ54" i="1"/>
  <c r="O75" i="1"/>
  <c r="CG75" i="1"/>
  <c r="BC66" i="1"/>
  <c r="O44" i="1"/>
  <c r="DH60" i="1"/>
  <c r="AK66" i="1"/>
  <c r="AC72" i="1"/>
  <c r="X67" i="1"/>
  <c r="EI75" i="1"/>
  <c r="BS34" i="1"/>
  <c r="V35" i="1"/>
  <c r="X54" i="1"/>
  <c r="DH83" i="1"/>
  <c r="CB54" i="1"/>
  <c r="FK74" i="1"/>
  <c r="FL66" i="1"/>
  <c r="AV44" i="1"/>
  <c r="CO35" i="1"/>
  <c r="AY54" i="1"/>
  <c r="DX83" i="1"/>
  <c r="EO74" i="1"/>
  <c r="BM67" i="1"/>
  <c r="EY46" i="1"/>
  <c r="BJ66" i="1"/>
  <c r="AD76" i="1"/>
  <c r="BH74" i="1"/>
  <c r="AM61" i="1"/>
  <c r="H82" i="1"/>
  <c r="DP45" i="1"/>
  <c r="E54" i="1"/>
  <c r="DZ35" i="1"/>
  <c r="AN54" i="1"/>
  <c r="T61" i="1"/>
  <c r="S66" i="1"/>
  <c r="AY35" i="1"/>
  <c r="FA75" i="1"/>
  <c r="AQ82" i="1"/>
  <c r="DI67" i="1"/>
  <c r="EY55" i="1"/>
  <c r="T54" i="1"/>
  <c r="EI67" i="1"/>
  <c r="EV76" i="1"/>
  <c r="BP67" i="1"/>
  <c r="EQ74" i="1"/>
  <c r="CQ60" i="1"/>
  <c r="EF35" i="1"/>
  <c r="E76" i="1"/>
  <c r="CJ74" i="1"/>
  <c r="J54" i="1"/>
  <c r="AU61" i="1"/>
  <c r="FN35" i="1"/>
  <c r="AO54" i="1"/>
  <c r="BS74" i="1"/>
  <c r="BJ45" i="1"/>
  <c r="EZ76" i="1"/>
  <c r="E35" i="1"/>
  <c r="BP76" i="1"/>
  <c r="CU67" i="1"/>
  <c r="BQ66" i="1"/>
  <c r="BS75" i="1"/>
  <c r="EV44" i="1"/>
  <c r="AP55" i="1"/>
  <c r="EM34" i="1"/>
  <c r="L66" i="1"/>
  <c r="CA67" i="1"/>
  <c r="BV82" i="1"/>
  <c r="BX55" i="1"/>
  <c r="AB76" i="1"/>
  <c r="FI82" i="1"/>
  <c r="EP55" i="1"/>
  <c r="DN44" i="1"/>
  <c r="AM45" i="1"/>
  <c r="EJ74" i="1"/>
  <c r="FN61" i="1"/>
  <c r="EU82" i="1"/>
  <c r="DG67" i="1"/>
  <c r="X35" i="1"/>
  <c r="G54" i="1"/>
  <c r="EN45" i="1"/>
  <c r="BD46" i="1"/>
  <c r="FO76" i="1"/>
  <c r="AS82" i="1"/>
  <c r="DK76" i="1"/>
  <c r="EW82" i="1"/>
  <c r="DA45" i="1"/>
  <c r="BA75" i="1"/>
  <c r="DQ44" i="1"/>
  <c r="R66" i="1"/>
  <c r="BE61" i="1"/>
  <c r="BV67" i="1"/>
  <c r="AG35" i="1"/>
  <c r="BO75" i="1"/>
  <c r="AZ46" i="1"/>
  <c r="DT67" i="1"/>
  <c r="BR74" i="1"/>
  <c r="AH71" i="1"/>
  <c r="AG46" i="1"/>
  <c r="FP35" i="1"/>
  <c r="EG34" i="1"/>
  <c r="EW44" i="1"/>
  <c r="EI66" i="1"/>
  <c r="AY60" i="1"/>
  <c r="DX44" i="1"/>
  <c r="ET83" i="1"/>
  <c r="BG82" i="1"/>
  <c r="AF71" i="1"/>
  <c r="L45" i="1"/>
  <c r="DJ35" i="1"/>
  <c r="EY82" i="1"/>
  <c r="FK55" i="1"/>
  <c r="BH67" i="1"/>
  <c r="T74" i="1"/>
  <c r="AY44" i="1"/>
  <c r="AU35" i="1"/>
  <c r="BL74" i="1"/>
  <c r="CP45" i="1"/>
  <c r="DL35" i="1"/>
  <c r="CP61" i="1"/>
  <c r="S46" i="1"/>
  <c r="BH54" i="1"/>
  <c r="BS46" i="1"/>
  <c r="O35" i="1"/>
  <c r="EU83" i="1"/>
  <c r="U45" i="1"/>
  <c r="K44" i="1"/>
  <c r="BQ60" i="1"/>
  <c r="CJ35" i="1"/>
  <c r="N60" i="1"/>
  <c r="M74" i="1"/>
  <c r="AZ35" i="1"/>
  <c r="CL61" i="1"/>
  <c r="CH76" i="1"/>
  <c r="BP82" i="1"/>
  <c r="EF66" i="1"/>
  <c r="CT60" i="1"/>
  <c r="BW76" i="1"/>
  <c r="BO60" i="1"/>
  <c r="BQ34" i="1"/>
  <c r="L74" i="1"/>
  <c r="AH72" i="1"/>
  <c r="BE45" i="1"/>
  <c r="AW83" i="1"/>
  <c r="AH45" i="1"/>
  <c r="CX34" i="1"/>
  <c r="FK35" i="1"/>
  <c r="EV54" i="1"/>
  <c r="AS46" i="1"/>
  <c r="FN34" i="1"/>
  <c r="S83" i="1"/>
  <c r="DS34" i="1"/>
  <c r="DG46" i="1"/>
  <c r="AR76" i="1"/>
  <c r="EM45" i="1"/>
  <c r="BB55" i="1"/>
  <c r="AT34" i="1"/>
  <c r="DB75" i="1"/>
  <c r="CA75" i="1"/>
  <c r="U55" i="1"/>
  <c r="DN74" i="1"/>
  <c r="EC45" i="1"/>
  <c r="EQ67" i="1"/>
  <c r="E55" i="1"/>
  <c r="AI35" i="1"/>
  <c r="Z74" i="1"/>
  <c r="DK66" i="1"/>
  <c r="BN83" i="1"/>
  <c r="BF61" i="1"/>
  <c r="FO66" i="1"/>
  <c r="BU67" i="1"/>
  <c r="FP83" i="1"/>
  <c r="FJ61" i="1"/>
  <c r="CL44" i="1"/>
  <c r="BC45" i="1"/>
  <c r="M75" i="1"/>
  <c r="FI46" i="1"/>
  <c r="BK44" i="1"/>
  <c r="DE82" i="1"/>
  <c r="I74" i="1"/>
  <c r="FB67" i="1"/>
  <c r="DI45" i="1"/>
  <c r="CT54" i="1"/>
  <c r="AI34" i="1"/>
  <c r="DZ45" i="1"/>
  <c r="AW44" i="1"/>
  <c r="CW45" i="1"/>
  <c r="AN61" i="1"/>
  <c r="CF46" i="1"/>
  <c r="BT55" i="1"/>
  <c r="AR83" i="1"/>
  <c r="FE74" i="1"/>
  <c r="DT34" i="1"/>
  <c r="EO83" i="1"/>
  <c r="BL54" i="1"/>
  <c r="CZ61" i="1"/>
  <c r="Z76" i="1"/>
  <c r="BX83" i="1"/>
  <c r="CJ45" i="1"/>
  <c r="K74" i="1"/>
  <c r="CX46" i="1"/>
  <c r="BG67" i="1"/>
  <c r="BM60" i="1"/>
  <c r="EN60" i="1"/>
  <c r="AW67" i="1"/>
  <c r="DZ54" i="1"/>
  <c r="EX46" i="1"/>
  <c r="AE66" i="1"/>
  <c r="EU75" i="1"/>
  <c r="CS75" i="1"/>
  <c r="DR60" i="1"/>
  <c r="U71" i="1"/>
  <c r="BL66" i="1"/>
  <c r="U82" i="1"/>
  <c r="AW66" i="1"/>
  <c r="H45" i="1"/>
  <c r="CJ76" i="1"/>
  <c r="FB45" i="1"/>
  <c r="FH60" i="1"/>
  <c r="AF61" i="1"/>
  <c r="BL76" i="1"/>
  <c r="BK46" i="1"/>
  <c r="BR55" i="1"/>
  <c r="BN45" i="1"/>
  <c r="CE66" i="1"/>
  <c r="ER46" i="1"/>
  <c r="EF76" i="1"/>
  <c r="CQ83" i="1"/>
  <c r="EE44" i="1"/>
  <c r="V74" i="1"/>
  <c r="AS74" i="1"/>
  <c r="CS46" i="1"/>
  <c r="CH45" i="1"/>
  <c r="ES61" i="1"/>
  <c r="AO35" i="1"/>
  <c r="BN35" i="1"/>
  <c r="CL75" i="1"/>
  <c r="AO44" i="1"/>
  <c r="DQ75" i="1"/>
  <c r="BV74" i="1"/>
  <c r="O55" i="1"/>
  <c r="AR34" i="1"/>
  <c r="X55" i="1"/>
  <c r="EU55" i="1"/>
  <c r="BX82" i="1"/>
  <c r="CL54" i="1"/>
  <c r="FC61" i="1"/>
  <c r="DM74" i="1"/>
  <c r="DE76" i="1"/>
  <c r="AC55" i="1"/>
  <c r="CD76" i="1"/>
  <c r="CR83" i="1"/>
  <c r="BV44" i="1"/>
  <c r="AI54" i="1"/>
  <c r="BZ61" i="1"/>
  <c r="S34" i="1"/>
  <c r="X71" i="1"/>
  <c r="EY61" i="1"/>
  <c r="EP54" i="1"/>
  <c r="BW83" i="1"/>
  <c r="CW83" i="1"/>
  <c r="EU66" i="1"/>
  <c r="CL46" i="1"/>
  <c r="P72" i="1"/>
  <c r="AW54" i="1"/>
  <c r="Z46" i="1"/>
  <c r="EM66" i="1"/>
  <c r="AI75" i="1"/>
  <c r="AU44" i="1"/>
  <c r="EY67" i="1"/>
  <c r="DD35" i="1"/>
  <c r="EH74" i="1"/>
  <c r="U83" i="1"/>
  <c r="FN54" i="1"/>
  <c r="DH54" i="1"/>
  <c r="FO67" i="1"/>
  <c r="BP83" i="1"/>
  <c r="BV83" i="1"/>
  <c r="FH74" i="1"/>
  <c r="DK46" i="1"/>
  <c r="DD34" i="1"/>
  <c r="CA83" i="1"/>
  <c r="CU60" i="1"/>
  <c r="DX54" i="1"/>
  <c r="G45" i="1"/>
  <c r="DY74" i="1"/>
  <c r="EQ75" i="1"/>
  <c r="CU54" i="1"/>
  <c r="W83" i="1"/>
  <c r="FN67" i="1"/>
  <c r="FJ83" i="1"/>
  <c r="BB35" i="1"/>
  <c r="EW45" i="1"/>
  <c r="K46" i="1"/>
  <c r="CY45" i="1"/>
  <c r="BV76" i="1"/>
  <c r="Y60" i="1"/>
  <c r="ET74" i="1"/>
  <c r="EP45" i="1"/>
  <c r="EQ44" i="1"/>
  <c r="EI54" i="1"/>
  <c r="ES34" i="1"/>
  <c r="BM76" i="1"/>
  <c r="DJ46" i="1"/>
  <c r="N35" i="1"/>
  <c r="DY46" i="1"/>
  <c r="DU66" i="1"/>
  <c r="BK34" i="1"/>
  <c r="FD83" i="1"/>
  <c r="EK44" i="1"/>
  <c r="FD76" i="1"/>
  <c r="EB82" i="1"/>
  <c r="DK45" i="1"/>
  <c r="DZ74" i="1"/>
  <c r="DU45" i="1"/>
  <c r="CX83" i="1"/>
  <c r="BI82" i="1"/>
  <c r="FC34" i="1"/>
  <c r="BH46" i="1"/>
  <c r="CS67" i="1"/>
  <c r="ER76" i="1"/>
  <c r="CQ74" i="1"/>
  <c r="CJ44" i="1"/>
  <c r="ED82" i="1"/>
  <c r="FG55" i="1"/>
  <c r="DK35" i="1"/>
  <c r="CN67" i="1"/>
  <c r="DC67" i="1"/>
  <c r="EW34" i="1"/>
  <c r="FB60" i="1"/>
  <c r="DA66" i="1"/>
  <c r="I66" i="1"/>
  <c r="AL46" i="1"/>
  <c r="EI44" i="1"/>
  <c r="E46" i="1"/>
  <c r="CH74" i="1"/>
  <c r="EW74" i="1"/>
  <c r="EW54" i="1"/>
  <c r="DO54" i="1"/>
  <c r="AA61" i="1"/>
  <c r="X75" i="1"/>
  <c r="BJ67" i="1"/>
  <c r="BW67" i="1"/>
  <c r="EK54" i="1"/>
  <c r="CR75" i="1"/>
  <c r="FA60" i="1"/>
  <c r="AU82" i="1"/>
  <c r="CQ66" i="1"/>
  <c r="BL61" i="1"/>
  <c r="DJ67" i="1"/>
  <c r="CN61" i="1"/>
  <c r="K54" i="1"/>
  <c r="EV55" i="1"/>
  <c r="BY74" i="1"/>
  <c r="BS67" i="1"/>
  <c r="BR72" i="1"/>
  <c r="BT75" i="1"/>
  <c r="BS66" i="1"/>
  <c r="CJ46" i="1"/>
  <c r="AU46" i="1"/>
  <c r="DQ54" i="1"/>
  <c r="EO54" i="1"/>
  <c r="EO66" i="1"/>
  <c r="BQ71" i="1"/>
  <c r="AQ75" i="1"/>
  <c r="S35" i="1"/>
  <c r="AV54" i="1"/>
  <c r="BM66" i="1"/>
  <c r="FF83" i="1"/>
  <c r="BJ74" i="1"/>
  <c r="BY35" i="1"/>
  <c r="BJ34" i="1"/>
  <c r="X46" i="1"/>
  <c r="DX67" i="1"/>
  <c r="AH66" i="1"/>
  <c r="Z71" i="1"/>
  <c r="H46" i="1"/>
  <c r="BT82" i="1"/>
  <c r="DT60" i="1"/>
  <c r="CQ34" i="1"/>
  <c r="AR74" i="1"/>
  <c r="BC67" i="1"/>
  <c r="AG82" i="1"/>
  <c r="CP75" i="1"/>
  <c r="DB66" i="1"/>
  <c r="BH76" i="1"/>
  <c r="V72" i="1"/>
  <c r="W66" i="1"/>
  <c r="AE72" i="1"/>
  <c r="BE67" i="1"/>
  <c r="FC83" i="1"/>
  <c r="AU60" i="1"/>
  <c r="DS45" i="1"/>
  <c r="DI66" i="1"/>
  <c r="DM34" i="1"/>
  <c r="BG54" i="1"/>
  <c r="CA82" i="1"/>
  <c r="EM82" i="1"/>
  <c r="BU61" i="1"/>
  <c r="F83" i="1"/>
  <c r="DF46" i="1"/>
  <c r="DI82" i="1"/>
  <c r="I67" i="1"/>
  <c r="FC67" i="1"/>
  <c r="BG74" i="1"/>
  <c r="BP46" i="1"/>
  <c r="H54" i="1"/>
  <c r="EM61" i="1"/>
  <c r="CE46" i="1"/>
  <c r="J45" i="1"/>
  <c r="DX61" i="1"/>
  <c r="FM45" i="1"/>
  <c r="DT54" i="1"/>
  <c r="ET44" i="1"/>
  <c r="H60" i="1"/>
  <c r="DW54" i="1"/>
  <c r="R71" i="1"/>
  <c r="ER45" i="1"/>
  <c r="EA46" i="1"/>
  <c r="DM44" i="1"/>
  <c r="BZ46" i="1"/>
  <c r="AE83" i="1"/>
  <c r="EM35" i="1"/>
  <c r="BJ44" i="1"/>
  <c r="CM34" i="1"/>
  <c r="P45" i="1"/>
  <c r="DO66" i="1"/>
  <c r="DK74" i="1"/>
  <c r="CB44" i="1"/>
  <c r="CH61" i="1"/>
  <c r="Q54" i="1"/>
  <c r="L60" i="1"/>
  <c r="BG66" i="1"/>
  <c r="EP60" i="1"/>
  <c r="AU83" i="1"/>
  <c r="EF34" i="1"/>
  <c r="K66" i="1"/>
  <c r="BX67" i="1"/>
  <c r="CY67" i="1"/>
  <c r="CH60" i="1"/>
  <c r="DF35" i="1"/>
  <c r="AM72" i="1"/>
  <c r="BL67" i="1"/>
  <c r="CT83" i="1"/>
  <c r="CI75" i="1"/>
  <c r="DN54" i="1"/>
  <c r="BR54" i="1"/>
  <c r="DR61" i="1"/>
  <c r="EY75" i="1"/>
  <c r="CN74" i="1"/>
  <c r="EI60" i="1"/>
  <c r="DZ60" i="1"/>
  <c r="BH60" i="1"/>
  <c r="AK54" i="1"/>
  <c r="BZ54" i="1"/>
  <c r="F55" i="1"/>
  <c r="AK60" i="1"/>
  <c r="DZ76" i="1"/>
  <c r="BA60" i="1"/>
  <c r="EJ35" i="1"/>
  <c r="BU66" i="1"/>
  <c r="AC76" i="1"/>
  <c r="CO75" i="1"/>
  <c r="AD44" i="1"/>
  <c r="T55" i="1"/>
  <c r="AM55" i="1"/>
  <c r="AM75" i="1"/>
  <c r="AC71" i="1"/>
  <c r="DB61" i="1"/>
  <c r="AC74" i="1"/>
  <c r="EP34" i="1"/>
  <c r="BJ35" i="1"/>
  <c r="EU45" i="1"/>
  <c r="ER44" i="1"/>
  <c r="FI67" i="1"/>
  <c r="CC34" i="1"/>
  <c r="ED76" i="1"/>
  <c r="AF74" i="1"/>
  <c r="DL60" i="1"/>
  <c r="EJ67" i="1"/>
  <c r="FK60" i="1"/>
  <c r="CD66" i="1"/>
  <c r="EY76" i="1"/>
  <c r="DE45" i="1"/>
  <c r="FK54" i="1"/>
  <c r="Q67" i="1"/>
  <c r="FJ74" i="1"/>
  <c r="BC76" i="1"/>
  <c r="FI45" i="1"/>
  <c r="EP82" i="1"/>
  <c r="M44" i="1"/>
  <c r="FD54" i="1"/>
  <c r="S75" i="1"/>
  <c r="AW61" i="1"/>
  <c r="AG60" i="1"/>
  <c r="DW61" i="1"/>
  <c r="FO75" i="1"/>
  <c r="AT76" i="1"/>
  <c r="EL61" i="1"/>
  <c r="FF74" i="1"/>
  <c r="FB75" i="1"/>
  <c r="FF60" i="1"/>
  <c r="CL83" i="1"/>
  <c r="CJ55" i="1"/>
  <c r="EY34" i="1"/>
  <c r="AZ54" i="1"/>
  <c r="AD35" i="1"/>
  <c r="EN67" i="1"/>
  <c r="BQ75" i="1"/>
  <c r="AJ45" i="1"/>
  <c r="DG35" i="1"/>
  <c r="DL46" i="1"/>
  <c r="AC35" i="1"/>
  <c r="CK44" i="1"/>
  <c r="P44" i="1"/>
  <c r="BP75" i="1"/>
  <c r="DH55" i="1"/>
  <c r="AT83" i="1"/>
  <c r="O46" i="1"/>
  <c r="Y74" i="1"/>
  <c r="BZ72" i="1"/>
  <c r="AK45" i="1"/>
  <c r="CK66" i="1"/>
  <c r="CF75" i="1"/>
  <c r="O34" i="1"/>
  <c r="AB55" i="1"/>
  <c r="CR82" i="1"/>
  <c r="DS75" i="1"/>
  <c r="BH45" i="1"/>
  <c r="AW45" i="1"/>
  <c r="K76" i="1"/>
  <c r="BE75" i="1"/>
  <c r="FM54" i="1"/>
  <c r="BD82" i="1"/>
  <c r="EU61" i="1"/>
  <c r="DF55" i="1"/>
  <c r="W71" i="1"/>
  <c r="G74" i="1"/>
  <c r="W34" i="1"/>
  <c r="AL35" i="1"/>
  <c r="AM67" i="1"/>
  <c r="BA83" i="1"/>
  <c r="H72" i="1"/>
  <c r="EX61" i="1"/>
  <c r="DP46" i="1"/>
  <c r="EN83" i="1"/>
  <c r="CR55" i="1"/>
  <c r="DF44" i="1"/>
  <c r="EU44" i="1"/>
  <c r="DU83" i="1"/>
  <c r="BM54" i="1"/>
  <c r="BX61" i="1"/>
  <c r="AX60" i="1"/>
  <c r="FK45" i="1"/>
  <c r="EI83" i="1"/>
  <c r="EM54" i="1"/>
  <c r="CN44" i="1"/>
  <c r="EW35" i="1"/>
  <c r="CX76" i="1"/>
  <c r="W67" i="1"/>
  <c r="EA35" i="1"/>
  <c r="EB61" i="1"/>
  <c r="FA34" i="1"/>
  <c r="BR35" i="1"/>
  <c r="BR60" i="1"/>
  <c r="H66" i="1"/>
  <c r="DM66" i="1"/>
  <c r="AE82" i="1"/>
  <c r="AM54" i="1"/>
  <c r="BP45" i="1"/>
  <c r="ER61" i="1"/>
  <c r="FF34" i="1"/>
  <c r="AD61" i="1"/>
  <c r="BR45" i="1"/>
  <c r="Q82" i="1"/>
  <c r="CP44" i="1"/>
  <c r="AF44" i="1"/>
  <c r="FM60" i="1"/>
  <c r="M34" i="1"/>
  <c r="EV83" i="1"/>
  <c r="DJ61" i="1"/>
  <c r="AS54" i="1"/>
  <c r="AF46" i="1"/>
  <c r="U34" i="1"/>
  <c r="CG66" i="1"/>
  <c r="BJ55" i="1"/>
  <c r="L35" i="1"/>
  <c r="L75" i="1"/>
  <c r="I75" i="1"/>
  <c r="FM46" i="1"/>
  <c r="P76" i="1"/>
  <c r="AX74" i="1"/>
  <c r="CZ46" i="1"/>
  <c r="EV46" i="1"/>
  <c r="DD82" i="1"/>
  <c r="DN35" i="1"/>
  <c r="CP60" i="1"/>
  <c r="CF60" i="1"/>
  <c r="BD66" i="1"/>
  <c r="BR44" i="1"/>
  <c r="CH75" i="1"/>
  <c r="AS55" i="1"/>
  <c r="EZ67" i="1"/>
  <c r="W76" i="1"/>
  <c r="EW83" i="1"/>
  <c r="DB35" i="1"/>
  <c r="DF67" i="1"/>
  <c r="DE66" i="1"/>
  <c r="AK46" i="1"/>
  <c r="DM60" i="1"/>
  <c r="O67" i="1"/>
  <c r="CN54" i="1"/>
  <c r="BF76" i="1"/>
  <c r="CY34" i="1"/>
  <c r="M67" i="1"/>
  <c r="DG34" i="1"/>
  <c r="AG74" i="1"/>
  <c r="V34" i="1"/>
  <c r="CV55" i="1"/>
  <c r="CK61" i="1"/>
  <c r="AR54" i="1"/>
  <c r="CK83" i="1"/>
  <c r="DX74" i="1"/>
  <c r="CO67" i="1"/>
  <c r="N74" i="1"/>
  <c r="BI45" i="1"/>
  <c r="CE45" i="1"/>
  <c r="AP74" i="1"/>
  <c r="S74" i="1"/>
  <c r="BK55" i="1"/>
  <c r="DP75" i="1"/>
  <c r="Z66" i="1"/>
  <c r="DU44" i="1"/>
  <c r="DL34" i="1"/>
  <c r="Q45" i="1"/>
  <c r="EC54" i="1"/>
  <c r="EH66" i="1"/>
  <c r="FL34" i="1"/>
  <c r="T76" i="1"/>
  <c r="AH55" i="1"/>
  <c r="BU74" i="1"/>
  <c r="CS82" i="1"/>
  <c r="EO67" i="1"/>
  <c r="CL67" i="1"/>
  <c r="EC66" i="1"/>
  <c r="FB35" i="1"/>
  <c r="U44" i="1"/>
  <c r="DP67" i="1"/>
  <c r="AM74" i="1"/>
  <c r="BT45" i="1"/>
  <c r="AT74" i="1"/>
  <c r="BQ55" i="1"/>
  <c r="AZ61" i="1"/>
  <c r="BY45" i="1"/>
  <c r="EV61" i="1"/>
  <c r="X61" i="1"/>
  <c r="AB44" i="1"/>
  <c r="AQ74" i="1"/>
  <c r="EI35" i="1"/>
  <c r="CW44" i="1"/>
  <c r="Z54" i="1"/>
  <c r="AZ76" i="1"/>
  <c r="CU34" i="1"/>
  <c r="BM83" i="1"/>
  <c r="DV54" i="1"/>
  <c r="CS74" i="1"/>
  <c r="BY55" i="1"/>
  <c r="FP66" i="1"/>
  <c r="EP46" i="1"/>
  <c r="AO74" i="1"/>
  <c r="CV66" i="1"/>
  <c r="EL34" i="1"/>
  <c r="FM44" i="1"/>
  <c r="V61" i="1"/>
  <c r="BL83" i="1"/>
  <c r="EG74" i="1"/>
  <c r="DS35" i="1"/>
  <c r="DS55" i="1"/>
  <c r="CW82" i="1"/>
  <c r="ED35" i="1"/>
  <c r="FG34" i="1"/>
  <c r="AA34" i="1"/>
  <c r="FE60" i="1"/>
  <c r="AS35" i="1"/>
  <c r="BO35" i="1"/>
  <c r="FF44" i="1"/>
  <c r="DX75" i="1"/>
  <c r="DW74" i="1"/>
  <c r="BM55" i="1"/>
  <c r="I61" i="1"/>
  <c r="AZ34" i="1"/>
  <c r="CF82" i="1"/>
  <c r="FM34" i="1"/>
  <c r="BB76" i="1"/>
  <c r="CQ67" i="1"/>
  <c r="FL54" i="1"/>
  <c r="EG46" i="1"/>
  <c r="CH67" i="1"/>
  <c r="CC75" i="1"/>
  <c r="FL74" i="1"/>
  <c r="ER55" i="1"/>
  <c r="CN35" i="1"/>
  <c r="AC67" i="1"/>
  <c r="FB34" i="1"/>
  <c r="AJ44" i="1"/>
  <c r="DY82" i="1"/>
  <c r="FJ46" i="1"/>
  <c r="CE82" i="1"/>
  <c r="BK76" i="1"/>
  <c r="DW66" i="1"/>
  <c r="H35" i="1"/>
  <c r="AN46" i="1"/>
  <c r="EZ60" i="1"/>
  <c r="DB60" i="1"/>
  <c r="G67" i="1"/>
  <c r="E72" i="1"/>
  <c r="BQ35" i="1"/>
  <c r="AO34" i="1"/>
  <c r="BE76" i="1"/>
  <c r="DG60" i="1"/>
  <c r="AO46" i="1"/>
  <c r="EP67" i="1"/>
  <c r="CM61" i="1"/>
  <c r="BE35" i="1"/>
  <c r="EY66" i="1"/>
  <c r="FH67" i="1"/>
  <c r="EF44" i="1"/>
  <c r="AN45" i="1"/>
  <c r="CB55" i="1"/>
  <c r="FC55" i="1"/>
  <c r="BX76" i="1"/>
  <c r="FD67" i="1"/>
  <c r="DM76" i="1"/>
  <c r="EF67" i="1"/>
  <c r="EB34" i="1"/>
  <c r="DR75" i="1"/>
  <c r="R67" i="1"/>
  <c r="EE45" i="1"/>
  <c r="DX60" i="1"/>
  <c r="AH75" i="1"/>
  <c r="CT55" i="1"/>
  <c r="DZ61" i="1"/>
  <c r="AW75" i="1"/>
  <c r="EG45" i="1"/>
  <c r="CC44" i="1"/>
  <c r="CK75" i="1"/>
  <c r="DQ35" i="1"/>
  <c r="DH45" i="1"/>
  <c r="DT76" i="1"/>
  <c r="EX67" i="1"/>
  <c r="DA82" i="1"/>
  <c r="FO83" i="1"/>
  <c r="EL54" i="1"/>
  <c r="FF55" i="1"/>
  <c r="CD83" i="1"/>
  <c r="BV60" i="1"/>
  <c r="BN76" i="1"/>
  <c r="DR46" i="1"/>
  <c r="EG76" i="1"/>
  <c r="DO82" i="1"/>
  <c r="DO83" i="1"/>
  <c r="BM46" i="1"/>
  <c r="AT45" i="1"/>
  <c r="CU74" i="1"/>
  <c r="CU82" i="1"/>
  <c r="EZ83" i="1"/>
  <c r="DZ44" i="1"/>
  <c r="DP60" i="1"/>
  <c r="FA74" i="1"/>
  <c r="EA55" i="1"/>
  <c r="CL74" i="1"/>
  <c r="AO82" i="1"/>
  <c r="DV60" i="1"/>
  <c r="BH66" i="1"/>
  <c r="BF83" i="1"/>
  <c r="FA61" i="1"/>
  <c r="DB83" i="1"/>
  <c r="AU75" i="1"/>
  <c r="DT44" i="1"/>
  <c r="V82" i="1"/>
  <c r="DC76" i="1"/>
  <c r="N72" i="1"/>
  <c r="FO54" i="1"/>
  <c r="AA72" i="1"/>
  <c r="AY74" i="1"/>
  <c r="BM61" i="1"/>
  <c r="EA60" i="1"/>
  <c r="DK60" i="1"/>
  <c r="BF67" i="1"/>
  <c r="BM75" i="1"/>
  <c r="EE55" i="1"/>
  <c r="FM74" i="1"/>
  <c r="CQ61" i="1"/>
  <c r="DA35" i="1"/>
  <c r="BL60" i="1"/>
  <c r="BA46" i="1"/>
  <c r="BF66" i="1"/>
  <c r="BN34" i="1"/>
  <c r="BG83" i="1"/>
  <c r="DP76" i="1"/>
  <c r="BB44" i="1"/>
  <c r="X76" i="1"/>
  <c r="BP60" i="1"/>
  <c r="AA82" i="1"/>
  <c r="BO66" i="1"/>
  <c r="AA35" i="1"/>
  <c r="BD34" i="1"/>
  <c r="FH75" i="1"/>
  <c r="DI55" i="1"/>
  <c r="AP34" i="1"/>
  <c r="BA61" i="1"/>
  <c r="CG83" i="1"/>
  <c r="CM45" i="1"/>
  <c r="AV34" i="1"/>
  <c r="DP55" i="1"/>
  <c r="DO46" i="1"/>
  <c r="AH35" i="1"/>
  <c r="AU66" i="1"/>
  <c r="FO74" i="1"/>
  <c r="CV74" i="1"/>
  <c r="DC66" i="1"/>
  <c r="DO75" i="1"/>
  <c r="DG74" i="1"/>
  <c r="CX75" i="1"/>
  <c r="AC61" i="1"/>
  <c r="J75" i="1"/>
  <c r="CV75" i="1"/>
  <c r="AG34" i="1"/>
  <c r="AA54" i="1"/>
  <c r="CM35" i="1"/>
  <c r="FL46" i="1"/>
  <c r="DY55" i="1"/>
  <c r="BQ45" i="1"/>
  <c r="CK82" i="1"/>
  <c r="AW34" i="1"/>
  <c r="CA35" i="1"/>
  <c r="CO60" i="1"/>
  <c r="EL75" i="1"/>
  <c r="EX34" i="1"/>
  <c r="DR35" i="1"/>
  <c r="BE66" i="1"/>
  <c r="E75" i="1"/>
  <c r="BA34" i="1"/>
  <c r="T35" i="1"/>
  <c r="AJ83" i="1"/>
  <c r="AF72" i="1"/>
  <c r="BU54" i="1"/>
  <c r="DE74" i="1"/>
  <c r="Y71" i="1"/>
  <c r="DP66" i="1"/>
  <c r="FJ75" i="1"/>
  <c r="BC46" i="1"/>
  <c r="DR76" i="1"/>
  <c r="EB83" i="1"/>
  <c r="BK61" i="1"/>
  <c r="X74" i="1"/>
  <c r="FL60" i="1"/>
  <c r="BW35" i="1"/>
  <c r="EB75" i="1"/>
  <c r="BO46" i="1"/>
  <c r="V54" i="1"/>
  <c r="EX75" i="1"/>
  <c r="Y82" i="1"/>
  <c r="K61" i="1"/>
  <c r="DX55" i="1"/>
  <c r="BG44" i="1"/>
  <c r="AP75" i="1"/>
  <c r="CI46" i="1"/>
  <c r="CJ34" i="1"/>
  <c r="AG75" i="1"/>
  <c r="AN83" i="1"/>
  <c r="BX74" i="1"/>
  <c r="BW55" i="1"/>
  <c r="EO46" i="1"/>
  <c r="FH82" i="1"/>
  <c r="CA60" i="1"/>
  <c r="CZ44" i="1"/>
  <c r="FF67" i="1"/>
  <c r="CU66" i="1"/>
  <c r="CF34" i="1"/>
  <c r="FK76" i="1"/>
  <c r="AE61" i="1"/>
  <c r="AY46" i="1"/>
  <c r="DG45" i="1"/>
  <c r="ET34" i="1"/>
  <c r="DK75" i="1"/>
  <c r="BV54" i="1"/>
  <c r="EK82" i="1"/>
  <c r="AX46" i="1"/>
  <c r="I44" i="1"/>
  <c r="DH76" i="1"/>
  <c r="CL35" i="1"/>
  <c r="N67" i="1"/>
  <c r="BH35" i="1"/>
  <c r="FM61" i="1"/>
  <c r="EK67" i="1"/>
  <c r="AF55" i="1"/>
  <c r="T71" i="1"/>
  <c r="AY34" i="1"/>
  <c r="AB61" i="1"/>
  <c r="AC44" i="1"/>
  <c r="O83" i="1"/>
  <c r="EC34" i="1"/>
  <c r="CV46" i="1"/>
  <c r="FC66" i="1"/>
  <c r="CQ35" i="1"/>
  <c r="CI61" i="1"/>
  <c r="DJ45" i="1"/>
  <c r="DO74" i="1"/>
  <c r="CH35" i="1"/>
  <c r="P82" i="1"/>
  <c r="ED67" i="1"/>
  <c r="CF61" i="1"/>
  <c r="DM61" i="1"/>
  <c r="FO61" i="1"/>
  <c r="FC44" i="1"/>
  <c r="K45" i="1"/>
  <c r="W55" i="1"/>
  <c r="EU54" i="1"/>
  <c r="AI46" i="1"/>
  <c r="W35" i="1"/>
  <c r="AY75" i="1"/>
  <c r="FE76" i="1"/>
  <c r="BW54" i="1"/>
  <c r="CG44" i="1"/>
  <c r="BU44" i="1"/>
  <c r="FE67" i="1"/>
  <c r="BD60" i="1"/>
  <c r="DV67" i="1"/>
  <c r="EQ61" i="1"/>
  <c r="L46" i="1"/>
  <c r="AW46" i="1"/>
  <c r="AH46" i="1"/>
  <c r="BK66" i="1"/>
  <c r="EC82" i="1"/>
  <c r="EB76" i="1"/>
  <c r="DZ67" i="1"/>
  <c r="Q72" i="1"/>
  <c r="EY74" i="1"/>
  <c r="EK74" i="1"/>
  <c r="BZ66" i="1"/>
  <c r="DU67" i="1"/>
  <c r="FE75" i="1"/>
  <c r="BY75" i="1"/>
  <c r="DT55" i="1"/>
  <c r="FI76" i="1"/>
  <c r="CD75" i="1"/>
  <c r="CL60" i="1"/>
  <c r="FD82" i="1"/>
  <c r="AO61" i="1"/>
  <c r="CO61" i="1"/>
  <c r="Y44" i="1"/>
  <c r="P71" i="1"/>
  <c r="BN67" i="1"/>
  <c r="CP34" i="1"/>
  <c r="AL74" i="1"/>
  <c r="M83" i="1"/>
  <c r="DW60" i="1"/>
  <c r="EW67" i="1"/>
  <c r="I76" i="1"/>
  <c r="BY76" i="1"/>
  <c r="BH55" i="1"/>
  <c r="EE54" i="1"/>
  <c r="BA74" i="1"/>
  <c r="BG60" i="1"/>
  <c r="FC54" i="1"/>
  <c r="G46" i="1"/>
  <c r="FF76" i="1"/>
  <c r="BI55" i="1"/>
  <c r="S67" i="1"/>
  <c r="EK83" i="1"/>
  <c r="EN61" i="1"/>
  <c r="EN76" i="1"/>
  <c r="BB82" i="1"/>
  <c r="CT67" i="1"/>
  <c r="EL66" i="1"/>
  <c r="ED66" i="1"/>
  <c r="CW54" i="1"/>
  <c r="AL83" i="1"/>
  <c r="G34" i="1"/>
  <c r="K60" i="1"/>
  <c r="R74" i="1"/>
  <c r="AS45" i="1"/>
  <c r="DY75" i="1"/>
  <c r="AA45" i="1"/>
  <c r="P34" i="1"/>
  <c r="BU60" i="1"/>
  <c r="CG76" i="1"/>
  <c r="AM66" i="1"/>
  <c r="DW35" i="1"/>
  <c r="AS66" i="1"/>
  <c r="AU54" i="1"/>
  <c r="CC54" i="1"/>
  <c r="EY45" i="1"/>
  <c r="K35" i="1"/>
  <c r="DE34" i="1"/>
  <c r="BF45" i="1"/>
  <c r="AO76" i="1"/>
  <c r="V71" i="1"/>
  <c r="EN46" i="1"/>
  <c r="EC83" i="1"/>
  <c r="DR82" i="1"/>
  <c r="CU75" i="1"/>
  <c r="N76" i="1"/>
  <c r="CH46" i="1"/>
  <c r="FG61" i="1"/>
  <c r="M45" i="1"/>
  <c r="BM74" i="1"/>
  <c r="AK82" i="1"/>
  <c r="DQ83" i="1"/>
  <c r="FN46" i="1"/>
  <c r="BS44" i="1"/>
  <c r="K75" i="1"/>
  <c r="P83" i="1"/>
  <c r="DX46" i="1"/>
  <c r="DX66" i="1"/>
  <c r="EC67" i="1"/>
  <c r="DU34" i="1"/>
  <c r="EA75" i="1"/>
  <c r="CX82" i="1"/>
  <c r="E44" i="1"/>
  <c r="DD74" i="1"/>
  <c r="CK74" i="1"/>
  <c r="CZ45" i="1"/>
  <c r="EV75" i="1"/>
  <c r="F45" i="1"/>
  <c r="DR34" i="1"/>
  <c r="CG34" i="1"/>
  <c r="O60" i="1"/>
  <c r="EE76" i="1"/>
  <c r="EE66" i="1"/>
  <c r="FK61" i="1"/>
  <c r="CU45" i="1"/>
  <c r="ED54" i="1"/>
  <c r="CI54" i="1"/>
  <c r="FJ67" i="1"/>
  <c r="CW75" i="1"/>
  <c r="FC74" i="1"/>
  <c r="F67" i="1"/>
  <c r="FH45" i="1"/>
  <c r="DV34" i="1"/>
  <c r="BF75" i="1"/>
  <c r="DB67" i="1"/>
  <c r="CF55" i="1"/>
  <c r="AY67" i="1"/>
  <c r="ER67" i="1"/>
  <c r="DJ74" i="1"/>
  <c r="AD71" i="1"/>
  <c r="S55" i="1"/>
  <c r="CE34" i="1"/>
  <c r="DY83" i="1"/>
  <c r="BC82" i="1"/>
  <c r="BH75" i="1"/>
  <c r="FH34" i="1"/>
  <c r="DL45" i="1"/>
  <c r="AI83" i="1"/>
  <c r="S61" i="1"/>
  <c r="FK34" i="1"/>
  <c r="CN75" i="1"/>
  <c r="EX44" i="1"/>
  <c r="FI55" i="1"/>
  <c r="EU34" i="1"/>
  <c r="AG83" i="1"/>
  <c r="F75" i="1"/>
  <c r="BX44" i="1"/>
  <c r="BG46" i="1"/>
  <c r="FD45" i="1"/>
  <c r="DW75" i="1"/>
  <c r="DM35" i="1"/>
  <c r="CI82" i="1"/>
  <c r="BK75" i="1"/>
  <c r="BC83" i="1"/>
  <c r="M35" i="1"/>
  <c r="FB55" i="1"/>
  <c r="CM46" i="1"/>
  <c r="EJ76" i="1"/>
  <c r="BK60" i="1"/>
  <c r="FP67" i="1"/>
  <c r="EM76" i="1"/>
  <c r="CP46" i="1"/>
  <c r="FK66" i="1"/>
  <c r="BF34" i="1"/>
  <c r="EX66" i="1"/>
  <c r="BB61" i="1"/>
  <c r="DA67" i="1"/>
  <c r="AC83" i="1"/>
  <c r="G60" i="1"/>
  <c r="I71" i="1"/>
  <c r="DS46" i="1"/>
  <c r="AT46" i="1"/>
  <c r="FP82" i="1"/>
  <c r="Z44" i="1"/>
  <c r="DS61" i="1"/>
  <c r="BG35" i="1"/>
  <c r="EH44" i="1"/>
  <c r="BP55" i="1"/>
  <c r="CV76" i="1"/>
  <c r="DP44" i="1"/>
  <c r="DN83" i="1"/>
  <c r="FE54" i="1"/>
  <c r="CY55" i="1"/>
  <c r="EG35" i="1"/>
  <c r="EQ34" i="1"/>
  <c r="AI74" i="1"/>
  <c r="CC45" i="1"/>
  <c r="CG54" i="1"/>
  <c r="BJ61" i="1"/>
  <c r="BN61" i="1"/>
  <c r="DN46" i="1"/>
  <c r="EZ66" i="1"/>
  <c r="CO44" i="1"/>
  <c r="BI60" i="1"/>
  <c r="FI35" i="1"/>
  <c r="DJ54" i="1"/>
  <c r="BE34" i="1"/>
  <c r="FJ55" i="1"/>
  <c r="CU83" i="1"/>
  <c r="EP61" i="1"/>
  <c r="DA75" i="1"/>
  <c r="EG60" i="1"/>
  <c r="DC45" i="1"/>
  <c r="EL45" i="1"/>
  <c r="P66" i="1"/>
  <c r="EF74" i="1"/>
  <c r="DC55" i="1"/>
  <c r="G66" i="1"/>
  <c r="BX45" i="1"/>
  <c r="BR67" i="1"/>
  <c r="BX35" i="1"/>
  <c r="BC54" i="1"/>
  <c r="CI45" i="1"/>
  <c r="N34" i="1"/>
  <c r="CD74" i="1"/>
  <c r="BM34" i="1"/>
  <c r="BS82" i="1"/>
  <c r="BD55" i="1"/>
  <c r="BV46" i="1"/>
  <c r="EE82" i="1"/>
  <c r="EZ46" i="1"/>
  <c r="DQ67" i="1"/>
  <c r="CT45" i="1"/>
  <c r="DP35" i="1"/>
  <c r="FA66" i="1"/>
  <c r="CA46" i="1"/>
  <c r="G83" i="1"/>
  <c r="BT83" i="1"/>
  <c r="AY83" i="1"/>
  <c r="EI74" i="1"/>
  <c r="AA83" i="1"/>
  <c r="AI76" i="1"/>
  <c r="DW82" i="1"/>
  <c r="DD66" i="1"/>
  <c r="AI60" i="1"/>
  <c r="P67" i="1"/>
  <c r="EM67" i="1"/>
  <c r="CG67" i="1"/>
  <c r="DZ75" i="1"/>
  <c r="AV75" i="1"/>
  <c r="FO45" i="1"/>
  <c r="DG82" i="1"/>
  <c r="Z55" i="1"/>
  <c r="CS55" i="1"/>
  <c r="DW45" i="1"/>
  <c r="Q83" i="1"/>
  <c r="L34" i="1"/>
  <c r="AO60" i="1"/>
  <c r="CV34" i="1"/>
  <c r="BY82" i="1"/>
  <c r="AM35" i="1"/>
  <c r="CX74" i="1"/>
  <c r="AI45" i="1"/>
  <c r="CI83" i="1"/>
  <c r="EN55" i="1"/>
  <c r="AE76" i="1"/>
  <c r="FM76" i="1"/>
  <c r="DF76" i="1"/>
  <c r="BA35" i="1"/>
  <c r="BY60" i="1"/>
  <c r="FE35" i="1"/>
  <c r="EV82" i="1"/>
  <c r="BS60" i="1"/>
  <c r="BU34" i="1"/>
  <c r="AA55" i="1"/>
  <c r="FG67" i="1"/>
  <c r="N46" i="1"/>
  <c r="CS45" i="1"/>
  <c r="J71" i="1"/>
  <c r="BZ60" i="1"/>
  <c r="FA46" i="1"/>
  <c r="DV55" i="1"/>
  <c r="BW44" i="1"/>
  <c r="BV61" i="1"/>
  <c r="L76" i="1"/>
  <c r="BO44" i="1"/>
  <c r="ET75" i="1"/>
  <c r="DE83" i="1"/>
  <c r="BB83" i="1"/>
  <c r="BW46" i="1"/>
  <c r="V60" i="1"/>
  <c r="CI34" i="1"/>
  <c r="BF55" i="1"/>
  <c r="DY67" i="1"/>
  <c r="CC82" i="1"/>
  <c r="CO66" i="1"/>
  <c r="AS44" i="1"/>
  <c r="BI54" i="1"/>
  <c r="ES44" i="1"/>
  <c r="EZ34" i="1"/>
  <c r="V76" i="1"/>
  <c r="DA55" i="1"/>
  <c r="DT66" i="1"/>
  <c r="AE60" i="1"/>
  <c r="CQ44" i="1"/>
  <c r="BI44" i="1"/>
  <c r="CK67" i="1"/>
  <c r="EM74" i="1"/>
  <c r="DK61" i="1"/>
  <c r="Y34" i="1"/>
  <c r="FD55" i="1"/>
  <c r="CI44" i="1"/>
  <c r="CQ82" i="1"/>
  <c r="AZ75" i="1"/>
  <c r="G82" i="1"/>
  <c r="CM74" i="1"/>
  <c r="EI82" i="1"/>
  <c r="CH83" i="1"/>
  <c r="BP61" i="1"/>
  <c r="AG71" i="1"/>
  <c r="DJ66" i="1"/>
  <c r="BT54" i="1"/>
  <c r="EI46" i="1"/>
  <c r="O61" i="1"/>
  <c r="DV35" i="1"/>
  <c r="R72" i="1"/>
  <c r="I82" i="1"/>
  <c r="AV76" i="1"/>
  <c r="CY66" i="1"/>
  <c r="FC75" i="1"/>
  <c r="DY60" i="1"/>
  <c r="EW66" i="1"/>
  <c r="BU45" i="1"/>
  <c r="CJ61" i="1"/>
  <c r="X82" i="1"/>
  <c r="BJ82" i="1"/>
  <c r="EL55" i="1"/>
  <c r="CG35" i="1"/>
  <c r="BN54" i="1"/>
  <c r="BS61" i="1"/>
  <c r="BN82" i="1"/>
  <c r="AM83" i="1"/>
  <c r="K71" i="1"/>
  <c r="EP66" i="1"/>
  <c r="DB54" i="1"/>
  <c r="M72" i="1"/>
  <c r="FC76" i="1"/>
  <c r="DR74" i="1"/>
  <c r="AI61" i="1"/>
  <c r="AX82" i="1"/>
  <c r="X60" i="1"/>
  <c r="CQ76" i="1"/>
  <c r="T45" i="1"/>
  <c r="FD44" i="1"/>
  <c r="CT82" i="1"/>
  <c r="CE75" i="1"/>
  <c r="DB82" i="1"/>
  <c r="BT61" i="1"/>
  <c r="DI34" i="1"/>
  <c r="BI35" i="1"/>
  <c r="H61" i="1"/>
  <c r="AQ46" i="1"/>
  <c r="DS74" i="1"/>
  <c r="DL66" i="1"/>
  <c r="EH76" i="1"/>
  <c r="FG83" i="1"/>
  <c r="DQ60" i="1"/>
  <c r="P60" i="1"/>
  <c r="FN44" i="1"/>
  <c r="BI76" i="1"/>
  <c r="CS34" i="1"/>
  <c r="BL34" i="1"/>
  <c r="DA54" i="1"/>
  <c r="CD60" i="1"/>
  <c r="FA44" i="1"/>
  <c r="CP67" i="1"/>
  <c r="CK76" i="1"/>
  <c r="AW74" i="1"/>
  <c r="W74" i="1"/>
  <c r="DV75" i="1"/>
  <c r="FE46" i="1"/>
  <c r="BQ83" i="1"/>
  <c r="AE54" i="1"/>
  <c r="AA67" i="1"/>
  <c r="M66" i="1"/>
  <c r="EV74" i="1"/>
  <c r="CF67" i="1"/>
  <c r="CZ55" i="1"/>
  <c r="CH82" i="1"/>
  <c r="BZ55" i="1"/>
  <c r="Y83" i="1"/>
  <c r="CO82" i="1"/>
  <c r="EI45" i="1"/>
  <c r="DB76" i="1"/>
  <c r="CG61" i="1"/>
  <c r="AN35" i="1"/>
  <c r="DV61" i="1"/>
  <c r="DT83" i="1"/>
  <c r="BV45" i="1"/>
  <c r="DQ61" i="1"/>
  <c r="EM83" i="1"/>
  <c r="CK55" i="1"/>
  <c r="E45" i="1"/>
  <c r="EH55" i="1"/>
  <c r="EF54" i="1"/>
  <c r="G35" i="1"/>
  <c r="CB61" i="1"/>
  <c r="BT35" i="1"/>
  <c r="Y66" i="1"/>
  <c r="BB46" i="1"/>
  <c r="BM45" i="1"/>
  <c r="CI76" i="1"/>
  <c r="EJ54" i="1"/>
  <c r="CG74" i="1"/>
  <c r="FH83" i="1"/>
  <c r="CA45" i="1"/>
  <c r="BE44" i="1"/>
  <c r="CO83" i="1"/>
  <c r="BC60" i="1"/>
  <c r="AR67" i="1"/>
  <c r="EQ35" i="1"/>
  <c r="EM44" i="1"/>
  <c r="BB74" i="1"/>
  <c r="DB34" i="1"/>
  <c r="CR74" i="1"/>
  <c r="AL45" i="1"/>
  <c r="AR75" i="1"/>
  <c r="BC55" i="1"/>
  <c r="DT74" i="1"/>
  <c r="FA35" i="1"/>
  <c r="P61" i="1"/>
  <c r="FI83" i="1"/>
  <c r="BF82" i="1"/>
  <c r="AU67" i="1"/>
  <c r="CL55" i="1"/>
  <c r="DG66" i="1"/>
  <c r="CR67" i="1"/>
  <c r="DP61" i="1"/>
  <c r="AV66" i="1"/>
  <c r="G71" i="1"/>
  <c r="BA44" i="1"/>
  <c r="BZ82" i="1"/>
  <c r="BW82" i="1"/>
  <c r="EF82" i="1"/>
  <c r="BD45" i="1"/>
  <c r="AV61" i="1"/>
  <c r="AO75" i="1"/>
  <c r="EC75" i="1"/>
  <c r="DF83" i="1"/>
  <c r="DW83" i="1"/>
  <c r="BT74" i="1"/>
  <c r="AQ61" i="1"/>
  <c r="J66" i="1"/>
  <c r="DA83" i="1"/>
  <c r="AQ35" i="1"/>
  <c r="BI74" i="1"/>
  <c r="CI67" i="1"/>
  <c r="FA76" i="1"/>
  <c r="DJ83" i="1"/>
  <c r="FN55" i="1"/>
  <c r="EK35" i="1"/>
  <c r="CS44" i="1"/>
  <c r="EB46" i="1"/>
  <c r="EL74" i="1"/>
  <c r="Q60" i="1"/>
  <c r="FM55" i="1"/>
  <c r="EQ55" i="1"/>
  <c r="E82" i="1"/>
  <c r="AT66" i="1"/>
  <c r="DF74" i="1"/>
  <c r="V66" i="1"/>
  <c r="AS61" i="1"/>
  <c r="EJ34" i="1"/>
  <c r="Q75" i="1"/>
  <c r="T83" i="1"/>
  <c r="AX45" i="1"/>
  <c r="CE44" i="1"/>
  <c r="EQ46" i="1"/>
  <c r="BO83" i="1"/>
  <c r="CI74" i="1"/>
  <c r="BN75" i="1"/>
  <c r="CM55" i="1"/>
  <c r="FG44" i="1"/>
  <c r="DT35" i="1"/>
  <c r="EA82" i="1"/>
  <c r="Q46" i="1"/>
  <c r="DO44" i="1"/>
  <c r="R45" i="1"/>
  <c r="CD46" i="1"/>
  <c r="BQ54" i="1"/>
  <c r="CA55" i="1"/>
  <c r="DZ83" i="1"/>
  <c r="AR61" i="1"/>
  <c r="L82" i="1"/>
  <c r="AT35" i="1"/>
  <c r="DE60" i="1"/>
  <c r="DL54" i="1"/>
  <c r="CU55" i="1"/>
  <c r="EQ54" i="1"/>
  <c r="ES67" i="1"/>
  <c r="FB83" i="1"/>
  <c r="BW61" i="1"/>
  <c r="AH82" i="1"/>
  <c r="Y45" i="1"/>
  <c r="F60" i="1"/>
  <c r="EH83" i="1"/>
  <c r="EK46" i="1"/>
  <c r="DN66" i="1"/>
  <c r="Y54" i="1"/>
  <c r="DE75" i="1"/>
  <c r="BI75" i="1"/>
  <c r="EL82" i="1"/>
  <c r="CB45" i="1"/>
  <c r="CH34" i="1"/>
  <c r="F34" i="1"/>
  <c r="DJ44" i="1"/>
  <c r="CA76" i="1"/>
  <c r="BU55" i="1"/>
  <c r="CY60" i="1"/>
  <c r="EZ74" i="1"/>
  <c r="CG55" i="1"/>
  <c r="DE55" i="1"/>
  <c r="BX60" i="1"/>
  <c r="BX66" i="1"/>
  <c r="BO34" i="1"/>
  <c r="FF66" i="1"/>
  <c r="DC61" i="1"/>
  <c r="O54" i="1"/>
  <c r="S72" i="1"/>
  <c r="DA34" i="1"/>
  <c r="BC74" i="1"/>
  <c r="EE74" i="1"/>
  <c r="DK82" i="1"/>
  <c r="AK35" i="1"/>
  <c r="BV35" i="1"/>
  <c r="DU75" i="1"/>
  <c r="BK67" i="1"/>
  <c r="U67" i="1"/>
  <c r="CI55" i="1"/>
  <c r="ED61" i="1"/>
  <c r="J67" i="1"/>
  <c r="BP34" i="1"/>
  <c r="N75" i="1"/>
  <c r="AB54" i="1"/>
  <c r="AR35" i="1"/>
  <c r="EH61" i="1"/>
  <c r="Q35" i="1"/>
  <c r="H83" i="1"/>
  <c r="BI61" i="1"/>
  <c r="EG61" i="1"/>
  <c r="EB55" i="1"/>
  <c r="FL44" i="1"/>
  <c r="FD75" i="1"/>
  <c r="R83" i="1"/>
  <c r="BK54" i="1"/>
  <c r="DC35" i="1"/>
  <c r="AP82" i="1"/>
  <c r="AB46" i="1"/>
  <c r="CX35" i="1"/>
  <c r="CW55" i="1"/>
  <c r="BZ35" i="1"/>
  <c r="EC60" i="1"/>
  <c r="CN55" i="1"/>
  <c r="P35" i="1"/>
  <c r="FL61" i="1"/>
  <c r="CV67" i="1"/>
  <c r="E74" i="1"/>
  <c r="AI44" i="1"/>
  <c r="FE45" i="1"/>
  <c r="EL35" i="1"/>
  <c r="BY34" i="1"/>
  <c r="BL45" i="1"/>
  <c r="CP66" i="1"/>
  <c r="V83" i="1"/>
  <c r="CC61" i="1"/>
  <c r="EE60" i="1"/>
  <c r="CR45" i="1"/>
  <c r="ES60" i="1"/>
  <c r="CL76" i="1"/>
  <c r="N66" i="1"/>
  <c r="CM82" i="1"/>
  <c r="DZ55" i="1"/>
  <c r="BX46" i="1"/>
  <c r="DL82" i="1"/>
  <c r="AI82" i="1"/>
  <c r="CB74" i="1"/>
  <c r="DC74" i="1"/>
  <c r="CN46" i="1"/>
  <c r="CM76" i="1"/>
  <c r="DF45" i="1"/>
  <c r="DJ60" i="1"/>
  <c r="AL66" i="1"/>
  <c r="DH34" i="1"/>
  <c r="DO61" i="1"/>
  <c r="CB35" i="1"/>
  <c r="BG76" i="1"/>
  <c r="EZ35" i="1"/>
  <c r="EC46" i="1"/>
  <c r="BD76" i="1"/>
  <c r="CN82" i="1"/>
  <c r="CZ83" i="1"/>
  <c r="DM75" i="1"/>
  <c r="ES54" i="1"/>
  <c r="BH83" i="1"/>
  <c r="EL67" i="1"/>
  <c r="BE83" i="1"/>
  <c r="FO44" i="1"/>
  <c r="BO74" i="1"/>
  <c r="BU75" i="1"/>
  <c r="DZ46" i="1"/>
  <c r="EM46" i="1"/>
  <c r="CV83" i="1"/>
  <c r="CW67" i="1"/>
  <c r="DS76" i="1"/>
  <c r="FH54" i="1"/>
  <c r="AP35" i="1"/>
  <c r="U46" i="1"/>
  <c r="BL35" i="1"/>
  <c r="AL44" i="1"/>
  <c r="CZ75" i="1"/>
  <c r="BW60" i="1"/>
  <c r="CS66" i="1"/>
  <c r="FB44" i="1"/>
  <c r="CY75" i="1"/>
  <c r="CR61" i="1"/>
  <c r="CN76" i="1"/>
  <c r="CH54" i="1"/>
  <c r="AB71" i="1"/>
  <c r="AR45" i="1"/>
  <c r="CJ82" i="1"/>
  <c r="FE83" i="1"/>
  <c r="BR82" i="1"/>
  <c r="EX74" i="1"/>
  <c r="ED60" i="1"/>
  <c r="W60" i="1"/>
  <c r="ES35" i="1"/>
  <c r="Q44" i="1"/>
  <c r="M82" i="1"/>
  <c r="ES45" i="1"/>
  <c r="BK83" i="1"/>
  <c r="R54" i="1"/>
  <c r="CL34" i="1"/>
  <c r="AG45" i="1"/>
  <c r="AD34" i="1"/>
  <c r="DY45" i="1"/>
  <c r="AC75" i="1"/>
  <c r="AV82" i="1"/>
  <c r="FI34" i="1"/>
  <c r="BQ76" i="1"/>
  <c r="DL55" i="1"/>
  <c r="DI44" i="1"/>
  <c r="S82" i="1"/>
  <c r="DB55" i="1"/>
  <c r="CF44" i="1"/>
  <c r="DU82" i="1"/>
  <c r="FB61" i="1"/>
  <c r="AX54" i="1"/>
  <c r="AU76" i="1"/>
  <c r="DG55" i="1"/>
  <c r="FM75" i="1"/>
  <c r="EG66" i="1"/>
  <c r="CF54" i="1"/>
  <c r="DJ55" i="1"/>
  <c r="DI76" i="1"/>
  <c r="AS67" i="1"/>
  <c r="BD44" i="1"/>
  <c r="EX35" i="1"/>
  <c r="BV34" i="1"/>
  <c r="N54" i="1"/>
  <c r="CE74" i="1"/>
  <c r="EV45" i="1"/>
  <c r="EH82" i="1"/>
  <c r="CW76" i="1"/>
  <c r="M54" i="1"/>
  <c r="FI66" i="1"/>
  <c r="BF54" i="1"/>
  <c r="FP45" i="1"/>
  <c r="AL67" i="1"/>
  <c r="X72" i="1"/>
  <c r="BB66" i="1"/>
  <c r="FK82" i="1"/>
  <c r="DV74" i="1"/>
  <c r="I60" i="1"/>
  <c r="DY35" i="1"/>
  <c r="EB35" i="1"/>
  <c r="DB72" i="1"/>
  <c r="E83" i="1"/>
  <c r="ET54" i="1"/>
  <c r="DQ46" i="1"/>
  <c r="EO44" i="1"/>
  <c r="EG67" i="1"/>
  <c r="DS60" i="1"/>
  <c r="DE67" i="1"/>
  <c r="EH34" i="1"/>
  <c r="CX45" i="1"/>
  <c r="CM60" i="1"/>
  <c r="O66" i="1"/>
  <c r="FG75" i="1"/>
  <c r="DL61" i="1"/>
  <c r="CB46" i="1"/>
  <c r="EC55" i="1"/>
  <c r="AD45" i="1"/>
  <c r="EV35" i="1"/>
  <c r="BY67" i="1"/>
  <c r="CQ45" i="1"/>
  <c r="BP35" i="1"/>
  <c r="EN75" i="1"/>
  <c r="CH55" i="1"/>
  <c r="DV76" i="1"/>
  <c r="AV46" i="1"/>
  <c r="X66" i="1"/>
  <c r="DI46" i="1"/>
  <c r="EE35" i="1"/>
  <c r="FA82" i="1"/>
  <c r="ES83" i="1"/>
  <c r="CC60" i="1"/>
  <c r="AM46" i="1"/>
  <c r="CA66" i="1"/>
  <c r="Z83" i="1"/>
  <c r="AO83" i="1"/>
  <c r="DH44" i="1"/>
  <c r="AK67" i="1"/>
  <c r="FP54" i="1"/>
  <c r="CY74" i="1"/>
  <c r="AF82" i="1"/>
  <c r="AZ44" i="1"/>
  <c r="AE34" i="1"/>
  <c r="EQ60" i="1"/>
  <c r="AE44" i="1"/>
  <c r="BW45" i="1"/>
  <c r="EC44" i="1"/>
  <c r="BZ45" i="1"/>
  <c r="U54" i="1"/>
  <c r="EG83" i="1"/>
  <c r="N71" i="1"/>
  <c r="BI83" i="1"/>
  <c r="BL75" i="1"/>
  <c r="Z60" i="1"/>
  <c r="CS54" i="1"/>
  <c r="AP83" i="1"/>
  <c r="CN83" i="1"/>
  <c r="EH45" i="1"/>
  <c r="AE67" i="1"/>
  <c r="AO55" i="1"/>
  <c r="BR34" i="1"/>
  <c r="CS60" i="1"/>
  <c r="DU61" i="1"/>
  <c r="CQ75" i="1"/>
  <c r="CQ46" i="1"/>
  <c r="CU76" i="1"/>
  <c r="DA46" i="1"/>
  <c r="E61" i="1"/>
  <c r="AY61" i="1"/>
  <c r="AH44" i="1"/>
  <c r="W46" i="1"/>
  <c r="EE46" i="1"/>
  <c r="AC45" i="1"/>
  <c r="BA82" i="1"/>
  <c r="EE67" i="1"/>
  <c r="CX60" i="1"/>
  <c r="AP76" i="1"/>
  <c r="Y55" i="1"/>
  <c r="CB83" i="1"/>
  <c r="DA74" i="1"/>
  <c r="BE54" i="1"/>
  <c r="AQ66" i="1"/>
  <c r="BN60" i="1"/>
  <c r="ER54" i="1"/>
  <c r="ES66" i="1"/>
  <c r="L71" i="1"/>
  <c r="FI74" i="1"/>
  <c r="EH54" i="1"/>
  <c r="AK74" i="1"/>
  <c r="M46" i="1"/>
  <c r="ED34" i="1"/>
  <c r="CZ34" i="1"/>
  <c r="BO54" i="1"/>
  <c r="CR76" i="1"/>
  <c r="DV82" i="1"/>
  <c r="EA45" i="1"/>
  <c r="AD74" i="1"/>
  <c r="DI61" i="1"/>
  <c r="DT82" i="1"/>
  <c r="DC82" i="1"/>
  <c r="CT44" i="1"/>
  <c r="DW76" i="1"/>
  <c r="AD67" i="1"/>
  <c r="AB60" i="1"/>
  <c r="T60" i="1"/>
  <c r="BT76" i="1"/>
  <c r="CW60" i="1"/>
  <c r="F76" i="1"/>
  <c r="ET55" i="1"/>
  <c r="CU46" i="1"/>
  <c r="T66" i="1"/>
  <c r="BS45" i="1"/>
  <c r="Y72" i="1"/>
  <c r="AP61" i="1"/>
  <c r="S60" i="1"/>
  <c r="BK45" i="1"/>
  <c r="EA66" i="1"/>
  <c r="CK46" i="1"/>
  <c r="CY44" i="1"/>
  <c r="CA61" i="1"/>
  <c r="EH60" i="1"/>
  <c r="CO46" i="1"/>
  <c r="Z75" i="1"/>
  <c r="EE83" i="1"/>
  <c r="AP46" i="1"/>
  <c r="AV60" i="1"/>
  <c r="AJ60" i="1"/>
  <c r="EX54" i="1"/>
  <c r="CB34" i="1"/>
  <c r="AC34" i="1"/>
  <c r="BF44" i="1"/>
  <c r="EF60" i="1"/>
  <c r="DC34" i="1"/>
  <c r="AT61" i="1"/>
  <c r="Z82" i="1"/>
  <c r="CT74" i="1"/>
  <c r="BF60" i="1"/>
  <c r="CB66" i="1"/>
  <c r="AH83" i="1"/>
  <c r="EY35" i="1"/>
  <c r="DW34" i="1"/>
  <c r="CN34" i="1"/>
  <c r="AJ76" i="1"/>
  <c r="U61" i="1"/>
  <c r="EJ44" i="1"/>
  <c r="CY83" i="1"/>
  <c r="DV66" i="1"/>
  <c r="BJ75" i="1"/>
  <c r="EN66" i="1"/>
  <c r="BS76" i="1"/>
  <c r="EQ82" i="1"/>
  <c r="J82" i="1"/>
  <c r="FN75" i="1"/>
  <c r="FF75" i="1"/>
  <c r="FB74" i="1"/>
  <c r="BF35" i="1"/>
  <c r="EW76" i="1"/>
  <c r="M60" i="1"/>
  <c r="W45" i="1"/>
  <c r="BD75" i="1"/>
  <c r="EW61" i="1"/>
  <c r="BC35" i="1"/>
  <c r="CR44" i="1"/>
  <c r="R44" i="1"/>
  <c r="BA45" i="1"/>
  <c r="AG67" i="1"/>
  <c r="Z67" i="1"/>
  <c r="ES75" i="1"/>
  <c r="CZ82" i="1"/>
  <c r="EF83" i="1"/>
  <c r="EI55" i="1"/>
  <c r="DY54" i="1"/>
  <c r="AT82" i="1"/>
  <c r="DM67" i="1"/>
  <c r="ET60" i="1"/>
  <c r="DI60" i="1"/>
  <c r="T46" i="1"/>
  <c r="FO55" i="1"/>
  <c r="FK67" i="1"/>
  <c r="H34" i="1"/>
  <c r="EQ76" i="1"/>
  <c r="FN83" i="1"/>
  <c r="BB75" i="1"/>
  <c r="CO34" i="1"/>
  <c r="EE34" i="1"/>
  <c r="DX45" i="1"/>
  <c r="AZ55" i="1"/>
  <c r="CS35" i="1"/>
  <c r="EK45" i="1"/>
  <c r="AB74" i="1"/>
  <c r="AX44" i="1"/>
  <c r="AX61" i="1"/>
  <c r="T82" i="1"/>
  <c r="O82" i="1"/>
  <c r="DQ55" i="1"/>
  <c r="BY83" i="1"/>
  <c r="T34" i="1"/>
  <c r="EN74" i="1"/>
  <c r="EA67" i="1"/>
  <c r="AM44" i="1"/>
  <c r="FD74" i="1"/>
  <c r="DC71" i="1"/>
  <c r="FJ35" i="1"/>
  <c r="ES46" i="1"/>
  <c r="BV75" i="1"/>
  <c r="ES82" i="1"/>
  <c r="EL76" i="1"/>
  <c r="EW60" i="1"/>
  <c r="BF46" i="1"/>
  <c r="AS34" i="1"/>
  <c r="AQ55" i="1"/>
  <c r="DK67" i="1"/>
  <c r="FL45" i="1"/>
  <c r="CV61" i="1"/>
  <c r="J44" i="1"/>
  <c r="FP76" i="1"/>
  <c r="BR76" i="1"/>
  <c r="CD54" i="1"/>
  <c r="EZ61" i="1"/>
  <c r="AI67" i="1"/>
  <c r="I45" i="1"/>
  <c r="DY34" i="1"/>
  <c r="Z61" i="1"/>
  <c r="AF83" i="1"/>
  <c r="BB60" i="1"/>
  <c r="ET46" i="1"/>
  <c r="AF75" i="1"/>
  <c r="AS75" i="1"/>
  <c r="CX61" i="1"/>
  <c r="CY46" i="1"/>
  <c r="CB76" i="1"/>
  <c r="DC72" i="1"/>
  <c r="DB71" i="1"/>
  <c r="BA54" i="1"/>
  <c r="CT46" i="1"/>
  <c r="EK34" i="1"/>
  <c r="CX55" i="1"/>
  <c r="DQ74" i="1"/>
  <c r="DO76" i="1"/>
  <c r="DD76" i="1"/>
  <c r="G61" i="1"/>
  <c r="DN60" i="1"/>
  <c r="FI54" i="1"/>
  <c r="BQ67" i="1"/>
  <c r="R60" i="1"/>
  <c r="CF74" i="1"/>
  <c r="BR46" i="1"/>
  <c r="J72" i="1"/>
  <c r="L72" i="1"/>
  <c r="AY45" i="1"/>
  <c r="BQ74" i="1"/>
  <c r="Z45" i="1"/>
  <c r="EA54" i="1"/>
  <c r="CJ60" i="1"/>
  <c r="AH76" i="1"/>
  <c r="ET61" i="1"/>
  <c r="BK82" i="1"/>
  <c r="FI61" i="1"/>
  <c r="AJ75" i="1"/>
  <c r="DM82" i="1"/>
  <c r="FJ54" i="1"/>
  <c r="CB60" i="1"/>
  <c r="EM60" i="1"/>
  <c r="ER66" i="1"/>
  <c r="R76" i="1"/>
  <c r="BH82" i="1"/>
  <c r="CF76" i="1"/>
  <c r="CP82" i="1"/>
  <c r="AG72" i="1"/>
  <c r="BA76" i="1"/>
  <c r="ED74" i="1"/>
  <c r="CX67" i="1"/>
  <c r="U75" i="1"/>
  <c r="DE72" i="1"/>
  <c r="DE71" i="1"/>
  <c r="DD71" i="1"/>
  <c r="DD72" i="1"/>
  <c r="DH72" i="1"/>
  <c r="DG72" i="1"/>
  <c r="DF71" i="1"/>
  <c r="DG71" i="1"/>
  <c r="DF72" i="1"/>
  <c r="DH71" i="1"/>
  <c r="DI71" i="1"/>
  <c r="DI72" i="1"/>
  <c r="DK71" i="1"/>
  <c r="DJ72" i="1"/>
  <c r="DJ71" i="1"/>
  <c r="DK72" i="1"/>
  <c r="DL72" i="1"/>
  <c r="DL71" i="1"/>
  <c r="DM72" i="1"/>
  <c r="DM71" i="1"/>
  <c r="DN71" i="1"/>
  <c r="DN72" i="1"/>
  <c r="DP71" i="1"/>
  <c r="DO72" i="1"/>
  <c r="DO71" i="1"/>
  <c r="DQ71" i="1"/>
  <c r="DQ72" i="1"/>
  <c r="DP72" i="1"/>
  <c r="DR71" i="1"/>
  <c r="DR72" i="1"/>
  <c r="DS72" i="1"/>
  <c r="DS71" i="1"/>
  <c r="DT72" i="1"/>
  <c r="DT71" i="1"/>
  <c r="DU72" i="1"/>
  <c r="DU71" i="1"/>
  <c r="DW71" i="1"/>
  <c r="DV71" i="1"/>
  <c r="DV72" i="1"/>
  <c r="DW72" i="1"/>
  <c r="DX71" i="1"/>
  <c r="DX72" i="1"/>
  <c r="DY72" i="1"/>
  <c r="DZ72" i="1"/>
  <c r="DY71" i="1"/>
  <c r="DZ71" i="1"/>
  <c r="EA72" i="1"/>
  <c r="EA71" i="1"/>
  <c r="EC71" i="1"/>
  <c r="EB72" i="1"/>
  <c r="EB71" i="1"/>
  <c r="EC72" i="1"/>
  <c r="ED71" i="1"/>
  <c r="ED72" i="1"/>
  <c r="EF72" i="1"/>
  <c r="EE72" i="1"/>
  <c r="EE71" i="1"/>
  <c r="EF71" i="1"/>
  <c r="EG72" i="1"/>
  <c r="EG71" i="1"/>
  <c r="EH71" i="1"/>
  <c r="EH72" i="1"/>
  <c r="EI71" i="1"/>
  <c r="EI72" i="1"/>
  <c r="EJ71" i="1"/>
  <c r="EJ72" i="1"/>
  <c r="EL72" i="1"/>
  <c r="EK72" i="1"/>
  <c r="EK71" i="1"/>
  <c r="EM72" i="1"/>
  <c r="EL71" i="1"/>
  <c r="EM71" i="1"/>
  <c r="EO71" i="1"/>
  <c r="EN72" i="1"/>
  <c r="EN71" i="1"/>
  <c r="EO72" i="1"/>
  <c r="EP72" i="1"/>
  <c r="EP71" i="1"/>
  <c r="ER72" i="1"/>
  <c r="EQ71" i="1"/>
  <c r="EQ72" i="1"/>
  <c r="ES72" i="1"/>
  <c r="ER71" i="1"/>
  <c r="ES71" i="1"/>
  <c r="EU71" i="1"/>
  <c r="ET71" i="1"/>
  <c r="EU72" i="1"/>
  <c r="ET72" i="1"/>
  <c r="EW72" i="1"/>
  <c r="EV72" i="1"/>
  <c r="EV71" i="1"/>
  <c r="EW71" i="1"/>
  <c r="EX72" i="1"/>
  <c r="EX71" i="1"/>
  <c r="EY71" i="1"/>
  <c r="EZ72" i="1"/>
  <c r="EY72" i="1"/>
  <c r="FA72" i="1"/>
  <c r="EZ71" i="1"/>
  <c r="FA71" i="1"/>
  <c r="FB72" i="1"/>
  <c r="FD72" i="1"/>
  <c r="FC71" i="1"/>
  <c r="FC72" i="1"/>
  <c r="FB71" i="1"/>
  <c r="FE72" i="1"/>
  <c r="FD71" i="1"/>
  <c r="FE71" i="1"/>
  <c r="FF72" i="1"/>
  <c r="FF71" i="1"/>
  <c r="FG71" i="1"/>
  <c r="FG72" i="1"/>
  <c r="FH72" i="1"/>
  <c r="FI72" i="1"/>
  <c r="FH71" i="1"/>
  <c r="FI71" i="1"/>
  <c r="FK71" i="1"/>
  <c r="FJ71" i="1"/>
  <c r="FJ72" i="1"/>
  <c r="FK72" i="1"/>
  <c r="FL71" i="1"/>
  <c r="FL72" i="1"/>
  <c r="FM71" i="1"/>
  <c r="FM72" i="1"/>
  <c r="FN71" i="1"/>
  <c r="FN72" i="1"/>
  <c r="FO71" i="1"/>
  <c r="FP71" i="1"/>
  <c r="FO72" i="1"/>
  <c r="FP72" i="1"/>
  <c r="E88" i="1"/>
  <c r="G91" i="1"/>
  <c r="F91" i="1"/>
  <c r="F88" i="1"/>
  <c r="G88" i="1"/>
  <c r="E91" i="1"/>
  <c r="H88" i="1"/>
  <c r="H91" i="1"/>
  <c r="J91" i="1"/>
  <c r="I88" i="1"/>
  <c r="I91" i="1"/>
  <c r="J88" i="1"/>
  <c r="K91" i="1"/>
  <c r="K88" i="1"/>
  <c r="M88" i="1"/>
  <c r="L88" i="1"/>
  <c r="N88" i="1"/>
  <c r="M91" i="1"/>
  <c r="N91" i="1"/>
  <c r="L91" i="1"/>
  <c r="O88" i="1"/>
  <c r="O91" i="1"/>
  <c r="P88" i="1"/>
  <c r="P91" i="1"/>
  <c r="Q91" i="1"/>
  <c r="Q88" i="1"/>
  <c r="R91" i="1"/>
  <c r="R88" i="1"/>
  <c r="T91" i="1"/>
  <c r="S91" i="1"/>
  <c r="U91" i="1"/>
  <c r="S88" i="1"/>
  <c r="V91" i="1"/>
  <c r="T88" i="1"/>
  <c r="V88" i="1"/>
  <c r="U88" i="1"/>
  <c r="W88" i="1"/>
  <c r="W91" i="1"/>
  <c r="X91" i="1"/>
  <c r="X88" i="1"/>
  <c r="Y91" i="1"/>
  <c r="Y88" i="1"/>
  <c r="Z91" i="1"/>
  <c r="Z88" i="1"/>
  <c r="AA88" i="1"/>
  <c r="AB91" i="1"/>
  <c r="AC91" i="1"/>
  <c r="AA91" i="1"/>
  <c r="AB88" i="1"/>
  <c r="AC88" i="1"/>
  <c r="AF91" i="1"/>
  <c r="AE88" i="1"/>
  <c r="AD88" i="1"/>
  <c r="AE91" i="1"/>
  <c r="AD91" i="1"/>
  <c r="AF88" i="1"/>
  <c r="AG91" i="1"/>
  <c r="AH91" i="1"/>
  <c r="AH88" i="1"/>
  <c r="AG88" i="1"/>
  <c r="AI88" i="1"/>
  <c r="AI91" i="1"/>
  <c r="AJ91" i="1"/>
  <c r="AK91" i="1"/>
  <c r="AJ88" i="1"/>
  <c r="AM88" i="1"/>
  <c r="AL88" i="1"/>
  <c r="AL91" i="1"/>
  <c r="AK88" i="1"/>
  <c r="AO88" i="1"/>
  <c r="AM91" i="1"/>
  <c r="AN91" i="1"/>
  <c r="AN88" i="1"/>
  <c r="AO91" i="1"/>
  <c r="AQ91" i="1"/>
  <c r="AP91" i="1"/>
  <c r="AR88" i="1"/>
  <c r="AP88" i="1"/>
  <c r="AQ88" i="1"/>
  <c r="AR91" i="1"/>
  <c r="AS91" i="1"/>
  <c r="AU91" i="1"/>
  <c r="AS88" i="1"/>
  <c r="AT88" i="1"/>
  <c r="AT91" i="1"/>
  <c r="AV91" i="1"/>
  <c r="AU88" i="1"/>
  <c r="AV88" i="1"/>
  <c r="AW91" i="1"/>
  <c r="AX88" i="1"/>
  <c r="AX91" i="1"/>
  <c r="AW88" i="1"/>
  <c r="AY91" i="1"/>
  <c r="BA88" i="1"/>
  <c r="AY88" i="1"/>
  <c r="AZ91" i="1"/>
  <c r="BA91" i="1"/>
  <c r="AZ88" i="1"/>
  <c r="BB88" i="1"/>
  <c r="BB91" i="1"/>
  <c r="BC88" i="1"/>
  <c r="BE91" i="1"/>
  <c r="BD88" i="1"/>
  <c r="BC91" i="1"/>
  <c r="BD91" i="1"/>
  <c r="BE88" i="1"/>
  <c r="BF88" i="1"/>
  <c r="BF91" i="1"/>
  <c r="BG91" i="1"/>
  <c r="BG88" i="1"/>
  <c r="BH88" i="1"/>
  <c r="BI91" i="1"/>
  <c r="BI88" i="1"/>
  <c r="BH91" i="1"/>
  <c r="BK91" i="1"/>
  <c r="BJ91" i="1"/>
  <c r="BK88" i="1"/>
  <c r="BJ88" i="1"/>
  <c r="BM88" i="1"/>
  <c r="BL91" i="1"/>
  <c r="BM91" i="1"/>
  <c r="BL88" i="1"/>
  <c r="BN88" i="1"/>
  <c r="BN91" i="1"/>
  <c r="BO88" i="1"/>
  <c r="BO91" i="1"/>
  <c r="BP88" i="1"/>
  <c r="BR88" i="1"/>
  <c r="BQ88" i="1"/>
  <c r="BP91" i="1"/>
  <c r="BQ91" i="1"/>
  <c r="BR91" i="1"/>
  <c r="BS88" i="1"/>
  <c r="BU91" i="1"/>
  <c r="BV88" i="1"/>
  <c r="BU88" i="1"/>
  <c r="BT88" i="1"/>
  <c r="BT91" i="1"/>
  <c r="BS91" i="1"/>
  <c r="BW91" i="1"/>
  <c r="BV91" i="1"/>
  <c r="BW88" i="1"/>
  <c r="BY91" i="1"/>
  <c r="BX88" i="1"/>
  <c r="BX91" i="1"/>
  <c r="BY88" i="1"/>
  <c r="BZ88" i="1"/>
  <c r="BZ91" i="1"/>
  <c r="CA88" i="1"/>
  <c r="CB88" i="1"/>
  <c r="CA91" i="1"/>
  <c r="CC91" i="1"/>
  <c r="CC88" i="1"/>
  <c r="CB91" i="1"/>
  <c r="CD91" i="1"/>
  <c r="CD88" i="1"/>
  <c r="CE88" i="1"/>
  <c r="CF91" i="1"/>
  <c r="CE91" i="1"/>
  <c r="CG88" i="1"/>
  <c r="CF88" i="1"/>
  <c r="CG91" i="1"/>
  <c r="CH88" i="1"/>
  <c r="CI88" i="1"/>
  <c r="CH91" i="1"/>
  <c r="CI91" i="1"/>
  <c r="CJ91" i="1"/>
  <c r="CJ88" i="1"/>
  <c r="CK91" i="1"/>
  <c r="CK88" i="1"/>
  <c r="CL88" i="1"/>
  <c r="CN91" i="1"/>
  <c r="CM88" i="1"/>
  <c r="CN88" i="1"/>
  <c r="CM91" i="1"/>
  <c r="CL91" i="1"/>
  <c r="CO88" i="1"/>
  <c r="CP88" i="1"/>
  <c r="CO91" i="1"/>
  <c r="CP91" i="1"/>
  <c r="CQ88" i="1"/>
  <c r="CQ91" i="1"/>
  <c r="CR88" i="1"/>
  <c r="CR91" i="1"/>
  <c r="CT91" i="1"/>
  <c r="CS88" i="1"/>
  <c r="CT88" i="1"/>
  <c r="CS91" i="1"/>
  <c r="CU88" i="1"/>
  <c r="CU91" i="1"/>
  <c r="CW88" i="1"/>
  <c r="CV88" i="1"/>
  <c r="CX91" i="1"/>
  <c r="CW91" i="1"/>
  <c r="CV91" i="1"/>
  <c r="CX88" i="1"/>
  <c r="CZ91" i="1"/>
  <c r="CY88" i="1"/>
  <c r="CZ88" i="1"/>
  <c r="CY91" i="1"/>
  <c r="DB91" i="1"/>
  <c r="DA91" i="1"/>
  <c r="DC91" i="1"/>
  <c r="DA88" i="1"/>
  <c r="DC88" i="1"/>
  <c r="DB88" i="1"/>
  <c r="DD88" i="1"/>
  <c r="DD91" i="1"/>
  <c r="DF91" i="1"/>
  <c r="DE91" i="1"/>
  <c r="DF88" i="1"/>
  <c r="DE88" i="1"/>
  <c r="DI91" i="1"/>
  <c r="DH91" i="1"/>
  <c r="DG88" i="1"/>
  <c r="DG91" i="1"/>
  <c r="DH88" i="1"/>
  <c r="DI88" i="1"/>
  <c r="DJ88" i="1"/>
  <c r="DJ91" i="1"/>
  <c r="DM88" i="1"/>
  <c r="DK91" i="1"/>
  <c r="DL91" i="1"/>
  <c r="DK88" i="1"/>
  <c r="DL88" i="1"/>
  <c r="DN88" i="1"/>
  <c r="DM91" i="1"/>
  <c r="DP88" i="1"/>
  <c r="DO88" i="1"/>
  <c r="DN91" i="1"/>
  <c r="DP91" i="1"/>
  <c r="DO91" i="1"/>
  <c r="DR88" i="1"/>
  <c r="DQ91" i="1"/>
  <c r="DS88" i="1"/>
  <c r="DQ88" i="1"/>
  <c r="DR91" i="1"/>
  <c r="DT91" i="1"/>
  <c r="DS91" i="1"/>
  <c r="DT88" i="1"/>
  <c r="DU91" i="1"/>
  <c r="DU88" i="1"/>
  <c r="DV88" i="1"/>
  <c r="DW91" i="1"/>
  <c r="DY91" i="1"/>
  <c r="DW88" i="1"/>
  <c r="DX88" i="1"/>
  <c r="DV91" i="1"/>
  <c r="DX91" i="1"/>
  <c r="DZ88" i="1"/>
  <c r="DZ91" i="1"/>
  <c r="DY88" i="1"/>
  <c r="EA91" i="1"/>
  <c r="EB88" i="1"/>
  <c r="EC91" i="1"/>
  <c r="EA88" i="1"/>
  <c r="EB91" i="1"/>
  <c r="ED88" i="1"/>
  <c r="EC88" i="1"/>
  <c r="EE91" i="1"/>
  <c r="ED91" i="1"/>
  <c r="EF91" i="1"/>
  <c r="EE88" i="1"/>
  <c r="EF88" i="1"/>
  <c r="EG91" i="1"/>
  <c r="EG88" i="1"/>
  <c r="EH91" i="1"/>
  <c r="EH88" i="1"/>
  <c r="EI91" i="1"/>
  <c r="EJ91" i="1"/>
  <c r="EI88" i="1"/>
  <c r="EK91" i="1"/>
  <c r="EJ88" i="1"/>
  <c r="EM91" i="1"/>
  <c r="EM88" i="1"/>
  <c r="EL88" i="1"/>
  <c r="EK88" i="1"/>
  <c r="EL91" i="1"/>
  <c r="EN91" i="1"/>
  <c r="EO88" i="1"/>
  <c r="EN88" i="1"/>
  <c r="EO91" i="1"/>
  <c r="EP91" i="1"/>
  <c r="EQ91" i="1"/>
  <c r="EP88" i="1"/>
  <c r="ER91" i="1"/>
  <c r="EQ88" i="1"/>
  <c r="ER88" i="1"/>
  <c r="ES91" i="1"/>
  <c r="ET88" i="1"/>
  <c r="ES88" i="1"/>
  <c r="ET91" i="1"/>
  <c r="EU88" i="1"/>
  <c r="EV88" i="1"/>
  <c r="EV91" i="1"/>
  <c r="EU91" i="1"/>
  <c r="EX91" i="1"/>
  <c r="EX88" i="1"/>
  <c r="EW88" i="1"/>
  <c r="EW91" i="1"/>
  <c r="EZ91" i="1"/>
  <c r="FA88" i="1"/>
  <c r="EY88" i="1"/>
  <c r="EZ88" i="1"/>
  <c r="EY91" i="1"/>
  <c r="FA91" i="1"/>
  <c r="FC91" i="1"/>
  <c r="FB91" i="1"/>
  <c r="FB88" i="1"/>
  <c r="FE88" i="1"/>
  <c r="FD88" i="1"/>
  <c r="FC88" i="1"/>
  <c r="FG91" i="1"/>
  <c r="FG88" i="1"/>
  <c r="FD91" i="1"/>
  <c r="FE91" i="1"/>
  <c r="FF91" i="1"/>
  <c r="FF88" i="1"/>
  <c r="FH88" i="1"/>
  <c r="FH91" i="1"/>
  <c r="FJ91" i="1"/>
  <c r="FI91" i="1"/>
  <c r="FJ88" i="1"/>
  <c r="FI88" i="1"/>
  <c r="FK91" i="1"/>
  <c r="FM91" i="1"/>
  <c r="FL88" i="1"/>
  <c r="FK88" i="1"/>
  <c r="FM88" i="1"/>
  <c r="FL91" i="1"/>
  <c r="FN91" i="1"/>
  <c r="FN88" i="1"/>
  <c r="FO88" i="1"/>
  <c r="FP88" i="1"/>
  <c r="FO91" i="1"/>
  <c r="FP91" i="1"/>
  <c r="K79" i="1" l="1"/>
  <c r="E56" i="1"/>
  <c r="E79" i="1"/>
  <c r="E73" i="1"/>
  <c r="E62" i="1"/>
  <c r="E47" i="1"/>
  <c r="J79" i="1"/>
  <c r="I79" i="1"/>
  <c r="G79" i="1"/>
  <c r="H79" i="1"/>
  <c r="F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D15" authorId="0" shapeId="0" xr:uid="{5BE989F5-1DB9-4FE1-991A-70231F490613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=VLOOKUP(D8,BypassWeeks,3,FALSE)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U819" authorId="0" shapeId="0" xr:uid="{5C786CC0-DD64-425B-B6BC-9BEE1A495865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=T3/100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D3" authorId="0" shapeId="0" xr:uid="{246095E5-C6AD-4A16-B6E6-4F02912A6B77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For Augus-October, update as needed from latest 24-month study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sharedStrings.xml><?xml version="1.0" encoding="utf-8"?>
<sst xmlns="http://schemas.openxmlformats.org/spreadsheetml/2006/main" count="1496" uniqueCount="514">
  <si>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</si>
  <si>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</si>
  <si>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</si>
  <si>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</si>
  <si>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</si>
  <si>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</si>
  <si>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</si>
  <si>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</si>
  <si>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</si>
  <si>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</si>
  <si>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</si>
  <si>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</si>
  <si>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</si>
  <si>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</si>
  <si>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</si>
  <si>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</si>
  <si>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</si>
  <si>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</si>
  <si>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</si>
  <si>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</si>
  <si>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</si>
  <si>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</si>
  <si>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</si>
  <si>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</si>
  <si>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</si>
  <si>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</si>
  <si>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</si>
  <si>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</si>
  <si>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</si>
  <si>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</si>
  <si>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</si>
  <si>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</si>
  <si>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</si>
  <si>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</si>
  <si>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</si>
  <si>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</si>
  <si>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</si>
  <si>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</si>
  <si>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</si>
  <si>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</si>
  <si>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</si>
  <si>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</si>
  <si>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</si>
  <si>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</si>
  <si>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</si>
  <si>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</si>
  <si>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</si>
  <si>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</si>
  <si>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</si>
  <si>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</si>
  <si>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</si>
  <si>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</si>
  <si>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</si>
  <si>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</si>
  <si>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</si>
  <si>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</si>
  <si>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</si>
  <si>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</si>
  <si>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</si>
  <si>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</si>
  <si>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</si>
  <si>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</si>
  <si>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</si>
  <si>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</si>
  <si>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</si>
  <si>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</si>
  <si>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</si>
  <si>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</si>
  <si>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</si>
  <si>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</si>
  <si>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</si>
  <si>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</si>
  <si>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</si>
  <si>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</si>
  <si>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</si>
  <si>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</si>
  <si>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</si>
  <si>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</si>
  <si>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</si>
  <si>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</si>
  <si>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</si>
  <si>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</si>
  <si>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</si>
  <si>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</si>
  <si>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</si>
  <si>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</si>
  <si>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</si>
  <si>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</si>
  <si>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</si>
  <si>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</si>
  <si>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</si>
  <si>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</si>
  <si>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</si>
  <si>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</si>
  <si>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</si>
  <si>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</si>
  <si>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</si>
  <si>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</si>
  <si>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</si>
  <si>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</si>
  <si>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</si>
  <si>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</si>
  <si>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</si>
  <si>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</si>
  <si>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</si>
  <si>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</si>
  <si>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</si>
  <si>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</si>
  <si>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</si>
  <si>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</si>
  <si>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</si>
  <si>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</si>
  <si>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</si>
  <si>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</si>
  <si>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</si>
  <si>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</si>
  <si>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</si>
  <si>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Version</t>
  </si>
  <si>
    <t>version</t>
  </si>
  <si>
    <t>LP</t>
  </si>
  <si>
    <t>Total release - daily (AF)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</si>
  <si>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</si>
  <si>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</si>
  <si>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</si>
  <si>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</si>
  <si>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</si>
  <si>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</si>
  <si>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</si>
  <si>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</si>
  <si>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</si>
  <si>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</si>
  <si>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</si>
  <si>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</si>
  <si>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</si>
  <si>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</si>
  <si>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</si>
  <si>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</si>
  <si>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</si>
  <si>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</si>
  <si>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</si>
  <si>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</si>
  <si>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</si>
  <si>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</si>
  <si>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</si>
  <si>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</si>
  <si>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</si>
  <si>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</si>
  <si>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</si>
  <si>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</si>
  <si>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</si>
  <si>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</si>
  <si>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</si>
  <si>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</si>
  <si>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</si>
  <si>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</si>
  <si>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</si>
  <si>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</si>
  <si>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</si>
  <si>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</si>
  <si>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</si>
  <si>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</si>
  <si>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</si>
  <si>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</si>
  <si>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</si>
  <si>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</si>
  <si>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</si>
  <si>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</si>
  <si>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</si>
  <si>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</si>
  <si>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</si>
  <si>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</si>
  <si>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</si>
  <si>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</si>
  <si>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</si>
  <si>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</si>
  <si>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</si>
  <si>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</si>
  <si>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</si>
  <si>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</si>
  <si>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</si>
  <si>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</si>
  <si>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</si>
  <si>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</si>
  <si>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</si>
  <si>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</si>
  <si>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</si>
  <si>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</si>
  <si>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</si>
  <si>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</si>
  <si>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</si>
  <si>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</si>
  <si>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</si>
  <si>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</si>
  <si>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</si>
  <si>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</si>
  <si>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</si>
  <si>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</si>
  <si>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</si>
  <si>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</si>
  <si>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</si>
  <si>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</si>
  <si>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</si>
  <si>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</si>
  <si>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Bypass release number of total ramp up and down cycles</t>
  </si>
  <si>
    <t>bp_forced_commit</t>
  </si>
  <si>
    <t>Bypass forced commitment state (-)</t>
  </si>
  <si>
    <t>C:\Users\mpavicevic\AppData\Local\miniconda3\envs\tempregpy\python.exe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</si>
  <si>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</si>
  <si>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</si>
  <si>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</si>
  <si>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</si>
  <si>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</si>
  <si>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</si>
  <si>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</si>
  <si>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</si>
  <si>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</si>
  <si>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</si>
  <si>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</si>
  <si>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</si>
  <si>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</si>
  <si>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</si>
  <si>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</si>
  <si>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</si>
  <si>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</si>
  <si>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</si>
  <si>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</si>
  <si>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</si>
  <si>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</si>
  <si>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</si>
  <si>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</si>
  <si>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</si>
  <si>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</si>
  <si>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</si>
  <si>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</si>
  <si>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</si>
  <si>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</si>
  <si>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</si>
  <si>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</si>
  <si>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</si>
  <si>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</si>
  <si>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</si>
  <si>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</si>
  <si>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</si>
  <si>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</si>
  <si>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</si>
  <si>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</si>
  <si>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</si>
  <si>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</si>
  <si>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</si>
  <si>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</si>
  <si>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</si>
  <si>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</si>
  <si>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</si>
  <si>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</si>
  <si>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</si>
  <si>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</si>
  <si>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</si>
  <si>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</si>
  <si>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</si>
  <si>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</si>
  <si>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</si>
  <si>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</si>
  <si>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</si>
  <si>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</si>
  <si>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</si>
  <si>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</si>
  <si>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</si>
  <si>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</si>
  <si>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</si>
  <si>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</si>
  <si>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</si>
  <si>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</si>
  <si>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</si>
  <si>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</si>
  <si>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</si>
  <si>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</si>
  <si>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</si>
  <si>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</si>
  <si>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</si>
  <si>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</si>
  <si>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</si>
  <si>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</si>
  <si>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</si>
  <si>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</si>
  <si>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</si>
  <si>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</si>
  <si>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</si>
  <si>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</si>
  <si>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</si>
  <si>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</si>
  <si>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</si>
  <si>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</si>
  <si>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</si>
  <si>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</si>
  <si>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</si>
  <si>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</si>
  <si>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</si>
  <si>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</si>
  <si>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</si>
  <si>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</si>
  <si>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</si>
  <si>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</si>
  <si>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</si>
  <si>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</si>
  <si>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</si>
  <si>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</si>
  <si>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</si>
  <si>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</si>
  <si>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</si>
  <si>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</si>
  <si>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</si>
  <si>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</si>
  <si>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</si>
  <si>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</si>
  <si>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</si>
  <si>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</si>
  <si>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</si>
  <si>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</si>
  <si>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</si>
  <si>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</si>
  <si>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</si>
  <si>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</si>
  <si>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</si>
  <si>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</si>
  <si>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</si>
  <si>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</si>
  <si>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</si>
  <si>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</si>
  <si>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</si>
  <si>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</si>
  <si>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</si>
  <si>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</si>
  <si>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</si>
  <si>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</si>
  <si>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</si>
  <si>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</si>
  <si>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</si>
  <si>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</si>
  <si>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</si>
  <si>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</si>
  <si>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</si>
  <si>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</si>
  <si>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</si>
  <si>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</si>
  <si>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</si>
  <si>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</si>
  <si>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</si>
  <si>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</si>
  <si>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</si>
  <si>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</si>
  <si>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</si>
  <si>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</si>
  <si>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</si>
  <si>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</si>
  <si>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</si>
  <si>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</si>
  <si>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</si>
  <si>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</si>
  <si>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</si>
  <si>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</si>
  <si>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</si>
  <si>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</si>
  <si>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</si>
  <si>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</si>
  <si>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</si>
  <si>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D01</t>
  </si>
  <si>
    <t>D02</t>
  </si>
  <si>
    <t>D03</t>
  </si>
  <si>
    <t>D04</t>
  </si>
  <si>
    <t>D05</t>
  </si>
  <si>
    <t>D06</t>
  </si>
  <si>
    <t>D07</t>
  </si>
  <si>
    <t>Datetime</t>
  </si>
  <si>
    <t>Hourly Timeseries</t>
  </si>
  <si>
    <t>Daily Timeseries</t>
  </si>
  <si>
    <t>Datetime Helper functions</t>
  </si>
  <si>
    <t>Day of month</t>
  </si>
  <si>
    <t>Real</t>
  </si>
  <si>
    <t>Simulation time</t>
  </si>
  <si>
    <t>sim_time</t>
  </si>
  <si>
    <t>if set to 0 solver will continue untill optimal solution is found</t>
  </si>
  <si>
    <t>Locations</t>
  </si>
  <si>
    <r>
      <rPr>
        <sz val="11"/>
        <rFont val="Palatino Linotype"/>
        <family val="1"/>
      </rPr>
      <t>New Year’s Day</t>
    </r>
  </si>
  <si>
    <r>
      <rPr>
        <sz val="11"/>
        <rFont val="Palatino Linotype"/>
        <family val="1"/>
      </rPr>
      <t>January 1, 2025</t>
    </r>
  </si>
  <si>
    <r>
      <rPr>
        <sz val="11"/>
        <rFont val="Palatino Linotype"/>
        <family val="1"/>
      </rPr>
      <t>Martin Luther King Jr. Day</t>
    </r>
  </si>
  <si>
    <r>
      <rPr>
        <sz val="11"/>
        <rFont val="Palatino Linotype"/>
        <family val="1"/>
      </rPr>
      <t>January 20, 2025</t>
    </r>
  </si>
  <si>
    <r>
      <rPr>
        <sz val="11"/>
        <rFont val="Palatino Linotype"/>
        <family val="1"/>
      </rPr>
      <t>New Month—February</t>
    </r>
  </si>
  <si>
    <r>
      <rPr>
        <sz val="11"/>
        <rFont val="Palatino Linotype"/>
        <family val="1"/>
      </rPr>
      <t>February 1, 2025</t>
    </r>
  </si>
  <si>
    <r>
      <rPr>
        <sz val="11"/>
        <rFont val="Palatino Linotype"/>
        <family val="1"/>
      </rPr>
      <t>Presidents Day</t>
    </r>
  </si>
  <si>
    <r>
      <rPr>
        <sz val="11"/>
        <rFont val="Palatino Linotype"/>
        <family val="1"/>
      </rPr>
      <t>February 17, 2025</t>
    </r>
  </si>
  <si>
    <r>
      <rPr>
        <sz val="11"/>
        <rFont val="Palatino Linotype"/>
        <family val="1"/>
      </rPr>
      <t>New Month—March</t>
    </r>
  </si>
  <si>
    <r>
      <rPr>
        <sz val="11"/>
        <rFont val="Palatino Linotype"/>
        <family val="1"/>
      </rPr>
      <t>March 1, 2025</t>
    </r>
  </si>
  <si>
    <r>
      <rPr>
        <sz val="11"/>
        <rFont val="Palatino Linotype"/>
        <family val="1"/>
      </rPr>
      <t>Good Friday</t>
    </r>
  </si>
  <si>
    <r>
      <rPr>
        <sz val="11"/>
        <rFont val="Palatino Linotype"/>
        <family val="1"/>
      </rPr>
      <t>April 18, 2025</t>
    </r>
  </si>
  <si>
    <r>
      <rPr>
        <sz val="11"/>
        <rFont val="Palatino Linotype"/>
        <family val="1"/>
      </rPr>
      <t>Memorial Day</t>
    </r>
  </si>
  <si>
    <r>
      <rPr>
        <sz val="11"/>
        <rFont val="Palatino Linotype"/>
        <family val="1"/>
      </rPr>
      <t>May 26, 2025</t>
    </r>
  </si>
  <si>
    <r>
      <rPr>
        <sz val="11"/>
        <rFont val="Palatino Linotype"/>
        <family val="1"/>
      </rPr>
      <t>Juneteenth</t>
    </r>
  </si>
  <si>
    <r>
      <rPr>
        <sz val="11"/>
        <rFont val="Palatino Linotype"/>
        <family val="1"/>
      </rPr>
      <t>June 19, 2025</t>
    </r>
  </si>
  <si>
    <r>
      <rPr>
        <sz val="11"/>
        <rFont val="Palatino Linotype"/>
        <family val="1"/>
      </rPr>
      <t>Independence Day</t>
    </r>
  </si>
  <si>
    <r>
      <rPr>
        <sz val="11"/>
        <rFont val="Palatino Linotype"/>
        <family val="1"/>
      </rPr>
      <t>July 4, 2025</t>
    </r>
  </si>
  <si>
    <r>
      <rPr>
        <sz val="11"/>
        <rFont val="Palatino Linotype"/>
        <family val="1"/>
      </rPr>
      <t>Labor Day (New Month Sept.)</t>
    </r>
  </si>
  <si>
    <r>
      <rPr>
        <sz val="11"/>
        <rFont val="Palatino Linotype"/>
        <family val="1"/>
      </rPr>
      <t>September 1, 2025</t>
    </r>
  </si>
  <si>
    <r>
      <rPr>
        <sz val="11"/>
        <rFont val="Palatino Linotype"/>
        <family val="1"/>
      </rPr>
      <t>New Month—November</t>
    </r>
  </si>
  <si>
    <r>
      <rPr>
        <sz val="11"/>
        <rFont val="Palatino Linotype"/>
        <family val="1"/>
      </rPr>
      <t>November 1, 2025</t>
    </r>
  </si>
  <si>
    <r>
      <rPr>
        <sz val="11"/>
        <rFont val="Palatino Linotype"/>
        <family val="1"/>
      </rPr>
      <t>Veterans Day</t>
    </r>
  </si>
  <si>
    <r>
      <rPr>
        <sz val="11"/>
        <rFont val="Palatino Linotype"/>
        <family val="1"/>
      </rPr>
      <t>November 11, 2025</t>
    </r>
  </si>
  <si>
    <r>
      <rPr>
        <sz val="11"/>
        <rFont val="Palatino Linotype"/>
        <family val="1"/>
      </rPr>
      <t>Thanksgiving</t>
    </r>
  </si>
  <si>
    <r>
      <rPr>
        <sz val="11"/>
        <rFont val="Palatino Linotype"/>
        <family val="1"/>
      </rPr>
      <t>November 27, 2025</t>
    </r>
  </si>
  <si>
    <r>
      <rPr>
        <sz val="11"/>
        <rFont val="Palatino Linotype"/>
        <family val="1"/>
      </rPr>
      <t>Day after Thanksgiving</t>
    </r>
  </si>
  <si>
    <r>
      <rPr>
        <sz val="11"/>
        <rFont val="Palatino Linotype"/>
        <family val="1"/>
      </rPr>
      <t>November 28, 2025</t>
    </r>
  </si>
  <si>
    <r>
      <rPr>
        <sz val="11"/>
        <rFont val="Palatino Linotype"/>
        <family val="1"/>
      </rPr>
      <t>New Month—December</t>
    </r>
  </si>
  <si>
    <r>
      <rPr>
        <sz val="11"/>
        <rFont val="Palatino Linotype"/>
        <family val="1"/>
      </rPr>
      <t>December 1, 2025</t>
    </r>
  </si>
  <si>
    <r>
      <rPr>
        <sz val="11"/>
        <rFont val="Palatino Linotype"/>
        <family val="1"/>
      </rPr>
      <t>Christmas Eve</t>
    </r>
  </si>
  <si>
    <r>
      <rPr>
        <sz val="11"/>
        <rFont val="Palatino Linotype"/>
        <family val="1"/>
      </rPr>
      <t>December 24, 2025</t>
    </r>
  </si>
  <si>
    <r>
      <rPr>
        <sz val="11"/>
        <rFont val="Palatino Linotype"/>
        <family val="1"/>
      </rPr>
      <t>Christmas Day</t>
    </r>
  </si>
  <si>
    <r>
      <rPr>
        <sz val="11"/>
        <rFont val="Palatino Linotype"/>
        <family val="1"/>
      </rPr>
      <t>December 25, 2025</t>
    </r>
  </si>
  <si>
    <r>
      <rPr>
        <sz val="11"/>
        <rFont val="Palatino Linotype"/>
        <family val="1"/>
      </rPr>
      <t>January 1, 2026</t>
    </r>
  </si>
  <si>
    <t>Date</t>
  </si>
  <si>
    <t>Holiday</t>
  </si>
  <si>
    <t>SHP_Load(MWh)</t>
  </si>
  <si>
    <t>DayType</t>
  </si>
  <si>
    <t>ARGUS($)</t>
  </si>
  <si>
    <t>Month</t>
  </si>
  <si>
    <t>Release (AF)</t>
  </si>
  <si>
    <t>Factor</t>
  </si>
  <si>
    <t>Max Daily Change (AF)</t>
  </si>
  <si>
    <t>Date_Simple</t>
  </si>
  <si>
    <t>DeltaTempProf</t>
  </si>
  <si>
    <t>PenstockTemp</t>
  </si>
  <si>
    <t>BypassTemp</t>
  </si>
  <si>
    <t>WK</t>
  </si>
  <si>
    <t>File Name</t>
  </si>
  <si>
    <t>Start Date</t>
  </si>
  <si>
    <t>Week No</t>
  </si>
  <si>
    <t>Week01</t>
  </si>
  <si>
    <t>Week02</t>
  </si>
  <si>
    <t>Week03</t>
  </si>
  <si>
    <t>Week04</t>
  </si>
  <si>
    <t>Week05</t>
  </si>
  <si>
    <t>Week06</t>
  </si>
  <si>
    <t>Week07</t>
  </si>
  <si>
    <t>Week08</t>
  </si>
  <si>
    <t>Week09</t>
  </si>
  <si>
    <t>Week10</t>
  </si>
  <si>
    <t>Week11</t>
  </si>
  <si>
    <t>Week12</t>
  </si>
  <si>
    <t>Week00</t>
  </si>
  <si>
    <t>Jul</t>
  </si>
  <si>
    <t>Aug</t>
  </si>
  <si>
    <t>Sep</t>
  </si>
  <si>
    <t>Oct</t>
  </si>
  <si>
    <t>Nov</t>
  </si>
  <si>
    <t>WaterToPower_Conv(MW/CFS)</t>
  </si>
  <si>
    <t>TEST</t>
  </si>
  <si>
    <t>AUG Weekday HE01</t>
  </si>
  <si>
    <t>Day_of_Week</t>
  </si>
  <si>
    <t>Old_Date</t>
  </si>
  <si>
    <t>Old_Day_ofWeek</t>
  </si>
  <si>
    <t>Jun</t>
  </si>
  <si>
    <t>HR</t>
  </si>
  <si>
    <t>Column1</t>
  </si>
  <si>
    <t>WeekNo</t>
  </si>
  <si>
    <t>Average of TempValue</t>
  </si>
  <si>
    <t>Multiplication Approximation Method</t>
  </si>
  <si>
    <t>xy_method</t>
  </si>
  <si>
    <t>Convex Hull</t>
  </si>
  <si>
    <t>`</t>
  </si>
  <si>
    <t>Edge elements</t>
  </si>
  <si>
    <t>edge_elements</t>
  </si>
  <si>
    <t>recommended number is 3, minimum is 1, the larger the number the more accurate the temperature approximation at RM will be</t>
  </si>
  <si>
    <t>XY</t>
  </si>
  <si>
    <t>Penalty for breaching equality constraints</t>
  </si>
  <si>
    <t>C_slack</t>
  </si>
  <si>
    <t>The computation time could decrease if this value is set to a reasonable bound, it should be a two or three magnitudes higher than the maximum Hourly LMP</t>
  </si>
  <si>
    <t>Prev Conv Value</t>
  </si>
  <si>
    <t>LOAD and LMP Table</t>
  </si>
  <si>
    <t>Temperatures Table</t>
  </si>
  <si>
    <t>Bypass Weeks</t>
  </si>
  <si>
    <t>Temperature Deltas</t>
  </si>
  <si>
    <t>Optimality Gap</t>
  </si>
  <si>
    <t>opt_gap</t>
  </si>
  <si>
    <t>cnstr_pattern_repeat</t>
  </si>
  <si>
    <t>Off</t>
  </si>
  <si>
    <t>Bypass Release</t>
  </si>
  <si>
    <t>Turbine Release</t>
  </si>
  <si>
    <t>Total Release</t>
  </si>
  <si>
    <t>Release type whose pattern should be repeated for the same day type</t>
  </si>
  <si>
    <t>Rough Zones</t>
  </si>
  <si>
    <t>Rough Zone Min Flow Rate</t>
  </si>
  <si>
    <t>Rough Zone Max Flow Rate</t>
  </si>
  <si>
    <t>R1</t>
  </si>
  <si>
    <t>R2</t>
  </si>
  <si>
    <t>R3</t>
  </si>
  <si>
    <t>R4</t>
  </si>
  <si>
    <t>R5</t>
  </si>
  <si>
    <t>R6</t>
  </si>
  <si>
    <t>R7</t>
  </si>
  <si>
    <t>Q_rough_zone_min</t>
  </si>
  <si>
    <t>Q_rough_zone_max</t>
  </si>
  <si>
    <t>v0.2.4</t>
  </si>
  <si>
    <t>Rough Zone Constraint</t>
  </si>
  <si>
    <t>cnstr_rough_zone</t>
  </si>
  <si>
    <t>Updated LMP with 8/25 CRiSPPy 24mo</t>
  </si>
  <si>
    <t>WK2</t>
  </si>
  <si>
    <t>WK3</t>
  </si>
  <si>
    <t>WK4</t>
  </si>
  <si>
    <t>WK5</t>
  </si>
  <si>
    <t>WK6</t>
  </si>
  <si>
    <t>WK7</t>
  </si>
  <si>
    <t>WK8</t>
  </si>
  <si>
    <t>WK9</t>
  </si>
  <si>
    <t>WK10</t>
  </si>
  <si>
    <t>Column2</t>
  </si>
  <si>
    <t>Week05_08-30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</si>
</sst>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.0"/>
    <numFmt numFmtId="166" formatCode="m/d/yy\ h:mm;@"/>
    <numFmt numFmtId="167" formatCode="#,##0.0000000"/>
    <numFmt numFmtId="168" formatCode="0.000"/>
    <numFmt numFmtId="169" formatCode="_(* #,##0_);_(* \(#,##0\);_(* &quot;-&quot;??_);_(@_)"/>
    <numFmt numFmtId="170" formatCode="_(* #,##0.000_);_(* \(#,##0.000\);_(* &quot;-&quot;??_);_(@_)"/>
    <numFmt numFmtId="171" formatCode="_(* #,##0.0000000_);_(* \(#,##0.0000000\);_(* &quot;-&quot;??_);_(@_)"/>
    <numFmt numFmtId="172" formatCode="0.000000000"/>
    <numFmt numFmtId="173" formatCode="0.0%"/>
  </numFmts>
  <fonts count="26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Lucida Sans"/>
      <family val="2"/>
    </font>
    <font>
      <sz val="11"/>
      <name val="Palatino Linotype"/>
      <family val="1"/>
    </font>
    <font>
      <sz val="11"/>
      <name val="Lucida San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6666"/>
      </left>
      <right/>
      <top style="thin">
        <color rgb="FF666666"/>
      </top>
      <bottom/>
      <diagonal/>
    </border>
    <border>
      <left/>
      <right style="thin">
        <color rgb="FF666666"/>
      </right>
      <top style="thin">
        <color rgb="FF66666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3" fillId="0" borderId="0" applyNumberFormat="0" applyFill="0" applyBorder="0" applyAlignment="0" applyProtection="0"/>
    <xf numFmtId="0" fontId="17" fillId="8" borderId="10" applyNumberFormat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9" fontId="19" fillId="0" borderId="0" applyFont="0" applyFill="0" applyBorder="0" applyAlignment="0" applyProtection="0"/>
  </cellStyleXfs>
  <cellXfs count="188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3" fontId="12" fillId="6" borderId="3" xfId="8" applyNumberFormat="1" applyBorder="1"/>
    <xf numFmtId="0" fontId="13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14" fillId="0" borderId="5" xfId="7" applyFont="1" applyFill="1" applyAlignment="1">
      <alignment horizontal="left" indent="1"/>
    </xf>
    <xf numFmtId="0" fontId="13" fillId="0" borderId="0" xfId="9" applyFill="1" applyBorder="1"/>
    <xf numFmtId="0" fontId="14" fillId="0" borderId="0" xfId="7" applyFont="1" applyFill="1" applyBorder="1" applyAlignment="1">
      <alignment horizontal="left" indent="1"/>
    </xf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 wrapText="1"/>
    </xf>
    <xf numFmtId="166" fontId="4" fillId="3" borderId="3" xfId="4" applyNumberFormat="1"/>
    <xf numFmtId="164" fontId="8" fillId="4" borderId="3" xfId="6" applyNumberFormat="1" applyAlignment="1">
      <alignment horizontal="center" vertical="center"/>
    </xf>
    <xf numFmtId="0" fontId="16" fillId="0" borderId="0" xfId="0" applyFont="1"/>
    <xf numFmtId="3" fontId="4" fillId="3" borderId="9" xfId="4" applyNumberFormat="1" applyBorder="1"/>
    <xf numFmtId="3" fontId="4" fillId="0" borderId="0" xfId="4" applyNumberFormat="1" applyFill="1" applyBorder="1"/>
    <xf numFmtId="3" fontId="4" fillId="9" borderId="3" xfId="4" applyNumberFormat="1" applyFill="1"/>
    <xf numFmtId="14" fontId="0" fillId="0" borderId="0" xfId="0" applyNumberFormat="1"/>
    <xf numFmtId="3" fontId="4" fillId="9" borderId="11" xfId="4" applyNumberFormat="1" applyFill="1" applyBorder="1"/>
    <xf numFmtId="3" fontId="4" fillId="3" borderId="8" xfId="4" applyNumberFormat="1" applyBorder="1"/>
    <xf numFmtId="3" fontId="4" fillId="3" borderId="6" xfId="4" applyNumberFormat="1" applyBorder="1"/>
    <xf numFmtId="165" fontId="4" fillId="0" borderId="0" xfId="4" applyNumberFormat="1" applyFill="1" applyBorder="1"/>
    <xf numFmtId="3" fontId="4" fillId="0" borderId="3" xfId="4" applyNumberFormat="1" applyFill="1"/>
    <xf numFmtId="3" fontId="8" fillId="0" borderId="0" xfId="6" applyNumberFormat="1" applyFill="1" applyBorder="1"/>
    <xf numFmtId="0" fontId="13" fillId="0" borderId="12" xfId="9" applyFill="1" applyBorder="1" applyAlignment="1">
      <alignment horizontal="center" vertical="center"/>
    </xf>
    <xf numFmtId="166" fontId="13" fillId="0" borderId="0" xfId="9" applyNumberFormat="1"/>
    <xf numFmtId="1" fontId="13" fillId="0" borderId="0" xfId="9" applyNumberFormat="1"/>
    <xf numFmtId="14" fontId="13" fillId="0" borderId="0" xfId="9" applyNumberFormat="1"/>
    <xf numFmtId="3" fontId="17" fillId="8" borderId="10" xfId="10" applyNumberFormat="1"/>
    <xf numFmtId="165" fontId="17" fillId="8" borderId="10" xfId="10" applyNumberFormat="1"/>
    <xf numFmtId="165" fontId="13" fillId="0" borderId="7" xfId="9" applyNumberFormat="1" applyFill="1" applyBorder="1"/>
    <xf numFmtId="2" fontId="8" fillId="4" borderId="3" xfId="6" applyNumberFormat="1"/>
    <xf numFmtId="164" fontId="4" fillId="0" borderId="6" xfId="4" applyNumberFormat="1" applyFill="1" applyBorder="1"/>
    <xf numFmtId="164" fontId="8" fillId="0" borderId="3" xfId="6" applyNumberFormat="1" applyFill="1"/>
    <xf numFmtId="3" fontId="4" fillId="0" borderId="8" xfId="4" applyNumberFormat="1" applyFill="1" applyBorder="1"/>
    <xf numFmtId="0" fontId="3" fillId="0" borderId="2" xfId="3" applyFill="1" applyAlignment="1">
      <alignment horizontal="center"/>
    </xf>
    <xf numFmtId="0" fontId="4" fillId="0" borderId="6" xfId="4" applyFill="1" applyBorder="1"/>
    <xf numFmtId="3" fontId="17" fillId="8" borderId="14" xfId="10" applyNumberFormat="1" applyBorder="1"/>
    <xf numFmtId="165" fontId="17" fillId="8" borderId="14" xfId="10" applyNumberFormat="1" applyBorder="1"/>
    <xf numFmtId="165" fontId="13" fillId="0" borderId="15" xfId="9" applyNumberFormat="1" applyFill="1" applyBorder="1"/>
    <xf numFmtId="0" fontId="0" fillId="0" borderId="13" xfId="0" applyBorder="1"/>
    <xf numFmtId="166" fontId="13" fillId="0" borderId="13" xfId="9" applyNumberFormat="1" applyBorder="1"/>
    <xf numFmtId="1" fontId="13" fillId="0" borderId="13" xfId="9" applyNumberFormat="1" applyBorder="1"/>
    <xf numFmtId="0" fontId="3" fillId="0" borderId="16" xfId="3" applyBorder="1" applyAlignment="1">
      <alignment horizontal="center"/>
    </xf>
    <xf numFmtId="3" fontId="17" fillId="8" borderId="17" xfId="10" applyNumberFormat="1" applyBorder="1"/>
    <xf numFmtId="165" fontId="17" fillId="8" borderId="17" xfId="10" applyNumberFormat="1" applyBorder="1"/>
    <xf numFmtId="165" fontId="13" fillId="0" borderId="18" xfId="9" applyNumberFormat="1" applyFill="1" applyBorder="1"/>
    <xf numFmtId="165" fontId="4" fillId="0" borderId="13" xfId="4" applyNumberFormat="1" applyFill="1" applyBorder="1"/>
    <xf numFmtId="3" fontId="8" fillId="0" borderId="13" xfId="6" applyNumberFormat="1" applyFill="1" applyBorder="1"/>
    <xf numFmtId="0" fontId="16" fillId="0" borderId="13" xfId="0" applyFont="1" applyBorder="1"/>
    <xf numFmtId="3" fontId="4" fillId="0" borderId="13" xfId="4" applyNumberFormat="1" applyFill="1" applyBorder="1"/>
    <xf numFmtId="167" fontId="17" fillId="8" borderId="10" xfId="10" applyNumberFormat="1"/>
    <xf numFmtId="166" fontId="4" fillId="3" borderId="8" xfId="4" applyNumberFormat="1" applyBorder="1"/>
    <xf numFmtId="164" fontId="8" fillId="4" borderId="8" xfId="6" applyNumberFormat="1" applyBorder="1" applyAlignment="1">
      <alignment horizontal="center" vertical="center"/>
    </xf>
    <xf numFmtId="166" fontId="4" fillId="0" borderId="0" xfId="4" applyNumberFormat="1" applyFill="1" applyBorder="1"/>
    <xf numFmtId="164" fontId="8" fillId="0" borderId="0" xfId="6" applyNumberFormat="1" applyFill="1" applyBorder="1" applyAlignment="1">
      <alignment horizontal="center" vertical="center"/>
    </xf>
    <xf numFmtId="0" fontId="13" fillId="0" borderId="0" xfId="9" applyFill="1" applyBorder="1" applyAlignment="1">
      <alignment horizontal="center" vertical="center"/>
    </xf>
    <xf numFmtId="168" fontId="4" fillId="3" borderId="3" xfId="4" applyNumberFormat="1"/>
    <xf numFmtId="0" fontId="18" fillId="0" borderId="19" xfId="0" applyFont="1" applyBorder="1"/>
    <xf numFmtId="0" fontId="0" fillId="0" borderId="20" xfId="0" applyBorder="1"/>
    <xf numFmtId="0" fontId="0" fillId="0" borderId="21" xfId="0" applyBorder="1"/>
    <xf numFmtId="0" fontId="15" fillId="9" borderId="0" xfId="0" applyFont="1" applyFill="1" applyAlignment="1">
      <alignment horizontal="center" vertical="center" wrapText="1"/>
    </xf>
    <xf numFmtId="164" fontId="4" fillId="3" borderId="8" xfId="4" applyNumberFormat="1" applyBorder="1"/>
    <xf numFmtId="168" fontId="4" fillId="3" borderId="8" xfId="4" applyNumberFormat="1" applyBorder="1"/>
    <xf numFmtId="164" fontId="4" fillId="3" borderId="6" xfId="4" applyNumberFormat="1" applyBorder="1"/>
    <xf numFmtId="168" fontId="4" fillId="3" borderId="6" xfId="4" applyNumberFormat="1" applyBorder="1"/>
    <xf numFmtId="0" fontId="20" fillId="0" borderId="27" xfId="0" applyFont="1" applyBorder="1" applyAlignment="1">
      <alignment vertical="top"/>
    </xf>
    <xf numFmtId="0" fontId="21" fillId="0" borderId="12" xfId="0" applyFont="1" applyBorder="1" applyAlignment="1">
      <alignment horizontal="left" vertical="top"/>
    </xf>
    <xf numFmtId="0" fontId="22" fillId="0" borderId="26" xfId="0" applyFont="1" applyBorder="1" applyAlignment="1">
      <alignment vertical="top"/>
    </xf>
    <xf numFmtId="0" fontId="21" fillId="9" borderId="12" xfId="0" applyFont="1" applyFill="1" applyBorder="1" applyAlignment="1">
      <alignment horizontal="left" vertical="top"/>
    </xf>
    <xf numFmtId="166" fontId="0" fillId="0" borderId="0" xfId="0" applyNumberFormat="1"/>
    <xf numFmtId="0" fontId="0" fillId="10" borderId="0" xfId="0" applyFill="1"/>
    <xf numFmtId="169" fontId="0" fillId="0" borderId="0" xfId="11" applyNumberFormat="1" applyFont="1"/>
    <xf numFmtId="170" fontId="0" fillId="0" borderId="0" xfId="11" applyNumberFormat="1" applyFont="1"/>
    <xf numFmtId="14" fontId="0" fillId="0" borderId="0" xfId="0" applyNumberFormat="1" applyAlignment="1">
      <alignment horizontal="left"/>
    </xf>
    <xf numFmtId="0" fontId="4" fillId="3" borderId="8" xfId="4" applyBorder="1" applyAlignment="1">
      <alignment vertical="center"/>
    </xf>
    <xf numFmtId="0" fontId="4" fillId="3" borderId="6" xfId="4" applyBorder="1" applyAlignment="1">
      <alignment vertical="center"/>
    </xf>
    <xf numFmtId="0" fontId="4" fillId="3" borderId="24" xfId="4" applyBorder="1" applyAlignment="1">
      <alignment vertical="center"/>
    </xf>
    <xf numFmtId="16" fontId="0" fillId="0" borderId="0" xfId="0" applyNumberFormat="1"/>
    <xf numFmtId="171" fontId="0" fillId="0" borderId="0" xfId="11" applyNumberFormat="1" applyFont="1"/>
    <xf numFmtId="43" fontId="0" fillId="0" borderId="0" xfId="11" applyFont="1"/>
    <xf numFmtId="44" fontId="0" fillId="0" borderId="0" xfId="0" applyNumberFormat="1"/>
    <xf numFmtId="14" fontId="0" fillId="11" borderId="0" xfId="0" applyNumberFormat="1" applyFill="1" applyAlignment="1">
      <alignment horizontal="left"/>
    </xf>
    <xf numFmtId="0" fontId="0" fillId="11" borderId="0" xfId="0" applyFill="1"/>
    <xf numFmtId="14" fontId="0" fillId="11" borderId="0" xfId="0" applyNumberFormat="1" applyFill="1"/>
    <xf numFmtId="166" fontId="0" fillId="0" borderId="28" xfId="0" applyNumberFormat="1" applyBorder="1"/>
    <xf numFmtId="3" fontId="4" fillId="9" borderId="8" xfId="4" applyNumberFormat="1" applyFill="1" applyBorder="1" applyAlignment="1">
      <alignment horizontal="center" vertical="center"/>
    </xf>
    <xf numFmtId="3" fontId="4" fillId="3" borderId="24" xfId="4" applyNumberFormat="1" applyBorder="1"/>
    <xf numFmtId="164" fontId="4" fillId="3" borderId="24" xfId="4" applyNumberFormat="1" applyBorder="1"/>
    <xf numFmtId="168" fontId="4" fillId="3" borderId="24" xfId="4" applyNumberFormat="1" applyBorder="1"/>
    <xf numFmtId="0" fontId="0" fillId="0" borderId="23" xfId="0" applyBorder="1"/>
    <xf numFmtId="43" fontId="0" fillId="0" borderId="23" xfId="11" applyFont="1" applyBorder="1"/>
    <xf numFmtId="164" fontId="4" fillId="3" borderId="25" xfId="4" applyNumberFormat="1" applyBorder="1"/>
    <xf numFmtId="22" fontId="0" fillId="11" borderId="22" xfId="0" applyNumberFormat="1" applyFill="1" applyBorder="1"/>
    <xf numFmtId="3" fontId="4" fillId="0" borderId="24" xfId="4" applyNumberFormat="1" applyFill="1" applyBorder="1"/>
    <xf numFmtId="0" fontId="25" fillId="12" borderId="0" xfId="0" applyFont="1" applyFill="1"/>
    <xf numFmtId="43" fontId="0" fillId="11" borderId="0" xfId="11" applyFont="1" applyFill="1"/>
    <xf numFmtId="0" fontId="0" fillId="9" borderId="0" xfId="0" applyFill="1"/>
    <xf numFmtId="14" fontId="25" fillId="13" borderId="0" xfId="0" applyNumberFormat="1" applyFont="1" applyFill="1" applyAlignment="1">
      <alignment horizontal="left"/>
    </xf>
    <xf numFmtId="0" fontId="25" fillId="13" borderId="0" xfId="0" applyFont="1" applyFill="1"/>
    <xf numFmtId="43" fontId="25" fillId="13" borderId="0" xfId="11" applyFont="1" applyFill="1"/>
    <xf numFmtId="14" fontId="25" fillId="13" borderId="0" xfId="0" applyNumberFormat="1" applyFont="1" applyFill="1"/>
    <xf numFmtId="0" fontId="15" fillId="14" borderId="0" xfId="0" applyFont="1" applyFill="1"/>
    <xf numFmtId="166" fontId="15" fillId="14" borderId="0" xfId="0" applyNumberFormat="1" applyFont="1" applyFill="1"/>
    <xf numFmtId="0" fontId="0" fillId="14" borderId="0" xfId="0" applyFill="1"/>
    <xf numFmtId="166" fontId="0" fillId="14" borderId="0" xfId="0" applyNumberFormat="1" applyFill="1"/>
    <xf numFmtId="0" fontId="4" fillId="3" borderId="29" xfId="4" applyBorder="1" applyAlignment="1">
      <alignment vertical="center"/>
    </xf>
    <xf numFmtId="172" fontId="4" fillId="3" borderId="3" xfId="4" applyNumberFormat="1"/>
    <xf numFmtId="0" fontId="0" fillId="15" borderId="0" xfId="0" applyFill="1"/>
    <xf numFmtId="44" fontId="0" fillId="16" borderId="0" xfId="12" applyFont="1" applyFill="1"/>
    <xf numFmtId="43" fontId="15" fillId="15" borderId="0" xfId="11" applyFont="1" applyFill="1"/>
    <xf numFmtId="44" fontId="15" fillId="16" borderId="0" xfId="12" applyFont="1" applyFill="1"/>
    <xf numFmtId="43" fontId="0" fillId="15" borderId="0" xfId="11" applyFont="1" applyFill="1"/>
    <xf numFmtId="14" fontId="0" fillId="17" borderId="0" xfId="0" applyNumberFormat="1" applyFill="1" applyAlignment="1">
      <alignment horizontal="left"/>
    </xf>
    <xf numFmtId="0" fontId="0" fillId="17" borderId="0" xfId="0" applyFill="1" applyAlignment="1">
      <alignment wrapText="1"/>
    </xf>
    <xf numFmtId="43" fontId="0" fillId="17" borderId="0" xfId="11" applyFont="1" applyFill="1" applyAlignment="1">
      <alignment wrapText="1"/>
    </xf>
    <xf numFmtId="14" fontId="0" fillId="17" borderId="0" xfId="0" applyNumberFormat="1" applyFill="1" applyAlignment="1">
      <alignment wrapText="1"/>
    </xf>
    <xf numFmtId="0" fontId="0" fillId="17" borderId="0" xfId="0" applyFill="1"/>
    <xf numFmtId="43" fontId="0" fillId="17" borderId="0" xfId="11" applyFont="1" applyFill="1"/>
    <xf numFmtId="14" fontId="0" fillId="17" borderId="0" xfId="0" applyNumberFormat="1" applyFill="1"/>
    <xf numFmtId="0" fontId="15" fillId="18" borderId="0" xfId="0" applyFont="1" applyFill="1"/>
    <xf numFmtId="0" fontId="0" fillId="18" borderId="0" xfId="0" applyFill="1"/>
    <xf numFmtId="14" fontId="0" fillId="19" borderId="0" xfId="0" applyNumberFormat="1" applyFill="1" applyAlignment="1">
      <alignment horizontal="left"/>
    </xf>
    <xf numFmtId="0" fontId="0" fillId="19" borderId="0" xfId="0" applyFill="1"/>
    <xf numFmtId="43" fontId="0" fillId="19" borderId="0" xfId="11" applyFont="1" applyFill="1"/>
    <xf numFmtId="14" fontId="0" fillId="19" borderId="0" xfId="0" applyNumberFormat="1" applyFill="1"/>
    <xf numFmtId="22" fontId="0" fillId="19" borderId="22" xfId="0" applyNumberFormat="1" applyFill="1" applyBorder="1"/>
    <xf numFmtId="22" fontId="0" fillId="19" borderId="0" xfId="0" applyNumberFormat="1" applyFill="1"/>
    <xf numFmtId="22" fontId="25" fillId="19" borderId="0" xfId="0" applyNumberFormat="1" applyFont="1" applyFill="1"/>
    <xf numFmtId="3" fontId="0" fillId="0" borderId="23" xfId="0" applyNumberFormat="1" applyBorder="1"/>
    <xf numFmtId="14" fontId="25" fillId="19" borderId="0" xfId="0" applyNumberFormat="1" applyFont="1" applyFill="1"/>
    <xf numFmtId="3" fontId="25" fillId="19" borderId="3" xfId="4" applyNumberFormat="1" applyFont="1" applyFill="1"/>
    <xf numFmtId="164" fontId="25" fillId="19" borderId="3" xfId="4" applyNumberFormat="1" applyFont="1" applyFill="1"/>
    <xf numFmtId="172" fontId="25" fillId="19" borderId="3" xfId="4" applyNumberFormat="1" applyFont="1" applyFill="1"/>
    <xf numFmtId="16" fontId="0" fillId="20" borderId="0" xfId="0" applyNumberFormat="1" applyFill="1"/>
    <xf numFmtId="0" fontId="25" fillId="20" borderId="0" xfId="0" applyFont="1" applyFill="1"/>
    <xf numFmtId="0" fontId="0" fillId="20" borderId="0" xfId="0" applyFill="1"/>
    <xf numFmtId="0" fontId="0" fillId="10" borderId="22" xfId="0" applyFill="1" applyBorder="1"/>
    <xf numFmtId="166" fontId="0" fillId="0" borderId="23" xfId="0" applyNumberFormat="1" applyBorder="1"/>
    <xf numFmtId="43" fontId="0" fillId="15" borderId="23" xfId="11" applyFont="1" applyFill="1" applyBorder="1"/>
    <xf numFmtId="44" fontId="0" fillId="16" borderId="30" xfId="12" applyFont="1" applyFill="1" applyBorder="1"/>
    <xf numFmtId="173" fontId="4" fillId="3" borderId="3" xfId="13" applyNumberFormat="1" applyFont="1" applyFill="1" applyBorder="1"/>
    <xf numFmtId="0" fontId="12" fillId="6" borderId="0" xfId="8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0" borderId="2" xfId="3" applyAlignment="1">
      <alignment horizontal="center" vertical="center"/>
    </xf>
    <xf numFmtId="0" fontId="4" fillId="3" borderId="3" xfId="4" applyAlignment="1">
      <alignment horizontal="center" vertical="center"/>
    </xf>
    <xf numFmtId="0" fontId="14" fillId="0" borderId="0" xfId="7" applyFont="1" applyFill="1" applyBorder="1" applyAlignment="1">
      <alignment horizontal="left"/>
    </xf>
    <xf numFmtId="14" fontId="0" fillId="21" borderId="0" xfId="0" applyNumberFormat="1" applyFill="1"/>
    <xf numFmtId="3" fontId="4" fillId="21" borderId="3" xfId="4" applyNumberFormat="1" applyFill="1"/>
    <xf numFmtId="164" fontId="4" fillId="21" borderId="3" xfId="4" applyNumberFormat="1" applyFill="1"/>
    <xf numFmtId="172" fontId="4" fillId="21" borderId="3" xfId="4" applyNumberFormat="1" applyFill="1"/>
    <xf numFmtId="14" fontId="0" fillId="0" borderId="22" xfId="0" applyNumberFormat="1" applyBorder="1"/>
    <xf numFmtId="172" fontId="4" fillId="3" borderId="25" xfId="4" applyNumberFormat="1" applyBorder="1"/>
    <xf numFmtId="14" fontId="0" fillId="20" borderId="0" xfId="0" applyNumberFormat="1" applyFill="1"/>
    <xf numFmtId="165" fontId="4" fillId="3" borderId="3" xfId="4" applyNumberFormat="1"/>
    <xf numFmtId="3" fontId="4" fillId="21" borderId="8" xfId="4" applyNumberFormat="1" applyFill="1" applyBorder="1"/>
    <xf numFmtId="164" fontId="4" fillId="21" borderId="8" xfId="4" applyNumberFormat="1" applyFill="1" applyBorder="1"/>
    <xf numFmtId="172" fontId="4" fillId="21" borderId="8" xfId="4" applyNumberFormat="1" applyFill="1" applyBorder="1"/>
    <xf numFmtId="14" fontId="0" fillId="21" borderId="22" xfId="0" applyNumberFormat="1" applyFill="1" applyBorder="1"/>
    <xf numFmtId="3" fontId="4" fillId="21" borderId="24" xfId="4" applyNumberFormat="1" applyFill="1" applyBorder="1"/>
    <xf numFmtId="164" fontId="4" fillId="21" borderId="24" xfId="4" applyNumberFormat="1" applyFill="1" applyBorder="1"/>
    <xf numFmtId="172" fontId="4" fillId="21" borderId="25" xfId="4" applyNumberFormat="1" applyFill="1" applyBorder="1"/>
    <xf numFmtId="3" fontId="4" fillId="21" borderId="6" xfId="4" applyNumberFormat="1" applyFill="1" applyBorder="1"/>
    <xf numFmtId="164" fontId="4" fillId="21" borderId="6" xfId="4" applyNumberFormat="1" applyFill="1" applyBorder="1"/>
    <xf numFmtId="172" fontId="4" fillId="21" borderId="6" xfId="4" applyNumberFormat="1" applyFill="1" applyBorder="1"/>
    <xf numFmtId="3" fontId="4" fillId="9" borderId="29" xfId="4" applyNumberFormat="1" applyFill="1" applyBorder="1" applyAlignment="1">
      <alignment horizontal="center" vertical="center"/>
    </xf>
  </cellXfs>
  <cellStyles count="14">
    <cellStyle name="Calculation" xfId="6" builtinId="22" customBuiltin="1"/>
    <cellStyle name="Comma" xfId="11" builtinId="3"/>
    <cellStyle name="Currency" xfId="12" builtinId="4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Output" xfId="10" builtinId="21"/>
    <cellStyle name="Percent" xfId="13" builtinId="5"/>
    <cellStyle name="Title" xfId="1" builtinId="15" customBuiltin="1"/>
    <cellStyle name="Warning Text" xfId="5" builtinId="11"/>
  </cellStyles>
  <dxfs count="50">
    <dxf>
      <numFmt numFmtId="19" formatCode="m/d/yyyy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</dxf>
    <dxf>
      <numFmt numFmtId="21" formatCode="d\-mmm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166" formatCode="m/d/yy\ h:mm;@"/>
    </dxf>
    <dxf>
      <numFmt numFmtId="0" formatCode="General"/>
      <fill>
        <patternFill patternType="solid">
          <fgColor indexed="64"/>
          <bgColor theme="0" tint="-0.34998626667073579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bottom" textRotation="0" wrapText="1" indent="0" justifyLastLine="0" shrinkToFit="0" readingOrder="0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4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1</xdr:row>
      <xdr:rowOff>152400</xdr:rowOff>
    </xdr:from>
    <xdr:to>
      <xdr:col>34</xdr:col>
      <xdr:colOff>429009</xdr:colOff>
      <xdr:row>28</xdr:row>
      <xdr:rowOff>105545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7344A-6D6B-80B0-E297-5243C8648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40900" y="342900"/>
          <a:ext cx="2753109" cy="551574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E2487E-CB3B-440E-A66E-A8376CC47AFF}" name="Table2" displayName="Table2" ref="M1:Q7" totalsRowShown="0" headerRowDxfId="24" dataDxfId="23" dataCellStyle="Comma">
  <autoFilter ref="M1:Q7" xr:uid="{A4E2487E-CB3B-440E-A66E-A8376CC47AFF}"/>
  <sortState xmlns:xlrd2="http://schemas.microsoft.com/office/spreadsheetml/2017/richdata2" ref="M2:Q6">
    <sortCondition ref="M1:M6"/>
  </sortState>
  <tableColumns count="5">
    <tableColumn id="1" xr3:uid="{F3491471-C7D7-467C-BF92-96F9DEACA5A9}" name="Month"/>
    <tableColumn id="2" xr3:uid="{B2B895F3-A7C6-41DE-89AC-B2ABBB579E41}" name="Release (AF)" dataDxfId="22" dataCellStyle="Comma"/>
    <tableColumn id="4" xr3:uid="{121F2A4E-EC89-4790-BBED-D259BD77B8F5}" name="Factor" dataDxfId="21" dataCellStyle="Comma"/>
    <tableColumn id="5" xr3:uid="{B26B0B0A-1517-45A6-B398-0A999F98AAF2}" name="Max Daily Change (AF)" dataDxfId="20" dataCellStyle="Comma">
      <calculatedColumnFormula>N2*O2</calculatedColumnFormula>
    </tableColumn>
    <tableColumn id="3" xr3:uid="{3E6E0EF0-3C66-4835-A818-0B213AFD3E3E}" name="WaterToPower_Conv(MW/CFS)" dataDxfId="19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34F577-9BA2-4C6E-9510-0A01EEE54079}" name="LoadTable" displayName="LoadTable" ref="A3:D363" totalsRowShown="0" headerRowDxfId="18">
  <autoFilter ref="A3:D363" xr:uid="{1934F577-9BA2-4C6E-9510-0A01EEE54079}"/>
  <tableColumns count="4">
    <tableColumn id="5" xr3:uid="{49852AA7-F54E-4B38-924B-628E39E7A504}" name="DayType" dataDxfId="17">
      <calculatedColumnFormula>TEXT(LoadTable[[#This Row],[Date]],"yy-mm")&amp;"-"&amp;IF(AND(WEEKDAY(LoadTable[[#This Row],[Date]])&gt;1,WEEKDAY(LoadTable[[#This Row],[Date]])&lt;7),"Wkd",TEXT(LoadTable[[#This Row],[Date]],"Ddd"))&amp;"-"&amp;TEXT(LoadTable[[#This Row],[Date]],"hh")</calculatedColumnFormula>
    </tableColumn>
    <tableColumn id="1" xr3:uid="{7CAB5E1B-0FEA-4F69-BAC7-DFDEC738DD0F}" name="Date" dataDxfId="16"/>
    <tableColumn id="4" xr3:uid="{A75BD79F-73D5-42BA-A39C-8B69713CFEA4}" name="SHP_Load(MWh)" dataDxfId="15"/>
    <tableColumn id="6" xr3:uid="{E6ADBDF3-A067-4B13-AD3C-CFF791B11A7A}" name="ARGUS($)" dataDxfId="14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D11763-0CAC-4EAA-880F-92B7E6094ACB}" name="FY24_Temp" displayName="FY24_Temp" ref="I3:P129" totalsRowShown="0" headerRowDxfId="13" dataDxfId="12">
  <autoFilter ref="I3:P129" xr:uid="{0FD11763-0CAC-4EAA-880F-92B7E6094ACB}"/>
  <tableColumns count="8">
    <tableColumn id="28" xr3:uid="{CB7219F6-09F3-4241-A42E-BBBCB06BE305}" name="Date_Simple" dataDxfId="11"/>
    <tableColumn id="1" xr3:uid="{9245A722-3BD7-4B58-9DD2-3AB6949C2292}" name="DeltaTempProf" dataDxfId="10"/>
    <tableColumn id="29" xr3:uid="{8647AE77-4853-4A46-A432-9D2DC86CE92E}" name="PenstockTemp" dataDxfId="9"/>
    <tableColumn id="30" xr3:uid="{432FE4E6-B440-49AB-AC8F-3F803A23C3EE}" name="BypassTemp" dataDxfId="8" dataCellStyle="Comma"/>
    <tableColumn id="31" xr3:uid="{9EC8CD30-A778-410F-9E71-3A253477BE90}" name="WK" dataDxfId="7"/>
    <tableColumn id="2" xr3:uid="{0458F097-2947-4CC2-BF7B-C0DCB798E836}" name="Day_of_Week" dataDxfId="6">
      <calculatedColumnFormula>TEXT(FY24_Temp[[#This Row],[Date_Simple]],"Ddd")</calculatedColumnFormula>
    </tableColumn>
    <tableColumn id="3" xr3:uid="{D7CCE398-C197-4714-B166-73F3BB4DFDAA}" name="Old_Date" dataDxfId="5"/>
    <tableColumn id="4" xr3:uid="{A0FD52F4-E9B3-467A-9316-CB5EED053C43}" name="Old_Day_ofWeek" dataDxfId="4">
      <calculatedColumnFormula>TEXT(FY24_Temp[[#This Row],[Old_Date]],"Ddd")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F64652-9CCF-4F6E-A05C-C9D9C4922E5C}" name="BypassWeeks" displayName="BypassWeeks" ref="T3:V21" totalsRowShown="0">
  <autoFilter ref="T3:V21" xr:uid="{DFF64652-9CCF-4F6E-A05C-C9D9C4922E5C}"/>
  <tableColumns count="3">
    <tableColumn id="1" xr3:uid="{A4A26617-4540-438A-BC36-D3930F3014C4}" name="File Name" dataDxfId="3">
      <calculatedColumnFormula>BypassWeeks[[#This Row],[Week No]]&amp;"_"&amp;TEXT(BypassWeeks[[#This Row],[Start Date]],"mm")&amp;TEXT(BypassWeeks[[#This Row],[Start Date]],"-dd")</calculatedColumnFormula>
    </tableColumn>
    <tableColumn id="2" xr3:uid="{1B16BC10-BE4C-430C-AC7F-DA32FD0C73F8}" name="Week No"/>
    <tableColumn id="3" xr3:uid="{8829F0D5-72B7-4506-A337-A04B2A7A2750}" name="Start Date" dataDxfId="2">
      <calculatedColumnFormula>V4+7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86EBA6-5BAB-4B36-A93A-A3915AE4B938}" name="TempDelta" displayName="TempDelta" ref="Y3:AC387" totalsRowShown="0">
  <autoFilter ref="Y3:AC387" xr:uid="{EE86EBA6-5BAB-4B36-A93A-A3915AE4B938}"/>
  <tableColumns count="5">
    <tableColumn id="4" xr3:uid="{C8C78236-3FDE-471E-90D5-8ADB2EF67275}" name="Column1" dataDxfId="1">
      <calculatedColumnFormula>TempDelta[[#This Row],[WeekNo]]&amp;"-"&amp;TempDelta[[#This Row],[HR]]</calculatedColumnFormula>
    </tableColumn>
    <tableColumn id="1" xr3:uid="{75F69230-8989-418B-97DC-1279D07980DE}" name="WeekNo"/>
    <tableColumn id="2" xr3:uid="{0CA719FA-FFC0-4CBD-BD57-9895A660BB3B}" name="HR"/>
    <tableColumn id="3" xr3:uid="{195ACC65-ABD2-4AAB-9FAD-0ABAF013DDC0}" name="Average of TempValue"/>
    <tableColumn id="5" xr3:uid="{CC5BC854-16FD-4401-9454-4204867DB878}" name="Column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FQ105"/>
  <sheetViews>
    <sheetView tabSelected="1" zoomScale="85" zoomScaleNormal="85" workbookViewId="0">
      <selection activeCell="B14" sqref="B14"/>
    </sheetView>
  </sheetViews>
  <sheetFormatPr defaultColWidth="8.6640625" defaultRowHeight="14.4"/>
  <cols>
    <col min="1" max="1" width="69.33203125" bestFit="1" customWidth="1"/>
    <col min="2" max="2" width="29" bestFit="1" customWidth="1"/>
    <col min="3" max="3" width="12.44140625" customWidth="1"/>
    <col min="4" max="4" width="13.109375" bestFit="1" customWidth="1"/>
    <col min="5" max="6" width="11.6640625" bestFit="1" customWidth="1"/>
    <col min="7" max="28" width="12.6640625" customWidth="1"/>
    <col min="29" max="29" width="12.6640625" style="62" customWidth="1"/>
    <col min="30" max="52" width="12.6640625" customWidth="1"/>
    <col min="53" max="53" width="12.6640625" style="62" customWidth="1"/>
    <col min="54" max="76" width="12.6640625" customWidth="1"/>
    <col min="77" max="77" width="12.6640625" style="62" customWidth="1"/>
    <col min="78" max="100" width="12.6640625" customWidth="1"/>
    <col min="101" max="101" width="12.6640625" style="62" customWidth="1"/>
    <col min="102" max="124" width="12.6640625" customWidth="1"/>
    <col min="125" max="125" width="12.6640625" style="62" customWidth="1"/>
    <col min="126" max="148" width="12.6640625" customWidth="1"/>
    <col min="149" max="149" width="12.6640625" style="62" customWidth="1"/>
    <col min="150" max="158" width="11.6640625" bestFit="1" customWidth="1"/>
    <col min="159" max="172" width="12.6640625" bestFit="1" customWidth="1"/>
    <col min="173" max="173" width="8.6640625" style="62"/>
  </cols>
  <sheetData>
    <row r="1" spans="1:172" ht="24" thickBot="1">
      <c r="A1" s="6" t="s">
        <v>0</v>
      </c>
      <c r="B1" s="10" t="s">
        <v>32</v>
      </c>
      <c r="C1" s="10" t="s">
        <v>132</v>
      </c>
      <c r="D1" s="11" t="s">
        <v>58</v>
      </c>
      <c r="E1" s="11" t="s">
        <v>7</v>
      </c>
      <c r="F1" s="11" t="s">
        <v>8</v>
      </c>
      <c r="G1" s="11" t="s">
        <v>9</v>
      </c>
      <c r="H1" s="11" t="s">
        <v>10</v>
      </c>
      <c r="I1" s="11" t="s">
        <v>11</v>
      </c>
      <c r="J1" s="11" t="s">
        <v>12</v>
      </c>
      <c r="K1" s="11" t="s">
        <v>13</v>
      </c>
      <c r="L1" s="11" t="s">
        <v>14</v>
      </c>
      <c r="M1" s="11" t="s">
        <v>15</v>
      </c>
      <c r="N1" s="11" t="s">
        <v>16</v>
      </c>
      <c r="O1" s="11" t="s">
        <v>17</v>
      </c>
      <c r="P1" s="11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11" t="s">
        <v>28</v>
      </c>
      <c r="AA1" s="11" t="s">
        <v>29</v>
      </c>
      <c r="AB1" s="11" t="s">
        <v>30</v>
      </c>
      <c r="AC1" s="11" t="s">
        <v>221</v>
      </c>
      <c r="AD1" s="11" t="s">
        <v>222</v>
      </c>
      <c r="AE1" s="11" t="s">
        <v>223</v>
      </c>
      <c r="AF1" s="11" t="s">
        <v>224</v>
      </c>
      <c r="AG1" s="11" t="s">
        <v>225</v>
      </c>
      <c r="AH1" s="11" t="s">
        <v>226</v>
      </c>
      <c r="AI1" s="11" t="s">
        <v>227</v>
      </c>
      <c r="AJ1" s="11" t="s">
        <v>228</v>
      </c>
      <c r="AK1" s="11" t="s">
        <v>229</v>
      </c>
      <c r="AL1" s="11" t="s">
        <v>230</v>
      </c>
      <c r="AM1" s="11" t="s">
        <v>231</v>
      </c>
      <c r="AN1" s="11" t="s">
        <v>232</v>
      </c>
      <c r="AO1" s="11" t="s">
        <v>233</v>
      </c>
      <c r="AP1" s="11" t="s">
        <v>234</v>
      </c>
      <c r="AQ1" s="11" t="s">
        <v>235</v>
      </c>
      <c r="AR1" s="11" t="s">
        <v>236</v>
      </c>
      <c r="AS1" s="11" t="s">
        <v>237</v>
      </c>
      <c r="AT1" s="11" t="s">
        <v>238</v>
      </c>
      <c r="AU1" s="11" t="s">
        <v>239</v>
      </c>
      <c r="AV1" s="11" t="s">
        <v>240</v>
      </c>
      <c r="AW1" s="11" t="s">
        <v>241</v>
      </c>
      <c r="AX1" s="11" t="s">
        <v>242</v>
      </c>
      <c r="AY1" s="11" t="s">
        <v>243</v>
      </c>
      <c r="AZ1" s="11" t="s">
        <v>244</v>
      </c>
      <c r="BA1" s="11" t="s">
        <v>245</v>
      </c>
      <c r="BB1" s="11" t="s">
        <v>246</v>
      </c>
      <c r="BC1" s="11" t="s">
        <v>247</v>
      </c>
      <c r="BD1" s="11" t="s">
        <v>248</v>
      </c>
      <c r="BE1" s="11" t="s">
        <v>249</v>
      </c>
      <c r="BF1" s="11" t="s">
        <v>250</v>
      </c>
      <c r="BG1" s="11" t="s">
        <v>251</v>
      </c>
      <c r="BH1" s="11" t="s">
        <v>252</v>
      </c>
      <c r="BI1" s="11" t="s">
        <v>253</v>
      </c>
      <c r="BJ1" s="11" t="s">
        <v>254</v>
      </c>
      <c r="BK1" s="11" t="s">
        <v>255</v>
      </c>
      <c r="BL1" s="11" t="s">
        <v>256</v>
      </c>
      <c r="BM1" s="11" t="s">
        <v>257</v>
      </c>
      <c r="BN1" s="11" t="s">
        <v>258</v>
      </c>
      <c r="BO1" s="11" t="s">
        <v>259</v>
      </c>
      <c r="BP1" s="11" t="s">
        <v>260</v>
      </c>
      <c r="BQ1" s="11" t="s">
        <v>261</v>
      </c>
      <c r="BR1" s="11" t="s">
        <v>262</v>
      </c>
      <c r="BS1" s="11" t="s">
        <v>263</v>
      </c>
      <c r="BT1" s="11" t="s">
        <v>264</v>
      </c>
      <c r="BU1" s="11" t="s">
        <v>265</v>
      </c>
      <c r="BV1" s="11" t="s">
        <v>266</v>
      </c>
      <c r="BW1" s="11" t="s">
        <v>267</v>
      </c>
      <c r="BX1" s="11" t="s">
        <v>268</v>
      </c>
      <c r="BY1" s="11" t="s">
        <v>269</v>
      </c>
      <c r="BZ1" s="11" t="s">
        <v>270</v>
      </c>
      <c r="CA1" s="11" t="s">
        <v>271</v>
      </c>
      <c r="CB1" s="11" t="s">
        <v>272</v>
      </c>
      <c r="CC1" s="11" t="s">
        <v>273</v>
      </c>
      <c r="CD1" s="11" t="s">
        <v>274</v>
      </c>
      <c r="CE1" s="11" t="s">
        <v>275</v>
      </c>
      <c r="CF1" s="11" t="s">
        <v>276</v>
      </c>
      <c r="CG1" s="11" t="s">
        <v>277</v>
      </c>
      <c r="CH1" s="11" t="s">
        <v>278</v>
      </c>
      <c r="CI1" s="11" t="s">
        <v>279</v>
      </c>
      <c r="CJ1" s="11" t="s">
        <v>280</v>
      </c>
      <c r="CK1" s="11" t="s">
        <v>281</v>
      </c>
      <c r="CL1" s="11" t="s">
        <v>282</v>
      </c>
      <c r="CM1" s="11" t="s">
        <v>283</v>
      </c>
      <c r="CN1" s="11" t="s">
        <v>284</v>
      </c>
      <c r="CO1" s="11" t="s">
        <v>285</v>
      </c>
      <c r="CP1" s="11" t="s">
        <v>286</v>
      </c>
      <c r="CQ1" s="11" t="s">
        <v>287</v>
      </c>
      <c r="CR1" s="11" t="s">
        <v>288</v>
      </c>
      <c r="CS1" s="11" t="s">
        <v>289</v>
      </c>
      <c r="CT1" s="11" t="s">
        <v>290</v>
      </c>
      <c r="CU1" s="11" t="s">
        <v>291</v>
      </c>
      <c r="CV1" s="11" t="s">
        <v>292</v>
      </c>
      <c r="CW1" s="11" t="s">
        <v>293</v>
      </c>
      <c r="CX1" s="11" t="s">
        <v>294</v>
      </c>
      <c r="CY1" s="11" t="s">
        <v>295</v>
      </c>
      <c r="CZ1" s="11" t="s">
        <v>296</v>
      </c>
      <c r="DA1" s="11" t="s">
        <v>297</v>
      </c>
      <c r="DB1" s="11" t="s">
        <v>298</v>
      </c>
      <c r="DC1" s="11" t="s">
        <v>299</v>
      </c>
      <c r="DD1" s="11" t="s">
        <v>300</v>
      </c>
      <c r="DE1" s="11" t="s">
        <v>301</v>
      </c>
      <c r="DF1" s="11" t="s">
        <v>302</v>
      </c>
      <c r="DG1" s="11" t="s">
        <v>303</v>
      </c>
      <c r="DH1" s="11" t="s">
        <v>304</v>
      </c>
      <c r="DI1" s="11" t="s">
        <v>305</v>
      </c>
      <c r="DJ1" s="11" t="s">
        <v>306</v>
      </c>
      <c r="DK1" s="11" t="s">
        <v>307</v>
      </c>
      <c r="DL1" s="11" t="s">
        <v>308</v>
      </c>
      <c r="DM1" s="11" t="s">
        <v>309</v>
      </c>
      <c r="DN1" s="11" t="s">
        <v>310</v>
      </c>
      <c r="DO1" s="11" t="s">
        <v>311</v>
      </c>
      <c r="DP1" s="11" t="s">
        <v>312</v>
      </c>
      <c r="DQ1" s="11" t="s">
        <v>313</v>
      </c>
      <c r="DR1" s="11" t="s">
        <v>314</v>
      </c>
      <c r="DS1" s="11" t="s">
        <v>315</v>
      </c>
      <c r="DT1" s="11" t="s">
        <v>316</v>
      </c>
      <c r="DU1" s="11" t="s">
        <v>317</v>
      </c>
      <c r="DV1" s="11" t="s">
        <v>318</v>
      </c>
      <c r="DW1" s="11" t="s">
        <v>319</v>
      </c>
      <c r="DX1" s="11" t="s">
        <v>320</v>
      </c>
      <c r="DY1" s="11" t="s">
        <v>321</v>
      </c>
      <c r="DZ1" s="11" t="s">
        <v>322</v>
      </c>
      <c r="EA1" s="11" t="s">
        <v>323</v>
      </c>
      <c r="EB1" s="11" t="s">
        <v>324</v>
      </c>
      <c r="EC1" s="11" t="s">
        <v>325</v>
      </c>
      <c r="ED1" s="11" t="s">
        <v>326</v>
      </c>
      <c r="EE1" s="11" t="s">
        <v>327</v>
      </c>
      <c r="EF1" s="11" t="s">
        <v>328</v>
      </c>
      <c r="EG1" s="11" t="s">
        <v>329</v>
      </c>
      <c r="EH1" s="11" t="s">
        <v>330</v>
      </c>
      <c r="EI1" s="11" t="s">
        <v>331</v>
      </c>
      <c r="EJ1" s="11" t="s">
        <v>332</v>
      </c>
      <c r="EK1" s="11" t="s">
        <v>333</v>
      </c>
      <c r="EL1" s="11" t="s">
        <v>334</v>
      </c>
      <c r="EM1" s="11" t="s">
        <v>335</v>
      </c>
      <c r="EN1" s="11" t="s">
        <v>336</v>
      </c>
      <c r="EO1" s="11" t="s">
        <v>337</v>
      </c>
      <c r="EP1" s="11" t="s">
        <v>338</v>
      </c>
      <c r="EQ1" s="11" t="s">
        <v>339</v>
      </c>
      <c r="ER1" s="11" t="s">
        <v>340</v>
      </c>
      <c r="ES1" s="11" t="s">
        <v>341</v>
      </c>
      <c r="ET1" s="11" t="s">
        <v>342</v>
      </c>
      <c r="EU1" s="11" t="s">
        <v>343</v>
      </c>
      <c r="EV1" s="11" t="s">
        <v>344</v>
      </c>
      <c r="EW1" s="11" t="s">
        <v>345</v>
      </c>
      <c r="EX1" s="11" t="s">
        <v>346</v>
      </c>
      <c r="EY1" s="11" t="s">
        <v>347</v>
      </c>
      <c r="EZ1" s="11" t="s">
        <v>348</v>
      </c>
      <c r="FA1" s="11" t="s">
        <v>349</v>
      </c>
      <c r="FB1" s="11" t="s">
        <v>350</v>
      </c>
      <c r="FC1" s="11" t="s">
        <v>351</v>
      </c>
      <c r="FD1" s="11" t="s">
        <v>352</v>
      </c>
      <c r="FE1" s="11" t="s">
        <v>353</v>
      </c>
      <c r="FF1" s="11" t="s">
        <v>354</v>
      </c>
      <c r="FG1" s="11" t="s">
        <v>355</v>
      </c>
      <c r="FH1" s="11" t="s">
        <v>356</v>
      </c>
      <c r="FI1" s="11" t="s">
        <v>357</v>
      </c>
      <c r="FJ1" s="11" t="s">
        <v>358</v>
      </c>
      <c r="FK1" s="11" t="s">
        <v>359</v>
      </c>
      <c r="FL1" s="11" t="s">
        <v>360</v>
      </c>
      <c r="FM1" s="11" t="s">
        <v>361</v>
      </c>
      <c r="FN1" s="11" t="s">
        <v>362</v>
      </c>
      <c r="FO1" s="11" t="s">
        <v>363</v>
      </c>
      <c r="FP1" s="11" t="s">
        <v>364</v>
      </c>
    </row>
    <row r="2" spans="1:172" ht="15.75" customHeight="1" thickTop="1" thickBot="1">
      <c r="A2" s="1" t="s">
        <v>111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172" ht="15.75" customHeight="1" thickTop="1">
      <c r="A3" t="s">
        <v>117</v>
      </c>
      <c r="B3" s="2" t="s">
        <v>118</v>
      </c>
      <c r="C3" s="2"/>
      <c r="D3" s="12" t="s">
        <v>499</v>
      </c>
      <c r="E3" s="19"/>
      <c r="F3" s="23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164" t="s">
        <v>482</v>
      </c>
      <c r="Z3" s="165"/>
      <c r="AA3" s="165"/>
      <c r="AB3" s="25"/>
    </row>
    <row r="4" spans="1:172" ht="15.75" customHeight="1">
      <c r="A4" t="s">
        <v>110</v>
      </c>
      <c r="D4" s="17" t="s">
        <v>112</v>
      </c>
      <c r="E4" s="18" t="s">
        <v>113</v>
      </c>
      <c r="F4" s="13" t="s">
        <v>114</v>
      </c>
      <c r="G4" s="2" t="s">
        <v>109</v>
      </c>
      <c r="Y4" s="164" t="s">
        <v>483</v>
      </c>
      <c r="Z4" s="164" t="s">
        <v>465</v>
      </c>
      <c r="AA4" s="164" t="s">
        <v>119</v>
      </c>
      <c r="AB4" s="13" t="b">
        <v>1</v>
      </c>
    </row>
    <row r="5" spans="1:172" ht="15.75" customHeight="1">
      <c r="D5" s="12"/>
      <c r="E5" s="19"/>
      <c r="F5" s="20"/>
      <c r="Y5" s="164" t="s">
        <v>484</v>
      </c>
      <c r="Z5" s="164" t="s">
        <v>470</v>
      </c>
      <c r="AA5" s="164" t="s">
        <v>131</v>
      </c>
      <c r="AB5" s="14" t="b">
        <v>0</v>
      </c>
    </row>
    <row r="6" spans="1:172" ht="15.75" customHeight="1" thickBot="1">
      <c r="A6" s="1" t="s">
        <v>93</v>
      </c>
      <c r="B6" s="7" t="s">
        <v>32</v>
      </c>
      <c r="C6" s="7"/>
      <c r="D6" s="3" t="s">
        <v>58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164" t="s">
        <v>485</v>
      </c>
      <c r="Z6" s="166"/>
      <c r="AA6" s="166"/>
      <c r="AB6" s="3"/>
    </row>
    <row r="7" spans="1:172" ht="15.75" hidden="1" customHeight="1" thickTop="1">
      <c r="A7" t="s">
        <v>92</v>
      </c>
      <c r="B7" s="2" t="s">
        <v>91</v>
      </c>
      <c r="C7" s="2"/>
      <c r="D7" s="21" t="s">
        <v>206</v>
      </c>
    </row>
    <row r="8" spans="1:172" ht="15.75" customHeight="1" thickTop="1">
      <c r="A8" t="s">
        <v>108</v>
      </c>
      <c r="B8" s="2" t="s">
        <v>107</v>
      </c>
      <c r="C8" s="2"/>
      <c r="D8" s="4" t="s">
        <v>513</v>
      </c>
    </row>
    <row r="9" spans="1:172" ht="15.75" customHeight="1">
      <c r="A9" t="s">
        <v>115</v>
      </c>
      <c r="B9" s="2" t="s">
        <v>116</v>
      </c>
      <c r="C9" s="2"/>
      <c r="D9" s="4" t="b">
        <v>1</v>
      </c>
      <c r="F9" s="46">
        <v>1</v>
      </c>
      <c r="G9" s="46">
        <v>2</v>
      </c>
      <c r="H9" s="46">
        <v>3</v>
      </c>
      <c r="I9" s="46">
        <v>4</v>
      </c>
      <c r="J9" s="46">
        <v>5</v>
      </c>
      <c r="K9" s="46">
        <v>6</v>
      </c>
      <c r="L9" s="46">
        <v>7</v>
      </c>
    </row>
    <row r="10" spans="1:172" ht="15.75" customHeight="1">
      <c r="A10" t="s">
        <v>122</v>
      </c>
      <c r="B10" s="2" t="s">
        <v>123</v>
      </c>
      <c r="C10" s="2"/>
      <c r="D10" s="167" t="s">
        <v>131</v>
      </c>
      <c r="F10" s="46" t="s">
        <v>214</v>
      </c>
      <c r="G10" s="46" t="s">
        <v>215</v>
      </c>
      <c r="H10" s="46" t="s">
        <v>216</v>
      </c>
      <c r="I10" s="46" t="s">
        <v>217</v>
      </c>
      <c r="J10" s="46" t="s">
        <v>218</v>
      </c>
      <c r="K10" s="46" t="s">
        <v>219</v>
      </c>
      <c r="L10" s="46" t="s">
        <v>220</v>
      </c>
    </row>
    <row r="11" spans="1:172" ht="15.75" customHeight="1">
      <c r="A11" t="s">
        <v>463</v>
      </c>
      <c r="B11" s="2" t="s">
        <v>464</v>
      </c>
      <c r="C11" s="2"/>
      <c r="D11" s="167" t="s">
        <v>470</v>
      </c>
      <c r="F11" s="78"/>
      <c r="G11" s="78"/>
      <c r="H11" s="78"/>
      <c r="I11" s="78"/>
      <c r="J11" s="78"/>
      <c r="K11" s="78"/>
      <c r="L11" s="78"/>
      <c r="X11" t="s">
        <v>466</v>
      </c>
    </row>
    <row r="12" spans="1:172" ht="15.75" customHeight="1">
      <c r="A12" t="s">
        <v>467</v>
      </c>
      <c r="B12" s="2" t="s">
        <v>468</v>
      </c>
      <c r="C12" s="2"/>
      <c r="D12" s="8">
        <v>3</v>
      </c>
      <c r="E12" s="22" t="s">
        <v>469</v>
      </c>
      <c r="F12" s="78"/>
      <c r="G12" s="78"/>
      <c r="H12" s="78"/>
      <c r="I12" s="78"/>
      <c r="J12" s="78"/>
      <c r="K12" s="78"/>
      <c r="L12" s="78"/>
    </row>
    <row r="13" spans="1:172" ht="15.75" customHeight="1">
      <c r="A13" t="s">
        <v>479</v>
      </c>
      <c r="B13" s="2" t="s">
        <v>480</v>
      </c>
      <c r="C13" s="2"/>
      <c r="D13" s="163">
        <v>0.01</v>
      </c>
      <c r="E13" s="22"/>
      <c r="F13" s="78"/>
      <c r="G13" s="78"/>
      <c r="H13" s="78"/>
      <c r="I13" s="78"/>
      <c r="J13" s="78"/>
      <c r="K13" s="78"/>
      <c r="L13" s="78"/>
    </row>
    <row r="14" spans="1:172" ht="15.75" customHeight="1">
      <c r="A14" t="s">
        <v>378</v>
      </c>
      <c r="B14" s="2" t="s">
        <v>379</v>
      </c>
      <c r="C14" s="2"/>
      <c r="D14" s="8">
        <v>480</v>
      </c>
      <c r="E14" s="22" t="s">
        <v>380</v>
      </c>
      <c r="F14" s="78"/>
      <c r="G14" s="78"/>
      <c r="H14" s="78"/>
      <c r="I14" s="78"/>
      <c r="J14" s="78"/>
      <c r="K14" s="78"/>
      <c r="L14" s="78"/>
    </row>
    <row r="15" spans="1:172" ht="15.75" customHeight="1">
      <c r="A15" t="s">
        <v>207</v>
      </c>
      <c r="B15" s="2" t="s">
        <v>209</v>
      </c>
      <c r="C15" s="2"/>
      <c r="D15" s="33">
        <f>LOOKUP(D8,'Supporting Tables'!T4:T20,'Supporting Tables'!V4:V20)</f>
        <v>45899</v>
      </c>
      <c r="E15" s="34" t="str">
        <f>LOOKUP(WEEKDAY(D15,1),$F$9:$L$9,$F$10:$L$10)</f>
        <v>SAT</v>
      </c>
    </row>
    <row r="16" spans="1:172" ht="15.75" customHeight="1">
      <c r="A16" t="s">
        <v>208</v>
      </c>
      <c r="B16" s="2" t="s">
        <v>210</v>
      </c>
      <c r="C16" s="2"/>
      <c r="D16" s="74">
        <f>D15+7</f>
        <v>45906</v>
      </c>
      <c r="E16" s="75" t="str">
        <f>LOOKUP(WEEKDAY(D16,1),$F$9:$L$9,$F$10:$L$10)</f>
        <v>SAT</v>
      </c>
    </row>
    <row r="17" spans="1:173" ht="15.75" customHeight="1" thickBot="1">
      <c r="A17" s="16" t="s">
        <v>375</v>
      </c>
      <c r="B17" s="2"/>
      <c r="C17" s="2"/>
      <c r="D17" s="76"/>
      <c r="E17" s="77"/>
    </row>
    <row r="18" spans="1:173" s="35" customFormat="1">
      <c r="A18" s="15" t="s">
        <v>373</v>
      </c>
      <c r="B18"/>
      <c r="C18"/>
      <c r="D18"/>
      <c r="E18" s="47">
        <f>D15</f>
        <v>45899</v>
      </c>
      <c r="F18" s="47">
        <f t="shared" ref="F18:BQ18" si="0">IFERROR(IF(E18+TIME(1,0,0)&lt;=$D$16,E18+TIME(1,0,0),""),"")</f>
        <v>45899.041666666664</v>
      </c>
      <c r="G18" s="47">
        <f t="shared" si="0"/>
        <v>45899.083333333328</v>
      </c>
      <c r="H18" s="47">
        <f t="shared" si="0"/>
        <v>45899.124999999993</v>
      </c>
      <c r="I18" s="47">
        <f t="shared" si="0"/>
        <v>45899.166666666657</v>
      </c>
      <c r="J18" s="47">
        <f t="shared" si="0"/>
        <v>45899.208333333321</v>
      </c>
      <c r="K18" s="47">
        <f t="shared" si="0"/>
        <v>45899.249999999985</v>
      </c>
      <c r="L18" s="47">
        <f t="shared" si="0"/>
        <v>45899.29166666665</v>
      </c>
      <c r="M18" s="47">
        <f t="shared" si="0"/>
        <v>45899.333333333314</v>
      </c>
      <c r="N18" s="47">
        <f t="shared" si="0"/>
        <v>45899.374999999978</v>
      </c>
      <c r="O18" s="47">
        <f t="shared" si="0"/>
        <v>45899.416666666642</v>
      </c>
      <c r="P18" s="47">
        <f t="shared" si="0"/>
        <v>45899.458333333307</v>
      </c>
      <c r="Q18" s="47">
        <f t="shared" si="0"/>
        <v>45899.499999999971</v>
      </c>
      <c r="R18" s="47">
        <f t="shared" si="0"/>
        <v>45899.541666666635</v>
      </c>
      <c r="S18" s="47">
        <f t="shared" si="0"/>
        <v>45899.583333333299</v>
      </c>
      <c r="T18" s="47">
        <f t="shared" si="0"/>
        <v>45899.624999999964</v>
      </c>
      <c r="U18" s="47">
        <f t="shared" si="0"/>
        <v>45899.666666666628</v>
      </c>
      <c r="V18" s="47">
        <f t="shared" si="0"/>
        <v>45899.708333333292</v>
      </c>
      <c r="W18" s="47">
        <f t="shared" si="0"/>
        <v>45899.749999999956</v>
      </c>
      <c r="X18" s="47">
        <f t="shared" si="0"/>
        <v>45899.791666666621</v>
      </c>
      <c r="Y18" s="47">
        <f t="shared" si="0"/>
        <v>45899.833333333285</v>
      </c>
      <c r="Z18" s="47">
        <f t="shared" si="0"/>
        <v>45899.874999999949</v>
      </c>
      <c r="AA18" s="47">
        <f t="shared" si="0"/>
        <v>45899.916666666613</v>
      </c>
      <c r="AB18" s="47">
        <f t="shared" si="0"/>
        <v>45899.958333333278</v>
      </c>
      <c r="AC18" s="63">
        <f t="shared" si="0"/>
        <v>45899.999999999942</v>
      </c>
      <c r="AD18" s="47">
        <f t="shared" si="0"/>
        <v>45900.041666666606</v>
      </c>
      <c r="AE18" s="47">
        <f t="shared" si="0"/>
        <v>45900.08333333327</v>
      </c>
      <c r="AF18" s="47">
        <f t="shared" si="0"/>
        <v>45900.124999999935</v>
      </c>
      <c r="AG18" s="47">
        <f t="shared" si="0"/>
        <v>45900.166666666599</v>
      </c>
      <c r="AH18" s="47">
        <f t="shared" si="0"/>
        <v>45900.208333333263</v>
      </c>
      <c r="AI18" s="47">
        <f t="shared" si="0"/>
        <v>45900.249999999927</v>
      </c>
      <c r="AJ18" s="47">
        <f t="shared" si="0"/>
        <v>45900.291666666591</v>
      </c>
      <c r="AK18" s="47">
        <f t="shared" si="0"/>
        <v>45900.333333333256</v>
      </c>
      <c r="AL18" s="47">
        <f t="shared" si="0"/>
        <v>45900.37499999992</v>
      </c>
      <c r="AM18" s="47">
        <f t="shared" si="0"/>
        <v>45900.416666666584</v>
      </c>
      <c r="AN18" s="47">
        <f t="shared" si="0"/>
        <v>45900.458333333248</v>
      </c>
      <c r="AO18" s="47">
        <f t="shared" si="0"/>
        <v>45900.499999999913</v>
      </c>
      <c r="AP18" s="47">
        <f t="shared" si="0"/>
        <v>45900.541666666577</v>
      </c>
      <c r="AQ18" s="47">
        <f t="shared" si="0"/>
        <v>45900.583333333241</v>
      </c>
      <c r="AR18" s="47">
        <f t="shared" si="0"/>
        <v>45900.624999999905</v>
      </c>
      <c r="AS18" s="47">
        <f t="shared" si="0"/>
        <v>45900.66666666657</v>
      </c>
      <c r="AT18" s="47">
        <f t="shared" si="0"/>
        <v>45900.708333333234</v>
      </c>
      <c r="AU18" s="47">
        <f t="shared" si="0"/>
        <v>45900.749999999898</v>
      </c>
      <c r="AV18" s="47">
        <f t="shared" si="0"/>
        <v>45900.791666666562</v>
      </c>
      <c r="AW18" s="47">
        <f t="shared" si="0"/>
        <v>45900.833333333227</v>
      </c>
      <c r="AX18" s="47">
        <f t="shared" si="0"/>
        <v>45900.874999999891</v>
      </c>
      <c r="AY18" s="47">
        <f t="shared" si="0"/>
        <v>45900.916666666555</v>
      </c>
      <c r="AZ18" s="47">
        <f t="shared" si="0"/>
        <v>45900.958333333219</v>
      </c>
      <c r="BA18" s="63">
        <f t="shared" si="0"/>
        <v>45900.999999999884</v>
      </c>
      <c r="BB18" s="47">
        <f t="shared" si="0"/>
        <v>45901.041666666548</v>
      </c>
      <c r="BC18" s="47">
        <f t="shared" si="0"/>
        <v>45901.083333333212</v>
      </c>
      <c r="BD18" s="47">
        <f t="shared" si="0"/>
        <v>45901.124999999876</v>
      </c>
      <c r="BE18" s="47">
        <f t="shared" si="0"/>
        <v>45901.166666666541</v>
      </c>
      <c r="BF18" s="47">
        <f t="shared" si="0"/>
        <v>45901.208333333205</v>
      </c>
      <c r="BG18" s="47">
        <f t="shared" si="0"/>
        <v>45901.249999999869</v>
      </c>
      <c r="BH18" s="47">
        <f t="shared" si="0"/>
        <v>45901.291666666533</v>
      </c>
      <c r="BI18" s="47">
        <f t="shared" si="0"/>
        <v>45901.333333333198</v>
      </c>
      <c r="BJ18" s="47">
        <f t="shared" si="0"/>
        <v>45901.374999999862</v>
      </c>
      <c r="BK18" s="47">
        <f t="shared" si="0"/>
        <v>45901.416666666526</v>
      </c>
      <c r="BL18" s="47">
        <f t="shared" si="0"/>
        <v>45901.45833333319</v>
      </c>
      <c r="BM18" s="47">
        <f t="shared" si="0"/>
        <v>45901.499999999854</v>
      </c>
      <c r="BN18" s="47">
        <f t="shared" si="0"/>
        <v>45901.541666666519</v>
      </c>
      <c r="BO18" s="47">
        <f t="shared" si="0"/>
        <v>45901.583333333183</v>
      </c>
      <c r="BP18" s="47">
        <f t="shared" si="0"/>
        <v>45901.624999999847</v>
      </c>
      <c r="BQ18" s="47">
        <f t="shared" si="0"/>
        <v>45901.666666666511</v>
      </c>
      <c r="BR18" s="47">
        <f t="shared" ref="BR18:EC18" si="1">IFERROR(IF(BQ18+TIME(1,0,0)&lt;=$D$16,BQ18+TIME(1,0,0),""),"")</f>
        <v>45901.708333333176</v>
      </c>
      <c r="BS18" s="47">
        <f t="shared" si="1"/>
        <v>45901.74999999984</v>
      </c>
      <c r="BT18" s="47">
        <f t="shared" si="1"/>
        <v>45901.791666666504</v>
      </c>
      <c r="BU18" s="47">
        <f t="shared" si="1"/>
        <v>45901.833333333168</v>
      </c>
      <c r="BV18" s="47">
        <f t="shared" si="1"/>
        <v>45901.874999999833</v>
      </c>
      <c r="BW18" s="47">
        <f t="shared" si="1"/>
        <v>45901.916666666497</v>
      </c>
      <c r="BX18" s="47">
        <f t="shared" si="1"/>
        <v>45901.958333333161</v>
      </c>
      <c r="BY18" s="63">
        <f t="shared" si="1"/>
        <v>45901.999999999825</v>
      </c>
      <c r="BZ18" s="47">
        <f t="shared" si="1"/>
        <v>45902.04166666649</v>
      </c>
      <c r="CA18" s="47">
        <f t="shared" si="1"/>
        <v>45902.083333333154</v>
      </c>
      <c r="CB18" s="47">
        <f t="shared" si="1"/>
        <v>45902.124999999818</v>
      </c>
      <c r="CC18" s="47">
        <f t="shared" si="1"/>
        <v>45902.166666666482</v>
      </c>
      <c r="CD18" s="47">
        <f t="shared" si="1"/>
        <v>45902.208333333147</v>
      </c>
      <c r="CE18" s="47">
        <f t="shared" si="1"/>
        <v>45902.249999999811</v>
      </c>
      <c r="CF18" s="47">
        <f t="shared" si="1"/>
        <v>45902.291666666475</v>
      </c>
      <c r="CG18" s="47">
        <f t="shared" si="1"/>
        <v>45902.333333333139</v>
      </c>
      <c r="CH18" s="47">
        <f t="shared" si="1"/>
        <v>45902.374999999804</v>
      </c>
      <c r="CI18" s="47">
        <f t="shared" si="1"/>
        <v>45902.416666666468</v>
      </c>
      <c r="CJ18" s="47">
        <f t="shared" si="1"/>
        <v>45902.458333333132</v>
      </c>
      <c r="CK18" s="47">
        <f t="shared" si="1"/>
        <v>45902.499999999796</v>
      </c>
      <c r="CL18" s="47">
        <f t="shared" si="1"/>
        <v>45902.541666666461</v>
      </c>
      <c r="CM18" s="47">
        <f t="shared" si="1"/>
        <v>45902.583333333125</v>
      </c>
      <c r="CN18" s="47">
        <f t="shared" si="1"/>
        <v>45902.624999999789</v>
      </c>
      <c r="CO18" s="47">
        <f t="shared" si="1"/>
        <v>45902.666666666453</v>
      </c>
      <c r="CP18" s="47">
        <f t="shared" si="1"/>
        <v>45902.708333333117</v>
      </c>
      <c r="CQ18" s="47">
        <f t="shared" si="1"/>
        <v>45902.749999999782</v>
      </c>
      <c r="CR18" s="47">
        <f t="shared" si="1"/>
        <v>45902.791666666446</v>
      </c>
      <c r="CS18" s="47">
        <f t="shared" si="1"/>
        <v>45902.83333333311</v>
      </c>
      <c r="CT18" s="47">
        <f t="shared" si="1"/>
        <v>45902.874999999774</v>
      </c>
      <c r="CU18" s="47">
        <f t="shared" si="1"/>
        <v>45902.916666666439</v>
      </c>
      <c r="CV18" s="47">
        <f t="shared" si="1"/>
        <v>45902.958333333103</v>
      </c>
      <c r="CW18" s="63">
        <f t="shared" si="1"/>
        <v>45902.999999999767</v>
      </c>
      <c r="CX18" s="47">
        <f t="shared" si="1"/>
        <v>45903.041666666431</v>
      </c>
      <c r="CY18" s="47">
        <f t="shared" si="1"/>
        <v>45903.083333333096</v>
      </c>
      <c r="CZ18" s="47">
        <f t="shared" si="1"/>
        <v>45903.12499999976</v>
      </c>
      <c r="DA18" s="47">
        <f t="shared" si="1"/>
        <v>45903.166666666424</v>
      </c>
      <c r="DB18" s="47">
        <f t="shared" si="1"/>
        <v>45903.208333333088</v>
      </c>
      <c r="DC18" s="47">
        <f t="shared" si="1"/>
        <v>45903.249999999753</v>
      </c>
      <c r="DD18" s="47">
        <f t="shared" si="1"/>
        <v>45903.291666666417</v>
      </c>
      <c r="DE18" s="47">
        <f t="shared" si="1"/>
        <v>45903.333333333081</v>
      </c>
      <c r="DF18" s="47">
        <f t="shared" si="1"/>
        <v>45903.374999999745</v>
      </c>
      <c r="DG18" s="47">
        <f t="shared" si="1"/>
        <v>45903.41666666641</v>
      </c>
      <c r="DH18" s="47">
        <f t="shared" si="1"/>
        <v>45903.458333333074</v>
      </c>
      <c r="DI18" s="47">
        <f t="shared" si="1"/>
        <v>45903.499999999738</v>
      </c>
      <c r="DJ18" s="47">
        <f t="shared" si="1"/>
        <v>45903.541666666402</v>
      </c>
      <c r="DK18" s="47">
        <f t="shared" si="1"/>
        <v>45903.583333333067</v>
      </c>
      <c r="DL18" s="47">
        <f t="shared" si="1"/>
        <v>45903.624999999731</v>
      </c>
      <c r="DM18" s="47">
        <f t="shared" si="1"/>
        <v>45903.666666666395</v>
      </c>
      <c r="DN18" s="47">
        <f t="shared" si="1"/>
        <v>45903.708333333059</v>
      </c>
      <c r="DO18" s="47">
        <f t="shared" si="1"/>
        <v>45903.749999999724</v>
      </c>
      <c r="DP18" s="47">
        <f t="shared" si="1"/>
        <v>45903.791666666388</v>
      </c>
      <c r="DQ18" s="47">
        <f t="shared" si="1"/>
        <v>45903.833333333052</v>
      </c>
      <c r="DR18" s="47">
        <f t="shared" si="1"/>
        <v>45903.874999999716</v>
      </c>
      <c r="DS18" s="47">
        <f t="shared" si="1"/>
        <v>45903.91666666638</v>
      </c>
      <c r="DT18" s="47">
        <f t="shared" si="1"/>
        <v>45903.958333333045</v>
      </c>
      <c r="DU18" s="63">
        <f t="shared" si="1"/>
        <v>45903.999999999709</v>
      </c>
      <c r="DV18" s="47">
        <f t="shared" si="1"/>
        <v>45904.041666666373</v>
      </c>
      <c r="DW18" s="47">
        <f t="shared" si="1"/>
        <v>45904.083333333037</v>
      </c>
      <c r="DX18" s="47">
        <f t="shared" si="1"/>
        <v>45904.124999999702</v>
      </c>
      <c r="DY18" s="47">
        <f t="shared" si="1"/>
        <v>45904.166666666366</v>
      </c>
      <c r="DZ18" s="47">
        <f t="shared" si="1"/>
        <v>45904.20833333303</v>
      </c>
      <c r="EA18" s="47">
        <f t="shared" si="1"/>
        <v>45904.249999999694</v>
      </c>
      <c r="EB18" s="47">
        <f t="shared" si="1"/>
        <v>45904.291666666359</v>
      </c>
      <c r="EC18" s="47">
        <f t="shared" si="1"/>
        <v>45904.333333333023</v>
      </c>
      <c r="ED18" s="47">
        <f t="shared" ref="ED18:FP18" si="2">IFERROR(IF(EC18+TIME(1,0,0)&lt;=$D$16,EC18+TIME(1,0,0),""),"")</f>
        <v>45904.374999999687</v>
      </c>
      <c r="EE18" s="47">
        <f t="shared" si="2"/>
        <v>45904.416666666351</v>
      </c>
      <c r="EF18" s="47">
        <f t="shared" si="2"/>
        <v>45904.458333333016</v>
      </c>
      <c r="EG18" s="47">
        <f t="shared" si="2"/>
        <v>45904.49999999968</v>
      </c>
      <c r="EH18" s="47">
        <f t="shared" si="2"/>
        <v>45904.541666666344</v>
      </c>
      <c r="EI18" s="47">
        <f t="shared" si="2"/>
        <v>45904.583333333008</v>
      </c>
      <c r="EJ18" s="47">
        <f t="shared" si="2"/>
        <v>45904.624999999673</v>
      </c>
      <c r="EK18" s="47">
        <f t="shared" si="2"/>
        <v>45904.666666666337</v>
      </c>
      <c r="EL18" s="47">
        <f t="shared" si="2"/>
        <v>45904.708333333001</v>
      </c>
      <c r="EM18" s="47">
        <f t="shared" si="2"/>
        <v>45904.749999999665</v>
      </c>
      <c r="EN18" s="47">
        <f t="shared" si="2"/>
        <v>45904.79166666633</v>
      </c>
      <c r="EO18" s="47">
        <f t="shared" si="2"/>
        <v>45904.833333332994</v>
      </c>
      <c r="EP18" s="47">
        <f t="shared" si="2"/>
        <v>45904.874999999658</v>
      </c>
      <c r="EQ18" s="47">
        <f t="shared" si="2"/>
        <v>45904.916666666322</v>
      </c>
      <c r="ER18" s="47">
        <f t="shared" si="2"/>
        <v>45904.958333332987</v>
      </c>
      <c r="ES18" s="63">
        <f t="shared" si="2"/>
        <v>45904.999999999651</v>
      </c>
      <c r="ET18" s="47">
        <f t="shared" si="2"/>
        <v>45905.041666666315</v>
      </c>
      <c r="EU18" s="47">
        <f t="shared" si="2"/>
        <v>45905.083333332979</v>
      </c>
      <c r="EV18" s="47">
        <f t="shared" si="2"/>
        <v>45905.124999999643</v>
      </c>
      <c r="EW18" s="47">
        <f t="shared" si="2"/>
        <v>45905.166666666308</v>
      </c>
      <c r="EX18" s="47">
        <f t="shared" si="2"/>
        <v>45905.208333332972</v>
      </c>
      <c r="EY18" s="47">
        <f t="shared" si="2"/>
        <v>45905.249999999636</v>
      </c>
      <c r="EZ18" s="47">
        <f t="shared" si="2"/>
        <v>45905.2916666663</v>
      </c>
      <c r="FA18" s="47">
        <f t="shared" si="2"/>
        <v>45905.333333332965</v>
      </c>
      <c r="FB18" s="47">
        <f t="shared" si="2"/>
        <v>45905.374999999629</v>
      </c>
      <c r="FC18" s="47">
        <f t="shared" si="2"/>
        <v>45905.416666666293</v>
      </c>
      <c r="FD18" s="47">
        <f t="shared" si="2"/>
        <v>45905.458333332957</v>
      </c>
      <c r="FE18" s="47">
        <f t="shared" si="2"/>
        <v>45905.499999999622</v>
      </c>
      <c r="FF18" s="47">
        <f t="shared" si="2"/>
        <v>45905.541666666286</v>
      </c>
      <c r="FG18" s="47">
        <f t="shared" si="2"/>
        <v>45905.58333333295</v>
      </c>
      <c r="FH18" s="47">
        <f t="shared" si="2"/>
        <v>45905.624999999614</v>
      </c>
      <c r="FI18" s="47">
        <f t="shared" si="2"/>
        <v>45905.666666666279</v>
      </c>
      <c r="FJ18" s="47">
        <f t="shared" si="2"/>
        <v>45905.708333332943</v>
      </c>
      <c r="FK18" s="47">
        <f t="shared" si="2"/>
        <v>45905.749999999607</v>
      </c>
      <c r="FL18" s="47">
        <f t="shared" si="2"/>
        <v>45905.791666666271</v>
      </c>
      <c r="FM18" s="47">
        <f t="shared" si="2"/>
        <v>45905.833333332936</v>
      </c>
      <c r="FN18" s="47">
        <f t="shared" si="2"/>
        <v>45905.8749999996</v>
      </c>
      <c r="FO18" s="47">
        <f t="shared" si="2"/>
        <v>45905.916666666264</v>
      </c>
      <c r="FP18" s="47">
        <f t="shared" si="2"/>
        <v>45905.958333332928</v>
      </c>
      <c r="FQ18" s="71"/>
    </row>
    <row r="19" spans="1:173" s="35" customFormat="1">
      <c r="A19" s="15" t="s">
        <v>376</v>
      </c>
      <c r="B19"/>
      <c r="C19"/>
      <c r="D19"/>
      <c r="E19" s="48">
        <f>DAY(E18)</f>
        <v>30</v>
      </c>
      <c r="F19" s="48">
        <f t="shared" ref="F19:BQ19" si="3">DAY(F18)</f>
        <v>30</v>
      </c>
      <c r="G19" s="48">
        <f t="shared" si="3"/>
        <v>30</v>
      </c>
      <c r="H19" s="48">
        <f t="shared" si="3"/>
        <v>30</v>
      </c>
      <c r="I19" s="48">
        <f t="shared" si="3"/>
        <v>30</v>
      </c>
      <c r="J19" s="48">
        <f t="shared" si="3"/>
        <v>30</v>
      </c>
      <c r="K19" s="48">
        <f t="shared" si="3"/>
        <v>30</v>
      </c>
      <c r="L19" s="48">
        <f t="shared" si="3"/>
        <v>30</v>
      </c>
      <c r="M19" s="48">
        <f t="shared" si="3"/>
        <v>30</v>
      </c>
      <c r="N19" s="48">
        <f t="shared" si="3"/>
        <v>30</v>
      </c>
      <c r="O19" s="48">
        <f t="shared" si="3"/>
        <v>30</v>
      </c>
      <c r="P19" s="48">
        <f t="shared" si="3"/>
        <v>30</v>
      </c>
      <c r="Q19" s="48">
        <f t="shared" si="3"/>
        <v>30</v>
      </c>
      <c r="R19" s="48">
        <f t="shared" si="3"/>
        <v>30</v>
      </c>
      <c r="S19" s="48">
        <f t="shared" si="3"/>
        <v>30</v>
      </c>
      <c r="T19" s="48">
        <f t="shared" si="3"/>
        <v>30</v>
      </c>
      <c r="U19" s="48">
        <f t="shared" si="3"/>
        <v>30</v>
      </c>
      <c r="V19" s="48">
        <f t="shared" si="3"/>
        <v>30</v>
      </c>
      <c r="W19" s="48">
        <f t="shared" si="3"/>
        <v>30</v>
      </c>
      <c r="X19" s="48">
        <f t="shared" si="3"/>
        <v>30</v>
      </c>
      <c r="Y19" s="48">
        <f t="shared" si="3"/>
        <v>30</v>
      </c>
      <c r="Z19" s="48">
        <f t="shared" si="3"/>
        <v>30</v>
      </c>
      <c r="AA19" s="48">
        <f t="shared" si="3"/>
        <v>30</v>
      </c>
      <c r="AB19" s="48">
        <f t="shared" si="3"/>
        <v>30</v>
      </c>
      <c r="AC19" s="64">
        <f t="shared" si="3"/>
        <v>31</v>
      </c>
      <c r="AD19" s="48">
        <f t="shared" si="3"/>
        <v>31</v>
      </c>
      <c r="AE19" s="48">
        <f t="shared" si="3"/>
        <v>31</v>
      </c>
      <c r="AF19" s="48">
        <f t="shared" si="3"/>
        <v>31</v>
      </c>
      <c r="AG19" s="48">
        <f t="shared" si="3"/>
        <v>31</v>
      </c>
      <c r="AH19" s="48">
        <f t="shared" si="3"/>
        <v>31</v>
      </c>
      <c r="AI19" s="48">
        <f t="shared" si="3"/>
        <v>31</v>
      </c>
      <c r="AJ19" s="48">
        <f t="shared" si="3"/>
        <v>31</v>
      </c>
      <c r="AK19" s="48">
        <f t="shared" si="3"/>
        <v>31</v>
      </c>
      <c r="AL19" s="48">
        <f t="shared" si="3"/>
        <v>31</v>
      </c>
      <c r="AM19" s="48">
        <f t="shared" si="3"/>
        <v>31</v>
      </c>
      <c r="AN19" s="48">
        <f t="shared" si="3"/>
        <v>31</v>
      </c>
      <c r="AO19" s="48">
        <f t="shared" si="3"/>
        <v>31</v>
      </c>
      <c r="AP19" s="48">
        <f t="shared" si="3"/>
        <v>31</v>
      </c>
      <c r="AQ19" s="48">
        <f t="shared" si="3"/>
        <v>31</v>
      </c>
      <c r="AR19" s="48">
        <f t="shared" si="3"/>
        <v>31</v>
      </c>
      <c r="AS19" s="48">
        <f t="shared" si="3"/>
        <v>31</v>
      </c>
      <c r="AT19" s="48">
        <f t="shared" si="3"/>
        <v>31</v>
      </c>
      <c r="AU19" s="48">
        <f t="shared" si="3"/>
        <v>31</v>
      </c>
      <c r="AV19" s="48">
        <f t="shared" si="3"/>
        <v>31</v>
      </c>
      <c r="AW19" s="48">
        <f t="shared" si="3"/>
        <v>31</v>
      </c>
      <c r="AX19" s="48">
        <f t="shared" si="3"/>
        <v>31</v>
      </c>
      <c r="AY19" s="48">
        <f t="shared" si="3"/>
        <v>31</v>
      </c>
      <c r="AZ19" s="48">
        <f t="shared" si="3"/>
        <v>31</v>
      </c>
      <c r="BA19" s="64">
        <f t="shared" si="3"/>
        <v>1</v>
      </c>
      <c r="BB19" s="48">
        <f t="shared" si="3"/>
        <v>1</v>
      </c>
      <c r="BC19" s="48">
        <f t="shared" si="3"/>
        <v>1</v>
      </c>
      <c r="BD19" s="48">
        <f t="shared" si="3"/>
        <v>1</v>
      </c>
      <c r="BE19" s="48">
        <f t="shared" si="3"/>
        <v>1</v>
      </c>
      <c r="BF19" s="48">
        <f t="shared" si="3"/>
        <v>1</v>
      </c>
      <c r="BG19" s="48">
        <f t="shared" si="3"/>
        <v>1</v>
      </c>
      <c r="BH19" s="48">
        <f t="shared" si="3"/>
        <v>1</v>
      </c>
      <c r="BI19" s="48">
        <f t="shared" si="3"/>
        <v>1</v>
      </c>
      <c r="BJ19" s="48">
        <f t="shared" si="3"/>
        <v>1</v>
      </c>
      <c r="BK19" s="48">
        <f t="shared" si="3"/>
        <v>1</v>
      </c>
      <c r="BL19" s="48">
        <f t="shared" si="3"/>
        <v>1</v>
      </c>
      <c r="BM19" s="48">
        <f t="shared" si="3"/>
        <v>1</v>
      </c>
      <c r="BN19" s="48">
        <f t="shared" si="3"/>
        <v>1</v>
      </c>
      <c r="BO19" s="48">
        <f t="shared" si="3"/>
        <v>1</v>
      </c>
      <c r="BP19" s="48">
        <f t="shared" si="3"/>
        <v>1</v>
      </c>
      <c r="BQ19" s="48">
        <f t="shared" si="3"/>
        <v>1</v>
      </c>
      <c r="BR19" s="48">
        <f t="shared" ref="BR19:EC19" si="4">DAY(BR18)</f>
        <v>1</v>
      </c>
      <c r="BS19" s="48">
        <f t="shared" si="4"/>
        <v>1</v>
      </c>
      <c r="BT19" s="48">
        <f t="shared" si="4"/>
        <v>1</v>
      </c>
      <c r="BU19" s="48">
        <f t="shared" si="4"/>
        <v>1</v>
      </c>
      <c r="BV19" s="48">
        <f t="shared" si="4"/>
        <v>1</v>
      </c>
      <c r="BW19" s="48">
        <f t="shared" si="4"/>
        <v>1</v>
      </c>
      <c r="BX19" s="48">
        <f t="shared" si="4"/>
        <v>1</v>
      </c>
      <c r="BY19" s="64">
        <f t="shared" si="4"/>
        <v>2</v>
      </c>
      <c r="BZ19" s="48">
        <f t="shared" si="4"/>
        <v>2</v>
      </c>
      <c r="CA19" s="48">
        <f t="shared" si="4"/>
        <v>2</v>
      </c>
      <c r="CB19" s="48">
        <f t="shared" si="4"/>
        <v>2</v>
      </c>
      <c r="CC19" s="48">
        <f t="shared" si="4"/>
        <v>2</v>
      </c>
      <c r="CD19" s="48">
        <f t="shared" si="4"/>
        <v>2</v>
      </c>
      <c r="CE19" s="48">
        <f t="shared" si="4"/>
        <v>2</v>
      </c>
      <c r="CF19" s="48">
        <f t="shared" si="4"/>
        <v>2</v>
      </c>
      <c r="CG19" s="48">
        <f t="shared" si="4"/>
        <v>2</v>
      </c>
      <c r="CH19" s="48">
        <f t="shared" si="4"/>
        <v>2</v>
      </c>
      <c r="CI19" s="48">
        <f t="shared" si="4"/>
        <v>2</v>
      </c>
      <c r="CJ19" s="48">
        <f t="shared" si="4"/>
        <v>2</v>
      </c>
      <c r="CK19" s="48">
        <f t="shared" si="4"/>
        <v>2</v>
      </c>
      <c r="CL19" s="48">
        <f t="shared" si="4"/>
        <v>2</v>
      </c>
      <c r="CM19" s="48">
        <f t="shared" si="4"/>
        <v>2</v>
      </c>
      <c r="CN19" s="48">
        <f t="shared" si="4"/>
        <v>2</v>
      </c>
      <c r="CO19" s="48">
        <f t="shared" si="4"/>
        <v>2</v>
      </c>
      <c r="CP19" s="48">
        <f t="shared" si="4"/>
        <v>2</v>
      </c>
      <c r="CQ19" s="48">
        <f t="shared" si="4"/>
        <v>2</v>
      </c>
      <c r="CR19" s="48">
        <f t="shared" si="4"/>
        <v>2</v>
      </c>
      <c r="CS19" s="48">
        <f t="shared" si="4"/>
        <v>2</v>
      </c>
      <c r="CT19" s="48">
        <f t="shared" si="4"/>
        <v>2</v>
      </c>
      <c r="CU19" s="48">
        <f t="shared" si="4"/>
        <v>2</v>
      </c>
      <c r="CV19" s="48">
        <f t="shared" si="4"/>
        <v>2</v>
      </c>
      <c r="CW19" s="64">
        <f t="shared" si="4"/>
        <v>3</v>
      </c>
      <c r="CX19" s="48">
        <f t="shared" si="4"/>
        <v>3</v>
      </c>
      <c r="CY19" s="48">
        <f t="shared" si="4"/>
        <v>3</v>
      </c>
      <c r="CZ19" s="48">
        <f t="shared" si="4"/>
        <v>3</v>
      </c>
      <c r="DA19" s="48">
        <f t="shared" si="4"/>
        <v>3</v>
      </c>
      <c r="DB19" s="48">
        <f t="shared" si="4"/>
        <v>3</v>
      </c>
      <c r="DC19" s="48">
        <f t="shared" si="4"/>
        <v>3</v>
      </c>
      <c r="DD19" s="48">
        <f t="shared" si="4"/>
        <v>3</v>
      </c>
      <c r="DE19" s="48">
        <f t="shared" si="4"/>
        <v>3</v>
      </c>
      <c r="DF19" s="48">
        <f t="shared" si="4"/>
        <v>3</v>
      </c>
      <c r="DG19" s="48">
        <f t="shared" si="4"/>
        <v>3</v>
      </c>
      <c r="DH19" s="48">
        <f t="shared" si="4"/>
        <v>3</v>
      </c>
      <c r="DI19" s="48">
        <f t="shared" si="4"/>
        <v>3</v>
      </c>
      <c r="DJ19" s="48">
        <f t="shared" si="4"/>
        <v>3</v>
      </c>
      <c r="DK19" s="48">
        <f t="shared" si="4"/>
        <v>3</v>
      </c>
      <c r="DL19" s="48">
        <f t="shared" si="4"/>
        <v>3</v>
      </c>
      <c r="DM19" s="48">
        <f t="shared" si="4"/>
        <v>3</v>
      </c>
      <c r="DN19" s="48">
        <f t="shared" si="4"/>
        <v>3</v>
      </c>
      <c r="DO19" s="48">
        <f t="shared" si="4"/>
        <v>3</v>
      </c>
      <c r="DP19" s="48">
        <f t="shared" si="4"/>
        <v>3</v>
      </c>
      <c r="DQ19" s="48">
        <f t="shared" si="4"/>
        <v>3</v>
      </c>
      <c r="DR19" s="48">
        <f t="shared" si="4"/>
        <v>3</v>
      </c>
      <c r="DS19" s="48">
        <f t="shared" si="4"/>
        <v>3</v>
      </c>
      <c r="DT19" s="48">
        <f t="shared" si="4"/>
        <v>3</v>
      </c>
      <c r="DU19" s="64">
        <f t="shared" si="4"/>
        <v>4</v>
      </c>
      <c r="DV19" s="48">
        <f t="shared" si="4"/>
        <v>4</v>
      </c>
      <c r="DW19" s="48">
        <f t="shared" si="4"/>
        <v>4</v>
      </c>
      <c r="DX19" s="48">
        <f t="shared" si="4"/>
        <v>4</v>
      </c>
      <c r="DY19" s="48">
        <f t="shared" si="4"/>
        <v>4</v>
      </c>
      <c r="DZ19" s="48">
        <f t="shared" si="4"/>
        <v>4</v>
      </c>
      <c r="EA19" s="48">
        <f t="shared" si="4"/>
        <v>4</v>
      </c>
      <c r="EB19" s="48">
        <f t="shared" si="4"/>
        <v>4</v>
      </c>
      <c r="EC19" s="48">
        <f t="shared" si="4"/>
        <v>4</v>
      </c>
      <c r="ED19" s="48">
        <f t="shared" ref="ED19:FP19" si="5">DAY(ED18)</f>
        <v>4</v>
      </c>
      <c r="EE19" s="48">
        <f t="shared" si="5"/>
        <v>4</v>
      </c>
      <c r="EF19" s="48">
        <f t="shared" si="5"/>
        <v>4</v>
      </c>
      <c r="EG19" s="48">
        <f t="shared" si="5"/>
        <v>4</v>
      </c>
      <c r="EH19" s="48">
        <f t="shared" si="5"/>
        <v>4</v>
      </c>
      <c r="EI19" s="48">
        <f t="shared" si="5"/>
        <v>4</v>
      </c>
      <c r="EJ19" s="48">
        <f t="shared" si="5"/>
        <v>4</v>
      </c>
      <c r="EK19" s="48">
        <f t="shared" si="5"/>
        <v>4</v>
      </c>
      <c r="EL19" s="48">
        <f t="shared" si="5"/>
        <v>4</v>
      </c>
      <c r="EM19" s="48">
        <f t="shared" si="5"/>
        <v>4</v>
      </c>
      <c r="EN19" s="48">
        <f t="shared" si="5"/>
        <v>4</v>
      </c>
      <c r="EO19" s="48">
        <f t="shared" si="5"/>
        <v>4</v>
      </c>
      <c r="EP19" s="48">
        <f t="shared" si="5"/>
        <v>4</v>
      </c>
      <c r="EQ19" s="48">
        <f t="shared" si="5"/>
        <v>4</v>
      </c>
      <c r="ER19" s="48">
        <f t="shared" si="5"/>
        <v>4</v>
      </c>
      <c r="ES19" s="64">
        <f t="shared" si="5"/>
        <v>5</v>
      </c>
      <c r="ET19" s="48">
        <f t="shared" si="5"/>
        <v>5</v>
      </c>
      <c r="EU19" s="48">
        <f t="shared" si="5"/>
        <v>5</v>
      </c>
      <c r="EV19" s="48">
        <f t="shared" si="5"/>
        <v>5</v>
      </c>
      <c r="EW19" s="48">
        <f t="shared" si="5"/>
        <v>5</v>
      </c>
      <c r="EX19" s="48">
        <f t="shared" si="5"/>
        <v>5</v>
      </c>
      <c r="EY19" s="48">
        <f t="shared" si="5"/>
        <v>5</v>
      </c>
      <c r="EZ19" s="48">
        <f t="shared" si="5"/>
        <v>5</v>
      </c>
      <c r="FA19" s="48">
        <f t="shared" si="5"/>
        <v>5</v>
      </c>
      <c r="FB19" s="48">
        <f t="shared" si="5"/>
        <v>5</v>
      </c>
      <c r="FC19" s="48">
        <f t="shared" si="5"/>
        <v>5</v>
      </c>
      <c r="FD19" s="48">
        <f t="shared" si="5"/>
        <v>5</v>
      </c>
      <c r="FE19" s="48">
        <f t="shared" si="5"/>
        <v>5</v>
      </c>
      <c r="FF19" s="48">
        <f t="shared" si="5"/>
        <v>5</v>
      </c>
      <c r="FG19" s="48">
        <f t="shared" si="5"/>
        <v>5</v>
      </c>
      <c r="FH19" s="48">
        <f t="shared" si="5"/>
        <v>5</v>
      </c>
      <c r="FI19" s="48">
        <f t="shared" si="5"/>
        <v>5</v>
      </c>
      <c r="FJ19" s="48">
        <f t="shared" si="5"/>
        <v>5</v>
      </c>
      <c r="FK19" s="48">
        <f t="shared" si="5"/>
        <v>5</v>
      </c>
      <c r="FL19" s="48">
        <f t="shared" si="5"/>
        <v>5</v>
      </c>
      <c r="FM19" s="48">
        <f t="shared" si="5"/>
        <v>5</v>
      </c>
      <c r="FN19" s="48">
        <f t="shared" si="5"/>
        <v>5</v>
      </c>
      <c r="FO19" s="48">
        <f t="shared" si="5"/>
        <v>5</v>
      </c>
      <c r="FP19" s="48">
        <f t="shared" si="5"/>
        <v>5</v>
      </c>
      <c r="FQ19" s="71"/>
    </row>
    <row r="20" spans="1:173" s="35" customFormat="1">
      <c r="A20" s="15" t="s">
        <v>374</v>
      </c>
      <c r="B20"/>
      <c r="C20"/>
      <c r="D20"/>
      <c r="E20" s="49">
        <f>D15</f>
        <v>45899</v>
      </c>
      <c r="F20" s="49">
        <f>IFERROR(IF(E20+1&lt;=$D$16,E20+1,""),"")</f>
        <v>45900</v>
      </c>
      <c r="G20" s="49">
        <f t="shared" ref="G20:M20" si="6">IFERROR(IF(F20+1&lt;=$D$16,F20+1,""),"")</f>
        <v>45901</v>
      </c>
      <c r="H20" s="49">
        <f t="shared" si="6"/>
        <v>45902</v>
      </c>
      <c r="I20" s="49">
        <f t="shared" si="6"/>
        <v>45903</v>
      </c>
      <c r="J20" s="49">
        <f t="shared" si="6"/>
        <v>45904</v>
      </c>
      <c r="K20" s="49">
        <f t="shared" si="6"/>
        <v>45905</v>
      </c>
      <c r="L20" s="49">
        <f>IFERROR(IF(K20+1&lt;=$D$16,K20+1,""),"")</f>
        <v>45906</v>
      </c>
      <c r="M20" s="49" t="str">
        <f t="shared" si="6"/>
        <v/>
      </c>
      <c r="N20" s="49"/>
      <c r="O20" s="49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63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63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63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63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63"/>
      <c r="DV20" s="47"/>
      <c r="DW20" s="47"/>
      <c r="DX20" s="47"/>
      <c r="DY20" s="47"/>
      <c r="DZ20" s="47"/>
      <c r="EA20" s="47"/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47"/>
      <c r="ER20" s="47"/>
      <c r="ES20" s="63"/>
      <c r="ET20" s="47"/>
      <c r="EU20" s="47"/>
      <c r="EV20" s="47"/>
      <c r="EW20" s="47"/>
      <c r="EX20" s="47"/>
      <c r="EY20" s="47"/>
      <c r="EZ20" s="47"/>
      <c r="FA20" s="47"/>
      <c r="FB20" s="47"/>
      <c r="FC20" s="47"/>
      <c r="FD20" s="47"/>
      <c r="FE20" s="47"/>
      <c r="FF20" s="47"/>
      <c r="FG20" s="47"/>
      <c r="FH20" s="47"/>
      <c r="FI20" s="47"/>
      <c r="FJ20" s="47"/>
      <c r="FK20" s="47"/>
      <c r="FL20" s="47"/>
      <c r="FM20" s="47"/>
      <c r="FN20" s="47"/>
      <c r="FO20" s="47"/>
      <c r="FP20" s="47"/>
      <c r="FQ20" s="71"/>
    </row>
    <row r="21" spans="1:173" s="35" customFormat="1">
      <c r="A21" s="15" t="s">
        <v>376</v>
      </c>
      <c r="B21"/>
      <c r="C21"/>
      <c r="D21"/>
      <c r="E21" s="48">
        <f>DAY(E20)</f>
        <v>30</v>
      </c>
      <c r="F21" s="48">
        <f t="shared" ref="F21:K21" si="7">DAY(F20)</f>
        <v>31</v>
      </c>
      <c r="G21" s="48">
        <f t="shared" si="7"/>
        <v>1</v>
      </c>
      <c r="H21" s="48">
        <f t="shared" si="7"/>
        <v>2</v>
      </c>
      <c r="I21" s="48">
        <f t="shared" si="7"/>
        <v>3</v>
      </c>
      <c r="J21" s="48">
        <f t="shared" si="7"/>
        <v>4</v>
      </c>
      <c r="K21" s="48">
        <f t="shared" si="7"/>
        <v>5</v>
      </c>
      <c r="L21" s="49"/>
      <c r="M21" s="49"/>
      <c r="N21" s="49"/>
      <c r="O21" s="49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63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63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63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63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63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63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71"/>
    </row>
    <row r="23" spans="1:173" ht="20.399999999999999" thickBot="1">
      <c r="A23" s="1" t="s">
        <v>139</v>
      </c>
      <c r="B23" s="7" t="s">
        <v>32</v>
      </c>
      <c r="C23" s="3" t="s">
        <v>132</v>
      </c>
      <c r="D23" s="3"/>
      <c r="E23" s="3" t="s">
        <v>143</v>
      </c>
      <c r="F23" s="3" t="s">
        <v>144</v>
      </c>
      <c r="G23" s="3" t="s">
        <v>145</v>
      </c>
      <c r="H23" s="3" t="s">
        <v>146</v>
      </c>
      <c r="I23" s="3" t="s">
        <v>147</v>
      </c>
      <c r="J23" s="3" t="s">
        <v>148</v>
      </c>
      <c r="K23" s="3" t="s">
        <v>149</v>
      </c>
      <c r="L23" s="3" t="s">
        <v>150</v>
      </c>
      <c r="M23" s="3" t="s">
        <v>151</v>
      </c>
      <c r="N23" s="3" t="s">
        <v>152</v>
      </c>
      <c r="O23" s="3" t="s">
        <v>153</v>
      </c>
      <c r="P23" s="3" t="s">
        <v>154</v>
      </c>
      <c r="Q23" s="3" t="s">
        <v>155</v>
      </c>
      <c r="R23" s="3" t="s">
        <v>156</v>
      </c>
      <c r="S23" s="3" t="s">
        <v>157</v>
      </c>
      <c r="T23" s="3" t="s">
        <v>158</v>
      </c>
      <c r="U23" s="3" t="s">
        <v>159</v>
      </c>
      <c r="V23" s="3" t="s">
        <v>160</v>
      </c>
      <c r="W23" s="3" t="s">
        <v>161</v>
      </c>
      <c r="X23" s="3" t="s">
        <v>162</v>
      </c>
      <c r="Y23" s="3" t="s">
        <v>163</v>
      </c>
      <c r="Z23" s="3" t="s">
        <v>164</v>
      </c>
      <c r="AA23" s="3" t="s">
        <v>165</v>
      </c>
      <c r="AB23" s="3" t="s">
        <v>166</v>
      </c>
    </row>
    <row r="24" spans="1:173" ht="15" thickTop="1">
      <c r="A24" t="s">
        <v>187</v>
      </c>
      <c r="B24" s="2" t="s">
        <v>137</v>
      </c>
      <c r="E24" s="8" t="s">
        <v>133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36"/>
    </row>
    <row r="25" spans="1:173">
      <c r="A25" t="s">
        <v>188</v>
      </c>
      <c r="B25" s="2" t="s">
        <v>138</v>
      </c>
      <c r="E25" s="8" t="s">
        <v>135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36"/>
    </row>
    <row r="26" spans="1:173">
      <c r="A26" t="s">
        <v>189</v>
      </c>
      <c r="B26" s="2" t="s">
        <v>140</v>
      </c>
      <c r="E26" s="8" t="s">
        <v>134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36"/>
    </row>
    <row r="27" spans="1:173">
      <c r="A27" t="s">
        <v>190</v>
      </c>
      <c r="B27" s="2" t="s">
        <v>170</v>
      </c>
      <c r="E27" s="8" t="s">
        <v>136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36"/>
    </row>
    <row r="28" spans="1:173">
      <c r="A28" t="s">
        <v>191</v>
      </c>
      <c r="B28" s="2" t="s">
        <v>141</v>
      </c>
      <c r="E28" s="8" t="s">
        <v>142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36"/>
    </row>
    <row r="29" spans="1:173">
      <c r="A29" t="s">
        <v>194</v>
      </c>
      <c r="B29" s="2" t="s">
        <v>195</v>
      </c>
      <c r="E29" s="8" t="s">
        <v>133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36"/>
    </row>
    <row r="30" spans="1:173">
      <c r="A30" t="s">
        <v>192</v>
      </c>
      <c r="B30" s="2" t="s">
        <v>193</v>
      </c>
      <c r="E30" s="8" t="s">
        <v>135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36"/>
    </row>
    <row r="32" spans="1:173" ht="20.399999999999999" thickBot="1">
      <c r="A32" s="1" t="s">
        <v>53</v>
      </c>
      <c r="B32" s="7" t="s">
        <v>32</v>
      </c>
      <c r="C32" s="3" t="s">
        <v>132</v>
      </c>
      <c r="D32" s="3" t="s">
        <v>58</v>
      </c>
      <c r="E32" s="3" t="s">
        <v>7</v>
      </c>
      <c r="F32" s="3" t="s">
        <v>8</v>
      </c>
      <c r="G32" s="3" t="s">
        <v>9</v>
      </c>
      <c r="H32" s="3" t="s">
        <v>10</v>
      </c>
      <c r="I32" s="3" t="s">
        <v>11</v>
      </c>
      <c r="J32" s="3" t="s">
        <v>12</v>
      </c>
      <c r="K32" s="3" t="s">
        <v>13</v>
      </c>
      <c r="L32" s="3" t="s">
        <v>14</v>
      </c>
      <c r="M32" s="3" t="s">
        <v>15</v>
      </c>
      <c r="N32" s="3" t="s">
        <v>16</v>
      </c>
      <c r="O32" s="3" t="s">
        <v>17</v>
      </c>
      <c r="P32" s="3" t="s">
        <v>18</v>
      </c>
      <c r="Q32" s="3" t="s">
        <v>19</v>
      </c>
      <c r="R32" s="3" t="s">
        <v>20</v>
      </c>
      <c r="S32" s="3" t="s">
        <v>21</v>
      </c>
      <c r="T32" s="3" t="s">
        <v>22</v>
      </c>
      <c r="U32" s="3" t="s">
        <v>23</v>
      </c>
      <c r="V32" s="3" t="s">
        <v>24</v>
      </c>
      <c r="W32" s="3" t="s">
        <v>25</v>
      </c>
      <c r="X32" s="3" t="s">
        <v>26</v>
      </c>
      <c r="Y32" s="3" t="s">
        <v>27</v>
      </c>
      <c r="Z32" s="3" t="s">
        <v>28</v>
      </c>
      <c r="AA32" s="3" t="s">
        <v>29</v>
      </c>
      <c r="AB32" s="3" t="s">
        <v>30</v>
      </c>
      <c r="AC32" s="65" t="s">
        <v>221</v>
      </c>
      <c r="AD32" s="3" t="s">
        <v>222</v>
      </c>
      <c r="AE32" s="3" t="s">
        <v>223</v>
      </c>
      <c r="AF32" s="3" t="s">
        <v>224</v>
      </c>
      <c r="AG32" s="3" t="s">
        <v>225</v>
      </c>
      <c r="AH32" s="3" t="s">
        <v>226</v>
      </c>
      <c r="AI32" s="3" t="s">
        <v>227</v>
      </c>
      <c r="AJ32" s="3" t="s">
        <v>228</v>
      </c>
      <c r="AK32" s="3" t="s">
        <v>229</v>
      </c>
      <c r="AL32" s="3" t="s">
        <v>230</v>
      </c>
      <c r="AM32" s="3" t="s">
        <v>231</v>
      </c>
      <c r="AN32" s="3" t="s">
        <v>232</v>
      </c>
      <c r="AO32" s="3" t="s">
        <v>233</v>
      </c>
      <c r="AP32" s="3" t="s">
        <v>234</v>
      </c>
      <c r="AQ32" s="3" t="s">
        <v>235</v>
      </c>
      <c r="AR32" s="3" t="s">
        <v>236</v>
      </c>
      <c r="AS32" s="3" t="s">
        <v>237</v>
      </c>
      <c r="AT32" s="3" t="s">
        <v>238</v>
      </c>
      <c r="AU32" s="3" t="s">
        <v>239</v>
      </c>
      <c r="AV32" s="3" t="s">
        <v>240</v>
      </c>
      <c r="AW32" s="3" t="s">
        <v>241</v>
      </c>
      <c r="AX32" s="3" t="s">
        <v>242</v>
      </c>
      <c r="AY32" s="3" t="s">
        <v>243</v>
      </c>
      <c r="AZ32" s="3" t="s">
        <v>244</v>
      </c>
      <c r="BA32" s="65" t="s">
        <v>245</v>
      </c>
      <c r="BB32" s="3" t="s">
        <v>246</v>
      </c>
      <c r="BC32" s="3" t="s">
        <v>247</v>
      </c>
      <c r="BD32" s="3" t="s">
        <v>248</v>
      </c>
      <c r="BE32" s="3" t="s">
        <v>249</v>
      </c>
      <c r="BF32" s="3" t="s">
        <v>250</v>
      </c>
      <c r="BG32" s="3" t="s">
        <v>251</v>
      </c>
      <c r="BH32" s="3" t="s">
        <v>252</v>
      </c>
      <c r="BI32" s="3" t="s">
        <v>253</v>
      </c>
      <c r="BJ32" s="3" t="s">
        <v>254</v>
      </c>
      <c r="BK32" s="3" t="s">
        <v>255</v>
      </c>
      <c r="BL32" s="3" t="s">
        <v>256</v>
      </c>
      <c r="BM32" s="3" t="s">
        <v>257</v>
      </c>
      <c r="BN32" s="3" t="s">
        <v>258</v>
      </c>
      <c r="BO32" s="3" t="s">
        <v>259</v>
      </c>
      <c r="BP32" s="3" t="s">
        <v>260</v>
      </c>
      <c r="BQ32" s="3" t="s">
        <v>261</v>
      </c>
      <c r="BR32" s="3" t="s">
        <v>262</v>
      </c>
      <c r="BS32" s="3" t="s">
        <v>263</v>
      </c>
      <c r="BT32" s="3" t="s">
        <v>264</v>
      </c>
      <c r="BU32" s="3" t="s">
        <v>265</v>
      </c>
      <c r="BV32" s="3" t="s">
        <v>266</v>
      </c>
      <c r="BW32" s="3" t="s">
        <v>267</v>
      </c>
      <c r="BX32" s="3" t="s">
        <v>268</v>
      </c>
      <c r="BY32" s="65" t="s">
        <v>269</v>
      </c>
      <c r="BZ32" s="3" t="s">
        <v>270</v>
      </c>
      <c r="CA32" s="3" t="s">
        <v>271</v>
      </c>
      <c r="CB32" s="3" t="s">
        <v>272</v>
      </c>
      <c r="CC32" s="3" t="s">
        <v>273</v>
      </c>
      <c r="CD32" s="3" t="s">
        <v>274</v>
      </c>
      <c r="CE32" s="3" t="s">
        <v>275</v>
      </c>
      <c r="CF32" s="3" t="s">
        <v>276</v>
      </c>
      <c r="CG32" s="3" t="s">
        <v>277</v>
      </c>
      <c r="CH32" s="3" t="s">
        <v>278</v>
      </c>
      <c r="CI32" s="3" t="s">
        <v>279</v>
      </c>
      <c r="CJ32" s="3" t="s">
        <v>280</v>
      </c>
      <c r="CK32" s="3" t="s">
        <v>281</v>
      </c>
      <c r="CL32" s="3" t="s">
        <v>282</v>
      </c>
      <c r="CM32" s="3" t="s">
        <v>283</v>
      </c>
      <c r="CN32" s="3" t="s">
        <v>284</v>
      </c>
      <c r="CO32" s="3" t="s">
        <v>285</v>
      </c>
      <c r="CP32" s="3" t="s">
        <v>286</v>
      </c>
      <c r="CQ32" s="3" t="s">
        <v>287</v>
      </c>
      <c r="CR32" s="3" t="s">
        <v>288</v>
      </c>
      <c r="CS32" s="3" t="s">
        <v>289</v>
      </c>
      <c r="CT32" s="3" t="s">
        <v>290</v>
      </c>
      <c r="CU32" s="3" t="s">
        <v>291</v>
      </c>
      <c r="CV32" s="3" t="s">
        <v>292</v>
      </c>
      <c r="CW32" s="65" t="s">
        <v>293</v>
      </c>
      <c r="CX32" s="3" t="s">
        <v>294</v>
      </c>
      <c r="CY32" s="3" t="s">
        <v>295</v>
      </c>
      <c r="CZ32" s="3" t="s">
        <v>296</v>
      </c>
      <c r="DA32" s="3" t="s">
        <v>297</v>
      </c>
      <c r="DB32" s="3" t="s">
        <v>298</v>
      </c>
      <c r="DC32" s="3" t="s">
        <v>299</v>
      </c>
      <c r="DD32" s="3" t="s">
        <v>300</v>
      </c>
      <c r="DE32" s="3" t="s">
        <v>301</v>
      </c>
      <c r="DF32" s="3" t="s">
        <v>302</v>
      </c>
      <c r="DG32" s="3" t="s">
        <v>303</v>
      </c>
      <c r="DH32" s="3" t="s">
        <v>304</v>
      </c>
      <c r="DI32" s="3" t="s">
        <v>305</v>
      </c>
      <c r="DJ32" s="3" t="s">
        <v>306</v>
      </c>
      <c r="DK32" s="3" t="s">
        <v>307</v>
      </c>
      <c r="DL32" s="3" t="s">
        <v>308</v>
      </c>
      <c r="DM32" s="3" t="s">
        <v>309</v>
      </c>
      <c r="DN32" s="3" t="s">
        <v>310</v>
      </c>
      <c r="DO32" s="3" t="s">
        <v>311</v>
      </c>
      <c r="DP32" s="3" t="s">
        <v>312</v>
      </c>
      <c r="DQ32" s="3" t="s">
        <v>313</v>
      </c>
      <c r="DR32" s="3" t="s">
        <v>314</v>
      </c>
      <c r="DS32" s="3" t="s">
        <v>315</v>
      </c>
      <c r="DT32" s="3" t="s">
        <v>316</v>
      </c>
      <c r="DU32" s="65" t="s">
        <v>317</v>
      </c>
      <c r="DV32" s="3" t="s">
        <v>318</v>
      </c>
      <c r="DW32" s="3" t="s">
        <v>319</v>
      </c>
      <c r="DX32" s="3" t="s">
        <v>320</v>
      </c>
      <c r="DY32" s="3" t="s">
        <v>321</v>
      </c>
      <c r="DZ32" s="3" t="s">
        <v>322</v>
      </c>
      <c r="EA32" s="3" t="s">
        <v>323</v>
      </c>
      <c r="EB32" s="3" t="s">
        <v>324</v>
      </c>
      <c r="EC32" s="3" t="s">
        <v>325</v>
      </c>
      <c r="ED32" s="3" t="s">
        <v>326</v>
      </c>
      <c r="EE32" s="3" t="s">
        <v>327</v>
      </c>
      <c r="EF32" s="3" t="s">
        <v>328</v>
      </c>
      <c r="EG32" s="3" t="s">
        <v>329</v>
      </c>
      <c r="EH32" s="3" t="s">
        <v>330</v>
      </c>
      <c r="EI32" s="3" t="s">
        <v>331</v>
      </c>
      <c r="EJ32" s="3" t="s">
        <v>332</v>
      </c>
      <c r="EK32" s="3" t="s">
        <v>333</v>
      </c>
      <c r="EL32" s="3" t="s">
        <v>334</v>
      </c>
      <c r="EM32" s="3" t="s">
        <v>335</v>
      </c>
      <c r="EN32" s="3" t="s">
        <v>336</v>
      </c>
      <c r="EO32" s="3" t="s">
        <v>337</v>
      </c>
      <c r="EP32" s="3" t="s">
        <v>338</v>
      </c>
      <c r="EQ32" s="3" t="s">
        <v>339</v>
      </c>
      <c r="ER32" s="3" t="s">
        <v>340</v>
      </c>
      <c r="ES32" s="65" t="s">
        <v>341</v>
      </c>
      <c r="ET32" s="3" t="s">
        <v>342</v>
      </c>
      <c r="EU32" s="3" t="s">
        <v>343</v>
      </c>
      <c r="EV32" s="3" t="s">
        <v>344</v>
      </c>
      <c r="EW32" s="3" t="s">
        <v>345</v>
      </c>
      <c r="EX32" s="3" t="s">
        <v>346</v>
      </c>
      <c r="EY32" s="3" t="s">
        <v>347</v>
      </c>
      <c r="EZ32" s="3" t="s">
        <v>348</v>
      </c>
      <c r="FA32" s="3" t="s">
        <v>349</v>
      </c>
      <c r="FB32" s="3" t="s">
        <v>350</v>
      </c>
      <c r="FC32" s="3" t="s">
        <v>351</v>
      </c>
      <c r="FD32" s="3" t="s">
        <v>352</v>
      </c>
      <c r="FE32" s="3" t="s">
        <v>353</v>
      </c>
      <c r="FF32" s="3" t="s">
        <v>354</v>
      </c>
      <c r="FG32" s="3" t="s">
        <v>355</v>
      </c>
      <c r="FH32" s="3" t="s">
        <v>356</v>
      </c>
      <c r="FI32" s="3" t="s">
        <v>357</v>
      </c>
      <c r="FJ32" s="3" t="s">
        <v>358</v>
      </c>
      <c r="FK32" s="3" t="s">
        <v>359</v>
      </c>
      <c r="FL32" s="3" t="s">
        <v>360</v>
      </c>
      <c r="FM32" s="3" t="s">
        <v>361</v>
      </c>
      <c r="FN32" s="3" t="s">
        <v>362</v>
      </c>
      <c r="FO32" s="3" t="s">
        <v>363</v>
      </c>
      <c r="FP32" s="3" t="s">
        <v>364</v>
      </c>
    </row>
    <row r="33" spans="1:173" ht="15.75" customHeight="1" thickTop="1" thickBot="1">
      <c r="A33" s="16" t="s">
        <v>196</v>
      </c>
      <c r="B33" s="2"/>
      <c r="C33" s="2"/>
      <c r="D33" s="4" t="b">
        <v>1</v>
      </c>
    </row>
    <row r="34" spans="1:173" s="37" customFormat="1">
      <c r="A34" s="15" t="s">
        <v>197</v>
      </c>
      <c r="B34" s="2" t="s">
        <v>200</v>
      </c>
      <c r="C34" s="8" t="s">
        <v>136</v>
      </c>
      <c r="D34" s="2"/>
      <c r="E34" s="50">
        <f>IFERROR(LOOKUP(E$18,HourlyTimeseries!$A:$A,HourlyTimeseries!$C:$C),"")</f>
        <v>25000</v>
      </c>
      <c r="F34" s="50">
        <f>IFERROR(LOOKUP(F18,HourlyTimeseries!$A:$A,HourlyTimeseries!$C:$C),"")</f>
        <v>25000</v>
      </c>
      <c r="G34" s="50">
        <f>IFERROR(LOOKUP(G18,HourlyTimeseries!$A:$A,HourlyTimeseries!$C:$C),"")</f>
        <v>25000</v>
      </c>
      <c r="H34" s="50">
        <f>IFERROR(LOOKUP(H18,HourlyTimeseries!$A:$A,HourlyTimeseries!$C:$C),"")</f>
        <v>25000</v>
      </c>
      <c r="I34" s="50">
        <f>IFERROR(LOOKUP(I18,HourlyTimeseries!$A:$A,HourlyTimeseries!$C:$C),"")</f>
        <v>25000</v>
      </c>
      <c r="J34" s="50">
        <f>IFERROR(LOOKUP(J18,HourlyTimeseries!$A:$A,HourlyTimeseries!$C:$C),"")</f>
        <v>25000</v>
      </c>
      <c r="K34" s="50">
        <f>IFERROR(LOOKUP(K18,HourlyTimeseries!$A:$A,HourlyTimeseries!$C:$C),"")</f>
        <v>25000</v>
      </c>
      <c r="L34" s="50">
        <f>IFERROR(LOOKUP(L18,HourlyTimeseries!$A:$A,HourlyTimeseries!$C:$C),"")</f>
        <v>25000</v>
      </c>
      <c r="M34" s="50">
        <f>IFERROR(LOOKUP(M18,HourlyTimeseries!$A:$A,HourlyTimeseries!$C:$C),"")</f>
        <v>25000</v>
      </c>
      <c r="N34" s="50">
        <f>IFERROR(LOOKUP(N18,HourlyTimeseries!$A:$A,HourlyTimeseries!$C:$C),"")</f>
        <v>25000</v>
      </c>
      <c r="O34" s="50">
        <f>IFERROR(LOOKUP(O18,HourlyTimeseries!$A:$A,HourlyTimeseries!$C:$C),"")</f>
        <v>25000</v>
      </c>
      <c r="P34" s="50">
        <f>IFERROR(LOOKUP(P18,HourlyTimeseries!$A:$A,HourlyTimeseries!$C:$C),"")</f>
        <v>25000</v>
      </c>
      <c r="Q34" s="50">
        <f>IFERROR(LOOKUP(Q18,HourlyTimeseries!$A:$A,HourlyTimeseries!$C:$C),"")</f>
        <v>25000</v>
      </c>
      <c r="R34" s="50">
        <f>IFERROR(LOOKUP(R18,HourlyTimeseries!$A:$A,HourlyTimeseries!$C:$C),"")</f>
        <v>25000</v>
      </c>
      <c r="S34" s="50">
        <f>IFERROR(LOOKUP(S18,HourlyTimeseries!$A:$A,HourlyTimeseries!$C:$C),"")</f>
        <v>25000</v>
      </c>
      <c r="T34" s="50">
        <f>IFERROR(LOOKUP(T18,HourlyTimeseries!$A:$A,HourlyTimeseries!$C:$C),"")</f>
        <v>25000</v>
      </c>
      <c r="U34" s="50">
        <f>IFERROR(LOOKUP(U18,HourlyTimeseries!$A:$A,HourlyTimeseries!$C:$C),"")</f>
        <v>25000</v>
      </c>
      <c r="V34" s="50">
        <f>IFERROR(LOOKUP(V18,HourlyTimeseries!$A:$A,HourlyTimeseries!$C:$C),"")</f>
        <v>25000</v>
      </c>
      <c r="W34" s="50">
        <f>IFERROR(LOOKUP(W18,HourlyTimeseries!$A:$A,HourlyTimeseries!$C:$C),"")</f>
        <v>25000</v>
      </c>
      <c r="X34" s="50">
        <f>IFERROR(LOOKUP(X18,HourlyTimeseries!$A:$A,HourlyTimeseries!$C:$C),"")</f>
        <v>25000</v>
      </c>
      <c r="Y34" s="50">
        <f>IFERROR(LOOKUP(Y18,HourlyTimeseries!$A:$A,HourlyTimeseries!$C:$C),"")</f>
        <v>25000</v>
      </c>
      <c r="Z34" s="50">
        <f>IFERROR(LOOKUP(Z18,HourlyTimeseries!$A:$A,HourlyTimeseries!$C:$C),"")</f>
        <v>25000</v>
      </c>
      <c r="AA34" s="50">
        <f>IFERROR(LOOKUP(AA18,HourlyTimeseries!$A:$A,HourlyTimeseries!$C:$C),"")</f>
        <v>25000</v>
      </c>
      <c r="AB34" s="59">
        <f>IFERROR(LOOKUP(AB18,HourlyTimeseries!$A:$A,HourlyTimeseries!$C:$C),"")</f>
        <v>25000</v>
      </c>
      <c r="AC34" s="66">
        <f>IFERROR(LOOKUP(AC18,HourlyTimeseries!$A:$A,HourlyTimeseries!$C:$C),"")</f>
        <v>25000</v>
      </c>
      <c r="AD34" s="50">
        <f>IFERROR(LOOKUP(AD18,HourlyTimeseries!$A:$A,HourlyTimeseries!$C:$C),"")</f>
        <v>25000</v>
      </c>
      <c r="AE34" s="50">
        <f>IFERROR(LOOKUP(AE18,HourlyTimeseries!$A:$A,HourlyTimeseries!$C:$C),"")</f>
        <v>25000</v>
      </c>
      <c r="AF34" s="50">
        <f>IFERROR(LOOKUP(AF18,HourlyTimeseries!$A:$A,HourlyTimeseries!$C:$C),"")</f>
        <v>25000</v>
      </c>
      <c r="AG34" s="50">
        <f>IFERROR(LOOKUP(AG18,HourlyTimeseries!$A:$A,HourlyTimeseries!$C:$C),"")</f>
        <v>25000</v>
      </c>
      <c r="AH34" s="50">
        <f>IFERROR(LOOKUP(AH18,HourlyTimeseries!$A:$A,HourlyTimeseries!$C:$C),"")</f>
        <v>25000</v>
      </c>
      <c r="AI34" s="50">
        <f>IFERROR(LOOKUP(AI18,HourlyTimeseries!$A:$A,HourlyTimeseries!$C:$C),"")</f>
        <v>25000</v>
      </c>
      <c r="AJ34" s="50">
        <f>IFERROR(LOOKUP(AJ18,HourlyTimeseries!$A:$A,HourlyTimeseries!$C:$C),"")</f>
        <v>25000</v>
      </c>
      <c r="AK34" s="50">
        <f>IFERROR(LOOKUP(AK18,HourlyTimeseries!$A:$A,HourlyTimeseries!$C:$C),"")</f>
        <v>25000</v>
      </c>
      <c r="AL34" s="50">
        <f>IFERROR(LOOKUP(AL18,HourlyTimeseries!$A:$A,HourlyTimeseries!$C:$C),"")</f>
        <v>25000</v>
      </c>
      <c r="AM34" s="50">
        <f>IFERROR(LOOKUP(AM18,HourlyTimeseries!$A:$A,HourlyTimeseries!$C:$C),"")</f>
        <v>25000</v>
      </c>
      <c r="AN34" s="50">
        <f>IFERROR(LOOKUP(AN18,HourlyTimeseries!$A:$A,HourlyTimeseries!$C:$C),"")</f>
        <v>25000</v>
      </c>
      <c r="AO34" s="50">
        <f>IFERROR(LOOKUP(AO18,HourlyTimeseries!$A:$A,HourlyTimeseries!$C:$C),"")</f>
        <v>25000</v>
      </c>
      <c r="AP34" s="50">
        <f>IFERROR(LOOKUP(AP18,HourlyTimeseries!$A:$A,HourlyTimeseries!$C:$C),"")</f>
        <v>25000</v>
      </c>
      <c r="AQ34" s="50">
        <f>IFERROR(LOOKUP(AQ18,HourlyTimeseries!$A:$A,HourlyTimeseries!$C:$C),"")</f>
        <v>25000</v>
      </c>
      <c r="AR34" s="50">
        <f>IFERROR(LOOKUP(AR18,HourlyTimeseries!$A:$A,HourlyTimeseries!$C:$C),"")</f>
        <v>25000</v>
      </c>
      <c r="AS34" s="50">
        <f>IFERROR(LOOKUP(AS18,HourlyTimeseries!$A:$A,HourlyTimeseries!$C:$C),"")</f>
        <v>25000</v>
      </c>
      <c r="AT34" s="50">
        <f>IFERROR(LOOKUP(AT18,HourlyTimeseries!$A:$A,HourlyTimeseries!$C:$C),"")</f>
        <v>25000</v>
      </c>
      <c r="AU34" s="50">
        <f>IFERROR(LOOKUP(AU18,HourlyTimeseries!$A:$A,HourlyTimeseries!$C:$C),"")</f>
        <v>25000</v>
      </c>
      <c r="AV34" s="50">
        <f>IFERROR(LOOKUP(AV18,HourlyTimeseries!$A:$A,HourlyTimeseries!$C:$C),"")</f>
        <v>25000</v>
      </c>
      <c r="AW34" s="50">
        <f>IFERROR(LOOKUP(AW18,HourlyTimeseries!$A:$A,HourlyTimeseries!$C:$C),"")</f>
        <v>25000</v>
      </c>
      <c r="AX34" s="50">
        <f>IFERROR(LOOKUP(AX18,HourlyTimeseries!$A:$A,HourlyTimeseries!$C:$C),"")</f>
        <v>25000</v>
      </c>
      <c r="AY34" s="50">
        <f>IFERROR(LOOKUP(AY18,HourlyTimeseries!$A:$A,HourlyTimeseries!$C:$C),"")</f>
        <v>25000</v>
      </c>
      <c r="AZ34" s="59">
        <f>IFERROR(LOOKUP(AZ18,HourlyTimeseries!$A:$A,HourlyTimeseries!$C:$C),"")</f>
        <v>25000</v>
      </c>
      <c r="BA34" s="66">
        <f>IFERROR(LOOKUP(BA18,HourlyTimeseries!$A:$A,HourlyTimeseries!$C:$C),"")</f>
        <v>25000</v>
      </c>
      <c r="BB34" s="50">
        <f>IFERROR(LOOKUP(BB18,HourlyTimeseries!$A:$A,HourlyTimeseries!$C:$C),"")</f>
        <v>25000</v>
      </c>
      <c r="BC34" s="50">
        <f>IFERROR(LOOKUP(BC18,HourlyTimeseries!$A:$A,HourlyTimeseries!$C:$C),"")</f>
        <v>25000</v>
      </c>
      <c r="BD34" s="50">
        <f>IFERROR(LOOKUP(BD18,HourlyTimeseries!$A:$A,HourlyTimeseries!$C:$C),"")</f>
        <v>25000</v>
      </c>
      <c r="BE34" s="50">
        <f>IFERROR(LOOKUP(BE18,HourlyTimeseries!$A:$A,HourlyTimeseries!$C:$C),"")</f>
        <v>25000</v>
      </c>
      <c r="BF34" s="50">
        <f>IFERROR(LOOKUP(BF18,HourlyTimeseries!$A:$A,HourlyTimeseries!$C:$C),"")</f>
        <v>25000</v>
      </c>
      <c r="BG34" s="50">
        <f>IFERROR(LOOKUP(BG18,HourlyTimeseries!$A:$A,HourlyTimeseries!$C:$C),"")</f>
        <v>25000</v>
      </c>
      <c r="BH34" s="50">
        <f>IFERROR(LOOKUP(BH18,HourlyTimeseries!$A:$A,HourlyTimeseries!$C:$C),"")</f>
        <v>25000</v>
      </c>
      <c r="BI34" s="50">
        <f>IFERROR(LOOKUP(BI18,HourlyTimeseries!$A:$A,HourlyTimeseries!$C:$C),"")</f>
        <v>25000</v>
      </c>
      <c r="BJ34" s="50">
        <f>IFERROR(LOOKUP(BJ18,HourlyTimeseries!$A:$A,HourlyTimeseries!$C:$C),"")</f>
        <v>25000</v>
      </c>
      <c r="BK34" s="50">
        <f>IFERROR(LOOKUP(BK18,HourlyTimeseries!$A:$A,HourlyTimeseries!$C:$C),"")</f>
        <v>25000</v>
      </c>
      <c r="BL34" s="50">
        <f>IFERROR(LOOKUP(BL18,HourlyTimeseries!$A:$A,HourlyTimeseries!$C:$C),"")</f>
        <v>25000</v>
      </c>
      <c r="BM34" s="50">
        <f>IFERROR(LOOKUP(BM18,HourlyTimeseries!$A:$A,HourlyTimeseries!$C:$C),"")</f>
        <v>25000</v>
      </c>
      <c r="BN34" s="50">
        <f>IFERROR(LOOKUP(BN18,HourlyTimeseries!$A:$A,HourlyTimeseries!$C:$C),"")</f>
        <v>25000</v>
      </c>
      <c r="BO34" s="50">
        <f>IFERROR(LOOKUP(BO18,HourlyTimeseries!$A:$A,HourlyTimeseries!$C:$C),"")</f>
        <v>25000</v>
      </c>
      <c r="BP34" s="50">
        <f>IFERROR(LOOKUP(BP18,HourlyTimeseries!$A:$A,HourlyTimeseries!$C:$C),"")</f>
        <v>25000</v>
      </c>
      <c r="BQ34" s="50">
        <f>IFERROR(LOOKUP(BQ18,HourlyTimeseries!$A:$A,HourlyTimeseries!$C:$C),"")</f>
        <v>25000</v>
      </c>
      <c r="BR34" s="50">
        <f>IFERROR(LOOKUP(BR18,HourlyTimeseries!$A:$A,HourlyTimeseries!$C:$C),"")</f>
        <v>25000</v>
      </c>
      <c r="BS34" s="50">
        <f>IFERROR(LOOKUP(BS18,HourlyTimeseries!$A:$A,HourlyTimeseries!$C:$C),"")</f>
        <v>25000</v>
      </c>
      <c r="BT34" s="50">
        <f>IFERROR(LOOKUP(BT18,HourlyTimeseries!$A:$A,HourlyTimeseries!$C:$C),"")</f>
        <v>25000</v>
      </c>
      <c r="BU34" s="50">
        <f>IFERROR(LOOKUP(BU18,HourlyTimeseries!$A:$A,HourlyTimeseries!$C:$C),"")</f>
        <v>25000</v>
      </c>
      <c r="BV34" s="50">
        <f>IFERROR(LOOKUP(BV18,HourlyTimeseries!$A:$A,HourlyTimeseries!$C:$C),"")</f>
        <v>25000</v>
      </c>
      <c r="BW34" s="50">
        <f>IFERROR(LOOKUP(BW18,HourlyTimeseries!$A:$A,HourlyTimeseries!$C:$C),"")</f>
        <v>25000</v>
      </c>
      <c r="BX34" s="59">
        <f>IFERROR(LOOKUP(BX18,HourlyTimeseries!$A:$A,HourlyTimeseries!$C:$C),"")</f>
        <v>25000</v>
      </c>
      <c r="BY34" s="66">
        <f>IFERROR(LOOKUP(BY18,HourlyTimeseries!$A:$A,HourlyTimeseries!$C:$C),"")</f>
        <v>25000</v>
      </c>
      <c r="BZ34" s="50">
        <f>IFERROR(LOOKUP(BZ18,HourlyTimeseries!$A:$A,HourlyTimeseries!$C:$C),"")</f>
        <v>25000</v>
      </c>
      <c r="CA34" s="50">
        <f>IFERROR(LOOKUP(CA18,HourlyTimeseries!$A:$A,HourlyTimeseries!$C:$C),"")</f>
        <v>25000</v>
      </c>
      <c r="CB34" s="50">
        <f>IFERROR(LOOKUP(CB18,HourlyTimeseries!$A:$A,HourlyTimeseries!$C:$C),"")</f>
        <v>25000</v>
      </c>
      <c r="CC34" s="50">
        <f>IFERROR(LOOKUP(CC18,HourlyTimeseries!$A:$A,HourlyTimeseries!$C:$C),"")</f>
        <v>25000</v>
      </c>
      <c r="CD34" s="50">
        <f>IFERROR(LOOKUP(CD18,HourlyTimeseries!$A:$A,HourlyTimeseries!$C:$C),"")</f>
        <v>25000</v>
      </c>
      <c r="CE34" s="50">
        <f>IFERROR(LOOKUP(CE18,HourlyTimeseries!$A:$A,HourlyTimeseries!$C:$C),"")</f>
        <v>25000</v>
      </c>
      <c r="CF34" s="50">
        <f>IFERROR(LOOKUP(CF18,HourlyTimeseries!$A:$A,HourlyTimeseries!$C:$C),"")</f>
        <v>25000</v>
      </c>
      <c r="CG34" s="50">
        <f>IFERROR(LOOKUP(CG18,HourlyTimeseries!$A:$A,HourlyTimeseries!$C:$C),"")</f>
        <v>25000</v>
      </c>
      <c r="CH34" s="50">
        <f>IFERROR(LOOKUP(CH18,HourlyTimeseries!$A:$A,HourlyTimeseries!$C:$C),"")</f>
        <v>25000</v>
      </c>
      <c r="CI34" s="50">
        <f>IFERROR(LOOKUP(CI18,HourlyTimeseries!$A:$A,HourlyTimeseries!$C:$C),"")</f>
        <v>25000</v>
      </c>
      <c r="CJ34" s="50">
        <f>IFERROR(LOOKUP(CJ18,HourlyTimeseries!$A:$A,HourlyTimeseries!$C:$C),"")</f>
        <v>25000</v>
      </c>
      <c r="CK34" s="50">
        <f>IFERROR(LOOKUP(CK18,HourlyTimeseries!$A:$A,HourlyTimeseries!$C:$C),"")</f>
        <v>25000</v>
      </c>
      <c r="CL34" s="50">
        <f>IFERROR(LOOKUP(CL18,HourlyTimeseries!$A:$A,HourlyTimeseries!$C:$C),"")</f>
        <v>25000</v>
      </c>
      <c r="CM34" s="50">
        <f>IFERROR(LOOKUP(CM18,HourlyTimeseries!$A:$A,HourlyTimeseries!$C:$C),"")</f>
        <v>25000</v>
      </c>
      <c r="CN34" s="50">
        <f>IFERROR(LOOKUP(CN18,HourlyTimeseries!$A:$A,HourlyTimeseries!$C:$C),"")</f>
        <v>25000</v>
      </c>
      <c r="CO34" s="50">
        <f>IFERROR(LOOKUP(CO18,HourlyTimeseries!$A:$A,HourlyTimeseries!$C:$C),"")</f>
        <v>25000</v>
      </c>
      <c r="CP34" s="50">
        <f>IFERROR(LOOKUP(CP18,HourlyTimeseries!$A:$A,HourlyTimeseries!$C:$C),"")</f>
        <v>25000</v>
      </c>
      <c r="CQ34" s="50">
        <f>IFERROR(LOOKUP(CQ18,HourlyTimeseries!$A:$A,HourlyTimeseries!$C:$C),"")</f>
        <v>25000</v>
      </c>
      <c r="CR34" s="50">
        <f>IFERROR(LOOKUP(CR18,HourlyTimeseries!$A:$A,HourlyTimeseries!$C:$C),"")</f>
        <v>25000</v>
      </c>
      <c r="CS34" s="50">
        <f>IFERROR(LOOKUP(CS18,HourlyTimeseries!$A:$A,HourlyTimeseries!$C:$C),"")</f>
        <v>25000</v>
      </c>
      <c r="CT34" s="50">
        <f>IFERROR(LOOKUP(CT18,HourlyTimeseries!$A:$A,HourlyTimeseries!$C:$C),"")</f>
        <v>25000</v>
      </c>
      <c r="CU34" s="50">
        <f>IFERROR(LOOKUP(CU18,HourlyTimeseries!$A:$A,HourlyTimeseries!$C:$C),"")</f>
        <v>25000</v>
      </c>
      <c r="CV34" s="59">
        <f>IFERROR(LOOKUP(CV18,HourlyTimeseries!$A:$A,HourlyTimeseries!$C:$C),"")</f>
        <v>25000</v>
      </c>
      <c r="CW34" s="66">
        <f>IFERROR(LOOKUP(CW18,HourlyTimeseries!$A:$A,HourlyTimeseries!$C:$C),"")</f>
        <v>25000</v>
      </c>
      <c r="CX34" s="50">
        <f>IFERROR(LOOKUP(CX18,HourlyTimeseries!$A:$A,HourlyTimeseries!$C:$C),"")</f>
        <v>25000</v>
      </c>
      <c r="CY34" s="50">
        <f>IFERROR(LOOKUP(CY18,HourlyTimeseries!$A:$A,HourlyTimeseries!$C:$C),"")</f>
        <v>25000</v>
      </c>
      <c r="CZ34" s="50">
        <f>IFERROR(LOOKUP(CZ18,HourlyTimeseries!$A:$A,HourlyTimeseries!$C:$C),"")</f>
        <v>25000</v>
      </c>
      <c r="DA34" s="50">
        <f>IFERROR(LOOKUP(DA18,HourlyTimeseries!$A:$A,HourlyTimeseries!$C:$C),"")</f>
        <v>25000</v>
      </c>
      <c r="DB34" s="50">
        <f>IFERROR(LOOKUP(DB18,HourlyTimeseries!$A:$A,HourlyTimeseries!$C:$C),"")</f>
        <v>25000</v>
      </c>
      <c r="DC34" s="50">
        <f>IFERROR(LOOKUP(DC18,HourlyTimeseries!$A:$A,HourlyTimeseries!$C:$C),"")</f>
        <v>25000</v>
      </c>
      <c r="DD34" s="50">
        <f>IFERROR(LOOKUP(DD18,HourlyTimeseries!$A:$A,HourlyTimeseries!$C:$C),"")</f>
        <v>25000</v>
      </c>
      <c r="DE34" s="50">
        <f>IFERROR(LOOKUP(DE18,HourlyTimeseries!$A:$A,HourlyTimeseries!$C:$C),"")</f>
        <v>25000</v>
      </c>
      <c r="DF34" s="50">
        <f>IFERROR(LOOKUP(DF18,HourlyTimeseries!$A:$A,HourlyTimeseries!$C:$C),"")</f>
        <v>25000</v>
      </c>
      <c r="DG34" s="50">
        <f>IFERROR(LOOKUP(DG18,HourlyTimeseries!$A:$A,HourlyTimeseries!$C:$C),"")</f>
        <v>25000</v>
      </c>
      <c r="DH34" s="50">
        <f>IFERROR(LOOKUP(DH18,HourlyTimeseries!$A:$A,HourlyTimeseries!$C:$C),"")</f>
        <v>25000</v>
      </c>
      <c r="DI34" s="50">
        <f>IFERROR(LOOKUP(DI18,HourlyTimeseries!$A:$A,HourlyTimeseries!$C:$C),"")</f>
        <v>25000</v>
      </c>
      <c r="DJ34" s="50">
        <f>IFERROR(LOOKUP(DJ18,HourlyTimeseries!$A:$A,HourlyTimeseries!$C:$C),"")</f>
        <v>25000</v>
      </c>
      <c r="DK34" s="50">
        <f>IFERROR(LOOKUP(DK18,HourlyTimeseries!$A:$A,HourlyTimeseries!$C:$C),"")</f>
        <v>25000</v>
      </c>
      <c r="DL34" s="50">
        <f>IFERROR(LOOKUP(DL18,HourlyTimeseries!$A:$A,HourlyTimeseries!$C:$C),"")</f>
        <v>25000</v>
      </c>
      <c r="DM34" s="50">
        <f>IFERROR(LOOKUP(DM18,HourlyTimeseries!$A:$A,HourlyTimeseries!$C:$C),"")</f>
        <v>25000</v>
      </c>
      <c r="DN34" s="50">
        <f>IFERROR(LOOKUP(DN18,HourlyTimeseries!$A:$A,HourlyTimeseries!$C:$C),"")</f>
        <v>25000</v>
      </c>
      <c r="DO34" s="50">
        <f>IFERROR(LOOKUP(DO18,HourlyTimeseries!$A:$A,HourlyTimeseries!$C:$C),"")</f>
        <v>25000</v>
      </c>
      <c r="DP34" s="50">
        <f>IFERROR(LOOKUP(DP18,HourlyTimeseries!$A:$A,HourlyTimeseries!$C:$C),"")</f>
        <v>25000</v>
      </c>
      <c r="DQ34" s="50">
        <f>IFERROR(LOOKUP(DQ18,HourlyTimeseries!$A:$A,HourlyTimeseries!$C:$C),"")</f>
        <v>25000</v>
      </c>
      <c r="DR34" s="50">
        <f>IFERROR(LOOKUP(DR18,HourlyTimeseries!$A:$A,HourlyTimeseries!$C:$C),"")</f>
        <v>25000</v>
      </c>
      <c r="DS34" s="50">
        <f>IFERROR(LOOKUP(DS18,HourlyTimeseries!$A:$A,HourlyTimeseries!$C:$C),"")</f>
        <v>25000</v>
      </c>
      <c r="DT34" s="59">
        <f>IFERROR(LOOKUP(DT18,HourlyTimeseries!$A:$A,HourlyTimeseries!$C:$C),"")</f>
        <v>25000</v>
      </c>
      <c r="DU34" s="66">
        <f>IFERROR(LOOKUP(DU18,HourlyTimeseries!$A:$A,HourlyTimeseries!$C:$C),"")</f>
        <v>25000</v>
      </c>
      <c r="DV34" s="50">
        <f>IFERROR(LOOKUP(DV18,HourlyTimeseries!$A:$A,HourlyTimeseries!$C:$C),"")</f>
        <v>25000</v>
      </c>
      <c r="DW34" s="50">
        <f>IFERROR(LOOKUP(DW18,HourlyTimeseries!$A:$A,HourlyTimeseries!$C:$C),"")</f>
        <v>25000</v>
      </c>
      <c r="DX34" s="50">
        <f>IFERROR(LOOKUP(DX18,HourlyTimeseries!$A:$A,HourlyTimeseries!$C:$C),"")</f>
        <v>25000</v>
      </c>
      <c r="DY34" s="50">
        <f>IFERROR(LOOKUP(DY18,HourlyTimeseries!$A:$A,HourlyTimeseries!$C:$C),"")</f>
        <v>25000</v>
      </c>
      <c r="DZ34" s="50">
        <f>IFERROR(LOOKUP(DZ18,HourlyTimeseries!$A:$A,HourlyTimeseries!$C:$C),"")</f>
        <v>25000</v>
      </c>
      <c r="EA34" s="50">
        <f>IFERROR(LOOKUP(EA18,HourlyTimeseries!$A:$A,HourlyTimeseries!$C:$C),"")</f>
        <v>25000</v>
      </c>
      <c r="EB34" s="50">
        <f>IFERROR(LOOKUP(EB18,HourlyTimeseries!$A:$A,HourlyTimeseries!$C:$C),"")</f>
        <v>25000</v>
      </c>
      <c r="EC34" s="50">
        <f>IFERROR(LOOKUP(EC18,HourlyTimeseries!$A:$A,HourlyTimeseries!$C:$C),"")</f>
        <v>25000</v>
      </c>
      <c r="ED34" s="50">
        <f>IFERROR(LOOKUP(ED18,HourlyTimeseries!$A:$A,HourlyTimeseries!$C:$C),"")</f>
        <v>25000</v>
      </c>
      <c r="EE34" s="50">
        <f>IFERROR(LOOKUP(EE18,HourlyTimeseries!$A:$A,HourlyTimeseries!$C:$C),"")</f>
        <v>25000</v>
      </c>
      <c r="EF34" s="50">
        <f>IFERROR(LOOKUP(EF18,HourlyTimeseries!$A:$A,HourlyTimeseries!$C:$C),"")</f>
        <v>25000</v>
      </c>
      <c r="EG34" s="50">
        <f>IFERROR(LOOKUP(EG18,HourlyTimeseries!$A:$A,HourlyTimeseries!$C:$C),"")</f>
        <v>25000</v>
      </c>
      <c r="EH34" s="50">
        <f>IFERROR(LOOKUP(EH18,HourlyTimeseries!$A:$A,HourlyTimeseries!$C:$C),"")</f>
        <v>25000</v>
      </c>
      <c r="EI34" s="50">
        <f>IFERROR(LOOKUP(EI18,HourlyTimeseries!$A:$A,HourlyTimeseries!$C:$C),"")</f>
        <v>25000</v>
      </c>
      <c r="EJ34" s="50">
        <f>IFERROR(LOOKUP(EJ18,HourlyTimeseries!$A:$A,HourlyTimeseries!$C:$C),"")</f>
        <v>25000</v>
      </c>
      <c r="EK34" s="50">
        <f>IFERROR(LOOKUP(EK18,HourlyTimeseries!$A:$A,HourlyTimeseries!$C:$C),"")</f>
        <v>25000</v>
      </c>
      <c r="EL34" s="50">
        <f>IFERROR(LOOKUP(EL18,HourlyTimeseries!$A:$A,HourlyTimeseries!$C:$C),"")</f>
        <v>25000</v>
      </c>
      <c r="EM34" s="50">
        <f>IFERROR(LOOKUP(EM18,HourlyTimeseries!$A:$A,HourlyTimeseries!$C:$C),"")</f>
        <v>25000</v>
      </c>
      <c r="EN34" s="50">
        <f>IFERROR(LOOKUP(EN18,HourlyTimeseries!$A:$A,HourlyTimeseries!$C:$C),"")</f>
        <v>25000</v>
      </c>
      <c r="EO34" s="50">
        <f>IFERROR(LOOKUP(EO18,HourlyTimeseries!$A:$A,HourlyTimeseries!$C:$C),"")</f>
        <v>25000</v>
      </c>
      <c r="EP34" s="50">
        <f>IFERROR(LOOKUP(EP18,HourlyTimeseries!$A:$A,HourlyTimeseries!$C:$C),"")</f>
        <v>25000</v>
      </c>
      <c r="EQ34" s="50">
        <f>IFERROR(LOOKUP(EQ18,HourlyTimeseries!$A:$A,HourlyTimeseries!$C:$C),"")</f>
        <v>25000</v>
      </c>
      <c r="ER34" s="59">
        <f>IFERROR(LOOKUP(ER18,HourlyTimeseries!$A:$A,HourlyTimeseries!$C:$C),"")</f>
        <v>25000</v>
      </c>
      <c r="ES34" s="66">
        <f>IFERROR(LOOKUP(ES18,HourlyTimeseries!$A:$A,HourlyTimeseries!$C:$C),"")</f>
        <v>25000</v>
      </c>
      <c r="ET34" s="50">
        <f>IFERROR(LOOKUP(ET18,HourlyTimeseries!$A:$A,HourlyTimeseries!$C:$C),"")</f>
        <v>25000</v>
      </c>
      <c r="EU34" s="50">
        <f>IFERROR(LOOKUP(EU18,HourlyTimeseries!$A:$A,HourlyTimeseries!$C:$C),"")</f>
        <v>25000</v>
      </c>
      <c r="EV34" s="50">
        <f>IFERROR(LOOKUP(EV18,HourlyTimeseries!$A:$A,HourlyTimeseries!$C:$C),"")</f>
        <v>25000</v>
      </c>
      <c r="EW34" s="50">
        <f>IFERROR(LOOKUP(EW18,HourlyTimeseries!$A:$A,HourlyTimeseries!$C:$C),"")</f>
        <v>25000</v>
      </c>
      <c r="EX34" s="50">
        <f>IFERROR(LOOKUP(EX18,HourlyTimeseries!$A:$A,HourlyTimeseries!$C:$C),"")</f>
        <v>25000</v>
      </c>
      <c r="EY34" s="50">
        <f>IFERROR(LOOKUP(EY18,HourlyTimeseries!$A:$A,HourlyTimeseries!$C:$C),"")</f>
        <v>25000</v>
      </c>
      <c r="EZ34" s="50">
        <f>IFERROR(LOOKUP(EZ18,HourlyTimeseries!$A:$A,HourlyTimeseries!$C:$C),"")</f>
        <v>25000</v>
      </c>
      <c r="FA34" s="50">
        <f>IFERROR(LOOKUP(FA18,HourlyTimeseries!$A:$A,HourlyTimeseries!$C:$C),"")</f>
        <v>25000</v>
      </c>
      <c r="FB34" s="50">
        <f>IFERROR(LOOKUP(FB18,HourlyTimeseries!$A:$A,HourlyTimeseries!$C:$C),"")</f>
        <v>25000</v>
      </c>
      <c r="FC34" s="50">
        <f>IFERROR(LOOKUP(FC18,HourlyTimeseries!$A:$A,HourlyTimeseries!$C:$C),"")</f>
        <v>25000</v>
      </c>
      <c r="FD34" s="50">
        <f>IFERROR(LOOKUP(FD18,HourlyTimeseries!$A:$A,HourlyTimeseries!$C:$C),"")</f>
        <v>25000</v>
      </c>
      <c r="FE34" s="50">
        <f>IFERROR(LOOKUP(FE18,HourlyTimeseries!$A:$A,HourlyTimeseries!$C:$C),"")</f>
        <v>25000</v>
      </c>
      <c r="FF34" s="50">
        <f>IFERROR(LOOKUP(FF18,HourlyTimeseries!$A:$A,HourlyTimeseries!$C:$C),"")</f>
        <v>25000</v>
      </c>
      <c r="FG34" s="50">
        <f>IFERROR(LOOKUP(FG18,HourlyTimeseries!$A:$A,HourlyTimeseries!$C:$C),"")</f>
        <v>25000</v>
      </c>
      <c r="FH34" s="50">
        <f>IFERROR(LOOKUP(FH18,HourlyTimeseries!$A:$A,HourlyTimeseries!$C:$C),"")</f>
        <v>25000</v>
      </c>
      <c r="FI34" s="50">
        <f>IFERROR(LOOKUP(FI18,HourlyTimeseries!$A:$A,HourlyTimeseries!$C:$C),"")</f>
        <v>25000</v>
      </c>
      <c r="FJ34" s="50">
        <f>IFERROR(LOOKUP(FJ18,HourlyTimeseries!$A:$A,HourlyTimeseries!$C:$C),"")</f>
        <v>25000</v>
      </c>
      <c r="FK34" s="50">
        <f>IFERROR(LOOKUP(FK18,HourlyTimeseries!$A:$A,HourlyTimeseries!$C:$C),"")</f>
        <v>25000</v>
      </c>
      <c r="FL34" s="50">
        <f>IFERROR(LOOKUP(FL18,HourlyTimeseries!$A:$A,HourlyTimeseries!$C:$C),"")</f>
        <v>25000</v>
      </c>
      <c r="FM34" s="50">
        <f>IFERROR(LOOKUP(FM18,HourlyTimeseries!$A:$A,HourlyTimeseries!$C:$C),"")</f>
        <v>25000</v>
      </c>
      <c r="FN34" s="50">
        <f>IFERROR(LOOKUP(FN18,HourlyTimeseries!$A:$A,HourlyTimeseries!$C:$C),"")</f>
        <v>25000</v>
      </c>
      <c r="FO34" s="50">
        <f>IFERROR(LOOKUP(FO18,HourlyTimeseries!$A:$A,HourlyTimeseries!$C:$C),"")</f>
        <v>25000</v>
      </c>
      <c r="FP34" s="59">
        <f>IFERROR(LOOKUP(FP18,HourlyTimeseries!$A:$A,HourlyTimeseries!$C:$C),"")</f>
        <v>25000</v>
      </c>
      <c r="FQ34" s="72"/>
    </row>
    <row r="35" spans="1:173">
      <c r="A35" s="15" t="s">
        <v>198</v>
      </c>
      <c r="B35" s="2" t="s">
        <v>201</v>
      </c>
      <c r="C35" s="8" t="s">
        <v>136</v>
      </c>
      <c r="D35" s="2"/>
      <c r="E35" s="50">
        <f>IFERROR(LOOKUP(E$18,HourlyTimeseries!$A:$A,HourlyTimeseries!$B:$B),"")</f>
        <v>5000</v>
      </c>
      <c r="F35" s="50">
        <f>IFERROR(LOOKUP(F$18,HourlyTimeseries!$A:$A,HourlyTimeseries!$B:$B),"")</f>
        <v>5000</v>
      </c>
      <c r="G35" s="50">
        <f>IFERROR(LOOKUP(G$18,HourlyTimeseries!$A:$A,HourlyTimeseries!$B:$B),"")</f>
        <v>5000</v>
      </c>
      <c r="H35" s="50">
        <f>IFERROR(LOOKUP(H$18,HourlyTimeseries!$A:$A,HourlyTimeseries!$B:$B),"")</f>
        <v>5000</v>
      </c>
      <c r="I35" s="50">
        <f>IFERROR(LOOKUP(I$18,HourlyTimeseries!$A:$A,HourlyTimeseries!$B:$B),"")</f>
        <v>5000</v>
      </c>
      <c r="J35" s="50">
        <f>IFERROR(LOOKUP(J$18,HourlyTimeseries!$A:$A,HourlyTimeseries!$B:$B),"")</f>
        <v>5000</v>
      </c>
      <c r="K35" s="50">
        <f>IFERROR(LOOKUP(K$18,HourlyTimeseries!$A:$A,HourlyTimeseries!$B:$B),"")</f>
        <v>8000</v>
      </c>
      <c r="L35" s="50">
        <f>IFERROR(LOOKUP(L$18,HourlyTimeseries!$A:$A,HourlyTimeseries!$B:$B),"")</f>
        <v>8000</v>
      </c>
      <c r="M35" s="50">
        <f>IFERROR(LOOKUP(M$18,HourlyTimeseries!$A:$A,HourlyTimeseries!$B:$B),"")</f>
        <v>8000</v>
      </c>
      <c r="N35" s="50">
        <f>IFERROR(LOOKUP(N$18,HourlyTimeseries!$A:$A,HourlyTimeseries!$B:$B),"")</f>
        <v>8000</v>
      </c>
      <c r="O35" s="50">
        <f>IFERROR(LOOKUP(O$18,HourlyTimeseries!$A:$A,HourlyTimeseries!$B:$B),"")</f>
        <v>8000</v>
      </c>
      <c r="P35" s="50">
        <f>IFERROR(LOOKUP(P$18,HourlyTimeseries!$A:$A,HourlyTimeseries!$B:$B),"")</f>
        <v>8000</v>
      </c>
      <c r="Q35" s="50">
        <f>IFERROR(LOOKUP(Q$18,HourlyTimeseries!$A:$A,HourlyTimeseries!$B:$B),"")</f>
        <v>8000</v>
      </c>
      <c r="R35" s="50">
        <f>IFERROR(LOOKUP(R$18,HourlyTimeseries!$A:$A,HourlyTimeseries!$B:$B),"")</f>
        <v>8000</v>
      </c>
      <c r="S35" s="50">
        <f>IFERROR(LOOKUP(S$18,HourlyTimeseries!$A:$A,HourlyTimeseries!$B:$B),"")</f>
        <v>8000</v>
      </c>
      <c r="T35" s="50">
        <f>IFERROR(LOOKUP(T$18,HourlyTimeseries!$A:$A,HourlyTimeseries!$B:$B),"")</f>
        <v>8000</v>
      </c>
      <c r="U35" s="50">
        <f>IFERROR(LOOKUP(U$18,HourlyTimeseries!$A:$A,HourlyTimeseries!$B:$B),"")</f>
        <v>8000</v>
      </c>
      <c r="V35" s="50">
        <f>IFERROR(LOOKUP(V$18,HourlyTimeseries!$A:$A,HourlyTimeseries!$B:$B),"")</f>
        <v>8000</v>
      </c>
      <c r="W35" s="50">
        <f>IFERROR(LOOKUP(W$18,HourlyTimeseries!$A:$A,HourlyTimeseries!$B:$B),"")</f>
        <v>5000</v>
      </c>
      <c r="X35" s="50">
        <f>IFERROR(LOOKUP(X$18,HourlyTimeseries!$A:$A,HourlyTimeseries!$B:$B),"")</f>
        <v>5000</v>
      </c>
      <c r="Y35" s="50">
        <f>IFERROR(LOOKUP(Y$18,HourlyTimeseries!$A:$A,HourlyTimeseries!$B:$B),"")</f>
        <v>5000</v>
      </c>
      <c r="Z35" s="50">
        <f>IFERROR(LOOKUP(Z$18,HourlyTimeseries!$A:$A,HourlyTimeseries!$B:$B),"")</f>
        <v>5000</v>
      </c>
      <c r="AA35" s="50">
        <f>IFERROR(LOOKUP(AA$18,HourlyTimeseries!$A:$A,HourlyTimeseries!$B:$B),"")</f>
        <v>5000</v>
      </c>
      <c r="AB35" s="59">
        <f>IFERROR(LOOKUP(AB$18,HourlyTimeseries!$A:$A,HourlyTimeseries!$B:$B),"")</f>
        <v>5000</v>
      </c>
      <c r="AC35" s="66">
        <f>IFERROR(LOOKUP(AC$18,HourlyTimeseries!$A:$A,HourlyTimeseries!$B:$B),"")</f>
        <v>5000</v>
      </c>
      <c r="AD35" s="50">
        <f>IFERROR(LOOKUP(AD$18,HourlyTimeseries!$A:$A,HourlyTimeseries!$B:$B),"")</f>
        <v>5000</v>
      </c>
      <c r="AE35" s="50">
        <f>IFERROR(LOOKUP(AE$18,HourlyTimeseries!$A:$A,HourlyTimeseries!$B:$B),"")</f>
        <v>5000</v>
      </c>
      <c r="AF35" s="50">
        <f>IFERROR(LOOKUP(AF$18,HourlyTimeseries!$A:$A,HourlyTimeseries!$B:$B),"")</f>
        <v>5000</v>
      </c>
      <c r="AG35" s="50">
        <f>IFERROR(LOOKUP(AG$18,HourlyTimeseries!$A:$A,HourlyTimeseries!$B:$B),"")</f>
        <v>5000</v>
      </c>
      <c r="AH35" s="50">
        <f>IFERROR(LOOKUP(AH$18,HourlyTimeseries!$A:$A,HourlyTimeseries!$B:$B),"")</f>
        <v>5000</v>
      </c>
      <c r="AI35" s="50">
        <f>IFERROR(LOOKUP(AI$18,HourlyTimeseries!$A:$A,HourlyTimeseries!$B:$B),"")</f>
        <v>8000</v>
      </c>
      <c r="AJ35" s="50">
        <f>IFERROR(LOOKUP(AJ$18,HourlyTimeseries!$A:$A,HourlyTimeseries!$B:$B),"")</f>
        <v>8000</v>
      </c>
      <c r="AK35" s="50">
        <f>IFERROR(LOOKUP(AK$18,HourlyTimeseries!$A:$A,HourlyTimeseries!$B:$B),"")</f>
        <v>8000</v>
      </c>
      <c r="AL35" s="50">
        <f>IFERROR(LOOKUP(AL$18,HourlyTimeseries!$A:$A,HourlyTimeseries!$B:$B),"")</f>
        <v>8000</v>
      </c>
      <c r="AM35" s="50">
        <f>IFERROR(LOOKUP(AM$18,HourlyTimeseries!$A:$A,HourlyTimeseries!$B:$B),"")</f>
        <v>8000</v>
      </c>
      <c r="AN35" s="50">
        <f>IFERROR(LOOKUP(AN$18,HourlyTimeseries!$A:$A,HourlyTimeseries!$B:$B),"")</f>
        <v>8000</v>
      </c>
      <c r="AO35" s="50">
        <f>IFERROR(LOOKUP(AO$18,HourlyTimeseries!$A:$A,HourlyTimeseries!$B:$B),"")</f>
        <v>8000</v>
      </c>
      <c r="AP35" s="50">
        <f>IFERROR(LOOKUP(AP$18,HourlyTimeseries!$A:$A,HourlyTimeseries!$B:$B),"")</f>
        <v>8000</v>
      </c>
      <c r="AQ35" s="50">
        <f>IFERROR(LOOKUP(AQ$18,HourlyTimeseries!$A:$A,HourlyTimeseries!$B:$B),"")</f>
        <v>8000</v>
      </c>
      <c r="AR35" s="50">
        <f>IFERROR(LOOKUP(AR$18,HourlyTimeseries!$A:$A,HourlyTimeseries!$B:$B),"")</f>
        <v>8000</v>
      </c>
      <c r="AS35" s="50">
        <f>IFERROR(LOOKUP(AS$18,HourlyTimeseries!$A:$A,HourlyTimeseries!$B:$B),"")</f>
        <v>8000</v>
      </c>
      <c r="AT35" s="50">
        <f>IFERROR(LOOKUP(AT$18,HourlyTimeseries!$A:$A,HourlyTimeseries!$B:$B),"")</f>
        <v>8000</v>
      </c>
      <c r="AU35" s="50">
        <f>IFERROR(LOOKUP(AU$18,HourlyTimeseries!$A:$A,HourlyTimeseries!$B:$B),"")</f>
        <v>5000</v>
      </c>
      <c r="AV35" s="50">
        <f>IFERROR(LOOKUP(AV$18,HourlyTimeseries!$A:$A,HourlyTimeseries!$B:$B),"")</f>
        <v>5000</v>
      </c>
      <c r="AW35" s="50">
        <f>IFERROR(LOOKUP(AW$18,HourlyTimeseries!$A:$A,HourlyTimeseries!$B:$B),"")</f>
        <v>5000</v>
      </c>
      <c r="AX35" s="50">
        <f>IFERROR(LOOKUP(AX$18,HourlyTimeseries!$A:$A,HourlyTimeseries!$B:$B),"")</f>
        <v>5000</v>
      </c>
      <c r="AY35" s="50">
        <f>IFERROR(LOOKUP(AY$18,HourlyTimeseries!$A:$A,HourlyTimeseries!$B:$B),"")</f>
        <v>5000</v>
      </c>
      <c r="AZ35" s="59">
        <f>IFERROR(LOOKUP(AZ$18,HourlyTimeseries!$A:$A,HourlyTimeseries!$B:$B),"")</f>
        <v>5000</v>
      </c>
      <c r="BA35" s="66">
        <f>IFERROR(LOOKUP(BA$18,HourlyTimeseries!$A:$A,HourlyTimeseries!$B:$B),"")</f>
        <v>5000</v>
      </c>
      <c r="BB35" s="50">
        <f>IFERROR(LOOKUP(BB$18,HourlyTimeseries!$A:$A,HourlyTimeseries!$B:$B),"")</f>
        <v>5000</v>
      </c>
      <c r="BC35" s="50">
        <f>IFERROR(LOOKUP(BC$18,HourlyTimeseries!$A:$A,HourlyTimeseries!$B:$B),"")</f>
        <v>5000</v>
      </c>
      <c r="BD35" s="50">
        <f>IFERROR(LOOKUP(BD$18,HourlyTimeseries!$A:$A,HourlyTimeseries!$B:$B),"")</f>
        <v>5000</v>
      </c>
      <c r="BE35" s="50">
        <f>IFERROR(LOOKUP(BE$18,HourlyTimeseries!$A:$A,HourlyTimeseries!$B:$B),"")</f>
        <v>5000</v>
      </c>
      <c r="BF35" s="50">
        <f>IFERROR(LOOKUP(BF$18,HourlyTimeseries!$A:$A,HourlyTimeseries!$B:$B),"")</f>
        <v>5000</v>
      </c>
      <c r="BG35" s="50">
        <f>IFERROR(LOOKUP(BG$18,HourlyTimeseries!$A:$A,HourlyTimeseries!$B:$B),"")</f>
        <v>8000</v>
      </c>
      <c r="BH35" s="50">
        <f>IFERROR(LOOKUP(BH$18,HourlyTimeseries!$A:$A,HourlyTimeseries!$B:$B),"")</f>
        <v>8000</v>
      </c>
      <c r="BI35" s="50">
        <f>IFERROR(LOOKUP(BI$18,HourlyTimeseries!$A:$A,HourlyTimeseries!$B:$B),"")</f>
        <v>8000</v>
      </c>
      <c r="BJ35" s="50">
        <f>IFERROR(LOOKUP(BJ$18,HourlyTimeseries!$A:$A,HourlyTimeseries!$B:$B),"")</f>
        <v>8000</v>
      </c>
      <c r="BK35" s="50">
        <f>IFERROR(LOOKUP(BK$18,HourlyTimeseries!$A:$A,HourlyTimeseries!$B:$B),"")</f>
        <v>8000</v>
      </c>
      <c r="BL35" s="50">
        <f>IFERROR(LOOKUP(BL$18,HourlyTimeseries!$A:$A,HourlyTimeseries!$B:$B),"")</f>
        <v>8000</v>
      </c>
      <c r="BM35" s="50">
        <f>IFERROR(LOOKUP(BM$18,HourlyTimeseries!$A:$A,HourlyTimeseries!$B:$B),"")</f>
        <v>8000</v>
      </c>
      <c r="BN35" s="50">
        <f>IFERROR(LOOKUP(BN$18,HourlyTimeseries!$A:$A,HourlyTimeseries!$B:$B),"")</f>
        <v>8000</v>
      </c>
      <c r="BO35" s="50">
        <f>IFERROR(LOOKUP(BO$18,HourlyTimeseries!$A:$A,HourlyTimeseries!$B:$B),"")</f>
        <v>8000</v>
      </c>
      <c r="BP35" s="50">
        <f>IFERROR(LOOKUP(BP$18,HourlyTimeseries!$A:$A,HourlyTimeseries!$B:$B),"")</f>
        <v>8000</v>
      </c>
      <c r="BQ35" s="50">
        <f>IFERROR(LOOKUP(BQ$18,HourlyTimeseries!$A:$A,HourlyTimeseries!$B:$B),"")</f>
        <v>8000</v>
      </c>
      <c r="BR35" s="50">
        <f>IFERROR(LOOKUP(BR$18,HourlyTimeseries!$A:$A,HourlyTimeseries!$B:$B),"")</f>
        <v>8000</v>
      </c>
      <c r="BS35" s="50">
        <f>IFERROR(LOOKUP(BS$18,HourlyTimeseries!$A:$A,HourlyTimeseries!$B:$B),"")</f>
        <v>5000</v>
      </c>
      <c r="BT35" s="50">
        <f>IFERROR(LOOKUP(BT$18,HourlyTimeseries!$A:$A,HourlyTimeseries!$B:$B),"")</f>
        <v>5000</v>
      </c>
      <c r="BU35" s="50">
        <f>IFERROR(LOOKUP(BU$18,HourlyTimeseries!$A:$A,HourlyTimeseries!$B:$B),"")</f>
        <v>5000</v>
      </c>
      <c r="BV35" s="50">
        <f>IFERROR(LOOKUP(BV$18,HourlyTimeseries!$A:$A,HourlyTimeseries!$B:$B),"")</f>
        <v>5000</v>
      </c>
      <c r="BW35" s="50">
        <f>IFERROR(LOOKUP(BW$18,HourlyTimeseries!$A:$A,HourlyTimeseries!$B:$B),"")</f>
        <v>5000</v>
      </c>
      <c r="BX35" s="59">
        <f>IFERROR(LOOKUP(BX$18,HourlyTimeseries!$A:$A,HourlyTimeseries!$B:$B),"")</f>
        <v>5000</v>
      </c>
      <c r="BY35" s="66">
        <f>IFERROR(LOOKUP(BY$18,HourlyTimeseries!$A:$A,HourlyTimeseries!$B:$B),"")</f>
        <v>5000</v>
      </c>
      <c r="BZ35" s="50">
        <f>IFERROR(LOOKUP(BZ$18,HourlyTimeseries!$A:$A,HourlyTimeseries!$B:$B),"")</f>
        <v>5000</v>
      </c>
      <c r="CA35" s="50">
        <f>IFERROR(LOOKUP(CA$18,HourlyTimeseries!$A:$A,HourlyTimeseries!$B:$B),"")</f>
        <v>5000</v>
      </c>
      <c r="CB35" s="50">
        <f>IFERROR(LOOKUP(CB$18,HourlyTimeseries!$A:$A,HourlyTimeseries!$B:$B),"")</f>
        <v>5000</v>
      </c>
      <c r="CC35" s="50">
        <f>IFERROR(LOOKUP(CC$18,HourlyTimeseries!$A:$A,HourlyTimeseries!$B:$B),"")</f>
        <v>5000</v>
      </c>
      <c r="CD35" s="50">
        <f>IFERROR(LOOKUP(CD$18,HourlyTimeseries!$A:$A,HourlyTimeseries!$B:$B),"")</f>
        <v>5000</v>
      </c>
      <c r="CE35" s="50">
        <f>IFERROR(LOOKUP(CE$18,HourlyTimeseries!$A:$A,HourlyTimeseries!$B:$B),"")</f>
        <v>8000</v>
      </c>
      <c r="CF35" s="50">
        <f>IFERROR(LOOKUP(CF$18,HourlyTimeseries!$A:$A,HourlyTimeseries!$B:$B),"")</f>
        <v>8000</v>
      </c>
      <c r="CG35" s="50">
        <f>IFERROR(LOOKUP(CG$18,HourlyTimeseries!$A:$A,HourlyTimeseries!$B:$B),"")</f>
        <v>8000</v>
      </c>
      <c r="CH35" s="50">
        <f>IFERROR(LOOKUP(CH$18,HourlyTimeseries!$A:$A,HourlyTimeseries!$B:$B),"")</f>
        <v>8000</v>
      </c>
      <c r="CI35" s="50">
        <f>IFERROR(LOOKUP(CI$18,HourlyTimeseries!$A:$A,HourlyTimeseries!$B:$B),"")</f>
        <v>8000</v>
      </c>
      <c r="CJ35" s="50">
        <f>IFERROR(LOOKUP(CJ$18,HourlyTimeseries!$A:$A,HourlyTimeseries!$B:$B),"")</f>
        <v>8000</v>
      </c>
      <c r="CK35" s="50">
        <f>IFERROR(LOOKUP(CK$18,HourlyTimeseries!$A:$A,HourlyTimeseries!$B:$B),"")</f>
        <v>8000</v>
      </c>
      <c r="CL35" s="50">
        <f>IFERROR(LOOKUP(CL$18,HourlyTimeseries!$A:$A,HourlyTimeseries!$B:$B),"")</f>
        <v>8000</v>
      </c>
      <c r="CM35" s="50">
        <f>IFERROR(LOOKUP(CM$18,HourlyTimeseries!$A:$A,HourlyTimeseries!$B:$B),"")</f>
        <v>8000</v>
      </c>
      <c r="CN35" s="50">
        <f>IFERROR(LOOKUP(CN$18,HourlyTimeseries!$A:$A,HourlyTimeseries!$B:$B),"")</f>
        <v>8000</v>
      </c>
      <c r="CO35" s="50">
        <f>IFERROR(LOOKUP(CO$18,HourlyTimeseries!$A:$A,HourlyTimeseries!$B:$B),"")</f>
        <v>8000</v>
      </c>
      <c r="CP35" s="50">
        <f>IFERROR(LOOKUP(CP$18,HourlyTimeseries!$A:$A,HourlyTimeseries!$B:$B),"")</f>
        <v>8000</v>
      </c>
      <c r="CQ35" s="50">
        <f>IFERROR(LOOKUP(CQ$18,HourlyTimeseries!$A:$A,HourlyTimeseries!$B:$B),"")</f>
        <v>5000</v>
      </c>
      <c r="CR35" s="50">
        <f>IFERROR(LOOKUP(CR$18,HourlyTimeseries!$A:$A,HourlyTimeseries!$B:$B),"")</f>
        <v>5000</v>
      </c>
      <c r="CS35" s="50">
        <f>IFERROR(LOOKUP(CS$18,HourlyTimeseries!$A:$A,HourlyTimeseries!$B:$B),"")</f>
        <v>5000</v>
      </c>
      <c r="CT35" s="50">
        <f>IFERROR(LOOKUP(CT$18,HourlyTimeseries!$A:$A,HourlyTimeseries!$B:$B),"")</f>
        <v>5000</v>
      </c>
      <c r="CU35" s="50">
        <f>IFERROR(LOOKUP(CU$18,HourlyTimeseries!$A:$A,HourlyTimeseries!$B:$B),"")</f>
        <v>5000</v>
      </c>
      <c r="CV35" s="59">
        <f>IFERROR(LOOKUP(CV$18,HourlyTimeseries!$A:$A,HourlyTimeseries!$B:$B),"")</f>
        <v>5000</v>
      </c>
      <c r="CW35" s="66">
        <f>IFERROR(LOOKUP(CW$18,HourlyTimeseries!$A:$A,HourlyTimeseries!$B:$B),"")</f>
        <v>5000</v>
      </c>
      <c r="CX35" s="50">
        <f>IFERROR(LOOKUP(CX$18,HourlyTimeseries!$A:$A,HourlyTimeseries!$B:$B),"")</f>
        <v>5000</v>
      </c>
      <c r="CY35" s="50">
        <f>IFERROR(LOOKUP(CY$18,HourlyTimeseries!$A:$A,HourlyTimeseries!$B:$B),"")</f>
        <v>5000</v>
      </c>
      <c r="CZ35" s="50">
        <f>IFERROR(LOOKUP(CZ$18,HourlyTimeseries!$A:$A,HourlyTimeseries!$B:$B),"")</f>
        <v>5000</v>
      </c>
      <c r="DA35" s="50">
        <f>IFERROR(LOOKUP(DA$18,HourlyTimeseries!$A:$A,HourlyTimeseries!$B:$B),"")</f>
        <v>5000</v>
      </c>
      <c r="DB35" s="50">
        <f>IFERROR(LOOKUP(DB$18,HourlyTimeseries!$A:$A,HourlyTimeseries!$B:$B),"")</f>
        <v>5000</v>
      </c>
      <c r="DC35" s="50">
        <f>IFERROR(LOOKUP(DC$18,HourlyTimeseries!$A:$A,HourlyTimeseries!$B:$B),"")</f>
        <v>8000</v>
      </c>
      <c r="DD35" s="50">
        <f>IFERROR(LOOKUP(DD$18,HourlyTimeseries!$A:$A,HourlyTimeseries!$B:$B),"")</f>
        <v>8000</v>
      </c>
      <c r="DE35" s="50">
        <f>IFERROR(LOOKUP(DE$18,HourlyTimeseries!$A:$A,HourlyTimeseries!$B:$B),"")</f>
        <v>8000</v>
      </c>
      <c r="DF35" s="50">
        <f>IFERROR(LOOKUP(DF$18,HourlyTimeseries!$A:$A,HourlyTimeseries!$B:$B),"")</f>
        <v>8000</v>
      </c>
      <c r="DG35" s="50">
        <f>IFERROR(LOOKUP(DG$18,HourlyTimeseries!$A:$A,HourlyTimeseries!$B:$B),"")</f>
        <v>8000</v>
      </c>
      <c r="DH35" s="50">
        <f>IFERROR(LOOKUP(DH$18,HourlyTimeseries!$A:$A,HourlyTimeseries!$B:$B),"")</f>
        <v>8000</v>
      </c>
      <c r="DI35" s="50">
        <f>IFERROR(LOOKUP(DI$18,HourlyTimeseries!$A:$A,HourlyTimeseries!$B:$B),"")</f>
        <v>8000</v>
      </c>
      <c r="DJ35" s="50">
        <f>IFERROR(LOOKUP(DJ$18,HourlyTimeseries!$A:$A,HourlyTimeseries!$B:$B),"")</f>
        <v>8000</v>
      </c>
      <c r="DK35" s="50">
        <f>IFERROR(LOOKUP(DK$18,HourlyTimeseries!$A:$A,HourlyTimeseries!$B:$B),"")</f>
        <v>8000</v>
      </c>
      <c r="DL35" s="50">
        <f>IFERROR(LOOKUP(DL$18,HourlyTimeseries!$A:$A,HourlyTimeseries!$B:$B),"")</f>
        <v>8000</v>
      </c>
      <c r="DM35" s="50">
        <f>IFERROR(LOOKUP(DM$18,HourlyTimeseries!$A:$A,HourlyTimeseries!$B:$B),"")</f>
        <v>8000</v>
      </c>
      <c r="DN35" s="50">
        <f>IFERROR(LOOKUP(DN$18,HourlyTimeseries!$A:$A,HourlyTimeseries!$B:$B),"")</f>
        <v>8000</v>
      </c>
      <c r="DO35" s="50">
        <f>IFERROR(LOOKUP(DO$18,HourlyTimeseries!$A:$A,HourlyTimeseries!$B:$B),"")</f>
        <v>5000</v>
      </c>
      <c r="DP35" s="50">
        <f>IFERROR(LOOKUP(DP$18,HourlyTimeseries!$A:$A,HourlyTimeseries!$B:$B),"")</f>
        <v>5000</v>
      </c>
      <c r="DQ35" s="50">
        <f>IFERROR(LOOKUP(DQ$18,HourlyTimeseries!$A:$A,HourlyTimeseries!$B:$B),"")</f>
        <v>5000</v>
      </c>
      <c r="DR35" s="50">
        <f>IFERROR(LOOKUP(DR$18,HourlyTimeseries!$A:$A,HourlyTimeseries!$B:$B),"")</f>
        <v>5000</v>
      </c>
      <c r="DS35" s="50">
        <f>IFERROR(LOOKUP(DS$18,HourlyTimeseries!$A:$A,HourlyTimeseries!$B:$B),"")</f>
        <v>5000</v>
      </c>
      <c r="DT35" s="59">
        <f>IFERROR(LOOKUP(DT$18,HourlyTimeseries!$A:$A,HourlyTimeseries!$B:$B),"")</f>
        <v>5000</v>
      </c>
      <c r="DU35" s="66">
        <f>IFERROR(LOOKUP(DU$18,HourlyTimeseries!$A:$A,HourlyTimeseries!$B:$B),"")</f>
        <v>5000</v>
      </c>
      <c r="DV35" s="50">
        <f>IFERROR(LOOKUP(DV$18,HourlyTimeseries!$A:$A,HourlyTimeseries!$B:$B),"")</f>
        <v>5000</v>
      </c>
      <c r="DW35" s="50">
        <f>IFERROR(LOOKUP(DW$18,HourlyTimeseries!$A:$A,HourlyTimeseries!$B:$B),"")</f>
        <v>5000</v>
      </c>
      <c r="DX35" s="50">
        <f>IFERROR(LOOKUP(DX$18,HourlyTimeseries!$A:$A,HourlyTimeseries!$B:$B),"")</f>
        <v>5000</v>
      </c>
      <c r="DY35" s="50">
        <f>IFERROR(LOOKUP(DY$18,HourlyTimeseries!$A:$A,HourlyTimeseries!$B:$B),"")</f>
        <v>5000</v>
      </c>
      <c r="DZ35" s="50">
        <f>IFERROR(LOOKUP(DZ$18,HourlyTimeseries!$A:$A,HourlyTimeseries!$B:$B),"")</f>
        <v>5000</v>
      </c>
      <c r="EA35" s="50">
        <f>IFERROR(LOOKUP(EA$18,HourlyTimeseries!$A:$A,HourlyTimeseries!$B:$B),"")</f>
        <v>8000</v>
      </c>
      <c r="EB35" s="50">
        <f>IFERROR(LOOKUP(EB$18,HourlyTimeseries!$A:$A,HourlyTimeseries!$B:$B),"")</f>
        <v>8000</v>
      </c>
      <c r="EC35" s="50">
        <f>IFERROR(LOOKUP(EC$18,HourlyTimeseries!$A:$A,HourlyTimeseries!$B:$B),"")</f>
        <v>8000</v>
      </c>
      <c r="ED35" s="50">
        <f>IFERROR(LOOKUP(ED$18,HourlyTimeseries!$A:$A,HourlyTimeseries!$B:$B),"")</f>
        <v>8000</v>
      </c>
      <c r="EE35" s="50">
        <f>IFERROR(LOOKUP(EE$18,HourlyTimeseries!$A:$A,HourlyTimeseries!$B:$B),"")</f>
        <v>8000</v>
      </c>
      <c r="EF35" s="50">
        <f>IFERROR(LOOKUP(EF$18,HourlyTimeseries!$A:$A,HourlyTimeseries!$B:$B),"")</f>
        <v>8000</v>
      </c>
      <c r="EG35" s="50">
        <f>IFERROR(LOOKUP(EG$18,HourlyTimeseries!$A:$A,HourlyTimeseries!$B:$B),"")</f>
        <v>8000</v>
      </c>
      <c r="EH35" s="50">
        <f>IFERROR(LOOKUP(EH$18,HourlyTimeseries!$A:$A,HourlyTimeseries!$B:$B),"")</f>
        <v>8000</v>
      </c>
      <c r="EI35" s="50">
        <f>IFERROR(LOOKUP(EI$18,HourlyTimeseries!$A:$A,HourlyTimeseries!$B:$B),"")</f>
        <v>8000</v>
      </c>
      <c r="EJ35" s="50">
        <f>IFERROR(LOOKUP(EJ$18,HourlyTimeseries!$A:$A,HourlyTimeseries!$B:$B),"")</f>
        <v>8000</v>
      </c>
      <c r="EK35" s="50">
        <f>IFERROR(LOOKUP(EK$18,HourlyTimeseries!$A:$A,HourlyTimeseries!$B:$B),"")</f>
        <v>8000</v>
      </c>
      <c r="EL35" s="50">
        <f>IFERROR(LOOKUP(EL$18,HourlyTimeseries!$A:$A,HourlyTimeseries!$B:$B),"")</f>
        <v>8000</v>
      </c>
      <c r="EM35" s="50">
        <f>IFERROR(LOOKUP(EM$18,HourlyTimeseries!$A:$A,HourlyTimeseries!$B:$B),"")</f>
        <v>5000</v>
      </c>
      <c r="EN35" s="50">
        <f>IFERROR(LOOKUP(EN$18,HourlyTimeseries!$A:$A,HourlyTimeseries!$B:$B),"")</f>
        <v>5000</v>
      </c>
      <c r="EO35" s="50">
        <f>IFERROR(LOOKUP(EO$18,HourlyTimeseries!$A:$A,HourlyTimeseries!$B:$B),"")</f>
        <v>5000</v>
      </c>
      <c r="EP35" s="50">
        <f>IFERROR(LOOKUP(EP$18,HourlyTimeseries!$A:$A,HourlyTimeseries!$B:$B),"")</f>
        <v>5000</v>
      </c>
      <c r="EQ35" s="50">
        <f>IFERROR(LOOKUP(EQ$18,HourlyTimeseries!$A:$A,HourlyTimeseries!$B:$B),"")</f>
        <v>5000</v>
      </c>
      <c r="ER35" s="59">
        <f>IFERROR(LOOKUP(ER$18,HourlyTimeseries!$A:$A,HourlyTimeseries!$B:$B),"")</f>
        <v>5000</v>
      </c>
      <c r="ES35" s="66">
        <f>IFERROR(LOOKUP(ES$18,HourlyTimeseries!$A:$A,HourlyTimeseries!$B:$B),"")</f>
        <v>5000</v>
      </c>
      <c r="ET35" s="50">
        <f>IFERROR(LOOKUP(ET$18,HourlyTimeseries!$A:$A,HourlyTimeseries!$B:$B),"")</f>
        <v>5000</v>
      </c>
      <c r="EU35" s="50">
        <f>IFERROR(LOOKUP(EU$18,HourlyTimeseries!$A:$A,HourlyTimeseries!$B:$B),"")</f>
        <v>5000</v>
      </c>
      <c r="EV35" s="50">
        <f>IFERROR(LOOKUP(EV$18,HourlyTimeseries!$A:$A,HourlyTimeseries!$B:$B),"")</f>
        <v>5000</v>
      </c>
      <c r="EW35" s="50">
        <f>IFERROR(LOOKUP(EW$18,HourlyTimeseries!$A:$A,HourlyTimeseries!$B:$B),"")</f>
        <v>5000</v>
      </c>
      <c r="EX35" s="50">
        <f>IFERROR(LOOKUP(EX$18,HourlyTimeseries!$A:$A,HourlyTimeseries!$B:$B),"")</f>
        <v>5000</v>
      </c>
      <c r="EY35" s="50">
        <f>IFERROR(LOOKUP(EY$18,HourlyTimeseries!$A:$A,HourlyTimeseries!$B:$B),"")</f>
        <v>8000</v>
      </c>
      <c r="EZ35" s="50">
        <f>IFERROR(LOOKUP(EZ$18,HourlyTimeseries!$A:$A,HourlyTimeseries!$B:$B),"")</f>
        <v>8000</v>
      </c>
      <c r="FA35" s="50">
        <f>IFERROR(LOOKUP(FA$18,HourlyTimeseries!$A:$A,HourlyTimeseries!$B:$B),"")</f>
        <v>8000</v>
      </c>
      <c r="FB35" s="50">
        <f>IFERROR(LOOKUP(FB$18,HourlyTimeseries!$A:$A,HourlyTimeseries!$B:$B),"")</f>
        <v>8000</v>
      </c>
      <c r="FC35" s="50">
        <f>IFERROR(LOOKUP(FC$18,HourlyTimeseries!$A:$A,HourlyTimeseries!$B:$B),"")</f>
        <v>8000</v>
      </c>
      <c r="FD35" s="50">
        <f>IFERROR(LOOKUP(FD$18,HourlyTimeseries!$A:$A,HourlyTimeseries!$B:$B),"")</f>
        <v>8000</v>
      </c>
      <c r="FE35" s="50">
        <f>IFERROR(LOOKUP(FE$18,HourlyTimeseries!$A:$A,HourlyTimeseries!$B:$B),"")</f>
        <v>8000</v>
      </c>
      <c r="FF35" s="50">
        <f>IFERROR(LOOKUP(FF$18,HourlyTimeseries!$A:$A,HourlyTimeseries!$B:$B),"")</f>
        <v>8000</v>
      </c>
      <c r="FG35" s="50">
        <f>IFERROR(LOOKUP(FG$18,HourlyTimeseries!$A:$A,HourlyTimeseries!$B:$B),"")</f>
        <v>8000</v>
      </c>
      <c r="FH35" s="50">
        <f>IFERROR(LOOKUP(FH$18,HourlyTimeseries!$A:$A,HourlyTimeseries!$B:$B),"")</f>
        <v>8000</v>
      </c>
      <c r="FI35" s="50">
        <f>IFERROR(LOOKUP(FI$18,HourlyTimeseries!$A:$A,HourlyTimeseries!$B:$B),"")</f>
        <v>8000</v>
      </c>
      <c r="FJ35" s="50">
        <f>IFERROR(LOOKUP(FJ$18,HourlyTimeseries!$A:$A,HourlyTimeseries!$B:$B),"")</f>
        <v>8000</v>
      </c>
      <c r="FK35" s="50">
        <f>IFERROR(LOOKUP(FK$18,HourlyTimeseries!$A:$A,HourlyTimeseries!$B:$B),"")</f>
        <v>5000</v>
      </c>
      <c r="FL35" s="50">
        <f>IFERROR(LOOKUP(FL$18,HourlyTimeseries!$A:$A,HourlyTimeseries!$B:$B),"")</f>
        <v>5000</v>
      </c>
      <c r="FM35" s="50">
        <f>IFERROR(LOOKUP(FM$18,HourlyTimeseries!$A:$A,HourlyTimeseries!$B:$B),"")</f>
        <v>5000</v>
      </c>
      <c r="FN35" s="50">
        <f>IFERROR(LOOKUP(FN$18,HourlyTimeseries!$A:$A,HourlyTimeseries!$B:$B),"")</f>
        <v>5000</v>
      </c>
      <c r="FO35" s="50">
        <f>IFERROR(LOOKUP(FO$18,HourlyTimeseries!$A:$A,HourlyTimeseries!$B:$B),"")</f>
        <v>5000</v>
      </c>
      <c r="FP35" s="59">
        <f>IFERROR(LOOKUP(FP$18,HourlyTimeseries!$A:$A,HourlyTimeseries!$B:$B),"")</f>
        <v>5000</v>
      </c>
    </row>
    <row r="36" spans="1:173" ht="15.75" customHeight="1" thickBot="1">
      <c r="A36" s="16" t="s">
        <v>199</v>
      </c>
      <c r="B36" s="3"/>
      <c r="C36" s="3"/>
      <c r="D36" s="3"/>
      <c r="E36" s="3" t="s">
        <v>365</v>
      </c>
      <c r="F36" s="3" t="s">
        <v>366</v>
      </c>
      <c r="G36" s="3" t="s">
        <v>367</v>
      </c>
      <c r="H36" s="3" t="s">
        <v>368</v>
      </c>
      <c r="I36" s="3" t="s">
        <v>369</v>
      </c>
      <c r="J36" s="3" t="s">
        <v>370</v>
      </c>
      <c r="K36" s="3" t="s">
        <v>371</v>
      </c>
    </row>
    <row r="37" spans="1:173">
      <c r="A37" s="15" t="s">
        <v>120</v>
      </c>
      <c r="B37" s="2" t="s">
        <v>59</v>
      </c>
      <c r="C37" s="8" t="s">
        <v>133</v>
      </c>
      <c r="D37" s="2"/>
      <c r="E37" s="50">
        <f>IFERROR(LOOKUP(E$20,DailyTimeseries!$A:$A,DailyTimeseries!$B:$B),"")</f>
        <v>24321.125950413239</v>
      </c>
      <c r="F37" s="50">
        <f>IFERROR(LOOKUP(F$20,DailyTimeseries!$A:$A,DailyTimeseries!$B:$B),"")</f>
        <v>24321.125950413239</v>
      </c>
      <c r="G37" s="50">
        <f>IFERROR(LOOKUP(G$20,DailyTimeseries!$A:$A,DailyTimeseries!$B:$B),"")</f>
        <v>18287.503223140498</v>
      </c>
      <c r="H37" s="50">
        <f>IFERROR(LOOKUP(H$20,DailyTimeseries!$A:$A,DailyTimeseries!$B:$B),"")</f>
        <v>19038.684545454547</v>
      </c>
      <c r="I37" s="50">
        <f>IFERROR(LOOKUP(I$20,DailyTimeseries!$A:$A,DailyTimeseries!$B:$B),"")</f>
        <v>19038.684545454547</v>
      </c>
      <c r="J37" s="50">
        <f>IFERROR(LOOKUP(J$20,DailyTimeseries!$A:$A,DailyTimeseries!$B:$B),"")</f>
        <v>19038.684545454547</v>
      </c>
      <c r="K37" s="50">
        <f>IFERROR(LOOKUP(K$20,DailyTimeseries!$A:$A,DailyTimeseries!$B:$B),"")</f>
        <v>19038.684545454547</v>
      </c>
    </row>
    <row r="38" spans="1:173">
      <c r="A38" s="15" t="s">
        <v>486</v>
      </c>
      <c r="B38" s="2" t="s">
        <v>481</v>
      </c>
      <c r="C38" s="2"/>
      <c r="D38" s="167" t="s">
        <v>485</v>
      </c>
    </row>
    <row r="39" spans="1:173" ht="15.75" customHeight="1" thickBot="1">
      <c r="A39" s="16" t="s">
        <v>97</v>
      </c>
      <c r="B39" s="2" t="s">
        <v>98</v>
      </c>
      <c r="C39" s="2"/>
      <c r="D39" s="4" t="b">
        <v>1</v>
      </c>
    </row>
    <row r="40" spans="1:173">
      <c r="A40" s="15" t="s">
        <v>61</v>
      </c>
      <c r="B40" s="2" t="s">
        <v>60</v>
      </c>
      <c r="C40" s="8" t="s">
        <v>133</v>
      </c>
      <c r="D40" s="44"/>
      <c r="E40" s="50">
        <f>IFERROR(LOOKUP(E$20,DailyTimeseries!$A:$A,DailyTimeseries!$C:$C),"")</f>
        <v>7630</v>
      </c>
      <c r="F40" s="50">
        <f>IFERROR(LOOKUP(F$20,DailyTimeseries!$A:$A,DailyTimeseries!$C:$C),"")</f>
        <v>7630</v>
      </c>
      <c r="G40" s="50">
        <f>IFERROR(LOOKUP(G$20,DailyTimeseries!$A:$A,DailyTimeseries!$C:$C),"")</f>
        <v>5079.6000000000004</v>
      </c>
      <c r="H40" s="50">
        <f>IFERROR(LOOKUP(H$20,DailyTimeseries!$A:$A,DailyTimeseries!$C:$C),"")</f>
        <v>5079.6000000000004</v>
      </c>
      <c r="I40" s="50">
        <f>IFERROR(LOOKUP(I$20,DailyTimeseries!$A:$A,DailyTimeseries!$C:$C),"")</f>
        <v>5079.6000000000004</v>
      </c>
      <c r="J40" s="50">
        <f>IFERROR(LOOKUP(J$20,DailyTimeseries!$A:$A,DailyTimeseries!$C:$C),"")</f>
        <v>5079.6000000000004</v>
      </c>
      <c r="K40" s="50">
        <f>IFERROR(LOOKUP(K$20,DailyTimeseries!$A:$A,DailyTimeseries!$C:$C),"")</f>
        <v>5079.6000000000004</v>
      </c>
    </row>
    <row r="41" spans="1:173" ht="15.75" customHeight="1" thickBot="1">
      <c r="A41" s="16" t="s">
        <v>125</v>
      </c>
      <c r="B41" s="2" t="s">
        <v>95</v>
      </c>
      <c r="C41" s="2"/>
      <c r="D41" s="4" t="b">
        <v>1</v>
      </c>
    </row>
    <row r="42" spans="1:173">
      <c r="A42" s="15" t="s">
        <v>69</v>
      </c>
      <c r="B42" s="2" t="s">
        <v>62</v>
      </c>
      <c r="C42" s="8" t="s">
        <v>133</v>
      </c>
      <c r="D42" s="8">
        <v>15000</v>
      </c>
    </row>
    <row r="43" spans="1:173">
      <c r="A43" s="15" t="s">
        <v>68</v>
      </c>
      <c r="B43" s="2" t="s">
        <v>63</v>
      </c>
      <c r="C43" s="8" t="s">
        <v>133</v>
      </c>
      <c r="D43" s="8">
        <v>15000</v>
      </c>
    </row>
    <row r="44" spans="1:173">
      <c r="A44" s="15" t="s">
        <v>205</v>
      </c>
      <c r="B44" s="2" t="s">
        <v>204</v>
      </c>
      <c r="C44" s="8" t="s">
        <v>133</v>
      </c>
      <c r="D44" s="2"/>
      <c r="E44" s="50">
        <f>IFERROR(LOOKUP(E$18,HourlyTimeseries!$A:$A,HourlyTimeseries!$D:$D),"")</f>
        <v>0</v>
      </c>
      <c r="F44" s="50">
        <f>IFERROR(LOOKUP(F$18,HourlyTimeseries!$A:$A,HourlyTimeseries!$D:$D),"")</f>
        <v>0</v>
      </c>
      <c r="G44" s="50">
        <f>IFERROR(LOOKUP(G$18,HourlyTimeseries!$A:$A,HourlyTimeseries!$D:$D),"")</f>
        <v>0</v>
      </c>
      <c r="H44" s="50">
        <f>IFERROR(LOOKUP(H$18,HourlyTimeseries!$A:$A,HourlyTimeseries!$D:$D),"")</f>
        <v>0</v>
      </c>
      <c r="I44" s="50">
        <f>IFERROR(LOOKUP(I$18,HourlyTimeseries!$A:$A,HourlyTimeseries!$D:$D),"")</f>
        <v>0</v>
      </c>
      <c r="J44" s="50">
        <f>IFERROR(LOOKUP(J$18,HourlyTimeseries!$A:$A,HourlyTimeseries!$D:$D),"")</f>
        <v>0</v>
      </c>
      <c r="K44" s="50">
        <f>IFERROR(LOOKUP(K$18,HourlyTimeseries!$A:$A,HourlyTimeseries!$D:$D),"")</f>
        <v>0</v>
      </c>
      <c r="L44" s="50">
        <f>IFERROR(LOOKUP(L$18,HourlyTimeseries!$A:$A,HourlyTimeseries!$D:$D),"")</f>
        <v>0</v>
      </c>
      <c r="M44" s="50">
        <f>IFERROR(LOOKUP(M$18,HourlyTimeseries!$A:$A,HourlyTimeseries!$D:$D),"")</f>
        <v>0</v>
      </c>
      <c r="N44" s="50">
        <f>IFERROR(LOOKUP(N$18,HourlyTimeseries!$A:$A,HourlyTimeseries!$D:$D),"")</f>
        <v>0</v>
      </c>
      <c r="O44" s="50">
        <f>IFERROR(LOOKUP(O$18,HourlyTimeseries!$A:$A,HourlyTimeseries!$D:$D),"")</f>
        <v>0</v>
      </c>
      <c r="P44" s="50">
        <f>IFERROR(LOOKUP(P$18,HourlyTimeseries!$A:$A,HourlyTimeseries!$D:$D),"")</f>
        <v>0</v>
      </c>
      <c r="Q44" s="50">
        <f>IFERROR(LOOKUP(Q$18,HourlyTimeseries!$A:$A,HourlyTimeseries!$D:$D),"")</f>
        <v>0</v>
      </c>
      <c r="R44" s="50">
        <f>IFERROR(LOOKUP(R$18,HourlyTimeseries!$A:$A,HourlyTimeseries!$D:$D),"")</f>
        <v>0</v>
      </c>
      <c r="S44" s="50">
        <f>IFERROR(LOOKUP(S$18,HourlyTimeseries!$A:$A,HourlyTimeseries!$D:$D),"")</f>
        <v>0</v>
      </c>
      <c r="T44" s="50">
        <f>IFERROR(LOOKUP(T$18,HourlyTimeseries!$A:$A,HourlyTimeseries!$D:$D),"")</f>
        <v>0</v>
      </c>
      <c r="U44" s="50">
        <f>IFERROR(LOOKUP(U$18,HourlyTimeseries!$A:$A,HourlyTimeseries!$D:$D),"")</f>
        <v>0</v>
      </c>
      <c r="V44" s="50">
        <f>IFERROR(LOOKUP(V$18,HourlyTimeseries!$A:$A,HourlyTimeseries!$D:$D),"")</f>
        <v>0</v>
      </c>
      <c r="W44" s="50">
        <f>IFERROR(LOOKUP(W$18,HourlyTimeseries!$A:$A,HourlyTimeseries!$D:$D),"")</f>
        <v>0</v>
      </c>
      <c r="X44" s="50">
        <f>IFERROR(LOOKUP(X$18,HourlyTimeseries!$A:$A,HourlyTimeseries!$D:$D),"")</f>
        <v>0</v>
      </c>
      <c r="Y44" s="50">
        <f>IFERROR(LOOKUP(Y$18,HourlyTimeseries!$A:$A,HourlyTimeseries!$D:$D),"")</f>
        <v>0</v>
      </c>
      <c r="Z44" s="50">
        <f>IFERROR(LOOKUP(Z$18,HourlyTimeseries!$A:$A,HourlyTimeseries!$D:$D),"")</f>
        <v>0</v>
      </c>
      <c r="AA44" s="50">
        <f>IFERROR(LOOKUP(AA$18,HourlyTimeseries!$A:$A,HourlyTimeseries!$D:$D),"")</f>
        <v>0</v>
      </c>
      <c r="AB44" s="59">
        <f>IFERROR(LOOKUP(AB$18,HourlyTimeseries!$A:$A,HourlyTimeseries!$D:$D),"")</f>
        <v>0</v>
      </c>
      <c r="AC44" s="66">
        <f>IFERROR(LOOKUP(AC$18,HourlyTimeseries!$A:$A,HourlyTimeseries!$D:$D),"")</f>
        <v>0</v>
      </c>
      <c r="AD44" s="50">
        <f>IFERROR(LOOKUP(AD$18,HourlyTimeseries!$A:$A,HourlyTimeseries!$D:$D),"")</f>
        <v>0</v>
      </c>
      <c r="AE44" s="50">
        <f>IFERROR(LOOKUP(AE$18,HourlyTimeseries!$A:$A,HourlyTimeseries!$D:$D),"")</f>
        <v>0</v>
      </c>
      <c r="AF44" s="50">
        <f>IFERROR(LOOKUP(AF$18,HourlyTimeseries!$A:$A,HourlyTimeseries!$D:$D),"")</f>
        <v>0</v>
      </c>
      <c r="AG44" s="50">
        <f>IFERROR(LOOKUP(AG$18,HourlyTimeseries!$A:$A,HourlyTimeseries!$D:$D),"")</f>
        <v>0</v>
      </c>
      <c r="AH44" s="50">
        <f>IFERROR(LOOKUP(AH$18,HourlyTimeseries!$A:$A,HourlyTimeseries!$D:$D),"")</f>
        <v>0</v>
      </c>
      <c r="AI44" s="50">
        <f>IFERROR(LOOKUP(AI$18,HourlyTimeseries!$A:$A,HourlyTimeseries!$D:$D),"")</f>
        <v>0</v>
      </c>
      <c r="AJ44" s="50">
        <f>IFERROR(LOOKUP(AJ$18,HourlyTimeseries!$A:$A,HourlyTimeseries!$D:$D),"")</f>
        <v>0</v>
      </c>
      <c r="AK44" s="50">
        <f>IFERROR(LOOKUP(AK$18,HourlyTimeseries!$A:$A,HourlyTimeseries!$D:$D),"")</f>
        <v>0</v>
      </c>
      <c r="AL44" s="50">
        <f>IFERROR(LOOKUP(AL$18,HourlyTimeseries!$A:$A,HourlyTimeseries!$D:$D),"")</f>
        <v>0</v>
      </c>
      <c r="AM44" s="50">
        <f>IFERROR(LOOKUP(AM$18,HourlyTimeseries!$A:$A,HourlyTimeseries!$D:$D),"")</f>
        <v>0</v>
      </c>
      <c r="AN44" s="50">
        <f>IFERROR(LOOKUP(AN$18,HourlyTimeseries!$A:$A,HourlyTimeseries!$D:$D),"")</f>
        <v>0</v>
      </c>
      <c r="AO44" s="50">
        <f>IFERROR(LOOKUP(AO$18,HourlyTimeseries!$A:$A,HourlyTimeseries!$D:$D),"")</f>
        <v>0</v>
      </c>
      <c r="AP44" s="50">
        <f>IFERROR(LOOKUP(AP$18,HourlyTimeseries!$A:$A,HourlyTimeseries!$D:$D),"")</f>
        <v>0</v>
      </c>
      <c r="AQ44" s="50">
        <f>IFERROR(LOOKUP(AQ$18,HourlyTimeseries!$A:$A,HourlyTimeseries!$D:$D),"")</f>
        <v>0</v>
      </c>
      <c r="AR44" s="50">
        <f>IFERROR(LOOKUP(AR$18,HourlyTimeseries!$A:$A,HourlyTimeseries!$D:$D),"")</f>
        <v>0</v>
      </c>
      <c r="AS44" s="50">
        <f>IFERROR(LOOKUP(AS$18,HourlyTimeseries!$A:$A,HourlyTimeseries!$D:$D),"")</f>
        <v>0</v>
      </c>
      <c r="AT44" s="50">
        <f>IFERROR(LOOKUP(AT$18,HourlyTimeseries!$A:$A,HourlyTimeseries!$D:$D),"")</f>
        <v>0</v>
      </c>
      <c r="AU44" s="50">
        <f>IFERROR(LOOKUP(AU$18,HourlyTimeseries!$A:$A,HourlyTimeseries!$D:$D),"")</f>
        <v>0</v>
      </c>
      <c r="AV44" s="50">
        <f>IFERROR(LOOKUP(AV$18,HourlyTimeseries!$A:$A,HourlyTimeseries!$D:$D),"")</f>
        <v>0</v>
      </c>
      <c r="AW44" s="50">
        <f>IFERROR(LOOKUP(AW$18,HourlyTimeseries!$A:$A,HourlyTimeseries!$D:$D),"")</f>
        <v>0</v>
      </c>
      <c r="AX44" s="50">
        <f>IFERROR(LOOKUP(AX$18,HourlyTimeseries!$A:$A,HourlyTimeseries!$D:$D),"")</f>
        <v>0</v>
      </c>
      <c r="AY44" s="50">
        <f>IFERROR(LOOKUP(AY$18,HourlyTimeseries!$A:$A,HourlyTimeseries!$D:$D),"")</f>
        <v>0</v>
      </c>
      <c r="AZ44" s="59">
        <f>IFERROR(LOOKUP(AZ$18,HourlyTimeseries!$A:$A,HourlyTimeseries!$D:$D),"")</f>
        <v>0</v>
      </c>
      <c r="BA44" s="66">
        <f>IFERROR(LOOKUP(BA$18,HourlyTimeseries!$A:$A,HourlyTimeseries!$D:$D),"")</f>
        <v>0</v>
      </c>
      <c r="BB44" s="50">
        <f>IFERROR(LOOKUP(BB$18,HourlyTimeseries!$A:$A,HourlyTimeseries!$D:$D),"")</f>
        <v>0</v>
      </c>
      <c r="BC44" s="50">
        <f>IFERROR(LOOKUP(BC$18,HourlyTimeseries!$A:$A,HourlyTimeseries!$D:$D),"")</f>
        <v>0</v>
      </c>
      <c r="BD44" s="50">
        <f>IFERROR(LOOKUP(BD$18,HourlyTimeseries!$A:$A,HourlyTimeseries!$D:$D),"")</f>
        <v>0</v>
      </c>
      <c r="BE44" s="50">
        <f>IFERROR(LOOKUP(BE$18,HourlyTimeseries!$A:$A,HourlyTimeseries!$D:$D),"")</f>
        <v>0</v>
      </c>
      <c r="BF44" s="50">
        <f>IFERROR(LOOKUP(BF$18,HourlyTimeseries!$A:$A,HourlyTimeseries!$D:$D),"")</f>
        <v>0</v>
      </c>
      <c r="BG44" s="50">
        <f>IFERROR(LOOKUP(BG$18,HourlyTimeseries!$A:$A,HourlyTimeseries!$D:$D),"")</f>
        <v>0</v>
      </c>
      <c r="BH44" s="50">
        <f>IFERROR(LOOKUP(BH$18,HourlyTimeseries!$A:$A,HourlyTimeseries!$D:$D),"")</f>
        <v>0</v>
      </c>
      <c r="BI44" s="50">
        <f>IFERROR(LOOKUP(BI$18,HourlyTimeseries!$A:$A,HourlyTimeseries!$D:$D),"")</f>
        <v>0</v>
      </c>
      <c r="BJ44" s="50">
        <f>IFERROR(LOOKUP(BJ$18,HourlyTimeseries!$A:$A,HourlyTimeseries!$D:$D),"")</f>
        <v>0</v>
      </c>
      <c r="BK44" s="50">
        <f>IFERROR(LOOKUP(BK$18,HourlyTimeseries!$A:$A,HourlyTimeseries!$D:$D),"")</f>
        <v>0</v>
      </c>
      <c r="BL44" s="50">
        <f>IFERROR(LOOKUP(BL$18,HourlyTimeseries!$A:$A,HourlyTimeseries!$D:$D),"")</f>
        <v>0</v>
      </c>
      <c r="BM44" s="50">
        <f>IFERROR(LOOKUP(BM$18,HourlyTimeseries!$A:$A,HourlyTimeseries!$D:$D),"")</f>
        <v>0</v>
      </c>
      <c r="BN44" s="50">
        <f>IFERROR(LOOKUP(BN$18,HourlyTimeseries!$A:$A,HourlyTimeseries!$D:$D),"")</f>
        <v>0</v>
      </c>
      <c r="BO44" s="50">
        <f>IFERROR(LOOKUP(BO$18,HourlyTimeseries!$A:$A,HourlyTimeseries!$D:$D),"")</f>
        <v>0</v>
      </c>
      <c r="BP44" s="50">
        <f>IFERROR(LOOKUP(BP$18,HourlyTimeseries!$A:$A,HourlyTimeseries!$D:$D),"")</f>
        <v>0</v>
      </c>
      <c r="BQ44" s="50">
        <f>IFERROR(LOOKUP(BQ$18,HourlyTimeseries!$A:$A,HourlyTimeseries!$D:$D),"")</f>
        <v>0</v>
      </c>
      <c r="BR44" s="50">
        <f>IFERROR(LOOKUP(BR$18,HourlyTimeseries!$A:$A,HourlyTimeseries!$D:$D),"")</f>
        <v>0</v>
      </c>
      <c r="BS44" s="50">
        <f>IFERROR(LOOKUP(BS$18,HourlyTimeseries!$A:$A,HourlyTimeseries!$D:$D),"")</f>
        <v>0</v>
      </c>
      <c r="BT44" s="50">
        <f>IFERROR(LOOKUP(BT$18,HourlyTimeseries!$A:$A,HourlyTimeseries!$D:$D),"")</f>
        <v>0</v>
      </c>
      <c r="BU44" s="50">
        <f>IFERROR(LOOKUP(BU$18,HourlyTimeseries!$A:$A,HourlyTimeseries!$D:$D),"")</f>
        <v>0</v>
      </c>
      <c r="BV44" s="50">
        <f>IFERROR(LOOKUP(BV$18,HourlyTimeseries!$A:$A,HourlyTimeseries!$D:$D),"")</f>
        <v>0</v>
      </c>
      <c r="BW44" s="50">
        <f>IFERROR(LOOKUP(BW$18,HourlyTimeseries!$A:$A,HourlyTimeseries!$D:$D),"")</f>
        <v>0</v>
      </c>
      <c r="BX44" s="59">
        <f>IFERROR(LOOKUP(BX$18,HourlyTimeseries!$A:$A,HourlyTimeseries!$D:$D),"")</f>
        <v>0</v>
      </c>
      <c r="BY44" s="66">
        <f>IFERROR(LOOKUP(BY$18,HourlyTimeseries!$A:$A,HourlyTimeseries!$D:$D),"")</f>
        <v>0</v>
      </c>
      <c r="BZ44" s="50">
        <f>IFERROR(LOOKUP(BZ$18,HourlyTimeseries!$A:$A,HourlyTimeseries!$D:$D),"")</f>
        <v>0</v>
      </c>
      <c r="CA44" s="50">
        <f>IFERROR(LOOKUP(CA$18,HourlyTimeseries!$A:$A,HourlyTimeseries!$D:$D),"")</f>
        <v>0</v>
      </c>
      <c r="CB44" s="50">
        <f>IFERROR(LOOKUP(CB$18,HourlyTimeseries!$A:$A,HourlyTimeseries!$D:$D),"")</f>
        <v>0</v>
      </c>
      <c r="CC44" s="50">
        <f>IFERROR(LOOKUP(CC$18,HourlyTimeseries!$A:$A,HourlyTimeseries!$D:$D),"")</f>
        <v>0</v>
      </c>
      <c r="CD44" s="50">
        <f>IFERROR(LOOKUP(CD$18,HourlyTimeseries!$A:$A,HourlyTimeseries!$D:$D),"")</f>
        <v>0</v>
      </c>
      <c r="CE44" s="50">
        <f>IFERROR(LOOKUP(CE$18,HourlyTimeseries!$A:$A,HourlyTimeseries!$D:$D),"")</f>
        <v>0</v>
      </c>
      <c r="CF44" s="50">
        <f>IFERROR(LOOKUP(CF$18,HourlyTimeseries!$A:$A,HourlyTimeseries!$D:$D),"")</f>
        <v>0</v>
      </c>
      <c r="CG44" s="50">
        <f>IFERROR(LOOKUP(CG$18,HourlyTimeseries!$A:$A,HourlyTimeseries!$D:$D),"")</f>
        <v>0</v>
      </c>
      <c r="CH44" s="50">
        <f>IFERROR(LOOKUP(CH$18,HourlyTimeseries!$A:$A,HourlyTimeseries!$D:$D),"")</f>
        <v>0</v>
      </c>
      <c r="CI44" s="50">
        <f>IFERROR(LOOKUP(CI$18,HourlyTimeseries!$A:$A,HourlyTimeseries!$D:$D),"")</f>
        <v>0</v>
      </c>
      <c r="CJ44" s="50">
        <f>IFERROR(LOOKUP(CJ$18,HourlyTimeseries!$A:$A,HourlyTimeseries!$D:$D),"")</f>
        <v>0</v>
      </c>
      <c r="CK44" s="50">
        <f>IFERROR(LOOKUP(CK$18,HourlyTimeseries!$A:$A,HourlyTimeseries!$D:$D),"")</f>
        <v>0</v>
      </c>
      <c r="CL44" s="50">
        <f>IFERROR(LOOKUP(CL$18,HourlyTimeseries!$A:$A,HourlyTimeseries!$D:$D),"")</f>
        <v>0</v>
      </c>
      <c r="CM44" s="50">
        <f>IFERROR(LOOKUP(CM$18,HourlyTimeseries!$A:$A,HourlyTimeseries!$D:$D),"")</f>
        <v>0</v>
      </c>
      <c r="CN44" s="50">
        <f>IFERROR(LOOKUP(CN$18,HourlyTimeseries!$A:$A,HourlyTimeseries!$D:$D),"")</f>
        <v>0</v>
      </c>
      <c r="CO44" s="50">
        <f>IFERROR(LOOKUP(CO$18,HourlyTimeseries!$A:$A,HourlyTimeseries!$D:$D),"")</f>
        <v>0</v>
      </c>
      <c r="CP44" s="50">
        <f>IFERROR(LOOKUP(CP$18,HourlyTimeseries!$A:$A,HourlyTimeseries!$D:$D),"")</f>
        <v>0</v>
      </c>
      <c r="CQ44" s="50">
        <f>IFERROR(LOOKUP(CQ$18,HourlyTimeseries!$A:$A,HourlyTimeseries!$D:$D),"")</f>
        <v>0</v>
      </c>
      <c r="CR44" s="50">
        <f>IFERROR(LOOKUP(CR$18,HourlyTimeseries!$A:$A,HourlyTimeseries!$D:$D),"")</f>
        <v>0</v>
      </c>
      <c r="CS44" s="50">
        <f>IFERROR(LOOKUP(CS$18,HourlyTimeseries!$A:$A,HourlyTimeseries!$D:$D),"")</f>
        <v>0</v>
      </c>
      <c r="CT44" s="50">
        <f>IFERROR(LOOKUP(CT$18,HourlyTimeseries!$A:$A,HourlyTimeseries!$D:$D),"")</f>
        <v>0</v>
      </c>
      <c r="CU44" s="50">
        <f>IFERROR(LOOKUP(CU$18,HourlyTimeseries!$A:$A,HourlyTimeseries!$D:$D),"")</f>
        <v>0</v>
      </c>
      <c r="CV44" s="59">
        <f>IFERROR(LOOKUP(CV$18,HourlyTimeseries!$A:$A,HourlyTimeseries!$D:$D),"")</f>
        <v>0</v>
      </c>
      <c r="CW44" s="66">
        <f>IFERROR(LOOKUP(CW$18,HourlyTimeseries!$A:$A,HourlyTimeseries!$D:$D),"")</f>
        <v>0</v>
      </c>
      <c r="CX44" s="50">
        <f>IFERROR(LOOKUP(CX$18,HourlyTimeseries!$A:$A,HourlyTimeseries!$D:$D),"")</f>
        <v>0</v>
      </c>
      <c r="CY44" s="50">
        <f>IFERROR(LOOKUP(CY$18,HourlyTimeseries!$A:$A,HourlyTimeseries!$D:$D),"")</f>
        <v>0</v>
      </c>
      <c r="CZ44" s="50">
        <f>IFERROR(LOOKUP(CZ$18,HourlyTimeseries!$A:$A,HourlyTimeseries!$D:$D),"")</f>
        <v>0</v>
      </c>
      <c r="DA44" s="50">
        <f>IFERROR(LOOKUP(DA$18,HourlyTimeseries!$A:$A,HourlyTimeseries!$D:$D),"")</f>
        <v>0</v>
      </c>
      <c r="DB44" s="50">
        <f>IFERROR(LOOKUP(DB$18,HourlyTimeseries!$A:$A,HourlyTimeseries!$D:$D),"")</f>
        <v>0</v>
      </c>
      <c r="DC44" s="50">
        <f>IFERROR(LOOKUP(DC$18,HourlyTimeseries!$A:$A,HourlyTimeseries!$D:$D),"")</f>
        <v>0</v>
      </c>
      <c r="DD44" s="50">
        <f>IFERROR(LOOKUP(DD$18,HourlyTimeseries!$A:$A,HourlyTimeseries!$D:$D),"")</f>
        <v>0</v>
      </c>
      <c r="DE44" s="50">
        <f>IFERROR(LOOKUP(DE$18,HourlyTimeseries!$A:$A,HourlyTimeseries!$D:$D),"")</f>
        <v>0</v>
      </c>
      <c r="DF44" s="50">
        <f>IFERROR(LOOKUP(DF$18,HourlyTimeseries!$A:$A,HourlyTimeseries!$D:$D),"")</f>
        <v>0</v>
      </c>
      <c r="DG44" s="50">
        <f>IFERROR(LOOKUP(DG$18,HourlyTimeseries!$A:$A,HourlyTimeseries!$D:$D),"")</f>
        <v>0</v>
      </c>
      <c r="DH44" s="50">
        <f>IFERROR(LOOKUP(DH$18,HourlyTimeseries!$A:$A,HourlyTimeseries!$D:$D),"")</f>
        <v>0</v>
      </c>
      <c r="DI44" s="50">
        <f>IFERROR(LOOKUP(DI$18,HourlyTimeseries!$A:$A,HourlyTimeseries!$D:$D),"")</f>
        <v>0</v>
      </c>
      <c r="DJ44" s="50">
        <f>IFERROR(LOOKUP(DJ$18,HourlyTimeseries!$A:$A,HourlyTimeseries!$D:$D),"")</f>
        <v>0</v>
      </c>
      <c r="DK44" s="50">
        <f>IFERROR(LOOKUP(DK$18,HourlyTimeseries!$A:$A,HourlyTimeseries!$D:$D),"")</f>
        <v>0</v>
      </c>
      <c r="DL44" s="50">
        <f>IFERROR(LOOKUP(DL$18,HourlyTimeseries!$A:$A,HourlyTimeseries!$D:$D),"")</f>
        <v>0</v>
      </c>
      <c r="DM44" s="50">
        <f>IFERROR(LOOKUP(DM$18,HourlyTimeseries!$A:$A,HourlyTimeseries!$D:$D),"")</f>
        <v>0</v>
      </c>
      <c r="DN44" s="50">
        <f>IFERROR(LOOKUP(DN$18,HourlyTimeseries!$A:$A,HourlyTimeseries!$D:$D),"")</f>
        <v>0</v>
      </c>
      <c r="DO44" s="50">
        <f>IFERROR(LOOKUP(DO$18,HourlyTimeseries!$A:$A,HourlyTimeseries!$D:$D),"")</f>
        <v>0</v>
      </c>
      <c r="DP44" s="50">
        <f>IFERROR(LOOKUP(DP$18,HourlyTimeseries!$A:$A,HourlyTimeseries!$D:$D),"")</f>
        <v>0</v>
      </c>
      <c r="DQ44" s="50">
        <f>IFERROR(LOOKUP(DQ$18,HourlyTimeseries!$A:$A,HourlyTimeseries!$D:$D),"")</f>
        <v>0</v>
      </c>
      <c r="DR44" s="50">
        <f>IFERROR(LOOKUP(DR$18,HourlyTimeseries!$A:$A,HourlyTimeseries!$D:$D),"")</f>
        <v>0</v>
      </c>
      <c r="DS44" s="50">
        <f>IFERROR(LOOKUP(DS$18,HourlyTimeseries!$A:$A,HourlyTimeseries!$D:$D),"")</f>
        <v>0</v>
      </c>
      <c r="DT44" s="59">
        <f>IFERROR(LOOKUP(DT$18,HourlyTimeseries!$A:$A,HourlyTimeseries!$D:$D),"")</f>
        <v>0</v>
      </c>
      <c r="DU44" s="66">
        <f>IFERROR(LOOKUP(DU$18,HourlyTimeseries!$A:$A,HourlyTimeseries!$D:$D),"")</f>
        <v>0</v>
      </c>
      <c r="DV44" s="50">
        <f>IFERROR(LOOKUP(DV$18,HourlyTimeseries!$A:$A,HourlyTimeseries!$D:$D),"")</f>
        <v>0</v>
      </c>
      <c r="DW44" s="50">
        <f>IFERROR(LOOKUP(DW$18,HourlyTimeseries!$A:$A,HourlyTimeseries!$D:$D),"")</f>
        <v>0</v>
      </c>
      <c r="DX44" s="50">
        <f>IFERROR(LOOKUP(DX$18,HourlyTimeseries!$A:$A,HourlyTimeseries!$D:$D),"")</f>
        <v>0</v>
      </c>
      <c r="DY44" s="50">
        <f>IFERROR(LOOKUP(DY$18,HourlyTimeseries!$A:$A,HourlyTimeseries!$D:$D),"")</f>
        <v>0</v>
      </c>
      <c r="DZ44" s="50">
        <f>IFERROR(LOOKUP(DZ$18,HourlyTimeseries!$A:$A,HourlyTimeseries!$D:$D),"")</f>
        <v>0</v>
      </c>
      <c r="EA44" s="50">
        <f>IFERROR(LOOKUP(EA$18,HourlyTimeseries!$A:$A,HourlyTimeseries!$D:$D),"")</f>
        <v>0</v>
      </c>
      <c r="EB44" s="50">
        <f>IFERROR(LOOKUP(EB$18,HourlyTimeseries!$A:$A,HourlyTimeseries!$D:$D),"")</f>
        <v>0</v>
      </c>
      <c r="EC44" s="50">
        <f>IFERROR(LOOKUP(EC$18,HourlyTimeseries!$A:$A,HourlyTimeseries!$D:$D),"")</f>
        <v>0</v>
      </c>
      <c r="ED44" s="50">
        <f>IFERROR(LOOKUP(ED$18,HourlyTimeseries!$A:$A,HourlyTimeseries!$D:$D),"")</f>
        <v>0</v>
      </c>
      <c r="EE44" s="50">
        <f>IFERROR(LOOKUP(EE$18,HourlyTimeseries!$A:$A,HourlyTimeseries!$D:$D),"")</f>
        <v>0</v>
      </c>
      <c r="EF44" s="50">
        <f>IFERROR(LOOKUP(EF$18,HourlyTimeseries!$A:$A,HourlyTimeseries!$D:$D),"")</f>
        <v>0</v>
      </c>
      <c r="EG44" s="50">
        <f>IFERROR(LOOKUP(EG$18,HourlyTimeseries!$A:$A,HourlyTimeseries!$D:$D),"")</f>
        <v>0</v>
      </c>
      <c r="EH44" s="50">
        <f>IFERROR(LOOKUP(EH$18,HourlyTimeseries!$A:$A,HourlyTimeseries!$D:$D),"")</f>
        <v>0</v>
      </c>
      <c r="EI44" s="50">
        <f>IFERROR(LOOKUP(EI$18,HourlyTimeseries!$A:$A,HourlyTimeseries!$D:$D),"")</f>
        <v>0</v>
      </c>
      <c r="EJ44" s="50">
        <f>IFERROR(LOOKUP(EJ$18,HourlyTimeseries!$A:$A,HourlyTimeseries!$D:$D),"")</f>
        <v>0</v>
      </c>
      <c r="EK44" s="50">
        <f>IFERROR(LOOKUP(EK$18,HourlyTimeseries!$A:$A,HourlyTimeseries!$D:$D),"")</f>
        <v>0</v>
      </c>
      <c r="EL44" s="50">
        <f>IFERROR(LOOKUP(EL$18,HourlyTimeseries!$A:$A,HourlyTimeseries!$D:$D),"")</f>
        <v>0</v>
      </c>
      <c r="EM44" s="50">
        <f>IFERROR(LOOKUP(EM$18,HourlyTimeseries!$A:$A,HourlyTimeseries!$D:$D),"")</f>
        <v>0</v>
      </c>
      <c r="EN44" s="50">
        <f>IFERROR(LOOKUP(EN$18,HourlyTimeseries!$A:$A,HourlyTimeseries!$D:$D),"")</f>
        <v>0</v>
      </c>
      <c r="EO44" s="50">
        <f>IFERROR(LOOKUP(EO$18,HourlyTimeseries!$A:$A,HourlyTimeseries!$D:$D),"")</f>
        <v>0</v>
      </c>
      <c r="EP44" s="50">
        <f>IFERROR(LOOKUP(EP$18,HourlyTimeseries!$A:$A,HourlyTimeseries!$D:$D),"")</f>
        <v>0</v>
      </c>
      <c r="EQ44" s="50">
        <f>IFERROR(LOOKUP(EQ$18,HourlyTimeseries!$A:$A,HourlyTimeseries!$D:$D),"")</f>
        <v>0</v>
      </c>
      <c r="ER44" s="59">
        <f>IFERROR(LOOKUP(ER$18,HourlyTimeseries!$A:$A,HourlyTimeseries!$D:$D),"")</f>
        <v>0</v>
      </c>
      <c r="ES44" s="66">
        <f>IFERROR(LOOKUP(ES$18,HourlyTimeseries!$A:$A,HourlyTimeseries!$D:$D),"")</f>
        <v>0</v>
      </c>
      <c r="ET44" s="50">
        <f>IFERROR(LOOKUP(ET$18,HourlyTimeseries!$A:$A,HourlyTimeseries!$D:$D),"")</f>
        <v>0</v>
      </c>
      <c r="EU44" s="50">
        <f>IFERROR(LOOKUP(EU$18,HourlyTimeseries!$A:$A,HourlyTimeseries!$D:$D),"")</f>
        <v>0</v>
      </c>
      <c r="EV44" s="50">
        <f>IFERROR(LOOKUP(EV$18,HourlyTimeseries!$A:$A,HourlyTimeseries!$D:$D),"")</f>
        <v>0</v>
      </c>
      <c r="EW44" s="50">
        <f>IFERROR(LOOKUP(EW$18,HourlyTimeseries!$A:$A,HourlyTimeseries!$D:$D),"")</f>
        <v>0</v>
      </c>
      <c r="EX44" s="50">
        <f>IFERROR(LOOKUP(EX$18,HourlyTimeseries!$A:$A,HourlyTimeseries!$D:$D),"")</f>
        <v>0</v>
      </c>
      <c r="EY44" s="50">
        <f>IFERROR(LOOKUP(EY$18,HourlyTimeseries!$A:$A,HourlyTimeseries!$D:$D),"")</f>
        <v>0</v>
      </c>
      <c r="EZ44" s="50">
        <f>IFERROR(LOOKUP(EZ$18,HourlyTimeseries!$A:$A,HourlyTimeseries!$D:$D),"")</f>
        <v>0</v>
      </c>
      <c r="FA44" s="50">
        <f>IFERROR(LOOKUP(FA$18,HourlyTimeseries!$A:$A,HourlyTimeseries!$D:$D),"")</f>
        <v>0</v>
      </c>
      <c r="FB44" s="50">
        <f>IFERROR(LOOKUP(FB$18,HourlyTimeseries!$A:$A,HourlyTimeseries!$D:$D),"")</f>
        <v>0</v>
      </c>
      <c r="FC44" s="50">
        <f>IFERROR(LOOKUP(FC$18,HourlyTimeseries!$A:$A,HourlyTimeseries!$D:$D),"")</f>
        <v>0</v>
      </c>
      <c r="FD44" s="50">
        <f>IFERROR(LOOKUP(FD$18,HourlyTimeseries!$A:$A,HourlyTimeseries!$D:$D),"")</f>
        <v>0</v>
      </c>
      <c r="FE44" s="50">
        <f>IFERROR(LOOKUP(FE$18,HourlyTimeseries!$A:$A,HourlyTimeseries!$D:$D),"")</f>
        <v>0</v>
      </c>
      <c r="FF44" s="50">
        <f>IFERROR(LOOKUP(FF$18,HourlyTimeseries!$A:$A,HourlyTimeseries!$D:$D),"")</f>
        <v>0</v>
      </c>
      <c r="FG44" s="50">
        <f>IFERROR(LOOKUP(FG$18,HourlyTimeseries!$A:$A,HourlyTimeseries!$D:$D),"")</f>
        <v>0</v>
      </c>
      <c r="FH44" s="50">
        <f>IFERROR(LOOKUP(FH$18,HourlyTimeseries!$A:$A,HourlyTimeseries!$D:$D),"")</f>
        <v>0</v>
      </c>
      <c r="FI44" s="50">
        <f>IFERROR(LOOKUP(FI$18,HourlyTimeseries!$A:$A,HourlyTimeseries!$D:$D),"")</f>
        <v>0</v>
      </c>
      <c r="FJ44" s="50">
        <f>IFERROR(LOOKUP(FJ$18,HourlyTimeseries!$A:$A,HourlyTimeseries!$D:$D),"")</f>
        <v>0</v>
      </c>
      <c r="FK44" s="50">
        <f>IFERROR(LOOKUP(FK$18,HourlyTimeseries!$A:$A,HourlyTimeseries!$D:$D),"")</f>
        <v>0</v>
      </c>
      <c r="FL44" s="50">
        <f>IFERROR(LOOKUP(FL$18,HourlyTimeseries!$A:$A,HourlyTimeseries!$D:$D),"")</f>
        <v>0</v>
      </c>
      <c r="FM44" s="50">
        <f>IFERROR(LOOKUP(FM$18,HourlyTimeseries!$A:$A,HourlyTimeseries!$D:$D),"")</f>
        <v>0</v>
      </c>
      <c r="FN44" s="50">
        <f>IFERROR(LOOKUP(FN$18,HourlyTimeseries!$A:$A,HourlyTimeseries!$D:$D),"")</f>
        <v>0</v>
      </c>
      <c r="FO44" s="50">
        <f>IFERROR(LOOKUP(FO$18,HourlyTimeseries!$A:$A,HourlyTimeseries!$D:$D),"")</f>
        <v>0</v>
      </c>
      <c r="FP44" s="59">
        <f>IFERROR(LOOKUP(FP$18,HourlyTimeseries!$A:$A,HourlyTimeseries!$D:$D),"")</f>
        <v>0</v>
      </c>
    </row>
    <row r="45" spans="1:173">
      <c r="A45" s="15" t="s">
        <v>80</v>
      </c>
      <c r="B45" s="2" t="s">
        <v>74</v>
      </c>
      <c r="C45" s="8" t="s">
        <v>133</v>
      </c>
      <c r="D45" s="2"/>
      <c r="E45" s="50">
        <f>IFERROR(LOOKUP(E$18,HourlyTimeseries!$A:$A,HourlyTimeseries!$E:$E),"")</f>
        <v>700</v>
      </c>
      <c r="F45" s="50">
        <f>IFERROR(LOOKUP(F$18,HourlyTimeseries!$A:$A,HourlyTimeseries!$E:$E),"")</f>
        <v>700</v>
      </c>
      <c r="G45" s="50">
        <f>IFERROR(LOOKUP(G$18,HourlyTimeseries!$A:$A,HourlyTimeseries!$E:$E),"")</f>
        <v>700</v>
      </c>
      <c r="H45" s="50">
        <f>IFERROR(LOOKUP(H$18,HourlyTimeseries!$A:$A,HourlyTimeseries!$E:$E),"")</f>
        <v>700</v>
      </c>
      <c r="I45" s="50">
        <f>IFERROR(LOOKUP(I$18,HourlyTimeseries!$A:$A,HourlyTimeseries!$E:$E),"")</f>
        <v>700</v>
      </c>
      <c r="J45" s="50">
        <f>IFERROR(LOOKUP(J$18,HourlyTimeseries!$A:$A,HourlyTimeseries!$E:$E),"")</f>
        <v>700</v>
      </c>
      <c r="K45" s="50">
        <f>IFERROR(LOOKUP(K$18,HourlyTimeseries!$A:$A,HourlyTimeseries!$E:$E),"")</f>
        <v>700</v>
      </c>
      <c r="L45" s="50">
        <f>IFERROR(LOOKUP(L$18,HourlyTimeseries!$A:$A,HourlyTimeseries!$E:$E),"")</f>
        <v>700</v>
      </c>
      <c r="M45" s="50">
        <f>IFERROR(LOOKUP(M$18,HourlyTimeseries!$A:$A,HourlyTimeseries!$E:$E),"")</f>
        <v>700</v>
      </c>
      <c r="N45" s="50">
        <f>IFERROR(LOOKUP(N$18,HourlyTimeseries!$A:$A,HourlyTimeseries!$E:$E),"")</f>
        <v>700</v>
      </c>
      <c r="O45" s="50">
        <f>IFERROR(LOOKUP(O$18,HourlyTimeseries!$A:$A,HourlyTimeseries!$E:$E),"")</f>
        <v>700</v>
      </c>
      <c r="P45" s="50">
        <f>IFERROR(LOOKUP(P$18,HourlyTimeseries!$A:$A,HourlyTimeseries!$E:$E),"")</f>
        <v>700</v>
      </c>
      <c r="Q45" s="50">
        <f>IFERROR(LOOKUP(Q$18,HourlyTimeseries!$A:$A,HourlyTimeseries!$E:$E),"")</f>
        <v>700</v>
      </c>
      <c r="R45" s="50">
        <f>IFERROR(LOOKUP(R$18,HourlyTimeseries!$A:$A,HourlyTimeseries!$E:$E),"")</f>
        <v>700</v>
      </c>
      <c r="S45" s="50">
        <f>IFERROR(LOOKUP(S$18,HourlyTimeseries!$A:$A,HourlyTimeseries!$E:$E),"")</f>
        <v>700</v>
      </c>
      <c r="T45" s="50">
        <f>IFERROR(LOOKUP(T$18,HourlyTimeseries!$A:$A,HourlyTimeseries!$E:$E),"")</f>
        <v>700</v>
      </c>
      <c r="U45" s="50">
        <f>IFERROR(LOOKUP(U$18,HourlyTimeseries!$A:$A,HourlyTimeseries!$E:$E),"")</f>
        <v>700</v>
      </c>
      <c r="V45" s="50">
        <f>IFERROR(LOOKUP(V$18,HourlyTimeseries!$A:$A,HourlyTimeseries!$E:$E),"")</f>
        <v>700</v>
      </c>
      <c r="W45" s="50">
        <f>IFERROR(LOOKUP(W$18,HourlyTimeseries!$A:$A,HourlyTimeseries!$E:$E),"")</f>
        <v>700</v>
      </c>
      <c r="X45" s="50">
        <f>IFERROR(LOOKUP(X$18,HourlyTimeseries!$A:$A,HourlyTimeseries!$E:$E),"")</f>
        <v>700</v>
      </c>
      <c r="Y45" s="50">
        <f>IFERROR(LOOKUP(Y$18,HourlyTimeseries!$A:$A,HourlyTimeseries!$E:$E),"")</f>
        <v>700</v>
      </c>
      <c r="Z45" s="50">
        <f>IFERROR(LOOKUP(Z$18,HourlyTimeseries!$A:$A,HourlyTimeseries!$E:$E),"")</f>
        <v>700</v>
      </c>
      <c r="AA45" s="50">
        <f>IFERROR(LOOKUP(AA$18,HourlyTimeseries!$A:$A,HourlyTimeseries!$E:$E),"")</f>
        <v>700</v>
      </c>
      <c r="AB45" s="59">
        <f>IFERROR(LOOKUP(AB$18,HourlyTimeseries!$A:$A,HourlyTimeseries!$E:$E),"")</f>
        <v>700</v>
      </c>
      <c r="AC45" s="66">
        <f>IFERROR(LOOKUP(AC$18,HourlyTimeseries!$A:$A,HourlyTimeseries!$E:$E),"")</f>
        <v>700</v>
      </c>
      <c r="AD45" s="50">
        <f>IFERROR(LOOKUP(AD$18,HourlyTimeseries!$A:$A,HourlyTimeseries!$E:$E),"")</f>
        <v>700</v>
      </c>
      <c r="AE45" s="50">
        <f>IFERROR(LOOKUP(AE$18,HourlyTimeseries!$A:$A,HourlyTimeseries!$E:$E),"")</f>
        <v>700</v>
      </c>
      <c r="AF45" s="50">
        <f>IFERROR(LOOKUP(AF$18,HourlyTimeseries!$A:$A,HourlyTimeseries!$E:$E),"")</f>
        <v>700</v>
      </c>
      <c r="AG45" s="50">
        <f>IFERROR(LOOKUP(AG$18,HourlyTimeseries!$A:$A,HourlyTimeseries!$E:$E),"")</f>
        <v>700</v>
      </c>
      <c r="AH45" s="50">
        <f>IFERROR(LOOKUP(AH$18,HourlyTimeseries!$A:$A,HourlyTimeseries!$E:$E),"")</f>
        <v>700</v>
      </c>
      <c r="AI45" s="50">
        <f>IFERROR(LOOKUP(AI$18,HourlyTimeseries!$A:$A,HourlyTimeseries!$E:$E),"")</f>
        <v>700</v>
      </c>
      <c r="AJ45" s="50">
        <f>IFERROR(LOOKUP(AJ$18,HourlyTimeseries!$A:$A,HourlyTimeseries!$E:$E),"")</f>
        <v>700</v>
      </c>
      <c r="AK45" s="50">
        <f>IFERROR(LOOKUP(AK$18,HourlyTimeseries!$A:$A,HourlyTimeseries!$E:$E),"")</f>
        <v>700</v>
      </c>
      <c r="AL45" s="50">
        <f>IFERROR(LOOKUP(AL$18,HourlyTimeseries!$A:$A,HourlyTimeseries!$E:$E),"")</f>
        <v>700</v>
      </c>
      <c r="AM45" s="50">
        <f>IFERROR(LOOKUP(AM$18,HourlyTimeseries!$A:$A,HourlyTimeseries!$E:$E),"")</f>
        <v>700</v>
      </c>
      <c r="AN45" s="50">
        <f>IFERROR(LOOKUP(AN$18,HourlyTimeseries!$A:$A,HourlyTimeseries!$E:$E),"")</f>
        <v>700</v>
      </c>
      <c r="AO45" s="50">
        <f>IFERROR(LOOKUP(AO$18,HourlyTimeseries!$A:$A,HourlyTimeseries!$E:$E),"")</f>
        <v>700</v>
      </c>
      <c r="AP45" s="50">
        <f>IFERROR(LOOKUP(AP$18,HourlyTimeseries!$A:$A,HourlyTimeseries!$E:$E),"")</f>
        <v>700</v>
      </c>
      <c r="AQ45" s="50">
        <f>IFERROR(LOOKUP(AQ$18,HourlyTimeseries!$A:$A,HourlyTimeseries!$E:$E),"")</f>
        <v>700</v>
      </c>
      <c r="AR45" s="50">
        <f>IFERROR(LOOKUP(AR$18,HourlyTimeseries!$A:$A,HourlyTimeseries!$E:$E),"")</f>
        <v>700</v>
      </c>
      <c r="AS45" s="50">
        <f>IFERROR(LOOKUP(AS$18,HourlyTimeseries!$A:$A,HourlyTimeseries!$E:$E),"")</f>
        <v>700</v>
      </c>
      <c r="AT45" s="50">
        <f>IFERROR(LOOKUP(AT$18,HourlyTimeseries!$A:$A,HourlyTimeseries!$E:$E),"")</f>
        <v>700</v>
      </c>
      <c r="AU45" s="50">
        <f>IFERROR(LOOKUP(AU$18,HourlyTimeseries!$A:$A,HourlyTimeseries!$E:$E),"")</f>
        <v>700</v>
      </c>
      <c r="AV45" s="50">
        <f>IFERROR(LOOKUP(AV$18,HourlyTimeseries!$A:$A,HourlyTimeseries!$E:$E),"")</f>
        <v>700</v>
      </c>
      <c r="AW45" s="50">
        <f>IFERROR(LOOKUP(AW$18,HourlyTimeseries!$A:$A,HourlyTimeseries!$E:$E),"")</f>
        <v>700</v>
      </c>
      <c r="AX45" s="50">
        <f>IFERROR(LOOKUP(AX$18,HourlyTimeseries!$A:$A,HourlyTimeseries!$E:$E),"")</f>
        <v>700</v>
      </c>
      <c r="AY45" s="50">
        <f>IFERROR(LOOKUP(AY$18,HourlyTimeseries!$A:$A,HourlyTimeseries!$E:$E),"")</f>
        <v>700</v>
      </c>
      <c r="AZ45" s="59">
        <f>IFERROR(LOOKUP(AZ$18,HourlyTimeseries!$A:$A,HourlyTimeseries!$E:$E),"")</f>
        <v>700</v>
      </c>
      <c r="BA45" s="66">
        <f>IFERROR(LOOKUP(BA$18,HourlyTimeseries!$A:$A,HourlyTimeseries!$E:$E),"")</f>
        <v>700</v>
      </c>
      <c r="BB45" s="50">
        <f>IFERROR(LOOKUP(BB$18,HourlyTimeseries!$A:$A,HourlyTimeseries!$E:$E),"")</f>
        <v>700</v>
      </c>
      <c r="BC45" s="50">
        <f>IFERROR(LOOKUP(BC$18,HourlyTimeseries!$A:$A,HourlyTimeseries!$E:$E),"")</f>
        <v>700</v>
      </c>
      <c r="BD45" s="50">
        <f>IFERROR(LOOKUP(BD$18,HourlyTimeseries!$A:$A,HourlyTimeseries!$E:$E),"")</f>
        <v>700</v>
      </c>
      <c r="BE45" s="50">
        <f>IFERROR(LOOKUP(BE$18,HourlyTimeseries!$A:$A,HourlyTimeseries!$E:$E),"")</f>
        <v>700</v>
      </c>
      <c r="BF45" s="50">
        <f>IFERROR(LOOKUP(BF$18,HourlyTimeseries!$A:$A,HourlyTimeseries!$E:$E),"")</f>
        <v>700</v>
      </c>
      <c r="BG45" s="50">
        <f>IFERROR(LOOKUP(BG$18,HourlyTimeseries!$A:$A,HourlyTimeseries!$E:$E),"")</f>
        <v>700</v>
      </c>
      <c r="BH45" s="50">
        <f>IFERROR(LOOKUP(BH$18,HourlyTimeseries!$A:$A,HourlyTimeseries!$E:$E),"")</f>
        <v>700</v>
      </c>
      <c r="BI45" s="50">
        <f>IFERROR(LOOKUP(BI$18,HourlyTimeseries!$A:$A,HourlyTimeseries!$E:$E),"")</f>
        <v>700</v>
      </c>
      <c r="BJ45" s="50">
        <f>IFERROR(LOOKUP(BJ$18,HourlyTimeseries!$A:$A,HourlyTimeseries!$E:$E),"")</f>
        <v>700</v>
      </c>
      <c r="BK45" s="50">
        <f>IFERROR(LOOKUP(BK$18,HourlyTimeseries!$A:$A,HourlyTimeseries!$E:$E),"")</f>
        <v>700</v>
      </c>
      <c r="BL45" s="50">
        <f>IFERROR(LOOKUP(BL$18,HourlyTimeseries!$A:$A,HourlyTimeseries!$E:$E),"")</f>
        <v>700</v>
      </c>
      <c r="BM45" s="50">
        <f>IFERROR(LOOKUP(BM$18,HourlyTimeseries!$A:$A,HourlyTimeseries!$E:$E),"")</f>
        <v>700</v>
      </c>
      <c r="BN45" s="50">
        <f>IFERROR(LOOKUP(BN$18,HourlyTimeseries!$A:$A,HourlyTimeseries!$E:$E),"")</f>
        <v>700</v>
      </c>
      <c r="BO45" s="50">
        <f>IFERROR(LOOKUP(BO$18,HourlyTimeseries!$A:$A,HourlyTimeseries!$E:$E),"")</f>
        <v>700</v>
      </c>
      <c r="BP45" s="50">
        <f>IFERROR(LOOKUP(BP$18,HourlyTimeseries!$A:$A,HourlyTimeseries!$E:$E),"")</f>
        <v>700</v>
      </c>
      <c r="BQ45" s="50">
        <f>IFERROR(LOOKUP(BQ$18,HourlyTimeseries!$A:$A,HourlyTimeseries!$E:$E),"")</f>
        <v>700</v>
      </c>
      <c r="BR45" s="50">
        <f>IFERROR(LOOKUP(BR$18,HourlyTimeseries!$A:$A,HourlyTimeseries!$E:$E),"")</f>
        <v>700</v>
      </c>
      <c r="BS45" s="50">
        <f>IFERROR(LOOKUP(BS$18,HourlyTimeseries!$A:$A,HourlyTimeseries!$E:$E),"")</f>
        <v>700</v>
      </c>
      <c r="BT45" s="50">
        <f>IFERROR(LOOKUP(BT$18,HourlyTimeseries!$A:$A,HourlyTimeseries!$E:$E),"")</f>
        <v>700</v>
      </c>
      <c r="BU45" s="50">
        <f>IFERROR(LOOKUP(BU$18,HourlyTimeseries!$A:$A,HourlyTimeseries!$E:$E),"")</f>
        <v>700</v>
      </c>
      <c r="BV45" s="50">
        <f>IFERROR(LOOKUP(BV$18,HourlyTimeseries!$A:$A,HourlyTimeseries!$E:$E),"")</f>
        <v>700</v>
      </c>
      <c r="BW45" s="50">
        <f>IFERROR(LOOKUP(BW$18,HourlyTimeseries!$A:$A,HourlyTimeseries!$E:$E),"")</f>
        <v>700</v>
      </c>
      <c r="BX45" s="59">
        <f>IFERROR(LOOKUP(BX$18,HourlyTimeseries!$A:$A,HourlyTimeseries!$E:$E),"")</f>
        <v>700</v>
      </c>
      <c r="BY45" s="66">
        <f>IFERROR(LOOKUP(BY$18,HourlyTimeseries!$A:$A,HourlyTimeseries!$E:$E),"")</f>
        <v>700</v>
      </c>
      <c r="BZ45" s="50">
        <f>IFERROR(LOOKUP(BZ$18,HourlyTimeseries!$A:$A,HourlyTimeseries!$E:$E),"")</f>
        <v>700</v>
      </c>
      <c r="CA45" s="50">
        <f>IFERROR(LOOKUP(CA$18,HourlyTimeseries!$A:$A,HourlyTimeseries!$E:$E),"")</f>
        <v>700</v>
      </c>
      <c r="CB45" s="50">
        <f>IFERROR(LOOKUP(CB$18,HourlyTimeseries!$A:$A,HourlyTimeseries!$E:$E),"")</f>
        <v>700</v>
      </c>
      <c r="CC45" s="50">
        <f>IFERROR(LOOKUP(CC$18,HourlyTimeseries!$A:$A,HourlyTimeseries!$E:$E),"")</f>
        <v>700</v>
      </c>
      <c r="CD45" s="50">
        <f>IFERROR(LOOKUP(CD$18,HourlyTimeseries!$A:$A,HourlyTimeseries!$E:$E),"")</f>
        <v>700</v>
      </c>
      <c r="CE45" s="50">
        <f>IFERROR(LOOKUP(CE$18,HourlyTimeseries!$A:$A,HourlyTimeseries!$E:$E),"")</f>
        <v>700</v>
      </c>
      <c r="CF45" s="50">
        <f>IFERROR(LOOKUP(CF$18,HourlyTimeseries!$A:$A,HourlyTimeseries!$E:$E),"")</f>
        <v>700</v>
      </c>
      <c r="CG45" s="50">
        <f>IFERROR(LOOKUP(CG$18,HourlyTimeseries!$A:$A,HourlyTimeseries!$E:$E),"")</f>
        <v>700</v>
      </c>
      <c r="CH45" s="50">
        <f>IFERROR(LOOKUP(CH$18,HourlyTimeseries!$A:$A,HourlyTimeseries!$E:$E),"")</f>
        <v>700</v>
      </c>
      <c r="CI45" s="50">
        <f>IFERROR(LOOKUP(CI$18,HourlyTimeseries!$A:$A,HourlyTimeseries!$E:$E),"")</f>
        <v>700</v>
      </c>
      <c r="CJ45" s="50">
        <f>IFERROR(LOOKUP(CJ$18,HourlyTimeseries!$A:$A,HourlyTimeseries!$E:$E),"")</f>
        <v>700</v>
      </c>
      <c r="CK45" s="50">
        <f>IFERROR(LOOKUP(CK$18,HourlyTimeseries!$A:$A,HourlyTimeseries!$E:$E),"")</f>
        <v>700</v>
      </c>
      <c r="CL45" s="50">
        <f>IFERROR(LOOKUP(CL$18,HourlyTimeseries!$A:$A,HourlyTimeseries!$E:$E),"")</f>
        <v>700</v>
      </c>
      <c r="CM45" s="50">
        <f>IFERROR(LOOKUP(CM$18,HourlyTimeseries!$A:$A,HourlyTimeseries!$E:$E),"")</f>
        <v>700</v>
      </c>
      <c r="CN45" s="50">
        <f>IFERROR(LOOKUP(CN$18,HourlyTimeseries!$A:$A,HourlyTimeseries!$E:$E),"")</f>
        <v>700</v>
      </c>
      <c r="CO45" s="50">
        <f>IFERROR(LOOKUP(CO$18,HourlyTimeseries!$A:$A,HourlyTimeseries!$E:$E),"")</f>
        <v>700</v>
      </c>
      <c r="CP45" s="50">
        <f>IFERROR(LOOKUP(CP$18,HourlyTimeseries!$A:$A,HourlyTimeseries!$E:$E),"")</f>
        <v>700</v>
      </c>
      <c r="CQ45" s="50">
        <f>IFERROR(LOOKUP(CQ$18,HourlyTimeseries!$A:$A,HourlyTimeseries!$E:$E),"")</f>
        <v>700</v>
      </c>
      <c r="CR45" s="50">
        <f>IFERROR(LOOKUP(CR$18,HourlyTimeseries!$A:$A,HourlyTimeseries!$E:$E),"")</f>
        <v>700</v>
      </c>
      <c r="CS45" s="50">
        <f>IFERROR(LOOKUP(CS$18,HourlyTimeseries!$A:$A,HourlyTimeseries!$E:$E),"")</f>
        <v>700</v>
      </c>
      <c r="CT45" s="50">
        <f>IFERROR(LOOKUP(CT$18,HourlyTimeseries!$A:$A,HourlyTimeseries!$E:$E),"")</f>
        <v>700</v>
      </c>
      <c r="CU45" s="50">
        <f>IFERROR(LOOKUP(CU$18,HourlyTimeseries!$A:$A,HourlyTimeseries!$E:$E),"")</f>
        <v>700</v>
      </c>
      <c r="CV45" s="59">
        <f>IFERROR(LOOKUP(CV$18,HourlyTimeseries!$A:$A,HourlyTimeseries!$E:$E),"")</f>
        <v>700</v>
      </c>
      <c r="CW45" s="66">
        <f>IFERROR(LOOKUP(CW$18,HourlyTimeseries!$A:$A,HourlyTimeseries!$E:$E),"")</f>
        <v>700</v>
      </c>
      <c r="CX45" s="50">
        <f>IFERROR(LOOKUP(CX$18,HourlyTimeseries!$A:$A,HourlyTimeseries!$E:$E),"")</f>
        <v>700</v>
      </c>
      <c r="CY45" s="50">
        <f>IFERROR(LOOKUP(CY$18,HourlyTimeseries!$A:$A,HourlyTimeseries!$E:$E),"")</f>
        <v>700</v>
      </c>
      <c r="CZ45" s="50">
        <f>IFERROR(LOOKUP(CZ$18,HourlyTimeseries!$A:$A,HourlyTimeseries!$E:$E),"")</f>
        <v>700</v>
      </c>
      <c r="DA45" s="50">
        <f>IFERROR(LOOKUP(DA$18,HourlyTimeseries!$A:$A,HourlyTimeseries!$E:$E),"")</f>
        <v>700</v>
      </c>
      <c r="DB45" s="50">
        <f>IFERROR(LOOKUP(DB$18,HourlyTimeseries!$A:$A,HourlyTimeseries!$E:$E),"")</f>
        <v>700</v>
      </c>
      <c r="DC45" s="50">
        <f>IFERROR(LOOKUP(DC$18,HourlyTimeseries!$A:$A,HourlyTimeseries!$E:$E),"")</f>
        <v>700</v>
      </c>
      <c r="DD45" s="50">
        <f>IFERROR(LOOKUP(DD$18,HourlyTimeseries!$A:$A,HourlyTimeseries!$E:$E),"")</f>
        <v>700</v>
      </c>
      <c r="DE45" s="50">
        <f>IFERROR(LOOKUP(DE$18,HourlyTimeseries!$A:$A,HourlyTimeseries!$E:$E),"")</f>
        <v>700</v>
      </c>
      <c r="DF45" s="50">
        <f>IFERROR(LOOKUP(DF$18,HourlyTimeseries!$A:$A,HourlyTimeseries!$E:$E),"")</f>
        <v>700</v>
      </c>
      <c r="DG45" s="50">
        <f>IFERROR(LOOKUP(DG$18,HourlyTimeseries!$A:$A,HourlyTimeseries!$E:$E),"")</f>
        <v>700</v>
      </c>
      <c r="DH45" s="50">
        <f>IFERROR(LOOKUP(DH$18,HourlyTimeseries!$A:$A,HourlyTimeseries!$E:$E),"")</f>
        <v>700</v>
      </c>
      <c r="DI45" s="50">
        <f>IFERROR(LOOKUP(DI$18,HourlyTimeseries!$A:$A,HourlyTimeseries!$E:$E),"")</f>
        <v>700</v>
      </c>
      <c r="DJ45" s="50">
        <f>IFERROR(LOOKUP(DJ$18,HourlyTimeseries!$A:$A,HourlyTimeseries!$E:$E),"")</f>
        <v>700</v>
      </c>
      <c r="DK45" s="50">
        <f>IFERROR(LOOKUP(DK$18,HourlyTimeseries!$A:$A,HourlyTimeseries!$E:$E),"")</f>
        <v>700</v>
      </c>
      <c r="DL45" s="50">
        <f>IFERROR(LOOKUP(DL$18,HourlyTimeseries!$A:$A,HourlyTimeseries!$E:$E),"")</f>
        <v>700</v>
      </c>
      <c r="DM45" s="50">
        <f>IFERROR(LOOKUP(DM$18,HourlyTimeseries!$A:$A,HourlyTimeseries!$E:$E),"")</f>
        <v>700</v>
      </c>
      <c r="DN45" s="50">
        <f>IFERROR(LOOKUP(DN$18,HourlyTimeseries!$A:$A,HourlyTimeseries!$E:$E),"")</f>
        <v>700</v>
      </c>
      <c r="DO45" s="50">
        <f>IFERROR(LOOKUP(DO$18,HourlyTimeseries!$A:$A,HourlyTimeseries!$E:$E),"")</f>
        <v>700</v>
      </c>
      <c r="DP45" s="50">
        <f>IFERROR(LOOKUP(DP$18,HourlyTimeseries!$A:$A,HourlyTimeseries!$E:$E),"")</f>
        <v>700</v>
      </c>
      <c r="DQ45" s="50">
        <f>IFERROR(LOOKUP(DQ$18,HourlyTimeseries!$A:$A,HourlyTimeseries!$E:$E),"")</f>
        <v>700</v>
      </c>
      <c r="DR45" s="50">
        <f>IFERROR(LOOKUP(DR$18,HourlyTimeseries!$A:$A,HourlyTimeseries!$E:$E),"")</f>
        <v>700</v>
      </c>
      <c r="DS45" s="50">
        <f>IFERROR(LOOKUP(DS$18,HourlyTimeseries!$A:$A,HourlyTimeseries!$E:$E),"")</f>
        <v>700</v>
      </c>
      <c r="DT45" s="59">
        <f>IFERROR(LOOKUP(DT$18,HourlyTimeseries!$A:$A,HourlyTimeseries!$E:$E),"")</f>
        <v>700</v>
      </c>
      <c r="DU45" s="66">
        <f>IFERROR(LOOKUP(DU$18,HourlyTimeseries!$A:$A,HourlyTimeseries!$E:$E),"")</f>
        <v>700</v>
      </c>
      <c r="DV45" s="50">
        <f>IFERROR(LOOKUP(DV$18,HourlyTimeseries!$A:$A,HourlyTimeseries!$E:$E),"")</f>
        <v>700</v>
      </c>
      <c r="DW45" s="50">
        <f>IFERROR(LOOKUP(DW$18,HourlyTimeseries!$A:$A,HourlyTimeseries!$E:$E),"")</f>
        <v>700</v>
      </c>
      <c r="DX45" s="50">
        <f>IFERROR(LOOKUP(DX$18,HourlyTimeseries!$A:$A,HourlyTimeseries!$E:$E),"")</f>
        <v>700</v>
      </c>
      <c r="DY45" s="50">
        <f>IFERROR(LOOKUP(DY$18,HourlyTimeseries!$A:$A,HourlyTimeseries!$E:$E),"")</f>
        <v>700</v>
      </c>
      <c r="DZ45" s="50">
        <f>IFERROR(LOOKUP(DZ$18,HourlyTimeseries!$A:$A,HourlyTimeseries!$E:$E),"")</f>
        <v>700</v>
      </c>
      <c r="EA45" s="50">
        <f>IFERROR(LOOKUP(EA$18,HourlyTimeseries!$A:$A,HourlyTimeseries!$E:$E),"")</f>
        <v>700</v>
      </c>
      <c r="EB45" s="50">
        <f>IFERROR(LOOKUP(EB$18,HourlyTimeseries!$A:$A,HourlyTimeseries!$E:$E),"")</f>
        <v>700</v>
      </c>
      <c r="EC45" s="50">
        <f>IFERROR(LOOKUP(EC$18,HourlyTimeseries!$A:$A,HourlyTimeseries!$E:$E),"")</f>
        <v>700</v>
      </c>
      <c r="ED45" s="50">
        <f>IFERROR(LOOKUP(ED$18,HourlyTimeseries!$A:$A,HourlyTimeseries!$E:$E),"")</f>
        <v>700</v>
      </c>
      <c r="EE45" s="50">
        <f>IFERROR(LOOKUP(EE$18,HourlyTimeseries!$A:$A,HourlyTimeseries!$E:$E),"")</f>
        <v>700</v>
      </c>
      <c r="EF45" s="50">
        <f>IFERROR(LOOKUP(EF$18,HourlyTimeseries!$A:$A,HourlyTimeseries!$E:$E),"")</f>
        <v>700</v>
      </c>
      <c r="EG45" s="50">
        <f>IFERROR(LOOKUP(EG$18,HourlyTimeseries!$A:$A,HourlyTimeseries!$E:$E),"")</f>
        <v>700</v>
      </c>
      <c r="EH45" s="50">
        <f>IFERROR(LOOKUP(EH$18,HourlyTimeseries!$A:$A,HourlyTimeseries!$E:$E),"")</f>
        <v>700</v>
      </c>
      <c r="EI45" s="50">
        <f>IFERROR(LOOKUP(EI$18,HourlyTimeseries!$A:$A,HourlyTimeseries!$E:$E),"")</f>
        <v>700</v>
      </c>
      <c r="EJ45" s="50">
        <f>IFERROR(LOOKUP(EJ$18,HourlyTimeseries!$A:$A,HourlyTimeseries!$E:$E),"")</f>
        <v>700</v>
      </c>
      <c r="EK45" s="50">
        <f>IFERROR(LOOKUP(EK$18,HourlyTimeseries!$A:$A,HourlyTimeseries!$E:$E),"")</f>
        <v>700</v>
      </c>
      <c r="EL45" s="50">
        <f>IFERROR(LOOKUP(EL$18,HourlyTimeseries!$A:$A,HourlyTimeseries!$E:$E),"")</f>
        <v>700</v>
      </c>
      <c r="EM45" s="50">
        <f>IFERROR(LOOKUP(EM$18,HourlyTimeseries!$A:$A,HourlyTimeseries!$E:$E),"")</f>
        <v>700</v>
      </c>
      <c r="EN45" s="50">
        <f>IFERROR(LOOKUP(EN$18,HourlyTimeseries!$A:$A,HourlyTimeseries!$E:$E),"")</f>
        <v>700</v>
      </c>
      <c r="EO45" s="50">
        <f>IFERROR(LOOKUP(EO$18,HourlyTimeseries!$A:$A,HourlyTimeseries!$E:$E),"")</f>
        <v>700</v>
      </c>
      <c r="EP45" s="50">
        <f>IFERROR(LOOKUP(EP$18,HourlyTimeseries!$A:$A,HourlyTimeseries!$E:$E),"")</f>
        <v>700</v>
      </c>
      <c r="EQ45" s="50">
        <f>IFERROR(LOOKUP(EQ$18,HourlyTimeseries!$A:$A,HourlyTimeseries!$E:$E),"")</f>
        <v>700</v>
      </c>
      <c r="ER45" s="59">
        <f>IFERROR(LOOKUP(ER$18,HourlyTimeseries!$A:$A,HourlyTimeseries!$E:$E),"")</f>
        <v>700</v>
      </c>
      <c r="ES45" s="66">
        <f>IFERROR(LOOKUP(ES$18,HourlyTimeseries!$A:$A,HourlyTimeseries!$E:$E),"")</f>
        <v>700</v>
      </c>
      <c r="ET45" s="50">
        <f>IFERROR(LOOKUP(ET$18,HourlyTimeseries!$A:$A,HourlyTimeseries!$E:$E),"")</f>
        <v>700</v>
      </c>
      <c r="EU45" s="50">
        <f>IFERROR(LOOKUP(EU$18,HourlyTimeseries!$A:$A,HourlyTimeseries!$E:$E),"")</f>
        <v>700</v>
      </c>
      <c r="EV45" s="50">
        <f>IFERROR(LOOKUP(EV$18,HourlyTimeseries!$A:$A,HourlyTimeseries!$E:$E),"")</f>
        <v>700</v>
      </c>
      <c r="EW45" s="50">
        <f>IFERROR(LOOKUP(EW$18,HourlyTimeseries!$A:$A,HourlyTimeseries!$E:$E),"")</f>
        <v>700</v>
      </c>
      <c r="EX45" s="50">
        <f>IFERROR(LOOKUP(EX$18,HourlyTimeseries!$A:$A,HourlyTimeseries!$E:$E),"")</f>
        <v>700</v>
      </c>
      <c r="EY45" s="50">
        <f>IFERROR(LOOKUP(EY$18,HourlyTimeseries!$A:$A,HourlyTimeseries!$E:$E),"")</f>
        <v>700</v>
      </c>
      <c r="EZ45" s="50">
        <f>IFERROR(LOOKUP(EZ$18,HourlyTimeseries!$A:$A,HourlyTimeseries!$E:$E),"")</f>
        <v>700</v>
      </c>
      <c r="FA45" s="50">
        <f>IFERROR(LOOKUP(FA$18,HourlyTimeseries!$A:$A,HourlyTimeseries!$E:$E),"")</f>
        <v>700</v>
      </c>
      <c r="FB45" s="50">
        <f>IFERROR(LOOKUP(FB$18,HourlyTimeseries!$A:$A,HourlyTimeseries!$E:$E),"")</f>
        <v>700</v>
      </c>
      <c r="FC45" s="50">
        <f>IFERROR(LOOKUP(FC$18,HourlyTimeseries!$A:$A,HourlyTimeseries!$E:$E),"")</f>
        <v>700</v>
      </c>
      <c r="FD45" s="50">
        <f>IFERROR(LOOKUP(FD$18,HourlyTimeseries!$A:$A,HourlyTimeseries!$E:$E),"")</f>
        <v>700</v>
      </c>
      <c r="FE45" s="50">
        <f>IFERROR(LOOKUP(FE$18,HourlyTimeseries!$A:$A,HourlyTimeseries!$E:$E),"")</f>
        <v>700</v>
      </c>
      <c r="FF45" s="50">
        <f>IFERROR(LOOKUP(FF$18,HourlyTimeseries!$A:$A,HourlyTimeseries!$E:$E),"")</f>
        <v>700</v>
      </c>
      <c r="FG45" s="50">
        <f>IFERROR(LOOKUP(FG$18,HourlyTimeseries!$A:$A,HourlyTimeseries!$E:$E),"")</f>
        <v>700</v>
      </c>
      <c r="FH45" s="50">
        <f>IFERROR(LOOKUP(FH$18,HourlyTimeseries!$A:$A,HourlyTimeseries!$E:$E),"")</f>
        <v>700</v>
      </c>
      <c r="FI45" s="50">
        <f>IFERROR(LOOKUP(FI$18,HourlyTimeseries!$A:$A,HourlyTimeseries!$E:$E),"")</f>
        <v>700</v>
      </c>
      <c r="FJ45" s="50">
        <f>IFERROR(LOOKUP(FJ$18,HourlyTimeseries!$A:$A,HourlyTimeseries!$E:$E),"")</f>
        <v>700</v>
      </c>
      <c r="FK45" s="50">
        <f>IFERROR(LOOKUP(FK$18,HourlyTimeseries!$A:$A,HourlyTimeseries!$E:$E),"")</f>
        <v>700</v>
      </c>
      <c r="FL45" s="50">
        <f>IFERROR(LOOKUP(FL$18,HourlyTimeseries!$A:$A,HourlyTimeseries!$E:$E),"")</f>
        <v>700</v>
      </c>
      <c r="FM45" s="50">
        <f>IFERROR(LOOKUP(FM$18,HourlyTimeseries!$A:$A,HourlyTimeseries!$E:$E),"")</f>
        <v>700</v>
      </c>
      <c r="FN45" s="50">
        <f>IFERROR(LOOKUP(FN$18,HourlyTimeseries!$A:$A,HourlyTimeseries!$E:$E),"")</f>
        <v>700</v>
      </c>
      <c r="FO45" s="50">
        <f>IFERROR(LOOKUP(FO$18,HourlyTimeseries!$A:$A,HourlyTimeseries!$E:$E),"")</f>
        <v>700</v>
      </c>
      <c r="FP45" s="59">
        <f>IFERROR(LOOKUP(FP$18,HourlyTimeseries!$A:$A,HourlyTimeseries!$E:$E),"")</f>
        <v>700</v>
      </c>
    </row>
    <row r="46" spans="1:173">
      <c r="A46" s="15" t="s">
        <v>81</v>
      </c>
      <c r="B46" s="2" t="s">
        <v>75</v>
      </c>
      <c r="C46" s="8" t="s">
        <v>133</v>
      </c>
      <c r="D46" s="2"/>
      <c r="E46" s="50">
        <f>IFERROR(LOOKUP(E$18,HourlyTimeseries!$A:$A,HourlyTimeseries!$F:$F),"")</f>
        <v>15000</v>
      </c>
      <c r="F46" s="50">
        <f>IFERROR(LOOKUP(F$18,HourlyTimeseries!$A:$A,HourlyTimeseries!$F:$F),"")</f>
        <v>15000</v>
      </c>
      <c r="G46" s="50">
        <f>IFERROR(LOOKUP(G$18,HourlyTimeseries!$A:$A,HourlyTimeseries!$F:$F),"")</f>
        <v>15000</v>
      </c>
      <c r="H46" s="50">
        <f>IFERROR(LOOKUP(H$18,HourlyTimeseries!$A:$A,HourlyTimeseries!$F:$F),"")</f>
        <v>15000</v>
      </c>
      <c r="I46" s="50">
        <f>IFERROR(LOOKUP(I$18,HourlyTimeseries!$A:$A,HourlyTimeseries!$F:$F),"")</f>
        <v>15000</v>
      </c>
      <c r="J46" s="50">
        <f>IFERROR(LOOKUP(J$18,HourlyTimeseries!$A:$A,HourlyTimeseries!$F:$F),"")</f>
        <v>15000</v>
      </c>
      <c r="K46" s="50">
        <f>IFERROR(LOOKUP(K$18,HourlyTimeseries!$A:$A,HourlyTimeseries!$F:$F),"")</f>
        <v>15000</v>
      </c>
      <c r="L46" s="50">
        <f>IFERROR(LOOKUP(L$18,HourlyTimeseries!$A:$A,HourlyTimeseries!$F:$F),"")</f>
        <v>15000</v>
      </c>
      <c r="M46" s="50">
        <f>IFERROR(LOOKUP(M$18,HourlyTimeseries!$A:$A,HourlyTimeseries!$F:$F),"")</f>
        <v>15000</v>
      </c>
      <c r="N46" s="50">
        <f>IFERROR(LOOKUP(N$18,HourlyTimeseries!$A:$A,HourlyTimeseries!$F:$F),"")</f>
        <v>15000</v>
      </c>
      <c r="O46" s="50">
        <f>IFERROR(LOOKUP(O$18,HourlyTimeseries!$A:$A,HourlyTimeseries!$F:$F),"")</f>
        <v>15000</v>
      </c>
      <c r="P46" s="50">
        <f>IFERROR(LOOKUP(P$18,HourlyTimeseries!$A:$A,HourlyTimeseries!$F:$F),"")</f>
        <v>15000</v>
      </c>
      <c r="Q46" s="50">
        <f>IFERROR(LOOKUP(Q$18,HourlyTimeseries!$A:$A,HourlyTimeseries!$F:$F),"")</f>
        <v>15000</v>
      </c>
      <c r="R46" s="50">
        <f>IFERROR(LOOKUP(R$18,HourlyTimeseries!$A:$A,HourlyTimeseries!$F:$F),"")</f>
        <v>15000</v>
      </c>
      <c r="S46" s="50">
        <f>IFERROR(LOOKUP(S$18,HourlyTimeseries!$A:$A,HourlyTimeseries!$F:$F),"")</f>
        <v>15000</v>
      </c>
      <c r="T46" s="50">
        <f>IFERROR(LOOKUP(T$18,HourlyTimeseries!$A:$A,HourlyTimeseries!$F:$F),"")</f>
        <v>15000</v>
      </c>
      <c r="U46" s="50">
        <f>IFERROR(LOOKUP(U$18,HourlyTimeseries!$A:$A,HourlyTimeseries!$F:$F),"")</f>
        <v>15000</v>
      </c>
      <c r="V46" s="50">
        <f>IFERROR(LOOKUP(V$18,HourlyTimeseries!$A:$A,HourlyTimeseries!$F:$F),"")</f>
        <v>15000</v>
      </c>
      <c r="W46" s="50">
        <f>IFERROR(LOOKUP(W$18,HourlyTimeseries!$A:$A,HourlyTimeseries!$F:$F),"")</f>
        <v>15000</v>
      </c>
      <c r="X46" s="50">
        <f>IFERROR(LOOKUP(X$18,HourlyTimeseries!$A:$A,HourlyTimeseries!$F:$F),"")</f>
        <v>15000</v>
      </c>
      <c r="Y46" s="50">
        <f>IFERROR(LOOKUP(Y$18,HourlyTimeseries!$A:$A,HourlyTimeseries!$F:$F),"")</f>
        <v>15000</v>
      </c>
      <c r="Z46" s="50">
        <f>IFERROR(LOOKUP(Z$18,HourlyTimeseries!$A:$A,HourlyTimeseries!$F:$F),"")</f>
        <v>15000</v>
      </c>
      <c r="AA46" s="50">
        <f>IFERROR(LOOKUP(AA$18,HourlyTimeseries!$A:$A,HourlyTimeseries!$F:$F),"")</f>
        <v>15000</v>
      </c>
      <c r="AB46" s="59">
        <f>IFERROR(LOOKUP(AB$18,HourlyTimeseries!$A:$A,HourlyTimeseries!$F:$F),"")</f>
        <v>15000</v>
      </c>
      <c r="AC46" s="66">
        <f>IFERROR(LOOKUP(AC$18,HourlyTimeseries!$A:$A,HourlyTimeseries!$F:$F),"")</f>
        <v>15000</v>
      </c>
      <c r="AD46" s="50">
        <f>IFERROR(LOOKUP(AD$18,HourlyTimeseries!$A:$A,HourlyTimeseries!$F:$F),"")</f>
        <v>15000</v>
      </c>
      <c r="AE46" s="50">
        <f>IFERROR(LOOKUP(AE$18,HourlyTimeseries!$A:$A,HourlyTimeseries!$F:$F),"")</f>
        <v>15000</v>
      </c>
      <c r="AF46" s="50">
        <f>IFERROR(LOOKUP(AF$18,HourlyTimeseries!$A:$A,HourlyTimeseries!$F:$F),"")</f>
        <v>15000</v>
      </c>
      <c r="AG46" s="50">
        <f>IFERROR(LOOKUP(AG$18,HourlyTimeseries!$A:$A,HourlyTimeseries!$F:$F),"")</f>
        <v>15000</v>
      </c>
      <c r="AH46" s="50">
        <f>IFERROR(LOOKUP(AH$18,HourlyTimeseries!$A:$A,HourlyTimeseries!$F:$F),"")</f>
        <v>15000</v>
      </c>
      <c r="AI46" s="50">
        <f>IFERROR(LOOKUP(AI$18,HourlyTimeseries!$A:$A,HourlyTimeseries!$F:$F),"")</f>
        <v>15000</v>
      </c>
      <c r="AJ46" s="50">
        <f>IFERROR(LOOKUP(AJ$18,HourlyTimeseries!$A:$A,HourlyTimeseries!$F:$F),"")</f>
        <v>15000</v>
      </c>
      <c r="AK46" s="50">
        <f>IFERROR(LOOKUP(AK$18,HourlyTimeseries!$A:$A,HourlyTimeseries!$F:$F),"")</f>
        <v>15000</v>
      </c>
      <c r="AL46" s="50">
        <f>IFERROR(LOOKUP(AL$18,HourlyTimeseries!$A:$A,HourlyTimeseries!$F:$F),"")</f>
        <v>15000</v>
      </c>
      <c r="AM46" s="50">
        <f>IFERROR(LOOKUP(AM$18,HourlyTimeseries!$A:$A,HourlyTimeseries!$F:$F),"")</f>
        <v>15000</v>
      </c>
      <c r="AN46" s="50">
        <f>IFERROR(LOOKUP(AN$18,HourlyTimeseries!$A:$A,HourlyTimeseries!$F:$F),"")</f>
        <v>15000</v>
      </c>
      <c r="AO46" s="50">
        <f>IFERROR(LOOKUP(AO$18,HourlyTimeseries!$A:$A,HourlyTimeseries!$F:$F),"")</f>
        <v>15000</v>
      </c>
      <c r="AP46" s="50">
        <f>IFERROR(LOOKUP(AP$18,HourlyTimeseries!$A:$A,HourlyTimeseries!$F:$F),"")</f>
        <v>15000</v>
      </c>
      <c r="AQ46" s="50">
        <f>IFERROR(LOOKUP(AQ$18,HourlyTimeseries!$A:$A,HourlyTimeseries!$F:$F),"")</f>
        <v>15000</v>
      </c>
      <c r="AR46" s="50">
        <f>IFERROR(LOOKUP(AR$18,HourlyTimeseries!$A:$A,HourlyTimeseries!$F:$F),"")</f>
        <v>15000</v>
      </c>
      <c r="AS46" s="50">
        <f>IFERROR(LOOKUP(AS$18,HourlyTimeseries!$A:$A,HourlyTimeseries!$F:$F),"")</f>
        <v>15000</v>
      </c>
      <c r="AT46" s="50">
        <f>IFERROR(LOOKUP(AT$18,HourlyTimeseries!$A:$A,HourlyTimeseries!$F:$F),"")</f>
        <v>15000</v>
      </c>
      <c r="AU46" s="50">
        <f>IFERROR(LOOKUP(AU$18,HourlyTimeseries!$A:$A,HourlyTimeseries!$F:$F),"")</f>
        <v>15000</v>
      </c>
      <c r="AV46" s="50">
        <f>IFERROR(LOOKUP(AV$18,HourlyTimeseries!$A:$A,HourlyTimeseries!$F:$F),"")</f>
        <v>15000</v>
      </c>
      <c r="AW46" s="50">
        <f>IFERROR(LOOKUP(AW$18,HourlyTimeseries!$A:$A,HourlyTimeseries!$F:$F),"")</f>
        <v>15000</v>
      </c>
      <c r="AX46" s="50">
        <f>IFERROR(LOOKUP(AX$18,HourlyTimeseries!$A:$A,HourlyTimeseries!$F:$F),"")</f>
        <v>15000</v>
      </c>
      <c r="AY46" s="50">
        <f>IFERROR(LOOKUP(AY$18,HourlyTimeseries!$A:$A,HourlyTimeseries!$F:$F),"")</f>
        <v>15000</v>
      </c>
      <c r="AZ46" s="59">
        <f>IFERROR(LOOKUP(AZ$18,HourlyTimeseries!$A:$A,HourlyTimeseries!$F:$F),"")</f>
        <v>15000</v>
      </c>
      <c r="BA46" s="66">
        <f>IFERROR(LOOKUP(BA$18,HourlyTimeseries!$A:$A,HourlyTimeseries!$F:$F),"")</f>
        <v>15000</v>
      </c>
      <c r="BB46" s="50">
        <f>IFERROR(LOOKUP(BB$18,HourlyTimeseries!$A:$A,HourlyTimeseries!$F:$F),"")</f>
        <v>15000</v>
      </c>
      <c r="BC46" s="50">
        <f>IFERROR(LOOKUP(BC$18,HourlyTimeseries!$A:$A,HourlyTimeseries!$F:$F),"")</f>
        <v>15000</v>
      </c>
      <c r="BD46" s="50">
        <f>IFERROR(LOOKUP(BD$18,HourlyTimeseries!$A:$A,HourlyTimeseries!$F:$F),"")</f>
        <v>15000</v>
      </c>
      <c r="BE46" s="50">
        <f>IFERROR(LOOKUP(BE$18,HourlyTimeseries!$A:$A,HourlyTimeseries!$F:$F),"")</f>
        <v>15000</v>
      </c>
      <c r="BF46" s="50">
        <f>IFERROR(LOOKUP(BF$18,HourlyTimeseries!$A:$A,HourlyTimeseries!$F:$F),"")</f>
        <v>15000</v>
      </c>
      <c r="BG46" s="50">
        <f>IFERROR(LOOKUP(BG$18,HourlyTimeseries!$A:$A,HourlyTimeseries!$F:$F),"")</f>
        <v>15000</v>
      </c>
      <c r="BH46" s="50">
        <f>IFERROR(LOOKUP(BH$18,HourlyTimeseries!$A:$A,HourlyTimeseries!$F:$F),"")</f>
        <v>15000</v>
      </c>
      <c r="BI46" s="50">
        <f>IFERROR(LOOKUP(BI$18,HourlyTimeseries!$A:$A,HourlyTimeseries!$F:$F),"")</f>
        <v>15000</v>
      </c>
      <c r="BJ46" s="50">
        <f>IFERROR(LOOKUP(BJ$18,HourlyTimeseries!$A:$A,HourlyTimeseries!$F:$F),"")</f>
        <v>15000</v>
      </c>
      <c r="BK46" s="50">
        <f>IFERROR(LOOKUP(BK$18,HourlyTimeseries!$A:$A,HourlyTimeseries!$F:$F),"")</f>
        <v>15000</v>
      </c>
      <c r="BL46" s="50">
        <f>IFERROR(LOOKUP(BL$18,HourlyTimeseries!$A:$A,HourlyTimeseries!$F:$F),"")</f>
        <v>15000</v>
      </c>
      <c r="BM46" s="50">
        <f>IFERROR(LOOKUP(BM$18,HourlyTimeseries!$A:$A,HourlyTimeseries!$F:$F),"")</f>
        <v>15000</v>
      </c>
      <c r="BN46" s="50">
        <f>IFERROR(LOOKUP(BN$18,HourlyTimeseries!$A:$A,HourlyTimeseries!$F:$F),"")</f>
        <v>15000</v>
      </c>
      <c r="BO46" s="50">
        <f>IFERROR(LOOKUP(BO$18,HourlyTimeseries!$A:$A,HourlyTimeseries!$F:$F),"")</f>
        <v>15000</v>
      </c>
      <c r="BP46" s="50">
        <f>IFERROR(LOOKUP(BP$18,HourlyTimeseries!$A:$A,HourlyTimeseries!$F:$F),"")</f>
        <v>15000</v>
      </c>
      <c r="BQ46" s="50">
        <f>IFERROR(LOOKUP(BQ$18,HourlyTimeseries!$A:$A,HourlyTimeseries!$F:$F),"")</f>
        <v>15000</v>
      </c>
      <c r="BR46" s="50">
        <f>IFERROR(LOOKUP(BR$18,HourlyTimeseries!$A:$A,HourlyTimeseries!$F:$F),"")</f>
        <v>15000</v>
      </c>
      <c r="BS46" s="50">
        <f>IFERROR(LOOKUP(BS$18,HourlyTimeseries!$A:$A,HourlyTimeseries!$F:$F),"")</f>
        <v>15000</v>
      </c>
      <c r="BT46" s="50">
        <f>IFERROR(LOOKUP(BT$18,HourlyTimeseries!$A:$A,HourlyTimeseries!$F:$F),"")</f>
        <v>15000</v>
      </c>
      <c r="BU46" s="50">
        <f>IFERROR(LOOKUP(BU$18,HourlyTimeseries!$A:$A,HourlyTimeseries!$F:$F),"")</f>
        <v>15000</v>
      </c>
      <c r="BV46" s="50">
        <f>IFERROR(LOOKUP(BV$18,HourlyTimeseries!$A:$A,HourlyTimeseries!$F:$F),"")</f>
        <v>15000</v>
      </c>
      <c r="BW46" s="50">
        <f>IFERROR(LOOKUP(BW$18,HourlyTimeseries!$A:$A,HourlyTimeseries!$F:$F),"")</f>
        <v>15000</v>
      </c>
      <c r="BX46" s="59">
        <f>IFERROR(LOOKUP(BX$18,HourlyTimeseries!$A:$A,HourlyTimeseries!$F:$F),"")</f>
        <v>15000</v>
      </c>
      <c r="BY46" s="66">
        <f>IFERROR(LOOKUP(BY$18,HourlyTimeseries!$A:$A,HourlyTimeseries!$F:$F),"")</f>
        <v>15000</v>
      </c>
      <c r="BZ46" s="50">
        <f>IFERROR(LOOKUP(BZ$18,HourlyTimeseries!$A:$A,HourlyTimeseries!$F:$F),"")</f>
        <v>15000</v>
      </c>
      <c r="CA46" s="50">
        <f>IFERROR(LOOKUP(CA$18,HourlyTimeseries!$A:$A,HourlyTimeseries!$F:$F),"")</f>
        <v>15000</v>
      </c>
      <c r="CB46" s="50">
        <f>IFERROR(LOOKUP(CB$18,HourlyTimeseries!$A:$A,HourlyTimeseries!$F:$F),"")</f>
        <v>15000</v>
      </c>
      <c r="CC46" s="50">
        <f>IFERROR(LOOKUP(CC$18,HourlyTimeseries!$A:$A,HourlyTimeseries!$F:$F),"")</f>
        <v>15000</v>
      </c>
      <c r="CD46" s="50">
        <f>IFERROR(LOOKUP(CD$18,HourlyTimeseries!$A:$A,HourlyTimeseries!$F:$F),"")</f>
        <v>15000</v>
      </c>
      <c r="CE46" s="50">
        <f>IFERROR(LOOKUP(CE$18,HourlyTimeseries!$A:$A,HourlyTimeseries!$F:$F),"")</f>
        <v>15000</v>
      </c>
      <c r="CF46" s="50">
        <f>IFERROR(LOOKUP(CF$18,HourlyTimeseries!$A:$A,HourlyTimeseries!$F:$F),"")</f>
        <v>15000</v>
      </c>
      <c r="CG46" s="50">
        <f>IFERROR(LOOKUP(CG$18,HourlyTimeseries!$A:$A,HourlyTimeseries!$F:$F),"")</f>
        <v>15000</v>
      </c>
      <c r="CH46" s="50">
        <f>IFERROR(LOOKUP(CH$18,HourlyTimeseries!$A:$A,HourlyTimeseries!$F:$F),"")</f>
        <v>15000</v>
      </c>
      <c r="CI46" s="50">
        <f>IFERROR(LOOKUP(CI$18,HourlyTimeseries!$A:$A,HourlyTimeseries!$F:$F),"")</f>
        <v>15000</v>
      </c>
      <c r="CJ46" s="50">
        <f>IFERROR(LOOKUP(CJ$18,HourlyTimeseries!$A:$A,HourlyTimeseries!$F:$F),"")</f>
        <v>15000</v>
      </c>
      <c r="CK46" s="50">
        <f>IFERROR(LOOKUP(CK$18,HourlyTimeseries!$A:$A,HourlyTimeseries!$F:$F),"")</f>
        <v>15000</v>
      </c>
      <c r="CL46" s="50">
        <f>IFERROR(LOOKUP(CL$18,HourlyTimeseries!$A:$A,HourlyTimeseries!$F:$F),"")</f>
        <v>15000</v>
      </c>
      <c r="CM46" s="50">
        <f>IFERROR(LOOKUP(CM$18,HourlyTimeseries!$A:$A,HourlyTimeseries!$F:$F),"")</f>
        <v>15000</v>
      </c>
      <c r="CN46" s="50">
        <f>IFERROR(LOOKUP(CN$18,HourlyTimeseries!$A:$A,HourlyTimeseries!$F:$F),"")</f>
        <v>15000</v>
      </c>
      <c r="CO46" s="50">
        <f>IFERROR(LOOKUP(CO$18,HourlyTimeseries!$A:$A,HourlyTimeseries!$F:$F),"")</f>
        <v>15000</v>
      </c>
      <c r="CP46" s="50">
        <f>IFERROR(LOOKUP(CP$18,HourlyTimeseries!$A:$A,HourlyTimeseries!$F:$F),"")</f>
        <v>15000</v>
      </c>
      <c r="CQ46" s="50">
        <f>IFERROR(LOOKUP(CQ$18,HourlyTimeseries!$A:$A,HourlyTimeseries!$F:$F),"")</f>
        <v>15000</v>
      </c>
      <c r="CR46" s="50">
        <f>IFERROR(LOOKUP(CR$18,HourlyTimeseries!$A:$A,HourlyTimeseries!$F:$F),"")</f>
        <v>15000</v>
      </c>
      <c r="CS46" s="50">
        <f>IFERROR(LOOKUP(CS$18,HourlyTimeseries!$A:$A,HourlyTimeseries!$F:$F),"")</f>
        <v>15000</v>
      </c>
      <c r="CT46" s="50">
        <f>IFERROR(LOOKUP(CT$18,HourlyTimeseries!$A:$A,HourlyTimeseries!$F:$F),"")</f>
        <v>15000</v>
      </c>
      <c r="CU46" s="50">
        <f>IFERROR(LOOKUP(CU$18,HourlyTimeseries!$A:$A,HourlyTimeseries!$F:$F),"")</f>
        <v>15000</v>
      </c>
      <c r="CV46" s="59">
        <f>IFERROR(LOOKUP(CV$18,HourlyTimeseries!$A:$A,HourlyTimeseries!$F:$F),"")</f>
        <v>15000</v>
      </c>
      <c r="CW46" s="66">
        <f>IFERROR(LOOKUP(CW$18,HourlyTimeseries!$A:$A,HourlyTimeseries!$F:$F),"")</f>
        <v>15000</v>
      </c>
      <c r="CX46" s="50">
        <f>IFERROR(LOOKUP(CX$18,HourlyTimeseries!$A:$A,HourlyTimeseries!$F:$F),"")</f>
        <v>15000</v>
      </c>
      <c r="CY46" s="50">
        <f>IFERROR(LOOKUP(CY$18,HourlyTimeseries!$A:$A,HourlyTimeseries!$F:$F),"")</f>
        <v>15000</v>
      </c>
      <c r="CZ46" s="50">
        <f>IFERROR(LOOKUP(CZ$18,HourlyTimeseries!$A:$A,HourlyTimeseries!$F:$F),"")</f>
        <v>15000</v>
      </c>
      <c r="DA46" s="50">
        <f>IFERROR(LOOKUP(DA$18,HourlyTimeseries!$A:$A,HourlyTimeseries!$F:$F),"")</f>
        <v>15000</v>
      </c>
      <c r="DB46" s="50">
        <f>IFERROR(LOOKUP(DB$18,HourlyTimeseries!$A:$A,HourlyTimeseries!$F:$F),"")</f>
        <v>15000</v>
      </c>
      <c r="DC46" s="50">
        <f>IFERROR(LOOKUP(DC$18,HourlyTimeseries!$A:$A,HourlyTimeseries!$F:$F),"")</f>
        <v>15000</v>
      </c>
      <c r="DD46" s="50">
        <f>IFERROR(LOOKUP(DD$18,HourlyTimeseries!$A:$A,HourlyTimeseries!$F:$F),"")</f>
        <v>15000</v>
      </c>
      <c r="DE46" s="50">
        <f>IFERROR(LOOKUP(DE$18,HourlyTimeseries!$A:$A,HourlyTimeseries!$F:$F),"")</f>
        <v>15000</v>
      </c>
      <c r="DF46" s="50">
        <f>IFERROR(LOOKUP(DF$18,HourlyTimeseries!$A:$A,HourlyTimeseries!$F:$F),"")</f>
        <v>15000</v>
      </c>
      <c r="DG46" s="50">
        <f>IFERROR(LOOKUP(DG$18,HourlyTimeseries!$A:$A,HourlyTimeseries!$F:$F),"")</f>
        <v>15000</v>
      </c>
      <c r="DH46" s="50">
        <f>IFERROR(LOOKUP(DH$18,HourlyTimeseries!$A:$A,HourlyTimeseries!$F:$F),"")</f>
        <v>15000</v>
      </c>
      <c r="DI46" s="50">
        <f>IFERROR(LOOKUP(DI$18,HourlyTimeseries!$A:$A,HourlyTimeseries!$F:$F),"")</f>
        <v>15000</v>
      </c>
      <c r="DJ46" s="50">
        <f>IFERROR(LOOKUP(DJ$18,HourlyTimeseries!$A:$A,HourlyTimeseries!$F:$F),"")</f>
        <v>15000</v>
      </c>
      <c r="DK46" s="50">
        <f>IFERROR(LOOKUP(DK$18,HourlyTimeseries!$A:$A,HourlyTimeseries!$F:$F),"")</f>
        <v>15000</v>
      </c>
      <c r="DL46" s="50">
        <f>IFERROR(LOOKUP(DL$18,HourlyTimeseries!$A:$A,HourlyTimeseries!$F:$F),"")</f>
        <v>15000</v>
      </c>
      <c r="DM46" s="50">
        <f>IFERROR(LOOKUP(DM$18,HourlyTimeseries!$A:$A,HourlyTimeseries!$F:$F),"")</f>
        <v>15000</v>
      </c>
      <c r="DN46" s="50">
        <f>IFERROR(LOOKUP(DN$18,HourlyTimeseries!$A:$A,HourlyTimeseries!$F:$F),"")</f>
        <v>15000</v>
      </c>
      <c r="DO46" s="50">
        <f>IFERROR(LOOKUP(DO$18,HourlyTimeseries!$A:$A,HourlyTimeseries!$F:$F),"")</f>
        <v>15000</v>
      </c>
      <c r="DP46" s="50">
        <f>IFERROR(LOOKUP(DP$18,HourlyTimeseries!$A:$A,HourlyTimeseries!$F:$F),"")</f>
        <v>15000</v>
      </c>
      <c r="DQ46" s="50">
        <f>IFERROR(LOOKUP(DQ$18,HourlyTimeseries!$A:$A,HourlyTimeseries!$F:$F),"")</f>
        <v>15000</v>
      </c>
      <c r="DR46" s="50">
        <f>IFERROR(LOOKUP(DR$18,HourlyTimeseries!$A:$A,HourlyTimeseries!$F:$F),"")</f>
        <v>15000</v>
      </c>
      <c r="DS46" s="50">
        <f>IFERROR(LOOKUP(DS$18,HourlyTimeseries!$A:$A,HourlyTimeseries!$F:$F),"")</f>
        <v>15000</v>
      </c>
      <c r="DT46" s="59">
        <f>IFERROR(LOOKUP(DT$18,HourlyTimeseries!$A:$A,HourlyTimeseries!$F:$F),"")</f>
        <v>15000</v>
      </c>
      <c r="DU46" s="66">
        <f>IFERROR(LOOKUP(DU$18,HourlyTimeseries!$A:$A,HourlyTimeseries!$F:$F),"")</f>
        <v>15000</v>
      </c>
      <c r="DV46" s="50">
        <f>IFERROR(LOOKUP(DV$18,HourlyTimeseries!$A:$A,HourlyTimeseries!$F:$F),"")</f>
        <v>15000</v>
      </c>
      <c r="DW46" s="50">
        <f>IFERROR(LOOKUP(DW$18,HourlyTimeseries!$A:$A,HourlyTimeseries!$F:$F),"")</f>
        <v>15000</v>
      </c>
      <c r="DX46" s="50">
        <f>IFERROR(LOOKUP(DX$18,HourlyTimeseries!$A:$A,HourlyTimeseries!$F:$F),"")</f>
        <v>15000</v>
      </c>
      <c r="DY46" s="50">
        <f>IFERROR(LOOKUP(DY$18,HourlyTimeseries!$A:$A,HourlyTimeseries!$F:$F),"")</f>
        <v>15000</v>
      </c>
      <c r="DZ46" s="50">
        <f>IFERROR(LOOKUP(DZ$18,HourlyTimeseries!$A:$A,HourlyTimeseries!$F:$F),"")</f>
        <v>15000</v>
      </c>
      <c r="EA46" s="50">
        <f>IFERROR(LOOKUP(EA$18,HourlyTimeseries!$A:$A,HourlyTimeseries!$F:$F),"")</f>
        <v>15000</v>
      </c>
      <c r="EB46" s="50">
        <f>IFERROR(LOOKUP(EB$18,HourlyTimeseries!$A:$A,HourlyTimeseries!$F:$F),"")</f>
        <v>15000</v>
      </c>
      <c r="EC46" s="50">
        <f>IFERROR(LOOKUP(EC$18,HourlyTimeseries!$A:$A,HourlyTimeseries!$F:$F),"")</f>
        <v>15000</v>
      </c>
      <c r="ED46" s="50">
        <f>IFERROR(LOOKUP(ED$18,HourlyTimeseries!$A:$A,HourlyTimeseries!$F:$F),"")</f>
        <v>15000</v>
      </c>
      <c r="EE46" s="50">
        <f>IFERROR(LOOKUP(EE$18,HourlyTimeseries!$A:$A,HourlyTimeseries!$F:$F),"")</f>
        <v>15000</v>
      </c>
      <c r="EF46" s="50">
        <f>IFERROR(LOOKUP(EF$18,HourlyTimeseries!$A:$A,HourlyTimeseries!$F:$F),"")</f>
        <v>15000</v>
      </c>
      <c r="EG46" s="50">
        <f>IFERROR(LOOKUP(EG$18,HourlyTimeseries!$A:$A,HourlyTimeseries!$F:$F),"")</f>
        <v>15000</v>
      </c>
      <c r="EH46" s="50">
        <f>IFERROR(LOOKUP(EH$18,HourlyTimeseries!$A:$A,HourlyTimeseries!$F:$F),"")</f>
        <v>15000</v>
      </c>
      <c r="EI46" s="50">
        <f>IFERROR(LOOKUP(EI$18,HourlyTimeseries!$A:$A,HourlyTimeseries!$F:$F),"")</f>
        <v>15000</v>
      </c>
      <c r="EJ46" s="50">
        <f>IFERROR(LOOKUP(EJ$18,HourlyTimeseries!$A:$A,HourlyTimeseries!$F:$F),"")</f>
        <v>15000</v>
      </c>
      <c r="EK46" s="50">
        <f>IFERROR(LOOKUP(EK$18,HourlyTimeseries!$A:$A,HourlyTimeseries!$F:$F),"")</f>
        <v>15000</v>
      </c>
      <c r="EL46" s="50">
        <f>IFERROR(LOOKUP(EL$18,HourlyTimeseries!$A:$A,HourlyTimeseries!$F:$F),"")</f>
        <v>15000</v>
      </c>
      <c r="EM46" s="50">
        <f>IFERROR(LOOKUP(EM$18,HourlyTimeseries!$A:$A,HourlyTimeseries!$F:$F),"")</f>
        <v>15000</v>
      </c>
      <c r="EN46" s="50">
        <f>IFERROR(LOOKUP(EN$18,HourlyTimeseries!$A:$A,HourlyTimeseries!$F:$F),"")</f>
        <v>15000</v>
      </c>
      <c r="EO46" s="50">
        <f>IFERROR(LOOKUP(EO$18,HourlyTimeseries!$A:$A,HourlyTimeseries!$F:$F),"")</f>
        <v>15000</v>
      </c>
      <c r="EP46" s="50">
        <f>IFERROR(LOOKUP(EP$18,HourlyTimeseries!$A:$A,HourlyTimeseries!$F:$F),"")</f>
        <v>15000</v>
      </c>
      <c r="EQ46" s="50">
        <f>IFERROR(LOOKUP(EQ$18,HourlyTimeseries!$A:$A,HourlyTimeseries!$F:$F),"")</f>
        <v>15000</v>
      </c>
      <c r="ER46" s="59">
        <f>IFERROR(LOOKUP(ER$18,HourlyTimeseries!$A:$A,HourlyTimeseries!$F:$F),"")</f>
        <v>15000</v>
      </c>
      <c r="ES46" s="66">
        <f>IFERROR(LOOKUP(ES$18,HourlyTimeseries!$A:$A,HourlyTimeseries!$F:$F),"")</f>
        <v>15000</v>
      </c>
      <c r="ET46" s="50">
        <f>IFERROR(LOOKUP(ET$18,HourlyTimeseries!$A:$A,HourlyTimeseries!$F:$F),"")</f>
        <v>15000</v>
      </c>
      <c r="EU46" s="50">
        <f>IFERROR(LOOKUP(EU$18,HourlyTimeseries!$A:$A,HourlyTimeseries!$F:$F),"")</f>
        <v>15000</v>
      </c>
      <c r="EV46" s="50">
        <f>IFERROR(LOOKUP(EV$18,HourlyTimeseries!$A:$A,HourlyTimeseries!$F:$F),"")</f>
        <v>15000</v>
      </c>
      <c r="EW46" s="50">
        <f>IFERROR(LOOKUP(EW$18,HourlyTimeseries!$A:$A,HourlyTimeseries!$F:$F),"")</f>
        <v>15000</v>
      </c>
      <c r="EX46" s="50">
        <f>IFERROR(LOOKUP(EX$18,HourlyTimeseries!$A:$A,HourlyTimeseries!$F:$F),"")</f>
        <v>15000</v>
      </c>
      <c r="EY46" s="50">
        <f>IFERROR(LOOKUP(EY$18,HourlyTimeseries!$A:$A,HourlyTimeseries!$F:$F),"")</f>
        <v>15000</v>
      </c>
      <c r="EZ46" s="50">
        <f>IFERROR(LOOKUP(EZ$18,HourlyTimeseries!$A:$A,HourlyTimeseries!$F:$F),"")</f>
        <v>15000</v>
      </c>
      <c r="FA46" s="50">
        <f>IFERROR(LOOKUP(FA$18,HourlyTimeseries!$A:$A,HourlyTimeseries!$F:$F),"")</f>
        <v>15000</v>
      </c>
      <c r="FB46" s="50">
        <f>IFERROR(LOOKUP(FB$18,HourlyTimeseries!$A:$A,HourlyTimeseries!$F:$F),"")</f>
        <v>15000</v>
      </c>
      <c r="FC46" s="50">
        <f>IFERROR(LOOKUP(FC$18,HourlyTimeseries!$A:$A,HourlyTimeseries!$F:$F),"")</f>
        <v>15000</v>
      </c>
      <c r="FD46" s="50">
        <f>IFERROR(LOOKUP(FD$18,HourlyTimeseries!$A:$A,HourlyTimeseries!$F:$F),"")</f>
        <v>15000</v>
      </c>
      <c r="FE46" s="50">
        <f>IFERROR(LOOKUP(FE$18,HourlyTimeseries!$A:$A,HourlyTimeseries!$F:$F),"")</f>
        <v>15000</v>
      </c>
      <c r="FF46" s="50">
        <f>IFERROR(LOOKUP(FF$18,HourlyTimeseries!$A:$A,HourlyTimeseries!$F:$F),"")</f>
        <v>15000</v>
      </c>
      <c r="FG46" s="50">
        <f>IFERROR(LOOKUP(FG$18,HourlyTimeseries!$A:$A,HourlyTimeseries!$F:$F),"")</f>
        <v>15000</v>
      </c>
      <c r="FH46" s="50">
        <f>IFERROR(LOOKUP(FH$18,HourlyTimeseries!$A:$A,HourlyTimeseries!$F:$F),"")</f>
        <v>15000</v>
      </c>
      <c r="FI46" s="50">
        <f>IFERROR(LOOKUP(FI$18,HourlyTimeseries!$A:$A,HourlyTimeseries!$F:$F),"")</f>
        <v>15000</v>
      </c>
      <c r="FJ46" s="50">
        <f>IFERROR(LOOKUP(FJ$18,HourlyTimeseries!$A:$A,HourlyTimeseries!$F:$F),"")</f>
        <v>15000</v>
      </c>
      <c r="FK46" s="50">
        <f>IFERROR(LOOKUP(FK$18,HourlyTimeseries!$A:$A,HourlyTimeseries!$F:$F),"")</f>
        <v>15000</v>
      </c>
      <c r="FL46" s="50">
        <f>IFERROR(LOOKUP(FL$18,HourlyTimeseries!$A:$A,HourlyTimeseries!$F:$F),"")</f>
        <v>15000</v>
      </c>
      <c r="FM46" s="50">
        <f>IFERROR(LOOKUP(FM$18,HourlyTimeseries!$A:$A,HourlyTimeseries!$F:$F),"")</f>
        <v>15000</v>
      </c>
      <c r="FN46" s="50">
        <f>IFERROR(LOOKUP(FN$18,HourlyTimeseries!$A:$A,HourlyTimeseries!$F:$F),"")</f>
        <v>15000</v>
      </c>
      <c r="FO46" s="50">
        <f>IFERROR(LOOKUP(FO$18,HourlyTimeseries!$A:$A,HourlyTimeseries!$F:$F),"")</f>
        <v>15000</v>
      </c>
      <c r="FP46" s="59">
        <f>IFERROR(LOOKUP(FP$18,HourlyTimeseries!$A:$A,HourlyTimeseries!$F:$F),"")</f>
        <v>15000</v>
      </c>
    </row>
    <row r="47" spans="1:173" ht="15.75" customHeight="1">
      <c r="A47" s="28" t="s">
        <v>103</v>
      </c>
      <c r="B47" s="2" t="s">
        <v>99</v>
      </c>
      <c r="C47" s="8" t="s">
        <v>133</v>
      </c>
      <c r="D47" s="4" t="b">
        <v>1</v>
      </c>
      <c r="E47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8" spans="1:173" ht="15.75" customHeight="1">
      <c r="A48" s="28" t="s">
        <v>129</v>
      </c>
      <c r="B48" s="2" t="s">
        <v>127</v>
      </c>
      <c r="C48" s="8" t="s">
        <v>133</v>
      </c>
      <c r="D48" s="8">
        <v>4</v>
      </c>
      <c r="E48" s="22"/>
    </row>
    <row r="49" spans="1:172" ht="15.75" customHeight="1">
      <c r="A49" s="28" t="s">
        <v>130</v>
      </c>
      <c r="B49" s="2" t="s">
        <v>128</v>
      </c>
      <c r="C49" s="8" t="s">
        <v>133</v>
      </c>
      <c r="D49" s="8">
        <v>4</v>
      </c>
      <c r="E49" s="27"/>
    </row>
    <row r="50" spans="1:172" ht="15.75" customHeight="1" thickBot="1">
      <c r="A50" s="26" t="s">
        <v>203</v>
      </c>
      <c r="B50" s="2" t="s">
        <v>202</v>
      </c>
      <c r="C50" s="8" t="s">
        <v>133</v>
      </c>
      <c r="D50" s="8">
        <v>4</v>
      </c>
      <c r="E50" s="27"/>
    </row>
    <row r="51" spans="1:172" ht="15.75" customHeight="1" thickBot="1">
      <c r="A51" s="16" t="s">
        <v>126</v>
      </c>
      <c r="B51" s="2" t="s">
        <v>94</v>
      </c>
      <c r="C51" s="2"/>
      <c r="D51" s="4" t="b">
        <v>1</v>
      </c>
    </row>
    <row r="52" spans="1:172">
      <c r="A52" s="15" t="s">
        <v>71</v>
      </c>
      <c r="B52" s="2" t="s">
        <v>64</v>
      </c>
      <c r="C52" s="8" t="s">
        <v>133</v>
      </c>
      <c r="D52" s="8">
        <v>10000</v>
      </c>
    </row>
    <row r="53" spans="1:172">
      <c r="A53" s="15" t="s">
        <v>70</v>
      </c>
      <c r="B53" s="2" t="s">
        <v>65</v>
      </c>
      <c r="C53" s="8" t="s">
        <v>133</v>
      </c>
      <c r="D53" s="8">
        <v>10000</v>
      </c>
    </row>
    <row r="54" spans="1:172">
      <c r="A54" s="15" t="s">
        <v>82</v>
      </c>
      <c r="B54" s="2" t="s">
        <v>76</v>
      </c>
      <c r="C54" s="8" t="s">
        <v>133</v>
      </c>
      <c r="D54" s="2"/>
      <c r="E54" s="50">
        <f>IFERROR(LOOKUP(E$18,HourlyTimeseries!$A:$A,HourlyTimeseries!$G:$G),"")</f>
        <v>2400</v>
      </c>
      <c r="F54" s="50">
        <f>IFERROR(LOOKUP(F$18,HourlyTimeseries!$A:$A,HourlyTimeseries!$G:$G),"")</f>
        <v>2400</v>
      </c>
      <c r="G54" s="50">
        <f>IFERROR(LOOKUP(G$18,HourlyTimeseries!$A:$A,HourlyTimeseries!$G:$G),"")</f>
        <v>2400</v>
      </c>
      <c r="H54" s="50">
        <f>IFERROR(LOOKUP(H$18,HourlyTimeseries!$A:$A,HourlyTimeseries!$G:$G),"")</f>
        <v>2400</v>
      </c>
      <c r="I54" s="50">
        <f>IFERROR(LOOKUP(I$18,HourlyTimeseries!$A:$A,HourlyTimeseries!$G:$G),"")</f>
        <v>2400</v>
      </c>
      <c r="J54" s="50">
        <f>IFERROR(LOOKUP(J$18,HourlyTimeseries!$A:$A,HourlyTimeseries!$G:$G),"")</f>
        <v>2400</v>
      </c>
      <c r="K54" s="50">
        <f>IFERROR(LOOKUP(K$18,HourlyTimeseries!$A:$A,HourlyTimeseries!$G:$G),"")</f>
        <v>2400</v>
      </c>
      <c r="L54" s="50">
        <f>IFERROR(LOOKUP(L$18,HourlyTimeseries!$A:$A,HourlyTimeseries!$G:$G),"")</f>
        <v>2400</v>
      </c>
      <c r="M54" s="50">
        <f>IFERROR(LOOKUP(M$18,HourlyTimeseries!$A:$A,HourlyTimeseries!$G:$G),"")</f>
        <v>2400</v>
      </c>
      <c r="N54" s="50">
        <f>IFERROR(LOOKUP(N$18,HourlyTimeseries!$A:$A,HourlyTimeseries!$G:$G),"")</f>
        <v>2400</v>
      </c>
      <c r="O54" s="50">
        <f>IFERROR(LOOKUP(O$18,HourlyTimeseries!$A:$A,HourlyTimeseries!$G:$G),"")</f>
        <v>2400</v>
      </c>
      <c r="P54" s="50">
        <f>IFERROR(LOOKUP(P$18,HourlyTimeseries!$A:$A,HourlyTimeseries!$G:$G),"")</f>
        <v>2400</v>
      </c>
      <c r="Q54" s="50">
        <f>IFERROR(LOOKUP(Q$18,HourlyTimeseries!$A:$A,HourlyTimeseries!$G:$G),"")</f>
        <v>2400</v>
      </c>
      <c r="R54" s="50">
        <f>IFERROR(LOOKUP(R$18,HourlyTimeseries!$A:$A,HourlyTimeseries!$G:$G),"")</f>
        <v>2400</v>
      </c>
      <c r="S54" s="50">
        <f>IFERROR(LOOKUP(S$18,HourlyTimeseries!$A:$A,HourlyTimeseries!$G:$G),"")</f>
        <v>2400</v>
      </c>
      <c r="T54" s="50">
        <f>IFERROR(LOOKUP(T$18,HourlyTimeseries!$A:$A,HourlyTimeseries!$G:$G),"")</f>
        <v>2400</v>
      </c>
      <c r="U54" s="50">
        <f>IFERROR(LOOKUP(U$18,HourlyTimeseries!$A:$A,HourlyTimeseries!$G:$G),"")</f>
        <v>2400</v>
      </c>
      <c r="V54" s="50">
        <f>IFERROR(LOOKUP(V$18,HourlyTimeseries!$A:$A,HourlyTimeseries!$G:$G),"")</f>
        <v>2400</v>
      </c>
      <c r="W54" s="50">
        <f>IFERROR(LOOKUP(W$18,HourlyTimeseries!$A:$A,HourlyTimeseries!$G:$G),"")</f>
        <v>2400</v>
      </c>
      <c r="X54" s="50">
        <f>IFERROR(LOOKUP(X$18,HourlyTimeseries!$A:$A,HourlyTimeseries!$G:$G),"")</f>
        <v>2400</v>
      </c>
      <c r="Y54" s="50">
        <f>IFERROR(LOOKUP(Y$18,HourlyTimeseries!$A:$A,HourlyTimeseries!$G:$G),"")</f>
        <v>2400</v>
      </c>
      <c r="Z54" s="50">
        <f>IFERROR(LOOKUP(Z$18,HourlyTimeseries!$A:$A,HourlyTimeseries!$G:$G),"")</f>
        <v>2400</v>
      </c>
      <c r="AA54" s="50">
        <f>IFERROR(LOOKUP(AA$18,HourlyTimeseries!$A:$A,HourlyTimeseries!$G:$G),"")</f>
        <v>2400</v>
      </c>
      <c r="AB54" s="59">
        <f>IFERROR(LOOKUP(AB$18,HourlyTimeseries!$A:$A,HourlyTimeseries!$G:$G),"")</f>
        <v>2400</v>
      </c>
      <c r="AC54" s="66">
        <f>IFERROR(LOOKUP(AC$18,HourlyTimeseries!$A:$A,HourlyTimeseries!$G:$G),"")</f>
        <v>2400</v>
      </c>
      <c r="AD54" s="50">
        <f>IFERROR(LOOKUP(AD$18,HourlyTimeseries!$A:$A,HourlyTimeseries!$G:$G),"")</f>
        <v>2400</v>
      </c>
      <c r="AE54" s="50">
        <f>IFERROR(LOOKUP(AE$18,HourlyTimeseries!$A:$A,HourlyTimeseries!$G:$G),"")</f>
        <v>2400</v>
      </c>
      <c r="AF54" s="50">
        <f>IFERROR(LOOKUP(AF$18,HourlyTimeseries!$A:$A,HourlyTimeseries!$G:$G),"")</f>
        <v>2400</v>
      </c>
      <c r="AG54" s="50">
        <f>IFERROR(LOOKUP(AG$18,HourlyTimeseries!$A:$A,HourlyTimeseries!$G:$G),"")</f>
        <v>2400</v>
      </c>
      <c r="AH54" s="50">
        <f>IFERROR(LOOKUP(AH$18,HourlyTimeseries!$A:$A,HourlyTimeseries!$G:$G),"")</f>
        <v>2400</v>
      </c>
      <c r="AI54" s="50">
        <f>IFERROR(LOOKUP(AI$18,HourlyTimeseries!$A:$A,HourlyTimeseries!$G:$G),"")</f>
        <v>2400</v>
      </c>
      <c r="AJ54" s="50">
        <f>IFERROR(LOOKUP(AJ$18,HourlyTimeseries!$A:$A,HourlyTimeseries!$G:$G),"")</f>
        <v>2400</v>
      </c>
      <c r="AK54" s="50">
        <f>IFERROR(LOOKUP(AK$18,HourlyTimeseries!$A:$A,HourlyTimeseries!$G:$G),"")</f>
        <v>2400</v>
      </c>
      <c r="AL54" s="50">
        <f>IFERROR(LOOKUP(AL$18,HourlyTimeseries!$A:$A,HourlyTimeseries!$G:$G),"")</f>
        <v>2400</v>
      </c>
      <c r="AM54" s="50">
        <f>IFERROR(LOOKUP(AM$18,HourlyTimeseries!$A:$A,HourlyTimeseries!$G:$G),"")</f>
        <v>2400</v>
      </c>
      <c r="AN54" s="50">
        <f>IFERROR(LOOKUP(AN$18,HourlyTimeseries!$A:$A,HourlyTimeseries!$G:$G),"")</f>
        <v>2400</v>
      </c>
      <c r="AO54" s="50">
        <f>IFERROR(LOOKUP(AO$18,HourlyTimeseries!$A:$A,HourlyTimeseries!$G:$G),"")</f>
        <v>2400</v>
      </c>
      <c r="AP54" s="50">
        <f>IFERROR(LOOKUP(AP$18,HourlyTimeseries!$A:$A,HourlyTimeseries!$G:$G),"")</f>
        <v>2400</v>
      </c>
      <c r="AQ54" s="50">
        <f>IFERROR(LOOKUP(AQ$18,HourlyTimeseries!$A:$A,HourlyTimeseries!$G:$G),"")</f>
        <v>2400</v>
      </c>
      <c r="AR54" s="50">
        <f>IFERROR(LOOKUP(AR$18,HourlyTimeseries!$A:$A,HourlyTimeseries!$G:$G),"")</f>
        <v>2400</v>
      </c>
      <c r="AS54" s="50">
        <f>IFERROR(LOOKUP(AS$18,HourlyTimeseries!$A:$A,HourlyTimeseries!$G:$G),"")</f>
        <v>2400</v>
      </c>
      <c r="AT54" s="50">
        <f>IFERROR(LOOKUP(AT$18,HourlyTimeseries!$A:$A,HourlyTimeseries!$G:$G),"")</f>
        <v>2400</v>
      </c>
      <c r="AU54" s="50">
        <f>IFERROR(LOOKUP(AU$18,HourlyTimeseries!$A:$A,HourlyTimeseries!$G:$G),"")</f>
        <v>2400</v>
      </c>
      <c r="AV54" s="50">
        <f>IFERROR(LOOKUP(AV$18,HourlyTimeseries!$A:$A,HourlyTimeseries!$G:$G),"")</f>
        <v>2400</v>
      </c>
      <c r="AW54" s="50">
        <f>IFERROR(LOOKUP(AW$18,HourlyTimeseries!$A:$A,HourlyTimeseries!$G:$G),"")</f>
        <v>2400</v>
      </c>
      <c r="AX54" s="50">
        <f>IFERROR(LOOKUP(AX$18,HourlyTimeseries!$A:$A,HourlyTimeseries!$G:$G),"")</f>
        <v>2400</v>
      </c>
      <c r="AY54" s="50">
        <f>IFERROR(LOOKUP(AY$18,HourlyTimeseries!$A:$A,HourlyTimeseries!$G:$G),"")</f>
        <v>2400</v>
      </c>
      <c r="AZ54" s="59">
        <f>IFERROR(LOOKUP(AZ$18,HourlyTimeseries!$A:$A,HourlyTimeseries!$G:$G),"")</f>
        <v>2400</v>
      </c>
      <c r="BA54" s="66">
        <f>IFERROR(LOOKUP(BA$18,HourlyTimeseries!$A:$A,HourlyTimeseries!$G:$G),"")</f>
        <v>2400</v>
      </c>
      <c r="BB54" s="50">
        <f>IFERROR(LOOKUP(BB$18,HourlyTimeseries!$A:$A,HourlyTimeseries!$G:$G),"")</f>
        <v>2400</v>
      </c>
      <c r="BC54" s="50">
        <f>IFERROR(LOOKUP(BC$18,HourlyTimeseries!$A:$A,HourlyTimeseries!$G:$G),"")</f>
        <v>2400</v>
      </c>
      <c r="BD54" s="50">
        <f>IFERROR(LOOKUP(BD$18,HourlyTimeseries!$A:$A,HourlyTimeseries!$G:$G),"")</f>
        <v>2400</v>
      </c>
      <c r="BE54" s="50">
        <f>IFERROR(LOOKUP(BE$18,HourlyTimeseries!$A:$A,HourlyTimeseries!$G:$G),"")</f>
        <v>2400</v>
      </c>
      <c r="BF54" s="50">
        <f>IFERROR(LOOKUP(BF$18,HourlyTimeseries!$A:$A,HourlyTimeseries!$G:$G),"")</f>
        <v>2400</v>
      </c>
      <c r="BG54" s="50">
        <f>IFERROR(LOOKUP(BG$18,HourlyTimeseries!$A:$A,HourlyTimeseries!$G:$G),"")</f>
        <v>2400</v>
      </c>
      <c r="BH54" s="50">
        <f>IFERROR(LOOKUP(BH$18,HourlyTimeseries!$A:$A,HourlyTimeseries!$G:$G),"")</f>
        <v>2400</v>
      </c>
      <c r="BI54" s="50">
        <f>IFERROR(LOOKUP(BI$18,HourlyTimeseries!$A:$A,HourlyTimeseries!$G:$G),"")</f>
        <v>2400</v>
      </c>
      <c r="BJ54" s="50">
        <f>IFERROR(LOOKUP(BJ$18,HourlyTimeseries!$A:$A,HourlyTimeseries!$G:$G),"")</f>
        <v>2400</v>
      </c>
      <c r="BK54" s="50">
        <f>IFERROR(LOOKUP(BK$18,HourlyTimeseries!$A:$A,HourlyTimeseries!$G:$G),"")</f>
        <v>2400</v>
      </c>
      <c r="BL54" s="50">
        <f>IFERROR(LOOKUP(BL$18,HourlyTimeseries!$A:$A,HourlyTimeseries!$G:$G),"")</f>
        <v>2400</v>
      </c>
      <c r="BM54" s="50">
        <f>IFERROR(LOOKUP(BM$18,HourlyTimeseries!$A:$A,HourlyTimeseries!$G:$G),"")</f>
        <v>2400</v>
      </c>
      <c r="BN54" s="50">
        <f>IFERROR(LOOKUP(BN$18,HourlyTimeseries!$A:$A,HourlyTimeseries!$G:$G),"")</f>
        <v>2400</v>
      </c>
      <c r="BO54" s="50">
        <f>IFERROR(LOOKUP(BO$18,HourlyTimeseries!$A:$A,HourlyTimeseries!$G:$G),"")</f>
        <v>2400</v>
      </c>
      <c r="BP54" s="50">
        <f>IFERROR(LOOKUP(BP$18,HourlyTimeseries!$A:$A,HourlyTimeseries!$G:$G),"")</f>
        <v>2400</v>
      </c>
      <c r="BQ54" s="50">
        <f>IFERROR(LOOKUP(BQ$18,HourlyTimeseries!$A:$A,HourlyTimeseries!$G:$G),"")</f>
        <v>2400</v>
      </c>
      <c r="BR54" s="50">
        <f>IFERROR(LOOKUP(BR$18,HourlyTimeseries!$A:$A,HourlyTimeseries!$G:$G),"")</f>
        <v>2400</v>
      </c>
      <c r="BS54" s="50">
        <f>IFERROR(LOOKUP(BS$18,HourlyTimeseries!$A:$A,HourlyTimeseries!$G:$G),"")</f>
        <v>2400</v>
      </c>
      <c r="BT54" s="50">
        <f>IFERROR(LOOKUP(BT$18,HourlyTimeseries!$A:$A,HourlyTimeseries!$G:$G),"")</f>
        <v>2400</v>
      </c>
      <c r="BU54" s="50">
        <f>IFERROR(LOOKUP(BU$18,HourlyTimeseries!$A:$A,HourlyTimeseries!$G:$G),"")</f>
        <v>2400</v>
      </c>
      <c r="BV54" s="50">
        <f>IFERROR(LOOKUP(BV$18,HourlyTimeseries!$A:$A,HourlyTimeseries!$G:$G),"")</f>
        <v>2400</v>
      </c>
      <c r="BW54" s="50">
        <f>IFERROR(LOOKUP(BW$18,HourlyTimeseries!$A:$A,HourlyTimeseries!$G:$G),"")</f>
        <v>2400</v>
      </c>
      <c r="BX54" s="59">
        <f>IFERROR(LOOKUP(BX$18,HourlyTimeseries!$A:$A,HourlyTimeseries!$G:$G),"")</f>
        <v>2400</v>
      </c>
      <c r="BY54" s="66">
        <f>IFERROR(LOOKUP(BY$18,HourlyTimeseries!$A:$A,HourlyTimeseries!$G:$G),"")</f>
        <v>2400</v>
      </c>
      <c r="BZ54" s="50">
        <f>IFERROR(LOOKUP(BZ$18,HourlyTimeseries!$A:$A,HourlyTimeseries!$G:$G),"")</f>
        <v>2400</v>
      </c>
      <c r="CA54" s="50">
        <f>IFERROR(LOOKUP(CA$18,HourlyTimeseries!$A:$A,HourlyTimeseries!$G:$G),"")</f>
        <v>2400</v>
      </c>
      <c r="CB54" s="50">
        <f>IFERROR(LOOKUP(CB$18,HourlyTimeseries!$A:$A,HourlyTimeseries!$G:$G),"")</f>
        <v>2400</v>
      </c>
      <c r="CC54" s="50">
        <f>IFERROR(LOOKUP(CC$18,HourlyTimeseries!$A:$A,HourlyTimeseries!$G:$G),"")</f>
        <v>2400</v>
      </c>
      <c r="CD54" s="50">
        <f>IFERROR(LOOKUP(CD$18,HourlyTimeseries!$A:$A,HourlyTimeseries!$G:$G),"")</f>
        <v>2400</v>
      </c>
      <c r="CE54" s="50">
        <f>IFERROR(LOOKUP(CE$18,HourlyTimeseries!$A:$A,HourlyTimeseries!$G:$G),"")</f>
        <v>2400</v>
      </c>
      <c r="CF54" s="50">
        <f>IFERROR(LOOKUP(CF$18,HourlyTimeseries!$A:$A,HourlyTimeseries!$G:$G),"")</f>
        <v>2400</v>
      </c>
      <c r="CG54" s="50">
        <f>IFERROR(LOOKUP(CG$18,HourlyTimeseries!$A:$A,HourlyTimeseries!$G:$G),"")</f>
        <v>2400</v>
      </c>
      <c r="CH54" s="50">
        <f>IFERROR(LOOKUP(CH$18,HourlyTimeseries!$A:$A,HourlyTimeseries!$G:$G),"")</f>
        <v>2400</v>
      </c>
      <c r="CI54" s="50">
        <f>IFERROR(LOOKUP(CI$18,HourlyTimeseries!$A:$A,HourlyTimeseries!$G:$G),"")</f>
        <v>2400</v>
      </c>
      <c r="CJ54" s="50">
        <f>IFERROR(LOOKUP(CJ$18,HourlyTimeseries!$A:$A,HourlyTimeseries!$G:$G),"")</f>
        <v>2400</v>
      </c>
      <c r="CK54" s="50">
        <f>IFERROR(LOOKUP(CK$18,HourlyTimeseries!$A:$A,HourlyTimeseries!$G:$G),"")</f>
        <v>2400</v>
      </c>
      <c r="CL54" s="50">
        <f>IFERROR(LOOKUP(CL$18,HourlyTimeseries!$A:$A,HourlyTimeseries!$G:$G),"")</f>
        <v>2400</v>
      </c>
      <c r="CM54" s="50">
        <f>IFERROR(LOOKUP(CM$18,HourlyTimeseries!$A:$A,HourlyTimeseries!$G:$G),"")</f>
        <v>2400</v>
      </c>
      <c r="CN54" s="50">
        <f>IFERROR(LOOKUP(CN$18,HourlyTimeseries!$A:$A,HourlyTimeseries!$G:$G),"")</f>
        <v>2400</v>
      </c>
      <c r="CO54" s="50">
        <f>IFERROR(LOOKUP(CO$18,HourlyTimeseries!$A:$A,HourlyTimeseries!$G:$G),"")</f>
        <v>2400</v>
      </c>
      <c r="CP54" s="50">
        <f>IFERROR(LOOKUP(CP$18,HourlyTimeseries!$A:$A,HourlyTimeseries!$G:$G),"")</f>
        <v>2400</v>
      </c>
      <c r="CQ54" s="50">
        <f>IFERROR(LOOKUP(CQ$18,HourlyTimeseries!$A:$A,HourlyTimeseries!$G:$G),"")</f>
        <v>2400</v>
      </c>
      <c r="CR54" s="50">
        <f>IFERROR(LOOKUP(CR$18,HourlyTimeseries!$A:$A,HourlyTimeseries!$G:$G),"")</f>
        <v>2400</v>
      </c>
      <c r="CS54" s="50">
        <f>IFERROR(LOOKUP(CS$18,HourlyTimeseries!$A:$A,HourlyTimeseries!$G:$G),"")</f>
        <v>2400</v>
      </c>
      <c r="CT54" s="50">
        <f>IFERROR(LOOKUP(CT$18,HourlyTimeseries!$A:$A,HourlyTimeseries!$G:$G),"")</f>
        <v>2400</v>
      </c>
      <c r="CU54" s="50">
        <f>IFERROR(LOOKUP(CU$18,HourlyTimeseries!$A:$A,HourlyTimeseries!$G:$G),"")</f>
        <v>2400</v>
      </c>
      <c r="CV54" s="59">
        <f>IFERROR(LOOKUP(CV$18,HourlyTimeseries!$A:$A,HourlyTimeseries!$G:$G),"")</f>
        <v>2400</v>
      </c>
      <c r="CW54" s="66">
        <f>IFERROR(LOOKUP(CW$18,HourlyTimeseries!$A:$A,HourlyTimeseries!$G:$G),"")</f>
        <v>2400</v>
      </c>
      <c r="CX54" s="50">
        <f>IFERROR(LOOKUP(CX$18,HourlyTimeseries!$A:$A,HourlyTimeseries!$G:$G),"")</f>
        <v>2400</v>
      </c>
      <c r="CY54" s="50">
        <f>IFERROR(LOOKUP(CY$18,HourlyTimeseries!$A:$A,HourlyTimeseries!$G:$G),"")</f>
        <v>2400</v>
      </c>
      <c r="CZ54" s="50">
        <f>IFERROR(LOOKUP(CZ$18,HourlyTimeseries!$A:$A,HourlyTimeseries!$G:$G),"")</f>
        <v>2400</v>
      </c>
      <c r="DA54" s="50">
        <f>IFERROR(LOOKUP(DA$18,HourlyTimeseries!$A:$A,HourlyTimeseries!$G:$G),"")</f>
        <v>2400</v>
      </c>
      <c r="DB54" s="50">
        <f>IFERROR(LOOKUP(DB$18,HourlyTimeseries!$A:$A,HourlyTimeseries!$G:$G),"")</f>
        <v>2400</v>
      </c>
      <c r="DC54" s="50">
        <f>IFERROR(LOOKUP(DC$18,HourlyTimeseries!$A:$A,HourlyTimeseries!$G:$G),"")</f>
        <v>2400</v>
      </c>
      <c r="DD54" s="50">
        <f>IFERROR(LOOKUP(DD$18,HourlyTimeseries!$A:$A,HourlyTimeseries!$G:$G),"")</f>
        <v>2400</v>
      </c>
      <c r="DE54" s="50">
        <f>IFERROR(LOOKUP(DE$18,HourlyTimeseries!$A:$A,HourlyTimeseries!$G:$G),"")</f>
        <v>2400</v>
      </c>
      <c r="DF54" s="50">
        <f>IFERROR(LOOKUP(DF$18,HourlyTimeseries!$A:$A,HourlyTimeseries!$G:$G),"")</f>
        <v>2400</v>
      </c>
      <c r="DG54" s="50">
        <f>IFERROR(LOOKUP(DG$18,HourlyTimeseries!$A:$A,HourlyTimeseries!$G:$G),"")</f>
        <v>2400</v>
      </c>
      <c r="DH54" s="50">
        <f>IFERROR(LOOKUP(DH$18,HourlyTimeseries!$A:$A,HourlyTimeseries!$G:$G),"")</f>
        <v>2400</v>
      </c>
      <c r="DI54" s="50">
        <f>IFERROR(LOOKUP(DI$18,HourlyTimeseries!$A:$A,HourlyTimeseries!$G:$G),"")</f>
        <v>2400</v>
      </c>
      <c r="DJ54" s="50">
        <f>IFERROR(LOOKUP(DJ$18,HourlyTimeseries!$A:$A,HourlyTimeseries!$G:$G),"")</f>
        <v>2400</v>
      </c>
      <c r="DK54" s="50">
        <f>IFERROR(LOOKUP(DK$18,HourlyTimeseries!$A:$A,HourlyTimeseries!$G:$G),"")</f>
        <v>2400</v>
      </c>
      <c r="DL54" s="50">
        <f>IFERROR(LOOKUP(DL$18,HourlyTimeseries!$A:$A,HourlyTimeseries!$G:$G),"")</f>
        <v>2400</v>
      </c>
      <c r="DM54" s="50">
        <f>IFERROR(LOOKUP(DM$18,HourlyTimeseries!$A:$A,HourlyTimeseries!$G:$G),"")</f>
        <v>2400</v>
      </c>
      <c r="DN54" s="50">
        <f>IFERROR(LOOKUP(DN$18,HourlyTimeseries!$A:$A,HourlyTimeseries!$G:$G),"")</f>
        <v>2400</v>
      </c>
      <c r="DO54" s="50">
        <f>IFERROR(LOOKUP(DO$18,HourlyTimeseries!$A:$A,HourlyTimeseries!$G:$G),"")</f>
        <v>2400</v>
      </c>
      <c r="DP54" s="50">
        <f>IFERROR(LOOKUP(DP$18,HourlyTimeseries!$A:$A,HourlyTimeseries!$G:$G),"")</f>
        <v>2400</v>
      </c>
      <c r="DQ54" s="50">
        <f>IFERROR(LOOKUP(DQ$18,HourlyTimeseries!$A:$A,HourlyTimeseries!$G:$G),"")</f>
        <v>2400</v>
      </c>
      <c r="DR54" s="50">
        <f>IFERROR(LOOKUP(DR$18,HourlyTimeseries!$A:$A,HourlyTimeseries!$G:$G),"")</f>
        <v>2400</v>
      </c>
      <c r="DS54" s="50">
        <f>IFERROR(LOOKUP(DS$18,HourlyTimeseries!$A:$A,HourlyTimeseries!$G:$G),"")</f>
        <v>2400</v>
      </c>
      <c r="DT54" s="59">
        <f>IFERROR(LOOKUP(DT$18,HourlyTimeseries!$A:$A,HourlyTimeseries!$G:$G),"")</f>
        <v>2400</v>
      </c>
      <c r="DU54" s="66">
        <f>IFERROR(LOOKUP(DU$18,HourlyTimeseries!$A:$A,HourlyTimeseries!$G:$G),"")</f>
        <v>2400</v>
      </c>
      <c r="DV54" s="50">
        <f>IFERROR(LOOKUP(DV$18,HourlyTimeseries!$A:$A,HourlyTimeseries!$G:$G),"")</f>
        <v>2400</v>
      </c>
      <c r="DW54" s="50">
        <f>IFERROR(LOOKUP(DW$18,HourlyTimeseries!$A:$A,HourlyTimeseries!$G:$G),"")</f>
        <v>2400</v>
      </c>
      <c r="DX54" s="50">
        <f>IFERROR(LOOKUP(DX$18,HourlyTimeseries!$A:$A,HourlyTimeseries!$G:$G),"")</f>
        <v>2400</v>
      </c>
      <c r="DY54" s="50">
        <f>IFERROR(LOOKUP(DY$18,HourlyTimeseries!$A:$A,HourlyTimeseries!$G:$G),"")</f>
        <v>2400</v>
      </c>
      <c r="DZ54" s="50">
        <f>IFERROR(LOOKUP(DZ$18,HourlyTimeseries!$A:$A,HourlyTimeseries!$G:$G),"")</f>
        <v>2400</v>
      </c>
      <c r="EA54" s="50">
        <f>IFERROR(LOOKUP(EA$18,HourlyTimeseries!$A:$A,HourlyTimeseries!$G:$G),"")</f>
        <v>2400</v>
      </c>
      <c r="EB54" s="50">
        <f>IFERROR(LOOKUP(EB$18,HourlyTimeseries!$A:$A,HourlyTimeseries!$G:$G),"")</f>
        <v>2400</v>
      </c>
      <c r="EC54" s="50">
        <f>IFERROR(LOOKUP(EC$18,HourlyTimeseries!$A:$A,HourlyTimeseries!$G:$G),"")</f>
        <v>2400</v>
      </c>
      <c r="ED54" s="50">
        <f>IFERROR(LOOKUP(ED$18,HourlyTimeseries!$A:$A,HourlyTimeseries!$G:$G),"")</f>
        <v>2400</v>
      </c>
      <c r="EE54" s="50">
        <f>IFERROR(LOOKUP(EE$18,HourlyTimeseries!$A:$A,HourlyTimeseries!$G:$G),"")</f>
        <v>2400</v>
      </c>
      <c r="EF54" s="50">
        <f>IFERROR(LOOKUP(EF$18,HourlyTimeseries!$A:$A,HourlyTimeseries!$G:$G),"")</f>
        <v>2400</v>
      </c>
      <c r="EG54" s="50">
        <f>IFERROR(LOOKUP(EG$18,HourlyTimeseries!$A:$A,HourlyTimeseries!$G:$G),"")</f>
        <v>2400</v>
      </c>
      <c r="EH54" s="50">
        <f>IFERROR(LOOKUP(EH$18,HourlyTimeseries!$A:$A,HourlyTimeseries!$G:$G),"")</f>
        <v>2400</v>
      </c>
      <c r="EI54" s="50">
        <f>IFERROR(LOOKUP(EI$18,HourlyTimeseries!$A:$A,HourlyTimeseries!$G:$G),"")</f>
        <v>2400</v>
      </c>
      <c r="EJ54" s="50">
        <f>IFERROR(LOOKUP(EJ$18,HourlyTimeseries!$A:$A,HourlyTimeseries!$G:$G),"")</f>
        <v>2400</v>
      </c>
      <c r="EK54" s="50">
        <f>IFERROR(LOOKUP(EK$18,HourlyTimeseries!$A:$A,HourlyTimeseries!$G:$G),"")</f>
        <v>2400</v>
      </c>
      <c r="EL54" s="50">
        <f>IFERROR(LOOKUP(EL$18,HourlyTimeseries!$A:$A,HourlyTimeseries!$G:$G),"")</f>
        <v>2400</v>
      </c>
      <c r="EM54" s="50">
        <f>IFERROR(LOOKUP(EM$18,HourlyTimeseries!$A:$A,HourlyTimeseries!$G:$G),"")</f>
        <v>2400</v>
      </c>
      <c r="EN54" s="50">
        <f>IFERROR(LOOKUP(EN$18,HourlyTimeseries!$A:$A,HourlyTimeseries!$G:$G),"")</f>
        <v>2400</v>
      </c>
      <c r="EO54" s="50">
        <f>IFERROR(LOOKUP(EO$18,HourlyTimeseries!$A:$A,HourlyTimeseries!$G:$G),"")</f>
        <v>2400</v>
      </c>
      <c r="EP54" s="50">
        <f>IFERROR(LOOKUP(EP$18,HourlyTimeseries!$A:$A,HourlyTimeseries!$G:$G),"")</f>
        <v>2400</v>
      </c>
      <c r="EQ54" s="50">
        <f>IFERROR(LOOKUP(EQ$18,HourlyTimeseries!$A:$A,HourlyTimeseries!$G:$G),"")</f>
        <v>2400</v>
      </c>
      <c r="ER54" s="59">
        <f>IFERROR(LOOKUP(ER$18,HourlyTimeseries!$A:$A,HourlyTimeseries!$G:$G),"")</f>
        <v>2400</v>
      </c>
      <c r="ES54" s="66">
        <f>IFERROR(LOOKUP(ES$18,HourlyTimeseries!$A:$A,HourlyTimeseries!$G:$G),"")</f>
        <v>2400</v>
      </c>
      <c r="ET54" s="50">
        <f>IFERROR(LOOKUP(ET$18,HourlyTimeseries!$A:$A,HourlyTimeseries!$G:$G),"")</f>
        <v>2400</v>
      </c>
      <c r="EU54" s="50">
        <f>IFERROR(LOOKUP(EU$18,HourlyTimeseries!$A:$A,HourlyTimeseries!$G:$G),"")</f>
        <v>2400</v>
      </c>
      <c r="EV54" s="50">
        <f>IFERROR(LOOKUP(EV$18,HourlyTimeseries!$A:$A,HourlyTimeseries!$G:$G),"")</f>
        <v>2400</v>
      </c>
      <c r="EW54" s="50">
        <f>IFERROR(LOOKUP(EW$18,HourlyTimeseries!$A:$A,HourlyTimeseries!$G:$G),"")</f>
        <v>2400</v>
      </c>
      <c r="EX54" s="50">
        <f>IFERROR(LOOKUP(EX$18,HourlyTimeseries!$A:$A,HourlyTimeseries!$G:$G),"")</f>
        <v>2400</v>
      </c>
      <c r="EY54" s="50">
        <f>IFERROR(LOOKUP(EY$18,HourlyTimeseries!$A:$A,HourlyTimeseries!$G:$G),"")</f>
        <v>2400</v>
      </c>
      <c r="EZ54" s="50">
        <f>IFERROR(LOOKUP(EZ$18,HourlyTimeseries!$A:$A,HourlyTimeseries!$G:$G),"")</f>
        <v>2400</v>
      </c>
      <c r="FA54" s="50">
        <f>IFERROR(LOOKUP(FA$18,HourlyTimeseries!$A:$A,HourlyTimeseries!$G:$G),"")</f>
        <v>2400</v>
      </c>
      <c r="FB54" s="50">
        <f>IFERROR(LOOKUP(FB$18,HourlyTimeseries!$A:$A,HourlyTimeseries!$G:$G),"")</f>
        <v>2400</v>
      </c>
      <c r="FC54" s="50">
        <f>IFERROR(LOOKUP(FC$18,HourlyTimeseries!$A:$A,HourlyTimeseries!$G:$G),"")</f>
        <v>2400</v>
      </c>
      <c r="FD54" s="50">
        <f>IFERROR(LOOKUP(FD$18,HourlyTimeseries!$A:$A,HourlyTimeseries!$G:$G),"")</f>
        <v>2400</v>
      </c>
      <c r="FE54" s="50">
        <f>IFERROR(LOOKUP(FE$18,HourlyTimeseries!$A:$A,HourlyTimeseries!$G:$G),"")</f>
        <v>2400</v>
      </c>
      <c r="FF54" s="50">
        <f>IFERROR(LOOKUP(FF$18,HourlyTimeseries!$A:$A,HourlyTimeseries!$G:$G),"")</f>
        <v>2400</v>
      </c>
      <c r="FG54" s="50">
        <f>IFERROR(LOOKUP(FG$18,HourlyTimeseries!$A:$A,HourlyTimeseries!$G:$G),"")</f>
        <v>2400</v>
      </c>
      <c r="FH54" s="50">
        <f>IFERROR(LOOKUP(FH$18,HourlyTimeseries!$A:$A,HourlyTimeseries!$G:$G),"")</f>
        <v>2400</v>
      </c>
      <c r="FI54" s="50">
        <f>IFERROR(LOOKUP(FI$18,HourlyTimeseries!$A:$A,HourlyTimeseries!$G:$G),"")</f>
        <v>2400</v>
      </c>
      <c r="FJ54" s="50">
        <f>IFERROR(LOOKUP(FJ$18,HourlyTimeseries!$A:$A,HourlyTimeseries!$G:$G),"")</f>
        <v>2400</v>
      </c>
      <c r="FK54" s="50">
        <f>IFERROR(LOOKUP(FK$18,HourlyTimeseries!$A:$A,HourlyTimeseries!$G:$G),"")</f>
        <v>2400</v>
      </c>
      <c r="FL54" s="50">
        <f>IFERROR(LOOKUP(FL$18,HourlyTimeseries!$A:$A,HourlyTimeseries!$G:$G),"")</f>
        <v>2400</v>
      </c>
      <c r="FM54" s="50">
        <f>IFERROR(LOOKUP(FM$18,HourlyTimeseries!$A:$A,HourlyTimeseries!$G:$G),"")</f>
        <v>2400</v>
      </c>
      <c r="FN54" s="50">
        <f>IFERROR(LOOKUP(FN$18,HourlyTimeseries!$A:$A,HourlyTimeseries!$G:$G),"")</f>
        <v>2400</v>
      </c>
      <c r="FO54" s="50">
        <f>IFERROR(LOOKUP(FO$18,HourlyTimeseries!$A:$A,HourlyTimeseries!$G:$G),"")</f>
        <v>2400</v>
      </c>
      <c r="FP54" s="59">
        <f>IFERROR(LOOKUP(FP$18,HourlyTimeseries!$A:$A,HourlyTimeseries!$G:$G),"")</f>
        <v>2400</v>
      </c>
    </row>
    <row r="55" spans="1:172">
      <c r="A55" s="15" t="s">
        <v>83</v>
      </c>
      <c r="B55" s="2" t="s">
        <v>77</v>
      </c>
      <c r="C55" s="8" t="s">
        <v>133</v>
      </c>
      <c r="D55" s="2"/>
      <c r="E55" s="50">
        <f>IFERROR(LOOKUP(E$18,HourlyTimeseries!$A:$A,HourlyTimeseries!$H:$H),"")</f>
        <v>25000</v>
      </c>
      <c r="F55" s="50">
        <f>IFERROR(LOOKUP(F$18,HourlyTimeseries!$A:$A,HourlyTimeseries!$H:$H),"")</f>
        <v>25000</v>
      </c>
      <c r="G55" s="50">
        <f>IFERROR(LOOKUP(G$18,HourlyTimeseries!$A:$A,HourlyTimeseries!$H:$H),"")</f>
        <v>25000</v>
      </c>
      <c r="H55" s="50">
        <f>IFERROR(LOOKUP(H$18,HourlyTimeseries!$A:$A,HourlyTimeseries!$H:$H),"")</f>
        <v>25000</v>
      </c>
      <c r="I55" s="50">
        <f>IFERROR(LOOKUP(I$18,HourlyTimeseries!$A:$A,HourlyTimeseries!$H:$H),"")</f>
        <v>25000</v>
      </c>
      <c r="J55" s="50">
        <f>IFERROR(LOOKUP(J$18,HourlyTimeseries!$A:$A,HourlyTimeseries!$H:$H),"")</f>
        <v>25000</v>
      </c>
      <c r="K55" s="50">
        <f>IFERROR(LOOKUP(K$18,HourlyTimeseries!$A:$A,HourlyTimeseries!$H:$H),"")</f>
        <v>25000</v>
      </c>
      <c r="L55" s="50">
        <f>IFERROR(LOOKUP(L$18,HourlyTimeseries!$A:$A,HourlyTimeseries!$H:$H),"")</f>
        <v>25000</v>
      </c>
      <c r="M55" s="50">
        <f>IFERROR(LOOKUP(M$18,HourlyTimeseries!$A:$A,HourlyTimeseries!$H:$H),"")</f>
        <v>25000</v>
      </c>
      <c r="N55" s="50">
        <f>IFERROR(LOOKUP(N$18,HourlyTimeseries!$A:$A,HourlyTimeseries!$H:$H),"")</f>
        <v>25000</v>
      </c>
      <c r="O55" s="50">
        <f>IFERROR(LOOKUP(O$18,HourlyTimeseries!$A:$A,HourlyTimeseries!$H:$H),"")</f>
        <v>25000</v>
      </c>
      <c r="P55" s="50">
        <f>IFERROR(LOOKUP(P$18,HourlyTimeseries!$A:$A,HourlyTimeseries!$H:$H),"")</f>
        <v>25000</v>
      </c>
      <c r="Q55" s="50">
        <f>IFERROR(LOOKUP(Q$18,HourlyTimeseries!$A:$A,HourlyTimeseries!$H:$H),"")</f>
        <v>25000</v>
      </c>
      <c r="R55" s="50">
        <f>IFERROR(LOOKUP(R$18,HourlyTimeseries!$A:$A,HourlyTimeseries!$H:$H),"")</f>
        <v>25000</v>
      </c>
      <c r="S55" s="50">
        <f>IFERROR(LOOKUP(S$18,HourlyTimeseries!$A:$A,HourlyTimeseries!$H:$H),"")</f>
        <v>25000</v>
      </c>
      <c r="T55" s="50">
        <f>IFERROR(LOOKUP(T$18,HourlyTimeseries!$A:$A,HourlyTimeseries!$H:$H),"")</f>
        <v>25000</v>
      </c>
      <c r="U55" s="50">
        <f>IFERROR(LOOKUP(U$18,HourlyTimeseries!$A:$A,HourlyTimeseries!$H:$H),"")</f>
        <v>25000</v>
      </c>
      <c r="V55" s="50">
        <f>IFERROR(LOOKUP(V$18,HourlyTimeseries!$A:$A,HourlyTimeseries!$H:$H),"")</f>
        <v>25000</v>
      </c>
      <c r="W55" s="50">
        <f>IFERROR(LOOKUP(W$18,HourlyTimeseries!$A:$A,HourlyTimeseries!$H:$H),"")</f>
        <v>25000</v>
      </c>
      <c r="X55" s="50">
        <f>IFERROR(LOOKUP(X$18,HourlyTimeseries!$A:$A,HourlyTimeseries!$H:$H),"")</f>
        <v>25000</v>
      </c>
      <c r="Y55" s="50">
        <f>IFERROR(LOOKUP(Y$18,HourlyTimeseries!$A:$A,HourlyTimeseries!$H:$H),"")</f>
        <v>25000</v>
      </c>
      <c r="Z55" s="50">
        <f>IFERROR(LOOKUP(Z$18,HourlyTimeseries!$A:$A,HourlyTimeseries!$H:$H),"")</f>
        <v>25000</v>
      </c>
      <c r="AA55" s="50">
        <f>IFERROR(LOOKUP(AA$18,HourlyTimeseries!$A:$A,HourlyTimeseries!$H:$H),"")</f>
        <v>25000</v>
      </c>
      <c r="AB55" s="59">
        <f>IFERROR(LOOKUP(AB$18,HourlyTimeseries!$A:$A,HourlyTimeseries!$H:$H),"")</f>
        <v>25000</v>
      </c>
      <c r="AC55" s="66">
        <f>IFERROR(LOOKUP(AC$18,HourlyTimeseries!$A:$A,HourlyTimeseries!$H:$H),"")</f>
        <v>25000</v>
      </c>
      <c r="AD55" s="50">
        <f>IFERROR(LOOKUP(AD$18,HourlyTimeseries!$A:$A,HourlyTimeseries!$H:$H),"")</f>
        <v>25000</v>
      </c>
      <c r="AE55" s="50">
        <f>IFERROR(LOOKUP(AE$18,HourlyTimeseries!$A:$A,HourlyTimeseries!$H:$H),"")</f>
        <v>25000</v>
      </c>
      <c r="AF55" s="50">
        <f>IFERROR(LOOKUP(AF$18,HourlyTimeseries!$A:$A,HourlyTimeseries!$H:$H),"")</f>
        <v>25000</v>
      </c>
      <c r="AG55" s="50">
        <f>IFERROR(LOOKUP(AG$18,HourlyTimeseries!$A:$A,HourlyTimeseries!$H:$H),"")</f>
        <v>25000</v>
      </c>
      <c r="AH55" s="50">
        <f>IFERROR(LOOKUP(AH$18,HourlyTimeseries!$A:$A,HourlyTimeseries!$H:$H),"")</f>
        <v>25000</v>
      </c>
      <c r="AI55" s="50">
        <f>IFERROR(LOOKUP(AI$18,HourlyTimeseries!$A:$A,HourlyTimeseries!$H:$H),"")</f>
        <v>25000</v>
      </c>
      <c r="AJ55" s="50">
        <f>IFERROR(LOOKUP(AJ$18,HourlyTimeseries!$A:$A,HourlyTimeseries!$H:$H),"")</f>
        <v>25000</v>
      </c>
      <c r="AK55" s="50">
        <f>IFERROR(LOOKUP(AK$18,HourlyTimeseries!$A:$A,HourlyTimeseries!$H:$H),"")</f>
        <v>25000</v>
      </c>
      <c r="AL55" s="50">
        <f>IFERROR(LOOKUP(AL$18,HourlyTimeseries!$A:$A,HourlyTimeseries!$H:$H),"")</f>
        <v>25000</v>
      </c>
      <c r="AM55" s="50">
        <f>IFERROR(LOOKUP(AM$18,HourlyTimeseries!$A:$A,HourlyTimeseries!$H:$H),"")</f>
        <v>25000</v>
      </c>
      <c r="AN55" s="50">
        <f>IFERROR(LOOKUP(AN$18,HourlyTimeseries!$A:$A,HourlyTimeseries!$H:$H),"")</f>
        <v>25000</v>
      </c>
      <c r="AO55" s="50">
        <f>IFERROR(LOOKUP(AO$18,HourlyTimeseries!$A:$A,HourlyTimeseries!$H:$H),"")</f>
        <v>25000</v>
      </c>
      <c r="AP55" s="50">
        <f>IFERROR(LOOKUP(AP$18,HourlyTimeseries!$A:$A,HourlyTimeseries!$H:$H),"")</f>
        <v>25000</v>
      </c>
      <c r="AQ55" s="50">
        <f>IFERROR(LOOKUP(AQ$18,HourlyTimeseries!$A:$A,HourlyTimeseries!$H:$H),"")</f>
        <v>25000</v>
      </c>
      <c r="AR55" s="50">
        <f>IFERROR(LOOKUP(AR$18,HourlyTimeseries!$A:$A,HourlyTimeseries!$H:$H),"")</f>
        <v>25000</v>
      </c>
      <c r="AS55" s="50">
        <f>IFERROR(LOOKUP(AS$18,HourlyTimeseries!$A:$A,HourlyTimeseries!$H:$H),"")</f>
        <v>25000</v>
      </c>
      <c r="AT55" s="50">
        <f>IFERROR(LOOKUP(AT$18,HourlyTimeseries!$A:$A,HourlyTimeseries!$H:$H),"")</f>
        <v>25000</v>
      </c>
      <c r="AU55" s="50">
        <f>IFERROR(LOOKUP(AU$18,HourlyTimeseries!$A:$A,HourlyTimeseries!$H:$H),"")</f>
        <v>25000</v>
      </c>
      <c r="AV55" s="50">
        <f>IFERROR(LOOKUP(AV$18,HourlyTimeseries!$A:$A,HourlyTimeseries!$H:$H),"")</f>
        <v>25000</v>
      </c>
      <c r="AW55" s="50">
        <f>IFERROR(LOOKUP(AW$18,HourlyTimeseries!$A:$A,HourlyTimeseries!$H:$H),"")</f>
        <v>25000</v>
      </c>
      <c r="AX55" s="50">
        <f>IFERROR(LOOKUP(AX$18,HourlyTimeseries!$A:$A,HourlyTimeseries!$H:$H),"")</f>
        <v>25000</v>
      </c>
      <c r="AY55" s="50">
        <f>IFERROR(LOOKUP(AY$18,HourlyTimeseries!$A:$A,HourlyTimeseries!$H:$H),"")</f>
        <v>25000</v>
      </c>
      <c r="AZ55" s="59">
        <f>IFERROR(LOOKUP(AZ$18,HourlyTimeseries!$A:$A,HourlyTimeseries!$H:$H),"")</f>
        <v>25000</v>
      </c>
      <c r="BA55" s="66">
        <f>IFERROR(LOOKUP(BA$18,HourlyTimeseries!$A:$A,HourlyTimeseries!$H:$H),"")</f>
        <v>25000</v>
      </c>
      <c r="BB55" s="50">
        <f>IFERROR(LOOKUP(BB$18,HourlyTimeseries!$A:$A,HourlyTimeseries!$H:$H),"")</f>
        <v>25000</v>
      </c>
      <c r="BC55" s="50">
        <f>IFERROR(LOOKUP(BC$18,HourlyTimeseries!$A:$A,HourlyTimeseries!$H:$H),"")</f>
        <v>25000</v>
      </c>
      <c r="BD55" s="50">
        <f>IFERROR(LOOKUP(BD$18,HourlyTimeseries!$A:$A,HourlyTimeseries!$H:$H),"")</f>
        <v>25000</v>
      </c>
      <c r="BE55" s="50">
        <f>IFERROR(LOOKUP(BE$18,HourlyTimeseries!$A:$A,HourlyTimeseries!$H:$H),"")</f>
        <v>25000</v>
      </c>
      <c r="BF55" s="50">
        <f>IFERROR(LOOKUP(BF$18,HourlyTimeseries!$A:$A,HourlyTimeseries!$H:$H),"")</f>
        <v>25000</v>
      </c>
      <c r="BG55" s="50">
        <f>IFERROR(LOOKUP(BG$18,HourlyTimeseries!$A:$A,HourlyTimeseries!$H:$H),"")</f>
        <v>25000</v>
      </c>
      <c r="BH55" s="50">
        <f>IFERROR(LOOKUP(BH$18,HourlyTimeseries!$A:$A,HourlyTimeseries!$H:$H),"")</f>
        <v>25000</v>
      </c>
      <c r="BI55" s="50">
        <f>IFERROR(LOOKUP(BI$18,HourlyTimeseries!$A:$A,HourlyTimeseries!$H:$H),"")</f>
        <v>25000</v>
      </c>
      <c r="BJ55" s="50">
        <f>IFERROR(LOOKUP(BJ$18,HourlyTimeseries!$A:$A,HourlyTimeseries!$H:$H),"")</f>
        <v>25000</v>
      </c>
      <c r="BK55" s="50">
        <f>IFERROR(LOOKUP(BK$18,HourlyTimeseries!$A:$A,HourlyTimeseries!$H:$H),"")</f>
        <v>25000</v>
      </c>
      <c r="BL55" s="50">
        <f>IFERROR(LOOKUP(BL$18,HourlyTimeseries!$A:$A,HourlyTimeseries!$H:$H),"")</f>
        <v>25000</v>
      </c>
      <c r="BM55" s="50">
        <f>IFERROR(LOOKUP(BM$18,HourlyTimeseries!$A:$A,HourlyTimeseries!$H:$H),"")</f>
        <v>25000</v>
      </c>
      <c r="BN55" s="50">
        <f>IFERROR(LOOKUP(BN$18,HourlyTimeseries!$A:$A,HourlyTimeseries!$H:$H),"")</f>
        <v>25000</v>
      </c>
      <c r="BO55" s="50">
        <f>IFERROR(LOOKUP(BO$18,HourlyTimeseries!$A:$A,HourlyTimeseries!$H:$H),"")</f>
        <v>25000</v>
      </c>
      <c r="BP55" s="50">
        <f>IFERROR(LOOKUP(BP$18,HourlyTimeseries!$A:$A,HourlyTimeseries!$H:$H),"")</f>
        <v>25000</v>
      </c>
      <c r="BQ55" s="50">
        <f>IFERROR(LOOKUP(BQ$18,HourlyTimeseries!$A:$A,HourlyTimeseries!$H:$H),"")</f>
        <v>25000</v>
      </c>
      <c r="BR55" s="50">
        <f>IFERROR(LOOKUP(BR$18,HourlyTimeseries!$A:$A,HourlyTimeseries!$H:$H),"")</f>
        <v>25000</v>
      </c>
      <c r="BS55" s="50">
        <f>IFERROR(LOOKUP(BS$18,HourlyTimeseries!$A:$A,HourlyTimeseries!$H:$H),"")</f>
        <v>25000</v>
      </c>
      <c r="BT55" s="50">
        <f>IFERROR(LOOKUP(BT$18,HourlyTimeseries!$A:$A,HourlyTimeseries!$H:$H),"")</f>
        <v>25000</v>
      </c>
      <c r="BU55" s="50">
        <f>IFERROR(LOOKUP(BU$18,HourlyTimeseries!$A:$A,HourlyTimeseries!$H:$H),"")</f>
        <v>25000</v>
      </c>
      <c r="BV55" s="50">
        <f>IFERROR(LOOKUP(BV$18,HourlyTimeseries!$A:$A,HourlyTimeseries!$H:$H),"")</f>
        <v>25000</v>
      </c>
      <c r="BW55" s="50">
        <f>IFERROR(LOOKUP(BW$18,HourlyTimeseries!$A:$A,HourlyTimeseries!$H:$H),"")</f>
        <v>25000</v>
      </c>
      <c r="BX55" s="59">
        <f>IFERROR(LOOKUP(BX$18,HourlyTimeseries!$A:$A,HourlyTimeseries!$H:$H),"")</f>
        <v>25000</v>
      </c>
      <c r="BY55" s="66">
        <f>IFERROR(LOOKUP(BY$18,HourlyTimeseries!$A:$A,HourlyTimeseries!$H:$H),"")</f>
        <v>25000</v>
      </c>
      <c r="BZ55" s="50">
        <f>IFERROR(LOOKUP(BZ$18,HourlyTimeseries!$A:$A,HourlyTimeseries!$H:$H),"")</f>
        <v>25000</v>
      </c>
      <c r="CA55" s="50">
        <f>IFERROR(LOOKUP(CA$18,HourlyTimeseries!$A:$A,HourlyTimeseries!$H:$H),"")</f>
        <v>25000</v>
      </c>
      <c r="CB55" s="50">
        <f>IFERROR(LOOKUP(CB$18,HourlyTimeseries!$A:$A,HourlyTimeseries!$H:$H),"")</f>
        <v>25000</v>
      </c>
      <c r="CC55" s="50">
        <f>IFERROR(LOOKUP(CC$18,HourlyTimeseries!$A:$A,HourlyTimeseries!$H:$H),"")</f>
        <v>25000</v>
      </c>
      <c r="CD55" s="50">
        <f>IFERROR(LOOKUP(CD$18,HourlyTimeseries!$A:$A,HourlyTimeseries!$H:$H),"")</f>
        <v>25000</v>
      </c>
      <c r="CE55" s="50">
        <f>IFERROR(LOOKUP(CE$18,HourlyTimeseries!$A:$A,HourlyTimeseries!$H:$H),"")</f>
        <v>25000</v>
      </c>
      <c r="CF55" s="50">
        <f>IFERROR(LOOKUP(CF$18,HourlyTimeseries!$A:$A,HourlyTimeseries!$H:$H),"")</f>
        <v>25000</v>
      </c>
      <c r="CG55" s="50">
        <f>IFERROR(LOOKUP(CG$18,HourlyTimeseries!$A:$A,HourlyTimeseries!$H:$H),"")</f>
        <v>25000</v>
      </c>
      <c r="CH55" s="50">
        <f>IFERROR(LOOKUP(CH$18,HourlyTimeseries!$A:$A,HourlyTimeseries!$H:$H),"")</f>
        <v>25000</v>
      </c>
      <c r="CI55" s="50">
        <f>IFERROR(LOOKUP(CI$18,HourlyTimeseries!$A:$A,HourlyTimeseries!$H:$H),"")</f>
        <v>25000</v>
      </c>
      <c r="CJ55" s="50">
        <f>IFERROR(LOOKUP(CJ$18,HourlyTimeseries!$A:$A,HourlyTimeseries!$H:$H),"")</f>
        <v>25000</v>
      </c>
      <c r="CK55" s="50">
        <f>IFERROR(LOOKUP(CK$18,HourlyTimeseries!$A:$A,HourlyTimeseries!$H:$H),"")</f>
        <v>25000</v>
      </c>
      <c r="CL55" s="50">
        <f>IFERROR(LOOKUP(CL$18,HourlyTimeseries!$A:$A,HourlyTimeseries!$H:$H),"")</f>
        <v>25000</v>
      </c>
      <c r="CM55" s="50">
        <f>IFERROR(LOOKUP(CM$18,HourlyTimeseries!$A:$A,HourlyTimeseries!$H:$H),"")</f>
        <v>25000</v>
      </c>
      <c r="CN55" s="50">
        <f>IFERROR(LOOKUP(CN$18,HourlyTimeseries!$A:$A,HourlyTimeseries!$H:$H),"")</f>
        <v>25000</v>
      </c>
      <c r="CO55" s="50">
        <f>IFERROR(LOOKUP(CO$18,HourlyTimeseries!$A:$A,HourlyTimeseries!$H:$H),"")</f>
        <v>25000</v>
      </c>
      <c r="CP55" s="50">
        <f>IFERROR(LOOKUP(CP$18,HourlyTimeseries!$A:$A,HourlyTimeseries!$H:$H),"")</f>
        <v>25000</v>
      </c>
      <c r="CQ55" s="50">
        <f>IFERROR(LOOKUP(CQ$18,HourlyTimeseries!$A:$A,HourlyTimeseries!$H:$H),"")</f>
        <v>25000</v>
      </c>
      <c r="CR55" s="50">
        <f>IFERROR(LOOKUP(CR$18,HourlyTimeseries!$A:$A,HourlyTimeseries!$H:$H),"")</f>
        <v>25000</v>
      </c>
      <c r="CS55" s="50">
        <f>IFERROR(LOOKUP(CS$18,HourlyTimeseries!$A:$A,HourlyTimeseries!$H:$H),"")</f>
        <v>25000</v>
      </c>
      <c r="CT55" s="50">
        <f>IFERROR(LOOKUP(CT$18,HourlyTimeseries!$A:$A,HourlyTimeseries!$H:$H),"")</f>
        <v>25000</v>
      </c>
      <c r="CU55" s="50">
        <f>IFERROR(LOOKUP(CU$18,HourlyTimeseries!$A:$A,HourlyTimeseries!$H:$H),"")</f>
        <v>25000</v>
      </c>
      <c r="CV55" s="59">
        <f>IFERROR(LOOKUP(CV$18,HourlyTimeseries!$A:$A,HourlyTimeseries!$H:$H),"")</f>
        <v>25000</v>
      </c>
      <c r="CW55" s="66">
        <f>IFERROR(LOOKUP(CW$18,HourlyTimeseries!$A:$A,HourlyTimeseries!$H:$H),"")</f>
        <v>25000</v>
      </c>
      <c r="CX55" s="50">
        <f>IFERROR(LOOKUP(CX$18,HourlyTimeseries!$A:$A,HourlyTimeseries!$H:$H),"")</f>
        <v>25000</v>
      </c>
      <c r="CY55" s="50">
        <f>IFERROR(LOOKUP(CY$18,HourlyTimeseries!$A:$A,HourlyTimeseries!$H:$H),"")</f>
        <v>25000</v>
      </c>
      <c r="CZ55" s="50">
        <f>IFERROR(LOOKUP(CZ$18,HourlyTimeseries!$A:$A,HourlyTimeseries!$H:$H),"")</f>
        <v>25000</v>
      </c>
      <c r="DA55" s="50">
        <f>IFERROR(LOOKUP(DA$18,HourlyTimeseries!$A:$A,HourlyTimeseries!$H:$H),"")</f>
        <v>25000</v>
      </c>
      <c r="DB55" s="50">
        <f>IFERROR(LOOKUP(DB$18,HourlyTimeseries!$A:$A,HourlyTimeseries!$H:$H),"")</f>
        <v>25000</v>
      </c>
      <c r="DC55" s="50">
        <f>IFERROR(LOOKUP(DC$18,HourlyTimeseries!$A:$A,HourlyTimeseries!$H:$H),"")</f>
        <v>25000</v>
      </c>
      <c r="DD55" s="50">
        <f>IFERROR(LOOKUP(DD$18,HourlyTimeseries!$A:$A,HourlyTimeseries!$H:$H),"")</f>
        <v>25000</v>
      </c>
      <c r="DE55" s="50">
        <f>IFERROR(LOOKUP(DE$18,HourlyTimeseries!$A:$A,HourlyTimeseries!$H:$H),"")</f>
        <v>25000</v>
      </c>
      <c r="DF55" s="50">
        <f>IFERROR(LOOKUP(DF$18,HourlyTimeseries!$A:$A,HourlyTimeseries!$H:$H),"")</f>
        <v>25000</v>
      </c>
      <c r="DG55" s="50">
        <f>IFERROR(LOOKUP(DG$18,HourlyTimeseries!$A:$A,HourlyTimeseries!$H:$H),"")</f>
        <v>25000</v>
      </c>
      <c r="DH55" s="50">
        <f>IFERROR(LOOKUP(DH$18,HourlyTimeseries!$A:$A,HourlyTimeseries!$H:$H),"")</f>
        <v>25000</v>
      </c>
      <c r="DI55" s="50">
        <f>IFERROR(LOOKUP(DI$18,HourlyTimeseries!$A:$A,HourlyTimeseries!$H:$H),"")</f>
        <v>25000</v>
      </c>
      <c r="DJ55" s="50">
        <f>IFERROR(LOOKUP(DJ$18,HourlyTimeseries!$A:$A,HourlyTimeseries!$H:$H),"")</f>
        <v>25000</v>
      </c>
      <c r="DK55" s="50">
        <f>IFERROR(LOOKUP(DK$18,HourlyTimeseries!$A:$A,HourlyTimeseries!$H:$H),"")</f>
        <v>25000</v>
      </c>
      <c r="DL55" s="50">
        <f>IFERROR(LOOKUP(DL$18,HourlyTimeseries!$A:$A,HourlyTimeseries!$H:$H),"")</f>
        <v>25000</v>
      </c>
      <c r="DM55" s="50">
        <f>IFERROR(LOOKUP(DM$18,HourlyTimeseries!$A:$A,HourlyTimeseries!$H:$H),"")</f>
        <v>25000</v>
      </c>
      <c r="DN55" s="50">
        <f>IFERROR(LOOKUP(DN$18,HourlyTimeseries!$A:$A,HourlyTimeseries!$H:$H),"")</f>
        <v>25000</v>
      </c>
      <c r="DO55" s="50">
        <f>IFERROR(LOOKUP(DO$18,HourlyTimeseries!$A:$A,HourlyTimeseries!$H:$H),"")</f>
        <v>25000</v>
      </c>
      <c r="DP55" s="50">
        <f>IFERROR(LOOKUP(DP$18,HourlyTimeseries!$A:$A,HourlyTimeseries!$H:$H),"")</f>
        <v>25000</v>
      </c>
      <c r="DQ55" s="50">
        <f>IFERROR(LOOKUP(DQ$18,HourlyTimeseries!$A:$A,HourlyTimeseries!$H:$H),"")</f>
        <v>25000</v>
      </c>
      <c r="DR55" s="50">
        <f>IFERROR(LOOKUP(DR$18,HourlyTimeseries!$A:$A,HourlyTimeseries!$H:$H),"")</f>
        <v>25000</v>
      </c>
      <c r="DS55" s="50">
        <f>IFERROR(LOOKUP(DS$18,HourlyTimeseries!$A:$A,HourlyTimeseries!$H:$H),"")</f>
        <v>25000</v>
      </c>
      <c r="DT55" s="59">
        <f>IFERROR(LOOKUP(DT$18,HourlyTimeseries!$A:$A,HourlyTimeseries!$H:$H),"")</f>
        <v>25000</v>
      </c>
      <c r="DU55" s="66">
        <f>IFERROR(LOOKUP(DU$18,HourlyTimeseries!$A:$A,HourlyTimeseries!$H:$H),"")</f>
        <v>25000</v>
      </c>
      <c r="DV55" s="50">
        <f>IFERROR(LOOKUP(DV$18,HourlyTimeseries!$A:$A,HourlyTimeseries!$H:$H),"")</f>
        <v>25000</v>
      </c>
      <c r="DW55" s="50">
        <f>IFERROR(LOOKUP(DW$18,HourlyTimeseries!$A:$A,HourlyTimeseries!$H:$H),"")</f>
        <v>25000</v>
      </c>
      <c r="DX55" s="50">
        <f>IFERROR(LOOKUP(DX$18,HourlyTimeseries!$A:$A,HourlyTimeseries!$H:$H),"")</f>
        <v>25000</v>
      </c>
      <c r="DY55" s="50">
        <f>IFERROR(LOOKUP(DY$18,HourlyTimeseries!$A:$A,HourlyTimeseries!$H:$H),"")</f>
        <v>25000</v>
      </c>
      <c r="DZ55" s="50">
        <f>IFERROR(LOOKUP(DZ$18,HourlyTimeseries!$A:$A,HourlyTimeseries!$H:$H),"")</f>
        <v>25000</v>
      </c>
      <c r="EA55" s="50">
        <f>IFERROR(LOOKUP(EA$18,HourlyTimeseries!$A:$A,HourlyTimeseries!$H:$H),"")</f>
        <v>25000</v>
      </c>
      <c r="EB55" s="50">
        <f>IFERROR(LOOKUP(EB$18,HourlyTimeseries!$A:$A,HourlyTimeseries!$H:$H),"")</f>
        <v>25000</v>
      </c>
      <c r="EC55" s="50">
        <f>IFERROR(LOOKUP(EC$18,HourlyTimeseries!$A:$A,HourlyTimeseries!$H:$H),"")</f>
        <v>25000</v>
      </c>
      <c r="ED55" s="50">
        <f>IFERROR(LOOKUP(ED$18,HourlyTimeseries!$A:$A,HourlyTimeseries!$H:$H),"")</f>
        <v>25000</v>
      </c>
      <c r="EE55" s="50">
        <f>IFERROR(LOOKUP(EE$18,HourlyTimeseries!$A:$A,HourlyTimeseries!$H:$H),"")</f>
        <v>25000</v>
      </c>
      <c r="EF55" s="50">
        <f>IFERROR(LOOKUP(EF$18,HourlyTimeseries!$A:$A,HourlyTimeseries!$H:$H),"")</f>
        <v>25000</v>
      </c>
      <c r="EG55" s="50">
        <f>IFERROR(LOOKUP(EG$18,HourlyTimeseries!$A:$A,HourlyTimeseries!$H:$H),"")</f>
        <v>25000</v>
      </c>
      <c r="EH55" s="50">
        <f>IFERROR(LOOKUP(EH$18,HourlyTimeseries!$A:$A,HourlyTimeseries!$H:$H),"")</f>
        <v>25000</v>
      </c>
      <c r="EI55" s="50">
        <f>IFERROR(LOOKUP(EI$18,HourlyTimeseries!$A:$A,HourlyTimeseries!$H:$H),"")</f>
        <v>25000</v>
      </c>
      <c r="EJ55" s="50">
        <f>IFERROR(LOOKUP(EJ$18,HourlyTimeseries!$A:$A,HourlyTimeseries!$H:$H),"")</f>
        <v>25000</v>
      </c>
      <c r="EK55" s="50">
        <f>IFERROR(LOOKUP(EK$18,HourlyTimeseries!$A:$A,HourlyTimeseries!$H:$H),"")</f>
        <v>25000</v>
      </c>
      <c r="EL55" s="50">
        <f>IFERROR(LOOKUP(EL$18,HourlyTimeseries!$A:$A,HourlyTimeseries!$H:$H),"")</f>
        <v>25000</v>
      </c>
      <c r="EM55" s="50">
        <f>IFERROR(LOOKUP(EM$18,HourlyTimeseries!$A:$A,HourlyTimeseries!$H:$H),"")</f>
        <v>25000</v>
      </c>
      <c r="EN55" s="50">
        <f>IFERROR(LOOKUP(EN$18,HourlyTimeseries!$A:$A,HourlyTimeseries!$H:$H),"")</f>
        <v>25000</v>
      </c>
      <c r="EO55" s="50">
        <f>IFERROR(LOOKUP(EO$18,HourlyTimeseries!$A:$A,HourlyTimeseries!$H:$H),"")</f>
        <v>25000</v>
      </c>
      <c r="EP55" s="50">
        <f>IFERROR(LOOKUP(EP$18,HourlyTimeseries!$A:$A,HourlyTimeseries!$H:$H),"")</f>
        <v>25000</v>
      </c>
      <c r="EQ55" s="50">
        <f>IFERROR(LOOKUP(EQ$18,HourlyTimeseries!$A:$A,HourlyTimeseries!$H:$H),"")</f>
        <v>25000</v>
      </c>
      <c r="ER55" s="59">
        <f>IFERROR(LOOKUP(ER$18,HourlyTimeseries!$A:$A,HourlyTimeseries!$H:$H),"")</f>
        <v>25000</v>
      </c>
      <c r="ES55" s="66">
        <f>IFERROR(LOOKUP(ES$18,HourlyTimeseries!$A:$A,HourlyTimeseries!$H:$H),"")</f>
        <v>25000</v>
      </c>
      <c r="ET55" s="50">
        <f>IFERROR(LOOKUP(ET$18,HourlyTimeseries!$A:$A,HourlyTimeseries!$H:$H),"")</f>
        <v>25000</v>
      </c>
      <c r="EU55" s="50">
        <f>IFERROR(LOOKUP(EU$18,HourlyTimeseries!$A:$A,HourlyTimeseries!$H:$H),"")</f>
        <v>25000</v>
      </c>
      <c r="EV55" s="50">
        <f>IFERROR(LOOKUP(EV$18,HourlyTimeseries!$A:$A,HourlyTimeseries!$H:$H),"")</f>
        <v>25000</v>
      </c>
      <c r="EW55" s="50">
        <f>IFERROR(LOOKUP(EW$18,HourlyTimeseries!$A:$A,HourlyTimeseries!$H:$H),"")</f>
        <v>25000</v>
      </c>
      <c r="EX55" s="50">
        <f>IFERROR(LOOKUP(EX$18,HourlyTimeseries!$A:$A,HourlyTimeseries!$H:$H),"")</f>
        <v>25000</v>
      </c>
      <c r="EY55" s="50">
        <f>IFERROR(LOOKUP(EY$18,HourlyTimeseries!$A:$A,HourlyTimeseries!$H:$H),"")</f>
        <v>25000</v>
      </c>
      <c r="EZ55" s="50">
        <f>IFERROR(LOOKUP(EZ$18,HourlyTimeseries!$A:$A,HourlyTimeseries!$H:$H),"")</f>
        <v>25000</v>
      </c>
      <c r="FA55" s="50">
        <f>IFERROR(LOOKUP(FA$18,HourlyTimeseries!$A:$A,HourlyTimeseries!$H:$H),"")</f>
        <v>25000</v>
      </c>
      <c r="FB55" s="50">
        <f>IFERROR(LOOKUP(FB$18,HourlyTimeseries!$A:$A,HourlyTimeseries!$H:$H),"")</f>
        <v>25000</v>
      </c>
      <c r="FC55" s="50">
        <f>IFERROR(LOOKUP(FC$18,HourlyTimeseries!$A:$A,HourlyTimeseries!$H:$H),"")</f>
        <v>25000</v>
      </c>
      <c r="FD55" s="50">
        <f>IFERROR(LOOKUP(FD$18,HourlyTimeseries!$A:$A,HourlyTimeseries!$H:$H),"")</f>
        <v>25000</v>
      </c>
      <c r="FE55" s="50">
        <f>IFERROR(LOOKUP(FE$18,HourlyTimeseries!$A:$A,HourlyTimeseries!$H:$H),"")</f>
        <v>25000</v>
      </c>
      <c r="FF55" s="50">
        <f>IFERROR(LOOKUP(FF$18,HourlyTimeseries!$A:$A,HourlyTimeseries!$H:$H),"")</f>
        <v>25000</v>
      </c>
      <c r="FG55" s="50">
        <f>IFERROR(LOOKUP(FG$18,HourlyTimeseries!$A:$A,HourlyTimeseries!$H:$H),"")</f>
        <v>25000</v>
      </c>
      <c r="FH55" s="50">
        <f>IFERROR(LOOKUP(FH$18,HourlyTimeseries!$A:$A,HourlyTimeseries!$H:$H),"")</f>
        <v>25000</v>
      </c>
      <c r="FI55" s="50">
        <f>IFERROR(LOOKUP(FI$18,HourlyTimeseries!$A:$A,HourlyTimeseries!$H:$H),"")</f>
        <v>25000</v>
      </c>
      <c r="FJ55" s="50">
        <f>IFERROR(LOOKUP(FJ$18,HourlyTimeseries!$A:$A,HourlyTimeseries!$H:$H),"")</f>
        <v>25000</v>
      </c>
      <c r="FK55" s="50">
        <f>IFERROR(LOOKUP(FK$18,HourlyTimeseries!$A:$A,HourlyTimeseries!$H:$H),"")</f>
        <v>25000</v>
      </c>
      <c r="FL55" s="50">
        <f>IFERROR(LOOKUP(FL$18,HourlyTimeseries!$A:$A,HourlyTimeseries!$H:$H),"")</f>
        <v>25000</v>
      </c>
      <c r="FM55" s="50">
        <f>IFERROR(LOOKUP(FM$18,HourlyTimeseries!$A:$A,HourlyTimeseries!$H:$H),"")</f>
        <v>25000</v>
      </c>
      <c r="FN55" s="50">
        <f>IFERROR(LOOKUP(FN$18,HourlyTimeseries!$A:$A,HourlyTimeseries!$H:$H),"")</f>
        <v>25000</v>
      </c>
      <c r="FO55" s="50">
        <f>IFERROR(LOOKUP(FO$18,HourlyTimeseries!$A:$A,HourlyTimeseries!$H:$H),"")</f>
        <v>25000</v>
      </c>
      <c r="FP55" s="59">
        <f>IFERROR(LOOKUP(FP$18,HourlyTimeseries!$A:$A,HourlyTimeseries!$H:$H),"")</f>
        <v>25000</v>
      </c>
    </row>
    <row r="56" spans="1:172" ht="15.75" customHeight="1">
      <c r="A56" s="28" t="s">
        <v>104</v>
      </c>
      <c r="B56" s="2" t="s">
        <v>100</v>
      </c>
      <c r="C56" s="8" t="s">
        <v>133</v>
      </c>
      <c r="D56" s="4" t="b">
        <v>0</v>
      </c>
      <c r="E56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7" spans="1:172" ht="15.75" customHeight="1" thickBot="1">
      <c r="A57" s="16" t="s">
        <v>124</v>
      </c>
      <c r="B57" s="2" t="s">
        <v>96</v>
      </c>
      <c r="C57" s="2"/>
      <c r="D57" s="4" t="b">
        <v>1</v>
      </c>
    </row>
    <row r="58" spans="1:172">
      <c r="A58" s="15" t="s">
        <v>72</v>
      </c>
      <c r="B58" s="2" t="s">
        <v>66</v>
      </c>
      <c r="C58" s="8" t="s">
        <v>133</v>
      </c>
      <c r="D58" s="8">
        <v>4000</v>
      </c>
    </row>
    <row r="59" spans="1:172">
      <c r="A59" s="15" t="s">
        <v>73</v>
      </c>
      <c r="B59" s="2" t="s">
        <v>67</v>
      </c>
      <c r="C59" s="8" t="s">
        <v>133</v>
      </c>
      <c r="D59" s="8">
        <v>2500</v>
      </c>
    </row>
    <row r="60" spans="1:172">
      <c r="A60" s="15" t="s">
        <v>84</v>
      </c>
      <c r="B60" s="2" t="s">
        <v>78</v>
      </c>
      <c r="C60" s="8" t="s">
        <v>133</v>
      </c>
      <c r="D60" s="2"/>
      <c r="E60" s="50">
        <f>IFERROR(LOOKUP(E$18,HourlyTimeseries!$A:$A,HourlyTimeseries!$I:$I),"")</f>
        <v>5000</v>
      </c>
      <c r="F60" s="50">
        <f>IFERROR(LOOKUP(F$18,HourlyTimeseries!$A:$A,HourlyTimeseries!$I:$I),"")</f>
        <v>5000</v>
      </c>
      <c r="G60" s="50">
        <f>IFERROR(LOOKUP(G$18,HourlyTimeseries!$A:$A,HourlyTimeseries!$I:$I),"")</f>
        <v>5000</v>
      </c>
      <c r="H60" s="50">
        <f>IFERROR(LOOKUP(H$18,HourlyTimeseries!$A:$A,HourlyTimeseries!$I:$I),"")</f>
        <v>5000</v>
      </c>
      <c r="I60" s="50">
        <f>IFERROR(LOOKUP(I$18,HourlyTimeseries!$A:$A,HourlyTimeseries!$I:$I),"")</f>
        <v>5000</v>
      </c>
      <c r="J60" s="50">
        <f>IFERROR(LOOKUP(J$18,HourlyTimeseries!$A:$A,HourlyTimeseries!$I:$I),"")</f>
        <v>5000</v>
      </c>
      <c r="K60" s="50">
        <f>IFERROR(LOOKUP(K$18,HourlyTimeseries!$A:$A,HourlyTimeseries!$I:$I),"")</f>
        <v>8000</v>
      </c>
      <c r="L60" s="50">
        <f>IFERROR(LOOKUP(L$18,HourlyTimeseries!$A:$A,HourlyTimeseries!$I:$I),"")</f>
        <v>8000</v>
      </c>
      <c r="M60" s="50">
        <f>IFERROR(LOOKUP(M$18,HourlyTimeseries!$A:$A,HourlyTimeseries!$I:$I),"")</f>
        <v>8000</v>
      </c>
      <c r="N60" s="50">
        <f>IFERROR(LOOKUP(N$18,HourlyTimeseries!$A:$A,HourlyTimeseries!$I:$I),"")</f>
        <v>8000</v>
      </c>
      <c r="O60" s="50">
        <f>IFERROR(LOOKUP(O$18,HourlyTimeseries!$A:$A,HourlyTimeseries!$I:$I),"")</f>
        <v>8000</v>
      </c>
      <c r="P60" s="50">
        <f>IFERROR(LOOKUP(P$18,HourlyTimeseries!$A:$A,HourlyTimeseries!$I:$I),"")</f>
        <v>8000</v>
      </c>
      <c r="Q60" s="50">
        <f>IFERROR(LOOKUP(Q$18,HourlyTimeseries!$A:$A,HourlyTimeseries!$I:$I),"")</f>
        <v>8000</v>
      </c>
      <c r="R60" s="50">
        <f>IFERROR(LOOKUP(R$18,HourlyTimeseries!$A:$A,HourlyTimeseries!$I:$I),"")</f>
        <v>8000</v>
      </c>
      <c r="S60" s="50">
        <f>IFERROR(LOOKUP(S$18,HourlyTimeseries!$A:$A,HourlyTimeseries!$I:$I),"")</f>
        <v>8000</v>
      </c>
      <c r="T60" s="50">
        <f>IFERROR(LOOKUP(T$18,HourlyTimeseries!$A:$A,HourlyTimeseries!$I:$I),"")</f>
        <v>8000</v>
      </c>
      <c r="U60" s="50">
        <f>IFERROR(LOOKUP(U$18,HourlyTimeseries!$A:$A,HourlyTimeseries!$I:$I),"")</f>
        <v>8000</v>
      </c>
      <c r="V60" s="50">
        <f>IFERROR(LOOKUP(V$18,HourlyTimeseries!$A:$A,HourlyTimeseries!$I:$I),"")</f>
        <v>8000</v>
      </c>
      <c r="W60" s="50">
        <f>IFERROR(LOOKUP(W$18,HourlyTimeseries!$A:$A,HourlyTimeseries!$I:$I),"")</f>
        <v>5000</v>
      </c>
      <c r="X60" s="50">
        <f>IFERROR(LOOKUP(X$18,HourlyTimeseries!$A:$A,HourlyTimeseries!$I:$I),"")</f>
        <v>5000</v>
      </c>
      <c r="Y60" s="50">
        <f>IFERROR(LOOKUP(Y$18,HourlyTimeseries!$A:$A,HourlyTimeseries!$I:$I),"")</f>
        <v>5000</v>
      </c>
      <c r="Z60" s="50">
        <f>IFERROR(LOOKUP(Z$18,HourlyTimeseries!$A:$A,HourlyTimeseries!$I:$I),"")</f>
        <v>5000</v>
      </c>
      <c r="AA60" s="50">
        <f>IFERROR(LOOKUP(AA$18,HourlyTimeseries!$A:$A,HourlyTimeseries!$I:$I),"")</f>
        <v>5000</v>
      </c>
      <c r="AB60" s="59">
        <f>IFERROR(LOOKUP(AB$18,HourlyTimeseries!$A:$A,HourlyTimeseries!$I:$I),"")</f>
        <v>5000</v>
      </c>
      <c r="AC60" s="66">
        <f>IFERROR(LOOKUP(AC$18,HourlyTimeseries!$A:$A,HourlyTimeseries!$I:$I),"")</f>
        <v>5000</v>
      </c>
      <c r="AD60" s="50">
        <f>IFERROR(LOOKUP(AD$18,HourlyTimeseries!$A:$A,HourlyTimeseries!$I:$I),"")</f>
        <v>5000</v>
      </c>
      <c r="AE60" s="50">
        <f>IFERROR(LOOKUP(AE$18,HourlyTimeseries!$A:$A,HourlyTimeseries!$I:$I),"")</f>
        <v>5000</v>
      </c>
      <c r="AF60" s="50">
        <f>IFERROR(LOOKUP(AF$18,HourlyTimeseries!$A:$A,HourlyTimeseries!$I:$I),"")</f>
        <v>5000</v>
      </c>
      <c r="AG60" s="50">
        <f>IFERROR(LOOKUP(AG$18,HourlyTimeseries!$A:$A,HourlyTimeseries!$I:$I),"")</f>
        <v>5000</v>
      </c>
      <c r="AH60" s="50">
        <f>IFERROR(LOOKUP(AH$18,HourlyTimeseries!$A:$A,HourlyTimeseries!$I:$I),"")</f>
        <v>5000</v>
      </c>
      <c r="AI60" s="50">
        <f>IFERROR(LOOKUP(AI$18,HourlyTimeseries!$A:$A,HourlyTimeseries!$I:$I),"")</f>
        <v>8000</v>
      </c>
      <c r="AJ60" s="50">
        <f>IFERROR(LOOKUP(AJ$18,HourlyTimeseries!$A:$A,HourlyTimeseries!$I:$I),"")</f>
        <v>8000</v>
      </c>
      <c r="AK60" s="50">
        <f>IFERROR(LOOKUP(AK$18,HourlyTimeseries!$A:$A,HourlyTimeseries!$I:$I),"")</f>
        <v>8000</v>
      </c>
      <c r="AL60" s="50">
        <f>IFERROR(LOOKUP(AL$18,HourlyTimeseries!$A:$A,HourlyTimeseries!$I:$I),"")</f>
        <v>8000</v>
      </c>
      <c r="AM60" s="50">
        <f>IFERROR(LOOKUP(AM$18,HourlyTimeseries!$A:$A,HourlyTimeseries!$I:$I),"")</f>
        <v>8000</v>
      </c>
      <c r="AN60" s="50">
        <f>IFERROR(LOOKUP(AN$18,HourlyTimeseries!$A:$A,HourlyTimeseries!$I:$I),"")</f>
        <v>8000</v>
      </c>
      <c r="AO60" s="50">
        <f>IFERROR(LOOKUP(AO$18,HourlyTimeseries!$A:$A,HourlyTimeseries!$I:$I),"")</f>
        <v>8000</v>
      </c>
      <c r="AP60" s="50">
        <f>IFERROR(LOOKUP(AP$18,HourlyTimeseries!$A:$A,HourlyTimeseries!$I:$I),"")</f>
        <v>8000</v>
      </c>
      <c r="AQ60" s="50">
        <f>IFERROR(LOOKUP(AQ$18,HourlyTimeseries!$A:$A,HourlyTimeseries!$I:$I),"")</f>
        <v>8000</v>
      </c>
      <c r="AR60" s="50">
        <f>IFERROR(LOOKUP(AR$18,HourlyTimeseries!$A:$A,HourlyTimeseries!$I:$I),"")</f>
        <v>8000</v>
      </c>
      <c r="AS60" s="50">
        <f>IFERROR(LOOKUP(AS$18,HourlyTimeseries!$A:$A,HourlyTimeseries!$I:$I),"")</f>
        <v>8000</v>
      </c>
      <c r="AT60" s="50">
        <f>IFERROR(LOOKUP(AT$18,HourlyTimeseries!$A:$A,HourlyTimeseries!$I:$I),"")</f>
        <v>8000</v>
      </c>
      <c r="AU60" s="50">
        <f>IFERROR(LOOKUP(AU$18,HourlyTimeseries!$A:$A,HourlyTimeseries!$I:$I),"")</f>
        <v>5000</v>
      </c>
      <c r="AV60" s="50">
        <f>IFERROR(LOOKUP(AV$18,HourlyTimeseries!$A:$A,HourlyTimeseries!$I:$I),"")</f>
        <v>5000</v>
      </c>
      <c r="AW60" s="50">
        <f>IFERROR(LOOKUP(AW$18,HourlyTimeseries!$A:$A,HourlyTimeseries!$I:$I),"")</f>
        <v>5000</v>
      </c>
      <c r="AX60" s="50">
        <f>IFERROR(LOOKUP(AX$18,HourlyTimeseries!$A:$A,HourlyTimeseries!$I:$I),"")</f>
        <v>5000</v>
      </c>
      <c r="AY60" s="50">
        <f>IFERROR(LOOKUP(AY$18,HourlyTimeseries!$A:$A,HourlyTimeseries!$I:$I),"")</f>
        <v>5000</v>
      </c>
      <c r="AZ60" s="59">
        <f>IFERROR(LOOKUP(AZ$18,HourlyTimeseries!$A:$A,HourlyTimeseries!$I:$I),"")</f>
        <v>5000</v>
      </c>
      <c r="BA60" s="66">
        <f>IFERROR(LOOKUP(BA$18,HourlyTimeseries!$A:$A,HourlyTimeseries!$I:$I),"")</f>
        <v>5000</v>
      </c>
      <c r="BB60" s="50">
        <f>IFERROR(LOOKUP(BB$18,HourlyTimeseries!$A:$A,HourlyTimeseries!$I:$I),"")</f>
        <v>5000</v>
      </c>
      <c r="BC60" s="50">
        <f>IFERROR(LOOKUP(BC$18,HourlyTimeseries!$A:$A,HourlyTimeseries!$I:$I),"")</f>
        <v>5000</v>
      </c>
      <c r="BD60" s="50">
        <f>IFERROR(LOOKUP(BD$18,HourlyTimeseries!$A:$A,HourlyTimeseries!$I:$I),"")</f>
        <v>5000</v>
      </c>
      <c r="BE60" s="50">
        <f>IFERROR(LOOKUP(BE$18,HourlyTimeseries!$A:$A,HourlyTimeseries!$I:$I),"")</f>
        <v>5000</v>
      </c>
      <c r="BF60" s="50">
        <f>IFERROR(LOOKUP(BF$18,HourlyTimeseries!$A:$A,HourlyTimeseries!$I:$I),"")</f>
        <v>5000</v>
      </c>
      <c r="BG60" s="50">
        <f>IFERROR(LOOKUP(BG$18,HourlyTimeseries!$A:$A,HourlyTimeseries!$I:$I),"")</f>
        <v>8000</v>
      </c>
      <c r="BH60" s="50">
        <f>IFERROR(LOOKUP(BH$18,HourlyTimeseries!$A:$A,HourlyTimeseries!$I:$I),"")</f>
        <v>8000</v>
      </c>
      <c r="BI60" s="50">
        <f>IFERROR(LOOKUP(BI$18,HourlyTimeseries!$A:$A,HourlyTimeseries!$I:$I),"")</f>
        <v>8000</v>
      </c>
      <c r="BJ60" s="50">
        <f>IFERROR(LOOKUP(BJ$18,HourlyTimeseries!$A:$A,HourlyTimeseries!$I:$I),"")</f>
        <v>8000</v>
      </c>
      <c r="BK60" s="50">
        <f>IFERROR(LOOKUP(BK$18,HourlyTimeseries!$A:$A,HourlyTimeseries!$I:$I),"")</f>
        <v>8000</v>
      </c>
      <c r="BL60" s="50">
        <f>IFERROR(LOOKUP(BL$18,HourlyTimeseries!$A:$A,HourlyTimeseries!$I:$I),"")</f>
        <v>8000</v>
      </c>
      <c r="BM60" s="50">
        <f>IFERROR(LOOKUP(BM$18,HourlyTimeseries!$A:$A,HourlyTimeseries!$I:$I),"")</f>
        <v>8000</v>
      </c>
      <c r="BN60" s="50">
        <f>IFERROR(LOOKUP(BN$18,HourlyTimeseries!$A:$A,HourlyTimeseries!$I:$I),"")</f>
        <v>8000</v>
      </c>
      <c r="BO60" s="50">
        <f>IFERROR(LOOKUP(BO$18,HourlyTimeseries!$A:$A,HourlyTimeseries!$I:$I),"")</f>
        <v>8000</v>
      </c>
      <c r="BP60" s="50">
        <f>IFERROR(LOOKUP(BP$18,HourlyTimeseries!$A:$A,HourlyTimeseries!$I:$I),"")</f>
        <v>8000</v>
      </c>
      <c r="BQ60" s="50">
        <f>IFERROR(LOOKUP(BQ$18,HourlyTimeseries!$A:$A,HourlyTimeseries!$I:$I),"")</f>
        <v>8000</v>
      </c>
      <c r="BR60" s="50">
        <f>IFERROR(LOOKUP(BR$18,HourlyTimeseries!$A:$A,HourlyTimeseries!$I:$I),"")</f>
        <v>8000</v>
      </c>
      <c r="BS60" s="50">
        <f>IFERROR(LOOKUP(BS$18,HourlyTimeseries!$A:$A,HourlyTimeseries!$I:$I),"")</f>
        <v>5000</v>
      </c>
      <c r="BT60" s="50">
        <f>IFERROR(LOOKUP(BT$18,HourlyTimeseries!$A:$A,HourlyTimeseries!$I:$I),"")</f>
        <v>5000</v>
      </c>
      <c r="BU60" s="50">
        <f>IFERROR(LOOKUP(BU$18,HourlyTimeseries!$A:$A,HourlyTimeseries!$I:$I),"")</f>
        <v>5000</v>
      </c>
      <c r="BV60" s="50">
        <f>IFERROR(LOOKUP(BV$18,HourlyTimeseries!$A:$A,HourlyTimeseries!$I:$I),"")</f>
        <v>5000</v>
      </c>
      <c r="BW60" s="50">
        <f>IFERROR(LOOKUP(BW$18,HourlyTimeseries!$A:$A,HourlyTimeseries!$I:$I),"")</f>
        <v>5000</v>
      </c>
      <c r="BX60" s="59">
        <f>IFERROR(LOOKUP(BX$18,HourlyTimeseries!$A:$A,HourlyTimeseries!$I:$I),"")</f>
        <v>5000</v>
      </c>
      <c r="BY60" s="66">
        <f>IFERROR(LOOKUP(BY$18,HourlyTimeseries!$A:$A,HourlyTimeseries!$I:$I),"")</f>
        <v>5000</v>
      </c>
      <c r="BZ60" s="50">
        <f>IFERROR(LOOKUP(BZ$18,HourlyTimeseries!$A:$A,HourlyTimeseries!$I:$I),"")</f>
        <v>5000</v>
      </c>
      <c r="CA60" s="50">
        <f>IFERROR(LOOKUP(CA$18,HourlyTimeseries!$A:$A,HourlyTimeseries!$I:$I),"")</f>
        <v>5000</v>
      </c>
      <c r="CB60" s="50">
        <f>IFERROR(LOOKUP(CB$18,HourlyTimeseries!$A:$A,HourlyTimeseries!$I:$I),"")</f>
        <v>5000</v>
      </c>
      <c r="CC60" s="50">
        <f>IFERROR(LOOKUP(CC$18,HourlyTimeseries!$A:$A,HourlyTimeseries!$I:$I),"")</f>
        <v>5000</v>
      </c>
      <c r="CD60" s="50">
        <f>IFERROR(LOOKUP(CD$18,HourlyTimeseries!$A:$A,HourlyTimeseries!$I:$I),"")</f>
        <v>5000</v>
      </c>
      <c r="CE60" s="50">
        <f>IFERROR(LOOKUP(CE$18,HourlyTimeseries!$A:$A,HourlyTimeseries!$I:$I),"")</f>
        <v>8000</v>
      </c>
      <c r="CF60" s="50">
        <f>IFERROR(LOOKUP(CF$18,HourlyTimeseries!$A:$A,HourlyTimeseries!$I:$I),"")</f>
        <v>8000</v>
      </c>
      <c r="CG60" s="50">
        <f>IFERROR(LOOKUP(CG$18,HourlyTimeseries!$A:$A,HourlyTimeseries!$I:$I),"")</f>
        <v>8000</v>
      </c>
      <c r="CH60" s="50">
        <f>IFERROR(LOOKUP(CH$18,HourlyTimeseries!$A:$A,HourlyTimeseries!$I:$I),"")</f>
        <v>8000</v>
      </c>
      <c r="CI60" s="50">
        <f>IFERROR(LOOKUP(CI$18,HourlyTimeseries!$A:$A,HourlyTimeseries!$I:$I),"")</f>
        <v>8000</v>
      </c>
      <c r="CJ60" s="50">
        <f>IFERROR(LOOKUP(CJ$18,HourlyTimeseries!$A:$A,HourlyTimeseries!$I:$I),"")</f>
        <v>8000</v>
      </c>
      <c r="CK60" s="50">
        <f>IFERROR(LOOKUP(CK$18,HourlyTimeseries!$A:$A,HourlyTimeseries!$I:$I),"")</f>
        <v>8000</v>
      </c>
      <c r="CL60" s="50">
        <f>IFERROR(LOOKUP(CL$18,HourlyTimeseries!$A:$A,HourlyTimeseries!$I:$I),"")</f>
        <v>8000</v>
      </c>
      <c r="CM60" s="50">
        <f>IFERROR(LOOKUP(CM$18,HourlyTimeseries!$A:$A,HourlyTimeseries!$I:$I),"")</f>
        <v>8000</v>
      </c>
      <c r="CN60" s="50">
        <f>IFERROR(LOOKUP(CN$18,HourlyTimeseries!$A:$A,HourlyTimeseries!$I:$I),"")</f>
        <v>8000</v>
      </c>
      <c r="CO60" s="50">
        <f>IFERROR(LOOKUP(CO$18,HourlyTimeseries!$A:$A,HourlyTimeseries!$I:$I),"")</f>
        <v>8000</v>
      </c>
      <c r="CP60" s="50">
        <f>IFERROR(LOOKUP(CP$18,HourlyTimeseries!$A:$A,HourlyTimeseries!$I:$I),"")</f>
        <v>8000</v>
      </c>
      <c r="CQ60" s="50">
        <f>IFERROR(LOOKUP(CQ$18,HourlyTimeseries!$A:$A,HourlyTimeseries!$I:$I),"")</f>
        <v>5000</v>
      </c>
      <c r="CR60" s="50">
        <f>IFERROR(LOOKUP(CR$18,HourlyTimeseries!$A:$A,HourlyTimeseries!$I:$I),"")</f>
        <v>5000</v>
      </c>
      <c r="CS60" s="50">
        <f>IFERROR(LOOKUP(CS$18,HourlyTimeseries!$A:$A,HourlyTimeseries!$I:$I),"")</f>
        <v>5000</v>
      </c>
      <c r="CT60" s="50">
        <f>IFERROR(LOOKUP(CT$18,HourlyTimeseries!$A:$A,HourlyTimeseries!$I:$I),"")</f>
        <v>5000</v>
      </c>
      <c r="CU60" s="50">
        <f>IFERROR(LOOKUP(CU$18,HourlyTimeseries!$A:$A,HourlyTimeseries!$I:$I),"")</f>
        <v>5000</v>
      </c>
      <c r="CV60" s="59">
        <f>IFERROR(LOOKUP(CV$18,HourlyTimeseries!$A:$A,HourlyTimeseries!$I:$I),"")</f>
        <v>5000</v>
      </c>
      <c r="CW60" s="66">
        <f>IFERROR(LOOKUP(CW$18,HourlyTimeseries!$A:$A,HourlyTimeseries!$I:$I),"")</f>
        <v>5000</v>
      </c>
      <c r="CX60" s="50">
        <f>IFERROR(LOOKUP(CX$18,HourlyTimeseries!$A:$A,HourlyTimeseries!$I:$I),"")</f>
        <v>5000</v>
      </c>
      <c r="CY60" s="50">
        <f>IFERROR(LOOKUP(CY$18,HourlyTimeseries!$A:$A,HourlyTimeseries!$I:$I),"")</f>
        <v>5000</v>
      </c>
      <c r="CZ60" s="50">
        <f>IFERROR(LOOKUP(CZ$18,HourlyTimeseries!$A:$A,HourlyTimeseries!$I:$I),"")</f>
        <v>5000</v>
      </c>
      <c r="DA60" s="50">
        <f>IFERROR(LOOKUP(DA$18,HourlyTimeseries!$A:$A,HourlyTimeseries!$I:$I),"")</f>
        <v>5000</v>
      </c>
      <c r="DB60" s="50">
        <f>IFERROR(LOOKUP(DB$18,HourlyTimeseries!$A:$A,HourlyTimeseries!$I:$I),"")</f>
        <v>5000</v>
      </c>
      <c r="DC60" s="50">
        <f>IFERROR(LOOKUP(DC$18,HourlyTimeseries!$A:$A,HourlyTimeseries!$I:$I),"")</f>
        <v>8000</v>
      </c>
      <c r="DD60" s="50">
        <f>IFERROR(LOOKUP(DD$18,HourlyTimeseries!$A:$A,HourlyTimeseries!$I:$I),"")</f>
        <v>8000</v>
      </c>
      <c r="DE60" s="50">
        <f>IFERROR(LOOKUP(DE$18,HourlyTimeseries!$A:$A,HourlyTimeseries!$I:$I),"")</f>
        <v>8000</v>
      </c>
      <c r="DF60" s="50">
        <f>IFERROR(LOOKUP(DF$18,HourlyTimeseries!$A:$A,HourlyTimeseries!$I:$I),"")</f>
        <v>8000</v>
      </c>
      <c r="DG60" s="50">
        <f>IFERROR(LOOKUP(DG$18,HourlyTimeseries!$A:$A,HourlyTimeseries!$I:$I),"")</f>
        <v>8000</v>
      </c>
      <c r="DH60" s="50">
        <f>IFERROR(LOOKUP(DH$18,HourlyTimeseries!$A:$A,HourlyTimeseries!$I:$I),"")</f>
        <v>8000</v>
      </c>
      <c r="DI60" s="50">
        <f>IFERROR(LOOKUP(DI$18,HourlyTimeseries!$A:$A,HourlyTimeseries!$I:$I),"")</f>
        <v>8000</v>
      </c>
      <c r="DJ60" s="50">
        <f>IFERROR(LOOKUP(DJ$18,HourlyTimeseries!$A:$A,HourlyTimeseries!$I:$I),"")</f>
        <v>8000</v>
      </c>
      <c r="DK60" s="50">
        <f>IFERROR(LOOKUP(DK$18,HourlyTimeseries!$A:$A,HourlyTimeseries!$I:$I),"")</f>
        <v>8000</v>
      </c>
      <c r="DL60" s="50">
        <f>IFERROR(LOOKUP(DL$18,HourlyTimeseries!$A:$A,HourlyTimeseries!$I:$I),"")</f>
        <v>8000</v>
      </c>
      <c r="DM60" s="50">
        <f>IFERROR(LOOKUP(DM$18,HourlyTimeseries!$A:$A,HourlyTimeseries!$I:$I),"")</f>
        <v>8000</v>
      </c>
      <c r="DN60" s="50">
        <f>IFERROR(LOOKUP(DN$18,HourlyTimeseries!$A:$A,HourlyTimeseries!$I:$I),"")</f>
        <v>8000</v>
      </c>
      <c r="DO60" s="50">
        <f>IFERROR(LOOKUP(DO$18,HourlyTimeseries!$A:$A,HourlyTimeseries!$I:$I),"")</f>
        <v>5000</v>
      </c>
      <c r="DP60" s="50">
        <f>IFERROR(LOOKUP(DP$18,HourlyTimeseries!$A:$A,HourlyTimeseries!$I:$I),"")</f>
        <v>5000</v>
      </c>
      <c r="DQ60" s="50">
        <f>IFERROR(LOOKUP(DQ$18,HourlyTimeseries!$A:$A,HourlyTimeseries!$I:$I),"")</f>
        <v>5000</v>
      </c>
      <c r="DR60" s="50">
        <f>IFERROR(LOOKUP(DR$18,HourlyTimeseries!$A:$A,HourlyTimeseries!$I:$I),"")</f>
        <v>5000</v>
      </c>
      <c r="DS60" s="50">
        <f>IFERROR(LOOKUP(DS$18,HourlyTimeseries!$A:$A,HourlyTimeseries!$I:$I),"")</f>
        <v>5000</v>
      </c>
      <c r="DT60" s="59">
        <f>IFERROR(LOOKUP(DT$18,HourlyTimeseries!$A:$A,HourlyTimeseries!$I:$I),"")</f>
        <v>5000</v>
      </c>
      <c r="DU60" s="66">
        <f>IFERROR(LOOKUP(DU$18,HourlyTimeseries!$A:$A,HourlyTimeseries!$I:$I),"")</f>
        <v>5000</v>
      </c>
      <c r="DV60" s="50">
        <f>IFERROR(LOOKUP(DV$18,HourlyTimeseries!$A:$A,HourlyTimeseries!$I:$I),"")</f>
        <v>5000</v>
      </c>
      <c r="DW60" s="50">
        <f>IFERROR(LOOKUP(DW$18,HourlyTimeseries!$A:$A,HourlyTimeseries!$I:$I),"")</f>
        <v>5000</v>
      </c>
      <c r="DX60" s="50">
        <f>IFERROR(LOOKUP(DX$18,HourlyTimeseries!$A:$A,HourlyTimeseries!$I:$I),"")</f>
        <v>5000</v>
      </c>
      <c r="DY60" s="50">
        <f>IFERROR(LOOKUP(DY$18,HourlyTimeseries!$A:$A,HourlyTimeseries!$I:$I),"")</f>
        <v>5000</v>
      </c>
      <c r="DZ60" s="50">
        <f>IFERROR(LOOKUP(DZ$18,HourlyTimeseries!$A:$A,HourlyTimeseries!$I:$I),"")</f>
        <v>5000</v>
      </c>
      <c r="EA60" s="50">
        <f>IFERROR(LOOKUP(EA$18,HourlyTimeseries!$A:$A,HourlyTimeseries!$I:$I),"")</f>
        <v>8000</v>
      </c>
      <c r="EB60" s="50">
        <f>IFERROR(LOOKUP(EB$18,HourlyTimeseries!$A:$A,HourlyTimeseries!$I:$I),"")</f>
        <v>8000</v>
      </c>
      <c r="EC60" s="50">
        <f>IFERROR(LOOKUP(EC$18,HourlyTimeseries!$A:$A,HourlyTimeseries!$I:$I),"")</f>
        <v>8000</v>
      </c>
      <c r="ED60" s="50">
        <f>IFERROR(LOOKUP(ED$18,HourlyTimeseries!$A:$A,HourlyTimeseries!$I:$I),"")</f>
        <v>8000</v>
      </c>
      <c r="EE60" s="50">
        <f>IFERROR(LOOKUP(EE$18,HourlyTimeseries!$A:$A,HourlyTimeseries!$I:$I),"")</f>
        <v>8000</v>
      </c>
      <c r="EF60" s="50">
        <f>IFERROR(LOOKUP(EF$18,HourlyTimeseries!$A:$A,HourlyTimeseries!$I:$I),"")</f>
        <v>8000</v>
      </c>
      <c r="EG60" s="50">
        <f>IFERROR(LOOKUP(EG$18,HourlyTimeseries!$A:$A,HourlyTimeseries!$I:$I),"")</f>
        <v>8000</v>
      </c>
      <c r="EH60" s="50">
        <f>IFERROR(LOOKUP(EH$18,HourlyTimeseries!$A:$A,HourlyTimeseries!$I:$I),"")</f>
        <v>8000</v>
      </c>
      <c r="EI60" s="50">
        <f>IFERROR(LOOKUP(EI$18,HourlyTimeseries!$A:$A,HourlyTimeseries!$I:$I),"")</f>
        <v>8000</v>
      </c>
      <c r="EJ60" s="50">
        <f>IFERROR(LOOKUP(EJ$18,HourlyTimeseries!$A:$A,HourlyTimeseries!$I:$I),"")</f>
        <v>8000</v>
      </c>
      <c r="EK60" s="50">
        <f>IFERROR(LOOKUP(EK$18,HourlyTimeseries!$A:$A,HourlyTimeseries!$I:$I),"")</f>
        <v>8000</v>
      </c>
      <c r="EL60" s="50">
        <f>IFERROR(LOOKUP(EL$18,HourlyTimeseries!$A:$A,HourlyTimeseries!$I:$I),"")</f>
        <v>8000</v>
      </c>
      <c r="EM60" s="50">
        <f>IFERROR(LOOKUP(EM$18,HourlyTimeseries!$A:$A,HourlyTimeseries!$I:$I),"")</f>
        <v>5000</v>
      </c>
      <c r="EN60" s="50">
        <f>IFERROR(LOOKUP(EN$18,HourlyTimeseries!$A:$A,HourlyTimeseries!$I:$I),"")</f>
        <v>5000</v>
      </c>
      <c r="EO60" s="50">
        <f>IFERROR(LOOKUP(EO$18,HourlyTimeseries!$A:$A,HourlyTimeseries!$I:$I),"")</f>
        <v>5000</v>
      </c>
      <c r="EP60" s="50">
        <f>IFERROR(LOOKUP(EP$18,HourlyTimeseries!$A:$A,HourlyTimeseries!$I:$I),"")</f>
        <v>5000</v>
      </c>
      <c r="EQ60" s="50">
        <f>IFERROR(LOOKUP(EQ$18,HourlyTimeseries!$A:$A,HourlyTimeseries!$I:$I),"")</f>
        <v>5000</v>
      </c>
      <c r="ER60" s="59">
        <f>IFERROR(LOOKUP(ER$18,HourlyTimeseries!$A:$A,HourlyTimeseries!$I:$I),"")</f>
        <v>5000</v>
      </c>
      <c r="ES60" s="66">
        <f>IFERROR(LOOKUP(ES$18,HourlyTimeseries!$A:$A,HourlyTimeseries!$I:$I),"")</f>
        <v>5000</v>
      </c>
      <c r="ET60" s="50">
        <f>IFERROR(LOOKUP(ET$18,HourlyTimeseries!$A:$A,HourlyTimeseries!$I:$I),"")</f>
        <v>5000</v>
      </c>
      <c r="EU60" s="50">
        <f>IFERROR(LOOKUP(EU$18,HourlyTimeseries!$A:$A,HourlyTimeseries!$I:$I),"")</f>
        <v>5000</v>
      </c>
      <c r="EV60" s="50">
        <f>IFERROR(LOOKUP(EV$18,HourlyTimeseries!$A:$A,HourlyTimeseries!$I:$I),"")</f>
        <v>5000</v>
      </c>
      <c r="EW60" s="50">
        <f>IFERROR(LOOKUP(EW$18,HourlyTimeseries!$A:$A,HourlyTimeseries!$I:$I),"")</f>
        <v>5000</v>
      </c>
      <c r="EX60" s="50">
        <f>IFERROR(LOOKUP(EX$18,HourlyTimeseries!$A:$A,HourlyTimeseries!$I:$I),"")</f>
        <v>5000</v>
      </c>
      <c r="EY60" s="50">
        <f>IFERROR(LOOKUP(EY$18,HourlyTimeseries!$A:$A,HourlyTimeseries!$I:$I),"")</f>
        <v>8000</v>
      </c>
      <c r="EZ60" s="50">
        <f>IFERROR(LOOKUP(EZ$18,HourlyTimeseries!$A:$A,HourlyTimeseries!$I:$I),"")</f>
        <v>8000</v>
      </c>
      <c r="FA60" s="50">
        <f>IFERROR(LOOKUP(FA$18,HourlyTimeseries!$A:$A,HourlyTimeseries!$I:$I),"")</f>
        <v>8000</v>
      </c>
      <c r="FB60" s="50">
        <f>IFERROR(LOOKUP(FB$18,HourlyTimeseries!$A:$A,HourlyTimeseries!$I:$I),"")</f>
        <v>8000</v>
      </c>
      <c r="FC60" s="50">
        <f>IFERROR(LOOKUP(FC$18,HourlyTimeseries!$A:$A,HourlyTimeseries!$I:$I),"")</f>
        <v>8000</v>
      </c>
      <c r="FD60" s="50">
        <f>IFERROR(LOOKUP(FD$18,HourlyTimeseries!$A:$A,HourlyTimeseries!$I:$I),"")</f>
        <v>8000</v>
      </c>
      <c r="FE60" s="50">
        <f>IFERROR(LOOKUP(FE$18,HourlyTimeseries!$A:$A,HourlyTimeseries!$I:$I),"")</f>
        <v>8000</v>
      </c>
      <c r="FF60" s="50">
        <f>IFERROR(LOOKUP(FF$18,HourlyTimeseries!$A:$A,HourlyTimeseries!$I:$I),"")</f>
        <v>8000</v>
      </c>
      <c r="FG60" s="50">
        <f>IFERROR(LOOKUP(FG$18,HourlyTimeseries!$A:$A,HourlyTimeseries!$I:$I),"")</f>
        <v>8000</v>
      </c>
      <c r="FH60" s="50">
        <f>IFERROR(LOOKUP(FH$18,HourlyTimeseries!$A:$A,HourlyTimeseries!$I:$I),"")</f>
        <v>8000</v>
      </c>
      <c r="FI60" s="50">
        <f>IFERROR(LOOKUP(FI$18,HourlyTimeseries!$A:$A,HourlyTimeseries!$I:$I),"")</f>
        <v>8000</v>
      </c>
      <c r="FJ60" s="50">
        <f>IFERROR(LOOKUP(FJ$18,HourlyTimeseries!$A:$A,HourlyTimeseries!$I:$I),"")</f>
        <v>8000</v>
      </c>
      <c r="FK60" s="50">
        <f>IFERROR(LOOKUP(FK$18,HourlyTimeseries!$A:$A,HourlyTimeseries!$I:$I),"")</f>
        <v>5000</v>
      </c>
      <c r="FL60" s="50">
        <f>IFERROR(LOOKUP(FL$18,HourlyTimeseries!$A:$A,HourlyTimeseries!$I:$I),"")</f>
        <v>5000</v>
      </c>
      <c r="FM60" s="50">
        <f>IFERROR(LOOKUP(FM$18,HourlyTimeseries!$A:$A,HourlyTimeseries!$I:$I),"")</f>
        <v>5000</v>
      </c>
      <c r="FN60" s="50">
        <f>IFERROR(LOOKUP(FN$18,HourlyTimeseries!$A:$A,HourlyTimeseries!$I:$I),"")</f>
        <v>5000</v>
      </c>
      <c r="FO60" s="50">
        <f>IFERROR(LOOKUP(FO$18,HourlyTimeseries!$A:$A,HourlyTimeseries!$I:$I),"")</f>
        <v>5000</v>
      </c>
      <c r="FP60" s="59">
        <f>IFERROR(LOOKUP(FP$18,HourlyTimeseries!$A:$A,HourlyTimeseries!$I:$I),"")</f>
        <v>5000</v>
      </c>
    </row>
    <row r="61" spans="1:172">
      <c r="A61" s="15" t="s">
        <v>85</v>
      </c>
      <c r="B61" s="2" t="s">
        <v>79</v>
      </c>
      <c r="C61" s="8" t="s">
        <v>133</v>
      </c>
      <c r="D61" s="2"/>
      <c r="E61" s="50">
        <f>IFERROR(LOOKUP(E$18,HourlyTimeseries!$A:$A,HourlyTimeseries!$J:$J),"")</f>
        <v>40000</v>
      </c>
      <c r="F61" s="50">
        <f>IFERROR(LOOKUP(F$18,HourlyTimeseries!$A:$A,HourlyTimeseries!$J:$J),"")</f>
        <v>40000</v>
      </c>
      <c r="G61" s="50">
        <f>IFERROR(LOOKUP(G$18,HourlyTimeseries!$A:$A,HourlyTimeseries!$J:$J),"")</f>
        <v>40000</v>
      </c>
      <c r="H61" s="50">
        <f>IFERROR(LOOKUP(H$18,HourlyTimeseries!$A:$A,HourlyTimeseries!$J:$J),"")</f>
        <v>40000</v>
      </c>
      <c r="I61" s="50">
        <f>IFERROR(LOOKUP(I$18,HourlyTimeseries!$A:$A,HourlyTimeseries!$J:$J),"")</f>
        <v>40000</v>
      </c>
      <c r="J61" s="50">
        <f>IFERROR(LOOKUP(J$18,HourlyTimeseries!$A:$A,HourlyTimeseries!$J:$J),"")</f>
        <v>40000</v>
      </c>
      <c r="K61" s="50">
        <f>IFERROR(LOOKUP(K$18,HourlyTimeseries!$A:$A,HourlyTimeseries!$J:$J),"")</f>
        <v>40000</v>
      </c>
      <c r="L61" s="50">
        <f>IFERROR(LOOKUP(L$18,HourlyTimeseries!$A:$A,HourlyTimeseries!$J:$J),"")</f>
        <v>40000</v>
      </c>
      <c r="M61" s="50">
        <f>IFERROR(LOOKUP(M$18,HourlyTimeseries!$A:$A,HourlyTimeseries!$J:$J),"")</f>
        <v>40000</v>
      </c>
      <c r="N61" s="50">
        <f>IFERROR(LOOKUP(N$18,HourlyTimeseries!$A:$A,HourlyTimeseries!$J:$J),"")</f>
        <v>40000</v>
      </c>
      <c r="O61" s="50">
        <f>IFERROR(LOOKUP(O$18,HourlyTimeseries!$A:$A,HourlyTimeseries!$J:$J),"")</f>
        <v>40000</v>
      </c>
      <c r="P61" s="50">
        <f>IFERROR(LOOKUP(P$18,HourlyTimeseries!$A:$A,HourlyTimeseries!$J:$J),"")</f>
        <v>40000</v>
      </c>
      <c r="Q61" s="50">
        <f>IFERROR(LOOKUP(Q$18,HourlyTimeseries!$A:$A,HourlyTimeseries!$J:$J),"")</f>
        <v>40000</v>
      </c>
      <c r="R61" s="50">
        <f>IFERROR(LOOKUP(R$18,HourlyTimeseries!$A:$A,HourlyTimeseries!$J:$J),"")</f>
        <v>40000</v>
      </c>
      <c r="S61" s="50">
        <f>IFERROR(LOOKUP(S$18,HourlyTimeseries!$A:$A,HourlyTimeseries!$J:$J),"")</f>
        <v>40000</v>
      </c>
      <c r="T61" s="50">
        <f>IFERROR(LOOKUP(T$18,HourlyTimeseries!$A:$A,HourlyTimeseries!$J:$J),"")</f>
        <v>40000</v>
      </c>
      <c r="U61" s="50">
        <f>IFERROR(LOOKUP(U$18,HourlyTimeseries!$A:$A,HourlyTimeseries!$J:$J),"")</f>
        <v>40000</v>
      </c>
      <c r="V61" s="50">
        <f>IFERROR(LOOKUP(V$18,HourlyTimeseries!$A:$A,HourlyTimeseries!$J:$J),"")</f>
        <v>40000</v>
      </c>
      <c r="W61" s="50">
        <f>IFERROR(LOOKUP(W$18,HourlyTimeseries!$A:$A,HourlyTimeseries!$J:$J),"")</f>
        <v>40000</v>
      </c>
      <c r="X61" s="50">
        <f>IFERROR(LOOKUP(X$18,HourlyTimeseries!$A:$A,HourlyTimeseries!$J:$J),"")</f>
        <v>40000</v>
      </c>
      <c r="Y61" s="50">
        <f>IFERROR(LOOKUP(Y$18,HourlyTimeseries!$A:$A,HourlyTimeseries!$J:$J),"")</f>
        <v>40000</v>
      </c>
      <c r="Z61" s="50">
        <f>IFERROR(LOOKUP(Z$18,HourlyTimeseries!$A:$A,HourlyTimeseries!$J:$J),"")</f>
        <v>40000</v>
      </c>
      <c r="AA61" s="50">
        <f>IFERROR(LOOKUP(AA$18,HourlyTimeseries!$A:$A,HourlyTimeseries!$J:$J),"")</f>
        <v>40000</v>
      </c>
      <c r="AB61" s="59">
        <f>IFERROR(LOOKUP(AB$18,HourlyTimeseries!$A:$A,HourlyTimeseries!$J:$J),"")</f>
        <v>40000</v>
      </c>
      <c r="AC61" s="66">
        <f>IFERROR(LOOKUP(AC$18,HourlyTimeseries!$A:$A,HourlyTimeseries!$J:$J),"")</f>
        <v>40000</v>
      </c>
      <c r="AD61" s="50">
        <f>IFERROR(LOOKUP(AD$18,HourlyTimeseries!$A:$A,HourlyTimeseries!$J:$J),"")</f>
        <v>40000</v>
      </c>
      <c r="AE61" s="50">
        <f>IFERROR(LOOKUP(AE$18,HourlyTimeseries!$A:$A,HourlyTimeseries!$J:$J),"")</f>
        <v>40000</v>
      </c>
      <c r="AF61" s="50">
        <f>IFERROR(LOOKUP(AF$18,HourlyTimeseries!$A:$A,HourlyTimeseries!$J:$J),"")</f>
        <v>40000</v>
      </c>
      <c r="AG61" s="50">
        <f>IFERROR(LOOKUP(AG$18,HourlyTimeseries!$A:$A,HourlyTimeseries!$J:$J),"")</f>
        <v>40000</v>
      </c>
      <c r="AH61" s="50">
        <f>IFERROR(LOOKUP(AH$18,HourlyTimeseries!$A:$A,HourlyTimeseries!$J:$J),"")</f>
        <v>40000</v>
      </c>
      <c r="AI61" s="50">
        <f>IFERROR(LOOKUP(AI$18,HourlyTimeseries!$A:$A,HourlyTimeseries!$J:$J),"")</f>
        <v>40000</v>
      </c>
      <c r="AJ61" s="50">
        <f>IFERROR(LOOKUP(AJ$18,HourlyTimeseries!$A:$A,HourlyTimeseries!$J:$J),"")</f>
        <v>40000</v>
      </c>
      <c r="AK61" s="50">
        <f>IFERROR(LOOKUP(AK$18,HourlyTimeseries!$A:$A,HourlyTimeseries!$J:$J),"")</f>
        <v>40000</v>
      </c>
      <c r="AL61" s="50">
        <f>IFERROR(LOOKUP(AL$18,HourlyTimeseries!$A:$A,HourlyTimeseries!$J:$J),"")</f>
        <v>40000</v>
      </c>
      <c r="AM61" s="50">
        <f>IFERROR(LOOKUP(AM$18,HourlyTimeseries!$A:$A,HourlyTimeseries!$J:$J),"")</f>
        <v>40000</v>
      </c>
      <c r="AN61" s="50">
        <f>IFERROR(LOOKUP(AN$18,HourlyTimeseries!$A:$A,HourlyTimeseries!$J:$J),"")</f>
        <v>40000</v>
      </c>
      <c r="AO61" s="50">
        <f>IFERROR(LOOKUP(AO$18,HourlyTimeseries!$A:$A,HourlyTimeseries!$J:$J),"")</f>
        <v>40000</v>
      </c>
      <c r="AP61" s="50">
        <f>IFERROR(LOOKUP(AP$18,HourlyTimeseries!$A:$A,HourlyTimeseries!$J:$J),"")</f>
        <v>40000</v>
      </c>
      <c r="AQ61" s="50">
        <f>IFERROR(LOOKUP(AQ$18,HourlyTimeseries!$A:$A,HourlyTimeseries!$J:$J),"")</f>
        <v>40000</v>
      </c>
      <c r="AR61" s="50">
        <f>IFERROR(LOOKUP(AR$18,HourlyTimeseries!$A:$A,HourlyTimeseries!$J:$J),"")</f>
        <v>40000</v>
      </c>
      <c r="AS61" s="50">
        <f>IFERROR(LOOKUP(AS$18,HourlyTimeseries!$A:$A,HourlyTimeseries!$J:$J),"")</f>
        <v>40000</v>
      </c>
      <c r="AT61" s="50">
        <f>IFERROR(LOOKUP(AT$18,HourlyTimeseries!$A:$A,HourlyTimeseries!$J:$J),"")</f>
        <v>40000</v>
      </c>
      <c r="AU61" s="50">
        <f>IFERROR(LOOKUP(AU$18,HourlyTimeseries!$A:$A,HourlyTimeseries!$J:$J),"")</f>
        <v>40000</v>
      </c>
      <c r="AV61" s="50">
        <f>IFERROR(LOOKUP(AV$18,HourlyTimeseries!$A:$A,HourlyTimeseries!$J:$J),"")</f>
        <v>40000</v>
      </c>
      <c r="AW61" s="50">
        <f>IFERROR(LOOKUP(AW$18,HourlyTimeseries!$A:$A,HourlyTimeseries!$J:$J),"")</f>
        <v>40000</v>
      </c>
      <c r="AX61" s="50">
        <f>IFERROR(LOOKUP(AX$18,HourlyTimeseries!$A:$A,HourlyTimeseries!$J:$J),"")</f>
        <v>40000</v>
      </c>
      <c r="AY61" s="50">
        <f>IFERROR(LOOKUP(AY$18,HourlyTimeseries!$A:$A,HourlyTimeseries!$J:$J),"")</f>
        <v>40000</v>
      </c>
      <c r="AZ61" s="59">
        <f>IFERROR(LOOKUP(AZ$18,HourlyTimeseries!$A:$A,HourlyTimeseries!$J:$J),"")</f>
        <v>40000</v>
      </c>
      <c r="BA61" s="66">
        <f>IFERROR(LOOKUP(BA$18,HourlyTimeseries!$A:$A,HourlyTimeseries!$J:$J),"")</f>
        <v>40000</v>
      </c>
      <c r="BB61" s="50">
        <f>IFERROR(LOOKUP(BB$18,HourlyTimeseries!$A:$A,HourlyTimeseries!$J:$J),"")</f>
        <v>40000</v>
      </c>
      <c r="BC61" s="50">
        <f>IFERROR(LOOKUP(BC$18,HourlyTimeseries!$A:$A,HourlyTimeseries!$J:$J),"")</f>
        <v>40000</v>
      </c>
      <c r="BD61" s="50">
        <f>IFERROR(LOOKUP(BD$18,HourlyTimeseries!$A:$A,HourlyTimeseries!$J:$J),"")</f>
        <v>40000</v>
      </c>
      <c r="BE61" s="50">
        <f>IFERROR(LOOKUP(BE$18,HourlyTimeseries!$A:$A,HourlyTimeseries!$J:$J),"")</f>
        <v>40000</v>
      </c>
      <c r="BF61" s="50">
        <f>IFERROR(LOOKUP(BF$18,HourlyTimeseries!$A:$A,HourlyTimeseries!$J:$J),"")</f>
        <v>40000</v>
      </c>
      <c r="BG61" s="50">
        <f>IFERROR(LOOKUP(BG$18,HourlyTimeseries!$A:$A,HourlyTimeseries!$J:$J),"")</f>
        <v>40000</v>
      </c>
      <c r="BH61" s="50">
        <f>IFERROR(LOOKUP(BH$18,HourlyTimeseries!$A:$A,HourlyTimeseries!$J:$J),"")</f>
        <v>40000</v>
      </c>
      <c r="BI61" s="50">
        <f>IFERROR(LOOKUP(BI$18,HourlyTimeseries!$A:$A,HourlyTimeseries!$J:$J),"")</f>
        <v>40000</v>
      </c>
      <c r="BJ61" s="50">
        <f>IFERROR(LOOKUP(BJ$18,HourlyTimeseries!$A:$A,HourlyTimeseries!$J:$J),"")</f>
        <v>40000</v>
      </c>
      <c r="BK61" s="50">
        <f>IFERROR(LOOKUP(BK$18,HourlyTimeseries!$A:$A,HourlyTimeseries!$J:$J),"")</f>
        <v>40000</v>
      </c>
      <c r="BL61" s="50">
        <f>IFERROR(LOOKUP(BL$18,HourlyTimeseries!$A:$A,HourlyTimeseries!$J:$J),"")</f>
        <v>40000</v>
      </c>
      <c r="BM61" s="50">
        <f>IFERROR(LOOKUP(BM$18,HourlyTimeseries!$A:$A,HourlyTimeseries!$J:$J),"")</f>
        <v>40000</v>
      </c>
      <c r="BN61" s="50">
        <f>IFERROR(LOOKUP(BN$18,HourlyTimeseries!$A:$A,HourlyTimeseries!$J:$J),"")</f>
        <v>40000</v>
      </c>
      <c r="BO61" s="50">
        <f>IFERROR(LOOKUP(BO$18,HourlyTimeseries!$A:$A,HourlyTimeseries!$J:$J),"")</f>
        <v>40000</v>
      </c>
      <c r="BP61" s="50">
        <f>IFERROR(LOOKUP(BP$18,HourlyTimeseries!$A:$A,HourlyTimeseries!$J:$J),"")</f>
        <v>40000</v>
      </c>
      <c r="BQ61" s="50">
        <f>IFERROR(LOOKUP(BQ$18,HourlyTimeseries!$A:$A,HourlyTimeseries!$J:$J),"")</f>
        <v>40000</v>
      </c>
      <c r="BR61" s="50">
        <f>IFERROR(LOOKUP(BR$18,HourlyTimeseries!$A:$A,HourlyTimeseries!$J:$J),"")</f>
        <v>40000</v>
      </c>
      <c r="BS61" s="50">
        <f>IFERROR(LOOKUP(BS$18,HourlyTimeseries!$A:$A,HourlyTimeseries!$J:$J),"")</f>
        <v>40000</v>
      </c>
      <c r="BT61" s="50">
        <f>IFERROR(LOOKUP(BT$18,HourlyTimeseries!$A:$A,HourlyTimeseries!$J:$J),"")</f>
        <v>40000</v>
      </c>
      <c r="BU61" s="50">
        <f>IFERROR(LOOKUP(BU$18,HourlyTimeseries!$A:$A,HourlyTimeseries!$J:$J),"")</f>
        <v>40000</v>
      </c>
      <c r="BV61" s="50">
        <f>IFERROR(LOOKUP(BV$18,HourlyTimeseries!$A:$A,HourlyTimeseries!$J:$J),"")</f>
        <v>40000</v>
      </c>
      <c r="BW61" s="50">
        <f>IFERROR(LOOKUP(BW$18,HourlyTimeseries!$A:$A,HourlyTimeseries!$J:$J),"")</f>
        <v>40000</v>
      </c>
      <c r="BX61" s="59">
        <f>IFERROR(LOOKUP(BX$18,HourlyTimeseries!$A:$A,HourlyTimeseries!$J:$J),"")</f>
        <v>40000</v>
      </c>
      <c r="BY61" s="66">
        <f>IFERROR(LOOKUP(BY$18,HourlyTimeseries!$A:$A,HourlyTimeseries!$J:$J),"")</f>
        <v>40000</v>
      </c>
      <c r="BZ61" s="50">
        <f>IFERROR(LOOKUP(BZ$18,HourlyTimeseries!$A:$A,HourlyTimeseries!$J:$J),"")</f>
        <v>40000</v>
      </c>
      <c r="CA61" s="50">
        <f>IFERROR(LOOKUP(CA$18,HourlyTimeseries!$A:$A,HourlyTimeseries!$J:$J),"")</f>
        <v>40000</v>
      </c>
      <c r="CB61" s="50">
        <f>IFERROR(LOOKUP(CB$18,HourlyTimeseries!$A:$A,HourlyTimeseries!$J:$J),"")</f>
        <v>40000</v>
      </c>
      <c r="CC61" s="50">
        <f>IFERROR(LOOKUP(CC$18,HourlyTimeseries!$A:$A,HourlyTimeseries!$J:$J),"")</f>
        <v>40000</v>
      </c>
      <c r="CD61" s="50">
        <f>IFERROR(LOOKUP(CD$18,HourlyTimeseries!$A:$A,HourlyTimeseries!$J:$J),"")</f>
        <v>40000</v>
      </c>
      <c r="CE61" s="50">
        <f>IFERROR(LOOKUP(CE$18,HourlyTimeseries!$A:$A,HourlyTimeseries!$J:$J),"")</f>
        <v>40000</v>
      </c>
      <c r="CF61" s="50">
        <f>IFERROR(LOOKUP(CF$18,HourlyTimeseries!$A:$A,HourlyTimeseries!$J:$J),"")</f>
        <v>40000</v>
      </c>
      <c r="CG61" s="50">
        <f>IFERROR(LOOKUP(CG$18,HourlyTimeseries!$A:$A,HourlyTimeseries!$J:$J),"")</f>
        <v>40000</v>
      </c>
      <c r="CH61" s="50">
        <f>IFERROR(LOOKUP(CH$18,HourlyTimeseries!$A:$A,HourlyTimeseries!$J:$J),"")</f>
        <v>40000</v>
      </c>
      <c r="CI61" s="50">
        <f>IFERROR(LOOKUP(CI$18,HourlyTimeseries!$A:$A,HourlyTimeseries!$J:$J),"")</f>
        <v>40000</v>
      </c>
      <c r="CJ61" s="50">
        <f>IFERROR(LOOKUP(CJ$18,HourlyTimeseries!$A:$A,HourlyTimeseries!$J:$J),"")</f>
        <v>40000</v>
      </c>
      <c r="CK61" s="50">
        <f>IFERROR(LOOKUP(CK$18,HourlyTimeseries!$A:$A,HourlyTimeseries!$J:$J),"")</f>
        <v>40000</v>
      </c>
      <c r="CL61" s="50">
        <f>IFERROR(LOOKUP(CL$18,HourlyTimeseries!$A:$A,HourlyTimeseries!$J:$J),"")</f>
        <v>40000</v>
      </c>
      <c r="CM61" s="50">
        <f>IFERROR(LOOKUP(CM$18,HourlyTimeseries!$A:$A,HourlyTimeseries!$J:$J),"")</f>
        <v>40000</v>
      </c>
      <c r="CN61" s="50">
        <f>IFERROR(LOOKUP(CN$18,HourlyTimeseries!$A:$A,HourlyTimeseries!$J:$J),"")</f>
        <v>40000</v>
      </c>
      <c r="CO61" s="50">
        <f>IFERROR(LOOKUP(CO$18,HourlyTimeseries!$A:$A,HourlyTimeseries!$J:$J),"")</f>
        <v>40000</v>
      </c>
      <c r="CP61" s="50">
        <f>IFERROR(LOOKUP(CP$18,HourlyTimeseries!$A:$A,HourlyTimeseries!$J:$J),"")</f>
        <v>40000</v>
      </c>
      <c r="CQ61" s="50">
        <f>IFERROR(LOOKUP(CQ$18,HourlyTimeseries!$A:$A,HourlyTimeseries!$J:$J),"")</f>
        <v>40000</v>
      </c>
      <c r="CR61" s="50">
        <f>IFERROR(LOOKUP(CR$18,HourlyTimeseries!$A:$A,HourlyTimeseries!$J:$J),"")</f>
        <v>40000</v>
      </c>
      <c r="CS61" s="50">
        <f>IFERROR(LOOKUP(CS$18,HourlyTimeseries!$A:$A,HourlyTimeseries!$J:$J),"")</f>
        <v>40000</v>
      </c>
      <c r="CT61" s="50">
        <f>IFERROR(LOOKUP(CT$18,HourlyTimeseries!$A:$A,HourlyTimeseries!$J:$J),"")</f>
        <v>40000</v>
      </c>
      <c r="CU61" s="50">
        <f>IFERROR(LOOKUP(CU$18,HourlyTimeseries!$A:$A,HourlyTimeseries!$J:$J),"")</f>
        <v>40000</v>
      </c>
      <c r="CV61" s="59">
        <f>IFERROR(LOOKUP(CV$18,HourlyTimeseries!$A:$A,HourlyTimeseries!$J:$J),"")</f>
        <v>40000</v>
      </c>
      <c r="CW61" s="66">
        <f>IFERROR(LOOKUP(CW$18,HourlyTimeseries!$A:$A,HourlyTimeseries!$J:$J),"")</f>
        <v>40000</v>
      </c>
      <c r="CX61" s="50">
        <f>IFERROR(LOOKUP(CX$18,HourlyTimeseries!$A:$A,HourlyTimeseries!$J:$J),"")</f>
        <v>40000</v>
      </c>
      <c r="CY61" s="50">
        <f>IFERROR(LOOKUP(CY$18,HourlyTimeseries!$A:$A,HourlyTimeseries!$J:$J),"")</f>
        <v>40000</v>
      </c>
      <c r="CZ61" s="50">
        <f>IFERROR(LOOKUP(CZ$18,HourlyTimeseries!$A:$A,HourlyTimeseries!$J:$J),"")</f>
        <v>40000</v>
      </c>
      <c r="DA61" s="50">
        <f>IFERROR(LOOKUP(DA$18,HourlyTimeseries!$A:$A,HourlyTimeseries!$J:$J),"")</f>
        <v>40000</v>
      </c>
      <c r="DB61" s="50">
        <f>IFERROR(LOOKUP(DB$18,HourlyTimeseries!$A:$A,HourlyTimeseries!$J:$J),"")</f>
        <v>40000</v>
      </c>
      <c r="DC61" s="50">
        <f>IFERROR(LOOKUP(DC$18,HourlyTimeseries!$A:$A,HourlyTimeseries!$J:$J),"")</f>
        <v>40000</v>
      </c>
      <c r="DD61" s="50">
        <f>IFERROR(LOOKUP(DD$18,HourlyTimeseries!$A:$A,HourlyTimeseries!$J:$J),"")</f>
        <v>40000</v>
      </c>
      <c r="DE61" s="50">
        <f>IFERROR(LOOKUP(DE$18,HourlyTimeseries!$A:$A,HourlyTimeseries!$J:$J),"")</f>
        <v>40000</v>
      </c>
      <c r="DF61" s="50">
        <f>IFERROR(LOOKUP(DF$18,HourlyTimeseries!$A:$A,HourlyTimeseries!$J:$J),"")</f>
        <v>40000</v>
      </c>
      <c r="DG61" s="50">
        <f>IFERROR(LOOKUP(DG$18,HourlyTimeseries!$A:$A,HourlyTimeseries!$J:$J),"")</f>
        <v>40000</v>
      </c>
      <c r="DH61" s="50">
        <f>IFERROR(LOOKUP(DH$18,HourlyTimeseries!$A:$A,HourlyTimeseries!$J:$J),"")</f>
        <v>40000</v>
      </c>
      <c r="DI61" s="50">
        <f>IFERROR(LOOKUP(DI$18,HourlyTimeseries!$A:$A,HourlyTimeseries!$J:$J),"")</f>
        <v>40000</v>
      </c>
      <c r="DJ61" s="50">
        <f>IFERROR(LOOKUP(DJ$18,HourlyTimeseries!$A:$A,HourlyTimeseries!$J:$J),"")</f>
        <v>40000</v>
      </c>
      <c r="DK61" s="50">
        <f>IFERROR(LOOKUP(DK$18,HourlyTimeseries!$A:$A,HourlyTimeseries!$J:$J),"")</f>
        <v>40000</v>
      </c>
      <c r="DL61" s="50">
        <f>IFERROR(LOOKUP(DL$18,HourlyTimeseries!$A:$A,HourlyTimeseries!$J:$J),"")</f>
        <v>40000</v>
      </c>
      <c r="DM61" s="50">
        <f>IFERROR(LOOKUP(DM$18,HourlyTimeseries!$A:$A,HourlyTimeseries!$J:$J),"")</f>
        <v>40000</v>
      </c>
      <c r="DN61" s="50">
        <f>IFERROR(LOOKUP(DN$18,HourlyTimeseries!$A:$A,HourlyTimeseries!$J:$J),"")</f>
        <v>40000</v>
      </c>
      <c r="DO61" s="50">
        <f>IFERROR(LOOKUP(DO$18,HourlyTimeseries!$A:$A,HourlyTimeseries!$J:$J),"")</f>
        <v>40000</v>
      </c>
      <c r="DP61" s="50">
        <f>IFERROR(LOOKUP(DP$18,HourlyTimeseries!$A:$A,HourlyTimeseries!$J:$J),"")</f>
        <v>40000</v>
      </c>
      <c r="DQ61" s="50">
        <f>IFERROR(LOOKUP(DQ$18,HourlyTimeseries!$A:$A,HourlyTimeseries!$J:$J),"")</f>
        <v>40000</v>
      </c>
      <c r="DR61" s="50">
        <f>IFERROR(LOOKUP(DR$18,HourlyTimeseries!$A:$A,HourlyTimeseries!$J:$J),"")</f>
        <v>40000</v>
      </c>
      <c r="DS61" s="50">
        <f>IFERROR(LOOKUP(DS$18,HourlyTimeseries!$A:$A,HourlyTimeseries!$J:$J),"")</f>
        <v>40000</v>
      </c>
      <c r="DT61" s="59">
        <f>IFERROR(LOOKUP(DT$18,HourlyTimeseries!$A:$A,HourlyTimeseries!$J:$J),"")</f>
        <v>40000</v>
      </c>
      <c r="DU61" s="66">
        <f>IFERROR(LOOKUP(DU$18,HourlyTimeseries!$A:$A,HourlyTimeseries!$J:$J),"")</f>
        <v>40000</v>
      </c>
      <c r="DV61" s="50">
        <f>IFERROR(LOOKUP(DV$18,HourlyTimeseries!$A:$A,HourlyTimeseries!$J:$J),"")</f>
        <v>40000</v>
      </c>
      <c r="DW61" s="50">
        <f>IFERROR(LOOKUP(DW$18,HourlyTimeseries!$A:$A,HourlyTimeseries!$J:$J),"")</f>
        <v>40000</v>
      </c>
      <c r="DX61" s="50">
        <f>IFERROR(LOOKUP(DX$18,HourlyTimeseries!$A:$A,HourlyTimeseries!$J:$J),"")</f>
        <v>40000</v>
      </c>
      <c r="DY61" s="50">
        <f>IFERROR(LOOKUP(DY$18,HourlyTimeseries!$A:$A,HourlyTimeseries!$J:$J),"")</f>
        <v>40000</v>
      </c>
      <c r="DZ61" s="50">
        <f>IFERROR(LOOKUP(DZ$18,HourlyTimeseries!$A:$A,HourlyTimeseries!$J:$J),"")</f>
        <v>40000</v>
      </c>
      <c r="EA61" s="50">
        <f>IFERROR(LOOKUP(EA$18,HourlyTimeseries!$A:$A,HourlyTimeseries!$J:$J),"")</f>
        <v>40000</v>
      </c>
      <c r="EB61" s="50">
        <f>IFERROR(LOOKUP(EB$18,HourlyTimeseries!$A:$A,HourlyTimeseries!$J:$J),"")</f>
        <v>40000</v>
      </c>
      <c r="EC61" s="50">
        <f>IFERROR(LOOKUP(EC$18,HourlyTimeseries!$A:$A,HourlyTimeseries!$J:$J),"")</f>
        <v>40000</v>
      </c>
      <c r="ED61" s="50">
        <f>IFERROR(LOOKUP(ED$18,HourlyTimeseries!$A:$A,HourlyTimeseries!$J:$J),"")</f>
        <v>40000</v>
      </c>
      <c r="EE61" s="50">
        <f>IFERROR(LOOKUP(EE$18,HourlyTimeseries!$A:$A,HourlyTimeseries!$J:$J),"")</f>
        <v>40000</v>
      </c>
      <c r="EF61" s="50">
        <f>IFERROR(LOOKUP(EF$18,HourlyTimeseries!$A:$A,HourlyTimeseries!$J:$J),"")</f>
        <v>40000</v>
      </c>
      <c r="EG61" s="50">
        <f>IFERROR(LOOKUP(EG$18,HourlyTimeseries!$A:$A,HourlyTimeseries!$J:$J),"")</f>
        <v>40000</v>
      </c>
      <c r="EH61" s="50">
        <f>IFERROR(LOOKUP(EH$18,HourlyTimeseries!$A:$A,HourlyTimeseries!$J:$J),"")</f>
        <v>40000</v>
      </c>
      <c r="EI61" s="50">
        <f>IFERROR(LOOKUP(EI$18,HourlyTimeseries!$A:$A,HourlyTimeseries!$J:$J),"")</f>
        <v>40000</v>
      </c>
      <c r="EJ61" s="50">
        <f>IFERROR(LOOKUP(EJ$18,HourlyTimeseries!$A:$A,HourlyTimeseries!$J:$J),"")</f>
        <v>40000</v>
      </c>
      <c r="EK61" s="50">
        <f>IFERROR(LOOKUP(EK$18,HourlyTimeseries!$A:$A,HourlyTimeseries!$J:$J),"")</f>
        <v>40000</v>
      </c>
      <c r="EL61" s="50">
        <f>IFERROR(LOOKUP(EL$18,HourlyTimeseries!$A:$A,HourlyTimeseries!$J:$J),"")</f>
        <v>40000</v>
      </c>
      <c r="EM61" s="50">
        <f>IFERROR(LOOKUP(EM$18,HourlyTimeseries!$A:$A,HourlyTimeseries!$J:$J),"")</f>
        <v>40000</v>
      </c>
      <c r="EN61" s="50">
        <f>IFERROR(LOOKUP(EN$18,HourlyTimeseries!$A:$A,HourlyTimeseries!$J:$J),"")</f>
        <v>40000</v>
      </c>
      <c r="EO61" s="50">
        <f>IFERROR(LOOKUP(EO$18,HourlyTimeseries!$A:$A,HourlyTimeseries!$J:$J),"")</f>
        <v>40000</v>
      </c>
      <c r="EP61" s="50">
        <f>IFERROR(LOOKUP(EP$18,HourlyTimeseries!$A:$A,HourlyTimeseries!$J:$J),"")</f>
        <v>40000</v>
      </c>
      <c r="EQ61" s="50">
        <f>IFERROR(LOOKUP(EQ$18,HourlyTimeseries!$A:$A,HourlyTimeseries!$J:$J),"")</f>
        <v>40000</v>
      </c>
      <c r="ER61" s="59">
        <f>IFERROR(LOOKUP(ER$18,HourlyTimeseries!$A:$A,HourlyTimeseries!$J:$J),"")</f>
        <v>40000</v>
      </c>
      <c r="ES61" s="66">
        <f>IFERROR(LOOKUP(ES$18,HourlyTimeseries!$A:$A,HourlyTimeseries!$J:$J),"")</f>
        <v>40000</v>
      </c>
      <c r="ET61" s="50">
        <f>IFERROR(LOOKUP(ET$18,HourlyTimeseries!$A:$A,HourlyTimeseries!$J:$J),"")</f>
        <v>40000</v>
      </c>
      <c r="EU61" s="50">
        <f>IFERROR(LOOKUP(EU$18,HourlyTimeseries!$A:$A,HourlyTimeseries!$J:$J),"")</f>
        <v>40000</v>
      </c>
      <c r="EV61" s="50">
        <f>IFERROR(LOOKUP(EV$18,HourlyTimeseries!$A:$A,HourlyTimeseries!$J:$J),"")</f>
        <v>40000</v>
      </c>
      <c r="EW61" s="50">
        <f>IFERROR(LOOKUP(EW$18,HourlyTimeseries!$A:$A,HourlyTimeseries!$J:$J),"")</f>
        <v>40000</v>
      </c>
      <c r="EX61" s="50">
        <f>IFERROR(LOOKUP(EX$18,HourlyTimeseries!$A:$A,HourlyTimeseries!$J:$J),"")</f>
        <v>40000</v>
      </c>
      <c r="EY61" s="50">
        <f>IFERROR(LOOKUP(EY$18,HourlyTimeseries!$A:$A,HourlyTimeseries!$J:$J),"")</f>
        <v>40000</v>
      </c>
      <c r="EZ61" s="50">
        <f>IFERROR(LOOKUP(EZ$18,HourlyTimeseries!$A:$A,HourlyTimeseries!$J:$J),"")</f>
        <v>40000</v>
      </c>
      <c r="FA61" s="50">
        <f>IFERROR(LOOKUP(FA$18,HourlyTimeseries!$A:$A,HourlyTimeseries!$J:$J),"")</f>
        <v>40000</v>
      </c>
      <c r="FB61" s="50">
        <f>IFERROR(LOOKUP(FB$18,HourlyTimeseries!$A:$A,HourlyTimeseries!$J:$J),"")</f>
        <v>40000</v>
      </c>
      <c r="FC61" s="50">
        <f>IFERROR(LOOKUP(FC$18,HourlyTimeseries!$A:$A,HourlyTimeseries!$J:$J),"")</f>
        <v>40000</v>
      </c>
      <c r="FD61" s="50">
        <f>IFERROR(LOOKUP(FD$18,HourlyTimeseries!$A:$A,HourlyTimeseries!$J:$J),"")</f>
        <v>40000</v>
      </c>
      <c r="FE61" s="50">
        <f>IFERROR(LOOKUP(FE$18,HourlyTimeseries!$A:$A,HourlyTimeseries!$J:$J),"")</f>
        <v>40000</v>
      </c>
      <c r="FF61" s="50">
        <f>IFERROR(LOOKUP(FF$18,HourlyTimeseries!$A:$A,HourlyTimeseries!$J:$J),"")</f>
        <v>40000</v>
      </c>
      <c r="FG61" s="50">
        <f>IFERROR(LOOKUP(FG$18,HourlyTimeseries!$A:$A,HourlyTimeseries!$J:$J),"")</f>
        <v>40000</v>
      </c>
      <c r="FH61" s="50">
        <f>IFERROR(LOOKUP(FH$18,HourlyTimeseries!$A:$A,HourlyTimeseries!$J:$J),"")</f>
        <v>40000</v>
      </c>
      <c r="FI61" s="50">
        <f>IFERROR(LOOKUP(FI$18,HourlyTimeseries!$A:$A,HourlyTimeseries!$J:$J),"")</f>
        <v>40000</v>
      </c>
      <c r="FJ61" s="50">
        <f>IFERROR(LOOKUP(FJ$18,HourlyTimeseries!$A:$A,HourlyTimeseries!$J:$J),"")</f>
        <v>40000</v>
      </c>
      <c r="FK61" s="50">
        <f>IFERROR(LOOKUP(FK$18,HourlyTimeseries!$A:$A,HourlyTimeseries!$J:$J),"")</f>
        <v>40000</v>
      </c>
      <c r="FL61" s="50">
        <f>IFERROR(LOOKUP(FL$18,HourlyTimeseries!$A:$A,HourlyTimeseries!$J:$J),"")</f>
        <v>40000</v>
      </c>
      <c r="FM61" s="50">
        <f>IFERROR(LOOKUP(FM$18,HourlyTimeseries!$A:$A,HourlyTimeseries!$J:$J),"")</f>
        <v>40000</v>
      </c>
      <c r="FN61" s="50">
        <f>IFERROR(LOOKUP(FN$18,HourlyTimeseries!$A:$A,HourlyTimeseries!$J:$J),"")</f>
        <v>40000</v>
      </c>
      <c r="FO61" s="50">
        <f>IFERROR(LOOKUP(FO$18,HourlyTimeseries!$A:$A,HourlyTimeseries!$J:$J),"")</f>
        <v>40000</v>
      </c>
      <c r="FP61" s="59">
        <f>IFERROR(LOOKUP(FP$18,HourlyTimeseries!$A:$A,HourlyTimeseries!$J:$J),"")</f>
        <v>40000</v>
      </c>
    </row>
    <row r="62" spans="1:172" ht="15.75" customHeight="1">
      <c r="A62" s="28" t="s">
        <v>105</v>
      </c>
      <c r="B62" s="2" t="s">
        <v>101</v>
      </c>
      <c r="C62" s="8" t="s">
        <v>133</v>
      </c>
      <c r="D62" s="4" t="b">
        <v>0</v>
      </c>
      <c r="E62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63" spans="1:172" ht="15.75" customHeight="1" thickBot="1">
      <c r="A63" s="16" t="s">
        <v>171</v>
      </c>
      <c r="B63" s="2" t="s">
        <v>182</v>
      </c>
      <c r="C63" s="2"/>
      <c r="D63" s="4" t="b">
        <v>0</v>
      </c>
    </row>
    <row r="64" spans="1:172">
      <c r="A64" s="15" t="s">
        <v>172</v>
      </c>
      <c r="B64" s="2" t="s">
        <v>173</v>
      </c>
      <c r="C64" s="8" t="s">
        <v>135</v>
      </c>
      <c r="D64" s="8">
        <v>15000</v>
      </c>
    </row>
    <row r="65" spans="1:172">
      <c r="A65" s="15" t="s">
        <v>174</v>
      </c>
      <c r="B65" s="2" t="s">
        <v>175</v>
      </c>
      <c r="C65" s="8" t="s">
        <v>135</v>
      </c>
      <c r="D65" s="8">
        <v>15000</v>
      </c>
    </row>
    <row r="66" spans="1:172">
      <c r="A66" s="15" t="s">
        <v>176</v>
      </c>
      <c r="B66" s="2" t="s">
        <v>177</v>
      </c>
      <c r="C66" s="8" t="s">
        <v>135</v>
      </c>
      <c r="D66" s="2"/>
      <c r="E66" s="50">
        <f>IFERROR(LOOKUP(E$18,HourlyTimeseries!$A:$A,HourlyTimeseries!$K:$K),"")</f>
        <v>5000</v>
      </c>
      <c r="F66" s="50">
        <f>IFERROR(LOOKUP(F$18,HourlyTimeseries!$A:$A,HourlyTimeseries!$K:$K),"")</f>
        <v>5000</v>
      </c>
      <c r="G66" s="50">
        <f>IFERROR(LOOKUP(G$18,HourlyTimeseries!$A:$A,HourlyTimeseries!$K:$K),"")</f>
        <v>5000</v>
      </c>
      <c r="H66" s="50">
        <f>IFERROR(LOOKUP(H$18,HourlyTimeseries!$A:$A,HourlyTimeseries!$K:$K),"")</f>
        <v>5000</v>
      </c>
      <c r="I66" s="50">
        <f>IFERROR(LOOKUP(I$18,HourlyTimeseries!$A:$A,HourlyTimeseries!$K:$K),"")</f>
        <v>5000</v>
      </c>
      <c r="J66" s="50">
        <f>IFERROR(LOOKUP(J$18,HourlyTimeseries!$A:$A,HourlyTimeseries!$K:$K),"")</f>
        <v>5000</v>
      </c>
      <c r="K66" s="50">
        <f>IFERROR(LOOKUP(K$18,HourlyTimeseries!$A:$A,HourlyTimeseries!$K:$K),"")</f>
        <v>8000</v>
      </c>
      <c r="L66" s="50">
        <f>IFERROR(LOOKUP(L$18,HourlyTimeseries!$A:$A,HourlyTimeseries!$K:$K),"")</f>
        <v>8000</v>
      </c>
      <c r="M66" s="50">
        <f>IFERROR(LOOKUP(M$18,HourlyTimeseries!$A:$A,HourlyTimeseries!$K:$K),"")</f>
        <v>8000</v>
      </c>
      <c r="N66" s="50">
        <f>IFERROR(LOOKUP(N$18,HourlyTimeseries!$A:$A,HourlyTimeseries!$K:$K),"")</f>
        <v>8000</v>
      </c>
      <c r="O66" s="50">
        <f>IFERROR(LOOKUP(O$18,HourlyTimeseries!$A:$A,HourlyTimeseries!$K:$K),"")</f>
        <v>8000</v>
      </c>
      <c r="P66" s="50">
        <f>IFERROR(LOOKUP(P$18,HourlyTimeseries!$A:$A,HourlyTimeseries!$K:$K),"")</f>
        <v>8000</v>
      </c>
      <c r="Q66" s="50">
        <f>IFERROR(LOOKUP(Q$18,HourlyTimeseries!$A:$A,HourlyTimeseries!$K:$K),"")</f>
        <v>8000</v>
      </c>
      <c r="R66" s="50">
        <f>IFERROR(LOOKUP(R$18,HourlyTimeseries!$A:$A,HourlyTimeseries!$K:$K),"")</f>
        <v>8000</v>
      </c>
      <c r="S66" s="50">
        <f>IFERROR(LOOKUP(S$18,HourlyTimeseries!$A:$A,HourlyTimeseries!$K:$K),"")</f>
        <v>8000</v>
      </c>
      <c r="T66" s="50">
        <f>IFERROR(LOOKUP(T$18,HourlyTimeseries!$A:$A,HourlyTimeseries!$K:$K),"")</f>
        <v>8000</v>
      </c>
      <c r="U66" s="50">
        <f>IFERROR(LOOKUP(U$18,HourlyTimeseries!$A:$A,HourlyTimeseries!$K:$K),"")</f>
        <v>8000</v>
      </c>
      <c r="V66" s="50">
        <f>IFERROR(LOOKUP(V$18,HourlyTimeseries!$A:$A,HourlyTimeseries!$K:$K),"")</f>
        <v>8000</v>
      </c>
      <c r="W66" s="50">
        <f>IFERROR(LOOKUP(W$18,HourlyTimeseries!$A:$A,HourlyTimeseries!$K:$K),"")</f>
        <v>5000</v>
      </c>
      <c r="X66" s="50">
        <f>IFERROR(LOOKUP(X$18,HourlyTimeseries!$A:$A,HourlyTimeseries!$K:$K),"")</f>
        <v>5000</v>
      </c>
      <c r="Y66" s="50">
        <f>IFERROR(LOOKUP(Y$18,HourlyTimeseries!$A:$A,HourlyTimeseries!$K:$K),"")</f>
        <v>5000</v>
      </c>
      <c r="Z66" s="50">
        <f>IFERROR(LOOKUP(Z$18,HourlyTimeseries!$A:$A,HourlyTimeseries!$K:$K),"")</f>
        <v>5000</v>
      </c>
      <c r="AA66" s="50">
        <f>IFERROR(LOOKUP(AA$18,HourlyTimeseries!$A:$A,HourlyTimeseries!$K:$K),"")</f>
        <v>5000</v>
      </c>
      <c r="AB66" s="59">
        <f>IFERROR(LOOKUP(AB$18,HourlyTimeseries!$A:$A,HourlyTimeseries!$K:$K),"")</f>
        <v>5000</v>
      </c>
      <c r="AC66" s="66">
        <f>IFERROR(LOOKUP(AC$18,HourlyTimeseries!$A:$A,HourlyTimeseries!$K:$K),"")</f>
        <v>5000</v>
      </c>
      <c r="AD66" s="50">
        <f>IFERROR(LOOKUP(AD$18,HourlyTimeseries!$A:$A,HourlyTimeseries!$K:$K),"")</f>
        <v>5000</v>
      </c>
      <c r="AE66" s="50">
        <f>IFERROR(LOOKUP(AE$18,HourlyTimeseries!$A:$A,HourlyTimeseries!$K:$K),"")</f>
        <v>5000</v>
      </c>
      <c r="AF66" s="50">
        <f>IFERROR(LOOKUP(AF$18,HourlyTimeseries!$A:$A,HourlyTimeseries!$K:$K),"")</f>
        <v>5000</v>
      </c>
      <c r="AG66" s="50">
        <f>IFERROR(LOOKUP(AG$18,HourlyTimeseries!$A:$A,HourlyTimeseries!$K:$K),"")</f>
        <v>5000</v>
      </c>
      <c r="AH66" s="50">
        <f>IFERROR(LOOKUP(AH$18,HourlyTimeseries!$A:$A,HourlyTimeseries!$K:$K),"")</f>
        <v>5000</v>
      </c>
      <c r="AI66" s="50">
        <f>IFERROR(LOOKUP(AI$18,HourlyTimeseries!$A:$A,HourlyTimeseries!$K:$K),"")</f>
        <v>8000</v>
      </c>
      <c r="AJ66" s="50">
        <f>IFERROR(LOOKUP(AJ$18,HourlyTimeseries!$A:$A,HourlyTimeseries!$K:$K),"")</f>
        <v>8000</v>
      </c>
      <c r="AK66" s="50">
        <f>IFERROR(LOOKUP(AK$18,HourlyTimeseries!$A:$A,HourlyTimeseries!$K:$K),"")</f>
        <v>8000</v>
      </c>
      <c r="AL66" s="50">
        <f>IFERROR(LOOKUP(AL$18,HourlyTimeseries!$A:$A,HourlyTimeseries!$K:$K),"")</f>
        <v>8000</v>
      </c>
      <c r="AM66" s="50">
        <f>IFERROR(LOOKUP(AM$18,HourlyTimeseries!$A:$A,HourlyTimeseries!$K:$K),"")</f>
        <v>8000</v>
      </c>
      <c r="AN66" s="50">
        <f>IFERROR(LOOKUP(AN$18,HourlyTimeseries!$A:$A,HourlyTimeseries!$K:$K),"")</f>
        <v>8000</v>
      </c>
      <c r="AO66" s="50">
        <f>IFERROR(LOOKUP(AO$18,HourlyTimeseries!$A:$A,HourlyTimeseries!$K:$K),"")</f>
        <v>8000</v>
      </c>
      <c r="AP66" s="50">
        <f>IFERROR(LOOKUP(AP$18,HourlyTimeseries!$A:$A,HourlyTimeseries!$K:$K),"")</f>
        <v>8000</v>
      </c>
      <c r="AQ66" s="50">
        <f>IFERROR(LOOKUP(AQ$18,HourlyTimeseries!$A:$A,HourlyTimeseries!$K:$K),"")</f>
        <v>8000</v>
      </c>
      <c r="AR66" s="50">
        <f>IFERROR(LOOKUP(AR$18,HourlyTimeseries!$A:$A,HourlyTimeseries!$K:$K),"")</f>
        <v>8000</v>
      </c>
      <c r="AS66" s="50">
        <f>IFERROR(LOOKUP(AS$18,HourlyTimeseries!$A:$A,HourlyTimeseries!$K:$K),"")</f>
        <v>8000</v>
      </c>
      <c r="AT66" s="50">
        <f>IFERROR(LOOKUP(AT$18,HourlyTimeseries!$A:$A,HourlyTimeseries!$K:$K),"")</f>
        <v>8000</v>
      </c>
      <c r="AU66" s="50">
        <f>IFERROR(LOOKUP(AU$18,HourlyTimeseries!$A:$A,HourlyTimeseries!$K:$K),"")</f>
        <v>5000</v>
      </c>
      <c r="AV66" s="50">
        <f>IFERROR(LOOKUP(AV$18,HourlyTimeseries!$A:$A,HourlyTimeseries!$K:$K),"")</f>
        <v>5000</v>
      </c>
      <c r="AW66" s="50">
        <f>IFERROR(LOOKUP(AW$18,HourlyTimeseries!$A:$A,HourlyTimeseries!$K:$K),"")</f>
        <v>5000</v>
      </c>
      <c r="AX66" s="50">
        <f>IFERROR(LOOKUP(AX$18,HourlyTimeseries!$A:$A,HourlyTimeseries!$K:$K),"")</f>
        <v>5000</v>
      </c>
      <c r="AY66" s="50">
        <f>IFERROR(LOOKUP(AY$18,HourlyTimeseries!$A:$A,HourlyTimeseries!$K:$K),"")</f>
        <v>5000</v>
      </c>
      <c r="AZ66" s="59">
        <f>IFERROR(LOOKUP(AZ$18,HourlyTimeseries!$A:$A,HourlyTimeseries!$K:$K),"")</f>
        <v>5000</v>
      </c>
      <c r="BA66" s="66">
        <f>IFERROR(LOOKUP(BA$18,HourlyTimeseries!$A:$A,HourlyTimeseries!$K:$K),"")</f>
        <v>5000</v>
      </c>
      <c r="BB66" s="50">
        <f>IFERROR(LOOKUP(BB$18,HourlyTimeseries!$A:$A,HourlyTimeseries!$K:$K),"")</f>
        <v>5000</v>
      </c>
      <c r="BC66" s="50">
        <f>IFERROR(LOOKUP(BC$18,HourlyTimeseries!$A:$A,HourlyTimeseries!$K:$K),"")</f>
        <v>5000</v>
      </c>
      <c r="BD66" s="50">
        <f>IFERROR(LOOKUP(BD$18,HourlyTimeseries!$A:$A,HourlyTimeseries!$K:$K),"")</f>
        <v>5000</v>
      </c>
      <c r="BE66" s="50">
        <f>IFERROR(LOOKUP(BE$18,HourlyTimeseries!$A:$A,HourlyTimeseries!$K:$K),"")</f>
        <v>5000</v>
      </c>
      <c r="BF66" s="50">
        <f>IFERROR(LOOKUP(BF$18,HourlyTimeseries!$A:$A,HourlyTimeseries!$K:$K),"")</f>
        <v>5000</v>
      </c>
      <c r="BG66" s="50">
        <f>IFERROR(LOOKUP(BG$18,HourlyTimeseries!$A:$A,HourlyTimeseries!$K:$K),"")</f>
        <v>8000</v>
      </c>
      <c r="BH66" s="50">
        <f>IFERROR(LOOKUP(BH$18,HourlyTimeseries!$A:$A,HourlyTimeseries!$K:$K),"")</f>
        <v>8000</v>
      </c>
      <c r="BI66" s="50">
        <f>IFERROR(LOOKUP(BI$18,HourlyTimeseries!$A:$A,HourlyTimeseries!$K:$K),"")</f>
        <v>8000</v>
      </c>
      <c r="BJ66" s="50">
        <f>IFERROR(LOOKUP(BJ$18,HourlyTimeseries!$A:$A,HourlyTimeseries!$K:$K),"")</f>
        <v>8000</v>
      </c>
      <c r="BK66" s="50">
        <f>IFERROR(LOOKUP(BK$18,HourlyTimeseries!$A:$A,HourlyTimeseries!$K:$K),"")</f>
        <v>8000</v>
      </c>
      <c r="BL66" s="50">
        <f>IFERROR(LOOKUP(BL$18,HourlyTimeseries!$A:$A,HourlyTimeseries!$K:$K),"")</f>
        <v>8000</v>
      </c>
      <c r="BM66" s="50">
        <f>IFERROR(LOOKUP(BM$18,HourlyTimeseries!$A:$A,HourlyTimeseries!$K:$K),"")</f>
        <v>8000</v>
      </c>
      <c r="BN66" s="50">
        <f>IFERROR(LOOKUP(BN$18,HourlyTimeseries!$A:$A,HourlyTimeseries!$K:$K),"")</f>
        <v>8000</v>
      </c>
      <c r="BO66" s="50">
        <f>IFERROR(LOOKUP(BO$18,HourlyTimeseries!$A:$A,HourlyTimeseries!$K:$K),"")</f>
        <v>8000</v>
      </c>
      <c r="BP66" s="50">
        <f>IFERROR(LOOKUP(BP$18,HourlyTimeseries!$A:$A,HourlyTimeseries!$K:$K),"")</f>
        <v>8000</v>
      </c>
      <c r="BQ66" s="50">
        <f>IFERROR(LOOKUP(BQ$18,HourlyTimeseries!$A:$A,HourlyTimeseries!$K:$K),"")</f>
        <v>8000</v>
      </c>
      <c r="BR66" s="50">
        <f>IFERROR(LOOKUP(BR$18,HourlyTimeseries!$A:$A,HourlyTimeseries!$K:$K),"")</f>
        <v>8000</v>
      </c>
      <c r="BS66" s="50">
        <f>IFERROR(LOOKUP(BS$18,HourlyTimeseries!$A:$A,HourlyTimeseries!$K:$K),"")</f>
        <v>5000</v>
      </c>
      <c r="BT66" s="50">
        <f>IFERROR(LOOKUP(BT$18,HourlyTimeseries!$A:$A,HourlyTimeseries!$K:$K),"")</f>
        <v>5000</v>
      </c>
      <c r="BU66" s="50">
        <f>IFERROR(LOOKUP(BU$18,HourlyTimeseries!$A:$A,HourlyTimeseries!$K:$K),"")</f>
        <v>5000</v>
      </c>
      <c r="BV66" s="50">
        <f>IFERROR(LOOKUP(BV$18,HourlyTimeseries!$A:$A,HourlyTimeseries!$K:$K),"")</f>
        <v>5000</v>
      </c>
      <c r="BW66" s="50">
        <f>IFERROR(LOOKUP(BW$18,HourlyTimeseries!$A:$A,HourlyTimeseries!$K:$K),"")</f>
        <v>5000</v>
      </c>
      <c r="BX66" s="59">
        <f>IFERROR(LOOKUP(BX$18,HourlyTimeseries!$A:$A,HourlyTimeseries!$K:$K),"")</f>
        <v>5000</v>
      </c>
      <c r="BY66" s="66">
        <f>IFERROR(LOOKUP(BY$18,HourlyTimeseries!$A:$A,HourlyTimeseries!$K:$K),"")</f>
        <v>5000</v>
      </c>
      <c r="BZ66" s="50">
        <f>IFERROR(LOOKUP(BZ$18,HourlyTimeseries!$A:$A,HourlyTimeseries!$K:$K),"")</f>
        <v>5000</v>
      </c>
      <c r="CA66" s="50">
        <f>IFERROR(LOOKUP(CA$18,HourlyTimeseries!$A:$A,HourlyTimeseries!$K:$K),"")</f>
        <v>5000</v>
      </c>
      <c r="CB66" s="50">
        <f>IFERROR(LOOKUP(CB$18,HourlyTimeseries!$A:$A,HourlyTimeseries!$K:$K),"")</f>
        <v>5000</v>
      </c>
      <c r="CC66" s="50">
        <f>IFERROR(LOOKUP(CC$18,HourlyTimeseries!$A:$A,HourlyTimeseries!$K:$K),"")</f>
        <v>5000</v>
      </c>
      <c r="CD66" s="50">
        <f>IFERROR(LOOKUP(CD$18,HourlyTimeseries!$A:$A,HourlyTimeseries!$K:$K),"")</f>
        <v>5000</v>
      </c>
      <c r="CE66" s="50">
        <f>IFERROR(LOOKUP(CE$18,HourlyTimeseries!$A:$A,HourlyTimeseries!$K:$K),"")</f>
        <v>8000</v>
      </c>
      <c r="CF66" s="50">
        <f>IFERROR(LOOKUP(CF$18,HourlyTimeseries!$A:$A,HourlyTimeseries!$K:$K),"")</f>
        <v>8000</v>
      </c>
      <c r="CG66" s="50">
        <f>IFERROR(LOOKUP(CG$18,HourlyTimeseries!$A:$A,HourlyTimeseries!$K:$K),"")</f>
        <v>8000</v>
      </c>
      <c r="CH66" s="50">
        <f>IFERROR(LOOKUP(CH$18,HourlyTimeseries!$A:$A,HourlyTimeseries!$K:$K),"")</f>
        <v>8000</v>
      </c>
      <c r="CI66" s="50">
        <f>IFERROR(LOOKUP(CI$18,HourlyTimeseries!$A:$A,HourlyTimeseries!$K:$K),"")</f>
        <v>8000</v>
      </c>
      <c r="CJ66" s="50">
        <f>IFERROR(LOOKUP(CJ$18,HourlyTimeseries!$A:$A,HourlyTimeseries!$K:$K),"")</f>
        <v>8000</v>
      </c>
      <c r="CK66" s="50">
        <f>IFERROR(LOOKUP(CK$18,HourlyTimeseries!$A:$A,HourlyTimeseries!$K:$K),"")</f>
        <v>8000</v>
      </c>
      <c r="CL66" s="50">
        <f>IFERROR(LOOKUP(CL$18,HourlyTimeseries!$A:$A,HourlyTimeseries!$K:$K),"")</f>
        <v>8000</v>
      </c>
      <c r="CM66" s="50">
        <f>IFERROR(LOOKUP(CM$18,HourlyTimeseries!$A:$A,HourlyTimeseries!$K:$K),"")</f>
        <v>8000</v>
      </c>
      <c r="CN66" s="50">
        <f>IFERROR(LOOKUP(CN$18,HourlyTimeseries!$A:$A,HourlyTimeseries!$K:$K),"")</f>
        <v>8000</v>
      </c>
      <c r="CO66" s="50">
        <f>IFERROR(LOOKUP(CO$18,HourlyTimeseries!$A:$A,HourlyTimeseries!$K:$K),"")</f>
        <v>8000</v>
      </c>
      <c r="CP66" s="50">
        <f>IFERROR(LOOKUP(CP$18,HourlyTimeseries!$A:$A,HourlyTimeseries!$K:$K),"")</f>
        <v>8000</v>
      </c>
      <c r="CQ66" s="50">
        <f>IFERROR(LOOKUP(CQ$18,HourlyTimeseries!$A:$A,HourlyTimeseries!$K:$K),"")</f>
        <v>5000</v>
      </c>
      <c r="CR66" s="50">
        <f>IFERROR(LOOKUP(CR$18,HourlyTimeseries!$A:$A,HourlyTimeseries!$K:$K),"")</f>
        <v>5000</v>
      </c>
      <c r="CS66" s="50">
        <f>IFERROR(LOOKUP(CS$18,HourlyTimeseries!$A:$A,HourlyTimeseries!$K:$K),"")</f>
        <v>5000</v>
      </c>
      <c r="CT66" s="50">
        <f>IFERROR(LOOKUP(CT$18,HourlyTimeseries!$A:$A,HourlyTimeseries!$K:$K),"")</f>
        <v>5000</v>
      </c>
      <c r="CU66" s="50">
        <f>IFERROR(LOOKUP(CU$18,HourlyTimeseries!$A:$A,HourlyTimeseries!$K:$K),"")</f>
        <v>5000</v>
      </c>
      <c r="CV66" s="59">
        <f>IFERROR(LOOKUP(CV$18,HourlyTimeseries!$A:$A,HourlyTimeseries!$K:$K),"")</f>
        <v>5000</v>
      </c>
      <c r="CW66" s="66">
        <f>IFERROR(LOOKUP(CW$18,HourlyTimeseries!$A:$A,HourlyTimeseries!$K:$K),"")</f>
        <v>5000</v>
      </c>
      <c r="CX66" s="50">
        <f>IFERROR(LOOKUP(CX$18,HourlyTimeseries!$A:$A,HourlyTimeseries!$K:$K),"")</f>
        <v>5000</v>
      </c>
      <c r="CY66" s="50">
        <f>IFERROR(LOOKUP(CY$18,HourlyTimeseries!$A:$A,HourlyTimeseries!$K:$K),"")</f>
        <v>5000</v>
      </c>
      <c r="CZ66" s="50">
        <f>IFERROR(LOOKUP(CZ$18,HourlyTimeseries!$A:$A,HourlyTimeseries!$K:$K),"")</f>
        <v>5000</v>
      </c>
      <c r="DA66" s="50">
        <f>IFERROR(LOOKUP(DA$18,HourlyTimeseries!$A:$A,HourlyTimeseries!$K:$K),"")</f>
        <v>5000</v>
      </c>
      <c r="DB66" s="50">
        <f>IFERROR(LOOKUP(DB$18,HourlyTimeseries!$A:$A,HourlyTimeseries!$K:$K),"")</f>
        <v>5000</v>
      </c>
      <c r="DC66" s="50">
        <f>IFERROR(LOOKUP(DC$18,HourlyTimeseries!$A:$A,HourlyTimeseries!$K:$K),"")</f>
        <v>8000</v>
      </c>
      <c r="DD66" s="50">
        <f>IFERROR(LOOKUP(DD$18,HourlyTimeseries!$A:$A,HourlyTimeseries!$K:$K),"")</f>
        <v>8000</v>
      </c>
      <c r="DE66" s="50">
        <f>IFERROR(LOOKUP(DE$18,HourlyTimeseries!$A:$A,HourlyTimeseries!$K:$K),"")</f>
        <v>8000</v>
      </c>
      <c r="DF66" s="50">
        <f>IFERROR(LOOKUP(DF$18,HourlyTimeseries!$A:$A,HourlyTimeseries!$K:$K),"")</f>
        <v>8000</v>
      </c>
      <c r="DG66" s="50">
        <f>IFERROR(LOOKUP(DG$18,HourlyTimeseries!$A:$A,HourlyTimeseries!$K:$K),"")</f>
        <v>8000</v>
      </c>
      <c r="DH66" s="50">
        <f>IFERROR(LOOKUP(DH$18,HourlyTimeseries!$A:$A,HourlyTimeseries!$K:$K),"")</f>
        <v>8000</v>
      </c>
      <c r="DI66" s="50">
        <f>IFERROR(LOOKUP(DI$18,HourlyTimeseries!$A:$A,HourlyTimeseries!$K:$K),"")</f>
        <v>8000</v>
      </c>
      <c r="DJ66" s="50">
        <f>IFERROR(LOOKUP(DJ$18,HourlyTimeseries!$A:$A,HourlyTimeseries!$K:$K),"")</f>
        <v>8000</v>
      </c>
      <c r="DK66" s="50">
        <f>IFERROR(LOOKUP(DK$18,HourlyTimeseries!$A:$A,HourlyTimeseries!$K:$K),"")</f>
        <v>8000</v>
      </c>
      <c r="DL66" s="50">
        <f>IFERROR(LOOKUP(DL$18,HourlyTimeseries!$A:$A,HourlyTimeseries!$K:$K),"")</f>
        <v>8000</v>
      </c>
      <c r="DM66" s="50">
        <f>IFERROR(LOOKUP(DM$18,HourlyTimeseries!$A:$A,HourlyTimeseries!$K:$K),"")</f>
        <v>8000</v>
      </c>
      <c r="DN66" s="50">
        <f>IFERROR(LOOKUP(DN$18,HourlyTimeseries!$A:$A,HourlyTimeseries!$K:$K),"")</f>
        <v>8000</v>
      </c>
      <c r="DO66" s="50">
        <f>IFERROR(LOOKUP(DO$18,HourlyTimeseries!$A:$A,HourlyTimeseries!$K:$K),"")</f>
        <v>5000</v>
      </c>
      <c r="DP66" s="50">
        <f>IFERROR(LOOKUP(DP$18,HourlyTimeseries!$A:$A,HourlyTimeseries!$K:$K),"")</f>
        <v>5000</v>
      </c>
      <c r="DQ66" s="50">
        <f>IFERROR(LOOKUP(DQ$18,HourlyTimeseries!$A:$A,HourlyTimeseries!$K:$K),"")</f>
        <v>5000</v>
      </c>
      <c r="DR66" s="50">
        <f>IFERROR(LOOKUP(DR$18,HourlyTimeseries!$A:$A,HourlyTimeseries!$K:$K),"")</f>
        <v>5000</v>
      </c>
      <c r="DS66" s="50">
        <f>IFERROR(LOOKUP(DS$18,HourlyTimeseries!$A:$A,HourlyTimeseries!$K:$K),"")</f>
        <v>5000</v>
      </c>
      <c r="DT66" s="59">
        <f>IFERROR(LOOKUP(DT$18,HourlyTimeseries!$A:$A,HourlyTimeseries!$K:$K),"")</f>
        <v>5000</v>
      </c>
      <c r="DU66" s="66">
        <f>IFERROR(LOOKUP(DU$18,HourlyTimeseries!$A:$A,HourlyTimeseries!$K:$K),"")</f>
        <v>5000</v>
      </c>
      <c r="DV66" s="50">
        <f>IFERROR(LOOKUP(DV$18,HourlyTimeseries!$A:$A,HourlyTimeseries!$K:$K),"")</f>
        <v>5000</v>
      </c>
      <c r="DW66" s="50">
        <f>IFERROR(LOOKUP(DW$18,HourlyTimeseries!$A:$A,HourlyTimeseries!$K:$K),"")</f>
        <v>5000</v>
      </c>
      <c r="DX66" s="50">
        <f>IFERROR(LOOKUP(DX$18,HourlyTimeseries!$A:$A,HourlyTimeseries!$K:$K),"")</f>
        <v>5000</v>
      </c>
      <c r="DY66" s="50">
        <f>IFERROR(LOOKUP(DY$18,HourlyTimeseries!$A:$A,HourlyTimeseries!$K:$K),"")</f>
        <v>5000</v>
      </c>
      <c r="DZ66" s="50">
        <f>IFERROR(LOOKUP(DZ$18,HourlyTimeseries!$A:$A,HourlyTimeseries!$K:$K),"")</f>
        <v>5000</v>
      </c>
      <c r="EA66" s="50">
        <f>IFERROR(LOOKUP(EA$18,HourlyTimeseries!$A:$A,HourlyTimeseries!$K:$K),"")</f>
        <v>8000</v>
      </c>
      <c r="EB66" s="50">
        <f>IFERROR(LOOKUP(EB$18,HourlyTimeseries!$A:$A,HourlyTimeseries!$K:$K),"")</f>
        <v>8000</v>
      </c>
      <c r="EC66" s="50">
        <f>IFERROR(LOOKUP(EC$18,HourlyTimeseries!$A:$A,HourlyTimeseries!$K:$K),"")</f>
        <v>8000</v>
      </c>
      <c r="ED66" s="50">
        <f>IFERROR(LOOKUP(ED$18,HourlyTimeseries!$A:$A,HourlyTimeseries!$K:$K),"")</f>
        <v>8000</v>
      </c>
      <c r="EE66" s="50">
        <f>IFERROR(LOOKUP(EE$18,HourlyTimeseries!$A:$A,HourlyTimeseries!$K:$K),"")</f>
        <v>8000</v>
      </c>
      <c r="EF66" s="50">
        <f>IFERROR(LOOKUP(EF$18,HourlyTimeseries!$A:$A,HourlyTimeseries!$K:$K),"")</f>
        <v>8000</v>
      </c>
      <c r="EG66" s="50">
        <f>IFERROR(LOOKUP(EG$18,HourlyTimeseries!$A:$A,HourlyTimeseries!$K:$K),"")</f>
        <v>8000</v>
      </c>
      <c r="EH66" s="50">
        <f>IFERROR(LOOKUP(EH$18,HourlyTimeseries!$A:$A,HourlyTimeseries!$K:$K),"")</f>
        <v>8000</v>
      </c>
      <c r="EI66" s="50">
        <f>IFERROR(LOOKUP(EI$18,HourlyTimeseries!$A:$A,HourlyTimeseries!$K:$K),"")</f>
        <v>8000</v>
      </c>
      <c r="EJ66" s="50">
        <f>IFERROR(LOOKUP(EJ$18,HourlyTimeseries!$A:$A,HourlyTimeseries!$K:$K),"")</f>
        <v>8000</v>
      </c>
      <c r="EK66" s="50">
        <f>IFERROR(LOOKUP(EK$18,HourlyTimeseries!$A:$A,HourlyTimeseries!$K:$K),"")</f>
        <v>8000</v>
      </c>
      <c r="EL66" s="50">
        <f>IFERROR(LOOKUP(EL$18,HourlyTimeseries!$A:$A,HourlyTimeseries!$K:$K),"")</f>
        <v>8000</v>
      </c>
      <c r="EM66" s="50">
        <f>IFERROR(LOOKUP(EM$18,HourlyTimeseries!$A:$A,HourlyTimeseries!$K:$K),"")</f>
        <v>5000</v>
      </c>
      <c r="EN66" s="50">
        <f>IFERROR(LOOKUP(EN$18,HourlyTimeseries!$A:$A,HourlyTimeseries!$K:$K),"")</f>
        <v>5000</v>
      </c>
      <c r="EO66" s="50">
        <f>IFERROR(LOOKUP(EO$18,HourlyTimeseries!$A:$A,HourlyTimeseries!$K:$K),"")</f>
        <v>5000</v>
      </c>
      <c r="EP66" s="50">
        <f>IFERROR(LOOKUP(EP$18,HourlyTimeseries!$A:$A,HourlyTimeseries!$K:$K),"")</f>
        <v>5000</v>
      </c>
      <c r="EQ66" s="50">
        <f>IFERROR(LOOKUP(EQ$18,HourlyTimeseries!$A:$A,HourlyTimeseries!$K:$K),"")</f>
        <v>5000</v>
      </c>
      <c r="ER66" s="59">
        <f>IFERROR(LOOKUP(ER$18,HourlyTimeseries!$A:$A,HourlyTimeseries!$K:$K),"")</f>
        <v>5000</v>
      </c>
      <c r="ES66" s="66">
        <f>IFERROR(LOOKUP(ES$18,HourlyTimeseries!$A:$A,HourlyTimeseries!$K:$K),"")</f>
        <v>5000</v>
      </c>
      <c r="ET66" s="50">
        <f>IFERROR(LOOKUP(ET$18,HourlyTimeseries!$A:$A,HourlyTimeseries!$K:$K),"")</f>
        <v>5000</v>
      </c>
      <c r="EU66" s="50">
        <f>IFERROR(LOOKUP(EU$18,HourlyTimeseries!$A:$A,HourlyTimeseries!$K:$K),"")</f>
        <v>5000</v>
      </c>
      <c r="EV66" s="50">
        <f>IFERROR(LOOKUP(EV$18,HourlyTimeseries!$A:$A,HourlyTimeseries!$K:$K),"")</f>
        <v>5000</v>
      </c>
      <c r="EW66" s="50">
        <f>IFERROR(LOOKUP(EW$18,HourlyTimeseries!$A:$A,HourlyTimeseries!$K:$K),"")</f>
        <v>5000</v>
      </c>
      <c r="EX66" s="50">
        <f>IFERROR(LOOKUP(EX$18,HourlyTimeseries!$A:$A,HourlyTimeseries!$K:$K),"")</f>
        <v>5000</v>
      </c>
      <c r="EY66" s="50">
        <f>IFERROR(LOOKUP(EY$18,HourlyTimeseries!$A:$A,HourlyTimeseries!$K:$K),"")</f>
        <v>8000</v>
      </c>
      <c r="EZ66" s="50">
        <f>IFERROR(LOOKUP(EZ$18,HourlyTimeseries!$A:$A,HourlyTimeseries!$K:$K),"")</f>
        <v>8000</v>
      </c>
      <c r="FA66" s="50">
        <f>IFERROR(LOOKUP(FA$18,HourlyTimeseries!$A:$A,HourlyTimeseries!$K:$K),"")</f>
        <v>8000</v>
      </c>
      <c r="FB66" s="50">
        <f>IFERROR(LOOKUP(FB$18,HourlyTimeseries!$A:$A,HourlyTimeseries!$K:$K),"")</f>
        <v>8000</v>
      </c>
      <c r="FC66" s="50">
        <f>IFERROR(LOOKUP(FC$18,HourlyTimeseries!$A:$A,HourlyTimeseries!$K:$K),"")</f>
        <v>8000</v>
      </c>
      <c r="FD66" s="50">
        <f>IFERROR(LOOKUP(FD$18,HourlyTimeseries!$A:$A,HourlyTimeseries!$K:$K),"")</f>
        <v>8000</v>
      </c>
      <c r="FE66" s="50">
        <f>IFERROR(LOOKUP(FE$18,HourlyTimeseries!$A:$A,HourlyTimeseries!$K:$K),"")</f>
        <v>8000</v>
      </c>
      <c r="FF66" s="50">
        <f>IFERROR(LOOKUP(FF$18,HourlyTimeseries!$A:$A,HourlyTimeseries!$K:$K),"")</f>
        <v>8000</v>
      </c>
      <c r="FG66" s="50">
        <f>IFERROR(LOOKUP(FG$18,HourlyTimeseries!$A:$A,HourlyTimeseries!$K:$K),"")</f>
        <v>8000</v>
      </c>
      <c r="FH66" s="50">
        <f>IFERROR(LOOKUP(FH$18,HourlyTimeseries!$A:$A,HourlyTimeseries!$K:$K),"")</f>
        <v>8000</v>
      </c>
      <c r="FI66" s="50">
        <f>IFERROR(LOOKUP(FI$18,HourlyTimeseries!$A:$A,HourlyTimeseries!$K:$K),"")</f>
        <v>8000</v>
      </c>
      <c r="FJ66" s="50">
        <f>IFERROR(LOOKUP(FJ$18,HourlyTimeseries!$A:$A,HourlyTimeseries!$K:$K),"")</f>
        <v>8000</v>
      </c>
      <c r="FK66" s="50">
        <f>IFERROR(LOOKUP(FK$18,HourlyTimeseries!$A:$A,HourlyTimeseries!$K:$K),"")</f>
        <v>5000</v>
      </c>
      <c r="FL66" s="50">
        <f>IFERROR(LOOKUP(FL$18,HourlyTimeseries!$A:$A,HourlyTimeseries!$K:$K),"")</f>
        <v>5000</v>
      </c>
      <c r="FM66" s="50">
        <f>IFERROR(LOOKUP(FM$18,HourlyTimeseries!$A:$A,HourlyTimeseries!$K:$K),"")</f>
        <v>5000</v>
      </c>
      <c r="FN66" s="50">
        <f>IFERROR(LOOKUP(FN$18,HourlyTimeseries!$A:$A,HourlyTimeseries!$K:$K),"")</f>
        <v>5000</v>
      </c>
      <c r="FO66" s="50">
        <f>IFERROR(LOOKUP(FO$18,HourlyTimeseries!$A:$A,HourlyTimeseries!$K:$K),"")</f>
        <v>5000</v>
      </c>
      <c r="FP66" s="59">
        <f>IFERROR(LOOKUP(FP$18,HourlyTimeseries!$A:$A,HourlyTimeseries!$K:$K),"")</f>
        <v>5000</v>
      </c>
    </row>
    <row r="67" spans="1:172">
      <c r="A67" s="15" t="s">
        <v>178</v>
      </c>
      <c r="B67" s="2" t="s">
        <v>179</v>
      </c>
      <c r="C67" s="8" t="s">
        <v>135</v>
      </c>
      <c r="D67" s="2"/>
      <c r="E67" s="50">
        <f>IFERROR(LOOKUP(E$18,HourlyTimeseries!$A:$A,HourlyTimeseries!$L:$L),"")</f>
        <v>40000</v>
      </c>
      <c r="F67" s="50">
        <f>IFERROR(LOOKUP(F$18,HourlyTimeseries!$A:$A,HourlyTimeseries!$L:$L),"")</f>
        <v>40000</v>
      </c>
      <c r="G67" s="50">
        <f>IFERROR(LOOKUP(G$18,HourlyTimeseries!$A:$A,HourlyTimeseries!$L:$L),"")</f>
        <v>40000</v>
      </c>
      <c r="H67" s="50">
        <f>IFERROR(LOOKUP(H$18,HourlyTimeseries!$A:$A,HourlyTimeseries!$L:$L),"")</f>
        <v>40000</v>
      </c>
      <c r="I67" s="50">
        <f>IFERROR(LOOKUP(I$18,HourlyTimeseries!$A:$A,HourlyTimeseries!$L:$L),"")</f>
        <v>40000</v>
      </c>
      <c r="J67" s="50">
        <f>IFERROR(LOOKUP(J$18,HourlyTimeseries!$A:$A,HourlyTimeseries!$L:$L),"")</f>
        <v>40000</v>
      </c>
      <c r="K67" s="50">
        <f>IFERROR(LOOKUP(K$18,HourlyTimeseries!$A:$A,HourlyTimeseries!$L:$L),"")</f>
        <v>40000</v>
      </c>
      <c r="L67" s="50">
        <f>IFERROR(LOOKUP(L$18,HourlyTimeseries!$A:$A,HourlyTimeseries!$L:$L),"")</f>
        <v>40000</v>
      </c>
      <c r="M67" s="50">
        <f>IFERROR(LOOKUP(M$18,HourlyTimeseries!$A:$A,HourlyTimeseries!$L:$L),"")</f>
        <v>40000</v>
      </c>
      <c r="N67" s="50">
        <f>IFERROR(LOOKUP(N$18,HourlyTimeseries!$A:$A,HourlyTimeseries!$L:$L),"")</f>
        <v>40000</v>
      </c>
      <c r="O67" s="50">
        <f>IFERROR(LOOKUP(O$18,HourlyTimeseries!$A:$A,HourlyTimeseries!$L:$L),"")</f>
        <v>40000</v>
      </c>
      <c r="P67" s="50">
        <f>IFERROR(LOOKUP(P$18,HourlyTimeseries!$A:$A,HourlyTimeseries!$L:$L),"")</f>
        <v>40000</v>
      </c>
      <c r="Q67" s="50">
        <f>IFERROR(LOOKUP(Q$18,HourlyTimeseries!$A:$A,HourlyTimeseries!$L:$L),"")</f>
        <v>40000</v>
      </c>
      <c r="R67" s="50">
        <f>IFERROR(LOOKUP(R$18,HourlyTimeseries!$A:$A,HourlyTimeseries!$L:$L),"")</f>
        <v>40000</v>
      </c>
      <c r="S67" s="50">
        <f>IFERROR(LOOKUP(S$18,HourlyTimeseries!$A:$A,HourlyTimeseries!$L:$L),"")</f>
        <v>40000</v>
      </c>
      <c r="T67" s="50">
        <f>IFERROR(LOOKUP(T$18,HourlyTimeseries!$A:$A,HourlyTimeseries!$L:$L),"")</f>
        <v>40000</v>
      </c>
      <c r="U67" s="50">
        <f>IFERROR(LOOKUP(U$18,HourlyTimeseries!$A:$A,HourlyTimeseries!$L:$L),"")</f>
        <v>40000</v>
      </c>
      <c r="V67" s="50">
        <f>IFERROR(LOOKUP(V$18,HourlyTimeseries!$A:$A,HourlyTimeseries!$L:$L),"")</f>
        <v>40000</v>
      </c>
      <c r="W67" s="50">
        <f>IFERROR(LOOKUP(W$18,HourlyTimeseries!$A:$A,HourlyTimeseries!$L:$L),"")</f>
        <v>40000</v>
      </c>
      <c r="X67" s="50">
        <f>IFERROR(LOOKUP(X$18,HourlyTimeseries!$A:$A,HourlyTimeseries!$L:$L),"")</f>
        <v>40000</v>
      </c>
      <c r="Y67" s="50">
        <f>IFERROR(LOOKUP(Y$18,HourlyTimeseries!$A:$A,HourlyTimeseries!$L:$L),"")</f>
        <v>40000</v>
      </c>
      <c r="Z67" s="50">
        <f>IFERROR(LOOKUP(Z$18,HourlyTimeseries!$A:$A,HourlyTimeseries!$L:$L),"")</f>
        <v>40000</v>
      </c>
      <c r="AA67" s="50">
        <f>IFERROR(LOOKUP(AA$18,HourlyTimeseries!$A:$A,HourlyTimeseries!$L:$L),"")</f>
        <v>40000</v>
      </c>
      <c r="AB67" s="59">
        <f>IFERROR(LOOKUP(AB$18,HourlyTimeseries!$A:$A,HourlyTimeseries!$L:$L),"")</f>
        <v>40000</v>
      </c>
      <c r="AC67" s="66">
        <f>IFERROR(LOOKUP(AC$18,HourlyTimeseries!$A:$A,HourlyTimeseries!$L:$L),"")</f>
        <v>40000</v>
      </c>
      <c r="AD67" s="50">
        <f>IFERROR(LOOKUP(AD$18,HourlyTimeseries!$A:$A,HourlyTimeseries!$L:$L),"")</f>
        <v>40000</v>
      </c>
      <c r="AE67" s="50">
        <f>IFERROR(LOOKUP(AE$18,HourlyTimeseries!$A:$A,HourlyTimeseries!$L:$L),"")</f>
        <v>40000</v>
      </c>
      <c r="AF67" s="50">
        <f>IFERROR(LOOKUP(AF$18,HourlyTimeseries!$A:$A,HourlyTimeseries!$L:$L),"")</f>
        <v>40000</v>
      </c>
      <c r="AG67" s="50">
        <f>IFERROR(LOOKUP(AG$18,HourlyTimeseries!$A:$A,HourlyTimeseries!$L:$L),"")</f>
        <v>40000</v>
      </c>
      <c r="AH67" s="50">
        <f>IFERROR(LOOKUP(AH$18,HourlyTimeseries!$A:$A,HourlyTimeseries!$L:$L),"")</f>
        <v>40000</v>
      </c>
      <c r="AI67" s="50">
        <f>IFERROR(LOOKUP(AI$18,HourlyTimeseries!$A:$A,HourlyTimeseries!$L:$L),"")</f>
        <v>40000</v>
      </c>
      <c r="AJ67" s="50">
        <f>IFERROR(LOOKUP(AJ$18,HourlyTimeseries!$A:$A,HourlyTimeseries!$L:$L),"")</f>
        <v>40000</v>
      </c>
      <c r="AK67" s="50">
        <f>IFERROR(LOOKUP(AK$18,HourlyTimeseries!$A:$A,HourlyTimeseries!$L:$L),"")</f>
        <v>40000</v>
      </c>
      <c r="AL67" s="50">
        <f>IFERROR(LOOKUP(AL$18,HourlyTimeseries!$A:$A,HourlyTimeseries!$L:$L),"")</f>
        <v>40000</v>
      </c>
      <c r="AM67" s="50">
        <f>IFERROR(LOOKUP(AM$18,HourlyTimeseries!$A:$A,HourlyTimeseries!$L:$L),"")</f>
        <v>40000</v>
      </c>
      <c r="AN67" s="50">
        <f>IFERROR(LOOKUP(AN$18,HourlyTimeseries!$A:$A,HourlyTimeseries!$L:$L),"")</f>
        <v>40000</v>
      </c>
      <c r="AO67" s="50">
        <f>IFERROR(LOOKUP(AO$18,HourlyTimeseries!$A:$A,HourlyTimeseries!$L:$L),"")</f>
        <v>40000</v>
      </c>
      <c r="AP67" s="50">
        <f>IFERROR(LOOKUP(AP$18,HourlyTimeseries!$A:$A,HourlyTimeseries!$L:$L),"")</f>
        <v>40000</v>
      </c>
      <c r="AQ67" s="50">
        <f>IFERROR(LOOKUP(AQ$18,HourlyTimeseries!$A:$A,HourlyTimeseries!$L:$L),"")</f>
        <v>40000</v>
      </c>
      <c r="AR67" s="50">
        <f>IFERROR(LOOKUP(AR$18,HourlyTimeseries!$A:$A,HourlyTimeseries!$L:$L),"")</f>
        <v>40000</v>
      </c>
      <c r="AS67" s="50">
        <f>IFERROR(LOOKUP(AS$18,HourlyTimeseries!$A:$A,HourlyTimeseries!$L:$L),"")</f>
        <v>40000</v>
      </c>
      <c r="AT67" s="50">
        <f>IFERROR(LOOKUP(AT$18,HourlyTimeseries!$A:$A,HourlyTimeseries!$L:$L),"")</f>
        <v>40000</v>
      </c>
      <c r="AU67" s="50">
        <f>IFERROR(LOOKUP(AU$18,HourlyTimeseries!$A:$A,HourlyTimeseries!$L:$L),"")</f>
        <v>40000</v>
      </c>
      <c r="AV67" s="50">
        <f>IFERROR(LOOKUP(AV$18,HourlyTimeseries!$A:$A,HourlyTimeseries!$L:$L),"")</f>
        <v>40000</v>
      </c>
      <c r="AW67" s="50">
        <f>IFERROR(LOOKUP(AW$18,HourlyTimeseries!$A:$A,HourlyTimeseries!$L:$L),"")</f>
        <v>40000</v>
      </c>
      <c r="AX67" s="50">
        <f>IFERROR(LOOKUP(AX$18,HourlyTimeseries!$A:$A,HourlyTimeseries!$L:$L),"")</f>
        <v>40000</v>
      </c>
      <c r="AY67" s="50">
        <f>IFERROR(LOOKUP(AY$18,HourlyTimeseries!$A:$A,HourlyTimeseries!$L:$L),"")</f>
        <v>40000</v>
      </c>
      <c r="AZ67" s="59">
        <f>IFERROR(LOOKUP(AZ$18,HourlyTimeseries!$A:$A,HourlyTimeseries!$L:$L),"")</f>
        <v>40000</v>
      </c>
      <c r="BA67" s="66">
        <f>IFERROR(LOOKUP(BA$18,HourlyTimeseries!$A:$A,HourlyTimeseries!$L:$L),"")</f>
        <v>40000</v>
      </c>
      <c r="BB67" s="50">
        <f>IFERROR(LOOKUP(BB$18,HourlyTimeseries!$A:$A,HourlyTimeseries!$L:$L),"")</f>
        <v>40000</v>
      </c>
      <c r="BC67" s="50">
        <f>IFERROR(LOOKUP(BC$18,HourlyTimeseries!$A:$A,HourlyTimeseries!$L:$L),"")</f>
        <v>40000</v>
      </c>
      <c r="BD67" s="50">
        <f>IFERROR(LOOKUP(BD$18,HourlyTimeseries!$A:$A,HourlyTimeseries!$L:$L),"")</f>
        <v>40000</v>
      </c>
      <c r="BE67" s="50">
        <f>IFERROR(LOOKUP(BE$18,HourlyTimeseries!$A:$A,HourlyTimeseries!$L:$L),"")</f>
        <v>40000</v>
      </c>
      <c r="BF67" s="50">
        <f>IFERROR(LOOKUP(BF$18,HourlyTimeseries!$A:$A,HourlyTimeseries!$L:$L),"")</f>
        <v>40000</v>
      </c>
      <c r="BG67" s="50">
        <f>IFERROR(LOOKUP(BG$18,HourlyTimeseries!$A:$A,HourlyTimeseries!$L:$L),"")</f>
        <v>40000</v>
      </c>
      <c r="BH67" s="50">
        <f>IFERROR(LOOKUP(BH$18,HourlyTimeseries!$A:$A,HourlyTimeseries!$L:$L),"")</f>
        <v>40000</v>
      </c>
      <c r="BI67" s="50">
        <f>IFERROR(LOOKUP(BI$18,HourlyTimeseries!$A:$A,HourlyTimeseries!$L:$L),"")</f>
        <v>40000</v>
      </c>
      <c r="BJ67" s="50">
        <f>IFERROR(LOOKUP(BJ$18,HourlyTimeseries!$A:$A,HourlyTimeseries!$L:$L),"")</f>
        <v>40000</v>
      </c>
      <c r="BK67" s="50">
        <f>IFERROR(LOOKUP(BK$18,HourlyTimeseries!$A:$A,HourlyTimeseries!$L:$L),"")</f>
        <v>40000</v>
      </c>
      <c r="BL67" s="50">
        <f>IFERROR(LOOKUP(BL$18,HourlyTimeseries!$A:$A,HourlyTimeseries!$L:$L),"")</f>
        <v>40000</v>
      </c>
      <c r="BM67" s="50">
        <f>IFERROR(LOOKUP(BM$18,HourlyTimeseries!$A:$A,HourlyTimeseries!$L:$L),"")</f>
        <v>40000</v>
      </c>
      <c r="BN67" s="50">
        <f>IFERROR(LOOKUP(BN$18,HourlyTimeseries!$A:$A,HourlyTimeseries!$L:$L),"")</f>
        <v>40000</v>
      </c>
      <c r="BO67" s="50">
        <f>IFERROR(LOOKUP(BO$18,HourlyTimeseries!$A:$A,HourlyTimeseries!$L:$L),"")</f>
        <v>40000</v>
      </c>
      <c r="BP67" s="50">
        <f>IFERROR(LOOKUP(BP$18,HourlyTimeseries!$A:$A,HourlyTimeseries!$L:$L),"")</f>
        <v>40000</v>
      </c>
      <c r="BQ67" s="50">
        <f>IFERROR(LOOKUP(BQ$18,HourlyTimeseries!$A:$A,HourlyTimeseries!$L:$L),"")</f>
        <v>40000</v>
      </c>
      <c r="BR67" s="50">
        <f>IFERROR(LOOKUP(BR$18,HourlyTimeseries!$A:$A,HourlyTimeseries!$L:$L),"")</f>
        <v>40000</v>
      </c>
      <c r="BS67" s="50">
        <f>IFERROR(LOOKUP(BS$18,HourlyTimeseries!$A:$A,HourlyTimeseries!$L:$L),"")</f>
        <v>40000</v>
      </c>
      <c r="BT67" s="50">
        <f>IFERROR(LOOKUP(BT$18,HourlyTimeseries!$A:$A,HourlyTimeseries!$L:$L),"")</f>
        <v>40000</v>
      </c>
      <c r="BU67" s="50">
        <f>IFERROR(LOOKUP(BU$18,HourlyTimeseries!$A:$A,HourlyTimeseries!$L:$L),"")</f>
        <v>40000</v>
      </c>
      <c r="BV67" s="50">
        <f>IFERROR(LOOKUP(BV$18,HourlyTimeseries!$A:$A,HourlyTimeseries!$L:$L),"")</f>
        <v>40000</v>
      </c>
      <c r="BW67" s="50">
        <f>IFERROR(LOOKUP(BW$18,HourlyTimeseries!$A:$A,HourlyTimeseries!$L:$L),"")</f>
        <v>40000</v>
      </c>
      <c r="BX67" s="59">
        <f>IFERROR(LOOKUP(BX$18,HourlyTimeseries!$A:$A,HourlyTimeseries!$L:$L),"")</f>
        <v>40000</v>
      </c>
      <c r="BY67" s="66">
        <f>IFERROR(LOOKUP(BY$18,HourlyTimeseries!$A:$A,HourlyTimeseries!$L:$L),"")</f>
        <v>40000</v>
      </c>
      <c r="BZ67" s="50">
        <f>IFERROR(LOOKUP(BZ$18,HourlyTimeseries!$A:$A,HourlyTimeseries!$L:$L),"")</f>
        <v>40000</v>
      </c>
      <c r="CA67" s="50">
        <f>IFERROR(LOOKUP(CA$18,HourlyTimeseries!$A:$A,HourlyTimeseries!$L:$L),"")</f>
        <v>40000</v>
      </c>
      <c r="CB67" s="50">
        <f>IFERROR(LOOKUP(CB$18,HourlyTimeseries!$A:$A,HourlyTimeseries!$L:$L),"")</f>
        <v>40000</v>
      </c>
      <c r="CC67" s="50">
        <f>IFERROR(LOOKUP(CC$18,HourlyTimeseries!$A:$A,HourlyTimeseries!$L:$L),"")</f>
        <v>40000</v>
      </c>
      <c r="CD67" s="50">
        <f>IFERROR(LOOKUP(CD$18,HourlyTimeseries!$A:$A,HourlyTimeseries!$L:$L),"")</f>
        <v>40000</v>
      </c>
      <c r="CE67" s="50">
        <f>IFERROR(LOOKUP(CE$18,HourlyTimeseries!$A:$A,HourlyTimeseries!$L:$L),"")</f>
        <v>40000</v>
      </c>
      <c r="CF67" s="50">
        <f>IFERROR(LOOKUP(CF$18,HourlyTimeseries!$A:$A,HourlyTimeseries!$L:$L),"")</f>
        <v>40000</v>
      </c>
      <c r="CG67" s="50">
        <f>IFERROR(LOOKUP(CG$18,HourlyTimeseries!$A:$A,HourlyTimeseries!$L:$L),"")</f>
        <v>40000</v>
      </c>
      <c r="CH67" s="50">
        <f>IFERROR(LOOKUP(CH$18,HourlyTimeseries!$A:$A,HourlyTimeseries!$L:$L),"")</f>
        <v>40000</v>
      </c>
      <c r="CI67" s="50">
        <f>IFERROR(LOOKUP(CI$18,HourlyTimeseries!$A:$A,HourlyTimeseries!$L:$L),"")</f>
        <v>40000</v>
      </c>
      <c r="CJ67" s="50">
        <f>IFERROR(LOOKUP(CJ$18,HourlyTimeseries!$A:$A,HourlyTimeseries!$L:$L),"")</f>
        <v>40000</v>
      </c>
      <c r="CK67" s="50">
        <f>IFERROR(LOOKUP(CK$18,HourlyTimeseries!$A:$A,HourlyTimeseries!$L:$L),"")</f>
        <v>40000</v>
      </c>
      <c r="CL67" s="50">
        <f>IFERROR(LOOKUP(CL$18,HourlyTimeseries!$A:$A,HourlyTimeseries!$L:$L),"")</f>
        <v>40000</v>
      </c>
      <c r="CM67" s="50">
        <f>IFERROR(LOOKUP(CM$18,HourlyTimeseries!$A:$A,HourlyTimeseries!$L:$L),"")</f>
        <v>40000</v>
      </c>
      <c r="CN67" s="50">
        <f>IFERROR(LOOKUP(CN$18,HourlyTimeseries!$A:$A,HourlyTimeseries!$L:$L),"")</f>
        <v>40000</v>
      </c>
      <c r="CO67" s="50">
        <f>IFERROR(LOOKUP(CO$18,HourlyTimeseries!$A:$A,HourlyTimeseries!$L:$L),"")</f>
        <v>40000</v>
      </c>
      <c r="CP67" s="50">
        <f>IFERROR(LOOKUP(CP$18,HourlyTimeseries!$A:$A,HourlyTimeseries!$L:$L),"")</f>
        <v>40000</v>
      </c>
      <c r="CQ67" s="50">
        <f>IFERROR(LOOKUP(CQ$18,HourlyTimeseries!$A:$A,HourlyTimeseries!$L:$L),"")</f>
        <v>40000</v>
      </c>
      <c r="CR67" s="50">
        <f>IFERROR(LOOKUP(CR$18,HourlyTimeseries!$A:$A,HourlyTimeseries!$L:$L),"")</f>
        <v>40000</v>
      </c>
      <c r="CS67" s="50">
        <f>IFERROR(LOOKUP(CS$18,HourlyTimeseries!$A:$A,HourlyTimeseries!$L:$L),"")</f>
        <v>40000</v>
      </c>
      <c r="CT67" s="50">
        <f>IFERROR(LOOKUP(CT$18,HourlyTimeseries!$A:$A,HourlyTimeseries!$L:$L),"")</f>
        <v>40000</v>
      </c>
      <c r="CU67" s="50">
        <f>IFERROR(LOOKUP(CU$18,HourlyTimeseries!$A:$A,HourlyTimeseries!$L:$L),"")</f>
        <v>40000</v>
      </c>
      <c r="CV67" s="59">
        <f>IFERROR(LOOKUP(CV$18,HourlyTimeseries!$A:$A,HourlyTimeseries!$L:$L),"")</f>
        <v>40000</v>
      </c>
      <c r="CW67" s="66">
        <f>IFERROR(LOOKUP(CW$18,HourlyTimeseries!$A:$A,HourlyTimeseries!$L:$L),"")</f>
        <v>40000</v>
      </c>
      <c r="CX67" s="50">
        <f>IFERROR(LOOKUP(CX$18,HourlyTimeseries!$A:$A,HourlyTimeseries!$L:$L),"")</f>
        <v>40000</v>
      </c>
      <c r="CY67" s="50">
        <f>IFERROR(LOOKUP(CY$18,HourlyTimeseries!$A:$A,HourlyTimeseries!$L:$L),"")</f>
        <v>40000</v>
      </c>
      <c r="CZ67" s="50">
        <f>IFERROR(LOOKUP(CZ$18,HourlyTimeseries!$A:$A,HourlyTimeseries!$L:$L),"")</f>
        <v>40000</v>
      </c>
      <c r="DA67" s="50">
        <f>IFERROR(LOOKUP(DA$18,HourlyTimeseries!$A:$A,HourlyTimeseries!$L:$L),"")</f>
        <v>40000</v>
      </c>
      <c r="DB67" s="50">
        <f>IFERROR(LOOKUP(DB$18,HourlyTimeseries!$A:$A,HourlyTimeseries!$L:$L),"")</f>
        <v>40000</v>
      </c>
      <c r="DC67" s="50">
        <f>IFERROR(LOOKUP(DC$18,HourlyTimeseries!$A:$A,HourlyTimeseries!$L:$L),"")</f>
        <v>40000</v>
      </c>
      <c r="DD67" s="50">
        <f>IFERROR(LOOKUP(DD$18,HourlyTimeseries!$A:$A,HourlyTimeseries!$L:$L),"")</f>
        <v>40000</v>
      </c>
      <c r="DE67" s="50">
        <f>IFERROR(LOOKUP(DE$18,HourlyTimeseries!$A:$A,HourlyTimeseries!$L:$L),"")</f>
        <v>40000</v>
      </c>
      <c r="DF67" s="50">
        <f>IFERROR(LOOKUP(DF$18,HourlyTimeseries!$A:$A,HourlyTimeseries!$L:$L),"")</f>
        <v>40000</v>
      </c>
      <c r="DG67" s="50">
        <f>IFERROR(LOOKUP(DG$18,HourlyTimeseries!$A:$A,HourlyTimeseries!$L:$L),"")</f>
        <v>40000</v>
      </c>
      <c r="DH67" s="50">
        <f>IFERROR(LOOKUP(DH$18,HourlyTimeseries!$A:$A,HourlyTimeseries!$L:$L),"")</f>
        <v>40000</v>
      </c>
      <c r="DI67" s="50">
        <f>IFERROR(LOOKUP(DI$18,HourlyTimeseries!$A:$A,HourlyTimeseries!$L:$L),"")</f>
        <v>40000</v>
      </c>
      <c r="DJ67" s="50">
        <f>IFERROR(LOOKUP(DJ$18,HourlyTimeseries!$A:$A,HourlyTimeseries!$L:$L),"")</f>
        <v>40000</v>
      </c>
      <c r="DK67" s="50">
        <f>IFERROR(LOOKUP(DK$18,HourlyTimeseries!$A:$A,HourlyTimeseries!$L:$L),"")</f>
        <v>40000</v>
      </c>
      <c r="DL67" s="50">
        <f>IFERROR(LOOKUP(DL$18,HourlyTimeseries!$A:$A,HourlyTimeseries!$L:$L),"")</f>
        <v>40000</v>
      </c>
      <c r="DM67" s="50">
        <f>IFERROR(LOOKUP(DM$18,HourlyTimeseries!$A:$A,HourlyTimeseries!$L:$L),"")</f>
        <v>40000</v>
      </c>
      <c r="DN67" s="50">
        <f>IFERROR(LOOKUP(DN$18,HourlyTimeseries!$A:$A,HourlyTimeseries!$L:$L),"")</f>
        <v>40000</v>
      </c>
      <c r="DO67" s="50">
        <f>IFERROR(LOOKUP(DO$18,HourlyTimeseries!$A:$A,HourlyTimeseries!$L:$L),"")</f>
        <v>40000</v>
      </c>
      <c r="DP67" s="50">
        <f>IFERROR(LOOKUP(DP$18,HourlyTimeseries!$A:$A,HourlyTimeseries!$L:$L),"")</f>
        <v>40000</v>
      </c>
      <c r="DQ67" s="50">
        <f>IFERROR(LOOKUP(DQ$18,HourlyTimeseries!$A:$A,HourlyTimeseries!$L:$L),"")</f>
        <v>40000</v>
      </c>
      <c r="DR67" s="50">
        <f>IFERROR(LOOKUP(DR$18,HourlyTimeseries!$A:$A,HourlyTimeseries!$L:$L),"")</f>
        <v>40000</v>
      </c>
      <c r="DS67" s="50">
        <f>IFERROR(LOOKUP(DS$18,HourlyTimeseries!$A:$A,HourlyTimeseries!$L:$L),"")</f>
        <v>40000</v>
      </c>
      <c r="DT67" s="59">
        <f>IFERROR(LOOKUP(DT$18,HourlyTimeseries!$A:$A,HourlyTimeseries!$L:$L),"")</f>
        <v>40000</v>
      </c>
      <c r="DU67" s="66">
        <f>IFERROR(LOOKUP(DU$18,HourlyTimeseries!$A:$A,HourlyTimeseries!$L:$L),"")</f>
        <v>40000</v>
      </c>
      <c r="DV67" s="50">
        <f>IFERROR(LOOKUP(DV$18,HourlyTimeseries!$A:$A,HourlyTimeseries!$L:$L),"")</f>
        <v>40000</v>
      </c>
      <c r="DW67" s="50">
        <f>IFERROR(LOOKUP(DW$18,HourlyTimeseries!$A:$A,HourlyTimeseries!$L:$L),"")</f>
        <v>40000</v>
      </c>
      <c r="DX67" s="50">
        <f>IFERROR(LOOKUP(DX$18,HourlyTimeseries!$A:$A,HourlyTimeseries!$L:$L),"")</f>
        <v>40000</v>
      </c>
      <c r="DY67" s="50">
        <f>IFERROR(LOOKUP(DY$18,HourlyTimeseries!$A:$A,HourlyTimeseries!$L:$L),"")</f>
        <v>40000</v>
      </c>
      <c r="DZ67" s="50">
        <f>IFERROR(LOOKUP(DZ$18,HourlyTimeseries!$A:$A,HourlyTimeseries!$L:$L),"")</f>
        <v>40000</v>
      </c>
      <c r="EA67" s="50">
        <f>IFERROR(LOOKUP(EA$18,HourlyTimeseries!$A:$A,HourlyTimeseries!$L:$L),"")</f>
        <v>40000</v>
      </c>
      <c r="EB67" s="50">
        <f>IFERROR(LOOKUP(EB$18,HourlyTimeseries!$A:$A,HourlyTimeseries!$L:$L),"")</f>
        <v>40000</v>
      </c>
      <c r="EC67" s="50">
        <f>IFERROR(LOOKUP(EC$18,HourlyTimeseries!$A:$A,HourlyTimeseries!$L:$L),"")</f>
        <v>40000</v>
      </c>
      <c r="ED67" s="50">
        <f>IFERROR(LOOKUP(ED$18,HourlyTimeseries!$A:$A,HourlyTimeseries!$L:$L),"")</f>
        <v>40000</v>
      </c>
      <c r="EE67" s="50">
        <f>IFERROR(LOOKUP(EE$18,HourlyTimeseries!$A:$A,HourlyTimeseries!$L:$L),"")</f>
        <v>40000</v>
      </c>
      <c r="EF67" s="50">
        <f>IFERROR(LOOKUP(EF$18,HourlyTimeseries!$A:$A,HourlyTimeseries!$L:$L),"")</f>
        <v>40000</v>
      </c>
      <c r="EG67" s="50">
        <f>IFERROR(LOOKUP(EG$18,HourlyTimeseries!$A:$A,HourlyTimeseries!$L:$L),"")</f>
        <v>40000</v>
      </c>
      <c r="EH67" s="50">
        <f>IFERROR(LOOKUP(EH$18,HourlyTimeseries!$A:$A,HourlyTimeseries!$L:$L),"")</f>
        <v>40000</v>
      </c>
      <c r="EI67" s="50">
        <f>IFERROR(LOOKUP(EI$18,HourlyTimeseries!$A:$A,HourlyTimeseries!$L:$L),"")</f>
        <v>40000</v>
      </c>
      <c r="EJ67" s="50">
        <f>IFERROR(LOOKUP(EJ$18,HourlyTimeseries!$A:$A,HourlyTimeseries!$L:$L),"")</f>
        <v>40000</v>
      </c>
      <c r="EK67" s="50">
        <f>IFERROR(LOOKUP(EK$18,HourlyTimeseries!$A:$A,HourlyTimeseries!$L:$L),"")</f>
        <v>40000</v>
      </c>
      <c r="EL67" s="50">
        <f>IFERROR(LOOKUP(EL$18,HourlyTimeseries!$A:$A,HourlyTimeseries!$L:$L),"")</f>
        <v>40000</v>
      </c>
      <c r="EM67" s="50">
        <f>IFERROR(LOOKUP(EM$18,HourlyTimeseries!$A:$A,HourlyTimeseries!$L:$L),"")</f>
        <v>40000</v>
      </c>
      <c r="EN67" s="50">
        <f>IFERROR(LOOKUP(EN$18,HourlyTimeseries!$A:$A,HourlyTimeseries!$L:$L),"")</f>
        <v>40000</v>
      </c>
      <c r="EO67" s="50">
        <f>IFERROR(LOOKUP(EO$18,HourlyTimeseries!$A:$A,HourlyTimeseries!$L:$L),"")</f>
        <v>40000</v>
      </c>
      <c r="EP67" s="50">
        <f>IFERROR(LOOKUP(EP$18,HourlyTimeseries!$A:$A,HourlyTimeseries!$L:$L),"")</f>
        <v>40000</v>
      </c>
      <c r="EQ67" s="50">
        <f>IFERROR(LOOKUP(EQ$18,HourlyTimeseries!$A:$A,HourlyTimeseries!$L:$L),"")</f>
        <v>40000</v>
      </c>
      <c r="ER67" s="59">
        <f>IFERROR(LOOKUP(ER$18,HourlyTimeseries!$A:$A,HourlyTimeseries!$L:$L),"")</f>
        <v>40000</v>
      </c>
      <c r="ES67" s="66">
        <f>IFERROR(LOOKUP(ES$18,HourlyTimeseries!$A:$A,HourlyTimeseries!$L:$L),"")</f>
        <v>40000</v>
      </c>
      <c r="ET67" s="50">
        <f>IFERROR(LOOKUP(ET$18,HourlyTimeseries!$A:$A,HourlyTimeseries!$L:$L),"")</f>
        <v>40000</v>
      </c>
      <c r="EU67" s="50">
        <f>IFERROR(LOOKUP(EU$18,HourlyTimeseries!$A:$A,HourlyTimeseries!$L:$L),"")</f>
        <v>40000</v>
      </c>
      <c r="EV67" s="50">
        <f>IFERROR(LOOKUP(EV$18,HourlyTimeseries!$A:$A,HourlyTimeseries!$L:$L),"")</f>
        <v>40000</v>
      </c>
      <c r="EW67" s="50">
        <f>IFERROR(LOOKUP(EW$18,HourlyTimeseries!$A:$A,HourlyTimeseries!$L:$L),"")</f>
        <v>40000</v>
      </c>
      <c r="EX67" s="50">
        <f>IFERROR(LOOKUP(EX$18,HourlyTimeseries!$A:$A,HourlyTimeseries!$L:$L),"")</f>
        <v>40000</v>
      </c>
      <c r="EY67" s="50">
        <f>IFERROR(LOOKUP(EY$18,HourlyTimeseries!$A:$A,HourlyTimeseries!$L:$L),"")</f>
        <v>40000</v>
      </c>
      <c r="EZ67" s="50">
        <f>IFERROR(LOOKUP(EZ$18,HourlyTimeseries!$A:$A,HourlyTimeseries!$L:$L),"")</f>
        <v>40000</v>
      </c>
      <c r="FA67" s="50">
        <f>IFERROR(LOOKUP(FA$18,HourlyTimeseries!$A:$A,HourlyTimeseries!$L:$L),"")</f>
        <v>40000</v>
      </c>
      <c r="FB67" s="50">
        <f>IFERROR(LOOKUP(FB$18,HourlyTimeseries!$A:$A,HourlyTimeseries!$L:$L),"")</f>
        <v>40000</v>
      </c>
      <c r="FC67" s="50">
        <f>IFERROR(LOOKUP(FC$18,HourlyTimeseries!$A:$A,HourlyTimeseries!$L:$L),"")</f>
        <v>40000</v>
      </c>
      <c r="FD67" s="50">
        <f>IFERROR(LOOKUP(FD$18,HourlyTimeseries!$A:$A,HourlyTimeseries!$L:$L),"")</f>
        <v>40000</v>
      </c>
      <c r="FE67" s="50">
        <f>IFERROR(LOOKUP(FE$18,HourlyTimeseries!$A:$A,HourlyTimeseries!$L:$L),"")</f>
        <v>40000</v>
      </c>
      <c r="FF67" s="50">
        <f>IFERROR(LOOKUP(FF$18,HourlyTimeseries!$A:$A,HourlyTimeseries!$L:$L),"")</f>
        <v>40000</v>
      </c>
      <c r="FG67" s="50">
        <f>IFERROR(LOOKUP(FG$18,HourlyTimeseries!$A:$A,HourlyTimeseries!$L:$L),"")</f>
        <v>40000</v>
      </c>
      <c r="FH67" s="50">
        <f>IFERROR(LOOKUP(FH$18,HourlyTimeseries!$A:$A,HourlyTimeseries!$L:$L),"")</f>
        <v>40000</v>
      </c>
      <c r="FI67" s="50">
        <f>IFERROR(LOOKUP(FI$18,HourlyTimeseries!$A:$A,HourlyTimeseries!$L:$L),"")</f>
        <v>40000</v>
      </c>
      <c r="FJ67" s="50">
        <f>IFERROR(LOOKUP(FJ$18,HourlyTimeseries!$A:$A,HourlyTimeseries!$L:$L),"")</f>
        <v>40000</v>
      </c>
      <c r="FK67" s="50">
        <f>IFERROR(LOOKUP(FK$18,HourlyTimeseries!$A:$A,HourlyTimeseries!$L:$L),"")</f>
        <v>40000</v>
      </c>
      <c r="FL67" s="50">
        <f>IFERROR(LOOKUP(FL$18,HourlyTimeseries!$A:$A,HourlyTimeseries!$L:$L),"")</f>
        <v>40000</v>
      </c>
      <c r="FM67" s="50">
        <f>IFERROR(LOOKUP(FM$18,HourlyTimeseries!$A:$A,HourlyTimeseries!$L:$L),"")</f>
        <v>40000</v>
      </c>
      <c r="FN67" s="50">
        <f>IFERROR(LOOKUP(FN$18,HourlyTimeseries!$A:$A,HourlyTimeseries!$L:$L),"")</f>
        <v>40000</v>
      </c>
      <c r="FO67" s="50">
        <f>IFERROR(LOOKUP(FO$18,HourlyTimeseries!$A:$A,HourlyTimeseries!$L:$L),"")</f>
        <v>40000</v>
      </c>
      <c r="FP67" s="59">
        <f>IFERROR(LOOKUP(FP$18,HourlyTimeseries!$A:$A,HourlyTimeseries!$L:$L),"")</f>
        <v>40000</v>
      </c>
    </row>
    <row r="68" spans="1:172" ht="15.75" customHeight="1">
      <c r="A68" s="28" t="s">
        <v>180</v>
      </c>
      <c r="B68" s="2" t="s">
        <v>181</v>
      </c>
      <c r="C68" s="8" t="s">
        <v>135</v>
      </c>
      <c r="D68" s="4" t="b">
        <v>0</v>
      </c>
      <c r="E68" s="22"/>
    </row>
    <row r="70" spans="1:172" ht="20.399999999999999" thickBot="1">
      <c r="A70" s="1" t="s">
        <v>1</v>
      </c>
      <c r="B70" s="7" t="s">
        <v>32</v>
      </c>
      <c r="C70" s="3" t="s">
        <v>132</v>
      </c>
      <c r="D70" s="7"/>
      <c r="E70" s="3" t="s">
        <v>7</v>
      </c>
      <c r="F70" s="3" t="s">
        <v>8</v>
      </c>
      <c r="G70" s="3" t="s">
        <v>9</v>
      </c>
      <c r="H70" s="3" t="s">
        <v>10</v>
      </c>
      <c r="I70" s="3" t="s">
        <v>11</v>
      </c>
      <c r="J70" s="3" t="s">
        <v>12</v>
      </c>
      <c r="K70" s="3" t="s">
        <v>13</v>
      </c>
      <c r="L70" s="3" t="s">
        <v>14</v>
      </c>
      <c r="M70" s="3" t="s">
        <v>15</v>
      </c>
      <c r="N70" s="3" t="s">
        <v>16</v>
      </c>
      <c r="O70" s="3" t="s">
        <v>17</v>
      </c>
      <c r="P70" s="3" t="s">
        <v>18</v>
      </c>
      <c r="Q70" s="3" t="s">
        <v>19</v>
      </c>
      <c r="R70" s="3" t="s">
        <v>20</v>
      </c>
      <c r="S70" s="3" t="s">
        <v>21</v>
      </c>
      <c r="T70" s="3" t="s">
        <v>22</v>
      </c>
      <c r="U70" s="3" t="s">
        <v>23</v>
      </c>
      <c r="V70" s="3" t="s">
        <v>24</v>
      </c>
      <c r="W70" s="3" t="s">
        <v>25</v>
      </c>
      <c r="X70" s="3" t="s">
        <v>26</v>
      </c>
      <c r="Y70" s="3" t="s">
        <v>27</v>
      </c>
      <c r="Z70" s="3" t="s">
        <v>28</v>
      </c>
      <c r="AA70" s="3" t="s">
        <v>29</v>
      </c>
      <c r="AB70" s="3" t="s">
        <v>30</v>
      </c>
      <c r="AC70" s="65" t="s">
        <v>221</v>
      </c>
      <c r="AD70" s="3" t="s">
        <v>222</v>
      </c>
      <c r="AE70" s="3" t="s">
        <v>223</v>
      </c>
      <c r="AF70" s="3" t="s">
        <v>224</v>
      </c>
      <c r="AG70" s="3" t="s">
        <v>225</v>
      </c>
      <c r="AH70" s="3" t="s">
        <v>226</v>
      </c>
      <c r="AI70" s="3" t="s">
        <v>227</v>
      </c>
      <c r="AJ70" s="3" t="s">
        <v>228</v>
      </c>
      <c r="AK70" s="3" t="s">
        <v>229</v>
      </c>
      <c r="AL70" s="3" t="s">
        <v>230</v>
      </c>
      <c r="AM70" s="3" t="s">
        <v>231</v>
      </c>
      <c r="AN70" s="3" t="s">
        <v>232</v>
      </c>
      <c r="AO70" s="3" t="s">
        <v>233</v>
      </c>
      <c r="AP70" s="3" t="s">
        <v>234</v>
      </c>
      <c r="AQ70" s="3" t="s">
        <v>235</v>
      </c>
      <c r="AR70" s="3" t="s">
        <v>236</v>
      </c>
      <c r="AS70" s="3" t="s">
        <v>237</v>
      </c>
      <c r="AT70" s="3" t="s">
        <v>238</v>
      </c>
      <c r="AU70" s="3" t="s">
        <v>239</v>
      </c>
      <c r="AV70" s="3" t="s">
        <v>240</v>
      </c>
      <c r="AW70" s="3" t="s">
        <v>241</v>
      </c>
      <c r="AX70" s="3" t="s">
        <v>242</v>
      </c>
      <c r="AY70" s="3" t="s">
        <v>243</v>
      </c>
      <c r="AZ70" s="3" t="s">
        <v>244</v>
      </c>
      <c r="BA70" s="65" t="s">
        <v>245</v>
      </c>
      <c r="BB70" s="3" t="s">
        <v>246</v>
      </c>
      <c r="BC70" s="3" t="s">
        <v>247</v>
      </c>
      <c r="BD70" s="3" t="s">
        <v>248</v>
      </c>
      <c r="BE70" s="3" t="s">
        <v>249</v>
      </c>
      <c r="BF70" s="3" t="s">
        <v>250</v>
      </c>
      <c r="BG70" s="3" t="s">
        <v>251</v>
      </c>
      <c r="BH70" s="3" t="s">
        <v>252</v>
      </c>
      <c r="BI70" s="3" t="s">
        <v>253</v>
      </c>
      <c r="BJ70" s="3" t="s">
        <v>254</v>
      </c>
      <c r="BK70" s="3" t="s">
        <v>255</v>
      </c>
      <c r="BL70" s="3" t="s">
        <v>256</v>
      </c>
      <c r="BM70" s="3" t="s">
        <v>257</v>
      </c>
      <c r="BN70" s="3" t="s">
        <v>258</v>
      </c>
      <c r="BO70" s="3" t="s">
        <v>259</v>
      </c>
      <c r="BP70" s="3" t="s">
        <v>260</v>
      </c>
      <c r="BQ70" s="3" t="s">
        <v>261</v>
      </c>
      <c r="BR70" s="3" t="s">
        <v>262</v>
      </c>
      <c r="BS70" s="3" t="s">
        <v>263</v>
      </c>
      <c r="BT70" s="3" t="s">
        <v>264</v>
      </c>
      <c r="BU70" s="3" t="s">
        <v>265</v>
      </c>
      <c r="BV70" s="3" t="s">
        <v>266</v>
      </c>
      <c r="BW70" s="3" t="s">
        <v>267</v>
      </c>
      <c r="BX70" s="3" t="s">
        <v>268</v>
      </c>
      <c r="BY70" s="65" t="s">
        <v>269</v>
      </c>
      <c r="BZ70" s="3" t="s">
        <v>270</v>
      </c>
      <c r="CA70" s="3" t="s">
        <v>271</v>
      </c>
      <c r="CB70" s="3" t="s">
        <v>272</v>
      </c>
      <c r="CC70" s="3" t="s">
        <v>273</v>
      </c>
      <c r="CD70" s="3" t="s">
        <v>274</v>
      </c>
      <c r="CE70" s="3" t="s">
        <v>275</v>
      </c>
      <c r="CF70" s="3" t="s">
        <v>276</v>
      </c>
      <c r="CG70" s="3" t="s">
        <v>277</v>
      </c>
      <c r="CH70" s="3" t="s">
        <v>278</v>
      </c>
      <c r="CI70" s="3" t="s">
        <v>279</v>
      </c>
      <c r="CJ70" s="3" t="s">
        <v>280</v>
      </c>
      <c r="CK70" s="3" t="s">
        <v>281</v>
      </c>
      <c r="CL70" s="3" t="s">
        <v>282</v>
      </c>
      <c r="CM70" s="3" t="s">
        <v>283</v>
      </c>
      <c r="CN70" s="3" t="s">
        <v>284</v>
      </c>
      <c r="CO70" s="3" t="s">
        <v>285</v>
      </c>
      <c r="CP70" s="3" t="s">
        <v>286</v>
      </c>
      <c r="CQ70" s="3" t="s">
        <v>287</v>
      </c>
      <c r="CR70" s="3" t="s">
        <v>288</v>
      </c>
      <c r="CS70" s="3" t="s">
        <v>289</v>
      </c>
      <c r="CT70" s="3" t="s">
        <v>290</v>
      </c>
      <c r="CU70" s="3" t="s">
        <v>291</v>
      </c>
      <c r="CV70" s="3" t="s">
        <v>292</v>
      </c>
      <c r="CW70" s="65" t="s">
        <v>293</v>
      </c>
      <c r="CX70" s="3" t="s">
        <v>294</v>
      </c>
      <c r="CY70" s="3" t="s">
        <v>295</v>
      </c>
      <c r="CZ70" s="3" t="s">
        <v>296</v>
      </c>
      <c r="DA70" s="3" t="s">
        <v>297</v>
      </c>
      <c r="DB70" s="3" t="s">
        <v>298</v>
      </c>
      <c r="DC70" s="3" t="s">
        <v>299</v>
      </c>
      <c r="DD70" s="3" t="s">
        <v>300</v>
      </c>
      <c r="DE70" s="3" t="s">
        <v>301</v>
      </c>
      <c r="DF70" s="3" t="s">
        <v>302</v>
      </c>
      <c r="DG70" s="3" t="s">
        <v>303</v>
      </c>
      <c r="DH70" s="3" t="s">
        <v>304</v>
      </c>
      <c r="DI70" s="3" t="s">
        <v>305</v>
      </c>
      <c r="DJ70" s="3" t="s">
        <v>306</v>
      </c>
      <c r="DK70" s="3" t="s">
        <v>307</v>
      </c>
      <c r="DL70" s="3" t="s">
        <v>308</v>
      </c>
      <c r="DM70" s="3" t="s">
        <v>309</v>
      </c>
      <c r="DN70" s="3" t="s">
        <v>310</v>
      </c>
      <c r="DO70" s="3" t="s">
        <v>311</v>
      </c>
      <c r="DP70" s="3" t="s">
        <v>312</v>
      </c>
      <c r="DQ70" s="3" t="s">
        <v>313</v>
      </c>
      <c r="DR70" s="3" t="s">
        <v>314</v>
      </c>
      <c r="DS70" s="3" t="s">
        <v>315</v>
      </c>
      <c r="DT70" s="3" t="s">
        <v>316</v>
      </c>
      <c r="DU70" s="65" t="s">
        <v>317</v>
      </c>
      <c r="DV70" s="3" t="s">
        <v>318</v>
      </c>
      <c r="DW70" s="3" t="s">
        <v>319</v>
      </c>
      <c r="DX70" s="3" t="s">
        <v>320</v>
      </c>
      <c r="DY70" s="3" t="s">
        <v>321</v>
      </c>
      <c r="DZ70" s="3" t="s">
        <v>322</v>
      </c>
      <c r="EA70" s="3" t="s">
        <v>323</v>
      </c>
      <c r="EB70" s="3" t="s">
        <v>324</v>
      </c>
      <c r="EC70" s="3" t="s">
        <v>325</v>
      </c>
      <c r="ED70" s="3" t="s">
        <v>326</v>
      </c>
      <c r="EE70" s="3" t="s">
        <v>327</v>
      </c>
      <c r="EF70" s="3" t="s">
        <v>328</v>
      </c>
      <c r="EG70" s="3" t="s">
        <v>329</v>
      </c>
      <c r="EH70" s="3" t="s">
        <v>330</v>
      </c>
      <c r="EI70" s="3" t="s">
        <v>331</v>
      </c>
      <c r="EJ70" s="3" t="s">
        <v>332</v>
      </c>
      <c r="EK70" s="3" t="s">
        <v>333</v>
      </c>
      <c r="EL70" s="3" t="s">
        <v>334</v>
      </c>
      <c r="EM70" s="3" t="s">
        <v>335</v>
      </c>
      <c r="EN70" s="3" t="s">
        <v>336</v>
      </c>
      <c r="EO70" s="3" t="s">
        <v>337</v>
      </c>
      <c r="EP70" s="3" t="s">
        <v>338</v>
      </c>
      <c r="EQ70" s="3" t="s">
        <v>339</v>
      </c>
      <c r="ER70" s="3" t="s">
        <v>340</v>
      </c>
      <c r="ES70" s="65" t="s">
        <v>341</v>
      </c>
      <c r="ET70" s="3" t="s">
        <v>342</v>
      </c>
      <c r="EU70" s="3" t="s">
        <v>343</v>
      </c>
      <c r="EV70" s="3" t="s">
        <v>344</v>
      </c>
      <c r="EW70" s="3" t="s">
        <v>345</v>
      </c>
      <c r="EX70" s="3" t="s">
        <v>346</v>
      </c>
      <c r="EY70" s="3" t="s">
        <v>347</v>
      </c>
      <c r="EZ70" s="3" t="s">
        <v>348</v>
      </c>
      <c r="FA70" s="3" t="s">
        <v>349</v>
      </c>
      <c r="FB70" s="3" t="s">
        <v>350</v>
      </c>
      <c r="FC70" s="3" t="s">
        <v>351</v>
      </c>
      <c r="FD70" s="3" t="s">
        <v>352</v>
      </c>
      <c r="FE70" s="3" t="s">
        <v>353</v>
      </c>
      <c r="FF70" s="3" t="s">
        <v>354</v>
      </c>
      <c r="FG70" s="3" t="s">
        <v>355</v>
      </c>
      <c r="FH70" s="3" t="s">
        <v>356</v>
      </c>
      <c r="FI70" s="3" t="s">
        <v>357</v>
      </c>
      <c r="FJ70" s="3" t="s">
        <v>358</v>
      </c>
      <c r="FK70" s="3" t="s">
        <v>359</v>
      </c>
      <c r="FL70" s="3" t="s">
        <v>360</v>
      </c>
      <c r="FM70" s="3" t="s">
        <v>361</v>
      </c>
      <c r="FN70" s="3" t="s">
        <v>362</v>
      </c>
      <c r="FO70" s="3" t="s">
        <v>363</v>
      </c>
      <c r="FP70" s="3" t="s">
        <v>364</v>
      </c>
    </row>
    <row r="71" spans="1:172" ht="15" thickTop="1">
      <c r="A71" s="15" t="s">
        <v>35</v>
      </c>
      <c r="B71" s="2" t="s">
        <v>5</v>
      </c>
      <c r="C71" s="8" t="s">
        <v>133</v>
      </c>
      <c r="D71" s="2"/>
      <c r="E71" s="51">
        <f>IFERROR(LOOKUP(E$18,HourlyTimeseries!$A:$A,HourlyTimeseries!$M:$M),"")</f>
        <v>9.5</v>
      </c>
      <c r="F71" s="51">
        <f>IFERROR(LOOKUP(F$18,HourlyTimeseries!$A:$A,HourlyTimeseries!$M:$M),"")</f>
        <v>9.5</v>
      </c>
      <c r="G71" s="51">
        <f>IFERROR(LOOKUP(G$18,HourlyTimeseries!$A:$A,HourlyTimeseries!$M:$M),"")</f>
        <v>9.5</v>
      </c>
      <c r="H71" s="51">
        <f>IFERROR(LOOKUP(H$18,HourlyTimeseries!$A:$A,HourlyTimeseries!$M:$M),"")</f>
        <v>9.5</v>
      </c>
      <c r="I71" s="51">
        <f>IFERROR(LOOKUP(I$18,HourlyTimeseries!$A:$A,HourlyTimeseries!$M:$M),"")</f>
        <v>9.5</v>
      </c>
      <c r="J71" s="51">
        <f>IFERROR(LOOKUP(J$18,HourlyTimeseries!$A:$A,HourlyTimeseries!$M:$M),"")</f>
        <v>9.5</v>
      </c>
      <c r="K71" s="51">
        <f>IFERROR(LOOKUP(K$18,HourlyTimeseries!$A:$A,HourlyTimeseries!$M:$M),"")</f>
        <v>9.5</v>
      </c>
      <c r="L71" s="51">
        <f>IFERROR(LOOKUP(L$18,HourlyTimeseries!$A:$A,HourlyTimeseries!$M:$M),"")</f>
        <v>9.5</v>
      </c>
      <c r="M71" s="51">
        <f>IFERROR(LOOKUP(M$18,HourlyTimeseries!$A:$A,HourlyTimeseries!$M:$M),"")</f>
        <v>9.5</v>
      </c>
      <c r="N71" s="51">
        <f>IFERROR(LOOKUP(N$18,HourlyTimeseries!$A:$A,HourlyTimeseries!$M:$M),"")</f>
        <v>9.5</v>
      </c>
      <c r="O71" s="51">
        <f>IFERROR(LOOKUP(O$18,HourlyTimeseries!$A:$A,HourlyTimeseries!$M:$M),"")</f>
        <v>9.5</v>
      </c>
      <c r="P71" s="51">
        <f>IFERROR(LOOKUP(P$18,HourlyTimeseries!$A:$A,HourlyTimeseries!$M:$M),"")</f>
        <v>9.5</v>
      </c>
      <c r="Q71" s="51">
        <f>IFERROR(LOOKUP(Q$18,HourlyTimeseries!$A:$A,HourlyTimeseries!$M:$M),"")</f>
        <v>9.5</v>
      </c>
      <c r="R71" s="51">
        <f>IFERROR(LOOKUP(R$18,HourlyTimeseries!$A:$A,HourlyTimeseries!$M:$M),"")</f>
        <v>9.5</v>
      </c>
      <c r="S71" s="51">
        <f>IFERROR(LOOKUP(S$18,HourlyTimeseries!$A:$A,HourlyTimeseries!$M:$M),"")</f>
        <v>9.5</v>
      </c>
      <c r="T71" s="51">
        <f>IFERROR(LOOKUP(T$18,HourlyTimeseries!$A:$A,HourlyTimeseries!$M:$M),"")</f>
        <v>9.5</v>
      </c>
      <c r="U71" s="51">
        <f>IFERROR(LOOKUP(U$18,HourlyTimeseries!$A:$A,HourlyTimeseries!$M:$M),"")</f>
        <v>9.5</v>
      </c>
      <c r="V71" s="51">
        <f>IFERROR(LOOKUP(V$18,HourlyTimeseries!$A:$A,HourlyTimeseries!$M:$M),"")</f>
        <v>9.5</v>
      </c>
      <c r="W71" s="51">
        <f>IFERROR(LOOKUP(W$18,HourlyTimeseries!$A:$A,HourlyTimeseries!$M:$M),"")</f>
        <v>9.5</v>
      </c>
      <c r="X71" s="51">
        <f>IFERROR(LOOKUP(X$18,HourlyTimeseries!$A:$A,HourlyTimeseries!$M:$M),"")</f>
        <v>9.5</v>
      </c>
      <c r="Y71" s="51">
        <f>IFERROR(LOOKUP(Y$18,HourlyTimeseries!$A:$A,HourlyTimeseries!$M:$M),"")</f>
        <v>9.5</v>
      </c>
      <c r="Z71" s="51">
        <f>IFERROR(LOOKUP(Z$18,HourlyTimeseries!$A:$A,HourlyTimeseries!$M:$M),"")</f>
        <v>9.5</v>
      </c>
      <c r="AA71" s="51">
        <f>IFERROR(LOOKUP(AA$18,HourlyTimeseries!$A:$A,HourlyTimeseries!$M:$M),"")</f>
        <v>9.5</v>
      </c>
      <c r="AB71" s="60">
        <f>IFERROR(LOOKUP(AB$18,HourlyTimeseries!$A:$A,HourlyTimeseries!$M:$M),"")</f>
        <v>9.5</v>
      </c>
      <c r="AC71" s="67">
        <f>IFERROR(LOOKUP(AC$18,HourlyTimeseries!$A:$A,HourlyTimeseries!$M:$M),"")</f>
        <v>9.5</v>
      </c>
      <c r="AD71" s="51">
        <f>IFERROR(LOOKUP(AD$18,HourlyTimeseries!$A:$A,HourlyTimeseries!$M:$M),"")</f>
        <v>9.5</v>
      </c>
      <c r="AE71" s="51">
        <f>IFERROR(LOOKUP(AE$18,HourlyTimeseries!$A:$A,HourlyTimeseries!$M:$M),"")</f>
        <v>9.5</v>
      </c>
      <c r="AF71" s="51">
        <f>IFERROR(LOOKUP(AF$18,HourlyTimeseries!$A:$A,HourlyTimeseries!$M:$M),"")</f>
        <v>9.5</v>
      </c>
      <c r="AG71" s="51">
        <f>IFERROR(LOOKUP(AG$18,HourlyTimeseries!$A:$A,HourlyTimeseries!$M:$M),"")</f>
        <v>9.5</v>
      </c>
      <c r="AH71" s="51">
        <f>IFERROR(LOOKUP(AH$18,HourlyTimeseries!$A:$A,HourlyTimeseries!$M:$M),"")</f>
        <v>9.5</v>
      </c>
      <c r="AI71" s="51">
        <f>IFERROR(LOOKUP(AI$18,HourlyTimeseries!$A:$A,HourlyTimeseries!$M:$M),"")</f>
        <v>9.5</v>
      </c>
      <c r="AJ71" s="51">
        <f>IFERROR(LOOKUP(AJ$18,HourlyTimeseries!$A:$A,HourlyTimeseries!$M:$M),"")</f>
        <v>9.5</v>
      </c>
      <c r="AK71" s="51">
        <f>IFERROR(LOOKUP(AK$18,HourlyTimeseries!$A:$A,HourlyTimeseries!$M:$M),"")</f>
        <v>9.5</v>
      </c>
      <c r="AL71" s="51">
        <f>IFERROR(LOOKUP(AL$18,HourlyTimeseries!$A:$A,HourlyTimeseries!$M:$M),"")</f>
        <v>9.5</v>
      </c>
      <c r="AM71" s="51">
        <f>IFERROR(LOOKUP(AM$18,HourlyTimeseries!$A:$A,HourlyTimeseries!$M:$M),"")</f>
        <v>9.5</v>
      </c>
      <c r="AN71" s="51">
        <f>IFERROR(LOOKUP(AN$18,HourlyTimeseries!$A:$A,HourlyTimeseries!$M:$M),"")</f>
        <v>9.5</v>
      </c>
      <c r="AO71" s="51">
        <f>IFERROR(LOOKUP(AO$18,HourlyTimeseries!$A:$A,HourlyTimeseries!$M:$M),"")</f>
        <v>9.5</v>
      </c>
      <c r="AP71" s="51">
        <f>IFERROR(LOOKUP(AP$18,HourlyTimeseries!$A:$A,HourlyTimeseries!$M:$M),"")</f>
        <v>9.5</v>
      </c>
      <c r="AQ71" s="51">
        <f>IFERROR(LOOKUP(AQ$18,HourlyTimeseries!$A:$A,HourlyTimeseries!$M:$M),"")</f>
        <v>9.5</v>
      </c>
      <c r="AR71" s="51">
        <f>IFERROR(LOOKUP(AR$18,HourlyTimeseries!$A:$A,HourlyTimeseries!$M:$M),"")</f>
        <v>9.5</v>
      </c>
      <c r="AS71" s="51">
        <f>IFERROR(LOOKUP(AS$18,HourlyTimeseries!$A:$A,HourlyTimeseries!$M:$M),"")</f>
        <v>9.5</v>
      </c>
      <c r="AT71" s="51">
        <f>IFERROR(LOOKUP(AT$18,HourlyTimeseries!$A:$A,HourlyTimeseries!$M:$M),"")</f>
        <v>9.5</v>
      </c>
      <c r="AU71" s="51">
        <f>IFERROR(LOOKUP(AU$18,HourlyTimeseries!$A:$A,HourlyTimeseries!$M:$M),"")</f>
        <v>9.5</v>
      </c>
      <c r="AV71" s="51">
        <f>IFERROR(LOOKUP(AV$18,HourlyTimeseries!$A:$A,HourlyTimeseries!$M:$M),"")</f>
        <v>9.5</v>
      </c>
      <c r="AW71" s="51">
        <f>IFERROR(LOOKUP(AW$18,HourlyTimeseries!$A:$A,HourlyTimeseries!$M:$M),"")</f>
        <v>9.5</v>
      </c>
      <c r="AX71" s="51">
        <f>IFERROR(LOOKUP(AX$18,HourlyTimeseries!$A:$A,HourlyTimeseries!$M:$M),"")</f>
        <v>9.5</v>
      </c>
      <c r="AY71" s="51">
        <f>IFERROR(LOOKUP(AY$18,HourlyTimeseries!$A:$A,HourlyTimeseries!$M:$M),"")</f>
        <v>9.5</v>
      </c>
      <c r="AZ71" s="60">
        <f>IFERROR(LOOKUP(AZ$18,HourlyTimeseries!$A:$A,HourlyTimeseries!$M:$M),"")</f>
        <v>9.5</v>
      </c>
      <c r="BA71" s="67">
        <f>IFERROR(LOOKUP(BA$18,HourlyTimeseries!$A:$A,HourlyTimeseries!$M:$M),"")</f>
        <v>9.5</v>
      </c>
      <c r="BB71" s="51">
        <f>IFERROR(LOOKUP(BB$18,HourlyTimeseries!$A:$A,HourlyTimeseries!$M:$M),"")</f>
        <v>9.5</v>
      </c>
      <c r="BC71" s="51">
        <f>IFERROR(LOOKUP(BC$18,HourlyTimeseries!$A:$A,HourlyTimeseries!$M:$M),"")</f>
        <v>9.5</v>
      </c>
      <c r="BD71" s="51">
        <f>IFERROR(LOOKUP(BD$18,HourlyTimeseries!$A:$A,HourlyTimeseries!$M:$M),"")</f>
        <v>9.5</v>
      </c>
      <c r="BE71" s="51">
        <f>IFERROR(LOOKUP(BE$18,HourlyTimeseries!$A:$A,HourlyTimeseries!$M:$M),"")</f>
        <v>9.5</v>
      </c>
      <c r="BF71" s="51">
        <f>IFERROR(LOOKUP(BF$18,HourlyTimeseries!$A:$A,HourlyTimeseries!$M:$M),"")</f>
        <v>9.5</v>
      </c>
      <c r="BG71" s="51">
        <f>IFERROR(LOOKUP(BG$18,HourlyTimeseries!$A:$A,HourlyTimeseries!$M:$M),"")</f>
        <v>9.5</v>
      </c>
      <c r="BH71" s="51">
        <f>IFERROR(LOOKUP(BH$18,HourlyTimeseries!$A:$A,HourlyTimeseries!$M:$M),"")</f>
        <v>9.5</v>
      </c>
      <c r="BI71" s="51">
        <f>IFERROR(LOOKUP(BI$18,HourlyTimeseries!$A:$A,HourlyTimeseries!$M:$M),"")</f>
        <v>9.5</v>
      </c>
      <c r="BJ71" s="51">
        <f>IFERROR(LOOKUP(BJ$18,HourlyTimeseries!$A:$A,HourlyTimeseries!$M:$M),"")</f>
        <v>9.5</v>
      </c>
      <c r="BK71" s="51">
        <f>IFERROR(LOOKUP(BK$18,HourlyTimeseries!$A:$A,HourlyTimeseries!$M:$M),"")</f>
        <v>9.5</v>
      </c>
      <c r="BL71" s="51">
        <f>IFERROR(LOOKUP(BL$18,HourlyTimeseries!$A:$A,HourlyTimeseries!$M:$M),"")</f>
        <v>9.5</v>
      </c>
      <c r="BM71" s="51">
        <f>IFERROR(LOOKUP(BM$18,HourlyTimeseries!$A:$A,HourlyTimeseries!$M:$M),"")</f>
        <v>9.5</v>
      </c>
      <c r="BN71" s="51">
        <f>IFERROR(LOOKUP(BN$18,HourlyTimeseries!$A:$A,HourlyTimeseries!$M:$M),"")</f>
        <v>9.5</v>
      </c>
      <c r="BO71" s="51">
        <f>IFERROR(LOOKUP(BO$18,HourlyTimeseries!$A:$A,HourlyTimeseries!$M:$M),"")</f>
        <v>9.5</v>
      </c>
      <c r="BP71" s="51">
        <f>IFERROR(LOOKUP(BP$18,HourlyTimeseries!$A:$A,HourlyTimeseries!$M:$M),"")</f>
        <v>9.5</v>
      </c>
      <c r="BQ71" s="51">
        <f>IFERROR(LOOKUP(BQ$18,HourlyTimeseries!$A:$A,HourlyTimeseries!$M:$M),"")</f>
        <v>9.5</v>
      </c>
      <c r="BR71" s="51">
        <f>IFERROR(LOOKUP(BR$18,HourlyTimeseries!$A:$A,HourlyTimeseries!$M:$M),"")</f>
        <v>9.5</v>
      </c>
      <c r="BS71" s="51">
        <f>IFERROR(LOOKUP(BS$18,HourlyTimeseries!$A:$A,HourlyTimeseries!$M:$M),"")</f>
        <v>9.5</v>
      </c>
      <c r="BT71" s="51">
        <f>IFERROR(LOOKUP(BT$18,HourlyTimeseries!$A:$A,HourlyTimeseries!$M:$M),"")</f>
        <v>9.5</v>
      </c>
      <c r="BU71" s="51">
        <f>IFERROR(LOOKUP(BU$18,HourlyTimeseries!$A:$A,HourlyTimeseries!$M:$M),"")</f>
        <v>9.5</v>
      </c>
      <c r="BV71" s="51">
        <f>IFERROR(LOOKUP(BV$18,HourlyTimeseries!$A:$A,HourlyTimeseries!$M:$M),"")</f>
        <v>9.5</v>
      </c>
      <c r="BW71" s="51">
        <f>IFERROR(LOOKUP(BW$18,HourlyTimeseries!$A:$A,HourlyTimeseries!$M:$M),"")</f>
        <v>9.5</v>
      </c>
      <c r="BX71" s="60">
        <f>IFERROR(LOOKUP(BX$18,HourlyTimeseries!$A:$A,HourlyTimeseries!$M:$M),"")</f>
        <v>9.5</v>
      </c>
      <c r="BY71" s="67">
        <f>IFERROR(LOOKUP(BY$18,HourlyTimeseries!$A:$A,HourlyTimeseries!$M:$M),"")</f>
        <v>9.5</v>
      </c>
      <c r="BZ71" s="51">
        <f>IFERROR(LOOKUP(BZ$18,HourlyTimeseries!$A:$A,HourlyTimeseries!$M:$M),"")</f>
        <v>9.5</v>
      </c>
      <c r="CA71" s="51">
        <f>IFERROR(LOOKUP(CA$18,HourlyTimeseries!$A:$A,HourlyTimeseries!$M:$M),"")</f>
        <v>9.5</v>
      </c>
      <c r="CB71" s="51">
        <f>IFERROR(LOOKUP(CB$18,HourlyTimeseries!$A:$A,HourlyTimeseries!$M:$M),"")</f>
        <v>9.5</v>
      </c>
      <c r="CC71" s="51">
        <f>IFERROR(LOOKUP(CC$18,HourlyTimeseries!$A:$A,HourlyTimeseries!$M:$M),"")</f>
        <v>9.5</v>
      </c>
      <c r="CD71" s="51">
        <f>IFERROR(LOOKUP(CD$18,HourlyTimeseries!$A:$A,HourlyTimeseries!$M:$M),"")</f>
        <v>9.5</v>
      </c>
      <c r="CE71" s="51">
        <f>IFERROR(LOOKUP(CE$18,HourlyTimeseries!$A:$A,HourlyTimeseries!$M:$M),"")</f>
        <v>9.5</v>
      </c>
      <c r="CF71" s="51">
        <f>IFERROR(LOOKUP(CF$18,HourlyTimeseries!$A:$A,HourlyTimeseries!$M:$M),"")</f>
        <v>9.5</v>
      </c>
      <c r="CG71" s="51">
        <f>IFERROR(LOOKUP(CG$18,HourlyTimeseries!$A:$A,HourlyTimeseries!$M:$M),"")</f>
        <v>9.5</v>
      </c>
      <c r="CH71" s="51">
        <f>IFERROR(LOOKUP(CH$18,HourlyTimeseries!$A:$A,HourlyTimeseries!$M:$M),"")</f>
        <v>9.5</v>
      </c>
      <c r="CI71" s="51">
        <f>IFERROR(LOOKUP(CI$18,HourlyTimeseries!$A:$A,HourlyTimeseries!$M:$M),"")</f>
        <v>9.5</v>
      </c>
      <c r="CJ71" s="51">
        <f>IFERROR(LOOKUP(CJ$18,HourlyTimeseries!$A:$A,HourlyTimeseries!$M:$M),"")</f>
        <v>9.5</v>
      </c>
      <c r="CK71" s="51">
        <f>IFERROR(LOOKUP(CK$18,HourlyTimeseries!$A:$A,HourlyTimeseries!$M:$M),"")</f>
        <v>9.5</v>
      </c>
      <c r="CL71" s="51">
        <f>IFERROR(LOOKUP(CL$18,HourlyTimeseries!$A:$A,HourlyTimeseries!$M:$M),"")</f>
        <v>9.5</v>
      </c>
      <c r="CM71" s="51">
        <f>IFERROR(LOOKUP(CM$18,HourlyTimeseries!$A:$A,HourlyTimeseries!$M:$M),"")</f>
        <v>9.5</v>
      </c>
      <c r="CN71" s="51">
        <f>IFERROR(LOOKUP(CN$18,HourlyTimeseries!$A:$A,HourlyTimeseries!$M:$M),"")</f>
        <v>9.5</v>
      </c>
      <c r="CO71" s="51">
        <f>IFERROR(LOOKUP(CO$18,HourlyTimeseries!$A:$A,HourlyTimeseries!$M:$M),"")</f>
        <v>9.5</v>
      </c>
      <c r="CP71" s="51">
        <f>IFERROR(LOOKUP(CP$18,HourlyTimeseries!$A:$A,HourlyTimeseries!$M:$M),"")</f>
        <v>9.5</v>
      </c>
      <c r="CQ71" s="51">
        <f>IFERROR(LOOKUP(CQ$18,HourlyTimeseries!$A:$A,HourlyTimeseries!$M:$M),"")</f>
        <v>9.5</v>
      </c>
      <c r="CR71" s="51">
        <f>IFERROR(LOOKUP(CR$18,HourlyTimeseries!$A:$A,HourlyTimeseries!$M:$M),"")</f>
        <v>9.5</v>
      </c>
      <c r="CS71" s="51">
        <f>IFERROR(LOOKUP(CS$18,HourlyTimeseries!$A:$A,HourlyTimeseries!$M:$M),"")</f>
        <v>9.5</v>
      </c>
      <c r="CT71" s="51">
        <f>IFERROR(LOOKUP(CT$18,HourlyTimeseries!$A:$A,HourlyTimeseries!$M:$M),"")</f>
        <v>9.5</v>
      </c>
      <c r="CU71" s="51">
        <f>IFERROR(LOOKUP(CU$18,HourlyTimeseries!$A:$A,HourlyTimeseries!$M:$M),"")</f>
        <v>9.5</v>
      </c>
      <c r="CV71" s="60">
        <f>IFERROR(LOOKUP(CV$18,HourlyTimeseries!$A:$A,HourlyTimeseries!$M:$M),"")</f>
        <v>9.5</v>
      </c>
      <c r="CW71" s="67">
        <f>IFERROR(LOOKUP(CW$18,HourlyTimeseries!$A:$A,HourlyTimeseries!$M:$M),"")</f>
        <v>9.5</v>
      </c>
      <c r="CX71" s="51">
        <f>IFERROR(LOOKUP(CX$18,HourlyTimeseries!$A:$A,HourlyTimeseries!$M:$M),"")</f>
        <v>9.5</v>
      </c>
      <c r="CY71" s="51">
        <f>IFERROR(LOOKUP(CY$18,HourlyTimeseries!$A:$A,HourlyTimeseries!$M:$M),"")</f>
        <v>9.5</v>
      </c>
      <c r="CZ71" s="51">
        <f>IFERROR(LOOKUP(CZ$18,HourlyTimeseries!$A:$A,HourlyTimeseries!$M:$M),"")</f>
        <v>9.5</v>
      </c>
      <c r="DA71" s="51">
        <f>IFERROR(LOOKUP(DA$18,HourlyTimeseries!$A:$A,HourlyTimeseries!$M:$M),"")</f>
        <v>9.5</v>
      </c>
      <c r="DB71" s="51">
        <f>IFERROR(LOOKUP(DB$18,HourlyTimeseries!$A:$A,HourlyTimeseries!$M:$M),"")</f>
        <v>9.5</v>
      </c>
      <c r="DC71" s="51">
        <f>IFERROR(LOOKUP(DC$18,HourlyTimeseries!$A:$A,HourlyTimeseries!$M:$M),"")</f>
        <v>9.5</v>
      </c>
      <c r="DD71" s="51">
        <f>IFERROR(LOOKUP(DD$18,HourlyTimeseries!$A:$A,HourlyTimeseries!$M:$M),"")</f>
        <v>9.5</v>
      </c>
      <c r="DE71" s="51">
        <f>IFERROR(LOOKUP(DE$18,HourlyTimeseries!$A:$A,HourlyTimeseries!$M:$M),"")</f>
        <v>9.5</v>
      </c>
      <c r="DF71" s="51">
        <f>IFERROR(LOOKUP(DF$18,HourlyTimeseries!$A:$A,HourlyTimeseries!$M:$M),"")</f>
        <v>9.5</v>
      </c>
      <c r="DG71" s="51">
        <f>IFERROR(LOOKUP(DG$18,HourlyTimeseries!$A:$A,HourlyTimeseries!$M:$M),"")</f>
        <v>9.5</v>
      </c>
      <c r="DH71" s="51">
        <f>IFERROR(LOOKUP(DH$18,HourlyTimeseries!$A:$A,HourlyTimeseries!$M:$M),"")</f>
        <v>9.5</v>
      </c>
      <c r="DI71" s="51">
        <f>IFERROR(LOOKUP(DI$18,HourlyTimeseries!$A:$A,HourlyTimeseries!$M:$M),"")</f>
        <v>9.5</v>
      </c>
      <c r="DJ71" s="51">
        <f>IFERROR(LOOKUP(DJ$18,HourlyTimeseries!$A:$A,HourlyTimeseries!$M:$M),"")</f>
        <v>9.5</v>
      </c>
      <c r="DK71" s="51">
        <f>IFERROR(LOOKUP(DK$18,HourlyTimeseries!$A:$A,HourlyTimeseries!$M:$M),"")</f>
        <v>9.5</v>
      </c>
      <c r="DL71" s="51">
        <f>IFERROR(LOOKUP(DL$18,HourlyTimeseries!$A:$A,HourlyTimeseries!$M:$M),"")</f>
        <v>9.5</v>
      </c>
      <c r="DM71" s="51">
        <f>IFERROR(LOOKUP(DM$18,HourlyTimeseries!$A:$A,HourlyTimeseries!$M:$M),"")</f>
        <v>9.5</v>
      </c>
      <c r="DN71" s="51">
        <f>IFERROR(LOOKUP(DN$18,HourlyTimeseries!$A:$A,HourlyTimeseries!$M:$M),"")</f>
        <v>9.5</v>
      </c>
      <c r="DO71" s="51">
        <f>IFERROR(LOOKUP(DO$18,HourlyTimeseries!$A:$A,HourlyTimeseries!$M:$M),"")</f>
        <v>9.5</v>
      </c>
      <c r="DP71" s="51">
        <f>IFERROR(LOOKUP(DP$18,HourlyTimeseries!$A:$A,HourlyTimeseries!$M:$M),"")</f>
        <v>9.5</v>
      </c>
      <c r="DQ71" s="51">
        <f>IFERROR(LOOKUP(DQ$18,HourlyTimeseries!$A:$A,HourlyTimeseries!$M:$M),"")</f>
        <v>9.5</v>
      </c>
      <c r="DR71" s="51">
        <f>IFERROR(LOOKUP(DR$18,HourlyTimeseries!$A:$A,HourlyTimeseries!$M:$M),"")</f>
        <v>9.5</v>
      </c>
      <c r="DS71" s="51">
        <f>IFERROR(LOOKUP(DS$18,HourlyTimeseries!$A:$A,HourlyTimeseries!$M:$M),"")</f>
        <v>9.5</v>
      </c>
      <c r="DT71" s="60">
        <f>IFERROR(LOOKUP(DT$18,HourlyTimeseries!$A:$A,HourlyTimeseries!$M:$M),"")</f>
        <v>9.5</v>
      </c>
      <c r="DU71" s="67">
        <f>IFERROR(LOOKUP(DU$18,HourlyTimeseries!$A:$A,HourlyTimeseries!$M:$M),"")</f>
        <v>9.5</v>
      </c>
      <c r="DV71" s="51">
        <f>IFERROR(LOOKUP(DV$18,HourlyTimeseries!$A:$A,HourlyTimeseries!$M:$M),"")</f>
        <v>9.5</v>
      </c>
      <c r="DW71" s="51">
        <f>IFERROR(LOOKUP(DW$18,HourlyTimeseries!$A:$A,HourlyTimeseries!$M:$M),"")</f>
        <v>9.5</v>
      </c>
      <c r="DX71" s="51">
        <f>IFERROR(LOOKUP(DX$18,HourlyTimeseries!$A:$A,HourlyTimeseries!$M:$M),"")</f>
        <v>9.5</v>
      </c>
      <c r="DY71" s="51">
        <f>IFERROR(LOOKUP(DY$18,HourlyTimeseries!$A:$A,HourlyTimeseries!$M:$M),"")</f>
        <v>9.5</v>
      </c>
      <c r="DZ71" s="51">
        <f>IFERROR(LOOKUP(DZ$18,HourlyTimeseries!$A:$A,HourlyTimeseries!$M:$M),"")</f>
        <v>9.5</v>
      </c>
      <c r="EA71" s="51">
        <f>IFERROR(LOOKUP(EA$18,HourlyTimeseries!$A:$A,HourlyTimeseries!$M:$M),"")</f>
        <v>9.5</v>
      </c>
      <c r="EB71" s="51">
        <f>IFERROR(LOOKUP(EB$18,HourlyTimeseries!$A:$A,HourlyTimeseries!$M:$M),"")</f>
        <v>9.5</v>
      </c>
      <c r="EC71" s="51">
        <f>IFERROR(LOOKUP(EC$18,HourlyTimeseries!$A:$A,HourlyTimeseries!$M:$M),"")</f>
        <v>9.5</v>
      </c>
      <c r="ED71" s="51">
        <f>IFERROR(LOOKUP(ED$18,HourlyTimeseries!$A:$A,HourlyTimeseries!$M:$M),"")</f>
        <v>9.5</v>
      </c>
      <c r="EE71" s="51">
        <f>IFERROR(LOOKUP(EE$18,HourlyTimeseries!$A:$A,HourlyTimeseries!$M:$M),"")</f>
        <v>9.5</v>
      </c>
      <c r="EF71" s="51">
        <f>IFERROR(LOOKUP(EF$18,HourlyTimeseries!$A:$A,HourlyTimeseries!$M:$M),"")</f>
        <v>9.5</v>
      </c>
      <c r="EG71" s="51">
        <f>IFERROR(LOOKUP(EG$18,HourlyTimeseries!$A:$A,HourlyTimeseries!$M:$M),"")</f>
        <v>9.5</v>
      </c>
      <c r="EH71" s="51">
        <f>IFERROR(LOOKUP(EH$18,HourlyTimeseries!$A:$A,HourlyTimeseries!$M:$M),"")</f>
        <v>9.5</v>
      </c>
      <c r="EI71" s="51">
        <f>IFERROR(LOOKUP(EI$18,HourlyTimeseries!$A:$A,HourlyTimeseries!$M:$M),"")</f>
        <v>9.5</v>
      </c>
      <c r="EJ71" s="51">
        <f>IFERROR(LOOKUP(EJ$18,HourlyTimeseries!$A:$A,HourlyTimeseries!$M:$M),"")</f>
        <v>9.5</v>
      </c>
      <c r="EK71" s="51">
        <f>IFERROR(LOOKUP(EK$18,HourlyTimeseries!$A:$A,HourlyTimeseries!$M:$M),"")</f>
        <v>9.5</v>
      </c>
      <c r="EL71" s="51">
        <f>IFERROR(LOOKUP(EL$18,HourlyTimeseries!$A:$A,HourlyTimeseries!$M:$M),"")</f>
        <v>9.5</v>
      </c>
      <c r="EM71" s="51">
        <f>IFERROR(LOOKUP(EM$18,HourlyTimeseries!$A:$A,HourlyTimeseries!$M:$M),"")</f>
        <v>9.5</v>
      </c>
      <c r="EN71" s="51">
        <f>IFERROR(LOOKUP(EN$18,HourlyTimeseries!$A:$A,HourlyTimeseries!$M:$M),"")</f>
        <v>9.5</v>
      </c>
      <c r="EO71" s="51">
        <f>IFERROR(LOOKUP(EO$18,HourlyTimeseries!$A:$A,HourlyTimeseries!$M:$M),"")</f>
        <v>9.5</v>
      </c>
      <c r="EP71" s="51">
        <f>IFERROR(LOOKUP(EP$18,HourlyTimeseries!$A:$A,HourlyTimeseries!$M:$M),"")</f>
        <v>9.5</v>
      </c>
      <c r="EQ71" s="51">
        <f>IFERROR(LOOKUP(EQ$18,HourlyTimeseries!$A:$A,HourlyTimeseries!$M:$M),"")</f>
        <v>9.5</v>
      </c>
      <c r="ER71" s="60">
        <f>IFERROR(LOOKUP(ER$18,HourlyTimeseries!$A:$A,HourlyTimeseries!$M:$M),"")</f>
        <v>9.5</v>
      </c>
      <c r="ES71" s="67">
        <f>IFERROR(LOOKUP(ES$18,HourlyTimeseries!$A:$A,HourlyTimeseries!$M:$M),"")</f>
        <v>9.5</v>
      </c>
      <c r="ET71" s="51">
        <f>IFERROR(LOOKUP(ET$18,HourlyTimeseries!$A:$A,HourlyTimeseries!$M:$M),"")</f>
        <v>9.5</v>
      </c>
      <c r="EU71" s="51">
        <f>IFERROR(LOOKUP(EU$18,HourlyTimeseries!$A:$A,HourlyTimeseries!$M:$M),"")</f>
        <v>9.5</v>
      </c>
      <c r="EV71" s="51">
        <f>IFERROR(LOOKUP(EV$18,HourlyTimeseries!$A:$A,HourlyTimeseries!$M:$M),"")</f>
        <v>9.5</v>
      </c>
      <c r="EW71" s="51">
        <f>IFERROR(LOOKUP(EW$18,HourlyTimeseries!$A:$A,HourlyTimeseries!$M:$M),"")</f>
        <v>9.5</v>
      </c>
      <c r="EX71" s="51">
        <f>IFERROR(LOOKUP(EX$18,HourlyTimeseries!$A:$A,HourlyTimeseries!$M:$M),"")</f>
        <v>9.5</v>
      </c>
      <c r="EY71" s="51">
        <f>IFERROR(LOOKUP(EY$18,HourlyTimeseries!$A:$A,HourlyTimeseries!$M:$M),"")</f>
        <v>9.5</v>
      </c>
      <c r="EZ71" s="51">
        <f>IFERROR(LOOKUP(EZ$18,HourlyTimeseries!$A:$A,HourlyTimeseries!$M:$M),"")</f>
        <v>9.5</v>
      </c>
      <c r="FA71" s="51">
        <f>IFERROR(LOOKUP(FA$18,HourlyTimeseries!$A:$A,HourlyTimeseries!$M:$M),"")</f>
        <v>9.5</v>
      </c>
      <c r="FB71" s="51">
        <f>IFERROR(LOOKUP(FB$18,HourlyTimeseries!$A:$A,HourlyTimeseries!$M:$M),"")</f>
        <v>9.5</v>
      </c>
      <c r="FC71" s="51">
        <f>IFERROR(LOOKUP(FC$18,HourlyTimeseries!$A:$A,HourlyTimeseries!$M:$M),"")</f>
        <v>9.5</v>
      </c>
      <c r="FD71" s="51">
        <f>IFERROR(LOOKUP(FD$18,HourlyTimeseries!$A:$A,HourlyTimeseries!$M:$M),"")</f>
        <v>9.5</v>
      </c>
      <c r="FE71" s="51">
        <f>IFERROR(LOOKUP(FE$18,HourlyTimeseries!$A:$A,HourlyTimeseries!$M:$M),"")</f>
        <v>9.5</v>
      </c>
      <c r="FF71" s="51">
        <f>IFERROR(LOOKUP(FF$18,HourlyTimeseries!$A:$A,HourlyTimeseries!$M:$M),"")</f>
        <v>9.5</v>
      </c>
      <c r="FG71" s="51">
        <f>IFERROR(LOOKUP(FG$18,HourlyTimeseries!$A:$A,HourlyTimeseries!$M:$M),"")</f>
        <v>9.5</v>
      </c>
      <c r="FH71" s="51">
        <f>IFERROR(LOOKUP(FH$18,HourlyTimeseries!$A:$A,HourlyTimeseries!$M:$M),"")</f>
        <v>9.5</v>
      </c>
      <c r="FI71" s="51">
        <f>IFERROR(LOOKUP(FI$18,HourlyTimeseries!$A:$A,HourlyTimeseries!$M:$M),"")</f>
        <v>9.5</v>
      </c>
      <c r="FJ71" s="51">
        <f>IFERROR(LOOKUP(FJ$18,HourlyTimeseries!$A:$A,HourlyTimeseries!$M:$M),"")</f>
        <v>9.5</v>
      </c>
      <c r="FK71" s="51">
        <f>IFERROR(LOOKUP(FK$18,HourlyTimeseries!$A:$A,HourlyTimeseries!$M:$M),"")</f>
        <v>9.5</v>
      </c>
      <c r="FL71" s="51">
        <f>IFERROR(LOOKUP(FL$18,HourlyTimeseries!$A:$A,HourlyTimeseries!$M:$M),"")</f>
        <v>9.5</v>
      </c>
      <c r="FM71" s="51">
        <f>IFERROR(LOOKUP(FM$18,HourlyTimeseries!$A:$A,HourlyTimeseries!$M:$M),"")</f>
        <v>9.5</v>
      </c>
      <c r="FN71" s="51">
        <f>IFERROR(LOOKUP(FN$18,HourlyTimeseries!$A:$A,HourlyTimeseries!$M:$M),"")</f>
        <v>9.5</v>
      </c>
      <c r="FO71" s="51">
        <f>IFERROR(LOOKUP(FO$18,HourlyTimeseries!$A:$A,HourlyTimeseries!$M:$M),"")</f>
        <v>9.5</v>
      </c>
      <c r="FP71" s="60">
        <f>IFERROR(LOOKUP(FP$18,HourlyTimeseries!$A:$A,HourlyTimeseries!$M:$M),"")</f>
        <v>9.5</v>
      </c>
    </row>
    <row r="72" spans="1:172">
      <c r="A72" s="15" t="s">
        <v>36</v>
      </c>
      <c r="B72" s="2" t="s">
        <v>6</v>
      </c>
      <c r="C72" s="8" t="s">
        <v>133</v>
      </c>
      <c r="D72" s="2"/>
      <c r="E72" s="51">
        <f>IFERROR(LOOKUP(E$18,HourlyTimeseries!$A:$A,HourlyTimeseries!$N:$N),"")</f>
        <v>14.95</v>
      </c>
      <c r="F72" s="51">
        <f>IFERROR(LOOKUP(F$18,HourlyTimeseries!$A:$A,HourlyTimeseries!$N:$N),"")</f>
        <v>14.95</v>
      </c>
      <c r="G72" s="51">
        <f>IFERROR(LOOKUP(G$18,HourlyTimeseries!$A:$A,HourlyTimeseries!$N:$N),"")</f>
        <v>14.95</v>
      </c>
      <c r="H72" s="51">
        <f>IFERROR(LOOKUP(H$18,HourlyTimeseries!$A:$A,HourlyTimeseries!$N:$N),"")</f>
        <v>14.95</v>
      </c>
      <c r="I72" s="51">
        <f>IFERROR(LOOKUP(I$18,HourlyTimeseries!$A:$A,HourlyTimeseries!$N:$N),"")</f>
        <v>14.95</v>
      </c>
      <c r="J72" s="51">
        <f>IFERROR(LOOKUP(J$18,HourlyTimeseries!$A:$A,HourlyTimeseries!$N:$N),"")</f>
        <v>14.95</v>
      </c>
      <c r="K72" s="51">
        <f>IFERROR(LOOKUP(K$18,HourlyTimeseries!$A:$A,HourlyTimeseries!$N:$N),"")</f>
        <v>14.95</v>
      </c>
      <c r="L72" s="51">
        <f>IFERROR(LOOKUP(L$18,HourlyTimeseries!$A:$A,HourlyTimeseries!$N:$N),"")</f>
        <v>14.95</v>
      </c>
      <c r="M72" s="51">
        <f>IFERROR(LOOKUP(M$18,HourlyTimeseries!$A:$A,HourlyTimeseries!$N:$N),"")</f>
        <v>14.95</v>
      </c>
      <c r="N72" s="51">
        <f>IFERROR(LOOKUP(N$18,HourlyTimeseries!$A:$A,HourlyTimeseries!$N:$N),"")</f>
        <v>14.95</v>
      </c>
      <c r="O72" s="51">
        <f>IFERROR(LOOKUP(O$18,HourlyTimeseries!$A:$A,HourlyTimeseries!$N:$N),"")</f>
        <v>14.95</v>
      </c>
      <c r="P72" s="51">
        <f>IFERROR(LOOKUP(P$18,HourlyTimeseries!$A:$A,HourlyTimeseries!$N:$N),"")</f>
        <v>14.95</v>
      </c>
      <c r="Q72" s="51">
        <f>IFERROR(LOOKUP(Q$18,HourlyTimeseries!$A:$A,HourlyTimeseries!$N:$N),"")</f>
        <v>14.95</v>
      </c>
      <c r="R72" s="51">
        <f>IFERROR(LOOKUP(R$18,HourlyTimeseries!$A:$A,HourlyTimeseries!$N:$N),"")</f>
        <v>14.95</v>
      </c>
      <c r="S72" s="51">
        <f>IFERROR(LOOKUP(S$18,HourlyTimeseries!$A:$A,HourlyTimeseries!$N:$N),"")</f>
        <v>14.95</v>
      </c>
      <c r="T72" s="51">
        <f>IFERROR(LOOKUP(T$18,HourlyTimeseries!$A:$A,HourlyTimeseries!$N:$N),"")</f>
        <v>14.95</v>
      </c>
      <c r="U72" s="51">
        <f>IFERROR(LOOKUP(U$18,HourlyTimeseries!$A:$A,HourlyTimeseries!$N:$N),"")</f>
        <v>14.95</v>
      </c>
      <c r="V72" s="51">
        <f>IFERROR(LOOKUP(V$18,HourlyTimeseries!$A:$A,HourlyTimeseries!$N:$N),"")</f>
        <v>14.95</v>
      </c>
      <c r="W72" s="51">
        <f>IFERROR(LOOKUP(W$18,HourlyTimeseries!$A:$A,HourlyTimeseries!$N:$N),"")</f>
        <v>14.95</v>
      </c>
      <c r="X72" s="51">
        <f>IFERROR(LOOKUP(X$18,HourlyTimeseries!$A:$A,HourlyTimeseries!$N:$N),"")</f>
        <v>14.95</v>
      </c>
      <c r="Y72" s="51">
        <f>IFERROR(LOOKUP(Y$18,HourlyTimeseries!$A:$A,HourlyTimeseries!$N:$N),"")</f>
        <v>14.95</v>
      </c>
      <c r="Z72" s="51">
        <f>IFERROR(LOOKUP(Z$18,HourlyTimeseries!$A:$A,HourlyTimeseries!$N:$N),"")</f>
        <v>14.95</v>
      </c>
      <c r="AA72" s="51">
        <f>IFERROR(LOOKUP(AA$18,HourlyTimeseries!$A:$A,HourlyTimeseries!$N:$N),"")</f>
        <v>14.95</v>
      </c>
      <c r="AB72" s="60">
        <f>IFERROR(LOOKUP(AB$18,HourlyTimeseries!$A:$A,HourlyTimeseries!$N:$N),"")</f>
        <v>14.95</v>
      </c>
      <c r="AC72" s="67">
        <f>IFERROR(LOOKUP(AC$18,HourlyTimeseries!$A:$A,HourlyTimeseries!$N:$N),"")</f>
        <v>14.95</v>
      </c>
      <c r="AD72" s="51">
        <f>IFERROR(LOOKUP(AD$18,HourlyTimeseries!$A:$A,HourlyTimeseries!$N:$N),"")</f>
        <v>14.95</v>
      </c>
      <c r="AE72" s="51">
        <f>IFERROR(LOOKUP(AE$18,HourlyTimeseries!$A:$A,HourlyTimeseries!$N:$N),"")</f>
        <v>14.95</v>
      </c>
      <c r="AF72" s="51">
        <f>IFERROR(LOOKUP(AF$18,HourlyTimeseries!$A:$A,HourlyTimeseries!$N:$N),"")</f>
        <v>14.95</v>
      </c>
      <c r="AG72" s="51">
        <f>IFERROR(LOOKUP(AG$18,HourlyTimeseries!$A:$A,HourlyTimeseries!$N:$N),"")</f>
        <v>14.95</v>
      </c>
      <c r="AH72" s="51">
        <f>IFERROR(LOOKUP(AH$18,HourlyTimeseries!$A:$A,HourlyTimeseries!$N:$N),"")</f>
        <v>14.95</v>
      </c>
      <c r="AI72" s="51">
        <f>IFERROR(LOOKUP(AI$18,HourlyTimeseries!$A:$A,HourlyTimeseries!$N:$N),"")</f>
        <v>14.95</v>
      </c>
      <c r="AJ72" s="51">
        <f>IFERROR(LOOKUP(AJ$18,HourlyTimeseries!$A:$A,HourlyTimeseries!$N:$N),"")</f>
        <v>14.95</v>
      </c>
      <c r="AK72" s="51">
        <f>IFERROR(LOOKUP(AK$18,HourlyTimeseries!$A:$A,HourlyTimeseries!$N:$N),"")</f>
        <v>14.95</v>
      </c>
      <c r="AL72" s="51">
        <f>IFERROR(LOOKUP(AL$18,HourlyTimeseries!$A:$A,HourlyTimeseries!$N:$N),"")</f>
        <v>14.95</v>
      </c>
      <c r="AM72" s="51">
        <f>IFERROR(LOOKUP(AM$18,HourlyTimeseries!$A:$A,HourlyTimeseries!$N:$N),"")</f>
        <v>14.95</v>
      </c>
      <c r="AN72" s="51">
        <f>IFERROR(LOOKUP(AN$18,HourlyTimeseries!$A:$A,HourlyTimeseries!$N:$N),"")</f>
        <v>14.95</v>
      </c>
      <c r="AO72" s="51">
        <f>IFERROR(LOOKUP(AO$18,HourlyTimeseries!$A:$A,HourlyTimeseries!$N:$N),"")</f>
        <v>14.95</v>
      </c>
      <c r="AP72" s="51">
        <f>IFERROR(LOOKUP(AP$18,HourlyTimeseries!$A:$A,HourlyTimeseries!$N:$N),"")</f>
        <v>14.95</v>
      </c>
      <c r="AQ72" s="51">
        <f>IFERROR(LOOKUP(AQ$18,HourlyTimeseries!$A:$A,HourlyTimeseries!$N:$N),"")</f>
        <v>14.95</v>
      </c>
      <c r="AR72" s="51">
        <f>IFERROR(LOOKUP(AR$18,HourlyTimeseries!$A:$A,HourlyTimeseries!$N:$N),"")</f>
        <v>14.95</v>
      </c>
      <c r="AS72" s="51">
        <f>IFERROR(LOOKUP(AS$18,HourlyTimeseries!$A:$A,HourlyTimeseries!$N:$N),"")</f>
        <v>14.95</v>
      </c>
      <c r="AT72" s="51">
        <f>IFERROR(LOOKUP(AT$18,HourlyTimeseries!$A:$A,HourlyTimeseries!$N:$N),"")</f>
        <v>14.95</v>
      </c>
      <c r="AU72" s="51">
        <f>IFERROR(LOOKUP(AU$18,HourlyTimeseries!$A:$A,HourlyTimeseries!$N:$N),"")</f>
        <v>14.95</v>
      </c>
      <c r="AV72" s="51">
        <f>IFERROR(LOOKUP(AV$18,HourlyTimeseries!$A:$A,HourlyTimeseries!$N:$N),"")</f>
        <v>14.95</v>
      </c>
      <c r="AW72" s="51">
        <f>IFERROR(LOOKUP(AW$18,HourlyTimeseries!$A:$A,HourlyTimeseries!$N:$N),"")</f>
        <v>14.95</v>
      </c>
      <c r="AX72" s="51">
        <f>IFERROR(LOOKUP(AX$18,HourlyTimeseries!$A:$A,HourlyTimeseries!$N:$N),"")</f>
        <v>14.95</v>
      </c>
      <c r="AY72" s="51">
        <f>IFERROR(LOOKUP(AY$18,HourlyTimeseries!$A:$A,HourlyTimeseries!$N:$N),"")</f>
        <v>14.95</v>
      </c>
      <c r="AZ72" s="60">
        <f>IFERROR(LOOKUP(AZ$18,HourlyTimeseries!$A:$A,HourlyTimeseries!$N:$N),"")</f>
        <v>14.95</v>
      </c>
      <c r="BA72" s="67">
        <f>IFERROR(LOOKUP(BA$18,HourlyTimeseries!$A:$A,HourlyTimeseries!$N:$N),"")</f>
        <v>14.95</v>
      </c>
      <c r="BB72" s="51">
        <f>IFERROR(LOOKUP(BB$18,HourlyTimeseries!$A:$A,HourlyTimeseries!$N:$N),"")</f>
        <v>14.95</v>
      </c>
      <c r="BC72" s="51">
        <f>IFERROR(LOOKUP(BC$18,HourlyTimeseries!$A:$A,HourlyTimeseries!$N:$N),"")</f>
        <v>14.95</v>
      </c>
      <c r="BD72" s="51">
        <f>IFERROR(LOOKUP(BD$18,HourlyTimeseries!$A:$A,HourlyTimeseries!$N:$N),"")</f>
        <v>14.95</v>
      </c>
      <c r="BE72" s="51">
        <f>IFERROR(LOOKUP(BE$18,HourlyTimeseries!$A:$A,HourlyTimeseries!$N:$N),"")</f>
        <v>14.95</v>
      </c>
      <c r="BF72" s="51">
        <f>IFERROR(LOOKUP(BF$18,HourlyTimeseries!$A:$A,HourlyTimeseries!$N:$N),"")</f>
        <v>14.95</v>
      </c>
      <c r="BG72" s="51">
        <f>IFERROR(LOOKUP(BG$18,HourlyTimeseries!$A:$A,HourlyTimeseries!$N:$N),"")</f>
        <v>14.95</v>
      </c>
      <c r="BH72" s="51">
        <f>IFERROR(LOOKUP(BH$18,HourlyTimeseries!$A:$A,HourlyTimeseries!$N:$N),"")</f>
        <v>14.95</v>
      </c>
      <c r="BI72" s="51">
        <f>IFERROR(LOOKUP(BI$18,HourlyTimeseries!$A:$A,HourlyTimeseries!$N:$N),"")</f>
        <v>14.95</v>
      </c>
      <c r="BJ72" s="51">
        <f>IFERROR(LOOKUP(BJ$18,HourlyTimeseries!$A:$A,HourlyTimeseries!$N:$N),"")</f>
        <v>14.95</v>
      </c>
      <c r="BK72" s="51">
        <f>IFERROR(LOOKUP(BK$18,HourlyTimeseries!$A:$A,HourlyTimeseries!$N:$N),"")</f>
        <v>14.95</v>
      </c>
      <c r="BL72" s="51">
        <f>IFERROR(LOOKUP(BL$18,HourlyTimeseries!$A:$A,HourlyTimeseries!$N:$N),"")</f>
        <v>14.95</v>
      </c>
      <c r="BM72" s="51">
        <f>IFERROR(LOOKUP(BM$18,HourlyTimeseries!$A:$A,HourlyTimeseries!$N:$N),"")</f>
        <v>14.95</v>
      </c>
      <c r="BN72" s="51">
        <f>IFERROR(LOOKUP(BN$18,HourlyTimeseries!$A:$A,HourlyTimeseries!$N:$N),"")</f>
        <v>14.95</v>
      </c>
      <c r="BO72" s="51">
        <f>IFERROR(LOOKUP(BO$18,HourlyTimeseries!$A:$A,HourlyTimeseries!$N:$N),"")</f>
        <v>14.95</v>
      </c>
      <c r="BP72" s="51">
        <f>IFERROR(LOOKUP(BP$18,HourlyTimeseries!$A:$A,HourlyTimeseries!$N:$N),"")</f>
        <v>14.95</v>
      </c>
      <c r="BQ72" s="51">
        <f>IFERROR(LOOKUP(BQ$18,HourlyTimeseries!$A:$A,HourlyTimeseries!$N:$N),"")</f>
        <v>14.95</v>
      </c>
      <c r="BR72" s="51">
        <f>IFERROR(LOOKUP(BR$18,HourlyTimeseries!$A:$A,HourlyTimeseries!$N:$N),"")</f>
        <v>14.95</v>
      </c>
      <c r="BS72" s="51">
        <f>IFERROR(LOOKUP(BS$18,HourlyTimeseries!$A:$A,HourlyTimeseries!$N:$N),"")</f>
        <v>14.95</v>
      </c>
      <c r="BT72" s="51">
        <f>IFERROR(LOOKUP(BT$18,HourlyTimeseries!$A:$A,HourlyTimeseries!$N:$N),"")</f>
        <v>14.95</v>
      </c>
      <c r="BU72" s="51">
        <f>IFERROR(LOOKUP(BU$18,HourlyTimeseries!$A:$A,HourlyTimeseries!$N:$N),"")</f>
        <v>14.95</v>
      </c>
      <c r="BV72" s="51">
        <f>IFERROR(LOOKUP(BV$18,HourlyTimeseries!$A:$A,HourlyTimeseries!$N:$N),"")</f>
        <v>14.95</v>
      </c>
      <c r="BW72" s="51">
        <f>IFERROR(LOOKUP(BW$18,HourlyTimeseries!$A:$A,HourlyTimeseries!$N:$N),"")</f>
        <v>14.95</v>
      </c>
      <c r="BX72" s="60">
        <f>IFERROR(LOOKUP(BX$18,HourlyTimeseries!$A:$A,HourlyTimeseries!$N:$N),"")</f>
        <v>14.95</v>
      </c>
      <c r="BY72" s="67">
        <f>IFERROR(LOOKUP(BY$18,HourlyTimeseries!$A:$A,HourlyTimeseries!$N:$N),"")</f>
        <v>14.95</v>
      </c>
      <c r="BZ72" s="51">
        <f>IFERROR(LOOKUP(BZ$18,HourlyTimeseries!$A:$A,HourlyTimeseries!$N:$N),"")</f>
        <v>14.95</v>
      </c>
      <c r="CA72" s="51">
        <f>IFERROR(LOOKUP(CA$18,HourlyTimeseries!$A:$A,HourlyTimeseries!$N:$N),"")</f>
        <v>14.95</v>
      </c>
      <c r="CB72" s="51">
        <f>IFERROR(LOOKUP(CB$18,HourlyTimeseries!$A:$A,HourlyTimeseries!$N:$N),"")</f>
        <v>14.95</v>
      </c>
      <c r="CC72" s="51">
        <f>IFERROR(LOOKUP(CC$18,HourlyTimeseries!$A:$A,HourlyTimeseries!$N:$N),"")</f>
        <v>14.95</v>
      </c>
      <c r="CD72" s="51">
        <f>IFERROR(LOOKUP(CD$18,HourlyTimeseries!$A:$A,HourlyTimeseries!$N:$N),"")</f>
        <v>14.95</v>
      </c>
      <c r="CE72" s="51">
        <f>IFERROR(LOOKUP(CE$18,HourlyTimeseries!$A:$A,HourlyTimeseries!$N:$N),"")</f>
        <v>14.95</v>
      </c>
      <c r="CF72" s="51">
        <f>IFERROR(LOOKUP(CF$18,HourlyTimeseries!$A:$A,HourlyTimeseries!$N:$N),"")</f>
        <v>14.95</v>
      </c>
      <c r="CG72" s="51">
        <f>IFERROR(LOOKUP(CG$18,HourlyTimeseries!$A:$A,HourlyTimeseries!$N:$N),"")</f>
        <v>14.95</v>
      </c>
      <c r="CH72" s="51">
        <f>IFERROR(LOOKUP(CH$18,HourlyTimeseries!$A:$A,HourlyTimeseries!$N:$N),"")</f>
        <v>14.95</v>
      </c>
      <c r="CI72" s="51">
        <f>IFERROR(LOOKUP(CI$18,HourlyTimeseries!$A:$A,HourlyTimeseries!$N:$N),"")</f>
        <v>14.95</v>
      </c>
      <c r="CJ72" s="51">
        <f>IFERROR(LOOKUP(CJ$18,HourlyTimeseries!$A:$A,HourlyTimeseries!$N:$N),"")</f>
        <v>14.95</v>
      </c>
      <c r="CK72" s="51">
        <f>IFERROR(LOOKUP(CK$18,HourlyTimeseries!$A:$A,HourlyTimeseries!$N:$N),"")</f>
        <v>14.95</v>
      </c>
      <c r="CL72" s="51">
        <f>IFERROR(LOOKUP(CL$18,HourlyTimeseries!$A:$A,HourlyTimeseries!$N:$N),"")</f>
        <v>14.95</v>
      </c>
      <c r="CM72" s="51">
        <f>IFERROR(LOOKUP(CM$18,HourlyTimeseries!$A:$A,HourlyTimeseries!$N:$N),"")</f>
        <v>14.95</v>
      </c>
      <c r="CN72" s="51">
        <f>IFERROR(LOOKUP(CN$18,HourlyTimeseries!$A:$A,HourlyTimeseries!$N:$N),"")</f>
        <v>14.95</v>
      </c>
      <c r="CO72" s="51">
        <f>IFERROR(LOOKUP(CO$18,HourlyTimeseries!$A:$A,HourlyTimeseries!$N:$N),"")</f>
        <v>14.95</v>
      </c>
      <c r="CP72" s="51">
        <f>IFERROR(LOOKUP(CP$18,HourlyTimeseries!$A:$A,HourlyTimeseries!$N:$N),"")</f>
        <v>14.95</v>
      </c>
      <c r="CQ72" s="51">
        <f>IFERROR(LOOKUP(CQ$18,HourlyTimeseries!$A:$A,HourlyTimeseries!$N:$N),"")</f>
        <v>14.95</v>
      </c>
      <c r="CR72" s="51">
        <f>IFERROR(LOOKUP(CR$18,HourlyTimeseries!$A:$A,HourlyTimeseries!$N:$N),"")</f>
        <v>14.95</v>
      </c>
      <c r="CS72" s="51">
        <f>IFERROR(LOOKUP(CS$18,HourlyTimeseries!$A:$A,HourlyTimeseries!$N:$N),"")</f>
        <v>14.95</v>
      </c>
      <c r="CT72" s="51">
        <f>IFERROR(LOOKUP(CT$18,HourlyTimeseries!$A:$A,HourlyTimeseries!$N:$N),"")</f>
        <v>14.95</v>
      </c>
      <c r="CU72" s="51">
        <f>IFERROR(LOOKUP(CU$18,HourlyTimeseries!$A:$A,HourlyTimeseries!$N:$N),"")</f>
        <v>14.95</v>
      </c>
      <c r="CV72" s="60">
        <f>IFERROR(LOOKUP(CV$18,HourlyTimeseries!$A:$A,HourlyTimeseries!$N:$N),"")</f>
        <v>14.95</v>
      </c>
      <c r="CW72" s="67">
        <f>IFERROR(LOOKUP(CW$18,HourlyTimeseries!$A:$A,HourlyTimeseries!$N:$N),"")</f>
        <v>14.95</v>
      </c>
      <c r="CX72" s="51">
        <f>IFERROR(LOOKUP(CX$18,HourlyTimeseries!$A:$A,HourlyTimeseries!$N:$N),"")</f>
        <v>14.95</v>
      </c>
      <c r="CY72" s="51">
        <f>IFERROR(LOOKUP(CY$18,HourlyTimeseries!$A:$A,HourlyTimeseries!$N:$N),"")</f>
        <v>14.95</v>
      </c>
      <c r="CZ72" s="51">
        <f>IFERROR(LOOKUP(CZ$18,HourlyTimeseries!$A:$A,HourlyTimeseries!$N:$N),"")</f>
        <v>14.95</v>
      </c>
      <c r="DA72" s="51">
        <f>IFERROR(LOOKUP(DA$18,HourlyTimeseries!$A:$A,HourlyTimeseries!$N:$N),"")</f>
        <v>14.95</v>
      </c>
      <c r="DB72" s="51">
        <f>IFERROR(LOOKUP(DB$18,HourlyTimeseries!$A:$A,HourlyTimeseries!$N:$N),"")</f>
        <v>14.95</v>
      </c>
      <c r="DC72" s="51">
        <f>IFERROR(LOOKUP(DC$18,HourlyTimeseries!$A:$A,HourlyTimeseries!$N:$N),"")</f>
        <v>14.95</v>
      </c>
      <c r="DD72" s="51">
        <f>IFERROR(LOOKUP(DD$18,HourlyTimeseries!$A:$A,HourlyTimeseries!$N:$N),"")</f>
        <v>14.95</v>
      </c>
      <c r="DE72" s="51">
        <f>IFERROR(LOOKUP(DE$18,HourlyTimeseries!$A:$A,HourlyTimeseries!$N:$N),"")</f>
        <v>14.95</v>
      </c>
      <c r="DF72" s="51">
        <f>IFERROR(LOOKUP(DF$18,HourlyTimeseries!$A:$A,HourlyTimeseries!$N:$N),"")</f>
        <v>14.95</v>
      </c>
      <c r="DG72" s="51">
        <f>IFERROR(LOOKUP(DG$18,HourlyTimeseries!$A:$A,HourlyTimeseries!$N:$N),"")</f>
        <v>14.95</v>
      </c>
      <c r="DH72" s="51">
        <f>IFERROR(LOOKUP(DH$18,HourlyTimeseries!$A:$A,HourlyTimeseries!$N:$N),"")</f>
        <v>14.95</v>
      </c>
      <c r="DI72" s="51">
        <f>IFERROR(LOOKUP(DI$18,HourlyTimeseries!$A:$A,HourlyTimeseries!$N:$N),"")</f>
        <v>14.95</v>
      </c>
      <c r="DJ72" s="51">
        <f>IFERROR(LOOKUP(DJ$18,HourlyTimeseries!$A:$A,HourlyTimeseries!$N:$N),"")</f>
        <v>14.95</v>
      </c>
      <c r="DK72" s="51">
        <f>IFERROR(LOOKUP(DK$18,HourlyTimeseries!$A:$A,HourlyTimeseries!$N:$N),"")</f>
        <v>14.95</v>
      </c>
      <c r="DL72" s="51">
        <f>IFERROR(LOOKUP(DL$18,HourlyTimeseries!$A:$A,HourlyTimeseries!$N:$N),"")</f>
        <v>14.95</v>
      </c>
      <c r="DM72" s="51">
        <f>IFERROR(LOOKUP(DM$18,HourlyTimeseries!$A:$A,HourlyTimeseries!$N:$N),"")</f>
        <v>14.95</v>
      </c>
      <c r="DN72" s="51">
        <f>IFERROR(LOOKUP(DN$18,HourlyTimeseries!$A:$A,HourlyTimeseries!$N:$N),"")</f>
        <v>14.95</v>
      </c>
      <c r="DO72" s="51">
        <f>IFERROR(LOOKUP(DO$18,HourlyTimeseries!$A:$A,HourlyTimeseries!$N:$N),"")</f>
        <v>14.95</v>
      </c>
      <c r="DP72" s="51">
        <f>IFERROR(LOOKUP(DP$18,HourlyTimeseries!$A:$A,HourlyTimeseries!$N:$N),"")</f>
        <v>14.95</v>
      </c>
      <c r="DQ72" s="51">
        <f>IFERROR(LOOKUP(DQ$18,HourlyTimeseries!$A:$A,HourlyTimeseries!$N:$N),"")</f>
        <v>14.95</v>
      </c>
      <c r="DR72" s="51">
        <f>IFERROR(LOOKUP(DR$18,HourlyTimeseries!$A:$A,HourlyTimeseries!$N:$N),"")</f>
        <v>14.95</v>
      </c>
      <c r="DS72" s="51">
        <f>IFERROR(LOOKUP(DS$18,HourlyTimeseries!$A:$A,HourlyTimeseries!$N:$N),"")</f>
        <v>14.95</v>
      </c>
      <c r="DT72" s="60">
        <f>IFERROR(LOOKUP(DT$18,HourlyTimeseries!$A:$A,HourlyTimeseries!$N:$N),"")</f>
        <v>14.95</v>
      </c>
      <c r="DU72" s="67">
        <f>IFERROR(LOOKUP(DU$18,HourlyTimeseries!$A:$A,HourlyTimeseries!$N:$N),"")</f>
        <v>14.95</v>
      </c>
      <c r="DV72" s="51">
        <f>IFERROR(LOOKUP(DV$18,HourlyTimeseries!$A:$A,HourlyTimeseries!$N:$N),"")</f>
        <v>14.95</v>
      </c>
      <c r="DW72" s="51">
        <f>IFERROR(LOOKUP(DW$18,HourlyTimeseries!$A:$A,HourlyTimeseries!$N:$N),"")</f>
        <v>14.95</v>
      </c>
      <c r="DX72" s="51">
        <f>IFERROR(LOOKUP(DX$18,HourlyTimeseries!$A:$A,HourlyTimeseries!$N:$N),"")</f>
        <v>14.95</v>
      </c>
      <c r="DY72" s="51">
        <f>IFERROR(LOOKUP(DY$18,HourlyTimeseries!$A:$A,HourlyTimeseries!$N:$N),"")</f>
        <v>14.95</v>
      </c>
      <c r="DZ72" s="51">
        <f>IFERROR(LOOKUP(DZ$18,HourlyTimeseries!$A:$A,HourlyTimeseries!$N:$N),"")</f>
        <v>14.95</v>
      </c>
      <c r="EA72" s="51">
        <f>IFERROR(LOOKUP(EA$18,HourlyTimeseries!$A:$A,HourlyTimeseries!$N:$N),"")</f>
        <v>14.95</v>
      </c>
      <c r="EB72" s="51">
        <f>IFERROR(LOOKUP(EB$18,HourlyTimeseries!$A:$A,HourlyTimeseries!$N:$N),"")</f>
        <v>14.95</v>
      </c>
      <c r="EC72" s="51">
        <f>IFERROR(LOOKUP(EC$18,HourlyTimeseries!$A:$A,HourlyTimeseries!$N:$N),"")</f>
        <v>14.95</v>
      </c>
      <c r="ED72" s="51">
        <f>IFERROR(LOOKUP(ED$18,HourlyTimeseries!$A:$A,HourlyTimeseries!$N:$N),"")</f>
        <v>14.95</v>
      </c>
      <c r="EE72" s="51">
        <f>IFERROR(LOOKUP(EE$18,HourlyTimeseries!$A:$A,HourlyTimeseries!$N:$N),"")</f>
        <v>14.95</v>
      </c>
      <c r="EF72" s="51">
        <f>IFERROR(LOOKUP(EF$18,HourlyTimeseries!$A:$A,HourlyTimeseries!$N:$N),"")</f>
        <v>14.95</v>
      </c>
      <c r="EG72" s="51">
        <f>IFERROR(LOOKUP(EG$18,HourlyTimeseries!$A:$A,HourlyTimeseries!$N:$N),"")</f>
        <v>14.95</v>
      </c>
      <c r="EH72" s="51">
        <f>IFERROR(LOOKUP(EH$18,HourlyTimeseries!$A:$A,HourlyTimeseries!$N:$N),"")</f>
        <v>14.95</v>
      </c>
      <c r="EI72" s="51">
        <f>IFERROR(LOOKUP(EI$18,HourlyTimeseries!$A:$A,HourlyTimeseries!$N:$N),"")</f>
        <v>14.95</v>
      </c>
      <c r="EJ72" s="51">
        <f>IFERROR(LOOKUP(EJ$18,HourlyTimeseries!$A:$A,HourlyTimeseries!$N:$N),"")</f>
        <v>14.95</v>
      </c>
      <c r="EK72" s="51">
        <f>IFERROR(LOOKUP(EK$18,HourlyTimeseries!$A:$A,HourlyTimeseries!$N:$N),"")</f>
        <v>14.95</v>
      </c>
      <c r="EL72" s="51">
        <f>IFERROR(LOOKUP(EL$18,HourlyTimeseries!$A:$A,HourlyTimeseries!$N:$N),"")</f>
        <v>14.95</v>
      </c>
      <c r="EM72" s="51">
        <f>IFERROR(LOOKUP(EM$18,HourlyTimeseries!$A:$A,HourlyTimeseries!$N:$N),"")</f>
        <v>14.95</v>
      </c>
      <c r="EN72" s="51">
        <f>IFERROR(LOOKUP(EN$18,HourlyTimeseries!$A:$A,HourlyTimeseries!$N:$N),"")</f>
        <v>14.95</v>
      </c>
      <c r="EO72" s="51">
        <f>IFERROR(LOOKUP(EO$18,HourlyTimeseries!$A:$A,HourlyTimeseries!$N:$N),"")</f>
        <v>14.95</v>
      </c>
      <c r="EP72" s="51">
        <f>IFERROR(LOOKUP(EP$18,HourlyTimeseries!$A:$A,HourlyTimeseries!$N:$N),"")</f>
        <v>14.95</v>
      </c>
      <c r="EQ72" s="51">
        <f>IFERROR(LOOKUP(EQ$18,HourlyTimeseries!$A:$A,HourlyTimeseries!$N:$N),"")</f>
        <v>14.95</v>
      </c>
      <c r="ER72" s="60">
        <f>IFERROR(LOOKUP(ER$18,HourlyTimeseries!$A:$A,HourlyTimeseries!$N:$N),"")</f>
        <v>14.95</v>
      </c>
      <c r="ES72" s="67">
        <f>IFERROR(LOOKUP(ES$18,HourlyTimeseries!$A:$A,HourlyTimeseries!$N:$N),"")</f>
        <v>14.95</v>
      </c>
      <c r="ET72" s="51">
        <f>IFERROR(LOOKUP(ET$18,HourlyTimeseries!$A:$A,HourlyTimeseries!$N:$N),"")</f>
        <v>14.95</v>
      </c>
      <c r="EU72" s="51">
        <f>IFERROR(LOOKUP(EU$18,HourlyTimeseries!$A:$A,HourlyTimeseries!$N:$N),"")</f>
        <v>14.95</v>
      </c>
      <c r="EV72" s="51">
        <f>IFERROR(LOOKUP(EV$18,HourlyTimeseries!$A:$A,HourlyTimeseries!$N:$N),"")</f>
        <v>14.95</v>
      </c>
      <c r="EW72" s="51">
        <f>IFERROR(LOOKUP(EW$18,HourlyTimeseries!$A:$A,HourlyTimeseries!$N:$N),"")</f>
        <v>14.95</v>
      </c>
      <c r="EX72" s="51">
        <f>IFERROR(LOOKUP(EX$18,HourlyTimeseries!$A:$A,HourlyTimeseries!$N:$N),"")</f>
        <v>14.95</v>
      </c>
      <c r="EY72" s="51">
        <f>IFERROR(LOOKUP(EY$18,HourlyTimeseries!$A:$A,HourlyTimeseries!$N:$N),"")</f>
        <v>14.95</v>
      </c>
      <c r="EZ72" s="51">
        <f>IFERROR(LOOKUP(EZ$18,HourlyTimeseries!$A:$A,HourlyTimeseries!$N:$N),"")</f>
        <v>14.95</v>
      </c>
      <c r="FA72" s="51">
        <f>IFERROR(LOOKUP(FA$18,HourlyTimeseries!$A:$A,HourlyTimeseries!$N:$N),"")</f>
        <v>14.95</v>
      </c>
      <c r="FB72" s="51">
        <f>IFERROR(LOOKUP(FB$18,HourlyTimeseries!$A:$A,HourlyTimeseries!$N:$N),"")</f>
        <v>14.95</v>
      </c>
      <c r="FC72" s="51">
        <f>IFERROR(LOOKUP(FC$18,HourlyTimeseries!$A:$A,HourlyTimeseries!$N:$N),"")</f>
        <v>14.95</v>
      </c>
      <c r="FD72" s="51">
        <f>IFERROR(LOOKUP(FD$18,HourlyTimeseries!$A:$A,HourlyTimeseries!$N:$N),"")</f>
        <v>14.95</v>
      </c>
      <c r="FE72" s="51">
        <f>IFERROR(LOOKUP(FE$18,HourlyTimeseries!$A:$A,HourlyTimeseries!$N:$N),"")</f>
        <v>14.95</v>
      </c>
      <c r="FF72" s="51">
        <f>IFERROR(LOOKUP(FF$18,HourlyTimeseries!$A:$A,HourlyTimeseries!$N:$N),"")</f>
        <v>14.95</v>
      </c>
      <c r="FG72" s="51">
        <f>IFERROR(LOOKUP(FG$18,HourlyTimeseries!$A:$A,HourlyTimeseries!$N:$N),"")</f>
        <v>14.95</v>
      </c>
      <c r="FH72" s="51">
        <f>IFERROR(LOOKUP(FH$18,HourlyTimeseries!$A:$A,HourlyTimeseries!$N:$N),"")</f>
        <v>14.95</v>
      </c>
      <c r="FI72" s="51">
        <f>IFERROR(LOOKUP(FI$18,HourlyTimeseries!$A:$A,HourlyTimeseries!$N:$N),"")</f>
        <v>14.95</v>
      </c>
      <c r="FJ72" s="51">
        <f>IFERROR(LOOKUP(FJ$18,HourlyTimeseries!$A:$A,HourlyTimeseries!$N:$N),"")</f>
        <v>14.95</v>
      </c>
      <c r="FK72" s="51">
        <f>IFERROR(LOOKUP(FK$18,HourlyTimeseries!$A:$A,HourlyTimeseries!$N:$N),"")</f>
        <v>14.95</v>
      </c>
      <c r="FL72" s="51">
        <f>IFERROR(LOOKUP(FL$18,HourlyTimeseries!$A:$A,HourlyTimeseries!$N:$N),"")</f>
        <v>14.95</v>
      </c>
      <c r="FM72" s="51">
        <f>IFERROR(LOOKUP(FM$18,HourlyTimeseries!$A:$A,HourlyTimeseries!$N:$N),"")</f>
        <v>14.95</v>
      </c>
      <c r="FN72" s="51">
        <f>IFERROR(LOOKUP(FN$18,HourlyTimeseries!$A:$A,HourlyTimeseries!$N:$N),"")</f>
        <v>14.95</v>
      </c>
      <c r="FO72" s="51">
        <f>IFERROR(LOOKUP(FO$18,HourlyTimeseries!$A:$A,HourlyTimeseries!$N:$N),"")</f>
        <v>14.95</v>
      </c>
      <c r="FP72" s="60">
        <f>IFERROR(LOOKUP(FP$18,HourlyTimeseries!$A:$A,HourlyTimeseries!$N:$N),"")</f>
        <v>14.95</v>
      </c>
    </row>
    <row r="73" spans="1:172" ht="15.75" customHeight="1" thickBot="1">
      <c r="A73" s="16" t="s">
        <v>106</v>
      </c>
      <c r="B73" s="2" t="s">
        <v>102</v>
      </c>
      <c r="C73" s="2"/>
      <c r="D73" s="4" t="b">
        <v>0</v>
      </c>
      <c r="E73" s="5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61"/>
      <c r="AC73" s="68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61"/>
      <c r="BA73" s="68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61"/>
      <c r="BY73" s="68"/>
      <c r="BZ73" s="52"/>
      <c r="CA73" s="52"/>
      <c r="CB73" s="52"/>
      <c r="CC73" s="52"/>
      <c r="CD73" s="52"/>
      <c r="CE73" s="52"/>
      <c r="CF73" s="52"/>
      <c r="CG73" s="52"/>
      <c r="CH73" s="52"/>
      <c r="CI73" s="52"/>
      <c r="CJ73" s="52"/>
      <c r="CK73" s="52"/>
      <c r="CL73" s="52"/>
      <c r="CM73" s="52"/>
      <c r="CN73" s="52"/>
      <c r="CO73" s="52"/>
      <c r="CP73" s="52"/>
      <c r="CQ73" s="52"/>
      <c r="CR73" s="52"/>
      <c r="CS73" s="52"/>
      <c r="CT73" s="52"/>
      <c r="CU73" s="52"/>
      <c r="CV73" s="61"/>
      <c r="CW73" s="68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52"/>
      <c r="DS73" s="52"/>
      <c r="DT73" s="61"/>
      <c r="DU73" s="68"/>
      <c r="DV73" s="52"/>
      <c r="DW73" s="52"/>
      <c r="DX73" s="52"/>
      <c r="DY73" s="52"/>
      <c r="DZ73" s="52"/>
      <c r="EA73" s="52"/>
      <c r="EB73" s="52"/>
      <c r="EC73" s="52"/>
      <c r="ED73" s="52"/>
      <c r="EE73" s="52"/>
      <c r="EF73" s="52"/>
      <c r="EG73" s="52"/>
      <c r="EH73" s="52"/>
      <c r="EI73" s="52"/>
      <c r="EJ73" s="52"/>
      <c r="EK73" s="52"/>
      <c r="EL73" s="52"/>
      <c r="EM73" s="52"/>
      <c r="EN73" s="52"/>
      <c r="EO73" s="52"/>
      <c r="EP73" s="52"/>
      <c r="EQ73" s="52"/>
      <c r="ER73" s="61"/>
      <c r="ES73" s="68"/>
      <c r="ET73" s="52"/>
      <c r="EU73" s="52"/>
      <c r="EV73" s="52"/>
      <c r="EW73" s="52"/>
      <c r="EX73" s="52"/>
      <c r="EY73" s="52"/>
      <c r="EZ73" s="52"/>
      <c r="FA73" s="52"/>
      <c r="FB73" s="52"/>
      <c r="FC73" s="52"/>
      <c r="FD73" s="52"/>
      <c r="FE73" s="52"/>
      <c r="FF73" s="52"/>
      <c r="FG73" s="52"/>
      <c r="FH73" s="52"/>
      <c r="FI73" s="52"/>
      <c r="FJ73" s="52"/>
      <c r="FK73" s="52"/>
      <c r="FL73" s="52"/>
      <c r="FM73" s="52"/>
      <c r="FN73" s="52"/>
      <c r="FO73" s="52"/>
      <c r="FP73" s="61"/>
    </row>
    <row r="74" spans="1:172">
      <c r="A74" s="15" t="s">
        <v>33</v>
      </c>
      <c r="B74" s="2" t="s">
        <v>167</v>
      </c>
      <c r="C74" s="8" t="s">
        <v>135</v>
      </c>
      <c r="D74" s="2"/>
      <c r="E74" s="51">
        <f>IFERROR(LOOKUP(E$18,HourlyTimeseries!$A:$A,HourlyTimeseries!$P:$P),"")</f>
        <v>19.5</v>
      </c>
      <c r="F74" s="51">
        <f>IFERROR(LOOKUP(F$18,HourlyTimeseries!$A:$A,HourlyTimeseries!$P:$P),"")</f>
        <v>19.5</v>
      </c>
      <c r="G74" s="51">
        <f>IFERROR(LOOKUP(G$18,HourlyTimeseries!$A:$A,HourlyTimeseries!$P:$P),"")</f>
        <v>19.5</v>
      </c>
      <c r="H74" s="51">
        <f>IFERROR(LOOKUP(H$18,HourlyTimeseries!$A:$A,HourlyTimeseries!$P:$P),"")</f>
        <v>19.5</v>
      </c>
      <c r="I74" s="51">
        <f>IFERROR(LOOKUP(I$18,HourlyTimeseries!$A:$A,HourlyTimeseries!$P:$P),"")</f>
        <v>19.5</v>
      </c>
      <c r="J74" s="51">
        <f>IFERROR(LOOKUP(J$18,HourlyTimeseries!$A:$A,HourlyTimeseries!$P:$P),"")</f>
        <v>19.5</v>
      </c>
      <c r="K74" s="51">
        <f>IFERROR(LOOKUP(K$18,HourlyTimeseries!$A:$A,HourlyTimeseries!$P:$P),"")</f>
        <v>19.5</v>
      </c>
      <c r="L74" s="51">
        <f>IFERROR(LOOKUP(L$18,HourlyTimeseries!$A:$A,HourlyTimeseries!$P:$P),"")</f>
        <v>19.5</v>
      </c>
      <c r="M74" s="51">
        <f>IFERROR(LOOKUP(M$18,HourlyTimeseries!$A:$A,HourlyTimeseries!$P:$P),"")</f>
        <v>19.5</v>
      </c>
      <c r="N74" s="51">
        <f>IFERROR(LOOKUP(N$18,HourlyTimeseries!$A:$A,HourlyTimeseries!$P:$P),"")</f>
        <v>19.5</v>
      </c>
      <c r="O74" s="51">
        <f>IFERROR(LOOKUP(O$18,HourlyTimeseries!$A:$A,HourlyTimeseries!$P:$P),"")</f>
        <v>19.5</v>
      </c>
      <c r="P74" s="51">
        <f>IFERROR(LOOKUP(P$18,HourlyTimeseries!$A:$A,HourlyTimeseries!$P:$P),"")</f>
        <v>19.5</v>
      </c>
      <c r="Q74" s="51">
        <f>IFERROR(LOOKUP(Q$18,HourlyTimeseries!$A:$A,HourlyTimeseries!$P:$P),"")</f>
        <v>19.5</v>
      </c>
      <c r="R74" s="51">
        <f>IFERROR(LOOKUP(R$18,HourlyTimeseries!$A:$A,HourlyTimeseries!$P:$P),"")</f>
        <v>19.5</v>
      </c>
      <c r="S74" s="51">
        <f>IFERROR(LOOKUP(S$18,HourlyTimeseries!$A:$A,HourlyTimeseries!$P:$P),"")</f>
        <v>19.5</v>
      </c>
      <c r="T74" s="51">
        <f>IFERROR(LOOKUP(T$18,HourlyTimeseries!$A:$A,HourlyTimeseries!$P:$P),"")</f>
        <v>19.5</v>
      </c>
      <c r="U74" s="51">
        <f>IFERROR(LOOKUP(U$18,HourlyTimeseries!$A:$A,HourlyTimeseries!$P:$P),"")</f>
        <v>19.5</v>
      </c>
      <c r="V74" s="51">
        <f>IFERROR(LOOKUP(V$18,HourlyTimeseries!$A:$A,HourlyTimeseries!$P:$P),"")</f>
        <v>19.5</v>
      </c>
      <c r="W74" s="51">
        <f>IFERROR(LOOKUP(W$18,HourlyTimeseries!$A:$A,HourlyTimeseries!$P:$P),"")</f>
        <v>19.5</v>
      </c>
      <c r="X74" s="51">
        <f>IFERROR(LOOKUP(X$18,HourlyTimeseries!$A:$A,HourlyTimeseries!$P:$P),"")</f>
        <v>19.5</v>
      </c>
      <c r="Y74" s="51">
        <f>IFERROR(LOOKUP(Y$18,HourlyTimeseries!$A:$A,HourlyTimeseries!$P:$P),"")</f>
        <v>19.5</v>
      </c>
      <c r="Z74" s="51">
        <f>IFERROR(LOOKUP(Z$18,HourlyTimeseries!$A:$A,HourlyTimeseries!$P:$P),"")</f>
        <v>19.5</v>
      </c>
      <c r="AA74" s="51">
        <f>IFERROR(LOOKUP(AA$18,HourlyTimeseries!$A:$A,HourlyTimeseries!$P:$P),"")</f>
        <v>19.5</v>
      </c>
      <c r="AB74" s="60">
        <f>IFERROR(LOOKUP(AB$18,HourlyTimeseries!$A:$A,HourlyTimeseries!$P:$P),"")</f>
        <v>19.5</v>
      </c>
      <c r="AC74" s="67">
        <f>IFERROR(LOOKUP(AC$18,HourlyTimeseries!$A:$A,HourlyTimeseries!$P:$P),"")</f>
        <v>19.5</v>
      </c>
      <c r="AD74" s="51">
        <f>IFERROR(LOOKUP(AD$18,HourlyTimeseries!$A:$A,HourlyTimeseries!$P:$P),"")</f>
        <v>19.5</v>
      </c>
      <c r="AE74" s="51">
        <f>IFERROR(LOOKUP(AE$18,HourlyTimeseries!$A:$A,HourlyTimeseries!$P:$P),"")</f>
        <v>19.5</v>
      </c>
      <c r="AF74" s="51">
        <f>IFERROR(LOOKUP(AF$18,HourlyTimeseries!$A:$A,HourlyTimeseries!$P:$P),"")</f>
        <v>19.5</v>
      </c>
      <c r="AG74" s="51">
        <f>IFERROR(LOOKUP(AG$18,HourlyTimeseries!$A:$A,HourlyTimeseries!$P:$P),"")</f>
        <v>19.5</v>
      </c>
      <c r="AH74" s="51">
        <f>IFERROR(LOOKUP(AH$18,HourlyTimeseries!$A:$A,HourlyTimeseries!$P:$P),"")</f>
        <v>19.5</v>
      </c>
      <c r="AI74" s="51">
        <f>IFERROR(LOOKUP(AI$18,HourlyTimeseries!$A:$A,HourlyTimeseries!$P:$P),"")</f>
        <v>19.5</v>
      </c>
      <c r="AJ74" s="51">
        <f>IFERROR(LOOKUP(AJ$18,HourlyTimeseries!$A:$A,HourlyTimeseries!$P:$P),"")</f>
        <v>19.5</v>
      </c>
      <c r="AK74" s="51">
        <f>IFERROR(LOOKUP(AK$18,HourlyTimeseries!$A:$A,HourlyTimeseries!$P:$P),"")</f>
        <v>19.5</v>
      </c>
      <c r="AL74" s="51">
        <f>IFERROR(LOOKUP(AL$18,HourlyTimeseries!$A:$A,HourlyTimeseries!$P:$P),"")</f>
        <v>19.5</v>
      </c>
      <c r="AM74" s="51">
        <f>IFERROR(LOOKUP(AM$18,HourlyTimeseries!$A:$A,HourlyTimeseries!$P:$P),"")</f>
        <v>19.5</v>
      </c>
      <c r="AN74" s="51">
        <f>IFERROR(LOOKUP(AN$18,HourlyTimeseries!$A:$A,HourlyTimeseries!$P:$P),"")</f>
        <v>19.5</v>
      </c>
      <c r="AO74" s="51">
        <f>IFERROR(LOOKUP(AO$18,HourlyTimeseries!$A:$A,HourlyTimeseries!$P:$P),"")</f>
        <v>19.5</v>
      </c>
      <c r="AP74" s="51">
        <f>IFERROR(LOOKUP(AP$18,HourlyTimeseries!$A:$A,HourlyTimeseries!$P:$P),"")</f>
        <v>19.5</v>
      </c>
      <c r="AQ74" s="51">
        <f>IFERROR(LOOKUP(AQ$18,HourlyTimeseries!$A:$A,HourlyTimeseries!$P:$P),"")</f>
        <v>19.5</v>
      </c>
      <c r="AR74" s="51">
        <f>IFERROR(LOOKUP(AR$18,HourlyTimeseries!$A:$A,HourlyTimeseries!$P:$P),"")</f>
        <v>19.5</v>
      </c>
      <c r="AS74" s="51">
        <f>IFERROR(LOOKUP(AS$18,HourlyTimeseries!$A:$A,HourlyTimeseries!$P:$P),"")</f>
        <v>19.5</v>
      </c>
      <c r="AT74" s="51">
        <f>IFERROR(LOOKUP(AT$18,HourlyTimeseries!$A:$A,HourlyTimeseries!$P:$P),"")</f>
        <v>19.5</v>
      </c>
      <c r="AU74" s="51">
        <f>IFERROR(LOOKUP(AU$18,HourlyTimeseries!$A:$A,HourlyTimeseries!$P:$P),"")</f>
        <v>19.5</v>
      </c>
      <c r="AV74" s="51">
        <f>IFERROR(LOOKUP(AV$18,HourlyTimeseries!$A:$A,HourlyTimeseries!$P:$P),"")</f>
        <v>19.5</v>
      </c>
      <c r="AW74" s="51">
        <f>IFERROR(LOOKUP(AW$18,HourlyTimeseries!$A:$A,HourlyTimeseries!$P:$P),"")</f>
        <v>19.5</v>
      </c>
      <c r="AX74" s="51">
        <f>IFERROR(LOOKUP(AX$18,HourlyTimeseries!$A:$A,HourlyTimeseries!$P:$P),"")</f>
        <v>19.5</v>
      </c>
      <c r="AY74" s="51">
        <f>IFERROR(LOOKUP(AY$18,HourlyTimeseries!$A:$A,HourlyTimeseries!$P:$P),"")</f>
        <v>19.5</v>
      </c>
      <c r="AZ74" s="60">
        <f>IFERROR(LOOKUP(AZ$18,HourlyTimeseries!$A:$A,HourlyTimeseries!$P:$P),"")</f>
        <v>19.5</v>
      </c>
      <c r="BA74" s="67">
        <f>IFERROR(LOOKUP(BA$18,HourlyTimeseries!$A:$A,HourlyTimeseries!$P:$P),"")</f>
        <v>19.5</v>
      </c>
      <c r="BB74" s="51">
        <f>IFERROR(LOOKUP(BB$18,HourlyTimeseries!$A:$A,HourlyTimeseries!$P:$P),"")</f>
        <v>19.5</v>
      </c>
      <c r="BC74" s="51">
        <f>IFERROR(LOOKUP(BC$18,HourlyTimeseries!$A:$A,HourlyTimeseries!$P:$P),"")</f>
        <v>19.5</v>
      </c>
      <c r="BD74" s="51">
        <f>IFERROR(LOOKUP(BD$18,HourlyTimeseries!$A:$A,HourlyTimeseries!$P:$P),"")</f>
        <v>19.5</v>
      </c>
      <c r="BE74" s="51">
        <f>IFERROR(LOOKUP(BE$18,HourlyTimeseries!$A:$A,HourlyTimeseries!$P:$P),"")</f>
        <v>19.5</v>
      </c>
      <c r="BF74" s="51">
        <f>IFERROR(LOOKUP(BF$18,HourlyTimeseries!$A:$A,HourlyTimeseries!$P:$P),"")</f>
        <v>19.5</v>
      </c>
      <c r="BG74" s="51">
        <f>IFERROR(LOOKUP(BG$18,HourlyTimeseries!$A:$A,HourlyTimeseries!$P:$P),"")</f>
        <v>19.5</v>
      </c>
      <c r="BH74" s="51">
        <f>IFERROR(LOOKUP(BH$18,HourlyTimeseries!$A:$A,HourlyTimeseries!$P:$P),"")</f>
        <v>19.5</v>
      </c>
      <c r="BI74" s="51">
        <f>IFERROR(LOOKUP(BI$18,HourlyTimeseries!$A:$A,HourlyTimeseries!$P:$P),"")</f>
        <v>19.5</v>
      </c>
      <c r="BJ74" s="51">
        <f>IFERROR(LOOKUP(BJ$18,HourlyTimeseries!$A:$A,HourlyTimeseries!$P:$P),"")</f>
        <v>19.5</v>
      </c>
      <c r="BK74" s="51">
        <f>IFERROR(LOOKUP(BK$18,HourlyTimeseries!$A:$A,HourlyTimeseries!$P:$P),"")</f>
        <v>19.5</v>
      </c>
      <c r="BL74" s="51">
        <f>IFERROR(LOOKUP(BL$18,HourlyTimeseries!$A:$A,HourlyTimeseries!$P:$P),"")</f>
        <v>19.5</v>
      </c>
      <c r="BM74" s="51">
        <f>IFERROR(LOOKUP(BM$18,HourlyTimeseries!$A:$A,HourlyTimeseries!$P:$P),"")</f>
        <v>19.5</v>
      </c>
      <c r="BN74" s="51">
        <f>IFERROR(LOOKUP(BN$18,HourlyTimeseries!$A:$A,HourlyTimeseries!$P:$P),"")</f>
        <v>19.5</v>
      </c>
      <c r="BO74" s="51">
        <f>IFERROR(LOOKUP(BO$18,HourlyTimeseries!$A:$A,HourlyTimeseries!$P:$P),"")</f>
        <v>19.5</v>
      </c>
      <c r="BP74" s="51">
        <f>IFERROR(LOOKUP(BP$18,HourlyTimeseries!$A:$A,HourlyTimeseries!$P:$P),"")</f>
        <v>19.5</v>
      </c>
      <c r="BQ74" s="51">
        <f>IFERROR(LOOKUP(BQ$18,HourlyTimeseries!$A:$A,HourlyTimeseries!$P:$P),"")</f>
        <v>19.5</v>
      </c>
      <c r="BR74" s="51">
        <f>IFERROR(LOOKUP(BR$18,HourlyTimeseries!$A:$A,HourlyTimeseries!$P:$P),"")</f>
        <v>19.5</v>
      </c>
      <c r="BS74" s="51">
        <f>IFERROR(LOOKUP(BS$18,HourlyTimeseries!$A:$A,HourlyTimeseries!$P:$P),"")</f>
        <v>19.5</v>
      </c>
      <c r="BT74" s="51">
        <f>IFERROR(LOOKUP(BT$18,HourlyTimeseries!$A:$A,HourlyTimeseries!$P:$P),"")</f>
        <v>19.5</v>
      </c>
      <c r="BU74" s="51">
        <f>IFERROR(LOOKUP(BU$18,HourlyTimeseries!$A:$A,HourlyTimeseries!$P:$P),"")</f>
        <v>19.5</v>
      </c>
      <c r="BV74" s="51">
        <f>IFERROR(LOOKUP(BV$18,HourlyTimeseries!$A:$A,HourlyTimeseries!$P:$P),"")</f>
        <v>19.5</v>
      </c>
      <c r="BW74" s="51">
        <f>IFERROR(LOOKUP(BW$18,HourlyTimeseries!$A:$A,HourlyTimeseries!$P:$P),"")</f>
        <v>19.5</v>
      </c>
      <c r="BX74" s="60">
        <f>IFERROR(LOOKUP(BX$18,HourlyTimeseries!$A:$A,HourlyTimeseries!$P:$P),"")</f>
        <v>19.5</v>
      </c>
      <c r="BY74" s="67">
        <f>IFERROR(LOOKUP(BY$18,HourlyTimeseries!$A:$A,HourlyTimeseries!$P:$P),"")</f>
        <v>19.5</v>
      </c>
      <c r="BZ74" s="51">
        <f>IFERROR(LOOKUP(BZ$18,HourlyTimeseries!$A:$A,HourlyTimeseries!$P:$P),"")</f>
        <v>19.5</v>
      </c>
      <c r="CA74" s="51">
        <f>IFERROR(LOOKUP(CA$18,HourlyTimeseries!$A:$A,HourlyTimeseries!$P:$P),"")</f>
        <v>19.5</v>
      </c>
      <c r="CB74" s="51">
        <f>IFERROR(LOOKUP(CB$18,HourlyTimeseries!$A:$A,HourlyTimeseries!$P:$P),"")</f>
        <v>19.5</v>
      </c>
      <c r="CC74" s="51">
        <f>IFERROR(LOOKUP(CC$18,HourlyTimeseries!$A:$A,HourlyTimeseries!$P:$P),"")</f>
        <v>19.5</v>
      </c>
      <c r="CD74" s="51">
        <f>IFERROR(LOOKUP(CD$18,HourlyTimeseries!$A:$A,HourlyTimeseries!$P:$P),"")</f>
        <v>19.5</v>
      </c>
      <c r="CE74" s="51">
        <f>IFERROR(LOOKUP(CE$18,HourlyTimeseries!$A:$A,HourlyTimeseries!$P:$P),"")</f>
        <v>19.5</v>
      </c>
      <c r="CF74" s="51">
        <f>IFERROR(LOOKUP(CF$18,HourlyTimeseries!$A:$A,HourlyTimeseries!$P:$P),"")</f>
        <v>19.5</v>
      </c>
      <c r="CG74" s="51">
        <f>IFERROR(LOOKUP(CG$18,HourlyTimeseries!$A:$A,HourlyTimeseries!$P:$P),"")</f>
        <v>19.5</v>
      </c>
      <c r="CH74" s="51">
        <f>IFERROR(LOOKUP(CH$18,HourlyTimeseries!$A:$A,HourlyTimeseries!$P:$P),"")</f>
        <v>19.5</v>
      </c>
      <c r="CI74" s="51">
        <f>IFERROR(LOOKUP(CI$18,HourlyTimeseries!$A:$A,HourlyTimeseries!$P:$P),"")</f>
        <v>19.5</v>
      </c>
      <c r="CJ74" s="51">
        <f>IFERROR(LOOKUP(CJ$18,HourlyTimeseries!$A:$A,HourlyTimeseries!$P:$P),"")</f>
        <v>19.5</v>
      </c>
      <c r="CK74" s="51">
        <f>IFERROR(LOOKUP(CK$18,HourlyTimeseries!$A:$A,HourlyTimeseries!$P:$P),"")</f>
        <v>19.5</v>
      </c>
      <c r="CL74" s="51">
        <f>IFERROR(LOOKUP(CL$18,HourlyTimeseries!$A:$A,HourlyTimeseries!$P:$P),"")</f>
        <v>19.5</v>
      </c>
      <c r="CM74" s="51">
        <f>IFERROR(LOOKUP(CM$18,HourlyTimeseries!$A:$A,HourlyTimeseries!$P:$P),"")</f>
        <v>19.5</v>
      </c>
      <c r="CN74" s="51">
        <f>IFERROR(LOOKUP(CN$18,HourlyTimeseries!$A:$A,HourlyTimeseries!$P:$P),"")</f>
        <v>19.5</v>
      </c>
      <c r="CO74" s="51">
        <f>IFERROR(LOOKUP(CO$18,HourlyTimeseries!$A:$A,HourlyTimeseries!$P:$P),"")</f>
        <v>19.5</v>
      </c>
      <c r="CP74" s="51">
        <f>IFERROR(LOOKUP(CP$18,HourlyTimeseries!$A:$A,HourlyTimeseries!$P:$P),"")</f>
        <v>19.5</v>
      </c>
      <c r="CQ74" s="51">
        <f>IFERROR(LOOKUP(CQ$18,HourlyTimeseries!$A:$A,HourlyTimeseries!$P:$P),"")</f>
        <v>19.5</v>
      </c>
      <c r="CR74" s="51">
        <f>IFERROR(LOOKUP(CR$18,HourlyTimeseries!$A:$A,HourlyTimeseries!$P:$P),"")</f>
        <v>19.5</v>
      </c>
      <c r="CS74" s="51">
        <f>IFERROR(LOOKUP(CS$18,HourlyTimeseries!$A:$A,HourlyTimeseries!$P:$P),"")</f>
        <v>19.5</v>
      </c>
      <c r="CT74" s="51">
        <f>IFERROR(LOOKUP(CT$18,HourlyTimeseries!$A:$A,HourlyTimeseries!$P:$P),"")</f>
        <v>19.5</v>
      </c>
      <c r="CU74" s="51">
        <f>IFERROR(LOOKUP(CU$18,HourlyTimeseries!$A:$A,HourlyTimeseries!$P:$P),"")</f>
        <v>19.5</v>
      </c>
      <c r="CV74" s="60">
        <f>IFERROR(LOOKUP(CV$18,HourlyTimeseries!$A:$A,HourlyTimeseries!$P:$P),"")</f>
        <v>19.5</v>
      </c>
      <c r="CW74" s="67">
        <f>IFERROR(LOOKUP(CW$18,HourlyTimeseries!$A:$A,HourlyTimeseries!$P:$P),"")</f>
        <v>19.5</v>
      </c>
      <c r="CX74" s="51">
        <f>IFERROR(LOOKUP(CX$18,HourlyTimeseries!$A:$A,HourlyTimeseries!$P:$P),"")</f>
        <v>19.5</v>
      </c>
      <c r="CY74" s="51">
        <f>IFERROR(LOOKUP(CY$18,HourlyTimeseries!$A:$A,HourlyTimeseries!$P:$P),"")</f>
        <v>19.5</v>
      </c>
      <c r="CZ74" s="51">
        <f>IFERROR(LOOKUP(CZ$18,HourlyTimeseries!$A:$A,HourlyTimeseries!$P:$P),"")</f>
        <v>19.5</v>
      </c>
      <c r="DA74" s="51">
        <f>IFERROR(LOOKUP(DA$18,HourlyTimeseries!$A:$A,HourlyTimeseries!$P:$P),"")</f>
        <v>19.5</v>
      </c>
      <c r="DB74" s="51">
        <f>IFERROR(LOOKUP(DB$18,HourlyTimeseries!$A:$A,HourlyTimeseries!$P:$P),"")</f>
        <v>19.5</v>
      </c>
      <c r="DC74" s="51">
        <f>IFERROR(LOOKUP(DC$18,HourlyTimeseries!$A:$A,HourlyTimeseries!$P:$P),"")</f>
        <v>19.5</v>
      </c>
      <c r="DD74" s="51">
        <f>IFERROR(LOOKUP(DD$18,HourlyTimeseries!$A:$A,HourlyTimeseries!$P:$P),"")</f>
        <v>19.5</v>
      </c>
      <c r="DE74" s="51">
        <f>IFERROR(LOOKUP(DE$18,HourlyTimeseries!$A:$A,HourlyTimeseries!$P:$P),"")</f>
        <v>19.5</v>
      </c>
      <c r="DF74" s="51">
        <f>IFERROR(LOOKUP(DF$18,HourlyTimeseries!$A:$A,HourlyTimeseries!$P:$P),"")</f>
        <v>19.5</v>
      </c>
      <c r="DG74" s="51">
        <f>IFERROR(LOOKUP(DG$18,HourlyTimeseries!$A:$A,HourlyTimeseries!$P:$P),"")</f>
        <v>19.5</v>
      </c>
      <c r="DH74" s="51">
        <f>IFERROR(LOOKUP(DH$18,HourlyTimeseries!$A:$A,HourlyTimeseries!$P:$P),"")</f>
        <v>19.5</v>
      </c>
      <c r="DI74" s="51">
        <f>IFERROR(LOOKUP(DI$18,HourlyTimeseries!$A:$A,HourlyTimeseries!$P:$P),"")</f>
        <v>19.5</v>
      </c>
      <c r="DJ74" s="51">
        <f>IFERROR(LOOKUP(DJ$18,HourlyTimeseries!$A:$A,HourlyTimeseries!$P:$P),"")</f>
        <v>19.5</v>
      </c>
      <c r="DK74" s="51">
        <f>IFERROR(LOOKUP(DK$18,HourlyTimeseries!$A:$A,HourlyTimeseries!$P:$P),"")</f>
        <v>19.5</v>
      </c>
      <c r="DL74" s="51">
        <f>IFERROR(LOOKUP(DL$18,HourlyTimeseries!$A:$A,HourlyTimeseries!$P:$P),"")</f>
        <v>19.5</v>
      </c>
      <c r="DM74" s="51">
        <f>IFERROR(LOOKUP(DM$18,HourlyTimeseries!$A:$A,HourlyTimeseries!$P:$P),"")</f>
        <v>19.5</v>
      </c>
      <c r="DN74" s="51">
        <f>IFERROR(LOOKUP(DN$18,HourlyTimeseries!$A:$A,HourlyTimeseries!$P:$P),"")</f>
        <v>19.5</v>
      </c>
      <c r="DO74" s="51">
        <f>IFERROR(LOOKUP(DO$18,HourlyTimeseries!$A:$A,HourlyTimeseries!$P:$P),"")</f>
        <v>19.5</v>
      </c>
      <c r="DP74" s="51">
        <f>IFERROR(LOOKUP(DP$18,HourlyTimeseries!$A:$A,HourlyTimeseries!$P:$P),"")</f>
        <v>19.5</v>
      </c>
      <c r="DQ74" s="51">
        <f>IFERROR(LOOKUP(DQ$18,HourlyTimeseries!$A:$A,HourlyTimeseries!$P:$P),"")</f>
        <v>19.5</v>
      </c>
      <c r="DR74" s="51">
        <f>IFERROR(LOOKUP(DR$18,HourlyTimeseries!$A:$A,HourlyTimeseries!$P:$P),"")</f>
        <v>19.5</v>
      </c>
      <c r="DS74" s="51">
        <f>IFERROR(LOOKUP(DS$18,HourlyTimeseries!$A:$A,HourlyTimeseries!$P:$P),"")</f>
        <v>19.5</v>
      </c>
      <c r="DT74" s="60">
        <f>IFERROR(LOOKUP(DT$18,HourlyTimeseries!$A:$A,HourlyTimeseries!$P:$P),"")</f>
        <v>19.5</v>
      </c>
      <c r="DU74" s="67">
        <f>IFERROR(LOOKUP(DU$18,HourlyTimeseries!$A:$A,HourlyTimeseries!$P:$P),"")</f>
        <v>19.5</v>
      </c>
      <c r="DV74" s="51">
        <f>IFERROR(LOOKUP(DV$18,HourlyTimeseries!$A:$A,HourlyTimeseries!$P:$P),"")</f>
        <v>19.5</v>
      </c>
      <c r="DW74" s="51">
        <f>IFERROR(LOOKUP(DW$18,HourlyTimeseries!$A:$A,HourlyTimeseries!$P:$P),"")</f>
        <v>19.5</v>
      </c>
      <c r="DX74" s="51">
        <f>IFERROR(LOOKUP(DX$18,HourlyTimeseries!$A:$A,HourlyTimeseries!$P:$P),"")</f>
        <v>19.5</v>
      </c>
      <c r="DY74" s="51">
        <f>IFERROR(LOOKUP(DY$18,HourlyTimeseries!$A:$A,HourlyTimeseries!$P:$P),"")</f>
        <v>19.5</v>
      </c>
      <c r="DZ74" s="51">
        <f>IFERROR(LOOKUP(DZ$18,HourlyTimeseries!$A:$A,HourlyTimeseries!$P:$P),"")</f>
        <v>19.5</v>
      </c>
      <c r="EA74" s="51">
        <f>IFERROR(LOOKUP(EA$18,HourlyTimeseries!$A:$A,HourlyTimeseries!$P:$P),"")</f>
        <v>19.5</v>
      </c>
      <c r="EB74" s="51">
        <f>IFERROR(LOOKUP(EB$18,HourlyTimeseries!$A:$A,HourlyTimeseries!$P:$P),"")</f>
        <v>19.5</v>
      </c>
      <c r="EC74" s="51">
        <f>IFERROR(LOOKUP(EC$18,HourlyTimeseries!$A:$A,HourlyTimeseries!$P:$P),"")</f>
        <v>19.5</v>
      </c>
      <c r="ED74" s="51">
        <f>IFERROR(LOOKUP(ED$18,HourlyTimeseries!$A:$A,HourlyTimeseries!$P:$P),"")</f>
        <v>19.5</v>
      </c>
      <c r="EE74" s="51">
        <f>IFERROR(LOOKUP(EE$18,HourlyTimeseries!$A:$A,HourlyTimeseries!$P:$P),"")</f>
        <v>19.5</v>
      </c>
      <c r="EF74" s="51">
        <f>IFERROR(LOOKUP(EF$18,HourlyTimeseries!$A:$A,HourlyTimeseries!$P:$P),"")</f>
        <v>19.5</v>
      </c>
      <c r="EG74" s="51">
        <f>IFERROR(LOOKUP(EG$18,HourlyTimeseries!$A:$A,HourlyTimeseries!$P:$P),"")</f>
        <v>19.5</v>
      </c>
      <c r="EH74" s="51">
        <f>IFERROR(LOOKUP(EH$18,HourlyTimeseries!$A:$A,HourlyTimeseries!$P:$P),"")</f>
        <v>19.5</v>
      </c>
      <c r="EI74" s="51">
        <f>IFERROR(LOOKUP(EI$18,HourlyTimeseries!$A:$A,HourlyTimeseries!$P:$P),"")</f>
        <v>19.5</v>
      </c>
      <c r="EJ74" s="51">
        <f>IFERROR(LOOKUP(EJ$18,HourlyTimeseries!$A:$A,HourlyTimeseries!$P:$P),"")</f>
        <v>19.5</v>
      </c>
      <c r="EK74" s="51">
        <f>IFERROR(LOOKUP(EK$18,HourlyTimeseries!$A:$A,HourlyTimeseries!$P:$P),"")</f>
        <v>19.5</v>
      </c>
      <c r="EL74" s="51">
        <f>IFERROR(LOOKUP(EL$18,HourlyTimeseries!$A:$A,HourlyTimeseries!$P:$P),"")</f>
        <v>19.5</v>
      </c>
      <c r="EM74" s="51">
        <f>IFERROR(LOOKUP(EM$18,HourlyTimeseries!$A:$A,HourlyTimeseries!$P:$P),"")</f>
        <v>19.5</v>
      </c>
      <c r="EN74" s="51">
        <f>IFERROR(LOOKUP(EN$18,HourlyTimeseries!$A:$A,HourlyTimeseries!$P:$P),"")</f>
        <v>19.5</v>
      </c>
      <c r="EO74" s="51">
        <f>IFERROR(LOOKUP(EO$18,HourlyTimeseries!$A:$A,HourlyTimeseries!$P:$P),"")</f>
        <v>19.5</v>
      </c>
      <c r="EP74" s="51">
        <f>IFERROR(LOOKUP(EP$18,HourlyTimeseries!$A:$A,HourlyTimeseries!$P:$P),"")</f>
        <v>19.5</v>
      </c>
      <c r="EQ74" s="51">
        <f>IFERROR(LOOKUP(EQ$18,HourlyTimeseries!$A:$A,HourlyTimeseries!$P:$P),"")</f>
        <v>19.5</v>
      </c>
      <c r="ER74" s="60">
        <f>IFERROR(LOOKUP(ER$18,HourlyTimeseries!$A:$A,HourlyTimeseries!$P:$P),"")</f>
        <v>19.5</v>
      </c>
      <c r="ES74" s="67">
        <f>IFERROR(LOOKUP(ES$18,HourlyTimeseries!$A:$A,HourlyTimeseries!$P:$P),"")</f>
        <v>19.5</v>
      </c>
      <c r="ET74" s="51">
        <f>IFERROR(LOOKUP(ET$18,HourlyTimeseries!$A:$A,HourlyTimeseries!$P:$P),"")</f>
        <v>19.5</v>
      </c>
      <c r="EU74" s="51">
        <f>IFERROR(LOOKUP(EU$18,HourlyTimeseries!$A:$A,HourlyTimeseries!$P:$P),"")</f>
        <v>19.5</v>
      </c>
      <c r="EV74" s="51">
        <f>IFERROR(LOOKUP(EV$18,HourlyTimeseries!$A:$A,HourlyTimeseries!$P:$P),"")</f>
        <v>19.5</v>
      </c>
      <c r="EW74" s="51">
        <f>IFERROR(LOOKUP(EW$18,HourlyTimeseries!$A:$A,HourlyTimeseries!$P:$P),"")</f>
        <v>19.5</v>
      </c>
      <c r="EX74" s="51">
        <f>IFERROR(LOOKUP(EX$18,HourlyTimeseries!$A:$A,HourlyTimeseries!$P:$P),"")</f>
        <v>19.5</v>
      </c>
      <c r="EY74" s="51">
        <f>IFERROR(LOOKUP(EY$18,HourlyTimeseries!$A:$A,HourlyTimeseries!$P:$P),"")</f>
        <v>19.5</v>
      </c>
      <c r="EZ74" s="51">
        <f>IFERROR(LOOKUP(EZ$18,HourlyTimeseries!$A:$A,HourlyTimeseries!$P:$P),"")</f>
        <v>19.5</v>
      </c>
      <c r="FA74" s="51">
        <f>IFERROR(LOOKUP(FA$18,HourlyTimeseries!$A:$A,HourlyTimeseries!$P:$P),"")</f>
        <v>19.5</v>
      </c>
      <c r="FB74" s="51">
        <f>IFERROR(LOOKUP(FB$18,HourlyTimeseries!$A:$A,HourlyTimeseries!$P:$P),"")</f>
        <v>19.5</v>
      </c>
      <c r="FC74" s="51">
        <f>IFERROR(LOOKUP(FC$18,HourlyTimeseries!$A:$A,HourlyTimeseries!$P:$P),"")</f>
        <v>19.5</v>
      </c>
      <c r="FD74" s="51">
        <f>IFERROR(LOOKUP(FD$18,HourlyTimeseries!$A:$A,HourlyTimeseries!$P:$P),"")</f>
        <v>19.5</v>
      </c>
      <c r="FE74" s="51">
        <f>IFERROR(LOOKUP(FE$18,HourlyTimeseries!$A:$A,HourlyTimeseries!$P:$P),"")</f>
        <v>19.5</v>
      </c>
      <c r="FF74" s="51">
        <f>IFERROR(LOOKUP(FF$18,HourlyTimeseries!$A:$A,HourlyTimeseries!$P:$P),"")</f>
        <v>19.5</v>
      </c>
      <c r="FG74" s="51">
        <f>IFERROR(LOOKUP(FG$18,HourlyTimeseries!$A:$A,HourlyTimeseries!$P:$P),"")</f>
        <v>19.5</v>
      </c>
      <c r="FH74" s="51">
        <f>IFERROR(LOOKUP(FH$18,HourlyTimeseries!$A:$A,HourlyTimeseries!$P:$P),"")</f>
        <v>19.5</v>
      </c>
      <c r="FI74" s="51">
        <f>IFERROR(LOOKUP(FI$18,HourlyTimeseries!$A:$A,HourlyTimeseries!$P:$P),"")</f>
        <v>19.5</v>
      </c>
      <c r="FJ74" s="51">
        <f>IFERROR(LOOKUP(FJ$18,HourlyTimeseries!$A:$A,HourlyTimeseries!$P:$P),"")</f>
        <v>19.5</v>
      </c>
      <c r="FK74" s="51">
        <f>IFERROR(LOOKUP(FK$18,HourlyTimeseries!$A:$A,HourlyTimeseries!$P:$P),"")</f>
        <v>19.5</v>
      </c>
      <c r="FL74" s="51">
        <f>IFERROR(LOOKUP(FL$18,HourlyTimeseries!$A:$A,HourlyTimeseries!$P:$P),"")</f>
        <v>19.5</v>
      </c>
      <c r="FM74" s="51">
        <f>IFERROR(LOOKUP(FM$18,HourlyTimeseries!$A:$A,HourlyTimeseries!$P:$P),"")</f>
        <v>19.5</v>
      </c>
      <c r="FN74" s="51">
        <f>IFERROR(LOOKUP(FN$18,HourlyTimeseries!$A:$A,HourlyTimeseries!$P:$P),"")</f>
        <v>19.5</v>
      </c>
      <c r="FO74" s="51">
        <f>IFERROR(LOOKUP(FO$18,HourlyTimeseries!$A:$A,HourlyTimeseries!$P:$P),"")</f>
        <v>19.5</v>
      </c>
      <c r="FP74" s="60">
        <f>IFERROR(LOOKUP(FP$18,HourlyTimeseries!$A:$A,HourlyTimeseries!$P:$P),"")</f>
        <v>19.5</v>
      </c>
    </row>
    <row r="75" spans="1:172">
      <c r="A75" s="15" t="s">
        <v>34</v>
      </c>
      <c r="B75" s="2" t="s">
        <v>168</v>
      </c>
      <c r="C75" s="8" t="s">
        <v>135</v>
      </c>
      <c r="D75" s="2"/>
      <c r="E75" s="51">
        <f>IFERROR(LOOKUP(E$18,HourlyTimeseries!$A:$A,HourlyTimeseries!$O:$O),"")</f>
        <v>11.5</v>
      </c>
      <c r="F75" s="51">
        <f>IFERROR(LOOKUP(F$18,HourlyTimeseries!$A:$A,HourlyTimeseries!$O:$O),"")</f>
        <v>11.5</v>
      </c>
      <c r="G75" s="51">
        <f>IFERROR(LOOKUP(G$18,HourlyTimeseries!$A:$A,HourlyTimeseries!$O:$O),"")</f>
        <v>11.5</v>
      </c>
      <c r="H75" s="51">
        <f>IFERROR(LOOKUP(H$18,HourlyTimeseries!$A:$A,HourlyTimeseries!$O:$O),"")</f>
        <v>11.5</v>
      </c>
      <c r="I75" s="51">
        <f>IFERROR(LOOKUP(I$18,HourlyTimeseries!$A:$A,HourlyTimeseries!$O:$O),"")</f>
        <v>11.5</v>
      </c>
      <c r="J75" s="51">
        <f>IFERROR(LOOKUP(J$18,HourlyTimeseries!$A:$A,HourlyTimeseries!$O:$O),"")</f>
        <v>11.5</v>
      </c>
      <c r="K75" s="51">
        <f>IFERROR(LOOKUP(K$18,HourlyTimeseries!$A:$A,HourlyTimeseries!$O:$O),"")</f>
        <v>11.5</v>
      </c>
      <c r="L75" s="51">
        <f>IFERROR(LOOKUP(L$18,HourlyTimeseries!$A:$A,HourlyTimeseries!$O:$O),"")</f>
        <v>11.5</v>
      </c>
      <c r="M75" s="51">
        <f>IFERROR(LOOKUP(M$18,HourlyTimeseries!$A:$A,HourlyTimeseries!$O:$O),"")</f>
        <v>11.5</v>
      </c>
      <c r="N75" s="51">
        <f>IFERROR(LOOKUP(N$18,HourlyTimeseries!$A:$A,HourlyTimeseries!$O:$O),"")</f>
        <v>11.5</v>
      </c>
      <c r="O75" s="51">
        <f>IFERROR(LOOKUP(O$18,HourlyTimeseries!$A:$A,HourlyTimeseries!$O:$O),"")</f>
        <v>11.5</v>
      </c>
      <c r="P75" s="51">
        <f>IFERROR(LOOKUP(P$18,HourlyTimeseries!$A:$A,HourlyTimeseries!$O:$O),"")</f>
        <v>11.5</v>
      </c>
      <c r="Q75" s="51">
        <f>IFERROR(LOOKUP(Q$18,HourlyTimeseries!$A:$A,HourlyTimeseries!$O:$O),"")</f>
        <v>11.5</v>
      </c>
      <c r="R75" s="51">
        <f>IFERROR(LOOKUP(R$18,HourlyTimeseries!$A:$A,HourlyTimeseries!$O:$O),"")</f>
        <v>11.5</v>
      </c>
      <c r="S75" s="51">
        <f>IFERROR(LOOKUP(S$18,HourlyTimeseries!$A:$A,HourlyTimeseries!$O:$O),"")</f>
        <v>11.5</v>
      </c>
      <c r="T75" s="51">
        <f>IFERROR(LOOKUP(T$18,HourlyTimeseries!$A:$A,HourlyTimeseries!$O:$O),"")</f>
        <v>11.5</v>
      </c>
      <c r="U75" s="51">
        <f>IFERROR(LOOKUP(U$18,HourlyTimeseries!$A:$A,HourlyTimeseries!$O:$O),"")</f>
        <v>11.5</v>
      </c>
      <c r="V75" s="51">
        <f>IFERROR(LOOKUP(V$18,HourlyTimeseries!$A:$A,HourlyTimeseries!$O:$O),"")</f>
        <v>11.5</v>
      </c>
      <c r="W75" s="51">
        <f>IFERROR(LOOKUP(W$18,HourlyTimeseries!$A:$A,HourlyTimeseries!$O:$O),"")</f>
        <v>11.5</v>
      </c>
      <c r="X75" s="51">
        <f>IFERROR(LOOKUP(X$18,HourlyTimeseries!$A:$A,HourlyTimeseries!$O:$O),"")</f>
        <v>11.5</v>
      </c>
      <c r="Y75" s="51">
        <f>IFERROR(LOOKUP(Y$18,HourlyTimeseries!$A:$A,HourlyTimeseries!$O:$O),"")</f>
        <v>11.5</v>
      </c>
      <c r="Z75" s="51">
        <f>IFERROR(LOOKUP(Z$18,HourlyTimeseries!$A:$A,HourlyTimeseries!$O:$O),"")</f>
        <v>11.5</v>
      </c>
      <c r="AA75" s="51">
        <f>IFERROR(LOOKUP(AA$18,HourlyTimeseries!$A:$A,HourlyTimeseries!$O:$O),"")</f>
        <v>11.5</v>
      </c>
      <c r="AB75" s="60">
        <f>IFERROR(LOOKUP(AB$18,HourlyTimeseries!$A:$A,HourlyTimeseries!$O:$O),"")</f>
        <v>11.5</v>
      </c>
      <c r="AC75" s="67">
        <f>IFERROR(LOOKUP(AC$18,HourlyTimeseries!$A:$A,HourlyTimeseries!$O:$O),"")</f>
        <v>11.5</v>
      </c>
      <c r="AD75" s="51">
        <f>IFERROR(LOOKUP(AD$18,HourlyTimeseries!$A:$A,HourlyTimeseries!$O:$O),"")</f>
        <v>11.5</v>
      </c>
      <c r="AE75" s="51">
        <f>IFERROR(LOOKUP(AE$18,HourlyTimeseries!$A:$A,HourlyTimeseries!$O:$O),"")</f>
        <v>11.5</v>
      </c>
      <c r="AF75" s="51">
        <f>IFERROR(LOOKUP(AF$18,HourlyTimeseries!$A:$A,HourlyTimeseries!$O:$O),"")</f>
        <v>11.5</v>
      </c>
      <c r="AG75" s="51">
        <f>IFERROR(LOOKUP(AG$18,HourlyTimeseries!$A:$A,HourlyTimeseries!$O:$O),"")</f>
        <v>11.5</v>
      </c>
      <c r="AH75" s="51">
        <f>IFERROR(LOOKUP(AH$18,HourlyTimeseries!$A:$A,HourlyTimeseries!$O:$O),"")</f>
        <v>11.5</v>
      </c>
      <c r="AI75" s="51">
        <f>IFERROR(LOOKUP(AI$18,HourlyTimeseries!$A:$A,HourlyTimeseries!$O:$O),"")</f>
        <v>11.5</v>
      </c>
      <c r="AJ75" s="51">
        <f>IFERROR(LOOKUP(AJ$18,HourlyTimeseries!$A:$A,HourlyTimeseries!$O:$O),"")</f>
        <v>11.5</v>
      </c>
      <c r="AK75" s="51">
        <f>IFERROR(LOOKUP(AK$18,HourlyTimeseries!$A:$A,HourlyTimeseries!$O:$O),"")</f>
        <v>11.5</v>
      </c>
      <c r="AL75" s="51">
        <f>IFERROR(LOOKUP(AL$18,HourlyTimeseries!$A:$A,HourlyTimeseries!$O:$O),"")</f>
        <v>11.5</v>
      </c>
      <c r="AM75" s="51">
        <f>IFERROR(LOOKUP(AM$18,HourlyTimeseries!$A:$A,HourlyTimeseries!$O:$O),"")</f>
        <v>11.5</v>
      </c>
      <c r="AN75" s="51">
        <f>IFERROR(LOOKUP(AN$18,HourlyTimeseries!$A:$A,HourlyTimeseries!$O:$O),"")</f>
        <v>11.5</v>
      </c>
      <c r="AO75" s="51">
        <f>IFERROR(LOOKUP(AO$18,HourlyTimeseries!$A:$A,HourlyTimeseries!$O:$O),"")</f>
        <v>11.5</v>
      </c>
      <c r="AP75" s="51">
        <f>IFERROR(LOOKUP(AP$18,HourlyTimeseries!$A:$A,HourlyTimeseries!$O:$O),"")</f>
        <v>11.5</v>
      </c>
      <c r="AQ75" s="51">
        <f>IFERROR(LOOKUP(AQ$18,HourlyTimeseries!$A:$A,HourlyTimeseries!$O:$O),"")</f>
        <v>11.5</v>
      </c>
      <c r="AR75" s="51">
        <f>IFERROR(LOOKUP(AR$18,HourlyTimeseries!$A:$A,HourlyTimeseries!$O:$O),"")</f>
        <v>11.5</v>
      </c>
      <c r="AS75" s="51">
        <f>IFERROR(LOOKUP(AS$18,HourlyTimeseries!$A:$A,HourlyTimeseries!$O:$O),"")</f>
        <v>11.5</v>
      </c>
      <c r="AT75" s="51">
        <f>IFERROR(LOOKUP(AT$18,HourlyTimeseries!$A:$A,HourlyTimeseries!$O:$O),"")</f>
        <v>11.5</v>
      </c>
      <c r="AU75" s="51">
        <f>IFERROR(LOOKUP(AU$18,HourlyTimeseries!$A:$A,HourlyTimeseries!$O:$O),"")</f>
        <v>11.5</v>
      </c>
      <c r="AV75" s="51">
        <f>IFERROR(LOOKUP(AV$18,HourlyTimeseries!$A:$A,HourlyTimeseries!$O:$O),"")</f>
        <v>11.5</v>
      </c>
      <c r="AW75" s="51">
        <f>IFERROR(LOOKUP(AW$18,HourlyTimeseries!$A:$A,HourlyTimeseries!$O:$O),"")</f>
        <v>11.5</v>
      </c>
      <c r="AX75" s="51">
        <f>IFERROR(LOOKUP(AX$18,HourlyTimeseries!$A:$A,HourlyTimeseries!$O:$O),"")</f>
        <v>11.5</v>
      </c>
      <c r="AY75" s="51">
        <f>IFERROR(LOOKUP(AY$18,HourlyTimeseries!$A:$A,HourlyTimeseries!$O:$O),"")</f>
        <v>11.5</v>
      </c>
      <c r="AZ75" s="60">
        <f>IFERROR(LOOKUP(AZ$18,HourlyTimeseries!$A:$A,HourlyTimeseries!$O:$O),"")</f>
        <v>11.5</v>
      </c>
      <c r="BA75" s="67">
        <f>IFERROR(LOOKUP(BA$18,HourlyTimeseries!$A:$A,HourlyTimeseries!$O:$O),"")</f>
        <v>11.5</v>
      </c>
      <c r="BB75" s="51">
        <f>IFERROR(LOOKUP(BB$18,HourlyTimeseries!$A:$A,HourlyTimeseries!$O:$O),"")</f>
        <v>11.5</v>
      </c>
      <c r="BC75" s="51">
        <f>IFERROR(LOOKUP(BC$18,HourlyTimeseries!$A:$A,HourlyTimeseries!$O:$O),"")</f>
        <v>11.5</v>
      </c>
      <c r="BD75" s="51">
        <f>IFERROR(LOOKUP(BD$18,HourlyTimeseries!$A:$A,HourlyTimeseries!$O:$O),"")</f>
        <v>11.5</v>
      </c>
      <c r="BE75" s="51">
        <f>IFERROR(LOOKUP(BE$18,HourlyTimeseries!$A:$A,HourlyTimeseries!$O:$O),"")</f>
        <v>11.5</v>
      </c>
      <c r="BF75" s="51">
        <f>IFERROR(LOOKUP(BF$18,HourlyTimeseries!$A:$A,HourlyTimeseries!$O:$O),"")</f>
        <v>11.5</v>
      </c>
      <c r="BG75" s="51">
        <f>IFERROR(LOOKUP(BG$18,HourlyTimeseries!$A:$A,HourlyTimeseries!$O:$O),"")</f>
        <v>11.5</v>
      </c>
      <c r="BH75" s="51">
        <f>IFERROR(LOOKUP(BH$18,HourlyTimeseries!$A:$A,HourlyTimeseries!$O:$O),"")</f>
        <v>11.5</v>
      </c>
      <c r="BI75" s="51">
        <f>IFERROR(LOOKUP(BI$18,HourlyTimeseries!$A:$A,HourlyTimeseries!$O:$O),"")</f>
        <v>11.5</v>
      </c>
      <c r="BJ75" s="51">
        <f>IFERROR(LOOKUP(BJ$18,HourlyTimeseries!$A:$A,HourlyTimeseries!$O:$O),"")</f>
        <v>11.5</v>
      </c>
      <c r="BK75" s="51">
        <f>IFERROR(LOOKUP(BK$18,HourlyTimeseries!$A:$A,HourlyTimeseries!$O:$O),"")</f>
        <v>11.5</v>
      </c>
      <c r="BL75" s="51">
        <f>IFERROR(LOOKUP(BL$18,HourlyTimeseries!$A:$A,HourlyTimeseries!$O:$O),"")</f>
        <v>11.5</v>
      </c>
      <c r="BM75" s="51">
        <f>IFERROR(LOOKUP(BM$18,HourlyTimeseries!$A:$A,HourlyTimeseries!$O:$O),"")</f>
        <v>11.5</v>
      </c>
      <c r="BN75" s="51">
        <f>IFERROR(LOOKUP(BN$18,HourlyTimeseries!$A:$A,HourlyTimeseries!$O:$O),"")</f>
        <v>11.5</v>
      </c>
      <c r="BO75" s="51">
        <f>IFERROR(LOOKUP(BO$18,HourlyTimeseries!$A:$A,HourlyTimeseries!$O:$O),"")</f>
        <v>11.5</v>
      </c>
      <c r="BP75" s="51">
        <f>IFERROR(LOOKUP(BP$18,HourlyTimeseries!$A:$A,HourlyTimeseries!$O:$O),"")</f>
        <v>11.5</v>
      </c>
      <c r="BQ75" s="51">
        <f>IFERROR(LOOKUP(BQ$18,HourlyTimeseries!$A:$A,HourlyTimeseries!$O:$O),"")</f>
        <v>11.5</v>
      </c>
      <c r="BR75" s="51">
        <f>IFERROR(LOOKUP(BR$18,HourlyTimeseries!$A:$A,HourlyTimeseries!$O:$O),"")</f>
        <v>11.5</v>
      </c>
      <c r="BS75" s="51">
        <f>IFERROR(LOOKUP(BS$18,HourlyTimeseries!$A:$A,HourlyTimeseries!$O:$O),"")</f>
        <v>11.5</v>
      </c>
      <c r="BT75" s="51">
        <f>IFERROR(LOOKUP(BT$18,HourlyTimeseries!$A:$A,HourlyTimeseries!$O:$O),"")</f>
        <v>11.5</v>
      </c>
      <c r="BU75" s="51">
        <f>IFERROR(LOOKUP(BU$18,HourlyTimeseries!$A:$A,HourlyTimeseries!$O:$O),"")</f>
        <v>11.5</v>
      </c>
      <c r="BV75" s="51">
        <f>IFERROR(LOOKUP(BV$18,HourlyTimeseries!$A:$A,HourlyTimeseries!$O:$O),"")</f>
        <v>11.5</v>
      </c>
      <c r="BW75" s="51">
        <f>IFERROR(LOOKUP(BW$18,HourlyTimeseries!$A:$A,HourlyTimeseries!$O:$O),"")</f>
        <v>11.5</v>
      </c>
      <c r="BX75" s="60">
        <f>IFERROR(LOOKUP(BX$18,HourlyTimeseries!$A:$A,HourlyTimeseries!$O:$O),"")</f>
        <v>11.5</v>
      </c>
      <c r="BY75" s="67">
        <f>IFERROR(LOOKUP(BY$18,HourlyTimeseries!$A:$A,HourlyTimeseries!$O:$O),"")</f>
        <v>11.5</v>
      </c>
      <c r="BZ75" s="51">
        <f>IFERROR(LOOKUP(BZ$18,HourlyTimeseries!$A:$A,HourlyTimeseries!$O:$O),"")</f>
        <v>11.5</v>
      </c>
      <c r="CA75" s="51">
        <f>IFERROR(LOOKUP(CA$18,HourlyTimeseries!$A:$A,HourlyTimeseries!$O:$O),"")</f>
        <v>11.5</v>
      </c>
      <c r="CB75" s="51">
        <f>IFERROR(LOOKUP(CB$18,HourlyTimeseries!$A:$A,HourlyTimeseries!$O:$O),"")</f>
        <v>11.5</v>
      </c>
      <c r="CC75" s="51">
        <f>IFERROR(LOOKUP(CC$18,HourlyTimeseries!$A:$A,HourlyTimeseries!$O:$O),"")</f>
        <v>11.5</v>
      </c>
      <c r="CD75" s="51">
        <f>IFERROR(LOOKUP(CD$18,HourlyTimeseries!$A:$A,HourlyTimeseries!$O:$O),"")</f>
        <v>11.5</v>
      </c>
      <c r="CE75" s="51">
        <f>IFERROR(LOOKUP(CE$18,HourlyTimeseries!$A:$A,HourlyTimeseries!$O:$O),"")</f>
        <v>11.5</v>
      </c>
      <c r="CF75" s="51">
        <f>IFERROR(LOOKUP(CF$18,HourlyTimeseries!$A:$A,HourlyTimeseries!$O:$O),"")</f>
        <v>11.5</v>
      </c>
      <c r="CG75" s="51">
        <f>IFERROR(LOOKUP(CG$18,HourlyTimeseries!$A:$A,HourlyTimeseries!$O:$O),"")</f>
        <v>11.5</v>
      </c>
      <c r="CH75" s="51">
        <f>IFERROR(LOOKUP(CH$18,HourlyTimeseries!$A:$A,HourlyTimeseries!$O:$O),"")</f>
        <v>11.5</v>
      </c>
      <c r="CI75" s="51">
        <f>IFERROR(LOOKUP(CI$18,HourlyTimeseries!$A:$A,HourlyTimeseries!$O:$O),"")</f>
        <v>11.5</v>
      </c>
      <c r="CJ75" s="51">
        <f>IFERROR(LOOKUP(CJ$18,HourlyTimeseries!$A:$A,HourlyTimeseries!$O:$O),"")</f>
        <v>11.5</v>
      </c>
      <c r="CK75" s="51">
        <f>IFERROR(LOOKUP(CK$18,HourlyTimeseries!$A:$A,HourlyTimeseries!$O:$O),"")</f>
        <v>11.5</v>
      </c>
      <c r="CL75" s="51">
        <f>IFERROR(LOOKUP(CL$18,HourlyTimeseries!$A:$A,HourlyTimeseries!$O:$O),"")</f>
        <v>11.5</v>
      </c>
      <c r="CM75" s="51">
        <f>IFERROR(LOOKUP(CM$18,HourlyTimeseries!$A:$A,HourlyTimeseries!$O:$O),"")</f>
        <v>11.5</v>
      </c>
      <c r="CN75" s="51">
        <f>IFERROR(LOOKUP(CN$18,HourlyTimeseries!$A:$A,HourlyTimeseries!$O:$O),"")</f>
        <v>11.5</v>
      </c>
      <c r="CO75" s="51">
        <f>IFERROR(LOOKUP(CO$18,HourlyTimeseries!$A:$A,HourlyTimeseries!$O:$O),"")</f>
        <v>11.5</v>
      </c>
      <c r="CP75" s="51">
        <f>IFERROR(LOOKUP(CP$18,HourlyTimeseries!$A:$A,HourlyTimeseries!$O:$O),"")</f>
        <v>11.5</v>
      </c>
      <c r="CQ75" s="51">
        <f>IFERROR(LOOKUP(CQ$18,HourlyTimeseries!$A:$A,HourlyTimeseries!$O:$O),"")</f>
        <v>11.5</v>
      </c>
      <c r="CR75" s="51">
        <f>IFERROR(LOOKUP(CR$18,HourlyTimeseries!$A:$A,HourlyTimeseries!$O:$O),"")</f>
        <v>11.5</v>
      </c>
      <c r="CS75" s="51">
        <f>IFERROR(LOOKUP(CS$18,HourlyTimeseries!$A:$A,HourlyTimeseries!$O:$O),"")</f>
        <v>11.5</v>
      </c>
      <c r="CT75" s="51">
        <f>IFERROR(LOOKUP(CT$18,HourlyTimeseries!$A:$A,HourlyTimeseries!$O:$O),"")</f>
        <v>11.5</v>
      </c>
      <c r="CU75" s="51">
        <f>IFERROR(LOOKUP(CU$18,HourlyTimeseries!$A:$A,HourlyTimeseries!$O:$O),"")</f>
        <v>11.5</v>
      </c>
      <c r="CV75" s="60">
        <f>IFERROR(LOOKUP(CV$18,HourlyTimeseries!$A:$A,HourlyTimeseries!$O:$O),"")</f>
        <v>11.5</v>
      </c>
      <c r="CW75" s="67">
        <f>IFERROR(LOOKUP(CW$18,HourlyTimeseries!$A:$A,HourlyTimeseries!$O:$O),"")</f>
        <v>11.5</v>
      </c>
      <c r="CX75" s="51">
        <f>IFERROR(LOOKUP(CX$18,HourlyTimeseries!$A:$A,HourlyTimeseries!$O:$O),"")</f>
        <v>11.5</v>
      </c>
      <c r="CY75" s="51">
        <f>IFERROR(LOOKUP(CY$18,HourlyTimeseries!$A:$A,HourlyTimeseries!$O:$O),"")</f>
        <v>11.5</v>
      </c>
      <c r="CZ75" s="51">
        <f>IFERROR(LOOKUP(CZ$18,HourlyTimeseries!$A:$A,HourlyTimeseries!$O:$O),"")</f>
        <v>11.5</v>
      </c>
      <c r="DA75" s="51">
        <f>IFERROR(LOOKUP(DA$18,HourlyTimeseries!$A:$A,HourlyTimeseries!$O:$O),"")</f>
        <v>11.5</v>
      </c>
      <c r="DB75" s="51">
        <f>IFERROR(LOOKUP(DB$18,HourlyTimeseries!$A:$A,HourlyTimeseries!$O:$O),"")</f>
        <v>11.5</v>
      </c>
      <c r="DC75" s="51">
        <f>IFERROR(LOOKUP(DC$18,HourlyTimeseries!$A:$A,HourlyTimeseries!$O:$O),"")</f>
        <v>11.5</v>
      </c>
      <c r="DD75" s="51">
        <f>IFERROR(LOOKUP(DD$18,HourlyTimeseries!$A:$A,HourlyTimeseries!$O:$O),"")</f>
        <v>11.5</v>
      </c>
      <c r="DE75" s="51">
        <f>IFERROR(LOOKUP(DE$18,HourlyTimeseries!$A:$A,HourlyTimeseries!$O:$O),"")</f>
        <v>11.5</v>
      </c>
      <c r="DF75" s="51">
        <f>IFERROR(LOOKUP(DF$18,HourlyTimeseries!$A:$A,HourlyTimeseries!$O:$O),"")</f>
        <v>11.5</v>
      </c>
      <c r="DG75" s="51">
        <f>IFERROR(LOOKUP(DG$18,HourlyTimeseries!$A:$A,HourlyTimeseries!$O:$O),"")</f>
        <v>11.5</v>
      </c>
      <c r="DH75" s="51">
        <f>IFERROR(LOOKUP(DH$18,HourlyTimeseries!$A:$A,HourlyTimeseries!$O:$O),"")</f>
        <v>11.5</v>
      </c>
      <c r="DI75" s="51">
        <f>IFERROR(LOOKUP(DI$18,HourlyTimeseries!$A:$A,HourlyTimeseries!$O:$O),"")</f>
        <v>11.5</v>
      </c>
      <c r="DJ75" s="51">
        <f>IFERROR(LOOKUP(DJ$18,HourlyTimeseries!$A:$A,HourlyTimeseries!$O:$O),"")</f>
        <v>11.5</v>
      </c>
      <c r="DK75" s="51">
        <f>IFERROR(LOOKUP(DK$18,HourlyTimeseries!$A:$A,HourlyTimeseries!$O:$O),"")</f>
        <v>11.5</v>
      </c>
      <c r="DL75" s="51">
        <f>IFERROR(LOOKUP(DL$18,HourlyTimeseries!$A:$A,HourlyTimeseries!$O:$O),"")</f>
        <v>11.5</v>
      </c>
      <c r="DM75" s="51">
        <f>IFERROR(LOOKUP(DM$18,HourlyTimeseries!$A:$A,HourlyTimeseries!$O:$O),"")</f>
        <v>11.5</v>
      </c>
      <c r="DN75" s="51">
        <f>IFERROR(LOOKUP(DN$18,HourlyTimeseries!$A:$A,HourlyTimeseries!$O:$O),"")</f>
        <v>11.5</v>
      </c>
      <c r="DO75" s="51">
        <f>IFERROR(LOOKUP(DO$18,HourlyTimeseries!$A:$A,HourlyTimeseries!$O:$O),"")</f>
        <v>11.5</v>
      </c>
      <c r="DP75" s="51">
        <f>IFERROR(LOOKUP(DP$18,HourlyTimeseries!$A:$A,HourlyTimeseries!$O:$O),"")</f>
        <v>11.5</v>
      </c>
      <c r="DQ75" s="51">
        <f>IFERROR(LOOKUP(DQ$18,HourlyTimeseries!$A:$A,HourlyTimeseries!$O:$O),"")</f>
        <v>11.5</v>
      </c>
      <c r="DR75" s="51">
        <f>IFERROR(LOOKUP(DR$18,HourlyTimeseries!$A:$A,HourlyTimeseries!$O:$O),"")</f>
        <v>11.5</v>
      </c>
      <c r="DS75" s="51">
        <f>IFERROR(LOOKUP(DS$18,HourlyTimeseries!$A:$A,HourlyTimeseries!$O:$O),"")</f>
        <v>11.5</v>
      </c>
      <c r="DT75" s="60">
        <f>IFERROR(LOOKUP(DT$18,HourlyTimeseries!$A:$A,HourlyTimeseries!$O:$O),"")</f>
        <v>11.5</v>
      </c>
      <c r="DU75" s="67">
        <f>IFERROR(LOOKUP(DU$18,HourlyTimeseries!$A:$A,HourlyTimeseries!$O:$O),"")</f>
        <v>11.5</v>
      </c>
      <c r="DV75" s="51">
        <f>IFERROR(LOOKUP(DV$18,HourlyTimeseries!$A:$A,HourlyTimeseries!$O:$O),"")</f>
        <v>11.5</v>
      </c>
      <c r="DW75" s="51">
        <f>IFERROR(LOOKUP(DW$18,HourlyTimeseries!$A:$A,HourlyTimeseries!$O:$O),"")</f>
        <v>11.5</v>
      </c>
      <c r="DX75" s="51">
        <f>IFERROR(LOOKUP(DX$18,HourlyTimeseries!$A:$A,HourlyTimeseries!$O:$O),"")</f>
        <v>11.5</v>
      </c>
      <c r="DY75" s="51">
        <f>IFERROR(LOOKUP(DY$18,HourlyTimeseries!$A:$A,HourlyTimeseries!$O:$O),"")</f>
        <v>11.5</v>
      </c>
      <c r="DZ75" s="51">
        <f>IFERROR(LOOKUP(DZ$18,HourlyTimeseries!$A:$A,HourlyTimeseries!$O:$O),"")</f>
        <v>11.5</v>
      </c>
      <c r="EA75" s="51">
        <f>IFERROR(LOOKUP(EA$18,HourlyTimeseries!$A:$A,HourlyTimeseries!$O:$O),"")</f>
        <v>11.5</v>
      </c>
      <c r="EB75" s="51">
        <f>IFERROR(LOOKUP(EB$18,HourlyTimeseries!$A:$A,HourlyTimeseries!$O:$O),"")</f>
        <v>11.5</v>
      </c>
      <c r="EC75" s="51">
        <f>IFERROR(LOOKUP(EC$18,HourlyTimeseries!$A:$A,HourlyTimeseries!$O:$O),"")</f>
        <v>11.5</v>
      </c>
      <c r="ED75" s="51">
        <f>IFERROR(LOOKUP(ED$18,HourlyTimeseries!$A:$A,HourlyTimeseries!$O:$O),"")</f>
        <v>11.5</v>
      </c>
      <c r="EE75" s="51">
        <f>IFERROR(LOOKUP(EE$18,HourlyTimeseries!$A:$A,HourlyTimeseries!$O:$O),"")</f>
        <v>11.5</v>
      </c>
      <c r="EF75" s="51">
        <f>IFERROR(LOOKUP(EF$18,HourlyTimeseries!$A:$A,HourlyTimeseries!$O:$O),"")</f>
        <v>11.5</v>
      </c>
      <c r="EG75" s="51">
        <f>IFERROR(LOOKUP(EG$18,HourlyTimeseries!$A:$A,HourlyTimeseries!$O:$O),"")</f>
        <v>11.5</v>
      </c>
      <c r="EH75" s="51">
        <f>IFERROR(LOOKUP(EH$18,HourlyTimeseries!$A:$A,HourlyTimeseries!$O:$O),"")</f>
        <v>11.5</v>
      </c>
      <c r="EI75" s="51">
        <f>IFERROR(LOOKUP(EI$18,HourlyTimeseries!$A:$A,HourlyTimeseries!$O:$O),"")</f>
        <v>11.5</v>
      </c>
      <c r="EJ75" s="51">
        <f>IFERROR(LOOKUP(EJ$18,HourlyTimeseries!$A:$A,HourlyTimeseries!$O:$O),"")</f>
        <v>11.5</v>
      </c>
      <c r="EK75" s="51">
        <f>IFERROR(LOOKUP(EK$18,HourlyTimeseries!$A:$A,HourlyTimeseries!$O:$O),"")</f>
        <v>11.5</v>
      </c>
      <c r="EL75" s="51">
        <f>IFERROR(LOOKUP(EL$18,HourlyTimeseries!$A:$A,HourlyTimeseries!$O:$O),"")</f>
        <v>11.5</v>
      </c>
      <c r="EM75" s="51">
        <f>IFERROR(LOOKUP(EM$18,HourlyTimeseries!$A:$A,HourlyTimeseries!$O:$O),"")</f>
        <v>11.5</v>
      </c>
      <c r="EN75" s="51">
        <f>IFERROR(LOOKUP(EN$18,HourlyTimeseries!$A:$A,HourlyTimeseries!$O:$O),"")</f>
        <v>11.5</v>
      </c>
      <c r="EO75" s="51">
        <f>IFERROR(LOOKUP(EO$18,HourlyTimeseries!$A:$A,HourlyTimeseries!$O:$O),"")</f>
        <v>11.5</v>
      </c>
      <c r="EP75" s="51">
        <f>IFERROR(LOOKUP(EP$18,HourlyTimeseries!$A:$A,HourlyTimeseries!$O:$O),"")</f>
        <v>11.5</v>
      </c>
      <c r="EQ75" s="51">
        <f>IFERROR(LOOKUP(EQ$18,HourlyTimeseries!$A:$A,HourlyTimeseries!$O:$O),"")</f>
        <v>11.5</v>
      </c>
      <c r="ER75" s="60">
        <f>IFERROR(LOOKUP(ER$18,HourlyTimeseries!$A:$A,HourlyTimeseries!$O:$O),"")</f>
        <v>11.5</v>
      </c>
      <c r="ES75" s="67">
        <f>IFERROR(LOOKUP(ES$18,HourlyTimeseries!$A:$A,HourlyTimeseries!$O:$O),"")</f>
        <v>11.5</v>
      </c>
      <c r="ET75" s="51">
        <f>IFERROR(LOOKUP(ET$18,HourlyTimeseries!$A:$A,HourlyTimeseries!$O:$O),"")</f>
        <v>11.5</v>
      </c>
      <c r="EU75" s="51">
        <f>IFERROR(LOOKUP(EU$18,HourlyTimeseries!$A:$A,HourlyTimeseries!$O:$O),"")</f>
        <v>11.5</v>
      </c>
      <c r="EV75" s="51">
        <f>IFERROR(LOOKUP(EV$18,HourlyTimeseries!$A:$A,HourlyTimeseries!$O:$O),"")</f>
        <v>11.5</v>
      </c>
      <c r="EW75" s="51">
        <f>IFERROR(LOOKUP(EW$18,HourlyTimeseries!$A:$A,HourlyTimeseries!$O:$O),"")</f>
        <v>11.5</v>
      </c>
      <c r="EX75" s="51">
        <f>IFERROR(LOOKUP(EX$18,HourlyTimeseries!$A:$A,HourlyTimeseries!$O:$O),"")</f>
        <v>11.5</v>
      </c>
      <c r="EY75" s="51">
        <f>IFERROR(LOOKUP(EY$18,HourlyTimeseries!$A:$A,HourlyTimeseries!$O:$O),"")</f>
        <v>11.5</v>
      </c>
      <c r="EZ75" s="51">
        <f>IFERROR(LOOKUP(EZ$18,HourlyTimeseries!$A:$A,HourlyTimeseries!$O:$O),"")</f>
        <v>11.5</v>
      </c>
      <c r="FA75" s="51">
        <f>IFERROR(LOOKUP(FA$18,HourlyTimeseries!$A:$A,HourlyTimeseries!$O:$O),"")</f>
        <v>11.5</v>
      </c>
      <c r="FB75" s="51">
        <f>IFERROR(LOOKUP(FB$18,HourlyTimeseries!$A:$A,HourlyTimeseries!$O:$O),"")</f>
        <v>11.5</v>
      </c>
      <c r="FC75" s="51">
        <f>IFERROR(LOOKUP(FC$18,HourlyTimeseries!$A:$A,HourlyTimeseries!$O:$O),"")</f>
        <v>11.5</v>
      </c>
      <c r="FD75" s="51">
        <f>IFERROR(LOOKUP(FD$18,HourlyTimeseries!$A:$A,HourlyTimeseries!$O:$O),"")</f>
        <v>11.5</v>
      </c>
      <c r="FE75" s="51">
        <f>IFERROR(LOOKUP(FE$18,HourlyTimeseries!$A:$A,HourlyTimeseries!$O:$O),"")</f>
        <v>11.5</v>
      </c>
      <c r="FF75" s="51">
        <f>IFERROR(LOOKUP(FF$18,HourlyTimeseries!$A:$A,HourlyTimeseries!$O:$O),"")</f>
        <v>11.5</v>
      </c>
      <c r="FG75" s="51">
        <f>IFERROR(LOOKUP(FG$18,HourlyTimeseries!$A:$A,HourlyTimeseries!$O:$O),"")</f>
        <v>11.5</v>
      </c>
      <c r="FH75" s="51">
        <f>IFERROR(LOOKUP(FH$18,HourlyTimeseries!$A:$A,HourlyTimeseries!$O:$O),"")</f>
        <v>11.5</v>
      </c>
      <c r="FI75" s="51">
        <f>IFERROR(LOOKUP(FI$18,HourlyTimeseries!$A:$A,HourlyTimeseries!$O:$O),"")</f>
        <v>11.5</v>
      </c>
      <c r="FJ75" s="51">
        <f>IFERROR(LOOKUP(FJ$18,HourlyTimeseries!$A:$A,HourlyTimeseries!$O:$O),"")</f>
        <v>11.5</v>
      </c>
      <c r="FK75" s="51">
        <f>IFERROR(LOOKUP(FK$18,HourlyTimeseries!$A:$A,HourlyTimeseries!$O:$O),"")</f>
        <v>11.5</v>
      </c>
      <c r="FL75" s="51">
        <f>IFERROR(LOOKUP(FL$18,HourlyTimeseries!$A:$A,HourlyTimeseries!$O:$O),"")</f>
        <v>11.5</v>
      </c>
      <c r="FM75" s="51">
        <f>IFERROR(LOOKUP(FM$18,HourlyTimeseries!$A:$A,HourlyTimeseries!$O:$O),"")</f>
        <v>11.5</v>
      </c>
      <c r="FN75" s="51">
        <f>IFERROR(LOOKUP(FN$18,HourlyTimeseries!$A:$A,HourlyTimeseries!$O:$O),"")</f>
        <v>11.5</v>
      </c>
      <c r="FO75" s="51">
        <f>IFERROR(LOOKUP(FO$18,HourlyTimeseries!$A:$A,HourlyTimeseries!$O:$O),"")</f>
        <v>11.5</v>
      </c>
      <c r="FP75" s="60">
        <f>IFERROR(LOOKUP(FP$18,HourlyTimeseries!$A:$A,HourlyTimeseries!$O:$O),"")</f>
        <v>11.5</v>
      </c>
    </row>
    <row r="76" spans="1:172">
      <c r="A76" s="15" t="s">
        <v>37</v>
      </c>
      <c r="B76" s="2" t="s">
        <v>3</v>
      </c>
      <c r="C76" s="41" t="s">
        <v>136</v>
      </c>
      <c r="D76" s="2"/>
      <c r="E76" s="51">
        <f>IFERROR(LOOKUP(E$18,HourlyTimeseries!$A:$A,HourlyTimeseries!$Q:$Q),"")</f>
        <v>2.160285702773503</v>
      </c>
      <c r="F76" s="51">
        <f>IFERROR(LOOKUP(F$18,HourlyTimeseries!$A:$A,HourlyTimeseries!$Q:$Q),"")</f>
        <v>2.4718571390424455</v>
      </c>
      <c r="G76" s="51">
        <f>IFERROR(LOOKUP(G$18,HourlyTimeseries!$A:$A,HourlyTimeseries!$Q:$Q),"")</f>
        <v>2.5034285613468716</v>
      </c>
      <c r="H76" s="51">
        <f>IFERROR(LOOKUP(H$18,HourlyTimeseries!$A:$A,HourlyTimeseries!$Q:$Q),"")</f>
        <v>2.5060000419616699</v>
      </c>
      <c r="I76" s="51">
        <f>IFERROR(LOOKUP(I$18,HourlyTimeseries!$A:$A,HourlyTimeseries!$Q:$Q),"")</f>
        <v>2.5351428644997731</v>
      </c>
      <c r="J76" s="51">
        <f>IFERROR(LOOKUP(J$18,HourlyTimeseries!$A:$A,HourlyTimeseries!$Q:$Q),"")</f>
        <v>2.6308570929936002</v>
      </c>
      <c r="K76" s="51">
        <f>IFERROR(LOOKUP(K$18,HourlyTimeseries!$A:$A,HourlyTimeseries!$Q:$Q),"")</f>
        <v>2.6167142391204834</v>
      </c>
      <c r="L76" s="51">
        <f>IFERROR(LOOKUP(L$18,HourlyTimeseries!$A:$A,HourlyTimeseries!$Q:$Q),"")</f>
        <v>2.5078571183340892</v>
      </c>
      <c r="M76" s="51">
        <f>IFERROR(LOOKUP(M$18,HourlyTimeseries!$A:$A,HourlyTimeseries!$Q:$Q),"")</f>
        <v>2.3500000068119595</v>
      </c>
      <c r="N76" s="51">
        <f>IFERROR(LOOKUP(N$18,HourlyTimeseries!$A:$A,HourlyTimeseries!$Q:$Q),"")</f>
        <v>2.1847142832619801</v>
      </c>
      <c r="O76" s="51">
        <f>IFERROR(LOOKUP(O$18,HourlyTimeseries!$A:$A,HourlyTimeseries!$Q:$Q),"")</f>
        <v>2.0077143056052074</v>
      </c>
      <c r="P76" s="51">
        <f>IFERROR(LOOKUP(P$18,HourlyTimeseries!$A:$A,HourlyTimeseries!$Q:$Q),"")</f>
        <v>1.7969999824251448</v>
      </c>
      <c r="Q76" s="51">
        <f>IFERROR(LOOKUP(Q$18,HourlyTimeseries!$A:$A,HourlyTimeseries!$Q:$Q),"")</f>
        <v>1.5904285567147392</v>
      </c>
      <c r="R76" s="51">
        <f>IFERROR(LOOKUP(R$18,HourlyTimeseries!$A:$A,HourlyTimeseries!$Q:$Q),"")</f>
        <v>1.3895714112690516</v>
      </c>
      <c r="S76" s="51">
        <f>IFERROR(LOOKUP(S$18,HourlyTimeseries!$A:$A,HourlyTimeseries!$Q:$Q),"")</f>
        <v>0.96357142499514992</v>
      </c>
      <c r="T76" s="51">
        <f>IFERROR(LOOKUP(T$18,HourlyTimeseries!$A:$A,HourlyTimeseries!$Q:$Q),"")</f>
        <v>0.84407143933432438</v>
      </c>
      <c r="U76" s="51">
        <f>IFERROR(LOOKUP(U$18,HourlyTimeseries!$A:$A,HourlyTimeseries!$Q:$Q),"")</f>
        <v>0.87021427069391522</v>
      </c>
      <c r="V76" s="51">
        <f>IFERROR(LOOKUP(V$18,HourlyTimeseries!$A:$A,HourlyTimeseries!$Q:$Q),"")</f>
        <v>1.0735000031335014</v>
      </c>
      <c r="W76" s="51">
        <f>IFERROR(LOOKUP(W$18,HourlyTimeseries!$A:$A,HourlyTimeseries!$Q:$Q),"")</f>
        <v>1.3760714275496346</v>
      </c>
      <c r="X76" s="51">
        <f>IFERROR(LOOKUP(X$18,HourlyTimeseries!$A:$A,HourlyTimeseries!$Q:$Q),"")</f>
        <v>1.5774285623005457</v>
      </c>
      <c r="Y76" s="51">
        <f>IFERROR(LOOKUP(Y$18,HourlyTimeseries!$A:$A,HourlyTimeseries!$Q:$Q),"")</f>
        <v>1.776142852646964</v>
      </c>
      <c r="Z76" s="51">
        <f>IFERROR(LOOKUP(Z$18,HourlyTimeseries!$A:$A,HourlyTimeseries!$Q:$Q),"")</f>
        <v>1.8817142588751656</v>
      </c>
      <c r="AA76" s="51">
        <f>IFERROR(LOOKUP(AA$18,HourlyTimeseries!$A:$A,HourlyTimeseries!$Q:$Q),"")</f>
        <v>2.2282856873103549</v>
      </c>
      <c r="AB76" s="60">
        <f>IFERROR(LOOKUP(AB$18,HourlyTimeseries!$A:$A,HourlyTimeseries!$Q:$Q),"")</f>
        <v>2.3557142189570834</v>
      </c>
      <c r="AC76" s="67">
        <f>IFERROR(LOOKUP(AC$18,HourlyTimeseries!$A:$A,HourlyTimeseries!$Q:$Q),"")</f>
        <v>2.160285702773503</v>
      </c>
      <c r="AD76" s="51">
        <f>IFERROR(LOOKUP(AD$18,HourlyTimeseries!$A:$A,HourlyTimeseries!$Q:$Q),"")</f>
        <v>2.4718571390424455</v>
      </c>
      <c r="AE76" s="51">
        <f>IFERROR(LOOKUP(AE$18,HourlyTimeseries!$A:$A,HourlyTimeseries!$Q:$Q),"")</f>
        <v>2.5034285613468716</v>
      </c>
      <c r="AF76" s="51">
        <f>IFERROR(LOOKUP(AF$18,HourlyTimeseries!$A:$A,HourlyTimeseries!$Q:$Q),"")</f>
        <v>2.5060000419616699</v>
      </c>
      <c r="AG76" s="51">
        <f>IFERROR(LOOKUP(AG$18,HourlyTimeseries!$A:$A,HourlyTimeseries!$Q:$Q),"")</f>
        <v>2.5351428644997731</v>
      </c>
      <c r="AH76" s="51">
        <f>IFERROR(LOOKUP(AH$18,HourlyTimeseries!$A:$A,HourlyTimeseries!$Q:$Q),"")</f>
        <v>2.6308570929936002</v>
      </c>
      <c r="AI76" s="51">
        <f>IFERROR(LOOKUP(AI$18,HourlyTimeseries!$A:$A,HourlyTimeseries!$Q:$Q),"")</f>
        <v>2.6167142391204834</v>
      </c>
      <c r="AJ76" s="51">
        <f>IFERROR(LOOKUP(AJ$18,HourlyTimeseries!$A:$A,HourlyTimeseries!$Q:$Q),"")</f>
        <v>2.5078571183340892</v>
      </c>
      <c r="AK76" s="51">
        <f>IFERROR(LOOKUP(AK$18,HourlyTimeseries!$A:$A,HourlyTimeseries!$Q:$Q),"")</f>
        <v>2.3500000068119595</v>
      </c>
      <c r="AL76" s="51">
        <f>IFERROR(LOOKUP(AL$18,HourlyTimeseries!$A:$A,HourlyTimeseries!$Q:$Q),"")</f>
        <v>2.1847142832619801</v>
      </c>
      <c r="AM76" s="51">
        <f>IFERROR(LOOKUP(AM$18,HourlyTimeseries!$A:$A,HourlyTimeseries!$Q:$Q),"")</f>
        <v>2.0077143056052074</v>
      </c>
      <c r="AN76" s="51">
        <f>IFERROR(LOOKUP(AN$18,HourlyTimeseries!$A:$A,HourlyTimeseries!$Q:$Q),"")</f>
        <v>1.7969999824251448</v>
      </c>
      <c r="AO76" s="51">
        <f>IFERROR(LOOKUP(AO$18,HourlyTimeseries!$A:$A,HourlyTimeseries!$Q:$Q),"")</f>
        <v>1.5904285567147392</v>
      </c>
      <c r="AP76" s="51">
        <f>IFERROR(LOOKUP(AP$18,HourlyTimeseries!$A:$A,HourlyTimeseries!$Q:$Q),"")</f>
        <v>1.3895714112690516</v>
      </c>
      <c r="AQ76" s="51">
        <f>IFERROR(LOOKUP(AQ$18,HourlyTimeseries!$A:$A,HourlyTimeseries!$Q:$Q),"")</f>
        <v>0.96357142499514992</v>
      </c>
      <c r="AR76" s="51">
        <f>IFERROR(LOOKUP(AR$18,HourlyTimeseries!$A:$A,HourlyTimeseries!$Q:$Q),"")</f>
        <v>0.84407143933432438</v>
      </c>
      <c r="AS76" s="51">
        <f>IFERROR(LOOKUP(AS$18,HourlyTimeseries!$A:$A,HourlyTimeseries!$Q:$Q),"")</f>
        <v>0.87021427069391522</v>
      </c>
      <c r="AT76" s="51">
        <f>IFERROR(LOOKUP(AT$18,HourlyTimeseries!$A:$A,HourlyTimeseries!$Q:$Q),"")</f>
        <v>1.0735000031335014</v>
      </c>
      <c r="AU76" s="51">
        <f>IFERROR(LOOKUP(AU$18,HourlyTimeseries!$A:$A,HourlyTimeseries!$Q:$Q),"")</f>
        <v>1.3760714275496346</v>
      </c>
      <c r="AV76" s="51">
        <f>IFERROR(LOOKUP(AV$18,HourlyTimeseries!$A:$A,HourlyTimeseries!$Q:$Q),"")</f>
        <v>1.5774285623005457</v>
      </c>
      <c r="AW76" s="51">
        <f>IFERROR(LOOKUP(AW$18,HourlyTimeseries!$A:$A,HourlyTimeseries!$Q:$Q),"")</f>
        <v>1.776142852646964</v>
      </c>
      <c r="AX76" s="51">
        <f>IFERROR(LOOKUP(AX$18,HourlyTimeseries!$A:$A,HourlyTimeseries!$Q:$Q),"")</f>
        <v>1.8817142588751656</v>
      </c>
      <c r="AY76" s="51">
        <f>IFERROR(LOOKUP(AY$18,HourlyTimeseries!$A:$A,HourlyTimeseries!$Q:$Q),"")</f>
        <v>2.2282856873103549</v>
      </c>
      <c r="AZ76" s="60">
        <f>IFERROR(LOOKUP(AZ$18,HourlyTimeseries!$A:$A,HourlyTimeseries!$Q:$Q),"")</f>
        <v>2.3557142189570834</v>
      </c>
      <c r="BA76" s="67">
        <f>IFERROR(LOOKUP(BA$18,HourlyTimeseries!$A:$A,HourlyTimeseries!$Q:$Q),"")</f>
        <v>2.160285702773503</v>
      </c>
      <c r="BB76" s="51">
        <f>IFERROR(LOOKUP(BB$18,HourlyTimeseries!$A:$A,HourlyTimeseries!$Q:$Q),"")</f>
        <v>2.4718571390424455</v>
      </c>
      <c r="BC76" s="51">
        <f>IFERROR(LOOKUP(BC$18,HourlyTimeseries!$A:$A,HourlyTimeseries!$Q:$Q),"")</f>
        <v>2.5034285613468716</v>
      </c>
      <c r="BD76" s="51">
        <f>IFERROR(LOOKUP(BD$18,HourlyTimeseries!$A:$A,HourlyTimeseries!$Q:$Q),"")</f>
        <v>2.5060000419616699</v>
      </c>
      <c r="BE76" s="51">
        <f>IFERROR(LOOKUP(BE$18,HourlyTimeseries!$A:$A,HourlyTimeseries!$Q:$Q),"")</f>
        <v>2.5351428644997731</v>
      </c>
      <c r="BF76" s="51">
        <f>IFERROR(LOOKUP(BF$18,HourlyTimeseries!$A:$A,HourlyTimeseries!$Q:$Q),"")</f>
        <v>2.6308570929936002</v>
      </c>
      <c r="BG76" s="51">
        <f>IFERROR(LOOKUP(BG$18,HourlyTimeseries!$A:$A,HourlyTimeseries!$Q:$Q),"")</f>
        <v>2.6167142391204834</v>
      </c>
      <c r="BH76" s="51">
        <f>IFERROR(LOOKUP(BH$18,HourlyTimeseries!$A:$A,HourlyTimeseries!$Q:$Q),"")</f>
        <v>2.5078571183340892</v>
      </c>
      <c r="BI76" s="51">
        <f>IFERROR(LOOKUP(BI$18,HourlyTimeseries!$A:$A,HourlyTimeseries!$Q:$Q),"")</f>
        <v>2.3500000068119595</v>
      </c>
      <c r="BJ76" s="51">
        <f>IFERROR(LOOKUP(BJ$18,HourlyTimeseries!$A:$A,HourlyTimeseries!$Q:$Q),"")</f>
        <v>2.1847142832619801</v>
      </c>
      <c r="BK76" s="51">
        <f>IFERROR(LOOKUP(BK$18,HourlyTimeseries!$A:$A,HourlyTimeseries!$Q:$Q),"")</f>
        <v>2.0077143056052074</v>
      </c>
      <c r="BL76" s="51">
        <f>IFERROR(LOOKUP(BL$18,HourlyTimeseries!$A:$A,HourlyTimeseries!$Q:$Q),"")</f>
        <v>1.7969999824251448</v>
      </c>
      <c r="BM76" s="51">
        <f>IFERROR(LOOKUP(BM$18,HourlyTimeseries!$A:$A,HourlyTimeseries!$Q:$Q),"")</f>
        <v>1.5904285567147392</v>
      </c>
      <c r="BN76" s="51">
        <f>IFERROR(LOOKUP(BN$18,HourlyTimeseries!$A:$A,HourlyTimeseries!$Q:$Q),"")</f>
        <v>1.3895714112690516</v>
      </c>
      <c r="BO76" s="51">
        <f>IFERROR(LOOKUP(BO$18,HourlyTimeseries!$A:$A,HourlyTimeseries!$Q:$Q),"")</f>
        <v>0.96357142499514992</v>
      </c>
      <c r="BP76" s="51">
        <f>IFERROR(LOOKUP(BP$18,HourlyTimeseries!$A:$A,HourlyTimeseries!$Q:$Q),"")</f>
        <v>0.84407143933432438</v>
      </c>
      <c r="BQ76" s="51">
        <f>IFERROR(LOOKUP(BQ$18,HourlyTimeseries!$A:$A,HourlyTimeseries!$Q:$Q),"")</f>
        <v>0.87021427069391522</v>
      </c>
      <c r="BR76" s="51">
        <f>IFERROR(LOOKUP(BR$18,HourlyTimeseries!$A:$A,HourlyTimeseries!$Q:$Q),"")</f>
        <v>1.0735000031335014</v>
      </c>
      <c r="BS76" s="51">
        <f>IFERROR(LOOKUP(BS$18,HourlyTimeseries!$A:$A,HourlyTimeseries!$Q:$Q),"")</f>
        <v>1.3760714275496346</v>
      </c>
      <c r="BT76" s="51">
        <f>IFERROR(LOOKUP(BT$18,HourlyTimeseries!$A:$A,HourlyTimeseries!$Q:$Q),"")</f>
        <v>1.5774285623005457</v>
      </c>
      <c r="BU76" s="51">
        <f>IFERROR(LOOKUP(BU$18,HourlyTimeseries!$A:$A,HourlyTimeseries!$Q:$Q),"")</f>
        <v>1.776142852646964</v>
      </c>
      <c r="BV76" s="51">
        <f>IFERROR(LOOKUP(BV$18,HourlyTimeseries!$A:$A,HourlyTimeseries!$Q:$Q),"")</f>
        <v>1.8817142588751656</v>
      </c>
      <c r="BW76" s="51">
        <f>IFERROR(LOOKUP(BW$18,HourlyTimeseries!$A:$A,HourlyTimeseries!$Q:$Q),"")</f>
        <v>2.2282856873103549</v>
      </c>
      <c r="BX76" s="60">
        <f>IFERROR(LOOKUP(BX$18,HourlyTimeseries!$A:$A,HourlyTimeseries!$Q:$Q),"")</f>
        <v>2.3557142189570834</v>
      </c>
      <c r="BY76" s="67">
        <f>IFERROR(LOOKUP(BY$18,HourlyTimeseries!$A:$A,HourlyTimeseries!$Q:$Q),"")</f>
        <v>2.160285702773503</v>
      </c>
      <c r="BZ76" s="51">
        <f>IFERROR(LOOKUP(BZ$18,HourlyTimeseries!$A:$A,HourlyTimeseries!$Q:$Q),"")</f>
        <v>2.4718571390424455</v>
      </c>
      <c r="CA76" s="51">
        <f>IFERROR(LOOKUP(CA$18,HourlyTimeseries!$A:$A,HourlyTimeseries!$Q:$Q),"")</f>
        <v>2.5034285613468716</v>
      </c>
      <c r="CB76" s="51">
        <f>IFERROR(LOOKUP(CB$18,HourlyTimeseries!$A:$A,HourlyTimeseries!$Q:$Q),"")</f>
        <v>2.5060000419616699</v>
      </c>
      <c r="CC76" s="51">
        <f>IFERROR(LOOKUP(CC$18,HourlyTimeseries!$A:$A,HourlyTimeseries!$Q:$Q),"")</f>
        <v>2.5351428644997731</v>
      </c>
      <c r="CD76" s="51">
        <f>IFERROR(LOOKUP(CD$18,HourlyTimeseries!$A:$A,HourlyTimeseries!$Q:$Q),"")</f>
        <v>2.6308570929936002</v>
      </c>
      <c r="CE76" s="51">
        <f>IFERROR(LOOKUP(CE$18,HourlyTimeseries!$A:$A,HourlyTimeseries!$Q:$Q),"")</f>
        <v>2.6167142391204834</v>
      </c>
      <c r="CF76" s="51">
        <f>IFERROR(LOOKUP(CF$18,HourlyTimeseries!$A:$A,HourlyTimeseries!$Q:$Q),"")</f>
        <v>2.5078571183340892</v>
      </c>
      <c r="CG76" s="51">
        <f>IFERROR(LOOKUP(CG$18,HourlyTimeseries!$A:$A,HourlyTimeseries!$Q:$Q),"")</f>
        <v>2.3500000068119595</v>
      </c>
      <c r="CH76" s="51">
        <f>IFERROR(LOOKUP(CH$18,HourlyTimeseries!$A:$A,HourlyTimeseries!$Q:$Q),"")</f>
        <v>2.1847142832619801</v>
      </c>
      <c r="CI76" s="51">
        <f>IFERROR(LOOKUP(CI$18,HourlyTimeseries!$A:$A,HourlyTimeseries!$Q:$Q),"")</f>
        <v>2.0077143056052074</v>
      </c>
      <c r="CJ76" s="51">
        <f>IFERROR(LOOKUP(CJ$18,HourlyTimeseries!$A:$A,HourlyTimeseries!$Q:$Q),"")</f>
        <v>1.7969999824251448</v>
      </c>
      <c r="CK76" s="51">
        <f>IFERROR(LOOKUP(CK$18,HourlyTimeseries!$A:$A,HourlyTimeseries!$Q:$Q),"")</f>
        <v>1.5904285567147392</v>
      </c>
      <c r="CL76" s="51">
        <f>IFERROR(LOOKUP(CL$18,HourlyTimeseries!$A:$A,HourlyTimeseries!$Q:$Q),"")</f>
        <v>1.3895714112690516</v>
      </c>
      <c r="CM76" s="51">
        <f>IFERROR(LOOKUP(CM$18,HourlyTimeseries!$A:$A,HourlyTimeseries!$Q:$Q),"")</f>
        <v>0.96357142499514992</v>
      </c>
      <c r="CN76" s="51">
        <f>IFERROR(LOOKUP(CN$18,HourlyTimeseries!$A:$A,HourlyTimeseries!$Q:$Q),"")</f>
        <v>0.84407143933432438</v>
      </c>
      <c r="CO76" s="51">
        <f>IFERROR(LOOKUP(CO$18,HourlyTimeseries!$A:$A,HourlyTimeseries!$Q:$Q),"")</f>
        <v>0.87021427069391522</v>
      </c>
      <c r="CP76" s="51">
        <f>IFERROR(LOOKUP(CP$18,HourlyTimeseries!$A:$A,HourlyTimeseries!$Q:$Q),"")</f>
        <v>1.0735000031335014</v>
      </c>
      <c r="CQ76" s="51">
        <f>IFERROR(LOOKUP(CQ$18,HourlyTimeseries!$A:$A,HourlyTimeseries!$Q:$Q),"")</f>
        <v>1.3760714275496346</v>
      </c>
      <c r="CR76" s="51">
        <f>IFERROR(LOOKUP(CR$18,HourlyTimeseries!$A:$A,HourlyTimeseries!$Q:$Q),"")</f>
        <v>1.5774285623005457</v>
      </c>
      <c r="CS76" s="51">
        <f>IFERROR(LOOKUP(CS$18,HourlyTimeseries!$A:$A,HourlyTimeseries!$Q:$Q),"")</f>
        <v>1.776142852646964</v>
      </c>
      <c r="CT76" s="51">
        <f>IFERROR(LOOKUP(CT$18,HourlyTimeseries!$A:$A,HourlyTimeseries!$Q:$Q),"")</f>
        <v>1.8817142588751656</v>
      </c>
      <c r="CU76" s="51">
        <f>IFERROR(LOOKUP(CU$18,HourlyTimeseries!$A:$A,HourlyTimeseries!$Q:$Q),"")</f>
        <v>2.2282856873103549</v>
      </c>
      <c r="CV76" s="60">
        <f>IFERROR(LOOKUP(CV$18,HourlyTimeseries!$A:$A,HourlyTimeseries!$Q:$Q),"")</f>
        <v>2.3557142189570834</v>
      </c>
      <c r="CW76" s="67">
        <f>IFERROR(LOOKUP(CW$18,HourlyTimeseries!$A:$A,HourlyTimeseries!$Q:$Q),"")</f>
        <v>2.160285702773503</v>
      </c>
      <c r="CX76" s="51">
        <f>IFERROR(LOOKUP(CX$18,HourlyTimeseries!$A:$A,HourlyTimeseries!$Q:$Q),"")</f>
        <v>2.4718571390424455</v>
      </c>
      <c r="CY76" s="51">
        <f>IFERROR(LOOKUP(CY$18,HourlyTimeseries!$A:$A,HourlyTimeseries!$Q:$Q),"")</f>
        <v>2.5034285613468716</v>
      </c>
      <c r="CZ76" s="51">
        <f>IFERROR(LOOKUP(CZ$18,HourlyTimeseries!$A:$A,HourlyTimeseries!$Q:$Q),"")</f>
        <v>2.5060000419616699</v>
      </c>
      <c r="DA76" s="51">
        <f>IFERROR(LOOKUP(DA$18,HourlyTimeseries!$A:$A,HourlyTimeseries!$Q:$Q),"")</f>
        <v>2.5351428644997731</v>
      </c>
      <c r="DB76" s="51">
        <f>IFERROR(LOOKUP(DB$18,HourlyTimeseries!$A:$A,HourlyTimeseries!$Q:$Q),"")</f>
        <v>2.6308570929936002</v>
      </c>
      <c r="DC76" s="51">
        <f>IFERROR(LOOKUP(DC$18,HourlyTimeseries!$A:$A,HourlyTimeseries!$Q:$Q),"")</f>
        <v>2.6167142391204834</v>
      </c>
      <c r="DD76" s="51">
        <f>IFERROR(LOOKUP(DD$18,HourlyTimeseries!$A:$A,HourlyTimeseries!$Q:$Q),"")</f>
        <v>2.5078571183340892</v>
      </c>
      <c r="DE76" s="51">
        <f>IFERROR(LOOKUP(DE$18,HourlyTimeseries!$A:$A,HourlyTimeseries!$Q:$Q),"")</f>
        <v>2.3500000068119595</v>
      </c>
      <c r="DF76" s="51">
        <f>IFERROR(LOOKUP(DF$18,HourlyTimeseries!$A:$A,HourlyTimeseries!$Q:$Q),"")</f>
        <v>2.1847142832619801</v>
      </c>
      <c r="DG76" s="51">
        <f>IFERROR(LOOKUP(DG$18,HourlyTimeseries!$A:$A,HourlyTimeseries!$Q:$Q),"")</f>
        <v>2.0077143056052074</v>
      </c>
      <c r="DH76" s="51">
        <f>IFERROR(LOOKUP(DH$18,HourlyTimeseries!$A:$A,HourlyTimeseries!$Q:$Q),"")</f>
        <v>1.7969999824251448</v>
      </c>
      <c r="DI76" s="51">
        <f>IFERROR(LOOKUP(DI$18,HourlyTimeseries!$A:$A,HourlyTimeseries!$Q:$Q),"")</f>
        <v>1.5904285567147392</v>
      </c>
      <c r="DJ76" s="51">
        <f>IFERROR(LOOKUP(DJ$18,HourlyTimeseries!$A:$A,HourlyTimeseries!$Q:$Q),"")</f>
        <v>1.3895714112690516</v>
      </c>
      <c r="DK76" s="51">
        <f>IFERROR(LOOKUP(DK$18,HourlyTimeseries!$A:$A,HourlyTimeseries!$Q:$Q),"")</f>
        <v>0.96357142499514992</v>
      </c>
      <c r="DL76" s="51">
        <f>IFERROR(LOOKUP(DL$18,HourlyTimeseries!$A:$A,HourlyTimeseries!$Q:$Q),"")</f>
        <v>0.84407143933432438</v>
      </c>
      <c r="DM76" s="51">
        <f>IFERROR(LOOKUP(DM$18,HourlyTimeseries!$A:$A,HourlyTimeseries!$Q:$Q),"")</f>
        <v>0.87021427069391522</v>
      </c>
      <c r="DN76" s="51">
        <f>IFERROR(LOOKUP(DN$18,HourlyTimeseries!$A:$A,HourlyTimeseries!$Q:$Q),"")</f>
        <v>1.0735000031335014</v>
      </c>
      <c r="DO76" s="51">
        <f>IFERROR(LOOKUP(DO$18,HourlyTimeseries!$A:$A,HourlyTimeseries!$Q:$Q),"")</f>
        <v>1.3760714275496346</v>
      </c>
      <c r="DP76" s="51">
        <f>IFERROR(LOOKUP(DP$18,HourlyTimeseries!$A:$A,HourlyTimeseries!$Q:$Q),"")</f>
        <v>1.5774285623005457</v>
      </c>
      <c r="DQ76" s="51">
        <f>IFERROR(LOOKUP(DQ$18,HourlyTimeseries!$A:$A,HourlyTimeseries!$Q:$Q),"")</f>
        <v>1.776142852646964</v>
      </c>
      <c r="DR76" s="51">
        <f>IFERROR(LOOKUP(DR$18,HourlyTimeseries!$A:$A,HourlyTimeseries!$Q:$Q),"")</f>
        <v>1.8817142588751656</v>
      </c>
      <c r="DS76" s="51">
        <f>IFERROR(LOOKUP(DS$18,HourlyTimeseries!$A:$A,HourlyTimeseries!$Q:$Q),"")</f>
        <v>2.2282856873103549</v>
      </c>
      <c r="DT76" s="60">
        <f>IFERROR(LOOKUP(DT$18,HourlyTimeseries!$A:$A,HourlyTimeseries!$Q:$Q),"")</f>
        <v>2.3557142189570834</v>
      </c>
      <c r="DU76" s="67">
        <f>IFERROR(LOOKUP(DU$18,HourlyTimeseries!$A:$A,HourlyTimeseries!$Q:$Q),"")</f>
        <v>2.160285702773503</v>
      </c>
      <c r="DV76" s="51">
        <f>IFERROR(LOOKUP(DV$18,HourlyTimeseries!$A:$A,HourlyTimeseries!$Q:$Q),"")</f>
        <v>2.4718571390424455</v>
      </c>
      <c r="DW76" s="51">
        <f>IFERROR(LOOKUP(DW$18,HourlyTimeseries!$A:$A,HourlyTimeseries!$Q:$Q),"")</f>
        <v>2.5034285613468716</v>
      </c>
      <c r="DX76" s="51">
        <f>IFERROR(LOOKUP(DX$18,HourlyTimeseries!$A:$A,HourlyTimeseries!$Q:$Q),"")</f>
        <v>2.5060000419616699</v>
      </c>
      <c r="DY76" s="51">
        <f>IFERROR(LOOKUP(DY$18,HourlyTimeseries!$A:$A,HourlyTimeseries!$Q:$Q),"")</f>
        <v>2.5351428644997731</v>
      </c>
      <c r="DZ76" s="51">
        <f>IFERROR(LOOKUP(DZ$18,HourlyTimeseries!$A:$A,HourlyTimeseries!$Q:$Q),"")</f>
        <v>2.6308570929936002</v>
      </c>
      <c r="EA76" s="51">
        <f>IFERROR(LOOKUP(EA$18,HourlyTimeseries!$A:$A,HourlyTimeseries!$Q:$Q),"")</f>
        <v>2.6167142391204834</v>
      </c>
      <c r="EB76" s="51">
        <f>IFERROR(LOOKUP(EB$18,HourlyTimeseries!$A:$A,HourlyTimeseries!$Q:$Q),"")</f>
        <v>2.5078571183340892</v>
      </c>
      <c r="EC76" s="51">
        <f>IFERROR(LOOKUP(EC$18,HourlyTimeseries!$A:$A,HourlyTimeseries!$Q:$Q),"")</f>
        <v>2.3500000068119595</v>
      </c>
      <c r="ED76" s="51">
        <f>IFERROR(LOOKUP(ED$18,HourlyTimeseries!$A:$A,HourlyTimeseries!$Q:$Q),"")</f>
        <v>2.1847142832619801</v>
      </c>
      <c r="EE76" s="51">
        <f>IFERROR(LOOKUP(EE$18,HourlyTimeseries!$A:$A,HourlyTimeseries!$Q:$Q),"")</f>
        <v>2.0077143056052074</v>
      </c>
      <c r="EF76" s="51">
        <f>IFERROR(LOOKUP(EF$18,HourlyTimeseries!$A:$A,HourlyTimeseries!$Q:$Q),"")</f>
        <v>1.7969999824251448</v>
      </c>
      <c r="EG76" s="51">
        <f>IFERROR(LOOKUP(EG$18,HourlyTimeseries!$A:$A,HourlyTimeseries!$Q:$Q),"")</f>
        <v>1.5904285567147392</v>
      </c>
      <c r="EH76" s="51">
        <f>IFERROR(LOOKUP(EH$18,HourlyTimeseries!$A:$A,HourlyTimeseries!$Q:$Q),"")</f>
        <v>1.3895714112690516</v>
      </c>
      <c r="EI76" s="51">
        <f>IFERROR(LOOKUP(EI$18,HourlyTimeseries!$A:$A,HourlyTimeseries!$Q:$Q),"")</f>
        <v>0.96357142499514992</v>
      </c>
      <c r="EJ76" s="51">
        <f>IFERROR(LOOKUP(EJ$18,HourlyTimeseries!$A:$A,HourlyTimeseries!$Q:$Q),"")</f>
        <v>0.84407143933432438</v>
      </c>
      <c r="EK76" s="51">
        <f>IFERROR(LOOKUP(EK$18,HourlyTimeseries!$A:$A,HourlyTimeseries!$Q:$Q),"")</f>
        <v>0.87021427069391522</v>
      </c>
      <c r="EL76" s="51">
        <f>IFERROR(LOOKUP(EL$18,HourlyTimeseries!$A:$A,HourlyTimeseries!$Q:$Q),"")</f>
        <v>1.0735000031335014</v>
      </c>
      <c r="EM76" s="51">
        <f>IFERROR(LOOKUP(EM$18,HourlyTimeseries!$A:$A,HourlyTimeseries!$Q:$Q),"")</f>
        <v>1.3760714275496346</v>
      </c>
      <c r="EN76" s="51">
        <f>IFERROR(LOOKUP(EN$18,HourlyTimeseries!$A:$A,HourlyTimeseries!$Q:$Q),"")</f>
        <v>1.5774285623005457</v>
      </c>
      <c r="EO76" s="51">
        <f>IFERROR(LOOKUP(EO$18,HourlyTimeseries!$A:$A,HourlyTimeseries!$Q:$Q),"")</f>
        <v>1.776142852646964</v>
      </c>
      <c r="EP76" s="51">
        <f>IFERROR(LOOKUP(EP$18,HourlyTimeseries!$A:$A,HourlyTimeseries!$Q:$Q),"")</f>
        <v>1.8817142588751656</v>
      </c>
      <c r="EQ76" s="51">
        <f>IFERROR(LOOKUP(EQ$18,HourlyTimeseries!$A:$A,HourlyTimeseries!$Q:$Q),"")</f>
        <v>2.2282856873103549</v>
      </c>
      <c r="ER76" s="60">
        <f>IFERROR(LOOKUP(ER$18,HourlyTimeseries!$A:$A,HourlyTimeseries!$Q:$Q),"")</f>
        <v>2.3557142189570834</v>
      </c>
      <c r="ES76" s="67">
        <f>IFERROR(LOOKUP(ES$18,HourlyTimeseries!$A:$A,HourlyTimeseries!$Q:$Q),"")</f>
        <v>2.160285702773503</v>
      </c>
      <c r="ET76" s="51">
        <f>IFERROR(LOOKUP(ET$18,HourlyTimeseries!$A:$A,HourlyTimeseries!$Q:$Q),"")</f>
        <v>2.4718571390424455</v>
      </c>
      <c r="EU76" s="51">
        <f>IFERROR(LOOKUP(EU$18,HourlyTimeseries!$A:$A,HourlyTimeseries!$Q:$Q),"")</f>
        <v>2.5034285613468716</v>
      </c>
      <c r="EV76" s="51">
        <f>IFERROR(LOOKUP(EV$18,HourlyTimeseries!$A:$A,HourlyTimeseries!$Q:$Q),"")</f>
        <v>2.5060000419616699</v>
      </c>
      <c r="EW76" s="51">
        <f>IFERROR(LOOKUP(EW$18,HourlyTimeseries!$A:$A,HourlyTimeseries!$Q:$Q),"")</f>
        <v>2.5351428644997731</v>
      </c>
      <c r="EX76" s="51">
        <f>IFERROR(LOOKUP(EX$18,HourlyTimeseries!$A:$A,HourlyTimeseries!$Q:$Q),"")</f>
        <v>2.6308570929936002</v>
      </c>
      <c r="EY76" s="51">
        <f>IFERROR(LOOKUP(EY$18,HourlyTimeseries!$A:$A,HourlyTimeseries!$Q:$Q),"")</f>
        <v>2.6167142391204834</v>
      </c>
      <c r="EZ76" s="51">
        <f>IFERROR(LOOKUP(EZ$18,HourlyTimeseries!$A:$A,HourlyTimeseries!$Q:$Q),"")</f>
        <v>2.5078571183340892</v>
      </c>
      <c r="FA76" s="51">
        <f>IFERROR(LOOKUP(FA$18,HourlyTimeseries!$A:$A,HourlyTimeseries!$Q:$Q),"")</f>
        <v>2.3500000068119595</v>
      </c>
      <c r="FB76" s="51">
        <f>IFERROR(LOOKUP(FB$18,HourlyTimeseries!$A:$A,HourlyTimeseries!$Q:$Q),"")</f>
        <v>2.1847142832619801</v>
      </c>
      <c r="FC76" s="51">
        <f>IFERROR(LOOKUP(FC$18,HourlyTimeseries!$A:$A,HourlyTimeseries!$Q:$Q),"")</f>
        <v>2.0077143056052074</v>
      </c>
      <c r="FD76" s="51">
        <f>IFERROR(LOOKUP(FD$18,HourlyTimeseries!$A:$A,HourlyTimeseries!$Q:$Q),"")</f>
        <v>1.7969999824251448</v>
      </c>
      <c r="FE76" s="51">
        <f>IFERROR(LOOKUP(FE$18,HourlyTimeseries!$A:$A,HourlyTimeseries!$Q:$Q),"")</f>
        <v>1.5904285567147392</v>
      </c>
      <c r="FF76" s="51">
        <f>IFERROR(LOOKUP(FF$18,HourlyTimeseries!$A:$A,HourlyTimeseries!$Q:$Q),"")</f>
        <v>1.3895714112690516</v>
      </c>
      <c r="FG76" s="51">
        <f>IFERROR(LOOKUP(FG$18,HourlyTimeseries!$A:$A,HourlyTimeseries!$Q:$Q),"")</f>
        <v>0.96357142499514992</v>
      </c>
      <c r="FH76" s="51">
        <f>IFERROR(LOOKUP(FH$18,HourlyTimeseries!$A:$A,HourlyTimeseries!$Q:$Q),"")</f>
        <v>0.84407143933432438</v>
      </c>
      <c r="FI76" s="51">
        <f>IFERROR(LOOKUP(FI$18,HourlyTimeseries!$A:$A,HourlyTimeseries!$Q:$Q),"")</f>
        <v>0.87021427069391522</v>
      </c>
      <c r="FJ76" s="51">
        <f>IFERROR(LOOKUP(FJ$18,HourlyTimeseries!$A:$A,HourlyTimeseries!$Q:$Q),"")</f>
        <v>1.0735000031335014</v>
      </c>
      <c r="FK76" s="51">
        <f>IFERROR(LOOKUP(FK$18,HourlyTimeseries!$A:$A,HourlyTimeseries!$Q:$Q),"")</f>
        <v>1.3760714275496346</v>
      </c>
      <c r="FL76" s="51">
        <f>IFERROR(LOOKUP(FL$18,HourlyTimeseries!$A:$A,HourlyTimeseries!$Q:$Q),"")</f>
        <v>1.5774285623005457</v>
      </c>
      <c r="FM76" s="51">
        <f>IFERROR(LOOKUP(FM$18,HourlyTimeseries!$A:$A,HourlyTimeseries!$Q:$Q),"")</f>
        <v>1.776142852646964</v>
      </c>
      <c r="FN76" s="51">
        <f>IFERROR(LOOKUP(FN$18,HourlyTimeseries!$A:$A,HourlyTimeseries!$Q:$Q),"")</f>
        <v>1.8817142588751656</v>
      </c>
      <c r="FO76" s="51">
        <f>IFERROR(LOOKUP(FO$18,HourlyTimeseries!$A:$A,HourlyTimeseries!$Q:$Q),"")</f>
        <v>2.2282856873103549</v>
      </c>
      <c r="FP76" s="60">
        <f>IFERROR(LOOKUP(FP$18,HourlyTimeseries!$A:$A,HourlyTimeseries!$Q:$Q),"")</f>
        <v>2.3557142189570834</v>
      </c>
    </row>
    <row r="77" spans="1:172" ht="18" thickBot="1">
      <c r="A77" s="15"/>
      <c r="B77" s="3"/>
      <c r="C77" s="3"/>
      <c r="D77" s="3"/>
      <c r="E77" s="3" t="s">
        <v>365</v>
      </c>
      <c r="F77" s="3" t="s">
        <v>366</v>
      </c>
      <c r="G77" s="3" t="s">
        <v>367</v>
      </c>
      <c r="H77" s="3" t="s">
        <v>368</v>
      </c>
      <c r="I77" s="3" t="s">
        <v>369</v>
      </c>
      <c r="J77" s="3" t="s">
        <v>370</v>
      </c>
      <c r="K77" s="3" t="s">
        <v>371</v>
      </c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69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69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69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69"/>
      <c r="CX77" s="43"/>
      <c r="CY77" s="43"/>
      <c r="CZ77" s="43"/>
      <c r="DA77" s="43"/>
      <c r="DB77" s="43"/>
      <c r="DC77" s="43"/>
      <c r="DD77" s="43"/>
      <c r="DE77" s="43"/>
      <c r="DF77" s="43"/>
      <c r="DG77" s="43"/>
      <c r="DH77" s="43"/>
      <c r="DI77" s="43"/>
      <c r="DJ77" s="43"/>
      <c r="DK77" s="43"/>
      <c r="DL77" s="43"/>
      <c r="DM77" s="43"/>
      <c r="DN77" s="43"/>
      <c r="DO77" s="43"/>
      <c r="DP77" s="43"/>
      <c r="DQ77" s="43"/>
      <c r="DR77" s="43"/>
      <c r="DS77" s="43"/>
      <c r="DT77" s="43"/>
      <c r="DU77" s="69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M77" s="43"/>
      <c r="EN77" s="43"/>
      <c r="EO77" s="43"/>
      <c r="EP77" s="43"/>
      <c r="EQ77" s="43"/>
      <c r="ER77" s="43"/>
      <c r="ES77" s="69"/>
      <c r="ET77" s="43"/>
      <c r="EU77" s="43"/>
      <c r="EV77" s="43"/>
      <c r="EW77" s="43"/>
      <c r="EX77" s="43"/>
      <c r="EY77" s="43"/>
      <c r="EZ77" s="43"/>
      <c r="FA77" s="43"/>
      <c r="FB77" s="43"/>
      <c r="FC77" s="43"/>
      <c r="FD77" s="43"/>
      <c r="FE77" s="43"/>
      <c r="FF77" s="43"/>
      <c r="FG77" s="43"/>
      <c r="FH77" s="43"/>
      <c r="FI77" s="43"/>
      <c r="FJ77" s="43"/>
      <c r="FK77" s="43"/>
      <c r="FL77" s="43"/>
      <c r="FM77" s="43"/>
      <c r="FN77" s="43"/>
      <c r="FO77" s="43"/>
      <c r="FP77" s="43"/>
    </row>
    <row r="78" spans="1:172" ht="15" thickTop="1">
      <c r="A78" s="15" t="s">
        <v>38</v>
      </c>
      <c r="B78" s="2" t="s">
        <v>169</v>
      </c>
      <c r="C78" s="42" t="s">
        <v>135</v>
      </c>
      <c r="D78" s="54"/>
      <c r="E78" s="51">
        <f>IFERROR(LOOKUP(E$20,DailyTimeseries!$A:$A,DailyTimeseries!$D:$D),"")</f>
        <v>15.5</v>
      </c>
      <c r="F78" s="51">
        <f>IFERROR(LOOKUP(F$20,DailyTimeseries!$A:$A,DailyTimeseries!$D:$D),"")</f>
        <v>15.5</v>
      </c>
      <c r="G78" s="51">
        <f>IFERROR(LOOKUP(G$20,DailyTimeseries!$A:$A,DailyTimeseries!$D:$D),"")</f>
        <v>15.5</v>
      </c>
      <c r="H78" s="51">
        <f>IFERROR(LOOKUP(H$20,DailyTimeseries!$A:$A,DailyTimeseries!$D:$D),"")</f>
        <v>15.5</v>
      </c>
      <c r="I78" s="51">
        <f>IFERROR(LOOKUP(I$20,DailyTimeseries!$A:$A,DailyTimeseries!$D:$D),"")</f>
        <v>15.5</v>
      </c>
      <c r="J78" s="51">
        <f>IFERROR(LOOKUP(J$20,DailyTimeseries!$A:$A,DailyTimeseries!$D:$D),"")</f>
        <v>15.5</v>
      </c>
      <c r="K78" s="51">
        <f>IFERROR(LOOKUP(K$20,DailyTimeseries!$A:$A,DailyTimeseries!$D:$D),"")</f>
        <v>15.5</v>
      </c>
    </row>
    <row r="79" spans="1:172">
      <c r="A79" s="15" t="s">
        <v>39</v>
      </c>
      <c r="B79" s="2" t="s">
        <v>4</v>
      </c>
      <c r="C79" s="8" t="s">
        <v>136</v>
      </c>
      <c r="D79" s="55"/>
      <c r="E79" s="53">
        <f t="shared" ref="E79:K79" si="8">SUMIFS($E$76:$FP$76,$E$19:$FP$19,E21)/24</f>
        <v>1.9249285604982147</v>
      </c>
      <c r="F79" s="53">
        <f t="shared" si="8"/>
        <v>1.9249285604982147</v>
      </c>
      <c r="G79" s="53">
        <f t="shared" si="8"/>
        <v>1.9249285604982147</v>
      </c>
      <c r="H79" s="53">
        <f t="shared" si="8"/>
        <v>1.9249285604982147</v>
      </c>
      <c r="I79" s="53">
        <f t="shared" si="8"/>
        <v>1.9249285604982147</v>
      </c>
      <c r="J79" s="53">
        <f t="shared" si="8"/>
        <v>1.9249285604982147</v>
      </c>
      <c r="K79" s="53">
        <f t="shared" si="8"/>
        <v>1.9249285604982147</v>
      </c>
    </row>
    <row r="81" spans="1:172" ht="20.399999999999999" thickBot="1">
      <c r="A81" s="1" t="s">
        <v>86</v>
      </c>
      <c r="B81" s="7" t="s">
        <v>32</v>
      </c>
      <c r="C81" s="3" t="s">
        <v>132</v>
      </c>
      <c r="D81" s="7"/>
      <c r="E81" s="3" t="s">
        <v>7</v>
      </c>
      <c r="F81" s="3" t="s">
        <v>8</v>
      </c>
      <c r="G81" s="3" t="s">
        <v>9</v>
      </c>
      <c r="H81" s="3" t="s">
        <v>10</v>
      </c>
      <c r="I81" s="3" t="s">
        <v>11</v>
      </c>
      <c r="J81" s="3" t="s">
        <v>12</v>
      </c>
      <c r="K81" s="3" t="s">
        <v>13</v>
      </c>
      <c r="L81" s="3" t="s">
        <v>14</v>
      </c>
      <c r="M81" s="3" t="s">
        <v>15</v>
      </c>
      <c r="N81" s="3" t="s">
        <v>16</v>
      </c>
      <c r="O81" s="3" t="s">
        <v>17</v>
      </c>
      <c r="P81" s="3" t="s">
        <v>18</v>
      </c>
      <c r="Q81" s="3" t="s">
        <v>19</v>
      </c>
      <c r="R81" s="3" t="s">
        <v>20</v>
      </c>
      <c r="S81" s="3" t="s">
        <v>21</v>
      </c>
      <c r="T81" s="3" t="s">
        <v>22</v>
      </c>
      <c r="U81" s="3" t="s">
        <v>23</v>
      </c>
      <c r="V81" s="3" t="s">
        <v>24</v>
      </c>
      <c r="W81" s="3" t="s">
        <v>25</v>
      </c>
      <c r="X81" s="3" t="s">
        <v>26</v>
      </c>
      <c r="Y81" s="3" t="s">
        <v>27</v>
      </c>
      <c r="Z81" s="3" t="s">
        <v>28</v>
      </c>
      <c r="AA81" s="3" t="s">
        <v>29</v>
      </c>
      <c r="AB81" s="3" t="s">
        <v>30</v>
      </c>
      <c r="AC81" s="65" t="s">
        <v>221</v>
      </c>
      <c r="AD81" s="3" t="s">
        <v>222</v>
      </c>
      <c r="AE81" s="3" t="s">
        <v>223</v>
      </c>
      <c r="AF81" s="3" t="s">
        <v>224</v>
      </c>
      <c r="AG81" s="3" t="s">
        <v>225</v>
      </c>
      <c r="AH81" s="3" t="s">
        <v>226</v>
      </c>
      <c r="AI81" s="3" t="s">
        <v>227</v>
      </c>
      <c r="AJ81" s="3" t="s">
        <v>228</v>
      </c>
      <c r="AK81" s="3" t="s">
        <v>229</v>
      </c>
      <c r="AL81" s="3" t="s">
        <v>230</v>
      </c>
      <c r="AM81" s="3" t="s">
        <v>231</v>
      </c>
      <c r="AN81" s="3" t="s">
        <v>232</v>
      </c>
      <c r="AO81" s="3" t="s">
        <v>233</v>
      </c>
      <c r="AP81" s="3" t="s">
        <v>234</v>
      </c>
      <c r="AQ81" s="3" t="s">
        <v>235</v>
      </c>
      <c r="AR81" s="3" t="s">
        <v>236</v>
      </c>
      <c r="AS81" s="3" t="s">
        <v>237</v>
      </c>
      <c r="AT81" s="3" t="s">
        <v>238</v>
      </c>
      <c r="AU81" s="3" t="s">
        <v>239</v>
      </c>
      <c r="AV81" s="3" t="s">
        <v>240</v>
      </c>
      <c r="AW81" s="3" t="s">
        <v>241</v>
      </c>
      <c r="AX81" s="3" t="s">
        <v>242</v>
      </c>
      <c r="AY81" s="3" t="s">
        <v>243</v>
      </c>
      <c r="AZ81" s="3" t="s">
        <v>244</v>
      </c>
      <c r="BA81" s="65" t="s">
        <v>245</v>
      </c>
      <c r="BB81" s="3" t="s">
        <v>246</v>
      </c>
      <c r="BC81" s="3" t="s">
        <v>247</v>
      </c>
      <c r="BD81" s="3" t="s">
        <v>248</v>
      </c>
      <c r="BE81" s="3" t="s">
        <v>249</v>
      </c>
      <c r="BF81" s="3" t="s">
        <v>250</v>
      </c>
      <c r="BG81" s="3" t="s">
        <v>251</v>
      </c>
      <c r="BH81" s="3" t="s">
        <v>252</v>
      </c>
      <c r="BI81" s="3" t="s">
        <v>253</v>
      </c>
      <c r="BJ81" s="3" t="s">
        <v>254</v>
      </c>
      <c r="BK81" s="3" t="s">
        <v>255</v>
      </c>
      <c r="BL81" s="3" t="s">
        <v>256</v>
      </c>
      <c r="BM81" s="3" t="s">
        <v>257</v>
      </c>
      <c r="BN81" s="3" t="s">
        <v>258</v>
      </c>
      <c r="BO81" s="3" t="s">
        <v>259</v>
      </c>
      <c r="BP81" s="3" t="s">
        <v>260</v>
      </c>
      <c r="BQ81" s="3" t="s">
        <v>261</v>
      </c>
      <c r="BR81" s="3" t="s">
        <v>262</v>
      </c>
      <c r="BS81" s="3" t="s">
        <v>263</v>
      </c>
      <c r="BT81" s="3" t="s">
        <v>264</v>
      </c>
      <c r="BU81" s="3" t="s">
        <v>265</v>
      </c>
      <c r="BV81" s="3" t="s">
        <v>266</v>
      </c>
      <c r="BW81" s="3" t="s">
        <v>267</v>
      </c>
      <c r="BX81" s="3" t="s">
        <v>268</v>
      </c>
      <c r="BY81" s="65" t="s">
        <v>269</v>
      </c>
      <c r="BZ81" s="3" t="s">
        <v>270</v>
      </c>
      <c r="CA81" s="3" t="s">
        <v>271</v>
      </c>
      <c r="CB81" s="3" t="s">
        <v>272</v>
      </c>
      <c r="CC81" s="3" t="s">
        <v>273</v>
      </c>
      <c r="CD81" s="3" t="s">
        <v>274</v>
      </c>
      <c r="CE81" s="3" t="s">
        <v>275</v>
      </c>
      <c r="CF81" s="3" t="s">
        <v>276</v>
      </c>
      <c r="CG81" s="3" t="s">
        <v>277</v>
      </c>
      <c r="CH81" s="3" t="s">
        <v>278</v>
      </c>
      <c r="CI81" s="3" t="s">
        <v>279</v>
      </c>
      <c r="CJ81" s="3" t="s">
        <v>280</v>
      </c>
      <c r="CK81" s="3" t="s">
        <v>281</v>
      </c>
      <c r="CL81" s="3" t="s">
        <v>282</v>
      </c>
      <c r="CM81" s="3" t="s">
        <v>283</v>
      </c>
      <c r="CN81" s="3" t="s">
        <v>284</v>
      </c>
      <c r="CO81" s="3" t="s">
        <v>285</v>
      </c>
      <c r="CP81" s="3" t="s">
        <v>286</v>
      </c>
      <c r="CQ81" s="3" t="s">
        <v>287</v>
      </c>
      <c r="CR81" s="3" t="s">
        <v>288</v>
      </c>
      <c r="CS81" s="3" t="s">
        <v>289</v>
      </c>
      <c r="CT81" s="3" t="s">
        <v>290</v>
      </c>
      <c r="CU81" s="3" t="s">
        <v>291</v>
      </c>
      <c r="CV81" s="3" t="s">
        <v>292</v>
      </c>
      <c r="CW81" s="65" t="s">
        <v>293</v>
      </c>
      <c r="CX81" s="3" t="s">
        <v>294</v>
      </c>
      <c r="CY81" s="3" t="s">
        <v>295</v>
      </c>
      <c r="CZ81" s="3" t="s">
        <v>296</v>
      </c>
      <c r="DA81" s="3" t="s">
        <v>297</v>
      </c>
      <c r="DB81" s="3" t="s">
        <v>298</v>
      </c>
      <c r="DC81" s="3" t="s">
        <v>299</v>
      </c>
      <c r="DD81" s="3" t="s">
        <v>300</v>
      </c>
      <c r="DE81" s="3" t="s">
        <v>301</v>
      </c>
      <c r="DF81" s="3" t="s">
        <v>302</v>
      </c>
      <c r="DG81" s="3" t="s">
        <v>303</v>
      </c>
      <c r="DH81" s="3" t="s">
        <v>304</v>
      </c>
      <c r="DI81" s="3" t="s">
        <v>305</v>
      </c>
      <c r="DJ81" s="3" t="s">
        <v>306</v>
      </c>
      <c r="DK81" s="3" t="s">
        <v>307</v>
      </c>
      <c r="DL81" s="3" t="s">
        <v>308</v>
      </c>
      <c r="DM81" s="3" t="s">
        <v>309</v>
      </c>
      <c r="DN81" s="3" t="s">
        <v>310</v>
      </c>
      <c r="DO81" s="3" t="s">
        <v>311</v>
      </c>
      <c r="DP81" s="3" t="s">
        <v>312</v>
      </c>
      <c r="DQ81" s="3" t="s">
        <v>313</v>
      </c>
      <c r="DR81" s="3" t="s">
        <v>314</v>
      </c>
      <c r="DS81" s="3" t="s">
        <v>315</v>
      </c>
      <c r="DT81" s="3" t="s">
        <v>316</v>
      </c>
      <c r="DU81" s="65" t="s">
        <v>317</v>
      </c>
      <c r="DV81" s="3" t="s">
        <v>318</v>
      </c>
      <c r="DW81" s="3" t="s">
        <v>319</v>
      </c>
      <c r="DX81" s="3" t="s">
        <v>320</v>
      </c>
      <c r="DY81" s="3" t="s">
        <v>321</v>
      </c>
      <c r="DZ81" s="3" t="s">
        <v>322</v>
      </c>
      <c r="EA81" s="3" t="s">
        <v>323</v>
      </c>
      <c r="EB81" s="3" t="s">
        <v>324</v>
      </c>
      <c r="EC81" s="3" t="s">
        <v>325</v>
      </c>
      <c r="ED81" s="3" t="s">
        <v>326</v>
      </c>
      <c r="EE81" s="3" t="s">
        <v>327</v>
      </c>
      <c r="EF81" s="3" t="s">
        <v>328</v>
      </c>
      <c r="EG81" s="3" t="s">
        <v>329</v>
      </c>
      <c r="EH81" s="3" t="s">
        <v>330</v>
      </c>
      <c r="EI81" s="3" t="s">
        <v>331</v>
      </c>
      <c r="EJ81" s="3" t="s">
        <v>332</v>
      </c>
      <c r="EK81" s="3" t="s">
        <v>333</v>
      </c>
      <c r="EL81" s="3" t="s">
        <v>334</v>
      </c>
      <c r="EM81" s="3" t="s">
        <v>335</v>
      </c>
      <c r="EN81" s="3" t="s">
        <v>336</v>
      </c>
      <c r="EO81" s="3" t="s">
        <v>337</v>
      </c>
      <c r="EP81" s="3" t="s">
        <v>338</v>
      </c>
      <c r="EQ81" s="3" t="s">
        <v>339</v>
      </c>
      <c r="ER81" s="3" t="s">
        <v>340</v>
      </c>
      <c r="ES81" s="65" t="s">
        <v>341</v>
      </c>
      <c r="ET81" s="3" t="s">
        <v>342</v>
      </c>
      <c r="EU81" s="3" t="s">
        <v>343</v>
      </c>
      <c r="EV81" s="3" t="s">
        <v>344</v>
      </c>
      <c r="EW81" s="3" t="s">
        <v>345</v>
      </c>
      <c r="EX81" s="3" t="s">
        <v>346</v>
      </c>
      <c r="EY81" s="3" t="s">
        <v>347</v>
      </c>
      <c r="EZ81" s="3" t="s">
        <v>348</v>
      </c>
      <c r="FA81" s="3" t="s">
        <v>349</v>
      </c>
      <c r="FB81" s="3" t="s">
        <v>350</v>
      </c>
      <c r="FC81" s="3" t="s">
        <v>351</v>
      </c>
      <c r="FD81" s="3" t="s">
        <v>352</v>
      </c>
      <c r="FE81" s="3" t="s">
        <v>353</v>
      </c>
      <c r="FF81" s="3" t="s">
        <v>354</v>
      </c>
      <c r="FG81" s="3" t="s">
        <v>355</v>
      </c>
      <c r="FH81" s="3" t="s">
        <v>356</v>
      </c>
      <c r="FI81" s="3" t="s">
        <v>357</v>
      </c>
      <c r="FJ81" s="3" t="s">
        <v>358</v>
      </c>
      <c r="FK81" s="3" t="s">
        <v>359</v>
      </c>
      <c r="FL81" s="3" t="s">
        <v>360</v>
      </c>
      <c r="FM81" s="3" t="s">
        <v>361</v>
      </c>
      <c r="FN81" s="3" t="s">
        <v>362</v>
      </c>
      <c r="FO81" s="3" t="s">
        <v>363</v>
      </c>
      <c r="FP81" s="3" t="s">
        <v>364</v>
      </c>
    </row>
    <row r="82" spans="1:172" ht="15" thickTop="1">
      <c r="A82" t="s">
        <v>87</v>
      </c>
      <c r="B82" s="2" t="s">
        <v>89</v>
      </c>
      <c r="C82" s="8" t="s">
        <v>133</v>
      </c>
      <c r="D82" s="44"/>
      <c r="E82" s="51">
        <f>IFERROR(LOOKUP(E$18,HourlyTimeseries!$A:$A,HourlyTimeseries!$R:$R),"")</f>
        <v>10</v>
      </c>
      <c r="F82" s="51">
        <f>IFERROR(LOOKUP(F$18,HourlyTimeseries!$A:$A,HourlyTimeseries!$R:$R),"")</f>
        <v>10</v>
      </c>
      <c r="G82" s="51">
        <f>IFERROR(LOOKUP(G$18,HourlyTimeseries!$A:$A,HourlyTimeseries!$R:$R),"")</f>
        <v>10</v>
      </c>
      <c r="H82" s="51">
        <f>IFERROR(LOOKUP(H$18,HourlyTimeseries!$A:$A,HourlyTimeseries!$R:$R),"")</f>
        <v>10</v>
      </c>
      <c r="I82" s="51">
        <f>IFERROR(LOOKUP(I$18,HourlyTimeseries!$A:$A,HourlyTimeseries!$R:$R),"")</f>
        <v>10</v>
      </c>
      <c r="J82" s="51">
        <f>IFERROR(LOOKUP(J$18,HourlyTimeseries!$A:$A,HourlyTimeseries!$R:$R),"")</f>
        <v>10</v>
      </c>
      <c r="K82" s="51">
        <f>IFERROR(LOOKUP(K$18,HourlyTimeseries!$A:$A,HourlyTimeseries!$R:$R),"")</f>
        <v>10</v>
      </c>
      <c r="L82" s="51">
        <f>IFERROR(LOOKUP(L$18,HourlyTimeseries!$A:$A,HourlyTimeseries!$R:$R),"")</f>
        <v>10</v>
      </c>
      <c r="M82" s="51">
        <f>IFERROR(LOOKUP(M$18,HourlyTimeseries!$A:$A,HourlyTimeseries!$R:$R),"")</f>
        <v>10</v>
      </c>
      <c r="N82" s="51">
        <f>IFERROR(LOOKUP(N$18,HourlyTimeseries!$A:$A,HourlyTimeseries!$R:$R),"")</f>
        <v>10</v>
      </c>
      <c r="O82" s="51">
        <f>IFERROR(LOOKUP(O$18,HourlyTimeseries!$A:$A,HourlyTimeseries!$R:$R),"")</f>
        <v>10</v>
      </c>
      <c r="P82" s="51">
        <f>IFERROR(LOOKUP(P$18,HourlyTimeseries!$A:$A,HourlyTimeseries!$R:$R),"")</f>
        <v>10</v>
      </c>
      <c r="Q82" s="51">
        <f>IFERROR(LOOKUP(Q$18,HourlyTimeseries!$A:$A,HourlyTimeseries!$R:$R),"")</f>
        <v>10</v>
      </c>
      <c r="R82" s="51">
        <f>IFERROR(LOOKUP(R$18,HourlyTimeseries!$A:$A,HourlyTimeseries!$R:$R),"")</f>
        <v>10</v>
      </c>
      <c r="S82" s="51">
        <f>IFERROR(LOOKUP(S$18,HourlyTimeseries!$A:$A,HourlyTimeseries!$R:$R),"")</f>
        <v>10</v>
      </c>
      <c r="T82" s="51">
        <f>IFERROR(LOOKUP(T$18,HourlyTimeseries!$A:$A,HourlyTimeseries!$R:$R),"")</f>
        <v>10</v>
      </c>
      <c r="U82" s="51">
        <f>IFERROR(LOOKUP(U$18,HourlyTimeseries!$A:$A,HourlyTimeseries!$R:$R),"")</f>
        <v>10</v>
      </c>
      <c r="V82" s="51">
        <f>IFERROR(LOOKUP(V$18,HourlyTimeseries!$A:$A,HourlyTimeseries!$R:$R),"")</f>
        <v>10</v>
      </c>
      <c r="W82" s="51">
        <f>IFERROR(LOOKUP(W$18,HourlyTimeseries!$A:$A,HourlyTimeseries!$R:$R),"")</f>
        <v>10</v>
      </c>
      <c r="X82" s="51">
        <f>IFERROR(LOOKUP(X$18,HourlyTimeseries!$A:$A,HourlyTimeseries!$R:$R),"")</f>
        <v>10</v>
      </c>
      <c r="Y82" s="51">
        <f>IFERROR(LOOKUP(Y$18,HourlyTimeseries!$A:$A,HourlyTimeseries!$R:$R),"")</f>
        <v>10</v>
      </c>
      <c r="Z82" s="51">
        <f>IFERROR(LOOKUP(Z$18,HourlyTimeseries!$A:$A,HourlyTimeseries!$R:$R),"")</f>
        <v>10</v>
      </c>
      <c r="AA82" s="51">
        <f>IFERROR(LOOKUP(AA$18,HourlyTimeseries!$A:$A,HourlyTimeseries!$R:$R),"")</f>
        <v>10</v>
      </c>
      <c r="AB82" s="51">
        <f>IFERROR(LOOKUP(AB$18,HourlyTimeseries!$A:$A,HourlyTimeseries!$R:$R),"")</f>
        <v>10</v>
      </c>
      <c r="AC82" s="51">
        <f>IFERROR(LOOKUP(AC$18,HourlyTimeseries!$A:$A,HourlyTimeseries!$R:$R),"")</f>
        <v>10</v>
      </c>
      <c r="AD82" s="51">
        <f>IFERROR(LOOKUP(AD$18,HourlyTimeseries!$A:$A,HourlyTimeseries!$R:$R),"")</f>
        <v>10</v>
      </c>
      <c r="AE82" s="51">
        <f>IFERROR(LOOKUP(AE$18,HourlyTimeseries!$A:$A,HourlyTimeseries!$R:$R),"")</f>
        <v>10</v>
      </c>
      <c r="AF82" s="51">
        <f>IFERROR(LOOKUP(AF$18,HourlyTimeseries!$A:$A,HourlyTimeseries!$R:$R),"")</f>
        <v>10</v>
      </c>
      <c r="AG82" s="51">
        <f>IFERROR(LOOKUP(AG$18,HourlyTimeseries!$A:$A,HourlyTimeseries!$R:$R),"")</f>
        <v>10</v>
      </c>
      <c r="AH82" s="51">
        <f>IFERROR(LOOKUP(AH$18,HourlyTimeseries!$A:$A,HourlyTimeseries!$R:$R),"")</f>
        <v>10</v>
      </c>
      <c r="AI82" s="51">
        <f>IFERROR(LOOKUP(AI$18,HourlyTimeseries!$A:$A,HourlyTimeseries!$R:$R),"")</f>
        <v>10</v>
      </c>
      <c r="AJ82" s="51">
        <f>IFERROR(LOOKUP(AJ$18,HourlyTimeseries!$A:$A,HourlyTimeseries!$R:$R),"")</f>
        <v>10</v>
      </c>
      <c r="AK82" s="51">
        <f>IFERROR(LOOKUP(AK$18,HourlyTimeseries!$A:$A,HourlyTimeseries!$R:$R),"")</f>
        <v>10</v>
      </c>
      <c r="AL82" s="51">
        <f>IFERROR(LOOKUP(AL$18,HourlyTimeseries!$A:$A,HourlyTimeseries!$R:$R),"")</f>
        <v>10</v>
      </c>
      <c r="AM82" s="51">
        <f>IFERROR(LOOKUP(AM$18,HourlyTimeseries!$A:$A,HourlyTimeseries!$R:$R),"")</f>
        <v>10</v>
      </c>
      <c r="AN82" s="51">
        <f>IFERROR(LOOKUP(AN$18,HourlyTimeseries!$A:$A,HourlyTimeseries!$R:$R),"")</f>
        <v>10</v>
      </c>
      <c r="AO82" s="51">
        <f>IFERROR(LOOKUP(AO$18,HourlyTimeseries!$A:$A,HourlyTimeseries!$R:$R),"")</f>
        <v>10</v>
      </c>
      <c r="AP82" s="51">
        <f>IFERROR(LOOKUP(AP$18,HourlyTimeseries!$A:$A,HourlyTimeseries!$R:$R),"")</f>
        <v>10</v>
      </c>
      <c r="AQ82" s="51">
        <f>IFERROR(LOOKUP(AQ$18,HourlyTimeseries!$A:$A,HourlyTimeseries!$R:$R),"")</f>
        <v>10</v>
      </c>
      <c r="AR82" s="51">
        <f>IFERROR(LOOKUP(AR$18,HourlyTimeseries!$A:$A,HourlyTimeseries!$R:$R),"")</f>
        <v>10</v>
      </c>
      <c r="AS82" s="51">
        <f>IFERROR(LOOKUP(AS$18,HourlyTimeseries!$A:$A,HourlyTimeseries!$R:$R),"")</f>
        <v>10</v>
      </c>
      <c r="AT82" s="51">
        <f>IFERROR(LOOKUP(AT$18,HourlyTimeseries!$A:$A,HourlyTimeseries!$R:$R),"")</f>
        <v>10</v>
      </c>
      <c r="AU82" s="51">
        <f>IFERROR(LOOKUP(AU$18,HourlyTimeseries!$A:$A,HourlyTimeseries!$R:$R),"")</f>
        <v>10</v>
      </c>
      <c r="AV82" s="51">
        <f>IFERROR(LOOKUP(AV$18,HourlyTimeseries!$A:$A,HourlyTimeseries!$R:$R),"")</f>
        <v>10</v>
      </c>
      <c r="AW82" s="51">
        <f>IFERROR(LOOKUP(AW$18,HourlyTimeseries!$A:$A,HourlyTimeseries!$R:$R),"")</f>
        <v>10</v>
      </c>
      <c r="AX82" s="51">
        <f>IFERROR(LOOKUP(AX$18,HourlyTimeseries!$A:$A,HourlyTimeseries!$R:$R),"")</f>
        <v>10</v>
      </c>
      <c r="AY82" s="51">
        <f>IFERROR(LOOKUP(AY$18,HourlyTimeseries!$A:$A,HourlyTimeseries!$R:$R),"")</f>
        <v>10</v>
      </c>
      <c r="AZ82" s="51">
        <f>IFERROR(LOOKUP(AZ$18,HourlyTimeseries!$A:$A,HourlyTimeseries!$R:$R),"")</f>
        <v>10</v>
      </c>
      <c r="BA82" s="51">
        <f>IFERROR(LOOKUP(BA$18,HourlyTimeseries!$A:$A,HourlyTimeseries!$R:$R),"")</f>
        <v>10</v>
      </c>
      <c r="BB82" s="51">
        <f>IFERROR(LOOKUP(BB$18,HourlyTimeseries!$A:$A,HourlyTimeseries!$R:$R),"")</f>
        <v>10</v>
      </c>
      <c r="BC82" s="51">
        <f>IFERROR(LOOKUP(BC$18,HourlyTimeseries!$A:$A,HourlyTimeseries!$R:$R),"")</f>
        <v>10</v>
      </c>
      <c r="BD82" s="51">
        <f>IFERROR(LOOKUP(BD$18,HourlyTimeseries!$A:$A,HourlyTimeseries!$R:$R),"")</f>
        <v>10</v>
      </c>
      <c r="BE82" s="51">
        <f>IFERROR(LOOKUP(BE$18,HourlyTimeseries!$A:$A,HourlyTimeseries!$R:$R),"")</f>
        <v>10</v>
      </c>
      <c r="BF82" s="51">
        <f>IFERROR(LOOKUP(BF$18,HourlyTimeseries!$A:$A,HourlyTimeseries!$R:$R),"")</f>
        <v>10</v>
      </c>
      <c r="BG82" s="51">
        <f>IFERROR(LOOKUP(BG$18,HourlyTimeseries!$A:$A,HourlyTimeseries!$R:$R),"")</f>
        <v>10</v>
      </c>
      <c r="BH82" s="51">
        <f>IFERROR(LOOKUP(BH$18,HourlyTimeseries!$A:$A,HourlyTimeseries!$R:$R),"")</f>
        <v>10</v>
      </c>
      <c r="BI82" s="51">
        <f>IFERROR(LOOKUP(BI$18,HourlyTimeseries!$A:$A,HourlyTimeseries!$R:$R),"")</f>
        <v>10</v>
      </c>
      <c r="BJ82" s="51">
        <f>IFERROR(LOOKUP(BJ$18,HourlyTimeseries!$A:$A,HourlyTimeseries!$R:$R),"")</f>
        <v>10</v>
      </c>
      <c r="BK82" s="51">
        <f>IFERROR(LOOKUP(BK$18,HourlyTimeseries!$A:$A,HourlyTimeseries!$R:$R),"")</f>
        <v>10</v>
      </c>
      <c r="BL82" s="51">
        <f>IFERROR(LOOKUP(BL$18,HourlyTimeseries!$A:$A,HourlyTimeseries!$R:$R),"")</f>
        <v>10</v>
      </c>
      <c r="BM82" s="51">
        <f>IFERROR(LOOKUP(BM$18,HourlyTimeseries!$A:$A,HourlyTimeseries!$R:$R),"")</f>
        <v>10</v>
      </c>
      <c r="BN82" s="51">
        <f>IFERROR(LOOKUP(BN$18,HourlyTimeseries!$A:$A,HourlyTimeseries!$R:$R),"")</f>
        <v>10</v>
      </c>
      <c r="BO82" s="51">
        <f>IFERROR(LOOKUP(BO$18,HourlyTimeseries!$A:$A,HourlyTimeseries!$R:$R),"")</f>
        <v>10</v>
      </c>
      <c r="BP82" s="51">
        <f>IFERROR(LOOKUP(BP$18,HourlyTimeseries!$A:$A,HourlyTimeseries!$R:$R),"")</f>
        <v>10</v>
      </c>
      <c r="BQ82" s="51">
        <f>IFERROR(LOOKUP(BQ$18,HourlyTimeseries!$A:$A,HourlyTimeseries!$R:$R),"")</f>
        <v>10</v>
      </c>
      <c r="BR82" s="51">
        <f>IFERROR(LOOKUP(BR$18,HourlyTimeseries!$A:$A,HourlyTimeseries!$R:$R),"")</f>
        <v>10</v>
      </c>
      <c r="BS82" s="51">
        <f>IFERROR(LOOKUP(BS$18,HourlyTimeseries!$A:$A,HourlyTimeseries!$R:$R),"")</f>
        <v>10</v>
      </c>
      <c r="BT82" s="51">
        <f>IFERROR(LOOKUP(BT$18,HourlyTimeseries!$A:$A,HourlyTimeseries!$R:$R),"")</f>
        <v>10</v>
      </c>
      <c r="BU82" s="51">
        <f>IFERROR(LOOKUP(BU$18,HourlyTimeseries!$A:$A,HourlyTimeseries!$R:$R),"")</f>
        <v>10</v>
      </c>
      <c r="BV82" s="51">
        <f>IFERROR(LOOKUP(BV$18,HourlyTimeseries!$A:$A,HourlyTimeseries!$R:$R),"")</f>
        <v>10</v>
      </c>
      <c r="BW82" s="51">
        <f>IFERROR(LOOKUP(BW$18,HourlyTimeseries!$A:$A,HourlyTimeseries!$R:$R),"")</f>
        <v>10</v>
      </c>
      <c r="BX82" s="51">
        <f>IFERROR(LOOKUP(BX$18,HourlyTimeseries!$A:$A,HourlyTimeseries!$R:$R),"")</f>
        <v>10</v>
      </c>
      <c r="BY82" s="51">
        <f>IFERROR(LOOKUP(BY$18,HourlyTimeseries!$A:$A,HourlyTimeseries!$R:$R),"")</f>
        <v>10</v>
      </c>
      <c r="BZ82" s="51">
        <f>IFERROR(LOOKUP(BZ$18,HourlyTimeseries!$A:$A,HourlyTimeseries!$R:$R),"")</f>
        <v>10</v>
      </c>
      <c r="CA82" s="51">
        <f>IFERROR(LOOKUP(CA$18,HourlyTimeseries!$A:$A,HourlyTimeseries!$R:$R),"")</f>
        <v>10</v>
      </c>
      <c r="CB82" s="51">
        <f>IFERROR(LOOKUP(CB$18,HourlyTimeseries!$A:$A,HourlyTimeseries!$R:$R),"")</f>
        <v>10</v>
      </c>
      <c r="CC82" s="51">
        <f>IFERROR(LOOKUP(CC$18,HourlyTimeseries!$A:$A,HourlyTimeseries!$R:$R),"")</f>
        <v>10</v>
      </c>
      <c r="CD82" s="51">
        <f>IFERROR(LOOKUP(CD$18,HourlyTimeseries!$A:$A,HourlyTimeseries!$R:$R),"")</f>
        <v>10</v>
      </c>
      <c r="CE82" s="51">
        <f>IFERROR(LOOKUP(CE$18,HourlyTimeseries!$A:$A,HourlyTimeseries!$R:$R),"")</f>
        <v>10</v>
      </c>
      <c r="CF82" s="51">
        <f>IFERROR(LOOKUP(CF$18,HourlyTimeseries!$A:$A,HourlyTimeseries!$R:$R),"")</f>
        <v>10</v>
      </c>
      <c r="CG82" s="51">
        <f>IFERROR(LOOKUP(CG$18,HourlyTimeseries!$A:$A,HourlyTimeseries!$R:$R),"")</f>
        <v>10</v>
      </c>
      <c r="CH82" s="51">
        <f>IFERROR(LOOKUP(CH$18,HourlyTimeseries!$A:$A,HourlyTimeseries!$R:$R),"")</f>
        <v>10</v>
      </c>
      <c r="CI82" s="51">
        <f>IFERROR(LOOKUP(CI$18,HourlyTimeseries!$A:$A,HourlyTimeseries!$R:$R),"")</f>
        <v>10</v>
      </c>
      <c r="CJ82" s="51">
        <f>IFERROR(LOOKUP(CJ$18,HourlyTimeseries!$A:$A,HourlyTimeseries!$R:$R),"")</f>
        <v>10</v>
      </c>
      <c r="CK82" s="51">
        <f>IFERROR(LOOKUP(CK$18,HourlyTimeseries!$A:$A,HourlyTimeseries!$R:$R),"")</f>
        <v>10</v>
      </c>
      <c r="CL82" s="51">
        <f>IFERROR(LOOKUP(CL$18,HourlyTimeseries!$A:$A,HourlyTimeseries!$R:$R),"")</f>
        <v>10</v>
      </c>
      <c r="CM82" s="51">
        <f>IFERROR(LOOKUP(CM$18,HourlyTimeseries!$A:$A,HourlyTimeseries!$R:$R),"")</f>
        <v>10</v>
      </c>
      <c r="CN82" s="51">
        <f>IFERROR(LOOKUP(CN$18,HourlyTimeseries!$A:$A,HourlyTimeseries!$R:$R),"")</f>
        <v>10</v>
      </c>
      <c r="CO82" s="51">
        <f>IFERROR(LOOKUP(CO$18,HourlyTimeseries!$A:$A,HourlyTimeseries!$R:$R),"")</f>
        <v>10</v>
      </c>
      <c r="CP82" s="51">
        <f>IFERROR(LOOKUP(CP$18,HourlyTimeseries!$A:$A,HourlyTimeseries!$R:$R),"")</f>
        <v>10</v>
      </c>
      <c r="CQ82" s="51">
        <f>IFERROR(LOOKUP(CQ$18,HourlyTimeseries!$A:$A,HourlyTimeseries!$R:$R),"")</f>
        <v>10</v>
      </c>
      <c r="CR82" s="51">
        <f>IFERROR(LOOKUP(CR$18,HourlyTimeseries!$A:$A,HourlyTimeseries!$R:$R),"")</f>
        <v>10</v>
      </c>
      <c r="CS82" s="51">
        <f>IFERROR(LOOKUP(CS$18,HourlyTimeseries!$A:$A,HourlyTimeseries!$R:$R),"")</f>
        <v>10</v>
      </c>
      <c r="CT82" s="51">
        <f>IFERROR(LOOKUP(CT$18,HourlyTimeseries!$A:$A,HourlyTimeseries!$R:$R),"")</f>
        <v>10</v>
      </c>
      <c r="CU82" s="51">
        <f>IFERROR(LOOKUP(CU$18,HourlyTimeseries!$A:$A,HourlyTimeseries!$R:$R),"")</f>
        <v>10</v>
      </c>
      <c r="CV82" s="51">
        <f>IFERROR(LOOKUP(CV$18,HourlyTimeseries!$A:$A,HourlyTimeseries!$R:$R),"")</f>
        <v>10</v>
      </c>
      <c r="CW82" s="51">
        <f>IFERROR(LOOKUP(CW$18,HourlyTimeseries!$A:$A,HourlyTimeseries!$R:$R),"")</f>
        <v>10</v>
      </c>
      <c r="CX82" s="51">
        <f>IFERROR(LOOKUP(CX$18,HourlyTimeseries!$A:$A,HourlyTimeseries!$R:$R),"")</f>
        <v>10</v>
      </c>
      <c r="CY82" s="51">
        <f>IFERROR(LOOKUP(CY$18,HourlyTimeseries!$A:$A,HourlyTimeseries!$R:$R),"")</f>
        <v>10</v>
      </c>
      <c r="CZ82" s="51">
        <f>IFERROR(LOOKUP(CZ$18,HourlyTimeseries!$A:$A,HourlyTimeseries!$R:$R),"")</f>
        <v>10</v>
      </c>
      <c r="DA82" s="51">
        <f>IFERROR(LOOKUP(DA$18,HourlyTimeseries!$A:$A,HourlyTimeseries!$R:$R),"")</f>
        <v>10</v>
      </c>
      <c r="DB82" s="51">
        <f>IFERROR(LOOKUP(DB$18,HourlyTimeseries!$A:$A,HourlyTimeseries!$R:$R),"")</f>
        <v>10</v>
      </c>
      <c r="DC82" s="51">
        <f>IFERROR(LOOKUP(DC$18,HourlyTimeseries!$A:$A,HourlyTimeseries!$R:$R),"")</f>
        <v>10</v>
      </c>
      <c r="DD82" s="51">
        <f>IFERROR(LOOKUP(DD$18,HourlyTimeseries!$A:$A,HourlyTimeseries!$R:$R),"")</f>
        <v>10</v>
      </c>
      <c r="DE82" s="51">
        <f>IFERROR(LOOKUP(DE$18,HourlyTimeseries!$A:$A,HourlyTimeseries!$R:$R),"")</f>
        <v>10</v>
      </c>
      <c r="DF82" s="51">
        <f>IFERROR(LOOKUP(DF$18,HourlyTimeseries!$A:$A,HourlyTimeseries!$R:$R),"")</f>
        <v>10</v>
      </c>
      <c r="DG82" s="51">
        <f>IFERROR(LOOKUP(DG$18,HourlyTimeseries!$A:$A,HourlyTimeseries!$R:$R),"")</f>
        <v>10</v>
      </c>
      <c r="DH82" s="51">
        <f>IFERROR(LOOKUP(DH$18,HourlyTimeseries!$A:$A,HourlyTimeseries!$R:$R),"")</f>
        <v>10</v>
      </c>
      <c r="DI82" s="51">
        <f>IFERROR(LOOKUP(DI$18,HourlyTimeseries!$A:$A,HourlyTimeseries!$R:$R),"")</f>
        <v>10</v>
      </c>
      <c r="DJ82" s="51">
        <f>IFERROR(LOOKUP(DJ$18,HourlyTimeseries!$A:$A,HourlyTimeseries!$R:$R),"")</f>
        <v>10</v>
      </c>
      <c r="DK82" s="51">
        <f>IFERROR(LOOKUP(DK$18,HourlyTimeseries!$A:$A,HourlyTimeseries!$R:$R),"")</f>
        <v>10</v>
      </c>
      <c r="DL82" s="51">
        <f>IFERROR(LOOKUP(DL$18,HourlyTimeseries!$A:$A,HourlyTimeseries!$R:$R),"")</f>
        <v>10</v>
      </c>
      <c r="DM82" s="51">
        <f>IFERROR(LOOKUP(DM$18,HourlyTimeseries!$A:$A,HourlyTimeseries!$R:$R),"")</f>
        <v>10</v>
      </c>
      <c r="DN82" s="51">
        <f>IFERROR(LOOKUP(DN$18,HourlyTimeseries!$A:$A,HourlyTimeseries!$R:$R),"")</f>
        <v>10</v>
      </c>
      <c r="DO82" s="51">
        <f>IFERROR(LOOKUP(DO$18,HourlyTimeseries!$A:$A,HourlyTimeseries!$R:$R),"")</f>
        <v>10</v>
      </c>
      <c r="DP82" s="51">
        <f>IFERROR(LOOKUP(DP$18,HourlyTimeseries!$A:$A,HourlyTimeseries!$R:$R),"")</f>
        <v>10</v>
      </c>
      <c r="DQ82" s="51">
        <f>IFERROR(LOOKUP(DQ$18,HourlyTimeseries!$A:$A,HourlyTimeseries!$R:$R),"")</f>
        <v>10</v>
      </c>
      <c r="DR82" s="51">
        <f>IFERROR(LOOKUP(DR$18,HourlyTimeseries!$A:$A,HourlyTimeseries!$R:$R),"")</f>
        <v>10</v>
      </c>
      <c r="DS82" s="51">
        <f>IFERROR(LOOKUP(DS$18,HourlyTimeseries!$A:$A,HourlyTimeseries!$R:$R),"")</f>
        <v>10</v>
      </c>
      <c r="DT82" s="51">
        <f>IFERROR(LOOKUP(DT$18,HourlyTimeseries!$A:$A,HourlyTimeseries!$R:$R),"")</f>
        <v>10</v>
      </c>
      <c r="DU82" s="51">
        <f>IFERROR(LOOKUP(DU$18,HourlyTimeseries!$A:$A,HourlyTimeseries!$R:$R),"")</f>
        <v>10</v>
      </c>
      <c r="DV82" s="51">
        <f>IFERROR(LOOKUP(DV$18,HourlyTimeseries!$A:$A,HourlyTimeseries!$R:$R),"")</f>
        <v>10</v>
      </c>
      <c r="DW82" s="51">
        <f>IFERROR(LOOKUP(DW$18,HourlyTimeseries!$A:$A,HourlyTimeseries!$R:$R),"")</f>
        <v>10</v>
      </c>
      <c r="DX82" s="51">
        <f>IFERROR(LOOKUP(DX$18,HourlyTimeseries!$A:$A,HourlyTimeseries!$R:$R),"")</f>
        <v>10</v>
      </c>
      <c r="DY82" s="51">
        <f>IFERROR(LOOKUP(DY$18,HourlyTimeseries!$A:$A,HourlyTimeseries!$R:$R),"")</f>
        <v>10</v>
      </c>
      <c r="DZ82" s="51">
        <f>IFERROR(LOOKUP(DZ$18,HourlyTimeseries!$A:$A,HourlyTimeseries!$R:$R),"")</f>
        <v>10</v>
      </c>
      <c r="EA82" s="51">
        <f>IFERROR(LOOKUP(EA$18,HourlyTimeseries!$A:$A,HourlyTimeseries!$R:$R),"")</f>
        <v>10</v>
      </c>
      <c r="EB82" s="51">
        <f>IFERROR(LOOKUP(EB$18,HourlyTimeseries!$A:$A,HourlyTimeseries!$R:$R),"")</f>
        <v>10</v>
      </c>
      <c r="EC82" s="51">
        <f>IFERROR(LOOKUP(EC$18,HourlyTimeseries!$A:$A,HourlyTimeseries!$R:$R),"")</f>
        <v>10</v>
      </c>
      <c r="ED82" s="51">
        <f>IFERROR(LOOKUP(ED$18,HourlyTimeseries!$A:$A,HourlyTimeseries!$R:$R),"")</f>
        <v>10</v>
      </c>
      <c r="EE82" s="51">
        <f>IFERROR(LOOKUP(EE$18,HourlyTimeseries!$A:$A,HourlyTimeseries!$R:$R),"")</f>
        <v>10</v>
      </c>
      <c r="EF82" s="51">
        <f>IFERROR(LOOKUP(EF$18,HourlyTimeseries!$A:$A,HourlyTimeseries!$R:$R),"")</f>
        <v>10</v>
      </c>
      <c r="EG82" s="51">
        <f>IFERROR(LOOKUP(EG$18,HourlyTimeseries!$A:$A,HourlyTimeseries!$R:$R),"")</f>
        <v>10</v>
      </c>
      <c r="EH82" s="51">
        <f>IFERROR(LOOKUP(EH$18,HourlyTimeseries!$A:$A,HourlyTimeseries!$R:$R),"")</f>
        <v>10</v>
      </c>
      <c r="EI82" s="51">
        <f>IFERROR(LOOKUP(EI$18,HourlyTimeseries!$A:$A,HourlyTimeseries!$R:$R),"")</f>
        <v>10</v>
      </c>
      <c r="EJ82" s="51">
        <f>IFERROR(LOOKUP(EJ$18,HourlyTimeseries!$A:$A,HourlyTimeseries!$R:$R),"")</f>
        <v>10</v>
      </c>
      <c r="EK82" s="51">
        <f>IFERROR(LOOKUP(EK$18,HourlyTimeseries!$A:$A,HourlyTimeseries!$R:$R),"")</f>
        <v>10</v>
      </c>
      <c r="EL82" s="51">
        <f>IFERROR(LOOKUP(EL$18,HourlyTimeseries!$A:$A,HourlyTimeseries!$R:$R),"")</f>
        <v>10</v>
      </c>
      <c r="EM82" s="51">
        <f>IFERROR(LOOKUP(EM$18,HourlyTimeseries!$A:$A,HourlyTimeseries!$R:$R),"")</f>
        <v>10</v>
      </c>
      <c r="EN82" s="51">
        <f>IFERROR(LOOKUP(EN$18,HourlyTimeseries!$A:$A,HourlyTimeseries!$R:$R),"")</f>
        <v>10</v>
      </c>
      <c r="EO82" s="51">
        <f>IFERROR(LOOKUP(EO$18,HourlyTimeseries!$A:$A,HourlyTimeseries!$R:$R),"")</f>
        <v>10</v>
      </c>
      <c r="EP82" s="51">
        <f>IFERROR(LOOKUP(EP$18,HourlyTimeseries!$A:$A,HourlyTimeseries!$R:$R),"")</f>
        <v>10</v>
      </c>
      <c r="EQ82" s="51">
        <f>IFERROR(LOOKUP(EQ$18,HourlyTimeseries!$A:$A,HourlyTimeseries!$R:$R),"")</f>
        <v>10</v>
      </c>
      <c r="ER82" s="51">
        <f>IFERROR(LOOKUP(ER$18,HourlyTimeseries!$A:$A,HourlyTimeseries!$R:$R),"")</f>
        <v>10</v>
      </c>
      <c r="ES82" s="51">
        <f>IFERROR(LOOKUP(ES$18,HourlyTimeseries!$A:$A,HourlyTimeseries!$R:$R),"")</f>
        <v>10</v>
      </c>
      <c r="ET82" s="51">
        <f>IFERROR(LOOKUP(ET$18,HourlyTimeseries!$A:$A,HourlyTimeseries!$R:$R),"")</f>
        <v>10</v>
      </c>
      <c r="EU82" s="51">
        <f>IFERROR(LOOKUP(EU$18,HourlyTimeseries!$A:$A,HourlyTimeseries!$R:$R),"")</f>
        <v>10</v>
      </c>
      <c r="EV82" s="51">
        <f>IFERROR(LOOKUP(EV$18,HourlyTimeseries!$A:$A,HourlyTimeseries!$R:$R),"")</f>
        <v>10</v>
      </c>
      <c r="EW82" s="51">
        <f>IFERROR(LOOKUP(EW$18,HourlyTimeseries!$A:$A,HourlyTimeseries!$R:$R),"")</f>
        <v>10</v>
      </c>
      <c r="EX82" s="51">
        <f>IFERROR(LOOKUP(EX$18,HourlyTimeseries!$A:$A,HourlyTimeseries!$R:$R),"")</f>
        <v>10</v>
      </c>
      <c r="EY82" s="51">
        <f>IFERROR(LOOKUP(EY$18,HourlyTimeseries!$A:$A,HourlyTimeseries!$R:$R),"")</f>
        <v>10</v>
      </c>
      <c r="EZ82" s="51">
        <f>IFERROR(LOOKUP(EZ$18,HourlyTimeseries!$A:$A,HourlyTimeseries!$R:$R),"")</f>
        <v>10</v>
      </c>
      <c r="FA82" s="51">
        <f>IFERROR(LOOKUP(FA$18,HourlyTimeseries!$A:$A,HourlyTimeseries!$R:$R),"")</f>
        <v>10</v>
      </c>
      <c r="FB82" s="51">
        <f>IFERROR(LOOKUP(FB$18,HourlyTimeseries!$A:$A,HourlyTimeseries!$R:$R),"")</f>
        <v>10</v>
      </c>
      <c r="FC82" s="51">
        <f>IFERROR(LOOKUP(FC$18,HourlyTimeseries!$A:$A,HourlyTimeseries!$R:$R),"")</f>
        <v>10</v>
      </c>
      <c r="FD82" s="51">
        <f>IFERROR(LOOKUP(FD$18,HourlyTimeseries!$A:$A,HourlyTimeseries!$R:$R),"")</f>
        <v>10</v>
      </c>
      <c r="FE82" s="51">
        <f>IFERROR(LOOKUP(FE$18,HourlyTimeseries!$A:$A,HourlyTimeseries!$R:$R),"")</f>
        <v>10</v>
      </c>
      <c r="FF82" s="51">
        <f>IFERROR(LOOKUP(FF$18,HourlyTimeseries!$A:$A,HourlyTimeseries!$R:$R),"")</f>
        <v>10</v>
      </c>
      <c r="FG82" s="51">
        <f>IFERROR(LOOKUP(FG$18,HourlyTimeseries!$A:$A,HourlyTimeseries!$R:$R),"")</f>
        <v>10</v>
      </c>
      <c r="FH82" s="51">
        <f>IFERROR(LOOKUP(FH$18,HourlyTimeseries!$A:$A,HourlyTimeseries!$R:$R),"")</f>
        <v>10</v>
      </c>
      <c r="FI82" s="51">
        <f>IFERROR(LOOKUP(FI$18,HourlyTimeseries!$A:$A,HourlyTimeseries!$R:$R),"")</f>
        <v>10</v>
      </c>
      <c r="FJ82" s="51">
        <f>IFERROR(LOOKUP(FJ$18,HourlyTimeseries!$A:$A,HourlyTimeseries!$R:$R),"")</f>
        <v>10</v>
      </c>
      <c r="FK82" s="51">
        <f>IFERROR(LOOKUP(FK$18,HourlyTimeseries!$A:$A,HourlyTimeseries!$R:$R),"")</f>
        <v>10</v>
      </c>
      <c r="FL82" s="51">
        <f>IFERROR(LOOKUP(FL$18,HourlyTimeseries!$A:$A,HourlyTimeseries!$R:$R),"")</f>
        <v>10</v>
      </c>
      <c r="FM82" s="51">
        <f>IFERROR(LOOKUP(FM$18,HourlyTimeseries!$A:$A,HourlyTimeseries!$R:$R),"")</f>
        <v>10</v>
      </c>
      <c r="FN82" s="51">
        <f>IFERROR(LOOKUP(FN$18,HourlyTimeseries!$A:$A,HourlyTimeseries!$R:$R),"")</f>
        <v>10</v>
      </c>
      <c r="FO82" s="51">
        <f>IFERROR(LOOKUP(FO$18,HourlyTimeseries!$A:$A,HourlyTimeseries!$R:$R),"")</f>
        <v>10</v>
      </c>
      <c r="FP82" s="51">
        <f>IFERROR(LOOKUP(FP$18,HourlyTimeseries!$A:$A,HourlyTimeseries!$R:$R),"")</f>
        <v>10</v>
      </c>
    </row>
    <row r="83" spans="1:172">
      <c r="A83" t="s">
        <v>88</v>
      </c>
      <c r="B83" s="2" t="s">
        <v>90</v>
      </c>
      <c r="C83" s="41" t="s">
        <v>133</v>
      </c>
      <c r="D83" s="56"/>
      <c r="E83" s="51">
        <f>IFERROR(LOOKUP(E$18,HourlyTimeseries!$A:$A,HourlyTimeseries!$S:$S),"")</f>
        <v>1500</v>
      </c>
      <c r="F83" s="51">
        <f>IFERROR(LOOKUP(F$18,HourlyTimeseries!$A:$A,HourlyTimeseries!$S:$S),"")</f>
        <v>1500</v>
      </c>
      <c r="G83" s="51">
        <f>IFERROR(LOOKUP(G$18,HourlyTimeseries!$A:$A,HourlyTimeseries!$S:$S),"")</f>
        <v>1500</v>
      </c>
      <c r="H83" s="51">
        <f>IFERROR(LOOKUP(H$18,HourlyTimeseries!$A:$A,HourlyTimeseries!$S:$S),"")</f>
        <v>1500</v>
      </c>
      <c r="I83" s="51">
        <f>IFERROR(LOOKUP(I$18,HourlyTimeseries!$A:$A,HourlyTimeseries!$S:$S),"")</f>
        <v>1500</v>
      </c>
      <c r="J83" s="51">
        <f>IFERROR(LOOKUP(J$18,HourlyTimeseries!$A:$A,HourlyTimeseries!$S:$S),"")</f>
        <v>1500</v>
      </c>
      <c r="K83" s="51">
        <f>IFERROR(LOOKUP(K$18,HourlyTimeseries!$A:$A,HourlyTimeseries!$S:$S),"")</f>
        <v>1500</v>
      </c>
      <c r="L83" s="51">
        <f>IFERROR(LOOKUP(L$18,HourlyTimeseries!$A:$A,HourlyTimeseries!$S:$S),"")</f>
        <v>1500</v>
      </c>
      <c r="M83" s="51">
        <f>IFERROR(LOOKUP(M$18,HourlyTimeseries!$A:$A,HourlyTimeseries!$S:$S),"")</f>
        <v>1500</v>
      </c>
      <c r="N83" s="51">
        <f>IFERROR(LOOKUP(N$18,HourlyTimeseries!$A:$A,HourlyTimeseries!$S:$S),"")</f>
        <v>1500</v>
      </c>
      <c r="O83" s="51">
        <f>IFERROR(LOOKUP(O$18,HourlyTimeseries!$A:$A,HourlyTimeseries!$S:$S),"")</f>
        <v>1500</v>
      </c>
      <c r="P83" s="51">
        <f>IFERROR(LOOKUP(P$18,HourlyTimeseries!$A:$A,HourlyTimeseries!$S:$S),"")</f>
        <v>1500</v>
      </c>
      <c r="Q83" s="51">
        <f>IFERROR(LOOKUP(Q$18,HourlyTimeseries!$A:$A,HourlyTimeseries!$S:$S),"")</f>
        <v>1500</v>
      </c>
      <c r="R83" s="51">
        <f>IFERROR(LOOKUP(R$18,HourlyTimeseries!$A:$A,HourlyTimeseries!$S:$S),"")</f>
        <v>1500</v>
      </c>
      <c r="S83" s="51">
        <f>IFERROR(LOOKUP(S$18,HourlyTimeseries!$A:$A,HourlyTimeseries!$S:$S),"")</f>
        <v>1500</v>
      </c>
      <c r="T83" s="51">
        <f>IFERROR(LOOKUP(T$18,HourlyTimeseries!$A:$A,HourlyTimeseries!$S:$S),"")</f>
        <v>1500</v>
      </c>
      <c r="U83" s="51">
        <f>IFERROR(LOOKUP(U$18,HourlyTimeseries!$A:$A,HourlyTimeseries!$S:$S),"")</f>
        <v>1500</v>
      </c>
      <c r="V83" s="51">
        <f>IFERROR(LOOKUP(V$18,HourlyTimeseries!$A:$A,HourlyTimeseries!$S:$S),"")</f>
        <v>1500</v>
      </c>
      <c r="W83" s="51">
        <f>IFERROR(LOOKUP(W$18,HourlyTimeseries!$A:$A,HourlyTimeseries!$S:$S),"")</f>
        <v>1500</v>
      </c>
      <c r="X83" s="51">
        <f>IFERROR(LOOKUP(X$18,HourlyTimeseries!$A:$A,HourlyTimeseries!$S:$S),"")</f>
        <v>1500</v>
      </c>
      <c r="Y83" s="51">
        <f>IFERROR(LOOKUP(Y$18,HourlyTimeseries!$A:$A,HourlyTimeseries!$S:$S),"")</f>
        <v>1500</v>
      </c>
      <c r="Z83" s="51">
        <f>IFERROR(LOOKUP(Z$18,HourlyTimeseries!$A:$A,HourlyTimeseries!$S:$S),"")</f>
        <v>1500</v>
      </c>
      <c r="AA83" s="51">
        <f>IFERROR(LOOKUP(AA$18,HourlyTimeseries!$A:$A,HourlyTimeseries!$S:$S),"")</f>
        <v>1500</v>
      </c>
      <c r="AB83" s="51">
        <f>IFERROR(LOOKUP(AB$18,HourlyTimeseries!$A:$A,HourlyTimeseries!$S:$S),"")</f>
        <v>1500</v>
      </c>
      <c r="AC83" s="51">
        <f>IFERROR(LOOKUP(AC$18,HourlyTimeseries!$A:$A,HourlyTimeseries!$S:$S),"")</f>
        <v>1500</v>
      </c>
      <c r="AD83" s="51">
        <f>IFERROR(LOOKUP(AD$18,HourlyTimeseries!$A:$A,HourlyTimeseries!$S:$S),"")</f>
        <v>1500</v>
      </c>
      <c r="AE83" s="51">
        <f>IFERROR(LOOKUP(AE$18,HourlyTimeseries!$A:$A,HourlyTimeseries!$S:$S),"")</f>
        <v>1500</v>
      </c>
      <c r="AF83" s="51">
        <f>IFERROR(LOOKUP(AF$18,HourlyTimeseries!$A:$A,HourlyTimeseries!$S:$S),"")</f>
        <v>1500</v>
      </c>
      <c r="AG83" s="51">
        <f>IFERROR(LOOKUP(AG$18,HourlyTimeseries!$A:$A,HourlyTimeseries!$S:$S),"")</f>
        <v>1500</v>
      </c>
      <c r="AH83" s="51">
        <f>IFERROR(LOOKUP(AH$18,HourlyTimeseries!$A:$A,HourlyTimeseries!$S:$S),"")</f>
        <v>1500</v>
      </c>
      <c r="AI83" s="51">
        <f>IFERROR(LOOKUP(AI$18,HourlyTimeseries!$A:$A,HourlyTimeseries!$S:$S),"")</f>
        <v>1500</v>
      </c>
      <c r="AJ83" s="51">
        <f>IFERROR(LOOKUP(AJ$18,HourlyTimeseries!$A:$A,HourlyTimeseries!$S:$S),"")</f>
        <v>1500</v>
      </c>
      <c r="AK83" s="51">
        <f>IFERROR(LOOKUP(AK$18,HourlyTimeseries!$A:$A,HourlyTimeseries!$S:$S),"")</f>
        <v>1500</v>
      </c>
      <c r="AL83" s="51">
        <f>IFERROR(LOOKUP(AL$18,HourlyTimeseries!$A:$A,HourlyTimeseries!$S:$S),"")</f>
        <v>1500</v>
      </c>
      <c r="AM83" s="51">
        <f>IFERROR(LOOKUP(AM$18,HourlyTimeseries!$A:$A,HourlyTimeseries!$S:$S),"")</f>
        <v>1500</v>
      </c>
      <c r="AN83" s="51">
        <f>IFERROR(LOOKUP(AN$18,HourlyTimeseries!$A:$A,HourlyTimeseries!$S:$S),"")</f>
        <v>1500</v>
      </c>
      <c r="AO83" s="51">
        <f>IFERROR(LOOKUP(AO$18,HourlyTimeseries!$A:$A,HourlyTimeseries!$S:$S),"")</f>
        <v>1500</v>
      </c>
      <c r="AP83" s="51">
        <f>IFERROR(LOOKUP(AP$18,HourlyTimeseries!$A:$A,HourlyTimeseries!$S:$S),"")</f>
        <v>1500</v>
      </c>
      <c r="AQ83" s="51">
        <f>IFERROR(LOOKUP(AQ$18,HourlyTimeseries!$A:$A,HourlyTimeseries!$S:$S),"")</f>
        <v>1500</v>
      </c>
      <c r="AR83" s="51">
        <f>IFERROR(LOOKUP(AR$18,HourlyTimeseries!$A:$A,HourlyTimeseries!$S:$S),"")</f>
        <v>1500</v>
      </c>
      <c r="AS83" s="51">
        <f>IFERROR(LOOKUP(AS$18,HourlyTimeseries!$A:$A,HourlyTimeseries!$S:$S),"")</f>
        <v>1500</v>
      </c>
      <c r="AT83" s="51">
        <f>IFERROR(LOOKUP(AT$18,HourlyTimeseries!$A:$A,HourlyTimeseries!$S:$S),"")</f>
        <v>1500</v>
      </c>
      <c r="AU83" s="51">
        <f>IFERROR(LOOKUP(AU$18,HourlyTimeseries!$A:$A,HourlyTimeseries!$S:$S),"")</f>
        <v>1500</v>
      </c>
      <c r="AV83" s="51">
        <f>IFERROR(LOOKUP(AV$18,HourlyTimeseries!$A:$A,HourlyTimeseries!$S:$S),"")</f>
        <v>1500</v>
      </c>
      <c r="AW83" s="51">
        <f>IFERROR(LOOKUP(AW$18,HourlyTimeseries!$A:$A,HourlyTimeseries!$S:$S),"")</f>
        <v>1500</v>
      </c>
      <c r="AX83" s="51">
        <f>IFERROR(LOOKUP(AX$18,HourlyTimeseries!$A:$A,HourlyTimeseries!$S:$S),"")</f>
        <v>1500</v>
      </c>
      <c r="AY83" s="51">
        <f>IFERROR(LOOKUP(AY$18,HourlyTimeseries!$A:$A,HourlyTimeseries!$S:$S),"")</f>
        <v>1500</v>
      </c>
      <c r="AZ83" s="51">
        <f>IFERROR(LOOKUP(AZ$18,HourlyTimeseries!$A:$A,HourlyTimeseries!$S:$S),"")</f>
        <v>1500</v>
      </c>
      <c r="BA83" s="51">
        <f>IFERROR(LOOKUP(BA$18,HourlyTimeseries!$A:$A,HourlyTimeseries!$S:$S),"")</f>
        <v>1500</v>
      </c>
      <c r="BB83" s="51">
        <f>IFERROR(LOOKUP(BB$18,HourlyTimeseries!$A:$A,HourlyTimeseries!$S:$S),"")</f>
        <v>1500</v>
      </c>
      <c r="BC83" s="51">
        <f>IFERROR(LOOKUP(BC$18,HourlyTimeseries!$A:$A,HourlyTimeseries!$S:$S),"")</f>
        <v>1500</v>
      </c>
      <c r="BD83" s="51">
        <f>IFERROR(LOOKUP(BD$18,HourlyTimeseries!$A:$A,HourlyTimeseries!$S:$S),"")</f>
        <v>1500</v>
      </c>
      <c r="BE83" s="51">
        <f>IFERROR(LOOKUP(BE$18,HourlyTimeseries!$A:$A,HourlyTimeseries!$S:$S),"")</f>
        <v>1500</v>
      </c>
      <c r="BF83" s="51">
        <f>IFERROR(LOOKUP(BF$18,HourlyTimeseries!$A:$A,HourlyTimeseries!$S:$S),"")</f>
        <v>1500</v>
      </c>
      <c r="BG83" s="51">
        <f>IFERROR(LOOKUP(BG$18,HourlyTimeseries!$A:$A,HourlyTimeseries!$S:$S),"")</f>
        <v>1500</v>
      </c>
      <c r="BH83" s="51">
        <f>IFERROR(LOOKUP(BH$18,HourlyTimeseries!$A:$A,HourlyTimeseries!$S:$S),"")</f>
        <v>1500</v>
      </c>
      <c r="BI83" s="51">
        <f>IFERROR(LOOKUP(BI$18,HourlyTimeseries!$A:$A,HourlyTimeseries!$S:$S),"")</f>
        <v>1500</v>
      </c>
      <c r="BJ83" s="51">
        <f>IFERROR(LOOKUP(BJ$18,HourlyTimeseries!$A:$A,HourlyTimeseries!$S:$S),"")</f>
        <v>1500</v>
      </c>
      <c r="BK83" s="51">
        <f>IFERROR(LOOKUP(BK$18,HourlyTimeseries!$A:$A,HourlyTimeseries!$S:$S),"")</f>
        <v>1500</v>
      </c>
      <c r="BL83" s="51">
        <f>IFERROR(LOOKUP(BL$18,HourlyTimeseries!$A:$A,HourlyTimeseries!$S:$S),"")</f>
        <v>1500</v>
      </c>
      <c r="BM83" s="51">
        <f>IFERROR(LOOKUP(BM$18,HourlyTimeseries!$A:$A,HourlyTimeseries!$S:$S),"")</f>
        <v>1500</v>
      </c>
      <c r="BN83" s="51">
        <f>IFERROR(LOOKUP(BN$18,HourlyTimeseries!$A:$A,HourlyTimeseries!$S:$S),"")</f>
        <v>1500</v>
      </c>
      <c r="BO83" s="51">
        <f>IFERROR(LOOKUP(BO$18,HourlyTimeseries!$A:$A,HourlyTimeseries!$S:$S),"")</f>
        <v>1500</v>
      </c>
      <c r="BP83" s="51">
        <f>IFERROR(LOOKUP(BP$18,HourlyTimeseries!$A:$A,HourlyTimeseries!$S:$S),"")</f>
        <v>1500</v>
      </c>
      <c r="BQ83" s="51">
        <f>IFERROR(LOOKUP(BQ$18,HourlyTimeseries!$A:$A,HourlyTimeseries!$S:$S),"")</f>
        <v>1500</v>
      </c>
      <c r="BR83" s="51">
        <f>IFERROR(LOOKUP(BR$18,HourlyTimeseries!$A:$A,HourlyTimeseries!$S:$S),"")</f>
        <v>1500</v>
      </c>
      <c r="BS83" s="51">
        <f>IFERROR(LOOKUP(BS$18,HourlyTimeseries!$A:$A,HourlyTimeseries!$S:$S),"")</f>
        <v>1500</v>
      </c>
      <c r="BT83" s="51">
        <f>IFERROR(LOOKUP(BT$18,HourlyTimeseries!$A:$A,HourlyTimeseries!$S:$S),"")</f>
        <v>1500</v>
      </c>
      <c r="BU83" s="51">
        <f>IFERROR(LOOKUP(BU$18,HourlyTimeseries!$A:$A,HourlyTimeseries!$S:$S),"")</f>
        <v>1500</v>
      </c>
      <c r="BV83" s="51">
        <f>IFERROR(LOOKUP(BV$18,HourlyTimeseries!$A:$A,HourlyTimeseries!$S:$S),"")</f>
        <v>1500</v>
      </c>
      <c r="BW83" s="51">
        <f>IFERROR(LOOKUP(BW$18,HourlyTimeseries!$A:$A,HourlyTimeseries!$S:$S),"")</f>
        <v>1500</v>
      </c>
      <c r="BX83" s="51">
        <f>IFERROR(LOOKUP(BX$18,HourlyTimeseries!$A:$A,HourlyTimeseries!$S:$S),"")</f>
        <v>1500</v>
      </c>
      <c r="BY83" s="51">
        <f>IFERROR(LOOKUP(BY$18,HourlyTimeseries!$A:$A,HourlyTimeseries!$S:$S),"")</f>
        <v>1500</v>
      </c>
      <c r="BZ83" s="51">
        <f>IFERROR(LOOKUP(BZ$18,HourlyTimeseries!$A:$A,HourlyTimeseries!$S:$S),"")</f>
        <v>1500</v>
      </c>
      <c r="CA83" s="51">
        <f>IFERROR(LOOKUP(CA$18,HourlyTimeseries!$A:$A,HourlyTimeseries!$S:$S),"")</f>
        <v>1500</v>
      </c>
      <c r="CB83" s="51">
        <f>IFERROR(LOOKUP(CB$18,HourlyTimeseries!$A:$A,HourlyTimeseries!$S:$S),"")</f>
        <v>1500</v>
      </c>
      <c r="CC83" s="51">
        <f>IFERROR(LOOKUP(CC$18,HourlyTimeseries!$A:$A,HourlyTimeseries!$S:$S),"")</f>
        <v>1500</v>
      </c>
      <c r="CD83" s="51">
        <f>IFERROR(LOOKUP(CD$18,HourlyTimeseries!$A:$A,HourlyTimeseries!$S:$S),"")</f>
        <v>1500</v>
      </c>
      <c r="CE83" s="51">
        <f>IFERROR(LOOKUP(CE$18,HourlyTimeseries!$A:$A,HourlyTimeseries!$S:$S),"")</f>
        <v>1500</v>
      </c>
      <c r="CF83" s="51">
        <f>IFERROR(LOOKUP(CF$18,HourlyTimeseries!$A:$A,HourlyTimeseries!$S:$S),"")</f>
        <v>1500</v>
      </c>
      <c r="CG83" s="51">
        <f>IFERROR(LOOKUP(CG$18,HourlyTimeseries!$A:$A,HourlyTimeseries!$S:$S),"")</f>
        <v>1500</v>
      </c>
      <c r="CH83" s="51">
        <f>IFERROR(LOOKUP(CH$18,HourlyTimeseries!$A:$A,HourlyTimeseries!$S:$S),"")</f>
        <v>1500</v>
      </c>
      <c r="CI83" s="51">
        <f>IFERROR(LOOKUP(CI$18,HourlyTimeseries!$A:$A,HourlyTimeseries!$S:$S),"")</f>
        <v>1500</v>
      </c>
      <c r="CJ83" s="51">
        <f>IFERROR(LOOKUP(CJ$18,HourlyTimeseries!$A:$A,HourlyTimeseries!$S:$S),"")</f>
        <v>1500</v>
      </c>
      <c r="CK83" s="51">
        <f>IFERROR(LOOKUP(CK$18,HourlyTimeseries!$A:$A,HourlyTimeseries!$S:$S),"")</f>
        <v>1500</v>
      </c>
      <c r="CL83" s="51">
        <f>IFERROR(LOOKUP(CL$18,HourlyTimeseries!$A:$A,HourlyTimeseries!$S:$S),"")</f>
        <v>1500</v>
      </c>
      <c r="CM83" s="51">
        <f>IFERROR(LOOKUP(CM$18,HourlyTimeseries!$A:$A,HourlyTimeseries!$S:$S),"")</f>
        <v>1500</v>
      </c>
      <c r="CN83" s="51">
        <f>IFERROR(LOOKUP(CN$18,HourlyTimeseries!$A:$A,HourlyTimeseries!$S:$S),"")</f>
        <v>1500</v>
      </c>
      <c r="CO83" s="51">
        <f>IFERROR(LOOKUP(CO$18,HourlyTimeseries!$A:$A,HourlyTimeseries!$S:$S),"")</f>
        <v>1500</v>
      </c>
      <c r="CP83" s="51">
        <f>IFERROR(LOOKUP(CP$18,HourlyTimeseries!$A:$A,HourlyTimeseries!$S:$S),"")</f>
        <v>1500</v>
      </c>
      <c r="CQ83" s="51">
        <f>IFERROR(LOOKUP(CQ$18,HourlyTimeseries!$A:$A,HourlyTimeseries!$S:$S),"")</f>
        <v>1500</v>
      </c>
      <c r="CR83" s="51">
        <f>IFERROR(LOOKUP(CR$18,HourlyTimeseries!$A:$A,HourlyTimeseries!$S:$S),"")</f>
        <v>1500</v>
      </c>
      <c r="CS83" s="51">
        <f>IFERROR(LOOKUP(CS$18,HourlyTimeseries!$A:$A,HourlyTimeseries!$S:$S),"")</f>
        <v>1500</v>
      </c>
      <c r="CT83" s="51">
        <f>IFERROR(LOOKUP(CT$18,HourlyTimeseries!$A:$A,HourlyTimeseries!$S:$S),"")</f>
        <v>1500</v>
      </c>
      <c r="CU83" s="51">
        <f>IFERROR(LOOKUP(CU$18,HourlyTimeseries!$A:$A,HourlyTimeseries!$S:$S),"")</f>
        <v>1500</v>
      </c>
      <c r="CV83" s="51">
        <f>IFERROR(LOOKUP(CV$18,HourlyTimeseries!$A:$A,HourlyTimeseries!$S:$S),"")</f>
        <v>1500</v>
      </c>
      <c r="CW83" s="51">
        <f>IFERROR(LOOKUP(CW$18,HourlyTimeseries!$A:$A,HourlyTimeseries!$S:$S),"")</f>
        <v>1500</v>
      </c>
      <c r="CX83" s="51">
        <f>IFERROR(LOOKUP(CX$18,HourlyTimeseries!$A:$A,HourlyTimeseries!$S:$S),"")</f>
        <v>1500</v>
      </c>
      <c r="CY83" s="51">
        <f>IFERROR(LOOKUP(CY$18,HourlyTimeseries!$A:$A,HourlyTimeseries!$S:$S),"")</f>
        <v>1500</v>
      </c>
      <c r="CZ83" s="51">
        <f>IFERROR(LOOKUP(CZ$18,HourlyTimeseries!$A:$A,HourlyTimeseries!$S:$S),"")</f>
        <v>1500</v>
      </c>
      <c r="DA83" s="51">
        <f>IFERROR(LOOKUP(DA$18,HourlyTimeseries!$A:$A,HourlyTimeseries!$S:$S),"")</f>
        <v>1500</v>
      </c>
      <c r="DB83" s="51">
        <f>IFERROR(LOOKUP(DB$18,HourlyTimeseries!$A:$A,HourlyTimeseries!$S:$S),"")</f>
        <v>1500</v>
      </c>
      <c r="DC83" s="51">
        <f>IFERROR(LOOKUP(DC$18,HourlyTimeseries!$A:$A,HourlyTimeseries!$S:$S),"")</f>
        <v>1500</v>
      </c>
      <c r="DD83" s="51">
        <f>IFERROR(LOOKUP(DD$18,HourlyTimeseries!$A:$A,HourlyTimeseries!$S:$S),"")</f>
        <v>1500</v>
      </c>
      <c r="DE83" s="51">
        <f>IFERROR(LOOKUP(DE$18,HourlyTimeseries!$A:$A,HourlyTimeseries!$S:$S),"")</f>
        <v>1500</v>
      </c>
      <c r="DF83" s="51">
        <f>IFERROR(LOOKUP(DF$18,HourlyTimeseries!$A:$A,HourlyTimeseries!$S:$S),"")</f>
        <v>1500</v>
      </c>
      <c r="DG83" s="51">
        <f>IFERROR(LOOKUP(DG$18,HourlyTimeseries!$A:$A,HourlyTimeseries!$S:$S),"")</f>
        <v>1500</v>
      </c>
      <c r="DH83" s="51">
        <f>IFERROR(LOOKUP(DH$18,HourlyTimeseries!$A:$A,HourlyTimeseries!$S:$S),"")</f>
        <v>1500</v>
      </c>
      <c r="DI83" s="51">
        <f>IFERROR(LOOKUP(DI$18,HourlyTimeseries!$A:$A,HourlyTimeseries!$S:$S),"")</f>
        <v>1500</v>
      </c>
      <c r="DJ83" s="51">
        <f>IFERROR(LOOKUP(DJ$18,HourlyTimeseries!$A:$A,HourlyTimeseries!$S:$S),"")</f>
        <v>1500</v>
      </c>
      <c r="DK83" s="51">
        <f>IFERROR(LOOKUP(DK$18,HourlyTimeseries!$A:$A,HourlyTimeseries!$S:$S),"")</f>
        <v>1500</v>
      </c>
      <c r="DL83" s="51">
        <f>IFERROR(LOOKUP(DL$18,HourlyTimeseries!$A:$A,HourlyTimeseries!$S:$S),"")</f>
        <v>1500</v>
      </c>
      <c r="DM83" s="51">
        <f>IFERROR(LOOKUP(DM$18,HourlyTimeseries!$A:$A,HourlyTimeseries!$S:$S),"")</f>
        <v>1500</v>
      </c>
      <c r="DN83" s="51">
        <f>IFERROR(LOOKUP(DN$18,HourlyTimeseries!$A:$A,HourlyTimeseries!$S:$S),"")</f>
        <v>1500</v>
      </c>
      <c r="DO83" s="51">
        <f>IFERROR(LOOKUP(DO$18,HourlyTimeseries!$A:$A,HourlyTimeseries!$S:$S),"")</f>
        <v>1500</v>
      </c>
      <c r="DP83" s="51">
        <f>IFERROR(LOOKUP(DP$18,HourlyTimeseries!$A:$A,HourlyTimeseries!$S:$S),"")</f>
        <v>1500</v>
      </c>
      <c r="DQ83" s="51">
        <f>IFERROR(LOOKUP(DQ$18,HourlyTimeseries!$A:$A,HourlyTimeseries!$S:$S),"")</f>
        <v>1500</v>
      </c>
      <c r="DR83" s="51">
        <f>IFERROR(LOOKUP(DR$18,HourlyTimeseries!$A:$A,HourlyTimeseries!$S:$S),"")</f>
        <v>1500</v>
      </c>
      <c r="DS83" s="51">
        <f>IFERROR(LOOKUP(DS$18,HourlyTimeseries!$A:$A,HourlyTimeseries!$S:$S),"")</f>
        <v>1500</v>
      </c>
      <c r="DT83" s="51">
        <f>IFERROR(LOOKUP(DT$18,HourlyTimeseries!$A:$A,HourlyTimeseries!$S:$S),"")</f>
        <v>1500</v>
      </c>
      <c r="DU83" s="51">
        <f>IFERROR(LOOKUP(DU$18,HourlyTimeseries!$A:$A,HourlyTimeseries!$S:$S),"")</f>
        <v>1500</v>
      </c>
      <c r="DV83" s="51">
        <f>IFERROR(LOOKUP(DV$18,HourlyTimeseries!$A:$A,HourlyTimeseries!$S:$S),"")</f>
        <v>1500</v>
      </c>
      <c r="DW83" s="51">
        <f>IFERROR(LOOKUP(DW$18,HourlyTimeseries!$A:$A,HourlyTimeseries!$S:$S),"")</f>
        <v>1500</v>
      </c>
      <c r="DX83" s="51">
        <f>IFERROR(LOOKUP(DX$18,HourlyTimeseries!$A:$A,HourlyTimeseries!$S:$S),"")</f>
        <v>1500</v>
      </c>
      <c r="DY83" s="51">
        <f>IFERROR(LOOKUP(DY$18,HourlyTimeseries!$A:$A,HourlyTimeseries!$S:$S),"")</f>
        <v>1500</v>
      </c>
      <c r="DZ83" s="51">
        <f>IFERROR(LOOKUP(DZ$18,HourlyTimeseries!$A:$A,HourlyTimeseries!$S:$S),"")</f>
        <v>1500</v>
      </c>
      <c r="EA83" s="51">
        <f>IFERROR(LOOKUP(EA$18,HourlyTimeseries!$A:$A,HourlyTimeseries!$S:$S),"")</f>
        <v>1500</v>
      </c>
      <c r="EB83" s="51">
        <f>IFERROR(LOOKUP(EB$18,HourlyTimeseries!$A:$A,HourlyTimeseries!$S:$S),"")</f>
        <v>1500</v>
      </c>
      <c r="EC83" s="51">
        <f>IFERROR(LOOKUP(EC$18,HourlyTimeseries!$A:$A,HourlyTimeseries!$S:$S),"")</f>
        <v>1500</v>
      </c>
      <c r="ED83" s="51">
        <f>IFERROR(LOOKUP(ED$18,HourlyTimeseries!$A:$A,HourlyTimeseries!$S:$S),"")</f>
        <v>1500</v>
      </c>
      <c r="EE83" s="51">
        <f>IFERROR(LOOKUP(EE$18,HourlyTimeseries!$A:$A,HourlyTimeseries!$S:$S),"")</f>
        <v>1500</v>
      </c>
      <c r="EF83" s="51">
        <f>IFERROR(LOOKUP(EF$18,HourlyTimeseries!$A:$A,HourlyTimeseries!$S:$S),"")</f>
        <v>1500</v>
      </c>
      <c r="EG83" s="51">
        <f>IFERROR(LOOKUP(EG$18,HourlyTimeseries!$A:$A,HourlyTimeseries!$S:$S),"")</f>
        <v>1500</v>
      </c>
      <c r="EH83" s="51">
        <f>IFERROR(LOOKUP(EH$18,HourlyTimeseries!$A:$A,HourlyTimeseries!$S:$S),"")</f>
        <v>1500</v>
      </c>
      <c r="EI83" s="51">
        <f>IFERROR(LOOKUP(EI$18,HourlyTimeseries!$A:$A,HourlyTimeseries!$S:$S),"")</f>
        <v>1500</v>
      </c>
      <c r="EJ83" s="51">
        <f>IFERROR(LOOKUP(EJ$18,HourlyTimeseries!$A:$A,HourlyTimeseries!$S:$S),"")</f>
        <v>1500</v>
      </c>
      <c r="EK83" s="51">
        <f>IFERROR(LOOKUP(EK$18,HourlyTimeseries!$A:$A,HourlyTimeseries!$S:$S),"")</f>
        <v>1500</v>
      </c>
      <c r="EL83" s="51">
        <f>IFERROR(LOOKUP(EL$18,HourlyTimeseries!$A:$A,HourlyTimeseries!$S:$S),"")</f>
        <v>1500</v>
      </c>
      <c r="EM83" s="51">
        <f>IFERROR(LOOKUP(EM$18,HourlyTimeseries!$A:$A,HourlyTimeseries!$S:$S),"")</f>
        <v>1500</v>
      </c>
      <c r="EN83" s="51">
        <f>IFERROR(LOOKUP(EN$18,HourlyTimeseries!$A:$A,HourlyTimeseries!$S:$S),"")</f>
        <v>1500</v>
      </c>
      <c r="EO83" s="51">
        <f>IFERROR(LOOKUP(EO$18,HourlyTimeseries!$A:$A,HourlyTimeseries!$S:$S),"")</f>
        <v>1500</v>
      </c>
      <c r="EP83" s="51">
        <f>IFERROR(LOOKUP(EP$18,HourlyTimeseries!$A:$A,HourlyTimeseries!$S:$S),"")</f>
        <v>1500</v>
      </c>
      <c r="EQ83" s="51">
        <f>IFERROR(LOOKUP(EQ$18,HourlyTimeseries!$A:$A,HourlyTimeseries!$S:$S),"")</f>
        <v>1500</v>
      </c>
      <c r="ER83" s="51">
        <f>IFERROR(LOOKUP(ER$18,HourlyTimeseries!$A:$A,HourlyTimeseries!$S:$S),"")</f>
        <v>1500</v>
      </c>
      <c r="ES83" s="51">
        <f>IFERROR(LOOKUP(ES$18,HourlyTimeseries!$A:$A,HourlyTimeseries!$S:$S),"")</f>
        <v>1500</v>
      </c>
      <c r="ET83" s="51">
        <f>IFERROR(LOOKUP(ET$18,HourlyTimeseries!$A:$A,HourlyTimeseries!$S:$S),"")</f>
        <v>1500</v>
      </c>
      <c r="EU83" s="51">
        <f>IFERROR(LOOKUP(EU$18,HourlyTimeseries!$A:$A,HourlyTimeseries!$S:$S),"")</f>
        <v>1500</v>
      </c>
      <c r="EV83" s="51">
        <f>IFERROR(LOOKUP(EV$18,HourlyTimeseries!$A:$A,HourlyTimeseries!$S:$S),"")</f>
        <v>1500</v>
      </c>
      <c r="EW83" s="51">
        <f>IFERROR(LOOKUP(EW$18,HourlyTimeseries!$A:$A,HourlyTimeseries!$S:$S),"")</f>
        <v>1500</v>
      </c>
      <c r="EX83" s="51">
        <f>IFERROR(LOOKUP(EX$18,HourlyTimeseries!$A:$A,HourlyTimeseries!$S:$S),"")</f>
        <v>1500</v>
      </c>
      <c r="EY83" s="51">
        <f>IFERROR(LOOKUP(EY$18,HourlyTimeseries!$A:$A,HourlyTimeseries!$S:$S),"")</f>
        <v>1500</v>
      </c>
      <c r="EZ83" s="51">
        <f>IFERROR(LOOKUP(EZ$18,HourlyTimeseries!$A:$A,HourlyTimeseries!$S:$S),"")</f>
        <v>1500</v>
      </c>
      <c r="FA83" s="51">
        <f>IFERROR(LOOKUP(FA$18,HourlyTimeseries!$A:$A,HourlyTimeseries!$S:$S),"")</f>
        <v>1500</v>
      </c>
      <c r="FB83" s="51">
        <f>IFERROR(LOOKUP(FB$18,HourlyTimeseries!$A:$A,HourlyTimeseries!$S:$S),"")</f>
        <v>1500</v>
      </c>
      <c r="FC83" s="51">
        <f>IFERROR(LOOKUP(FC$18,HourlyTimeseries!$A:$A,HourlyTimeseries!$S:$S),"")</f>
        <v>1500</v>
      </c>
      <c r="FD83" s="51">
        <f>IFERROR(LOOKUP(FD$18,HourlyTimeseries!$A:$A,HourlyTimeseries!$S:$S),"")</f>
        <v>1500</v>
      </c>
      <c r="FE83" s="51">
        <f>IFERROR(LOOKUP(FE$18,HourlyTimeseries!$A:$A,HourlyTimeseries!$S:$S),"")</f>
        <v>1500</v>
      </c>
      <c r="FF83" s="51">
        <f>IFERROR(LOOKUP(FF$18,HourlyTimeseries!$A:$A,HourlyTimeseries!$S:$S),"")</f>
        <v>1500</v>
      </c>
      <c r="FG83" s="51">
        <f>IFERROR(LOOKUP(FG$18,HourlyTimeseries!$A:$A,HourlyTimeseries!$S:$S),"")</f>
        <v>1500</v>
      </c>
      <c r="FH83" s="51">
        <f>IFERROR(LOOKUP(FH$18,HourlyTimeseries!$A:$A,HourlyTimeseries!$S:$S),"")</f>
        <v>1500</v>
      </c>
      <c r="FI83" s="51">
        <f>IFERROR(LOOKUP(FI$18,HourlyTimeseries!$A:$A,HourlyTimeseries!$S:$S),"")</f>
        <v>1500</v>
      </c>
      <c r="FJ83" s="51">
        <f>IFERROR(LOOKUP(FJ$18,HourlyTimeseries!$A:$A,HourlyTimeseries!$S:$S),"")</f>
        <v>1500</v>
      </c>
      <c r="FK83" s="51">
        <f>IFERROR(LOOKUP(FK$18,HourlyTimeseries!$A:$A,HourlyTimeseries!$S:$S),"")</f>
        <v>1500</v>
      </c>
      <c r="FL83" s="51">
        <f>IFERROR(LOOKUP(FL$18,HourlyTimeseries!$A:$A,HourlyTimeseries!$S:$S),"")</f>
        <v>1500</v>
      </c>
      <c r="FM83" s="51">
        <f>IFERROR(LOOKUP(FM$18,HourlyTimeseries!$A:$A,HourlyTimeseries!$S:$S),"")</f>
        <v>1500</v>
      </c>
      <c r="FN83" s="51">
        <f>IFERROR(LOOKUP(FN$18,HourlyTimeseries!$A:$A,HourlyTimeseries!$S:$S),"")</f>
        <v>1500</v>
      </c>
      <c r="FO83" s="51">
        <f>IFERROR(LOOKUP(FO$18,HourlyTimeseries!$A:$A,HourlyTimeseries!$S:$S),"")</f>
        <v>1500</v>
      </c>
      <c r="FP83" s="51">
        <f>IFERROR(LOOKUP(FP$18,HourlyTimeseries!$A:$A,HourlyTimeseries!$S:$S),"")</f>
        <v>1500</v>
      </c>
    </row>
    <row r="84" spans="1:172" ht="18" thickBot="1">
      <c r="B84" s="3"/>
      <c r="C84" s="3"/>
      <c r="D84" s="57"/>
      <c r="E84" s="3" t="s">
        <v>365</v>
      </c>
      <c r="F84" s="3" t="s">
        <v>366</v>
      </c>
      <c r="G84" s="3" t="s">
        <v>367</v>
      </c>
      <c r="H84" s="3" t="s">
        <v>368</v>
      </c>
      <c r="I84" s="3" t="s">
        <v>369</v>
      </c>
      <c r="J84" s="3" t="s">
        <v>370</v>
      </c>
      <c r="K84" s="3" t="s">
        <v>371</v>
      </c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70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  <c r="BA84" s="70"/>
      <c r="BB84" s="45"/>
      <c r="BC84" s="45"/>
      <c r="BD84" s="45"/>
      <c r="BE84" s="45"/>
      <c r="BF84" s="45"/>
      <c r="BG84" s="45"/>
      <c r="BH84" s="45"/>
      <c r="BI84" s="45"/>
      <c r="BJ84" s="45"/>
      <c r="BK84" s="45"/>
      <c r="BL84" s="45"/>
      <c r="BM84" s="45"/>
      <c r="BN84" s="45"/>
      <c r="BO84" s="45"/>
      <c r="BP84" s="45"/>
      <c r="BQ84" s="45"/>
      <c r="BR84" s="45"/>
      <c r="BS84" s="45"/>
      <c r="BT84" s="45"/>
      <c r="BU84" s="45"/>
      <c r="BV84" s="45"/>
      <c r="BW84" s="45"/>
      <c r="BX84" s="45"/>
      <c r="BY84" s="70"/>
      <c r="BZ84" s="45"/>
      <c r="CA84" s="45"/>
      <c r="CB84" s="45"/>
      <c r="CC84" s="45"/>
      <c r="CD84" s="45"/>
      <c r="CE84" s="45"/>
      <c r="CF84" s="45"/>
      <c r="CG84" s="45"/>
      <c r="CH84" s="45"/>
      <c r="CI84" s="45"/>
      <c r="CJ84" s="45"/>
      <c r="CK84" s="45"/>
      <c r="CL84" s="45"/>
      <c r="CM84" s="45"/>
      <c r="CN84" s="45"/>
      <c r="CO84" s="45"/>
      <c r="CP84" s="45"/>
      <c r="CQ84" s="45"/>
      <c r="CR84" s="45"/>
      <c r="CS84" s="45"/>
      <c r="CT84" s="45"/>
      <c r="CU84" s="45"/>
      <c r="CV84" s="45"/>
      <c r="CW84" s="70"/>
      <c r="CX84" s="45"/>
      <c r="CY84" s="45"/>
      <c r="CZ84" s="45"/>
      <c r="DA84" s="45"/>
      <c r="DB84" s="45"/>
      <c r="DC84" s="45"/>
      <c r="DD84" s="45"/>
      <c r="DE84" s="45"/>
      <c r="DF84" s="45"/>
      <c r="DG84" s="45"/>
      <c r="DH84" s="45"/>
      <c r="DI84" s="45"/>
      <c r="DJ84" s="45"/>
      <c r="DK84" s="45"/>
      <c r="DL84" s="45"/>
      <c r="DM84" s="45"/>
      <c r="DN84" s="45"/>
      <c r="DO84" s="45"/>
      <c r="DP84" s="45"/>
      <c r="DQ84" s="45"/>
      <c r="DR84" s="45"/>
      <c r="DS84" s="45"/>
      <c r="DT84" s="45"/>
      <c r="DU84" s="70"/>
      <c r="DV84" s="45"/>
      <c r="DW84" s="45"/>
      <c r="DX84" s="45"/>
      <c r="DY84" s="45"/>
      <c r="DZ84" s="45"/>
      <c r="EA84" s="45"/>
      <c r="EB84" s="45"/>
      <c r="EC84" s="45"/>
      <c r="ED84" s="45"/>
      <c r="EE84" s="45"/>
      <c r="EF84" s="45"/>
      <c r="EG84" s="45"/>
      <c r="EH84" s="45"/>
      <c r="EI84" s="45"/>
      <c r="EJ84" s="45"/>
      <c r="EK84" s="45"/>
      <c r="EL84" s="45"/>
      <c r="EM84" s="45"/>
      <c r="EN84" s="45"/>
      <c r="EO84" s="45"/>
      <c r="EP84" s="45"/>
      <c r="EQ84" s="45"/>
      <c r="ER84" s="45"/>
      <c r="ES84" s="70"/>
      <c r="ET84" s="45"/>
      <c r="EU84" s="45"/>
      <c r="EV84" s="45"/>
      <c r="EW84" s="45"/>
      <c r="EX84" s="45"/>
      <c r="EY84" s="45"/>
      <c r="EZ84" s="45"/>
      <c r="FA84" s="45"/>
      <c r="FB84" s="45"/>
      <c r="FC84" s="45"/>
      <c r="FD84" s="45"/>
      <c r="FE84" s="45"/>
      <c r="FF84" s="45"/>
      <c r="FG84" s="45"/>
      <c r="FH84" s="45"/>
      <c r="FI84" s="45"/>
      <c r="FJ84" s="45"/>
      <c r="FK84" s="45"/>
      <c r="FL84" s="45"/>
      <c r="FM84" s="45"/>
      <c r="FN84" s="45"/>
      <c r="FO84" s="45"/>
      <c r="FP84" s="45"/>
    </row>
    <row r="85" spans="1:172" ht="15" thickTop="1">
      <c r="A85" t="s">
        <v>57</v>
      </c>
      <c r="B85" s="2" t="s">
        <v>56</v>
      </c>
      <c r="C85" s="42" t="s">
        <v>133</v>
      </c>
      <c r="D85" s="58"/>
      <c r="E85" s="73">
        <f>IFERROR(LOOKUP(E$20,DailyTimeseries!$A:$A,DailyTimeseries!$E:$E),"")</f>
        <v>3.2410003650263315E-2</v>
      </c>
      <c r="F85" s="73">
        <f>IFERROR(LOOKUP(F$20,DailyTimeseries!$A:$A,DailyTimeseries!$E:$E),"")</f>
        <v>3.2410003650263315E-2</v>
      </c>
      <c r="G85" s="73">
        <f>IFERROR(LOOKUP(G$20,DailyTimeseries!$A:$A,DailyTimeseries!$E:$E),"")</f>
        <v>3.2068251854267288E-2</v>
      </c>
      <c r="H85" s="73">
        <f>IFERROR(LOOKUP(H$20,DailyTimeseries!$A:$A,DailyTimeseries!$E:$E),"")</f>
        <v>3.2068251854267288E-2</v>
      </c>
      <c r="I85" s="73">
        <f>IFERROR(LOOKUP(I$20,DailyTimeseries!$A:$A,DailyTimeseries!$E:$E),"")</f>
        <v>3.2068251854267288E-2</v>
      </c>
      <c r="J85" s="73">
        <f>IFERROR(LOOKUP(J$20,DailyTimeseries!$A:$A,DailyTimeseries!$E:$E),"")</f>
        <v>3.2068251854267288E-2</v>
      </c>
      <c r="K85" s="73">
        <f>IFERROR(LOOKUP(K$20,DailyTimeseries!$A:$A,DailyTimeseries!$E:$E),"")</f>
        <v>3.2068251854267288E-2</v>
      </c>
    </row>
    <row r="87" spans="1:172" ht="20.399999999999999" thickBot="1">
      <c r="A87" s="1" t="s">
        <v>121</v>
      </c>
      <c r="B87" s="7" t="s">
        <v>32</v>
      </c>
      <c r="C87" s="3" t="s">
        <v>132</v>
      </c>
      <c r="D87" s="7"/>
      <c r="E87" s="3" t="s">
        <v>7</v>
      </c>
      <c r="F87" s="3" t="s">
        <v>8</v>
      </c>
      <c r="G87" s="3" t="s">
        <v>9</v>
      </c>
      <c r="H87" s="3" t="s">
        <v>10</v>
      </c>
      <c r="I87" s="3" t="s">
        <v>11</v>
      </c>
      <c r="J87" s="3" t="s">
        <v>12</v>
      </c>
      <c r="K87" s="3" t="s">
        <v>13</v>
      </c>
      <c r="L87" s="3" t="s">
        <v>14</v>
      </c>
      <c r="M87" s="3" t="s">
        <v>15</v>
      </c>
      <c r="N87" s="3" t="s">
        <v>16</v>
      </c>
      <c r="O87" s="3" t="s">
        <v>17</v>
      </c>
      <c r="P87" s="3" t="s">
        <v>18</v>
      </c>
      <c r="Q87" s="3" t="s">
        <v>19</v>
      </c>
      <c r="R87" s="3" t="s">
        <v>20</v>
      </c>
      <c r="S87" s="3" t="s">
        <v>21</v>
      </c>
      <c r="T87" s="3" t="s">
        <v>22</v>
      </c>
      <c r="U87" s="3" t="s">
        <v>23</v>
      </c>
      <c r="V87" s="3" t="s">
        <v>24</v>
      </c>
      <c r="W87" s="3" t="s">
        <v>25</v>
      </c>
      <c r="X87" s="3" t="s">
        <v>26</v>
      </c>
      <c r="Y87" s="3" t="s">
        <v>27</v>
      </c>
      <c r="Z87" s="3" t="s">
        <v>28</v>
      </c>
      <c r="AA87" s="3" t="s">
        <v>29</v>
      </c>
      <c r="AB87" s="3" t="s">
        <v>30</v>
      </c>
      <c r="AC87" s="65" t="s">
        <v>221</v>
      </c>
      <c r="AD87" s="3" t="s">
        <v>222</v>
      </c>
      <c r="AE87" s="3" t="s">
        <v>223</v>
      </c>
      <c r="AF87" s="3" t="s">
        <v>224</v>
      </c>
      <c r="AG87" s="3" t="s">
        <v>225</v>
      </c>
      <c r="AH87" s="3" t="s">
        <v>226</v>
      </c>
      <c r="AI87" s="3" t="s">
        <v>227</v>
      </c>
      <c r="AJ87" s="3" t="s">
        <v>228</v>
      </c>
      <c r="AK87" s="3" t="s">
        <v>229</v>
      </c>
      <c r="AL87" s="3" t="s">
        <v>230</v>
      </c>
      <c r="AM87" s="3" t="s">
        <v>231</v>
      </c>
      <c r="AN87" s="3" t="s">
        <v>232</v>
      </c>
      <c r="AO87" s="3" t="s">
        <v>233</v>
      </c>
      <c r="AP87" s="3" t="s">
        <v>234</v>
      </c>
      <c r="AQ87" s="3" t="s">
        <v>235</v>
      </c>
      <c r="AR87" s="3" t="s">
        <v>236</v>
      </c>
      <c r="AS87" s="3" t="s">
        <v>237</v>
      </c>
      <c r="AT87" s="3" t="s">
        <v>238</v>
      </c>
      <c r="AU87" s="3" t="s">
        <v>239</v>
      </c>
      <c r="AV87" s="3" t="s">
        <v>240</v>
      </c>
      <c r="AW87" s="3" t="s">
        <v>241</v>
      </c>
      <c r="AX87" s="3" t="s">
        <v>242</v>
      </c>
      <c r="AY87" s="3" t="s">
        <v>243</v>
      </c>
      <c r="AZ87" s="3" t="s">
        <v>244</v>
      </c>
      <c r="BA87" s="65" t="s">
        <v>245</v>
      </c>
      <c r="BB87" s="3" t="s">
        <v>246</v>
      </c>
      <c r="BC87" s="3" t="s">
        <v>247</v>
      </c>
      <c r="BD87" s="3" t="s">
        <v>248</v>
      </c>
      <c r="BE87" s="3" t="s">
        <v>249</v>
      </c>
      <c r="BF87" s="3" t="s">
        <v>250</v>
      </c>
      <c r="BG87" s="3" t="s">
        <v>251</v>
      </c>
      <c r="BH87" s="3" t="s">
        <v>252</v>
      </c>
      <c r="BI87" s="3" t="s">
        <v>253</v>
      </c>
      <c r="BJ87" s="3" t="s">
        <v>254</v>
      </c>
      <c r="BK87" s="3" t="s">
        <v>255</v>
      </c>
      <c r="BL87" s="3" t="s">
        <v>256</v>
      </c>
      <c r="BM87" s="3" t="s">
        <v>257</v>
      </c>
      <c r="BN87" s="3" t="s">
        <v>258</v>
      </c>
      <c r="BO87" s="3" t="s">
        <v>259</v>
      </c>
      <c r="BP87" s="3" t="s">
        <v>260</v>
      </c>
      <c r="BQ87" s="3" t="s">
        <v>261</v>
      </c>
      <c r="BR87" s="3" t="s">
        <v>262</v>
      </c>
      <c r="BS87" s="3" t="s">
        <v>263</v>
      </c>
      <c r="BT87" s="3" t="s">
        <v>264</v>
      </c>
      <c r="BU87" s="3" t="s">
        <v>265</v>
      </c>
      <c r="BV87" s="3" t="s">
        <v>266</v>
      </c>
      <c r="BW87" s="3" t="s">
        <v>267</v>
      </c>
      <c r="BX87" s="3" t="s">
        <v>268</v>
      </c>
      <c r="BY87" s="65" t="s">
        <v>269</v>
      </c>
      <c r="BZ87" s="3" t="s">
        <v>270</v>
      </c>
      <c r="CA87" s="3" t="s">
        <v>271</v>
      </c>
      <c r="CB87" s="3" t="s">
        <v>272</v>
      </c>
      <c r="CC87" s="3" t="s">
        <v>273</v>
      </c>
      <c r="CD87" s="3" t="s">
        <v>274</v>
      </c>
      <c r="CE87" s="3" t="s">
        <v>275</v>
      </c>
      <c r="CF87" s="3" t="s">
        <v>276</v>
      </c>
      <c r="CG87" s="3" t="s">
        <v>277</v>
      </c>
      <c r="CH87" s="3" t="s">
        <v>278</v>
      </c>
      <c r="CI87" s="3" t="s">
        <v>279</v>
      </c>
      <c r="CJ87" s="3" t="s">
        <v>280</v>
      </c>
      <c r="CK87" s="3" t="s">
        <v>281</v>
      </c>
      <c r="CL87" s="3" t="s">
        <v>282</v>
      </c>
      <c r="CM87" s="3" t="s">
        <v>283</v>
      </c>
      <c r="CN87" s="3" t="s">
        <v>284</v>
      </c>
      <c r="CO87" s="3" t="s">
        <v>285</v>
      </c>
      <c r="CP87" s="3" t="s">
        <v>286</v>
      </c>
      <c r="CQ87" s="3" t="s">
        <v>287</v>
      </c>
      <c r="CR87" s="3" t="s">
        <v>288</v>
      </c>
      <c r="CS87" s="3" t="s">
        <v>289</v>
      </c>
      <c r="CT87" s="3" t="s">
        <v>290</v>
      </c>
      <c r="CU87" s="3" t="s">
        <v>291</v>
      </c>
      <c r="CV87" s="3" t="s">
        <v>292</v>
      </c>
      <c r="CW87" s="65" t="s">
        <v>293</v>
      </c>
      <c r="CX87" s="3" t="s">
        <v>294</v>
      </c>
      <c r="CY87" s="3" t="s">
        <v>295</v>
      </c>
      <c r="CZ87" s="3" t="s">
        <v>296</v>
      </c>
      <c r="DA87" s="3" t="s">
        <v>297</v>
      </c>
      <c r="DB87" s="3" t="s">
        <v>298</v>
      </c>
      <c r="DC87" s="3" t="s">
        <v>299</v>
      </c>
      <c r="DD87" s="3" t="s">
        <v>300</v>
      </c>
      <c r="DE87" s="3" t="s">
        <v>301</v>
      </c>
      <c r="DF87" s="3" t="s">
        <v>302</v>
      </c>
      <c r="DG87" s="3" t="s">
        <v>303</v>
      </c>
      <c r="DH87" s="3" t="s">
        <v>304</v>
      </c>
      <c r="DI87" s="3" t="s">
        <v>305</v>
      </c>
      <c r="DJ87" s="3" t="s">
        <v>306</v>
      </c>
      <c r="DK87" s="3" t="s">
        <v>307</v>
      </c>
      <c r="DL87" s="3" t="s">
        <v>308</v>
      </c>
      <c r="DM87" s="3" t="s">
        <v>309</v>
      </c>
      <c r="DN87" s="3" t="s">
        <v>310</v>
      </c>
      <c r="DO87" s="3" t="s">
        <v>311</v>
      </c>
      <c r="DP87" s="3" t="s">
        <v>312</v>
      </c>
      <c r="DQ87" s="3" t="s">
        <v>313</v>
      </c>
      <c r="DR87" s="3" t="s">
        <v>314</v>
      </c>
      <c r="DS87" s="3" t="s">
        <v>315</v>
      </c>
      <c r="DT87" s="3" t="s">
        <v>316</v>
      </c>
      <c r="DU87" s="65" t="s">
        <v>317</v>
      </c>
      <c r="DV87" s="3" t="s">
        <v>318</v>
      </c>
      <c r="DW87" s="3" t="s">
        <v>319</v>
      </c>
      <c r="DX87" s="3" t="s">
        <v>320</v>
      </c>
      <c r="DY87" s="3" t="s">
        <v>321</v>
      </c>
      <c r="DZ87" s="3" t="s">
        <v>322</v>
      </c>
      <c r="EA87" s="3" t="s">
        <v>323</v>
      </c>
      <c r="EB87" s="3" t="s">
        <v>324</v>
      </c>
      <c r="EC87" s="3" t="s">
        <v>325</v>
      </c>
      <c r="ED87" s="3" t="s">
        <v>326</v>
      </c>
      <c r="EE87" s="3" t="s">
        <v>327</v>
      </c>
      <c r="EF87" s="3" t="s">
        <v>328</v>
      </c>
      <c r="EG87" s="3" t="s">
        <v>329</v>
      </c>
      <c r="EH87" s="3" t="s">
        <v>330</v>
      </c>
      <c r="EI87" s="3" t="s">
        <v>331</v>
      </c>
      <c r="EJ87" s="3" t="s">
        <v>332</v>
      </c>
      <c r="EK87" s="3" t="s">
        <v>333</v>
      </c>
      <c r="EL87" s="3" t="s">
        <v>334</v>
      </c>
      <c r="EM87" s="3" t="s">
        <v>335</v>
      </c>
      <c r="EN87" s="3" t="s">
        <v>336</v>
      </c>
      <c r="EO87" s="3" t="s">
        <v>337</v>
      </c>
      <c r="EP87" s="3" t="s">
        <v>338</v>
      </c>
      <c r="EQ87" s="3" t="s">
        <v>339</v>
      </c>
      <c r="ER87" s="3" t="s">
        <v>340</v>
      </c>
      <c r="ES87" s="65" t="s">
        <v>341</v>
      </c>
      <c r="ET87" s="3" t="s">
        <v>342</v>
      </c>
      <c r="EU87" s="3" t="s">
        <v>343</v>
      </c>
      <c r="EV87" s="3" t="s">
        <v>344</v>
      </c>
      <c r="EW87" s="3" t="s">
        <v>345</v>
      </c>
      <c r="EX87" s="3" t="s">
        <v>346</v>
      </c>
      <c r="EY87" s="3" t="s">
        <v>347</v>
      </c>
      <c r="EZ87" s="3" t="s">
        <v>348</v>
      </c>
      <c r="FA87" s="3" t="s">
        <v>349</v>
      </c>
      <c r="FB87" s="3" t="s">
        <v>350</v>
      </c>
      <c r="FC87" s="3" t="s">
        <v>351</v>
      </c>
      <c r="FD87" s="3" t="s">
        <v>352</v>
      </c>
      <c r="FE87" s="3" t="s">
        <v>353</v>
      </c>
      <c r="FF87" s="3" t="s">
        <v>354</v>
      </c>
      <c r="FG87" s="3" t="s">
        <v>355</v>
      </c>
      <c r="FH87" s="3" t="s">
        <v>356</v>
      </c>
      <c r="FI87" s="3" t="s">
        <v>357</v>
      </c>
      <c r="FJ87" s="3" t="s">
        <v>358</v>
      </c>
      <c r="FK87" s="3" t="s">
        <v>359</v>
      </c>
      <c r="FL87" s="3" t="s">
        <v>360</v>
      </c>
      <c r="FM87" s="3" t="s">
        <v>361</v>
      </c>
      <c r="FN87" s="3" t="s">
        <v>362</v>
      </c>
      <c r="FO87" s="3" t="s">
        <v>363</v>
      </c>
      <c r="FP87" s="3" t="s">
        <v>364</v>
      </c>
    </row>
    <row r="88" spans="1:172" ht="15" thickTop="1">
      <c r="A88" t="s">
        <v>55</v>
      </c>
      <c r="B88" s="2" t="s">
        <v>54</v>
      </c>
      <c r="C88" s="8" t="s">
        <v>134</v>
      </c>
      <c r="D88" s="2"/>
      <c r="E88" s="51">
        <f>IFERROR(LOOKUP(E$18,HourlyTimeseries!$A:$A,HourlyTimeseries!$T:$T),"")</f>
        <v>371.37732000000005</v>
      </c>
      <c r="F88" s="51">
        <f>IFERROR(LOOKUP(F$18,HourlyTimeseries!$A:$A,HourlyTimeseries!$T:$T),"")</f>
        <v>362.43308000000007</v>
      </c>
      <c r="G88" s="51">
        <f>IFERROR(LOOKUP(G$18,HourlyTimeseries!$A:$A,HourlyTimeseries!$T:$T),"")</f>
        <v>362.43308000000007</v>
      </c>
      <c r="H88" s="51">
        <f>IFERROR(LOOKUP(H$18,HourlyTimeseries!$A:$A,HourlyTimeseries!$T:$T),"")</f>
        <v>362.43308000000007</v>
      </c>
      <c r="I88" s="51">
        <f>IFERROR(LOOKUP(I$18,HourlyTimeseries!$A:$A,HourlyTimeseries!$T:$T),"")</f>
        <v>362.43308000000007</v>
      </c>
      <c r="J88" s="51">
        <f>IFERROR(LOOKUP(J$18,HourlyTimeseries!$A:$A,HourlyTimeseries!$T:$T),"")</f>
        <v>362.43308000000007</v>
      </c>
      <c r="K88" s="51">
        <f>IFERROR(LOOKUP(K$18,HourlyTimeseries!$A:$A,HourlyTimeseries!$T:$T),"")</f>
        <v>362.43308000000007</v>
      </c>
      <c r="L88" s="51">
        <f>IFERROR(LOOKUP(L$18,HourlyTimeseries!$A:$A,HourlyTimeseries!$T:$T),"")</f>
        <v>339.23343999999997</v>
      </c>
      <c r="M88" s="51">
        <f>IFERROR(LOOKUP(M$18,HourlyTimeseries!$A:$A,HourlyTimeseries!$T:$T),"")</f>
        <v>339.23343999999997</v>
      </c>
      <c r="N88" s="51">
        <f>IFERROR(LOOKUP(N$18,HourlyTimeseries!$A:$A,HourlyTimeseries!$T:$T),"")</f>
        <v>338.44093501457735</v>
      </c>
      <c r="O88" s="51">
        <f>IFERROR(LOOKUP(O$18,HourlyTimeseries!$A:$A,HourlyTimeseries!$T:$T),"")</f>
        <v>338.44093501457741</v>
      </c>
      <c r="P88" s="51">
        <f>IFERROR(LOOKUP(P$18,HourlyTimeseries!$A:$A,HourlyTimeseries!$T:$T),"")</f>
        <v>338.44093501457741</v>
      </c>
      <c r="Q88" s="51">
        <f>IFERROR(LOOKUP(Q$18,HourlyTimeseries!$A:$A,HourlyTimeseries!$T:$T),"")</f>
        <v>338.44093501457752</v>
      </c>
      <c r="R88" s="51">
        <f>IFERROR(LOOKUP(R$18,HourlyTimeseries!$A:$A,HourlyTimeseries!$T:$T),"")</f>
        <v>419.45560000000012</v>
      </c>
      <c r="S88" s="51">
        <f>IFERROR(LOOKUP(S$18,HourlyTimeseries!$A:$A,HourlyTimeseries!$T:$T),"")</f>
        <v>602.53744000000006</v>
      </c>
      <c r="T88" s="51">
        <f>IFERROR(LOOKUP(T$18,HourlyTimeseries!$A:$A,HourlyTimeseries!$T:$T),"")</f>
        <v>718.53656000000001</v>
      </c>
      <c r="U88" s="51">
        <f>IFERROR(LOOKUP(U$18,HourlyTimeseries!$A:$A,HourlyTimeseries!$T:$T),"")</f>
        <v>786.27137399656624</v>
      </c>
      <c r="V88" s="51">
        <f>IFERROR(LOOKUP(V$18,HourlyTimeseries!$A:$A,HourlyTimeseries!$T:$T),"")</f>
        <v>786.27137399656624</v>
      </c>
      <c r="W88" s="51">
        <f>IFERROR(LOOKUP(W$18,HourlyTimeseries!$A:$A,HourlyTimeseries!$T:$T),"")</f>
        <v>786.27137399656647</v>
      </c>
      <c r="X88" s="51">
        <f>IFERROR(LOOKUP(X$18,HourlyTimeseries!$A:$A,HourlyTimeseries!$T:$T),"")</f>
        <v>786.27137399656624</v>
      </c>
      <c r="Y88" s="51">
        <f>IFERROR(LOOKUP(Y$18,HourlyTimeseries!$A:$A,HourlyTimeseries!$T:$T),"")</f>
        <v>777.64820632864951</v>
      </c>
      <c r="Z88" s="51">
        <f>IFERROR(LOOKUP(Z$18,HourlyTimeseries!$A:$A,HourlyTimeseries!$T:$T),"")</f>
        <v>646.6971562116064</v>
      </c>
      <c r="AA88" s="51">
        <f>IFERROR(LOOKUP(AA$18,HourlyTimeseries!$A:$A,HourlyTimeseries!$T:$T),"")</f>
        <v>584.81792964989802</v>
      </c>
      <c r="AB88" s="60">
        <f>IFERROR(LOOKUP(AB$18,HourlyTimeseries!$A:$A,HourlyTimeseries!$T:$T),"")</f>
        <v>476.19660000000005</v>
      </c>
      <c r="AC88" s="67">
        <f>IFERROR(LOOKUP(AC$18,HourlyTimeseries!$A:$A,HourlyTimeseries!$T:$T),"")</f>
        <v>356.57820000000004</v>
      </c>
      <c r="AD88" s="51">
        <f>IFERROR(LOOKUP(AD$18,HourlyTimeseries!$A:$A,HourlyTimeseries!$T:$T),"")</f>
        <v>347.99644000000006</v>
      </c>
      <c r="AE88" s="51">
        <f>IFERROR(LOOKUP(AE$18,HourlyTimeseries!$A:$A,HourlyTimeseries!$T:$T),"")</f>
        <v>341.29148000000004</v>
      </c>
      <c r="AF88" s="51">
        <f>IFERROR(LOOKUP(AF$18,HourlyTimeseries!$A:$A,HourlyTimeseries!$T:$T),"")</f>
        <v>341.29148000000004</v>
      </c>
      <c r="AG88" s="51">
        <f>IFERROR(LOOKUP(AG$18,HourlyTimeseries!$A:$A,HourlyTimeseries!$T:$T),"")</f>
        <v>341.29148000000004</v>
      </c>
      <c r="AH88" s="51">
        <f>IFERROR(LOOKUP(AH$18,HourlyTimeseries!$A:$A,HourlyTimeseries!$T:$T),"")</f>
        <v>341.29148000000004</v>
      </c>
      <c r="AI88" s="51">
        <f>IFERROR(LOOKUP(AI$18,HourlyTimeseries!$A:$A,HourlyTimeseries!$T:$T),"")</f>
        <v>338.44328695210856</v>
      </c>
      <c r="AJ88" s="51">
        <f>IFERROR(LOOKUP(AJ$18,HourlyTimeseries!$A:$A,HourlyTimeseries!$T:$T),"")</f>
        <v>338.44328695210856</v>
      </c>
      <c r="AK88" s="51">
        <f>IFERROR(LOOKUP(AK$18,HourlyTimeseries!$A:$A,HourlyTimeseries!$T:$T),"")</f>
        <v>338.44328695210851</v>
      </c>
      <c r="AL88" s="51">
        <f>IFERROR(LOOKUP(AL$18,HourlyTimeseries!$A:$A,HourlyTimeseries!$T:$T),"")</f>
        <v>338.44093501457735</v>
      </c>
      <c r="AM88" s="51">
        <f>IFERROR(LOOKUP(AM$18,HourlyTimeseries!$A:$A,HourlyTimeseries!$T:$T),"")</f>
        <v>338.44093501457741</v>
      </c>
      <c r="AN88" s="51">
        <f>IFERROR(LOOKUP(AN$18,HourlyTimeseries!$A:$A,HourlyTimeseries!$T:$T),"")</f>
        <v>338.44093501457741</v>
      </c>
      <c r="AO88" s="51">
        <f>IFERROR(LOOKUP(AO$18,HourlyTimeseries!$A:$A,HourlyTimeseries!$T:$T),"")</f>
        <v>338.44093501457741</v>
      </c>
      <c r="AP88" s="51">
        <f>IFERROR(LOOKUP(AP$18,HourlyTimeseries!$A:$A,HourlyTimeseries!$T:$T),"")</f>
        <v>353.09232000000009</v>
      </c>
      <c r="AQ88" s="51">
        <f>IFERROR(LOOKUP(AQ$18,HourlyTimeseries!$A:$A,HourlyTimeseries!$T:$T),"")</f>
        <v>553.46715198762581</v>
      </c>
      <c r="AR88" s="51">
        <f>IFERROR(LOOKUP(AR$18,HourlyTimeseries!$A:$A,HourlyTimeseries!$T:$T),"")</f>
        <v>645.42416000000014</v>
      </c>
      <c r="AS88" s="51">
        <f>IFERROR(LOOKUP(AS$18,HourlyTimeseries!$A:$A,HourlyTimeseries!$T:$T),"")</f>
        <v>786.27137399656624</v>
      </c>
      <c r="AT88" s="51">
        <f>IFERROR(LOOKUP(AT$18,HourlyTimeseries!$A:$A,HourlyTimeseries!$T:$T),"")</f>
        <v>786.27137399656624</v>
      </c>
      <c r="AU88" s="51">
        <f>IFERROR(LOOKUP(AU$18,HourlyTimeseries!$A:$A,HourlyTimeseries!$T:$T),"")</f>
        <v>786.27137399656647</v>
      </c>
      <c r="AV88" s="51">
        <f>IFERROR(LOOKUP(AV$18,HourlyTimeseries!$A:$A,HourlyTimeseries!$T:$T),"")</f>
        <v>786.27137399656624</v>
      </c>
      <c r="AW88" s="51">
        <f>IFERROR(LOOKUP(AW$18,HourlyTimeseries!$A:$A,HourlyTimeseries!$T:$T),"")</f>
        <v>786.27137399656647</v>
      </c>
      <c r="AX88" s="51">
        <f>IFERROR(LOOKUP(AX$18,HourlyTimeseries!$A:$A,HourlyTimeseries!$T:$T),"")</f>
        <v>659.17515115813114</v>
      </c>
      <c r="AY88" s="51">
        <f>IFERROR(LOOKUP(AY$18,HourlyTimeseries!$A:$A,HourlyTimeseries!$T:$T),"")</f>
        <v>598.79212957269056</v>
      </c>
      <c r="AZ88" s="60">
        <f>IFERROR(LOOKUP(AZ$18,HourlyTimeseries!$A:$A,HourlyTimeseries!$T:$T),"")</f>
        <v>457.15168</v>
      </c>
      <c r="BA88" s="67">
        <f>IFERROR(LOOKUP(BA$18,HourlyTimeseries!$A:$A,HourlyTimeseries!$T:$T),"")</f>
        <v>289.0624787084426</v>
      </c>
      <c r="BB88" s="51">
        <f>IFERROR(LOOKUP(BB$18,HourlyTimeseries!$A:$A,HourlyTimeseries!$T:$T),"")</f>
        <v>289.0624787084426</v>
      </c>
      <c r="BC88" s="51">
        <f>IFERROR(LOOKUP(BC$18,HourlyTimeseries!$A:$A,HourlyTimeseries!$T:$T),"")</f>
        <v>289.0624787084426</v>
      </c>
      <c r="BD88" s="51">
        <f>IFERROR(LOOKUP(BD$18,HourlyTimeseries!$A:$A,HourlyTimeseries!$T:$T),"")</f>
        <v>289.05894152419745</v>
      </c>
      <c r="BE88" s="51">
        <f>IFERROR(LOOKUP(BE$18,HourlyTimeseries!$A:$A,HourlyTimeseries!$T:$T),"")</f>
        <v>289.05894152419745</v>
      </c>
      <c r="BF88" s="51">
        <f>IFERROR(LOOKUP(BF$18,HourlyTimeseries!$A:$A,HourlyTimeseries!$T:$T),"")</f>
        <v>289.05894152419745</v>
      </c>
      <c r="BG88" s="51">
        <f>IFERROR(LOOKUP(BG$18,HourlyTimeseries!$A:$A,HourlyTimeseries!$T:$T),"")</f>
        <v>291.12479999999999</v>
      </c>
      <c r="BH88" s="51">
        <f>IFERROR(LOOKUP(BH$18,HourlyTimeseries!$A:$A,HourlyTimeseries!$T:$T),"")</f>
        <v>291.12479999999999</v>
      </c>
      <c r="BI88" s="51">
        <f>IFERROR(LOOKUP(BI$18,HourlyTimeseries!$A:$A,HourlyTimeseries!$T:$T),"")</f>
        <v>291.12479999999999</v>
      </c>
      <c r="BJ88" s="51">
        <f>IFERROR(LOOKUP(BJ$18,HourlyTimeseries!$A:$A,HourlyTimeseries!$T:$T),"")</f>
        <v>291.12479999999999</v>
      </c>
      <c r="BK88" s="51">
        <f>IFERROR(LOOKUP(BK$18,HourlyTimeseries!$A:$A,HourlyTimeseries!$T:$T),"")</f>
        <v>290.74956158350585</v>
      </c>
      <c r="BL88" s="51">
        <f>IFERROR(LOOKUP(BL$18,HourlyTimeseries!$A:$A,HourlyTimeseries!$T:$T),"")</f>
        <v>290.74956158350585</v>
      </c>
      <c r="BM88" s="51">
        <f>IFERROR(LOOKUP(BM$18,HourlyTimeseries!$A:$A,HourlyTimeseries!$T:$T),"")</f>
        <v>290.74956158350585</v>
      </c>
      <c r="BN88" s="51">
        <f>IFERROR(LOOKUP(BN$18,HourlyTimeseries!$A:$A,HourlyTimeseries!$T:$T),"")</f>
        <v>290.72204920255348</v>
      </c>
      <c r="BO88" s="51">
        <f>IFERROR(LOOKUP(BO$18,HourlyTimeseries!$A:$A,HourlyTimeseries!$T:$T),"")</f>
        <v>363.28132000000005</v>
      </c>
      <c r="BP88" s="51">
        <f>IFERROR(LOOKUP(BP$18,HourlyTimeseries!$A:$A,HourlyTimeseries!$T:$T),"")</f>
        <v>570.3300004440199</v>
      </c>
      <c r="BQ88" s="51">
        <f>IFERROR(LOOKUP(BQ$18,HourlyTimeseries!$A:$A,HourlyTimeseries!$T:$T),"")</f>
        <v>602.16876690131596</v>
      </c>
      <c r="BR88" s="51">
        <f>IFERROR(LOOKUP(BR$18,HourlyTimeseries!$A:$A,HourlyTimeseries!$T:$T),"")</f>
        <v>602.16876690131596</v>
      </c>
      <c r="BS88" s="51">
        <f>IFERROR(LOOKUP(BS$18,HourlyTimeseries!$A:$A,HourlyTimeseries!$T:$T),"")</f>
        <v>602.16876690131596</v>
      </c>
      <c r="BT88" s="51">
        <f>IFERROR(LOOKUP(BT$18,HourlyTimeseries!$A:$A,HourlyTimeseries!$T:$T),"")</f>
        <v>600.14662419619219</v>
      </c>
      <c r="BU88" s="51">
        <f>IFERROR(LOOKUP(BU$18,HourlyTimeseries!$A:$A,HourlyTimeseries!$T:$T),"")</f>
        <v>600.14662419619219</v>
      </c>
      <c r="BV88" s="51">
        <f>IFERROR(LOOKUP(BV$18,HourlyTimeseries!$A:$A,HourlyTimeseries!$T:$T),"")</f>
        <v>523.94879142973434</v>
      </c>
      <c r="BW88" s="51">
        <f>IFERROR(LOOKUP(BW$18,HourlyTimeseries!$A:$A,HourlyTimeseries!$T:$T),"")</f>
        <v>421.91858468239752</v>
      </c>
      <c r="BX88" s="60">
        <f>IFERROR(LOOKUP(BX$18,HourlyTimeseries!$A:$A,HourlyTimeseries!$T:$T),"")</f>
        <v>289.33527113913209</v>
      </c>
      <c r="BY88" s="67">
        <f>IFERROR(LOOKUP(BY$18,HourlyTimeseries!$A:$A,HourlyTimeseries!$T:$T),"")</f>
        <v>289.0624787084426</v>
      </c>
      <c r="BZ88" s="51">
        <f>IFERROR(LOOKUP(BZ$18,HourlyTimeseries!$A:$A,HourlyTimeseries!$T:$T),"")</f>
        <v>289.0624787084426</v>
      </c>
      <c r="CA88" s="51">
        <f>IFERROR(LOOKUP(CA$18,HourlyTimeseries!$A:$A,HourlyTimeseries!$T:$T),"")</f>
        <v>289.0624787084426</v>
      </c>
      <c r="CB88" s="51">
        <f>IFERROR(LOOKUP(CB$18,HourlyTimeseries!$A:$A,HourlyTimeseries!$T:$T),"")</f>
        <v>289.05894152419745</v>
      </c>
      <c r="CC88" s="51">
        <f>IFERROR(LOOKUP(CC$18,HourlyTimeseries!$A:$A,HourlyTimeseries!$T:$T),"")</f>
        <v>289.05894152419745</v>
      </c>
      <c r="CD88" s="51">
        <f>IFERROR(LOOKUP(CD$18,HourlyTimeseries!$A:$A,HourlyTimeseries!$T:$T),"")</f>
        <v>289.05894152419745</v>
      </c>
      <c r="CE88" s="51">
        <f>IFERROR(LOOKUP(CE$18,HourlyTimeseries!$A:$A,HourlyTimeseries!$T:$T),"")</f>
        <v>291.12479999999999</v>
      </c>
      <c r="CF88" s="51">
        <f>IFERROR(LOOKUP(CF$18,HourlyTimeseries!$A:$A,HourlyTimeseries!$T:$T),"")</f>
        <v>291.12479999999999</v>
      </c>
      <c r="CG88" s="51">
        <f>IFERROR(LOOKUP(CG$18,HourlyTimeseries!$A:$A,HourlyTimeseries!$T:$T),"")</f>
        <v>291.12479999999999</v>
      </c>
      <c r="CH88" s="51">
        <f>IFERROR(LOOKUP(CH$18,HourlyTimeseries!$A:$A,HourlyTimeseries!$T:$T),"")</f>
        <v>291.12479999999999</v>
      </c>
      <c r="CI88" s="51">
        <f>IFERROR(LOOKUP(CI$18,HourlyTimeseries!$A:$A,HourlyTimeseries!$T:$T),"")</f>
        <v>290.74956158350585</v>
      </c>
      <c r="CJ88" s="51">
        <f>IFERROR(LOOKUP(CJ$18,HourlyTimeseries!$A:$A,HourlyTimeseries!$T:$T),"")</f>
        <v>290.74956158350585</v>
      </c>
      <c r="CK88" s="51">
        <f>IFERROR(LOOKUP(CK$18,HourlyTimeseries!$A:$A,HourlyTimeseries!$T:$T),"")</f>
        <v>290.74956158350585</v>
      </c>
      <c r="CL88" s="51">
        <f>IFERROR(LOOKUP(CL$18,HourlyTimeseries!$A:$A,HourlyTimeseries!$T:$T),"")</f>
        <v>290.72204920255348</v>
      </c>
      <c r="CM88" s="51">
        <f>IFERROR(LOOKUP(CM$18,HourlyTimeseries!$A:$A,HourlyTimeseries!$T:$T),"")</f>
        <v>363.28132000000005</v>
      </c>
      <c r="CN88" s="51">
        <f>IFERROR(LOOKUP(CN$18,HourlyTimeseries!$A:$A,HourlyTimeseries!$T:$T),"")</f>
        <v>570.3300004440199</v>
      </c>
      <c r="CO88" s="51">
        <f>IFERROR(LOOKUP(CO$18,HourlyTimeseries!$A:$A,HourlyTimeseries!$T:$T),"")</f>
        <v>602.16876690131596</v>
      </c>
      <c r="CP88" s="51">
        <f>IFERROR(LOOKUP(CP$18,HourlyTimeseries!$A:$A,HourlyTimeseries!$T:$T),"")</f>
        <v>602.16876690131596</v>
      </c>
      <c r="CQ88" s="51">
        <f>IFERROR(LOOKUP(CQ$18,HourlyTimeseries!$A:$A,HourlyTimeseries!$T:$T),"")</f>
        <v>602.16876690131596</v>
      </c>
      <c r="CR88" s="51">
        <f>IFERROR(LOOKUP(CR$18,HourlyTimeseries!$A:$A,HourlyTimeseries!$T:$T),"")</f>
        <v>600.14662419619219</v>
      </c>
      <c r="CS88" s="51">
        <f>IFERROR(LOOKUP(CS$18,HourlyTimeseries!$A:$A,HourlyTimeseries!$T:$T),"")</f>
        <v>600.14662419619219</v>
      </c>
      <c r="CT88" s="51">
        <f>IFERROR(LOOKUP(CT$18,HourlyTimeseries!$A:$A,HourlyTimeseries!$T:$T),"")</f>
        <v>523.94879142973434</v>
      </c>
      <c r="CU88" s="51">
        <f>IFERROR(LOOKUP(CU$18,HourlyTimeseries!$A:$A,HourlyTimeseries!$T:$T),"")</f>
        <v>421.91858468239752</v>
      </c>
      <c r="CV88" s="60">
        <f>IFERROR(LOOKUP(CV$18,HourlyTimeseries!$A:$A,HourlyTimeseries!$T:$T),"")</f>
        <v>289.33527113913209</v>
      </c>
      <c r="CW88" s="67">
        <f>IFERROR(LOOKUP(CW$18,HourlyTimeseries!$A:$A,HourlyTimeseries!$T:$T),"")</f>
        <v>289.0624787084426</v>
      </c>
      <c r="CX88" s="51">
        <f>IFERROR(LOOKUP(CX$18,HourlyTimeseries!$A:$A,HourlyTimeseries!$T:$T),"")</f>
        <v>289.0624787084426</v>
      </c>
      <c r="CY88" s="51">
        <f>IFERROR(LOOKUP(CY$18,HourlyTimeseries!$A:$A,HourlyTimeseries!$T:$T),"")</f>
        <v>289.0624787084426</v>
      </c>
      <c r="CZ88" s="51">
        <f>IFERROR(LOOKUP(CZ$18,HourlyTimeseries!$A:$A,HourlyTimeseries!$T:$T),"")</f>
        <v>289.05894152419745</v>
      </c>
      <c r="DA88" s="51">
        <f>IFERROR(LOOKUP(DA$18,HourlyTimeseries!$A:$A,HourlyTimeseries!$T:$T),"")</f>
        <v>289.05894152419745</v>
      </c>
      <c r="DB88" s="51">
        <f>IFERROR(LOOKUP(DB$18,HourlyTimeseries!$A:$A,HourlyTimeseries!$T:$T),"")</f>
        <v>289.05894152419745</v>
      </c>
      <c r="DC88" s="51">
        <f>IFERROR(LOOKUP(DC$18,HourlyTimeseries!$A:$A,HourlyTimeseries!$T:$T),"")</f>
        <v>291.12479999999999</v>
      </c>
      <c r="DD88" s="51">
        <f>IFERROR(LOOKUP(DD$18,HourlyTimeseries!$A:$A,HourlyTimeseries!$T:$T),"")</f>
        <v>291.12479999999999</v>
      </c>
      <c r="DE88" s="51">
        <f>IFERROR(LOOKUP(DE$18,HourlyTimeseries!$A:$A,HourlyTimeseries!$T:$T),"")</f>
        <v>291.12479999999999</v>
      </c>
      <c r="DF88" s="51">
        <f>IFERROR(LOOKUP(DF$18,HourlyTimeseries!$A:$A,HourlyTimeseries!$T:$T),"")</f>
        <v>291.12479999999999</v>
      </c>
      <c r="DG88" s="51">
        <f>IFERROR(LOOKUP(DG$18,HourlyTimeseries!$A:$A,HourlyTimeseries!$T:$T),"")</f>
        <v>290.74956158350585</v>
      </c>
      <c r="DH88" s="51">
        <f>IFERROR(LOOKUP(DH$18,HourlyTimeseries!$A:$A,HourlyTimeseries!$T:$T),"")</f>
        <v>290.74956158350585</v>
      </c>
      <c r="DI88" s="51">
        <f>IFERROR(LOOKUP(DI$18,HourlyTimeseries!$A:$A,HourlyTimeseries!$T:$T),"")</f>
        <v>290.74956158350585</v>
      </c>
      <c r="DJ88" s="51">
        <f>IFERROR(LOOKUP(DJ$18,HourlyTimeseries!$A:$A,HourlyTimeseries!$T:$T),"")</f>
        <v>290.72204920255348</v>
      </c>
      <c r="DK88" s="51">
        <f>IFERROR(LOOKUP(DK$18,HourlyTimeseries!$A:$A,HourlyTimeseries!$T:$T),"")</f>
        <v>363.28132000000005</v>
      </c>
      <c r="DL88" s="51">
        <f>IFERROR(LOOKUP(DL$18,HourlyTimeseries!$A:$A,HourlyTimeseries!$T:$T),"")</f>
        <v>570.3300004440199</v>
      </c>
      <c r="DM88" s="51">
        <f>IFERROR(LOOKUP(DM$18,HourlyTimeseries!$A:$A,HourlyTimeseries!$T:$T),"")</f>
        <v>602.16876690131596</v>
      </c>
      <c r="DN88" s="51">
        <f>IFERROR(LOOKUP(DN$18,HourlyTimeseries!$A:$A,HourlyTimeseries!$T:$T),"")</f>
        <v>602.16876690131596</v>
      </c>
      <c r="DO88" s="51">
        <f>IFERROR(LOOKUP(DO$18,HourlyTimeseries!$A:$A,HourlyTimeseries!$T:$T),"")</f>
        <v>602.16876690131596</v>
      </c>
      <c r="DP88" s="51">
        <f>IFERROR(LOOKUP(DP$18,HourlyTimeseries!$A:$A,HourlyTimeseries!$T:$T),"")</f>
        <v>600.14662419619219</v>
      </c>
      <c r="DQ88" s="51">
        <f>IFERROR(LOOKUP(DQ$18,HourlyTimeseries!$A:$A,HourlyTimeseries!$T:$T),"")</f>
        <v>600.14662419619219</v>
      </c>
      <c r="DR88" s="51">
        <f>IFERROR(LOOKUP(DR$18,HourlyTimeseries!$A:$A,HourlyTimeseries!$T:$T),"")</f>
        <v>523.94879142973434</v>
      </c>
      <c r="DS88" s="51">
        <f>IFERROR(LOOKUP(DS$18,HourlyTimeseries!$A:$A,HourlyTimeseries!$T:$T),"")</f>
        <v>421.91858468239752</v>
      </c>
      <c r="DT88" s="60">
        <f>IFERROR(LOOKUP(DT$18,HourlyTimeseries!$A:$A,HourlyTimeseries!$T:$T),"")</f>
        <v>289.33527113913209</v>
      </c>
      <c r="DU88" s="67">
        <f>IFERROR(LOOKUP(DU$18,HourlyTimeseries!$A:$A,HourlyTimeseries!$T:$T),"")</f>
        <v>289.0624787084426</v>
      </c>
      <c r="DV88" s="51">
        <f>IFERROR(LOOKUP(DV$18,HourlyTimeseries!$A:$A,HourlyTimeseries!$T:$T),"")</f>
        <v>289.0624787084426</v>
      </c>
      <c r="DW88" s="51">
        <f>IFERROR(LOOKUP(DW$18,HourlyTimeseries!$A:$A,HourlyTimeseries!$T:$T),"")</f>
        <v>289.0624787084426</v>
      </c>
      <c r="DX88" s="51">
        <f>IFERROR(LOOKUP(DX$18,HourlyTimeseries!$A:$A,HourlyTimeseries!$T:$T),"")</f>
        <v>289.05894152419745</v>
      </c>
      <c r="DY88" s="51">
        <f>IFERROR(LOOKUP(DY$18,HourlyTimeseries!$A:$A,HourlyTimeseries!$T:$T),"")</f>
        <v>289.05894152419745</v>
      </c>
      <c r="DZ88" s="51">
        <f>IFERROR(LOOKUP(DZ$18,HourlyTimeseries!$A:$A,HourlyTimeseries!$T:$T),"")</f>
        <v>289.05894152419745</v>
      </c>
      <c r="EA88" s="51">
        <f>IFERROR(LOOKUP(EA$18,HourlyTimeseries!$A:$A,HourlyTimeseries!$T:$T),"")</f>
        <v>291.12479999999999</v>
      </c>
      <c r="EB88" s="51">
        <f>IFERROR(LOOKUP(EB$18,HourlyTimeseries!$A:$A,HourlyTimeseries!$T:$T),"")</f>
        <v>291.12479999999999</v>
      </c>
      <c r="EC88" s="51">
        <f>IFERROR(LOOKUP(EC$18,HourlyTimeseries!$A:$A,HourlyTimeseries!$T:$T),"")</f>
        <v>291.12479999999999</v>
      </c>
      <c r="ED88" s="51">
        <f>IFERROR(LOOKUP(ED$18,HourlyTimeseries!$A:$A,HourlyTimeseries!$T:$T),"")</f>
        <v>291.12479999999999</v>
      </c>
      <c r="EE88" s="51">
        <f>IFERROR(LOOKUP(EE$18,HourlyTimeseries!$A:$A,HourlyTimeseries!$T:$T),"")</f>
        <v>290.74956158350585</v>
      </c>
      <c r="EF88" s="51">
        <f>IFERROR(LOOKUP(EF$18,HourlyTimeseries!$A:$A,HourlyTimeseries!$T:$T),"")</f>
        <v>290.74956158350585</v>
      </c>
      <c r="EG88" s="51">
        <f>IFERROR(LOOKUP(EG$18,HourlyTimeseries!$A:$A,HourlyTimeseries!$T:$T),"")</f>
        <v>290.74956158350585</v>
      </c>
      <c r="EH88" s="51">
        <f>IFERROR(LOOKUP(EH$18,HourlyTimeseries!$A:$A,HourlyTimeseries!$T:$T),"")</f>
        <v>290.72204920255348</v>
      </c>
      <c r="EI88" s="51">
        <f>IFERROR(LOOKUP(EI$18,HourlyTimeseries!$A:$A,HourlyTimeseries!$T:$T),"")</f>
        <v>363.28132000000005</v>
      </c>
      <c r="EJ88" s="51">
        <f>IFERROR(LOOKUP(EJ$18,HourlyTimeseries!$A:$A,HourlyTimeseries!$T:$T),"")</f>
        <v>570.3300004440199</v>
      </c>
      <c r="EK88" s="51">
        <f>IFERROR(LOOKUP(EK$18,HourlyTimeseries!$A:$A,HourlyTimeseries!$T:$T),"")</f>
        <v>602.16876690131596</v>
      </c>
      <c r="EL88" s="51">
        <f>IFERROR(LOOKUP(EL$18,HourlyTimeseries!$A:$A,HourlyTimeseries!$T:$T),"")</f>
        <v>602.16876690131596</v>
      </c>
      <c r="EM88" s="51">
        <f>IFERROR(LOOKUP(EM$18,HourlyTimeseries!$A:$A,HourlyTimeseries!$T:$T),"")</f>
        <v>602.16876690131596</v>
      </c>
      <c r="EN88" s="51">
        <f>IFERROR(LOOKUP(EN$18,HourlyTimeseries!$A:$A,HourlyTimeseries!$T:$T),"")</f>
        <v>600.14662419619219</v>
      </c>
      <c r="EO88" s="51">
        <f>IFERROR(LOOKUP(EO$18,HourlyTimeseries!$A:$A,HourlyTimeseries!$T:$T),"")</f>
        <v>600.14662419619219</v>
      </c>
      <c r="EP88" s="51">
        <f>IFERROR(LOOKUP(EP$18,HourlyTimeseries!$A:$A,HourlyTimeseries!$T:$T),"")</f>
        <v>523.94879142973434</v>
      </c>
      <c r="EQ88" s="51">
        <f>IFERROR(LOOKUP(EQ$18,HourlyTimeseries!$A:$A,HourlyTimeseries!$T:$T),"")</f>
        <v>421.91858468239752</v>
      </c>
      <c r="ER88" s="60">
        <f>IFERROR(LOOKUP(ER$18,HourlyTimeseries!$A:$A,HourlyTimeseries!$T:$T),"")</f>
        <v>289.33527113913209</v>
      </c>
      <c r="ES88" s="67">
        <f>IFERROR(LOOKUP(ES$18,HourlyTimeseries!$A:$A,HourlyTimeseries!$T:$T),"")</f>
        <v>289.0624787084426</v>
      </c>
      <c r="ET88" s="51">
        <f>IFERROR(LOOKUP(ET$18,HourlyTimeseries!$A:$A,HourlyTimeseries!$T:$T),"")</f>
        <v>289.0624787084426</v>
      </c>
      <c r="EU88" s="51">
        <f>IFERROR(LOOKUP(EU$18,HourlyTimeseries!$A:$A,HourlyTimeseries!$T:$T),"")</f>
        <v>289.0624787084426</v>
      </c>
      <c r="EV88" s="51">
        <f>IFERROR(LOOKUP(EV$18,HourlyTimeseries!$A:$A,HourlyTimeseries!$T:$T),"")</f>
        <v>289.05894152419745</v>
      </c>
      <c r="EW88" s="51">
        <f>IFERROR(LOOKUP(EW$18,HourlyTimeseries!$A:$A,HourlyTimeseries!$T:$T),"")</f>
        <v>289.05894152419745</v>
      </c>
      <c r="EX88" s="51">
        <f>IFERROR(LOOKUP(EX$18,HourlyTimeseries!$A:$A,HourlyTimeseries!$T:$T),"")</f>
        <v>289.05894152419745</v>
      </c>
      <c r="EY88" s="51">
        <f>IFERROR(LOOKUP(EY$18,HourlyTimeseries!$A:$A,HourlyTimeseries!$T:$T),"")</f>
        <v>291.12479999999999</v>
      </c>
      <c r="EZ88" s="51">
        <f>IFERROR(LOOKUP(EZ$18,HourlyTimeseries!$A:$A,HourlyTimeseries!$T:$T),"")</f>
        <v>291.12479999999999</v>
      </c>
      <c r="FA88" s="51">
        <f>IFERROR(LOOKUP(FA$18,HourlyTimeseries!$A:$A,HourlyTimeseries!$T:$T),"")</f>
        <v>291.12479999999999</v>
      </c>
      <c r="FB88" s="51">
        <f>IFERROR(LOOKUP(FB$18,HourlyTimeseries!$A:$A,HourlyTimeseries!$T:$T),"")</f>
        <v>291.12479999999999</v>
      </c>
      <c r="FC88" s="51">
        <f>IFERROR(LOOKUP(FC$18,HourlyTimeseries!$A:$A,HourlyTimeseries!$T:$T),"")</f>
        <v>290.74956158350585</v>
      </c>
      <c r="FD88" s="51">
        <f>IFERROR(LOOKUP(FD$18,HourlyTimeseries!$A:$A,HourlyTimeseries!$T:$T),"")</f>
        <v>290.74956158350585</v>
      </c>
      <c r="FE88" s="51">
        <f>IFERROR(LOOKUP(FE$18,HourlyTimeseries!$A:$A,HourlyTimeseries!$T:$T),"")</f>
        <v>290.74956158350585</v>
      </c>
      <c r="FF88" s="51">
        <f>IFERROR(LOOKUP(FF$18,HourlyTimeseries!$A:$A,HourlyTimeseries!$T:$T),"")</f>
        <v>290.72204920255348</v>
      </c>
      <c r="FG88" s="51">
        <f>IFERROR(LOOKUP(FG$18,HourlyTimeseries!$A:$A,HourlyTimeseries!$T:$T),"")</f>
        <v>363.28132000000005</v>
      </c>
      <c r="FH88" s="51">
        <f>IFERROR(LOOKUP(FH$18,HourlyTimeseries!$A:$A,HourlyTimeseries!$T:$T),"")</f>
        <v>570.3300004440199</v>
      </c>
      <c r="FI88" s="51">
        <f>IFERROR(LOOKUP(FI$18,HourlyTimeseries!$A:$A,HourlyTimeseries!$T:$T),"")</f>
        <v>602.16876690131596</v>
      </c>
      <c r="FJ88" s="51">
        <f>IFERROR(LOOKUP(FJ$18,HourlyTimeseries!$A:$A,HourlyTimeseries!$T:$T),"")</f>
        <v>602.16876690131596</v>
      </c>
      <c r="FK88" s="51">
        <f>IFERROR(LOOKUP(FK$18,HourlyTimeseries!$A:$A,HourlyTimeseries!$T:$T),"")</f>
        <v>602.16876690131596</v>
      </c>
      <c r="FL88" s="51">
        <f>IFERROR(LOOKUP(FL$18,HourlyTimeseries!$A:$A,HourlyTimeseries!$T:$T),"")</f>
        <v>600.14662419619219</v>
      </c>
      <c r="FM88" s="51">
        <f>IFERROR(LOOKUP(FM$18,HourlyTimeseries!$A:$A,HourlyTimeseries!$T:$T),"")</f>
        <v>600.14662419619219</v>
      </c>
      <c r="FN88" s="51">
        <f>IFERROR(LOOKUP(FN$18,HourlyTimeseries!$A:$A,HourlyTimeseries!$T:$T),"")</f>
        <v>523.94879142973434</v>
      </c>
      <c r="FO88" s="51">
        <f>IFERROR(LOOKUP(FO$18,HourlyTimeseries!$A:$A,HourlyTimeseries!$T:$T),"")</f>
        <v>421.91858468239752</v>
      </c>
      <c r="FP88" s="60">
        <f>IFERROR(LOOKUP(FP$18,HourlyTimeseries!$A:$A,HourlyTimeseries!$T:$T),"")</f>
        <v>289.33527113913209</v>
      </c>
    </row>
    <row r="90" spans="1:172" ht="20.399999999999999" thickBot="1">
      <c r="A90" s="1" t="s">
        <v>40</v>
      </c>
      <c r="B90" s="7" t="s">
        <v>32</v>
      </c>
      <c r="C90" s="3" t="s">
        <v>132</v>
      </c>
      <c r="D90" s="7"/>
      <c r="E90" s="3" t="s">
        <v>7</v>
      </c>
      <c r="F90" s="3" t="s">
        <v>8</v>
      </c>
      <c r="G90" s="3" t="s">
        <v>9</v>
      </c>
      <c r="H90" s="3" t="s">
        <v>10</v>
      </c>
      <c r="I90" s="3" t="s">
        <v>11</v>
      </c>
      <c r="J90" s="3" t="s">
        <v>12</v>
      </c>
      <c r="K90" s="3" t="s">
        <v>13</v>
      </c>
      <c r="L90" s="3" t="s">
        <v>14</v>
      </c>
      <c r="M90" s="3" t="s">
        <v>15</v>
      </c>
      <c r="N90" s="3" t="s">
        <v>16</v>
      </c>
      <c r="O90" s="3" t="s">
        <v>17</v>
      </c>
      <c r="P90" s="3" t="s">
        <v>18</v>
      </c>
      <c r="Q90" s="3" t="s">
        <v>19</v>
      </c>
      <c r="R90" s="3" t="s">
        <v>20</v>
      </c>
      <c r="S90" s="3" t="s">
        <v>21</v>
      </c>
      <c r="T90" s="3" t="s">
        <v>22</v>
      </c>
      <c r="U90" s="3" t="s">
        <v>23</v>
      </c>
      <c r="V90" s="3" t="s">
        <v>24</v>
      </c>
      <c r="W90" s="3" t="s">
        <v>25</v>
      </c>
      <c r="X90" s="3" t="s">
        <v>26</v>
      </c>
      <c r="Y90" s="3" t="s">
        <v>27</v>
      </c>
      <c r="Z90" s="3" t="s">
        <v>28</v>
      </c>
      <c r="AA90" s="3" t="s">
        <v>29</v>
      </c>
      <c r="AB90" s="3" t="s">
        <v>30</v>
      </c>
      <c r="AC90" s="65" t="s">
        <v>221</v>
      </c>
      <c r="AD90" s="3" t="s">
        <v>222</v>
      </c>
      <c r="AE90" s="3" t="s">
        <v>223</v>
      </c>
      <c r="AF90" s="3" t="s">
        <v>224</v>
      </c>
      <c r="AG90" s="3" t="s">
        <v>225</v>
      </c>
      <c r="AH90" s="3" t="s">
        <v>226</v>
      </c>
      <c r="AI90" s="3" t="s">
        <v>227</v>
      </c>
      <c r="AJ90" s="3" t="s">
        <v>228</v>
      </c>
      <c r="AK90" s="3" t="s">
        <v>229</v>
      </c>
      <c r="AL90" s="3" t="s">
        <v>230</v>
      </c>
      <c r="AM90" s="3" t="s">
        <v>231</v>
      </c>
      <c r="AN90" s="3" t="s">
        <v>232</v>
      </c>
      <c r="AO90" s="3" t="s">
        <v>233</v>
      </c>
      <c r="AP90" s="3" t="s">
        <v>234</v>
      </c>
      <c r="AQ90" s="3" t="s">
        <v>235</v>
      </c>
      <c r="AR90" s="3" t="s">
        <v>236</v>
      </c>
      <c r="AS90" s="3" t="s">
        <v>237</v>
      </c>
      <c r="AT90" s="3" t="s">
        <v>238</v>
      </c>
      <c r="AU90" s="3" t="s">
        <v>239</v>
      </c>
      <c r="AV90" s="3" t="s">
        <v>240</v>
      </c>
      <c r="AW90" s="3" t="s">
        <v>241</v>
      </c>
      <c r="AX90" s="3" t="s">
        <v>242</v>
      </c>
      <c r="AY90" s="3" t="s">
        <v>243</v>
      </c>
      <c r="AZ90" s="3" t="s">
        <v>244</v>
      </c>
      <c r="BA90" s="65" t="s">
        <v>245</v>
      </c>
      <c r="BB90" s="3" t="s">
        <v>246</v>
      </c>
      <c r="BC90" s="3" t="s">
        <v>247</v>
      </c>
      <c r="BD90" s="3" t="s">
        <v>248</v>
      </c>
      <c r="BE90" s="3" t="s">
        <v>249</v>
      </c>
      <c r="BF90" s="3" t="s">
        <v>250</v>
      </c>
      <c r="BG90" s="3" t="s">
        <v>251</v>
      </c>
      <c r="BH90" s="3" t="s">
        <v>252</v>
      </c>
      <c r="BI90" s="3" t="s">
        <v>253</v>
      </c>
      <c r="BJ90" s="3" t="s">
        <v>254</v>
      </c>
      <c r="BK90" s="3" t="s">
        <v>255</v>
      </c>
      <c r="BL90" s="3" t="s">
        <v>256</v>
      </c>
      <c r="BM90" s="3" t="s">
        <v>257</v>
      </c>
      <c r="BN90" s="3" t="s">
        <v>258</v>
      </c>
      <c r="BO90" s="3" t="s">
        <v>259</v>
      </c>
      <c r="BP90" s="3" t="s">
        <v>260</v>
      </c>
      <c r="BQ90" s="3" t="s">
        <v>261</v>
      </c>
      <c r="BR90" s="3" t="s">
        <v>262</v>
      </c>
      <c r="BS90" s="3" t="s">
        <v>263</v>
      </c>
      <c r="BT90" s="3" t="s">
        <v>264</v>
      </c>
      <c r="BU90" s="3" t="s">
        <v>265</v>
      </c>
      <c r="BV90" s="3" t="s">
        <v>266</v>
      </c>
      <c r="BW90" s="3" t="s">
        <v>267</v>
      </c>
      <c r="BX90" s="3" t="s">
        <v>268</v>
      </c>
      <c r="BY90" s="65" t="s">
        <v>269</v>
      </c>
      <c r="BZ90" s="3" t="s">
        <v>270</v>
      </c>
      <c r="CA90" s="3" t="s">
        <v>271</v>
      </c>
      <c r="CB90" s="3" t="s">
        <v>272</v>
      </c>
      <c r="CC90" s="3" t="s">
        <v>273</v>
      </c>
      <c r="CD90" s="3" t="s">
        <v>274</v>
      </c>
      <c r="CE90" s="3" t="s">
        <v>275</v>
      </c>
      <c r="CF90" s="3" t="s">
        <v>276</v>
      </c>
      <c r="CG90" s="3" t="s">
        <v>277</v>
      </c>
      <c r="CH90" s="3" t="s">
        <v>278</v>
      </c>
      <c r="CI90" s="3" t="s">
        <v>279</v>
      </c>
      <c r="CJ90" s="3" t="s">
        <v>280</v>
      </c>
      <c r="CK90" s="3" t="s">
        <v>281</v>
      </c>
      <c r="CL90" s="3" t="s">
        <v>282</v>
      </c>
      <c r="CM90" s="3" t="s">
        <v>283</v>
      </c>
      <c r="CN90" s="3" t="s">
        <v>284</v>
      </c>
      <c r="CO90" s="3" t="s">
        <v>285</v>
      </c>
      <c r="CP90" s="3" t="s">
        <v>286</v>
      </c>
      <c r="CQ90" s="3" t="s">
        <v>287</v>
      </c>
      <c r="CR90" s="3" t="s">
        <v>288</v>
      </c>
      <c r="CS90" s="3" t="s">
        <v>289</v>
      </c>
      <c r="CT90" s="3" t="s">
        <v>290</v>
      </c>
      <c r="CU90" s="3" t="s">
        <v>291</v>
      </c>
      <c r="CV90" s="3" t="s">
        <v>292</v>
      </c>
      <c r="CW90" s="65" t="s">
        <v>293</v>
      </c>
      <c r="CX90" s="3" t="s">
        <v>294</v>
      </c>
      <c r="CY90" s="3" t="s">
        <v>295</v>
      </c>
      <c r="CZ90" s="3" t="s">
        <v>296</v>
      </c>
      <c r="DA90" s="3" t="s">
        <v>297</v>
      </c>
      <c r="DB90" s="3" t="s">
        <v>298</v>
      </c>
      <c r="DC90" s="3" t="s">
        <v>299</v>
      </c>
      <c r="DD90" s="3" t="s">
        <v>300</v>
      </c>
      <c r="DE90" s="3" t="s">
        <v>301</v>
      </c>
      <c r="DF90" s="3" t="s">
        <v>302</v>
      </c>
      <c r="DG90" s="3" t="s">
        <v>303</v>
      </c>
      <c r="DH90" s="3" t="s">
        <v>304</v>
      </c>
      <c r="DI90" s="3" t="s">
        <v>305</v>
      </c>
      <c r="DJ90" s="3" t="s">
        <v>306</v>
      </c>
      <c r="DK90" s="3" t="s">
        <v>307</v>
      </c>
      <c r="DL90" s="3" t="s">
        <v>308</v>
      </c>
      <c r="DM90" s="3" t="s">
        <v>309</v>
      </c>
      <c r="DN90" s="3" t="s">
        <v>310</v>
      </c>
      <c r="DO90" s="3" t="s">
        <v>311</v>
      </c>
      <c r="DP90" s="3" t="s">
        <v>312</v>
      </c>
      <c r="DQ90" s="3" t="s">
        <v>313</v>
      </c>
      <c r="DR90" s="3" t="s">
        <v>314</v>
      </c>
      <c r="DS90" s="3" t="s">
        <v>315</v>
      </c>
      <c r="DT90" s="3" t="s">
        <v>316</v>
      </c>
      <c r="DU90" s="65" t="s">
        <v>317</v>
      </c>
      <c r="DV90" s="3" t="s">
        <v>318</v>
      </c>
      <c r="DW90" s="3" t="s">
        <v>319</v>
      </c>
      <c r="DX90" s="3" t="s">
        <v>320</v>
      </c>
      <c r="DY90" s="3" t="s">
        <v>321</v>
      </c>
      <c r="DZ90" s="3" t="s">
        <v>322</v>
      </c>
      <c r="EA90" s="3" t="s">
        <v>323</v>
      </c>
      <c r="EB90" s="3" t="s">
        <v>324</v>
      </c>
      <c r="EC90" s="3" t="s">
        <v>325</v>
      </c>
      <c r="ED90" s="3" t="s">
        <v>326</v>
      </c>
      <c r="EE90" s="3" t="s">
        <v>327</v>
      </c>
      <c r="EF90" s="3" t="s">
        <v>328</v>
      </c>
      <c r="EG90" s="3" t="s">
        <v>329</v>
      </c>
      <c r="EH90" s="3" t="s">
        <v>330</v>
      </c>
      <c r="EI90" s="3" t="s">
        <v>331</v>
      </c>
      <c r="EJ90" s="3" t="s">
        <v>332</v>
      </c>
      <c r="EK90" s="3" t="s">
        <v>333</v>
      </c>
      <c r="EL90" s="3" t="s">
        <v>334</v>
      </c>
      <c r="EM90" s="3" t="s">
        <v>335</v>
      </c>
      <c r="EN90" s="3" t="s">
        <v>336</v>
      </c>
      <c r="EO90" s="3" t="s">
        <v>337</v>
      </c>
      <c r="EP90" s="3" t="s">
        <v>338</v>
      </c>
      <c r="EQ90" s="3" t="s">
        <v>339</v>
      </c>
      <c r="ER90" s="3" t="s">
        <v>340</v>
      </c>
      <c r="ES90" s="65" t="s">
        <v>341</v>
      </c>
      <c r="ET90" s="3" t="s">
        <v>342</v>
      </c>
      <c r="EU90" s="3" t="s">
        <v>343</v>
      </c>
      <c r="EV90" s="3" t="s">
        <v>344</v>
      </c>
      <c r="EW90" s="3" t="s">
        <v>345</v>
      </c>
      <c r="EX90" s="3" t="s">
        <v>346</v>
      </c>
      <c r="EY90" s="3" t="s">
        <v>347</v>
      </c>
      <c r="EZ90" s="3" t="s">
        <v>348</v>
      </c>
      <c r="FA90" s="3" t="s">
        <v>349</v>
      </c>
      <c r="FB90" s="3" t="s">
        <v>350</v>
      </c>
      <c r="FC90" s="3" t="s">
        <v>351</v>
      </c>
      <c r="FD90" s="3" t="s">
        <v>352</v>
      </c>
      <c r="FE90" s="3" t="s">
        <v>353</v>
      </c>
      <c r="FF90" s="3" t="s">
        <v>354</v>
      </c>
      <c r="FG90" s="3" t="s">
        <v>355</v>
      </c>
      <c r="FH90" s="3" t="s">
        <v>356</v>
      </c>
      <c r="FI90" s="3" t="s">
        <v>357</v>
      </c>
      <c r="FJ90" s="3" t="s">
        <v>358</v>
      </c>
      <c r="FK90" s="3" t="s">
        <v>359</v>
      </c>
      <c r="FL90" s="3" t="s">
        <v>360</v>
      </c>
      <c r="FM90" s="3" t="s">
        <v>361</v>
      </c>
      <c r="FN90" s="3" t="s">
        <v>362</v>
      </c>
      <c r="FO90" s="3" t="s">
        <v>363</v>
      </c>
      <c r="FP90" s="3" t="s">
        <v>364</v>
      </c>
    </row>
    <row r="91" spans="1:172" ht="15" thickTop="1">
      <c r="A91" t="s">
        <v>31</v>
      </c>
      <c r="B91" s="2" t="s">
        <v>2</v>
      </c>
      <c r="C91" s="8" t="s">
        <v>134</v>
      </c>
      <c r="D91" s="2"/>
      <c r="E91" s="51">
        <f>IFERROR(LOOKUP(E$18,HourlyTimeseries!$A:$A,HourlyTimeseries!$U:$U),"")</f>
        <v>37.137732000000007</v>
      </c>
      <c r="F91" s="51">
        <f>IFERROR(LOOKUP(F$18,HourlyTimeseries!$A:$A,HourlyTimeseries!$U:$U),"")</f>
        <v>36.243308000000006</v>
      </c>
      <c r="G91" s="51">
        <f>IFERROR(LOOKUP(G$18,HourlyTimeseries!$A:$A,HourlyTimeseries!$U:$U),"")</f>
        <v>36.243308000000006</v>
      </c>
      <c r="H91" s="51">
        <f>IFERROR(LOOKUP(H$18,HourlyTimeseries!$A:$A,HourlyTimeseries!$U:$U),"")</f>
        <v>36.243308000000006</v>
      </c>
      <c r="I91" s="51">
        <f>IFERROR(LOOKUP(I$18,HourlyTimeseries!$A:$A,HourlyTimeseries!$U:$U),"")</f>
        <v>36.243308000000006</v>
      </c>
      <c r="J91" s="51">
        <f>IFERROR(LOOKUP(J$18,HourlyTimeseries!$A:$A,HourlyTimeseries!$U:$U),"")</f>
        <v>36.243308000000006</v>
      </c>
      <c r="K91" s="51">
        <f>IFERROR(LOOKUP(K$18,HourlyTimeseries!$A:$A,HourlyTimeseries!$U:$U),"")</f>
        <v>36.243308000000006</v>
      </c>
      <c r="L91" s="51">
        <f>IFERROR(LOOKUP(L$18,HourlyTimeseries!$A:$A,HourlyTimeseries!$U:$U),"")</f>
        <v>33.923344</v>
      </c>
      <c r="M91" s="51">
        <f>IFERROR(LOOKUP(M$18,HourlyTimeseries!$A:$A,HourlyTimeseries!$U:$U),"")</f>
        <v>33.923344</v>
      </c>
      <c r="N91" s="51">
        <f>IFERROR(LOOKUP(N$18,HourlyTimeseries!$A:$A,HourlyTimeseries!$U:$U),"")</f>
        <v>33.844093501457735</v>
      </c>
      <c r="O91" s="51">
        <f>IFERROR(LOOKUP(O$18,HourlyTimeseries!$A:$A,HourlyTimeseries!$U:$U),"")</f>
        <v>33.844093501457742</v>
      </c>
      <c r="P91" s="51">
        <f>IFERROR(LOOKUP(P$18,HourlyTimeseries!$A:$A,HourlyTimeseries!$U:$U),"")</f>
        <v>33.844093501457742</v>
      </c>
      <c r="Q91" s="51">
        <f>IFERROR(LOOKUP(Q$18,HourlyTimeseries!$A:$A,HourlyTimeseries!$U:$U),"")</f>
        <v>33.844093501457749</v>
      </c>
      <c r="R91" s="51">
        <f>IFERROR(LOOKUP(R$18,HourlyTimeseries!$A:$A,HourlyTimeseries!$U:$U),"")</f>
        <v>41.945560000000015</v>
      </c>
      <c r="S91" s="51">
        <f>IFERROR(LOOKUP(S$18,HourlyTimeseries!$A:$A,HourlyTimeseries!$U:$U),"")</f>
        <v>60.253744000000005</v>
      </c>
      <c r="T91" s="51">
        <f>IFERROR(LOOKUP(T$18,HourlyTimeseries!$A:$A,HourlyTimeseries!$U:$U),"")</f>
        <v>71.853656000000001</v>
      </c>
      <c r="U91" s="51">
        <f>IFERROR(LOOKUP(U$18,HourlyTimeseries!$A:$A,HourlyTimeseries!$U:$U),"")</f>
        <v>78.627137399656618</v>
      </c>
      <c r="V91" s="51">
        <f>IFERROR(LOOKUP(V$18,HourlyTimeseries!$A:$A,HourlyTimeseries!$U:$U),"")</f>
        <v>78.627137399656618</v>
      </c>
      <c r="W91" s="51">
        <f>IFERROR(LOOKUP(W$18,HourlyTimeseries!$A:$A,HourlyTimeseries!$U:$U),"")</f>
        <v>78.627137399656647</v>
      </c>
      <c r="X91" s="51">
        <f>IFERROR(LOOKUP(X$18,HourlyTimeseries!$A:$A,HourlyTimeseries!$U:$U),"")</f>
        <v>78.627137399656618</v>
      </c>
      <c r="Y91" s="51">
        <f>IFERROR(LOOKUP(Y$18,HourlyTimeseries!$A:$A,HourlyTimeseries!$U:$U),"")</f>
        <v>77.764820632864954</v>
      </c>
      <c r="Z91" s="51">
        <f>IFERROR(LOOKUP(Z$18,HourlyTimeseries!$A:$A,HourlyTimeseries!$U:$U),"")</f>
        <v>64.669715621160634</v>
      </c>
      <c r="AA91" s="51">
        <f>IFERROR(LOOKUP(AA$18,HourlyTimeseries!$A:$A,HourlyTimeseries!$U:$U),"")</f>
        <v>58.481792964989801</v>
      </c>
      <c r="AB91" s="60">
        <f>IFERROR(LOOKUP(AB$18,HourlyTimeseries!$A:$A,HourlyTimeseries!$U:$U),"")</f>
        <v>47.619660000000003</v>
      </c>
      <c r="AC91" s="67">
        <f>IFERROR(LOOKUP(AC$18,HourlyTimeseries!$A:$A,HourlyTimeseries!$U:$U),"")</f>
        <v>35.657820000000001</v>
      </c>
      <c r="AD91" s="51">
        <f>IFERROR(LOOKUP(AD$18,HourlyTimeseries!$A:$A,HourlyTimeseries!$U:$U),"")</f>
        <v>34.799644000000008</v>
      </c>
      <c r="AE91" s="51">
        <f>IFERROR(LOOKUP(AE$18,HourlyTimeseries!$A:$A,HourlyTimeseries!$U:$U),"")</f>
        <v>34.129148000000001</v>
      </c>
      <c r="AF91" s="51">
        <f>IFERROR(LOOKUP(AF$18,HourlyTimeseries!$A:$A,HourlyTimeseries!$U:$U),"")</f>
        <v>34.129148000000001</v>
      </c>
      <c r="AG91" s="51">
        <f>IFERROR(LOOKUP(AG$18,HourlyTimeseries!$A:$A,HourlyTimeseries!$U:$U),"")</f>
        <v>34.129148000000001</v>
      </c>
      <c r="AH91" s="51">
        <f>IFERROR(LOOKUP(AH$18,HourlyTimeseries!$A:$A,HourlyTimeseries!$U:$U),"")</f>
        <v>34.129148000000001</v>
      </c>
      <c r="AI91" s="51">
        <f>IFERROR(LOOKUP(AI$18,HourlyTimeseries!$A:$A,HourlyTimeseries!$U:$U),"")</f>
        <v>33.844328695210855</v>
      </c>
      <c r="AJ91" s="51">
        <f>IFERROR(LOOKUP(AJ$18,HourlyTimeseries!$A:$A,HourlyTimeseries!$U:$U),"")</f>
        <v>33.844328695210855</v>
      </c>
      <c r="AK91" s="51">
        <f>IFERROR(LOOKUP(AK$18,HourlyTimeseries!$A:$A,HourlyTimeseries!$U:$U),"")</f>
        <v>33.844328695210848</v>
      </c>
      <c r="AL91" s="51">
        <f>IFERROR(LOOKUP(AL$18,HourlyTimeseries!$A:$A,HourlyTimeseries!$U:$U),"")</f>
        <v>33.844093501457735</v>
      </c>
      <c r="AM91" s="51">
        <f>IFERROR(LOOKUP(AM$18,HourlyTimeseries!$A:$A,HourlyTimeseries!$U:$U),"")</f>
        <v>33.844093501457742</v>
      </c>
      <c r="AN91" s="51">
        <f>IFERROR(LOOKUP(AN$18,HourlyTimeseries!$A:$A,HourlyTimeseries!$U:$U),"")</f>
        <v>33.844093501457742</v>
      </c>
      <c r="AO91" s="51">
        <f>IFERROR(LOOKUP(AO$18,HourlyTimeseries!$A:$A,HourlyTimeseries!$U:$U),"")</f>
        <v>33.844093501457742</v>
      </c>
      <c r="AP91" s="51">
        <f>IFERROR(LOOKUP(AP$18,HourlyTimeseries!$A:$A,HourlyTimeseries!$U:$U),"")</f>
        <v>35.309232000000009</v>
      </c>
      <c r="AQ91" s="51">
        <f>IFERROR(LOOKUP(AQ$18,HourlyTimeseries!$A:$A,HourlyTimeseries!$U:$U),"")</f>
        <v>55.346715198762581</v>
      </c>
      <c r="AR91" s="51">
        <f>IFERROR(LOOKUP(AR$18,HourlyTimeseries!$A:$A,HourlyTimeseries!$U:$U),"")</f>
        <v>64.542416000000017</v>
      </c>
      <c r="AS91" s="51">
        <f>IFERROR(LOOKUP(AS$18,HourlyTimeseries!$A:$A,HourlyTimeseries!$U:$U),"")</f>
        <v>78.627137399656618</v>
      </c>
      <c r="AT91" s="51">
        <f>IFERROR(LOOKUP(AT$18,HourlyTimeseries!$A:$A,HourlyTimeseries!$U:$U),"")</f>
        <v>78.627137399656618</v>
      </c>
      <c r="AU91" s="51">
        <f>IFERROR(LOOKUP(AU$18,HourlyTimeseries!$A:$A,HourlyTimeseries!$U:$U),"")</f>
        <v>78.627137399656647</v>
      </c>
      <c r="AV91" s="51">
        <f>IFERROR(LOOKUP(AV$18,HourlyTimeseries!$A:$A,HourlyTimeseries!$U:$U),"")</f>
        <v>78.627137399656618</v>
      </c>
      <c r="AW91" s="51">
        <f>IFERROR(LOOKUP(AW$18,HourlyTimeseries!$A:$A,HourlyTimeseries!$U:$U),"")</f>
        <v>78.627137399656647</v>
      </c>
      <c r="AX91" s="51">
        <f>IFERROR(LOOKUP(AX$18,HourlyTimeseries!$A:$A,HourlyTimeseries!$U:$U),"")</f>
        <v>65.917515115813117</v>
      </c>
      <c r="AY91" s="51">
        <f>IFERROR(LOOKUP(AY$18,HourlyTimeseries!$A:$A,HourlyTimeseries!$U:$U),"")</f>
        <v>59.879212957269054</v>
      </c>
      <c r="AZ91" s="60">
        <f>IFERROR(LOOKUP(AZ$18,HourlyTimeseries!$A:$A,HourlyTimeseries!$U:$U),"")</f>
        <v>45.715167999999998</v>
      </c>
      <c r="BA91" s="67">
        <f>IFERROR(LOOKUP(BA$18,HourlyTimeseries!$A:$A,HourlyTimeseries!$U:$U),"")</f>
        <v>28.906247870844261</v>
      </c>
      <c r="BB91" s="51">
        <f>IFERROR(LOOKUP(BB$18,HourlyTimeseries!$A:$A,HourlyTimeseries!$U:$U),"")</f>
        <v>28.906247870844261</v>
      </c>
      <c r="BC91" s="51">
        <f>IFERROR(LOOKUP(BC$18,HourlyTimeseries!$A:$A,HourlyTimeseries!$U:$U),"")</f>
        <v>28.906247870844261</v>
      </c>
      <c r="BD91" s="51">
        <f>IFERROR(LOOKUP(BD$18,HourlyTimeseries!$A:$A,HourlyTimeseries!$U:$U),"")</f>
        <v>28.905894152419744</v>
      </c>
      <c r="BE91" s="51">
        <f>IFERROR(LOOKUP(BE$18,HourlyTimeseries!$A:$A,HourlyTimeseries!$U:$U),"")</f>
        <v>28.905894152419744</v>
      </c>
      <c r="BF91" s="51">
        <f>IFERROR(LOOKUP(BF$18,HourlyTimeseries!$A:$A,HourlyTimeseries!$U:$U),"")</f>
        <v>28.905894152419744</v>
      </c>
      <c r="BG91" s="51">
        <f>IFERROR(LOOKUP(BG$18,HourlyTimeseries!$A:$A,HourlyTimeseries!$U:$U),"")</f>
        <v>29.112479999999998</v>
      </c>
      <c r="BH91" s="51">
        <f>IFERROR(LOOKUP(BH$18,HourlyTimeseries!$A:$A,HourlyTimeseries!$U:$U),"")</f>
        <v>29.112479999999998</v>
      </c>
      <c r="BI91" s="51">
        <f>IFERROR(LOOKUP(BI$18,HourlyTimeseries!$A:$A,HourlyTimeseries!$U:$U),"")</f>
        <v>29.112479999999998</v>
      </c>
      <c r="BJ91" s="51">
        <f>IFERROR(LOOKUP(BJ$18,HourlyTimeseries!$A:$A,HourlyTimeseries!$U:$U),"")</f>
        <v>29.112479999999998</v>
      </c>
      <c r="BK91" s="51">
        <f>IFERROR(LOOKUP(BK$18,HourlyTimeseries!$A:$A,HourlyTimeseries!$U:$U),"")</f>
        <v>29.074956158350584</v>
      </c>
      <c r="BL91" s="51">
        <f>IFERROR(LOOKUP(BL$18,HourlyTimeseries!$A:$A,HourlyTimeseries!$U:$U),"")</f>
        <v>29.074956158350584</v>
      </c>
      <c r="BM91" s="51">
        <f>IFERROR(LOOKUP(BM$18,HourlyTimeseries!$A:$A,HourlyTimeseries!$U:$U),"")</f>
        <v>29.074956158350584</v>
      </c>
      <c r="BN91" s="51">
        <f>IFERROR(LOOKUP(BN$18,HourlyTimeseries!$A:$A,HourlyTimeseries!$U:$U),"")</f>
        <v>29.072204920255349</v>
      </c>
      <c r="BO91" s="51">
        <f>IFERROR(LOOKUP(BO$18,HourlyTimeseries!$A:$A,HourlyTimeseries!$U:$U),"")</f>
        <v>36.328132000000004</v>
      </c>
      <c r="BP91" s="51">
        <f>IFERROR(LOOKUP(BP$18,HourlyTimeseries!$A:$A,HourlyTimeseries!$U:$U),"")</f>
        <v>57.033000044401987</v>
      </c>
      <c r="BQ91" s="51">
        <f>IFERROR(LOOKUP(BQ$18,HourlyTimeseries!$A:$A,HourlyTimeseries!$U:$U),"")</f>
        <v>60.216876690131599</v>
      </c>
      <c r="BR91" s="51">
        <f>IFERROR(LOOKUP(BR$18,HourlyTimeseries!$A:$A,HourlyTimeseries!$U:$U),"")</f>
        <v>60.216876690131599</v>
      </c>
      <c r="BS91" s="51">
        <f>IFERROR(LOOKUP(BS$18,HourlyTimeseries!$A:$A,HourlyTimeseries!$U:$U),"")</f>
        <v>60.216876690131599</v>
      </c>
      <c r="BT91" s="51">
        <f>IFERROR(LOOKUP(BT$18,HourlyTimeseries!$A:$A,HourlyTimeseries!$U:$U),"")</f>
        <v>60.014662419619221</v>
      </c>
      <c r="BU91" s="51">
        <f>IFERROR(LOOKUP(BU$18,HourlyTimeseries!$A:$A,HourlyTimeseries!$U:$U),"")</f>
        <v>60.014662419619221</v>
      </c>
      <c r="BV91" s="51">
        <f>IFERROR(LOOKUP(BV$18,HourlyTimeseries!$A:$A,HourlyTimeseries!$U:$U),"")</f>
        <v>52.394879142973437</v>
      </c>
      <c r="BW91" s="51">
        <f>IFERROR(LOOKUP(BW$18,HourlyTimeseries!$A:$A,HourlyTimeseries!$U:$U),"")</f>
        <v>42.191858468239751</v>
      </c>
      <c r="BX91" s="60">
        <f>IFERROR(LOOKUP(BX$18,HourlyTimeseries!$A:$A,HourlyTimeseries!$U:$U),"")</f>
        <v>28.933527113913208</v>
      </c>
      <c r="BY91" s="67">
        <f>IFERROR(LOOKUP(BY$18,HourlyTimeseries!$A:$A,HourlyTimeseries!$U:$U),"")</f>
        <v>28.906247870844261</v>
      </c>
      <c r="BZ91" s="51">
        <f>IFERROR(LOOKUP(BZ$18,HourlyTimeseries!$A:$A,HourlyTimeseries!$U:$U),"")</f>
        <v>28.906247870844261</v>
      </c>
      <c r="CA91" s="51">
        <f>IFERROR(LOOKUP(CA$18,HourlyTimeseries!$A:$A,HourlyTimeseries!$U:$U),"")</f>
        <v>28.906247870844261</v>
      </c>
      <c r="CB91" s="51">
        <f>IFERROR(LOOKUP(CB$18,HourlyTimeseries!$A:$A,HourlyTimeseries!$U:$U),"")</f>
        <v>28.905894152419744</v>
      </c>
      <c r="CC91" s="51">
        <f>IFERROR(LOOKUP(CC$18,HourlyTimeseries!$A:$A,HourlyTimeseries!$U:$U),"")</f>
        <v>28.905894152419744</v>
      </c>
      <c r="CD91" s="51">
        <f>IFERROR(LOOKUP(CD$18,HourlyTimeseries!$A:$A,HourlyTimeseries!$U:$U),"")</f>
        <v>28.905894152419744</v>
      </c>
      <c r="CE91" s="51">
        <f>IFERROR(LOOKUP(CE$18,HourlyTimeseries!$A:$A,HourlyTimeseries!$U:$U),"")</f>
        <v>29.112479999999998</v>
      </c>
      <c r="CF91" s="51">
        <f>IFERROR(LOOKUP(CF$18,HourlyTimeseries!$A:$A,HourlyTimeseries!$U:$U),"")</f>
        <v>29.112479999999998</v>
      </c>
      <c r="CG91" s="51">
        <f>IFERROR(LOOKUP(CG$18,HourlyTimeseries!$A:$A,HourlyTimeseries!$U:$U),"")</f>
        <v>29.112479999999998</v>
      </c>
      <c r="CH91" s="51">
        <f>IFERROR(LOOKUP(CH$18,HourlyTimeseries!$A:$A,HourlyTimeseries!$U:$U),"")</f>
        <v>29.112479999999998</v>
      </c>
      <c r="CI91" s="51">
        <f>IFERROR(LOOKUP(CI$18,HourlyTimeseries!$A:$A,HourlyTimeseries!$U:$U),"")</f>
        <v>29.074956158350584</v>
      </c>
      <c r="CJ91" s="51">
        <f>IFERROR(LOOKUP(CJ$18,HourlyTimeseries!$A:$A,HourlyTimeseries!$U:$U),"")</f>
        <v>29.074956158350584</v>
      </c>
      <c r="CK91" s="51">
        <f>IFERROR(LOOKUP(CK$18,HourlyTimeseries!$A:$A,HourlyTimeseries!$U:$U),"")</f>
        <v>29.074956158350584</v>
      </c>
      <c r="CL91" s="51">
        <f>IFERROR(LOOKUP(CL$18,HourlyTimeseries!$A:$A,HourlyTimeseries!$U:$U),"")</f>
        <v>29.072204920255349</v>
      </c>
      <c r="CM91" s="51">
        <f>IFERROR(LOOKUP(CM$18,HourlyTimeseries!$A:$A,HourlyTimeseries!$U:$U),"")</f>
        <v>36.328132000000004</v>
      </c>
      <c r="CN91" s="51">
        <f>IFERROR(LOOKUP(CN$18,HourlyTimeseries!$A:$A,HourlyTimeseries!$U:$U),"")</f>
        <v>57.033000044401987</v>
      </c>
      <c r="CO91" s="51">
        <f>IFERROR(LOOKUP(CO$18,HourlyTimeseries!$A:$A,HourlyTimeseries!$U:$U),"")</f>
        <v>60.216876690131599</v>
      </c>
      <c r="CP91" s="51">
        <f>IFERROR(LOOKUP(CP$18,HourlyTimeseries!$A:$A,HourlyTimeseries!$U:$U),"")</f>
        <v>60.216876690131599</v>
      </c>
      <c r="CQ91" s="51">
        <f>IFERROR(LOOKUP(CQ$18,HourlyTimeseries!$A:$A,HourlyTimeseries!$U:$U),"")</f>
        <v>60.216876690131599</v>
      </c>
      <c r="CR91" s="51">
        <f>IFERROR(LOOKUP(CR$18,HourlyTimeseries!$A:$A,HourlyTimeseries!$U:$U),"")</f>
        <v>60.014662419619221</v>
      </c>
      <c r="CS91" s="51">
        <f>IFERROR(LOOKUP(CS$18,HourlyTimeseries!$A:$A,HourlyTimeseries!$U:$U),"")</f>
        <v>60.014662419619221</v>
      </c>
      <c r="CT91" s="51">
        <f>IFERROR(LOOKUP(CT$18,HourlyTimeseries!$A:$A,HourlyTimeseries!$U:$U),"")</f>
        <v>52.394879142973437</v>
      </c>
      <c r="CU91" s="51">
        <f>IFERROR(LOOKUP(CU$18,HourlyTimeseries!$A:$A,HourlyTimeseries!$U:$U),"")</f>
        <v>42.191858468239751</v>
      </c>
      <c r="CV91" s="60">
        <f>IFERROR(LOOKUP(CV$18,HourlyTimeseries!$A:$A,HourlyTimeseries!$U:$U),"")</f>
        <v>28.933527113913208</v>
      </c>
      <c r="CW91" s="67">
        <f>IFERROR(LOOKUP(CW$18,HourlyTimeseries!$A:$A,HourlyTimeseries!$U:$U),"")</f>
        <v>28.906247870844261</v>
      </c>
      <c r="CX91" s="51">
        <f>IFERROR(LOOKUP(CX$18,HourlyTimeseries!$A:$A,HourlyTimeseries!$U:$U),"")</f>
        <v>28.906247870844261</v>
      </c>
      <c r="CY91" s="51">
        <f>IFERROR(LOOKUP(CY$18,HourlyTimeseries!$A:$A,HourlyTimeseries!$U:$U),"")</f>
        <v>28.906247870844261</v>
      </c>
      <c r="CZ91" s="51">
        <f>IFERROR(LOOKUP(CZ$18,HourlyTimeseries!$A:$A,HourlyTimeseries!$U:$U),"")</f>
        <v>28.905894152419744</v>
      </c>
      <c r="DA91" s="51">
        <f>IFERROR(LOOKUP(DA$18,HourlyTimeseries!$A:$A,HourlyTimeseries!$U:$U),"")</f>
        <v>28.905894152419744</v>
      </c>
      <c r="DB91" s="51">
        <f>IFERROR(LOOKUP(DB$18,HourlyTimeseries!$A:$A,HourlyTimeseries!$U:$U),"")</f>
        <v>28.905894152419744</v>
      </c>
      <c r="DC91" s="51">
        <f>IFERROR(LOOKUP(DC$18,HourlyTimeseries!$A:$A,HourlyTimeseries!$U:$U),"")</f>
        <v>29.112479999999998</v>
      </c>
      <c r="DD91" s="51">
        <f>IFERROR(LOOKUP(DD$18,HourlyTimeseries!$A:$A,HourlyTimeseries!$U:$U),"")</f>
        <v>29.112479999999998</v>
      </c>
      <c r="DE91" s="51">
        <f>IFERROR(LOOKUP(DE$18,HourlyTimeseries!$A:$A,HourlyTimeseries!$U:$U),"")</f>
        <v>29.112479999999998</v>
      </c>
      <c r="DF91" s="51">
        <f>IFERROR(LOOKUP(DF$18,HourlyTimeseries!$A:$A,HourlyTimeseries!$U:$U),"")</f>
        <v>29.112479999999998</v>
      </c>
      <c r="DG91" s="51">
        <f>IFERROR(LOOKUP(DG$18,HourlyTimeseries!$A:$A,HourlyTimeseries!$U:$U),"")</f>
        <v>29.074956158350584</v>
      </c>
      <c r="DH91" s="51">
        <f>IFERROR(LOOKUP(DH$18,HourlyTimeseries!$A:$A,HourlyTimeseries!$U:$U),"")</f>
        <v>29.074956158350584</v>
      </c>
      <c r="DI91" s="51">
        <f>IFERROR(LOOKUP(DI$18,HourlyTimeseries!$A:$A,HourlyTimeseries!$U:$U),"")</f>
        <v>29.074956158350584</v>
      </c>
      <c r="DJ91" s="51">
        <f>IFERROR(LOOKUP(DJ$18,HourlyTimeseries!$A:$A,HourlyTimeseries!$U:$U),"")</f>
        <v>29.072204920255349</v>
      </c>
      <c r="DK91" s="51">
        <f>IFERROR(LOOKUP(DK$18,HourlyTimeseries!$A:$A,HourlyTimeseries!$U:$U),"")</f>
        <v>36.328132000000004</v>
      </c>
      <c r="DL91" s="51">
        <f>IFERROR(LOOKUP(DL$18,HourlyTimeseries!$A:$A,HourlyTimeseries!$U:$U),"")</f>
        <v>57.033000044401987</v>
      </c>
      <c r="DM91" s="51">
        <f>IFERROR(LOOKUP(DM$18,HourlyTimeseries!$A:$A,HourlyTimeseries!$U:$U),"")</f>
        <v>60.216876690131599</v>
      </c>
      <c r="DN91" s="51">
        <f>IFERROR(LOOKUP(DN$18,HourlyTimeseries!$A:$A,HourlyTimeseries!$U:$U),"")</f>
        <v>60.216876690131599</v>
      </c>
      <c r="DO91" s="51">
        <f>IFERROR(LOOKUP(DO$18,HourlyTimeseries!$A:$A,HourlyTimeseries!$U:$U),"")</f>
        <v>60.216876690131599</v>
      </c>
      <c r="DP91" s="51">
        <f>IFERROR(LOOKUP(DP$18,HourlyTimeseries!$A:$A,HourlyTimeseries!$U:$U),"")</f>
        <v>60.014662419619221</v>
      </c>
      <c r="DQ91" s="51">
        <f>IFERROR(LOOKUP(DQ$18,HourlyTimeseries!$A:$A,HourlyTimeseries!$U:$U),"")</f>
        <v>60.014662419619221</v>
      </c>
      <c r="DR91" s="51">
        <f>IFERROR(LOOKUP(DR$18,HourlyTimeseries!$A:$A,HourlyTimeseries!$U:$U),"")</f>
        <v>52.394879142973437</v>
      </c>
      <c r="DS91" s="51">
        <f>IFERROR(LOOKUP(DS$18,HourlyTimeseries!$A:$A,HourlyTimeseries!$U:$U),"")</f>
        <v>42.191858468239751</v>
      </c>
      <c r="DT91" s="60">
        <f>IFERROR(LOOKUP(DT$18,HourlyTimeseries!$A:$A,HourlyTimeseries!$U:$U),"")</f>
        <v>28.933527113913208</v>
      </c>
      <c r="DU91" s="67">
        <f>IFERROR(LOOKUP(DU$18,HourlyTimeseries!$A:$A,HourlyTimeseries!$U:$U),"")</f>
        <v>28.906247870844261</v>
      </c>
      <c r="DV91" s="51">
        <f>IFERROR(LOOKUP(DV$18,HourlyTimeseries!$A:$A,HourlyTimeseries!$U:$U),"")</f>
        <v>28.906247870844261</v>
      </c>
      <c r="DW91" s="51">
        <f>IFERROR(LOOKUP(DW$18,HourlyTimeseries!$A:$A,HourlyTimeseries!$U:$U),"")</f>
        <v>28.906247870844261</v>
      </c>
      <c r="DX91" s="51">
        <f>IFERROR(LOOKUP(DX$18,HourlyTimeseries!$A:$A,HourlyTimeseries!$U:$U),"")</f>
        <v>28.905894152419744</v>
      </c>
      <c r="DY91" s="51">
        <f>IFERROR(LOOKUP(DY$18,HourlyTimeseries!$A:$A,HourlyTimeseries!$U:$U),"")</f>
        <v>28.905894152419744</v>
      </c>
      <c r="DZ91" s="51">
        <f>IFERROR(LOOKUP(DZ$18,HourlyTimeseries!$A:$A,HourlyTimeseries!$U:$U),"")</f>
        <v>28.905894152419744</v>
      </c>
      <c r="EA91" s="51">
        <f>IFERROR(LOOKUP(EA$18,HourlyTimeseries!$A:$A,HourlyTimeseries!$U:$U),"")</f>
        <v>29.112479999999998</v>
      </c>
      <c r="EB91" s="51">
        <f>IFERROR(LOOKUP(EB$18,HourlyTimeseries!$A:$A,HourlyTimeseries!$U:$U),"")</f>
        <v>29.112479999999998</v>
      </c>
      <c r="EC91" s="51">
        <f>IFERROR(LOOKUP(EC$18,HourlyTimeseries!$A:$A,HourlyTimeseries!$U:$U),"")</f>
        <v>29.112479999999998</v>
      </c>
      <c r="ED91" s="51">
        <f>IFERROR(LOOKUP(ED$18,HourlyTimeseries!$A:$A,HourlyTimeseries!$U:$U),"")</f>
        <v>29.112479999999998</v>
      </c>
      <c r="EE91" s="51">
        <f>IFERROR(LOOKUP(EE$18,HourlyTimeseries!$A:$A,HourlyTimeseries!$U:$U),"")</f>
        <v>29.074956158350584</v>
      </c>
      <c r="EF91" s="51">
        <f>IFERROR(LOOKUP(EF$18,HourlyTimeseries!$A:$A,HourlyTimeseries!$U:$U),"")</f>
        <v>29.074956158350584</v>
      </c>
      <c r="EG91" s="51">
        <f>IFERROR(LOOKUP(EG$18,HourlyTimeseries!$A:$A,HourlyTimeseries!$U:$U),"")</f>
        <v>29.074956158350584</v>
      </c>
      <c r="EH91" s="51">
        <f>IFERROR(LOOKUP(EH$18,HourlyTimeseries!$A:$A,HourlyTimeseries!$U:$U),"")</f>
        <v>29.072204920255349</v>
      </c>
      <c r="EI91" s="51">
        <f>IFERROR(LOOKUP(EI$18,HourlyTimeseries!$A:$A,HourlyTimeseries!$U:$U),"")</f>
        <v>36.328132000000004</v>
      </c>
      <c r="EJ91" s="51">
        <f>IFERROR(LOOKUP(EJ$18,HourlyTimeseries!$A:$A,HourlyTimeseries!$U:$U),"")</f>
        <v>57.033000044401987</v>
      </c>
      <c r="EK91" s="51">
        <f>IFERROR(LOOKUP(EK$18,HourlyTimeseries!$A:$A,HourlyTimeseries!$U:$U),"")</f>
        <v>60.216876690131599</v>
      </c>
      <c r="EL91" s="51">
        <f>IFERROR(LOOKUP(EL$18,HourlyTimeseries!$A:$A,HourlyTimeseries!$U:$U),"")</f>
        <v>60.216876690131599</v>
      </c>
      <c r="EM91" s="51">
        <f>IFERROR(LOOKUP(EM$18,HourlyTimeseries!$A:$A,HourlyTimeseries!$U:$U),"")</f>
        <v>60.216876690131599</v>
      </c>
      <c r="EN91" s="51">
        <f>IFERROR(LOOKUP(EN$18,HourlyTimeseries!$A:$A,HourlyTimeseries!$U:$U),"")</f>
        <v>60.014662419619221</v>
      </c>
      <c r="EO91" s="51">
        <f>IFERROR(LOOKUP(EO$18,HourlyTimeseries!$A:$A,HourlyTimeseries!$U:$U),"")</f>
        <v>60.014662419619221</v>
      </c>
      <c r="EP91" s="51">
        <f>IFERROR(LOOKUP(EP$18,HourlyTimeseries!$A:$A,HourlyTimeseries!$U:$U),"")</f>
        <v>52.394879142973437</v>
      </c>
      <c r="EQ91" s="51">
        <f>IFERROR(LOOKUP(EQ$18,HourlyTimeseries!$A:$A,HourlyTimeseries!$U:$U),"")</f>
        <v>42.191858468239751</v>
      </c>
      <c r="ER91" s="60">
        <f>IFERROR(LOOKUP(ER$18,HourlyTimeseries!$A:$A,HourlyTimeseries!$U:$U),"")</f>
        <v>28.933527113913208</v>
      </c>
      <c r="ES91" s="67">
        <f>IFERROR(LOOKUP(ES$18,HourlyTimeseries!$A:$A,HourlyTimeseries!$U:$U),"")</f>
        <v>28.906247870844261</v>
      </c>
      <c r="ET91" s="51">
        <f>IFERROR(LOOKUP(ET$18,HourlyTimeseries!$A:$A,HourlyTimeseries!$U:$U),"")</f>
        <v>28.906247870844261</v>
      </c>
      <c r="EU91" s="51">
        <f>IFERROR(LOOKUP(EU$18,HourlyTimeseries!$A:$A,HourlyTimeseries!$U:$U),"")</f>
        <v>28.906247870844261</v>
      </c>
      <c r="EV91" s="51">
        <f>IFERROR(LOOKUP(EV$18,HourlyTimeseries!$A:$A,HourlyTimeseries!$U:$U),"")</f>
        <v>28.905894152419744</v>
      </c>
      <c r="EW91" s="51">
        <f>IFERROR(LOOKUP(EW$18,HourlyTimeseries!$A:$A,HourlyTimeseries!$U:$U),"")</f>
        <v>28.905894152419744</v>
      </c>
      <c r="EX91" s="51">
        <f>IFERROR(LOOKUP(EX$18,HourlyTimeseries!$A:$A,HourlyTimeseries!$U:$U),"")</f>
        <v>28.905894152419744</v>
      </c>
      <c r="EY91" s="51">
        <f>IFERROR(LOOKUP(EY$18,HourlyTimeseries!$A:$A,HourlyTimeseries!$U:$U),"")</f>
        <v>29.112479999999998</v>
      </c>
      <c r="EZ91" s="51">
        <f>IFERROR(LOOKUP(EZ$18,HourlyTimeseries!$A:$A,HourlyTimeseries!$U:$U),"")</f>
        <v>29.112479999999998</v>
      </c>
      <c r="FA91" s="51">
        <f>IFERROR(LOOKUP(FA$18,HourlyTimeseries!$A:$A,HourlyTimeseries!$U:$U),"")</f>
        <v>29.112479999999998</v>
      </c>
      <c r="FB91" s="51">
        <f>IFERROR(LOOKUP(FB$18,HourlyTimeseries!$A:$A,HourlyTimeseries!$U:$U),"")</f>
        <v>29.112479999999998</v>
      </c>
      <c r="FC91" s="51">
        <f>IFERROR(LOOKUP(FC$18,HourlyTimeseries!$A:$A,HourlyTimeseries!$U:$U),"")</f>
        <v>29.074956158350584</v>
      </c>
      <c r="FD91" s="51">
        <f>IFERROR(LOOKUP(FD$18,HourlyTimeseries!$A:$A,HourlyTimeseries!$U:$U),"")</f>
        <v>29.074956158350584</v>
      </c>
      <c r="FE91" s="51">
        <f>IFERROR(LOOKUP(FE$18,HourlyTimeseries!$A:$A,HourlyTimeseries!$U:$U),"")</f>
        <v>29.074956158350584</v>
      </c>
      <c r="FF91" s="51">
        <f>IFERROR(LOOKUP(FF$18,HourlyTimeseries!$A:$A,HourlyTimeseries!$U:$U),"")</f>
        <v>29.072204920255349</v>
      </c>
      <c r="FG91" s="51">
        <f>IFERROR(LOOKUP(FG$18,HourlyTimeseries!$A:$A,HourlyTimeseries!$U:$U),"")</f>
        <v>36.328132000000004</v>
      </c>
      <c r="FH91" s="51">
        <f>IFERROR(LOOKUP(FH$18,HourlyTimeseries!$A:$A,HourlyTimeseries!$U:$U),"")</f>
        <v>57.033000044401987</v>
      </c>
      <c r="FI91" s="51">
        <f>IFERROR(LOOKUP(FI$18,HourlyTimeseries!$A:$A,HourlyTimeseries!$U:$U),"")</f>
        <v>60.216876690131599</v>
      </c>
      <c r="FJ91" s="51">
        <f>IFERROR(LOOKUP(FJ$18,HourlyTimeseries!$A:$A,HourlyTimeseries!$U:$U),"")</f>
        <v>60.216876690131599</v>
      </c>
      <c r="FK91" s="51">
        <f>IFERROR(LOOKUP(FK$18,HourlyTimeseries!$A:$A,HourlyTimeseries!$U:$U),"")</f>
        <v>60.216876690131599</v>
      </c>
      <c r="FL91" s="51">
        <f>IFERROR(LOOKUP(FL$18,HourlyTimeseries!$A:$A,HourlyTimeseries!$U:$U),"")</f>
        <v>60.014662419619221</v>
      </c>
      <c r="FM91" s="51">
        <f>IFERROR(LOOKUP(FM$18,HourlyTimeseries!$A:$A,HourlyTimeseries!$U:$U),"")</f>
        <v>60.014662419619221</v>
      </c>
      <c r="FN91" s="51">
        <f>IFERROR(LOOKUP(FN$18,HourlyTimeseries!$A:$A,HourlyTimeseries!$U:$U),"")</f>
        <v>52.394879142973437</v>
      </c>
      <c r="FO91" s="51">
        <f>IFERROR(LOOKUP(FO$18,HourlyTimeseries!$A:$A,HourlyTimeseries!$U:$U),"")</f>
        <v>42.191858468239751</v>
      </c>
      <c r="FP91" s="60">
        <f>IFERROR(LOOKUP(FP$18,HourlyTimeseries!$A:$A,HourlyTimeseries!$U:$U),"")</f>
        <v>28.933527113913208</v>
      </c>
    </row>
    <row r="92" spans="1:172">
      <c r="A92" t="s">
        <v>47</v>
      </c>
      <c r="B92" s="2" t="s">
        <v>41</v>
      </c>
      <c r="C92" s="8" t="s">
        <v>133</v>
      </c>
      <c r="D92" s="5">
        <v>0.1</v>
      </c>
      <c r="E92" s="22" t="str">
        <f>IF(AND(D41=TRUE,D92&lt;0),"the penalty cost should be in range 0-25","")</f>
        <v/>
      </c>
    </row>
    <row r="93" spans="1:172">
      <c r="A93" t="s">
        <v>48</v>
      </c>
      <c r="B93" s="2" t="s">
        <v>42</v>
      </c>
      <c r="C93" s="8" t="s">
        <v>133</v>
      </c>
      <c r="D93" s="5">
        <v>0.1</v>
      </c>
      <c r="E93" s="22" t="str">
        <f>IF(AND(D41=TRUE,D93&lt;0),"the penalty cost should be in range 0-25","")</f>
        <v/>
      </c>
    </row>
    <row r="94" spans="1:172">
      <c r="A94" t="s">
        <v>49</v>
      </c>
      <c r="B94" s="2" t="s">
        <v>43</v>
      </c>
      <c r="C94" s="8" t="s">
        <v>133</v>
      </c>
      <c r="D94" s="5">
        <v>0.1</v>
      </c>
      <c r="E94" s="22" t="str">
        <f>IF(AND(D51=TRUE,D94&lt;0),"the penalty cost should be in range 0-25","")</f>
        <v/>
      </c>
    </row>
    <row r="95" spans="1:172">
      <c r="A95" t="s">
        <v>50</v>
      </c>
      <c r="B95" s="2" t="s">
        <v>44</v>
      </c>
      <c r="C95" s="8" t="s">
        <v>133</v>
      </c>
      <c r="D95" s="5">
        <v>0.1</v>
      </c>
      <c r="E95" s="22" t="str">
        <f>IF(AND(D51=TRUE,D95&lt;0),"the penalty cost should be in range 0-25","")</f>
        <v/>
      </c>
    </row>
    <row r="96" spans="1:172">
      <c r="A96" t="s">
        <v>51</v>
      </c>
      <c r="B96" s="2" t="s">
        <v>45</v>
      </c>
      <c r="C96" s="8" t="s">
        <v>133</v>
      </c>
      <c r="D96" s="5">
        <v>0</v>
      </c>
      <c r="E96" s="22" t="str">
        <f>IF(AND(D57=TRUE,D96&lt;0),"the penalty cost should be in range 0-25","")</f>
        <v/>
      </c>
    </row>
    <row r="97" spans="1:11">
      <c r="A97" t="s">
        <v>52</v>
      </c>
      <c r="B97" s="2" t="s">
        <v>46</v>
      </c>
      <c r="C97" s="8" t="s">
        <v>133</v>
      </c>
      <c r="D97" s="5">
        <v>0</v>
      </c>
      <c r="E97" s="22" t="str">
        <f>IF(AND(D57=TRUE,D97&lt;0),"the penalty cost should be in range 0-25","")</f>
        <v/>
      </c>
    </row>
    <row r="98" spans="1:11">
      <c r="A98" t="s">
        <v>185</v>
      </c>
      <c r="B98" s="2" t="s">
        <v>183</v>
      </c>
      <c r="C98" s="8" t="s">
        <v>135</v>
      </c>
      <c r="D98" s="5">
        <v>0</v>
      </c>
    </row>
    <row r="99" spans="1:11">
      <c r="A99" t="s">
        <v>186</v>
      </c>
      <c r="B99" s="2" t="s">
        <v>184</v>
      </c>
      <c r="C99" s="8" t="s">
        <v>135</v>
      </c>
      <c r="D99" s="5">
        <v>0</v>
      </c>
    </row>
    <row r="100" spans="1:11">
      <c r="A100" t="s">
        <v>471</v>
      </c>
      <c r="B100" s="2" t="s">
        <v>472</v>
      </c>
      <c r="D100" s="128">
        <v>10000</v>
      </c>
      <c r="E100" s="22" t="s">
        <v>473</v>
      </c>
    </row>
    <row r="102" spans="1:11" ht="20.399999999999999" thickBot="1">
      <c r="A102" s="1" t="s">
        <v>487</v>
      </c>
      <c r="B102" s="7" t="s">
        <v>32</v>
      </c>
      <c r="C102" s="3" t="s">
        <v>132</v>
      </c>
      <c r="D102" s="3"/>
      <c r="E102" s="3" t="s">
        <v>490</v>
      </c>
      <c r="F102" s="3" t="s">
        <v>491</v>
      </c>
      <c r="G102" s="3" t="s">
        <v>492</v>
      </c>
      <c r="H102" s="3" t="s">
        <v>493</v>
      </c>
      <c r="I102" s="3" t="s">
        <v>494</v>
      </c>
      <c r="J102" s="3" t="s">
        <v>495</v>
      </c>
      <c r="K102" s="3" t="s">
        <v>496</v>
      </c>
    </row>
    <row r="103" spans="1:11" ht="15" thickTop="1">
      <c r="A103" s="168" t="s">
        <v>500</v>
      </c>
      <c r="B103" s="2" t="s">
        <v>501</v>
      </c>
      <c r="C103" s="8" t="s">
        <v>133</v>
      </c>
      <c r="D103" s="4" t="b">
        <v>1</v>
      </c>
    </row>
    <row r="104" spans="1:11">
      <c r="A104" t="s">
        <v>488</v>
      </c>
      <c r="B104" s="2" t="s">
        <v>497</v>
      </c>
      <c r="C104" s="8" t="s">
        <v>133</v>
      </c>
      <c r="E104" s="176">
        <v>0</v>
      </c>
      <c r="F104" s="176">
        <v>2490</v>
      </c>
      <c r="G104" s="176"/>
      <c r="H104" s="176"/>
      <c r="I104" s="176"/>
      <c r="J104" s="176"/>
      <c r="K104" s="176"/>
    </row>
    <row r="105" spans="1:11">
      <c r="A105" t="s">
        <v>489</v>
      </c>
      <c r="B105" s="2" t="s">
        <v>498</v>
      </c>
      <c r="C105" s="8" t="s">
        <v>133</v>
      </c>
      <c r="E105" s="176">
        <v>2470</v>
      </c>
      <c r="F105" s="176">
        <v>4940</v>
      </c>
      <c r="G105" s="176"/>
      <c r="H105" s="176"/>
      <c r="I105" s="176"/>
      <c r="J105" s="176"/>
      <c r="K105" s="176"/>
    </row>
  </sheetData>
  <phoneticPr fontId="7" type="noConversion"/>
  <conditionalFormatting sqref="D9">
    <cfRule type="cellIs" dxfId="49" priority="66" operator="equal">
      <formula>FALSE</formula>
    </cfRule>
    <cfRule type="cellIs" dxfId="48" priority="67" operator="equal">
      <formula>TRUE</formula>
    </cfRule>
  </conditionalFormatting>
  <conditionalFormatting sqref="D10:D11">
    <cfRule type="cellIs" dxfId="47" priority="64" operator="equal">
      <formula>FALSE</formula>
    </cfRule>
    <cfRule type="cellIs" dxfId="46" priority="65" operator="equal">
      <formula>TRUE</formula>
    </cfRule>
  </conditionalFormatting>
  <conditionalFormatting sqref="D38:D39">
    <cfRule type="cellIs" dxfId="45" priority="24" operator="equal">
      <formula>FALSE</formula>
    </cfRule>
    <cfRule type="cellIs" dxfId="44" priority="25" operator="equal">
      <formula>TRUE</formula>
    </cfRule>
  </conditionalFormatting>
  <conditionalFormatting sqref="D41 D62 D73 D47 D51 D56:D57">
    <cfRule type="cellIs" dxfId="43" priority="22" operator="equal">
      <formula>FALSE</formula>
    </cfRule>
    <cfRule type="cellIs" dxfId="42" priority="23" operator="equal">
      <formula>TRUE</formula>
    </cfRule>
  </conditionalFormatting>
  <conditionalFormatting sqref="D42:D43">
    <cfRule type="expression" dxfId="41" priority="19">
      <formula>$D$41=FALSE</formula>
    </cfRule>
  </conditionalFormatting>
  <conditionalFormatting sqref="D40">
    <cfRule type="expression" dxfId="40" priority="18">
      <formula>$D$39=FALSE</formula>
    </cfRule>
  </conditionalFormatting>
  <conditionalFormatting sqref="D52:D53">
    <cfRule type="expression" dxfId="39" priority="17">
      <formula>$D$51=FALSE</formula>
    </cfRule>
  </conditionalFormatting>
  <conditionalFormatting sqref="D58:D59">
    <cfRule type="expression" dxfId="38" priority="16">
      <formula>$D$57=FALSE</formula>
    </cfRule>
  </conditionalFormatting>
  <conditionalFormatting sqref="D48:D50">
    <cfRule type="expression" dxfId="37" priority="15">
      <formula>$D$41=FALSE</formula>
    </cfRule>
  </conditionalFormatting>
  <conditionalFormatting sqref="D48:D50">
    <cfRule type="expression" dxfId="36" priority="12">
      <formula>$D$10="LP"</formula>
    </cfRule>
  </conditionalFormatting>
  <conditionalFormatting sqref="D64:D65">
    <cfRule type="expression" dxfId="35" priority="11">
      <formula>$D$57=FALSE</formula>
    </cfRule>
  </conditionalFormatting>
  <conditionalFormatting sqref="D63">
    <cfRule type="cellIs" dxfId="34" priority="9" operator="equal">
      <formula>FALSE</formula>
    </cfRule>
    <cfRule type="cellIs" dxfId="33" priority="10" operator="equal">
      <formula>TRUE</formula>
    </cfRule>
  </conditionalFormatting>
  <conditionalFormatting sqref="D68">
    <cfRule type="cellIs" dxfId="32" priority="7" operator="equal">
      <formula>FALSE</formula>
    </cfRule>
    <cfRule type="cellIs" dxfId="31" priority="8" operator="equal">
      <formula>TRUE</formula>
    </cfRule>
  </conditionalFormatting>
  <conditionalFormatting sqref="D33">
    <cfRule type="cellIs" dxfId="30" priority="5" operator="equal">
      <formula>FALSE</formula>
    </cfRule>
    <cfRule type="cellIs" dxfId="29" priority="6" operator="equal">
      <formula>TRUE</formula>
    </cfRule>
  </conditionalFormatting>
  <conditionalFormatting sqref="D12:D14">
    <cfRule type="expression" dxfId="28" priority="4">
      <formula>$D$41=FALSE</formula>
    </cfRule>
  </conditionalFormatting>
  <conditionalFormatting sqref="D12:D13">
    <cfRule type="expression" dxfId="27" priority="3">
      <formula>IF($D$11="XY",0,1)</formula>
    </cfRule>
  </conditionalFormatting>
  <conditionalFormatting sqref="D103">
    <cfRule type="cellIs" dxfId="26" priority="1" operator="equal">
      <formula>FALSE</formula>
    </cfRule>
    <cfRule type="cellIs" dxfId="25" priority="2" operator="equal">
      <formula>TRUE</formula>
    </cfRule>
  </conditionalFormatting>
  <dataValidations count="4">
    <dataValidation type="list" allowBlank="1" showInputMessage="1" showErrorMessage="1" sqref="D9 D33 D68 D62:D63 D73 D51 D41 D56:D57 D47 D39 D103" xr:uid="{486E1DFA-3633-4FFB-A635-629E01A4702D}">
      <formula1>$AB$4:$AB$5</formula1>
    </dataValidation>
    <dataValidation type="list" allowBlank="1" showInputMessage="1" showErrorMessage="1" sqref="D10" xr:uid="{D951DE0D-37BD-4A18-A15C-8E7BB126690F}">
      <formula1>$AA$4:$AA$5</formula1>
    </dataValidation>
    <dataValidation type="list" allowBlank="1" showInputMessage="1" showErrorMessage="1" sqref="D11" xr:uid="{4169F162-A464-4971-A768-8C736C8A15D2}">
      <formula1>$Z$4:$Z$5</formula1>
    </dataValidation>
    <dataValidation type="list" allowBlank="1" showInputMessage="1" showErrorMessage="1" sqref="D38" xr:uid="{50673C14-44C7-41E6-82FA-3AABCCD276A9}">
      <formula1>$Y$3:$Y$6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5677EE-BEE4-4D17-B9E6-1BA1AF218227}">
          <x14:formula1>
            <xm:f>'Supporting Tables'!$T$4:$T$21</xm:f>
          </x14:formula1>
          <xm:sqref>D8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D9C9210-5224-45D6-8CAC-1414330E1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Inputs!E88:FP88</xm:f>
              <xm:sqref>D88</xm:sqref>
            </x14:sparkline>
          </x14:sparklines>
        </x14:sparklineGroup>
        <x14:sparklineGroup displayEmptyCellsAs="gap" xr2:uid="{8D8B0879-668A-4BF6-A71A-C73788F47E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Inputs!E83:FP83</xm:f>
              <xm:sqref>D83</xm:sqref>
            </x14:sparkline>
          </x14:sparklines>
        </x14:sparklineGroup>
        <x14:sparklineGroup displayEmptyCellsAs="gap" xr2:uid="{D36B7A42-0BF5-4823-A1C3-19C8C05DCD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Inputs!E82:FP82</xm:f>
              <xm:sqref>D82</xm:sqref>
            </x14:sparkline>
          </x14:sparklines>
        </x14:sparklineGroup>
        <x14:sparklineGroup displayEmptyCellsAs="gap" xr2:uid="{5446F37B-F4A7-4811-B1D3-3A9EB4990E2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Inputs!E79:K79</xm:f>
              <xm:sqref>D79</xm:sqref>
            </x14:sparkline>
          </x14:sparklines>
        </x14:sparklineGroup>
        <x14:sparklineGroup displayEmptyCellsAs="gap" xr2:uid="{F3FCF3F7-E9F0-49D5-B8C5-F94CF068D86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Inputs!E78:K78</xm:f>
              <xm:sqref>D78</xm:sqref>
            </x14:sparkline>
          </x14:sparklines>
        </x14:sparklineGroup>
        <x14:sparklineGroup displayEmptyCellsAs="gap" xr2:uid="{EF9A6BFB-2ADB-4AA8-9CC4-D8135DE7D1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Inputs!E75:FP75</xm:f>
              <xm:sqref>D75</xm:sqref>
            </x14:sparkline>
          </x14:sparklines>
        </x14:sparklineGroup>
        <x14:sparklineGroup displayEmptyCellsAs="gap" xr2:uid="{56E68D9C-F49E-45B6-B5BF-FBDC61EEA4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Inputs!E74:FP74</xm:f>
              <xm:sqref>D74</xm:sqref>
            </x14:sparkline>
          </x14:sparklines>
        </x14:sparklineGroup>
        <x14:sparklineGroup displayEmptyCellsAs="gap" xr2:uid="{016F3384-43B6-40EE-9C61-FF9662316A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Inputs!E72:FP72</xm:f>
              <xm:sqref>D72</xm:sqref>
            </x14:sparkline>
          </x14:sparklines>
        </x14:sparklineGroup>
        <x14:sparklineGroup displayEmptyCellsAs="gap" xr2:uid="{A7CFAB19-2E35-45CA-A047-297791354E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Inputs!E71:FP71</xm:f>
              <xm:sqref>D71</xm:sqref>
            </x14:sparkline>
          </x14:sparklines>
        </x14:sparklineGroup>
        <x14:sparklineGroup displayEmptyCellsAs="gap" xr2:uid="{74B07142-06B4-497B-8BFC-087F59BAE8F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Inputs!E35:FP35</xm:f>
              <xm:sqref>D35</xm:sqref>
            </x14:sparkline>
          </x14:sparklines>
        </x14:sparklineGroup>
        <x14:sparklineGroup displayEmptyCellsAs="gap" xr2:uid="{D9BA00CC-2648-412E-8734-7CFEA0F505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Inputs!E46:FP46</xm:f>
              <xm:sqref>D46</xm:sqref>
            </x14:sparkline>
          </x14:sparklines>
        </x14:sparklineGroup>
        <x14:sparklineGroup displayEmptyCellsAs="gap" xr2:uid="{99D14414-67EF-4125-8BCC-8DEECC2DF69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Inputs!E54:FP54</xm:f>
              <xm:sqref>D54</xm:sqref>
            </x14:sparkline>
          </x14:sparklines>
        </x14:sparklineGroup>
        <x14:sparklineGroup displayEmptyCellsAs="gap" xr2:uid="{B713B953-5E43-446B-BCDC-9CF8412763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Inputs!E55:FP55</xm:f>
              <xm:sqref>D55</xm:sqref>
            </x14:sparkline>
          </x14:sparklines>
        </x14:sparklineGroup>
        <x14:sparklineGroup displayEmptyCellsAs="gap" xr2:uid="{5B019F56-E23D-4AC0-8A97-8B6BB8DF6C3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Inputs!E60:FP60</xm:f>
              <xm:sqref>D60</xm:sqref>
            </x14:sparkline>
          </x14:sparklines>
        </x14:sparklineGroup>
        <x14:sparklineGroup displayEmptyCellsAs="gap" xr2:uid="{3180E548-FC16-41BC-A553-2B74964F07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Inputs!E61:FP61</xm:f>
              <xm:sqref>D61</xm:sqref>
            </x14:sparkline>
          </x14:sparklines>
        </x14:sparklineGroup>
        <x14:sparklineGroup displayEmptyCellsAs="gap" xr2:uid="{026166CF-C5FA-4DA9-AF9C-B3D24DC4E61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Inputs!E67:FP67</xm:f>
              <xm:sqref>D67</xm:sqref>
            </x14:sparkline>
          </x14:sparklines>
        </x14:sparklineGroup>
        <x14:sparklineGroup displayEmptyCellsAs="gap" xr2:uid="{C9834ADB-AA97-4FE6-8F3F-487BD519F4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Inputs!E66:FP66</xm:f>
              <xm:sqref>D66</xm:sqref>
            </x14:sparkline>
          </x14:sparklines>
        </x14:sparklineGroup>
        <x14:sparklineGroup displayEmptyCellsAs="gap" xr2:uid="{9309AA6A-3D83-4806-8D7E-F205BF1694A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Inputs!E40:K40</xm:f>
              <xm:sqref>D40</xm:sqref>
            </x14:sparkline>
          </x14:sparklines>
        </x14:sparklineGroup>
        <x14:sparklineGroup displayEmptyCellsAs="gap" xr2:uid="{25F94417-9542-4737-8DAA-A6EFF426B65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Inputs!E37:K37</xm:f>
              <xm:sqref>D37</xm:sqref>
            </x14:sparkline>
          </x14:sparklines>
        </x14:sparklineGroup>
        <x14:sparklineGroup displayEmptyCellsAs="gap" xr2:uid="{9E7564E6-9660-4159-B73E-42EE8DA2BB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Inputs!E44:FP44</xm:f>
              <xm:sqref>D44</xm:sqref>
            </x14:sparkline>
          </x14:sparklines>
        </x14:sparklineGroup>
        <x14:sparklineGroup displayEmptyCellsAs="gap" xr2:uid="{E5A18EE3-C2DD-43D5-93DC-F5206AED69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Inputs!E34:FP34</xm:f>
              <xm:sqref>D34</xm:sqref>
            </x14:sparkline>
          </x14:sparklines>
        </x14:sparklineGroup>
        <x14:sparklineGroup displayEmptyCellsAs="gap" xr2:uid="{5B0BDD38-925D-4FBA-8209-A40711FEE6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Inputs!E45:FP45</xm:f>
              <xm:sqref>D45</xm:sqref>
            </x14:sparkline>
          </x14:sparklines>
        </x14:sparklineGroup>
        <x14:sparklineGroup displayEmptyCellsAs="gap" xr2:uid="{6B7EA56C-0EFF-425B-AB84-B97864C2F18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Inputs!E76:FP76</xm:f>
              <xm:sqref>D76</xm:sqref>
            </x14:sparkline>
          </x14:sparklines>
        </x14:sparklineGroup>
        <x14:sparklineGroup displayEmptyCellsAs="gap" xr2:uid="{22503788-E733-4470-8975-1698AFEF51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Inputs!E91:FP91</xm:f>
              <xm:sqref>D91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Y3095"/>
  <sheetViews>
    <sheetView workbookViewId="0">
      <pane xSplit="1" ySplit="2" topLeftCell="K3" activePane="bottomRight" state="frozen"/>
      <selection pane="topRight" activeCell="B1" sqref="B1"/>
      <selection pane="bottomLeft" activeCell="A3" sqref="A3"/>
      <selection pane="bottomRight" activeCell="T4" sqref="T4"/>
    </sheetView>
  </sheetViews>
  <sheetFormatPr defaultColWidth="8.6640625" defaultRowHeight="14.4"/>
  <cols>
    <col min="1" max="1" width="15.44140625" bestFit="1" customWidth="1"/>
    <col min="2" max="14" width="10.6640625" customWidth="1"/>
    <col min="15" max="17" width="11.6640625" customWidth="1"/>
    <col min="18" max="23" width="10.6640625" customWidth="1"/>
    <col min="25" max="25" width="10.44140625" bestFit="1" customWidth="1"/>
  </cols>
  <sheetData>
    <row r="1" spans="1:24" s="31" customFormat="1" ht="100.8">
      <c r="A1" s="31" t="str">
        <f>A2</f>
        <v>DateTime</v>
      </c>
      <c r="B1" s="32" t="s">
        <v>212</v>
      </c>
      <c r="C1" s="32" t="s">
        <v>211</v>
      </c>
      <c r="D1" s="32" t="s">
        <v>205</v>
      </c>
      <c r="E1" s="32" t="s">
        <v>80</v>
      </c>
      <c r="F1" s="32" t="s">
        <v>81</v>
      </c>
      <c r="G1" s="32" t="s">
        <v>82</v>
      </c>
      <c r="H1" s="32" t="s">
        <v>83</v>
      </c>
      <c r="I1" s="32" t="s">
        <v>84</v>
      </c>
      <c r="J1" s="32" t="s">
        <v>85</v>
      </c>
      <c r="K1" s="32" t="s">
        <v>176</v>
      </c>
      <c r="L1" s="32" t="s">
        <v>178</v>
      </c>
      <c r="M1" s="32" t="s">
        <v>35</v>
      </c>
      <c r="N1" s="32" t="s">
        <v>36</v>
      </c>
      <c r="O1" s="32" t="s">
        <v>34</v>
      </c>
      <c r="P1" s="32" t="s">
        <v>33</v>
      </c>
      <c r="Q1" s="83" t="s">
        <v>37</v>
      </c>
      <c r="R1" s="32" t="s">
        <v>87</v>
      </c>
      <c r="S1" s="32" t="s">
        <v>88</v>
      </c>
      <c r="T1" s="32" t="s">
        <v>55</v>
      </c>
      <c r="U1" s="32" t="s">
        <v>31</v>
      </c>
      <c r="X1" s="31" t="s">
        <v>377</v>
      </c>
    </row>
    <row r="2" spans="1:24" ht="15" thickBot="1">
      <c r="A2" t="s">
        <v>213</v>
      </c>
      <c r="B2" s="108" t="s">
        <v>136</v>
      </c>
      <c r="C2" s="108" t="s">
        <v>136</v>
      </c>
      <c r="D2" s="108" t="s">
        <v>133</v>
      </c>
      <c r="E2" s="108" t="s">
        <v>133</v>
      </c>
      <c r="F2" s="108" t="s">
        <v>133</v>
      </c>
      <c r="G2" s="108" t="s">
        <v>133</v>
      </c>
      <c r="H2" s="108" t="s">
        <v>133</v>
      </c>
      <c r="I2" s="108" t="s">
        <v>133</v>
      </c>
      <c r="J2" s="108" t="s">
        <v>133</v>
      </c>
      <c r="K2" s="108" t="s">
        <v>135</v>
      </c>
      <c r="L2" s="108" t="s">
        <v>135</v>
      </c>
      <c r="M2" s="108" t="s">
        <v>133</v>
      </c>
      <c r="N2" s="108" t="s">
        <v>133</v>
      </c>
      <c r="O2" s="108" t="s">
        <v>135</v>
      </c>
      <c r="P2" s="108" t="s">
        <v>135</v>
      </c>
      <c r="Q2" s="108" t="s">
        <v>136</v>
      </c>
      <c r="R2" s="108" t="s">
        <v>133</v>
      </c>
      <c r="S2" s="108" t="s">
        <v>133</v>
      </c>
      <c r="T2" s="108" t="s">
        <v>134</v>
      </c>
      <c r="U2" s="108" t="s">
        <v>134</v>
      </c>
      <c r="V2">
        <f>AVERAGE(V819:V842)</f>
        <v>3.0499999999999994</v>
      </c>
      <c r="W2">
        <f>AVERAGE(W819:W842)</f>
        <v>3.0499999999999994</v>
      </c>
    </row>
    <row r="3" spans="1:24" ht="15" thickBot="1">
      <c r="A3" s="29">
        <f t="shared" ref="A3:A41" si="0">A4-TIME(1,0,0)</f>
        <v>45836.000000001979</v>
      </c>
      <c r="B3" s="187">
        <f t="shared" ref="B3:L3" si="1">B27</f>
        <v>5000</v>
      </c>
      <c r="C3" s="187">
        <f t="shared" si="1"/>
        <v>25000</v>
      </c>
      <c r="D3" s="187">
        <v>0</v>
      </c>
      <c r="E3" s="187">
        <v>700</v>
      </c>
      <c r="F3" s="187">
        <v>15000</v>
      </c>
      <c r="G3" s="187">
        <f t="shared" si="1"/>
        <v>2400</v>
      </c>
      <c r="H3" s="187">
        <f t="shared" si="1"/>
        <v>25000</v>
      </c>
      <c r="I3" s="187">
        <f t="shared" si="1"/>
        <v>5000</v>
      </c>
      <c r="J3" s="187">
        <v>40000</v>
      </c>
      <c r="K3" s="187">
        <f t="shared" si="1"/>
        <v>5000</v>
      </c>
      <c r="L3" s="187">
        <v>40000</v>
      </c>
      <c r="M3" s="110">
        <v>9.5</v>
      </c>
      <c r="N3" s="110">
        <f>VLOOKUP(DATE(YEAR(A3),MONTH(A3),DAY(A3)),FY24_Temp[],3,FALSE)</f>
        <v>12.8</v>
      </c>
      <c r="O3" s="110">
        <f>15.5-4</f>
        <v>11.5</v>
      </c>
      <c r="P3" s="110">
        <f>15.5+4</f>
        <v>19.5</v>
      </c>
      <c r="Q3" s="111">
        <f>VLOOKUP(VLOOKUP(DATEVALUE(TEXT(A3,"m/d/yyyy")),FY24_Temp[],5,FALSE)&amp;TEXT(A3,"-h"),TempDelta[],4,FALSE)</f>
        <v>3.0441428933824812</v>
      </c>
      <c r="R3" s="112">
        <v>10</v>
      </c>
      <c r="S3" s="112">
        <v>1500</v>
      </c>
      <c r="T3" s="99">
        <f>VLOOKUP(TEXT(A3,"yy-mm")&amp;"-"&amp;IF(AND(WEEKDAY(A3)&gt;1,WEEKDAY(A3)&lt;7),"Wkd",TEXT(A3,"Ddd"))&amp;"-"&amp;TEXT(A3,"hh"),LoadTable[],3,FALSE)*0.92</f>
        <v>279.25312000000002</v>
      </c>
      <c r="U3" s="113">
        <f>T3/10</f>
        <v>27.925312000000002</v>
      </c>
    </row>
    <row r="4" spans="1:24" ht="15" thickBot="1">
      <c r="A4" s="29">
        <f t="shared" si="0"/>
        <v>45836.041666668643</v>
      </c>
      <c r="B4" s="187">
        <f t="shared" ref="B4:L4" si="2">B28</f>
        <v>5000</v>
      </c>
      <c r="C4" s="187">
        <f t="shared" si="2"/>
        <v>25000</v>
      </c>
      <c r="D4" s="187">
        <v>0</v>
      </c>
      <c r="E4" s="187">
        <v>700</v>
      </c>
      <c r="F4" s="187">
        <v>15000</v>
      </c>
      <c r="G4" s="187">
        <f t="shared" si="2"/>
        <v>2400</v>
      </c>
      <c r="H4" s="187">
        <f t="shared" si="2"/>
        <v>25000</v>
      </c>
      <c r="I4" s="187">
        <f t="shared" si="2"/>
        <v>5000</v>
      </c>
      <c r="J4" s="187">
        <v>40000</v>
      </c>
      <c r="K4" s="187">
        <f t="shared" si="2"/>
        <v>5000</v>
      </c>
      <c r="L4" s="187">
        <v>40000</v>
      </c>
      <c r="M4" s="110">
        <v>9.5</v>
      </c>
      <c r="N4" s="110">
        <f>VLOOKUP(DATE(YEAR(A4),MONTH(A4),DAY(A4)),FY24_Temp[],3,FALSE)</f>
        <v>12.8</v>
      </c>
      <c r="O4" s="110">
        <f t="shared" ref="O4:O67" si="3">15.5-4</f>
        <v>11.5</v>
      </c>
      <c r="P4" s="110">
        <f t="shared" ref="P4:P67" si="4">15.5+4</f>
        <v>19.5</v>
      </c>
      <c r="Q4" s="111">
        <f>VLOOKUP(VLOOKUP(DATEVALUE(TEXT(A4,"m/d/yyyy")),FY24_Temp[],5,FALSE)&amp;TEXT(A4,"-h"),TempDelta[],4,FALSE)</f>
        <v>3.0992857047489712</v>
      </c>
      <c r="R4" s="112">
        <v>10</v>
      </c>
      <c r="S4" s="112">
        <v>1500</v>
      </c>
      <c r="T4" s="99">
        <f>VLOOKUP(TEXT(A4,"yy-mm")&amp;"-"&amp;IF(AND(WEEKDAY(A4)&gt;1,WEEKDAY(A4)&lt;7),"Wkd",TEXT(A4,"Ddd"))&amp;"-"&amp;TEXT(A4,"hh"),LoadTable[],3,FALSE)*0.92</f>
        <v>279.25312000000002</v>
      </c>
      <c r="U4" s="113">
        <f t="shared" ref="U4:U67" si="5">T4/10</f>
        <v>27.925312000000002</v>
      </c>
    </row>
    <row r="5" spans="1:24" ht="15" thickBot="1">
      <c r="A5" s="29">
        <f t="shared" si="0"/>
        <v>45836.083333335308</v>
      </c>
      <c r="B5" s="187">
        <f t="shared" ref="B5:L5" si="6">B29</f>
        <v>5000</v>
      </c>
      <c r="C5" s="187">
        <f t="shared" si="6"/>
        <v>25000</v>
      </c>
      <c r="D5" s="187">
        <v>0</v>
      </c>
      <c r="E5" s="187">
        <v>700</v>
      </c>
      <c r="F5" s="187">
        <v>15000</v>
      </c>
      <c r="G5" s="187">
        <f t="shared" si="6"/>
        <v>2400</v>
      </c>
      <c r="H5" s="187">
        <f t="shared" si="6"/>
        <v>25000</v>
      </c>
      <c r="I5" s="187">
        <f t="shared" si="6"/>
        <v>5000</v>
      </c>
      <c r="J5" s="187">
        <v>40000</v>
      </c>
      <c r="K5" s="187">
        <f t="shared" si="6"/>
        <v>5000</v>
      </c>
      <c r="L5" s="187">
        <v>40000</v>
      </c>
      <c r="M5" s="110">
        <v>9.5</v>
      </c>
      <c r="N5" s="110">
        <f>VLOOKUP(DATE(YEAR(A5),MONTH(A5),DAY(A5)),FY24_Temp[],3,FALSE)</f>
        <v>12.8</v>
      </c>
      <c r="O5" s="110">
        <f t="shared" si="3"/>
        <v>11.5</v>
      </c>
      <c r="P5" s="110">
        <f t="shared" si="4"/>
        <v>19.5</v>
      </c>
      <c r="Q5" s="111">
        <f>VLOOKUP(VLOOKUP(DATEVALUE(TEXT(A5,"m/d/yyyy")),FY24_Temp[],5,FALSE)&amp;TEXT(A5,"-h"),TempDelta[],4,FALSE)</f>
        <v>3.1050000190734863</v>
      </c>
      <c r="R5" s="112">
        <v>10</v>
      </c>
      <c r="S5" s="112">
        <v>1500</v>
      </c>
      <c r="T5" s="99">
        <f>VLOOKUP(TEXT(A5,"yy-mm")&amp;"-"&amp;IF(AND(WEEKDAY(A5)&gt;1,WEEKDAY(A5)&lt;7),"Wkd",TEXT(A5,"Ddd"))&amp;"-"&amp;TEXT(A5,"hh"),LoadTable[],3,FALSE)*0.92</f>
        <v>279.25312000000002</v>
      </c>
      <c r="U5" s="113">
        <f t="shared" si="5"/>
        <v>27.925312000000002</v>
      </c>
    </row>
    <row r="6" spans="1:24" ht="15" thickBot="1">
      <c r="A6" s="29">
        <f t="shared" si="0"/>
        <v>45836.125000001972</v>
      </c>
      <c r="B6" s="187">
        <f t="shared" ref="B6:L6" si="7">B30</f>
        <v>5000</v>
      </c>
      <c r="C6" s="187">
        <f t="shared" si="7"/>
        <v>25000</v>
      </c>
      <c r="D6" s="187">
        <v>0</v>
      </c>
      <c r="E6" s="187">
        <v>700</v>
      </c>
      <c r="F6" s="187">
        <v>15000</v>
      </c>
      <c r="G6" s="187">
        <f t="shared" si="7"/>
        <v>2400</v>
      </c>
      <c r="H6" s="187">
        <f t="shared" si="7"/>
        <v>25000</v>
      </c>
      <c r="I6" s="187">
        <f t="shared" si="7"/>
        <v>5000</v>
      </c>
      <c r="J6" s="187">
        <v>40000</v>
      </c>
      <c r="K6" s="187">
        <f t="shared" si="7"/>
        <v>5000</v>
      </c>
      <c r="L6" s="187">
        <v>40000</v>
      </c>
      <c r="M6" s="110">
        <v>9.5</v>
      </c>
      <c r="N6" s="110">
        <f>VLOOKUP(DATE(YEAR(A6),MONTH(A6),DAY(A6)),FY24_Temp[],3,FALSE)</f>
        <v>12.8</v>
      </c>
      <c r="O6" s="110">
        <f t="shared" si="3"/>
        <v>11.5</v>
      </c>
      <c r="P6" s="110">
        <f t="shared" si="4"/>
        <v>19.5</v>
      </c>
      <c r="Q6" s="111">
        <f>VLOOKUP(VLOOKUP(DATEVALUE(TEXT(A6,"m/d/yyyy")),FY24_Temp[],5,FALSE)&amp;TEXT(A6,"-h"),TempDelta[],4,FALSE)</f>
        <v>3.0428571701049805</v>
      </c>
      <c r="R6" s="112">
        <v>10</v>
      </c>
      <c r="S6" s="112">
        <v>1500</v>
      </c>
      <c r="T6" s="99">
        <f>VLOOKUP(TEXT(A6,"yy-mm")&amp;"-"&amp;IF(AND(WEEKDAY(A6)&gt;1,WEEKDAY(A6)&lt;7),"Wkd",TEXT(A6,"Ddd"))&amp;"-"&amp;TEXT(A6,"hh"),LoadTable[],3,FALSE)*0.92</f>
        <v>279.25312000000002</v>
      </c>
      <c r="U6" s="113">
        <f t="shared" si="5"/>
        <v>27.925312000000002</v>
      </c>
    </row>
    <row r="7" spans="1:24" ht="15" thickBot="1">
      <c r="A7" s="29">
        <f t="shared" si="0"/>
        <v>45836.166666668636</v>
      </c>
      <c r="B7" s="187">
        <f t="shared" ref="B7:L7" si="8">B31</f>
        <v>5000</v>
      </c>
      <c r="C7" s="187">
        <f t="shared" si="8"/>
        <v>25000</v>
      </c>
      <c r="D7" s="187">
        <v>0</v>
      </c>
      <c r="E7" s="187">
        <v>700</v>
      </c>
      <c r="F7" s="187">
        <v>15000</v>
      </c>
      <c r="G7" s="187">
        <f t="shared" si="8"/>
        <v>2400</v>
      </c>
      <c r="H7" s="187">
        <f t="shared" si="8"/>
        <v>25000</v>
      </c>
      <c r="I7" s="187">
        <f t="shared" si="8"/>
        <v>5000</v>
      </c>
      <c r="J7" s="187">
        <v>40000</v>
      </c>
      <c r="K7" s="187">
        <f t="shared" si="8"/>
        <v>5000</v>
      </c>
      <c r="L7" s="187">
        <v>40000</v>
      </c>
      <c r="M7" s="110">
        <v>9.5</v>
      </c>
      <c r="N7" s="110">
        <f>VLOOKUP(DATE(YEAR(A7),MONTH(A7),DAY(A7)),FY24_Temp[],3,FALSE)</f>
        <v>12.8</v>
      </c>
      <c r="O7" s="110">
        <f t="shared" si="3"/>
        <v>11.5</v>
      </c>
      <c r="P7" s="110">
        <f t="shared" si="4"/>
        <v>19.5</v>
      </c>
      <c r="Q7" s="111">
        <f>VLOOKUP(VLOOKUP(DATEVALUE(TEXT(A7,"m/d/yyyy")),FY24_Temp[],5,FALSE)&amp;TEXT(A7,"-h"),TempDelta[],4,FALSE)</f>
        <v>2.9580000468662808</v>
      </c>
      <c r="R7" s="112">
        <v>10</v>
      </c>
      <c r="S7" s="112">
        <v>1500</v>
      </c>
      <c r="T7" s="99">
        <f>VLOOKUP(TEXT(A7,"yy-mm")&amp;"-"&amp;IF(AND(WEEKDAY(A7)&gt;1,WEEKDAY(A7)&lt;7),"Wkd",TEXT(A7,"Ddd"))&amp;"-"&amp;TEXT(A7,"hh"),LoadTable[],3,FALSE)*0.92</f>
        <v>279.25312000000002</v>
      </c>
      <c r="U7" s="113">
        <f t="shared" si="5"/>
        <v>27.925312000000002</v>
      </c>
    </row>
    <row r="8" spans="1:24" ht="15" thickBot="1">
      <c r="A8" s="29">
        <f t="shared" si="0"/>
        <v>45836.2083333353</v>
      </c>
      <c r="B8" s="187">
        <f t="shared" ref="B8:L8" si="9">B32</f>
        <v>5000</v>
      </c>
      <c r="C8" s="187">
        <f t="shared" si="9"/>
        <v>25000</v>
      </c>
      <c r="D8" s="187">
        <v>0</v>
      </c>
      <c r="E8" s="187">
        <v>700</v>
      </c>
      <c r="F8" s="187">
        <v>15000</v>
      </c>
      <c r="G8" s="187">
        <f t="shared" si="9"/>
        <v>2400</v>
      </c>
      <c r="H8" s="187">
        <f t="shared" si="9"/>
        <v>25000</v>
      </c>
      <c r="I8" s="187">
        <f t="shared" si="9"/>
        <v>5000</v>
      </c>
      <c r="J8" s="187">
        <v>40000</v>
      </c>
      <c r="K8" s="187">
        <f t="shared" si="9"/>
        <v>5000</v>
      </c>
      <c r="L8" s="187">
        <v>40000</v>
      </c>
      <c r="M8" s="110">
        <v>9.5</v>
      </c>
      <c r="N8" s="110">
        <f>VLOOKUP(DATE(YEAR(A8),MONTH(A8),DAY(A8)),FY24_Temp[],3,FALSE)</f>
        <v>12.8</v>
      </c>
      <c r="O8" s="110">
        <f t="shared" si="3"/>
        <v>11.5</v>
      </c>
      <c r="P8" s="110">
        <f t="shared" si="4"/>
        <v>19.5</v>
      </c>
      <c r="Q8" s="111">
        <f>VLOOKUP(VLOOKUP(DATEVALUE(TEXT(A8,"m/d/yyyy")),FY24_Temp[],5,FALSE)&amp;TEXT(A8,"-h"),TempDelta[],4,FALSE)</f>
        <v>2.8608571801866804</v>
      </c>
      <c r="R8" s="112">
        <v>10</v>
      </c>
      <c r="S8" s="112">
        <v>1500</v>
      </c>
      <c r="T8" s="99">
        <f>VLOOKUP(TEXT(A8,"yy-mm")&amp;"-"&amp;IF(AND(WEEKDAY(A8)&gt;1,WEEKDAY(A8)&lt;7),"Wkd",TEXT(A8,"Ddd"))&amp;"-"&amp;TEXT(A8,"hh"),LoadTable[],3,FALSE)*0.92</f>
        <v>279.25312000000002</v>
      </c>
      <c r="U8" s="113">
        <f t="shared" si="5"/>
        <v>27.925312000000002</v>
      </c>
    </row>
    <row r="9" spans="1:24" ht="15" thickBot="1">
      <c r="A9" s="29">
        <f t="shared" si="0"/>
        <v>45836.250000001965</v>
      </c>
      <c r="B9" s="187">
        <f t="shared" ref="B9:L9" si="10">B33</f>
        <v>8000</v>
      </c>
      <c r="C9" s="187">
        <f t="shared" si="10"/>
        <v>25000</v>
      </c>
      <c r="D9" s="187">
        <v>0</v>
      </c>
      <c r="E9" s="187">
        <v>700</v>
      </c>
      <c r="F9" s="187">
        <v>15000</v>
      </c>
      <c r="G9" s="187">
        <f t="shared" si="10"/>
        <v>2400</v>
      </c>
      <c r="H9" s="187">
        <f t="shared" si="10"/>
        <v>25000</v>
      </c>
      <c r="I9" s="187">
        <f t="shared" si="10"/>
        <v>8000</v>
      </c>
      <c r="J9" s="187">
        <v>40000</v>
      </c>
      <c r="K9" s="187">
        <f t="shared" si="10"/>
        <v>8000</v>
      </c>
      <c r="L9" s="187">
        <v>40000</v>
      </c>
      <c r="M9" s="110">
        <v>9.5</v>
      </c>
      <c r="N9" s="110">
        <f>VLOOKUP(DATE(YEAR(A9),MONTH(A9),DAY(A9)),FY24_Temp[],3,FALSE)</f>
        <v>12.8</v>
      </c>
      <c r="O9" s="110">
        <f t="shared" si="3"/>
        <v>11.5</v>
      </c>
      <c r="P9" s="110">
        <f t="shared" si="4"/>
        <v>19.5</v>
      </c>
      <c r="Q9" s="111">
        <f>VLOOKUP(VLOOKUP(DATEVALUE(TEXT(A9,"m/d/yyyy")),FY24_Temp[],5,FALSE)&amp;TEXT(A9,"-h"),TempDelta[],4,FALSE)</f>
        <v>2.7405714307512556</v>
      </c>
      <c r="R9" s="112">
        <v>10</v>
      </c>
      <c r="S9" s="112">
        <v>1500</v>
      </c>
      <c r="T9" s="99">
        <f>VLOOKUP(TEXT(A9,"yy-mm")&amp;"-"&amp;IF(AND(WEEKDAY(A9)&gt;1,WEEKDAY(A9)&lt;7),"Wkd",TEXT(A9,"Ddd"))&amp;"-"&amp;TEXT(A9,"hh"),LoadTable[],3,FALSE)*0.92</f>
        <v>279.25312000000002</v>
      </c>
      <c r="U9" s="113">
        <f t="shared" si="5"/>
        <v>27.925312000000002</v>
      </c>
    </row>
    <row r="10" spans="1:24" ht="15" thickBot="1">
      <c r="A10" s="29">
        <f t="shared" si="0"/>
        <v>45836.291666668629</v>
      </c>
      <c r="B10" s="187">
        <f t="shared" ref="B10:L10" si="11">B34</f>
        <v>8000</v>
      </c>
      <c r="C10" s="187">
        <f t="shared" si="11"/>
        <v>25000</v>
      </c>
      <c r="D10" s="187">
        <v>0</v>
      </c>
      <c r="E10" s="187">
        <v>700</v>
      </c>
      <c r="F10" s="187">
        <v>15000</v>
      </c>
      <c r="G10" s="187">
        <f t="shared" si="11"/>
        <v>2400</v>
      </c>
      <c r="H10" s="187">
        <f t="shared" si="11"/>
        <v>25000</v>
      </c>
      <c r="I10" s="187">
        <f t="shared" si="11"/>
        <v>8000</v>
      </c>
      <c r="J10" s="187">
        <v>40000</v>
      </c>
      <c r="K10" s="187">
        <f t="shared" si="11"/>
        <v>8000</v>
      </c>
      <c r="L10" s="187">
        <v>40000</v>
      </c>
      <c r="M10" s="110">
        <v>9.5</v>
      </c>
      <c r="N10" s="110">
        <f>VLOOKUP(DATE(YEAR(A10),MONTH(A10),DAY(A10)),FY24_Temp[],3,FALSE)</f>
        <v>12.8</v>
      </c>
      <c r="O10" s="110">
        <f t="shared" si="3"/>
        <v>11.5</v>
      </c>
      <c r="P10" s="110">
        <f t="shared" si="4"/>
        <v>19.5</v>
      </c>
      <c r="Q10" s="111">
        <f>VLOOKUP(VLOOKUP(DATEVALUE(TEXT(A10,"m/d/yyyy")),FY24_Temp[],5,FALSE)&amp;TEXT(A10,"-h"),TempDelta[],4,FALSE)</f>
        <v>2.6134285245622908</v>
      </c>
      <c r="R10" s="112">
        <v>10</v>
      </c>
      <c r="S10" s="112">
        <v>1500</v>
      </c>
      <c r="T10" s="99">
        <f>VLOOKUP(TEXT(A10,"yy-mm")&amp;"-"&amp;IF(AND(WEEKDAY(A10)&gt;1,WEEKDAY(A10)&lt;7),"Wkd",TEXT(A10,"Ddd"))&amp;"-"&amp;TEXT(A10,"hh"),LoadTable[],3,FALSE)*0.92</f>
        <v>279.25312000000002</v>
      </c>
      <c r="U10" s="113">
        <f t="shared" si="5"/>
        <v>27.925312000000002</v>
      </c>
    </row>
    <row r="11" spans="1:24" ht="15" thickBot="1">
      <c r="A11" s="29">
        <f t="shared" si="0"/>
        <v>45836.333333335293</v>
      </c>
      <c r="B11" s="187">
        <f t="shared" ref="B11:L11" si="12">B35</f>
        <v>8000</v>
      </c>
      <c r="C11" s="187">
        <f t="shared" si="12"/>
        <v>25000</v>
      </c>
      <c r="D11" s="187">
        <v>0</v>
      </c>
      <c r="E11" s="187">
        <v>700</v>
      </c>
      <c r="F11" s="187">
        <v>15000</v>
      </c>
      <c r="G11" s="187">
        <f t="shared" si="12"/>
        <v>2400</v>
      </c>
      <c r="H11" s="187">
        <f t="shared" si="12"/>
        <v>25000</v>
      </c>
      <c r="I11" s="187">
        <f t="shared" si="12"/>
        <v>8000</v>
      </c>
      <c r="J11" s="187">
        <v>40000</v>
      </c>
      <c r="K11" s="187">
        <f t="shared" si="12"/>
        <v>8000</v>
      </c>
      <c r="L11" s="187">
        <v>40000</v>
      </c>
      <c r="M11" s="110">
        <v>9.5</v>
      </c>
      <c r="N11" s="110">
        <f>VLOOKUP(DATE(YEAR(A11),MONTH(A11),DAY(A11)),FY24_Temp[],3,FALSE)</f>
        <v>12.8</v>
      </c>
      <c r="O11" s="110">
        <f t="shared" si="3"/>
        <v>11.5</v>
      </c>
      <c r="P11" s="110">
        <f t="shared" si="4"/>
        <v>19.5</v>
      </c>
      <c r="Q11" s="111">
        <f>VLOOKUP(VLOOKUP(DATEVALUE(TEXT(A11,"m/d/yyyy")),FY24_Temp[],5,FALSE)&amp;TEXT(A11,"-h"),TempDelta[],4,FALSE)</f>
        <v>2.44985716683524</v>
      </c>
      <c r="R11" s="112">
        <v>10</v>
      </c>
      <c r="S11" s="112">
        <v>1500</v>
      </c>
      <c r="T11" s="99">
        <f>VLOOKUP(TEXT(A11,"yy-mm")&amp;"-"&amp;IF(AND(WEEKDAY(A11)&gt;1,WEEKDAY(A11)&lt;7),"Wkd",TEXT(A11,"Ddd"))&amp;"-"&amp;TEXT(A11,"hh"),LoadTable[],3,FALSE)*0.92</f>
        <v>279.25312000000002</v>
      </c>
      <c r="U11" s="113">
        <f t="shared" si="5"/>
        <v>27.925312000000002</v>
      </c>
    </row>
    <row r="12" spans="1:24" ht="15" thickBot="1">
      <c r="A12" s="29">
        <f t="shared" si="0"/>
        <v>45836.375000001957</v>
      </c>
      <c r="B12" s="187">
        <f t="shared" ref="B12:L12" si="13">B36</f>
        <v>8000</v>
      </c>
      <c r="C12" s="187">
        <f t="shared" si="13"/>
        <v>25000</v>
      </c>
      <c r="D12" s="187">
        <v>0</v>
      </c>
      <c r="E12" s="187">
        <v>700</v>
      </c>
      <c r="F12" s="187">
        <v>15000</v>
      </c>
      <c r="G12" s="187">
        <f t="shared" si="13"/>
        <v>2400</v>
      </c>
      <c r="H12" s="187">
        <f t="shared" si="13"/>
        <v>25000</v>
      </c>
      <c r="I12" s="187">
        <f t="shared" si="13"/>
        <v>8000</v>
      </c>
      <c r="J12" s="187">
        <v>40000</v>
      </c>
      <c r="K12" s="187">
        <f t="shared" si="13"/>
        <v>8000</v>
      </c>
      <c r="L12" s="187">
        <v>40000</v>
      </c>
      <c r="M12" s="110">
        <v>9.5</v>
      </c>
      <c r="N12" s="110">
        <f>VLOOKUP(DATE(YEAR(A12),MONTH(A12),DAY(A12)),FY24_Temp[],3,FALSE)</f>
        <v>12.8</v>
      </c>
      <c r="O12" s="110">
        <f t="shared" si="3"/>
        <v>11.5</v>
      </c>
      <c r="P12" s="110">
        <f t="shared" si="4"/>
        <v>19.5</v>
      </c>
      <c r="Q12" s="111">
        <f>VLOOKUP(VLOOKUP(DATEVALUE(TEXT(A12,"m/d/yyyy")),FY24_Temp[],5,FALSE)&amp;TEXT(A12,"-h"),TempDelta[],4,FALSE)</f>
        <v>2.2458571025303433</v>
      </c>
      <c r="R12" s="112">
        <v>10</v>
      </c>
      <c r="S12" s="112">
        <v>1500</v>
      </c>
      <c r="T12" s="99">
        <f>VLOOKUP(TEXT(A12,"yy-mm")&amp;"-"&amp;IF(AND(WEEKDAY(A12)&gt;1,WEEKDAY(A12)&lt;7),"Wkd",TEXT(A12,"Ddd"))&amp;"-"&amp;TEXT(A12,"hh"),LoadTable[],3,FALSE)*0.92</f>
        <v>279.25312000000002</v>
      </c>
      <c r="U12" s="113">
        <f t="shared" si="5"/>
        <v>27.925312000000002</v>
      </c>
    </row>
    <row r="13" spans="1:24" ht="15" thickBot="1">
      <c r="A13" s="29">
        <f t="shared" si="0"/>
        <v>45836.416666668621</v>
      </c>
      <c r="B13" s="187">
        <f t="shared" ref="B13:L13" si="14">B37</f>
        <v>8000</v>
      </c>
      <c r="C13" s="187">
        <f t="shared" si="14"/>
        <v>25000</v>
      </c>
      <c r="D13" s="187">
        <v>0</v>
      </c>
      <c r="E13" s="187">
        <v>700</v>
      </c>
      <c r="F13" s="187">
        <v>15000</v>
      </c>
      <c r="G13" s="187">
        <f t="shared" si="14"/>
        <v>2400</v>
      </c>
      <c r="H13" s="187">
        <f t="shared" si="14"/>
        <v>25000</v>
      </c>
      <c r="I13" s="187">
        <f t="shared" si="14"/>
        <v>8000</v>
      </c>
      <c r="J13" s="187">
        <v>40000</v>
      </c>
      <c r="K13" s="187">
        <f t="shared" si="14"/>
        <v>8000</v>
      </c>
      <c r="L13" s="187">
        <v>40000</v>
      </c>
      <c r="M13" s="110">
        <v>9.5</v>
      </c>
      <c r="N13" s="110">
        <f>VLOOKUP(DATE(YEAR(A13),MONTH(A13),DAY(A13)),FY24_Temp[],3,FALSE)</f>
        <v>12.8</v>
      </c>
      <c r="O13" s="110">
        <f t="shared" si="3"/>
        <v>11.5</v>
      </c>
      <c r="P13" s="110">
        <f t="shared" si="4"/>
        <v>19.5</v>
      </c>
      <c r="Q13" s="111">
        <f>VLOOKUP(VLOOKUP(DATEVALUE(TEXT(A13,"m/d/yyyy")),FY24_Temp[],5,FALSE)&amp;TEXT(A13,"-h"),TempDelta[],4,FALSE)</f>
        <v>2.0832857234137401</v>
      </c>
      <c r="R13" s="112">
        <v>10</v>
      </c>
      <c r="S13" s="112">
        <v>1500</v>
      </c>
      <c r="T13" s="99">
        <f>VLOOKUP(TEXT(A13,"yy-mm")&amp;"-"&amp;IF(AND(WEEKDAY(A13)&gt;1,WEEKDAY(A13)&lt;7),"Wkd",TEXT(A13,"Ddd"))&amp;"-"&amp;TEXT(A13,"hh"),LoadTable[],3,FALSE)*0.92</f>
        <v>279.25312000000002</v>
      </c>
      <c r="U13" s="113">
        <f t="shared" si="5"/>
        <v>27.925312000000002</v>
      </c>
    </row>
    <row r="14" spans="1:24" ht="15" thickBot="1">
      <c r="A14" s="29">
        <f t="shared" si="0"/>
        <v>45836.458333335286</v>
      </c>
      <c r="B14" s="187">
        <f t="shared" ref="B14:L14" si="15">B38</f>
        <v>8000</v>
      </c>
      <c r="C14" s="187">
        <f t="shared" si="15"/>
        <v>25000</v>
      </c>
      <c r="D14" s="187">
        <v>0</v>
      </c>
      <c r="E14" s="187">
        <v>700</v>
      </c>
      <c r="F14" s="187">
        <v>15000</v>
      </c>
      <c r="G14" s="187">
        <f t="shared" si="15"/>
        <v>2400</v>
      </c>
      <c r="H14" s="187">
        <f t="shared" si="15"/>
        <v>25000</v>
      </c>
      <c r="I14" s="187">
        <f t="shared" si="15"/>
        <v>8000</v>
      </c>
      <c r="J14" s="187">
        <v>40000</v>
      </c>
      <c r="K14" s="187">
        <f t="shared" si="15"/>
        <v>8000</v>
      </c>
      <c r="L14" s="187">
        <v>40000</v>
      </c>
      <c r="M14" s="110">
        <v>9.5</v>
      </c>
      <c r="N14" s="110">
        <f>VLOOKUP(DATE(YEAR(A14),MONTH(A14),DAY(A14)),FY24_Temp[],3,FALSE)</f>
        <v>12.8</v>
      </c>
      <c r="O14" s="110">
        <f t="shared" si="3"/>
        <v>11.5</v>
      </c>
      <c r="P14" s="110">
        <f t="shared" si="4"/>
        <v>19.5</v>
      </c>
      <c r="Q14" s="111">
        <f>VLOOKUP(VLOOKUP(DATEVALUE(TEXT(A14,"m/d/yyyy")),FY24_Temp[],5,FALSE)&amp;TEXT(A14,"-h"),TempDelta[],4,FALSE)</f>
        <v>1.8928571258272444</v>
      </c>
      <c r="R14" s="112">
        <v>10</v>
      </c>
      <c r="S14" s="112">
        <v>1500</v>
      </c>
      <c r="T14" s="99">
        <f>VLOOKUP(TEXT(A14,"yy-mm")&amp;"-"&amp;IF(AND(WEEKDAY(A14)&gt;1,WEEKDAY(A14)&lt;7),"Wkd",TEXT(A14,"Ddd"))&amp;"-"&amp;TEXT(A14,"hh"),LoadTable[],3,FALSE)*0.92</f>
        <v>279.25312000000002</v>
      </c>
      <c r="U14" s="113">
        <f t="shared" si="5"/>
        <v>27.925312000000002</v>
      </c>
    </row>
    <row r="15" spans="1:24" ht="15" thickBot="1">
      <c r="A15" s="29">
        <f t="shared" si="0"/>
        <v>45836.50000000195</v>
      </c>
      <c r="B15" s="187">
        <f t="shared" ref="B15:L15" si="16">B39</f>
        <v>8000</v>
      </c>
      <c r="C15" s="187">
        <f t="shared" si="16"/>
        <v>25000</v>
      </c>
      <c r="D15" s="187">
        <v>0</v>
      </c>
      <c r="E15" s="187">
        <v>700</v>
      </c>
      <c r="F15" s="187">
        <v>15000</v>
      </c>
      <c r="G15" s="187">
        <f t="shared" si="16"/>
        <v>2400</v>
      </c>
      <c r="H15" s="187">
        <f t="shared" si="16"/>
        <v>25000</v>
      </c>
      <c r="I15" s="187">
        <f t="shared" si="16"/>
        <v>8000</v>
      </c>
      <c r="J15" s="187">
        <v>40000</v>
      </c>
      <c r="K15" s="187">
        <f t="shared" si="16"/>
        <v>8000</v>
      </c>
      <c r="L15" s="187">
        <v>40000</v>
      </c>
      <c r="M15" s="110">
        <v>9.5</v>
      </c>
      <c r="N15" s="110">
        <f>VLOOKUP(DATE(YEAR(A15),MONTH(A15),DAY(A15)),FY24_Temp[],3,FALSE)</f>
        <v>12.8</v>
      </c>
      <c r="O15" s="110">
        <f t="shared" si="3"/>
        <v>11.5</v>
      </c>
      <c r="P15" s="110">
        <f t="shared" si="4"/>
        <v>19.5</v>
      </c>
      <c r="Q15" s="111">
        <f>VLOOKUP(VLOOKUP(DATEVALUE(TEXT(A15,"m/d/yyyy")),FY24_Temp[],5,FALSE)&amp;TEXT(A15,"-h"),TempDelta[],4,FALSE)</f>
        <v>1.665857127734593</v>
      </c>
      <c r="R15" s="112">
        <v>10</v>
      </c>
      <c r="S15" s="112">
        <v>1500</v>
      </c>
      <c r="T15" s="99">
        <f>VLOOKUP(TEXT(A15,"yy-mm")&amp;"-"&amp;IF(AND(WEEKDAY(A15)&gt;1,WEEKDAY(A15)&lt;7),"Wkd",TEXT(A15,"Ddd"))&amp;"-"&amp;TEXT(A15,"hh"),LoadTable[],3,FALSE)*0.92</f>
        <v>279.25312000000002</v>
      </c>
      <c r="U15" s="113">
        <f t="shared" si="5"/>
        <v>27.925312000000002</v>
      </c>
    </row>
    <row r="16" spans="1:24" ht="15" thickBot="1">
      <c r="A16" s="29">
        <f t="shared" si="0"/>
        <v>45836.541666668614</v>
      </c>
      <c r="B16" s="187">
        <f t="shared" ref="B16:L16" si="17">B40</f>
        <v>8000</v>
      </c>
      <c r="C16" s="187">
        <f t="shared" si="17"/>
        <v>25000</v>
      </c>
      <c r="D16" s="187">
        <v>0</v>
      </c>
      <c r="E16" s="187">
        <v>700</v>
      </c>
      <c r="F16" s="187">
        <v>15000</v>
      </c>
      <c r="G16" s="187">
        <f t="shared" si="17"/>
        <v>2400</v>
      </c>
      <c r="H16" s="187">
        <f t="shared" si="17"/>
        <v>25000</v>
      </c>
      <c r="I16" s="187">
        <f t="shared" si="17"/>
        <v>8000</v>
      </c>
      <c r="J16" s="187">
        <v>40000</v>
      </c>
      <c r="K16" s="187">
        <f t="shared" si="17"/>
        <v>8000</v>
      </c>
      <c r="L16" s="187">
        <v>40000</v>
      </c>
      <c r="M16" s="110">
        <v>9.5</v>
      </c>
      <c r="N16" s="110">
        <f>VLOOKUP(DATE(YEAR(A16),MONTH(A16),DAY(A16)),FY24_Temp[],3,FALSE)</f>
        <v>12.8</v>
      </c>
      <c r="O16" s="110">
        <f t="shared" si="3"/>
        <v>11.5</v>
      </c>
      <c r="P16" s="110">
        <f t="shared" si="4"/>
        <v>19.5</v>
      </c>
      <c r="Q16" s="111">
        <f>VLOOKUP(VLOOKUP(DATEVALUE(TEXT(A16,"m/d/yyyy")),FY24_Temp[],5,FALSE)&amp;TEXT(A16,"-h"),TempDelta[],4,FALSE)</f>
        <v>1.4252856969833374</v>
      </c>
      <c r="R16" s="112">
        <v>10</v>
      </c>
      <c r="S16" s="112">
        <v>1500</v>
      </c>
      <c r="T16" s="99">
        <f>VLOOKUP(TEXT(A16,"yy-mm")&amp;"-"&amp;IF(AND(WEEKDAY(A16)&gt;1,WEEKDAY(A16)&lt;7),"Wkd",TEXT(A16,"Ddd"))&amp;"-"&amp;TEXT(A16,"hh"),LoadTable[],3,FALSE)*0.92</f>
        <v>279.25312000000002</v>
      </c>
      <c r="U16" s="113">
        <f t="shared" si="5"/>
        <v>27.925312000000002</v>
      </c>
    </row>
    <row r="17" spans="1:21" ht="15" thickBot="1">
      <c r="A17" s="29">
        <f t="shared" si="0"/>
        <v>45836.583333335278</v>
      </c>
      <c r="B17" s="187">
        <f t="shared" ref="B17:L17" si="18">B41</f>
        <v>8000</v>
      </c>
      <c r="C17" s="187">
        <f t="shared" si="18"/>
        <v>25000</v>
      </c>
      <c r="D17" s="187">
        <v>0</v>
      </c>
      <c r="E17" s="187">
        <v>700</v>
      </c>
      <c r="F17" s="187">
        <v>15000</v>
      </c>
      <c r="G17" s="187">
        <f t="shared" si="18"/>
        <v>2400</v>
      </c>
      <c r="H17" s="187">
        <f t="shared" si="18"/>
        <v>25000</v>
      </c>
      <c r="I17" s="187">
        <f t="shared" si="18"/>
        <v>8000</v>
      </c>
      <c r="J17" s="187">
        <v>40000</v>
      </c>
      <c r="K17" s="187">
        <f t="shared" si="18"/>
        <v>8000</v>
      </c>
      <c r="L17" s="187">
        <v>40000</v>
      </c>
      <c r="M17" s="110">
        <v>9.5</v>
      </c>
      <c r="N17" s="110">
        <f>VLOOKUP(DATE(YEAR(A17),MONTH(A17),DAY(A17)),FY24_Temp[],3,FALSE)</f>
        <v>12.8</v>
      </c>
      <c r="O17" s="110">
        <f t="shared" si="3"/>
        <v>11.5</v>
      </c>
      <c r="P17" s="110">
        <f t="shared" si="4"/>
        <v>19.5</v>
      </c>
      <c r="Q17" s="111">
        <f>VLOOKUP(VLOOKUP(DATEVALUE(TEXT(A17,"m/d/yyyy")),FY24_Temp[],5,FALSE)&amp;TEXT(A17,"-h"),TempDelta[],4,FALSE)</f>
        <v>1.2351428781236922</v>
      </c>
      <c r="R17" s="112">
        <v>10</v>
      </c>
      <c r="S17" s="112">
        <v>1500</v>
      </c>
      <c r="T17" s="99">
        <f>VLOOKUP(TEXT(A17,"yy-mm")&amp;"-"&amp;IF(AND(WEEKDAY(A17)&gt;1,WEEKDAY(A17)&lt;7),"Wkd",TEXT(A17,"Ddd"))&amp;"-"&amp;TEXT(A17,"hh"),LoadTable[],3,FALSE)*0.92</f>
        <v>279.25312000000002</v>
      </c>
      <c r="U17" s="113">
        <f t="shared" si="5"/>
        <v>27.925312000000002</v>
      </c>
    </row>
    <row r="18" spans="1:21" ht="15" thickBot="1">
      <c r="A18" s="29">
        <f t="shared" si="0"/>
        <v>45836.625000001943</v>
      </c>
      <c r="B18" s="187">
        <f t="shared" ref="B18:L18" si="19">B42</f>
        <v>8000</v>
      </c>
      <c r="C18" s="187">
        <f t="shared" si="19"/>
        <v>25000</v>
      </c>
      <c r="D18" s="187">
        <v>0</v>
      </c>
      <c r="E18" s="187">
        <v>700</v>
      </c>
      <c r="F18" s="187">
        <v>15000</v>
      </c>
      <c r="G18" s="187">
        <f t="shared" si="19"/>
        <v>2400</v>
      </c>
      <c r="H18" s="187">
        <f t="shared" si="19"/>
        <v>25000</v>
      </c>
      <c r="I18" s="187">
        <f t="shared" si="19"/>
        <v>8000</v>
      </c>
      <c r="J18" s="187">
        <v>40000</v>
      </c>
      <c r="K18" s="187">
        <f t="shared" si="19"/>
        <v>8000</v>
      </c>
      <c r="L18" s="187">
        <v>40000</v>
      </c>
      <c r="M18" s="110">
        <v>9.5</v>
      </c>
      <c r="N18" s="110">
        <f>VLOOKUP(DATE(YEAR(A18),MONTH(A18),DAY(A18)),FY24_Temp[],3,FALSE)</f>
        <v>12.8</v>
      </c>
      <c r="O18" s="110">
        <f t="shared" si="3"/>
        <v>11.5</v>
      </c>
      <c r="P18" s="110">
        <f t="shared" si="4"/>
        <v>19.5</v>
      </c>
      <c r="Q18" s="111">
        <f>VLOOKUP(VLOOKUP(DATEVALUE(TEXT(A18,"m/d/yyyy")),FY24_Temp[],5,FALSE)&amp;TEXT(A18,"-h"),TempDelta[],4,FALSE)</f>
        <v>0.97514284508568905</v>
      </c>
      <c r="R18" s="112">
        <v>10</v>
      </c>
      <c r="S18" s="112">
        <v>1500</v>
      </c>
      <c r="T18" s="99">
        <f>VLOOKUP(TEXT(A18,"yy-mm")&amp;"-"&amp;IF(AND(WEEKDAY(A18)&gt;1,WEEKDAY(A18)&lt;7),"Wkd",TEXT(A18,"Ddd"))&amp;"-"&amp;TEXT(A18,"hh"),LoadTable[],3,FALSE)*0.92</f>
        <v>400.56064000000003</v>
      </c>
      <c r="U18" s="113">
        <f t="shared" si="5"/>
        <v>40.056064000000006</v>
      </c>
    </row>
    <row r="19" spans="1:21" ht="15" thickBot="1">
      <c r="A19" s="29">
        <f t="shared" si="0"/>
        <v>45836.666666668607</v>
      </c>
      <c r="B19" s="187">
        <f t="shared" ref="B19:L19" si="20">B43</f>
        <v>8000</v>
      </c>
      <c r="C19" s="187">
        <f t="shared" si="20"/>
        <v>25000</v>
      </c>
      <c r="D19" s="187">
        <v>0</v>
      </c>
      <c r="E19" s="187">
        <v>700</v>
      </c>
      <c r="F19" s="187">
        <v>15000</v>
      </c>
      <c r="G19" s="187">
        <f t="shared" si="20"/>
        <v>2400</v>
      </c>
      <c r="H19" s="187">
        <f t="shared" si="20"/>
        <v>25000</v>
      </c>
      <c r="I19" s="187">
        <f t="shared" si="20"/>
        <v>8000</v>
      </c>
      <c r="J19" s="187">
        <v>40000</v>
      </c>
      <c r="K19" s="187">
        <f t="shared" si="20"/>
        <v>8000</v>
      </c>
      <c r="L19" s="187">
        <v>40000</v>
      </c>
      <c r="M19" s="110">
        <v>9.5</v>
      </c>
      <c r="N19" s="110">
        <f>VLOOKUP(DATE(YEAR(A19),MONTH(A19),DAY(A19)),FY24_Temp[],3,FALSE)</f>
        <v>12.8</v>
      </c>
      <c r="O19" s="110">
        <f t="shared" si="3"/>
        <v>11.5</v>
      </c>
      <c r="P19" s="110">
        <f t="shared" si="4"/>
        <v>19.5</v>
      </c>
      <c r="Q19" s="111">
        <f>VLOOKUP(VLOOKUP(DATEVALUE(TEXT(A19,"m/d/yyyy")),FY24_Temp[],5,FALSE)&amp;TEXT(A19,"-h"),TempDelta[],4,FALSE)</f>
        <v>0.88578571166310993</v>
      </c>
      <c r="R19" s="112">
        <v>10</v>
      </c>
      <c r="S19" s="112">
        <v>1500</v>
      </c>
      <c r="T19" s="99">
        <f>VLOOKUP(TEXT(A19,"yy-mm")&amp;"-"&amp;IF(AND(WEEKDAY(A19)&gt;1,WEEKDAY(A19)&lt;7),"Wkd",TEXT(A19,"Ddd"))&amp;"-"&amp;TEXT(A19,"hh"),LoadTable[],3,FALSE)*0.92</f>
        <v>447.97376000000003</v>
      </c>
      <c r="U19" s="113">
        <f t="shared" si="5"/>
        <v>44.797376</v>
      </c>
    </row>
    <row r="20" spans="1:21" ht="15" thickBot="1">
      <c r="A20" s="29">
        <f t="shared" si="0"/>
        <v>45836.708333335271</v>
      </c>
      <c r="B20" s="187">
        <f t="shared" ref="B20:L20" si="21">B44</f>
        <v>8000</v>
      </c>
      <c r="C20" s="187">
        <f t="shared" si="21"/>
        <v>25000</v>
      </c>
      <c r="D20" s="187">
        <v>0</v>
      </c>
      <c r="E20" s="187">
        <v>700</v>
      </c>
      <c r="F20" s="187">
        <v>15000</v>
      </c>
      <c r="G20" s="187">
        <f t="shared" si="21"/>
        <v>2400</v>
      </c>
      <c r="H20" s="187">
        <f t="shared" si="21"/>
        <v>25000</v>
      </c>
      <c r="I20" s="187">
        <f t="shared" si="21"/>
        <v>8000</v>
      </c>
      <c r="J20" s="187">
        <v>40000</v>
      </c>
      <c r="K20" s="187">
        <f t="shared" si="21"/>
        <v>8000</v>
      </c>
      <c r="L20" s="187">
        <v>40000</v>
      </c>
      <c r="M20" s="110">
        <v>9.5</v>
      </c>
      <c r="N20" s="110">
        <f>VLOOKUP(DATE(YEAR(A20),MONTH(A20),DAY(A20)),FY24_Temp[],3,FALSE)</f>
        <v>12.8</v>
      </c>
      <c r="O20" s="110">
        <f t="shared" si="3"/>
        <v>11.5</v>
      </c>
      <c r="P20" s="110">
        <f t="shared" si="4"/>
        <v>19.5</v>
      </c>
      <c r="Q20" s="111">
        <f>VLOOKUP(VLOOKUP(DATEVALUE(TEXT(A20,"m/d/yyyy")),FY24_Temp[],5,FALSE)&amp;TEXT(A20,"-h"),TempDelta[],4,FALSE)</f>
        <v>1.0356428495475225</v>
      </c>
      <c r="R20" s="112">
        <v>10</v>
      </c>
      <c r="S20" s="112">
        <v>1500</v>
      </c>
      <c r="T20" s="99">
        <f>VLOOKUP(TEXT(A20,"yy-mm")&amp;"-"&amp;IF(AND(WEEKDAY(A20)&gt;1,WEEKDAY(A20)&lt;7),"Wkd",TEXT(A20,"Ddd"))&amp;"-"&amp;TEXT(A20,"hh"),LoadTable[],3,FALSE)*0.92</f>
        <v>494.57360000000006</v>
      </c>
      <c r="U20" s="113">
        <f t="shared" si="5"/>
        <v>49.457360000000008</v>
      </c>
    </row>
    <row r="21" spans="1:21" ht="15" thickBot="1">
      <c r="A21" s="29">
        <f t="shared" si="0"/>
        <v>45836.750000001935</v>
      </c>
      <c r="B21" s="187">
        <f t="shared" ref="B21:L21" si="22">B45</f>
        <v>5000</v>
      </c>
      <c r="C21" s="187">
        <f t="shared" si="22"/>
        <v>25000</v>
      </c>
      <c r="D21" s="187">
        <v>0</v>
      </c>
      <c r="E21" s="187">
        <v>700</v>
      </c>
      <c r="F21" s="187">
        <v>15000</v>
      </c>
      <c r="G21" s="187">
        <f t="shared" si="22"/>
        <v>2400</v>
      </c>
      <c r="H21" s="187">
        <f t="shared" si="22"/>
        <v>25000</v>
      </c>
      <c r="I21" s="187">
        <f t="shared" si="22"/>
        <v>5000</v>
      </c>
      <c r="J21" s="187">
        <v>40000</v>
      </c>
      <c r="K21" s="187">
        <f t="shared" si="22"/>
        <v>5000</v>
      </c>
      <c r="L21" s="187">
        <v>40000</v>
      </c>
      <c r="M21" s="110">
        <v>9.5</v>
      </c>
      <c r="N21" s="110">
        <f>VLOOKUP(DATE(YEAR(A21),MONTH(A21),DAY(A21)),FY24_Temp[],3,FALSE)</f>
        <v>12.8</v>
      </c>
      <c r="O21" s="110">
        <f t="shared" si="3"/>
        <v>11.5</v>
      </c>
      <c r="P21" s="110">
        <f t="shared" si="4"/>
        <v>19.5</v>
      </c>
      <c r="Q21" s="111">
        <f>VLOOKUP(VLOOKUP(DATEVALUE(TEXT(A21,"m/d/yyyy")),FY24_Temp[],5,FALSE)&amp;TEXT(A21,"-h"),TempDelta[],4,FALSE)</f>
        <v>1.3991428358214242</v>
      </c>
      <c r="R21" s="112">
        <v>10</v>
      </c>
      <c r="S21" s="112">
        <v>1500</v>
      </c>
      <c r="T21" s="99">
        <f>VLOOKUP(TEXT(A21,"yy-mm")&amp;"-"&amp;IF(AND(WEEKDAY(A21)&gt;1,WEEKDAY(A21)&lt;7),"Wkd",TEXT(A21,"Ddd"))&amp;"-"&amp;TEXT(A21,"hh"),LoadTable[],3,FALSE)*0.92</f>
        <v>494.57360000000006</v>
      </c>
      <c r="U21" s="113">
        <f t="shared" si="5"/>
        <v>49.457360000000008</v>
      </c>
    </row>
    <row r="22" spans="1:21" ht="15" thickBot="1">
      <c r="A22" s="29">
        <f t="shared" si="0"/>
        <v>45836.7916666686</v>
      </c>
      <c r="B22" s="187">
        <f t="shared" ref="B22:L22" si="23">B46</f>
        <v>5000</v>
      </c>
      <c r="C22" s="187">
        <f t="shared" si="23"/>
        <v>25000</v>
      </c>
      <c r="D22" s="187">
        <v>0</v>
      </c>
      <c r="E22" s="187">
        <v>700</v>
      </c>
      <c r="F22" s="187">
        <v>15000</v>
      </c>
      <c r="G22" s="187">
        <f t="shared" si="23"/>
        <v>2400</v>
      </c>
      <c r="H22" s="187">
        <f t="shared" si="23"/>
        <v>25000</v>
      </c>
      <c r="I22" s="187">
        <f t="shared" si="23"/>
        <v>5000</v>
      </c>
      <c r="J22" s="187">
        <v>40000</v>
      </c>
      <c r="K22" s="187">
        <f t="shared" si="23"/>
        <v>5000</v>
      </c>
      <c r="L22" s="187">
        <v>40000</v>
      </c>
      <c r="M22" s="110">
        <v>9.5</v>
      </c>
      <c r="N22" s="110">
        <f>VLOOKUP(DATE(YEAR(A22),MONTH(A22),DAY(A22)),FY24_Temp[],3,FALSE)</f>
        <v>12.8</v>
      </c>
      <c r="O22" s="110">
        <f t="shared" si="3"/>
        <v>11.5</v>
      </c>
      <c r="P22" s="110">
        <f t="shared" si="4"/>
        <v>19.5</v>
      </c>
      <c r="Q22" s="111">
        <f>VLOOKUP(VLOOKUP(DATEVALUE(TEXT(A22,"m/d/yyyy")),FY24_Temp[],5,FALSE)&amp;TEXT(A22,"-h"),TempDelta[],4,FALSE)</f>
        <v>1.8638571415628706</v>
      </c>
      <c r="R22" s="112">
        <v>10</v>
      </c>
      <c r="S22" s="112">
        <v>1500</v>
      </c>
      <c r="T22" s="99">
        <f>VLOOKUP(TEXT(A22,"yy-mm")&amp;"-"&amp;IF(AND(WEEKDAY(A22)&gt;1,WEEKDAY(A22)&lt;7),"Wkd",TEXT(A22,"Ddd"))&amp;"-"&amp;TEXT(A22,"hh"),LoadTable[],3,FALSE)*0.92</f>
        <v>494.57360000000006</v>
      </c>
      <c r="U22" s="113">
        <f t="shared" si="5"/>
        <v>49.457360000000008</v>
      </c>
    </row>
    <row r="23" spans="1:21" ht="15" thickBot="1">
      <c r="A23" s="29">
        <f t="shared" si="0"/>
        <v>45836.833333335264</v>
      </c>
      <c r="B23" s="187">
        <f t="shared" ref="B23:L23" si="24">B47</f>
        <v>5000</v>
      </c>
      <c r="C23" s="187">
        <f t="shared" si="24"/>
        <v>25000</v>
      </c>
      <c r="D23" s="187">
        <v>0</v>
      </c>
      <c r="E23" s="187">
        <v>700</v>
      </c>
      <c r="F23" s="187">
        <v>15000</v>
      </c>
      <c r="G23" s="187">
        <f t="shared" si="24"/>
        <v>2400</v>
      </c>
      <c r="H23" s="187">
        <f t="shared" si="24"/>
        <v>25000</v>
      </c>
      <c r="I23" s="187">
        <f t="shared" si="24"/>
        <v>5000</v>
      </c>
      <c r="J23" s="187">
        <v>40000</v>
      </c>
      <c r="K23" s="187">
        <f t="shared" si="24"/>
        <v>5000</v>
      </c>
      <c r="L23" s="187">
        <v>40000</v>
      </c>
      <c r="M23" s="110">
        <v>9.5</v>
      </c>
      <c r="N23" s="110">
        <f>VLOOKUP(DATE(YEAR(A23),MONTH(A23),DAY(A23)),FY24_Temp[],3,FALSE)</f>
        <v>12.8</v>
      </c>
      <c r="O23" s="110">
        <f t="shared" si="3"/>
        <v>11.5</v>
      </c>
      <c r="P23" s="110">
        <f t="shared" si="4"/>
        <v>19.5</v>
      </c>
      <c r="Q23" s="111">
        <f>VLOOKUP(VLOOKUP(DATEVALUE(TEXT(A23,"m/d/yyyy")),FY24_Temp[],5,FALSE)&amp;TEXT(A23,"-h"),TempDelta[],4,FALSE)</f>
        <v>2.300714305468968</v>
      </c>
      <c r="R23" s="112">
        <v>10</v>
      </c>
      <c r="S23" s="112">
        <v>1500</v>
      </c>
      <c r="T23" s="99">
        <f>VLOOKUP(TEXT(A23,"yy-mm")&amp;"-"&amp;IF(AND(WEEKDAY(A23)&gt;1,WEEKDAY(A23)&lt;7),"Wkd",TEXT(A23,"Ddd"))&amp;"-"&amp;TEXT(A23,"hh"),LoadTable[],3,FALSE)*0.92</f>
        <v>494.57360000000006</v>
      </c>
      <c r="U23" s="113">
        <f t="shared" si="5"/>
        <v>49.457360000000008</v>
      </c>
    </row>
    <row r="24" spans="1:21" ht="15" thickBot="1">
      <c r="A24" s="29">
        <f t="shared" si="0"/>
        <v>45836.875000001928</v>
      </c>
      <c r="B24" s="187">
        <f t="shared" ref="B24:L24" si="25">B48</f>
        <v>5000</v>
      </c>
      <c r="C24" s="187">
        <f t="shared" si="25"/>
        <v>25000</v>
      </c>
      <c r="D24" s="187">
        <v>0</v>
      </c>
      <c r="E24" s="187">
        <v>700</v>
      </c>
      <c r="F24" s="187">
        <v>15000</v>
      </c>
      <c r="G24" s="187">
        <f t="shared" si="25"/>
        <v>2400</v>
      </c>
      <c r="H24" s="187">
        <f t="shared" si="25"/>
        <v>25000</v>
      </c>
      <c r="I24" s="187">
        <f t="shared" si="25"/>
        <v>5000</v>
      </c>
      <c r="J24" s="187">
        <v>40000</v>
      </c>
      <c r="K24" s="187">
        <f t="shared" si="25"/>
        <v>5000</v>
      </c>
      <c r="L24" s="187">
        <v>40000</v>
      </c>
      <c r="M24" s="110">
        <v>9.5</v>
      </c>
      <c r="N24" s="110">
        <f>VLOOKUP(DATE(YEAR(A24),MONTH(A24),DAY(A24)),FY24_Temp[],3,FALSE)</f>
        <v>12.8</v>
      </c>
      <c r="O24" s="110">
        <f t="shared" si="3"/>
        <v>11.5</v>
      </c>
      <c r="P24" s="110">
        <f t="shared" si="4"/>
        <v>19.5</v>
      </c>
      <c r="Q24" s="111">
        <f>VLOOKUP(VLOOKUP(DATEVALUE(TEXT(A24,"m/d/yyyy")),FY24_Temp[],5,FALSE)&amp;TEXT(A24,"-h"),TempDelta[],4,FALSE)</f>
        <v>2.554214222090585</v>
      </c>
      <c r="R24" s="112">
        <v>10</v>
      </c>
      <c r="S24" s="112">
        <v>1500</v>
      </c>
      <c r="T24" s="99">
        <f>VLOOKUP(TEXT(A24,"yy-mm")&amp;"-"&amp;IF(AND(WEEKDAY(A24)&gt;1,WEEKDAY(A24)&lt;7),"Wkd",TEXT(A24,"Ddd"))&amp;"-"&amp;TEXT(A24,"hh"),LoadTable[],3,FALSE)*0.92</f>
        <v>494.57360000000006</v>
      </c>
      <c r="U24" s="113">
        <f t="shared" si="5"/>
        <v>49.457360000000008</v>
      </c>
    </row>
    <row r="25" spans="1:21" ht="15" thickBot="1">
      <c r="A25" s="29">
        <f t="shared" si="0"/>
        <v>45836.916666668592</v>
      </c>
      <c r="B25" s="187">
        <f t="shared" ref="B25:L25" si="26">B49</f>
        <v>5000</v>
      </c>
      <c r="C25" s="187">
        <f t="shared" si="26"/>
        <v>25000</v>
      </c>
      <c r="D25" s="187">
        <v>0</v>
      </c>
      <c r="E25" s="187">
        <v>700</v>
      </c>
      <c r="F25" s="187">
        <v>15000</v>
      </c>
      <c r="G25" s="187">
        <f t="shared" si="26"/>
        <v>2400</v>
      </c>
      <c r="H25" s="187">
        <f t="shared" si="26"/>
        <v>25000</v>
      </c>
      <c r="I25" s="187">
        <f t="shared" si="26"/>
        <v>5000</v>
      </c>
      <c r="J25" s="187">
        <v>40000</v>
      </c>
      <c r="K25" s="187">
        <f t="shared" si="26"/>
        <v>5000</v>
      </c>
      <c r="L25" s="187">
        <v>40000</v>
      </c>
      <c r="M25" s="110">
        <v>9.5</v>
      </c>
      <c r="N25" s="110">
        <f>VLOOKUP(DATE(YEAR(A25),MONTH(A25),DAY(A25)),FY24_Temp[],3,FALSE)</f>
        <v>12.8</v>
      </c>
      <c r="O25" s="110">
        <f t="shared" si="3"/>
        <v>11.5</v>
      </c>
      <c r="P25" s="110">
        <f t="shared" si="4"/>
        <v>19.5</v>
      </c>
      <c r="Q25" s="111">
        <f>VLOOKUP(VLOOKUP(DATEVALUE(TEXT(A25,"m/d/yyyy")),FY24_Temp[],5,FALSE)&amp;TEXT(A25,"-h"),TempDelta[],4,FALSE)</f>
        <v>2.7827142647334506</v>
      </c>
      <c r="R25" s="112">
        <v>10</v>
      </c>
      <c r="S25" s="112">
        <v>1500</v>
      </c>
      <c r="T25" s="99">
        <f>VLOOKUP(TEXT(A25,"yy-mm")&amp;"-"&amp;IF(AND(WEEKDAY(A25)&gt;1,WEEKDAY(A25)&lt;7),"Wkd",TEXT(A25,"Ddd"))&amp;"-"&amp;TEXT(A25,"hh"),LoadTable[],3,FALSE)*0.92</f>
        <v>418.75640000000004</v>
      </c>
      <c r="U25" s="113">
        <f t="shared" si="5"/>
        <v>41.875640000000004</v>
      </c>
    </row>
    <row r="26" spans="1:21" ht="15" thickBot="1">
      <c r="A26" s="29">
        <f t="shared" si="0"/>
        <v>45836.958333335257</v>
      </c>
      <c r="B26" s="187">
        <f t="shared" ref="B26:L26" si="27">B50</f>
        <v>5000</v>
      </c>
      <c r="C26" s="187">
        <f t="shared" si="27"/>
        <v>25000</v>
      </c>
      <c r="D26" s="187">
        <v>0</v>
      </c>
      <c r="E26" s="187">
        <v>700</v>
      </c>
      <c r="F26" s="187">
        <v>15000</v>
      </c>
      <c r="G26" s="187">
        <f t="shared" si="27"/>
        <v>2400</v>
      </c>
      <c r="H26" s="187">
        <f t="shared" si="27"/>
        <v>25000</v>
      </c>
      <c r="I26" s="187">
        <f t="shared" si="27"/>
        <v>5000</v>
      </c>
      <c r="J26" s="187">
        <v>40000</v>
      </c>
      <c r="K26" s="187">
        <f t="shared" si="27"/>
        <v>5000</v>
      </c>
      <c r="L26" s="187">
        <v>40000</v>
      </c>
      <c r="M26" s="110">
        <v>9.5</v>
      </c>
      <c r="N26" s="110">
        <f>VLOOKUP(DATE(YEAR(A26),MONTH(A26),DAY(A26)),FY24_Temp[],3,FALSE)</f>
        <v>12.8</v>
      </c>
      <c r="O26" s="110">
        <f t="shared" si="3"/>
        <v>11.5</v>
      </c>
      <c r="P26" s="110">
        <f t="shared" si="4"/>
        <v>19.5</v>
      </c>
      <c r="Q26" s="111">
        <f>VLOOKUP(VLOOKUP(DATEVALUE(TEXT(A26,"m/d/yyyy")),FY24_Temp[],5,FALSE)&amp;TEXT(A26,"-h"),TempDelta[],4,FALSE)</f>
        <v>2.8792857101985385</v>
      </c>
      <c r="R26" s="112">
        <v>10</v>
      </c>
      <c r="S26" s="112">
        <v>1500</v>
      </c>
      <c r="T26" s="99">
        <f>VLOOKUP(TEXT(A26,"yy-mm")&amp;"-"&amp;IF(AND(WEEKDAY(A26)&gt;1,WEEKDAY(A26)&lt;7),"Wkd",TEXT(A26,"Ddd"))&amp;"-"&amp;TEXT(A26,"hh"),LoadTable[],3,FALSE)*0.92</f>
        <v>342.93920000000003</v>
      </c>
      <c r="U26" s="113">
        <f t="shared" si="5"/>
        <v>34.29392</v>
      </c>
    </row>
    <row r="27" spans="1:21" ht="15" thickBot="1">
      <c r="A27" s="29">
        <f t="shared" si="0"/>
        <v>45837.000000001921</v>
      </c>
      <c r="B27" s="187">
        <f t="shared" ref="B27:L27" si="28">B51</f>
        <v>5000</v>
      </c>
      <c r="C27" s="187">
        <f t="shared" si="28"/>
        <v>25000</v>
      </c>
      <c r="D27" s="187">
        <v>0</v>
      </c>
      <c r="E27" s="187">
        <v>700</v>
      </c>
      <c r="F27" s="187">
        <v>15000</v>
      </c>
      <c r="G27" s="187">
        <f t="shared" si="28"/>
        <v>2400</v>
      </c>
      <c r="H27" s="187">
        <f t="shared" si="28"/>
        <v>25000</v>
      </c>
      <c r="I27" s="187">
        <f t="shared" si="28"/>
        <v>5000</v>
      </c>
      <c r="J27" s="187">
        <v>40000</v>
      </c>
      <c r="K27" s="187">
        <f t="shared" si="28"/>
        <v>5000</v>
      </c>
      <c r="L27" s="187">
        <v>40000</v>
      </c>
      <c r="M27" s="110">
        <v>9.5</v>
      </c>
      <c r="N27" s="110">
        <f>VLOOKUP(DATE(YEAR(A27),MONTH(A27),DAY(A27)),FY24_Temp[],3,FALSE)</f>
        <v>12.8</v>
      </c>
      <c r="O27" s="110">
        <f t="shared" si="3"/>
        <v>11.5</v>
      </c>
      <c r="P27" s="110">
        <f t="shared" si="4"/>
        <v>19.5</v>
      </c>
      <c r="Q27" s="111">
        <f>VLOOKUP(VLOOKUP(DATEVALUE(TEXT(A27,"m/d/yyyy")),FY24_Temp[],5,FALSE)&amp;TEXT(A27,"-h"),TempDelta[],4,FALSE)</f>
        <v>3.0441428933824812</v>
      </c>
      <c r="R27" s="112">
        <v>10</v>
      </c>
      <c r="S27" s="112">
        <v>1500</v>
      </c>
      <c r="T27" s="99">
        <f>VLOOKUP(TEXT(A27,"yy-mm")&amp;"-"&amp;IF(AND(WEEKDAY(A27)&gt;1,WEEKDAY(A27)&lt;7),"Wkd",TEXT(A27,"Ddd"))&amp;"-"&amp;TEXT(A27,"hh"),LoadTable[],3,FALSE)*0.92</f>
        <v>279.25312000000002</v>
      </c>
      <c r="U27" s="113">
        <f t="shared" si="5"/>
        <v>27.925312000000002</v>
      </c>
    </row>
    <row r="28" spans="1:21" ht="15" thickBot="1">
      <c r="A28" s="29">
        <f t="shared" si="0"/>
        <v>45837.041666668585</v>
      </c>
      <c r="B28" s="187">
        <f t="shared" ref="B28:L28" si="29">B52</f>
        <v>5000</v>
      </c>
      <c r="C28" s="187">
        <f t="shared" si="29"/>
        <v>25000</v>
      </c>
      <c r="D28" s="187">
        <v>0</v>
      </c>
      <c r="E28" s="187">
        <v>700</v>
      </c>
      <c r="F28" s="187">
        <v>15000</v>
      </c>
      <c r="G28" s="187">
        <f t="shared" si="29"/>
        <v>2400</v>
      </c>
      <c r="H28" s="187">
        <f t="shared" si="29"/>
        <v>25000</v>
      </c>
      <c r="I28" s="187">
        <f t="shared" si="29"/>
        <v>5000</v>
      </c>
      <c r="J28" s="187">
        <v>40000</v>
      </c>
      <c r="K28" s="187">
        <f t="shared" si="29"/>
        <v>5000</v>
      </c>
      <c r="L28" s="187">
        <v>40000</v>
      </c>
      <c r="M28" s="110">
        <v>9.5</v>
      </c>
      <c r="N28" s="110">
        <f>VLOOKUP(DATE(YEAR(A28),MONTH(A28),DAY(A28)),FY24_Temp[],3,FALSE)</f>
        <v>12.8</v>
      </c>
      <c r="O28" s="110">
        <f t="shared" si="3"/>
        <v>11.5</v>
      </c>
      <c r="P28" s="110">
        <f t="shared" si="4"/>
        <v>19.5</v>
      </c>
      <c r="Q28" s="111">
        <f>VLOOKUP(VLOOKUP(DATEVALUE(TEXT(A28,"m/d/yyyy")),FY24_Temp[],5,FALSE)&amp;TEXT(A28,"-h"),TempDelta[],4,FALSE)</f>
        <v>3.0992857047489712</v>
      </c>
      <c r="R28" s="112">
        <v>10</v>
      </c>
      <c r="S28" s="112">
        <v>1500</v>
      </c>
      <c r="T28" s="99">
        <f>VLOOKUP(TEXT(A28,"yy-mm")&amp;"-"&amp;IF(AND(WEEKDAY(A28)&gt;1,WEEKDAY(A28)&lt;7),"Wkd",TEXT(A28,"Ddd"))&amp;"-"&amp;TEXT(A28,"hh"),LoadTable[],3,FALSE)*0.92</f>
        <v>279.25312000000002</v>
      </c>
      <c r="U28" s="113">
        <f t="shared" si="5"/>
        <v>27.925312000000002</v>
      </c>
    </row>
    <row r="29" spans="1:21" ht="15" thickBot="1">
      <c r="A29" s="29">
        <f t="shared" si="0"/>
        <v>45837.083333335249</v>
      </c>
      <c r="B29" s="187">
        <f t="shared" ref="B29:L29" si="30">B53</f>
        <v>5000</v>
      </c>
      <c r="C29" s="187">
        <f t="shared" si="30"/>
        <v>25000</v>
      </c>
      <c r="D29" s="187">
        <v>0</v>
      </c>
      <c r="E29" s="187">
        <v>700</v>
      </c>
      <c r="F29" s="187">
        <v>15000</v>
      </c>
      <c r="G29" s="187">
        <f t="shared" si="30"/>
        <v>2400</v>
      </c>
      <c r="H29" s="187">
        <f t="shared" si="30"/>
        <v>25000</v>
      </c>
      <c r="I29" s="187">
        <f t="shared" si="30"/>
        <v>5000</v>
      </c>
      <c r="J29" s="187">
        <v>40000</v>
      </c>
      <c r="K29" s="187">
        <f t="shared" si="30"/>
        <v>5000</v>
      </c>
      <c r="L29" s="187">
        <v>40000</v>
      </c>
      <c r="M29" s="110">
        <v>9.5</v>
      </c>
      <c r="N29" s="110">
        <f>VLOOKUP(DATE(YEAR(A29),MONTH(A29),DAY(A29)),FY24_Temp[],3,FALSE)</f>
        <v>12.8</v>
      </c>
      <c r="O29" s="110">
        <f t="shared" si="3"/>
        <v>11.5</v>
      </c>
      <c r="P29" s="110">
        <f t="shared" si="4"/>
        <v>19.5</v>
      </c>
      <c r="Q29" s="111">
        <f>VLOOKUP(VLOOKUP(DATEVALUE(TEXT(A29,"m/d/yyyy")),FY24_Temp[],5,FALSE)&amp;TEXT(A29,"-h"),TempDelta[],4,FALSE)</f>
        <v>3.1050000190734863</v>
      </c>
      <c r="R29" s="112">
        <v>10</v>
      </c>
      <c r="S29" s="112">
        <v>1500</v>
      </c>
      <c r="T29" s="99">
        <f>VLOOKUP(TEXT(A29,"yy-mm")&amp;"-"&amp;IF(AND(WEEKDAY(A29)&gt;1,WEEKDAY(A29)&lt;7),"Wkd",TEXT(A29,"Ddd"))&amp;"-"&amp;TEXT(A29,"hh"),LoadTable[],3,FALSE)*0.92</f>
        <v>279.25312000000002</v>
      </c>
      <c r="U29" s="113">
        <f t="shared" si="5"/>
        <v>27.925312000000002</v>
      </c>
    </row>
    <row r="30" spans="1:21" ht="15" thickBot="1">
      <c r="A30" s="29">
        <f t="shared" si="0"/>
        <v>45837.125000001914</v>
      </c>
      <c r="B30" s="187">
        <f t="shared" ref="B30:L30" si="31">B54</f>
        <v>5000</v>
      </c>
      <c r="C30" s="187">
        <f t="shared" si="31"/>
        <v>25000</v>
      </c>
      <c r="D30" s="187">
        <v>0</v>
      </c>
      <c r="E30" s="187">
        <v>700</v>
      </c>
      <c r="F30" s="187">
        <v>15000</v>
      </c>
      <c r="G30" s="187">
        <f t="shared" si="31"/>
        <v>2400</v>
      </c>
      <c r="H30" s="187">
        <f t="shared" si="31"/>
        <v>25000</v>
      </c>
      <c r="I30" s="187">
        <f t="shared" si="31"/>
        <v>5000</v>
      </c>
      <c r="J30" s="187">
        <v>40000</v>
      </c>
      <c r="K30" s="187">
        <f t="shared" si="31"/>
        <v>5000</v>
      </c>
      <c r="L30" s="187">
        <v>40000</v>
      </c>
      <c r="M30" s="110">
        <v>9.5</v>
      </c>
      <c r="N30" s="110">
        <f>VLOOKUP(DATE(YEAR(A30),MONTH(A30),DAY(A30)),FY24_Temp[],3,FALSE)</f>
        <v>12.8</v>
      </c>
      <c r="O30" s="110">
        <f t="shared" si="3"/>
        <v>11.5</v>
      </c>
      <c r="P30" s="110">
        <f t="shared" si="4"/>
        <v>19.5</v>
      </c>
      <c r="Q30" s="111">
        <f>VLOOKUP(VLOOKUP(DATEVALUE(TEXT(A30,"m/d/yyyy")),FY24_Temp[],5,FALSE)&amp;TEXT(A30,"-h"),TempDelta[],4,FALSE)</f>
        <v>3.0428571701049805</v>
      </c>
      <c r="R30" s="112">
        <v>10</v>
      </c>
      <c r="S30" s="112">
        <v>1500</v>
      </c>
      <c r="T30" s="99">
        <f>VLOOKUP(TEXT(A30,"yy-mm")&amp;"-"&amp;IF(AND(WEEKDAY(A30)&gt;1,WEEKDAY(A30)&lt;7),"Wkd",TEXT(A30,"Ddd"))&amp;"-"&amp;TEXT(A30,"hh"),LoadTable[],3,FALSE)*0.92</f>
        <v>279.25312000000002</v>
      </c>
      <c r="U30" s="113">
        <f t="shared" si="5"/>
        <v>27.925312000000002</v>
      </c>
    </row>
    <row r="31" spans="1:21" ht="15" thickBot="1">
      <c r="A31" s="29">
        <f t="shared" si="0"/>
        <v>45837.166666668578</v>
      </c>
      <c r="B31" s="187">
        <f t="shared" ref="B31:L31" si="32">B55</f>
        <v>5000</v>
      </c>
      <c r="C31" s="187">
        <f t="shared" si="32"/>
        <v>25000</v>
      </c>
      <c r="D31" s="187">
        <v>0</v>
      </c>
      <c r="E31" s="187">
        <v>700</v>
      </c>
      <c r="F31" s="187">
        <v>15000</v>
      </c>
      <c r="G31" s="187">
        <f t="shared" si="32"/>
        <v>2400</v>
      </c>
      <c r="H31" s="187">
        <f t="shared" si="32"/>
        <v>25000</v>
      </c>
      <c r="I31" s="187">
        <f t="shared" si="32"/>
        <v>5000</v>
      </c>
      <c r="J31" s="187">
        <v>40000</v>
      </c>
      <c r="K31" s="187">
        <f t="shared" si="32"/>
        <v>5000</v>
      </c>
      <c r="L31" s="187">
        <v>40000</v>
      </c>
      <c r="M31" s="110">
        <v>9.5</v>
      </c>
      <c r="N31" s="110">
        <f>VLOOKUP(DATE(YEAR(A31),MONTH(A31),DAY(A31)),FY24_Temp[],3,FALSE)</f>
        <v>12.8</v>
      </c>
      <c r="O31" s="110">
        <f t="shared" si="3"/>
        <v>11.5</v>
      </c>
      <c r="P31" s="110">
        <f t="shared" si="4"/>
        <v>19.5</v>
      </c>
      <c r="Q31" s="111">
        <f>VLOOKUP(VLOOKUP(DATEVALUE(TEXT(A31,"m/d/yyyy")),FY24_Temp[],5,FALSE)&amp;TEXT(A31,"-h"),TempDelta[],4,FALSE)</f>
        <v>2.9580000468662808</v>
      </c>
      <c r="R31" s="112">
        <v>10</v>
      </c>
      <c r="S31" s="112">
        <v>1500</v>
      </c>
      <c r="T31" s="99">
        <f>VLOOKUP(TEXT(A31,"yy-mm")&amp;"-"&amp;IF(AND(WEEKDAY(A31)&gt;1,WEEKDAY(A31)&lt;7),"Wkd",TEXT(A31,"Ddd"))&amp;"-"&amp;TEXT(A31,"hh"),LoadTable[],3,FALSE)*0.92</f>
        <v>279.25312000000002</v>
      </c>
      <c r="U31" s="113">
        <f t="shared" si="5"/>
        <v>27.925312000000002</v>
      </c>
    </row>
    <row r="32" spans="1:21" ht="15" thickBot="1">
      <c r="A32" s="29">
        <f t="shared" si="0"/>
        <v>45837.208333335242</v>
      </c>
      <c r="B32" s="187">
        <f t="shared" ref="B32:L32" si="33">B56</f>
        <v>5000</v>
      </c>
      <c r="C32" s="187">
        <f t="shared" si="33"/>
        <v>25000</v>
      </c>
      <c r="D32" s="187">
        <v>0</v>
      </c>
      <c r="E32" s="187">
        <v>700</v>
      </c>
      <c r="F32" s="187">
        <v>15000</v>
      </c>
      <c r="G32" s="187">
        <f t="shared" si="33"/>
        <v>2400</v>
      </c>
      <c r="H32" s="187">
        <f t="shared" si="33"/>
        <v>25000</v>
      </c>
      <c r="I32" s="187">
        <f t="shared" si="33"/>
        <v>5000</v>
      </c>
      <c r="J32" s="187">
        <v>40000</v>
      </c>
      <c r="K32" s="187">
        <f t="shared" si="33"/>
        <v>5000</v>
      </c>
      <c r="L32" s="187">
        <v>40000</v>
      </c>
      <c r="M32" s="110">
        <v>9.5</v>
      </c>
      <c r="N32" s="110">
        <f>VLOOKUP(DATE(YEAR(A32),MONTH(A32),DAY(A32)),FY24_Temp[],3,FALSE)</f>
        <v>12.8</v>
      </c>
      <c r="O32" s="110">
        <f t="shared" si="3"/>
        <v>11.5</v>
      </c>
      <c r="P32" s="110">
        <f t="shared" si="4"/>
        <v>19.5</v>
      </c>
      <c r="Q32" s="111">
        <f>VLOOKUP(VLOOKUP(DATEVALUE(TEXT(A32,"m/d/yyyy")),FY24_Temp[],5,FALSE)&amp;TEXT(A32,"-h"),TempDelta[],4,FALSE)</f>
        <v>2.8608571801866804</v>
      </c>
      <c r="R32" s="112">
        <v>10</v>
      </c>
      <c r="S32" s="112">
        <v>1500</v>
      </c>
      <c r="T32" s="99">
        <f>VLOOKUP(TEXT(A32,"yy-mm")&amp;"-"&amp;IF(AND(WEEKDAY(A32)&gt;1,WEEKDAY(A32)&lt;7),"Wkd",TEXT(A32,"Ddd"))&amp;"-"&amp;TEXT(A32,"hh"),LoadTable[],3,FALSE)*0.92</f>
        <v>279.25312000000002</v>
      </c>
      <c r="U32" s="113">
        <f t="shared" si="5"/>
        <v>27.925312000000002</v>
      </c>
    </row>
    <row r="33" spans="1:21" ht="15" thickBot="1">
      <c r="A33" s="29">
        <f t="shared" si="0"/>
        <v>45837.250000001906</v>
      </c>
      <c r="B33" s="187">
        <f t="shared" ref="B33:L33" si="34">B57</f>
        <v>8000</v>
      </c>
      <c r="C33" s="187">
        <f t="shared" si="34"/>
        <v>25000</v>
      </c>
      <c r="D33" s="187">
        <v>0</v>
      </c>
      <c r="E33" s="187">
        <v>700</v>
      </c>
      <c r="F33" s="187">
        <v>15000</v>
      </c>
      <c r="G33" s="187">
        <f t="shared" si="34"/>
        <v>2400</v>
      </c>
      <c r="H33" s="187">
        <f t="shared" si="34"/>
        <v>25000</v>
      </c>
      <c r="I33" s="187">
        <f t="shared" si="34"/>
        <v>8000</v>
      </c>
      <c r="J33" s="187">
        <v>40000</v>
      </c>
      <c r="K33" s="187">
        <f t="shared" si="34"/>
        <v>8000</v>
      </c>
      <c r="L33" s="187">
        <v>40000</v>
      </c>
      <c r="M33" s="110">
        <v>9.5</v>
      </c>
      <c r="N33" s="110">
        <f>VLOOKUP(DATE(YEAR(A33),MONTH(A33),DAY(A33)),FY24_Temp[],3,FALSE)</f>
        <v>12.8</v>
      </c>
      <c r="O33" s="110">
        <f t="shared" si="3"/>
        <v>11.5</v>
      </c>
      <c r="P33" s="110">
        <f t="shared" si="4"/>
        <v>19.5</v>
      </c>
      <c r="Q33" s="111">
        <f>VLOOKUP(VLOOKUP(DATEVALUE(TEXT(A33,"m/d/yyyy")),FY24_Temp[],5,FALSE)&amp;TEXT(A33,"-h"),TempDelta[],4,FALSE)</f>
        <v>2.7405714307512556</v>
      </c>
      <c r="R33" s="112">
        <v>10</v>
      </c>
      <c r="S33" s="112">
        <v>1500</v>
      </c>
      <c r="T33" s="99">
        <f>VLOOKUP(TEXT(A33,"yy-mm")&amp;"-"&amp;IF(AND(WEEKDAY(A33)&gt;1,WEEKDAY(A33)&lt;7),"Wkd",TEXT(A33,"Ddd"))&amp;"-"&amp;TEXT(A33,"hh"),LoadTable[],3,FALSE)*0.92</f>
        <v>279.25312000000002</v>
      </c>
      <c r="U33" s="113">
        <f t="shared" si="5"/>
        <v>27.925312000000002</v>
      </c>
    </row>
    <row r="34" spans="1:21" ht="15" thickBot="1">
      <c r="A34" s="29">
        <f t="shared" si="0"/>
        <v>45837.291666668571</v>
      </c>
      <c r="B34" s="187">
        <f t="shared" ref="B34:L34" si="35">B58</f>
        <v>8000</v>
      </c>
      <c r="C34" s="187">
        <f t="shared" si="35"/>
        <v>25000</v>
      </c>
      <c r="D34" s="187">
        <v>0</v>
      </c>
      <c r="E34" s="187">
        <v>700</v>
      </c>
      <c r="F34" s="187">
        <v>15000</v>
      </c>
      <c r="G34" s="187">
        <f t="shared" si="35"/>
        <v>2400</v>
      </c>
      <c r="H34" s="187">
        <f t="shared" si="35"/>
        <v>25000</v>
      </c>
      <c r="I34" s="187">
        <f t="shared" si="35"/>
        <v>8000</v>
      </c>
      <c r="J34" s="187">
        <v>40000</v>
      </c>
      <c r="K34" s="187">
        <f t="shared" si="35"/>
        <v>8000</v>
      </c>
      <c r="L34" s="187">
        <v>40000</v>
      </c>
      <c r="M34" s="110">
        <v>9.5</v>
      </c>
      <c r="N34" s="110">
        <f>VLOOKUP(DATE(YEAR(A34),MONTH(A34),DAY(A34)),FY24_Temp[],3,FALSE)</f>
        <v>12.8</v>
      </c>
      <c r="O34" s="110">
        <f t="shared" si="3"/>
        <v>11.5</v>
      </c>
      <c r="P34" s="110">
        <f t="shared" si="4"/>
        <v>19.5</v>
      </c>
      <c r="Q34" s="111">
        <f>VLOOKUP(VLOOKUP(DATEVALUE(TEXT(A34,"m/d/yyyy")),FY24_Temp[],5,FALSE)&amp;TEXT(A34,"-h"),TempDelta[],4,FALSE)</f>
        <v>2.6134285245622908</v>
      </c>
      <c r="R34" s="112">
        <v>10</v>
      </c>
      <c r="S34" s="112">
        <v>1500</v>
      </c>
      <c r="T34" s="99">
        <f>VLOOKUP(TEXT(A34,"yy-mm")&amp;"-"&amp;IF(AND(WEEKDAY(A34)&gt;1,WEEKDAY(A34)&lt;7),"Wkd",TEXT(A34,"Ddd"))&amp;"-"&amp;TEXT(A34,"hh"),LoadTable[],3,FALSE)*0.92</f>
        <v>279.25312000000002</v>
      </c>
      <c r="U34" s="113">
        <f t="shared" si="5"/>
        <v>27.925312000000002</v>
      </c>
    </row>
    <row r="35" spans="1:21" ht="15" thickBot="1">
      <c r="A35" s="29">
        <f t="shared" si="0"/>
        <v>45837.333333335235</v>
      </c>
      <c r="B35" s="187">
        <f t="shared" ref="B35:L35" si="36">B59</f>
        <v>8000</v>
      </c>
      <c r="C35" s="187">
        <f t="shared" si="36"/>
        <v>25000</v>
      </c>
      <c r="D35" s="187">
        <v>0</v>
      </c>
      <c r="E35" s="187">
        <v>700</v>
      </c>
      <c r="F35" s="187">
        <v>15000</v>
      </c>
      <c r="G35" s="187">
        <f t="shared" si="36"/>
        <v>2400</v>
      </c>
      <c r="H35" s="187">
        <f t="shared" si="36"/>
        <v>25000</v>
      </c>
      <c r="I35" s="187">
        <f t="shared" si="36"/>
        <v>8000</v>
      </c>
      <c r="J35" s="187">
        <v>40000</v>
      </c>
      <c r="K35" s="187">
        <f t="shared" si="36"/>
        <v>8000</v>
      </c>
      <c r="L35" s="187">
        <v>40000</v>
      </c>
      <c r="M35" s="110">
        <v>9.5</v>
      </c>
      <c r="N35" s="110">
        <f>VLOOKUP(DATE(YEAR(A35),MONTH(A35),DAY(A35)),FY24_Temp[],3,FALSE)</f>
        <v>12.8</v>
      </c>
      <c r="O35" s="110">
        <f t="shared" si="3"/>
        <v>11.5</v>
      </c>
      <c r="P35" s="110">
        <f t="shared" si="4"/>
        <v>19.5</v>
      </c>
      <c r="Q35" s="111">
        <f>VLOOKUP(VLOOKUP(DATEVALUE(TEXT(A35,"m/d/yyyy")),FY24_Temp[],5,FALSE)&amp;TEXT(A35,"-h"),TempDelta[],4,FALSE)</f>
        <v>2.44985716683524</v>
      </c>
      <c r="R35" s="112">
        <v>10</v>
      </c>
      <c r="S35" s="112">
        <v>1500</v>
      </c>
      <c r="T35" s="99">
        <f>VLOOKUP(TEXT(A35,"yy-mm")&amp;"-"&amp;IF(AND(WEEKDAY(A35)&gt;1,WEEKDAY(A35)&lt;7),"Wkd",TEXT(A35,"Ddd"))&amp;"-"&amp;TEXT(A35,"hh"),LoadTable[],3,FALSE)*0.92</f>
        <v>279.25312000000002</v>
      </c>
      <c r="U35" s="113">
        <f t="shared" si="5"/>
        <v>27.925312000000002</v>
      </c>
    </row>
    <row r="36" spans="1:21" ht="15" thickBot="1">
      <c r="A36" s="29">
        <f t="shared" si="0"/>
        <v>45837.375000001899</v>
      </c>
      <c r="B36" s="187">
        <f t="shared" ref="B36:L36" si="37">B60</f>
        <v>8000</v>
      </c>
      <c r="C36" s="187">
        <f t="shared" si="37"/>
        <v>25000</v>
      </c>
      <c r="D36" s="187">
        <v>0</v>
      </c>
      <c r="E36" s="187">
        <v>700</v>
      </c>
      <c r="F36" s="187">
        <v>15000</v>
      </c>
      <c r="G36" s="187">
        <f t="shared" si="37"/>
        <v>2400</v>
      </c>
      <c r="H36" s="187">
        <f t="shared" si="37"/>
        <v>25000</v>
      </c>
      <c r="I36" s="187">
        <f t="shared" si="37"/>
        <v>8000</v>
      </c>
      <c r="J36" s="187">
        <v>40000</v>
      </c>
      <c r="K36" s="187">
        <f t="shared" si="37"/>
        <v>8000</v>
      </c>
      <c r="L36" s="187">
        <v>40000</v>
      </c>
      <c r="M36" s="110">
        <v>9.5</v>
      </c>
      <c r="N36" s="110">
        <f>VLOOKUP(DATE(YEAR(A36),MONTH(A36),DAY(A36)),FY24_Temp[],3,FALSE)</f>
        <v>12.8</v>
      </c>
      <c r="O36" s="110">
        <f t="shared" si="3"/>
        <v>11.5</v>
      </c>
      <c r="P36" s="110">
        <f t="shared" si="4"/>
        <v>19.5</v>
      </c>
      <c r="Q36" s="111">
        <f>VLOOKUP(VLOOKUP(DATEVALUE(TEXT(A36,"m/d/yyyy")),FY24_Temp[],5,FALSE)&amp;TEXT(A36,"-h"),TempDelta[],4,FALSE)</f>
        <v>2.2458571025303433</v>
      </c>
      <c r="R36" s="112">
        <v>10</v>
      </c>
      <c r="S36" s="112">
        <v>1500</v>
      </c>
      <c r="T36" s="99">
        <f>VLOOKUP(TEXT(A36,"yy-mm")&amp;"-"&amp;IF(AND(WEEKDAY(A36)&gt;1,WEEKDAY(A36)&lt;7),"Wkd",TEXT(A36,"Ddd"))&amp;"-"&amp;TEXT(A36,"hh"),LoadTable[],3,FALSE)*0.92</f>
        <v>279.25312000000002</v>
      </c>
      <c r="U36" s="113">
        <f t="shared" si="5"/>
        <v>27.925312000000002</v>
      </c>
    </row>
    <row r="37" spans="1:21" ht="15" thickBot="1">
      <c r="A37" s="29">
        <f t="shared" si="0"/>
        <v>45837.416666668563</v>
      </c>
      <c r="B37" s="187">
        <f t="shared" ref="B37:L37" si="38">B61</f>
        <v>8000</v>
      </c>
      <c r="C37" s="187">
        <f t="shared" si="38"/>
        <v>25000</v>
      </c>
      <c r="D37" s="187">
        <v>0</v>
      </c>
      <c r="E37" s="187">
        <v>700</v>
      </c>
      <c r="F37" s="187">
        <v>15000</v>
      </c>
      <c r="G37" s="187">
        <f t="shared" si="38"/>
        <v>2400</v>
      </c>
      <c r="H37" s="187">
        <f t="shared" si="38"/>
        <v>25000</v>
      </c>
      <c r="I37" s="187">
        <f t="shared" si="38"/>
        <v>8000</v>
      </c>
      <c r="J37" s="187">
        <v>40000</v>
      </c>
      <c r="K37" s="187">
        <f t="shared" si="38"/>
        <v>8000</v>
      </c>
      <c r="L37" s="187">
        <v>40000</v>
      </c>
      <c r="M37" s="110">
        <v>9.5</v>
      </c>
      <c r="N37" s="110">
        <f>VLOOKUP(DATE(YEAR(A37),MONTH(A37),DAY(A37)),FY24_Temp[],3,FALSE)</f>
        <v>12.8</v>
      </c>
      <c r="O37" s="110">
        <f t="shared" si="3"/>
        <v>11.5</v>
      </c>
      <c r="P37" s="110">
        <f t="shared" si="4"/>
        <v>19.5</v>
      </c>
      <c r="Q37" s="111">
        <f>VLOOKUP(VLOOKUP(DATEVALUE(TEXT(A37,"m/d/yyyy")),FY24_Temp[],5,FALSE)&amp;TEXT(A37,"-h"),TempDelta[],4,FALSE)</f>
        <v>2.0832857234137401</v>
      </c>
      <c r="R37" s="112">
        <v>10</v>
      </c>
      <c r="S37" s="112">
        <v>1500</v>
      </c>
      <c r="T37" s="99">
        <f>VLOOKUP(TEXT(A37,"yy-mm")&amp;"-"&amp;IF(AND(WEEKDAY(A37)&gt;1,WEEKDAY(A37)&lt;7),"Wkd",TEXT(A37,"Ddd"))&amp;"-"&amp;TEXT(A37,"hh"),LoadTable[],3,FALSE)*0.92</f>
        <v>279.25312000000002</v>
      </c>
      <c r="U37" s="113">
        <f t="shared" si="5"/>
        <v>27.925312000000002</v>
      </c>
    </row>
    <row r="38" spans="1:21" ht="15" thickBot="1">
      <c r="A38" s="29">
        <f t="shared" si="0"/>
        <v>45837.458333335228</v>
      </c>
      <c r="B38" s="187">
        <f t="shared" ref="B38:L38" si="39">B62</f>
        <v>8000</v>
      </c>
      <c r="C38" s="187">
        <f t="shared" si="39"/>
        <v>25000</v>
      </c>
      <c r="D38" s="187">
        <v>0</v>
      </c>
      <c r="E38" s="187">
        <v>700</v>
      </c>
      <c r="F38" s="187">
        <v>15000</v>
      </c>
      <c r="G38" s="187">
        <f t="shared" si="39"/>
        <v>2400</v>
      </c>
      <c r="H38" s="187">
        <f t="shared" si="39"/>
        <v>25000</v>
      </c>
      <c r="I38" s="187">
        <f t="shared" si="39"/>
        <v>8000</v>
      </c>
      <c r="J38" s="187">
        <v>40000</v>
      </c>
      <c r="K38" s="187">
        <f t="shared" si="39"/>
        <v>8000</v>
      </c>
      <c r="L38" s="187">
        <v>40000</v>
      </c>
      <c r="M38" s="110">
        <v>9.5</v>
      </c>
      <c r="N38" s="110">
        <f>VLOOKUP(DATE(YEAR(A38),MONTH(A38),DAY(A38)),FY24_Temp[],3,FALSE)</f>
        <v>12.8</v>
      </c>
      <c r="O38" s="110">
        <f t="shared" si="3"/>
        <v>11.5</v>
      </c>
      <c r="P38" s="110">
        <f t="shared" si="4"/>
        <v>19.5</v>
      </c>
      <c r="Q38" s="111">
        <f>VLOOKUP(VLOOKUP(DATEVALUE(TEXT(A38,"m/d/yyyy")),FY24_Temp[],5,FALSE)&amp;TEXT(A38,"-h"),TempDelta[],4,FALSE)</f>
        <v>1.8928571258272444</v>
      </c>
      <c r="R38" s="112">
        <v>10</v>
      </c>
      <c r="S38" s="112">
        <v>1500</v>
      </c>
      <c r="T38" s="99">
        <f>VLOOKUP(TEXT(A38,"yy-mm")&amp;"-"&amp;IF(AND(WEEKDAY(A38)&gt;1,WEEKDAY(A38)&lt;7),"Wkd",TEXT(A38,"Ddd"))&amp;"-"&amp;TEXT(A38,"hh"),LoadTable[],3,FALSE)*0.92</f>
        <v>279.25312000000002</v>
      </c>
      <c r="U38" s="113">
        <f t="shared" si="5"/>
        <v>27.925312000000002</v>
      </c>
    </row>
    <row r="39" spans="1:21" ht="15" thickBot="1">
      <c r="A39" s="29">
        <f t="shared" si="0"/>
        <v>45837.500000001892</v>
      </c>
      <c r="B39" s="187">
        <f t="shared" ref="B39:L39" si="40">B63</f>
        <v>8000</v>
      </c>
      <c r="C39" s="187">
        <f t="shared" si="40"/>
        <v>25000</v>
      </c>
      <c r="D39" s="187">
        <v>0</v>
      </c>
      <c r="E39" s="187">
        <v>700</v>
      </c>
      <c r="F39" s="187">
        <v>15000</v>
      </c>
      <c r="G39" s="187">
        <f t="shared" si="40"/>
        <v>2400</v>
      </c>
      <c r="H39" s="187">
        <f t="shared" si="40"/>
        <v>25000</v>
      </c>
      <c r="I39" s="187">
        <f t="shared" si="40"/>
        <v>8000</v>
      </c>
      <c r="J39" s="187">
        <v>40000</v>
      </c>
      <c r="K39" s="187">
        <f t="shared" si="40"/>
        <v>8000</v>
      </c>
      <c r="L39" s="187">
        <v>40000</v>
      </c>
      <c r="M39" s="110">
        <v>9.5</v>
      </c>
      <c r="N39" s="110">
        <f>VLOOKUP(DATE(YEAR(A39),MONTH(A39),DAY(A39)),FY24_Temp[],3,FALSE)</f>
        <v>12.8</v>
      </c>
      <c r="O39" s="110">
        <f t="shared" si="3"/>
        <v>11.5</v>
      </c>
      <c r="P39" s="110">
        <f t="shared" si="4"/>
        <v>19.5</v>
      </c>
      <c r="Q39" s="111">
        <f>VLOOKUP(VLOOKUP(DATEVALUE(TEXT(A39,"m/d/yyyy")),FY24_Temp[],5,FALSE)&amp;TEXT(A39,"-h"),TempDelta[],4,FALSE)</f>
        <v>1.665857127734593</v>
      </c>
      <c r="R39" s="112">
        <v>10</v>
      </c>
      <c r="S39" s="112">
        <v>1500</v>
      </c>
      <c r="T39" s="99">
        <f>VLOOKUP(TEXT(A39,"yy-mm")&amp;"-"&amp;IF(AND(WEEKDAY(A39)&gt;1,WEEKDAY(A39)&lt;7),"Wkd",TEXT(A39,"Ddd"))&amp;"-"&amp;TEXT(A39,"hh"),LoadTable[],3,FALSE)*0.92</f>
        <v>279.25312000000002</v>
      </c>
      <c r="U39" s="113">
        <f t="shared" si="5"/>
        <v>27.925312000000002</v>
      </c>
    </row>
    <row r="40" spans="1:21" ht="15" thickBot="1">
      <c r="A40" s="29">
        <f t="shared" si="0"/>
        <v>45837.541666668556</v>
      </c>
      <c r="B40" s="187">
        <f t="shared" ref="B40:L40" si="41">B64</f>
        <v>8000</v>
      </c>
      <c r="C40" s="187">
        <f t="shared" si="41"/>
        <v>25000</v>
      </c>
      <c r="D40" s="187">
        <v>0</v>
      </c>
      <c r="E40" s="187">
        <v>700</v>
      </c>
      <c r="F40" s="187">
        <v>15000</v>
      </c>
      <c r="G40" s="187">
        <f t="shared" si="41"/>
        <v>2400</v>
      </c>
      <c r="H40" s="187">
        <f t="shared" si="41"/>
        <v>25000</v>
      </c>
      <c r="I40" s="187">
        <f t="shared" si="41"/>
        <v>8000</v>
      </c>
      <c r="J40" s="187">
        <v>40000</v>
      </c>
      <c r="K40" s="187">
        <f t="shared" si="41"/>
        <v>8000</v>
      </c>
      <c r="L40" s="187">
        <v>40000</v>
      </c>
      <c r="M40" s="110">
        <v>9.5</v>
      </c>
      <c r="N40" s="110">
        <f>VLOOKUP(DATE(YEAR(A40),MONTH(A40),DAY(A40)),FY24_Temp[],3,FALSE)</f>
        <v>12.8</v>
      </c>
      <c r="O40" s="110">
        <f t="shared" si="3"/>
        <v>11.5</v>
      </c>
      <c r="P40" s="110">
        <f t="shared" si="4"/>
        <v>19.5</v>
      </c>
      <c r="Q40" s="111">
        <f>VLOOKUP(VLOOKUP(DATEVALUE(TEXT(A40,"m/d/yyyy")),FY24_Temp[],5,FALSE)&amp;TEXT(A40,"-h"),TempDelta[],4,FALSE)</f>
        <v>1.4252856969833374</v>
      </c>
      <c r="R40" s="112">
        <v>10</v>
      </c>
      <c r="S40" s="112">
        <v>1500</v>
      </c>
      <c r="T40" s="99">
        <f>VLOOKUP(TEXT(A40,"yy-mm")&amp;"-"&amp;IF(AND(WEEKDAY(A40)&gt;1,WEEKDAY(A40)&lt;7),"Wkd",TEXT(A40,"Ddd"))&amp;"-"&amp;TEXT(A40,"hh"),LoadTable[],3,FALSE)*0.92</f>
        <v>279.25312000000002</v>
      </c>
      <c r="U40" s="113">
        <f t="shared" si="5"/>
        <v>27.925312000000002</v>
      </c>
    </row>
    <row r="41" spans="1:21" ht="15" thickBot="1">
      <c r="A41" s="29">
        <f t="shared" si="0"/>
        <v>45837.58333333522</v>
      </c>
      <c r="B41" s="187">
        <f t="shared" ref="B41:L41" si="42">B65</f>
        <v>8000</v>
      </c>
      <c r="C41" s="187">
        <f t="shared" si="42"/>
        <v>25000</v>
      </c>
      <c r="D41" s="187">
        <v>0</v>
      </c>
      <c r="E41" s="187">
        <v>700</v>
      </c>
      <c r="F41" s="187">
        <v>15000</v>
      </c>
      <c r="G41" s="187">
        <f t="shared" si="42"/>
        <v>2400</v>
      </c>
      <c r="H41" s="187">
        <f t="shared" si="42"/>
        <v>25000</v>
      </c>
      <c r="I41" s="187">
        <f t="shared" si="42"/>
        <v>8000</v>
      </c>
      <c r="J41" s="187">
        <v>40000</v>
      </c>
      <c r="K41" s="187">
        <f t="shared" si="42"/>
        <v>8000</v>
      </c>
      <c r="L41" s="187">
        <v>40000</v>
      </c>
      <c r="M41" s="110">
        <v>9.5</v>
      </c>
      <c r="N41" s="110">
        <f>VLOOKUP(DATE(YEAR(A41),MONTH(A41),DAY(A41)),FY24_Temp[],3,FALSE)</f>
        <v>12.8</v>
      </c>
      <c r="O41" s="110">
        <f t="shared" si="3"/>
        <v>11.5</v>
      </c>
      <c r="P41" s="110">
        <f t="shared" si="4"/>
        <v>19.5</v>
      </c>
      <c r="Q41" s="111">
        <f>VLOOKUP(VLOOKUP(DATEVALUE(TEXT(A41,"m/d/yyyy")),FY24_Temp[],5,FALSE)&amp;TEXT(A41,"-h"),TempDelta[],4,FALSE)</f>
        <v>1.2351428781236922</v>
      </c>
      <c r="R41" s="112">
        <v>10</v>
      </c>
      <c r="S41" s="112">
        <v>1500</v>
      </c>
      <c r="T41" s="99">
        <f>VLOOKUP(TEXT(A41,"yy-mm")&amp;"-"&amp;IF(AND(WEEKDAY(A41)&gt;1,WEEKDAY(A41)&lt;7),"Wkd",TEXT(A41,"Ddd"))&amp;"-"&amp;TEXT(A41,"hh"),LoadTable[],3,FALSE)*0.92</f>
        <v>279.25312000000002</v>
      </c>
      <c r="U41" s="113">
        <f t="shared" si="5"/>
        <v>27.925312000000002</v>
      </c>
    </row>
    <row r="42" spans="1:21" ht="15" thickBot="1">
      <c r="A42" s="29">
        <f t="shared" ref="A42:A105" si="43">A43-TIME(1,0,0)</f>
        <v>45837.625000001884</v>
      </c>
      <c r="B42" s="187">
        <f t="shared" ref="B42:L42" si="44">B66</f>
        <v>8000</v>
      </c>
      <c r="C42" s="187">
        <f t="shared" si="44"/>
        <v>25000</v>
      </c>
      <c r="D42" s="187">
        <v>0</v>
      </c>
      <c r="E42" s="187">
        <v>700</v>
      </c>
      <c r="F42" s="187">
        <v>15000</v>
      </c>
      <c r="G42" s="187">
        <f t="shared" si="44"/>
        <v>2400</v>
      </c>
      <c r="H42" s="187">
        <f t="shared" si="44"/>
        <v>25000</v>
      </c>
      <c r="I42" s="187">
        <f t="shared" si="44"/>
        <v>8000</v>
      </c>
      <c r="J42" s="187">
        <v>40000</v>
      </c>
      <c r="K42" s="187">
        <f t="shared" si="44"/>
        <v>8000</v>
      </c>
      <c r="L42" s="187">
        <v>40000</v>
      </c>
      <c r="M42" s="110">
        <v>9.5</v>
      </c>
      <c r="N42" s="110">
        <f>VLOOKUP(DATE(YEAR(A42),MONTH(A42),DAY(A42)),FY24_Temp[],3,FALSE)</f>
        <v>12.8</v>
      </c>
      <c r="O42" s="110">
        <f t="shared" si="3"/>
        <v>11.5</v>
      </c>
      <c r="P42" s="110">
        <f t="shared" si="4"/>
        <v>19.5</v>
      </c>
      <c r="Q42" s="111">
        <f>VLOOKUP(VLOOKUP(DATEVALUE(TEXT(A42,"m/d/yyyy")),FY24_Temp[],5,FALSE)&amp;TEXT(A42,"-h"),TempDelta[],4,FALSE)</f>
        <v>0.97514284508568905</v>
      </c>
      <c r="R42" s="112">
        <v>10</v>
      </c>
      <c r="S42" s="112">
        <v>1500</v>
      </c>
      <c r="T42" s="99">
        <f>VLOOKUP(TEXT(A42,"yy-mm")&amp;"-"&amp;IF(AND(WEEKDAY(A42)&gt;1,WEEKDAY(A42)&lt;7),"Wkd",TEXT(A42,"Ddd"))&amp;"-"&amp;TEXT(A42,"hh"),LoadTable[],3,FALSE)*0.92</f>
        <v>400.56064000000003</v>
      </c>
      <c r="U42" s="113">
        <f t="shared" si="5"/>
        <v>40.056064000000006</v>
      </c>
    </row>
    <row r="43" spans="1:21" ht="15" thickBot="1">
      <c r="A43" s="29">
        <f t="shared" si="43"/>
        <v>45837.666666668549</v>
      </c>
      <c r="B43" s="187">
        <f t="shared" ref="B43:L43" si="45">B67</f>
        <v>8000</v>
      </c>
      <c r="C43" s="187">
        <f t="shared" si="45"/>
        <v>25000</v>
      </c>
      <c r="D43" s="187">
        <v>0</v>
      </c>
      <c r="E43" s="187">
        <v>700</v>
      </c>
      <c r="F43" s="187">
        <v>15000</v>
      </c>
      <c r="G43" s="187">
        <f t="shared" si="45"/>
        <v>2400</v>
      </c>
      <c r="H43" s="187">
        <f t="shared" si="45"/>
        <v>25000</v>
      </c>
      <c r="I43" s="187">
        <f t="shared" si="45"/>
        <v>8000</v>
      </c>
      <c r="J43" s="187">
        <v>40000</v>
      </c>
      <c r="K43" s="187">
        <f t="shared" si="45"/>
        <v>8000</v>
      </c>
      <c r="L43" s="187">
        <v>40000</v>
      </c>
      <c r="M43" s="110">
        <v>9.5</v>
      </c>
      <c r="N43" s="110">
        <f>VLOOKUP(DATE(YEAR(A43),MONTH(A43),DAY(A43)),FY24_Temp[],3,FALSE)</f>
        <v>12.8</v>
      </c>
      <c r="O43" s="110">
        <f t="shared" si="3"/>
        <v>11.5</v>
      </c>
      <c r="P43" s="110">
        <f t="shared" si="4"/>
        <v>19.5</v>
      </c>
      <c r="Q43" s="111">
        <f>VLOOKUP(VLOOKUP(DATEVALUE(TEXT(A43,"m/d/yyyy")),FY24_Temp[],5,FALSE)&amp;TEXT(A43,"-h"),TempDelta[],4,FALSE)</f>
        <v>0.88578571166310993</v>
      </c>
      <c r="R43" s="112">
        <v>10</v>
      </c>
      <c r="S43" s="112">
        <v>1500</v>
      </c>
      <c r="T43" s="99">
        <f>VLOOKUP(TEXT(A43,"yy-mm")&amp;"-"&amp;IF(AND(WEEKDAY(A43)&gt;1,WEEKDAY(A43)&lt;7),"Wkd",TEXT(A43,"Ddd"))&amp;"-"&amp;TEXT(A43,"hh"),LoadTable[],3,FALSE)*0.92</f>
        <v>473.62059999999997</v>
      </c>
      <c r="U43" s="113">
        <f t="shared" si="5"/>
        <v>47.36206</v>
      </c>
    </row>
    <row r="44" spans="1:21" ht="15" thickBot="1">
      <c r="A44" s="29">
        <f t="shared" si="43"/>
        <v>45837.708333335213</v>
      </c>
      <c r="B44" s="187">
        <f t="shared" ref="B44:L44" si="46">B68</f>
        <v>8000</v>
      </c>
      <c r="C44" s="187">
        <f t="shared" si="46"/>
        <v>25000</v>
      </c>
      <c r="D44" s="187">
        <v>0</v>
      </c>
      <c r="E44" s="187">
        <v>700</v>
      </c>
      <c r="F44" s="187">
        <v>15000</v>
      </c>
      <c r="G44" s="187">
        <f t="shared" si="46"/>
        <v>2400</v>
      </c>
      <c r="H44" s="187">
        <f t="shared" si="46"/>
        <v>25000</v>
      </c>
      <c r="I44" s="187">
        <f t="shared" si="46"/>
        <v>8000</v>
      </c>
      <c r="J44" s="187">
        <v>40000</v>
      </c>
      <c r="K44" s="187">
        <f t="shared" si="46"/>
        <v>8000</v>
      </c>
      <c r="L44" s="187">
        <v>40000</v>
      </c>
      <c r="M44" s="110">
        <v>9.5</v>
      </c>
      <c r="N44" s="110">
        <f>VLOOKUP(DATE(YEAR(A44),MONTH(A44),DAY(A44)),FY24_Temp[],3,FALSE)</f>
        <v>12.8</v>
      </c>
      <c r="O44" s="110">
        <f t="shared" si="3"/>
        <v>11.5</v>
      </c>
      <c r="P44" s="110">
        <f t="shared" si="4"/>
        <v>19.5</v>
      </c>
      <c r="Q44" s="111">
        <f>VLOOKUP(VLOOKUP(DATEVALUE(TEXT(A44,"m/d/yyyy")),FY24_Temp[],5,FALSE)&amp;TEXT(A44,"-h"),TempDelta[],4,FALSE)</f>
        <v>1.0356428495475225</v>
      </c>
      <c r="R44" s="112">
        <v>10</v>
      </c>
      <c r="S44" s="112">
        <v>1500</v>
      </c>
      <c r="T44" s="99">
        <f>VLOOKUP(TEXT(A44,"yy-mm")&amp;"-"&amp;IF(AND(WEEKDAY(A44)&gt;1,WEEKDAY(A44)&lt;7),"Wkd",TEXT(A44,"Ddd"))&amp;"-"&amp;TEXT(A44,"hh"),LoadTable[],3,FALSE)*0.92</f>
        <v>473.62059999999997</v>
      </c>
      <c r="U44" s="113">
        <f t="shared" si="5"/>
        <v>47.36206</v>
      </c>
    </row>
    <row r="45" spans="1:21" ht="15" thickBot="1">
      <c r="A45" s="29">
        <f t="shared" si="43"/>
        <v>45837.750000001877</v>
      </c>
      <c r="B45" s="187">
        <f t="shared" ref="B45:L45" si="47">B69</f>
        <v>5000</v>
      </c>
      <c r="C45" s="187">
        <f t="shared" si="47"/>
        <v>25000</v>
      </c>
      <c r="D45" s="187">
        <v>0</v>
      </c>
      <c r="E45" s="187">
        <v>700</v>
      </c>
      <c r="F45" s="187">
        <v>15000</v>
      </c>
      <c r="G45" s="187">
        <f t="shared" si="47"/>
        <v>2400</v>
      </c>
      <c r="H45" s="187">
        <f t="shared" si="47"/>
        <v>25000</v>
      </c>
      <c r="I45" s="187">
        <f t="shared" si="47"/>
        <v>5000</v>
      </c>
      <c r="J45" s="187">
        <v>40000</v>
      </c>
      <c r="K45" s="187">
        <f t="shared" si="47"/>
        <v>5000</v>
      </c>
      <c r="L45" s="187">
        <v>40000</v>
      </c>
      <c r="M45" s="110">
        <v>9.5</v>
      </c>
      <c r="N45" s="110">
        <f>VLOOKUP(DATE(YEAR(A45),MONTH(A45),DAY(A45)),FY24_Temp[],3,FALSE)</f>
        <v>12.8</v>
      </c>
      <c r="O45" s="110">
        <f t="shared" si="3"/>
        <v>11.5</v>
      </c>
      <c r="P45" s="110">
        <f t="shared" si="4"/>
        <v>19.5</v>
      </c>
      <c r="Q45" s="111">
        <f>VLOOKUP(VLOOKUP(DATEVALUE(TEXT(A45,"m/d/yyyy")),FY24_Temp[],5,FALSE)&amp;TEXT(A45,"-h"),TempDelta[],4,FALSE)</f>
        <v>1.3991428358214242</v>
      </c>
      <c r="R45" s="112">
        <v>10</v>
      </c>
      <c r="S45" s="112">
        <v>1500</v>
      </c>
      <c r="T45" s="99">
        <f>VLOOKUP(TEXT(A45,"yy-mm")&amp;"-"&amp;IF(AND(WEEKDAY(A45)&gt;1,WEEKDAY(A45)&lt;7),"Wkd",TEXT(A45,"Ddd"))&amp;"-"&amp;TEXT(A45,"hh"),LoadTable[],3,FALSE)*0.92</f>
        <v>494.57360000000006</v>
      </c>
      <c r="U45" s="113">
        <f t="shared" si="5"/>
        <v>49.457360000000008</v>
      </c>
    </row>
    <row r="46" spans="1:21" ht="15" thickBot="1">
      <c r="A46" s="29">
        <f t="shared" si="43"/>
        <v>45837.791666668541</v>
      </c>
      <c r="B46" s="187">
        <f t="shared" ref="B46:L46" si="48">B70</f>
        <v>5000</v>
      </c>
      <c r="C46" s="187">
        <f t="shared" si="48"/>
        <v>25000</v>
      </c>
      <c r="D46" s="187">
        <v>0</v>
      </c>
      <c r="E46" s="187">
        <v>700</v>
      </c>
      <c r="F46" s="187">
        <v>15000</v>
      </c>
      <c r="G46" s="187">
        <f t="shared" si="48"/>
        <v>2400</v>
      </c>
      <c r="H46" s="187">
        <f t="shared" si="48"/>
        <v>25000</v>
      </c>
      <c r="I46" s="187">
        <f t="shared" si="48"/>
        <v>5000</v>
      </c>
      <c r="J46" s="187">
        <v>40000</v>
      </c>
      <c r="K46" s="187">
        <f t="shared" si="48"/>
        <v>5000</v>
      </c>
      <c r="L46" s="187">
        <v>40000</v>
      </c>
      <c r="M46" s="110">
        <v>9.5</v>
      </c>
      <c r="N46" s="110">
        <f>VLOOKUP(DATE(YEAR(A46),MONTH(A46),DAY(A46)),FY24_Temp[],3,FALSE)</f>
        <v>12.8</v>
      </c>
      <c r="O46" s="110">
        <f t="shared" si="3"/>
        <v>11.5</v>
      </c>
      <c r="P46" s="110">
        <f t="shared" si="4"/>
        <v>19.5</v>
      </c>
      <c r="Q46" s="111">
        <f>VLOOKUP(VLOOKUP(DATEVALUE(TEXT(A46,"m/d/yyyy")),FY24_Temp[],5,FALSE)&amp;TEXT(A46,"-h"),TempDelta[],4,FALSE)</f>
        <v>1.8638571415628706</v>
      </c>
      <c r="R46" s="112">
        <v>10</v>
      </c>
      <c r="S46" s="112">
        <v>1500</v>
      </c>
      <c r="T46" s="99">
        <f>VLOOKUP(TEXT(A46,"yy-mm")&amp;"-"&amp;IF(AND(WEEKDAY(A46)&gt;1,WEEKDAY(A46)&lt;7),"Wkd",TEXT(A46,"Ddd"))&amp;"-"&amp;TEXT(A46,"hh"),LoadTable[],3,FALSE)*0.92</f>
        <v>494.57360000000006</v>
      </c>
      <c r="U46" s="113">
        <f t="shared" si="5"/>
        <v>49.457360000000008</v>
      </c>
    </row>
    <row r="47" spans="1:21" ht="15" thickBot="1">
      <c r="A47" s="29">
        <f t="shared" si="43"/>
        <v>45837.833333335206</v>
      </c>
      <c r="B47" s="187">
        <f t="shared" ref="B47:L47" si="49">B71</f>
        <v>5000</v>
      </c>
      <c r="C47" s="187">
        <f t="shared" si="49"/>
        <v>25000</v>
      </c>
      <c r="D47" s="187">
        <v>0</v>
      </c>
      <c r="E47" s="187">
        <v>700</v>
      </c>
      <c r="F47" s="187">
        <v>15000</v>
      </c>
      <c r="G47" s="187">
        <f t="shared" si="49"/>
        <v>2400</v>
      </c>
      <c r="H47" s="187">
        <f t="shared" si="49"/>
        <v>25000</v>
      </c>
      <c r="I47" s="187">
        <f t="shared" si="49"/>
        <v>5000</v>
      </c>
      <c r="J47" s="187">
        <v>40000</v>
      </c>
      <c r="K47" s="187">
        <f t="shared" si="49"/>
        <v>5000</v>
      </c>
      <c r="L47" s="187">
        <v>40000</v>
      </c>
      <c r="M47" s="110">
        <v>9.5</v>
      </c>
      <c r="N47" s="110">
        <f>VLOOKUP(DATE(YEAR(A47),MONTH(A47),DAY(A47)),FY24_Temp[],3,FALSE)</f>
        <v>12.8</v>
      </c>
      <c r="O47" s="110">
        <f t="shared" si="3"/>
        <v>11.5</v>
      </c>
      <c r="P47" s="110">
        <f t="shared" si="4"/>
        <v>19.5</v>
      </c>
      <c r="Q47" s="111">
        <f>VLOOKUP(VLOOKUP(DATEVALUE(TEXT(A47,"m/d/yyyy")),FY24_Temp[],5,FALSE)&amp;TEXT(A47,"-h"),TempDelta[],4,FALSE)</f>
        <v>2.300714305468968</v>
      </c>
      <c r="R47" s="112">
        <v>10</v>
      </c>
      <c r="S47" s="112">
        <v>1500</v>
      </c>
      <c r="T47" s="99">
        <f>VLOOKUP(TEXT(A47,"yy-mm")&amp;"-"&amp;IF(AND(WEEKDAY(A47)&gt;1,WEEKDAY(A47)&lt;7),"Wkd",TEXT(A47,"Ddd"))&amp;"-"&amp;TEXT(A47,"hh"),LoadTable[],3,FALSE)*0.92</f>
        <v>494.57360000000006</v>
      </c>
      <c r="U47" s="113">
        <f t="shared" si="5"/>
        <v>49.457360000000008</v>
      </c>
    </row>
    <row r="48" spans="1:21" ht="15" thickBot="1">
      <c r="A48" s="29">
        <f t="shared" si="43"/>
        <v>45837.87500000187</v>
      </c>
      <c r="B48" s="187">
        <f t="shared" ref="B48:L48" si="50">B72</f>
        <v>5000</v>
      </c>
      <c r="C48" s="187">
        <f t="shared" si="50"/>
        <v>25000</v>
      </c>
      <c r="D48" s="187">
        <v>0</v>
      </c>
      <c r="E48" s="187">
        <v>700</v>
      </c>
      <c r="F48" s="187">
        <v>15000</v>
      </c>
      <c r="G48" s="187">
        <f t="shared" si="50"/>
        <v>2400</v>
      </c>
      <c r="H48" s="187">
        <f t="shared" si="50"/>
        <v>25000</v>
      </c>
      <c r="I48" s="187">
        <f t="shared" si="50"/>
        <v>5000</v>
      </c>
      <c r="J48" s="187">
        <v>40000</v>
      </c>
      <c r="K48" s="187">
        <f t="shared" si="50"/>
        <v>5000</v>
      </c>
      <c r="L48" s="187">
        <v>40000</v>
      </c>
      <c r="M48" s="110">
        <v>9.5</v>
      </c>
      <c r="N48" s="110">
        <f>VLOOKUP(DATE(YEAR(A48),MONTH(A48),DAY(A48)),FY24_Temp[],3,FALSE)</f>
        <v>12.8</v>
      </c>
      <c r="O48" s="110">
        <f t="shared" si="3"/>
        <v>11.5</v>
      </c>
      <c r="P48" s="110">
        <f t="shared" si="4"/>
        <v>19.5</v>
      </c>
      <c r="Q48" s="111">
        <f>VLOOKUP(VLOOKUP(DATEVALUE(TEXT(A48,"m/d/yyyy")),FY24_Temp[],5,FALSE)&amp;TEXT(A48,"-h"),TempDelta[],4,FALSE)</f>
        <v>2.554214222090585</v>
      </c>
      <c r="R48" s="112">
        <v>10</v>
      </c>
      <c r="S48" s="112">
        <v>1500</v>
      </c>
      <c r="T48" s="99">
        <f>VLOOKUP(TEXT(A48,"yy-mm")&amp;"-"&amp;IF(AND(WEEKDAY(A48)&gt;1,WEEKDAY(A48)&lt;7),"Wkd",TEXT(A48,"Ddd"))&amp;"-"&amp;TEXT(A48,"hh"),LoadTable[],3,FALSE)*0.92</f>
        <v>418.75640000000004</v>
      </c>
      <c r="U48" s="113">
        <f t="shared" si="5"/>
        <v>41.875640000000004</v>
      </c>
    </row>
    <row r="49" spans="1:21" ht="15" thickBot="1">
      <c r="A49" s="29">
        <f t="shared" si="43"/>
        <v>45837.916666668534</v>
      </c>
      <c r="B49" s="187">
        <f t="shared" ref="B49:L49" si="51">B73</f>
        <v>5000</v>
      </c>
      <c r="C49" s="187">
        <f t="shared" si="51"/>
        <v>25000</v>
      </c>
      <c r="D49" s="187">
        <v>0</v>
      </c>
      <c r="E49" s="187">
        <v>700</v>
      </c>
      <c r="F49" s="187">
        <v>15000</v>
      </c>
      <c r="G49" s="187">
        <f t="shared" si="51"/>
        <v>2400</v>
      </c>
      <c r="H49" s="187">
        <f t="shared" si="51"/>
        <v>25000</v>
      </c>
      <c r="I49" s="187">
        <f t="shared" si="51"/>
        <v>5000</v>
      </c>
      <c r="J49" s="187">
        <v>40000</v>
      </c>
      <c r="K49" s="187">
        <f t="shared" si="51"/>
        <v>5000</v>
      </c>
      <c r="L49" s="187">
        <v>40000</v>
      </c>
      <c r="M49" s="110">
        <v>9.5</v>
      </c>
      <c r="N49" s="110">
        <f>VLOOKUP(DATE(YEAR(A49),MONTH(A49),DAY(A49)),FY24_Temp[],3,FALSE)</f>
        <v>12.8</v>
      </c>
      <c r="O49" s="110">
        <f t="shared" si="3"/>
        <v>11.5</v>
      </c>
      <c r="P49" s="110">
        <f t="shared" si="4"/>
        <v>19.5</v>
      </c>
      <c r="Q49" s="111">
        <f>VLOOKUP(VLOOKUP(DATEVALUE(TEXT(A49,"m/d/yyyy")),FY24_Temp[],5,FALSE)&amp;TEXT(A49,"-h"),TempDelta[],4,FALSE)</f>
        <v>2.7827142647334506</v>
      </c>
      <c r="R49" s="112">
        <v>10</v>
      </c>
      <c r="S49" s="112">
        <v>1500</v>
      </c>
      <c r="T49" s="99">
        <f>VLOOKUP(TEXT(A49,"yy-mm")&amp;"-"&amp;IF(AND(WEEKDAY(A49)&gt;1,WEEKDAY(A49)&lt;7),"Wkd",TEXT(A49,"Ddd"))&amp;"-"&amp;TEXT(A49,"hh"),LoadTable[],3,FALSE)*0.92</f>
        <v>342.93920000000003</v>
      </c>
      <c r="U49" s="113">
        <f t="shared" si="5"/>
        <v>34.29392</v>
      </c>
    </row>
    <row r="50" spans="1:21" ht="15" thickBot="1">
      <c r="A50" s="29">
        <f t="shared" si="43"/>
        <v>45837.958333335198</v>
      </c>
      <c r="B50" s="187">
        <f t="shared" ref="B50:L50" si="52">B74</f>
        <v>5000</v>
      </c>
      <c r="C50" s="187">
        <f t="shared" si="52"/>
        <v>25000</v>
      </c>
      <c r="D50" s="187">
        <v>0</v>
      </c>
      <c r="E50" s="187">
        <v>700</v>
      </c>
      <c r="F50" s="187">
        <v>15000</v>
      </c>
      <c r="G50" s="187">
        <f t="shared" si="52"/>
        <v>2400</v>
      </c>
      <c r="H50" s="187">
        <f t="shared" si="52"/>
        <v>25000</v>
      </c>
      <c r="I50" s="187">
        <f t="shared" si="52"/>
        <v>5000</v>
      </c>
      <c r="J50" s="187">
        <v>40000</v>
      </c>
      <c r="K50" s="187">
        <f t="shared" si="52"/>
        <v>5000</v>
      </c>
      <c r="L50" s="187">
        <v>40000</v>
      </c>
      <c r="M50" s="110">
        <v>9.5</v>
      </c>
      <c r="N50" s="110">
        <f>VLOOKUP(DATE(YEAR(A50),MONTH(A50),DAY(A50)),FY24_Temp[],3,FALSE)</f>
        <v>12.8</v>
      </c>
      <c r="O50" s="110">
        <f t="shared" si="3"/>
        <v>11.5</v>
      </c>
      <c r="P50" s="110">
        <f t="shared" si="4"/>
        <v>19.5</v>
      </c>
      <c r="Q50" s="111">
        <f>VLOOKUP(VLOOKUP(DATEVALUE(TEXT(A50,"m/d/yyyy")),FY24_Temp[],5,FALSE)&amp;TEXT(A50,"-h"),TempDelta[],4,FALSE)</f>
        <v>2.8792857101985385</v>
      </c>
      <c r="R50" s="112">
        <v>10</v>
      </c>
      <c r="S50" s="112">
        <v>1500</v>
      </c>
      <c r="T50" s="99">
        <f>VLOOKUP(TEXT(A50,"yy-mm")&amp;"-"&amp;IF(AND(WEEKDAY(A50)&gt;1,WEEKDAY(A50)&lt;7),"Wkd",TEXT(A50,"Ddd"))&amp;"-"&amp;TEXT(A50,"hh"),LoadTable[],3,FALSE)*0.92</f>
        <v>279.25312000000002</v>
      </c>
      <c r="U50" s="113">
        <f t="shared" si="5"/>
        <v>27.925312000000002</v>
      </c>
    </row>
    <row r="51" spans="1:21" ht="15" thickBot="1">
      <c r="A51" s="29">
        <f t="shared" si="43"/>
        <v>45838.000000001863</v>
      </c>
      <c r="B51" s="187">
        <f t="shared" ref="B51:L51" si="53">B75</f>
        <v>5000</v>
      </c>
      <c r="C51" s="187">
        <f t="shared" si="53"/>
        <v>25000</v>
      </c>
      <c r="D51" s="187">
        <v>0</v>
      </c>
      <c r="E51" s="187">
        <v>700</v>
      </c>
      <c r="F51" s="187">
        <v>15000</v>
      </c>
      <c r="G51" s="187">
        <f t="shared" si="53"/>
        <v>2400</v>
      </c>
      <c r="H51" s="187">
        <f t="shared" si="53"/>
        <v>25000</v>
      </c>
      <c r="I51" s="187">
        <f t="shared" si="53"/>
        <v>5000</v>
      </c>
      <c r="J51" s="187">
        <v>40000</v>
      </c>
      <c r="K51" s="187">
        <f t="shared" si="53"/>
        <v>5000</v>
      </c>
      <c r="L51" s="187">
        <v>40000</v>
      </c>
      <c r="M51" s="110">
        <v>9.5</v>
      </c>
      <c r="N51" s="110">
        <f>VLOOKUP(DATE(YEAR(A51),MONTH(A51),DAY(A51)),FY24_Temp[],3,FALSE)</f>
        <v>12.8</v>
      </c>
      <c r="O51" s="110">
        <f t="shared" si="3"/>
        <v>11.5</v>
      </c>
      <c r="P51" s="110">
        <f t="shared" si="4"/>
        <v>19.5</v>
      </c>
      <c r="Q51" s="111">
        <f>VLOOKUP(VLOOKUP(DATEVALUE(TEXT(A51,"m/d/yyyy")),FY24_Temp[],5,FALSE)&amp;TEXT(A51,"-h"),TempDelta[],4,FALSE)</f>
        <v>3.0441428933824812</v>
      </c>
      <c r="R51" s="112">
        <v>10</v>
      </c>
      <c r="S51" s="112">
        <v>1500</v>
      </c>
      <c r="T51" s="99">
        <f>VLOOKUP(TEXT(A51,"yy-mm")&amp;"-"&amp;IF(AND(WEEKDAY(A51)&gt;1,WEEKDAY(A51)&lt;7),"Wkd",TEXT(A51,"Ddd"))&amp;"-"&amp;TEXT(A51,"hh"),LoadTable[],3,FALSE)*0.92</f>
        <v>279.25312000000002</v>
      </c>
      <c r="U51" s="113">
        <f t="shared" si="5"/>
        <v>27.925312000000002</v>
      </c>
    </row>
    <row r="52" spans="1:21" ht="15" thickBot="1">
      <c r="A52" s="29">
        <f t="shared" si="43"/>
        <v>45838.041666668527</v>
      </c>
      <c r="B52" s="187">
        <f t="shared" ref="B52:L52" si="54">B76</f>
        <v>5000</v>
      </c>
      <c r="C52" s="187">
        <f t="shared" si="54"/>
        <v>25000</v>
      </c>
      <c r="D52" s="187">
        <v>0</v>
      </c>
      <c r="E52" s="187">
        <v>700</v>
      </c>
      <c r="F52" s="187">
        <v>15000</v>
      </c>
      <c r="G52" s="187">
        <f t="shared" si="54"/>
        <v>2400</v>
      </c>
      <c r="H52" s="187">
        <f t="shared" si="54"/>
        <v>25000</v>
      </c>
      <c r="I52" s="187">
        <f t="shared" si="54"/>
        <v>5000</v>
      </c>
      <c r="J52" s="187">
        <v>40000</v>
      </c>
      <c r="K52" s="187">
        <f t="shared" si="54"/>
        <v>5000</v>
      </c>
      <c r="L52" s="187">
        <v>40000</v>
      </c>
      <c r="M52" s="110">
        <v>9.5</v>
      </c>
      <c r="N52" s="110">
        <f>VLOOKUP(DATE(YEAR(A52),MONTH(A52),DAY(A52)),FY24_Temp[],3,FALSE)</f>
        <v>12.8</v>
      </c>
      <c r="O52" s="110">
        <f t="shared" si="3"/>
        <v>11.5</v>
      </c>
      <c r="P52" s="110">
        <f t="shared" si="4"/>
        <v>19.5</v>
      </c>
      <c r="Q52" s="111">
        <f>VLOOKUP(VLOOKUP(DATEVALUE(TEXT(A52,"m/d/yyyy")),FY24_Temp[],5,FALSE)&amp;TEXT(A52,"-h"),TempDelta[],4,FALSE)</f>
        <v>3.0992857047489712</v>
      </c>
      <c r="R52" s="112">
        <v>10</v>
      </c>
      <c r="S52" s="112">
        <v>1500</v>
      </c>
      <c r="T52" s="99">
        <f>VLOOKUP(TEXT(A52,"yy-mm")&amp;"-"&amp;IF(AND(WEEKDAY(A52)&gt;1,WEEKDAY(A52)&lt;7),"Wkd",TEXT(A52,"Ddd"))&amp;"-"&amp;TEXT(A52,"hh"),LoadTable[],3,FALSE)*0.92</f>
        <v>279.25312000000002</v>
      </c>
      <c r="U52" s="113">
        <f t="shared" si="5"/>
        <v>27.925312000000002</v>
      </c>
    </row>
    <row r="53" spans="1:21" ht="15" thickBot="1">
      <c r="A53" s="29">
        <f t="shared" si="43"/>
        <v>45838.083333335191</v>
      </c>
      <c r="B53" s="187">
        <f t="shared" ref="B53:L53" si="55">B77</f>
        <v>5000</v>
      </c>
      <c r="C53" s="187">
        <f t="shared" si="55"/>
        <v>25000</v>
      </c>
      <c r="D53" s="187">
        <v>0</v>
      </c>
      <c r="E53" s="187">
        <v>700</v>
      </c>
      <c r="F53" s="187">
        <v>15000</v>
      </c>
      <c r="G53" s="187">
        <f t="shared" si="55"/>
        <v>2400</v>
      </c>
      <c r="H53" s="187">
        <f t="shared" si="55"/>
        <v>25000</v>
      </c>
      <c r="I53" s="187">
        <f t="shared" si="55"/>
        <v>5000</v>
      </c>
      <c r="J53" s="187">
        <v>40000</v>
      </c>
      <c r="K53" s="187">
        <f t="shared" si="55"/>
        <v>5000</v>
      </c>
      <c r="L53" s="187">
        <v>40000</v>
      </c>
      <c r="M53" s="110">
        <v>9.5</v>
      </c>
      <c r="N53" s="110">
        <f>VLOOKUP(DATE(YEAR(A53),MONTH(A53),DAY(A53)),FY24_Temp[],3,FALSE)</f>
        <v>12.8</v>
      </c>
      <c r="O53" s="110">
        <f t="shared" si="3"/>
        <v>11.5</v>
      </c>
      <c r="P53" s="110">
        <f t="shared" si="4"/>
        <v>19.5</v>
      </c>
      <c r="Q53" s="111">
        <f>VLOOKUP(VLOOKUP(DATEVALUE(TEXT(A53,"m/d/yyyy")),FY24_Temp[],5,FALSE)&amp;TEXT(A53,"-h"),TempDelta[],4,FALSE)</f>
        <v>3.1050000190734863</v>
      </c>
      <c r="R53" s="112">
        <v>10</v>
      </c>
      <c r="S53" s="112">
        <v>1500</v>
      </c>
      <c r="T53" s="99">
        <f>VLOOKUP(TEXT(A53,"yy-mm")&amp;"-"&amp;IF(AND(WEEKDAY(A53)&gt;1,WEEKDAY(A53)&lt;7),"Wkd",TEXT(A53,"Ddd"))&amp;"-"&amp;TEXT(A53,"hh"),LoadTable[],3,FALSE)*0.92</f>
        <v>279.25312000000002</v>
      </c>
      <c r="U53" s="113">
        <f t="shared" si="5"/>
        <v>27.925312000000002</v>
      </c>
    </row>
    <row r="54" spans="1:21" ht="15" thickBot="1">
      <c r="A54" s="29">
        <f t="shared" si="43"/>
        <v>45838.125000001855</v>
      </c>
      <c r="B54" s="187">
        <f t="shared" ref="B54:L54" si="56">B78</f>
        <v>5000</v>
      </c>
      <c r="C54" s="187">
        <f t="shared" si="56"/>
        <v>25000</v>
      </c>
      <c r="D54" s="187">
        <v>0</v>
      </c>
      <c r="E54" s="187">
        <v>700</v>
      </c>
      <c r="F54" s="187">
        <v>15000</v>
      </c>
      <c r="G54" s="187">
        <f t="shared" si="56"/>
        <v>2400</v>
      </c>
      <c r="H54" s="187">
        <f t="shared" si="56"/>
        <v>25000</v>
      </c>
      <c r="I54" s="187">
        <f t="shared" si="56"/>
        <v>5000</v>
      </c>
      <c r="J54" s="187">
        <v>40000</v>
      </c>
      <c r="K54" s="187">
        <f t="shared" si="56"/>
        <v>5000</v>
      </c>
      <c r="L54" s="187">
        <v>40000</v>
      </c>
      <c r="M54" s="110">
        <v>9.5</v>
      </c>
      <c r="N54" s="110">
        <f>VLOOKUP(DATE(YEAR(A54),MONTH(A54),DAY(A54)),FY24_Temp[],3,FALSE)</f>
        <v>12.8</v>
      </c>
      <c r="O54" s="110">
        <f t="shared" si="3"/>
        <v>11.5</v>
      </c>
      <c r="P54" s="110">
        <f t="shared" si="4"/>
        <v>19.5</v>
      </c>
      <c r="Q54" s="111">
        <f>VLOOKUP(VLOOKUP(DATEVALUE(TEXT(A54,"m/d/yyyy")),FY24_Temp[],5,FALSE)&amp;TEXT(A54,"-h"),TempDelta[],4,FALSE)</f>
        <v>3.0428571701049805</v>
      </c>
      <c r="R54" s="112">
        <v>10</v>
      </c>
      <c r="S54" s="112">
        <v>1500</v>
      </c>
      <c r="T54" s="99">
        <f>VLOOKUP(TEXT(A54,"yy-mm")&amp;"-"&amp;IF(AND(WEEKDAY(A54)&gt;1,WEEKDAY(A54)&lt;7),"Wkd",TEXT(A54,"Ddd"))&amp;"-"&amp;TEXT(A54,"hh"),LoadTable[],3,FALSE)*0.92</f>
        <v>279.25312000000002</v>
      </c>
      <c r="U54" s="113">
        <f t="shared" si="5"/>
        <v>27.925312000000002</v>
      </c>
    </row>
    <row r="55" spans="1:21" ht="15" thickBot="1">
      <c r="A55" s="29">
        <f t="shared" si="43"/>
        <v>45838.16666666852</v>
      </c>
      <c r="B55" s="187">
        <f t="shared" ref="B55:L55" si="57">B79</f>
        <v>5000</v>
      </c>
      <c r="C55" s="187">
        <f t="shared" si="57"/>
        <v>25000</v>
      </c>
      <c r="D55" s="187">
        <v>0</v>
      </c>
      <c r="E55" s="187">
        <v>700</v>
      </c>
      <c r="F55" s="187">
        <v>15000</v>
      </c>
      <c r="G55" s="187">
        <f t="shared" si="57"/>
        <v>2400</v>
      </c>
      <c r="H55" s="187">
        <f t="shared" si="57"/>
        <v>25000</v>
      </c>
      <c r="I55" s="187">
        <f t="shared" si="57"/>
        <v>5000</v>
      </c>
      <c r="J55" s="187">
        <v>40000</v>
      </c>
      <c r="K55" s="187">
        <f t="shared" si="57"/>
        <v>5000</v>
      </c>
      <c r="L55" s="187">
        <v>40000</v>
      </c>
      <c r="M55" s="110">
        <v>9.5</v>
      </c>
      <c r="N55" s="110">
        <f>VLOOKUP(DATE(YEAR(A55),MONTH(A55),DAY(A55)),FY24_Temp[],3,FALSE)</f>
        <v>12.8</v>
      </c>
      <c r="O55" s="110">
        <f t="shared" si="3"/>
        <v>11.5</v>
      </c>
      <c r="P55" s="110">
        <f t="shared" si="4"/>
        <v>19.5</v>
      </c>
      <c r="Q55" s="111">
        <f>VLOOKUP(VLOOKUP(DATEVALUE(TEXT(A55,"m/d/yyyy")),FY24_Temp[],5,FALSE)&amp;TEXT(A55,"-h"),TempDelta[],4,FALSE)</f>
        <v>2.9580000468662808</v>
      </c>
      <c r="R55" s="112">
        <v>10</v>
      </c>
      <c r="S55" s="112">
        <v>1500</v>
      </c>
      <c r="T55" s="99">
        <f>VLOOKUP(TEXT(A55,"yy-mm")&amp;"-"&amp;IF(AND(WEEKDAY(A55)&gt;1,WEEKDAY(A55)&lt;7),"Wkd",TEXT(A55,"Ddd"))&amp;"-"&amp;TEXT(A55,"hh"),LoadTable[],3,FALSE)*0.92</f>
        <v>279.25312000000002</v>
      </c>
      <c r="U55" s="113">
        <f t="shared" si="5"/>
        <v>27.925312000000002</v>
      </c>
    </row>
    <row r="56" spans="1:21" ht="15" thickBot="1">
      <c r="A56" s="29">
        <f t="shared" si="43"/>
        <v>45838.208333335184</v>
      </c>
      <c r="B56" s="187">
        <f t="shared" ref="B56:L56" si="58">B80</f>
        <v>5000</v>
      </c>
      <c r="C56" s="187">
        <f t="shared" si="58"/>
        <v>25000</v>
      </c>
      <c r="D56" s="187">
        <v>0</v>
      </c>
      <c r="E56" s="187">
        <v>700</v>
      </c>
      <c r="F56" s="187">
        <v>15000</v>
      </c>
      <c r="G56" s="187">
        <f t="shared" si="58"/>
        <v>2400</v>
      </c>
      <c r="H56" s="187">
        <f t="shared" si="58"/>
        <v>25000</v>
      </c>
      <c r="I56" s="187">
        <f t="shared" si="58"/>
        <v>5000</v>
      </c>
      <c r="J56" s="187">
        <v>40000</v>
      </c>
      <c r="K56" s="187">
        <f t="shared" si="58"/>
        <v>5000</v>
      </c>
      <c r="L56" s="187">
        <v>40000</v>
      </c>
      <c r="M56" s="110">
        <v>9.5</v>
      </c>
      <c r="N56" s="110">
        <f>VLOOKUP(DATE(YEAR(A56),MONTH(A56),DAY(A56)),FY24_Temp[],3,FALSE)</f>
        <v>12.8</v>
      </c>
      <c r="O56" s="110">
        <f t="shared" si="3"/>
        <v>11.5</v>
      </c>
      <c r="P56" s="110">
        <f t="shared" si="4"/>
        <v>19.5</v>
      </c>
      <c r="Q56" s="111">
        <f>VLOOKUP(VLOOKUP(DATEVALUE(TEXT(A56,"m/d/yyyy")),FY24_Temp[],5,FALSE)&amp;TEXT(A56,"-h"),TempDelta[],4,FALSE)</f>
        <v>2.8608571801866804</v>
      </c>
      <c r="R56" s="112">
        <v>10</v>
      </c>
      <c r="S56" s="112">
        <v>1500</v>
      </c>
      <c r="T56" s="99">
        <f>VLOOKUP(TEXT(A56,"yy-mm")&amp;"-"&amp;IF(AND(WEEKDAY(A56)&gt;1,WEEKDAY(A56)&lt;7),"Wkd",TEXT(A56,"Ddd"))&amp;"-"&amp;TEXT(A56,"hh"),LoadTable[],3,FALSE)*0.92</f>
        <v>279.25312000000002</v>
      </c>
      <c r="U56" s="113">
        <f t="shared" si="5"/>
        <v>27.925312000000002</v>
      </c>
    </row>
    <row r="57" spans="1:21" ht="15" thickBot="1">
      <c r="A57" s="29">
        <f t="shared" si="43"/>
        <v>45838.250000001848</v>
      </c>
      <c r="B57" s="187">
        <f t="shared" ref="B57:L57" si="59">B81</f>
        <v>8000</v>
      </c>
      <c r="C57" s="187">
        <f t="shared" si="59"/>
        <v>25000</v>
      </c>
      <c r="D57" s="187">
        <v>0</v>
      </c>
      <c r="E57" s="187">
        <v>700</v>
      </c>
      <c r="F57" s="187">
        <v>15000</v>
      </c>
      <c r="G57" s="187">
        <f t="shared" si="59"/>
        <v>2400</v>
      </c>
      <c r="H57" s="187">
        <f t="shared" si="59"/>
        <v>25000</v>
      </c>
      <c r="I57" s="187">
        <f t="shared" si="59"/>
        <v>8000</v>
      </c>
      <c r="J57" s="187">
        <v>40000</v>
      </c>
      <c r="K57" s="187">
        <f t="shared" si="59"/>
        <v>8000</v>
      </c>
      <c r="L57" s="187">
        <v>40000</v>
      </c>
      <c r="M57" s="110">
        <v>9.5</v>
      </c>
      <c r="N57" s="110">
        <f>VLOOKUP(DATE(YEAR(A57),MONTH(A57),DAY(A57)),FY24_Temp[],3,FALSE)</f>
        <v>12.8</v>
      </c>
      <c r="O57" s="110">
        <f t="shared" si="3"/>
        <v>11.5</v>
      </c>
      <c r="P57" s="110">
        <f t="shared" si="4"/>
        <v>19.5</v>
      </c>
      <c r="Q57" s="111">
        <f>VLOOKUP(VLOOKUP(DATEVALUE(TEXT(A57,"m/d/yyyy")),FY24_Temp[],5,FALSE)&amp;TEXT(A57,"-h"),TempDelta[],4,FALSE)</f>
        <v>2.7405714307512556</v>
      </c>
      <c r="R57" s="112">
        <v>10</v>
      </c>
      <c r="S57" s="112">
        <v>1500</v>
      </c>
      <c r="T57" s="99">
        <f>VLOOKUP(TEXT(A57,"yy-mm")&amp;"-"&amp;IF(AND(WEEKDAY(A57)&gt;1,WEEKDAY(A57)&lt;7),"Wkd",TEXT(A57,"Ddd"))&amp;"-"&amp;TEXT(A57,"hh"),LoadTable[],3,FALSE)*0.92</f>
        <v>279.25312000000002</v>
      </c>
      <c r="U57" s="113">
        <f t="shared" si="5"/>
        <v>27.925312000000002</v>
      </c>
    </row>
    <row r="58" spans="1:21" ht="15" thickBot="1">
      <c r="A58" s="29">
        <f t="shared" si="43"/>
        <v>45838.291666668512</v>
      </c>
      <c r="B58" s="187">
        <f t="shared" ref="B58:L58" si="60">B82</f>
        <v>8000</v>
      </c>
      <c r="C58" s="187">
        <f t="shared" si="60"/>
        <v>25000</v>
      </c>
      <c r="D58" s="187">
        <v>0</v>
      </c>
      <c r="E58" s="187">
        <v>700</v>
      </c>
      <c r="F58" s="187">
        <v>15000</v>
      </c>
      <c r="G58" s="187">
        <f t="shared" si="60"/>
        <v>2400</v>
      </c>
      <c r="H58" s="187">
        <f t="shared" si="60"/>
        <v>25000</v>
      </c>
      <c r="I58" s="187">
        <f t="shared" si="60"/>
        <v>8000</v>
      </c>
      <c r="J58" s="187">
        <v>40000</v>
      </c>
      <c r="K58" s="187">
        <f t="shared" si="60"/>
        <v>8000</v>
      </c>
      <c r="L58" s="187">
        <v>40000</v>
      </c>
      <c r="M58" s="110">
        <v>9.5</v>
      </c>
      <c r="N58" s="110">
        <f>VLOOKUP(DATE(YEAR(A58),MONTH(A58),DAY(A58)),FY24_Temp[],3,FALSE)</f>
        <v>12.8</v>
      </c>
      <c r="O58" s="110">
        <f t="shared" si="3"/>
        <v>11.5</v>
      </c>
      <c r="P58" s="110">
        <f t="shared" si="4"/>
        <v>19.5</v>
      </c>
      <c r="Q58" s="111">
        <f>VLOOKUP(VLOOKUP(DATEVALUE(TEXT(A58,"m/d/yyyy")),FY24_Temp[],5,FALSE)&amp;TEXT(A58,"-h"),TempDelta[],4,FALSE)</f>
        <v>2.6134285245622908</v>
      </c>
      <c r="R58" s="112">
        <v>10</v>
      </c>
      <c r="S58" s="112">
        <v>1500</v>
      </c>
      <c r="T58" s="99">
        <f>VLOOKUP(TEXT(A58,"yy-mm")&amp;"-"&amp;IF(AND(WEEKDAY(A58)&gt;1,WEEKDAY(A58)&lt;7),"Wkd",TEXT(A58,"Ddd"))&amp;"-"&amp;TEXT(A58,"hh"),LoadTable[],3,FALSE)*0.92</f>
        <v>279.25312000000002</v>
      </c>
      <c r="U58" s="113">
        <f t="shared" si="5"/>
        <v>27.925312000000002</v>
      </c>
    </row>
    <row r="59" spans="1:21" ht="15" thickBot="1">
      <c r="A59" s="29">
        <f t="shared" si="43"/>
        <v>45838.333333335177</v>
      </c>
      <c r="B59" s="187">
        <f t="shared" ref="B59:L59" si="61">B83</f>
        <v>8000</v>
      </c>
      <c r="C59" s="187">
        <f t="shared" si="61"/>
        <v>25000</v>
      </c>
      <c r="D59" s="187">
        <v>0</v>
      </c>
      <c r="E59" s="187">
        <v>700</v>
      </c>
      <c r="F59" s="187">
        <v>15000</v>
      </c>
      <c r="G59" s="187">
        <f t="shared" si="61"/>
        <v>2400</v>
      </c>
      <c r="H59" s="187">
        <f t="shared" si="61"/>
        <v>25000</v>
      </c>
      <c r="I59" s="187">
        <f t="shared" si="61"/>
        <v>8000</v>
      </c>
      <c r="J59" s="187">
        <v>40000</v>
      </c>
      <c r="K59" s="187">
        <f t="shared" si="61"/>
        <v>8000</v>
      </c>
      <c r="L59" s="187">
        <v>40000</v>
      </c>
      <c r="M59" s="110">
        <v>9.5</v>
      </c>
      <c r="N59" s="110">
        <f>VLOOKUP(DATE(YEAR(A59),MONTH(A59),DAY(A59)),FY24_Temp[],3,FALSE)</f>
        <v>12.8</v>
      </c>
      <c r="O59" s="110">
        <f t="shared" si="3"/>
        <v>11.5</v>
      </c>
      <c r="P59" s="110">
        <f t="shared" si="4"/>
        <v>19.5</v>
      </c>
      <c r="Q59" s="111">
        <f>VLOOKUP(VLOOKUP(DATEVALUE(TEXT(A59,"m/d/yyyy")),FY24_Temp[],5,FALSE)&amp;TEXT(A59,"-h"),TempDelta[],4,FALSE)</f>
        <v>2.44985716683524</v>
      </c>
      <c r="R59" s="112">
        <v>10</v>
      </c>
      <c r="S59" s="112">
        <v>1500</v>
      </c>
      <c r="T59" s="99">
        <f>VLOOKUP(TEXT(A59,"yy-mm")&amp;"-"&amp;IF(AND(WEEKDAY(A59)&gt;1,WEEKDAY(A59)&lt;7),"Wkd",TEXT(A59,"Ddd"))&amp;"-"&amp;TEXT(A59,"hh"),LoadTable[],3,FALSE)*0.92</f>
        <v>279.25312000000002</v>
      </c>
      <c r="U59" s="113">
        <f t="shared" si="5"/>
        <v>27.925312000000002</v>
      </c>
    </row>
    <row r="60" spans="1:21" ht="15" thickBot="1">
      <c r="A60" s="29">
        <f t="shared" si="43"/>
        <v>45838.375000001841</v>
      </c>
      <c r="B60" s="187">
        <f t="shared" ref="B60:L60" si="62">B84</f>
        <v>8000</v>
      </c>
      <c r="C60" s="187">
        <f t="shared" si="62"/>
        <v>25000</v>
      </c>
      <c r="D60" s="187">
        <v>0</v>
      </c>
      <c r="E60" s="187">
        <v>700</v>
      </c>
      <c r="F60" s="187">
        <v>15000</v>
      </c>
      <c r="G60" s="187">
        <f t="shared" si="62"/>
        <v>2400</v>
      </c>
      <c r="H60" s="187">
        <f t="shared" si="62"/>
        <v>25000</v>
      </c>
      <c r="I60" s="187">
        <f t="shared" si="62"/>
        <v>8000</v>
      </c>
      <c r="J60" s="187">
        <v>40000</v>
      </c>
      <c r="K60" s="187">
        <f t="shared" si="62"/>
        <v>8000</v>
      </c>
      <c r="L60" s="187">
        <v>40000</v>
      </c>
      <c r="M60" s="110">
        <v>9.5</v>
      </c>
      <c r="N60" s="110">
        <f>VLOOKUP(DATE(YEAR(A60),MONTH(A60),DAY(A60)),FY24_Temp[],3,FALSE)</f>
        <v>12.8</v>
      </c>
      <c r="O60" s="110">
        <f t="shared" si="3"/>
        <v>11.5</v>
      </c>
      <c r="P60" s="110">
        <f t="shared" si="4"/>
        <v>19.5</v>
      </c>
      <c r="Q60" s="111">
        <f>VLOOKUP(VLOOKUP(DATEVALUE(TEXT(A60,"m/d/yyyy")),FY24_Temp[],5,FALSE)&amp;TEXT(A60,"-h"),TempDelta[],4,FALSE)</f>
        <v>2.2458571025303433</v>
      </c>
      <c r="R60" s="112">
        <v>10</v>
      </c>
      <c r="S60" s="112">
        <v>1500</v>
      </c>
      <c r="T60" s="99">
        <f>VLOOKUP(TEXT(A60,"yy-mm")&amp;"-"&amp;IF(AND(WEEKDAY(A60)&gt;1,WEEKDAY(A60)&lt;7),"Wkd",TEXT(A60,"Ddd"))&amp;"-"&amp;TEXT(A60,"hh"),LoadTable[],3,FALSE)*0.92</f>
        <v>279.25312000000002</v>
      </c>
      <c r="U60" s="113">
        <f t="shared" si="5"/>
        <v>27.925312000000002</v>
      </c>
    </row>
    <row r="61" spans="1:21" ht="15" thickBot="1">
      <c r="A61" s="29">
        <f t="shared" si="43"/>
        <v>45838.416666668505</v>
      </c>
      <c r="B61" s="187">
        <f t="shared" ref="B61:L61" si="63">B85</f>
        <v>8000</v>
      </c>
      <c r="C61" s="187">
        <f t="shared" si="63"/>
        <v>25000</v>
      </c>
      <c r="D61" s="187">
        <v>0</v>
      </c>
      <c r="E61" s="187">
        <v>700</v>
      </c>
      <c r="F61" s="187">
        <v>15000</v>
      </c>
      <c r="G61" s="187">
        <f t="shared" si="63"/>
        <v>2400</v>
      </c>
      <c r="H61" s="187">
        <f t="shared" si="63"/>
        <v>25000</v>
      </c>
      <c r="I61" s="187">
        <f t="shared" si="63"/>
        <v>8000</v>
      </c>
      <c r="J61" s="187">
        <v>40000</v>
      </c>
      <c r="K61" s="187">
        <f t="shared" si="63"/>
        <v>8000</v>
      </c>
      <c r="L61" s="187">
        <v>40000</v>
      </c>
      <c r="M61" s="110">
        <v>9.5</v>
      </c>
      <c r="N61" s="110">
        <f>VLOOKUP(DATE(YEAR(A61),MONTH(A61),DAY(A61)),FY24_Temp[],3,FALSE)</f>
        <v>12.8</v>
      </c>
      <c r="O61" s="110">
        <f t="shared" si="3"/>
        <v>11.5</v>
      </c>
      <c r="P61" s="110">
        <f t="shared" si="4"/>
        <v>19.5</v>
      </c>
      <c r="Q61" s="111">
        <f>VLOOKUP(VLOOKUP(DATEVALUE(TEXT(A61,"m/d/yyyy")),FY24_Temp[],5,FALSE)&amp;TEXT(A61,"-h"),TempDelta[],4,FALSE)</f>
        <v>2.0832857234137401</v>
      </c>
      <c r="R61" s="112">
        <v>10</v>
      </c>
      <c r="S61" s="112">
        <v>1500</v>
      </c>
      <c r="T61" s="99">
        <f>VLOOKUP(TEXT(A61,"yy-mm")&amp;"-"&amp;IF(AND(WEEKDAY(A61)&gt;1,WEEKDAY(A61)&lt;7),"Wkd",TEXT(A61,"Ddd"))&amp;"-"&amp;TEXT(A61,"hh"),LoadTable[],3,FALSE)*0.92</f>
        <v>279.25312000000002</v>
      </c>
      <c r="U61" s="113">
        <f t="shared" si="5"/>
        <v>27.925312000000002</v>
      </c>
    </row>
    <row r="62" spans="1:21" ht="15" thickBot="1">
      <c r="A62" s="29">
        <f t="shared" si="43"/>
        <v>45838.458333335169</v>
      </c>
      <c r="B62" s="187">
        <f t="shared" ref="B62:L62" si="64">B86</f>
        <v>8000</v>
      </c>
      <c r="C62" s="187">
        <f t="shared" si="64"/>
        <v>25000</v>
      </c>
      <c r="D62" s="187">
        <v>0</v>
      </c>
      <c r="E62" s="187">
        <v>700</v>
      </c>
      <c r="F62" s="187">
        <v>15000</v>
      </c>
      <c r="G62" s="187">
        <f t="shared" si="64"/>
        <v>2400</v>
      </c>
      <c r="H62" s="187">
        <f t="shared" si="64"/>
        <v>25000</v>
      </c>
      <c r="I62" s="187">
        <f t="shared" si="64"/>
        <v>8000</v>
      </c>
      <c r="J62" s="187">
        <v>40000</v>
      </c>
      <c r="K62" s="187">
        <f t="shared" si="64"/>
        <v>8000</v>
      </c>
      <c r="L62" s="187">
        <v>40000</v>
      </c>
      <c r="M62" s="110">
        <v>9.5</v>
      </c>
      <c r="N62" s="110">
        <f>VLOOKUP(DATE(YEAR(A62),MONTH(A62),DAY(A62)),FY24_Temp[],3,FALSE)</f>
        <v>12.8</v>
      </c>
      <c r="O62" s="110">
        <f t="shared" si="3"/>
        <v>11.5</v>
      </c>
      <c r="P62" s="110">
        <f t="shared" si="4"/>
        <v>19.5</v>
      </c>
      <c r="Q62" s="111">
        <f>VLOOKUP(VLOOKUP(DATEVALUE(TEXT(A62,"m/d/yyyy")),FY24_Temp[],5,FALSE)&amp;TEXT(A62,"-h"),TempDelta[],4,FALSE)</f>
        <v>1.8928571258272444</v>
      </c>
      <c r="R62" s="112">
        <v>10</v>
      </c>
      <c r="S62" s="112">
        <v>1500</v>
      </c>
      <c r="T62" s="99">
        <f>VLOOKUP(TEXT(A62,"yy-mm")&amp;"-"&amp;IF(AND(WEEKDAY(A62)&gt;1,WEEKDAY(A62)&lt;7),"Wkd",TEXT(A62,"Ddd"))&amp;"-"&amp;TEXT(A62,"hh"),LoadTable[],3,FALSE)*0.92</f>
        <v>279.25312000000002</v>
      </c>
      <c r="U62" s="113">
        <f t="shared" si="5"/>
        <v>27.925312000000002</v>
      </c>
    </row>
    <row r="63" spans="1:21" ht="15" thickBot="1">
      <c r="A63" s="29">
        <f t="shared" si="43"/>
        <v>45838.500000001834</v>
      </c>
      <c r="B63" s="187">
        <f t="shared" ref="B63:L63" si="65">B87</f>
        <v>8000</v>
      </c>
      <c r="C63" s="187">
        <f t="shared" si="65"/>
        <v>25000</v>
      </c>
      <c r="D63" s="187">
        <v>0</v>
      </c>
      <c r="E63" s="187">
        <v>700</v>
      </c>
      <c r="F63" s="187">
        <v>15000</v>
      </c>
      <c r="G63" s="187">
        <f t="shared" si="65"/>
        <v>2400</v>
      </c>
      <c r="H63" s="187">
        <f t="shared" si="65"/>
        <v>25000</v>
      </c>
      <c r="I63" s="187">
        <f t="shared" si="65"/>
        <v>8000</v>
      </c>
      <c r="J63" s="187">
        <v>40000</v>
      </c>
      <c r="K63" s="187">
        <f t="shared" si="65"/>
        <v>8000</v>
      </c>
      <c r="L63" s="187">
        <v>40000</v>
      </c>
      <c r="M63" s="110">
        <v>9.5</v>
      </c>
      <c r="N63" s="110">
        <f>VLOOKUP(DATE(YEAR(A63),MONTH(A63),DAY(A63)),FY24_Temp[],3,FALSE)</f>
        <v>12.8</v>
      </c>
      <c r="O63" s="110">
        <f t="shared" si="3"/>
        <v>11.5</v>
      </c>
      <c r="P63" s="110">
        <f t="shared" si="4"/>
        <v>19.5</v>
      </c>
      <c r="Q63" s="111">
        <f>VLOOKUP(VLOOKUP(DATEVALUE(TEXT(A63,"m/d/yyyy")),FY24_Temp[],5,FALSE)&amp;TEXT(A63,"-h"),TempDelta[],4,FALSE)</f>
        <v>1.665857127734593</v>
      </c>
      <c r="R63" s="112">
        <v>10</v>
      </c>
      <c r="S63" s="112">
        <v>1500</v>
      </c>
      <c r="T63" s="99">
        <f>VLOOKUP(TEXT(A63,"yy-mm")&amp;"-"&amp;IF(AND(WEEKDAY(A63)&gt;1,WEEKDAY(A63)&lt;7),"Wkd",TEXT(A63,"Ddd"))&amp;"-"&amp;TEXT(A63,"hh"),LoadTable[],3,FALSE)*0.92</f>
        <v>279.25312000000002</v>
      </c>
      <c r="U63" s="113">
        <f t="shared" si="5"/>
        <v>27.925312000000002</v>
      </c>
    </row>
    <row r="64" spans="1:21" ht="15" thickBot="1">
      <c r="A64" s="29">
        <f t="shared" si="43"/>
        <v>45838.541666668498</v>
      </c>
      <c r="B64" s="187">
        <f t="shared" ref="B64:L64" si="66">B88</f>
        <v>8000</v>
      </c>
      <c r="C64" s="187">
        <f t="shared" si="66"/>
        <v>25000</v>
      </c>
      <c r="D64" s="187">
        <v>0</v>
      </c>
      <c r="E64" s="187">
        <v>700</v>
      </c>
      <c r="F64" s="187">
        <v>15000</v>
      </c>
      <c r="G64" s="187">
        <f t="shared" si="66"/>
        <v>2400</v>
      </c>
      <c r="H64" s="187">
        <f t="shared" si="66"/>
        <v>25000</v>
      </c>
      <c r="I64" s="187">
        <f t="shared" si="66"/>
        <v>8000</v>
      </c>
      <c r="J64" s="187">
        <v>40000</v>
      </c>
      <c r="K64" s="187">
        <f t="shared" si="66"/>
        <v>8000</v>
      </c>
      <c r="L64" s="187">
        <v>40000</v>
      </c>
      <c r="M64" s="110">
        <v>9.5</v>
      </c>
      <c r="N64" s="110">
        <f>VLOOKUP(DATE(YEAR(A64),MONTH(A64),DAY(A64)),FY24_Temp[],3,FALSE)</f>
        <v>12.8</v>
      </c>
      <c r="O64" s="110">
        <f t="shared" si="3"/>
        <v>11.5</v>
      </c>
      <c r="P64" s="110">
        <f t="shared" si="4"/>
        <v>19.5</v>
      </c>
      <c r="Q64" s="111">
        <f>VLOOKUP(VLOOKUP(DATEVALUE(TEXT(A64,"m/d/yyyy")),FY24_Temp[],5,FALSE)&amp;TEXT(A64,"-h"),TempDelta[],4,FALSE)</f>
        <v>1.4252856969833374</v>
      </c>
      <c r="R64" s="112">
        <v>10</v>
      </c>
      <c r="S64" s="112">
        <v>1500</v>
      </c>
      <c r="T64" s="99">
        <f>VLOOKUP(TEXT(A64,"yy-mm")&amp;"-"&amp;IF(AND(WEEKDAY(A64)&gt;1,WEEKDAY(A64)&lt;7),"Wkd",TEXT(A64,"Ddd"))&amp;"-"&amp;TEXT(A64,"hh"),LoadTable[],3,FALSE)*0.92</f>
        <v>279.25312000000002</v>
      </c>
      <c r="U64" s="113">
        <f t="shared" si="5"/>
        <v>27.925312000000002</v>
      </c>
    </row>
    <row r="65" spans="1:21" ht="15" thickBot="1">
      <c r="A65" s="29">
        <f t="shared" si="43"/>
        <v>45838.583333335162</v>
      </c>
      <c r="B65" s="187">
        <f t="shared" ref="B65:L65" si="67">B89</f>
        <v>8000</v>
      </c>
      <c r="C65" s="187">
        <f t="shared" si="67"/>
        <v>25000</v>
      </c>
      <c r="D65" s="187">
        <v>0</v>
      </c>
      <c r="E65" s="187">
        <v>700</v>
      </c>
      <c r="F65" s="187">
        <v>15000</v>
      </c>
      <c r="G65" s="187">
        <f t="shared" si="67"/>
        <v>2400</v>
      </c>
      <c r="H65" s="187">
        <f t="shared" si="67"/>
        <v>25000</v>
      </c>
      <c r="I65" s="187">
        <f t="shared" si="67"/>
        <v>8000</v>
      </c>
      <c r="J65" s="187">
        <v>40000</v>
      </c>
      <c r="K65" s="187">
        <f t="shared" si="67"/>
        <v>8000</v>
      </c>
      <c r="L65" s="187">
        <v>40000</v>
      </c>
      <c r="M65" s="110">
        <v>9.5</v>
      </c>
      <c r="N65" s="110">
        <f>VLOOKUP(DATE(YEAR(A65),MONTH(A65),DAY(A65)),FY24_Temp[],3,FALSE)</f>
        <v>12.8</v>
      </c>
      <c r="O65" s="110">
        <f t="shared" si="3"/>
        <v>11.5</v>
      </c>
      <c r="P65" s="110">
        <f t="shared" si="4"/>
        <v>19.5</v>
      </c>
      <c r="Q65" s="111">
        <f>VLOOKUP(VLOOKUP(DATEVALUE(TEXT(A65,"m/d/yyyy")),FY24_Temp[],5,FALSE)&amp;TEXT(A65,"-h"),TempDelta[],4,FALSE)</f>
        <v>1.2351428781236922</v>
      </c>
      <c r="R65" s="112">
        <v>10</v>
      </c>
      <c r="S65" s="112">
        <v>1500</v>
      </c>
      <c r="T65" s="99">
        <f>VLOOKUP(TEXT(A65,"yy-mm")&amp;"-"&amp;IF(AND(WEEKDAY(A65)&gt;1,WEEKDAY(A65)&lt;7),"Wkd",TEXT(A65,"Ddd"))&amp;"-"&amp;TEXT(A65,"hh"),LoadTable[],3,FALSE)*0.92</f>
        <v>373.26607999999999</v>
      </c>
      <c r="U65" s="113">
        <f t="shared" si="5"/>
        <v>37.326608</v>
      </c>
    </row>
    <row r="66" spans="1:21" ht="15" thickBot="1">
      <c r="A66" s="29">
        <f t="shared" si="43"/>
        <v>45838.625000001826</v>
      </c>
      <c r="B66" s="187">
        <f t="shared" ref="B66:L66" si="68">B90</f>
        <v>8000</v>
      </c>
      <c r="C66" s="187">
        <f t="shared" si="68"/>
        <v>25000</v>
      </c>
      <c r="D66" s="187">
        <v>0</v>
      </c>
      <c r="E66" s="187">
        <v>700</v>
      </c>
      <c r="F66" s="187">
        <v>15000</v>
      </c>
      <c r="G66" s="187">
        <f t="shared" si="68"/>
        <v>2400</v>
      </c>
      <c r="H66" s="187">
        <f t="shared" si="68"/>
        <v>25000</v>
      </c>
      <c r="I66" s="187">
        <f t="shared" si="68"/>
        <v>8000</v>
      </c>
      <c r="J66" s="187">
        <v>40000</v>
      </c>
      <c r="K66" s="187">
        <f t="shared" si="68"/>
        <v>8000</v>
      </c>
      <c r="L66" s="187">
        <v>40000</v>
      </c>
      <c r="M66" s="110">
        <v>9.5</v>
      </c>
      <c r="N66" s="110">
        <f>VLOOKUP(DATE(YEAR(A66),MONTH(A66),DAY(A66)),FY24_Temp[],3,FALSE)</f>
        <v>12.8</v>
      </c>
      <c r="O66" s="110">
        <f t="shared" si="3"/>
        <v>11.5</v>
      </c>
      <c r="P66" s="110">
        <f t="shared" si="4"/>
        <v>19.5</v>
      </c>
      <c r="Q66" s="111">
        <f>VLOOKUP(VLOOKUP(DATEVALUE(TEXT(A66,"m/d/yyyy")),FY24_Temp[],5,FALSE)&amp;TEXT(A66,"-h"),TempDelta[],4,FALSE)</f>
        <v>0.97514284508568905</v>
      </c>
      <c r="R66" s="112">
        <v>10</v>
      </c>
      <c r="S66" s="112">
        <v>1500</v>
      </c>
      <c r="T66" s="99">
        <f>VLOOKUP(TEXT(A66,"yy-mm")&amp;"-"&amp;IF(AND(WEEKDAY(A66)&gt;1,WEEKDAY(A66)&lt;7),"Wkd",TEXT(A66,"Ddd"))&amp;"-"&amp;TEXT(A66,"hh"),LoadTable[],3,FALSE)*0.92</f>
        <v>494.57360000000006</v>
      </c>
      <c r="U66" s="113">
        <f t="shared" si="5"/>
        <v>49.457360000000008</v>
      </c>
    </row>
    <row r="67" spans="1:21" ht="15" thickBot="1">
      <c r="A67" s="29">
        <f t="shared" si="43"/>
        <v>45838.666666668491</v>
      </c>
      <c r="B67" s="187">
        <f t="shared" ref="B67:L67" si="69">B91</f>
        <v>8000</v>
      </c>
      <c r="C67" s="187">
        <f t="shared" si="69"/>
        <v>25000</v>
      </c>
      <c r="D67" s="187">
        <v>0</v>
      </c>
      <c r="E67" s="187">
        <v>700</v>
      </c>
      <c r="F67" s="187">
        <v>15000</v>
      </c>
      <c r="G67" s="187">
        <f t="shared" si="69"/>
        <v>2400</v>
      </c>
      <c r="H67" s="187">
        <f t="shared" si="69"/>
        <v>25000</v>
      </c>
      <c r="I67" s="187">
        <f t="shared" si="69"/>
        <v>8000</v>
      </c>
      <c r="J67" s="187">
        <v>40000</v>
      </c>
      <c r="K67" s="187">
        <f t="shared" si="69"/>
        <v>8000</v>
      </c>
      <c r="L67" s="187">
        <v>40000</v>
      </c>
      <c r="M67" s="110">
        <v>9.5</v>
      </c>
      <c r="N67" s="110">
        <f>VLOOKUP(DATE(YEAR(A67),MONTH(A67),DAY(A67)),FY24_Temp[],3,FALSE)</f>
        <v>12.8</v>
      </c>
      <c r="O67" s="110">
        <f t="shared" si="3"/>
        <v>11.5</v>
      </c>
      <c r="P67" s="110">
        <f t="shared" si="4"/>
        <v>19.5</v>
      </c>
      <c r="Q67" s="111">
        <f>VLOOKUP(VLOOKUP(DATEVALUE(TEXT(A67,"m/d/yyyy")),FY24_Temp[],5,FALSE)&amp;TEXT(A67,"-h"),TempDelta[],4,FALSE)</f>
        <v>0.88578571166310993</v>
      </c>
      <c r="R67" s="112">
        <v>10</v>
      </c>
      <c r="S67" s="112">
        <v>1500</v>
      </c>
      <c r="T67" s="99">
        <f>VLOOKUP(TEXT(A67,"yy-mm")&amp;"-"&amp;IF(AND(WEEKDAY(A67)&gt;1,WEEKDAY(A67)&lt;7),"Wkd",TEXT(A67,"Ddd"))&amp;"-"&amp;TEXT(A67,"hh"),LoadTable[],3,FALSE)*0.92</f>
        <v>494.57360000000006</v>
      </c>
      <c r="U67" s="113">
        <f t="shared" si="5"/>
        <v>49.457360000000008</v>
      </c>
    </row>
    <row r="68" spans="1:21" ht="15" thickBot="1">
      <c r="A68" s="29">
        <f t="shared" si="43"/>
        <v>45838.708333335155</v>
      </c>
      <c r="B68" s="187">
        <f t="shared" ref="B68:L68" si="70">B92</f>
        <v>8000</v>
      </c>
      <c r="C68" s="187">
        <f t="shared" si="70"/>
        <v>25000</v>
      </c>
      <c r="D68" s="187">
        <v>0</v>
      </c>
      <c r="E68" s="187">
        <v>700</v>
      </c>
      <c r="F68" s="187">
        <v>15000</v>
      </c>
      <c r="G68" s="187">
        <f t="shared" si="70"/>
        <v>2400</v>
      </c>
      <c r="H68" s="187">
        <f t="shared" si="70"/>
        <v>25000</v>
      </c>
      <c r="I68" s="187">
        <f t="shared" si="70"/>
        <v>8000</v>
      </c>
      <c r="J68" s="187">
        <v>40000</v>
      </c>
      <c r="K68" s="187">
        <f t="shared" si="70"/>
        <v>8000</v>
      </c>
      <c r="L68" s="187">
        <v>40000</v>
      </c>
      <c r="M68" s="110">
        <v>9.5</v>
      </c>
      <c r="N68" s="110">
        <f>VLOOKUP(DATE(YEAR(A68),MONTH(A68),DAY(A68)),FY24_Temp[],3,FALSE)</f>
        <v>12.8</v>
      </c>
      <c r="O68" s="110">
        <f t="shared" ref="O68:O131" si="71">15.5-4</f>
        <v>11.5</v>
      </c>
      <c r="P68" s="110">
        <f t="shared" ref="P68:P131" si="72">15.5+4</f>
        <v>19.5</v>
      </c>
      <c r="Q68" s="111">
        <f>VLOOKUP(VLOOKUP(DATEVALUE(TEXT(A68,"m/d/yyyy")),FY24_Temp[],5,FALSE)&amp;TEXT(A68,"-h"),TempDelta[],4,FALSE)</f>
        <v>1.0356428495475225</v>
      </c>
      <c r="R68" s="112">
        <v>10</v>
      </c>
      <c r="S68" s="112">
        <v>1500</v>
      </c>
      <c r="T68" s="99">
        <f>VLOOKUP(TEXT(A68,"yy-mm")&amp;"-"&amp;IF(AND(WEEKDAY(A68)&gt;1,WEEKDAY(A68)&lt;7),"Wkd",TEXT(A68,"Ddd"))&amp;"-"&amp;TEXT(A68,"hh"),LoadTable[],3,FALSE)*0.92</f>
        <v>494.57360000000006</v>
      </c>
      <c r="U68" s="113">
        <f t="shared" ref="U68:U131" si="73">T68/10</f>
        <v>49.457360000000008</v>
      </c>
    </row>
    <row r="69" spans="1:21" ht="15" thickBot="1">
      <c r="A69" s="29">
        <f t="shared" si="43"/>
        <v>45838.750000001819</v>
      </c>
      <c r="B69" s="187">
        <f t="shared" ref="B69:L69" si="74">B93</f>
        <v>5000</v>
      </c>
      <c r="C69" s="187">
        <f t="shared" si="74"/>
        <v>25000</v>
      </c>
      <c r="D69" s="187">
        <v>0</v>
      </c>
      <c r="E69" s="187">
        <v>700</v>
      </c>
      <c r="F69" s="187">
        <v>15000</v>
      </c>
      <c r="G69" s="187">
        <f t="shared" si="74"/>
        <v>2400</v>
      </c>
      <c r="H69" s="187">
        <f t="shared" si="74"/>
        <v>25000</v>
      </c>
      <c r="I69" s="187">
        <f t="shared" si="74"/>
        <v>5000</v>
      </c>
      <c r="J69" s="187">
        <v>40000</v>
      </c>
      <c r="K69" s="187">
        <f t="shared" si="74"/>
        <v>5000</v>
      </c>
      <c r="L69" s="187">
        <v>40000</v>
      </c>
      <c r="M69" s="110">
        <v>9.5</v>
      </c>
      <c r="N69" s="110">
        <f>VLOOKUP(DATE(YEAR(A69),MONTH(A69),DAY(A69)),FY24_Temp[],3,FALSE)</f>
        <v>12.8</v>
      </c>
      <c r="O69" s="110">
        <f t="shared" si="71"/>
        <v>11.5</v>
      </c>
      <c r="P69" s="110">
        <f t="shared" si="72"/>
        <v>19.5</v>
      </c>
      <c r="Q69" s="111">
        <f>VLOOKUP(VLOOKUP(DATEVALUE(TEXT(A69,"m/d/yyyy")),FY24_Temp[],5,FALSE)&amp;TEXT(A69,"-h"),TempDelta[],4,FALSE)</f>
        <v>1.3991428358214242</v>
      </c>
      <c r="R69" s="112">
        <v>10</v>
      </c>
      <c r="S69" s="112">
        <v>1500</v>
      </c>
      <c r="T69" s="99">
        <f>VLOOKUP(TEXT(A69,"yy-mm")&amp;"-"&amp;IF(AND(WEEKDAY(A69)&gt;1,WEEKDAY(A69)&lt;7),"Wkd",TEXT(A69,"Ddd"))&amp;"-"&amp;TEXT(A69,"hh"),LoadTable[],3,FALSE)*0.92</f>
        <v>494.57360000000006</v>
      </c>
      <c r="U69" s="113">
        <f t="shared" si="73"/>
        <v>49.457360000000008</v>
      </c>
    </row>
    <row r="70" spans="1:21" ht="15" thickBot="1">
      <c r="A70" s="29">
        <f t="shared" si="43"/>
        <v>45838.791666668483</v>
      </c>
      <c r="B70" s="187">
        <f t="shared" ref="B70:L70" si="75">B94</f>
        <v>5000</v>
      </c>
      <c r="C70" s="187">
        <f t="shared" si="75"/>
        <v>25000</v>
      </c>
      <c r="D70" s="187">
        <v>0</v>
      </c>
      <c r="E70" s="187">
        <v>700</v>
      </c>
      <c r="F70" s="187">
        <v>15000</v>
      </c>
      <c r="G70" s="187">
        <f t="shared" si="75"/>
        <v>2400</v>
      </c>
      <c r="H70" s="187">
        <f t="shared" si="75"/>
        <v>25000</v>
      </c>
      <c r="I70" s="187">
        <f t="shared" si="75"/>
        <v>5000</v>
      </c>
      <c r="J70" s="187">
        <v>40000</v>
      </c>
      <c r="K70" s="187">
        <f t="shared" si="75"/>
        <v>5000</v>
      </c>
      <c r="L70" s="187">
        <v>40000</v>
      </c>
      <c r="M70" s="110">
        <v>9.5</v>
      </c>
      <c r="N70" s="110">
        <f>VLOOKUP(DATE(YEAR(A70),MONTH(A70),DAY(A70)),FY24_Temp[],3,FALSE)</f>
        <v>12.8</v>
      </c>
      <c r="O70" s="110">
        <f t="shared" si="71"/>
        <v>11.5</v>
      </c>
      <c r="P70" s="110">
        <f t="shared" si="72"/>
        <v>19.5</v>
      </c>
      <c r="Q70" s="111">
        <f>VLOOKUP(VLOOKUP(DATEVALUE(TEXT(A70,"m/d/yyyy")),FY24_Temp[],5,FALSE)&amp;TEXT(A70,"-h"),TempDelta[],4,FALSE)</f>
        <v>1.8638571415628706</v>
      </c>
      <c r="R70" s="112">
        <v>10</v>
      </c>
      <c r="S70" s="112">
        <v>1500</v>
      </c>
      <c r="T70" s="99">
        <f>VLOOKUP(TEXT(A70,"yy-mm")&amp;"-"&amp;IF(AND(WEEKDAY(A70)&gt;1,WEEKDAY(A70)&lt;7),"Wkd",TEXT(A70,"Ddd"))&amp;"-"&amp;TEXT(A70,"hh"),LoadTable[],3,FALSE)*0.92</f>
        <v>494.57360000000006</v>
      </c>
      <c r="U70" s="113">
        <f t="shared" si="73"/>
        <v>49.457360000000008</v>
      </c>
    </row>
    <row r="71" spans="1:21" ht="15" thickBot="1">
      <c r="A71" s="29">
        <f t="shared" si="43"/>
        <v>45838.833333335147</v>
      </c>
      <c r="B71" s="187">
        <f t="shared" ref="B71:L71" si="76">B95</f>
        <v>5000</v>
      </c>
      <c r="C71" s="187">
        <f t="shared" si="76"/>
        <v>25000</v>
      </c>
      <c r="D71" s="187">
        <v>0</v>
      </c>
      <c r="E71" s="187">
        <v>700</v>
      </c>
      <c r="F71" s="187">
        <v>15000</v>
      </c>
      <c r="G71" s="187">
        <f t="shared" si="76"/>
        <v>2400</v>
      </c>
      <c r="H71" s="187">
        <f t="shared" si="76"/>
        <v>25000</v>
      </c>
      <c r="I71" s="187">
        <f t="shared" si="76"/>
        <v>5000</v>
      </c>
      <c r="J71" s="187">
        <v>40000</v>
      </c>
      <c r="K71" s="187">
        <f t="shared" si="76"/>
        <v>5000</v>
      </c>
      <c r="L71" s="187">
        <v>40000</v>
      </c>
      <c r="M71" s="110">
        <v>9.5</v>
      </c>
      <c r="N71" s="110">
        <f>VLOOKUP(DATE(YEAR(A71),MONTH(A71),DAY(A71)),FY24_Temp[],3,FALSE)</f>
        <v>12.8</v>
      </c>
      <c r="O71" s="110">
        <f t="shared" si="71"/>
        <v>11.5</v>
      </c>
      <c r="P71" s="110">
        <f t="shared" si="72"/>
        <v>19.5</v>
      </c>
      <c r="Q71" s="111">
        <f>VLOOKUP(VLOOKUP(DATEVALUE(TEXT(A71,"m/d/yyyy")),FY24_Temp[],5,FALSE)&amp;TEXT(A71,"-h"),TempDelta[],4,FALSE)</f>
        <v>2.300714305468968</v>
      </c>
      <c r="R71" s="112">
        <v>10</v>
      </c>
      <c r="S71" s="112">
        <v>1500</v>
      </c>
      <c r="T71" s="99">
        <f>VLOOKUP(TEXT(A71,"yy-mm")&amp;"-"&amp;IF(AND(WEEKDAY(A71)&gt;1,WEEKDAY(A71)&lt;7),"Wkd",TEXT(A71,"Ddd"))&amp;"-"&amp;TEXT(A71,"hh"),LoadTable[],3,FALSE)*0.92</f>
        <v>494.57360000000006</v>
      </c>
      <c r="U71" s="113">
        <f t="shared" si="73"/>
        <v>49.457360000000008</v>
      </c>
    </row>
    <row r="72" spans="1:21" ht="15" thickBot="1">
      <c r="A72" s="29">
        <f t="shared" si="43"/>
        <v>45838.875000001812</v>
      </c>
      <c r="B72" s="187">
        <f t="shared" ref="B72:L72" si="77">B96</f>
        <v>5000</v>
      </c>
      <c r="C72" s="187">
        <f t="shared" si="77"/>
        <v>25000</v>
      </c>
      <c r="D72" s="187">
        <v>0</v>
      </c>
      <c r="E72" s="187">
        <v>700</v>
      </c>
      <c r="F72" s="187">
        <v>15000</v>
      </c>
      <c r="G72" s="187">
        <f t="shared" si="77"/>
        <v>2400</v>
      </c>
      <c r="H72" s="187">
        <f t="shared" si="77"/>
        <v>25000</v>
      </c>
      <c r="I72" s="187">
        <f t="shared" si="77"/>
        <v>5000</v>
      </c>
      <c r="J72" s="187">
        <v>40000</v>
      </c>
      <c r="K72" s="187">
        <f t="shared" si="77"/>
        <v>5000</v>
      </c>
      <c r="L72" s="187">
        <v>40000</v>
      </c>
      <c r="M72" s="110">
        <v>9.5</v>
      </c>
      <c r="N72" s="110">
        <f>VLOOKUP(DATE(YEAR(A72),MONTH(A72),DAY(A72)),FY24_Temp[],3,FALSE)</f>
        <v>12.8</v>
      </c>
      <c r="O72" s="110">
        <f t="shared" si="71"/>
        <v>11.5</v>
      </c>
      <c r="P72" s="110">
        <f t="shared" si="72"/>
        <v>19.5</v>
      </c>
      <c r="Q72" s="111">
        <f>VLOOKUP(VLOOKUP(DATEVALUE(TEXT(A72,"m/d/yyyy")),FY24_Temp[],5,FALSE)&amp;TEXT(A72,"-h"),TempDelta[],4,FALSE)</f>
        <v>2.554214222090585</v>
      </c>
      <c r="R72" s="112">
        <v>10</v>
      </c>
      <c r="S72" s="112">
        <v>1500</v>
      </c>
      <c r="T72" s="99">
        <f>VLOOKUP(TEXT(A72,"yy-mm")&amp;"-"&amp;IF(AND(WEEKDAY(A72)&gt;1,WEEKDAY(A72)&lt;7),"Wkd",TEXT(A72,"Ddd"))&amp;"-"&amp;TEXT(A72,"hh"),LoadTable[],3,FALSE)*0.92</f>
        <v>494.57360000000006</v>
      </c>
      <c r="U72" s="113">
        <f t="shared" si="73"/>
        <v>49.457360000000008</v>
      </c>
    </row>
    <row r="73" spans="1:21" ht="15" thickBot="1">
      <c r="A73" s="29">
        <f t="shared" si="43"/>
        <v>45838.916666668476</v>
      </c>
      <c r="B73" s="187">
        <f t="shared" ref="B73:L73" si="78">B97</f>
        <v>5000</v>
      </c>
      <c r="C73" s="187">
        <f t="shared" si="78"/>
        <v>25000</v>
      </c>
      <c r="D73" s="187">
        <v>0</v>
      </c>
      <c r="E73" s="187">
        <v>700</v>
      </c>
      <c r="F73" s="187">
        <v>15000</v>
      </c>
      <c r="G73" s="187">
        <f t="shared" si="78"/>
        <v>2400</v>
      </c>
      <c r="H73" s="187">
        <f t="shared" si="78"/>
        <v>25000</v>
      </c>
      <c r="I73" s="187">
        <f t="shared" si="78"/>
        <v>5000</v>
      </c>
      <c r="J73" s="187">
        <v>40000</v>
      </c>
      <c r="K73" s="187">
        <f t="shared" si="78"/>
        <v>5000</v>
      </c>
      <c r="L73" s="187">
        <v>40000</v>
      </c>
      <c r="M73" s="110">
        <v>9.5</v>
      </c>
      <c r="N73" s="110">
        <f>VLOOKUP(DATE(YEAR(A73),MONTH(A73),DAY(A73)),FY24_Temp[],3,FALSE)</f>
        <v>12.8</v>
      </c>
      <c r="O73" s="110">
        <f t="shared" si="71"/>
        <v>11.5</v>
      </c>
      <c r="P73" s="110">
        <f t="shared" si="72"/>
        <v>19.5</v>
      </c>
      <c r="Q73" s="111">
        <f>VLOOKUP(VLOOKUP(DATEVALUE(TEXT(A73,"m/d/yyyy")),FY24_Temp[],5,FALSE)&amp;TEXT(A73,"-h"),TempDelta[],4,FALSE)</f>
        <v>2.7827142647334506</v>
      </c>
      <c r="R73" s="112">
        <v>10</v>
      </c>
      <c r="S73" s="112">
        <v>1500</v>
      </c>
      <c r="T73" s="99">
        <f>VLOOKUP(TEXT(A73,"yy-mm")&amp;"-"&amp;IF(AND(WEEKDAY(A73)&gt;1,WEEKDAY(A73)&lt;7),"Wkd",TEXT(A73,"Ddd"))&amp;"-"&amp;TEXT(A73,"hh"),LoadTable[],3,FALSE)*0.92</f>
        <v>418.75640000000004</v>
      </c>
      <c r="U73" s="113">
        <f t="shared" si="73"/>
        <v>41.875640000000004</v>
      </c>
    </row>
    <row r="74" spans="1:21" ht="15" thickBot="1">
      <c r="A74" s="29">
        <f t="shared" si="43"/>
        <v>45838.95833333514</v>
      </c>
      <c r="B74" s="187">
        <f t="shared" ref="B74:L74" si="79">B98</f>
        <v>5000</v>
      </c>
      <c r="C74" s="187">
        <f t="shared" si="79"/>
        <v>25000</v>
      </c>
      <c r="D74" s="187">
        <v>0</v>
      </c>
      <c r="E74" s="187">
        <v>700</v>
      </c>
      <c r="F74" s="187">
        <v>15000</v>
      </c>
      <c r="G74" s="187">
        <f t="shared" si="79"/>
        <v>2400</v>
      </c>
      <c r="H74" s="187">
        <f t="shared" si="79"/>
        <v>25000</v>
      </c>
      <c r="I74" s="187">
        <f t="shared" si="79"/>
        <v>5000</v>
      </c>
      <c r="J74" s="187">
        <v>40000</v>
      </c>
      <c r="K74" s="187">
        <f t="shared" si="79"/>
        <v>5000</v>
      </c>
      <c r="L74" s="187">
        <v>40000</v>
      </c>
      <c r="M74" s="110">
        <v>9.5</v>
      </c>
      <c r="N74" s="110">
        <f>VLOOKUP(DATE(YEAR(A74),MONTH(A74),DAY(A74)),FY24_Temp[],3,FALSE)</f>
        <v>12.8</v>
      </c>
      <c r="O74" s="110">
        <f t="shared" si="71"/>
        <v>11.5</v>
      </c>
      <c r="P74" s="110">
        <f t="shared" si="72"/>
        <v>19.5</v>
      </c>
      <c r="Q74" s="111">
        <f>VLOOKUP(VLOOKUP(DATEVALUE(TEXT(A74,"m/d/yyyy")),FY24_Temp[],5,FALSE)&amp;TEXT(A74,"-h"),TempDelta[],4,FALSE)</f>
        <v>2.8792857101985385</v>
      </c>
      <c r="R74" s="112">
        <v>10</v>
      </c>
      <c r="S74" s="112">
        <v>1500</v>
      </c>
      <c r="T74" s="99">
        <f>VLOOKUP(TEXT(A74,"yy-mm")&amp;"-"&amp;IF(AND(WEEKDAY(A74)&gt;1,WEEKDAY(A74)&lt;7),"Wkd",TEXT(A74,"Ddd"))&amp;"-"&amp;TEXT(A74,"hh"),LoadTable[],3,FALSE)*0.92</f>
        <v>342.93920000000003</v>
      </c>
      <c r="U74" s="113">
        <f t="shared" si="73"/>
        <v>34.29392</v>
      </c>
    </row>
    <row r="75" spans="1:21" ht="15" thickBot="1">
      <c r="A75" s="29">
        <f t="shared" si="43"/>
        <v>45839.000000001804</v>
      </c>
      <c r="B75" s="187">
        <f t="shared" ref="B75:L75" si="80">B99</f>
        <v>5000</v>
      </c>
      <c r="C75" s="187">
        <f t="shared" si="80"/>
        <v>25000</v>
      </c>
      <c r="D75" s="187">
        <v>0</v>
      </c>
      <c r="E75" s="187">
        <v>700</v>
      </c>
      <c r="F75" s="187">
        <v>15000</v>
      </c>
      <c r="G75" s="187">
        <f t="shared" si="80"/>
        <v>2400</v>
      </c>
      <c r="H75" s="187">
        <f t="shared" si="80"/>
        <v>25000</v>
      </c>
      <c r="I75" s="187">
        <f t="shared" si="80"/>
        <v>5000</v>
      </c>
      <c r="J75" s="187">
        <v>40000</v>
      </c>
      <c r="K75" s="187">
        <f t="shared" si="80"/>
        <v>5000</v>
      </c>
      <c r="L75" s="187">
        <v>40000</v>
      </c>
      <c r="M75" s="110">
        <v>9.5</v>
      </c>
      <c r="N75" s="110">
        <f>VLOOKUP(DATE(YEAR(A75),MONTH(A75),DAY(A75)),FY24_Temp[],3,FALSE)</f>
        <v>12.8</v>
      </c>
      <c r="O75" s="110">
        <f t="shared" si="71"/>
        <v>11.5</v>
      </c>
      <c r="P75" s="110">
        <f t="shared" si="72"/>
        <v>19.5</v>
      </c>
      <c r="Q75" s="111">
        <f>VLOOKUP(VLOOKUP(DATEVALUE(TEXT(A75,"m/d/yyyy")),FY24_Temp[],5,FALSE)&amp;TEXT(A75,"-h"),TempDelta[],4,FALSE)</f>
        <v>3.0441428933824812</v>
      </c>
      <c r="R75" s="112">
        <v>10</v>
      </c>
      <c r="S75" s="112">
        <v>1500</v>
      </c>
      <c r="T75" s="99">
        <f>VLOOKUP(TEXT(A75,"yy-mm")&amp;"-"&amp;IF(AND(WEEKDAY(A75)&gt;1,WEEKDAY(A75)&lt;7),"Wkd",TEXT(A75,"Ddd"))&amp;"-"&amp;TEXT(A75,"hh"),LoadTable[],3,FALSE)*0.92</f>
        <v>279.25312000000002</v>
      </c>
      <c r="U75" s="113">
        <f t="shared" si="73"/>
        <v>27.925312000000002</v>
      </c>
    </row>
    <row r="76" spans="1:21" ht="15" thickBot="1">
      <c r="A76" s="29">
        <f t="shared" si="43"/>
        <v>45839.041666668469</v>
      </c>
      <c r="B76" s="187">
        <f t="shared" ref="B76:L76" si="81">B100</f>
        <v>5000</v>
      </c>
      <c r="C76" s="187">
        <f t="shared" si="81"/>
        <v>25000</v>
      </c>
      <c r="D76" s="187">
        <v>0</v>
      </c>
      <c r="E76" s="187">
        <v>700</v>
      </c>
      <c r="F76" s="187">
        <v>15000</v>
      </c>
      <c r="G76" s="187">
        <f t="shared" si="81"/>
        <v>2400</v>
      </c>
      <c r="H76" s="187">
        <f t="shared" si="81"/>
        <v>25000</v>
      </c>
      <c r="I76" s="187">
        <f t="shared" si="81"/>
        <v>5000</v>
      </c>
      <c r="J76" s="187">
        <v>40000</v>
      </c>
      <c r="K76" s="187">
        <f t="shared" si="81"/>
        <v>5000</v>
      </c>
      <c r="L76" s="187">
        <v>40000</v>
      </c>
      <c r="M76" s="110">
        <v>9.5</v>
      </c>
      <c r="N76" s="110">
        <f>VLOOKUP(DATE(YEAR(A76),MONTH(A76),DAY(A76)),FY24_Temp[],3,FALSE)</f>
        <v>12.8</v>
      </c>
      <c r="O76" s="110">
        <f t="shared" si="71"/>
        <v>11.5</v>
      </c>
      <c r="P76" s="110">
        <f t="shared" si="72"/>
        <v>19.5</v>
      </c>
      <c r="Q76" s="111">
        <f>VLOOKUP(VLOOKUP(DATEVALUE(TEXT(A76,"m/d/yyyy")),FY24_Temp[],5,FALSE)&amp;TEXT(A76,"-h"),TempDelta[],4,FALSE)</f>
        <v>3.0992857047489712</v>
      </c>
      <c r="R76" s="112">
        <v>10</v>
      </c>
      <c r="S76" s="112">
        <v>1500</v>
      </c>
      <c r="T76" s="99">
        <f>VLOOKUP(TEXT(A76,"yy-mm")&amp;"-"&amp;IF(AND(WEEKDAY(A76)&gt;1,WEEKDAY(A76)&lt;7),"Wkd",TEXT(A76,"Ddd"))&amp;"-"&amp;TEXT(A76,"hh"),LoadTable[],3,FALSE)*0.92</f>
        <v>279.25312000000002</v>
      </c>
      <c r="U76" s="113">
        <f t="shared" si="73"/>
        <v>27.925312000000002</v>
      </c>
    </row>
    <row r="77" spans="1:21" ht="15" thickBot="1">
      <c r="A77" s="29">
        <f t="shared" si="43"/>
        <v>45839.083333335133</v>
      </c>
      <c r="B77" s="187">
        <f t="shared" ref="B77:L77" si="82">B101</f>
        <v>5000</v>
      </c>
      <c r="C77" s="187">
        <f t="shared" si="82"/>
        <v>25000</v>
      </c>
      <c r="D77" s="187">
        <v>0</v>
      </c>
      <c r="E77" s="187">
        <v>700</v>
      </c>
      <c r="F77" s="187">
        <v>15000</v>
      </c>
      <c r="G77" s="187">
        <f t="shared" si="82"/>
        <v>2400</v>
      </c>
      <c r="H77" s="187">
        <f t="shared" si="82"/>
        <v>25000</v>
      </c>
      <c r="I77" s="187">
        <f t="shared" si="82"/>
        <v>5000</v>
      </c>
      <c r="J77" s="187">
        <v>40000</v>
      </c>
      <c r="K77" s="187">
        <f t="shared" si="82"/>
        <v>5000</v>
      </c>
      <c r="L77" s="187">
        <v>40000</v>
      </c>
      <c r="M77" s="110">
        <v>9.5</v>
      </c>
      <c r="N77" s="110">
        <f>VLOOKUP(DATE(YEAR(A77),MONTH(A77),DAY(A77)),FY24_Temp[],3,FALSE)</f>
        <v>12.8</v>
      </c>
      <c r="O77" s="110">
        <f t="shared" si="71"/>
        <v>11.5</v>
      </c>
      <c r="P77" s="110">
        <f t="shared" si="72"/>
        <v>19.5</v>
      </c>
      <c r="Q77" s="111">
        <f>VLOOKUP(VLOOKUP(DATEVALUE(TEXT(A77,"m/d/yyyy")),FY24_Temp[],5,FALSE)&amp;TEXT(A77,"-h"),TempDelta[],4,FALSE)</f>
        <v>3.1050000190734863</v>
      </c>
      <c r="R77" s="112">
        <v>10</v>
      </c>
      <c r="S77" s="112">
        <v>1500</v>
      </c>
      <c r="T77" s="99">
        <f>VLOOKUP(TEXT(A77,"yy-mm")&amp;"-"&amp;IF(AND(WEEKDAY(A77)&gt;1,WEEKDAY(A77)&lt;7),"Wkd",TEXT(A77,"Ddd"))&amp;"-"&amp;TEXT(A77,"hh"),LoadTable[],3,FALSE)*0.92</f>
        <v>279.25312000000002</v>
      </c>
      <c r="U77" s="113">
        <f t="shared" si="73"/>
        <v>27.925312000000002</v>
      </c>
    </row>
    <row r="78" spans="1:21" ht="15" thickBot="1">
      <c r="A78" s="29">
        <f t="shared" si="43"/>
        <v>45839.125000001797</v>
      </c>
      <c r="B78" s="187">
        <f t="shared" ref="B78:L78" si="83">B102</f>
        <v>5000</v>
      </c>
      <c r="C78" s="187">
        <f t="shared" si="83"/>
        <v>25000</v>
      </c>
      <c r="D78" s="187">
        <v>0</v>
      </c>
      <c r="E78" s="187">
        <v>700</v>
      </c>
      <c r="F78" s="187">
        <v>15000</v>
      </c>
      <c r="G78" s="187">
        <f t="shared" si="83"/>
        <v>2400</v>
      </c>
      <c r="H78" s="187">
        <f t="shared" si="83"/>
        <v>25000</v>
      </c>
      <c r="I78" s="187">
        <f t="shared" si="83"/>
        <v>5000</v>
      </c>
      <c r="J78" s="187">
        <v>40000</v>
      </c>
      <c r="K78" s="187">
        <f t="shared" si="83"/>
        <v>5000</v>
      </c>
      <c r="L78" s="187">
        <v>40000</v>
      </c>
      <c r="M78" s="110">
        <v>9.5</v>
      </c>
      <c r="N78" s="110">
        <f>VLOOKUP(DATE(YEAR(A78),MONTH(A78),DAY(A78)),FY24_Temp[],3,FALSE)</f>
        <v>12.8</v>
      </c>
      <c r="O78" s="110">
        <f t="shared" si="71"/>
        <v>11.5</v>
      </c>
      <c r="P78" s="110">
        <f t="shared" si="72"/>
        <v>19.5</v>
      </c>
      <c r="Q78" s="111">
        <f>VLOOKUP(VLOOKUP(DATEVALUE(TEXT(A78,"m/d/yyyy")),FY24_Temp[],5,FALSE)&amp;TEXT(A78,"-h"),TempDelta[],4,FALSE)</f>
        <v>3.0428571701049805</v>
      </c>
      <c r="R78" s="112">
        <v>10</v>
      </c>
      <c r="S78" s="112">
        <v>1500</v>
      </c>
      <c r="T78" s="99">
        <f>VLOOKUP(TEXT(A78,"yy-mm")&amp;"-"&amp;IF(AND(WEEKDAY(A78)&gt;1,WEEKDAY(A78)&lt;7),"Wkd",TEXT(A78,"Ddd"))&amp;"-"&amp;TEXT(A78,"hh"),LoadTable[],3,FALSE)*0.92</f>
        <v>279.25312000000002</v>
      </c>
      <c r="U78" s="113">
        <f t="shared" si="73"/>
        <v>27.925312000000002</v>
      </c>
    </row>
    <row r="79" spans="1:21" ht="15" thickBot="1">
      <c r="A79" s="29">
        <f t="shared" si="43"/>
        <v>45839.166666668461</v>
      </c>
      <c r="B79" s="187">
        <f t="shared" ref="B79:L79" si="84">B103</f>
        <v>5000</v>
      </c>
      <c r="C79" s="187">
        <f t="shared" si="84"/>
        <v>25000</v>
      </c>
      <c r="D79" s="187">
        <v>0</v>
      </c>
      <c r="E79" s="187">
        <v>700</v>
      </c>
      <c r="F79" s="187">
        <v>15000</v>
      </c>
      <c r="G79" s="187">
        <f t="shared" si="84"/>
        <v>2400</v>
      </c>
      <c r="H79" s="187">
        <f t="shared" si="84"/>
        <v>25000</v>
      </c>
      <c r="I79" s="187">
        <f t="shared" si="84"/>
        <v>5000</v>
      </c>
      <c r="J79" s="187">
        <v>40000</v>
      </c>
      <c r="K79" s="187">
        <f t="shared" si="84"/>
        <v>5000</v>
      </c>
      <c r="L79" s="187">
        <v>40000</v>
      </c>
      <c r="M79" s="110">
        <v>9.5</v>
      </c>
      <c r="N79" s="110">
        <f>VLOOKUP(DATE(YEAR(A79),MONTH(A79),DAY(A79)),FY24_Temp[],3,FALSE)</f>
        <v>12.8</v>
      </c>
      <c r="O79" s="110">
        <f t="shared" si="71"/>
        <v>11.5</v>
      </c>
      <c r="P79" s="110">
        <f t="shared" si="72"/>
        <v>19.5</v>
      </c>
      <c r="Q79" s="111">
        <f>VLOOKUP(VLOOKUP(DATEVALUE(TEXT(A79,"m/d/yyyy")),FY24_Temp[],5,FALSE)&amp;TEXT(A79,"-h"),TempDelta[],4,FALSE)</f>
        <v>2.9580000468662808</v>
      </c>
      <c r="R79" s="112">
        <v>10</v>
      </c>
      <c r="S79" s="112">
        <v>1500</v>
      </c>
      <c r="T79" s="99">
        <f>VLOOKUP(TEXT(A79,"yy-mm")&amp;"-"&amp;IF(AND(WEEKDAY(A79)&gt;1,WEEKDAY(A79)&lt;7),"Wkd",TEXT(A79,"Ddd"))&amp;"-"&amp;TEXT(A79,"hh"),LoadTable[],3,FALSE)*0.92</f>
        <v>279.25312000000002</v>
      </c>
      <c r="U79" s="113">
        <f t="shared" si="73"/>
        <v>27.925312000000002</v>
      </c>
    </row>
    <row r="80" spans="1:21" ht="15" thickBot="1">
      <c r="A80" s="29">
        <f t="shared" si="43"/>
        <v>45839.208333335126</v>
      </c>
      <c r="B80" s="187">
        <f t="shared" ref="B80:L80" si="85">B104</f>
        <v>5000</v>
      </c>
      <c r="C80" s="187">
        <f t="shared" si="85"/>
        <v>25000</v>
      </c>
      <c r="D80" s="187">
        <v>0</v>
      </c>
      <c r="E80" s="187">
        <v>700</v>
      </c>
      <c r="F80" s="187">
        <v>15000</v>
      </c>
      <c r="G80" s="187">
        <f t="shared" si="85"/>
        <v>2400</v>
      </c>
      <c r="H80" s="187">
        <f t="shared" si="85"/>
        <v>25000</v>
      </c>
      <c r="I80" s="187">
        <f t="shared" si="85"/>
        <v>5000</v>
      </c>
      <c r="J80" s="187">
        <v>40000</v>
      </c>
      <c r="K80" s="187">
        <f t="shared" si="85"/>
        <v>5000</v>
      </c>
      <c r="L80" s="187">
        <v>40000</v>
      </c>
      <c r="M80" s="110">
        <v>9.5</v>
      </c>
      <c r="N80" s="110">
        <f>VLOOKUP(DATE(YEAR(A80),MONTH(A80),DAY(A80)),FY24_Temp[],3,FALSE)</f>
        <v>12.8</v>
      </c>
      <c r="O80" s="110">
        <f t="shared" si="71"/>
        <v>11.5</v>
      </c>
      <c r="P80" s="110">
        <f t="shared" si="72"/>
        <v>19.5</v>
      </c>
      <c r="Q80" s="111">
        <f>VLOOKUP(VLOOKUP(DATEVALUE(TEXT(A80,"m/d/yyyy")),FY24_Temp[],5,FALSE)&amp;TEXT(A80,"-h"),TempDelta[],4,FALSE)</f>
        <v>2.8608571801866804</v>
      </c>
      <c r="R80" s="112">
        <v>10</v>
      </c>
      <c r="S80" s="112">
        <v>1500</v>
      </c>
      <c r="T80" s="99">
        <f>VLOOKUP(TEXT(A80,"yy-mm")&amp;"-"&amp;IF(AND(WEEKDAY(A80)&gt;1,WEEKDAY(A80)&lt;7),"Wkd",TEXT(A80,"Ddd"))&amp;"-"&amp;TEXT(A80,"hh"),LoadTable[],3,FALSE)*0.92</f>
        <v>279.25312000000002</v>
      </c>
      <c r="U80" s="113">
        <f t="shared" si="73"/>
        <v>27.925312000000002</v>
      </c>
    </row>
    <row r="81" spans="1:21" ht="15" thickBot="1">
      <c r="A81" s="29">
        <f t="shared" si="43"/>
        <v>45839.25000000179</v>
      </c>
      <c r="B81" s="187">
        <f t="shared" ref="B81:L81" si="86">B105</f>
        <v>8000</v>
      </c>
      <c r="C81" s="187">
        <f t="shared" si="86"/>
        <v>25000</v>
      </c>
      <c r="D81" s="187">
        <v>0</v>
      </c>
      <c r="E81" s="187">
        <v>700</v>
      </c>
      <c r="F81" s="187">
        <v>15000</v>
      </c>
      <c r="G81" s="187">
        <f t="shared" si="86"/>
        <v>2400</v>
      </c>
      <c r="H81" s="187">
        <f t="shared" si="86"/>
        <v>25000</v>
      </c>
      <c r="I81" s="187">
        <f t="shared" si="86"/>
        <v>8000</v>
      </c>
      <c r="J81" s="187">
        <v>40000</v>
      </c>
      <c r="K81" s="187">
        <f t="shared" si="86"/>
        <v>8000</v>
      </c>
      <c r="L81" s="187">
        <v>40000</v>
      </c>
      <c r="M81" s="110">
        <v>9.5</v>
      </c>
      <c r="N81" s="110">
        <f>VLOOKUP(DATE(YEAR(A81),MONTH(A81),DAY(A81)),FY24_Temp[],3,FALSE)</f>
        <v>12.8</v>
      </c>
      <c r="O81" s="110">
        <f t="shared" si="71"/>
        <v>11.5</v>
      </c>
      <c r="P81" s="110">
        <f t="shared" si="72"/>
        <v>19.5</v>
      </c>
      <c r="Q81" s="111">
        <f>VLOOKUP(VLOOKUP(DATEVALUE(TEXT(A81,"m/d/yyyy")),FY24_Temp[],5,FALSE)&amp;TEXT(A81,"-h"),TempDelta[],4,FALSE)</f>
        <v>2.7405714307512556</v>
      </c>
      <c r="R81" s="112">
        <v>10</v>
      </c>
      <c r="S81" s="112">
        <v>1500</v>
      </c>
      <c r="T81" s="99">
        <f>VLOOKUP(TEXT(A81,"yy-mm")&amp;"-"&amp;IF(AND(WEEKDAY(A81)&gt;1,WEEKDAY(A81)&lt;7),"Wkd",TEXT(A81,"Ddd"))&amp;"-"&amp;TEXT(A81,"hh"),LoadTable[],3,FALSE)*0.92</f>
        <v>279.25312000000002</v>
      </c>
      <c r="U81" s="113">
        <f t="shared" si="73"/>
        <v>27.925312000000002</v>
      </c>
    </row>
    <row r="82" spans="1:21" ht="15" thickBot="1">
      <c r="A82" s="29">
        <f t="shared" si="43"/>
        <v>45839.291666668454</v>
      </c>
      <c r="B82" s="187">
        <f t="shared" ref="B82:L82" si="87">B106</f>
        <v>8000</v>
      </c>
      <c r="C82" s="187">
        <f t="shared" si="87"/>
        <v>25000</v>
      </c>
      <c r="D82" s="187">
        <v>0</v>
      </c>
      <c r="E82" s="187">
        <v>700</v>
      </c>
      <c r="F82" s="187">
        <v>15000</v>
      </c>
      <c r="G82" s="187">
        <f t="shared" si="87"/>
        <v>2400</v>
      </c>
      <c r="H82" s="187">
        <f t="shared" si="87"/>
        <v>25000</v>
      </c>
      <c r="I82" s="187">
        <f t="shared" si="87"/>
        <v>8000</v>
      </c>
      <c r="J82" s="187">
        <v>40000</v>
      </c>
      <c r="K82" s="187">
        <f t="shared" si="87"/>
        <v>8000</v>
      </c>
      <c r="L82" s="187">
        <v>40000</v>
      </c>
      <c r="M82" s="110">
        <v>9.5</v>
      </c>
      <c r="N82" s="110">
        <f>VLOOKUP(DATE(YEAR(A82),MONTH(A82),DAY(A82)),FY24_Temp[],3,FALSE)</f>
        <v>12.8</v>
      </c>
      <c r="O82" s="110">
        <f t="shared" si="71"/>
        <v>11.5</v>
      </c>
      <c r="P82" s="110">
        <f t="shared" si="72"/>
        <v>19.5</v>
      </c>
      <c r="Q82" s="111">
        <f>VLOOKUP(VLOOKUP(DATEVALUE(TEXT(A82,"m/d/yyyy")),FY24_Temp[],5,FALSE)&amp;TEXT(A82,"-h"),TempDelta[],4,FALSE)</f>
        <v>2.6134285245622908</v>
      </c>
      <c r="R82" s="112">
        <v>10</v>
      </c>
      <c r="S82" s="112">
        <v>1500</v>
      </c>
      <c r="T82" s="99">
        <f>VLOOKUP(TEXT(A82,"yy-mm")&amp;"-"&amp;IF(AND(WEEKDAY(A82)&gt;1,WEEKDAY(A82)&lt;7),"Wkd",TEXT(A82,"Ddd"))&amp;"-"&amp;TEXT(A82,"hh"),LoadTable[],3,FALSE)*0.92</f>
        <v>279.25312000000002</v>
      </c>
      <c r="U82" s="113">
        <f t="shared" si="73"/>
        <v>27.925312000000002</v>
      </c>
    </row>
    <row r="83" spans="1:21" ht="15" thickBot="1">
      <c r="A83" s="29">
        <f t="shared" si="43"/>
        <v>45839.333333335118</v>
      </c>
      <c r="B83" s="187">
        <f t="shared" ref="B83:L83" si="88">B107</f>
        <v>8000</v>
      </c>
      <c r="C83" s="187">
        <f t="shared" si="88"/>
        <v>25000</v>
      </c>
      <c r="D83" s="187">
        <v>0</v>
      </c>
      <c r="E83" s="187">
        <v>700</v>
      </c>
      <c r="F83" s="187">
        <v>15000</v>
      </c>
      <c r="G83" s="187">
        <f t="shared" si="88"/>
        <v>2400</v>
      </c>
      <c r="H83" s="187">
        <f t="shared" si="88"/>
        <v>25000</v>
      </c>
      <c r="I83" s="187">
        <f t="shared" si="88"/>
        <v>8000</v>
      </c>
      <c r="J83" s="187">
        <v>40000</v>
      </c>
      <c r="K83" s="187">
        <f t="shared" si="88"/>
        <v>8000</v>
      </c>
      <c r="L83" s="187">
        <v>40000</v>
      </c>
      <c r="M83" s="110">
        <v>9.5</v>
      </c>
      <c r="N83" s="110">
        <f>VLOOKUP(DATE(YEAR(A83),MONTH(A83),DAY(A83)),FY24_Temp[],3,FALSE)</f>
        <v>12.8</v>
      </c>
      <c r="O83" s="110">
        <f t="shared" si="71"/>
        <v>11.5</v>
      </c>
      <c r="P83" s="110">
        <f t="shared" si="72"/>
        <v>19.5</v>
      </c>
      <c r="Q83" s="111">
        <f>VLOOKUP(VLOOKUP(DATEVALUE(TEXT(A83,"m/d/yyyy")),FY24_Temp[],5,FALSE)&amp;TEXT(A83,"-h"),TempDelta[],4,FALSE)</f>
        <v>2.44985716683524</v>
      </c>
      <c r="R83" s="112">
        <v>10</v>
      </c>
      <c r="S83" s="112">
        <v>1500</v>
      </c>
      <c r="T83" s="99">
        <f>VLOOKUP(TEXT(A83,"yy-mm")&amp;"-"&amp;IF(AND(WEEKDAY(A83)&gt;1,WEEKDAY(A83)&lt;7),"Wkd",TEXT(A83,"Ddd"))&amp;"-"&amp;TEXT(A83,"hh"),LoadTable[],3,FALSE)*0.92</f>
        <v>279.25312000000002</v>
      </c>
      <c r="U83" s="113">
        <f t="shared" si="73"/>
        <v>27.925312000000002</v>
      </c>
    </row>
    <row r="84" spans="1:21" ht="15" thickBot="1">
      <c r="A84" s="29">
        <f t="shared" si="43"/>
        <v>45839.375000001783</v>
      </c>
      <c r="B84" s="187">
        <f t="shared" ref="B84:L84" si="89">B108</f>
        <v>8000</v>
      </c>
      <c r="C84" s="187">
        <f t="shared" si="89"/>
        <v>25000</v>
      </c>
      <c r="D84" s="187">
        <v>0</v>
      </c>
      <c r="E84" s="187">
        <v>700</v>
      </c>
      <c r="F84" s="187">
        <v>15000</v>
      </c>
      <c r="G84" s="187">
        <f t="shared" si="89"/>
        <v>2400</v>
      </c>
      <c r="H84" s="187">
        <f t="shared" si="89"/>
        <v>25000</v>
      </c>
      <c r="I84" s="187">
        <f t="shared" si="89"/>
        <v>8000</v>
      </c>
      <c r="J84" s="187">
        <v>40000</v>
      </c>
      <c r="K84" s="187">
        <f t="shared" si="89"/>
        <v>8000</v>
      </c>
      <c r="L84" s="187">
        <v>40000</v>
      </c>
      <c r="M84" s="110">
        <v>9.5</v>
      </c>
      <c r="N84" s="110">
        <f>VLOOKUP(DATE(YEAR(A84),MONTH(A84),DAY(A84)),FY24_Temp[],3,FALSE)</f>
        <v>12.8</v>
      </c>
      <c r="O84" s="110">
        <f t="shared" si="71"/>
        <v>11.5</v>
      </c>
      <c r="P84" s="110">
        <f t="shared" si="72"/>
        <v>19.5</v>
      </c>
      <c r="Q84" s="111">
        <f>VLOOKUP(VLOOKUP(DATEVALUE(TEXT(A84,"m/d/yyyy")),FY24_Temp[],5,FALSE)&amp;TEXT(A84,"-h"),TempDelta[],4,FALSE)</f>
        <v>2.2458571025303433</v>
      </c>
      <c r="R84" s="112">
        <v>10</v>
      </c>
      <c r="S84" s="112">
        <v>1500</v>
      </c>
      <c r="T84" s="99">
        <f>VLOOKUP(TEXT(A84,"yy-mm")&amp;"-"&amp;IF(AND(WEEKDAY(A84)&gt;1,WEEKDAY(A84)&lt;7),"Wkd",TEXT(A84,"Ddd"))&amp;"-"&amp;TEXT(A84,"hh"),LoadTable[],3,FALSE)*0.92</f>
        <v>279.25312000000002</v>
      </c>
      <c r="U84" s="113">
        <f t="shared" si="73"/>
        <v>27.925312000000002</v>
      </c>
    </row>
    <row r="85" spans="1:21" ht="15" thickBot="1">
      <c r="A85" s="29">
        <f t="shared" si="43"/>
        <v>45839.416666668447</v>
      </c>
      <c r="B85" s="187">
        <f t="shared" ref="B85:L85" si="90">B109</f>
        <v>8000</v>
      </c>
      <c r="C85" s="187">
        <f t="shared" si="90"/>
        <v>25000</v>
      </c>
      <c r="D85" s="187">
        <v>0</v>
      </c>
      <c r="E85" s="187">
        <v>700</v>
      </c>
      <c r="F85" s="187">
        <v>15000</v>
      </c>
      <c r="G85" s="187">
        <f t="shared" si="90"/>
        <v>2400</v>
      </c>
      <c r="H85" s="187">
        <f t="shared" si="90"/>
        <v>25000</v>
      </c>
      <c r="I85" s="187">
        <f t="shared" si="90"/>
        <v>8000</v>
      </c>
      <c r="J85" s="187">
        <v>40000</v>
      </c>
      <c r="K85" s="187">
        <f t="shared" si="90"/>
        <v>8000</v>
      </c>
      <c r="L85" s="187">
        <v>40000</v>
      </c>
      <c r="M85" s="110">
        <v>9.5</v>
      </c>
      <c r="N85" s="110">
        <f>VLOOKUP(DATE(YEAR(A85),MONTH(A85),DAY(A85)),FY24_Temp[],3,FALSE)</f>
        <v>12.8</v>
      </c>
      <c r="O85" s="110">
        <f t="shared" si="71"/>
        <v>11.5</v>
      </c>
      <c r="P85" s="110">
        <f t="shared" si="72"/>
        <v>19.5</v>
      </c>
      <c r="Q85" s="111">
        <f>VLOOKUP(VLOOKUP(DATEVALUE(TEXT(A85,"m/d/yyyy")),FY24_Temp[],5,FALSE)&amp;TEXT(A85,"-h"),TempDelta[],4,FALSE)</f>
        <v>2.0832857234137401</v>
      </c>
      <c r="R85" s="112">
        <v>10</v>
      </c>
      <c r="S85" s="112">
        <v>1500</v>
      </c>
      <c r="T85" s="99">
        <f>VLOOKUP(TEXT(A85,"yy-mm")&amp;"-"&amp;IF(AND(WEEKDAY(A85)&gt;1,WEEKDAY(A85)&lt;7),"Wkd",TEXT(A85,"Ddd"))&amp;"-"&amp;TEXT(A85,"hh"),LoadTable[],3,FALSE)*0.92</f>
        <v>279.25312000000002</v>
      </c>
      <c r="U85" s="113">
        <f t="shared" si="73"/>
        <v>27.925312000000002</v>
      </c>
    </row>
    <row r="86" spans="1:21" ht="15" thickBot="1">
      <c r="A86" s="29">
        <f t="shared" si="43"/>
        <v>45839.458333335111</v>
      </c>
      <c r="B86" s="187">
        <f t="shared" ref="B86:L86" si="91">B110</f>
        <v>8000</v>
      </c>
      <c r="C86" s="187">
        <f t="shared" si="91"/>
        <v>25000</v>
      </c>
      <c r="D86" s="187">
        <v>0</v>
      </c>
      <c r="E86" s="187">
        <v>700</v>
      </c>
      <c r="F86" s="187">
        <v>15000</v>
      </c>
      <c r="G86" s="187">
        <f t="shared" si="91"/>
        <v>2400</v>
      </c>
      <c r="H86" s="187">
        <f t="shared" si="91"/>
        <v>25000</v>
      </c>
      <c r="I86" s="187">
        <f t="shared" si="91"/>
        <v>8000</v>
      </c>
      <c r="J86" s="187">
        <v>40000</v>
      </c>
      <c r="K86" s="187">
        <f t="shared" si="91"/>
        <v>8000</v>
      </c>
      <c r="L86" s="187">
        <v>40000</v>
      </c>
      <c r="M86" s="110">
        <v>9.5</v>
      </c>
      <c r="N86" s="110">
        <f>VLOOKUP(DATE(YEAR(A86),MONTH(A86),DAY(A86)),FY24_Temp[],3,FALSE)</f>
        <v>12.8</v>
      </c>
      <c r="O86" s="110">
        <f t="shared" si="71"/>
        <v>11.5</v>
      </c>
      <c r="P86" s="110">
        <f t="shared" si="72"/>
        <v>19.5</v>
      </c>
      <c r="Q86" s="111">
        <f>VLOOKUP(VLOOKUP(DATEVALUE(TEXT(A86,"m/d/yyyy")),FY24_Temp[],5,FALSE)&amp;TEXT(A86,"-h"),TempDelta[],4,FALSE)</f>
        <v>1.8928571258272444</v>
      </c>
      <c r="R86" s="112">
        <v>10</v>
      </c>
      <c r="S86" s="112">
        <v>1500</v>
      </c>
      <c r="T86" s="99">
        <f>VLOOKUP(TEXT(A86,"yy-mm")&amp;"-"&amp;IF(AND(WEEKDAY(A86)&gt;1,WEEKDAY(A86)&lt;7),"Wkd",TEXT(A86,"Ddd"))&amp;"-"&amp;TEXT(A86,"hh"),LoadTable[],3,FALSE)*0.92</f>
        <v>279.25312000000002</v>
      </c>
      <c r="U86" s="113">
        <f t="shared" si="73"/>
        <v>27.925312000000002</v>
      </c>
    </row>
    <row r="87" spans="1:21" ht="15" thickBot="1">
      <c r="A87" s="29">
        <f t="shared" si="43"/>
        <v>45839.500000001775</v>
      </c>
      <c r="B87" s="187">
        <f t="shared" ref="B87:L87" si="92">B111</f>
        <v>8000</v>
      </c>
      <c r="C87" s="187">
        <f t="shared" si="92"/>
        <v>25000</v>
      </c>
      <c r="D87" s="187">
        <v>0</v>
      </c>
      <c r="E87" s="187">
        <v>700</v>
      </c>
      <c r="F87" s="187">
        <v>15000</v>
      </c>
      <c r="G87" s="187">
        <f t="shared" si="92"/>
        <v>2400</v>
      </c>
      <c r="H87" s="187">
        <f t="shared" si="92"/>
        <v>25000</v>
      </c>
      <c r="I87" s="187">
        <f t="shared" si="92"/>
        <v>8000</v>
      </c>
      <c r="J87" s="187">
        <v>40000</v>
      </c>
      <c r="K87" s="187">
        <f t="shared" si="92"/>
        <v>8000</v>
      </c>
      <c r="L87" s="187">
        <v>40000</v>
      </c>
      <c r="M87" s="110">
        <v>9.5</v>
      </c>
      <c r="N87" s="110">
        <f>VLOOKUP(DATE(YEAR(A87),MONTH(A87),DAY(A87)),FY24_Temp[],3,FALSE)</f>
        <v>12.8</v>
      </c>
      <c r="O87" s="110">
        <f t="shared" si="71"/>
        <v>11.5</v>
      </c>
      <c r="P87" s="110">
        <f t="shared" si="72"/>
        <v>19.5</v>
      </c>
      <c r="Q87" s="111">
        <f>VLOOKUP(VLOOKUP(DATEVALUE(TEXT(A87,"m/d/yyyy")),FY24_Temp[],5,FALSE)&amp;TEXT(A87,"-h"),TempDelta[],4,FALSE)</f>
        <v>1.665857127734593</v>
      </c>
      <c r="R87" s="112">
        <v>10</v>
      </c>
      <c r="S87" s="112">
        <v>1500</v>
      </c>
      <c r="T87" s="99">
        <f>VLOOKUP(TEXT(A87,"yy-mm")&amp;"-"&amp;IF(AND(WEEKDAY(A87)&gt;1,WEEKDAY(A87)&lt;7),"Wkd",TEXT(A87,"Ddd"))&amp;"-"&amp;TEXT(A87,"hh"),LoadTable[],3,FALSE)*0.92</f>
        <v>279.25312000000002</v>
      </c>
      <c r="U87" s="113">
        <f t="shared" si="73"/>
        <v>27.925312000000002</v>
      </c>
    </row>
    <row r="88" spans="1:21" ht="15" thickBot="1">
      <c r="A88" s="29">
        <f t="shared" si="43"/>
        <v>45839.54166666844</v>
      </c>
      <c r="B88" s="187">
        <f t="shared" ref="B88:L88" si="93">B112</f>
        <v>8000</v>
      </c>
      <c r="C88" s="187">
        <f t="shared" si="93"/>
        <v>25000</v>
      </c>
      <c r="D88" s="187">
        <v>0</v>
      </c>
      <c r="E88" s="187">
        <v>700</v>
      </c>
      <c r="F88" s="187">
        <v>15000</v>
      </c>
      <c r="G88" s="187">
        <f t="shared" si="93"/>
        <v>2400</v>
      </c>
      <c r="H88" s="187">
        <f t="shared" si="93"/>
        <v>25000</v>
      </c>
      <c r="I88" s="187">
        <f t="shared" si="93"/>
        <v>8000</v>
      </c>
      <c r="J88" s="187">
        <v>40000</v>
      </c>
      <c r="K88" s="187">
        <f t="shared" si="93"/>
        <v>8000</v>
      </c>
      <c r="L88" s="187">
        <v>40000</v>
      </c>
      <c r="M88" s="110">
        <v>9.5</v>
      </c>
      <c r="N88" s="110">
        <f>VLOOKUP(DATE(YEAR(A88),MONTH(A88),DAY(A88)),FY24_Temp[],3,FALSE)</f>
        <v>12.8</v>
      </c>
      <c r="O88" s="110">
        <f t="shared" si="71"/>
        <v>11.5</v>
      </c>
      <c r="P88" s="110">
        <f t="shared" si="72"/>
        <v>19.5</v>
      </c>
      <c r="Q88" s="111">
        <f>VLOOKUP(VLOOKUP(DATEVALUE(TEXT(A88,"m/d/yyyy")),FY24_Temp[],5,FALSE)&amp;TEXT(A88,"-h"),TempDelta[],4,FALSE)</f>
        <v>1.4252856969833374</v>
      </c>
      <c r="R88" s="112">
        <v>10</v>
      </c>
      <c r="S88" s="112">
        <v>1500</v>
      </c>
      <c r="T88" s="99">
        <f>VLOOKUP(TEXT(A88,"yy-mm")&amp;"-"&amp;IF(AND(WEEKDAY(A88)&gt;1,WEEKDAY(A88)&lt;7),"Wkd",TEXT(A88,"Ddd"))&amp;"-"&amp;TEXT(A88,"hh"),LoadTable[],3,FALSE)*0.92</f>
        <v>279.25312000000002</v>
      </c>
      <c r="U88" s="113">
        <f t="shared" si="73"/>
        <v>27.925312000000002</v>
      </c>
    </row>
    <row r="89" spans="1:21" ht="15" thickBot="1">
      <c r="A89" s="29">
        <f t="shared" si="43"/>
        <v>45839.583333335104</v>
      </c>
      <c r="B89" s="187">
        <f t="shared" ref="B89:L89" si="94">B113</f>
        <v>8000</v>
      </c>
      <c r="C89" s="187">
        <f t="shared" si="94"/>
        <v>25000</v>
      </c>
      <c r="D89" s="187">
        <v>0</v>
      </c>
      <c r="E89" s="187">
        <v>700</v>
      </c>
      <c r="F89" s="187">
        <v>15000</v>
      </c>
      <c r="G89" s="187">
        <f t="shared" si="94"/>
        <v>2400</v>
      </c>
      <c r="H89" s="187">
        <f t="shared" si="94"/>
        <v>25000</v>
      </c>
      <c r="I89" s="187">
        <f t="shared" si="94"/>
        <v>8000</v>
      </c>
      <c r="J89" s="187">
        <v>40000</v>
      </c>
      <c r="K89" s="187">
        <f t="shared" si="94"/>
        <v>8000</v>
      </c>
      <c r="L89" s="187">
        <v>40000</v>
      </c>
      <c r="M89" s="110">
        <v>9.5</v>
      </c>
      <c r="N89" s="110">
        <f>VLOOKUP(DATE(YEAR(A89),MONTH(A89),DAY(A89)),FY24_Temp[],3,FALSE)</f>
        <v>12.8</v>
      </c>
      <c r="O89" s="110">
        <f t="shared" si="71"/>
        <v>11.5</v>
      </c>
      <c r="P89" s="110">
        <f t="shared" si="72"/>
        <v>19.5</v>
      </c>
      <c r="Q89" s="111">
        <f>VLOOKUP(VLOOKUP(DATEVALUE(TEXT(A89,"m/d/yyyy")),FY24_Temp[],5,FALSE)&amp;TEXT(A89,"-h"),TempDelta[],4,FALSE)</f>
        <v>1.2351428781236922</v>
      </c>
      <c r="R89" s="112">
        <v>10</v>
      </c>
      <c r="S89" s="112">
        <v>1500</v>
      </c>
      <c r="T89" s="99">
        <f>VLOOKUP(TEXT(A89,"yy-mm")&amp;"-"&amp;IF(AND(WEEKDAY(A89)&gt;1,WEEKDAY(A89)&lt;7),"Wkd",TEXT(A89,"Ddd"))&amp;"-"&amp;TEXT(A89,"hh"),LoadTable[],3,FALSE)*0.92</f>
        <v>373.26607999999999</v>
      </c>
      <c r="U89" s="113">
        <f t="shared" si="73"/>
        <v>37.326608</v>
      </c>
    </row>
    <row r="90" spans="1:21" ht="15" thickBot="1">
      <c r="A90" s="29">
        <f t="shared" si="43"/>
        <v>45839.625000001768</v>
      </c>
      <c r="B90" s="187">
        <f t="shared" ref="B90:L90" si="95">B114</f>
        <v>8000</v>
      </c>
      <c r="C90" s="187">
        <f t="shared" si="95"/>
        <v>25000</v>
      </c>
      <c r="D90" s="187">
        <v>0</v>
      </c>
      <c r="E90" s="187">
        <v>700</v>
      </c>
      <c r="F90" s="187">
        <v>15000</v>
      </c>
      <c r="G90" s="187">
        <f t="shared" si="95"/>
        <v>2400</v>
      </c>
      <c r="H90" s="187">
        <f t="shared" si="95"/>
        <v>25000</v>
      </c>
      <c r="I90" s="187">
        <f t="shared" si="95"/>
        <v>8000</v>
      </c>
      <c r="J90" s="187">
        <v>40000</v>
      </c>
      <c r="K90" s="187">
        <f t="shared" si="95"/>
        <v>8000</v>
      </c>
      <c r="L90" s="187">
        <v>40000</v>
      </c>
      <c r="M90" s="110">
        <v>9.5</v>
      </c>
      <c r="N90" s="110">
        <f>VLOOKUP(DATE(YEAR(A90),MONTH(A90),DAY(A90)),FY24_Temp[],3,FALSE)</f>
        <v>12.8</v>
      </c>
      <c r="O90" s="110">
        <f t="shared" si="71"/>
        <v>11.5</v>
      </c>
      <c r="P90" s="110">
        <f t="shared" si="72"/>
        <v>19.5</v>
      </c>
      <c r="Q90" s="111">
        <f>VLOOKUP(VLOOKUP(DATEVALUE(TEXT(A90,"m/d/yyyy")),FY24_Temp[],5,FALSE)&amp;TEXT(A90,"-h"),TempDelta[],4,FALSE)</f>
        <v>0.97514284508568905</v>
      </c>
      <c r="R90" s="112">
        <v>10</v>
      </c>
      <c r="S90" s="112">
        <v>1500</v>
      </c>
      <c r="T90" s="99">
        <f>VLOOKUP(TEXT(A90,"yy-mm")&amp;"-"&amp;IF(AND(WEEKDAY(A90)&gt;1,WEEKDAY(A90)&lt;7),"Wkd",TEXT(A90,"Ddd"))&amp;"-"&amp;TEXT(A90,"hh"),LoadTable[],3,FALSE)*0.92</f>
        <v>494.57360000000006</v>
      </c>
      <c r="U90" s="113">
        <f t="shared" si="73"/>
        <v>49.457360000000008</v>
      </c>
    </row>
    <row r="91" spans="1:21" ht="15" thickBot="1">
      <c r="A91" s="29">
        <f t="shared" si="43"/>
        <v>45839.666666668432</v>
      </c>
      <c r="B91" s="187">
        <f t="shared" ref="B91:L91" si="96">B115</f>
        <v>8000</v>
      </c>
      <c r="C91" s="187">
        <f t="shared" si="96"/>
        <v>25000</v>
      </c>
      <c r="D91" s="187">
        <v>0</v>
      </c>
      <c r="E91" s="187">
        <v>700</v>
      </c>
      <c r="F91" s="187">
        <v>15000</v>
      </c>
      <c r="G91" s="187">
        <f t="shared" si="96"/>
        <v>2400</v>
      </c>
      <c r="H91" s="187">
        <f t="shared" si="96"/>
        <v>25000</v>
      </c>
      <c r="I91" s="187">
        <f t="shared" si="96"/>
        <v>8000</v>
      </c>
      <c r="J91" s="187">
        <v>40000</v>
      </c>
      <c r="K91" s="187">
        <f t="shared" si="96"/>
        <v>8000</v>
      </c>
      <c r="L91" s="187">
        <v>40000</v>
      </c>
      <c r="M91" s="110">
        <v>9.5</v>
      </c>
      <c r="N91" s="110">
        <f>VLOOKUP(DATE(YEAR(A91),MONTH(A91),DAY(A91)),FY24_Temp[],3,FALSE)</f>
        <v>12.8</v>
      </c>
      <c r="O91" s="110">
        <f t="shared" si="71"/>
        <v>11.5</v>
      </c>
      <c r="P91" s="110">
        <f t="shared" si="72"/>
        <v>19.5</v>
      </c>
      <c r="Q91" s="111">
        <f>VLOOKUP(VLOOKUP(DATEVALUE(TEXT(A91,"m/d/yyyy")),FY24_Temp[],5,FALSE)&amp;TEXT(A91,"-h"),TempDelta[],4,FALSE)</f>
        <v>0.88578571166310993</v>
      </c>
      <c r="R91" s="112">
        <v>10</v>
      </c>
      <c r="S91" s="112">
        <v>1500</v>
      </c>
      <c r="T91" s="99">
        <f>VLOOKUP(TEXT(A91,"yy-mm")&amp;"-"&amp;IF(AND(WEEKDAY(A91)&gt;1,WEEKDAY(A91)&lt;7),"Wkd",TEXT(A91,"Ddd"))&amp;"-"&amp;TEXT(A91,"hh"),LoadTable[],3,FALSE)*0.92</f>
        <v>494.57360000000006</v>
      </c>
      <c r="U91" s="113">
        <f t="shared" si="73"/>
        <v>49.457360000000008</v>
      </c>
    </row>
    <row r="92" spans="1:21" ht="15" thickBot="1">
      <c r="A92" s="29">
        <f t="shared" si="43"/>
        <v>45839.708333335097</v>
      </c>
      <c r="B92" s="187">
        <f t="shared" ref="B92:L92" si="97">B116</f>
        <v>8000</v>
      </c>
      <c r="C92" s="187">
        <f t="shared" si="97"/>
        <v>25000</v>
      </c>
      <c r="D92" s="187">
        <v>0</v>
      </c>
      <c r="E92" s="187">
        <v>700</v>
      </c>
      <c r="F92" s="187">
        <v>15000</v>
      </c>
      <c r="G92" s="187">
        <f t="shared" si="97"/>
        <v>2400</v>
      </c>
      <c r="H92" s="187">
        <f t="shared" si="97"/>
        <v>25000</v>
      </c>
      <c r="I92" s="187">
        <f t="shared" si="97"/>
        <v>8000</v>
      </c>
      <c r="J92" s="187">
        <v>40000</v>
      </c>
      <c r="K92" s="187">
        <f t="shared" si="97"/>
        <v>8000</v>
      </c>
      <c r="L92" s="187">
        <v>40000</v>
      </c>
      <c r="M92" s="110">
        <v>9.5</v>
      </c>
      <c r="N92" s="110">
        <f>VLOOKUP(DATE(YEAR(A92),MONTH(A92),DAY(A92)),FY24_Temp[],3,FALSE)</f>
        <v>12.8</v>
      </c>
      <c r="O92" s="110">
        <f t="shared" si="71"/>
        <v>11.5</v>
      </c>
      <c r="P92" s="110">
        <f t="shared" si="72"/>
        <v>19.5</v>
      </c>
      <c r="Q92" s="111">
        <f>VLOOKUP(VLOOKUP(DATEVALUE(TEXT(A92,"m/d/yyyy")),FY24_Temp[],5,FALSE)&amp;TEXT(A92,"-h"),TempDelta[],4,FALSE)</f>
        <v>1.0356428495475225</v>
      </c>
      <c r="R92" s="112">
        <v>10</v>
      </c>
      <c r="S92" s="112">
        <v>1500</v>
      </c>
      <c r="T92" s="99">
        <f>VLOOKUP(TEXT(A92,"yy-mm")&amp;"-"&amp;IF(AND(WEEKDAY(A92)&gt;1,WEEKDAY(A92)&lt;7),"Wkd",TEXT(A92,"Ddd"))&amp;"-"&amp;TEXT(A92,"hh"),LoadTable[],3,FALSE)*0.92</f>
        <v>494.57360000000006</v>
      </c>
      <c r="U92" s="113">
        <f t="shared" si="73"/>
        <v>49.457360000000008</v>
      </c>
    </row>
    <row r="93" spans="1:21" ht="15" thickBot="1">
      <c r="A93" s="29">
        <f t="shared" si="43"/>
        <v>45839.750000001761</v>
      </c>
      <c r="B93" s="187">
        <f t="shared" ref="B93:L93" si="98">B117</f>
        <v>5000</v>
      </c>
      <c r="C93" s="187">
        <f t="shared" si="98"/>
        <v>25000</v>
      </c>
      <c r="D93" s="187">
        <v>0</v>
      </c>
      <c r="E93" s="187">
        <v>700</v>
      </c>
      <c r="F93" s="187">
        <v>15000</v>
      </c>
      <c r="G93" s="187">
        <f t="shared" si="98"/>
        <v>2400</v>
      </c>
      <c r="H93" s="187">
        <f t="shared" si="98"/>
        <v>25000</v>
      </c>
      <c r="I93" s="187">
        <f t="shared" si="98"/>
        <v>5000</v>
      </c>
      <c r="J93" s="187">
        <v>40000</v>
      </c>
      <c r="K93" s="187">
        <f t="shared" si="98"/>
        <v>5000</v>
      </c>
      <c r="L93" s="187">
        <v>40000</v>
      </c>
      <c r="M93" s="110">
        <v>9.5</v>
      </c>
      <c r="N93" s="110">
        <f>VLOOKUP(DATE(YEAR(A93),MONTH(A93),DAY(A93)),FY24_Temp[],3,FALSE)</f>
        <v>12.8</v>
      </c>
      <c r="O93" s="110">
        <f t="shared" si="71"/>
        <v>11.5</v>
      </c>
      <c r="P93" s="110">
        <f t="shared" si="72"/>
        <v>19.5</v>
      </c>
      <c r="Q93" s="111">
        <f>VLOOKUP(VLOOKUP(DATEVALUE(TEXT(A93,"m/d/yyyy")),FY24_Temp[],5,FALSE)&amp;TEXT(A93,"-h"),TempDelta[],4,FALSE)</f>
        <v>1.3991428358214242</v>
      </c>
      <c r="R93" s="112">
        <v>10</v>
      </c>
      <c r="S93" s="112">
        <v>1500</v>
      </c>
      <c r="T93" s="99">
        <f>VLOOKUP(TEXT(A93,"yy-mm")&amp;"-"&amp;IF(AND(WEEKDAY(A93)&gt;1,WEEKDAY(A93)&lt;7),"Wkd",TEXT(A93,"Ddd"))&amp;"-"&amp;TEXT(A93,"hh"),LoadTable[],3,FALSE)*0.92</f>
        <v>494.57360000000006</v>
      </c>
      <c r="U93" s="113">
        <f t="shared" si="73"/>
        <v>49.457360000000008</v>
      </c>
    </row>
    <row r="94" spans="1:21" ht="15" thickBot="1">
      <c r="A94" s="29">
        <f t="shared" si="43"/>
        <v>45839.791666668425</v>
      </c>
      <c r="B94" s="187">
        <f t="shared" ref="B94:L94" si="99">B118</f>
        <v>5000</v>
      </c>
      <c r="C94" s="187">
        <f t="shared" si="99"/>
        <v>25000</v>
      </c>
      <c r="D94" s="187">
        <v>0</v>
      </c>
      <c r="E94" s="187">
        <v>700</v>
      </c>
      <c r="F94" s="187">
        <v>15000</v>
      </c>
      <c r="G94" s="187">
        <f t="shared" si="99"/>
        <v>2400</v>
      </c>
      <c r="H94" s="187">
        <f t="shared" si="99"/>
        <v>25000</v>
      </c>
      <c r="I94" s="187">
        <f t="shared" si="99"/>
        <v>5000</v>
      </c>
      <c r="J94" s="187">
        <v>40000</v>
      </c>
      <c r="K94" s="187">
        <f t="shared" si="99"/>
        <v>5000</v>
      </c>
      <c r="L94" s="187">
        <v>40000</v>
      </c>
      <c r="M94" s="110">
        <v>9.5</v>
      </c>
      <c r="N94" s="110">
        <f>VLOOKUP(DATE(YEAR(A94),MONTH(A94),DAY(A94)),FY24_Temp[],3,FALSE)</f>
        <v>12.8</v>
      </c>
      <c r="O94" s="110">
        <f t="shared" si="71"/>
        <v>11.5</v>
      </c>
      <c r="P94" s="110">
        <f t="shared" si="72"/>
        <v>19.5</v>
      </c>
      <c r="Q94" s="111">
        <f>VLOOKUP(VLOOKUP(DATEVALUE(TEXT(A94,"m/d/yyyy")),FY24_Temp[],5,FALSE)&amp;TEXT(A94,"-h"),TempDelta[],4,FALSE)</f>
        <v>1.8638571415628706</v>
      </c>
      <c r="R94" s="112">
        <v>10</v>
      </c>
      <c r="S94" s="112">
        <v>1500</v>
      </c>
      <c r="T94" s="99">
        <f>VLOOKUP(TEXT(A94,"yy-mm")&amp;"-"&amp;IF(AND(WEEKDAY(A94)&gt;1,WEEKDAY(A94)&lt;7),"Wkd",TEXT(A94,"Ddd"))&amp;"-"&amp;TEXT(A94,"hh"),LoadTable[],3,FALSE)*0.92</f>
        <v>494.57360000000006</v>
      </c>
      <c r="U94" s="113">
        <f t="shared" si="73"/>
        <v>49.457360000000008</v>
      </c>
    </row>
    <row r="95" spans="1:21" ht="15" thickBot="1">
      <c r="A95" s="29">
        <f t="shared" si="43"/>
        <v>45839.833333335089</v>
      </c>
      <c r="B95" s="187">
        <f t="shared" ref="B95:L95" si="100">B119</f>
        <v>5000</v>
      </c>
      <c r="C95" s="187">
        <f t="shared" si="100"/>
        <v>25000</v>
      </c>
      <c r="D95" s="187">
        <v>0</v>
      </c>
      <c r="E95" s="187">
        <v>700</v>
      </c>
      <c r="F95" s="187">
        <v>15000</v>
      </c>
      <c r="G95" s="187">
        <f t="shared" si="100"/>
        <v>2400</v>
      </c>
      <c r="H95" s="187">
        <f t="shared" si="100"/>
        <v>25000</v>
      </c>
      <c r="I95" s="187">
        <f t="shared" si="100"/>
        <v>5000</v>
      </c>
      <c r="J95" s="187">
        <v>40000</v>
      </c>
      <c r="K95" s="187">
        <f t="shared" si="100"/>
        <v>5000</v>
      </c>
      <c r="L95" s="187">
        <v>40000</v>
      </c>
      <c r="M95" s="110">
        <v>9.5</v>
      </c>
      <c r="N95" s="110">
        <f>VLOOKUP(DATE(YEAR(A95),MONTH(A95),DAY(A95)),FY24_Temp[],3,FALSE)</f>
        <v>12.8</v>
      </c>
      <c r="O95" s="110">
        <f t="shared" si="71"/>
        <v>11.5</v>
      </c>
      <c r="P95" s="110">
        <f t="shared" si="72"/>
        <v>19.5</v>
      </c>
      <c r="Q95" s="111">
        <f>VLOOKUP(VLOOKUP(DATEVALUE(TEXT(A95,"m/d/yyyy")),FY24_Temp[],5,FALSE)&amp;TEXT(A95,"-h"),TempDelta[],4,FALSE)</f>
        <v>2.300714305468968</v>
      </c>
      <c r="R95" s="112">
        <v>10</v>
      </c>
      <c r="S95" s="112">
        <v>1500</v>
      </c>
      <c r="T95" s="99">
        <f>VLOOKUP(TEXT(A95,"yy-mm")&amp;"-"&amp;IF(AND(WEEKDAY(A95)&gt;1,WEEKDAY(A95)&lt;7),"Wkd",TEXT(A95,"Ddd"))&amp;"-"&amp;TEXT(A95,"hh"),LoadTable[],3,FALSE)*0.92</f>
        <v>494.57360000000006</v>
      </c>
      <c r="U95" s="113">
        <f t="shared" si="73"/>
        <v>49.457360000000008</v>
      </c>
    </row>
    <row r="96" spans="1:21" ht="15" thickBot="1">
      <c r="A96" s="29">
        <f t="shared" si="43"/>
        <v>45839.875000001754</v>
      </c>
      <c r="B96" s="187">
        <f t="shared" ref="B96:L96" si="101">B120</f>
        <v>5000</v>
      </c>
      <c r="C96" s="187">
        <f t="shared" si="101"/>
        <v>25000</v>
      </c>
      <c r="D96" s="187">
        <v>0</v>
      </c>
      <c r="E96" s="187">
        <v>700</v>
      </c>
      <c r="F96" s="187">
        <v>15000</v>
      </c>
      <c r="G96" s="187">
        <f t="shared" si="101"/>
        <v>2400</v>
      </c>
      <c r="H96" s="187">
        <f t="shared" si="101"/>
        <v>25000</v>
      </c>
      <c r="I96" s="187">
        <f t="shared" si="101"/>
        <v>5000</v>
      </c>
      <c r="J96" s="187">
        <v>40000</v>
      </c>
      <c r="K96" s="187">
        <f t="shared" si="101"/>
        <v>5000</v>
      </c>
      <c r="L96" s="187">
        <v>40000</v>
      </c>
      <c r="M96" s="110">
        <v>9.5</v>
      </c>
      <c r="N96" s="110">
        <f>VLOOKUP(DATE(YEAR(A96),MONTH(A96),DAY(A96)),FY24_Temp[],3,FALSE)</f>
        <v>12.8</v>
      </c>
      <c r="O96" s="110">
        <f t="shared" si="71"/>
        <v>11.5</v>
      </c>
      <c r="P96" s="110">
        <f t="shared" si="72"/>
        <v>19.5</v>
      </c>
      <c r="Q96" s="111">
        <f>VLOOKUP(VLOOKUP(DATEVALUE(TEXT(A96,"m/d/yyyy")),FY24_Temp[],5,FALSE)&amp;TEXT(A96,"-h"),TempDelta[],4,FALSE)</f>
        <v>2.554214222090585</v>
      </c>
      <c r="R96" s="112">
        <v>10</v>
      </c>
      <c r="S96" s="112">
        <v>1500</v>
      </c>
      <c r="T96" s="99">
        <f>VLOOKUP(TEXT(A96,"yy-mm")&amp;"-"&amp;IF(AND(WEEKDAY(A96)&gt;1,WEEKDAY(A96)&lt;7),"Wkd",TEXT(A96,"Ddd"))&amp;"-"&amp;TEXT(A96,"hh"),LoadTable[],3,FALSE)*0.92</f>
        <v>494.57360000000006</v>
      </c>
      <c r="U96" s="113">
        <f t="shared" si="73"/>
        <v>49.457360000000008</v>
      </c>
    </row>
    <row r="97" spans="1:21" ht="15" thickBot="1">
      <c r="A97" s="29">
        <f t="shared" si="43"/>
        <v>45839.916666668418</v>
      </c>
      <c r="B97" s="187">
        <f t="shared" ref="B97:L97" si="102">B121</f>
        <v>5000</v>
      </c>
      <c r="C97" s="187">
        <f t="shared" si="102"/>
        <v>25000</v>
      </c>
      <c r="D97" s="187">
        <v>0</v>
      </c>
      <c r="E97" s="187">
        <v>700</v>
      </c>
      <c r="F97" s="187">
        <v>15000</v>
      </c>
      <c r="G97" s="187">
        <f t="shared" si="102"/>
        <v>2400</v>
      </c>
      <c r="H97" s="187">
        <f t="shared" si="102"/>
        <v>25000</v>
      </c>
      <c r="I97" s="187">
        <f t="shared" si="102"/>
        <v>5000</v>
      </c>
      <c r="J97" s="187">
        <v>40000</v>
      </c>
      <c r="K97" s="187">
        <f t="shared" si="102"/>
        <v>5000</v>
      </c>
      <c r="L97" s="187">
        <v>40000</v>
      </c>
      <c r="M97" s="110">
        <v>9.5</v>
      </c>
      <c r="N97" s="110">
        <f>VLOOKUP(DATE(YEAR(A97),MONTH(A97),DAY(A97)),FY24_Temp[],3,FALSE)</f>
        <v>12.8</v>
      </c>
      <c r="O97" s="110">
        <f t="shared" si="71"/>
        <v>11.5</v>
      </c>
      <c r="P97" s="110">
        <f t="shared" si="72"/>
        <v>19.5</v>
      </c>
      <c r="Q97" s="111">
        <f>VLOOKUP(VLOOKUP(DATEVALUE(TEXT(A97,"m/d/yyyy")),FY24_Temp[],5,FALSE)&amp;TEXT(A97,"-h"),TempDelta[],4,FALSE)</f>
        <v>2.7827142647334506</v>
      </c>
      <c r="R97" s="112">
        <v>10</v>
      </c>
      <c r="S97" s="112">
        <v>1500</v>
      </c>
      <c r="T97" s="99">
        <f>VLOOKUP(TEXT(A97,"yy-mm")&amp;"-"&amp;IF(AND(WEEKDAY(A97)&gt;1,WEEKDAY(A97)&lt;7),"Wkd",TEXT(A97,"Ddd"))&amp;"-"&amp;TEXT(A97,"hh"),LoadTable[],3,FALSE)*0.92</f>
        <v>418.75640000000004</v>
      </c>
      <c r="U97" s="113">
        <f t="shared" si="73"/>
        <v>41.875640000000004</v>
      </c>
    </row>
    <row r="98" spans="1:21" ht="15" thickBot="1">
      <c r="A98" s="29">
        <f t="shared" si="43"/>
        <v>45839.958333335082</v>
      </c>
      <c r="B98" s="187">
        <f t="shared" ref="B98:L98" si="103">B122</f>
        <v>5000</v>
      </c>
      <c r="C98" s="187">
        <f t="shared" si="103"/>
        <v>25000</v>
      </c>
      <c r="D98" s="187">
        <v>0</v>
      </c>
      <c r="E98" s="187">
        <v>700</v>
      </c>
      <c r="F98" s="187">
        <v>15000</v>
      </c>
      <c r="G98" s="187">
        <f t="shared" si="103"/>
        <v>2400</v>
      </c>
      <c r="H98" s="187">
        <f t="shared" si="103"/>
        <v>25000</v>
      </c>
      <c r="I98" s="187">
        <f t="shared" si="103"/>
        <v>5000</v>
      </c>
      <c r="J98" s="187">
        <v>40000</v>
      </c>
      <c r="K98" s="187">
        <f t="shared" si="103"/>
        <v>5000</v>
      </c>
      <c r="L98" s="187">
        <v>40000</v>
      </c>
      <c r="M98" s="110">
        <v>9.5</v>
      </c>
      <c r="N98" s="110">
        <f>VLOOKUP(DATE(YEAR(A98),MONTH(A98),DAY(A98)),FY24_Temp[],3,FALSE)</f>
        <v>12.8</v>
      </c>
      <c r="O98" s="110">
        <f t="shared" si="71"/>
        <v>11.5</v>
      </c>
      <c r="P98" s="110">
        <f t="shared" si="72"/>
        <v>19.5</v>
      </c>
      <c r="Q98" s="111">
        <f>VLOOKUP(VLOOKUP(DATEVALUE(TEXT(A98,"m/d/yyyy")),FY24_Temp[],5,FALSE)&amp;TEXT(A98,"-h"),TempDelta[],4,FALSE)</f>
        <v>2.8792857101985385</v>
      </c>
      <c r="R98" s="112">
        <v>10</v>
      </c>
      <c r="S98" s="112">
        <v>1500</v>
      </c>
      <c r="T98" s="99">
        <f>VLOOKUP(TEXT(A98,"yy-mm")&amp;"-"&amp;IF(AND(WEEKDAY(A98)&gt;1,WEEKDAY(A98)&lt;7),"Wkd",TEXT(A98,"Ddd"))&amp;"-"&amp;TEXT(A98,"hh"),LoadTable[],3,FALSE)*0.92</f>
        <v>342.93920000000003</v>
      </c>
      <c r="U98" s="113">
        <f t="shared" si="73"/>
        <v>34.29392</v>
      </c>
    </row>
    <row r="99" spans="1:21" ht="15" thickBot="1">
      <c r="A99" s="29">
        <f t="shared" si="43"/>
        <v>45840.000000001746</v>
      </c>
      <c r="B99" s="187">
        <f t="shared" ref="B99:L99" si="104">B123</f>
        <v>5000</v>
      </c>
      <c r="C99" s="187">
        <f t="shared" si="104"/>
        <v>25000</v>
      </c>
      <c r="D99" s="187">
        <v>0</v>
      </c>
      <c r="E99" s="187">
        <v>700</v>
      </c>
      <c r="F99" s="187">
        <v>15000</v>
      </c>
      <c r="G99" s="187">
        <f t="shared" si="104"/>
        <v>2400</v>
      </c>
      <c r="H99" s="187">
        <f t="shared" si="104"/>
        <v>25000</v>
      </c>
      <c r="I99" s="187">
        <f t="shared" si="104"/>
        <v>5000</v>
      </c>
      <c r="J99" s="187">
        <v>40000</v>
      </c>
      <c r="K99" s="187">
        <f t="shared" si="104"/>
        <v>5000</v>
      </c>
      <c r="L99" s="187">
        <v>40000</v>
      </c>
      <c r="M99" s="110">
        <v>9.5</v>
      </c>
      <c r="N99" s="110">
        <f>VLOOKUP(DATE(YEAR(A99),MONTH(A99),DAY(A99)),FY24_Temp[],3,FALSE)</f>
        <v>12.8</v>
      </c>
      <c r="O99" s="110">
        <f t="shared" si="71"/>
        <v>11.5</v>
      </c>
      <c r="P99" s="110">
        <f t="shared" si="72"/>
        <v>19.5</v>
      </c>
      <c r="Q99" s="111">
        <f>VLOOKUP(VLOOKUP(DATEVALUE(TEXT(A99,"m/d/yyyy")),FY24_Temp[],5,FALSE)&amp;TEXT(A99,"-h"),TempDelta[],4,FALSE)</f>
        <v>3.0441428933824812</v>
      </c>
      <c r="R99" s="112">
        <v>10</v>
      </c>
      <c r="S99" s="112">
        <v>1500</v>
      </c>
      <c r="T99" s="99">
        <f>VLOOKUP(TEXT(A99,"yy-mm")&amp;"-"&amp;IF(AND(WEEKDAY(A99)&gt;1,WEEKDAY(A99)&lt;7),"Wkd",TEXT(A99,"Ddd"))&amp;"-"&amp;TEXT(A99,"hh"),LoadTable[],3,FALSE)*0.92</f>
        <v>279.25312000000002</v>
      </c>
      <c r="U99" s="113">
        <f t="shared" si="73"/>
        <v>27.925312000000002</v>
      </c>
    </row>
    <row r="100" spans="1:21" ht="15" thickBot="1">
      <c r="A100" s="29">
        <f t="shared" si="43"/>
        <v>45840.04166666841</v>
      </c>
      <c r="B100" s="187">
        <f t="shared" ref="B100:L100" si="105">B124</f>
        <v>5000</v>
      </c>
      <c r="C100" s="187">
        <f t="shared" si="105"/>
        <v>25000</v>
      </c>
      <c r="D100" s="187">
        <v>0</v>
      </c>
      <c r="E100" s="187">
        <v>700</v>
      </c>
      <c r="F100" s="187">
        <v>15000</v>
      </c>
      <c r="G100" s="187">
        <f t="shared" si="105"/>
        <v>2400</v>
      </c>
      <c r="H100" s="187">
        <f t="shared" si="105"/>
        <v>25000</v>
      </c>
      <c r="I100" s="187">
        <f t="shared" si="105"/>
        <v>5000</v>
      </c>
      <c r="J100" s="187">
        <v>40000</v>
      </c>
      <c r="K100" s="187">
        <f t="shared" si="105"/>
        <v>5000</v>
      </c>
      <c r="L100" s="187">
        <v>40000</v>
      </c>
      <c r="M100" s="110">
        <v>9.5</v>
      </c>
      <c r="N100" s="110">
        <f>VLOOKUP(DATE(YEAR(A100),MONTH(A100),DAY(A100)),FY24_Temp[],3,FALSE)</f>
        <v>12.8</v>
      </c>
      <c r="O100" s="110">
        <f t="shared" si="71"/>
        <v>11.5</v>
      </c>
      <c r="P100" s="110">
        <f t="shared" si="72"/>
        <v>19.5</v>
      </c>
      <c r="Q100" s="111">
        <f>VLOOKUP(VLOOKUP(DATEVALUE(TEXT(A100,"m/d/yyyy")),FY24_Temp[],5,FALSE)&amp;TEXT(A100,"-h"),TempDelta[],4,FALSE)</f>
        <v>3.0992857047489712</v>
      </c>
      <c r="R100" s="112">
        <v>10</v>
      </c>
      <c r="S100" s="112">
        <v>1500</v>
      </c>
      <c r="T100" s="99">
        <f>VLOOKUP(TEXT(A100,"yy-mm")&amp;"-"&amp;IF(AND(WEEKDAY(A100)&gt;1,WEEKDAY(A100)&lt;7),"Wkd",TEXT(A100,"Ddd"))&amp;"-"&amp;TEXT(A100,"hh"),LoadTable[],3,FALSE)*0.92</f>
        <v>279.25312000000002</v>
      </c>
      <c r="U100" s="113">
        <f t="shared" si="73"/>
        <v>27.925312000000002</v>
      </c>
    </row>
    <row r="101" spans="1:21" ht="15" thickBot="1">
      <c r="A101" s="29">
        <f t="shared" si="43"/>
        <v>45840.083333335075</v>
      </c>
      <c r="B101" s="187">
        <f t="shared" ref="B101:L101" si="106">B125</f>
        <v>5000</v>
      </c>
      <c r="C101" s="187">
        <f t="shared" si="106"/>
        <v>25000</v>
      </c>
      <c r="D101" s="187">
        <v>0</v>
      </c>
      <c r="E101" s="187">
        <v>700</v>
      </c>
      <c r="F101" s="187">
        <v>15000</v>
      </c>
      <c r="G101" s="187">
        <f t="shared" si="106"/>
        <v>2400</v>
      </c>
      <c r="H101" s="187">
        <f t="shared" si="106"/>
        <v>25000</v>
      </c>
      <c r="I101" s="187">
        <f t="shared" si="106"/>
        <v>5000</v>
      </c>
      <c r="J101" s="187">
        <v>40000</v>
      </c>
      <c r="K101" s="187">
        <f t="shared" si="106"/>
        <v>5000</v>
      </c>
      <c r="L101" s="187">
        <v>40000</v>
      </c>
      <c r="M101" s="110">
        <v>9.5</v>
      </c>
      <c r="N101" s="110">
        <f>VLOOKUP(DATE(YEAR(A101),MONTH(A101),DAY(A101)),FY24_Temp[],3,FALSE)</f>
        <v>12.8</v>
      </c>
      <c r="O101" s="110">
        <f t="shared" si="71"/>
        <v>11.5</v>
      </c>
      <c r="P101" s="110">
        <f t="shared" si="72"/>
        <v>19.5</v>
      </c>
      <c r="Q101" s="111">
        <f>VLOOKUP(VLOOKUP(DATEVALUE(TEXT(A101,"m/d/yyyy")),FY24_Temp[],5,FALSE)&amp;TEXT(A101,"-h"),TempDelta[],4,FALSE)</f>
        <v>3.1050000190734863</v>
      </c>
      <c r="R101" s="112">
        <v>10</v>
      </c>
      <c r="S101" s="112">
        <v>1500</v>
      </c>
      <c r="T101" s="99">
        <f>VLOOKUP(TEXT(A101,"yy-mm")&amp;"-"&amp;IF(AND(WEEKDAY(A101)&gt;1,WEEKDAY(A101)&lt;7),"Wkd",TEXT(A101,"Ddd"))&amp;"-"&amp;TEXT(A101,"hh"),LoadTable[],3,FALSE)*0.92</f>
        <v>279.25312000000002</v>
      </c>
      <c r="U101" s="113">
        <f t="shared" si="73"/>
        <v>27.925312000000002</v>
      </c>
    </row>
    <row r="102" spans="1:21" ht="15" thickBot="1">
      <c r="A102" s="29">
        <f t="shared" si="43"/>
        <v>45840.125000001739</v>
      </c>
      <c r="B102" s="187">
        <f t="shared" ref="B102:L102" si="107">B126</f>
        <v>5000</v>
      </c>
      <c r="C102" s="187">
        <f t="shared" si="107"/>
        <v>25000</v>
      </c>
      <c r="D102" s="187">
        <v>0</v>
      </c>
      <c r="E102" s="187">
        <v>700</v>
      </c>
      <c r="F102" s="187">
        <v>15000</v>
      </c>
      <c r="G102" s="187">
        <f t="shared" si="107"/>
        <v>2400</v>
      </c>
      <c r="H102" s="187">
        <f t="shared" si="107"/>
        <v>25000</v>
      </c>
      <c r="I102" s="187">
        <f t="shared" si="107"/>
        <v>5000</v>
      </c>
      <c r="J102" s="187">
        <v>40000</v>
      </c>
      <c r="K102" s="187">
        <f t="shared" si="107"/>
        <v>5000</v>
      </c>
      <c r="L102" s="187">
        <v>40000</v>
      </c>
      <c r="M102" s="110">
        <v>9.5</v>
      </c>
      <c r="N102" s="110">
        <f>VLOOKUP(DATE(YEAR(A102),MONTH(A102),DAY(A102)),FY24_Temp[],3,FALSE)</f>
        <v>12.8</v>
      </c>
      <c r="O102" s="110">
        <f t="shared" si="71"/>
        <v>11.5</v>
      </c>
      <c r="P102" s="110">
        <f t="shared" si="72"/>
        <v>19.5</v>
      </c>
      <c r="Q102" s="111">
        <f>VLOOKUP(VLOOKUP(DATEVALUE(TEXT(A102,"m/d/yyyy")),FY24_Temp[],5,FALSE)&amp;TEXT(A102,"-h"),TempDelta[],4,FALSE)</f>
        <v>3.0428571701049805</v>
      </c>
      <c r="R102" s="112">
        <v>10</v>
      </c>
      <c r="S102" s="112">
        <v>1500</v>
      </c>
      <c r="T102" s="99">
        <f>VLOOKUP(TEXT(A102,"yy-mm")&amp;"-"&amp;IF(AND(WEEKDAY(A102)&gt;1,WEEKDAY(A102)&lt;7),"Wkd",TEXT(A102,"Ddd"))&amp;"-"&amp;TEXT(A102,"hh"),LoadTable[],3,FALSE)*0.92</f>
        <v>279.25312000000002</v>
      </c>
      <c r="U102" s="113">
        <f t="shared" si="73"/>
        <v>27.925312000000002</v>
      </c>
    </row>
    <row r="103" spans="1:21" ht="15" thickBot="1">
      <c r="A103" s="29">
        <f t="shared" si="43"/>
        <v>45840.166666668403</v>
      </c>
      <c r="B103" s="187">
        <f t="shared" ref="B103:L103" si="108">B127</f>
        <v>5000</v>
      </c>
      <c r="C103" s="187">
        <f t="shared" si="108"/>
        <v>25000</v>
      </c>
      <c r="D103" s="187">
        <v>0</v>
      </c>
      <c r="E103" s="187">
        <v>700</v>
      </c>
      <c r="F103" s="187">
        <v>15000</v>
      </c>
      <c r="G103" s="187">
        <f t="shared" si="108"/>
        <v>2400</v>
      </c>
      <c r="H103" s="187">
        <f t="shared" si="108"/>
        <v>25000</v>
      </c>
      <c r="I103" s="187">
        <f t="shared" si="108"/>
        <v>5000</v>
      </c>
      <c r="J103" s="187">
        <v>40000</v>
      </c>
      <c r="K103" s="187">
        <f t="shared" si="108"/>
        <v>5000</v>
      </c>
      <c r="L103" s="187">
        <v>40000</v>
      </c>
      <c r="M103" s="110">
        <v>9.5</v>
      </c>
      <c r="N103" s="110">
        <f>VLOOKUP(DATE(YEAR(A103),MONTH(A103),DAY(A103)),FY24_Temp[],3,FALSE)</f>
        <v>12.8</v>
      </c>
      <c r="O103" s="110">
        <f t="shared" si="71"/>
        <v>11.5</v>
      </c>
      <c r="P103" s="110">
        <f t="shared" si="72"/>
        <v>19.5</v>
      </c>
      <c r="Q103" s="111">
        <f>VLOOKUP(VLOOKUP(DATEVALUE(TEXT(A103,"m/d/yyyy")),FY24_Temp[],5,FALSE)&amp;TEXT(A103,"-h"),TempDelta[],4,FALSE)</f>
        <v>2.9580000468662808</v>
      </c>
      <c r="R103" s="112">
        <v>10</v>
      </c>
      <c r="S103" s="112">
        <v>1500</v>
      </c>
      <c r="T103" s="99">
        <f>VLOOKUP(TEXT(A103,"yy-mm")&amp;"-"&amp;IF(AND(WEEKDAY(A103)&gt;1,WEEKDAY(A103)&lt;7),"Wkd",TEXT(A103,"Ddd"))&amp;"-"&amp;TEXT(A103,"hh"),LoadTable[],3,FALSE)*0.92</f>
        <v>279.25312000000002</v>
      </c>
      <c r="U103" s="113">
        <f t="shared" si="73"/>
        <v>27.925312000000002</v>
      </c>
    </row>
    <row r="104" spans="1:21" ht="15" thickBot="1">
      <c r="A104" s="29">
        <f t="shared" si="43"/>
        <v>45840.208333335067</v>
      </c>
      <c r="B104" s="187">
        <f t="shared" ref="B104:L104" si="109">B128</f>
        <v>5000</v>
      </c>
      <c r="C104" s="187">
        <f t="shared" si="109"/>
        <v>25000</v>
      </c>
      <c r="D104" s="187">
        <v>0</v>
      </c>
      <c r="E104" s="187">
        <v>700</v>
      </c>
      <c r="F104" s="187">
        <v>15000</v>
      </c>
      <c r="G104" s="187">
        <f t="shared" si="109"/>
        <v>2400</v>
      </c>
      <c r="H104" s="187">
        <f t="shared" si="109"/>
        <v>25000</v>
      </c>
      <c r="I104" s="187">
        <f t="shared" si="109"/>
        <v>5000</v>
      </c>
      <c r="J104" s="187">
        <v>40000</v>
      </c>
      <c r="K104" s="187">
        <f t="shared" si="109"/>
        <v>5000</v>
      </c>
      <c r="L104" s="187">
        <v>40000</v>
      </c>
      <c r="M104" s="110">
        <v>9.5</v>
      </c>
      <c r="N104" s="110">
        <f>VLOOKUP(DATE(YEAR(A104),MONTH(A104),DAY(A104)),FY24_Temp[],3,FALSE)</f>
        <v>12.8</v>
      </c>
      <c r="O104" s="110">
        <f t="shared" si="71"/>
        <v>11.5</v>
      </c>
      <c r="P104" s="110">
        <f t="shared" si="72"/>
        <v>19.5</v>
      </c>
      <c r="Q104" s="111">
        <f>VLOOKUP(VLOOKUP(DATEVALUE(TEXT(A104,"m/d/yyyy")),FY24_Temp[],5,FALSE)&amp;TEXT(A104,"-h"),TempDelta[],4,FALSE)</f>
        <v>2.8608571801866804</v>
      </c>
      <c r="R104" s="112">
        <v>10</v>
      </c>
      <c r="S104" s="112">
        <v>1500</v>
      </c>
      <c r="T104" s="99">
        <f>VLOOKUP(TEXT(A104,"yy-mm")&amp;"-"&amp;IF(AND(WEEKDAY(A104)&gt;1,WEEKDAY(A104)&lt;7),"Wkd",TEXT(A104,"Ddd"))&amp;"-"&amp;TEXT(A104,"hh"),LoadTable[],3,FALSE)*0.92</f>
        <v>279.25312000000002</v>
      </c>
      <c r="U104" s="113">
        <f t="shared" si="73"/>
        <v>27.925312000000002</v>
      </c>
    </row>
    <row r="105" spans="1:21" ht="15" thickBot="1">
      <c r="A105" s="29">
        <f t="shared" si="43"/>
        <v>45840.250000001732</v>
      </c>
      <c r="B105" s="187">
        <f t="shared" ref="B105:L105" si="110">B129</f>
        <v>8000</v>
      </c>
      <c r="C105" s="187">
        <f t="shared" si="110"/>
        <v>25000</v>
      </c>
      <c r="D105" s="187">
        <v>0</v>
      </c>
      <c r="E105" s="187">
        <v>700</v>
      </c>
      <c r="F105" s="187">
        <v>15000</v>
      </c>
      <c r="G105" s="187">
        <f t="shared" si="110"/>
        <v>2400</v>
      </c>
      <c r="H105" s="187">
        <f t="shared" si="110"/>
        <v>25000</v>
      </c>
      <c r="I105" s="187">
        <f t="shared" si="110"/>
        <v>8000</v>
      </c>
      <c r="J105" s="187">
        <v>40000</v>
      </c>
      <c r="K105" s="187">
        <f t="shared" si="110"/>
        <v>8000</v>
      </c>
      <c r="L105" s="187">
        <v>40000</v>
      </c>
      <c r="M105" s="110">
        <v>9.5</v>
      </c>
      <c r="N105" s="110">
        <f>VLOOKUP(DATE(YEAR(A105),MONTH(A105),DAY(A105)),FY24_Temp[],3,FALSE)</f>
        <v>12.8</v>
      </c>
      <c r="O105" s="110">
        <f t="shared" si="71"/>
        <v>11.5</v>
      </c>
      <c r="P105" s="110">
        <f t="shared" si="72"/>
        <v>19.5</v>
      </c>
      <c r="Q105" s="111">
        <f>VLOOKUP(VLOOKUP(DATEVALUE(TEXT(A105,"m/d/yyyy")),FY24_Temp[],5,FALSE)&amp;TEXT(A105,"-h"),TempDelta[],4,FALSE)</f>
        <v>2.7405714307512556</v>
      </c>
      <c r="R105" s="112">
        <v>10</v>
      </c>
      <c r="S105" s="112">
        <v>1500</v>
      </c>
      <c r="T105" s="99">
        <f>VLOOKUP(TEXT(A105,"yy-mm")&amp;"-"&amp;IF(AND(WEEKDAY(A105)&gt;1,WEEKDAY(A105)&lt;7),"Wkd",TEXT(A105,"Ddd"))&amp;"-"&amp;TEXT(A105,"hh"),LoadTable[],3,FALSE)*0.92</f>
        <v>279.25312000000002</v>
      </c>
      <c r="U105" s="113">
        <f t="shared" si="73"/>
        <v>27.925312000000002</v>
      </c>
    </row>
    <row r="106" spans="1:21" ht="15" thickBot="1">
      <c r="A106" s="29">
        <f t="shared" ref="A106:A169" si="111">A107-TIME(1,0,0)</f>
        <v>45840.291666668396</v>
      </c>
      <c r="B106" s="187">
        <f t="shared" ref="B106:L106" si="112">B130</f>
        <v>8000</v>
      </c>
      <c r="C106" s="187">
        <f t="shared" si="112"/>
        <v>25000</v>
      </c>
      <c r="D106" s="187">
        <v>0</v>
      </c>
      <c r="E106" s="187">
        <v>700</v>
      </c>
      <c r="F106" s="187">
        <v>15000</v>
      </c>
      <c r="G106" s="187">
        <f t="shared" si="112"/>
        <v>2400</v>
      </c>
      <c r="H106" s="187">
        <f t="shared" si="112"/>
        <v>25000</v>
      </c>
      <c r="I106" s="187">
        <f t="shared" si="112"/>
        <v>8000</v>
      </c>
      <c r="J106" s="187">
        <v>40000</v>
      </c>
      <c r="K106" s="187">
        <f t="shared" si="112"/>
        <v>8000</v>
      </c>
      <c r="L106" s="187">
        <v>40000</v>
      </c>
      <c r="M106" s="110">
        <v>9.5</v>
      </c>
      <c r="N106" s="110">
        <f>VLOOKUP(DATE(YEAR(A106),MONTH(A106),DAY(A106)),FY24_Temp[],3,FALSE)</f>
        <v>12.8</v>
      </c>
      <c r="O106" s="110">
        <f t="shared" si="71"/>
        <v>11.5</v>
      </c>
      <c r="P106" s="110">
        <f t="shared" si="72"/>
        <v>19.5</v>
      </c>
      <c r="Q106" s="111">
        <f>VLOOKUP(VLOOKUP(DATEVALUE(TEXT(A106,"m/d/yyyy")),FY24_Temp[],5,FALSE)&amp;TEXT(A106,"-h"),TempDelta[],4,FALSE)</f>
        <v>2.6134285245622908</v>
      </c>
      <c r="R106" s="112">
        <v>10</v>
      </c>
      <c r="S106" s="112">
        <v>1500</v>
      </c>
      <c r="T106" s="99">
        <f>VLOOKUP(TEXT(A106,"yy-mm")&amp;"-"&amp;IF(AND(WEEKDAY(A106)&gt;1,WEEKDAY(A106)&lt;7),"Wkd",TEXT(A106,"Ddd"))&amp;"-"&amp;TEXT(A106,"hh"),LoadTable[],3,FALSE)*0.92</f>
        <v>279.25312000000002</v>
      </c>
      <c r="U106" s="113">
        <f t="shared" si="73"/>
        <v>27.925312000000002</v>
      </c>
    </row>
    <row r="107" spans="1:21" ht="15" thickBot="1">
      <c r="A107" s="29">
        <f t="shared" si="111"/>
        <v>45840.33333333506</v>
      </c>
      <c r="B107" s="187">
        <f t="shared" ref="B107:L107" si="113">B131</f>
        <v>8000</v>
      </c>
      <c r="C107" s="187">
        <f t="shared" si="113"/>
        <v>25000</v>
      </c>
      <c r="D107" s="187">
        <v>0</v>
      </c>
      <c r="E107" s="187">
        <v>700</v>
      </c>
      <c r="F107" s="187">
        <v>15000</v>
      </c>
      <c r="G107" s="187">
        <f t="shared" si="113"/>
        <v>2400</v>
      </c>
      <c r="H107" s="187">
        <f t="shared" si="113"/>
        <v>25000</v>
      </c>
      <c r="I107" s="187">
        <f t="shared" si="113"/>
        <v>8000</v>
      </c>
      <c r="J107" s="187">
        <v>40000</v>
      </c>
      <c r="K107" s="187">
        <f t="shared" si="113"/>
        <v>8000</v>
      </c>
      <c r="L107" s="187">
        <v>40000</v>
      </c>
      <c r="M107" s="110">
        <v>9.5</v>
      </c>
      <c r="N107" s="110">
        <f>VLOOKUP(DATE(YEAR(A107),MONTH(A107),DAY(A107)),FY24_Temp[],3,FALSE)</f>
        <v>12.8</v>
      </c>
      <c r="O107" s="110">
        <f t="shared" si="71"/>
        <v>11.5</v>
      </c>
      <c r="P107" s="110">
        <f t="shared" si="72"/>
        <v>19.5</v>
      </c>
      <c r="Q107" s="111">
        <f>VLOOKUP(VLOOKUP(DATEVALUE(TEXT(A107,"m/d/yyyy")),FY24_Temp[],5,FALSE)&amp;TEXT(A107,"-h"),TempDelta[],4,FALSE)</f>
        <v>2.44985716683524</v>
      </c>
      <c r="R107" s="112">
        <v>10</v>
      </c>
      <c r="S107" s="112">
        <v>1500</v>
      </c>
      <c r="T107" s="99">
        <f>VLOOKUP(TEXT(A107,"yy-mm")&amp;"-"&amp;IF(AND(WEEKDAY(A107)&gt;1,WEEKDAY(A107)&lt;7),"Wkd",TEXT(A107,"Ddd"))&amp;"-"&amp;TEXT(A107,"hh"),LoadTable[],3,FALSE)*0.92</f>
        <v>279.25312000000002</v>
      </c>
      <c r="U107" s="113">
        <f t="shared" si="73"/>
        <v>27.925312000000002</v>
      </c>
    </row>
    <row r="108" spans="1:21" ht="15" thickBot="1">
      <c r="A108" s="29">
        <f t="shared" si="111"/>
        <v>45840.375000001724</v>
      </c>
      <c r="B108" s="187">
        <f t="shared" ref="B108:L108" si="114">B132</f>
        <v>8000</v>
      </c>
      <c r="C108" s="187">
        <f t="shared" si="114"/>
        <v>25000</v>
      </c>
      <c r="D108" s="187">
        <v>0</v>
      </c>
      <c r="E108" s="187">
        <v>700</v>
      </c>
      <c r="F108" s="187">
        <v>15000</v>
      </c>
      <c r="G108" s="187">
        <f t="shared" si="114"/>
        <v>2400</v>
      </c>
      <c r="H108" s="187">
        <f t="shared" si="114"/>
        <v>25000</v>
      </c>
      <c r="I108" s="187">
        <f t="shared" si="114"/>
        <v>8000</v>
      </c>
      <c r="J108" s="187">
        <v>40000</v>
      </c>
      <c r="K108" s="187">
        <f t="shared" si="114"/>
        <v>8000</v>
      </c>
      <c r="L108" s="187">
        <v>40000</v>
      </c>
      <c r="M108" s="110">
        <v>9.5</v>
      </c>
      <c r="N108" s="110">
        <f>VLOOKUP(DATE(YEAR(A108),MONTH(A108),DAY(A108)),FY24_Temp[],3,FALSE)</f>
        <v>12.8</v>
      </c>
      <c r="O108" s="110">
        <f t="shared" si="71"/>
        <v>11.5</v>
      </c>
      <c r="P108" s="110">
        <f t="shared" si="72"/>
        <v>19.5</v>
      </c>
      <c r="Q108" s="111">
        <f>VLOOKUP(VLOOKUP(DATEVALUE(TEXT(A108,"m/d/yyyy")),FY24_Temp[],5,FALSE)&amp;TEXT(A108,"-h"),TempDelta[],4,FALSE)</f>
        <v>2.2458571025303433</v>
      </c>
      <c r="R108" s="112">
        <v>10</v>
      </c>
      <c r="S108" s="112">
        <v>1500</v>
      </c>
      <c r="T108" s="99">
        <f>VLOOKUP(TEXT(A108,"yy-mm")&amp;"-"&amp;IF(AND(WEEKDAY(A108)&gt;1,WEEKDAY(A108)&lt;7),"Wkd",TEXT(A108,"Ddd"))&amp;"-"&amp;TEXT(A108,"hh"),LoadTable[],3,FALSE)*0.92</f>
        <v>279.25312000000002</v>
      </c>
      <c r="U108" s="113">
        <f t="shared" si="73"/>
        <v>27.925312000000002</v>
      </c>
    </row>
    <row r="109" spans="1:21" ht="15" thickBot="1">
      <c r="A109" s="29">
        <f t="shared" si="111"/>
        <v>45840.416666668389</v>
      </c>
      <c r="B109" s="187">
        <f t="shared" ref="B109:L109" si="115">B133</f>
        <v>8000</v>
      </c>
      <c r="C109" s="187">
        <f t="shared" si="115"/>
        <v>25000</v>
      </c>
      <c r="D109" s="187">
        <v>0</v>
      </c>
      <c r="E109" s="187">
        <v>700</v>
      </c>
      <c r="F109" s="187">
        <v>15000</v>
      </c>
      <c r="G109" s="187">
        <f t="shared" si="115"/>
        <v>2400</v>
      </c>
      <c r="H109" s="187">
        <f t="shared" si="115"/>
        <v>25000</v>
      </c>
      <c r="I109" s="187">
        <f t="shared" si="115"/>
        <v>8000</v>
      </c>
      <c r="J109" s="187">
        <v>40000</v>
      </c>
      <c r="K109" s="187">
        <f t="shared" si="115"/>
        <v>8000</v>
      </c>
      <c r="L109" s="187">
        <v>40000</v>
      </c>
      <c r="M109" s="110">
        <v>9.5</v>
      </c>
      <c r="N109" s="110">
        <f>VLOOKUP(DATE(YEAR(A109),MONTH(A109),DAY(A109)),FY24_Temp[],3,FALSE)</f>
        <v>12.8</v>
      </c>
      <c r="O109" s="110">
        <f t="shared" si="71"/>
        <v>11.5</v>
      </c>
      <c r="P109" s="110">
        <f t="shared" si="72"/>
        <v>19.5</v>
      </c>
      <c r="Q109" s="111">
        <f>VLOOKUP(VLOOKUP(DATEVALUE(TEXT(A109,"m/d/yyyy")),FY24_Temp[],5,FALSE)&amp;TEXT(A109,"-h"),TempDelta[],4,FALSE)</f>
        <v>2.0832857234137401</v>
      </c>
      <c r="R109" s="112">
        <v>10</v>
      </c>
      <c r="S109" s="112">
        <v>1500</v>
      </c>
      <c r="T109" s="99">
        <f>VLOOKUP(TEXT(A109,"yy-mm")&amp;"-"&amp;IF(AND(WEEKDAY(A109)&gt;1,WEEKDAY(A109)&lt;7),"Wkd",TEXT(A109,"Ddd"))&amp;"-"&amp;TEXT(A109,"hh"),LoadTable[],3,FALSE)*0.92</f>
        <v>279.25312000000002</v>
      </c>
      <c r="U109" s="113">
        <f t="shared" si="73"/>
        <v>27.925312000000002</v>
      </c>
    </row>
    <row r="110" spans="1:21" ht="15" thickBot="1">
      <c r="A110" s="29">
        <f t="shared" si="111"/>
        <v>45840.458333335053</v>
      </c>
      <c r="B110" s="187">
        <f t="shared" ref="B110:L110" si="116">B134</f>
        <v>8000</v>
      </c>
      <c r="C110" s="187">
        <f t="shared" si="116"/>
        <v>25000</v>
      </c>
      <c r="D110" s="187">
        <v>0</v>
      </c>
      <c r="E110" s="187">
        <v>700</v>
      </c>
      <c r="F110" s="187">
        <v>15000</v>
      </c>
      <c r="G110" s="187">
        <f t="shared" si="116"/>
        <v>2400</v>
      </c>
      <c r="H110" s="187">
        <f t="shared" si="116"/>
        <v>25000</v>
      </c>
      <c r="I110" s="187">
        <f t="shared" si="116"/>
        <v>8000</v>
      </c>
      <c r="J110" s="187">
        <v>40000</v>
      </c>
      <c r="K110" s="187">
        <f t="shared" si="116"/>
        <v>8000</v>
      </c>
      <c r="L110" s="187">
        <v>40000</v>
      </c>
      <c r="M110" s="110">
        <v>9.5</v>
      </c>
      <c r="N110" s="110">
        <f>VLOOKUP(DATE(YEAR(A110),MONTH(A110),DAY(A110)),FY24_Temp[],3,FALSE)</f>
        <v>12.8</v>
      </c>
      <c r="O110" s="110">
        <f t="shared" si="71"/>
        <v>11.5</v>
      </c>
      <c r="P110" s="110">
        <f t="shared" si="72"/>
        <v>19.5</v>
      </c>
      <c r="Q110" s="111">
        <f>VLOOKUP(VLOOKUP(DATEVALUE(TEXT(A110,"m/d/yyyy")),FY24_Temp[],5,FALSE)&amp;TEXT(A110,"-h"),TempDelta[],4,FALSE)</f>
        <v>1.8928571258272444</v>
      </c>
      <c r="R110" s="112">
        <v>10</v>
      </c>
      <c r="S110" s="112">
        <v>1500</v>
      </c>
      <c r="T110" s="99">
        <f>VLOOKUP(TEXT(A110,"yy-mm")&amp;"-"&amp;IF(AND(WEEKDAY(A110)&gt;1,WEEKDAY(A110)&lt;7),"Wkd",TEXT(A110,"Ddd"))&amp;"-"&amp;TEXT(A110,"hh"),LoadTable[],3,FALSE)*0.92</f>
        <v>279.25312000000002</v>
      </c>
      <c r="U110" s="113">
        <f t="shared" si="73"/>
        <v>27.925312000000002</v>
      </c>
    </row>
    <row r="111" spans="1:21" ht="15" thickBot="1">
      <c r="A111" s="29">
        <f t="shared" si="111"/>
        <v>45840.500000001717</v>
      </c>
      <c r="B111" s="187">
        <f t="shared" ref="B111:L111" si="117">B135</f>
        <v>8000</v>
      </c>
      <c r="C111" s="187">
        <f t="shared" si="117"/>
        <v>25000</v>
      </c>
      <c r="D111" s="187">
        <v>0</v>
      </c>
      <c r="E111" s="187">
        <v>700</v>
      </c>
      <c r="F111" s="187">
        <v>15000</v>
      </c>
      <c r="G111" s="187">
        <f t="shared" si="117"/>
        <v>2400</v>
      </c>
      <c r="H111" s="187">
        <f t="shared" si="117"/>
        <v>25000</v>
      </c>
      <c r="I111" s="187">
        <f t="shared" si="117"/>
        <v>8000</v>
      </c>
      <c r="J111" s="187">
        <v>40000</v>
      </c>
      <c r="K111" s="187">
        <f t="shared" si="117"/>
        <v>8000</v>
      </c>
      <c r="L111" s="187">
        <v>40000</v>
      </c>
      <c r="M111" s="110">
        <v>9.5</v>
      </c>
      <c r="N111" s="110">
        <f>VLOOKUP(DATE(YEAR(A111),MONTH(A111),DAY(A111)),FY24_Temp[],3,FALSE)</f>
        <v>12.8</v>
      </c>
      <c r="O111" s="110">
        <f t="shared" si="71"/>
        <v>11.5</v>
      </c>
      <c r="P111" s="110">
        <f t="shared" si="72"/>
        <v>19.5</v>
      </c>
      <c r="Q111" s="111">
        <f>VLOOKUP(VLOOKUP(DATEVALUE(TEXT(A111,"m/d/yyyy")),FY24_Temp[],5,FALSE)&amp;TEXT(A111,"-h"),TempDelta[],4,FALSE)</f>
        <v>1.665857127734593</v>
      </c>
      <c r="R111" s="112">
        <v>10</v>
      </c>
      <c r="S111" s="112">
        <v>1500</v>
      </c>
      <c r="T111" s="99">
        <f>VLOOKUP(TEXT(A111,"yy-mm")&amp;"-"&amp;IF(AND(WEEKDAY(A111)&gt;1,WEEKDAY(A111)&lt;7),"Wkd",TEXT(A111,"Ddd"))&amp;"-"&amp;TEXT(A111,"hh"),LoadTable[],3,FALSE)*0.92</f>
        <v>279.25312000000002</v>
      </c>
      <c r="U111" s="113">
        <f t="shared" si="73"/>
        <v>27.925312000000002</v>
      </c>
    </row>
    <row r="112" spans="1:21" ht="15" thickBot="1">
      <c r="A112" s="29">
        <f t="shared" si="111"/>
        <v>45840.541666668381</v>
      </c>
      <c r="B112" s="187">
        <f t="shared" ref="B112:L112" si="118">B136</f>
        <v>8000</v>
      </c>
      <c r="C112" s="187">
        <f t="shared" si="118"/>
        <v>25000</v>
      </c>
      <c r="D112" s="187">
        <v>0</v>
      </c>
      <c r="E112" s="187">
        <v>700</v>
      </c>
      <c r="F112" s="187">
        <v>15000</v>
      </c>
      <c r="G112" s="187">
        <f t="shared" si="118"/>
        <v>2400</v>
      </c>
      <c r="H112" s="187">
        <f t="shared" si="118"/>
        <v>25000</v>
      </c>
      <c r="I112" s="187">
        <f t="shared" si="118"/>
        <v>8000</v>
      </c>
      <c r="J112" s="187">
        <v>40000</v>
      </c>
      <c r="K112" s="187">
        <f t="shared" si="118"/>
        <v>8000</v>
      </c>
      <c r="L112" s="187">
        <v>40000</v>
      </c>
      <c r="M112" s="110">
        <v>9.5</v>
      </c>
      <c r="N112" s="110">
        <f>VLOOKUP(DATE(YEAR(A112),MONTH(A112),DAY(A112)),FY24_Temp[],3,FALSE)</f>
        <v>12.8</v>
      </c>
      <c r="O112" s="110">
        <f t="shared" si="71"/>
        <v>11.5</v>
      </c>
      <c r="P112" s="110">
        <f t="shared" si="72"/>
        <v>19.5</v>
      </c>
      <c r="Q112" s="111">
        <f>VLOOKUP(VLOOKUP(DATEVALUE(TEXT(A112,"m/d/yyyy")),FY24_Temp[],5,FALSE)&amp;TEXT(A112,"-h"),TempDelta[],4,FALSE)</f>
        <v>1.4252856969833374</v>
      </c>
      <c r="R112" s="112">
        <v>10</v>
      </c>
      <c r="S112" s="112">
        <v>1500</v>
      </c>
      <c r="T112" s="99">
        <f>VLOOKUP(TEXT(A112,"yy-mm")&amp;"-"&amp;IF(AND(WEEKDAY(A112)&gt;1,WEEKDAY(A112)&lt;7),"Wkd",TEXT(A112,"Ddd"))&amp;"-"&amp;TEXT(A112,"hh"),LoadTable[],3,FALSE)*0.92</f>
        <v>279.25312000000002</v>
      </c>
      <c r="U112" s="113">
        <f t="shared" si="73"/>
        <v>27.925312000000002</v>
      </c>
    </row>
    <row r="113" spans="1:21" ht="15" thickBot="1">
      <c r="A113" s="29">
        <f t="shared" si="111"/>
        <v>45840.583333335046</v>
      </c>
      <c r="B113" s="187">
        <f t="shared" ref="B113:L113" si="119">B137</f>
        <v>8000</v>
      </c>
      <c r="C113" s="187">
        <f t="shared" si="119"/>
        <v>25000</v>
      </c>
      <c r="D113" s="187">
        <v>0</v>
      </c>
      <c r="E113" s="187">
        <v>700</v>
      </c>
      <c r="F113" s="187">
        <v>15000</v>
      </c>
      <c r="G113" s="187">
        <f t="shared" si="119"/>
        <v>2400</v>
      </c>
      <c r="H113" s="187">
        <f t="shared" si="119"/>
        <v>25000</v>
      </c>
      <c r="I113" s="187">
        <f t="shared" si="119"/>
        <v>8000</v>
      </c>
      <c r="J113" s="187">
        <v>40000</v>
      </c>
      <c r="K113" s="187">
        <f t="shared" si="119"/>
        <v>8000</v>
      </c>
      <c r="L113" s="187">
        <v>40000</v>
      </c>
      <c r="M113" s="110">
        <v>9.5</v>
      </c>
      <c r="N113" s="110">
        <f>VLOOKUP(DATE(YEAR(A113),MONTH(A113),DAY(A113)),FY24_Temp[],3,FALSE)</f>
        <v>12.8</v>
      </c>
      <c r="O113" s="110">
        <f t="shared" si="71"/>
        <v>11.5</v>
      </c>
      <c r="P113" s="110">
        <f t="shared" si="72"/>
        <v>19.5</v>
      </c>
      <c r="Q113" s="111">
        <f>VLOOKUP(VLOOKUP(DATEVALUE(TEXT(A113,"m/d/yyyy")),FY24_Temp[],5,FALSE)&amp;TEXT(A113,"-h"),TempDelta[],4,FALSE)</f>
        <v>1.2351428781236922</v>
      </c>
      <c r="R113" s="112">
        <v>10</v>
      </c>
      <c r="S113" s="112">
        <v>1500</v>
      </c>
      <c r="T113" s="99">
        <f>VLOOKUP(TEXT(A113,"yy-mm")&amp;"-"&amp;IF(AND(WEEKDAY(A113)&gt;1,WEEKDAY(A113)&lt;7),"Wkd",TEXT(A113,"Ddd"))&amp;"-"&amp;TEXT(A113,"hh"),LoadTable[],3,FALSE)*0.92</f>
        <v>373.26607999999999</v>
      </c>
      <c r="U113" s="113">
        <f t="shared" si="73"/>
        <v>37.326608</v>
      </c>
    </row>
    <row r="114" spans="1:21" ht="15" thickBot="1">
      <c r="A114" s="29">
        <f t="shared" si="111"/>
        <v>45840.62500000171</v>
      </c>
      <c r="B114" s="187">
        <f t="shared" ref="B114:L114" si="120">B138</f>
        <v>8000</v>
      </c>
      <c r="C114" s="187">
        <f t="shared" si="120"/>
        <v>25000</v>
      </c>
      <c r="D114" s="187">
        <v>0</v>
      </c>
      <c r="E114" s="187">
        <v>700</v>
      </c>
      <c r="F114" s="187">
        <v>15000</v>
      </c>
      <c r="G114" s="187">
        <f t="shared" si="120"/>
        <v>2400</v>
      </c>
      <c r="H114" s="187">
        <f t="shared" si="120"/>
        <v>25000</v>
      </c>
      <c r="I114" s="187">
        <f t="shared" si="120"/>
        <v>8000</v>
      </c>
      <c r="J114" s="187">
        <v>40000</v>
      </c>
      <c r="K114" s="187">
        <f t="shared" si="120"/>
        <v>8000</v>
      </c>
      <c r="L114" s="187">
        <v>40000</v>
      </c>
      <c r="M114" s="110">
        <v>9.5</v>
      </c>
      <c r="N114" s="110">
        <f>VLOOKUP(DATE(YEAR(A114),MONTH(A114),DAY(A114)),FY24_Temp[],3,FALSE)</f>
        <v>12.8</v>
      </c>
      <c r="O114" s="110">
        <f t="shared" si="71"/>
        <v>11.5</v>
      </c>
      <c r="P114" s="110">
        <f t="shared" si="72"/>
        <v>19.5</v>
      </c>
      <c r="Q114" s="111">
        <f>VLOOKUP(VLOOKUP(DATEVALUE(TEXT(A114,"m/d/yyyy")),FY24_Temp[],5,FALSE)&amp;TEXT(A114,"-h"),TempDelta[],4,FALSE)</f>
        <v>0.97514284508568905</v>
      </c>
      <c r="R114" s="112">
        <v>10</v>
      </c>
      <c r="S114" s="112">
        <v>1500</v>
      </c>
      <c r="T114" s="99">
        <f>VLOOKUP(TEXT(A114,"yy-mm")&amp;"-"&amp;IF(AND(WEEKDAY(A114)&gt;1,WEEKDAY(A114)&lt;7),"Wkd",TEXT(A114,"Ddd"))&amp;"-"&amp;TEXT(A114,"hh"),LoadTable[],3,FALSE)*0.92</f>
        <v>494.57360000000006</v>
      </c>
      <c r="U114" s="113">
        <f t="shared" si="73"/>
        <v>49.457360000000008</v>
      </c>
    </row>
    <row r="115" spans="1:21" ht="15" thickBot="1">
      <c r="A115" s="29">
        <f t="shared" si="111"/>
        <v>45840.666666668374</v>
      </c>
      <c r="B115" s="187">
        <f t="shared" ref="B115:L115" si="121">B139</f>
        <v>8000</v>
      </c>
      <c r="C115" s="187">
        <f t="shared" si="121"/>
        <v>25000</v>
      </c>
      <c r="D115" s="187">
        <v>0</v>
      </c>
      <c r="E115" s="187">
        <v>700</v>
      </c>
      <c r="F115" s="187">
        <v>15000</v>
      </c>
      <c r="G115" s="187">
        <f t="shared" si="121"/>
        <v>2400</v>
      </c>
      <c r="H115" s="187">
        <f t="shared" si="121"/>
        <v>25000</v>
      </c>
      <c r="I115" s="187">
        <f t="shared" si="121"/>
        <v>8000</v>
      </c>
      <c r="J115" s="187">
        <v>40000</v>
      </c>
      <c r="K115" s="187">
        <f t="shared" si="121"/>
        <v>8000</v>
      </c>
      <c r="L115" s="187">
        <v>40000</v>
      </c>
      <c r="M115" s="110">
        <v>9.5</v>
      </c>
      <c r="N115" s="110">
        <f>VLOOKUP(DATE(YEAR(A115),MONTH(A115),DAY(A115)),FY24_Temp[],3,FALSE)</f>
        <v>12.8</v>
      </c>
      <c r="O115" s="110">
        <f t="shared" si="71"/>
        <v>11.5</v>
      </c>
      <c r="P115" s="110">
        <f t="shared" si="72"/>
        <v>19.5</v>
      </c>
      <c r="Q115" s="111">
        <f>VLOOKUP(VLOOKUP(DATEVALUE(TEXT(A115,"m/d/yyyy")),FY24_Temp[],5,FALSE)&amp;TEXT(A115,"-h"),TempDelta[],4,FALSE)</f>
        <v>0.88578571166310993</v>
      </c>
      <c r="R115" s="112">
        <v>10</v>
      </c>
      <c r="S115" s="112">
        <v>1500</v>
      </c>
      <c r="T115" s="99">
        <f>VLOOKUP(TEXT(A115,"yy-mm")&amp;"-"&amp;IF(AND(WEEKDAY(A115)&gt;1,WEEKDAY(A115)&lt;7),"Wkd",TEXT(A115,"Ddd"))&amp;"-"&amp;TEXT(A115,"hh"),LoadTable[],3,FALSE)*0.92</f>
        <v>494.57360000000006</v>
      </c>
      <c r="U115" s="113">
        <f t="shared" si="73"/>
        <v>49.457360000000008</v>
      </c>
    </row>
    <row r="116" spans="1:21" ht="15" thickBot="1">
      <c r="A116" s="29">
        <f t="shared" si="111"/>
        <v>45840.708333335038</v>
      </c>
      <c r="B116" s="187">
        <f t="shared" ref="B116:L116" si="122">B140</f>
        <v>8000</v>
      </c>
      <c r="C116" s="187">
        <f t="shared" si="122"/>
        <v>25000</v>
      </c>
      <c r="D116" s="187">
        <v>0</v>
      </c>
      <c r="E116" s="187">
        <v>700</v>
      </c>
      <c r="F116" s="187">
        <v>15000</v>
      </c>
      <c r="G116" s="187">
        <f t="shared" si="122"/>
        <v>2400</v>
      </c>
      <c r="H116" s="187">
        <f t="shared" si="122"/>
        <v>25000</v>
      </c>
      <c r="I116" s="187">
        <f t="shared" si="122"/>
        <v>8000</v>
      </c>
      <c r="J116" s="187">
        <v>40000</v>
      </c>
      <c r="K116" s="187">
        <f t="shared" si="122"/>
        <v>8000</v>
      </c>
      <c r="L116" s="187">
        <v>40000</v>
      </c>
      <c r="M116" s="110">
        <v>9.5</v>
      </c>
      <c r="N116" s="110">
        <f>VLOOKUP(DATE(YEAR(A116),MONTH(A116),DAY(A116)),FY24_Temp[],3,FALSE)</f>
        <v>12.8</v>
      </c>
      <c r="O116" s="110">
        <f t="shared" si="71"/>
        <v>11.5</v>
      </c>
      <c r="P116" s="110">
        <f t="shared" si="72"/>
        <v>19.5</v>
      </c>
      <c r="Q116" s="111">
        <f>VLOOKUP(VLOOKUP(DATEVALUE(TEXT(A116,"m/d/yyyy")),FY24_Temp[],5,FALSE)&amp;TEXT(A116,"-h"),TempDelta[],4,FALSE)</f>
        <v>1.0356428495475225</v>
      </c>
      <c r="R116" s="112">
        <v>10</v>
      </c>
      <c r="S116" s="112">
        <v>1500</v>
      </c>
      <c r="T116" s="99">
        <f>VLOOKUP(TEXT(A116,"yy-mm")&amp;"-"&amp;IF(AND(WEEKDAY(A116)&gt;1,WEEKDAY(A116)&lt;7),"Wkd",TEXT(A116,"Ddd"))&amp;"-"&amp;TEXT(A116,"hh"),LoadTable[],3,FALSE)*0.92</f>
        <v>494.57360000000006</v>
      </c>
      <c r="U116" s="113">
        <f t="shared" si="73"/>
        <v>49.457360000000008</v>
      </c>
    </row>
    <row r="117" spans="1:21" ht="15" thickBot="1">
      <c r="A117" s="29">
        <f t="shared" si="111"/>
        <v>45840.750000001703</v>
      </c>
      <c r="B117" s="187">
        <f t="shared" ref="B117:L117" si="123">B141</f>
        <v>5000</v>
      </c>
      <c r="C117" s="187">
        <f t="shared" si="123"/>
        <v>25000</v>
      </c>
      <c r="D117" s="187">
        <v>0</v>
      </c>
      <c r="E117" s="187">
        <v>700</v>
      </c>
      <c r="F117" s="187">
        <v>15000</v>
      </c>
      <c r="G117" s="187">
        <f t="shared" si="123"/>
        <v>2400</v>
      </c>
      <c r="H117" s="187">
        <f t="shared" si="123"/>
        <v>25000</v>
      </c>
      <c r="I117" s="187">
        <f t="shared" si="123"/>
        <v>5000</v>
      </c>
      <c r="J117" s="187">
        <v>40000</v>
      </c>
      <c r="K117" s="187">
        <f t="shared" si="123"/>
        <v>5000</v>
      </c>
      <c r="L117" s="187">
        <v>40000</v>
      </c>
      <c r="M117" s="110">
        <v>9.5</v>
      </c>
      <c r="N117" s="110">
        <f>VLOOKUP(DATE(YEAR(A117),MONTH(A117),DAY(A117)),FY24_Temp[],3,FALSE)</f>
        <v>12.8</v>
      </c>
      <c r="O117" s="110">
        <f t="shared" si="71"/>
        <v>11.5</v>
      </c>
      <c r="P117" s="110">
        <f t="shared" si="72"/>
        <v>19.5</v>
      </c>
      <c r="Q117" s="111">
        <f>VLOOKUP(VLOOKUP(DATEVALUE(TEXT(A117,"m/d/yyyy")),FY24_Temp[],5,FALSE)&amp;TEXT(A117,"-h"),TempDelta[],4,FALSE)</f>
        <v>1.3991428358214242</v>
      </c>
      <c r="R117" s="112">
        <v>10</v>
      </c>
      <c r="S117" s="112">
        <v>1500</v>
      </c>
      <c r="T117" s="99">
        <f>VLOOKUP(TEXT(A117,"yy-mm")&amp;"-"&amp;IF(AND(WEEKDAY(A117)&gt;1,WEEKDAY(A117)&lt;7),"Wkd",TEXT(A117,"Ddd"))&amp;"-"&amp;TEXT(A117,"hh"),LoadTable[],3,FALSE)*0.92</f>
        <v>494.57360000000006</v>
      </c>
      <c r="U117" s="113">
        <f t="shared" si="73"/>
        <v>49.457360000000008</v>
      </c>
    </row>
    <row r="118" spans="1:21" ht="15" thickBot="1">
      <c r="A118" s="29">
        <f t="shared" si="111"/>
        <v>45840.791666668367</v>
      </c>
      <c r="B118" s="187">
        <f t="shared" ref="B118:L118" si="124">B142</f>
        <v>5000</v>
      </c>
      <c r="C118" s="187">
        <f t="shared" si="124"/>
        <v>25000</v>
      </c>
      <c r="D118" s="187">
        <v>0</v>
      </c>
      <c r="E118" s="187">
        <v>700</v>
      </c>
      <c r="F118" s="187">
        <v>15000</v>
      </c>
      <c r="G118" s="187">
        <f t="shared" si="124"/>
        <v>2400</v>
      </c>
      <c r="H118" s="187">
        <f t="shared" si="124"/>
        <v>25000</v>
      </c>
      <c r="I118" s="187">
        <f t="shared" si="124"/>
        <v>5000</v>
      </c>
      <c r="J118" s="187">
        <v>40000</v>
      </c>
      <c r="K118" s="187">
        <f t="shared" si="124"/>
        <v>5000</v>
      </c>
      <c r="L118" s="187">
        <v>40000</v>
      </c>
      <c r="M118" s="110">
        <v>9.5</v>
      </c>
      <c r="N118" s="110">
        <f>VLOOKUP(DATE(YEAR(A118),MONTH(A118),DAY(A118)),FY24_Temp[],3,FALSE)</f>
        <v>12.8</v>
      </c>
      <c r="O118" s="110">
        <f t="shared" si="71"/>
        <v>11.5</v>
      </c>
      <c r="P118" s="110">
        <f t="shared" si="72"/>
        <v>19.5</v>
      </c>
      <c r="Q118" s="111">
        <f>VLOOKUP(VLOOKUP(DATEVALUE(TEXT(A118,"m/d/yyyy")),FY24_Temp[],5,FALSE)&amp;TEXT(A118,"-h"),TempDelta[],4,FALSE)</f>
        <v>1.8638571415628706</v>
      </c>
      <c r="R118" s="112">
        <v>10</v>
      </c>
      <c r="S118" s="112">
        <v>1500</v>
      </c>
      <c r="T118" s="99">
        <f>VLOOKUP(TEXT(A118,"yy-mm")&amp;"-"&amp;IF(AND(WEEKDAY(A118)&gt;1,WEEKDAY(A118)&lt;7),"Wkd",TEXT(A118,"Ddd"))&amp;"-"&amp;TEXT(A118,"hh"),LoadTable[],3,FALSE)*0.92</f>
        <v>494.57360000000006</v>
      </c>
      <c r="U118" s="113">
        <f t="shared" si="73"/>
        <v>49.457360000000008</v>
      </c>
    </row>
    <row r="119" spans="1:21" ht="15" thickBot="1">
      <c r="A119" s="29">
        <f t="shared" si="111"/>
        <v>45840.833333335031</v>
      </c>
      <c r="B119" s="187">
        <f t="shared" ref="B119:L119" si="125">B143</f>
        <v>5000</v>
      </c>
      <c r="C119" s="187">
        <f t="shared" si="125"/>
        <v>25000</v>
      </c>
      <c r="D119" s="187">
        <v>0</v>
      </c>
      <c r="E119" s="187">
        <v>700</v>
      </c>
      <c r="F119" s="187">
        <v>15000</v>
      </c>
      <c r="G119" s="187">
        <f t="shared" si="125"/>
        <v>2400</v>
      </c>
      <c r="H119" s="187">
        <f t="shared" si="125"/>
        <v>25000</v>
      </c>
      <c r="I119" s="187">
        <f t="shared" si="125"/>
        <v>5000</v>
      </c>
      <c r="J119" s="187">
        <v>40000</v>
      </c>
      <c r="K119" s="187">
        <f t="shared" si="125"/>
        <v>5000</v>
      </c>
      <c r="L119" s="187">
        <v>40000</v>
      </c>
      <c r="M119" s="110">
        <v>9.5</v>
      </c>
      <c r="N119" s="110">
        <f>VLOOKUP(DATE(YEAR(A119),MONTH(A119),DAY(A119)),FY24_Temp[],3,FALSE)</f>
        <v>12.8</v>
      </c>
      <c r="O119" s="110">
        <f t="shared" si="71"/>
        <v>11.5</v>
      </c>
      <c r="P119" s="110">
        <f t="shared" si="72"/>
        <v>19.5</v>
      </c>
      <c r="Q119" s="111">
        <f>VLOOKUP(VLOOKUP(DATEVALUE(TEXT(A119,"m/d/yyyy")),FY24_Temp[],5,FALSE)&amp;TEXT(A119,"-h"),TempDelta[],4,FALSE)</f>
        <v>2.300714305468968</v>
      </c>
      <c r="R119" s="112">
        <v>10</v>
      </c>
      <c r="S119" s="112">
        <v>1500</v>
      </c>
      <c r="T119" s="99">
        <f>VLOOKUP(TEXT(A119,"yy-mm")&amp;"-"&amp;IF(AND(WEEKDAY(A119)&gt;1,WEEKDAY(A119)&lt;7),"Wkd",TEXT(A119,"Ddd"))&amp;"-"&amp;TEXT(A119,"hh"),LoadTable[],3,FALSE)*0.92</f>
        <v>494.57360000000006</v>
      </c>
      <c r="U119" s="113">
        <f t="shared" si="73"/>
        <v>49.457360000000008</v>
      </c>
    </row>
    <row r="120" spans="1:21" ht="15" thickBot="1">
      <c r="A120" s="29">
        <f t="shared" si="111"/>
        <v>45840.875000001695</v>
      </c>
      <c r="B120" s="187">
        <f t="shared" ref="B120:L120" si="126">B144</f>
        <v>5000</v>
      </c>
      <c r="C120" s="187">
        <f t="shared" si="126"/>
        <v>25000</v>
      </c>
      <c r="D120" s="187">
        <v>0</v>
      </c>
      <c r="E120" s="187">
        <v>700</v>
      </c>
      <c r="F120" s="187">
        <v>15000</v>
      </c>
      <c r="G120" s="187">
        <f t="shared" si="126"/>
        <v>2400</v>
      </c>
      <c r="H120" s="187">
        <f t="shared" si="126"/>
        <v>25000</v>
      </c>
      <c r="I120" s="187">
        <f t="shared" si="126"/>
        <v>5000</v>
      </c>
      <c r="J120" s="187">
        <v>40000</v>
      </c>
      <c r="K120" s="187">
        <f t="shared" si="126"/>
        <v>5000</v>
      </c>
      <c r="L120" s="187">
        <v>40000</v>
      </c>
      <c r="M120" s="110">
        <v>9.5</v>
      </c>
      <c r="N120" s="110">
        <f>VLOOKUP(DATE(YEAR(A120),MONTH(A120),DAY(A120)),FY24_Temp[],3,FALSE)</f>
        <v>12.8</v>
      </c>
      <c r="O120" s="110">
        <f t="shared" si="71"/>
        <v>11.5</v>
      </c>
      <c r="P120" s="110">
        <f t="shared" si="72"/>
        <v>19.5</v>
      </c>
      <c r="Q120" s="111">
        <f>VLOOKUP(VLOOKUP(DATEVALUE(TEXT(A120,"m/d/yyyy")),FY24_Temp[],5,FALSE)&amp;TEXT(A120,"-h"),TempDelta[],4,FALSE)</f>
        <v>2.554214222090585</v>
      </c>
      <c r="R120" s="112">
        <v>10</v>
      </c>
      <c r="S120" s="112">
        <v>1500</v>
      </c>
      <c r="T120" s="99">
        <f>VLOOKUP(TEXT(A120,"yy-mm")&amp;"-"&amp;IF(AND(WEEKDAY(A120)&gt;1,WEEKDAY(A120)&lt;7),"Wkd",TEXT(A120,"Ddd"))&amp;"-"&amp;TEXT(A120,"hh"),LoadTable[],3,FALSE)*0.92</f>
        <v>494.57360000000006</v>
      </c>
      <c r="U120" s="113">
        <f t="shared" si="73"/>
        <v>49.457360000000008</v>
      </c>
    </row>
    <row r="121" spans="1:21" ht="15" thickBot="1">
      <c r="A121" s="29">
        <f t="shared" si="111"/>
        <v>45840.91666666836</v>
      </c>
      <c r="B121" s="187">
        <f t="shared" ref="B121:L121" si="127">B145</f>
        <v>5000</v>
      </c>
      <c r="C121" s="187">
        <f t="shared" si="127"/>
        <v>25000</v>
      </c>
      <c r="D121" s="187">
        <v>0</v>
      </c>
      <c r="E121" s="187">
        <v>700</v>
      </c>
      <c r="F121" s="187">
        <v>15000</v>
      </c>
      <c r="G121" s="187">
        <f t="shared" si="127"/>
        <v>2400</v>
      </c>
      <c r="H121" s="187">
        <f t="shared" si="127"/>
        <v>25000</v>
      </c>
      <c r="I121" s="187">
        <f t="shared" si="127"/>
        <v>5000</v>
      </c>
      <c r="J121" s="187">
        <v>40000</v>
      </c>
      <c r="K121" s="187">
        <f t="shared" si="127"/>
        <v>5000</v>
      </c>
      <c r="L121" s="187">
        <v>40000</v>
      </c>
      <c r="M121" s="110">
        <v>9.5</v>
      </c>
      <c r="N121" s="110">
        <f>VLOOKUP(DATE(YEAR(A121),MONTH(A121),DAY(A121)),FY24_Temp[],3,FALSE)</f>
        <v>12.8</v>
      </c>
      <c r="O121" s="110">
        <f t="shared" si="71"/>
        <v>11.5</v>
      </c>
      <c r="P121" s="110">
        <f t="shared" si="72"/>
        <v>19.5</v>
      </c>
      <c r="Q121" s="111">
        <f>VLOOKUP(VLOOKUP(DATEVALUE(TEXT(A121,"m/d/yyyy")),FY24_Temp[],5,FALSE)&amp;TEXT(A121,"-h"),TempDelta[],4,FALSE)</f>
        <v>2.7827142647334506</v>
      </c>
      <c r="R121" s="112">
        <v>10</v>
      </c>
      <c r="S121" s="112">
        <v>1500</v>
      </c>
      <c r="T121" s="99">
        <f>VLOOKUP(TEXT(A121,"yy-mm")&amp;"-"&amp;IF(AND(WEEKDAY(A121)&gt;1,WEEKDAY(A121)&lt;7),"Wkd",TEXT(A121,"Ddd"))&amp;"-"&amp;TEXT(A121,"hh"),LoadTable[],3,FALSE)*0.92</f>
        <v>418.75640000000004</v>
      </c>
      <c r="U121" s="113">
        <f t="shared" si="73"/>
        <v>41.875640000000004</v>
      </c>
    </row>
    <row r="122" spans="1:21" ht="15" thickBot="1">
      <c r="A122" s="29">
        <f t="shared" si="111"/>
        <v>45840.958333335024</v>
      </c>
      <c r="B122" s="187">
        <f t="shared" ref="B122:L122" si="128">B146</f>
        <v>5000</v>
      </c>
      <c r="C122" s="187">
        <f t="shared" si="128"/>
        <v>25000</v>
      </c>
      <c r="D122" s="187">
        <v>0</v>
      </c>
      <c r="E122" s="187">
        <v>700</v>
      </c>
      <c r="F122" s="187">
        <v>15000</v>
      </c>
      <c r="G122" s="187">
        <f t="shared" si="128"/>
        <v>2400</v>
      </c>
      <c r="H122" s="187">
        <f t="shared" si="128"/>
        <v>25000</v>
      </c>
      <c r="I122" s="187">
        <f t="shared" si="128"/>
        <v>5000</v>
      </c>
      <c r="J122" s="187">
        <v>40000</v>
      </c>
      <c r="K122" s="187">
        <f t="shared" si="128"/>
        <v>5000</v>
      </c>
      <c r="L122" s="187">
        <v>40000</v>
      </c>
      <c r="M122" s="110">
        <v>9.5</v>
      </c>
      <c r="N122" s="110">
        <f>VLOOKUP(DATE(YEAR(A122),MONTH(A122),DAY(A122)),FY24_Temp[],3,FALSE)</f>
        <v>12.8</v>
      </c>
      <c r="O122" s="110">
        <f t="shared" si="71"/>
        <v>11.5</v>
      </c>
      <c r="P122" s="110">
        <f t="shared" si="72"/>
        <v>19.5</v>
      </c>
      <c r="Q122" s="111">
        <f>VLOOKUP(VLOOKUP(DATEVALUE(TEXT(A122,"m/d/yyyy")),FY24_Temp[],5,FALSE)&amp;TEXT(A122,"-h"),TempDelta[],4,FALSE)</f>
        <v>2.8792857101985385</v>
      </c>
      <c r="R122" s="112">
        <v>10</v>
      </c>
      <c r="S122" s="112">
        <v>1500</v>
      </c>
      <c r="T122" s="99">
        <f>VLOOKUP(TEXT(A122,"yy-mm")&amp;"-"&amp;IF(AND(WEEKDAY(A122)&gt;1,WEEKDAY(A122)&lt;7),"Wkd",TEXT(A122,"Ddd"))&amp;"-"&amp;TEXT(A122,"hh"),LoadTable[],3,FALSE)*0.92</f>
        <v>342.93920000000003</v>
      </c>
      <c r="U122" s="113">
        <f t="shared" si="73"/>
        <v>34.29392</v>
      </c>
    </row>
    <row r="123" spans="1:21" ht="15" thickBot="1">
      <c r="A123" s="29">
        <f t="shared" si="111"/>
        <v>45841.000000001688</v>
      </c>
      <c r="B123" s="187">
        <f t="shared" ref="B123:L123" si="129">B147</f>
        <v>5000</v>
      </c>
      <c r="C123" s="187">
        <f t="shared" si="129"/>
        <v>25000</v>
      </c>
      <c r="D123" s="187">
        <v>0</v>
      </c>
      <c r="E123" s="187">
        <v>700</v>
      </c>
      <c r="F123" s="187">
        <v>15000</v>
      </c>
      <c r="G123" s="187">
        <f t="shared" si="129"/>
        <v>2400</v>
      </c>
      <c r="H123" s="187">
        <f t="shared" si="129"/>
        <v>25000</v>
      </c>
      <c r="I123" s="187">
        <f t="shared" si="129"/>
        <v>5000</v>
      </c>
      <c r="J123" s="187">
        <v>40000</v>
      </c>
      <c r="K123" s="187">
        <f t="shared" si="129"/>
        <v>5000</v>
      </c>
      <c r="L123" s="187">
        <v>40000</v>
      </c>
      <c r="M123" s="110">
        <v>9.5</v>
      </c>
      <c r="N123" s="110">
        <f>VLOOKUP(DATE(YEAR(A123),MONTH(A123),DAY(A123)),FY24_Temp[],3,FALSE)</f>
        <v>12.8</v>
      </c>
      <c r="O123" s="110">
        <f t="shared" si="71"/>
        <v>11.5</v>
      </c>
      <c r="P123" s="110">
        <f t="shared" si="72"/>
        <v>19.5</v>
      </c>
      <c r="Q123" s="111">
        <f>VLOOKUP(VLOOKUP(DATEVALUE(TEXT(A123,"m/d/yyyy")),FY24_Temp[],5,FALSE)&amp;TEXT(A123,"-h"),TempDelta[],4,FALSE)</f>
        <v>3.0441428933824812</v>
      </c>
      <c r="R123" s="112">
        <v>10</v>
      </c>
      <c r="S123" s="112">
        <v>1500</v>
      </c>
      <c r="T123" s="99">
        <f>VLOOKUP(TEXT(A123,"yy-mm")&amp;"-"&amp;IF(AND(WEEKDAY(A123)&gt;1,WEEKDAY(A123)&lt;7),"Wkd",TEXT(A123,"Ddd"))&amp;"-"&amp;TEXT(A123,"hh"),LoadTable[],3,FALSE)*0.92</f>
        <v>279.25312000000002</v>
      </c>
      <c r="U123" s="113">
        <f t="shared" si="73"/>
        <v>27.925312000000002</v>
      </c>
    </row>
    <row r="124" spans="1:21" ht="15" thickBot="1">
      <c r="A124" s="29">
        <f t="shared" si="111"/>
        <v>45841.041666668352</v>
      </c>
      <c r="B124" s="187">
        <f t="shared" ref="B124:L124" si="130">B148</f>
        <v>5000</v>
      </c>
      <c r="C124" s="187">
        <f t="shared" si="130"/>
        <v>25000</v>
      </c>
      <c r="D124" s="187">
        <v>0</v>
      </c>
      <c r="E124" s="187">
        <v>700</v>
      </c>
      <c r="F124" s="187">
        <v>15000</v>
      </c>
      <c r="G124" s="187">
        <f t="shared" si="130"/>
        <v>2400</v>
      </c>
      <c r="H124" s="187">
        <f t="shared" si="130"/>
        <v>25000</v>
      </c>
      <c r="I124" s="187">
        <f t="shared" si="130"/>
        <v>5000</v>
      </c>
      <c r="J124" s="187">
        <v>40000</v>
      </c>
      <c r="K124" s="187">
        <f t="shared" si="130"/>
        <v>5000</v>
      </c>
      <c r="L124" s="187">
        <v>40000</v>
      </c>
      <c r="M124" s="110">
        <v>9.5</v>
      </c>
      <c r="N124" s="110">
        <f>VLOOKUP(DATE(YEAR(A124),MONTH(A124),DAY(A124)),FY24_Temp[],3,FALSE)</f>
        <v>12.8</v>
      </c>
      <c r="O124" s="110">
        <f t="shared" si="71"/>
        <v>11.5</v>
      </c>
      <c r="P124" s="110">
        <f t="shared" si="72"/>
        <v>19.5</v>
      </c>
      <c r="Q124" s="111">
        <f>VLOOKUP(VLOOKUP(DATEVALUE(TEXT(A124,"m/d/yyyy")),FY24_Temp[],5,FALSE)&amp;TEXT(A124,"-h"),TempDelta[],4,FALSE)</f>
        <v>3.0992857047489712</v>
      </c>
      <c r="R124" s="112">
        <v>10</v>
      </c>
      <c r="S124" s="112">
        <v>1500</v>
      </c>
      <c r="T124" s="99">
        <f>VLOOKUP(TEXT(A124,"yy-mm")&amp;"-"&amp;IF(AND(WEEKDAY(A124)&gt;1,WEEKDAY(A124)&lt;7),"Wkd",TEXT(A124,"Ddd"))&amp;"-"&amp;TEXT(A124,"hh"),LoadTable[],3,FALSE)*0.92</f>
        <v>279.25312000000002</v>
      </c>
      <c r="U124" s="113">
        <f t="shared" si="73"/>
        <v>27.925312000000002</v>
      </c>
    </row>
    <row r="125" spans="1:21" ht="15" thickBot="1">
      <c r="A125" s="29">
        <f t="shared" si="111"/>
        <v>45841.083333335017</v>
      </c>
      <c r="B125" s="187">
        <f t="shared" ref="B125:L125" si="131">B149</f>
        <v>5000</v>
      </c>
      <c r="C125" s="187">
        <f t="shared" si="131"/>
        <v>25000</v>
      </c>
      <c r="D125" s="187">
        <v>0</v>
      </c>
      <c r="E125" s="187">
        <v>700</v>
      </c>
      <c r="F125" s="187">
        <v>15000</v>
      </c>
      <c r="G125" s="187">
        <f t="shared" si="131"/>
        <v>2400</v>
      </c>
      <c r="H125" s="187">
        <f t="shared" si="131"/>
        <v>25000</v>
      </c>
      <c r="I125" s="187">
        <f t="shared" si="131"/>
        <v>5000</v>
      </c>
      <c r="J125" s="187">
        <v>40000</v>
      </c>
      <c r="K125" s="187">
        <f t="shared" si="131"/>
        <v>5000</v>
      </c>
      <c r="L125" s="187">
        <v>40000</v>
      </c>
      <c r="M125" s="110">
        <v>9.5</v>
      </c>
      <c r="N125" s="110">
        <f>VLOOKUP(DATE(YEAR(A125),MONTH(A125),DAY(A125)),FY24_Temp[],3,FALSE)</f>
        <v>12.8</v>
      </c>
      <c r="O125" s="110">
        <f t="shared" si="71"/>
        <v>11.5</v>
      </c>
      <c r="P125" s="110">
        <f t="shared" si="72"/>
        <v>19.5</v>
      </c>
      <c r="Q125" s="111">
        <f>VLOOKUP(VLOOKUP(DATEVALUE(TEXT(A125,"m/d/yyyy")),FY24_Temp[],5,FALSE)&amp;TEXT(A125,"-h"),TempDelta[],4,FALSE)</f>
        <v>3.1050000190734863</v>
      </c>
      <c r="R125" s="112">
        <v>10</v>
      </c>
      <c r="S125" s="112">
        <v>1500</v>
      </c>
      <c r="T125" s="99">
        <f>VLOOKUP(TEXT(A125,"yy-mm")&amp;"-"&amp;IF(AND(WEEKDAY(A125)&gt;1,WEEKDAY(A125)&lt;7),"Wkd",TEXT(A125,"Ddd"))&amp;"-"&amp;TEXT(A125,"hh"),LoadTable[],3,FALSE)*0.92</f>
        <v>279.25312000000002</v>
      </c>
      <c r="U125" s="113">
        <f t="shared" si="73"/>
        <v>27.925312000000002</v>
      </c>
    </row>
    <row r="126" spans="1:21" ht="15" thickBot="1">
      <c r="A126" s="29">
        <f t="shared" si="111"/>
        <v>45841.125000001681</v>
      </c>
      <c r="B126" s="187">
        <f t="shared" ref="B126:L126" si="132">B150</f>
        <v>5000</v>
      </c>
      <c r="C126" s="187">
        <f t="shared" si="132"/>
        <v>25000</v>
      </c>
      <c r="D126" s="187">
        <v>0</v>
      </c>
      <c r="E126" s="187">
        <v>700</v>
      </c>
      <c r="F126" s="187">
        <v>15000</v>
      </c>
      <c r="G126" s="187">
        <f t="shared" si="132"/>
        <v>2400</v>
      </c>
      <c r="H126" s="187">
        <f t="shared" si="132"/>
        <v>25000</v>
      </c>
      <c r="I126" s="187">
        <f t="shared" si="132"/>
        <v>5000</v>
      </c>
      <c r="J126" s="187">
        <v>40000</v>
      </c>
      <c r="K126" s="187">
        <f t="shared" si="132"/>
        <v>5000</v>
      </c>
      <c r="L126" s="187">
        <v>40000</v>
      </c>
      <c r="M126" s="110">
        <v>9.5</v>
      </c>
      <c r="N126" s="110">
        <f>VLOOKUP(DATE(YEAR(A126),MONTH(A126),DAY(A126)),FY24_Temp[],3,FALSE)</f>
        <v>12.8</v>
      </c>
      <c r="O126" s="110">
        <f t="shared" si="71"/>
        <v>11.5</v>
      </c>
      <c r="P126" s="110">
        <f t="shared" si="72"/>
        <v>19.5</v>
      </c>
      <c r="Q126" s="111">
        <f>VLOOKUP(VLOOKUP(DATEVALUE(TEXT(A126,"m/d/yyyy")),FY24_Temp[],5,FALSE)&amp;TEXT(A126,"-h"),TempDelta[],4,FALSE)</f>
        <v>3.0428571701049805</v>
      </c>
      <c r="R126" s="112">
        <v>10</v>
      </c>
      <c r="S126" s="112">
        <v>1500</v>
      </c>
      <c r="T126" s="99">
        <f>VLOOKUP(TEXT(A126,"yy-mm")&amp;"-"&amp;IF(AND(WEEKDAY(A126)&gt;1,WEEKDAY(A126)&lt;7),"Wkd",TEXT(A126,"Ddd"))&amp;"-"&amp;TEXT(A126,"hh"),LoadTable[],3,FALSE)*0.92</f>
        <v>279.25312000000002</v>
      </c>
      <c r="U126" s="113">
        <f t="shared" si="73"/>
        <v>27.925312000000002</v>
      </c>
    </row>
    <row r="127" spans="1:21" ht="15" thickBot="1">
      <c r="A127" s="29">
        <f t="shared" si="111"/>
        <v>45841.166666668345</v>
      </c>
      <c r="B127" s="187">
        <f t="shared" ref="B127:L127" si="133">B151</f>
        <v>5000</v>
      </c>
      <c r="C127" s="187">
        <f t="shared" si="133"/>
        <v>25000</v>
      </c>
      <c r="D127" s="187">
        <v>0</v>
      </c>
      <c r="E127" s="187">
        <v>700</v>
      </c>
      <c r="F127" s="187">
        <v>15000</v>
      </c>
      <c r="G127" s="187">
        <f t="shared" si="133"/>
        <v>2400</v>
      </c>
      <c r="H127" s="187">
        <f t="shared" si="133"/>
        <v>25000</v>
      </c>
      <c r="I127" s="187">
        <f t="shared" si="133"/>
        <v>5000</v>
      </c>
      <c r="J127" s="187">
        <v>40000</v>
      </c>
      <c r="K127" s="187">
        <f t="shared" si="133"/>
        <v>5000</v>
      </c>
      <c r="L127" s="187">
        <v>40000</v>
      </c>
      <c r="M127" s="110">
        <v>9.5</v>
      </c>
      <c r="N127" s="110">
        <f>VLOOKUP(DATE(YEAR(A127),MONTH(A127),DAY(A127)),FY24_Temp[],3,FALSE)</f>
        <v>12.8</v>
      </c>
      <c r="O127" s="110">
        <f t="shared" si="71"/>
        <v>11.5</v>
      </c>
      <c r="P127" s="110">
        <f t="shared" si="72"/>
        <v>19.5</v>
      </c>
      <c r="Q127" s="111">
        <f>VLOOKUP(VLOOKUP(DATEVALUE(TEXT(A127,"m/d/yyyy")),FY24_Temp[],5,FALSE)&amp;TEXT(A127,"-h"),TempDelta[],4,FALSE)</f>
        <v>2.9580000468662808</v>
      </c>
      <c r="R127" s="112">
        <v>10</v>
      </c>
      <c r="S127" s="112">
        <v>1500</v>
      </c>
      <c r="T127" s="99">
        <f>VLOOKUP(TEXT(A127,"yy-mm")&amp;"-"&amp;IF(AND(WEEKDAY(A127)&gt;1,WEEKDAY(A127)&lt;7),"Wkd",TEXT(A127,"Ddd"))&amp;"-"&amp;TEXT(A127,"hh"),LoadTable[],3,FALSE)*0.92</f>
        <v>279.25312000000002</v>
      </c>
      <c r="U127" s="113">
        <f t="shared" si="73"/>
        <v>27.925312000000002</v>
      </c>
    </row>
    <row r="128" spans="1:21" ht="15" thickBot="1">
      <c r="A128" s="29">
        <f t="shared" si="111"/>
        <v>45841.208333335009</v>
      </c>
      <c r="B128" s="187">
        <f t="shared" ref="B128:L128" si="134">B152</f>
        <v>5000</v>
      </c>
      <c r="C128" s="187">
        <f t="shared" si="134"/>
        <v>25000</v>
      </c>
      <c r="D128" s="187">
        <v>0</v>
      </c>
      <c r="E128" s="187">
        <v>700</v>
      </c>
      <c r="F128" s="187">
        <v>15000</v>
      </c>
      <c r="G128" s="187">
        <f t="shared" si="134"/>
        <v>2400</v>
      </c>
      <c r="H128" s="187">
        <f t="shared" si="134"/>
        <v>25000</v>
      </c>
      <c r="I128" s="187">
        <f t="shared" si="134"/>
        <v>5000</v>
      </c>
      <c r="J128" s="187">
        <v>40000</v>
      </c>
      <c r="K128" s="187">
        <f t="shared" si="134"/>
        <v>5000</v>
      </c>
      <c r="L128" s="187">
        <v>40000</v>
      </c>
      <c r="M128" s="110">
        <v>9.5</v>
      </c>
      <c r="N128" s="110">
        <f>VLOOKUP(DATE(YEAR(A128),MONTH(A128),DAY(A128)),FY24_Temp[],3,FALSE)</f>
        <v>12.8</v>
      </c>
      <c r="O128" s="110">
        <f t="shared" si="71"/>
        <v>11.5</v>
      </c>
      <c r="P128" s="110">
        <f t="shared" si="72"/>
        <v>19.5</v>
      </c>
      <c r="Q128" s="111">
        <f>VLOOKUP(VLOOKUP(DATEVALUE(TEXT(A128,"m/d/yyyy")),FY24_Temp[],5,FALSE)&amp;TEXT(A128,"-h"),TempDelta[],4,FALSE)</f>
        <v>2.8608571801866804</v>
      </c>
      <c r="R128" s="112">
        <v>10</v>
      </c>
      <c r="S128" s="112">
        <v>1500</v>
      </c>
      <c r="T128" s="99">
        <f>VLOOKUP(TEXT(A128,"yy-mm")&amp;"-"&amp;IF(AND(WEEKDAY(A128)&gt;1,WEEKDAY(A128)&lt;7),"Wkd",TEXT(A128,"Ddd"))&amp;"-"&amp;TEXT(A128,"hh"),LoadTable[],3,FALSE)*0.92</f>
        <v>279.25312000000002</v>
      </c>
      <c r="U128" s="113">
        <f t="shared" si="73"/>
        <v>27.925312000000002</v>
      </c>
    </row>
    <row r="129" spans="1:21" ht="15" thickBot="1">
      <c r="A129" s="29">
        <f t="shared" si="111"/>
        <v>45841.250000001673</v>
      </c>
      <c r="B129" s="187">
        <f t="shared" ref="B129:L129" si="135">B153</f>
        <v>8000</v>
      </c>
      <c r="C129" s="187">
        <f t="shared" si="135"/>
        <v>25000</v>
      </c>
      <c r="D129" s="187">
        <v>0</v>
      </c>
      <c r="E129" s="187">
        <v>700</v>
      </c>
      <c r="F129" s="187">
        <v>15000</v>
      </c>
      <c r="G129" s="187">
        <f t="shared" si="135"/>
        <v>2400</v>
      </c>
      <c r="H129" s="187">
        <f t="shared" si="135"/>
        <v>25000</v>
      </c>
      <c r="I129" s="187">
        <f t="shared" si="135"/>
        <v>8000</v>
      </c>
      <c r="J129" s="187">
        <v>40000</v>
      </c>
      <c r="K129" s="187">
        <f t="shared" si="135"/>
        <v>8000</v>
      </c>
      <c r="L129" s="187">
        <v>40000</v>
      </c>
      <c r="M129" s="110">
        <v>9.5</v>
      </c>
      <c r="N129" s="110">
        <f>VLOOKUP(DATE(YEAR(A129),MONTH(A129),DAY(A129)),FY24_Temp[],3,FALSE)</f>
        <v>12.8</v>
      </c>
      <c r="O129" s="110">
        <f t="shared" si="71"/>
        <v>11.5</v>
      </c>
      <c r="P129" s="110">
        <f t="shared" si="72"/>
        <v>19.5</v>
      </c>
      <c r="Q129" s="111">
        <f>VLOOKUP(VLOOKUP(DATEVALUE(TEXT(A129,"m/d/yyyy")),FY24_Temp[],5,FALSE)&amp;TEXT(A129,"-h"),TempDelta[],4,FALSE)</f>
        <v>2.7405714307512556</v>
      </c>
      <c r="R129" s="112">
        <v>10</v>
      </c>
      <c r="S129" s="112">
        <v>1500</v>
      </c>
      <c r="T129" s="99">
        <f>VLOOKUP(TEXT(A129,"yy-mm")&amp;"-"&amp;IF(AND(WEEKDAY(A129)&gt;1,WEEKDAY(A129)&lt;7),"Wkd",TEXT(A129,"Ddd"))&amp;"-"&amp;TEXT(A129,"hh"),LoadTable[],3,FALSE)*0.92</f>
        <v>279.25312000000002</v>
      </c>
      <c r="U129" s="113">
        <f t="shared" si="73"/>
        <v>27.925312000000002</v>
      </c>
    </row>
    <row r="130" spans="1:21" ht="15" thickBot="1">
      <c r="A130" s="29">
        <f t="shared" si="111"/>
        <v>45841.291666668338</v>
      </c>
      <c r="B130" s="187">
        <f t="shared" ref="B130:L130" si="136">B154</f>
        <v>8000</v>
      </c>
      <c r="C130" s="187">
        <f t="shared" si="136"/>
        <v>25000</v>
      </c>
      <c r="D130" s="187">
        <v>0</v>
      </c>
      <c r="E130" s="187">
        <v>700</v>
      </c>
      <c r="F130" s="187">
        <v>15000</v>
      </c>
      <c r="G130" s="187">
        <f t="shared" si="136"/>
        <v>2400</v>
      </c>
      <c r="H130" s="187">
        <f t="shared" si="136"/>
        <v>25000</v>
      </c>
      <c r="I130" s="187">
        <f t="shared" si="136"/>
        <v>8000</v>
      </c>
      <c r="J130" s="187">
        <v>40000</v>
      </c>
      <c r="K130" s="187">
        <f t="shared" si="136"/>
        <v>8000</v>
      </c>
      <c r="L130" s="187">
        <v>40000</v>
      </c>
      <c r="M130" s="110">
        <v>9.5</v>
      </c>
      <c r="N130" s="110">
        <f>VLOOKUP(DATE(YEAR(A130),MONTH(A130),DAY(A130)),FY24_Temp[],3,FALSE)</f>
        <v>12.8</v>
      </c>
      <c r="O130" s="110">
        <f t="shared" si="71"/>
        <v>11.5</v>
      </c>
      <c r="P130" s="110">
        <f t="shared" si="72"/>
        <v>19.5</v>
      </c>
      <c r="Q130" s="111">
        <f>VLOOKUP(VLOOKUP(DATEVALUE(TEXT(A130,"m/d/yyyy")),FY24_Temp[],5,FALSE)&amp;TEXT(A130,"-h"),TempDelta[],4,FALSE)</f>
        <v>2.6134285245622908</v>
      </c>
      <c r="R130" s="112">
        <v>10</v>
      </c>
      <c r="S130" s="112">
        <v>1500</v>
      </c>
      <c r="T130" s="99">
        <f>VLOOKUP(TEXT(A130,"yy-mm")&amp;"-"&amp;IF(AND(WEEKDAY(A130)&gt;1,WEEKDAY(A130)&lt;7),"Wkd",TEXT(A130,"Ddd"))&amp;"-"&amp;TEXT(A130,"hh"),LoadTable[],3,FALSE)*0.92</f>
        <v>279.25312000000002</v>
      </c>
      <c r="U130" s="113">
        <f t="shared" si="73"/>
        <v>27.925312000000002</v>
      </c>
    </row>
    <row r="131" spans="1:21" ht="15" thickBot="1">
      <c r="A131" s="29">
        <f t="shared" si="111"/>
        <v>45841.333333335002</v>
      </c>
      <c r="B131" s="187">
        <f t="shared" ref="B131:L131" si="137">B155</f>
        <v>8000</v>
      </c>
      <c r="C131" s="187">
        <f t="shared" si="137"/>
        <v>25000</v>
      </c>
      <c r="D131" s="187">
        <v>0</v>
      </c>
      <c r="E131" s="187">
        <v>700</v>
      </c>
      <c r="F131" s="187">
        <v>15000</v>
      </c>
      <c r="G131" s="187">
        <f t="shared" si="137"/>
        <v>2400</v>
      </c>
      <c r="H131" s="187">
        <f t="shared" si="137"/>
        <v>25000</v>
      </c>
      <c r="I131" s="187">
        <f t="shared" si="137"/>
        <v>8000</v>
      </c>
      <c r="J131" s="187">
        <v>40000</v>
      </c>
      <c r="K131" s="187">
        <f t="shared" si="137"/>
        <v>8000</v>
      </c>
      <c r="L131" s="187">
        <v>40000</v>
      </c>
      <c r="M131" s="110">
        <v>9.5</v>
      </c>
      <c r="N131" s="110">
        <f>VLOOKUP(DATE(YEAR(A131),MONTH(A131),DAY(A131)),FY24_Temp[],3,FALSE)</f>
        <v>12.8</v>
      </c>
      <c r="O131" s="110">
        <f t="shared" si="71"/>
        <v>11.5</v>
      </c>
      <c r="P131" s="110">
        <f t="shared" si="72"/>
        <v>19.5</v>
      </c>
      <c r="Q131" s="111">
        <f>VLOOKUP(VLOOKUP(DATEVALUE(TEXT(A131,"m/d/yyyy")),FY24_Temp[],5,FALSE)&amp;TEXT(A131,"-h"),TempDelta[],4,FALSE)</f>
        <v>2.44985716683524</v>
      </c>
      <c r="R131" s="112">
        <v>10</v>
      </c>
      <c r="S131" s="112">
        <v>1500</v>
      </c>
      <c r="T131" s="99">
        <f>VLOOKUP(TEXT(A131,"yy-mm")&amp;"-"&amp;IF(AND(WEEKDAY(A131)&gt;1,WEEKDAY(A131)&lt;7),"Wkd",TEXT(A131,"Ddd"))&amp;"-"&amp;TEXT(A131,"hh"),LoadTable[],3,FALSE)*0.92</f>
        <v>279.25312000000002</v>
      </c>
      <c r="U131" s="113">
        <f t="shared" si="73"/>
        <v>27.925312000000002</v>
      </c>
    </row>
    <row r="132" spans="1:21" ht="15" thickBot="1">
      <c r="A132" s="29">
        <f t="shared" si="111"/>
        <v>45841.375000001666</v>
      </c>
      <c r="B132" s="187">
        <f t="shared" ref="B132:L132" si="138">B156</f>
        <v>8000</v>
      </c>
      <c r="C132" s="187">
        <f t="shared" si="138"/>
        <v>25000</v>
      </c>
      <c r="D132" s="187">
        <v>0</v>
      </c>
      <c r="E132" s="187">
        <v>700</v>
      </c>
      <c r="F132" s="187">
        <v>15000</v>
      </c>
      <c r="G132" s="187">
        <f t="shared" si="138"/>
        <v>2400</v>
      </c>
      <c r="H132" s="187">
        <f t="shared" si="138"/>
        <v>25000</v>
      </c>
      <c r="I132" s="187">
        <f t="shared" si="138"/>
        <v>8000</v>
      </c>
      <c r="J132" s="187">
        <v>40000</v>
      </c>
      <c r="K132" s="187">
        <f t="shared" si="138"/>
        <v>8000</v>
      </c>
      <c r="L132" s="187">
        <v>40000</v>
      </c>
      <c r="M132" s="110">
        <v>9.5</v>
      </c>
      <c r="N132" s="110">
        <f>VLOOKUP(DATE(YEAR(A132),MONTH(A132),DAY(A132)),FY24_Temp[],3,FALSE)</f>
        <v>12.8</v>
      </c>
      <c r="O132" s="110">
        <f t="shared" ref="O132:O195" si="139">15.5-4</f>
        <v>11.5</v>
      </c>
      <c r="P132" s="110">
        <f t="shared" ref="P132:P195" si="140">15.5+4</f>
        <v>19.5</v>
      </c>
      <c r="Q132" s="111">
        <f>VLOOKUP(VLOOKUP(DATEVALUE(TEXT(A132,"m/d/yyyy")),FY24_Temp[],5,FALSE)&amp;TEXT(A132,"-h"),TempDelta[],4,FALSE)</f>
        <v>2.2458571025303433</v>
      </c>
      <c r="R132" s="112">
        <v>10</v>
      </c>
      <c r="S132" s="112">
        <v>1500</v>
      </c>
      <c r="T132" s="99">
        <f>VLOOKUP(TEXT(A132,"yy-mm")&amp;"-"&amp;IF(AND(WEEKDAY(A132)&gt;1,WEEKDAY(A132)&lt;7),"Wkd",TEXT(A132,"Ddd"))&amp;"-"&amp;TEXT(A132,"hh"),LoadTable[],3,FALSE)*0.92</f>
        <v>279.25312000000002</v>
      </c>
      <c r="U132" s="113">
        <f t="shared" ref="U132:U195" si="141">T132/10</f>
        <v>27.925312000000002</v>
      </c>
    </row>
    <row r="133" spans="1:21" ht="15" thickBot="1">
      <c r="A133" s="29">
        <f t="shared" si="111"/>
        <v>45841.41666666833</v>
      </c>
      <c r="B133" s="187">
        <f t="shared" ref="B133:L133" si="142">B157</f>
        <v>8000</v>
      </c>
      <c r="C133" s="187">
        <f t="shared" si="142"/>
        <v>25000</v>
      </c>
      <c r="D133" s="187">
        <v>0</v>
      </c>
      <c r="E133" s="187">
        <v>700</v>
      </c>
      <c r="F133" s="187">
        <v>15000</v>
      </c>
      <c r="G133" s="187">
        <f t="shared" si="142"/>
        <v>2400</v>
      </c>
      <c r="H133" s="187">
        <f t="shared" si="142"/>
        <v>25000</v>
      </c>
      <c r="I133" s="187">
        <f t="shared" si="142"/>
        <v>8000</v>
      </c>
      <c r="J133" s="187">
        <v>40000</v>
      </c>
      <c r="K133" s="187">
        <f t="shared" si="142"/>
        <v>8000</v>
      </c>
      <c r="L133" s="187">
        <v>40000</v>
      </c>
      <c r="M133" s="110">
        <v>9.5</v>
      </c>
      <c r="N133" s="110">
        <f>VLOOKUP(DATE(YEAR(A133),MONTH(A133),DAY(A133)),FY24_Temp[],3,FALSE)</f>
        <v>12.8</v>
      </c>
      <c r="O133" s="110">
        <f t="shared" si="139"/>
        <v>11.5</v>
      </c>
      <c r="P133" s="110">
        <f t="shared" si="140"/>
        <v>19.5</v>
      </c>
      <c r="Q133" s="111">
        <f>VLOOKUP(VLOOKUP(DATEVALUE(TEXT(A133,"m/d/yyyy")),FY24_Temp[],5,FALSE)&amp;TEXT(A133,"-h"),TempDelta[],4,FALSE)</f>
        <v>2.0832857234137401</v>
      </c>
      <c r="R133" s="112">
        <v>10</v>
      </c>
      <c r="S133" s="112">
        <v>1500</v>
      </c>
      <c r="T133" s="99">
        <f>VLOOKUP(TEXT(A133,"yy-mm")&amp;"-"&amp;IF(AND(WEEKDAY(A133)&gt;1,WEEKDAY(A133)&lt;7),"Wkd",TEXT(A133,"Ddd"))&amp;"-"&amp;TEXT(A133,"hh"),LoadTable[],3,FALSE)*0.92</f>
        <v>279.25312000000002</v>
      </c>
      <c r="U133" s="113">
        <f t="shared" si="141"/>
        <v>27.925312000000002</v>
      </c>
    </row>
    <row r="134" spans="1:21" ht="15" thickBot="1">
      <c r="A134" s="29">
        <f t="shared" si="111"/>
        <v>45841.458333334995</v>
      </c>
      <c r="B134" s="187">
        <f t="shared" ref="B134:L134" si="143">B158</f>
        <v>8000</v>
      </c>
      <c r="C134" s="187">
        <f t="shared" si="143"/>
        <v>25000</v>
      </c>
      <c r="D134" s="187">
        <v>0</v>
      </c>
      <c r="E134" s="187">
        <v>700</v>
      </c>
      <c r="F134" s="187">
        <v>15000</v>
      </c>
      <c r="G134" s="187">
        <f t="shared" si="143"/>
        <v>2400</v>
      </c>
      <c r="H134" s="187">
        <f t="shared" si="143"/>
        <v>25000</v>
      </c>
      <c r="I134" s="187">
        <f t="shared" si="143"/>
        <v>8000</v>
      </c>
      <c r="J134" s="187">
        <v>40000</v>
      </c>
      <c r="K134" s="187">
        <f t="shared" si="143"/>
        <v>8000</v>
      </c>
      <c r="L134" s="187">
        <v>40000</v>
      </c>
      <c r="M134" s="110">
        <v>9.5</v>
      </c>
      <c r="N134" s="110">
        <f>VLOOKUP(DATE(YEAR(A134),MONTH(A134),DAY(A134)),FY24_Temp[],3,FALSE)</f>
        <v>12.8</v>
      </c>
      <c r="O134" s="110">
        <f t="shared" si="139"/>
        <v>11.5</v>
      </c>
      <c r="P134" s="110">
        <f t="shared" si="140"/>
        <v>19.5</v>
      </c>
      <c r="Q134" s="111">
        <f>VLOOKUP(VLOOKUP(DATEVALUE(TEXT(A134,"m/d/yyyy")),FY24_Temp[],5,FALSE)&amp;TEXT(A134,"-h"),TempDelta[],4,FALSE)</f>
        <v>1.8928571258272444</v>
      </c>
      <c r="R134" s="112">
        <v>10</v>
      </c>
      <c r="S134" s="112">
        <v>1500</v>
      </c>
      <c r="T134" s="99">
        <f>VLOOKUP(TEXT(A134,"yy-mm")&amp;"-"&amp;IF(AND(WEEKDAY(A134)&gt;1,WEEKDAY(A134)&lt;7),"Wkd",TEXT(A134,"Ddd"))&amp;"-"&amp;TEXT(A134,"hh"),LoadTable[],3,FALSE)*0.92</f>
        <v>279.25312000000002</v>
      </c>
      <c r="U134" s="113">
        <f t="shared" si="141"/>
        <v>27.925312000000002</v>
      </c>
    </row>
    <row r="135" spans="1:21" ht="15" thickBot="1">
      <c r="A135" s="29">
        <f t="shared" si="111"/>
        <v>45841.500000001659</v>
      </c>
      <c r="B135" s="187">
        <f t="shared" ref="B135:L135" si="144">B159</f>
        <v>8000</v>
      </c>
      <c r="C135" s="187">
        <f t="shared" si="144"/>
        <v>25000</v>
      </c>
      <c r="D135" s="187">
        <v>0</v>
      </c>
      <c r="E135" s="187">
        <v>700</v>
      </c>
      <c r="F135" s="187">
        <v>15000</v>
      </c>
      <c r="G135" s="187">
        <f t="shared" si="144"/>
        <v>2400</v>
      </c>
      <c r="H135" s="187">
        <f t="shared" si="144"/>
        <v>25000</v>
      </c>
      <c r="I135" s="187">
        <f t="shared" si="144"/>
        <v>8000</v>
      </c>
      <c r="J135" s="187">
        <v>40000</v>
      </c>
      <c r="K135" s="187">
        <f t="shared" si="144"/>
        <v>8000</v>
      </c>
      <c r="L135" s="187">
        <v>40000</v>
      </c>
      <c r="M135" s="110">
        <v>9.5</v>
      </c>
      <c r="N135" s="110">
        <f>VLOOKUP(DATE(YEAR(A135),MONTH(A135),DAY(A135)),FY24_Temp[],3,FALSE)</f>
        <v>12.8</v>
      </c>
      <c r="O135" s="110">
        <f t="shared" si="139"/>
        <v>11.5</v>
      </c>
      <c r="P135" s="110">
        <f t="shared" si="140"/>
        <v>19.5</v>
      </c>
      <c r="Q135" s="111">
        <f>VLOOKUP(VLOOKUP(DATEVALUE(TEXT(A135,"m/d/yyyy")),FY24_Temp[],5,FALSE)&amp;TEXT(A135,"-h"),TempDelta[],4,FALSE)</f>
        <v>1.665857127734593</v>
      </c>
      <c r="R135" s="112">
        <v>10</v>
      </c>
      <c r="S135" s="112">
        <v>1500</v>
      </c>
      <c r="T135" s="99">
        <f>VLOOKUP(TEXT(A135,"yy-mm")&amp;"-"&amp;IF(AND(WEEKDAY(A135)&gt;1,WEEKDAY(A135)&lt;7),"Wkd",TEXT(A135,"Ddd"))&amp;"-"&amp;TEXT(A135,"hh"),LoadTable[],3,FALSE)*0.92</f>
        <v>279.25312000000002</v>
      </c>
      <c r="U135" s="113">
        <f t="shared" si="141"/>
        <v>27.925312000000002</v>
      </c>
    </row>
    <row r="136" spans="1:21" ht="15" thickBot="1">
      <c r="A136" s="29">
        <f t="shared" si="111"/>
        <v>45841.541666668323</v>
      </c>
      <c r="B136" s="187">
        <f t="shared" ref="B136:L136" si="145">B160</f>
        <v>8000</v>
      </c>
      <c r="C136" s="187">
        <f t="shared" si="145"/>
        <v>25000</v>
      </c>
      <c r="D136" s="187">
        <v>0</v>
      </c>
      <c r="E136" s="187">
        <v>700</v>
      </c>
      <c r="F136" s="187">
        <v>15000</v>
      </c>
      <c r="G136" s="187">
        <f t="shared" si="145"/>
        <v>2400</v>
      </c>
      <c r="H136" s="187">
        <f t="shared" si="145"/>
        <v>25000</v>
      </c>
      <c r="I136" s="187">
        <f t="shared" si="145"/>
        <v>8000</v>
      </c>
      <c r="J136" s="187">
        <v>40000</v>
      </c>
      <c r="K136" s="187">
        <f t="shared" si="145"/>
        <v>8000</v>
      </c>
      <c r="L136" s="187">
        <v>40000</v>
      </c>
      <c r="M136" s="110">
        <v>9.5</v>
      </c>
      <c r="N136" s="110">
        <f>VLOOKUP(DATE(YEAR(A136),MONTH(A136),DAY(A136)),FY24_Temp[],3,FALSE)</f>
        <v>12.8</v>
      </c>
      <c r="O136" s="110">
        <f t="shared" si="139"/>
        <v>11.5</v>
      </c>
      <c r="P136" s="110">
        <f t="shared" si="140"/>
        <v>19.5</v>
      </c>
      <c r="Q136" s="111">
        <f>VLOOKUP(VLOOKUP(DATEVALUE(TEXT(A136,"m/d/yyyy")),FY24_Temp[],5,FALSE)&amp;TEXT(A136,"-h"),TempDelta[],4,FALSE)</f>
        <v>1.4252856969833374</v>
      </c>
      <c r="R136" s="112">
        <v>10</v>
      </c>
      <c r="S136" s="112">
        <v>1500</v>
      </c>
      <c r="T136" s="99">
        <f>VLOOKUP(TEXT(A136,"yy-mm")&amp;"-"&amp;IF(AND(WEEKDAY(A136)&gt;1,WEEKDAY(A136)&lt;7),"Wkd",TEXT(A136,"Ddd"))&amp;"-"&amp;TEXT(A136,"hh"),LoadTable[],3,FALSE)*0.92</f>
        <v>279.25312000000002</v>
      </c>
      <c r="U136" s="113">
        <f t="shared" si="141"/>
        <v>27.925312000000002</v>
      </c>
    </row>
    <row r="137" spans="1:21" ht="15" thickBot="1">
      <c r="A137" s="29">
        <f t="shared" si="111"/>
        <v>45841.583333334987</v>
      </c>
      <c r="B137" s="187">
        <f t="shared" ref="B137:L137" si="146">B161</f>
        <v>8000</v>
      </c>
      <c r="C137" s="187">
        <f t="shared" si="146"/>
        <v>25000</v>
      </c>
      <c r="D137" s="187">
        <v>0</v>
      </c>
      <c r="E137" s="187">
        <v>700</v>
      </c>
      <c r="F137" s="187">
        <v>15000</v>
      </c>
      <c r="G137" s="187">
        <f t="shared" si="146"/>
        <v>2400</v>
      </c>
      <c r="H137" s="187">
        <f t="shared" si="146"/>
        <v>25000</v>
      </c>
      <c r="I137" s="187">
        <f t="shared" si="146"/>
        <v>8000</v>
      </c>
      <c r="J137" s="187">
        <v>40000</v>
      </c>
      <c r="K137" s="187">
        <f t="shared" si="146"/>
        <v>8000</v>
      </c>
      <c r="L137" s="187">
        <v>40000</v>
      </c>
      <c r="M137" s="110">
        <v>9.5</v>
      </c>
      <c r="N137" s="110">
        <f>VLOOKUP(DATE(YEAR(A137),MONTH(A137),DAY(A137)),FY24_Temp[],3,FALSE)</f>
        <v>12.8</v>
      </c>
      <c r="O137" s="110">
        <f t="shared" si="139"/>
        <v>11.5</v>
      </c>
      <c r="P137" s="110">
        <f t="shared" si="140"/>
        <v>19.5</v>
      </c>
      <c r="Q137" s="111">
        <f>VLOOKUP(VLOOKUP(DATEVALUE(TEXT(A137,"m/d/yyyy")),FY24_Temp[],5,FALSE)&amp;TEXT(A137,"-h"),TempDelta[],4,FALSE)</f>
        <v>1.2351428781236922</v>
      </c>
      <c r="R137" s="112">
        <v>10</v>
      </c>
      <c r="S137" s="112">
        <v>1500</v>
      </c>
      <c r="T137" s="99">
        <f>VLOOKUP(TEXT(A137,"yy-mm")&amp;"-"&amp;IF(AND(WEEKDAY(A137)&gt;1,WEEKDAY(A137)&lt;7),"Wkd",TEXT(A137,"Ddd"))&amp;"-"&amp;TEXT(A137,"hh"),LoadTable[],3,FALSE)*0.92</f>
        <v>373.26607999999999</v>
      </c>
      <c r="U137" s="113">
        <f t="shared" si="141"/>
        <v>37.326608</v>
      </c>
    </row>
    <row r="138" spans="1:21" ht="15" thickBot="1">
      <c r="A138" s="29">
        <f t="shared" si="111"/>
        <v>45841.625000001652</v>
      </c>
      <c r="B138" s="187">
        <f t="shared" ref="B138:L138" si="147">B162</f>
        <v>8000</v>
      </c>
      <c r="C138" s="187">
        <f t="shared" si="147"/>
        <v>25000</v>
      </c>
      <c r="D138" s="187">
        <v>0</v>
      </c>
      <c r="E138" s="187">
        <v>700</v>
      </c>
      <c r="F138" s="187">
        <v>15000</v>
      </c>
      <c r="G138" s="187">
        <f t="shared" si="147"/>
        <v>2400</v>
      </c>
      <c r="H138" s="187">
        <f t="shared" si="147"/>
        <v>25000</v>
      </c>
      <c r="I138" s="187">
        <f t="shared" si="147"/>
        <v>8000</v>
      </c>
      <c r="J138" s="187">
        <v>40000</v>
      </c>
      <c r="K138" s="187">
        <f t="shared" si="147"/>
        <v>8000</v>
      </c>
      <c r="L138" s="187">
        <v>40000</v>
      </c>
      <c r="M138" s="110">
        <v>9.5</v>
      </c>
      <c r="N138" s="110">
        <f>VLOOKUP(DATE(YEAR(A138),MONTH(A138),DAY(A138)),FY24_Temp[],3,FALSE)</f>
        <v>12.8</v>
      </c>
      <c r="O138" s="110">
        <f t="shared" si="139"/>
        <v>11.5</v>
      </c>
      <c r="P138" s="110">
        <f t="shared" si="140"/>
        <v>19.5</v>
      </c>
      <c r="Q138" s="111">
        <f>VLOOKUP(VLOOKUP(DATEVALUE(TEXT(A138,"m/d/yyyy")),FY24_Temp[],5,FALSE)&amp;TEXT(A138,"-h"),TempDelta[],4,FALSE)</f>
        <v>0.97514284508568905</v>
      </c>
      <c r="R138" s="112">
        <v>10</v>
      </c>
      <c r="S138" s="112">
        <v>1500</v>
      </c>
      <c r="T138" s="99">
        <f>VLOOKUP(TEXT(A138,"yy-mm")&amp;"-"&amp;IF(AND(WEEKDAY(A138)&gt;1,WEEKDAY(A138)&lt;7),"Wkd",TEXT(A138,"Ddd"))&amp;"-"&amp;TEXT(A138,"hh"),LoadTable[],3,FALSE)*0.92</f>
        <v>494.57360000000006</v>
      </c>
      <c r="U138" s="113">
        <f t="shared" si="141"/>
        <v>49.457360000000008</v>
      </c>
    </row>
    <row r="139" spans="1:21" ht="15" thickBot="1">
      <c r="A139" s="29">
        <f t="shared" si="111"/>
        <v>45841.666666668316</v>
      </c>
      <c r="B139" s="187">
        <f t="shared" ref="B139:L139" si="148">B163</f>
        <v>8000</v>
      </c>
      <c r="C139" s="187">
        <f t="shared" si="148"/>
        <v>25000</v>
      </c>
      <c r="D139" s="187">
        <v>0</v>
      </c>
      <c r="E139" s="187">
        <v>700</v>
      </c>
      <c r="F139" s="187">
        <v>15000</v>
      </c>
      <c r="G139" s="187">
        <f t="shared" si="148"/>
        <v>2400</v>
      </c>
      <c r="H139" s="187">
        <f t="shared" si="148"/>
        <v>25000</v>
      </c>
      <c r="I139" s="187">
        <f t="shared" si="148"/>
        <v>8000</v>
      </c>
      <c r="J139" s="187">
        <v>40000</v>
      </c>
      <c r="K139" s="187">
        <f t="shared" si="148"/>
        <v>8000</v>
      </c>
      <c r="L139" s="187">
        <v>40000</v>
      </c>
      <c r="M139" s="110">
        <v>9.5</v>
      </c>
      <c r="N139" s="110">
        <f>VLOOKUP(DATE(YEAR(A139),MONTH(A139),DAY(A139)),FY24_Temp[],3,FALSE)</f>
        <v>12.8</v>
      </c>
      <c r="O139" s="110">
        <f t="shared" si="139"/>
        <v>11.5</v>
      </c>
      <c r="P139" s="110">
        <f t="shared" si="140"/>
        <v>19.5</v>
      </c>
      <c r="Q139" s="111">
        <f>VLOOKUP(VLOOKUP(DATEVALUE(TEXT(A139,"m/d/yyyy")),FY24_Temp[],5,FALSE)&amp;TEXT(A139,"-h"),TempDelta[],4,FALSE)</f>
        <v>0.88578571166310993</v>
      </c>
      <c r="R139" s="112">
        <v>10</v>
      </c>
      <c r="S139" s="112">
        <v>1500</v>
      </c>
      <c r="T139" s="99">
        <f>VLOOKUP(TEXT(A139,"yy-mm")&amp;"-"&amp;IF(AND(WEEKDAY(A139)&gt;1,WEEKDAY(A139)&lt;7),"Wkd",TEXT(A139,"Ddd"))&amp;"-"&amp;TEXT(A139,"hh"),LoadTable[],3,FALSE)*0.92</f>
        <v>494.57360000000006</v>
      </c>
      <c r="U139" s="113">
        <f t="shared" si="141"/>
        <v>49.457360000000008</v>
      </c>
    </row>
    <row r="140" spans="1:21" ht="15" thickBot="1">
      <c r="A140" s="29">
        <f t="shared" si="111"/>
        <v>45841.70833333498</v>
      </c>
      <c r="B140" s="187">
        <f t="shared" ref="B140:L140" si="149">B164</f>
        <v>8000</v>
      </c>
      <c r="C140" s="187">
        <f t="shared" si="149"/>
        <v>25000</v>
      </c>
      <c r="D140" s="187">
        <v>0</v>
      </c>
      <c r="E140" s="187">
        <v>700</v>
      </c>
      <c r="F140" s="187">
        <v>15000</v>
      </c>
      <c r="G140" s="187">
        <f t="shared" si="149"/>
        <v>2400</v>
      </c>
      <c r="H140" s="187">
        <f t="shared" si="149"/>
        <v>25000</v>
      </c>
      <c r="I140" s="187">
        <f t="shared" si="149"/>
        <v>8000</v>
      </c>
      <c r="J140" s="187">
        <v>40000</v>
      </c>
      <c r="K140" s="187">
        <f t="shared" si="149"/>
        <v>8000</v>
      </c>
      <c r="L140" s="187">
        <v>40000</v>
      </c>
      <c r="M140" s="110">
        <v>9.5</v>
      </c>
      <c r="N140" s="110">
        <f>VLOOKUP(DATE(YEAR(A140),MONTH(A140),DAY(A140)),FY24_Temp[],3,FALSE)</f>
        <v>12.8</v>
      </c>
      <c r="O140" s="110">
        <f t="shared" si="139"/>
        <v>11.5</v>
      </c>
      <c r="P140" s="110">
        <f t="shared" si="140"/>
        <v>19.5</v>
      </c>
      <c r="Q140" s="111">
        <f>VLOOKUP(VLOOKUP(DATEVALUE(TEXT(A140,"m/d/yyyy")),FY24_Temp[],5,FALSE)&amp;TEXT(A140,"-h"),TempDelta[],4,FALSE)</f>
        <v>1.0356428495475225</v>
      </c>
      <c r="R140" s="112">
        <v>10</v>
      </c>
      <c r="S140" s="112">
        <v>1500</v>
      </c>
      <c r="T140" s="99">
        <f>VLOOKUP(TEXT(A140,"yy-mm")&amp;"-"&amp;IF(AND(WEEKDAY(A140)&gt;1,WEEKDAY(A140)&lt;7),"Wkd",TEXT(A140,"Ddd"))&amp;"-"&amp;TEXT(A140,"hh"),LoadTable[],3,FALSE)*0.92</f>
        <v>494.57360000000006</v>
      </c>
      <c r="U140" s="113">
        <f t="shared" si="141"/>
        <v>49.457360000000008</v>
      </c>
    </row>
    <row r="141" spans="1:21" ht="15" thickBot="1">
      <c r="A141" s="29">
        <f t="shared" si="111"/>
        <v>45841.750000001644</v>
      </c>
      <c r="B141" s="187">
        <f t="shared" ref="B141:L141" si="150">B165</f>
        <v>5000</v>
      </c>
      <c r="C141" s="187">
        <f t="shared" si="150"/>
        <v>25000</v>
      </c>
      <c r="D141" s="187">
        <v>0</v>
      </c>
      <c r="E141" s="187">
        <v>700</v>
      </c>
      <c r="F141" s="187">
        <v>15000</v>
      </c>
      <c r="G141" s="187">
        <f t="shared" si="150"/>
        <v>2400</v>
      </c>
      <c r="H141" s="187">
        <f t="shared" si="150"/>
        <v>25000</v>
      </c>
      <c r="I141" s="187">
        <f t="shared" si="150"/>
        <v>5000</v>
      </c>
      <c r="J141" s="187">
        <v>40000</v>
      </c>
      <c r="K141" s="187">
        <f t="shared" si="150"/>
        <v>5000</v>
      </c>
      <c r="L141" s="187">
        <v>40000</v>
      </c>
      <c r="M141" s="110">
        <v>9.5</v>
      </c>
      <c r="N141" s="110">
        <f>VLOOKUP(DATE(YEAR(A141),MONTH(A141),DAY(A141)),FY24_Temp[],3,FALSE)</f>
        <v>12.8</v>
      </c>
      <c r="O141" s="110">
        <f t="shared" si="139"/>
        <v>11.5</v>
      </c>
      <c r="P141" s="110">
        <f t="shared" si="140"/>
        <v>19.5</v>
      </c>
      <c r="Q141" s="111">
        <f>VLOOKUP(VLOOKUP(DATEVALUE(TEXT(A141,"m/d/yyyy")),FY24_Temp[],5,FALSE)&amp;TEXT(A141,"-h"),TempDelta[],4,FALSE)</f>
        <v>1.3991428358214242</v>
      </c>
      <c r="R141" s="112">
        <v>10</v>
      </c>
      <c r="S141" s="112">
        <v>1500</v>
      </c>
      <c r="T141" s="99">
        <f>VLOOKUP(TEXT(A141,"yy-mm")&amp;"-"&amp;IF(AND(WEEKDAY(A141)&gt;1,WEEKDAY(A141)&lt;7),"Wkd",TEXT(A141,"Ddd"))&amp;"-"&amp;TEXT(A141,"hh"),LoadTable[],3,FALSE)*0.92</f>
        <v>494.57360000000006</v>
      </c>
      <c r="U141" s="113">
        <f t="shared" si="141"/>
        <v>49.457360000000008</v>
      </c>
    </row>
    <row r="142" spans="1:21" ht="15" thickBot="1">
      <c r="A142" s="29">
        <f t="shared" si="111"/>
        <v>45841.791666668309</v>
      </c>
      <c r="B142" s="187">
        <f t="shared" ref="B142:L142" si="151">B166</f>
        <v>5000</v>
      </c>
      <c r="C142" s="187">
        <f t="shared" si="151"/>
        <v>25000</v>
      </c>
      <c r="D142" s="187">
        <v>0</v>
      </c>
      <c r="E142" s="187">
        <v>700</v>
      </c>
      <c r="F142" s="187">
        <v>15000</v>
      </c>
      <c r="G142" s="187">
        <f t="shared" si="151"/>
        <v>2400</v>
      </c>
      <c r="H142" s="187">
        <f t="shared" si="151"/>
        <v>25000</v>
      </c>
      <c r="I142" s="187">
        <f t="shared" si="151"/>
        <v>5000</v>
      </c>
      <c r="J142" s="187">
        <v>40000</v>
      </c>
      <c r="K142" s="187">
        <f t="shared" si="151"/>
        <v>5000</v>
      </c>
      <c r="L142" s="187">
        <v>40000</v>
      </c>
      <c r="M142" s="110">
        <v>9.5</v>
      </c>
      <c r="N142" s="110">
        <f>VLOOKUP(DATE(YEAR(A142),MONTH(A142),DAY(A142)),FY24_Temp[],3,FALSE)</f>
        <v>12.8</v>
      </c>
      <c r="O142" s="110">
        <f t="shared" si="139"/>
        <v>11.5</v>
      </c>
      <c r="P142" s="110">
        <f t="shared" si="140"/>
        <v>19.5</v>
      </c>
      <c r="Q142" s="111">
        <f>VLOOKUP(VLOOKUP(DATEVALUE(TEXT(A142,"m/d/yyyy")),FY24_Temp[],5,FALSE)&amp;TEXT(A142,"-h"),TempDelta[],4,FALSE)</f>
        <v>1.8638571415628706</v>
      </c>
      <c r="R142" s="112">
        <v>10</v>
      </c>
      <c r="S142" s="112">
        <v>1500</v>
      </c>
      <c r="T142" s="99">
        <f>VLOOKUP(TEXT(A142,"yy-mm")&amp;"-"&amp;IF(AND(WEEKDAY(A142)&gt;1,WEEKDAY(A142)&lt;7),"Wkd",TEXT(A142,"Ddd"))&amp;"-"&amp;TEXT(A142,"hh"),LoadTable[],3,FALSE)*0.92</f>
        <v>494.57360000000006</v>
      </c>
      <c r="U142" s="113">
        <f t="shared" si="141"/>
        <v>49.457360000000008</v>
      </c>
    </row>
    <row r="143" spans="1:21" ht="15" thickBot="1">
      <c r="A143" s="29">
        <f t="shared" si="111"/>
        <v>45841.833333334973</v>
      </c>
      <c r="B143" s="187">
        <f t="shared" ref="B143:L143" si="152">B167</f>
        <v>5000</v>
      </c>
      <c r="C143" s="187">
        <f t="shared" si="152"/>
        <v>25000</v>
      </c>
      <c r="D143" s="187">
        <v>0</v>
      </c>
      <c r="E143" s="187">
        <v>700</v>
      </c>
      <c r="F143" s="187">
        <v>15000</v>
      </c>
      <c r="G143" s="187">
        <f t="shared" si="152"/>
        <v>2400</v>
      </c>
      <c r="H143" s="187">
        <f t="shared" si="152"/>
        <v>25000</v>
      </c>
      <c r="I143" s="187">
        <f t="shared" si="152"/>
        <v>5000</v>
      </c>
      <c r="J143" s="187">
        <v>40000</v>
      </c>
      <c r="K143" s="187">
        <f t="shared" si="152"/>
        <v>5000</v>
      </c>
      <c r="L143" s="187">
        <v>40000</v>
      </c>
      <c r="M143" s="110">
        <v>9.5</v>
      </c>
      <c r="N143" s="110">
        <f>VLOOKUP(DATE(YEAR(A143),MONTH(A143),DAY(A143)),FY24_Temp[],3,FALSE)</f>
        <v>12.8</v>
      </c>
      <c r="O143" s="110">
        <f t="shared" si="139"/>
        <v>11.5</v>
      </c>
      <c r="P143" s="110">
        <f t="shared" si="140"/>
        <v>19.5</v>
      </c>
      <c r="Q143" s="111">
        <f>VLOOKUP(VLOOKUP(DATEVALUE(TEXT(A143,"m/d/yyyy")),FY24_Temp[],5,FALSE)&amp;TEXT(A143,"-h"),TempDelta[],4,FALSE)</f>
        <v>2.300714305468968</v>
      </c>
      <c r="R143" s="112">
        <v>10</v>
      </c>
      <c r="S143" s="112">
        <v>1500</v>
      </c>
      <c r="T143" s="99">
        <f>VLOOKUP(TEXT(A143,"yy-mm")&amp;"-"&amp;IF(AND(WEEKDAY(A143)&gt;1,WEEKDAY(A143)&lt;7),"Wkd",TEXT(A143,"Ddd"))&amp;"-"&amp;TEXT(A143,"hh"),LoadTable[],3,FALSE)*0.92</f>
        <v>494.57360000000006</v>
      </c>
      <c r="U143" s="113">
        <f t="shared" si="141"/>
        <v>49.457360000000008</v>
      </c>
    </row>
    <row r="144" spans="1:21" ht="15" thickBot="1">
      <c r="A144" s="29">
        <f t="shared" si="111"/>
        <v>45841.875000001637</v>
      </c>
      <c r="B144" s="187">
        <f t="shared" ref="B144:L144" si="153">B168</f>
        <v>5000</v>
      </c>
      <c r="C144" s="187">
        <f t="shared" si="153"/>
        <v>25000</v>
      </c>
      <c r="D144" s="187">
        <v>0</v>
      </c>
      <c r="E144" s="187">
        <v>700</v>
      </c>
      <c r="F144" s="187">
        <v>15000</v>
      </c>
      <c r="G144" s="187">
        <f t="shared" si="153"/>
        <v>2400</v>
      </c>
      <c r="H144" s="187">
        <f t="shared" si="153"/>
        <v>25000</v>
      </c>
      <c r="I144" s="187">
        <f t="shared" si="153"/>
        <v>5000</v>
      </c>
      <c r="J144" s="187">
        <v>40000</v>
      </c>
      <c r="K144" s="187">
        <f t="shared" si="153"/>
        <v>5000</v>
      </c>
      <c r="L144" s="187">
        <v>40000</v>
      </c>
      <c r="M144" s="110">
        <v>9.5</v>
      </c>
      <c r="N144" s="110">
        <f>VLOOKUP(DATE(YEAR(A144),MONTH(A144),DAY(A144)),FY24_Temp[],3,FALSE)</f>
        <v>12.8</v>
      </c>
      <c r="O144" s="110">
        <f t="shared" si="139"/>
        <v>11.5</v>
      </c>
      <c r="P144" s="110">
        <f t="shared" si="140"/>
        <v>19.5</v>
      </c>
      <c r="Q144" s="111">
        <f>VLOOKUP(VLOOKUP(DATEVALUE(TEXT(A144,"m/d/yyyy")),FY24_Temp[],5,FALSE)&amp;TEXT(A144,"-h"),TempDelta[],4,FALSE)</f>
        <v>2.554214222090585</v>
      </c>
      <c r="R144" s="112">
        <v>10</v>
      </c>
      <c r="S144" s="112">
        <v>1500</v>
      </c>
      <c r="T144" s="99">
        <f>VLOOKUP(TEXT(A144,"yy-mm")&amp;"-"&amp;IF(AND(WEEKDAY(A144)&gt;1,WEEKDAY(A144)&lt;7),"Wkd",TEXT(A144,"Ddd"))&amp;"-"&amp;TEXT(A144,"hh"),LoadTable[],3,FALSE)*0.92</f>
        <v>494.57360000000006</v>
      </c>
      <c r="U144" s="113">
        <f t="shared" si="141"/>
        <v>49.457360000000008</v>
      </c>
    </row>
    <row r="145" spans="1:21" ht="15" thickBot="1">
      <c r="A145" s="29">
        <f t="shared" si="111"/>
        <v>45841.916666668301</v>
      </c>
      <c r="B145" s="187">
        <f t="shared" ref="B145:L145" si="154">B169</f>
        <v>5000</v>
      </c>
      <c r="C145" s="187">
        <f t="shared" si="154"/>
        <v>25000</v>
      </c>
      <c r="D145" s="187">
        <v>0</v>
      </c>
      <c r="E145" s="187">
        <v>700</v>
      </c>
      <c r="F145" s="187">
        <v>15000</v>
      </c>
      <c r="G145" s="187">
        <f t="shared" si="154"/>
        <v>2400</v>
      </c>
      <c r="H145" s="187">
        <f t="shared" si="154"/>
        <v>25000</v>
      </c>
      <c r="I145" s="187">
        <f t="shared" si="154"/>
        <v>5000</v>
      </c>
      <c r="J145" s="187">
        <v>40000</v>
      </c>
      <c r="K145" s="187">
        <f t="shared" si="154"/>
        <v>5000</v>
      </c>
      <c r="L145" s="187">
        <v>40000</v>
      </c>
      <c r="M145" s="110">
        <v>9.5</v>
      </c>
      <c r="N145" s="110">
        <f>VLOOKUP(DATE(YEAR(A145),MONTH(A145),DAY(A145)),FY24_Temp[],3,FALSE)</f>
        <v>12.8</v>
      </c>
      <c r="O145" s="110">
        <f t="shared" si="139"/>
        <v>11.5</v>
      </c>
      <c r="P145" s="110">
        <f t="shared" si="140"/>
        <v>19.5</v>
      </c>
      <c r="Q145" s="111">
        <f>VLOOKUP(VLOOKUP(DATEVALUE(TEXT(A145,"m/d/yyyy")),FY24_Temp[],5,FALSE)&amp;TEXT(A145,"-h"),TempDelta[],4,FALSE)</f>
        <v>2.7827142647334506</v>
      </c>
      <c r="R145" s="112">
        <v>10</v>
      </c>
      <c r="S145" s="112">
        <v>1500</v>
      </c>
      <c r="T145" s="99">
        <f>VLOOKUP(TEXT(A145,"yy-mm")&amp;"-"&amp;IF(AND(WEEKDAY(A145)&gt;1,WEEKDAY(A145)&lt;7),"Wkd",TEXT(A145,"Ddd"))&amp;"-"&amp;TEXT(A145,"hh"),LoadTable[],3,FALSE)*0.92</f>
        <v>418.75640000000004</v>
      </c>
      <c r="U145" s="113">
        <f t="shared" si="141"/>
        <v>41.875640000000004</v>
      </c>
    </row>
    <row r="146" spans="1:21" ht="15" thickBot="1">
      <c r="A146" s="29">
        <f t="shared" si="111"/>
        <v>45841.958333334966</v>
      </c>
      <c r="B146" s="187">
        <f t="shared" ref="B146:L146" si="155">B170</f>
        <v>5000</v>
      </c>
      <c r="C146" s="187">
        <f t="shared" si="155"/>
        <v>25000</v>
      </c>
      <c r="D146" s="187">
        <v>0</v>
      </c>
      <c r="E146" s="187">
        <v>700</v>
      </c>
      <c r="F146" s="187">
        <v>15000</v>
      </c>
      <c r="G146" s="187">
        <f t="shared" si="155"/>
        <v>2400</v>
      </c>
      <c r="H146" s="187">
        <f t="shared" si="155"/>
        <v>25000</v>
      </c>
      <c r="I146" s="187">
        <f t="shared" si="155"/>
        <v>5000</v>
      </c>
      <c r="J146" s="187">
        <v>40000</v>
      </c>
      <c r="K146" s="187">
        <f t="shared" si="155"/>
        <v>5000</v>
      </c>
      <c r="L146" s="187">
        <v>40000</v>
      </c>
      <c r="M146" s="110">
        <v>9.5</v>
      </c>
      <c r="N146" s="110">
        <f>VLOOKUP(DATE(YEAR(A146),MONTH(A146),DAY(A146)),FY24_Temp[],3,FALSE)</f>
        <v>12.8</v>
      </c>
      <c r="O146" s="110">
        <f t="shared" si="139"/>
        <v>11.5</v>
      </c>
      <c r="P146" s="110">
        <f t="shared" si="140"/>
        <v>19.5</v>
      </c>
      <c r="Q146" s="111">
        <f>VLOOKUP(VLOOKUP(DATEVALUE(TEXT(A146,"m/d/yyyy")),FY24_Temp[],5,FALSE)&amp;TEXT(A146,"-h"),TempDelta[],4,FALSE)</f>
        <v>2.8792857101985385</v>
      </c>
      <c r="R146" s="112">
        <v>10</v>
      </c>
      <c r="S146" s="112">
        <v>1500</v>
      </c>
      <c r="T146" s="99">
        <f>VLOOKUP(TEXT(A146,"yy-mm")&amp;"-"&amp;IF(AND(WEEKDAY(A146)&gt;1,WEEKDAY(A146)&lt;7),"Wkd",TEXT(A146,"Ddd"))&amp;"-"&amp;TEXT(A146,"hh"),LoadTable[],3,FALSE)*0.92</f>
        <v>342.93920000000003</v>
      </c>
      <c r="U146" s="113">
        <f t="shared" si="141"/>
        <v>34.29392</v>
      </c>
    </row>
    <row r="147" spans="1:21" ht="15" thickBot="1">
      <c r="A147" s="29">
        <f t="shared" si="111"/>
        <v>45842.00000000163</v>
      </c>
      <c r="B147" s="187">
        <f t="shared" ref="B147:L147" si="156">B171</f>
        <v>5000</v>
      </c>
      <c r="C147" s="187">
        <f t="shared" si="156"/>
        <v>25000</v>
      </c>
      <c r="D147" s="187">
        <v>0</v>
      </c>
      <c r="E147" s="187">
        <v>700</v>
      </c>
      <c r="F147" s="187">
        <v>15000</v>
      </c>
      <c r="G147" s="187">
        <f t="shared" si="156"/>
        <v>2400</v>
      </c>
      <c r="H147" s="187">
        <f t="shared" si="156"/>
        <v>25000</v>
      </c>
      <c r="I147" s="187">
        <f t="shared" si="156"/>
        <v>5000</v>
      </c>
      <c r="J147" s="187">
        <v>40000</v>
      </c>
      <c r="K147" s="187">
        <f t="shared" si="156"/>
        <v>5000</v>
      </c>
      <c r="L147" s="187">
        <v>40000</v>
      </c>
      <c r="M147" s="110">
        <v>9.5</v>
      </c>
      <c r="N147" s="110">
        <f>VLOOKUP(DATE(YEAR(A147),MONTH(A147),DAY(A147)),FY24_Temp[],3,FALSE)</f>
        <v>12.8</v>
      </c>
      <c r="O147" s="110">
        <f t="shared" si="139"/>
        <v>11.5</v>
      </c>
      <c r="P147" s="110">
        <f t="shared" si="140"/>
        <v>19.5</v>
      </c>
      <c r="Q147" s="111">
        <f>VLOOKUP(VLOOKUP(DATEVALUE(TEXT(A147,"m/d/yyyy")),FY24_Temp[],5,FALSE)&amp;TEXT(A147,"-h"),TempDelta[],4,FALSE)</f>
        <v>3.0441428933824812</v>
      </c>
      <c r="R147" s="112">
        <v>10</v>
      </c>
      <c r="S147" s="112">
        <v>1500</v>
      </c>
      <c r="T147" s="99">
        <f>VLOOKUP(TEXT(A147,"yy-mm")&amp;"-"&amp;IF(AND(WEEKDAY(A147)&gt;1,WEEKDAY(A147)&lt;7),"Wkd",TEXT(A147,"Ddd"))&amp;"-"&amp;TEXT(A147,"hh"),LoadTable[],3,FALSE)*0.92</f>
        <v>279.25312000000002</v>
      </c>
      <c r="U147" s="113">
        <f t="shared" si="141"/>
        <v>27.925312000000002</v>
      </c>
    </row>
    <row r="148" spans="1:21" ht="15" thickBot="1">
      <c r="A148" s="29">
        <f t="shared" si="111"/>
        <v>45842.041666668294</v>
      </c>
      <c r="B148" s="187">
        <f t="shared" ref="B148:L148" si="157">B172</f>
        <v>5000</v>
      </c>
      <c r="C148" s="187">
        <f t="shared" si="157"/>
        <v>25000</v>
      </c>
      <c r="D148" s="187">
        <v>0</v>
      </c>
      <c r="E148" s="187">
        <v>700</v>
      </c>
      <c r="F148" s="187">
        <v>15000</v>
      </c>
      <c r="G148" s="187">
        <f t="shared" si="157"/>
        <v>2400</v>
      </c>
      <c r="H148" s="187">
        <f t="shared" si="157"/>
        <v>25000</v>
      </c>
      <c r="I148" s="187">
        <f t="shared" si="157"/>
        <v>5000</v>
      </c>
      <c r="J148" s="187">
        <v>40000</v>
      </c>
      <c r="K148" s="187">
        <f t="shared" si="157"/>
        <v>5000</v>
      </c>
      <c r="L148" s="187">
        <v>40000</v>
      </c>
      <c r="M148" s="110">
        <v>9.5</v>
      </c>
      <c r="N148" s="110">
        <f>VLOOKUP(DATE(YEAR(A148),MONTH(A148),DAY(A148)),FY24_Temp[],3,FALSE)</f>
        <v>12.8</v>
      </c>
      <c r="O148" s="110">
        <f t="shared" si="139"/>
        <v>11.5</v>
      </c>
      <c r="P148" s="110">
        <f t="shared" si="140"/>
        <v>19.5</v>
      </c>
      <c r="Q148" s="111">
        <f>VLOOKUP(VLOOKUP(DATEVALUE(TEXT(A148,"m/d/yyyy")),FY24_Temp[],5,FALSE)&amp;TEXT(A148,"-h"),TempDelta[],4,FALSE)</f>
        <v>3.0992857047489712</v>
      </c>
      <c r="R148" s="112">
        <v>10</v>
      </c>
      <c r="S148" s="112">
        <v>1500</v>
      </c>
      <c r="T148" s="99">
        <f>VLOOKUP(TEXT(A148,"yy-mm")&amp;"-"&amp;IF(AND(WEEKDAY(A148)&gt;1,WEEKDAY(A148)&lt;7),"Wkd",TEXT(A148,"Ddd"))&amp;"-"&amp;TEXT(A148,"hh"),LoadTable[],3,FALSE)*0.92</f>
        <v>279.25312000000002</v>
      </c>
      <c r="U148" s="113">
        <f t="shared" si="141"/>
        <v>27.925312000000002</v>
      </c>
    </row>
    <row r="149" spans="1:21" ht="15" thickBot="1">
      <c r="A149" s="29">
        <f t="shared" si="111"/>
        <v>45842.083333334958</v>
      </c>
      <c r="B149" s="187">
        <f t="shared" ref="B149:L149" si="158">B173</f>
        <v>5000</v>
      </c>
      <c r="C149" s="187">
        <f t="shared" si="158"/>
        <v>25000</v>
      </c>
      <c r="D149" s="187">
        <v>0</v>
      </c>
      <c r="E149" s="187">
        <v>700</v>
      </c>
      <c r="F149" s="187">
        <v>15000</v>
      </c>
      <c r="G149" s="187">
        <f t="shared" si="158"/>
        <v>2400</v>
      </c>
      <c r="H149" s="187">
        <f t="shared" si="158"/>
        <v>25000</v>
      </c>
      <c r="I149" s="187">
        <f t="shared" si="158"/>
        <v>5000</v>
      </c>
      <c r="J149" s="187">
        <v>40000</v>
      </c>
      <c r="K149" s="187">
        <f t="shared" si="158"/>
        <v>5000</v>
      </c>
      <c r="L149" s="187">
        <v>40000</v>
      </c>
      <c r="M149" s="110">
        <v>9.5</v>
      </c>
      <c r="N149" s="110">
        <f>VLOOKUP(DATE(YEAR(A149),MONTH(A149),DAY(A149)),FY24_Temp[],3,FALSE)</f>
        <v>12.8</v>
      </c>
      <c r="O149" s="110">
        <f t="shared" si="139"/>
        <v>11.5</v>
      </c>
      <c r="P149" s="110">
        <f t="shared" si="140"/>
        <v>19.5</v>
      </c>
      <c r="Q149" s="111">
        <f>VLOOKUP(VLOOKUP(DATEVALUE(TEXT(A149,"m/d/yyyy")),FY24_Temp[],5,FALSE)&amp;TEXT(A149,"-h"),TempDelta[],4,FALSE)</f>
        <v>3.1050000190734863</v>
      </c>
      <c r="R149" s="112">
        <v>10</v>
      </c>
      <c r="S149" s="112">
        <v>1500</v>
      </c>
      <c r="T149" s="99">
        <f>VLOOKUP(TEXT(A149,"yy-mm")&amp;"-"&amp;IF(AND(WEEKDAY(A149)&gt;1,WEEKDAY(A149)&lt;7),"Wkd",TEXT(A149,"Ddd"))&amp;"-"&amp;TEXT(A149,"hh"),LoadTable[],3,FALSE)*0.92</f>
        <v>279.25312000000002</v>
      </c>
      <c r="U149" s="113">
        <f t="shared" si="141"/>
        <v>27.925312000000002</v>
      </c>
    </row>
    <row r="150" spans="1:21" ht="15" thickBot="1">
      <c r="A150" s="29">
        <f t="shared" si="111"/>
        <v>45842.125000001623</v>
      </c>
      <c r="B150" s="187">
        <f t="shared" ref="B150:L150" si="159">B174</f>
        <v>5000</v>
      </c>
      <c r="C150" s="187">
        <f t="shared" si="159"/>
        <v>25000</v>
      </c>
      <c r="D150" s="187">
        <v>0</v>
      </c>
      <c r="E150" s="187">
        <v>700</v>
      </c>
      <c r="F150" s="187">
        <v>15000</v>
      </c>
      <c r="G150" s="187">
        <f t="shared" si="159"/>
        <v>2400</v>
      </c>
      <c r="H150" s="187">
        <f t="shared" si="159"/>
        <v>25000</v>
      </c>
      <c r="I150" s="187">
        <f t="shared" si="159"/>
        <v>5000</v>
      </c>
      <c r="J150" s="187">
        <v>40000</v>
      </c>
      <c r="K150" s="187">
        <f t="shared" si="159"/>
        <v>5000</v>
      </c>
      <c r="L150" s="187">
        <v>40000</v>
      </c>
      <c r="M150" s="110">
        <v>9.5</v>
      </c>
      <c r="N150" s="110">
        <f>VLOOKUP(DATE(YEAR(A150),MONTH(A150),DAY(A150)),FY24_Temp[],3,FALSE)</f>
        <v>12.8</v>
      </c>
      <c r="O150" s="110">
        <f t="shared" si="139"/>
        <v>11.5</v>
      </c>
      <c r="P150" s="110">
        <f t="shared" si="140"/>
        <v>19.5</v>
      </c>
      <c r="Q150" s="111">
        <f>VLOOKUP(VLOOKUP(DATEVALUE(TEXT(A150,"m/d/yyyy")),FY24_Temp[],5,FALSE)&amp;TEXT(A150,"-h"),TempDelta[],4,FALSE)</f>
        <v>3.0428571701049805</v>
      </c>
      <c r="R150" s="112">
        <v>10</v>
      </c>
      <c r="S150" s="112">
        <v>1500</v>
      </c>
      <c r="T150" s="99">
        <f>VLOOKUP(TEXT(A150,"yy-mm")&amp;"-"&amp;IF(AND(WEEKDAY(A150)&gt;1,WEEKDAY(A150)&lt;7),"Wkd",TEXT(A150,"Ddd"))&amp;"-"&amp;TEXT(A150,"hh"),LoadTable[],3,FALSE)*0.92</f>
        <v>279.25312000000002</v>
      </c>
      <c r="U150" s="113">
        <f t="shared" si="141"/>
        <v>27.925312000000002</v>
      </c>
    </row>
    <row r="151" spans="1:21" ht="15" thickBot="1">
      <c r="A151" s="29">
        <f t="shared" si="111"/>
        <v>45842.166666668287</v>
      </c>
      <c r="B151" s="187">
        <f t="shared" ref="B151:L151" si="160">B175</f>
        <v>5000</v>
      </c>
      <c r="C151" s="187">
        <f t="shared" si="160"/>
        <v>25000</v>
      </c>
      <c r="D151" s="187">
        <v>0</v>
      </c>
      <c r="E151" s="187">
        <v>700</v>
      </c>
      <c r="F151" s="187">
        <v>15000</v>
      </c>
      <c r="G151" s="187">
        <f t="shared" si="160"/>
        <v>2400</v>
      </c>
      <c r="H151" s="187">
        <f t="shared" si="160"/>
        <v>25000</v>
      </c>
      <c r="I151" s="187">
        <f t="shared" si="160"/>
        <v>5000</v>
      </c>
      <c r="J151" s="187">
        <v>40000</v>
      </c>
      <c r="K151" s="187">
        <f t="shared" si="160"/>
        <v>5000</v>
      </c>
      <c r="L151" s="187">
        <v>40000</v>
      </c>
      <c r="M151" s="110">
        <v>9.5</v>
      </c>
      <c r="N151" s="110">
        <f>VLOOKUP(DATE(YEAR(A151),MONTH(A151),DAY(A151)),FY24_Temp[],3,FALSE)</f>
        <v>12.8</v>
      </c>
      <c r="O151" s="110">
        <f t="shared" si="139"/>
        <v>11.5</v>
      </c>
      <c r="P151" s="110">
        <f t="shared" si="140"/>
        <v>19.5</v>
      </c>
      <c r="Q151" s="111">
        <f>VLOOKUP(VLOOKUP(DATEVALUE(TEXT(A151,"m/d/yyyy")),FY24_Temp[],5,FALSE)&amp;TEXT(A151,"-h"),TempDelta[],4,FALSE)</f>
        <v>2.9580000468662808</v>
      </c>
      <c r="R151" s="112">
        <v>10</v>
      </c>
      <c r="S151" s="112">
        <v>1500</v>
      </c>
      <c r="T151" s="99">
        <f>VLOOKUP(TEXT(A151,"yy-mm")&amp;"-"&amp;IF(AND(WEEKDAY(A151)&gt;1,WEEKDAY(A151)&lt;7),"Wkd",TEXT(A151,"Ddd"))&amp;"-"&amp;TEXT(A151,"hh"),LoadTable[],3,FALSE)*0.92</f>
        <v>279.25312000000002</v>
      </c>
      <c r="U151" s="113">
        <f t="shared" si="141"/>
        <v>27.925312000000002</v>
      </c>
    </row>
    <row r="152" spans="1:21" ht="15" thickBot="1">
      <c r="A152" s="29">
        <f t="shared" si="111"/>
        <v>45842.208333334951</v>
      </c>
      <c r="B152" s="187">
        <f t="shared" ref="B152:L152" si="161">B176</f>
        <v>5000</v>
      </c>
      <c r="C152" s="187">
        <f t="shared" si="161"/>
        <v>25000</v>
      </c>
      <c r="D152" s="187">
        <v>0</v>
      </c>
      <c r="E152" s="187">
        <v>700</v>
      </c>
      <c r="F152" s="187">
        <v>15000</v>
      </c>
      <c r="G152" s="187">
        <f t="shared" si="161"/>
        <v>2400</v>
      </c>
      <c r="H152" s="187">
        <f t="shared" si="161"/>
        <v>25000</v>
      </c>
      <c r="I152" s="187">
        <f t="shared" si="161"/>
        <v>5000</v>
      </c>
      <c r="J152" s="187">
        <v>40000</v>
      </c>
      <c r="K152" s="187">
        <f t="shared" si="161"/>
        <v>5000</v>
      </c>
      <c r="L152" s="187">
        <v>40000</v>
      </c>
      <c r="M152" s="110">
        <v>9.5</v>
      </c>
      <c r="N152" s="110">
        <f>VLOOKUP(DATE(YEAR(A152),MONTH(A152),DAY(A152)),FY24_Temp[],3,FALSE)</f>
        <v>12.8</v>
      </c>
      <c r="O152" s="110">
        <f t="shared" si="139"/>
        <v>11.5</v>
      </c>
      <c r="P152" s="110">
        <f t="shared" si="140"/>
        <v>19.5</v>
      </c>
      <c r="Q152" s="111">
        <f>VLOOKUP(VLOOKUP(DATEVALUE(TEXT(A152,"m/d/yyyy")),FY24_Temp[],5,FALSE)&amp;TEXT(A152,"-h"),TempDelta[],4,FALSE)</f>
        <v>2.8608571801866804</v>
      </c>
      <c r="R152" s="112">
        <v>10</v>
      </c>
      <c r="S152" s="112">
        <v>1500</v>
      </c>
      <c r="T152" s="99">
        <f>VLOOKUP(TEXT(A152,"yy-mm")&amp;"-"&amp;IF(AND(WEEKDAY(A152)&gt;1,WEEKDAY(A152)&lt;7),"Wkd",TEXT(A152,"Ddd"))&amp;"-"&amp;TEXT(A152,"hh"),LoadTable[],3,FALSE)*0.92</f>
        <v>279.25312000000002</v>
      </c>
      <c r="U152" s="113">
        <f t="shared" si="141"/>
        <v>27.925312000000002</v>
      </c>
    </row>
    <row r="153" spans="1:21" ht="15" thickBot="1">
      <c r="A153" s="29">
        <f t="shared" si="111"/>
        <v>45842.250000001615</v>
      </c>
      <c r="B153" s="187">
        <f t="shared" ref="B153:L153" si="162">B177</f>
        <v>8000</v>
      </c>
      <c r="C153" s="187">
        <f t="shared" si="162"/>
        <v>25000</v>
      </c>
      <c r="D153" s="187">
        <v>0</v>
      </c>
      <c r="E153" s="187">
        <v>700</v>
      </c>
      <c r="F153" s="187">
        <v>15000</v>
      </c>
      <c r="G153" s="187">
        <f t="shared" si="162"/>
        <v>2400</v>
      </c>
      <c r="H153" s="187">
        <f t="shared" si="162"/>
        <v>25000</v>
      </c>
      <c r="I153" s="187">
        <f t="shared" si="162"/>
        <v>8000</v>
      </c>
      <c r="J153" s="187">
        <v>40000</v>
      </c>
      <c r="K153" s="187">
        <f t="shared" si="162"/>
        <v>8000</v>
      </c>
      <c r="L153" s="187">
        <v>40000</v>
      </c>
      <c r="M153" s="110">
        <v>9.5</v>
      </c>
      <c r="N153" s="110">
        <f>VLOOKUP(DATE(YEAR(A153),MONTH(A153),DAY(A153)),FY24_Temp[],3,FALSE)</f>
        <v>12.8</v>
      </c>
      <c r="O153" s="110">
        <f t="shared" si="139"/>
        <v>11.5</v>
      </c>
      <c r="P153" s="110">
        <f t="shared" si="140"/>
        <v>19.5</v>
      </c>
      <c r="Q153" s="111">
        <f>VLOOKUP(VLOOKUP(DATEVALUE(TEXT(A153,"m/d/yyyy")),FY24_Temp[],5,FALSE)&amp;TEXT(A153,"-h"),TempDelta[],4,FALSE)</f>
        <v>2.7405714307512556</v>
      </c>
      <c r="R153" s="112">
        <v>10</v>
      </c>
      <c r="S153" s="112">
        <v>1500</v>
      </c>
      <c r="T153" s="99">
        <f>VLOOKUP(TEXT(A153,"yy-mm")&amp;"-"&amp;IF(AND(WEEKDAY(A153)&gt;1,WEEKDAY(A153)&lt;7),"Wkd",TEXT(A153,"Ddd"))&amp;"-"&amp;TEXT(A153,"hh"),LoadTable[],3,FALSE)*0.92</f>
        <v>279.25312000000002</v>
      </c>
      <c r="U153" s="113">
        <f t="shared" si="141"/>
        <v>27.925312000000002</v>
      </c>
    </row>
    <row r="154" spans="1:21" ht="15" thickBot="1">
      <c r="A154" s="29">
        <f t="shared" si="111"/>
        <v>45842.29166666828</v>
      </c>
      <c r="B154" s="187">
        <f t="shared" ref="B154:L154" si="163">B178</f>
        <v>8000</v>
      </c>
      <c r="C154" s="187">
        <f t="shared" si="163"/>
        <v>25000</v>
      </c>
      <c r="D154" s="187">
        <v>0</v>
      </c>
      <c r="E154" s="187">
        <v>700</v>
      </c>
      <c r="F154" s="187">
        <v>15000</v>
      </c>
      <c r="G154" s="187">
        <f t="shared" si="163"/>
        <v>2400</v>
      </c>
      <c r="H154" s="187">
        <f t="shared" si="163"/>
        <v>25000</v>
      </c>
      <c r="I154" s="187">
        <f t="shared" si="163"/>
        <v>8000</v>
      </c>
      <c r="J154" s="187">
        <v>40000</v>
      </c>
      <c r="K154" s="187">
        <f t="shared" si="163"/>
        <v>8000</v>
      </c>
      <c r="L154" s="187">
        <v>40000</v>
      </c>
      <c r="M154" s="110">
        <v>9.5</v>
      </c>
      <c r="N154" s="110">
        <f>VLOOKUP(DATE(YEAR(A154),MONTH(A154),DAY(A154)),FY24_Temp[],3,FALSE)</f>
        <v>12.8</v>
      </c>
      <c r="O154" s="110">
        <f t="shared" si="139"/>
        <v>11.5</v>
      </c>
      <c r="P154" s="110">
        <f t="shared" si="140"/>
        <v>19.5</v>
      </c>
      <c r="Q154" s="111">
        <f>VLOOKUP(VLOOKUP(DATEVALUE(TEXT(A154,"m/d/yyyy")),FY24_Temp[],5,FALSE)&amp;TEXT(A154,"-h"),TempDelta[],4,FALSE)</f>
        <v>2.6134285245622908</v>
      </c>
      <c r="R154" s="112">
        <v>10</v>
      </c>
      <c r="S154" s="112">
        <v>1500</v>
      </c>
      <c r="T154" s="99">
        <f>VLOOKUP(TEXT(A154,"yy-mm")&amp;"-"&amp;IF(AND(WEEKDAY(A154)&gt;1,WEEKDAY(A154)&lt;7),"Wkd",TEXT(A154,"Ddd"))&amp;"-"&amp;TEXT(A154,"hh"),LoadTable[],3,FALSE)*0.92</f>
        <v>279.25312000000002</v>
      </c>
      <c r="U154" s="113">
        <f t="shared" si="141"/>
        <v>27.925312000000002</v>
      </c>
    </row>
    <row r="155" spans="1:21" ht="15" thickBot="1">
      <c r="A155" s="29">
        <f t="shared" si="111"/>
        <v>45842.333333334944</v>
      </c>
      <c r="B155" s="187">
        <f t="shared" ref="B155:L155" si="164">B179</f>
        <v>8000</v>
      </c>
      <c r="C155" s="187">
        <f t="shared" si="164"/>
        <v>25000</v>
      </c>
      <c r="D155" s="187">
        <v>0</v>
      </c>
      <c r="E155" s="187">
        <v>700</v>
      </c>
      <c r="F155" s="187">
        <v>15000</v>
      </c>
      <c r="G155" s="187">
        <f t="shared" si="164"/>
        <v>2400</v>
      </c>
      <c r="H155" s="187">
        <f t="shared" si="164"/>
        <v>25000</v>
      </c>
      <c r="I155" s="187">
        <f t="shared" si="164"/>
        <v>8000</v>
      </c>
      <c r="J155" s="187">
        <v>40000</v>
      </c>
      <c r="K155" s="187">
        <f t="shared" si="164"/>
        <v>8000</v>
      </c>
      <c r="L155" s="187">
        <v>40000</v>
      </c>
      <c r="M155" s="110">
        <v>9.5</v>
      </c>
      <c r="N155" s="110">
        <f>VLOOKUP(DATE(YEAR(A155),MONTH(A155),DAY(A155)),FY24_Temp[],3,FALSE)</f>
        <v>12.8</v>
      </c>
      <c r="O155" s="110">
        <f t="shared" si="139"/>
        <v>11.5</v>
      </c>
      <c r="P155" s="110">
        <f t="shared" si="140"/>
        <v>19.5</v>
      </c>
      <c r="Q155" s="111">
        <f>VLOOKUP(VLOOKUP(DATEVALUE(TEXT(A155,"m/d/yyyy")),FY24_Temp[],5,FALSE)&amp;TEXT(A155,"-h"),TempDelta[],4,FALSE)</f>
        <v>2.44985716683524</v>
      </c>
      <c r="R155" s="112">
        <v>10</v>
      </c>
      <c r="S155" s="112">
        <v>1500</v>
      </c>
      <c r="T155" s="99">
        <f>VLOOKUP(TEXT(A155,"yy-mm")&amp;"-"&amp;IF(AND(WEEKDAY(A155)&gt;1,WEEKDAY(A155)&lt;7),"Wkd",TEXT(A155,"Ddd"))&amp;"-"&amp;TEXT(A155,"hh"),LoadTable[],3,FALSE)*0.92</f>
        <v>279.25312000000002</v>
      </c>
      <c r="U155" s="113">
        <f t="shared" si="141"/>
        <v>27.925312000000002</v>
      </c>
    </row>
    <row r="156" spans="1:21" ht="15" thickBot="1">
      <c r="A156" s="29">
        <f t="shared" si="111"/>
        <v>45842.375000001608</v>
      </c>
      <c r="B156" s="187">
        <f t="shared" ref="B156:L156" si="165">B180</f>
        <v>8000</v>
      </c>
      <c r="C156" s="187">
        <f t="shared" si="165"/>
        <v>25000</v>
      </c>
      <c r="D156" s="187">
        <v>0</v>
      </c>
      <c r="E156" s="187">
        <v>700</v>
      </c>
      <c r="F156" s="187">
        <v>15000</v>
      </c>
      <c r="G156" s="187">
        <f t="shared" si="165"/>
        <v>2400</v>
      </c>
      <c r="H156" s="187">
        <f t="shared" si="165"/>
        <v>25000</v>
      </c>
      <c r="I156" s="187">
        <f t="shared" si="165"/>
        <v>8000</v>
      </c>
      <c r="J156" s="187">
        <v>40000</v>
      </c>
      <c r="K156" s="187">
        <f t="shared" si="165"/>
        <v>8000</v>
      </c>
      <c r="L156" s="187">
        <v>40000</v>
      </c>
      <c r="M156" s="110">
        <v>9.5</v>
      </c>
      <c r="N156" s="110">
        <f>VLOOKUP(DATE(YEAR(A156),MONTH(A156),DAY(A156)),FY24_Temp[],3,FALSE)</f>
        <v>12.8</v>
      </c>
      <c r="O156" s="110">
        <f t="shared" si="139"/>
        <v>11.5</v>
      </c>
      <c r="P156" s="110">
        <f t="shared" si="140"/>
        <v>19.5</v>
      </c>
      <c r="Q156" s="111">
        <f>VLOOKUP(VLOOKUP(DATEVALUE(TEXT(A156,"m/d/yyyy")),FY24_Temp[],5,FALSE)&amp;TEXT(A156,"-h"),TempDelta[],4,FALSE)</f>
        <v>2.2458571025303433</v>
      </c>
      <c r="R156" s="112">
        <v>10</v>
      </c>
      <c r="S156" s="112">
        <v>1500</v>
      </c>
      <c r="T156" s="99">
        <f>VLOOKUP(TEXT(A156,"yy-mm")&amp;"-"&amp;IF(AND(WEEKDAY(A156)&gt;1,WEEKDAY(A156)&lt;7),"Wkd",TEXT(A156,"Ddd"))&amp;"-"&amp;TEXT(A156,"hh"),LoadTable[],3,FALSE)*0.92</f>
        <v>279.25312000000002</v>
      </c>
      <c r="U156" s="113">
        <f t="shared" si="141"/>
        <v>27.925312000000002</v>
      </c>
    </row>
    <row r="157" spans="1:21" ht="15" thickBot="1">
      <c r="A157" s="29">
        <f t="shared" si="111"/>
        <v>45842.416666668272</v>
      </c>
      <c r="B157" s="187">
        <f t="shared" ref="B157:L157" si="166">B181</f>
        <v>8000</v>
      </c>
      <c r="C157" s="187">
        <f t="shared" si="166"/>
        <v>25000</v>
      </c>
      <c r="D157" s="187">
        <v>0</v>
      </c>
      <c r="E157" s="187">
        <v>700</v>
      </c>
      <c r="F157" s="187">
        <v>15000</v>
      </c>
      <c r="G157" s="187">
        <f t="shared" si="166"/>
        <v>2400</v>
      </c>
      <c r="H157" s="187">
        <f t="shared" si="166"/>
        <v>25000</v>
      </c>
      <c r="I157" s="187">
        <f t="shared" si="166"/>
        <v>8000</v>
      </c>
      <c r="J157" s="187">
        <v>40000</v>
      </c>
      <c r="K157" s="187">
        <f t="shared" si="166"/>
        <v>8000</v>
      </c>
      <c r="L157" s="187">
        <v>40000</v>
      </c>
      <c r="M157" s="110">
        <v>9.5</v>
      </c>
      <c r="N157" s="110">
        <f>VLOOKUP(DATE(YEAR(A157),MONTH(A157),DAY(A157)),FY24_Temp[],3,FALSE)</f>
        <v>12.8</v>
      </c>
      <c r="O157" s="110">
        <f t="shared" si="139"/>
        <v>11.5</v>
      </c>
      <c r="P157" s="110">
        <f t="shared" si="140"/>
        <v>19.5</v>
      </c>
      <c r="Q157" s="111">
        <f>VLOOKUP(VLOOKUP(DATEVALUE(TEXT(A157,"m/d/yyyy")),FY24_Temp[],5,FALSE)&amp;TEXT(A157,"-h"),TempDelta[],4,FALSE)</f>
        <v>2.0832857234137401</v>
      </c>
      <c r="R157" s="112">
        <v>10</v>
      </c>
      <c r="S157" s="112">
        <v>1500</v>
      </c>
      <c r="T157" s="99">
        <f>VLOOKUP(TEXT(A157,"yy-mm")&amp;"-"&amp;IF(AND(WEEKDAY(A157)&gt;1,WEEKDAY(A157)&lt;7),"Wkd",TEXT(A157,"Ddd"))&amp;"-"&amp;TEXT(A157,"hh"),LoadTable[],3,FALSE)*0.92</f>
        <v>279.25312000000002</v>
      </c>
      <c r="U157" s="113">
        <f t="shared" si="141"/>
        <v>27.925312000000002</v>
      </c>
    </row>
    <row r="158" spans="1:21" ht="15" thickBot="1">
      <c r="A158" s="29">
        <f t="shared" si="111"/>
        <v>45842.458333334936</v>
      </c>
      <c r="B158" s="187">
        <f t="shared" ref="B158:L158" si="167">B182</f>
        <v>8000</v>
      </c>
      <c r="C158" s="187">
        <f t="shared" si="167"/>
        <v>25000</v>
      </c>
      <c r="D158" s="187">
        <v>0</v>
      </c>
      <c r="E158" s="187">
        <v>700</v>
      </c>
      <c r="F158" s="187">
        <v>15000</v>
      </c>
      <c r="G158" s="187">
        <f t="shared" si="167"/>
        <v>2400</v>
      </c>
      <c r="H158" s="187">
        <f t="shared" si="167"/>
        <v>25000</v>
      </c>
      <c r="I158" s="187">
        <f t="shared" si="167"/>
        <v>8000</v>
      </c>
      <c r="J158" s="187">
        <v>40000</v>
      </c>
      <c r="K158" s="187">
        <f t="shared" si="167"/>
        <v>8000</v>
      </c>
      <c r="L158" s="187">
        <v>40000</v>
      </c>
      <c r="M158" s="110">
        <v>9.5</v>
      </c>
      <c r="N158" s="110">
        <f>VLOOKUP(DATE(YEAR(A158),MONTH(A158),DAY(A158)),FY24_Temp[],3,FALSE)</f>
        <v>12.8</v>
      </c>
      <c r="O158" s="110">
        <f t="shared" si="139"/>
        <v>11.5</v>
      </c>
      <c r="P158" s="110">
        <f t="shared" si="140"/>
        <v>19.5</v>
      </c>
      <c r="Q158" s="111">
        <f>VLOOKUP(VLOOKUP(DATEVALUE(TEXT(A158,"m/d/yyyy")),FY24_Temp[],5,FALSE)&amp;TEXT(A158,"-h"),TempDelta[],4,FALSE)</f>
        <v>1.8928571258272444</v>
      </c>
      <c r="R158" s="112">
        <v>10</v>
      </c>
      <c r="S158" s="112">
        <v>1500</v>
      </c>
      <c r="T158" s="99">
        <f>VLOOKUP(TEXT(A158,"yy-mm")&amp;"-"&amp;IF(AND(WEEKDAY(A158)&gt;1,WEEKDAY(A158)&lt;7),"Wkd",TEXT(A158,"Ddd"))&amp;"-"&amp;TEXT(A158,"hh"),LoadTable[],3,FALSE)*0.92</f>
        <v>279.25312000000002</v>
      </c>
      <c r="U158" s="113">
        <f t="shared" si="141"/>
        <v>27.925312000000002</v>
      </c>
    </row>
    <row r="159" spans="1:21" ht="15" thickBot="1">
      <c r="A159" s="29">
        <f t="shared" si="111"/>
        <v>45842.500000001601</v>
      </c>
      <c r="B159" s="187">
        <f t="shared" ref="B159:L159" si="168">B183</f>
        <v>8000</v>
      </c>
      <c r="C159" s="187">
        <f t="shared" si="168"/>
        <v>25000</v>
      </c>
      <c r="D159" s="187">
        <v>0</v>
      </c>
      <c r="E159" s="187">
        <v>700</v>
      </c>
      <c r="F159" s="187">
        <v>15000</v>
      </c>
      <c r="G159" s="187">
        <f t="shared" si="168"/>
        <v>2400</v>
      </c>
      <c r="H159" s="187">
        <f t="shared" si="168"/>
        <v>25000</v>
      </c>
      <c r="I159" s="187">
        <f t="shared" si="168"/>
        <v>8000</v>
      </c>
      <c r="J159" s="187">
        <v>40000</v>
      </c>
      <c r="K159" s="187">
        <f t="shared" si="168"/>
        <v>8000</v>
      </c>
      <c r="L159" s="187">
        <v>40000</v>
      </c>
      <c r="M159" s="110">
        <v>9.5</v>
      </c>
      <c r="N159" s="110">
        <f>VLOOKUP(DATE(YEAR(A159),MONTH(A159),DAY(A159)),FY24_Temp[],3,FALSE)</f>
        <v>12.8</v>
      </c>
      <c r="O159" s="110">
        <f t="shared" si="139"/>
        <v>11.5</v>
      </c>
      <c r="P159" s="110">
        <f t="shared" si="140"/>
        <v>19.5</v>
      </c>
      <c r="Q159" s="111">
        <f>VLOOKUP(VLOOKUP(DATEVALUE(TEXT(A159,"m/d/yyyy")),FY24_Temp[],5,FALSE)&amp;TEXT(A159,"-h"),TempDelta[],4,FALSE)</f>
        <v>1.665857127734593</v>
      </c>
      <c r="R159" s="112">
        <v>10</v>
      </c>
      <c r="S159" s="112">
        <v>1500</v>
      </c>
      <c r="T159" s="99">
        <f>VLOOKUP(TEXT(A159,"yy-mm")&amp;"-"&amp;IF(AND(WEEKDAY(A159)&gt;1,WEEKDAY(A159)&lt;7),"Wkd",TEXT(A159,"Ddd"))&amp;"-"&amp;TEXT(A159,"hh"),LoadTable[],3,FALSE)*0.92</f>
        <v>279.25312000000002</v>
      </c>
      <c r="U159" s="113">
        <f t="shared" si="141"/>
        <v>27.925312000000002</v>
      </c>
    </row>
    <row r="160" spans="1:21" ht="15" thickBot="1">
      <c r="A160" s="29">
        <f t="shared" si="111"/>
        <v>45842.541666668265</v>
      </c>
      <c r="B160" s="187">
        <f t="shared" ref="B160:L160" si="169">B184</f>
        <v>8000</v>
      </c>
      <c r="C160" s="187">
        <f t="shared" si="169"/>
        <v>25000</v>
      </c>
      <c r="D160" s="187">
        <v>0</v>
      </c>
      <c r="E160" s="187">
        <v>700</v>
      </c>
      <c r="F160" s="187">
        <v>15000</v>
      </c>
      <c r="G160" s="187">
        <f t="shared" si="169"/>
        <v>2400</v>
      </c>
      <c r="H160" s="187">
        <f t="shared" si="169"/>
        <v>25000</v>
      </c>
      <c r="I160" s="187">
        <f t="shared" si="169"/>
        <v>8000</v>
      </c>
      <c r="J160" s="187">
        <v>40000</v>
      </c>
      <c r="K160" s="187">
        <f t="shared" si="169"/>
        <v>8000</v>
      </c>
      <c r="L160" s="187">
        <v>40000</v>
      </c>
      <c r="M160" s="110">
        <v>9.5</v>
      </c>
      <c r="N160" s="110">
        <f>VLOOKUP(DATE(YEAR(A160),MONTH(A160),DAY(A160)),FY24_Temp[],3,FALSE)</f>
        <v>12.8</v>
      </c>
      <c r="O160" s="110">
        <f t="shared" si="139"/>
        <v>11.5</v>
      </c>
      <c r="P160" s="110">
        <f t="shared" si="140"/>
        <v>19.5</v>
      </c>
      <c r="Q160" s="111">
        <f>VLOOKUP(VLOOKUP(DATEVALUE(TEXT(A160,"m/d/yyyy")),FY24_Temp[],5,FALSE)&amp;TEXT(A160,"-h"),TempDelta[],4,FALSE)</f>
        <v>1.4252856969833374</v>
      </c>
      <c r="R160" s="112">
        <v>10</v>
      </c>
      <c r="S160" s="112">
        <v>1500</v>
      </c>
      <c r="T160" s="99">
        <f>VLOOKUP(TEXT(A160,"yy-mm")&amp;"-"&amp;IF(AND(WEEKDAY(A160)&gt;1,WEEKDAY(A160)&lt;7),"Wkd",TEXT(A160,"Ddd"))&amp;"-"&amp;TEXT(A160,"hh"),LoadTable[],3,FALSE)*0.92</f>
        <v>279.25312000000002</v>
      </c>
      <c r="U160" s="113">
        <f t="shared" si="141"/>
        <v>27.925312000000002</v>
      </c>
    </row>
    <row r="161" spans="1:21" ht="15" thickBot="1">
      <c r="A161" s="29">
        <f t="shared" si="111"/>
        <v>45842.583333334929</v>
      </c>
      <c r="B161" s="187">
        <f t="shared" ref="B161:L161" si="170">B185</f>
        <v>8000</v>
      </c>
      <c r="C161" s="187">
        <f t="shared" si="170"/>
        <v>25000</v>
      </c>
      <c r="D161" s="187">
        <v>0</v>
      </c>
      <c r="E161" s="187">
        <v>700</v>
      </c>
      <c r="F161" s="187">
        <v>15000</v>
      </c>
      <c r="G161" s="187">
        <f t="shared" si="170"/>
        <v>2400</v>
      </c>
      <c r="H161" s="187">
        <f t="shared" si="170"/>
        <v>25000</v>
      </c>
      <c r="I161" s="187">
        <f t="shared" si="170"/>
        <v>8000</v>
      </c>
      <c r="J161" s="187">
        <v>40000</v>
      </c>
      <c r="K161" s="187">
        <f t="shared" si="170"/>
        <v>8000</v>
      </c>
      <c r="L161" s="187">
        <v>40000</v>
      </c>
      <c r="M161" s="110">
        <v>9.5</v>
      </c>
      <c r="N161" s="110">
        <f>VLOOKUP(DATE(YEAR(A161),MONTH(A161),DAY(A161)),FY24_Temp[],3,FALSE)</f>
        <v>12.8</v>
      </c>
      <c r="O161" s="110">
        <f t="shared" si="139"/>
        <v>11.5</v>
      </c>
      <c r="P161" s="110">
        <f t="shared" si="140"/>
        <v>19.5</v>
      </c>
      <c r="Q161" s="111">
        <f>VLOOKUP(VLOOKUP(DATEVALUE(TEXT(A161,"m/d/yyyy")),FY24_Temp[],5,FALSE)&amp;TEXT(A161,"-h"),TempDelta[],4,FALSE)</f>
        <v>1.2351428781236922</v>
      </c>
      <c r="R161" s="112">
        <v>10</v>
      </c>
      <c r="S161" s="112">
        <v>1500</v>
      </c>
      <c r="T161" s="99">
        <f>VLOOKUP(TEXT(A161,"yy-mm")&amp;"-"&amp;IF(AND(WEEKDAY(A161)&gt;1,WEEKDAY(A161)&lt;7),"Wkd",TEXT(A161,"Ddd"))&amp;"-"&amp;TEXT(A161,"hh"),LoadTable[],3,FALSE)*0.92</f>
        <v>373.26607999999999</v>
      </c>
      <c r="U161" s="113">
        <f t="shared" si="141"/>
        <v>37.326608</v>
      </c>
    </row>
    <row r="162" spans="1:21" ht="15" thickBot="1">
      <c r="A162" s="29">
        <f t="shared" si="111"/>
        <v>45842.625000001593</v>
      </c>
      <c r="B162" s="187">
        <f t="shared" ref="B162:L162" si="171">B186</f>
        <v>8000</v>
      </c>
      <c r="C162" s="187">
        <f t="shared" si="171"/>
        <v>25000</v>
      </c>
      <c r="D162" s="187">
        <v>0</v>
      </c>
      <c r="E162" s="187">
        <v>700</v>
      </c>
      <c r="F162" s="187">
        <v>15000</v>
      </c>
      <c r="G162" s="187">
        <f t="shared" si="171"/>
        <v>2400</v>
      </c>
      <c r="H162" s="187">
        <f t="shared" si="171"/>
        <v>25000</v>
      </c>
      <c r="I162" s="187">
        <f t="shared" si="171"/>
        <v>8000</v>
      </c>
      <c r="J162" s="187">
        <v>40000</v>
      </c>
      <c r="K162" s="187">
        <f t="shared" si="171"/>
        <v>8000</v>
      </c>
      <c r="L162" s="187">
        <v>40000</v>
      </c>
      <c r="M162" s="110">
        <v>9.5</v>
      </c>
      <c r="N162" s="110">
        <f>VLOOKUP(DATE(YEAR(A162),MONTH(A162),DAY(A162)),FY24_Temp[],3,FALSE)</f>
        <v>12.8</v>
      </c>
      <c r="O162" s="110">
        <f t="shared" si="139"/>
        <v>11.5</v>
      </c>
      <c r="P162" s="110">
        <f t="shared" si="140"/>
        <v>19.5</v>
      </c>
      <c r="Q162" s="111">
        <f>VLOOKUP(VLOOKUP(DATEVALUE(TEXT(A162,"m/d/yyyy")),FY24_Temp[],5,FALSE)&amp;TEXT(A162,"-h"),TempDelta[],4,FALSE)</f>
        <v>0.97514284508568905</v>
      </c>
      <c r="R162" s="112">
        <v>10</v>
      </c>
      <c r="S162" s="112">
        <v>1500</v>
      </c>
      <c r="T162" s="99">
        <f>VLOOKUP(TEXT(A162,"yy-mm")&amp;"-"&amp;IF(AND(WEEKDAY(A162)&gt;1,WEEKDAY(A162)&lt;7),"Wkd",TEXT(A162,"Ddd"))&amp;"-"&amp;TEXT(A162,"hh"),LoadTable[],3,FALSE)*0.92</f>
        <v>494.57360000000006</v>
      </c>
      <c r="U162" s="113">
        <f t="shared" si="141"/>
        <v>49.457360000000008</v>
      </c>
    </row>
    <row r="163" spans="1:21" ht="15" thickBot="1">
      <c r="A163" s="29">
        <f t="shared" si="111"/>
        <v>45842.666666668258</v>
      </c>
      <c r="B163" s="187">
        <f t="shared" ref="B163:L163" si="172">B187</f>
        <v>8000</v>
      </c>
      <c r="C163" s="187">
        <f t="shared" si="172"/>
        <v>25000</v>
      </c>
      <c r="D163" s="187">
        <v>0</v>
      </c>
      <c r="E163" s="187">
        <v>700</v>
      </c>
      <c r="F163" s="187">
        <v>15000</v>
      </c>
      <c r="G163" s="187">
        <f t="shared" si="172"/>
        <v>2400</v>
      </c>
      <c r="H163" s="187">
        <f t="shared" si="172"/>
        <v>25000</v>
      </c>
      <c r="I163" s="187">
        <f t="shared" si="172"/>
        <v>8000</v>
      </c>
      <c r="J163" s="187">
        <v>40000</v>
      </c>
      <c r="K163" s="187">
        <f t="shared" si="172"/>
        <v>8000</v>
      </c>
      <c r="L163" s="187">
        <v>40000</v>
      </c>
      <c r="M163" s="110">
        <v>9.5</v>
      </c>
      <c r="N163" s="110">
        <f>VLOOKUP(DATE(YEAR(A163),MONTH(A163),DAY(A163)),FY24_Temp[],3,FALSE)</f>
        <v>12.8</v>
      </c>
      <c r="O163" s="110">
        <f t="shared" si="139"/>
        <v>11.5</v>
      </c>
      <c r="P163" s="110">
        <f t="shared" si="140"/>
        <v>19.5</v>
      </c>
      <c r="Q163" s="111">
        <f>VLOOKUP(VLOOKUP(DATEVALUE(TEXT(A163,"m/d/yyyy")),FY24_Temp[],5,FALSE)&amp;TEXT(A163,"-h"),TempDelta[],4,FALSE)</f>
        <v>0.88578571166310993</v>
      </c>
      <c r="R163" s="112">
        <v>10</v>
      </c>
      <c r="S163" s="112">
        <v>1500</v>
      </c>
      <c r="T163" s="99">
        <f>VLOOKUP(TEXT(A163,"yy-mm")&amp;"-"&amp;IF(AND(WEEKDAY(A163)&gt;1,WEEKDAY(A163)&lt;7),"Wkd",TEXT(A163,"Ddd"))&amp;"-"&amp;TEXT(A163,"hh"),LoadTable[],3,FALSE)*0.92</f>
        <v>494.57360000000006</v>
      </c>
      <c r="U163" s="113">
        <f t="shared" si="141"/>
        <v>49.457360000000008</v>
      </c>
    </row>
    <row r="164" spans="1:21" ht="15" thickBot="1">
      <c r="A164" s="29">
        <f t="shared" si="111"/>
        <v>45842.708333334922</v>
      </c>
      <c r="B164" s="187">
        <f t="shared" ref="B164:L164" si="173">B188</f>
        <v>8000</v>
      </c>
      <c r="C164" s="187">
        <f t="shared" si="173"/>
        <v>25000</v>
      </c>
      <c r="D164" s="187">
        <v>0</v>
      </c>
      <c r="E164" s="187">
        <v>700</v>
      </c>
      <c r="F164" s="187">
        <v>15000</v>
      </c>
      <c r="G164" s="187">
        <f t="shared" si="173"/>
        <v>2400</v>
      </c>
      <c r="H164" s="187">
        <f t="shared" si="173"/>
        <v>25000</v>
      </c>
      <c r="I164" s="187">
        <f t="shared" si="173"/>
        <v>8000</v>
      </c>
      <c r="J164" s="187">
        <v>40000</v>
      </c>
      <c r="K164" s="187">
        <f t="shared" si="173"/>
        <v>8000</v>
      </c>
      <c r="L164" s="187">
        <v>40000</v>
      </c>
      <c r="M164" s="110">
        <v>9.5</v>
      </c>
      <c r="N164" s="110">
        <f>VLOOKUP(DATE(YEAR(A164),MONTH(A164),DAY(A164)),FY24_Temp[],3,FALSE)</f>
        <v>12.8</v>
      </c>
      <c r="O164" s="110">
        <f t="shared" si="139"/>
        <v>11.5</v>
      </c>
      <c r="P164" s="110">
        <f t="shared" si="140"/>
        <v>19.5</v>
      </c>
      <c r="Q164" s="111">
        <f>VLOOKUP(VLOOKUP(DATEVALUE(TEXT(A164,"m/d/yyyy")),FY24_Temp[],5,FALSE)&amp;TEXT(A164,"-h"),TempDelta[],4,FALSE)</f>
        <v>1.0356428495475225</v>
      </c>
      <c r="R164" s="112">
        <v>10</v>
      </c>
      <c r="S164" s="112">
        <v>1500</v>
      </c>
      <c r="T164" s="99">
        <f>VLOOKUP(TEXT(A164,"yy-mm")&amp;"-"&amp;IF(AND(WEEKDAY(A164)&gt;1,WEEKDAY(A164)&lt;7),"Wkd",TEXT(A164,"Ddd"))&amp;"-"&amp;TEXT(A164,"hh"),LoadTable[],3,FALSE)*0.92</f>
        <v>494.57360000000006</v>
      </c>
      <c r="U164" s="113">
        <f t="shared" si="141"/>
        <v>49.457360000000008</v>
      </c>
    </row>
    <row r="165" spans="1:21" ht="15" thickBot="1">
      <c r="A165" s="29">
        <f t="shared" si="111"/>
        <v>45842.750000001586</v>
      </c>
      <c r="B165" s="187">
        <f t="shared" ref="B165:L165" si="174">B189</f>
        <v>5000</v>
      </c>
      <c r="C165" s="187">
        <f t="shared" si="174"/>
        <v>25000</v>
      </c>
      <c r="D165" s="187">
        <v>0</v>
      </c>
      <c r="E165" s="187">
        <v>700</v>
      </c>
      <c r="F165" s="187">
        <v>15000</v>
      </c>
      <c r="G165" s="187">
        <f t="shared" si="174"/>
        <v>2400</v>
      </c>
      <c r="H165" s="187">
        <f t="shared" si="174"/>
        <v>25000</v>
      </c>
      <c r="I165" s="187">
        <f t="shared" si="174"/>
        <v>5000</v>
      </c>
      <c r="J165" s="187">
        <v>40000</v>
      </c>
      <c r="K165" s="187">
        <f t="shared" si="174"/>
        <v>5000</v>
      </c>
      <c r="L165" s="187">
        <v>40000</v>
      </c>
      <c r="M165" s="110">
        <v>9.5</v>
      </c>
      <c r="N165" s="110">
        <f>VLOOKUP(DATE(YEAR(A165),MONTH(A165),DAY(A165)),FY24_Temp[],3,FALSE)</f>
        <v>12.8</v>
      </c>
      <c r="O165" s="110">
        <f t="shared" si="139"/>
        <v>11.5</v>
      </c>
      <c r="P165" s="110">
        <f t="shared" si="140"/>
        <v>19.5</v>
      </c>
      <c r="Q165" s="111">
        <f>VLOOKUP(VLOOKUP(DATEVALUE(TEXT(A165,"m/d/yyyy")),FY24_Temp[],5,FALSE)&amp;TEXT(A165,"-h"),TempDelta[],4,FALSE)</f>
        <v>1.3991428358214242</v>
      </c>
      <c r="R165" s="112">
        <v>10</v>
      </c>
      <c r="S165" s="112">
        <v>1500</v>
      </c>
      <c r="T165" s="99">
        <f>VLOOKUP(TEXT(A165,"yy-mm")&amp;"-"&amp;IF(AND(WEEKDAY(A165)&gt;1,WEEKDAY(A165)&lt;7),"Wkd",TEXT(A165,"Ddd"))&amp;"-"&amp;TEXT(A165,"hh"),LoadTable[],3,FALSE)*0.92</f>
        <v>494.57360000000006</v>
      </c>
      <c r="U165" s="113">
        <f t="shared" si="141"/>
        <v>49.457360000000008</v>
      </c>
    </row>
    <row r="166" spans="1:21" ht="15" thickBot="1">
      <c r="A166" s="29">
        <f t="shared" si="111"/>
        <v>45842.79166666825</v>
      </c>
      <c r="B166" s="187">
        <f t="shared" ref="B166:L166" si="175">B190</f>
        <v>5000</v>
      </c>
      <c r="C166" s="187">
        <f t="shared" si="175"/>
        <v>25000</v>
      </c>
      <c r="D166" s="187">
        <v>0</v>
      </c>
      <c r="E166" s="187">
        <v>700</v>
      </c>
      <c r="F166" s="187">
        <v>15000</v>
      </c>
      <c r="G166" s="187">
        <f t="shared" si="175"/>
        <v>2400</v>
      </c>
      <c r="H166" s="187">
        <f t="shared" si="175"/>
        <v>25000</v>
      </c>
      <c r="I166" s="187">
        <f t="shared" si="175"/>
        <v>5000</v>
      </c>
      <c r="J166" s="187">
        <v>40000</v>
      </c>
      <c r="K166" s="187">
        <f t="shared" si="175"/>
        <v>5000</v>
      </c>
      <c r="L166" s="187">
        <v>40000</v>
      </c>
      <c r="M166" s="110">
        <v>9.5</v>
      </c>
      <c r="N166" s="110">
        <f>VLOOKUP(DATE(YEAR(A166),MONTH(A166),DAY(A166)),FY24_Temp[],3,FALSE)</f>
        <v>12.8</v>
      </c>
      <c r="O166" s="110">
        <f t="shared" si="139"/>
        <v>11.5</v>
      </c>
      <c r="P166" s="110">
        <f t="shared" si="140"/>
        <v>19.5</v>
      </c>
      <c r="Q166" s="111">
        <f>VLOOKUP(VLOOKUP(DATEVALUE(TEXT(A166,"m/d/yyyy")),FY24_Temp[],5,FALSE)&amp;TEXT(A166,"-h"),TempDelta[],4,FALSE)</f>
        <v>1.8638571415628706</v>
      </c>
      <c r="R166" s="112">
        <v>10</v>
      </c>
      <c r="S166" s="112">
        <v>1500</v>
      </c>
      <c r="T166" s="99">
        <f>VLOOKUP(TEXT(A166,"yy-mm")&amp;"-"&amp;IF(AND(WEEKDAY(A166)&gt;1,WEEKDAY(A166)&lt;7),"Wkd",TEXT(A166,"Ddd"))&amp;"-"&amp;TEXT(A166,"hh"),LoadTable[],3,FALSE)*0.92</f>
        <v>494.57360000000006</v>
      </c>
      <c r="U166" s="113">
        <f t="shared" si="141"/>
        <v>49.457360000000008</v>
      </c>
    </row>
    <row r="167" spans="1:21" ht="15" thickBot="1">
      <c r="A167" s="29">
        <f t="shared" si="111"/>
        <v>45842.833333334915</v>
      </c>
      <c r="B167" s="187">
        <f t="shared" ref="B167:L167" si="176">B191</f>
        <v>5000</v>
      </c>
      <c r="C167" s="187">
        <f t="shared" si="176"/>
        <v>25000</v>
      </c>
      <c r="D167" s="187">
        <v>0</v>
      </c>
      <c r="E167" s="187">
        <v>700</v>
      </c>
      <c r="F167" s="187">
        <v>15000</v>
      </c>
      <c r="G167" s="187">
        <f t="shared" si="176"/>
        <v>2400</v>
      </c>
      <c r="H167" s="187">
        <f t="shared" si="176"/>
        <v>25000</v>
      </c>
      <c r="I167" s="187">
        <f t="shared" si="176"/>
        <v>5000</v>
      </c>
      <c r="J167" s="187">
        <v>40000</v>
      </c>
      <c r="K167" s="187">
        <f t="shared" si="176"/>
        <v>5000</v>
      </c>
      <c r="L167" s="187">
        <v>40000</v>
      </c>
      <c r="M167" s="110">
        <v>9.5</v>
      </c>
      <c r="N167" s="110">
        <f>VLOOKUP(DATE(YEAR(A167),MONTH(A167),DAY(A167)),FY24_Temp[],3,FALSE)</f>
        <v>12.8</v>
      </c>
      <c r="O167" s="110">
        <f t="shared" si="139"/>
        <v>11.5</v>
      </c>
      <c r="P167" s="110">
        <f t="shared" si="140"/>
        <v>19.5</v>
      </c>
      <c r="Q167" s="111">
        <f>VLOOKUP(VLOOKUP(DATEVALUE(TEXT(A167,"m/d/yyyy")),FY24_Temp[],5,FALSE)&amp;TEXT(A167,"-h"),TempDelta[],4,FALSE)</f>
        <v>2.300714305468968</v>
      </c>
      <c r="R167" s="112">
        <v>10</v>
      </c>
      <c r="S167" s="112">
        <v>1500</v>
      </c>
      <c r="T167" s="99">
        <f>VLOOKUP(TEXT(A167,"yy-mm")&amp;"-"&amp;IF(AND(WEEKDAY(A167)&gt;1,WEEKDAY(A167)&lt;7),"Wkd",TEXT(A167,"Ddd"))&amp;"-"&amp;TEXT(A167,"hh"),LoadTable[],3,FALSE)*0.92</f>
        <v>494.57360000000006</v>
      </c>
      <c r="U167" s="113">
        <f t="shared" si="141"/>
        <v>49.457360000000008</v>
      </c>
    </row>
    <row r="168" spans="1:21" ht="15" thickBot="1">
      <c r="A168" s="29">
        <f t="shared" si="111"/>
        <v>45842.875000001579</v>
      </c>
      <c r="B168" s="187">
        <f t="shared" ref="B168:L168" si="177">B192</f>
        <v>5000</v>
      </c>
      <c r="C168" s="187">
        <f t="shared" si="177"/>
        <v>25000</v>
      </c>
      <c r="D168" s="187">
        <v>0</v>
      </c>
      <c r="E168" s="187">
        <v>700</v>
      </c>
      <c r="F168" s="187">
        <v>15000</v>
      </c>
      <c r="G168" s="187">
        <f t="shared" si="177"/>
        <v>2400</v>
      </c>
      <c r="H168" s="187">
        <f t="shared" si="177"/>
        <v>25000</v>
      </c>
      <c r="I168" s="187">
        <f t="shared" si="177"/>
        <v>5000</v>
      </c>
      <c r="J168" s="187">
        <v>40000</v>
      </c>
      <c r="K168" s="187">
        <f t="shared" si="177"/>
        <v>5000</v>
      </c>
      <c r="L168" s="187">
        <v>40000</v>
      </c>
      <c r="M168" s="110">
        <v>9.5</v>
      </c>
      <c r="N168" s="110">
        <f>VLOOKUP(DATE(YEAR(A168),MONTH(A168),DAY(A168)),FY24_Temp[],3,FALSE)</f>
        <v>12.8</v>
      </c>
      <c r="O168" s="110">
        <f t="shared" si="139"/>
        <v>11.5</v>
      </c>
      <c r="P168" s="110">
        <f t="shared" si="140"/>
        <v>19.5</v>
      </c>
      <c r="Q168" s="111">
        <f>VLOOKUP(VLOOKUP(DATEVALUE(TEXT(A168,"m/d/yyyy")),FY24_Temp[],5,FALSE)&amp;TEXT(A168,"-h"),TempDelta[],4,FALSE)</f>
        <v>2.554214222090585</v>
      </c>
      <c r="R168" s="112">
        <v>10</v>
      </c>
      <c r="S168" s="112">
        <v>1500</v>
      </c>
      <c r="T168" s="99">
        <f>VLOOKUP(TEXT(A168,"yy-mm")&amp;"-"&amp;IF(AND(WEEKDAY(A168)&gt;1,WEEKDAY(A168)&lt;7),"Wkd",TEXT(A168,"Ddd"))&amp;"-"&amp;TEXT(A168,"hh"),LoadTable[],3,FALSE)*0.92</f>
        <v>494.57360000000006</v>
      </c>
      <c r="U168" s="113">
        <f t="shared" si="141"/>
        <v>49.457360000000008</v>
      </c>
    </row>
    <row r="169" spans="1:21" ht="15" thickBot="1">
      <c r="A169" s="29">
        <f t="shared" si="111"/>
        <v>45842.916666668243</v>
      </c>
      <c r="B169" s="187">
        <f t="shared" ref="B169:L169" si="178">B193</f>
        <v>5000</v>
      </c>
      <c r="C169" s="187">
        <f t="shared" si="178"/>
        <v>25000</v>
      </c>
      <c r="D169" s="187">
        <v>0</v>
      </c>
      <c r="E169" s="187">
        <v>700</v>
      </c>
      <c r="F169" s="187">
        <v>15000</v>
      </c>
      <c r="G169" s="187">
        <f t="shared" si="178"/>
        <v>2400</v>
      </c>
      <c r="H169" s="187">
        <f t="shared" si="178"/>
        <v>25000</v>
      </c>
      <c r="I169" s="187">
        <f t="shared" si="178"/>
        <v>5000</v>
      </c>
      <c r="J169" s="187">
        <v>40000</v>
      </c>
      <c r="K169" s="187">
        <f t="shared" si="178"/>
        <v>5000</v>
      </c>
      <c r="L169" s="187">
        <v>40000</v>
      </c>
      <c r="M169" s="110">
        <v>9.5</v>
      </c>
      <c r="N169" s="110">
        <f>VLOOKUP(DATE(YEAR(A169),MONTH(A169),DAY(A169)),FY24_Temp[],3,FALSE)</f>
        <v>12.8</v>
      </c>
      <c r="O169" s="110">
        <f t="shared" si="139"/>
        <v>11.5</v>
      </c>
      <c r="P169" s="110">
        <f t="shared" si="140"/>
        <v>19.5</v>
      </c>
      <c r="Q169" s="111">
        <f>VLOOKUP(VLOOKUP(DATEVALUE(TEXT(A169,"m/d/yyyy")),FY24_Temp[],5,FALSE)&amp;TEXT(A169,"-h"),TempDelta[],4,FALSE)</f>
        <v>2.7827142647334506</v>
      </c>
      <c r="R169" s="112">
        <v>10</v>
      </c>
      <c r="S169" s="112">
        <v>1500</v>
      </c>
      <c r="T169" s="99">
        <f>VLOOKUP(TEXT(A169,"yy-mm")&amp;"-"&amp;IF(AND(WEEKDAY(A169)&gt;1,WEEKDAY(A169)&lt;7),"Wkd",TEXT(A169,"Ddd"))&amp;"-"&amp;TEXT(A169,"hh"),LoadTable[],3,FALSE)*0.92</f>
        <v>418.75640000000004</v>
      </c>
      <c r="U169" s="113">
        <f t="shared" si="141"/>
        <v>41.875640000000004</v>
      </c>
    </row>
    <row r="170" spans="1:21" ht="15" thickBot="1">
      <c r="A170" s="29">
        <f t="shared" ref="A170:A233" si="179">A171-TIME(1,0,0)</f>
        <v>45842.958333334907</v>
      </c>
      <c r="B170" s="187">
        <f t="shared" ref="B170:L170" si="180">B194</f>
        <v>5000</v>
      </c>
      <c r="C170" s="187">
        <f t="shared" si="180"/>
        <v>25000</v>
      </c>
      <c r="D170" s="187">
        <v>0</v>
      </c>
      <c r="E170" s="187">
        <v>700</v>
      </c>
      <c r="F170" s="187">
        <v>15000</v>
      </c>
      <c r="G170" s="187">
        <f t="shared" si="180"/>
        <v>2400</v>
      </c>
      <c r="H170" s="187">
        <f t="shared" si="180"/>
        <v>25000</v>
      </c>
      <c r="I170" s="187">
        <f t="shared" si="180"/>
        <v>5000</v>
      </c>
      <c r="J170" s="187">
        <v>40000</v>
      </c>
      <c r="K170" s="187">
        <f t="shared" si="180"/>
        <v>5000</v>
      </c>
      <c r="L170" s="187">
        <v>40000</v>
      </c>
      <c r="M170" s="110">
        <v>9.5</v>
      </c>
      <c r="N170" s="110">
        <f>VLOOKUP(DATE(YEAR(A170),MONTH(A170),DAY(A170)),FY24_Temp[],3,FALSE)</f>
        <v>12.8</v>
      </c>
      <c r="O170" s="110">
        <f t="shared" si="139"/>
        <v>11.5</v>
      </c>
      <c r="P170" s="110">
        <f t="shared" si="140"/>
        <v>19.5</v>
      </c>
      <c r="Q170" s="111">
        <f>VLOOKUP(VLOOKUP(DATEVALUE(TEXT(A170,"m/d/yyyy")),FY24_Temp[],5,FALSE)&amp;TEXT(A170,"-h"),TempDelta[],4,FALSE)</f>
        <v>2.8792857101985385</v>
      </c>
      <c r="R170" s="112">
        <v>10</v>
      </c>
      <c r="S170" s="112">
        <v>1500</v>
      </c>
      <c r="T170" s="99">
        <f>VLOOKUP(TEXT(A170,"yy-mm")&amp;"-"&amp;IF(AND(WEEKDAY(A170)&gt;1,WEEKDAY(A170)&lt;7),"Wkd",TEXT(A170,"Ddd"))&amp;"-"&amp;TEXT(A170,"hh"),LoadTable[],3,FALSE)*0.92</f>
        <v>342.93920000000003</v>
      </c>
      <c r="U170" s="113">
        <f t="shared" si="141"/>
        <v>34.29392</v>
      </c>
    </row>
    <row r="171" spans="1:21" ht="15" thickBot="1">
      <c r="A171" s="29">
        <f t="shared" si="179"/>
        <v>45843.000000001572</v>
      </c>
      <c r="B171" s="187">
        <f t="shared" ref="B171:L171" si="181">B195</f>
        <v>5000</v>
      </c>
      <c r="C171" s="187">
        <f t="shared" si="181"/>
        <v>25000</v>
      </c>
      <c r="D171" s="187">
        <v>0</v>
      </c>
      <c r="E171" s="187">
        <v>700</v>
      </c>
      <c r="F171" s="187">
        <v>15000</v>
      </c>
      <c r="G171" s="187">
        <f t="shared" si="181"/>
        <v>2400</v>
      </c>
      <c r="H171" s="187">
        <f t="shared" si="181"/>
        <v>25000</v>
      </c>
      <c r="I171" s="187">
        <f t="shared" si="181"/>
        <v>5000</v>
      </c>
      <c r="J171" s="187">
        <v>40000</v>
      </c>
      <c r="K171" s="187">
        <f t="shared" si="181"/>
        <v>5000</v>
      </c>
      <c r="L171" s="187">
        <v>40000</v>
      </c>
      <c r="M171" s="110">
        <v>9.5</v>
      </c>
      <c r="N171" s="110">
        <f>VLOOKUP(DATE(YEAR(A171),MONTH(A171),DAY(A171)),FY24_Temp[],3,FALSE)</f>
        <v>12.8</v>
      </c>
      <c r="O171" s="110">
        <f t="shared" si="139"/>
        <v>11.5</v>
      </c>
      <c r="P171" s="110">
        <f t="shared" si="140"/>
        <v>19.5</v>
      </c>
      <c r="Q171" s="111">
        <f>VLOOKUP(VLOOKUP(DATEVALUE(TEXT(A171,"m/d/yyyy")),FY24_Temp[],5,FALSE)&amp;TEXT(A171,"-h"),TempDelta[],4,FALSE)</f>
        <v>3.0441428933824812</v>
      </c>
      <c r="R171" s="112">
        <v>10</v>
      </c>
      <c r="S171" s="112">
        <v>1500</v>
      </c>
      <c r="T171" s="99">
        <f>VLOOKUP(TEXT(A171,"yy-mm")&amp;"-"&amp;IF(AND(WEEKDAY(A171)&gt;1,WEEKDAY(A171)&lt;7),"Wkd",TEXT(A171,"Ddd"))&amp;"-"&amp;TEXT(A171,"hh"),LoadTable[],3,FALSE)*0.92</f>
        <v>279.25312000000002</v>
      </c>
      <c r="U171" s="113">
        <f t="shared" si="141"/>
        <v>27.925312000000002</v>
      </c>
    </row>
    <row r="172" spans="1:21" ht="15" thickBot="1">
      <c r="A172" s="29">
        <f t="shared" si="179"/>
        <v>45843.041666668236</v>
      </c>
      <c r="B172" s="187">
        <f t="shared" ref="B172:L172" si="182">B196</f>
        <v>5000</v>
      </c>
      <c r="C172" s="187">
        <f t="shared" si="182"/>
        <v>25000</v>
      </c>
      <c r="D172" s="187">
        <v>0</v>
      </c>
      <c r="E172" s="187">
        <v>700</v>
      </c>
      <c r="F172" s="187">
        <v>15000</v>
      </c>
      <c r="G172" s="187">
        <f t="shared" si="182"/>
        <v>2400</v>
      </c>
      <c r="H172" s="187">
        <f t="shared" si="182"/>
        <v>25000</v>
      </c>
      <c r="I172" s="187">
        <f t="shared" si="182"/>
        <v>5000</v>
      </c>
      <c r="J172" s="187">
        <v>40000</v>
      </c>
      <c r="K172" s="187">
        <f t="shared" si="182"/>
        <v>5000</v>
      </c>
      <c r="L172" s="187">
        <v>40000</v>
      </c>
      <c r="M172" s="110">
        <v>9.5</v>
      </c>
      <c r="N172" s="110">
        <f>VLOOKUP(DATE(YEAR(A172),MONTH(A172),DAY(A172)),FY24_Temp[],3,FALSE)</f>
        <v>12.8</v>
      </c>
      <c r="O172" s="110">
        <f t="shared" si="139"/>
        <v>11.5</v>
      </c>
      <c r="P172" s="110">
        <f t="shared" si="140"/>
        <v>19.5</v>
      </c>
      <c r="Q172" s="111">
        <f>VLOOKUP(VLOOKUP(DATEVALUE(TEXT(A172,"m/d/yyyy")),FY24_Temp[],5,FALSE)&amp;TEXT(A172,"-h"),TempDelta[],4,FALSE)</f>
        <v>3.0992857047489712</v>
      </c>
      <c r="R172" s="112">
        <v>10</v>
      </c>
      <c r="S172" s="112">
        <v>1500</v>
      </c>
      <c r="T172" s="99">
        <f>VLOOKUP(TEXT(A172,"yy-mm")&amp;"-"&amp;IF(AND(WEEKDAY(A172)&gt;1,WEEKDAY(A172)&lt;7),"Wkd",TEXT(A172,"Ddd"))&amp;"-"&amp;TEXT(A172,"hh"),LoadTable[],3,FALSE)*0.92</f>
        <v>279.25312000000002</v>
      </c>
      <c r="U172" s="113">
        <f t="shared" si="141"/>
        <v>27.925312000000002</v>
      </c>
    </row>
    <row r="173" spans="1:21" ht="15" thickBot="1">
      <c r="A173" s="29">
        <f t="shared" si="179"/>
        <v>45843.0833333349</v>
      </c>
      <c r="B173" s="187">
        <f t="shared" ref="B173:L173" si="183">B197</f>
        <v>5000</v>
      </c>
      <c r="C173" s="187">
        <f t="shared" si="183"/>
        <v>25000</v>
      </c>
      <c r="D173" s="187">
        <v>0</v>
      </c>
      <c r="E173" s="187">
        <v>700</v>
      </c>
      <c r="F173" s="187">
        <v>15000</v>
      </c>
      <c r="G173" s="187">
        <f t="shared" si="183"/>
        <v>2400</v>
      </c>
      <c r="H173" s="187">
        <f t="shared" si="183"/>
        <v>25000</v>
      </c>
      <c r="I173" s="187">
        <f t="shared" si="183"/>
        <v>5000</v>
      </c>
      <c r="J173" s="187">
        <v>40000</v>
      </c>
      <c r="K173" s="187">
        <f t="shared" si="183"/>
        <v>5000</v>
      </c>
      <c r="L173" s="187">
        <v>40000</v>
      </c>
      <c r="M173" s="110">
        <v>9.5</v>
      </c>
      <c r="N173" s="110">
        <f>VLOOKUP(DATE(YEAR(A173),MONTH(A173),DAY(A173)),FY24_Temp[],3,FALSE)</f>
        <v>12.8</v>
      </c>
      <c r="O173" s="110">
        <f t="shared" si="139"/>
        <v>11.5</v>
      </c>
      <c r="P173" s="110">
        <f t="shared" si="140"/>
        <v>19.5</v>
      </c>
      <c r="Q173" s="111">
        <f>VLOOKUP(VLOOKUP(DATEVALUE(TEXT(A173,"m/d/yyyy")),FY24_Temp[],5,FALSE)&amp;TEXT(A173,"-h"),TempDelta[],4,FALSE)</f>
        <v>3.1050000190734863</v>
      </c>
      <c r="R173" s="112">
        <v>10</v>
      </c>
      <c r="S173" s="112">
        <v>1500</v>
      </c>
      <c r="T173" s="99">
        <f>VLOOKUP(TEXT(A173,"yy-mm")&amp;"-"&amp;IF(AND(WEEKDAY(A173)&gt;1,WEEKDAY(A173)&lt;7),"Wkd",TEXT(A173,"Ddd"))&amp;"-"&amp;TEXT(A173,"hh"),LoadTable[],3,FALSE)*0.92</f>
        <v>279.25312000000002</v>
      </c>
      <c r="U173" s="113">
        <f t="shared" si="141"/>
        <v>27.925312000000002</v>
      </c>
    </row>
    <row r="174" spans="1:21" ht="15" thickBot="1">
      <c r="A174" s="29">
        <f t="shared" si="179"/>
        <v>45843.125000001564</v>
      </c>
      <c r="B174" s="187">
        <f t="shared" ref="B174:L174" si="184">B198</f>
        <v>5000</v>
      </c>
      <c r="C174" s="187">
        <f t="shared" si="184"/>
        <v>25000</v>
      </c>
      <c r="D174" s="187">
        <v>0</v>
      </c>
      <c r="E174" s="187">
        <v>700</v>
      </c>
      <c r="F174" s="187">
        <v>15000</v>
      </c>
      <c r="G174" s="187">
        <f t="shared" si="184"/>
        <v>2400</v>
      </c>
      <c r="H174" s="187">
        <f t="shared" si="184"/>
        <v>25000</v>
      </c>
      <c r="I174" s="187">
        <f t="shared" si="184"/>
        <v>5000</v>
      </c>
      <c r="J174" s="187">
        <v>40000</v>
      </c>
      <c r="K174" s="187">
        <f t="shared" si="184"/>
        <v>5000</v>
      </c>
      <c r="L174" s="187">
        <v>40000</v>
      </c>
      <c r="M174" s="110">
        <v>9.5</v>
      </c>
      <c r="N174" s="110">
        <f>VLOOKUP(DATE(YEAR(A174),MONTH(A174),DAY(A174)),FY24_Temp[],3,FALSE)</f>
        <v>12.8</v>
      </c>
      <c r="O174" s="110">
        <f t="shared" si="139"/>
        <v>11.5</v>
      </c>
      <c r="P174" s="110">
        <f t="shared" si="140"/>
        <v>19.5</v>
      </c>
      <c r="Q174" s="111">
        <f>VLOOKUP(VLOOKUP(DATEVALUE(TEXT(A174,"m/d/yyyy")),FY24_Temp[],5,FALSE)&amp;TEXT(A174,"-h"),TempDelta[],4,FALSE)</f>
        <v>3.0428571701049805</v>
      </c>
      <c r="R174" s="112">
        <v>10</v>
      </c>
      <c r="S174" s="112">
        <v>1500</v>
      </c>
      <c r="T174" s="99">
        <f>VLOOKUP(TEXT(A174,"yy-mm")&amp;"-"&amp;IF(AND(WEEKDAY(A174)&gt;1,WEEKDAY(A174)&lt;7),"Wkd",TEXT(A174,"Ddd"))&amp;"-"&amp;TEXT(A174,"hh"),LoadTable[],3,FALSE)*0.92</f>
        <v>279.25312000000002</v>
      </c>
      <c r="U174" s="113">
        <f t="shared" si="141"/>
        <v>27.925312000000002</v>
      </c>
    </row>
    <row r="175" spans="1:21" ht="15" thickBot="1">
      <c r="A175" s="29">
        <f t="shared" si="179"/>
        <v>45843.166666668229</v>
      </c>
      <c r="B175" s="187">
        <f t="shared" ref="B175:L175" si="185">B199</f>
        <v>5000</v>
      </c>
      <c r="C175" s="187">
        <f t="shared" si="185"/>
        <v>25000</v>
      </c>
      <c r="D175" s="187">
        <v>0</v>
      </c>
      <c r="E175" s="187">
        <v>700</v>
      </c>
      <c r="F175" s="187">
        <v>15000</v>
      </c>
      <c r="G175" s="187">
        <f t="shared" si="185"/>
        <v>2400</v>
      </c>
      <c r="H175" s="187">
        <f t="shared" si="185"/>
        <v>25000</v>
      </c>
      <c r="I175" s="187">
        <f t="shared" si="185"/>
        <v>5000</v>
      </c>
      <c r="J175" s="187">
        <v>40000</v>
      </c>
      <c r="K175" s="187">
        <f t="shared" si="185"/>
        <v>5000</v>
      </c>
      <c r="L175" s="187">
        <v>40000</v>
      </c>
      <c r="M175" s="110">
        <v>9.5</v>
      </c>
      <c r="N175" s="110">
        <f>VLOOKUP(DATE(YEAR(A175),MONTH(A175),DAY(A175)),FY24_Temp[],3,FALSE)</f>
        <v>12.8</v>
      </c>
      <c r="O175" s="110">
        <f t="shared" si="139"/>
        <v>11.5</v>
      </c>
      <c r="P175" s="110">
        <f t="shared" si="140"/>
        <v>19.5</v>
      </c>
      <c r="Q175" s="111">
        <f>VLOOKUP(VLOOKUP(DATEVALUE(TEXT(A175,"m/d/yyyy")),FY24_Temp[],5,FALSE)&amp;TEXT(A175,"-h"),TempDelta[],4,FALSE)</f>
        <v>2.9580000468662808</v>
      </c>
      <c r="R175" s="112">
        <v>10</v>
      </c>
      <c r="S175" s="112">
        <v>1500</v>
      </c>
      <c r="T175" s="99">
        <f>VLOOKUP(TEXT(A175,"yy-mm")&amp;"-"&amp;IF(AND(WEEKDAY(A175)&gt;1,WEEKDAY(A175)&lt;7),"Wkd",TEXT(A175,"Ddd"))&amp;"-"&amp;TEXT(A175,"hh"),LoadTable[],3,FALSE)*0.92</f>
        <v>279.25312000000002</v>
      </c>
      <c r="U175" s="113">
        <f t="shared" si="141"/>
        <v>27.925312000000002</v>
      </c>
    </row>
    <row r="176" spans="1:21" ht="15" thickBot="1">
      <c r="A176" s="29">
        <f t="shared" si="179"/>
        <v>45843.208333334893</v>
      </c>
      <c r="B176" s="187">
        <f t="shared" ref="B176:L176" si="186">B200</f>
        <v>5000</v>
      </c>
      <c r="C176" s="187">
        <f t="shared" si="186"/>
        <v>25000</v>
      </c>
      <c r="D176" s="187">
        <v>0</v>
      </c>
      <c r="E176" s="187">
        <v>700</v>
      </c>
      <c r="F176" s="187">
        <v>15000</v>
      </c>
      <c r="G176" s="187">
        <f t="shared" si="186"/>
        <v>2400</v>
      </c>
      <c r="H176" s="187">
        <f t="shared" si="186"/>
        <v>25000</v>
      </c>
      <c r="I176" s="187">
        <f t="shared" si="186"/>
        <v>5000</v>
      </c>
      <c r="J176" s="187">
        <v>40000</v>
      </c>
      <c r="K176" s="187">
        <f t="shared" si="186"/>
        <v>5000</v>
      </c>
      <c r="L176" s="187">
        <v>40000</v>
      </c>
      <c r="M176" s="110">
        <v>9.5</v>
      </c>
      <c r="N176" s="110">
        <f>VLOOKUP(DATE(YEAR(A176),MONTH(A176),DAY(A176)),FY24_Temp[],3,FALSE)</f>
        <v>12.8</v>
      </c>
      <c r="O176" s="110">
        <f t="shared" si="139"/>
        <v>11.5</v>
      </c>
      <c r="P176" s="110">
        <f t="shared" si="140"/>
        <v>19.5</v>
      </c>
      <c r="Q176" s="111">
        <f>VLOOKUP(VLOOKUP(DATEVALUE(TEXT(A176,"m/d/yyyy")),FY24_Temp[],5,FALSE)&amp;TEXT(A176,"-h"),TempDelta[],4,FALSE)</f>
        <v>2.8608571801866804</v>
      </c>
      <c r="R176" s="112">
        <v>10</v>
      </c>
      <c r="S176" s="112">
        <v>1500</v>
      </c>
      <c r="T176" s="99">
        <f>VLOOKUP(TEXT(A176,"yy-mm")&amp;"-"&amp;IF(AND(WEEKDAY(A176)&gt;1,WEEKDAY(A176)&lt;7),"Wkd",TEXT(A176,"Ddd"))&amp;"-"&amp;TEXT(A176,"hh"),LoadTable[],3,FALSE)*0.92</f>
        <v>279.25312000000002</v>
      </c>
      <c r="U176" s="113">
        <f t="shared" si="141"/>
        <v>27.925312000000002</v>
      </c>
    </row>
    <row r="177" spans="1:21" ht="15" thickBot="1">
      <c r="A177" s="29">
        <f t="shared" si="179"/>
        <v>45843.250000001557</v>
      </c>
      <c r="B177" s="187">
        <f t="shared" ref="B177:L177" si="187">B201</f>
        <v>8000</v>
      </c>
      <c r="C177" s="187">
        <f t="shared" si="187"/>
        <v>25000</v>
      </c>
      <c r="D177" s="187">
        <v>0</v>
      </c>
      <c r="E177" s="187">
        <v>700</v>
      </c>
      <c r="F177" s="187">
        <v>15000</v>
      </c>
      <c r="G177" s="187">
        <f t="shared" si="187"/>
        <v>2400</v>
      </c>
      <c r="H177" s="187">
        <f t="shared" si="187"/>
        <v>25000</v>
      </c>
      <c r="I177" s="187">
        <f t="shared" si="187"/>
        <v>8000</v>
      </c>
      <c r="J177" s="187">
        <v>40000</v>
      </c>
      <c r="K177" s="187">
        <f t="shared" si="187"/>
        <v>8000</v>
      </c>
      <c r="L177" s="187">
        <v>40000</v>
      </c>
      <c r="M177" s="110">
        <v>9.5</v>
      </c>
      <c r="N177" s="110">
        <f>VLOOKUP(DATE(YEAR(A177),MONTH(A177),DAY(A177)),FY24_Temp[],3,FALSE)</f>
        <v>12.8</v>
      </c>
      <c r="O177" s="110">
        <f t="shared" si="139"/>
        <v>11.5</v>
      </c>
      <c r="P177" s="110">
        <f t="shared" si="140"/>
        <v>19.5</v>
      </c>
      <c r="Q177" s="111">
        <f>VLOOKUP(VLOOKUP(DATEVALUE(TEXT(A177,"m/d/yyyy")),FY24_Temp[],5,FALSE)&amp;TEXT(A177,"-h"),TempDelta[],4,FALSE)</f>
        <v>2.7405714307512556</v>
      </c>
      <c r="R177" s="112">
        <v>10</v>
      </c>
      <c r="S177" s="112">
        <v>1500</v>
      </c>
      <c r="T177" s="99">
        <f>VLOOKUP(TEXT(A177,"yy-mm")&amp;"-"&amp;IF(AND(WEEKDAY(A177)&gt;1,WEEKDAY(A177)&lt;7),"Wkd",TEXT(A177,"Ddd"))&amp;"-"&amp;TEXT(A177,"hh"),LoadTable[],3,FALSE)*0.92</f>
        <v>279.25312000000002</v>
      </c>
      <c r="U177" s="113">
        <f t="shared" si="141"/>
        <v>27.925312000000002</v>
      </c>
    </row>
    <row r="178" spans="1:21" ht="15" thickBot="1">
      <c r="A178" s="29">
        <f t="shared" si="179"/>
        <v>45843.291666668221</v>
      </c>
      <c r="B178" s="187">
        <f t="shared" ref="B178:L178" si="188">B202</f>
        <v>8000</v>
      </c>
      <c r="C178" s="187">
        <f t="shared" si="188"/>
        <v>25000</v>
      </c>
      <c r="D178" s="187">
        <v>0</v>
      </c>
      <c r="E178" s="187">
        <v>700</v>
      </c>
      <c r="F178" s="187">
        <v>15000</v>
      </c>
      <c r="G178" s="187">
        <f t="shared" si="188"/>
        <v>2400</v>
      </c>
      <c r="H178" s="187">
        <f t="shared" si="188"/>
        <v>25000</v>
      </c>
      <c r="I178" s="187">
        <f t="shared" si="188"/>
        <v>8000</v>
      </c>
      <c r="J178" s="187">
        <v>40000</v>
      </c>
      <c r="K178" s="187">
        <f t="shared" si="188"/>
        <v>8000</v>
      </c>
      <c r="L178" s="187">
        <v>40000</v>
      </c>
      <c r="M178" s="110">
        <v>9.5</v>
      </c>
      <c r="N178" s="110">
        <f>VLOOKUP(DATE(YEAR(A178),MONTH(A178),DAY(A178)),FY24_Temp[],3,FALSE)</f>
        <v>12.8</v>
      </c>
      <c r="O178" s="110">
        <f t="shared" si="139"/>
        <v>11.5</v>
      </c>
      <c r="P178" s="110">
        <f t="shared" si="140"/>
        <v>19.5</v>
      </c>
      <c r="Q178" s="111">
        <f>VLOOKUP(VLOOKUP(DATEVALUE(TEXT(A178,"m/d/yyyy")),FY24_Temp[],5,FALSE)&amp;TEXT(A178,"-h"),TempDelta[],4,FALSE)</f>
        <v>2.6134285245622908</v>
      </c>
      <c r="R178" s="112">
        <v>10</v>
      </c>
      <c r="S178" s="112">
        <v>1500</v>
      </c>
      <c r="T178" s="99">
        <f>VLOOKUP(TEXT(A178,"yy-mm")&amp;"-"&amp;IF(AND(WEEKDAY(A178)&gt;1,WEEKDAY(A178)&lt;7),"Wkd",TEXT(A178,"Ddd"))&amp;"-"&amp;TEXT(A178,"hh"),LoadTable[],3,FALSE)*0.92</f>
        <v>279.25312000000002</v>
      </c>
      <c r="U178" s="113">
        <f t="shared" si="141"/>
        <v>27.925312000000002</v>
      </c>
    </row>
    <row r="179" spans="1:21" ht="15" thickBot="1">
      <c r="A179" s="29">
        <f t="shared" si="179"/>
        <v>45843.333333334886</v>
      </c>
      <c r="B179" s="187">
        <f t="shared" ref="B179:L179" si="189">B203</f>
        <v>8000</v>
      </c>
      <c r="C179" s="187">
        <f t="shared" si="189"/>
        <v>25000</v>
      </c>
      <c r="D179" s="187">
        <v>0</v>
      </c>
      <c r="E179" s="187">
        <v>700</v>
      </c>
      <c r="F179" s="187">
        <v>15000</v>
      </c>
      <c r="G179" s="187">
        <f t="shared" si="189"/>
        <v>2400</v>
      </c>
      <c r="H179" s="187">
        <f t="shared" si="189"/>
        <v>25000</v>
      </c>
      <c r="I179" s="187">
        <f t="shared" si="189"/>
        <v>8000</v>
      </c>
      <c r="J179" s="187">
        <v>40000</v>
      </c>
      <c r="K179" s="187">
        <f t="shared" si="189"/>
        <v>8000</v>
      </c>
      <c r="L179" s="187">
        <v>40000</v>
      </c>
      <c r="M179" s="110">
        <v>9.5</v>
      </c>
      <c r="N179" s="110">
        <f>VLOOKUP(DATE(YEAR(A179),MONTH(A179),DAY(A179)),FY24_Temp[],3,FALSE)</f>
        <v>12.8</v>
      </c>
      <c r="O179" s="110">
        <f t="shared" si="139"/>
        <v>11.5</v>
      </c>
      <c r="P179" s="110">
        <f t="shared" si="140"/>
        <v>19.5</v>
      </c>
      <c r="Q179" s="111">
        <f>VLOOKUP(VLOOKUP(DATEVALUE(TEXT(A179,"m/d/yyyy")),FY24_Temp[],5,FALSE)&amp;TEXT(A179,"-h"),TempDelta[],4,FALSE)</f>
        <v>2.44985716683524</v>
      </c>
      <c r="R179" s="112">
        <v>10</v>
      </c>
      <c r="S179" s="112">
        <v>1500</v>
      </c>
      <c r="T179" s="99">
        <f>VLOOKUP(TEXT(A179,"yy-mm")&amp;"-"&amp;IF(AND(WEEKDAY(A179)&gt;1,WEEKDAY(A179)&lt;7),"Wkd",TEXT(A179,"Ddd"))&amp;"-"&amp;TEXT(A179,"hh"),LoadTable[],3,FALSE)*0.92</f>
        <v>279.25312000000002</v>
      </c>
      <c r="U179" s="113">
        <f t="shared" si="141"/>
        <v>27.925312000000002</v>
      </c>
    </row>
    <row r="180" spans="1:21" ht="15" thickBot="1">
      <c r="A180" s="29">
        <f t="shared" si="179"/>
        <v>45843.37500000155</v>
      </c>
      <c r="B180" s="187">
        <f t="shared" ref="B180:L180" si="190">B204</f>
        <v>8000</v>
      </c>
      <c r="C180" s="187">
        <f t="shared" si="190"/>
        <v>25000</v>
      </c>
      <c r="D180" s="187">
        <v>0</v>
      </c>
      <c r="E180" s="187">
        <v>700</v>
      </c>
      <c r="F180" s="187">
        <v>15000</v>
      </c>
      <c r="G180" s="187">
        <f t="shared" si="190"/>
        <v>2400</v>
      </c>
      <c r="H180" s="187">
        <f t="shared" si="190"/>
        <v>25000</v>
      </c>
      <c r="I180" s="187">
        <f t="shared" si="190"/>
        <v>8000</v>
      </c>
      <c r="J180" s="187">
        <v>40000</v>
      </c>
      <c r="K180" s="187">
        <f t="shared" si="190"/>
        <v>8000</v>
      </c>
      <c r="L180" s="187">
        <v>40000</v>
      </c>
      <c r="M180" s="110">
        <v>9.5</v>
      </c>
      <c r="N180" s="110">
        <f>VLOOKUP(DATE(YEAR(A180),MONTH(A180),DAY(A180)),FY24_Temp[],3,FALSE)</f>
        <v>12.8</v>
      </c>
      <c r="O180" s="110">
        <f t="shared" si="139"/>
        <v>11.5</v>
      </c>
      <c r="P180" s="110">
        <f t="shared" si="140"/>
        <v>19.5</v>
      </c>
      <c r="Q180" s="111">
        <f>VLOOKUP(VLOOKUP(DATEVALUE(TEXT(A180,"m/d/yyyy")),FY24_Temp[],5,FALSE)&amp;TEXT(A180,"-h"),TempDelta[],4,FALSE)</f>
        <v>2.2458571025303433</v>
      </c>
      <c r="R180" s="112">
        <v>10</v>
      </c>
      <c r="S180" s="112">
        <v>1500</v>
      </c>
      <c r="T180" s="99">
        <f>VLOOKUP(TEXT(A180,"yy-mm")&amp;"-"&amp;IF(AND(WEEKDAY(A180)&gt;1,WEEKDAY(A180)&lt;7),"Wkd",TEXT(A180,"Ddd"))&amp;"-"&amp;TEXT(A180,"hh"),LoadTable[],3,FALSE)*0.92</f>
        <v>279.25312000000002</v>
      </c>
      <c r="U180" s="113">
        <f t="shared" si="141"/>
        <v>27.925312000000002</v>
      </c>
    </row>
    <row r="181" spans="1:21" ht="15" thickBot="1">
      <c r="A181" s="29">
        <f t="shared" si="179"/>
        <v>45843.416666668214</v>
      </c>
      <c r="B181" s="187">
        <f t="shared" ref="B181:L181" si="191">B205</f>
        <v>8000</v>
      </c>
      <c r="C181" s="187">
        <f t="shared" si="191"/>
        <v>25000</v>
      </c>
      <c r="D181" s="187">
        <v>0</v>
      </c>
      <c r="E181" s="187">
        <v>700</v>
      </c>
      <c r="F181" s="187">
        <v>15000</v>
      </c>
      <c r="G181" s="187">
        <f t="shared" si="191"/>
        <v>2400</v>
      </c>
      <c r="H181" s="187">
        <f t="shared" si="191"/>
        <v>25000</v>
      </c>
      <c r="I181" s="187">
        <f t="shared" si="191"/>
        <v>8000</v>
      </c>
      <c r="J181" s="187">
        <v>40000</v>
      </c>
      <c r="K181" s="187">
        <f t="shared" si="191"/>
        <v>8000</v>
      </c>
      <c r="L181" s="187">
        <v>40000</v>
      </c>
      <c r="M181" s="110">
        <v>9.5</v>
      </c>
      <c r="N181" s="110">
        <f>VLOOKUP(DATE(YEAR(A181),MONTH(A181),DAY(A181)),FY24_Temp[],3,FALSE)</f>
        <v>12.8</v>
      </c>
      <c r="O181" s="110">
        <f t="shared" si="139"/>
        <v>11.5</v>
      </c>
      <c r="P181" s="110">
        <f t="shared" si="140"/>
        <v>19.5</v>
      </c>
      <c r="Q181" s="111">
        <f>VLOOKUP(VLOOKUP(DATEVALUE(TEXT(A181,"m/d/yyyy")),FY24_Temp[],5,FALSE)&amp;TEXT(A181,"-h"),TempDelta[],4,FALSE)</f>
        <v>2.0832857234137401</v>
      </c>
      <c r="R181" s="112">
        <v>10</v>
      </c>
      <c r="S181" s="112">
        <v>1500</v>
      </c>
      <c r="T181" s="99">
        <f>VLOOKUP(TEXT(A181,"yy-mm")&amp;"-"&amp;IF(AND(WEEKDAY(A181)&gt;1,WEEKDAY(A181)&lt;7),"Wkd",TEXT(A181,"Ddd"))&amp;"-"&amp;TEXT(A181,"hh"),LoadTable[],3,FALSE)*0.92</f>
        <v>279.25312000000002</v>
      </c>
      <c r="U181" s="113">
        <f t="shared" si="141"/>
        <v>27.925312000000002</v>
      </c>
    </row>
    <row r="182" spans="1:21" ht="15" thickBot="1">
      <c r="A182" s="29">
        <f t="shared" si="179"/>
        <v>45843.458333334878</v>
      </c>
      <c r="B182" s="187">
        <f t="shared" ref="B182:L182" si="192">B206</f>
        <v>8000</v>
      </c>
      <c r="C182" s="187">
        <f t="shared" si="192"/>
        <v>25000</v>
      </c>
      <c r="D182" s="187">
        <v>0</v>
      </c>
      <c r="E182" s="187">
        <v>700</v>
      </c>
      <c r="F182" s="187">
        <v>15000</v>
      </c>
      <c r="G182" s="187">
        <f t="shared" si="192"/>
        <v>2400</v>
      </c>
      <c r="H182" s="187">
        <f t="shared" si="192"/>
        <v>25000</v>
      </c>
      <c r="I182" s="187">
        <f t="shared" si="192"/>
        <v>8000</v>
      </c>
      <c r="J182" s="187">
        <v>40000</v>
      </c>
      <c r="K182" s="187">
        <f t="shared" si="192"/>
        <v>8000</v>
      </c>
      <c r="L182" s="187">
        <v>40000</v>
      </c>
      <c r="M182" s="110">
        <v>9.5</v>
      </c>
      <c r="N182" s="110">
        <f>VLOOKUP(DATE(YEAR(A182),MONTH(A182),DAY(A182)),FY24_Temp[],3,FALSE)</f>
        <v>12.8</v>
      </c>
      <c r="O182" s="110">
        <f t="shared" si="139"/>
        <v>11.5</v>
      </c>
      <c r="P182" s="110">
        <f t="shared" si="140"/>
        <v>19.5</v>
      </c>
      <c r="Q182" s="111">
        <f>VLOOKUP(VLOOKUP(DATEVALUE(TEXT(A182,"m/d/yyyy")),FY24_Temp[],5,FALSE)&amp;TEXT(A182,"-h"),TempDelta[],4,FALSE)</f>
        <v>1.8928571258272444</v>
      </c>
      <c r="R182" s="112">
        <v>10</v>
      </c>
      <c r="S182" s="112">
        <v>1500</v>
      </c>
      <c r="T182" s="99">
        <f>VLOOKUP(TEXT(A182,"yy-mm")&amp;"-"&amp;IF(AND(WEEKDAY(A182)&gt;1,WEEKDAY(A182)&lt;7),"Wkd",TEXT(A182,"Ddd"))&amp;"-"&amp;TEXT(A182,"hh"),LoadTable[],3,FALSE)*0.92</f>
        <v>279.25312000000002</v>
      </c>
      <c r="U182" s="113">
        <f t="shared" si="141"/>
        <v>27.925312000000002</v>
      </c>
    </row>
    <row r="183" spans="1:21" ht="15" thickBot="1">
      <c r="A183" s="29">
        <f t="shared" si="179"/>
        <v>45843.500000001543</v>
      </c>
      <c r="B183" s="187">
        <f t="shared" ref="B183:L183" si="193">B207</f>
        <v>8000</v>
      </c>
      <c r="C183" s="187">
        <f t="shared" si="193"/>
        <v>25000</v>
      </c>
      <c r="D183" s="187">
        <v>0</v>
      </c>
      <c r="E183" s="187">
        <v>700</v>
      </c>
      <c r="F183" s="187">
        <v>15000</v>
      </c>
      <c r="G183" s="187">
        <f t="shared" si="193"/>
        <v>2400</v>
      </c>
      <c r="H183" s="187">
        <f t="shared" si="193"/>
        <v>25000</v>
      </c>
      <c r="I183" s="187">
        <f t="shared" si="193"/>
        <v>8000</v>
      </c>
      <c r="J183" s="187">
        <v>40000</v>
      </c>
      <c r="K183" s="187">
        <f t="shared" si="193"/>
        <v>8000</v>
      </c>
      <c r="L183" s="187">
        <v>40000</v>
      </c>
      <c r="M183" s="110">
        <v>9.5</v>
      </c>
      <c r="N183" s="110">
        <f>VLOOKUP(DATE(YEAR(A183),MONTH(A183),DAY(A183)),FY24_Temp[],3,FALSE)</f>
        <v>12.8</v>
      </c>
      <c r="O183" s="110">
        <f t="shared" si="139"/>
        <v>11.5</v>
      </c>
      <c r="P183" s="110">
        <f t="shared" si="140"/>
        <v>19.5</v>
      </c>
      <c r="Q183" s="111">
        <f>VLOOKUP(VLOOKUP(DATEVALUE(TEXT(A183,"m/d/yyyy")),FY24_Temp[],5,FALSE)&amp;TEXT(A183,"-h"),TempDelta[],4,FALSE)</f>
        <v>1.665857127734593</v>
      </c>
      <c r="R183" s="112">
        <v>10</v>
      </c>
      <c r="S183" s="112">
        <v>1500</v>
      </c>
      <c r="T183" s="99">
        <f>VLOOKUP(TEXT(A183,"yy-mm")&amp;"-"&amp;IF(AND(WEEKDAY(A183)&gt;1,WEEKDAY(A183)&lt;7),"Wkd",TEXT(A183,"Ddd"))&amp;"-"&amp;TEXT(A183,"hh"),LoadTable[],3,FALSE)*0.92</f>
        <v>279.25312000000002</v>
      </c>
      <c r="U183" s="113">
        <f t="shared" si="141"/>
        <v>27.925312000000002</v>
      </c>
    </row>
    <row r="184" spans="1:21" ht="15" thickBot="1">
      <c r="A184" s="29">
        <f t="shared" si="179"/>
        <v>45843.541666668207</v>
      </c>
      <c r="B184" s="187">
        <f t="shared" ref="B184:L184" si="194">B208</f>
        <v>8000</v>
      </c>
      <c r="C184" s="187">
        <f t="shared" si="194"/>
        <v>25000</v>
      </c>
      <c r="D184" s="187">
        <v>0</v>
      </c>
      <c r="E184" s="187">
        <v>700</v>
      </c>
      <c r="F184" s="187">
        <v>15000</v>
      </c>
      <c r="G184" s="187">
        <f t="shared" si="194"/>
        <v>2400</v>
      </c>
      <c r="H184" s="187">
        <f t="shared" si="194"/>
        <v>25000</v>
      </c>
      <c r="I184" s="187">
        <f t="shared" si="194"/>
        <v>8000</v>
      </c>
      <c r="J184" s="187">
        <v>40000</v>
      </c>
      <c r="K184" s="187">
        <f t="shared" si="194"/>
        <v>8000</v>
      </c>
      <c r="L184" s="187">
        <v>40000</v>
      </c>
      <c r="M184" s="110">
        <v>9.5</v>
      </c>
      <c r="N184" s="110">
        <f>VLOOKUP(DATE(YEAR(A184),MONTH(A184),DAY(A184)),FY24_Temp[],3,FALSE)</f>
        <v>12.8</v>
      </c>
      <c r="O184" s="110">
        <f t="shared" si="139"/>
        <v>11.5</v>
      </c>
      <c r="P184" s="110">
        <f t="shared" si="140"/>
        <v>19.5</v>
      </c>
      <c r="Q184" s="111">
        <f>VLOOKUP(VLOOKUP(DATEVALUE(TEXT(A184,"m/d/yyyy")),FY24_Temp[],5,FALSE)&amp;TEXT(A184,"-h"),TempDelta[],4,FALSE)</f>
        <v>1.4252856969833374</v>
      </c>
      <c r="R184" s="112">
        <v>10</v>
      </c>
      <c r="S184" s="112">
        <v>1500</v>
      </c>
      <c r="T184" s="99">
        <f>VLOOKUP(TEXT(A184,"yy-mm")&amp;"-"&amp;IF(AND(WEEKDAY(A184)&gt;1,WEEKDAY(A184)&lt;7),"Wkd",TEXT(A184,"Ddd"))&amp;"-"&amp;TEXT(A184,"hh"),LoadTable[],3,FALSE)*0.92</f>
        <v>279.25312000000002</v>
      </c>
      <c r="U184" s="113">
        <f t="shared" si="141"/>
        <v>27.925312000000002</v>
      </c>
    </row>
    <row r="185" spans="1:21" ht="15" thickBot="1">
      <c r="A185" s="29">
        <f t="shared" si="179"/>
        <v>45843.583333334871</v>
      </c>
      <c r="B185" s="187">
        <f t="shared" ref="B185:L185" si="195">B209</f>
        <v>8000</v>
      </c>
      <c r="C185" s="187">
        <f t="shared" si="195"/>
        <v>25000</v>
      </c>
      <c r="D185" s="187">
        <v>0</v>
      </c>
      <c r="E185" s="187">
        <v>700</v>
      </c>
      <c r="F185" s="187">
        <v>15000</v>
      </c>
      <c r="G185" s="187">
        <f t="shared" si="195"/>
        <v>2400</v>
      </c>
      <c r="H185" s="187">
        <f t="shared" si="195"/>
        <v>25000</v>
      </c>
      <c r="I185" s="187">
        <f t="shared" si="195"/>
        <v>8000</v>
      </c>
      <c r="J185" s="187">
        <v>40000</v>
      </c>
      <c r="K185" s="187">
        <f t="shared" si="195"/>
        <v>8000</v>
      </c>
      <c r="L185" s="187">
        <v>40000</v>
      </c>
      <c r="M185" s="110">
        <v>9.5</v>
      </c>
      <c r="N185" s="110">
        <f>VLOOKUP(DATE(YEAR(A185),MONTH(A185),DAY(A185)),FY24_Temp[],3,FALSE)</f>
        <v>12.8</v>
      </c>
      <c r="O185" s="110">
        <f t="shared" si="139"/>
        <v>11.5</v>
      </c>
      <c r="P185" s="110">
        <f t="shared" si="140"/>
        <v>19.5</v>
      </c>
      <c r="Q185" s="111">
        <f>VLOOKUP(VLOOKUP(DATEVALUE(TEXT(A185,"m/d/yyyy")),FY24_Temp[],5,FALSE)&amp;TEXT(A185,"-h"),TempDelta[],4,FALSE)</f>
        <v>1.2351428781236922</v>
      </c>
      <c r="R185" s="112">
        <v>10</v>
      </c>
      <c r="S185" s="112">
        <v>1500</v>
      </c>
      <c r="T185" s="99">
        <f>VLOOKUP(TEXT(A185,"yy-mm")&amp;"-"&amp;IF(AND(WEEKDAY(A185)&gt;1,WEEKDAY(A185)&lt;7),"Wkd",TEXT(A185,"Ddd"))&amp;"-"&amp;TEXT(A185,"hh"),LoadTable[],3,FALSE)*0.92</f>
        <v>279.25312000000002</v>
      </c>
      <c r="U185" s="113">
        <f t="shared" si="141"/>
        <v>27.925312000000002</v>
      </c>
    </row>
    <row r="186" spans="1:21" ht="15" thickBot="1">
      <c r="A186" s="29">
        <f t="shared" si="179"/>
        <v>45843.625000001535</v>
      </c>
      <c r="B186" s="187">
        <f t="shared" ref="B186:L186" si="196">B210</f>
        <v>8000</v>
      </c>
      <c r="C186" s="187">
        <f t="shared" si="196"/>
        <v>25000</v>
      </c>
      <c r="D186" s="187">
        <v>0</v>
      </c>
      <c r="E186" s="187">
        <v>700</v>
      </c>
      <c r="F186" s="187">
        <v>15000</v>
      </c>
      <c r="G186" s="187">
        <f t="shared" si="196"/>
        <v>2400</v>
      </c>
      <c r="H186" s="187">
        <f t="shared" si="196"/>
        <v>25000</v>
      </c>
      <c r="I186" s="187">
        <f t="shared" si="196"/>
        <v>8000</v>
      </c>
      <c r="J186" s="187">
        <v>40000</v>
      </c>
      <c r="K186" s="187">
        <f t="shared" si="196"/>
        <v>8000</v>
      </c>
      <c r="L186" s="187">
        <v>40000</v>
      </c>
      <c r="M186" s="110">
        <v>9.5</v>
      </c>
      <c r="N186" s="110">
        <f>VLOOKUP(DATE(YEAR(A186),MONTH(A186),DAY(A186)),FY24_Temp[],3,FALSE)</f>
        <v>12.8</v>
      </c>
      <c r="O186" s="110">
        <f t="shared" si="139"/>
        <v>11.5</v>
      </c>
      <c r="P186" s="110">
        <f t="shared" si="140"/>
        <v>19.5</v>
      </c>
      <c r="Q186" s="111">
        <f>VLOOKUP(VLOOKUP(DATEVALUE(TEXT(A186,"m/d/yyyy")),FY24_Temp[],5,FALSE)&amp;TEXT(A186,"-h"),TempDelta[],4,FALSE)</f>
        <v>0.97514284508568905</v>
      </c>
      <c r="R186" s="112">
        <v>10</v>
      </c>
      <c r="S186" s="112">
        <v>1500</v>
      </c>
      <c r="T186" s="99">
        <f>VLOOKUP(TEXT(A186,"yy-mm")&amp;"-"&amp;IF(AND(WEEKDAY(A186)&gt;1,WEEKDAY(A186)&lt;7),"Wkd",TEXT(A186,"Ddd"))&amp;"-"&amp;TEXT(A186,"hh"),LoadTable[],3,FALSE)*0.92</f>
        <v>400.56064000000003</v>
      </c>
      <c r="U186" s="113">
        <f t="shared" si="141"/>
        <v>40.056064000000006</v>
      </c>
    </row>
    <row r="187" spans="1:21" ht="15" thickBot="1">
      <c r="A187" s="29">
        <f t="shared" si="179"/>
        <v>45843.666666668199</v>
      </c>
      <c r="B187" s="187">
        <f t="shared" ref="B187:L187" si="197">B211</f>
        <v>8000</v>
      </c>
      <c r="C187" s="187">
        <f t="shared" si="197"/>
        <v>25000</v>
      </c>
      <c r="D187" s="187">
        <v>0</v>
      </c>
      <c r="E187" s="187">
        <v>700</v>
      </c>
      <c r="F187" s="187">
        <v>15000</v>
      </c>
      <c r="G187" s="187">
        <f t="shared" si="197"/>
        <v>2400</v>
      </c>
      <c r="H187" s="187">
        <f t="shared" si="197"/>
        <v>25000</v>
      </c>
      <c r="I187" s="187">
        <f t="shared" si="197"/>
        <v>8000</v>
      </c>
      <c r="J187" s="187">
        <v>40000</v>
      </c>
      <c r="K187" s="187">
        <f t="shared" si="197"/>
        <v>8000</v>
      </c>
      <c r="L187" s="187">
        <v>40000</v>
      </c>
      <c r="M187" s="110">
        <v>9.5</v>
      </c>
      <c r="N187" s="110">
        <f>VLOOKUP(DATE(YEAR(A187),MONTH(A187),DAY(A187)),FY24_Temp[],3,FALSE)</f>
        <v>12.8</v>
      </c>
      <c r="O187" s="110">
        <f t="shared" si="139"/>
        <v>11.5</v>
      </c>
      <c r="P187" s="110">
        <f t="shared" si="140"/>
        <v>19.5</v>
      </c>
      <c r="Q187" s="111">
        <f>VLOOKUP(VLOOKUP(DATEVALUE(TEXT(A187,"m/d/yyyy")),FY24_Temp[],5,FALSE)&amp;TEXT(A187,"-h"),TempDelta[],4,FALSE)</f>
        <v>0.88578571166310993</v>
      </c>
      <c r="R187" s="112">
        <v>10</v>
      </c>
      <c r="S187" s="112">
        <v>1500</v>
      </c>
      <c r="T187" s="99">
        <f>VLOOKUP(TEXT(A187,"yy-mm")&amp;"-"&amp;IF(AND(WEEKDAY(A187)&gt;1,WEEKDAY(A187)&lt;7),"Wkd",TEXT(A187,"Ddd"))&amp;"-"&amp;TEXT(A187,"hh"),LoadTable[],3,FALSE)*0.92</f>
        <v>447.97376000000003</v>
      </c>
      <c r="U187" s="113">
        <f t="shared" si="141"/>
        <v>44.797376</v>
      </c>
    </row>
    <row r="188" spans="1:21" ht="15" thickBot="1">
      <c r="A188" s="29">
        <f t="shared" si="179"/>
        <v>45843.708333334864</v>
      </c>
      <c r="B188" s="187">
        <f t="shared" ref="B188:L188" si="198">B212</f>
        <v>8000</v>
      </c>
      <c r="C188" s="187">
        <f t="shared" si="198"/>
        <v>25000</v>
      </c>
      <c r="D188" s="187">
        <v>0</v>
      </c>
      <c r="E188" s="187">
        <v>700</v>
      </c>
      <c r="F188" s="187">
        <v>15000</v>
      </c>
      <c r="G188" s="187">
        <f t="shared" si="198"/>
        <v>2400</v>
      </c>
      <c r="H188" s="187">
        <f t="shared" si="198"/>
        <v>25000</v>
      </c>
      <c r="I188" s="187">
        <f t="shared" si="198"/>
        <v>8000</v>
      </c>
      <c r="J188" s="187">
        <v>40000</v>
      </c>
      <c r="K188" s="187">
        <f t="shared" si="198"/>
        <v>8000</v>
      </c>
      <c r="L188" s="187">
        <v>40000</v>
      </c>
      <c r="M188" s="110">
        <v>9.5</v>
      </c>
      <c r="N188" s="110">
        <f>VLOOKUP(DATE(YEAR(A188),MONTH(A188),DAY(A188)),FY24_Temp[],3,FALSE)</f>
        <v>12.8</v>
      </c>
      <c r="O188" s="110">
        <f t="shared" si="139"/>
        <v>11.5</v>
      </c>
      <c r="P188" s="110">
        <f t="shared" si="140"/>
        <v>19.5</v>
      </c>
      <c r="Q188" s="111">
        <f>VLOOKUP(VLOOKUP(DATEVALUE(TEXT(A188,"m/d/yyyy")),FY24_Temp[],5,FALSE)&amp;TEXT(A188,"-h"),TempDelta[],4,FALSE)</f>
        <v>1.0356428495475225</v>
      </c>
      <c r="R188" s="112">
        <v>10</v>
      </c>
      <c r="S188" s="112">
        <v>1500</v>
      </c>
      <c r="T188" s="99">
        <f>VLOOKUP(TEXT(A188,"yy-mm")&amp;"-"&amp;IF(AND(WEEKDAY(A188)&gt;1,WEEKDAY(A188)&lt;7),"Wkd",TEXT(A188,"Ddd"))&amp;"-"&amp;TEXT(A188,"hh"),LoadTable[],3,FALSE)*0.92</f>
        <v>494.57360000000006</v>
      </c>
      <c r="U188" s="113">
        <f t="shared" si="141"/>
        <v>49.457360000000008</v>
      </c>
    </row>
    <row r="189" spans="1:21" ht="15" thickBot="1">
      <c r="A189" s="29">
        <f t="shared" si="179"/>
        <v>45843.750000001528</v>
      </c>
      <c r="B189" s="187">
        <f t="shared" ref="B189:L189" si="199">B213</f>
        <v>5000</v>
      </c>
      <c r="C189" s="187">
        <f t="shared" si="199"/>
        <v>25000</v>
      </c>
      <c r="D189" s="187">
        <v>0</v>
      </c>
      <c r="E189" s="187">
        <v>700</v>
      </c>
      <c r="F189" s="187">
        <v>15000</v>
      </c>
      <c r="G189" s="187">
        <f t="shared" si="199"/>
        <v>2400</v>
      </c>
      <c r="H189" s="187">
        <f t="shared" si="199"/>
        <v>25000</v>
      </c>
      <c r="I189" s="187">
        <f t="shared" si="199"/>
        <v>5000</v>
      </c>
      <c r="J189" s="187">
        <v>40000</v>
      </c>
      <c r="K189" s="187">
        <f t="shared" si="199"/>
        <v>5000</v>
      </c>
      <c r="L189" s="187">
        <v>40000</v>
      </c>
      <c r="M189" s="110">
        <v>9.5</v>
      </c>
      <c r="N189" s="110">
        <f>VLOOKUP(DATE(YEAR(A189),MONTH(A189),DAY(A189)),FY24_Temp[],3,FALSE)</f>
        <v>12.8</v>
      </c>
      <c r="O189" s="110">
        <f t="shared" si="139"/>
        <v>11.5</v>
      </c>
      <c r="P189" s="110">
        <f t="shared" si="140"/>
        <v>19.5</v>
      </c>
      <c r="Q189" s="111">
        <f>VLOOKUP(VLOOKUP(DATEVALUE(TEXT(A189,"m/d/yyyy")),FY24_Temp[],5,FALSE)&amp;TEXT(A189,"-h"),TempDelta[],4,FALSE)</f>
        <v>1.3991428358214242</v>
      </c>
      <c r="R189" s="112">
        <v>10</v>
      </c>
      <c r="S189" s="112">
        <v>1500</v>
      </c>
      <c r="T189" s="99">
        <f>VLOOKUP(TEXT(A189,"yy-mm")&amp;"-"&amp;IF(AND(WEEKDAY(A189)&gt;1,WEEKDAY(A189)&lt;7),"Wkd",TEXT(A189,"Ddd"))&amp;"-"&amp;TEXT(A189,"hh"),LoadTable[],3,FALSE)*0.92</f>
        <v>494.57360000000006</v>
      </c>
      <c r="U189" s="113">
        <f t="shared" si="141"/>
        <v>49.457360000000008</v>
      </c>
    </row>
    <row r="190" spans="1:21" ht="15" thickBot="1">
      <c r="A190" s="29">
        <f t="shared" si="179"/>
        <v>45843.791666668192</v>
      </c>
      <c r="B190" s="187">
        <f t="shared" ref="B190:L190" si="200">B214</f>
        <v>5000</v>
      </c>
      <c r="C190" s="187">
        <f t="shared" si="200"/>
        <v>25000</v>
      </c>
      <c r="D190" s="187">
        <v>0</v>
      </c>
      <c r="E190" s="187">
        <v>700</v>
      </c>
      <c r="F190" s="187">
        <v>15000</v>
      </c>
      <c r="G190" s="187">
        <f t="shared" si="200"/>
        <v>2400</v>
      </c>
      <c r="H190" s="187">
        <f t="shared" si="200"/>
        <v>25000</v>
      </c>
      <c r="I190" s="187">
        <f t="shared" si="200"/>
        <v>5000</v>
      </c>
      <c r="J190" s="187">
        <v>40000</v>
      </c>
      <c r="K190" s="187">
        <f t="shared" si="200"/>
        <v>5000</v>
      </c>
      <c r="L190" s="187">
        <v>40000</v>
      </c>
      <c r="M190" s="110">
        <v>9.5</v>
      </c>
      <c r="N190" s="110">
        <f>VLOOKUP(DATE(YEAR(A190),MONTH(A190),DAY(A190)),FY24_Temp[],3,FALSE)</f>
        <v>12.8</v>
      </c>
      <c r="O190" s="110">
        <f t="shared" si="139"/>
        <v>11.5</v>
      </c>
      <c r="P190" s="110">
        <f t="shared" si="140"/>
        <v>19.5</v>
      </c>
      <c r="Q190" s="111">
        <f>VLOOKUP(VLOOKUP(DATEVALUE(TEXT(A190,"m/d/yyyy")),FY24_Temp[],5,FALSE)&amp;TEXT(A190,"-h"),TempDelta[],4,FALSE)</f>
        <v>1.8638571415628706</v>
      </c>
      <c r="R190" s="112">
        <v>10</v>
      </c>
      <c r="S190" s="112">
        <v>1500</v>
      </c>
      <c r="T190" s="99">
        <f>VLOOKUP(TEXT(A190,"yy-mm")&amp;"-"&amp;IF(AND(WEEKDAY(A190)&gt;1,WEEKDAY(A190)&lt;7),"Wkd",TEXT(A190,"Ddd"))&amp;"-"&amp;TEXT(A190,"hh"),LoadTable[],3,FALSE)*0.92</f>
        <v>494.57360000000006</v>
      </c>
      <c r="U190" s="113">
        <f t="shared" si="141"/>
        <v>49.457360000000008</v>
      </c>
    </row>
    <row r="191" spans="1:21" ht="15" thickBot="1">
      <c r="A191" s="29">
        <f t="shared" si="179"/>
        <v>45843.833333334856</v>
      </c>
      <c r="B191" s="187">
        <f t="shared" ref="B191:L191" si="201">B215</f>
        <v>5000</v>
      </c>
      <c r="C191" s="187">
        <f t="shared" si="201"/>
        <v>25000</v>
      </c>
      <c r="D191" s="187">
        <v>0</v>
      </c>
      <c r="E191" s="187">
        <v>700</v>
      </c>
      <c r="F191" s="187">
        <v>15000</v>
      </c>
      <c r="G191" s="187">
        <f t="shared" si="201"/>
        <v>2400</v>
      </c>
      <c r="H191" s="187">
        <f t="shared" si="201"/>
        <v>25000</v>
      </c>
      <c r="I191" s="187">
        <f t="shared" si="201"/>
        <v>5000</v>
      </c>
      <c r="J191" s="187">
        <v>40000</v>
      </c>
      <c r="K191" s="187">
        <f t="shared" si="201"/>
        <v>5000</v>
      </c>
      <c r="L191" s="187">
        <v>40000</v>
      </c>
      <c r="M191" s="110">
        <v>9.5</v>
      </c>
      <c r="N191" s="110">
        <f>VLOOKUP(DATE(YEAR(A191),MONTH(A191),DAY(A191)),FY24_Temp[],3,FALSE)</f>
        <v>12.8</v>
      </c>
      <c r="O191" s="110">
        <f t="shared" si="139"/>
        <v>11.5</v>
      </c>
      <c r="P191" s="110">
        <f t="shared" si="140"/>
        <v>19.5</v>
      </c>
      <c r="Q191" s="111">
        <f>VLOOKUP(VLOOKUP(DATEVALUE(TEXT(A191,"m/d/yyyy")),FY24_Temp[],5,FALSE)&amp;TEXT(A191,"-h"),TempDelta[],4,FALSE)</f>
        <v>2.300714305468968</v>
      </c>
      <c r="R191" s="112">
        <v>10</v>
      </c>
      <c r="S191" s="112">
        <v>1500</v>
      </c>
      <c r="T191" s="99">
        <f>VLOOKUP(TEXT(A191,"yy-mm")&amp;"-"&amp;IF(AND(WEEKDAY(A191)&gt;1,WEEKDAY(A191)&lt;7),"Wkd",TEXT(A191,"Ddd"))&amp;"-"&amp;TEXT(A191,"hh"),LoadTable[],3,FALSE)*0.92</f>
        <v>494.57360000000006</v>
      </c>
      <c r="U191" s="113">
        <f t="shared" si="141"/>
        <v>49.457360000000008</v>
      </c>
    </row>
    <row r="192" spans="1:21" ht="15" thickBot="1">
      <c r="A192" s="29">
        <f t="shared" si="179"/>
        <v>45843.875000001521</v>
      </c>
      <c r="B192" s="187">
        <f t="shared" ref="B192:L192" si="202">B216</f>
        <v>5000</v>
      </c>
      <c r="C192" s="187">
        <f t="shared" si="202"/>
        <v>25000</v>
      </c>
      <c r="D192" s="187">
        <v>0</v>
      </c>
      <c r="E192" s="187">
        <v>700</v>
      </c>
      <c r="F192" s="187">
        <v>15000</v>
      </c>
      <c r="G192" s="187">
        <f t="shared" si="202"/>
        <v>2400</v>
      </c>
      <c r="H192" s="187">
        <f t="shared" si="202"/>
        <v>25000</v>
      </c>
      <c r="I192" s="187">
        <f t="shared" si="202"/>
        <v>5000</v>
      </c>
      <c r="J192" s="187">
        <v>40000</v>
      </c>
      <c r="K192" s="187">
        <f t="shared" si="202"/>
        <v>5000</v>
      </c>
      <c r="L192" s="187">
        <v>40000</v>
      </c>
      <c r="M192" s="110">
        <v>9.5</v>
      </c>
      <c r="N192" s="110">
        <f>VLOOKUP(DATE(YEAR(A192),MONTH(A192),DAY(A192)),FY24_Temp[],3,FALSE)</f>
        <v>12.8</v>
      </c>
      <c r="O192" s="110">
        <f t="shared" si="139"/>
        <v>11.5</v>
      </c>
      <c r="P192" s="110">
        <f t="shared" si="140"/>
        <v>19.5</v>
      </c>
      <c r="Q192" s="111">
        <f>VLOOKUP(VLOOKUP(DATEVALUE(TEXT(A192,"m/d/yyyy")),FY24_Temp[],5,FALSE)&amp;TEXT(A192,"-h"),TempDelta[],4,FALSE)</f>
        <v>2.554214222090585</v>
      </c>
      <c r="R192" s="112">
        <v>10</v>
      </c>
      <c r="S192" s="112">
        <v>1500</v>
      </c>
      <c r="T192" s="99">
        <f>VLOOKUP(TEXT(A192,"yy-mm")&amp;"-"&amp;IF(AND(WEEKDAY(A192)&gt;1,WEEKDAY(A192)&lt;7),"Wkd",TEXT(A192,"Ddd"))&amp;"-"&amp;TEXT(A192,"hh"),LoadTable[],3,FALSE)*0.92</f>
        <v>494.57360000000006</v>
      </c>
      <c r="U192" s="113">
        <f t="shared" si="141"/>
        <v>49.457360000000008</v>
      </c>
    </row>
    <row r="193" spans="1:21" ht="15" thickBot="1">
      <c r="A193" s="29">
        <f t="shared" si="179"/>
        <v>45843.916666668185</v>
      </c>
      <c r="B193" s="187">
        <f t="shared" ref="B193:L193" si="203">B217</f>
        <v>5000</v>
      </c>
      <c r="C193" s="187">
        <f t="shared" si="203"/>
        <v>25000</v>
      </c>
      <c r="D193" s="187">
        <v>0</v>
      </c>
      <c r="E193" s="187">
        <v>700</v>
      </c>
      <c r="F193" s="187">
        <v>15000</v>
      </c>
      <c r="G193" s="187">
        <f t="shared" si="203"/>
        <v>2400</v>
      </c>
      <c r="H193" s="187">
        <f t="shared" si="203"/>
        <v>25000</v>
      </c>
      <c r="I193" s="187">
        <f t="shared" si="203"/>
        <v>5000</v>
      </c>
      <c r="J193" s="187">
        <v>40000</v>
      </c>
      <c r="K193" s="187">
        <f t="shared" si="203"/>
        <v>5000</v>
      </c>
      <c r="L193" s="187">
        <v>40000</v>
      </c>
      <c r="M193" s="110">
        <v>9.5</v>
      </c>
      <c r="N193" s="110">
        <f>VLOOKUP(DATE(YEAR(A193),MONTH(A193),DAY(A193)),FY24_Temp[],3,FALSE)</f>
        <v>12.8</v>
      </c>
      <c r="O193" s="110">
        <f t="shared" si="139"/>
        <v>11.5</v>
      </c>
      <c r="P193" s="110">
        <f t="shared" si="140"/>
        <v>19.5</v>
      </c>
      <c r="Q193" s="111">
        <f>VLOOKUP(VLOOKUP(DATEVALUE(TEXT(A193,"m/d/yyyy")),FY24_Temp[],5,FALSE)&amp;TEXT(A193,"-h"),TempDelta[],4,FALSE)</f>
        <v>2.7827142647334506</v>
      </c>
      <c r="R193" s="112">
        <v>10</v>
      </c>
      <c r="S193" s="112">
        <v>1500</v>
      </c>
      <c r="T193" s="99">
        <f>VLOOKUP(TEXT(A193,"yy-mm")&amp;"-"&amp;IF(AND(WEEKDAY(A193)&gt;1,WEEKDAY(A193)&lt;7),"Wkd",TEXT(A193,"Ddd"))&amp;"-"&amp;TEXT(A193,"hh"),LoadTable[],3,FALSE)*0.92</f>
        <v>418.75640000000004</v>
      </c>
      <c r="U193" s="113">
        <f t="shared" si="141"/>
        <v>41.875640000000004</v>
      </c>
    </row>
    <row r="194" spans="1:21" ht="15" thickBot="1">
      <c r="A194" s="29">
        <f t="shared" si="179"/>
        <v>45843.958333334849</v>
      </c>
      <c r="B194" s="187">
        <f t="shared" ref="B194:L194" si="204">B218</f>
        <v>5000</v>
      </c>
      <c r="C194" s="187">
        <f t="shared" si="204"/>
        <v>25000</v>
      </c>
      <c r="D194" s="187">
        <v>0</v>
      </c>
      <c r="E194" s="187">
        <v>700</v>
      </c>
      <c r="F194" s="187">
        <v>15000</v>
      </c>
      <c r="G194" s="187">
        <f t="shared" si="204"/>
        <v>2400</v>
      </c>
      <c r="H194" s="187">
        <f t="shared" si="204"/>
        <v>25000</v>
      </c>
      <c r="I194" s="187">
        <f t="shared" si="204"/>
        <v>5000</v>
      </c>
      <c r="J194" s="187">
        <v>40000</v>
      </c>
      <c r="K194" s="187">
        <f t="shared" si="204"/>
        <v>5000</v>
      </c>
      <c r="L194" s="187">
        <v>40000</v>
      </c>
      <c r="M194" s="110">
        <v>9.5</v>
      </c>
      <c r="N194" s="110">
        <f>VLOOKUP(DATE(YEAR(A194),MONTH(A194),DAY(A194)),FY24_Temp[],3,FALSE)</f>
        <v>12.8</v>
      </c>
      <c r="O194" s="110">
        <f t="shared" si="139"/>
        <v>11.5</v>
      </c>
      <c r="P194" s="110">
        <f t="shared" si="140"/>
        <v>19.5</v>
      </c>
      <c r="Q194" s="111">
        <f>VLOOKUP(VLOOKUP(DATEVALUE(TEXT(A194,"m/d/yyyy")),FY24_Temp[],5,FALSE)&amp;TEXT(A194,"-h"),TempDelta[],4,FALSE)</f>
        <v>2.8792857101985385</v>
      </c>
      <c r="R194" s="112">
        <v>10</v>
      </c>
      <c r="S194" s="112">
        <v>1500</v>
      </c>
      <c r="T194" s="99">
        <f>VLOOKUP(TEXT(A194,"yy-mm")&amp;"-"&amp;IF(AND(WEEKDAY(A194)&gt;1,WEEKDAY(A194)&lt;7),"Wkd",TEXT(A194,"Ddd"))&amp;"-"&amp;TEXT(A194,"hh"),LoadTable[],3,FALSE)*0.92</f>
        <v>342.93920000000003</v>
      </c>
      <c r="U194" s="113">
        <f t="shared" si="141"/>
        <v>34.29392</v>
      </c>
    </row>
    <row r="195" spans="1:21" ht="15" thickBot="1">
      <c r="A195" s="29">
        <f t="shared" si="179"/>
        <v>45844.000000001513</v>
      </c>
      <c r="B195" s="187">
        <f t="shared" ref="B195:L195" si="205">B219</f>
        <v>5000</v>
      </c>
      <c r="C195" s="187">
        <f t="shared" si="205"/>
        <v>25000</v>
      </c>
      <c r="D195" s="187">
        <v>0</v>
      </c>
      <c r="E195" s="187">
        <v>700</v>
      </c>
      <c r="F195" s="187">
        <v>15000</v>
      </c>
      <c r="G195" s="187">
        <f t="shared" si="205"/>
        <v>2400</v>
      </c>
      <c r="H195" s="187">
        <f t="shared" si="205"/>
        <v>25000</v>
      </c>
      <c r="I195" s="187">
        <f t="shared" si="205"/>
        <v>5000</v>
      </c>
      <c r="J195" s="187">
        <v>40000</v>
      </c>
      <c r="K195" s="187">
        <f t="shared" si="205"/>
        <v>5000</v>
      </c>
      <c r="L195" s="187">
        <v>40000</v>
      </c>
      <c r="M195" s="110">
        <v>9.5</v>
      </c>
      <c r="N195" s="110">
        <f>VLOOKUP(DATE(YEAR(A195),MONTH(A195),DAY(A195)),FY24_Temp[],3,FALSE)</f>
        <v>12.8</v>
      </c>
      <c r="O195" s="110">
        <f t="shared" si="139"/>
        <v>11.5</v>
      </c>
      <c r="P195" s="110">
        <f t="shared" si="140"/>
        <v>19.5</v>
      </c>
      <c r="Q195" s="111">
        <f>VLOOKUP(VLOOKUP(DATEVALUE(TEXT(A195,"m/d/yyyy")),FY24_Temp[],5,FALSE)&amp;TEXT(A195,"-h"),TempDelta[],4,FALSE)</f>
        <v>3.0441428933824812</v>
      </c>
      <c r="R195" s="112">
        <v>10</v>
      </c>
      <c r="S195" s="112">
        <v>1500</v>
      </c>
      <c r="T195" s="99">
        <f>VLOOKUP(TEXT(A195,"yy-mm")&amp;"-"&amp;IF(AND(WEEKDAY(A195)&gt;1,WEEKDAY(A195)&lt;7),"Wkd",TEXT(A195,"Ddd"))&amp;"-"&amp;TEXT(A195,"hh"),LoadTable[],3,FALSE)*0.92</f>
        <v>279.25312000000002</v>
      </c>
      <c r="U195" s="113">
        <f t="shared" si="141"/>
        <v>27.925312000000002</v>
      </c>
    </row>
    <row r="196" spans="1:21" ht="15" thickBot="1">
      <c r="A196" s="29">
        <f t="shared" si="179"/>
        <v>45844.041666668178</v>
      </c>
      <c r="B196" s="187">
        <f t="shared" ref="B196:L196" si="206">B220</f>
        <v>5000</v>
      </c>
      <c r="C196" s="187">
        <f t="shared" si="206"/>
        <v>25000</v>
      </c>
      <c r="D196" s="187">
        <v>0</v>
      </c>
      <c r="E196" s="187">
        <v>700</v>
      </c>
      <c r="F196" s="187">
        <v>15000</v>
      </c>
      <c r="G196" s="187">
        <f t="shared" si="206"/>
        <v>2400</v>
      </c>
      <c r="H196" s="187">
        <f t="shared" si="206"/>
        <v>25000</v>
      </c>
      <c r="I196" s="187">
        <f t="shared" si="206"/>
        <v>5000</v>
      </c>
      <c r="J196" s="187">
        <v>40000</v>
      </c>
      <c r="K196" s="187">
        <f t="shared" si="206"/>
        <v>5000</v>
      </c>
      <c r="L196" s="187">
        <v>40000</v>
      </c>
      <c r="M196" s="110">
        <v>9.5</v>
      </c>
      <c r="N196" s="110">
        <f>VLOOKUP(DATE(YEAR(A196),MONTH(A196),DAY(A196)),FY24_Temp[],3,FALSE)</f>
        <v>12.8</v>
      </c>
      <c r="O196" s="110">
        <f t="shared" ref="O196:O259" si="207">15.5-4</f>
        <v>11.5</v>
      </c>
      <c r="P196" s="110">
        <f t="shared" ref="P196:P259" si="208">15.5+4</f>
        <v>19.5</v>
      </c>
      <c r="Q196" s="111">
        <f>VLOOKUP(VLOOKUP(DATEVALUE(TEXT(A196,"m/d/yyyy")),FY24_Temp[],5,FALSE)&amp;TEXT(A196,"-h"),TempDelta[],4,FALSE)</f>
        <v>3.0992857047489712</v>
      </c>
      <c r="R196" s="112">
        <v>10</v>
      </c>
      <c r="S196" s="112">
        <v>1500</v>
      </c>
      <c r="T196" s="99">
        <f>VLOOKUP(TEXT(A196,"yy-mm")&amp;"-"&amp;IF(AND(WEEKDAY(A196)&gt;1,WEEKDAY(A196)&lt;7),"Wkd",TEXT(A196,"Ddd"))&amp;"-"&amp;TEXT(A196,"hh"),LoadTable[],3,FALSE)*0.92</f>
        <v>279.25312000000002</v>
      </c>
      <c r="U196" s="113">
        <f t="shared" ref="U196:U259" si="209">T196/10</f>
        <v>27.925312000000002</v>
      </c>
    </row>
    <row r="197" spans="1:21" ht="15" thickBot="1">
      <c r="A197" s="29">
        <f t="shared" si="179"/>
        <v>45844.083333334842</v>
      </c>
      <c r="B197" s="187">
        <f t="shared" ref="B197:L197" si="210">B221</f>
        <v>5000</v>
      </c>
      <c r="C197" s="187">
        <f t="shared" si="210"/>
        <v>25000</v>
      </c>
      <c r="D197" s="187">
        <v>0</v>
      </c>
      <c r="E197" s="187">
        <v>700</v>
      </c>
      <c r="F197" s="187">
        <v>15000</v>
      </c>
      <c r="G197" s="187">
        <f t="shared" si="210"/>
        <v>2400</v>
      </c>
      <c r="H197" s="187">
        <f t="shared" si="210"/>
        <v>25000</v>
      </c>
      <c r="I197" s="187">
        <f t="shared" si="210"/>
        <v>5000</v>
      </c>
      <c r="J197" s="187">
        <v>40000</v>
      </c>
      <c r="K197" s="187">
        <f t="shared" si="210"/>
        <v>5000</v>
      </c>
      <c r="L197" s="187">
        <v>40000</v>
      </c>
      <c r="M197" s="110">
        <v>9.5</v>
      </c>
      <c r="N197" s="110">
        <f>VLOOKUP(DATE(YEAR(A197),MONTH(A197),DAY(A197)),FY24_Temp[],3,FALSE)</f>
        <v>12.8</v>
      </c>
      <c r="O197" s="110">
        <f t="shared" si="207"/>
        <v>11.5</v>
      </c>
      <c r="P197" s="110">
        <f t="shared" si="208"/>
        <v>19.5</v>
      </c>
      <c r="Q197" s="111">
        <f>VLOOKUP(VLOOKUP(DATEVALUE(TEXT(A197,"m/d/yyyy")),FY24_Temp[],5,FALSE)&amp;TEXT(A197,"-h"),TempDelta[],4,FALSE)</f>
        <v>3.1050000190734863</v>
      </c>
      <c r="R197" s="112">
        <v>10</v>
      </c>
      <c r="S197" s="112">
        <v>1500</v>
      </c>
      <c r="T197" s="99">
        <f>VLOOKUP(TEXT(A197,"yy-mm")&amp;"-"&amp;IF(AND(WEEKDAY(A197)&gt;1,WEEKDAY(A197)&lt;7),"Wkd",TEXT(A197,"Ddd"))&amp;"-"&amp;TEXT(A197,"hh"),LoadTable[],3,FALSE)*0.92</f>
        <v>279.25312000000002</v>
      </c>
      <c r="U197" s="113">
        <f t="shared" si="209"/>
        <v>27.925312000000002</v>
      </c>
    </row>
    <row r="198" spans="1:21" ht="15" thickBot="1">
      <c r="A198" s="29">
        <f t="shared" si="179"/>
        <v>45844.125000001506</v>
      </c>
      <c r="B198" s="187">
        <f t="shared" ref="B198:L198" si="211">B222</f>
        <v>5000</v>
      </c>
      <c r="C198" s="187">
        <f t="shared" si="211"/>
        <v>25000</v>
      </c>
      <c r="D198" s="187">
        <v>0</v>
      </c>
      <c r="E198" s="187">
        <v>700</v>
      </c>
      <c r="F198" s="187">
        <v>15000</v>
      </c>
      <c r="G198" s="187">
        <f t="shared" si="211"/>
        <v>2400</v>
      </c>
      <c r="H198" s="187">
        <f t="shared" si="211"/>
        <v>25000</v>
      </c>
      <c r="I198" s="187">
        <f t="shared" si="211"/>
        <v>5000</v>
      </c>
      <c r="J198" s="187">
        <v>40000</v>
      </c>
      <c r="K198" s="187">
        <f t="shared" si="211"/>
        <v>5000</v>
      </c>
      <c r="L198" s="187">
        <v>40000</v>
      </c>
      <c r="M198" s="110">
        <v>9.5</v>
      </c>
      <c r="N198" s="110">
        <f>VLOOKUP(DATE(YEAR(A198),MONTH(A198),DAY(A198)),FY24_Temp[],3,FALSE)</f>
        <v>12.8</v>
      </c>
      <c r="O198" s="110">
        <f t="shared" si="207"/>
        <v>11.5</v>
      </c>
      <c r="P198" s="110">
        <f t="shared" si="208"/>
        <v>19.5</v>
      </c>
      <c r="Q198" s="111">
        <f>VLOOKUP(VLOOKUP(DATEVALUE(TEXT(A198,"m/d/yyyy")),FY24_Temp[],5,FALSE)&amp;TEXT(A198,"-h"),TempDelta[],4,FALSE)</f>
        <v>3.0428571701049805</v>
      </c>
      <c r="R198" s="112">
        <v>10</v>
      </c>
      <c r="S198" s="112">
        <v>1500</v>
      </c>
      <c r="T198" s="99">
        <f>VLOOKUP(TEXT(A198,"yy-mm")&amp;"-"&amp;IF(AND(WEEKDAY(A198)&gt;1,WEEKDAY(A198)&lt;7),"Wkd",TEXT(A198,"Ddd"))&amp;"-"&amp;TEXT(A198,"hh"),LoadTable[],3,FALSE)*0.92</f>
        <v>279.25312000000002</v>
      </c>
      <c r="U198" s="113">
        <f t="shared" si="209"/>
        <v>27.925312000000002</v>
      </c>
    </row>
    <row r="199" spans="1:21" ht="15" thickBot="1">
      <c r="A199" s="29">
        <f t="shared" si="179"/>
        <v>45844.16666666817</v>
      </c>
      <c r="B199" s="187">
        <f t="shared" ref="B199:L199" si="212">B223</f>
        <v>5000</v>
      </c>
      <c r="C199" s="187">
        <f t="shared" si="212"/>
        <v>25000</v>
      </c>
      <c r="D199" s="187">
        <v>0</v>
      </c>
      <c r="E199" s="187">
        <v>700</v>
      </c>
      <c r="F199" s="187">
        <v>15000</v>
      </c>
      <c r="G199" s="187">
        <f t="shared" si="212"/>
        <v>2400</v>
      </c>
      <c r="H199" s="187">
        <f t="shared" si="212"/>
        <v>25000</v>
      </c>
      <c r="I199" s="187">
        <f t="shared" si="212"/>
        <v>5000</v>
      </c>
      <c r="J199" s="187">
        <v>40000</v>
      </c>
      <c r="K199" s="187">
        <f t="shared" si="212"/>
        <v>5000</v>
      </c>
      <c r="L199" s="187">
        <v>40000</v>
      </c>
      <c r="M199" s="110">
        <v>9.5</v>
      </c>
      <c r="N199" s="110">
        <f>VLOOKUP(DATE(YEAR(A199),MONTH(A199),DAY(A199)),FY24_Temp[],3,FALSE)</f>
        <v>12.8</v>
      </c>
      <c r="O199" s="110">
        <f t="shared" si="207"/>
        <v>11.5</v>
      </c>
      <c r="P199" s="110">
        <f t="shared" si="208"/>
        <v>19.5</v>
      </c>
      <c r="Q199" s="111">
        <f>VLOOKUP(VLOOKUP(DATEVALUE(TEXT(A199,"m/d/yyyy")),FY24_Temp[],5,FALSE)&amp;TEXT(A199,"-h"),TempDelta[],4,FALSE)</f>
        <v>2.9580000468662808</v>
      </c>
      <c r="R199" s="112">
        <v>10</v>
      </c>
      <c r="S199" s="112">
        <v>1500</v>
      </c>
      <c r="T199" s="99">
        <f>VLOOKUP(TEXT(A199,"yy-mm")&amp;"-"&amp;IF(AND(WEEKDAY(A199)&gt;1,WEEKDAY(A199)&lt;7),"Wkd",TEXT(A199,"Ddd"))&amp;"-"&amp;TEXT(A199,"hh"),LoadTable[],3,FALSE)*0.92</f>
        <v>279.25312000000002</v>
      </c>
      <c r="U199" s="113">
        <f t="shared" si="209"/>
        <v>27.925312000000002</v>
      </c>
    </row>
    <row r="200" spans="1:21" ht="15" thickBot="1">
      <c r="A200" s="29">
        <f t="shared" si="179"/>
        <v>45844.208333334835</v>
      </c>
      <c r="B200" s="187">
        <f t="shared" ref="B200:L200" si="213">B224</f>
        <v>5000</v>
      </c>
      <c r="C200" s="187">
        <f t="shared" si="213"/>
        <v>25000</v>
      </c>
      <c r="D200" s="187">
        <v>0</v>
      </c>
      <c r="E200" s="187">
        <v>700</v>
      </c>
      <c r="F200" s="187">
        <v>15000</v>
      </c>
      <c r="G200" s="187">
        <f t="shared" si="213"/>
        <v>2400</v>
      </c>
      <c r="H200" s="187">
        <f t="shared" si="213"/>
        <v>25000</v>
      </c>
      <c r="I200" s="187">
        <f t="shared" si="213"/>
        <v>5000</v>
      </c>
      <c r="J200" s="187">
        <v>40000</v>
      </c>
      <c r="K200" s="187">
        <f t="shared" si="213"/>
        <v>5000</v>
      </c>
      <c r="L200" s="187">
        <v>40000</v>
      </c>
      <c r="M200" s="110">
        <v>9.5</v>
      </c>
      <c r="N200" s="110">
        <f>VLOOKUP(DATE(YEAR(A200),MONTH(A200),DAY(A200)),FY24_Temp[],3,FALSE)</f>
        <v>12.8</v>
      </c>
      <c r="O200" s="110">
        <f t="shared" si="207"/>
        <v>11.5</v>
      </c>
      <c r="P200" s="110">
        <f t="shared" si="208"/>
        <v>19.5</v>
      </c>
      <c r="Q200" s="111">
        <f>VLOOKUP(VLOOKUP(DATEVALUE(TEXT(A200,"m/d/yyyy")),FY24_Temp[],5,FALSE)&amp;TEXT(A200,"-h"),TempDelta[],4,FALSE)</f>
        <v>2.8608571801866804</v>
      </c>
      <c r="R200" s="112">
        <v>10</v>
      </c>
      <c r="S200" s="112">
        <v>1500</v>
      </c>
      <c r="T200" s="99">
        <f>VLOOKUP(TEXT(A200,"yy-mm")&amp;"-"&amp;IF(AND(WEEKDAY(A200)&gt;1,WEEKDAY(A200)&lt;7),"Wkd",TEXT(A200,"Ddd"))&amp;"-"&amp;TEXT(A200,"hh"),LoadTable[],3,FALSE)*0.92</f>
        <v>279.25312000000002</v>
      </c>
      <c r="U200" s="113">
        <f t="shared" si="209"/>
        <v>27.925312000000002</v>
      </c>
    </row>
    <row r="201" spans="1:21" ht="15" thickBot="1">
      <c r="A201" s="29">
        <f t="shared" si="179"/>
        <v>45844.250000001499</v>
      </c>
      <c r="B201" s="187">
        <f t="shared" ref="B201:L201" si="214">B225</f>
        <v>8000</v>
      </c>
      <c r="C201" s="187">
        <f t="shared" si="214"/>
        <v>25000</v>
      </c>
      <c r="D201" s="187">
        <v>0</v>
      </c>
      <c r="E201" s="187">
        <v>700</v>
      </c>
      <c r="F201" s="187">
        <v>15000</v>
      </c>
      <c r="G201" s="187">
        <f t="shared" si="214"/>
        <v>2400</v>
      </c>
      <c r="H201" s="187">
        <f t="shared" si="214"/>
        <v>25000</v>
      </c>
      <c r="I201" s="187">
        <f t="shared" si="214"/>
        <v>8000</v>
      </c>
      <c r="J201" s="187">
        <v>40000</v>
      </c>
      <c r="K201" s="187">
        <f t="shared" si="214"/>
        <v>8000</v>
      </c>
      <c r="L201" s="187">
        <v>40000</v>
      </c>
      <c r="M201" s="110">
        <v>9.5</v>
      </c>
      <c r="N201" s="110">
        <f>VLOOKUP(DATE(YEAR(A201),MONTH(A201),DAY(A201)),FY24_Temp[],3,FALSE)</f>
        <v>12.8</v>
      </c>
      <c r="O201" s="110">
        <f t="shared" si="207"/>
        <v>11.5</v>
      </c>
      <c r="P201" s="110">
        <f t="shared" si="208"/>
        <v>19.5</v>
      </c>
      <c r="Q201" s="111">
        <f>VLOOKUP(VLOOKUP(DATEVALUE(TEXT(A201,"m/d/yyyy")),FY24_Temp[],5,FALSE)&amp;TEXT(A201,"-h"),TempDelta[],4,FALSE)</f>
        <v>2.7405714307512556</v>
      </c>
      <c r="R201" s="112">
        <v>10</v>
      </c>
      <c r="S201" s="112">
        <v>1500</v>
      </c>
      <c r="T201" s="99">
        <f>VLOOKUP(TEXT(A201,"yy-mm")&amp;"-"&amp;IF(AND(WEEKDAY(A201)&gt;1,WEEKDAY(A201)&lt;7),"Wkd",TEXT(A201,"Ddd"))&amp;"-"&amp;TEXT(A201,"hh"),LoadTable[],3,FALSE)*0.92</f>
        <v>279.25312000000002</v>
      </c>
      <c r="U201" s="113">
        <f t="shared" si="209"/>
        <v>27.925312000000002</v>
      </c>
    </row>
    <row r="202" spans="1:21" ht="15" thickBot="1">
      <c r="A202" s="29">
        <f t="shared" si="179"/>
        <v>45844.291666668163</v>
      </c>
      <c r="B202" s="187">
        <f t="shared" ref="B202:L202" si="215">B226</f>
        <v>8000</v>
      </c>
      <c r="C202" s="187">
        <f t="shared" si="215"/>
        <v>25000</v>
      </c>
      <c r="D202" s="187">
        <v>0</v>
      </c>
      <c r="E202" s="187">
        <v>700</v>
      </c>
      <c r="F202" s="187">
        <v>15000</v>
      </c>
      <c r="G202" s="187">
        <f t="shared" si="215"/>
        <v>2400</v>
      </c>
      <c r="H202" s="187">
        <f t="shared" si="215"/>
        <v>25000</v>
      </c>
      <c r="I202" s="187">
        <f t="shared" si="215"/>
        <v>8000</v>
      </c>
      <c r="J202" s="187">
        <v>40000</v>
      </c>
      <c r="K202" s="187">
        <f t="shared" si="215"/>
        <v>8000</v>
      </c>
      <c r="L202" s="187">
        <v>40000</v>
      </c>
      <c r="M202" s="110">
        <v>9.5</v>
      </c>
      <c r="N202" s="110">
        <f>VLOOKUP(DATE(YEAR(A202),MONTH(A202),DAY(A202)),FY24_Temp[],3,FALSE)</f>
        <v>12.8</v>
      </c>
      <c r="O202" s="110">
        <f t="shared" si="207"/>
        <v>11.5</v>
      </c>
      <c r="P202" s="110">
        <f t="shared" si="208"/>
        <v>19.5</v>
      </c>
      <c r="Q202" s="111">
        <f>VLOOKUP(VLOOKUP(DATEVALUE(TEXT(A202,"m/d/yyyy")),FY24_Temp[],5,FALSE)&amp;TEXT(A202,"-h"),TempDelta[],4,FALSE)</f>
        <v>2.6134285245622908</v>
      </c>
      <c r="R202" s="112">
        <v>10</v>
      </c>
      <c r="S202" s="112">
        <v>1500</v>
      </c>
      <c r="T202" s="99">
        <f>VLOOKUP(TEXT(A202,"yy-mm")&amp;"-"&amp;IF(AND(WEEKDAY(A202)&gt;1,WEEKDAY(A202)&lt;7),"Wkd",TEXT(A202,"Ddd"))&amp;"-"&amp;TEXT(A202,"hh"),LoadTable[],3,FALSE)*0.92</f>
        <v>279.25312000000002</v>
      </c>
      <c r="U202" s="113">
        <f t="shared" si="209"/>
        <v>27.925312000000002</v>
      </c>
    </row>
    <row r="203" spans="1:21" ht="15" thickBot="1">
      <c r="A203" s="29">
        <f t="shared" si="179"/>
        <v>45844.333333334827</v>
      </c>
      <c r="B203" s="187">
        <f t="shared" ref="B203:L203" si="216">B227</f>
        <v>8000</v>
      </c>
      <c r="C203" s="187">
        <f t="shared" si="216"/>
        <v>25000</v>
      </c>
      <c r="D203" s="187">
        <v>0</v>
      </c>
      <c r="E203" s="187">
        <v>700</v>
      </c>
      <c r="F203" s="187">
        <v>15000</v>
      </c>
      <c r="G203" s="187">
        <f t="shared" si="216"/>
        <v>2400</v>
      </c>
      <c r="H203" s="187">
        <f t="shared" si="216"/>
        <v>25000</v>
      </c>
      <c r="I203" s="187">
        <f t="shared" si="216"/>
        <v>8000</v>
      </c>
      <c r="J203" s="187">
        <v>40000</v>
      </c>
      <c r="K203" s="187">
        <f t="shared" si="216"/>
        <v>8000</v>
      </c>
      <c r="L203" s="187">
        <v>40000</v>
      </c>
      <c r="M203" s="110">
        <v>9.5</v>
      </c>
      <c r="N203" s="110">
        <f>VLOOKUP(DATE(YEAR(A203),MONTH(A203),DAY(A203)),FY24_Temp[],3,FALSE)</f>
        <v>12.8</v>
      </c>
      <c r="O203" s="110">
        <f t="shared" si="207"/>
        <v>11.5</v>
      </c>
      <c r="P203" s="110">
        <f t="shared" si="208"/>
        <v>19.5</v>
      </c>
      <c r="Q203" s="111">
        <f>VLOOKUP(VLOOKUP(DATEVALUE(TEXT(A203,"m/d/yyyy")),FY24_Temp[],5,FALSE)&amp;TEXT(A203,"-h"),TempDelta[],4,FALSE)</f>
        <v>2.44985716683524</v>
      </c>
      <c r="R203" s="112">
        <v>10</v>
      </c>
      <c r="S203" s="112">
        <v>1500</v>
      </c>
      <c r="T203" s="99">
        <f>VLOOKUP(TEXT(A203,"yy-mm")&amp;"-"&amp;IF(AND(WEEKDAY(A203)&gt;1,WEEKDAY(A203)&lt;7),"Wkd",TEXT(A203,"Ddd"))&amp;"-"&amp;TEXT(A203,"hh"),LoadTable[],3,FALSE)*0.92</f>
        <v>279.25312000000002</v>
      </c>
      <c r="U203" s="113">
        <f t="shared" si="209"/>
        <v>27.925312000000002</v>
      </c>
    </row>
    <row r="204" spans="1:21" ht="15" thickBot="1">
      <c r="A204" s="29">
        <f t="shared" si="179"/>
        <v>45844.375000001492</v>
      </c>
      <c r="B204" s="187">
        <f t="shared" ref="B204:L204" si="217">B228</f>
        <v>8000</v>
      </c>
      <c r="C204" s="187">
        <f t="shared" si="217"/>
        <v>25000</v>
      </c>
      <c r="D204" s="187">
        <v>0</v>
      </c>
      <c r="E204" s="187">
        <v>700</v>
      </c>
      <c r="F204" s="187">
        <v>15000</v>
      </c>
      <c r="G204" s="187">
        <f t="shared" si="217"/>
        <v>2400</v>
      </c>
      <c r="H204" s="187">
        <f t="shared" si="217"/>
        <v>25000</v>
      </c>
      <c r="I204" s="187">
        <f t="shared" si="217"/>
        <v>8000</v>
      </c>
      <c r="J204" s="187">
        <v>40000</v>
      </c>
      <c r="K204" s="187">
        <f t="shared" si="217"/>
        <v>8000</v>
      </c>
      <c r="L204" s="187">
        <v>40000</v>
      </c>
      <c r="M204" s="110">
        <v>9.5</v>
      </c>
      <c r="N204" s="110">
        <f>VLOOKUP(DATE(YEAR(A204),MONTH(A204),DAY(A204)),FY24_Temp[],3,FALSE)</f>
        <v>12.8</v>
      </c>
      <c r="O204" s="110">
        <f t="shared" si="207"/>
        <v>11.5</v>
      </c>
      <c r="P204" s="110">
        <f t="shared" si="208"/>
        <v>19.5</v>
      </c>
      <c r="Q204" s="111">
        <f>VLOOKUP(VLOOKUP(DATEVALUE(TEXT(A204,"m/d/yyyy")),FY24_Temp[],5,FALSE)&amp;TEXT(A204,"-h"),TempDelta[],4,FALSE)</f>
        <v>2.2458571025303433</v>
      </c>
      <c r="R204" s="112">
        <v>10</v>
      </c>
      <c r="S204" s="112">
        <v>1500</v>
      </c>
      <c r="T204" s="99">
        <f>VLOOKUP(TEXT(A204,"yy-mm")&amp;"-"&amp;IF(AND(WEEKDAY(A204)&gt;1,WEEKDAY(A204)&lt;7),"Wkd",TEXT(A204,"Ddd"))&amp;"-"&amp;TEXT(A204,"hh"),LoadTable[],3,FALSE)*0.92</f>
        <v>279.25312000000002</v>
      </c>
      <c r="U204" s="113">
        <f t="shared" si="209"/>
        <v>27.925312000000002</v>
      </c>
    </row>
    <row r="205" spans="1:21" ht="15" thickBot="1">
      <c r="A205" s="29">
        <f t="shared" si="179"/>
        <v>45844.416666668156</v>
      </c>
      <c r="B205" s="187">
        <f t="shared" ref="B205:L205" si="218">B229</f>
        <v>8000</v>
      </c>
      <c r="C205" s="187">
        <f t="shared" si="218"/>
        <v>25000</v>
      </c>
      <c r="D205" s="187">
        <v>0</v>
      </c>
      <c r="E205" s="187">
        <v>700</v>
      </c>
      <c r="F205" s="187">
        <v>15000</v>
      </c>
      <c r="G205" s="187">
        <f t="shared" si="218"/>
        <v>2400</v>
      </c>
      <c r="H205" s="187">
        <f t="shared" si="218"/>
        <v>25000</v>
      </c>
      <c r="I205" s="187">
        <f t="shared" si="218"/>
        <v>8000</v>
      </c>
      <c r="J205" s="187">
        <v>40000</v>
      </c>
      <c r="K205" s="187">
        <f t="shared" si="218"/>
        <v>8000</v>
      </c>
      <c r="L205" s="187">
        <v>40000</v>
      </c>
      <c r="M205" s="110">
        <v>9.5</v>
      </c>
      <c r="N205" s="110">
        <f>VLOOKUP(DATE(YEAR(A205),MONTH(A205),DAY(A205)),FY24_Temp[],3,FALSE)</f>
        <v>12.8</v>
      </c>
      <c r="O205" s="110">
        <f t="shared" si="207"/>
        <v>11.5</v>
      </c>
      <c r="P205" s="110">
        <f t="shared" si="208"/>
        <v>19.5</v>
      </c>
      <c r="Q205" s="111">
        <f>VLOOKUP(VLOOKUP(DATEVALUE(TEXT(A205,"m/d/yyyy")),FY24_Temp[],5,FALSE)&amp;TEXT(A205,"-h"),TempDelta[],4,FALSE)</f>
        <v>2.0832857234137401</v>
      </c>
      <c r="R205" s="112">
        <v>10</v>
      </c>
      <c r="S205" s="112">
        <v>1500</v>
      </c>
      <c r="T205" s="99">
        <f>VLOOKUP(TEXT(A205,"yy-mm")&amp;"-"&amp;IF(AND(WEEKDAY(A205)&gt;1,WEEKDAY(A205)&lt;7),"Wkd",TEXT(A205,"Ddd"))&amp;"-"&amp;TEXT(A205,"hh"),LoadTable[],3,FALSE)*0.92</f>
        <v>279.25312000000002</v>
      </c>
      <c r="U205" s="113">
        <f t="shared" si="209"/>
        <v>27.925312000000002</v>
      </c>
    </row>
    <row r="206" spans="1:21" ht="15" thickBot="1">
      <c r="A206" s="29">
        <f t="shared" si="179"/>
        <v>45844.45833333482</v>
      </c>
      <c r="B206" s="187">
        <f t="shared" ref="B206:L206" si="219">B230</f>
        <v>8000</v>
      </c>
      <c r="C206" s="187">
        <f t="shared" si="219"/>
        <v>25000</v>
      </c>
      <c r="D206" s="187">
        <v>0</v>
      </c>
      <c r="E206" s="187">
        <v>700</v>
      </c>
      <c r="F206" s="187">
        <v>15000</v>
      </c>
      <c r="G206" s="187">
        <f t="shared" si="219"/>
        <v>2400</v>
      </c>
      <c r="H206" s="187">
        <f t="shared" si="219"/>
        <v>25000</v>
      </c>
      <c r="I206" s="187">
        <f t="shared" si="219"/>
        <v>8000</v>
      </c>
      <c r="J206" s="187">
        <v>40000</v>
      </c>
      <c r="K206" s="187">
        <f t="shared" si="219"/>
        <v>8000</v>
      </c>
      <c r="L206" s="187">
        <v>40000</v>
      </c>
      <c r="M206" s="110">
        <v>9.5</v>
      </c>
      <c r="N206" s="110">
        <f>VLOOKUP(DATE(YEAR(A206),MONTH(A206),DAY(A206)),FY24_Temp[],3,FALSE)</f>
        <v>12.8</v>
      </c>
      <c r="O206" s="110">
        <f t="shared" si="207"/>
        <v>11.5</v>
      </c>
      <c r="P206" s="110">
        <f t="shared" si="208"/>
        <v>19.5</v>
      </c>
      <c r="Q206" s="111">
        <f>VLOOKUP(VLOOKUP(DATEVALUE(TEXT(A206,"m/d/yyyy")),FY24_Temp[],5,FALSE)&amp;TEXT(A206,"-h"),TempDelta[],4,FALSE)</f>
        <v>1.8928571258272444</v>
      </c>
      <c r="R206" s="112">
        <v>10</v>
      </c>
      <c r="S206" s="112">
        <v>1500</v>
      </c>
      <c r="T206" s="99">
        <f>VLOOKUP(TEXT(A206,"yy-mm")&amp;"-"&amp;IF(AND(WEEKDAY(A206)&gt;1,WEEKDAY(A206)&lt;7),"Wkd",TEXT(A206,"Ddd"))&amp;"-"&amp;TEXT(A206,"hh"),LoadTable[],3,FALSE)*0.92</f>
        <v>279.25312000000002</v>
      </c>
      <c r="U206" s="113">
        <f t="shared" si="209"/>
        <v>27.925312000000002</v>
      </c>
    </row>
    <row r="207" spans="1:21" ht="15" thickBot="1">
      <c r="A207" s="29">
        <f t="shared" si="179"/>
        <v>45844.500000001484</v>
      </c>
      <c r="B207" s="187">
        <f t="shared" ref="B207:L207" si="220">B231</f>
        <v>8000</v>
      </c>
      <c r="C207" s="187">
        <f t="shared" si="220"/>
        <v>25000</v>
      </c>
      <c r="D207" s="187">
        <v>0</v>
      </c>
      <c r="E207" s="187">
        <v>700</v>
      </c>
      <c r="F207" s="187">
        <v>15000</v>
      </c>
      <c r="G207" s="187">
        <f t="shared" si="220"/>
        <v>2400</v>
      </c>
      <c r="H207" s="187">
        <f t="shared" si="220"/>
        <v>25000</v>
      </c>
      <c r="I207" s="187">
        <f t="shared" si="220"/>
        <v>8000</v>
      </c>
      <c r="J207" s="187">
        <v>40000</v>
      </c>
      <c r="K207" s="187">
        <f t="shared" si="220"/>
        <v>8000</v>
      </c>
      <c r="L207" s="187">
        <v>40000</v>
      </c>
      <c r="M207" s="110">
        <v>9.5</v>
      </c>
      <c r="N207" s="110">
        <f>VLOOKUP(DATE(YEAR(A207),MONTH(A207),DAY(A207)),FY24_Temp[],3,FALSE)</f>
        <v>12.8</v>
      </c>
      <c r="O207" s="110">
        <f t="shared" si="207"/>
        <v>11.5</v>
      </c>
      <c r="P207" s="110">
        <f t="shared" si="208"/>
        <v>19.5</v>
      </c>
      <c r="Q207" s="111">
        <f>VLOOKUP(VLOOKUP(DATEVALUE(TEXT(A207,"m/d/yyyy")),FY24_Temp[],5,FALSE)&amp;TEXT(A207,"-h"),TempDelta[],4,FALSE)</f>
        <v>1.665857127734593</v>
      </c>
      <c r="R207" s="112">
        <v>10</v>
      </c>
      <c r="S207" s="112">
        <v>1500</v>
      </c>
      <c r="T207" s="99">
        <f>VLOOKUP(TEXT(A207,"yy-mm")&amp;"-"&amp;IF(AND(WEEKDAY(A207)&gt;1,WEEKDAY(A207)&lt;7),"Wkd",TEXT(A207,"Ddd"))&amp;"-"&amp;TEXT(A207,"hh"),LoadTable[],3,FALSE)*0.92</f>
        <v>279.25312000000002</v>
      </c>
      <c r="U207" s="113">
        <f t="shared" si="209"/>
        <v>27.925312000000002</v>
      </c>
    </row>
    <row r="208" spans="1:21" ht="15" thickBot="1">
      <c r="A208" s="29">
        <f t="shared" si="179"/>
        <v>45844.541666668149</v>
      </c>
      <c r="B208" s="187">
        <f t="shared" ref="B208:L208" si="221">B232</f>
        <v>8000</v>
      </c>
      <c r="C208" s="187">
        <f t="shared" si="221"/>
        <v>25000</v>
      </c>
      <c r="D208" s="187">
        <v>0</v>
      </c>
      <c r="E208" s="187">
        <v>700</v>
      </c>
      <c r="F208" s="187">
        <v>15000</v>
      </c>
      <c r="G208" s="187">
        <f t="shared" si="221"/>
        <v>2400</v>
      </c>
      <c r="H208" s="187">
        <f t="shared" si="221"/>
        <v>25000</v>
      </c>
      <c r="I208" s="187">
        <f t="shared" si="221"/>
        <v>8000</v>
      </c>
      <c r="J208" s="187">
        <v>40000</v>
      </c>
      <c r="K208" s="187">
        <f t="shared" si="221"/>
        <v>8000</v>
      </c>
      <c r="L208" s="187">
        <v>40000</v>
      </c>
      <c r="M208" s="110">
        <v>9.5</v>
      </c>
      <c r="N208" s="110">
        <f>VLOOKUP(DATE(YEAR(A208),MONTH(A208),DAY(A208)),FY24_Temp[],3,FALSE)</f>
        <v>12.8</v>
      </c>
      <c r="O208" s="110">
        <f t="shared" si="207"/>
        <v>11.5</v>
      </c>
      <c r="P208" s="110">
        <f t="shared" si="208"/>
        <v>19.5</v>
      </c>
      <c r="Q208" s="111">
        <f>VLOOKUP(VLOOKUP(DATEVALUE(TEXT(A208,"m/d/yyyy")),FY24_Temp[],5,FALSE)&amp;TEXT(A208,"-h"),TempDelta[],4,FALSE)</f>
        <v>1.4252856969833374</v>
      </c>
      <c r="R208" s="112">
        <v>10</v>
      </c>
      <c r="S208" s="112">
        <v>1500</v>
      </c>
      <c r="T208" s="99">
        <f>VLOOKUP(TEXT(A208,"yy-mm")&amp;"-"&amp;IF(AND(WEEKDAY(A208)&gt;1,WEEKDAY(A208)&lt;7),"Wkd",TEXT(A208,"Ddd"))&amp;"-"&amp;TEXT(A208,"hh"),LoadTable[],3,FALSE)*0.92</f>
        <v>279.25312000000002</v>
      </c>
      <c r="U208" s="113">
        <f t="shared" si="209"/>
        <v>27.925312000000002</v>
      </c>
    </row>
    <row r="209" spans="1:21" ht="15" thickBot="1">
      <c r="A209" s="29">
        <f t="shared" si="179"/>
        <v>45844.583333334813</v>
      </c>
      <c r="B209" s="187">
        <f t="shared" ref="B209:L209" si="222">B233</f>
        <v>8000</v>
      </c>
      <c r="C209" s="187">
        <f t="shared" si="222"/>
        <v>25000</v>
      </c>
      <c r="D209" s="187">
        <v>0</v>
      </c>
      <c r="E209" s="187">
        <v>700</v>
      </c>
      <c r="F209" s="187">
        <v>15000</v>
      </c>
      <c r="G209" s="187">
        <f t="shared" si="222"/>
        <v>2400</v>
      </c>
      <c r="H209" s="187">
        <f t="shared" si="222"/>
        <v>25000</v>
      </c>
      <c r="I209" s="187">
        <f t="shared" si="222"/>
        <v>8000</v>
      </c>
      <c r="J209" s="187">
        <v>40000</v>
      </c>
      <c r="K209" s="187">
        <f t="shared" si="222"/>
        <v>8000</v>
      </c>
      <c r="L209" s="187">
        <v>40000</v>
      </c>
      <c r="M209" s="110">
        <v>9.5</v>
      </c>
      <c r="N209" s="110">
        <f>VLOOKUP(DATE(YEAR(A209),MONTH(A209),DAY(A209)),FY24_Temp[],3,FALSE)</f>
        <v>12.8</v>
      </c>
      <c r="O209" s="110">
        <f t="shared" si="207"/>
        <v>11.5</v>
      </c>
      <c r="P209" s="110">
        <f t="shared" si="208"/>
        <v>19.5</v>
      </c>
      <c r="Q209" s="111">
        <f>VLOOKUP(VLOOKUP(DATEVALUE(TEXT(A209,"m/d/yyyy")),FY24_Temp[],5,FALSE)&amp;TEXT(A209,"-h"),TempDelta[],4,FALSE)</f>
        <v>1.2351428781236922</v>
      </c>
      <c r="R209" s="112">
        <v>10</v>
      </c>
      <c r="S209" s="112">
        <v>1500</v>
      </c>
      <c r="T209" s="99">
        <f>VLOOKUP(TEXT(A209,"yy-mm")&amp;"-"&amp;IF(AND(WEEKDAY(A209)&gt;1,WEEKDAY(A209)&lt;7),"Wkd",TEXT(A209,"Ddd"))&amp;"-"&amp;TEXT(A209,"hh"),LoadTable[],3,FALSE)*0.92</f>
        <v>279.25312000000002</v>
      </c>
      <c r="U209" s="113">
        <f t="shared" si="209"/>
        <v>27.925312000000002</v>
      </c>
    </row>
    <row r="210" spans="1:21" ht="15" thickBot="1">
      <c r="A210" s="29">
        <f t="shared" si="179"/>
        <v>45844.625000001477</v>
      </c>
      <c r="B210" s="187">
        <f t="shared" ref="B210:L210" si="223">B234</f>
        <v>8000</v>
      </c>
      <c r="C210" s="187">
        <f t="shared" si="223"/>
        <v>25000</v>
      </c>
      <c r="D210" s="187">
        <v>0</v>
      </c>
      <c r="E210" s="187">
        <v>700</v>
      </c>
      <c r="F210" s="187">
        <v>15000</v>
      </c>
      <c r="G210" s="187">
        <f t="shared" si="223"/>
        <v>2400</v>
      </c>
      <c r="H210" s="187">
        <f t="shared" si="223"/>
        <v>25000</v>
      </c>
      <c r="I210" s="187">
        <f t="shared" si="223"/>
        <v>8000</v>
      </c>
      <c r="J210" s="187">
        <v>40000</v>
      </c>
      <c r="K210" s="187">
        <f t="shared" si="223"/>
        <v>8000</v>
      </c>
      <c r="L210" s="187">
        <v>40000</v>
      </c>
      <c r="M210" s="110">
        <v>9.5</v>
      </c>
      <c r="N210" s="110">
        <f>VLOOKUP(DATE(YEAR(A210),MONTH(A210),DAY(A210)),FY24_Temp[],3,FALSE)</f>
        <v>12.8</v>
      </c>
      <c r="O210" s="110">
        <f t="shared" si="207"/>
        <v>11.5</v>
      </c>
      <c r="P210" s="110">
        <f t="shared" si="208"/>
        <v>19.5</v>
      </c>
      <c r="Q210" s="111">
        <f>VLOOKUP(VLOOKUP(DATEVALUE(TEXT(A210,"m/d/yyyy")),FY24_Temp[],5,FALSE)&amp;TEXT(A210,"-h"),TempDelta[],4,FALSE)</f>
        <v>0.97514284508568905</v>
      </c>
      <c r="R210" s="112">
        <v>10</v>
      </c>
      <c r="S210" s="112">
        <v>1500</v>
      </c>
      <c r="T210" s="99">
        <f>VLOOKUP(TEXT(A210,"yy-mm")&amp;"-"&amp;IF(AND(WEEKDAY(A210)&gt;1,WEEKDAY(A210)&lt;7),"Wkd",TEXT(A210,"Ddd"))&amp;"-"&amp;TEXT(A210,"hh"),LoadTable[],3,FALSE)*0.92</f>
        <v>400.56064000000003</v>
      </c>
      <c r="U210" s="113">
        <f t="shared" si="209"/>
        <v>40.056064000000006</v>
      </c>
    </row>
    <row r="211" spans="1:21" ht="15" thickBot="1">
      <c r="A211" s="29">
        <f t="shared" si="179"/>
        <v>45844.666666668141</v>
      </c>
      <c r="B211" s="187">
        <f t="shared" ref="B211:L211" si="224">B235</f>
        <v>8000</v>
      </c>
      <c r="C211" s="187">
        <f t="shared" si="224"/>
        <v>25000</v>
      </c>
      <c r="D211" s="187">
        <v>0</v>
      </c>
      <c r="E211" s="187">
        <v>700</v>
      </c>
      <c r="F211" s="187">
        <v>15000</v>
      </c>
      <c r="G211" s="187">
        <f t="shared" si="224"/>
        <v>2400</v>
      </c>
      <c r="H211" s="187">
        <f t="shared" si="224"/>
        <v>25000</v>
      </c>
      <c r="I211" s="187">
        <f t="shared" si="224"/>
        <v>8000</v>
      </c>
      <c r="J211" s="187">
        <v>40000</v>
      </c>
      <c r="K211" s="187">
        <f t="shared" si="224"/>
        <v>8000</v>
      </c>
      <c r="L211" s="187">
        <v>40000</v>
      </c>
      <c r="M211" s="110">
        <v>9.5</v>
      </c>
      <c r="N211" s="110">
        <f>VLOOKUP(DATE(YEAR(A211),MONTH(A211),DAY(A211)),FY24_Temp[],3,FALSE)</f>
        <v>12.8</v>
      </c>
      <c r="O211" s="110">
        <f t="shared" si="207"/>
        <v>11.5</v>
      </c>
      <c r="P211" s="110">
        <f t="shared" si="208"/>
        <v>19.5</v>
      </c>
      <c r="Q211" s="111">
        <f>VLOOKUP(VLOOKUP(DATEVALUE(TEXT(A211,"m/d/yyyy")),FY24_Temp[],5,FALSE)&amp;TEXT(A211,"-h"),TempDelta[],4,FALSE)</f>
        <v>0.88578571166310993</v>
      </c>
      <c r="R211" s="112">
        <v>10</v>
      </c>
      <c r="S211" s="112">
        <v>1500</v>
      </c>
      <c r="T211" s="99">
        <f>VLOOKUP(TEXT(A211,"yy-mm")&amp;"-"&amp;IF(AND(WEEKDAY(A211)&gt;1,WEEKDAY(A211)&lt;7),"Wkd",TEXT(A211,"Ddd"))&amp;"-"&amp;TEXT(A211,"hh"),LoadTable[],3,FALSE)*0.92</f>
        <v>473.62059999999997</v>
      </c>
      <c r="U211" s="113">
        <f t="shared" si="209"/>
        <v>47.36206</v>
      </c>
    </row>
    <row r="212" spans="1:21" ht="15" thickBot="1">
      <c r="A212" s="29">
        <f t="shared" si="179"/>
        <v>45844.708333334806</v>
      </c>
      <c r="B212" s="187">
        <f t="shared" ref="B212:L212" si="225">B236</f>
        <v>8000</v>
      </c>
      <c r="C212" s="187">
        <f t="shared" si="225"/>
        <v>25000</v>
      </c>
      <c r="D212" s="187">
        <v>0</v>
      </c>
      <c r="E212" s="187">
        <v>700</v>
      </c>
      <c r="F212" s="187">
        <v>15000</v>
      </c>
      <c r="G212" s="187">
        <f t="shared" si="225"/>
        <v>2400</v>
      </c>
      <c r="H212" s="187">
        <f t="shared" si="225"/>
        <v>25000</v>
      </c>
      <c r="I212" s="187">
        <f t="shared" si="225"/>
        <v>8000</v>
      </c>
      <c r="J212" s="187">
        <v>40000</v>
      </c>
      <c r="K212" s="187">
        <f t="shared" si="225"/>
        <v>8000</v>
      </c>
      <c r="L212" s="187">
        <v>40000</v>
      </c>
      <c r="M212" s="110">
        <v>9.5</v>
      </c>
      <c r="N212" s="110">
        <f>VLOOKUP(DATE(YEAR(A212),MONTH(A212),DAY(A212)),FY24_Temp[],3,FALSE)</f>
        <v>12.8</v>
      </c>
      <c r="O212" s="110">
        <f t="shared" si="207"/>
        <v>11.5</v>
      </c>
      <c r="P212" s="110">
        <f t="shared" si="208"/>
        <v>19.5</v>
      </c>
      <c r="Q212" s="111">
        <f>VLOOKUP(VLOOKUP(DATEVALUE(TEXT(A212,"m/d/yyyy")),FY24_Temp[],5,FALSE)&amp;TEXT(A212,"-h"),TempDelta[],4,FALSE)</f>
        <v>1.0356428495475225</v>
      </c>
      <c r="R212" s="112">
        <v>10</v>
      </c>
      <c r="S212" s="112">
        <v>1500</v>
      </c>
      <c r="T212" s="99">
        <f>VLOOKUP(TEXT(A212,"yy-mm")&amp;"-"&amp;IF(AND(WEEKDAY(A212)&gt;1,WEEKDAY(A212)&lt;7),"Wkd",TEXT(A212,"Ddd"))&amp;"-"&amp;TEXT(A212,"hh"),LoadTable[],3,FALSE)*0.92</f>
        <v>473.62059999999997</v>
      </c>
      <c r="U212" s="113">
        <f t="shared" si="209"/>
        <v>47.36206</v>
      </c>
    </row>
    <row r="213" spans="1:21" ht="15" thickBot="1">
      <c r="A213" s="29">
        <f t="shared" si="179"/>
        <v>45844.75000000147</v>
      </c>
      <c r="B213" s="187">
        <f t="shared" ref="B213:L213" si="226">B237</f>
        <v>5000</v>
      </c>
      <c r="C213" s="187">
        <f t="shared" si="226"/>
        <v>25000</v>
      </c>
      <c r="D213" s="187">
        <v>0</v>
      </c>
      <c r="E213" s="187">
        <v>700</v>
      </c>
      <c r="F213" s="187">
        <v>15000</v>
      </c>
      <c r="G213" s="187">
        <f t="shared" si="226"/>
        <v>2400</v>
      </c>
      <c r="H213" s="187">
        <f t="shared" si="226"/>
        <v>25000</v>
      </c>
      <c r="I213" s="187">
        <f t="shared" si="226"/>
        <v>5000</v>
      </c>
      <c r="J213" s="187">
        <v>40000</v>
      </c>
      <c r="K213" s="187">
        <f t="shared" si="226"/>
        <v>5000</v>
      </c>
      <c r="L213" s="187">
        <v>40000</v>
      </c>
      <c r="M213" s="110">
        <v>9.5</v>
      </c>
      <c r="N213" s="110">
        <f>VLOOKUP(DATE(YEAR(A213),MONTH(A213),DAY(A213)),FY24_Temp[],3,FALSE)</f>
        <v>12.8</v>
      </c>
      <c r="O213" s="110">
        <f t="shared" si="207"/>
        <v>11.5</v>
      </c>
      <c r="P213" s="110">
        <f t="shared" si="208"/>
        <v>19.5</v>
      </c>
      <c r="Q213" s="111">
        <f>VLOOKUP(VLOOKUP(DATEVALUE(TEXT(A213,"m/d/yyyy")),FY24_Temp[],5,FALSE)&amp;TEXT(A213,"-h"),TempDelta[],4,FALSE)</f>
        <v>1.3991428358214242</v>
      </c>
      <c r="R213" s="112">
        <v>10</v>
      </c>
      <c r="S213" s="112">
        <v>1500</v>
      </c>
      <c r="T213" s="99">
        <f>VLOOKUP(TEXT(A213,"yy-mm")&amp;"-"&amp;IF(AND(WEEKDAY(A213)&gt;1,WEEKDAY(A213)&lt;7),"Wkd",TEXT(A213,"Ddd"))&amp;"-"&amp;TEXT(A213,"hh"),LoadTable[],3,FALSE)*0.92</f>
        <v>494.57360000000006</v>
      </c>
      <c r="U213" s="113">
        <f t="shared" si="209"/>
        <v>49.457360000000008</v>
      </c>
    </row>
    <row r="214" spans="1:21" ht="15" thickBot="1">
      <c r="A214" s="29">
        <f t="shared" si="179"/>
        <v>45844.791666668134</v>
      </c>
      <c r="B214" s="187">
        <f t="shared" ref="B214:L214" si="227">B238</f>
        <v>5000</v>
      </c>
      <c r="C214" s="187">
        <f t="shared" si="227"/>
        <v>25000</v>
      </c>
      <c r="D214" s="187">
        <v>0</v>
      </c>
      <c r="E214" s="187">
        <v>700</v>
      </c>
      <c r="F214" s="187">
        <v>15000</v>
      </c>
      <c r="G214" s="187">
        <f t="shared" si="227"/>
        <v>2400</v>
      </c>
      <c r="H214" s="187">
        <f t="shared" si="227"/>
        <v>25000</v>
      </c>
      <c r="I214" s="187">
        <f t="shared" si="227"/>
        <v>5000</v>
      </c>
      <c r="J214" s="187">
        <v>40000</v>
      </c>
      <c r="K214" s="187">
        <f t="shared" si="227"/>
        <v>5000</v>
      </c>
      <c r="L214" s="187">
        <v>40000</v>
      </c>
      <c r="M214" s="110">
        <v>9.5</v>
      </c>
      <c r="N214" s="110">
        <f>VLOOKUP(DATE(YEAR(A214),MONTH(A214),DAY(A214)),FY24_Temp[],3,FALSE)</f>
        <v>12.8</v>
      </c>
      <c r="O214" s="110">
        <f t="shared" si="207"/>
        <v>11.5</v>
      </c>
      <c r="P214" s="110">
        <f t="shared" si="208"/>
        <v>19.5</v>
      </c>
      <c r="Q214" s="111">
        <f>VLOOKUP(VLOOKUP(DATEVALUE(TEXT(A214,"m/d/yyyy")),FY24_Temp[],5,FALSE)&amp;TEXT(A214,"-h"),TempDelta[],4,FALSE)</f>
        <v>1.8638571415628706</v>
      </c>
      <c r="R214" s="112">
        <v>10</v>
      </c>
      <c r="S214" s="112">
        <v>1500</v>
      </c>
      <c r="T214" s="99">
        <f>VLOOKUP(TEXT(A214,"yy-mm")&amp;"-"&amp;IF(AND(WEEKDAY(A214)&gt;1,WEEKDAY(A214)&lt;7),"Wkd",TEXT(A214,"Ddd"))&amp;"-"&amp;TEXT(A214,"hh"),LoadTable[],3,FALSE)*0.92</f>
        <v>494.57360000000006</v>
      </c>
      <c r="U214" s="113">
        <f t="shared" si="209"/>
        <v>49.457360000000008</v>
      </c>
    </row>
    <row r="215" spans="1:21" ht="15" thickBot="1">
      <c r="A215" s="29">
        <f t="shared" si="179"/>
        <v>45844.833333334798</v>
      </c>
      <c r="B215" s="187">
        <f t="shared" ref="B215:L215" si="228">B239</f>
        <v>5000</v>
      </c>
      <c r="C215" s="187">
        <f t="shared" si="228"/>
        <v>25000</v>
      </c>
      <c r="D215" s="187">
        <v>0</v>
      </c>
      <c r="E215" s="187">
        <v>700</v>
      </c>
      <c r="F215" s="187">
        <v>15000</v>
      </c>
      <c r="G215" s="187">
        <f t="shared" si="228"/>
        <v>2400</v>
      </c>
      <c r="H215" s="187">
        <f t="shared" si="228"/>
        <v>25000</v>
      </c>
      <c r="I215" s="187">
        <f t="shared" si="228"/>
        <v>5000</v>
      </c>
      <c r="J215" s="187">
        <v>40000</v>
      </c>
      <c r="K215" s="187">
        <f t="shared" si="228"/>
        <v>5000</v>
      </c>
      <c r="L215" s="187">
        <v>40000</v>
      </c>
      <c r="M215" s="110">
        <v>9.5</v>
      </c>
      <c r="N215" s="110">
        <f>VLOOKUP(DATE(YEAR(A215),MONTH(A215),DAY(A215)),FY24_Temp[],3,FALSE)</f>
        <v>12.8</v>
      </c>
      <c r="O215" s="110">
        <f t="shared" si="207"/>
        <v>11.5</v>
      </c>
      <c r="P215" s="110">
        <f t="shared" si="208"/>
        <v>19.5</v>
      </c>
      <c r="Q215" s="111">
        <f>VLOOKUP(VLOOKUP(DATEVALUE(TEXT(A215,"m/d/yyyy")),FY24_Temp[],5,FALSE)&amp;TEXT(A215,"-h"),TempDelta[],4,FALSE)</f>
        <v>2.300714305468968</v>
      </c>
      <c r="R215" s="112">
        <v>10</v>
      </c>
      <c r="S215" s="112">
        <v>1500</v>
      </c>
      <c r="T215" s="99">
        <f>VLOOKUP(TEXT(A215,"yy-mm")&amp;"-"&amp;IF(AND(WEEKDAY(A215)&gt;1,WEEKDAY(A215)&lt;7),"Wkd",TEXT(A215,"Ddd"))&amp;"-"&amp;TEXT(A215,"hh"),LoadTable[],3,FALSE)*0.92</f>
        <v>494.57360000000006</v>
      </c>
      <c r="U215" s="113">
        <f t="shared" si="209"/>
        <v>49.457360000000008</v>
      </c>
    </row>
    <row r="216" spans="1:21" ht="15" thickBot="1">
      <c r="A216" s="29">
        <f t="shared" si="179"/>
        <v>45844.875000001462</v>
      </c>
      <c r="B216" s="187">
        <f t="shared" ref="B216:L216" si="229">B240</f>
        <v>5000</v>
      </c>
      <c r="C216" s="187">
        <f t="shared" si="229"/>
        <v>25000</v>
      </c>
      <c r="D216" s="187">
        <v>0</v>
      </c>
      <c r="E216" s="187">
        <v>700</v>
      </c>
      <c r="F216" s="187">
        <v>15000</v>
      </c>
      <c r="G216" s="187">
        <f t="shared" si="229"/>
        <v>2400</v>
      </c>
      <c r="H216" s="187">
        <f t="shared" si="229"/>
        <v>25000</v>
      </c>
      <c r="I216" s="187">
        <f t="shared" si="229"/>
        <v>5000</v>
      </c>
      <c r="J216" s="187">
        <v>40000</v>
      </c>
      <c r="K216" s="187">
        <f t="shared" si="229"/>
        <v>5000</v>
      </c>
      <c r="L216" s="187">
        <v>40000</v>
      </c>
      <c r="M216" s="110">
        <v>9.5</v>
      </c>
      <c r="N216" s="110">
        <f>VLOOKUP(DATE(YEAR(A216),MONTH(A216),DAY(A216)),FY24_Temp[],3,FALSE)</f>
        <v>12.8</v>
      </c>
      <c r="O216" s="110">
        <f t="shared" si="207"/>
        <v>11.5</v>
      </c>
      <c r="P216" s="110">
        <f t="shared" si="208"/>
        <v>19.5</v>
      </c>
      <c r="Q216" s="111">
        <f>VLOOKUP(VLOOKUP(DATEVALUE(TEXT(A216,"m/d/yyyy")),FY24_Temp[],5,FALSE)&amp;TEXT(A216,"-h"),TempDelta[],4,FALSE)</f>
        <v>2.554214222090585</v>
      </c>
      <c r="R216" s="112">
        <v>10</v>
      </c>
      <c r="S216" s="112">
        <v>1500</v>
      </c>
      <c r="T216" s="99">
        <f>VLOOKUP(TEXT(A216,"yy-mm")&amp;"-"&amp;IF(AND(WEEKDAY(A216)&gt;1,WEEKDAY(A216)&lt;7),"Wkd",TEXT(A216,"Ddd"))&amp;"-"&amp;TEXT(A216,"hh"),LoadTable[],3,FALSE)*0.92</f>
        <v>418.75640000000004</v>
      </c>
      <c r="U216" s="113">
        <f t="shared" si="209"/>
        <v>41.875640000000004</v>
      </c>
    </row>
    <row r="217" spans="1:21" ht="15" thickBot="1">
      <c r="A217" s="29">
        <f t="shared" si="179"/>
        <v>45844.916666668127</v>
      </c>
      <c r="B217" s="187">
        <f t="shared" ref="B217:L217" si="230">B241</f>
        <v>5000</v>
      </c>
      <c r="C217" s="187">
        <f t="shared" si="230"/>
        <v>25000</v>
      </c>
      <c r="D217" s="187">
        <v>0</v>
      </c>
      <c r="E217" s="187">
        <v>700</v>
      </c>
      <c r="F217" s="187">
        <v>15000</v>
      </c>
      <c r="G217" s="187">
        <f t="shared" si="230"/>
        <v>2400</v>
      </c>
      <c r="H217" s="187">
        <f t="shared" si="230"/>
        <v>25000</v>
      </c>
      <c r="I217" s="187">
        <f t="shared" si="230"/>
        <v>5000</v>
      </c>
      <c r="J217" s="187">
        <v>40000</v>
      </c>
      <c r="K217" s="187">
        <f t="shared" si="230"/>
        <v>5000</v>
      </c>
      <c r="L217" s="187">
        <v>40000</v>
      </c>
      <c r="M217" s="110">
        <v>9.5</v>
      </c>
      <c r="N217" s="110">
        <f>VLOOKUP(DATE(YEAR(A217),MONTH(A217),DAY(A217)),FY24_Temp[],3,FALSE)</f>
        <v>12.8</v>
      </c>
      <c r="O217" s="110">
        <f t="shared" si="207"/>
        <v>11.5</v>
      </c>
      <c r="P217" s="110">
        <f t="shared" si="208"/>
        <v>19.5</v>
      </c>
      <c r="Q217" s="111">
        <f>VLOOKUP(VLOOKUP(DATEVALUE(TEXT(A217,"m/d/yyyy")),FY24_Temp[],5,FALSE)&amp;TEXT(A217,"-h"),TempDelta[],4,FALSE)</f>
        <v>2.7827142647334506</v>
      </c>
      <c r="R217" s="112">
        <v>10</v>
      </c>
      <c r="S217" s="112">
        <v>1500</v>
      </c>
      <c r="T217" s="99">
        <f>VLOOKUP(TEXT(A217,"yy-mm")&amp;"-"&amp;IF(AND(WEEKDAY(A217)&gt;1,WEEKDAY(A217)&lt;7),"Wkd",TEXT(A217,"Ddd"))&amp;"-"&amp;TEXT(A217,"hh"),LoadTable[],3,FALSE)*0.92</f>
        <v>342.93920000000003</v>
      </c>
      <c r="U217" s="113">
        <f t="shared" si="209"/>
        <v>34.29392</v>
      </c>
    </row>
    <row r="218" spans="1:21" ht="15" thickBot="1">
      <c r="A218" s="29">
        <f t="shared" si="179"/>
        <v>45844.958333334791</v>
      </c>
      <c r="B218" s="187">
        <f t="shared" ref="B218:L218" si="231">B242</f>
        <v>5000</v>
      </c>
      <c r="C218" s="187">
        <f t="shared" si="231"/>
        <v>25000</v>
      </c>
      <c r="D218" s="187">
        <v>0</v>
      </c>
      <c r="E218" s="187">
        <v>700</v>
      </c>
      <c r="F218" s="187">
        <v>15000</v>
      </c>
      <c r="G218" s="187">
        <f t="shared" si="231"/>
        <v>2400</v>
      </c>
      <c r="H218" s="187">
        <f t="shared" si="231"/>
        <v>25000</v>
      </c>
      <c r="I218" s="187">
        <f t="shared" si="231"/>
        <v>5000</v>
      </c>
      <c r="J218" s="187">
        <v>40000</v>
      </c>
      <c r="K218" s="187">
        <f t="shared" si="231"/>
        <v>5000</v>
      </c>
      <c r="L218" s="187">
        <v>40000</v>
      </c>
      <c r="M218" s="110">
        <v>9.5</v>
      </c>
      <c r="N218" s="110">
        <f>VLOOKUP(DATE(YEAR(A218),MONTH(A218),DAY(A218)),FY24_Temp[],3,FALSE)</f>
        <v>12.8</v>
      </c>
      <c r="O218" s="110">
        <f t="shared" si="207"/>
        <v>11.5</v>
      </c>
      <c r="P218" s="110">
        <f t="shared" si="208"/>
        <v>19.5</v>
      </c>
      <c r="Q218" s="111">
        <f>VLOOKUP(VLOOKUP(DATEVALUE(TEXT(A218,"m/d/yyyy")),FY24_Temp[],5,FALSE)&amp;TEXT(A218,"-h"),TempDelta[],4,FALSE)</f>
        <v>2.8792857101985385</v>
      </c>
      <c r="R218" s="112">
        <v>10</v>
      </c>
      <c r="S218" s="112">
        <v>1500</v>
      </c>
      <c r="T218" s="99">
        <f>VLOOKUP(TEXT(A218,"yy-mm")&amp;"-"&amp;IF(AND(WEEKDAY(A218)&gt;1,WEEKDAY(A218)&lt;7),"Wkd",TEXT(A218,"Ddd"))&amp;"-"&amp;TEXT(A218,"hh"),LoadTable[],3,FALSE)*0.92</f>
        <v>279.25312000000002</v>
      </c>
      <c r="U218" s="113">
        <f t="shared" si="209"/>
        <v>27.925312000000002</v>
      </c>
    </row>
    <row r="219" spans="1:21" ht="15" thickBot="1">
      <c r="A219" s="29">
        <f t="shared" si="179"/>
        <v>45845.000000001455</v>
      </c>
      <c r="B219" s="187">
        <f t="shared" ref="B219:L219" si="232">B243</f>
        <v>5000</v>
      </c>
      <c r="C219" s="187">
        <f t="shared" si="232"/>
        <v>25000</v>
      </c>
      <c r="D219" s="187">
        <v>0</v>
      </c>
      <c r="E219" s="187">
        <v>700</v>
      </c>
      <c r="F219" s="187">
        <v>15000</v>
      </c>
      <c r="G219" s="187">
        <f t="shared" si="232"/>
        <v>2400</v>
      </c>
      <c r="H219" s="187">
        <f t="shared" si="232"/>
        <v>25000</v>
      </c>
      <c r="I219" s="187">
        <f t="shared" si="232"/>
        <v>5000</v>
      </c>
      <c r="J219" s="187">
        <v>40000</v>
      </c>
      <c r="K219" s="187">
        <f t="shared" si="232"/>
        <v>5000</v>
      </c>
      <c r="L219" s="187">
        <v>40000</v>
      </c>
      <c r="M219" s="110">
        <v>9.5</v>
      </c>
      <c r="N219" s="110">
        <f>VLOOKUP(DATE(YEAR(A219),MONTH(A219),DAY(A219)),FY24_Temp[],3,FALSE)</f>
        <v>12.8</v>
      </c>
      <c r="O219" s="110">
        <f t="shared" si="207"/>
        <v>11.5</v>
      </c>
      <c r="P219" s="110">
        <f t="shared" si="208"/>
        <v>19.5</v>
      </c>
      <c r="Q219" s="111">
        <f>VLOOKUP(VLOOKUP(DATEVALUE(TEXT(A219,"m/d/yyyy")),FY24_Temp[],5,FALSE)&amp;TEXT(A219,"-h"),TempDelta[],4,FALSE)</f>
        <v>3.0441428933824812</v>
      </c>
      <c r="R219" s="112">
        <v>10</v>
      </c>
      <c r="S219" s="112">
        <v>1500</v>
      </c>
      <c r="T219" s="99">
        <f>VLOOKUP(TEXT(A219,"yy-mm")&amp;"-"&amp;IF(AND(WEEKDAY(A219)&gt;1,WEEKDAY(A219)&lt;7),"Wkd",TEXT(A219,"Ddd"))&amp;"-"&amp;TEXT(A219,"hh"),LoadTable[],3,FALSE)*0.92</f>
        <v>279.25312000000002</v>
      </c>
      <c r="U219" s="113">
        <f t="shared" si="209"/>
        <v>27.925312000000002</v>
      </c>
    </row>
    <row r="220" spans="1:21" ht="15" thickBot="1">
      <c r="A220" s="29">
        <f t="shared" si="179"/>
        <v>45845.041666668119</v>
      </c>
      <c r="B220" s="187">
        <f t="shared" ref="B220:L220" si="233">B244</f>
        <v>5000</v>
      </c>
      <c r="C220" s="187">
        <f t="shared" si="233"/>
        <v>25000</v>
      </c>
      <c r="D220" s="187">
        <v>0</v>
      </c>
      <c r="E220" s="187">
        <v>700</v>
      </c>
      <c r="F220" s="187">
        <v>15000</v>
      </c>
      <c r="G220" s="187">
        <f t="shared" si="233"/>
        <v>2400</v>
      </c>
      <c r="H220" s="187">
        <f t="shared" si="233"/>
        <v>25000</v>
      </c>
      <c r="I220" s="187">
        <f t="shared" si="233"/>
        <v>5000</v>
      </c>
      <c r="J220" s="187">
        <v>40000</v>
      </c>
      <c r="K220" s="187">
        <f t="shared" si="233"/>
        <v>5000</v>
      </c>
      <c r="L220" s="187">
        <v>40000</v>
      </c>
      <c r="M220" s="110">
        <v>9.5</v>
      </c>
      <c r="N220" s="110">
        <f>VLOOKUP(DATE(YEAR(A220),MONTH(A220),DAY(A220)),FY24_Temp[],3,FALSE)</f>
        <v>12.8</v>
      </c>
      <c r="O220" s="110">
        <f t="shared" si="207"/>
        <v>11.5</v>
      </c>
      <c r="P220" s="110">
        <f t="shared" si="208"/>
        <v>19.5</v>
      </c>
      <c r="Q220" s="111">
        <f>VLOOKUP(VLOOKUP(DATEVALUE(TEXT(A220,"m/d/yyyy")),FY24_Temp[],5,FALSE)&amp;TEXT(A220,"-h"),TempDelta[],4,FALSE)</f>
        <v>3.0992857047489712</v>
      </c>
      <c r="R220" s="112">
        <v>10</v>
      </c>
      <c r="S220" s="112">
        <v>1500</v>
      </c>
      <c r="T220" s="99">
        <f>VLOOKUP(TEXT(A220,"yy-mm")&amp;"-"&amp;IF(AND(WEEKDAY(A220)&gt;1,WEEKDAY(A220)&lt;7),"Wkd",TEXT(A220,"Ddd"))&amp;"-"&amp;TEXT(A220,"hh"),LoadTable[],3,FALSE)*0.92</f>
        <v>279.25312000000002</v>
      </c>
      <c r="U220" s="113">
        <f t="shared" si="209"/>
        <v>27.925312000000002</v>
      </c>
    </row>
    <row r="221" spans="1:21" ht="15" thickBot="1">
      <c r="A221" s="29">
        <f t="shared" si="179"/>
        <v>45845.083333334784</v>
      </c>
      <c r="B221" s="187">
        <f t="shared" ref="B221:L221" si="234">B245</f>
        <v>5000</v>
      </c>
      <c r="C221" s="187">
        <f t="shared" si="234"/>
        <v>25000</v>
      </c>
      <c r="D221" s="187">
        <v>0</v>
      </c>
      <c r="E221" s="187">
        <v>700</v>
      </c>
      <c r="F221" s="187">
        <v>15000</v>
      </c>
      <c r="G221" s="187">
        <f t="shared" si="234"/>
        <v>2400</v>
      </c>
      <c r="H221" s="187">
        <f t="shared" si="234"/>
        <v>25000</v>
      </c>
      <c r="I221" s="187">
        <f t="shared" si="234"/>
        <v>5000</v>
      </c>
      <c r="J221" s="187">
        <v>40000</v>
      </c>
      <c r="K221" s="187">
        <f t="shared" si="234"/>
        <v>5000</v>
      </c>
      <c r="L221" s="187">
        <v>40000</v>
      </c>
      <c r="M221" s="110">
        <v>9.5</v>
      </c>
      <c r="N221" s="110">
        <f>VLOOKUP(DATE(YEAR(A221),MONTH(A221),DAY(A221)),FY24_Temp[],3,FALSE)</f>
        <v>12.8</v>
      </c>
      <c r="O221" s="110">
        <f t="shared" si="207"/>
        <v>11.5</v>
      </c>
      <c r="P221" s="110">
        <f t="shared" si="208"/>
        <v>19.5</v>
      </c>
      <c r="Q221" s="111">
        <f>VLOOKUP(VLOOKUP(DATEVALUE(TEXT(A221,"m/d/yyyy")),FY24_Temp[],5,FALSE)&amp;TEXT(A221,"-h"),TempDelta[],4,FALSE)</f>
        <v>3.1050000190734863</v>
      </c>
      <c r="R221" s="112">
        <v>10</v>
      </c>
      <c r="S221" s="112">
        <v>1500</v>
      </c>
      <c r="T221" s="99">
        <f>VLOOKUP(TEXT(A221,"yy-mm")&amp;"-"&amp;IF(AND(WEEKDAY(A221)&gt;1,WEEKDAY(A221)&lt;7),"Wkd",TEXT(A221,"Ddd"))&amp;"-"&amp;TEXT(A221,"hh"),LoadTable[],3,FALSE)*0.92</f>
        <v>279.25312000000002</v>
      </c>
      <c r="U221" s="113">
        <f t="shared" si="209"/>
        <v>27.925312000000002</v>
      </c>
    </row>
    <row r="222" spans="1:21" ht="15" thickBot="1">
      <c r="A222" s="29">
        <f t="shared" si="179"/>
        <v>45845.125000001448</v>
      </c>
      <c r="B222" s="187">
        <f t="shared" ref="B222:L222" si="235">B246</f>
        <v>5000</v>
      </c>
      <c r="C222" s="187">
        <f t="shared" si="235"/>
        <v>25000</v>
      </c>
      <c r="D222" s="187">
        <v>0</v>
      </c>
      <c r="E222" s="187">
        <v>700</v>
      </c>
      <c r="F222" s="187">
        <v>15000</v>
      </c>
      <c r="G222" s="187">
        <f t="shared" si="235"/>
        <v>2400</v>
      </c>
      <c r="H222" s="187">
        <f t="shared" si="235"/>
        <v>25000</v>
      </c>
      <c r="I222" s="187">
        <f t="shared" si="235"/>
        <v>5000</v>
      </c>
      <c r="J222" s="187">
        <v>40000</v>
      </c>
      <c r="K222" s="187">
        <f t="shared" si="235"/>
        <v>5000</v>
      </c>
      <c r="L222" s="187">
        <v>40000</v>
      </c>
      <c r="M222" s="110">
        <v>9.5</v>
      </c>
      <c r="N222" s="110">
        <f>VLOOKUP(DATE(YEAR(A222),MONTH(A222),DAY(A222)),FY24_Temp[],3,FALSE)</f>
        <v>12.8</v>
      </c>
      <c r="O222" s="110">
        <f t="shared" si="207"/>
        <v>11.5</v>
      </c>
      <c r="P222" s="110">
        <f t="shared" si="208"/>
        <v>19.5</v>
      </c>
      <c r="Q222" s="111">
        <f>VLOOKUP(VLOOKUP(DATEVALUE(TEXT(A222,"m/d/yyyy")),FY24_Temp[],5,FALSE)&amp;TEXT(A222,"-h"),TempDelta[],4,FALSE)</f>
        <v>3.0428571701049805</v>
      </c>
      <c r="R222" s="112">
        <v>10</v>
      </c>
      <c r="S222" s="112">
        <v>1500</v>
      </c>
      <c r="T222" s="99">
        <f>VLOOKUP(TEXT(A222,"yy-mm")&amp;"-"&amp;IF(AND(WEEKDAY(A222)&gt;1,WEEKDAY(A222)&lt;7),"Wkd",TEXT(A222,"Ddd"))&amp;"-"&amp;TEXT(A222,"hh"),LoadTable[],3,FALSE)*0.92</f>
        <v>279.25312000000002</v>
      </c>
      <c r="U222" s="113">
        <f t="shared" si="209"/>
        <v>27.925312000000002</v>
      </c>
    </row>
    <row r="223" spans="1:21" ht="15" thickBot="1">
      <c r="A223" s="29">
        <f t="shared" si="179"/>
        <v>45845.166666668112</v>
      </c>
      <c r="B223" s="187">
        <f t="shared" ref="B223:L223" si="236">B247</f>
        <v>5000</v>
      </c>
      <c r="C223" s="187">
        <f t="shared" si="236"/>
        <v>25000</v>
      </c>
      <c r="D223" s="187">
        <v>0</v>
      </c>
      <c r="E223" s="187">
        <v>700</v>
      </c>
      <c r="F223" s="187">
        <v>15000</v>
      </c>
      <c r="G223" s="187">
        <f t="shared" si="236"/>
        <v>2400</v>
      </c>
      <c r="H223" s="187">
        <f t="shared" si="236"/>
        <v>25000</v>
      </c>
      <c r="I223" s="187">
        <f t="shared" si="236"/>
        <v>5000</v>
      </c>
      <c r="J223" s="187">
        <v>40000</v>
      </c>
      <c r="K223" s="187">
        <f t="shared" si="236"/>
        <v>5000</v>
      </c>
      <c r="L223" s="187">
        <v>40000</v>
      </c>
      <c r="M223" s="110">
        <v>9.5</v>
      </c>
      <c r="N223" s="110">
        <f>VLOOKUP(DATE(YEAR(A223),MONTH(A223),DAY(A223)),FY24_Temp[],3,FALSE)</f>
        <v>12.8</v>
      </c>
      <c r="O223" s="110">
        <f t="shared" si="207"/>
        <v>11.5</v>
      </c>
      <c r="P223" s="110">
        <f t="shared" si="208"/>
        <v>19.5</v>
      </c>
      <c r="Q223" s="111">
        <f>VLOOKUP(VLOOKUP(DATEVALUE(TEXT(A223,"m/d/yyyy")),FY24_Temp[],5,FALSE)&amp;TEXT(A223,"-h"),TempDelta[],4,FALSE)</f>
        <v>2.9580000468662808</v>
      </c>
      <c r="R223" s="112">
        <v>10</v>
      </c>
      <c r="S223" s="112">
        <v>1500</v>
      </c>
      <c r="T223" s="99">
        <f>VLOOKUP(TEXT(A223,"yy-mm")&amp;"-"&amp;IF(AND(WEEKDAY(A223)&gt;1,WEEKDAY(A223)&lt;7),"Wkd",TEXT(A223,"Ddd"))&amp;"-"&amp;TEXT(A223,"hh"),LoadTable[],3,FALSE)*0.92</f>
        <v>279.25312000000002</v>
      </c>
      <c r="U223" s="113">
        <f t="shared" si="209"/>
        <v>27.925312000000002</v>
      </c>
    </row>
    <row r="224" spans="1:21" ht="15" thickBot="1">
      <c r="A224" s="29">
        <f t="shared" si="179"/>
        <v>45845.208333334776</v>
      </c>
      <c r="B224" s="187">
        <f t="shared" ref="B224:L224" si="237">B248</f>
        <v>5000</v>
      </c>
      <c r="C224" s="187">
        <f t="shared" si="237"/>
        <v>25000</v>
      </c>
      <c r="D224" s="187">
        <v>0</v>
      </c>
      <c r="E224" s="187">
        <v>700</v>
      </c>
      <c r="F224" s="187">
        <v>15000</v>
      </c>
      <c r="G224" s="187">
        <f t="shared" si="237"/>
        <v>2400</v>
      </c>
      <c r="H224" s="187">
        <f t="shared" si="237"/>
        <v>25000</v>
      </c>
      <c r="I224" s="187">
        <f t="shared" si="237"/>
        <v>5000</v>
      </c>
      <c r="J224" s="187">
        <v>40000</v>
      </c>
      <c r="K224" s="187">
        <f t="shared" si="237"/>
        <v>5000</v>
      </c>
      <c r="L224" s="187">
        <v>40000</v>
      </c>
      <c r="M224" s="110">
        <v>9.5</v>
      </c>
      <c r="N224" s="110">
        <f>VLOOKUP(DATE(YEAR(A224),MONTH(A224),DAY(A224)),FY24_Temp[],3,FALSE)</f>
        <v>12.8</v>
      </c>
      <c r="O224" s="110">
        <f t="shared" si="207"/>
        <v>11.5</v>
      </c>
      <c r="P224" s="110">
        <f t="shared" si="208"/>
        <v>19.5</v>
      </c>
      <c r="Q224" s="111">
        <f>VLOOKUP(VLOOKUP(DATEVALUE(TEXT(A224,"m/d/yyyy")),FY24_Temp[],5,FALSE)&amp;TEXT(A224,"-h"),TempDelta[],4,FALSE)</f>
        <v>2.8608571801866804</v>
      </c>
      <c r="R224" s="112">
        <v>10</v>
      </c>
      <c r="S224" s="112">
        <v>1500</v>
      </c>
      <c r="T224" s="99">
        <f>VLOOKUP(TEXT(A224,"yy-mm")&amp;"-"&amp;IF(AND(WEEKDAY(A224)&gt;1,WEEKDAY(A224)&lt;7),"Wkd",TEXT(A224,"Ddd"))&amp;"-"&amp;TEXT(A224,"hh"),LoadTable[],3,FALSE)*0.92</f>
        <v>279.25312000000002</v>
      </c>
      <c r="U224" s="113">
        <f t="shared" si="209"/>
        <v>27.925312000000002</v>
      </c>
    </row>
    <row r="225" spans="1:21" ht="15" thickBot="1">
      <c r="A225" s="29">
        <f t="shared" si="179"/>
        <v>45845.250000001441</v>
      </c>
      <c r="B225" s="187">
        <f t="shared" ref="B225:L225" si="238">B249</f>
        <v>8000</v>
      </c>
      <c r="C225" s="187">
        <f t="shared" si="238"/>
        <v>25000</v>
      </c>
      <c r="D225" s="187">
        <v>0</v>
      </c>
      <c r="E225" s="187">
        <v>700</v>
      </c>
      <c r="F225" s="187">
        <v>15000</v>
      </c>
      <c r="G225" s="187">
        <f t="shared" si="238"/>
        <v>2400</v>
      </c>
      <c r="H225" s="187">
        <f t="shared" si="238"/>
        <v>25000</v>
      </c>
      <c r="I225" s="187">
        <f t="shared" si="238"/>
        <v>8000</v>
      </c>
      <c r="J225" s="187">
        <v>40000</v>
      </c>
      <c r="K225" s="187">
        <f t="shared" si="238"/>
        <v>8000</v>
      </c>
      <c r="L225" s="187">
        <v>40000</v>
      </c>
      <c r="M225" s="110">
        <v>9.5</v>
      </c>
      <c r="N225" s="110">
        <f>VLOOKUP(DATE(YEAR(A225),MONTH(A225),DAY(A225)),FY24_Temp[],3,FALSE)</f>
        <v>12.8</v>
      </c>
      <c r="O225" s="110">
        <f t="shared" si="207"/>
        <v>11.5</v>
      </c>
      <c r="P225" s="110">
        <f t="shared" si="208"/>
        <v>19.5</v>
      </c>
      <c r="Q225" s="111">
        <f>VLOOKUP(VLOOKUP(DATEVALUE(TEXT(A225,"m/d/yyyy")),FY24_Temp[],5,FALSE)&amp;TEXT(A225,"-h"),TempDelta[],4,FALSE)</f>
        <v>2.7405714307512556</v>
      </c>
      <c r="R225" s="112">
        <v>10</v>
      </c>
      <c r="S225" s="112">
        <v>1500</v>
      </c>
      <c r="T225" s="99">
        <f>VLOOKUP(TEXT(A225,"yy-mm")&amp;"-"&amp;IF(AND(WEEKDAY(A225)&gt;1,WEEKDAY(A225)&lt;7),"Wkd",TEXT(A225,"Ddd"))&amp;"-"&amp;TEXT(A225,"hh"),LoadTable[],3,FALSE)*0.92</f>
        <v>279.25312000000002</v>
      </c>
      <c r="U225" s="113">
        <f t="shared" si="209"/>
        <v>27.925312000000002</v>
      </c>
    </row>
    <row r="226" spans="1:21" ht="15" thickBot="1">
      <c r="A226" s="29">
        <f t="shared" si="179"/>
        <v>45845.291666668105</v>
      </c>
      <c r="B226" s="187">
        <f t="shared" ref="B226:L226" si="239">B250</f>
        <v>8000</v>
      </c>
      <c r="C226" s="187">
        <f t="shared" si="239"/>
        <v>25000</v>
      </c>
      <c r="D226" s="187">
        <v>0</v>
      </c>
      <c r="E226" s="187">
        <v>700</v>
      </c>
      <c r="F226" s="187">
        <v>15000</v>
      </c>
      <c r="G226" s="187">
        <f t="shared" si="239"/>
        <v>2400</v>
      </c>
      <c r="H226" s="187">
        <f t="shared" si="239"/>
        <v>25000</v>
      </c>
      <c r="I226" s="187">
        <f t="shared" si="239"/>
        <v>8000</v>
      </c>
      <c r="J226" s="187">
        <v>40000</v>
      </c>
      <c r="K226" s="187">
        <f t="shared" si="239"/>
        <v>8000</v>
      </c>
      <c r="L226" s="187">
        <v>40000</v>
      </c>
      <c r="M226" s="110">
        <v>9.5</v>
      </c>
      <c r="N226" s="110">
        <f>VLOOKUP(DATE(YEAR(A226),MONTH(A226),DAY(A226)),FY24_Temp[],3,FALSE)</f>
        <v>12.8</v>
      </c>
      <c r="O226" s="110">
        <f t="shared" si="207"/>
        <v>11.5</v>
      </c>
      <c r="P226" s="110">
        <f t="shared" si="208"/>
        <v>19.5</v>
      </c>
      <c r="Q226" s="111">
        <f>VLOOKUP(VLOOKUP(DATEVALUE(TEXT(A226,"m/d/yyyy")),FY24_Temp[],5,FALSE)&amp;TEXT(A226,"-h"),TempDelta[],4,FALSE)</f>
        <v>2.6134285245622908</v>
      </c>
      <c r="R226" s="112">
        <v>10</v>
      </c>
      <c r="S226" s="112">
        <v>1500</v>
      </c>
      <c r="T226" s="99">
        <f>VLOOKUP(TEXT(A226,"yy-mm")&amp;"-"&amp;IF(AND(WEEKDAY(A226)&gt;1,WEEKDAY(A226)&lt;7),"Wkd",TEXT(A226,"Ddd"))&amp;"-"&amp;TEXT(A226,"hh"),LoadTable[],3,FALSE)*0.92</f>
        <v>279.25312000000002</v>
      </c>
      <c r="U226" s="113">
        <f t="shared" si="209"/>
        <v>27.925312000000002</v>
      </c>
    </row>
    <row r="227" spans="1:21" ht="15" thickBot="1">
      <c r="A227" s="29">
        <f t="shared" si="179"/>
        <v>45845.333333334769</v>
      </c>
      <c r="B227" s="187">
        <f t="shared" ref="B227:L227" si="240">B251</f>
        <v>8000</v>
      </c>
      <c r="C227" s="187">
        <f t="shared" si="240"/>
        <v>25000</v>
      </c>
      <c r="D227" s="187">
        <v>0</v>
      </c>
      <c r="E227" s="187">
        <v>700</v>
      </c>
      <c r="F227" s="187">
        <v>15000</v>
      </c>
      <c r="G227" s="187">
        <f t="shared" si="240"/>
        <v>2400</v>
      </c>
      <c r="H227" s="187">
        <f t="shared" si="240"/>
        <v>25000</v>
      </c>
      <c r="I227" s="187">
        <f t="shared" si="240"/>
        <v>8000</v>
      </c>
      <c r="J227" s="187">
        <v>40000</v>
      </c>
      <c r="K227" s="187">
        <f t="shared" si="240"/>
        <v>8000</v>
      </c>
      <c r="L227" s="187">
        <v>40000</v>
      </c>
      <c r="M227" s="110">
        <v>9.5</v>
      </c>
      <c r="N227" s="110">
        <f>VLOOKUP(DATE(YEAR(A227),MONTH(A227),DAY(A227)),FY24_Temp[],3,FALSE)</f>
        <v>12.8</v>
      </c>
      <c r="O227" s="110">
        <f t="shared" si="207"/>
        <v>11.5</v>
      </c>
      <c r="P227" s="110">
        <f t="shared" si="208"/>
        <v>19.5</v>
      </c>
      <c r="Q227" s="111">
        <f>VLOOKUP(VLOOKUP(DATEVALUE(TEXT(A227,"m/d/yyyy")),FY24_Temp[],5,FALSE)&amp;TEXT(A227,"-h"),TempDelta[],4,FALSE)</f>
        <v>2.44985716683524</v>
      </c>
      <c r="R227" s="112">
        <v>10</v>
      </c>
      <c r="S227" s="112">
        <v>1500</v>
      </c>
      <c r="T227" s="99">
        <f>VLOOKUP(TEXT(A227,"yy-mm")&amp;"-"&amp;IF(AND(WEEKDAY(A227)&gt;1,WEEKDAY(A227)&lt;7),"Wkd",TEXT(A227,"Ddd"))&amp;"-"&amp;TEXT(A227,"hh"),LoadTable[],3,FALSE)*0.92</f>
        <v>279.25312000000002</v>
      </c>
      <c r="U227" s="113">
        <f t="shared" si="209"/>
        <v>27.925312000000002</v>
      </c>
    </row>
    <row r="228" spans="1:21" ht="15" thickBot="1">
      <c r="A228" s="29">
        <f t="shared" si="179"/>
        <v>45845.375000001433</v>
      </c>
      <c r="B228" s="187">
        <f t="shared" ref="B228:L228" si="241">B252</f>
        <v>8000</v>
      </c>
      <c r="C228" s="187">
        <f t="shared" si="241"/>
        <v>25000</v>
      </c>
      <c r="D228" s="187">
        <v>0</v>
      </c>
      <c r="E228" s="187">
        <v>700</v>
      </c>
      <c r="F228" s="187">
        <v>15000</v>
      </c>
      <c r="G228" s="187">
        <f t="shared" si="241"/>
        <v>2400</v>
      </c>
      <c r="H228" s="187">
        <f t="shared" si="241"/>
        <v>25000</v>
      </c>
      <c r="I228" s="187">
        <f t="shared" si="241"/>
        <v>8000</v>
      </c>
      <c r="J228" s="187">
        <v>40000</v>
      </c>
      <c r="K228" s="187">
        <f t="shared" si="241"/>
        <v>8000</v>
      </c>
      <c r="L228" s="187">
        <v>40000</v>
      </c>
      <c r="M228" s="110">
        <v>9.5</v>
      </c>
      <c r="N228" s="110">
        <f>VLOOKUP(DATE(YEAR(A228),MONTH(A228),DAY(A228)),FY24_Temp[],3,FALSE)</f>
        <v>12.8</v>
      </c>
      <c r="O228" s="110">
        <f t="shared" si="207"/>
        <v>11.5</v>
      </c>
      <c r="P228" s="110">
        <f t="shared" si="208"/>
        <v>19.5</v>
      </c>
      <c r="Q228" s="111">
        <f>VLOOKUP(VLOOKUP(DATEVALUE(TEXT(A228,"m/d/yyyy")),FY24_Temp[],5,FALSE)&amp;TEXT(A228,"-h"),TempDelta[],4,FALSE)</f>
        <v>2.2458571025303433</v>
      </c>
      <c r="R228" s="112">
        <v>10</v>
      </c>
      <c r="S228" s="112">
        <v>1500</v>
      </c>
      <c r="T228" s="99">
        <f>VLOOKUP(TEXT(A228,"yy-mm")&amp;"-"&amp;IF(AND(WEEKDAY(A228)&gt;1,WEEKDAY(A228)&lt;7),"Wkd",TEXT(A228,"Ddd"))&amp;"-"&amp;TEXT(A228,"hh"),LoadTable[],3,FALSE)*0.92</f>
        <v>279.25312000000002</v>
      </c>
      <c r="U228" s="113">
        <f t="shared" si="209"/>
        <v>27.925312000000002</v>
      </c>
    </row>
    <row r="229" spans="1:21" ht="15" thickBot="1">
      <c r="A229" s="29">
        <f t="shared" si="179"/>
        <v>45845.416666668098</v>
      </c>
      <c r="B229" s="187">
        <f t="shared" ref="B229:L229" si="242">B253</f>
        <v>8000</v>
      </c>
      <c r="C229" s="187">
        <f t="shared" si="242"/>
        <v>25000</v>
      </c>
      <c r="D229" s="187">
        <v>0</v>
      </c>
      <c r="E229" s="187">
        <v>700</v>
      </c>
      <c r="F229" s="187">
        <v>15000</v>
      </c>
      <c r="G229" s="187">
        <f t="shared" si="242"/>
        <v>2400</v>
      </c>
      <c r="H229" s="187">
        <f t="shared" si="242"/>
        <v>25000</v>
      </c>
      <c r="I229" s="187">
        <f t="shared" si="242"/>
        <v>8000</v>
      </c>
      <c r="J229" s="187">
        <v>40000</v>
      </c>
      <c r="K229" s="187">
        <f t="shared" si="242"/>
        <v>8000</v>
      </c>
      <c r="L229" s="187">
        <v>40000</v>
      </c>
      <c r="M229" s="110">
        <v>9.5</v>
      </c>
      <c r="N229" s="110">
        <f>VLOOKUP(DATE(YEAR(A229),MONTH(A229),DAY(A229)),FY24_Temp[],3,FALSE)</f>
        <v>12.8</v>
      </c>
      <c r="O229" s="110">
        <f t="shared" si="207"/>
        <v>11.5</v>
      </c>
      <c r="P229" s="110">
        <f t="shared" si="208"/>
        <v>19.5</v>
      </c>
      <c r="Q229" s="111">
        <f>VLOOKUP(VLOOKUP(DATEVALUE(TEXT(A229,"m/d/yyyy")),FY24_Temp[],5,FALSE)&amp;TEXT(A229,"-h"),TempDelta[],4,FALSE)</f>
        <v>2.0832857234137401</v>
      </c>
      <c r="R229" s="112">
        <v>10</v>
      </c>
      <c r="S229" s="112">
        <v>1500</v>
      </c>
      <c r="T229" s="99">
        <f>VLOOKUP(TEXT(A229,"yy-mm")&amp;"-"&amp;IF(AND(WEEKDAY(A229)&gt;1,WEEKDAY(A229)&lt;7),"Wkd",TEXT(A229,"Ddd"))&amp;"-"&amp;TEXT(A229,"hh"),LoadTable[],3,FALSE)*0.92</f>
        <v>279.25312000000002</v>
      </c>
      <c r="U229" s="113">
        <f t="shared" si="209"/>
        <v>27.925312000000002</v>
      </c>
    </row>
    <row r="230" spans="1:21" ht="15" thickBot="1">
      <c r="A230" s="29">
        <f t="shared" si="179"/>
        <v>45845.458333334762</v>
      </c>
      <c r="B230" s="187">
        <f t="shared" ref="B230:L230" si="243">B254</f>
        <v>8000</v>
      </c>
      <c r="C230" s="187">
        <f t="shared" si="243"/>
        <v>25000</v>
      </c>
      <c r="D230" s="187">
        <v>0</v>
      </c>
      <c r="E230" s="187">
        <v>700</v>
      </c>
      <c r="F230" s="187">
        <v>15000</v>
      </c>
      <c r="G230" s="187">
        <f t="shared" si="243"/>
        <v>2400</v>
      </c>
      <c r="H230" s="187">
        <f t="shared" si="243"/>
        <v>25000</v>
      </c>
      <c r="I230" s="187">
        <f t="shared" si="243"/>
        <v>8000</v>
      </c>
      <c r="J230" s="187">
        <v>40000</v>
      </c>
      <c r="K230" s="187">
        <f t="shared" si="243"/>
        <v>8000</v>
      </c>
      <c r="L230" s="187">
        <v>40000</v>
      </c>
      <c r="M230" s="110">
        <v>9.5</v>
      </c>
      <c r="N230" s="110">
        <f>VLOOKUP(DATE(YEAR(A230),MONTH(A230),DAY(A230)),FY24_Temp[],3,FALSE)</f>
        <v>12.8</v>
      </c>
      <c r="O230" s="110">
        <f t="shared" si="207"/>
        <v>11.5</v>
      </c>
      <c r="P230" s="110">
        <f t="shared" si="208"/>
        <v>19.5</v>
      </c>
      <c r="Q230" s="111">
        <f>VLOOKUP(VLOOKUP(DATEVALUE(TEXT(A230,"m/d/yyyy")),FY24_Temp[],5,FALSE)&amp;TEXT(A230,"-h"),TempDelta[],4,FALSE)</f>
        <v>1.8928571258272444</v>
      </c>
      <c r="R230" s="112">
        <v>10</v>
      </c>
      <c r="S230" s="112">
        <v>1500</v>
      </c>
      <c r="T230" s="99">
        <f>VLOOKUP(TEXT(A230,"yy-mm")&amp;"-"&amp;IF(AND(WEEKDAY(A230)&gt;1,WEEKDAY(A230)&lt;7),"Wkd",TEXT(A230,"Ddd"))&amp;"-"&amp;TEXT(A230,"hh"),LoadTable[],3,FALSE)*0.92</f>
        <v>279.25312000000002</v>
      </c>
      <c r="U230" s="113">
        <f t="shared" si="209"/>
        <v>27.925312000000002</v>
      </c>
    </row>
    <row r="231" spans="1:21" ht="15" thickBot="1">
      <c r="A231" s="29">
        <f t="shared" si="179"/>
        <v>45845.500000001426</v>
      </c>
      <c r="B231" s="187">
        <f t="shared" ref="B231:L231" si="244">B255</f>
        <v>8000</v>
      </c>
      <c r="C231" s="187">
        <f t="shared" si="244"/>
        <v>25000</v>
      </c>
      <c r="D231" s="187">
        <v>0</v>
      </c>
      <c r="E231" s="187">
        <v>700</v>
      </c>
      <c r="F231" s="187">
        <v>15000</v>
      </c>
      <c r="G231" s="187">
        <f t="shared" si="244"/>
        <v>2400</v>
      </c>
      <c r="H231" s="187">
        <f t="shared" si="244"/>
        <v>25000</v>
      </c>
      <c r="I231" s="187">
        <f t="shared" si="244"/>
        <v>8000</v>
      </c>
      <c r="J231" s="187">
        <v>40000</v>
      </c>
      <c r="K231" s="187">
        <f t="shared" si="244"/>
        <v>8000</v>
      </c>
      <c r="L231" s="187">
        <v>40000</v>
      </c>
      <c r="M231" s="110">
        <v>9.5</v>
      </c>
      <c r="N231" s="110">
        <f>VLOOKUP(DATE(YEAR(A231),MONTH(A231),DAY(A231)),FY24_Temp[],3,FALSE)</f>
        <v>12.8</v>
      </c>
      <c r="O231" s="110">
        <f t="shared" si="207"/>
        <v>11.5</v>
      </c>
      <c r="P231" s="110">
        <f t="shared" si="208"/>
        <v>19.5</v>
      </c>
      <c r="Q231" s="111">
        <f>VLOOKUP(VLOOKUP(DATEVALUE(TEXT(A231,"m/d/yyyy")),FY24_Temp[],5,FALSE)&amp;TEXT(A231,"-h"),TempDelta[],4,FALSE)</f>
        <v>1.665857127734593</v>
      </c>
      <c r="R231" s="112">
        <v>10</v>
      </c>
      <c r="S231" s="112">
        <v>1500</v>
      </c>
      <c r="T231" s="99">
        <f>VLOOKUP(TEXT(A231,"yy-mm")&amp;"-"&amp;IF(AND(WEEKDAY(A231)&gt;1,WEEKDAY(A231)&lt;7),"Wkd",TEXT(A231,"Ddd"))&amp;"-"&amp;TEXT(A231,"hh"),LoadTable[],3,FALSE)*0.92</f>
        <v>279.25312000000002</v>
      </c>
      <c r="U231" s="113">
        <f t="shared" si="209"/>
        <v>27.925312000000002</v>
      </c>
    </row>
    <row r="232" spans="1:21" ht="15" thickBot="1">
      <c r="A232" s="29">
        <f t="shared" si="179"/>
        <v>45845.54166666809</v>
      </c>
      <c r="B232" s="187">
        <f t="shared" ref="B232:L232" si="245">B256</f>
        <v>8000</v>
      </c>
      <c r="C232" s="187">
        <f t="shared" si="245"/>
        <v>25000</v>
      </c>
      <c r="D232" s="187">
        <v>0</v>
      </c>
      <c r="E232" s="187">
        <v>700</v>
      </c>
      <c r="F232" s="187">
        <v>15000</v>
      </c>
      <c r="G232" s="187">
        <f t="shared" si="245"/>
        <v>2400</v>
      </c>
      <c r="H232" s="187">
        <f t="shared" si="245"/>
        <v>25000</v>
      </c>
      <c r="I232" s="187">
        <f t="shared" si="245"/>
        <v>8000</v>
      </c>
      <c r="J232" s="187">
        <v>40000</v>
      </c>
      <c r="K232" s="187">
        <f t="shared" si="245"/>
        <v>8000</v>
      </c>
      <c r="L232" s="187">
        <v>40000</v>
      </c>
      <c r="M232" s="110">
        <v>9.5</v>
      </c>
      <c r="N232" s="110">
        <f>VLOOKUP(DATE(YEAR(A232),MONTH(A232),DAY(A232)),FY24_Temp[],3,FALSE)</f>
        <v>12.8</v>
      </c>
      <c r="O232" s="110">
        <f t="shared" si="207"/>
        <v>11.5</v>
      </c>
      <c r="P232" s="110">
        <f t="shared" si="208"/>
        <v>19.5</v>
      </c>
      <c r="Q232" s="111">
        <f>VLOOKUP(VLOOKUP(DATEVALUE(TEXT(A232,"m/d/yyyy")),FY24_Temp[],5,FALSE)&amp;TEXT(A232,"-h"),TempDelta[],4,FALSE)</f>
        <v>1.4252856969833374</v>
      </c>
      <c r="R232" s="112">
        <v>10</v>
      </c>
      <c r="S232" s="112">
        <v>1500</v>
      </c>
      <c r="T232" s="99">
        <f>VLOOKUP(TEXT(A232,"yy-mm")&amp;"-"&amp;IF(AND(WEEKDAY(A232)&gt;1,WEEKDAY(A232)&lt;7),"Wkd",TEXT(A232,"Ddd"))&amp;"-"&amp;TEXT(A232,"hh"),LoadTable[],3,FALSE)*0.92</f>
        <v>279.25312000000002</v>
      </c>
      <c r="U232" s="113">
        <f t="shared" si="209"/>
        <v>27.925312000000002</v>
      </c>
    </row>
    <row r="233" spans="1:21" ht="15" thickBot="1">
      <c r="A233" s="29">
        <f t="shared" si="179"/>
        <v>45845.583333334755</v>
      </c>
      <c r="B233" s="187">
        <f t="shared" ref="B233:L233" si="246">B257</f>
        <v>8000</v>
      </c>
      <c r="C233" s="187">
        <f t="shared" si="246"/>
        <v>25000</v>
      </c>
      <c r="D233" s="187">
        <v>0</v>
      </c>
      <c r="E233" s="187">
        <v>700</v>
      </c>
      <c r="F233" s="187">
        <v>15000</v>
      </c>
      <c r="G233" s="187">
        <f t="shared" si="246"/>
        <v>2400</v>
      </c>
      <c r="H233" s="187">
        <f t="shared" si="246"/>
        <v>25000</v>
      </c>
      <c r="I233" s="187">
        <f t="shared" si="246"/>
        <v>8000</v>
      </c>
      <c r="J233" s="187">
        <v>40000</v>
      </c>
      <c r="K233" s="187">
        <f t="shared" si="246"/>
        <v>8000</v>
      </c>
      <c r="L233" s="187">
        <v>40000</v>
      </c>
      <c r="M233" s="110">
        <v>9.5</v>
      </c>
      <c r="N233" s="110">
        <f>VLOOKUP(DATE(YEAR(A233),MONTH(A233),DAY(A233)),FY24_Temp[],3,FALSE)</f>
        <v>12.8</v>
      </c>
      <c r="O233" s="110">
        <f t="shared" si="207"/>
        <v>11.5</v>
      </c>
      <c r="P233" s="110">
        <f t="shared" si="208"/>
        <v>19.5</v>
      </c>
      <c r="Q233" s="111">
        <f>VLOOKUP(VLOOKUP(DATEVALUE(TEXT(A233,"m/d/yyyy")),FY24_Temp[],5,FALSE)&amp;TEXT(A233,"-h"),TempDelta[],4,FALSE)</f>
        <v>1.2351428781236922</v>
      </c>
      <c r="R233" s="112">
        <v>10</v>
      </c>
      <c r="S233" s="112">
        <v>1500</v>
      </c>
      <c r="T233" s="99">
        <f>VLOOKUP(TEXT(A233,"yy-mm")&amp;"-"&amp;IF(AND(WEEKDAY(A233)&gt;1,WEEKDAY(A233)&lt;7),"Wkd",TEXT(A233,"Ddd"))&amp;"-"&amp;TEXT(A233,"hh"),LoadTable[],3,FALSE)*0.92</f>
        <v>373.26607999999999</v>
      </c>
      <c r="U233" s="113">
        <f t="shared" si="209"/>
        <v>37.326608</v>
      </c>
    </row>
    <row r="234" spans="1:21" ht="15" thickBot="1">
      <c r="A234" s="29">
        <f t="shared" ref="A234:A297" si="247">A235-TIME(1,0,0)</f>
        <v>45845.625000001419</v>
      </c>
      <c r="B234" s="187">
        <f t="shared" ref="B234:L234" si="248">B258</f>
        <v>8000</v>
      </c>
      <c r="C234" s="187">
        <f t="shared" si="248"/>
        <v>25000</v>
      </c>
      <c r="D234" s="187">
        <v>0</v>
      </c>
      <c r="E234" s="187">
        <v>700</v>
      </c>
      <c r="F234" s="187">
        <v>15000</v>
      </c>
      <c r="G234" s="187">
        <f t="shared" si="248"/>
        <v>2400</v>
      </c>
      <c r="H234" s="187">
        <f t="shared" si="248"/>
        <v>25000</v>
      </c>
      <c r="I234" s="187">
        <f t="shared" si="248"/>
        <v>8000</v>
      </c>
      <c r="J234" s="187">
        <v>40000</v>
      </c>
      <c r="K234" s="187">
        <f t="shared" si="248"/>
        <v>8000</v>
      </c>
      <c r="L234" s="187">
        <v>40000</v>
      </c>
      <c r="M234" s="110">
        <v>9.5</v>
      </c>
      <c r="N234" s="110">
        <f>VLOOKUP(DATE(YEAR(A234),MONTH(A234),DAY(A234)),FY24_Temp[],3,FALSE)</f>
        <v>12.8</v>
      </c>
      <c r="O234" s="110">
        <f t="shared" si="207"/>
        <v>11.5</v>
      </c>
      <c r="P234" s="110">
        <f t="shared" si="208"/>
        <v>19.5</v>
      </c>
      <c r="Q234" s="111">
        <f>VLOOKUP(VLOOKUP(DATEVALUE(TEXT(A234,"m/d/yyyy")),FY24_Temp[],5,FALSE)&amp;TEXT(A234,"-h"),TempDelta[],4,FALSE)</f>
        <v>0.97514284508568905</v>
      </c>
      <c r="R234" s="112">
        <v>10</v>
      </c>
      <c r="S234" s="112">
        <v>1500</v>
      </c>
      <c r="T234" s="99">
        <f>VLOOKUP(TEXT(A234,"yy-mm")&amp;"-"&amp;IF(AND(WEEKDAY(A234)&gt;1,WEEKDAY(A234)&lt;7),"Wkd",TEXT(A234,"Ddd"))&amp;"-"&amp;TEXT(A234,"hh"),LoadTable[],3,FALSE)*0.92</f>
        <v>494.57360000000006</v>
      </c>
      <c r="U234" s="113">
        <f t="shared" si="209"/>
        <v>49.457360000000008</v>
      </c>
    </row>
    <row r="235" spans="1:21" ht="15" thickBot="1">
      <c r="A235" s="29">
        <f t="shared" si="247"/>
        <v>45845.666666668083</v>
      </c>
      <c r="B235" s="187">
        <f t="shared" ref="B235:L235" si="249">B259</f>
        <v>8000</v>
      </c>
      <c r="C235" s="187">
        <f t="shared" si="249"/>
        <v>25000</v>
      </c>
      <c r="D235" s="187">
        <v>0</v>
      </c>
      <c r="E235" s="187">
        <v>700</v>
      </c>
      <c r="F235" s="187">
        <v>15000</v>
      </c>
      <c r="G235" s="187">
        <f t="shared" si="249"/>
        <v>2400</v>
      </c>
      <c r="H235" s="187">
        <f t="shared" si="249"/>
        <v>25000</v>
      </c>
      <c r="I235" s="187">
        <f t="shared" si="249"/>
        <v>8000</v>
      </c>
      <c r="J235" s="187">
        <v>40000</v>
      </c>
      <c r="K235" s="187">
        <f t="shared" si="249"/>
        <v>8000</v>
      </c>
      <c r="L235" s="187">
        <v>40000</v>
      </c>
      <c r="M235" s="110">
        <v>9.5</v>
      </c>
      <c r="N235" s="110">
        <f>VLOOKUP(DATE(YEAR(A235),MONTH(A235),DAY(A235)),FY24_Temp[],3,FALSE)</f>
        <v>12.8</v>
      </c>
      <c r="O235" s="110">
        <f t="shared" si="207"/>
        <v>11.5</v>
      </c>
      <c r="P235" s="110">
        <f t="shared" si="208"/>
        <v>19.5</v>
      </c>
      <c r="Q235" s="111">
        <f>VLOOKUP(VLOOKUP(DATEVALUE(TEXT(A235,"m/d/yyyy")),FY24_Temp[],5,FALSE)&amp;TEXT(A235,"-h"),TempDelta[],4,FALSE)</f>
        <v>0.88578571166310993</v>
      </c>
      <c r="R235" s="112">
        <v>10</v>
      </c>
      <c r="S235" s="112">
        <v>1500</v>
      </c>
      <c r="T235" s="99">
        <f>VLOOKUP(TEXT(A235,"yy-mm")&amp;"-"&amp;IF(AND(WEEKDAY(A235)&gt;1,WEEKDAY(A235)&lt;7),"Wkd",TEXT(A235,"Ddd"))&amp;"-"&amp;TEXT(A235,"hh"),LoadTable[],3,FALSE)*0.92</f>
        <v>494.57360000000006</v>
      </c>
      <c r="U235" s="113">
        <f t="shared" si="209"/>
        <v>49.457360000000008</v>
      </c>
    </row>
    <row r="236" spans="1:21" ht="15" thickBot="1">
      <c r="A236" s="29">
        <f t="shared" si="247"/>
        <v>45845.708333334747</v>
      </c>
      <c r="B236" s="187">
        <f t="shared" ref="B236:L236" si="250">B260</f>
        <v>8000</v>
      </c>
      <c r="C236" s="187">
        <f t="shared" si="250"/>
        <v>25000</v>
      </c>
      <c r="D236" s="187">
        <v>0</v>
      </c>
      <c r="E236" s="187">
        <v>700</v>
      </c>
      <c r="F236" s="187">
        <v>15000</v>
      </c>
      <c r="G236" s="187">
        <f t="shared" si="250"/>
        <v>2400</v>
      </c>
      <c r="H236" s="187">
        <f t="shared" si="250"/>
        <v>25000</v>
      </c>
      <c r="I236" s="187">
        <f t="shared" si="250"/>
        <v>8000</v>
      </c>
      <c r="J236" s="187">
        <v>40000</v>
      </c>
      <c r="K236" s="187">
        <f t="shared" si="250"/>
        <v>8000</v>
      </c>
      <c r="L236" s="187">
        <v>40000</v>
      </c>
      <c r="M236" s="110">
        <v>9.5</v>
      </c>
      <c r="N236" s="110">
        <f>VLOOKUP(DATE(YEAR(A236),MONTH(A236),DAY(A236)),FY24_Temp[],3,FALSE)</f>
        <v>12.8</v>
      </c>
      <c r="O236" s="110">
        <f t="shared" si="207"/>
        <v>11.5</v>
      </c>
      <c r="P236" s="110">
        <f t="shared" si="208"/>
        <v>19.5</v>
      </c>
      <c r="Q236" s="111">
        <f>VLOOKUP(VLOOKUP(DATEVALUE(TEXT(A236,"m/d/yyyy")),FY24_Temp[],5,FALSE)&amp;TEXT(A236,"-h"),TempDelta[],4,FALSE)</f>
        <v>1.0356428495475225</v>
      </c>
      <c r="R236" s="112">
        <v>10</v>
      </c>
      <c r="S236" s="112">
        <v>1500</v>
      </c>
      <c r="T236" s="99">
        <f>VLOOKUP(TEXT(A236,"yy-mm")&amp;"-"&amp;IF(AND(WEEKDAY(A236)&gt;1,WEEKDAY(A236)&lt;7),"Wkd",TEXT(A236,"Ddd"))&amp;"-"&amp;TEXT(A236,"hh"),LoadTable[],3,FALSE)*0.92</f>
        <v>494.57360000000006</v>
      </c>
      <c r="U236" s="113">
        <f t="shared" si="209"/>
        <v>49.457360000000008</v>
      </c>
    </row>
    <row r="237" spans="1:21" ht="15" thickBot="1">
      <c r="A237" s="29">
        <f t="shared" si="247"/>
        <v>45845.750000001412</v>
      </c>
      <c r="B237" s="187">
        <f t="shared" ref="B237:L237" si="251">B261</f>
        <v>5000</v>
      </c>
      <c r="C237" s="187">
        <f t="shared" si="251"/>
        <v>25000</v>
      </c>
      <c r="D237" s="187">
        <v>0</v>
      </c>
      <c r="E237" s="187">
        <v>700</v>
      </c>
      <c r="F237" s="187">
        <v>15000</v>
      </c>
      <c r="G237" s="187">
        <f t="shared" si="251"/>
        <v>2400</v>
      </c>
      <c r="H237" s="187">
        <f t="shared" si="251"/>
        <v>25000</v>
      </c>
      <c r="I237" s="187">
        <f t="shared" si="251"/>
        <v>5000</v>
      </c>
      <c r="J237" s="187">
        <v>40000</v>
      </c>
      <c r="K237" s="187">
        <f t="shared" si="251"/>
        <v>5000</v>
      </c>
      <c r="L237" s="187">
        <v>40000</v>
      </c>
      <c r="M237" s="110">
        <v>9.5</v>
      </c>
      <c r="N237" s="110">
        <f>VLOOKUP(DATE(YEAR(A237),MONTH(A237),DAY(A237)),FY24_Temp[],3,FALSE)</f>
        <v>12.8</v>
      </c>
      <c r="O237" s="110">
        <f t="shared" si="207"/>
        <v>11.5</v>
      </c>
      <c r="P237" s="110">
        <f t="shared" si="208"/>
        <v>19.5</v>
      </c>
      <c r="Q237" s="111">
        <f>VLOOKUP(VLOOKUP(DATEVALUE(TEXT(A237,"m/d/yyyy")),FY24_Temp[],5,FALSE)&amp;TEXT(A237,"-h"),TempDelta[],4,FALSE)</f>
        <v>1.3991428358214242</v>
      </c>
      <c r="R237" s="112">
        <v>10</v>
      </c>
      <c r="S237" s="112">
        <v>1500</v>
      </c>
      <c r="T237" s="99">
        <f>VLOOKUP(TEXT(A237,"yy-mm")&amp;"-"&amp;IF(AND(WEEKDAY(A237)&gt;1,WEEKDAY(A237)&lt;7),"Wkd",TEXT(A237,"Ddd"))&amp;"-"&amp;TEXT(A237,"hh"),LoadTable[],3,FALSE)*0.92</f>
        <v>494.57360000000006</v>
      </c>
      <c r="U237" s="113">
        <f t="shared" si="209"/>
        <v>49.457360000000008</v>
      </c>
    </row>
    <row r="238" spans="1:21" ht="15" thickBot="1">
      <c r="A238" s="29">
        <f t="shared" si="247"/>
        <v>45845.791666668076</v>
      </c>
      <c r="B238" s="187">
        <f t="shared" ref="B238:L238" si="252">B262</f>
        <v>5000</v>
      </c>
      <c r="C238" s="187">
        <f t="shared" si="252"/>
        <v>25000</v>
      </c>
      <c r="D238" s="187">
        <v>0</v>
      </c>
      <c r="E238" s="187">
        <v>700</v>
      </c>
      <c r="F238" s="187">
        <v>15000</v>
      </c>
      <c r="G238" s="187">
        <f t="shared" si="252"/>
        <v>2400</v>
      </c>
      <c r="H238" s="187">
        <f t="shared" si="252"/>
        <v>25000</v>
      </c>
      <c r="I238" s="187">
        <f t="shared" si="252"/>
        <v>5000</v>
      </c>
      <c r="J238" s="187">
        <v>40000</v>
      </c>
      <c r="K238" s="187">
        <f t="shared" si="252"/>
        <v>5000</v>
      </c>
      <c r="L238" s="187">
        <v>40000</v>
      </c>
      <c r="M238" s="110">
        <v>9.5</v>
      </c>
      <c r="N238" s="110">
        <f>VLOOKUP(DATE(YEAR(A238),MONTH(A238),DAY(A238)),FY24_Temp[],3,FALSE)</f>
        <v>12.8</v>
      </c>
      <c r="O238" s="110">
        <f t="shared" si="207"/>
        <v>11.5</v>
      </c>
      <c r="P238" s="110">
        <f t="shared" si="208"/>
        <v>19.5</v>
      </c>
      <c r="Q238" s="111">
        <f>VLOOKUP(VLOOKUP(DATEVALUE(TEXT(A238,"m/d/yyyy")),FY24_Temp[],5,FALSE)&amp;TEXT(A238,"-h"),TempDelta[],4,FALSE)</f>
        <v>1.8638571415628706</v>
      </c>
      <c r="R238" s="112">
        <v>10</v>
      </c>
      <c r="S238" s="112">
        <v>1500</v>
      </c>
      <c r="T238" s="99">
        <f>VLOOKUP(TEXT(A238,"yy-mm")&amp;"-"&amp;IF(AND(WEEKDAY(A238)&gt;1,WEEKDAY(A238)&lt;7),"Wkd",TEXT(A238,"Ddd"))&amp;"-"&amp;TEXT(A238,"hh"),LoadTable[],3,FALSE)*0.92</f>
        <v>494.57360000000006</v>
      </c>
      <c r="U238" s="113">
        <f t="shared" si="209"/>
        <v>49.457360000000008</v>
      </c>
    </row>
    <row r="239" spans="1:21" ht="15" thickBot="1">
      <c r="A239" s="29">
        <f t="shared" si="247"/>
        <v>45845.83333333474</v>
      </c>
      <c r="B239" s="187">
        <f t="shared" ref="B239:L239" si="253">B263</f>
        <v>5000</v>
      </c>
      <c r="C239" s="187">
        <f t="shared" si="253"/>
        <v>25000</v>
      </c>
      <c r="D239" s="187">
        <v>0</v>
      </c>
      <c r="E239" s="187">
        <v>700</v>
      </c>
      <c r="F239" s="187">
        <v>15000</v>
      </c>
      <c r="G239" s="187">
        <f t="shared" si="253"/>
        <v>2400</v>
      </c>
      <c r="H239" s="187">
        <f t="shared" si="253"/>
        <v>25000</v>
      </c>
      <c r="I239" s="187">
        <f t="shared" si="253"/>
        <v>5000</v>
      </c>
      <c r="J239" s="187">
        <v>40000</v>
      </c>
      <c r="K239" s="187">
        <f t="shared" si="253"/>
        <v>5000</v>
      </c>
      <c r="L239" s="187">
        <v>40000</v>
      </c>
      <c r="M239" s="110">
        <v>9.5</v>
      </c>
      <c r="N239" s="110">
        <f>VLOOKUP(DATE(YEAR(A239),MONTH(A239),DAY(A239)),FY24_Temp[],3,FALSE)</f>
        <v>12.8</v>
      </c>
      <c r="O239" s="110">
        <f t="shared" si="207"/>
        <v>11.5</v>
      </c>
      <c r="P239" s="110">
        <f t="shared" si="208"/>
        <v>19.5</v>
      </c>
      <c r="Q239" s="111">
        <f>VLOOKUP(VLOOKUP(DATEVALUE(TEXT(A239,"m/d/yyyy")),FY24_Temp[],5,FALSE)&amp;TEXT(A239,"-h"),TempDelta[],4,FALSE)</f>
        <v>2.300714305468968</v>
      </c>
      <c r="R239" s="112">
        <v>10</v>
      </c>
      <c r="S239" s="112">
        <v>1500</v>
      </c>
      <c r="T239" s="99">
        <f>VLOOKUP(TEXT(A239,"yy-mm")&amp;"-"&amp;IF(AND(WEEKDAY(A239)&gt;1,WEEKDAY(A239)&lt;7),"Wkd",TEXT(A239,"Ddd"))&amp;"-"&amp;TEXT(A239,"hh"),LoadTable[],3,FALSE)*0.92</f>
        <v>494.57360000000006</v>
      </c>
      <c r="U239" s="113">
        <f t="shared" si="209"/>
        <v>49.457360000000008</v>
      </c>
    </row>
    <row r="240" spans="1:21" ht="15" thickBot="1">
      <c r="A240" s="29">
        <f t="shared" si="247"/>
        <v>45845.875000001404</v>
      </c>
      <c r="B240" s="187">
        <f t="shared" ref="B240:L240" si="254">B264</f>
        <v>5000</v>
      </c>
      <c r="C240" s="187">
        <f t="shared" si="254"/>
        <v>25000</v>
      </c>
      <c r="D240" s="187">
        <v>0</v>
      </c>
      <c r="E240" s="187">
        <v>700</v>
      </c>
      <c r="F240" s="187">
        <v>15000</v>
      </c>
      <c r="G240" s="187">
        <f t="shared" si="254"/>
        <v>2400</v>
      </c>
      <c r="H240" s="187">
        <f t="shared" si="254"/>
        <v>25000</v>
      </c>
      <c r="I240" s="187">
        <f t="shared" si="254"/>
        <v>5000</v>
      </c>
      <c r="J240" s="187">
        <v>40000</v>
      </c>
      <c r="K240" s="187">
        <f t="shared" si="254"/>
        <v>5000</v>
      </c>
      <c r="L240" s="187">
        <v>40000</v>
      </c>
      <c r="M240" s="110">
        <v>9.5</v>
      </c>
      <c r="N240" s="110">
        <f>VLOOKUP(DATE(YEAR(A240),MONTH(A240),DAY(A240)),FY24_Temp[],3,FALSE)</f>
        <v>12.8</v>
      </c>
      <c r="O240" s="110">
        <f t="shared" si="207"/>
        <v>11.5</v>
      </c>
      <c r="P240" s="110">
        <f t="shared" si="208"/>
        <v>19.5</v>
      </c>
      <c r="Q240" s="111">
        <f>VLOOKUP(VLOOKUP(DATEVALUE(TEXT(A240,"m/d/yyyy")),FY24_Temp[],5,FALSE)&amp;TEXT(A240,"-h"),TempDelta[],4,FALSE)</f>
        <v>2.554214222090585</v>
      </c>
      <c r="R240" s="112">
        <v>10</v>
      </c>
      <c r="S240" s="112">
        <v>1500</v>
      </c>
      <c r="T240" s="99">
        <f>VLOOKUP(TEXT(A240,"yy-mm")&amp;"-"&amp;IF(AND(WEEKDAY(A240)&gt;1,WEEKDAY(A240)&lt;7),"Wkd",TEXT(A240,"Ddd"))&amp;"-"&amp;TEXT(A240,"hh"),LoadTable[],3,FALSE)*0.92</f>
        <v>494.57360000000006</v>
      </c>
      <c r="U240" s="113">
        <f t="shared" si="209"/>
        <v>49.457360000000008</v>
      </c>
    </row>
    <row r="241" spans="1:21" ht="15" thickBot="1">
      <c r="A241" s="29">
        <f t="shared" si="247"/>
        <v>45845.916666668069</v>
      </c>
      <c r="B241" s="187">
        <f t="shared" ref="B241:L241" si="255">B265</f>
        <v>5000</v>
      </c>
      <c r="C241" s="187">
        <f t="shared" si="255"/>
        <v>25000</v>
      </c>
      <c r="D241" s="187">
        <v>0</v>
      </c>
      <c r="E241" s="187">
        <v>700</v>
      </c>
      <c r="F241" s="187">
        <v>15000</v>
      </c>
      <c r="G241" s="187">
        <f t="shared" si="255"/>
        <v>2400</v>
      </c>
      <c r="H241" s="187">
        <f t="shared" si="255"/>
        <v>25000</v>
      </c>
      <c r="I241" s="187">
        <f t="shared" si="255"/>
        <v>5000</v>
      </c>
      <c r="J241" s="187">
        <v>40000</v>
      </c>
      <c r="K241" s="187">
        <f t="shared" si="255"/>
        <v>5000</v>
      </c>
      <c r="L241" s="187">
        <v>40000</v>
      </c>
      <c r="M241" s="110">
        <v>9.5</v>
      </c>
      <c r="N241" s="110">
        <f>VLOOKUP(DATE(YEAR(A241),MONTH(A241),DAY(A241)),FY24_Temp[],3,FALSE)</f>
        <v>12.8</v>
      </c>
      <c r="O241" s="110">
        <f t="shared" si="207"/>
        <v>11.5</v>
      </c>
      <c r="P241" s="110">
        <f t="shared" si="208"/>
        <v>19.5</v>
      </c>
      <c r="Q241" s="111">
        <f>VLOOKUP(VLOOKUP(DATEVALUE(TEXT(A241,"m/d/yyyy")),FY24_Temp[],5,FALSE)&amp;TEXT(A241,"-h"),TempDelta[],4,FALSE)</f>
        <v>2.7827142647334506</v>
      </c>
      <c r="R241" s="112">
        <v>10</v>
      </c>
      <c r="S241" s="112">
        <v>1500</v>
      </c>
      <c r="T241" s="99">
        <f>VLOOKUP(TEXT(A241,"yy-mm")&amp;"-"&amp;IF(AND(WEEKDAY(A241)&gt;1,WEEKDAY(A241)&lt;7),"Wkd",TEXT(A241,"Ddd"))&amp;"-"&amp;TEXT(A241,"hh"),LoadTable[],3,FALSE)*0.92</f>
        <v>418.75640000000004</v>
      </c>
      <c r="U241" s="113">
        <f t="shared" si="209"/>
        <v>41.875640000000004</v>
      </c>
    </row>
    <row r="242" spans="1:21" ht="15" thickBot="1">
      <c r="A242" s="29">
        <f t="shared" si="247"/>
        <v>45845.958333334733</v>
      </c>
      <c r="B242" s="187">
        <f t="shared" ref="B242:L242" si="256">B266</f>
        <v>5000</v>
      </c>
      <c r="C242" s="187">
        <f t="shared" si="256"/>
        <v>25000</v>
      </c>
      <c r="D242" s="187">
        <v>0</v>
      </c>
      <c r="E242" s="187">
        <v>700</v>
      </c>
      <c r="F242" s="187">
        <v>15000</v>
      </c>
      <c r="G242" s="187">
        <f t="shared" si="256"/>
        <v>2400</v>
      </c>
      <c r="H242" s="187">
        <f t="shared" si="256"/>
        <v>25000</v>
      </c>
      <c r="I242" s="187">
        <f t="shared" si="256"/>
        <v>5000</v>
      </c>
      <c r="J242" s="187">
        <v>40000</v>
      </c>
      <c r="K242" s="187">
        <f t="shared" si="256"/>
        <v>5000</v>
      </c>
      <c r="L242" s="187">
        <v>40000</v>
      </c>
      <c r="M242" s="110">
        <v>9.5</v>
      </c>
      <c r="N242" s="110">
        <f>VLOOKUP(DATE(YEAR(A242),MONTH(A242),DAY(A242)),FY24_Temp[],3,FALSE)</f>
        <v>12.8</v>
      </c>
      <c r="O242" s="110">
        <f t="shared" si="207"/>
        <v>11.5</v>
      </c>
      <c r="P242" s="110">
        <f t="shared" si="208"/>
        <v>19.5</v>
      </c>
      <c r="Q242" s="111">
        <f>VLOOKUP(VLOOKUP(DATEVALUE(TEXT(A242,"m/d/yyyy")),FY24_Temp[],5,FALSE)&amp;TEXT(A242,"-h"),TempDelta[],4,FALSE)</f>
        <v>2.8792857101985385</v>
      </c>
      <c r="R242" s="112">
        <v>10</v>
      </c>
      <c r="S242" s="112">
        <v>1500</v>
      </c>
      <c r="T242" s="99">
        <f>VLOOKUP(TEXT(A242,"yy-mm")&amp;"-"&amp;IF(AND(WEEKDAY(A242)&gt;1,WEEKDAY(A242)&lt;7),"Wkd",TEXT(A242,"Ddd"))&amp;"-"&amp;TEXT(A242,"hh"),LoadTable[],3,FALSE)*0.92</f>
        <v>342.93920000000003</v>
      </c>
      <c r="U242" s="113">
        <f t="shared" si="209"/>
        <v>34.29392</v>
      </c>
    </row>
    <row r="243" spans="1:21" ht="15" thickBot="1">
      <c r="A243" s="29">
        <f t="shared" si="247"/>
        <v>45846.000000001397</v>
      </c>
      <c r="B243" s="187">
        <f t="shared" ref="B243:L243" si="257">B267</f>
        <v>5000</v>
      </c>
      <c r="C243" s="187">
        <f t="shared" si="257"/>
        <v>25000</v>
      </c>
      <c r="D243" s="187">
        <v>0</v>
      </c>
      <c r="E243" s="187">
        <v>700</v>
      </c>
      <c r="F243" s="187">
        <v>15000</v>
      </c>
      <c r="G243" s="187">
        <f t="shared" si="257"/>
        <v>2400</v>
      </c>
      <c r="H243" s="187">
        <f t="shared" si="257"/>
        <v>25000</v>
      </c>
      <c r="I243" s="187">
        <f t="shared" si="257"/>
        <v>5000</v>
      </c>
      <c r="J243" s="187">
        <v>40000</v>
      </c>
      <c r="K243" s="187">
        <f t="shared" si="257"/>
        <v>5000</v>
      </c>
      <c r="L243" s="187">
        <v>40000</v>
      </c>
      <c r="M243" s="110">
        <v>9.5</v>
      </c>
      <c r="N243" s="110">
        <f>VLOOKUP(DATE(YEAR(A243),MONTH(A243),DAY(A243)),FY24_Temp[],3,FALSE)</f>
        <v>12.8</v>
      </c>
      <c r="O243" s="110">
        <f t="shared" si="207"/>
        <v>11.5</v>
      </c>
      <c r="P243" s="110">
        <f t="shared" si="208"/>
        <v>19.5</v>
      </c>
      <c r="Q243" s="111">
        <f>VLOOKUP(VLOOKUP(DATEVALUE(TEXT(A243,"m/d/yyyy")),FY24_Temp[],5,FALSE)&amp;TEXT(A243,"-h"),TempDelta[],4,FALSE)</f>
        <v>3.0441428933824812</v>
      </c>
      <c r="R243" s="112">
        <v>10</v>
      </c>
      <c r="S243" s="112">
        <v>1500</v>
      </c>
      <c r="T243" s="99">
        <f>VLOOKUP(TEXT(A243,"yy-mm")&amp;"-"&amp;IF(AND(WEEKDAY(A243)&gt;1,WEEKDAY(A243)&lt;7),"Wkd",TEXT(A243,"Ddd"))&amp;"-"&amp;TEXT(A243,"hh"),LoadTable[],3,FALSE)*0.92</f>
        <v>279.25312000000002</v>
      </c>
      <c r="U243" s="113">
        <f t="shared" si="209"/>
        <v>27.925312000000002</v>
      </c>
    </row>
    <row r="244" spans="1:21" ht="15" thickBot="1">
      <c r="A244" s="29">
        <f t="shared" si="247"/>
        <v>45846.041666668061</v>
      </c>
      <c r="B244" s="187">
        <f t="shared" ref="B244:L244" si="258">B268</f>
        <v>5000</v>
      </c>
      <c r="C244" s="187">
        <f t="shared" si="258"/>
        <v>25000</v>
      </c>
      <c r="D244" s="187">
        <v>0</v>
      </c>
      <c r="E244" s="187">
        <v>700</v>
      </c>
      <c r="F244" s="187">
        <v>15000</v>
      </c>
      <c r="G244" s="187">
        <f t="shared" si="258"/>
        <v>2400</v>
      </c>
      <c r="H244" s="187">
        <f t="shared" si="258"/>
        <v>25000</v>
      </c>
      <c r="I244" s="187">
        <f t="shared" si="258"/>
        <v>5000</v>
      </c>
      <c r="J244" s="187">
        <v>40000</v>
      </c>
      <c r="K244" s="187">
        <f t="shared" si="258"/>
        <v>5000</v>
      </c>
      <c r="L244" s="187">
        <v>40000</v>
      </c>
      <c r="M244" s="110">
        <v>9.5</v>
      </c>
      <c r="N244" s="110">
        <f>VLOOKUP(DATE(YEAR(A244),MONTH(A244),DAY(A244)),FY24_Temp[],3,FALSE)</f>
        <v>12.8</v>
      </c>
      <c r="O244" s="110">
        <f t="shared" si="207"/>
        <v>11.5</v>
      </c>
      <c r="P244" s="110">
        <f t="shared" si="208"/>
        <v>19.5</v>
      </c>
      <c r="Q244" s="111">
        <f>VLOOKUP(VLOOKUP(DATEVALUE(TEXT(A244,"m/d/yyyy")),FY24_Temp[],5,FALSE)&amp;TEXT(A244,"-h"),TempDelta[],4,FALSE)</f>
        <v>3.0992857047489712</v>
      </c>
      <c r="R244" s="112">
        <v>10</v>
      </c>
      <c r="S244" s="112">
        <v>1500</v>
      </c>
      <c r="T244" s="99">
        <f>VLOOKUP(TEXT(A244,"yy-mm")&amp;"-"&amp;IF(AND(WEEKDAY(A244)&gt;1,WEEKDAY(A244)&lt;7),"Wkd",TEXT(A244,"Ddd"))&amp;"-"&amp;TEXT(A244,"hh"),LoadTable[],3,FALSE)*0.92</f>
        <v>279.25312000000002</v>
      </c>
      <c r="U244" s="113">
        <f t="shared" si="209"/>
        <v>27.925312000000002</v>
      </c>
    </row>
    <row r="245" spans="1:21" ht="15" thickBot="1">
      <c r="A245" s="29">
        <f t="shared" si="247"/>
        <v>45846.083333334725</v>
      </c>
      <c r="B245" s="187">
        <f t="shared" ref="B245:L245" si="259">B269</f>
        <v>5000</v>
      </c>
      <c r="C245" s="187">
        <f t="shared" si="259"/>
        <v>25000</v>
      </c>
      <c r="D245" s="187">
        <v>0</v>
      </c>
      <c r="E245" s="187">
        <v>700</v>
      </c>
      <c r="F245" s="187">
        <v>15000</v>
      </c>
      <c r="G245" s="187">
        <f t="shared" si="259"/>
        <v>2400</v>
      </c>
      <c r="H245" s="187">
        <f t="shared" si="259"/>
        <v>25000</v>
      </c>
      <c r="I245" s="187">
        <f t="shared" si="259"/>
        <v>5000</v>
      </c>
      <c r="J245" s="187">
        <v>40000</v>
      </c>
      <c r="K245" s="187">
        <f t="shared" si="259"/>
        <v>5000</v>
      </c>
      <c r="L245" s="187">
        <v>40000</v>
      </c>
      <c r="M245" s="110">
        <v>9.5</v>
      </c>
      <c r="N245" s="110">
        <f>VLOOKUP(DATE(YEAR(A245),MONTH(A245),DAY(A245)),FY24_Temp[],3,FALSE)</f>
        <v>12.8</v>
      </c>
      <c r="O245" s="110">
        <f t="shared" si="207"/>
        <v>11.5</v>
      </c>
      <c r="P245" s="110">
        <f t="shared" si="208"/>
        <v>19.5</v>
      </c>
      <c r="Q245" s="111">
        <f>VLOOKUP(VLOOKUP(DATEVALUE(TEXT(A245,"m/d/yyyy")),FY24_Temp[],5,FALSE)&amp;TEXT(A245,"-h"),TempDelta[],4,FALSE)</f>
        <v>3.1050000190734863</v>
      </c>
      <c r="R245" s="112">
        <v>10</v>
      </c>
      <c r="S245" s="112">
        <v>1500</v>
      </c>
      <c r="T245" s="99">
        <f>VLOOKUP(TEXT(A245,"yy-mm")&amp;"-"&amp;IF(AND(WEEKDAY(A245)&gt;1,WEEKDAY(A245)&lt;7),"Wkd",TEXT(A245,"Ddd"))&amp;"-"&amp;TEXT(A245,"hh"),LoadTable[],3,FALSE)*0.92</f>
        <v>279.25312000000002</v>
      </c>
      <c r="U245" s="113">
        <f t="shared" si="209"/>
        <v>27.925312000000002</v>
      </c>
    </row>
    <row r="246" spans="1:21" ht="15" thickBot="1">
      <c r="A246" s="29">
        <f t="shared" si="247"/>
        <v>45846.12500000139</v>
      </c>
      <c r="B246" s="187">
        <f t="shared" ref="B246:L246" si="260">B270</f>
        <v>5000</v>
      </c>
      <c r="C246" s="187">
        <f t="shared" si="260"/>
        <v>25000</v>
      </c>
      <c r="D246" s="187">
        <v>0</v>
      </c>
      <c r="E246" s="187">
        <v>700</v>
      </c>
      <c r="F246" s="187">
        <v>15000</v>
      </c>
      <c r="G246" s="187">
        <f t="shared" si="260"/>
        <v>2400</v>
      </c>
      <c r="H246" s="187">
        <f t="shared" si="260"/>
        <v>25000</v>
      </c>
      <c r="I246" s="187">
        <f t="shared" si="260"/>
        <v>5000</v>
      </c>
      <c r="J246" s="187">
        <v>40000</v>
      </c>
      <c r="K246" s="187">
        <f t="shared" si="260"/>
        <v>5000</v>
      </c>
      <c r="L246" s="187">
        <v>40000</v>
      </c>
      <c r="M246" s="110">
        <v>9.5</v>
      </c>
      <c r="N246" s="110">
        <f>VLOOKUP(DATE(YEAR(A246),MONTH(A246),DAY(A246)),FY24_Temp[],3,FALSE)</f>
        <v>12.8</v>
      </c>
      <c r="O246" s="110">
        <f t="shared" si="207"/>
        <v>11.5</v>
      </c>
      <c r="P246" s="110">
        <f t="shared" si="208"/>
        <v>19.5</v>
      </c>
      <c r="Q246" s="111">
        <f>VLOOKUP(VLOOKUP(DATEVALUE(TEXT(A246,"m/d/yyyy")),FY24_Temp[],5,FALSE)&amp;TEXT(A246,"-h"),TempDelta[],4,FALSE)</f>
        <v>3.0428571701049805</v>
      </c>
      <c r="R246" s="112">
        <v>10</v>
      </c>
      <c r="S246" s="112">
        <v>1500</v>
      </c>
      <c r="T246" s="99">
        <f>VLOOKUP(TEXT(A246,"yy-mm")&amp;"-"&amp;IF(AND(WEEKDAY(A246)&gt;1,WEEKDAY(A246)&lt;7),"Wkd",TEXT(A246,"Ddd"))&amp;"-"&amp;TEXT(A246,"hh"),LoadTable[],3,FALSE)*0.92</f>
        <v>279.25312000000002</v>
      </c>
      <c r="U246" s="113">
        <f t="shared" si="209"/>
        <v>27.925312000000002</v>
      </c>
    </row>
    <row r="247" spans="1:21" ht="15" thickBot="1">
      <c r="A247" s="29">
        <f t="shared" si="247"/>
        <v>45846.166666668054</v>
      </c>
      <c r="B247" s="187">
        <f t="shared" ref="B247:L247" si="261">B271</f>
        <v>5000</v>
      </c>
      <c r="C247" s="187">
        <f t="shared" si="261"/>
        <v>25000</v>
      </c>
      <c r="D247" s="187">
        <v>0</v>
      </c>
      <c r="E247" s="187">
        <v>700</v>
      </c>
      <c r="F247" s="187">
        <v>15000</v>
      </c>
      <c r="G247" s="187">
        <f t="shared" si="261"/>
        <v>2400</v>
      </c>
      <c r="H247" s="187">
        <f t="shared" si="261"/>
        <v>25000</v>
      </c>
      <c r="I247" s="187">
        <f t="shared" si="261"/>
        <v>5000</v>
      </c>
      <c r="J247" s="187">
        <v>40000</v>
      </c>
      <c r="K247" s="187">
        <f t="shared" si="261"/>
        <v>5000</v>
      </c>
      <c r="L247" s="187">
        <v>40000</v>
      </c>
      <c r="M247" s="110">
        <v>9.5</v>
      </c>
      <c r="N247" s="110">
        <f>VLOOKUP(DATE(YEAR(A247),MONTH(A247),DAY(A247)),FY24_Temp[],3,FALSE)</f>
        <v>12.8</v>
      </c>
      <c r="O247" s="110">
        <f t="shared" si="207"/>
        <v>11.5</v>
      </c>
      <c r="P247" s="110">
        <f t="shared" si="208"/>
        <v>19.5</v>
      </c>
      <c r="Q247" s="111">
        <f>VLOOKUP(VLOOKUP(DATEVALUE(TEXT(A247,"m/d/yyyy")),FY24_Temp[],5,FALSE)&amp;TEXT(A247,"-h"),TempDelta[],4,FALSE)</f>
        <v>2.9580000468662808</v>
      </c>
      <c r="R247" s="112">
        <v>10</v>
      </c>
      <c r="S247" s="112">
        <v>1500</v>
      </c>
      <c r="T247" s="99">
        <f>VLOOKUP(TEXT(A247,"yy-mm")&amp;"-"&amp;IF(AND(WEEKDAY(A247)&gt;1,WEEKDAY(A247)&lt;7),"Wkd",TEXT(A247,"Ddd"))&amp;"-"&amp;TEXT(A247,"hh"),LoadTable[],3,FALSE)*0.92</f>
        <v>279.25312000000002</v>
      </c>
      <c r="U247" s="113">
        <f t="shared" si="209"/>
        <v>27.925312000000002</v>
      </c>
    </row>
    <row r="248" spans="1:21" ht="15" thickBot="1">
      <c r="A248" s="29">
        <f t="shared" si="247"/>
        <v>45846.208333334718</v>
      </c>
      <c r="B248" s="187">
        <f t="shared" ref="B248:L248" si="262">B272</f>
        <v>5000</v>
      </c>
      <c r="C248" s="187">
        <f t="shared" si="262"/>
        <v>25000</v>
      </c>
      <c r="D248" s="187">
        <v>0</v>
      </c>
      <c r="E248" s="187">
        <v>700</v>
      </c>
      <c r="F248" s="187">
        <v>15000</v>
      </c>
      <c r="G248" s="187">
        <f t="shared" si="262"/>
        <v>2400</v>
      </c>
      <c r="H248" s="187">
        <f t="shared" si="262"/>
        <v>25000</v>
      </c>
      <c r="I248" s="187">
        <f t="shared" si="262"/>
        <v>5000</v>
      </c>
      <c r="J248" s="187">
        <v>40000</v>
      </c>
      <c r="K248" s="187">
        <f t="shared" si="262"/>
        <v>5000</v>
      </c>
      <c r="L248" s="187">
        <v>40000</v>
      </c>
      <c r="M248" s="110">
        <v>9.5</v>
      </c>
      <c r="N248" s="110">
        <f>VLOOKUP(DATE(YEAR(A248),MONTH(A248),DAY(A248)),FY24_Temp[],3,FALSE)</f>
        <v>12.8</v>
      </c>
      <c r="O248" s="110">
        <f t="shared" si="207"/>
        <v>11.5</v>
      </c>
      <c r="P248" s="110">
        <f t="shared" si="208"/>
        <v>19.5</v>
      </c>
      <c r="Q248" s="111">
        <f>VLOOKUP(VLOOKUP(DATEVALUE(TEXT(A248,"m/d/yyyy")),FY24_Temp[],5,FALSE)&amp;TEXT(A248,"-h"),TempDelta[],4,FALSE)</f>
        <v>2.8608571801866804</v>
      </c>
      <c r="R248" s="112">
        <v>10</v>
      </c>
      <c r="S248" s="112">
        <v>1500</v>
      </c>
      <c r="T248" s="99">
        <f>VLOOKUP(TEXT(A248,"yy-mm")&amp;"-"&amp;IF(AND(WEEKDAY(A248)&gt;1,WEEKDAY(A248)&lt;7),"Wkd",TEXT(A248,"Ddd"))&amp;"-"&amp;TEXT(A248,"hh"),LoadTable[],3,FALSE)*0.92</f>
        <v>279.25312000000002</v>
      </c>
      <c r="U248" s="113">
        <f t="shared" si="209"/>
        <v>27.925312000000002</v>
      </c>
    </row>
    <row r="249" spans="1:21" ht="15" thickBot="1">
      <c r="A249" s="29">
        <f t="shared" si="247"/>
        <v>45846.250000001382</v>
      </c>
      <c r="B249" s="187">
        <f t="shared" ref="B249:L249" si="263">B273</f>
        <v>8000</v>
      </c>
      <c r="C249" s="187">
        <f t="shared" si="263"/>
        <v>25000</v>
      </c>
      <c r="D249" s="187">
        <v>0</v>
      </c>
      <c r="E249" s="187">
        <v>700</v>
      </c>
      <c r="F249" s="187">
        <v>15000</v>
      </c>
      <c r="G249" s="187">
        <f t="shared" si="263"/>
        <v>2400</v>
      </c>
      <c r="H249" s="187">
        <f t="shared" si="263"/>
        <v>25000</v>
      </c>
      <c r="I249" s="187">
        <f t="shared" si="263"/>
        <v>8000</v>
      </c>
      <c r="J249" s="187">
        <v>40000</v>
      </c>
      <c r="K249" s="187">
        <f t="shared" si="263"/>
        <v>8000</v>
      </c>
      <c r="L249" s="187">
        <v>40000</v>
      </c>
      <c r="M249" s="110">
        <v>9.5</v>
      </c>
      <c r="N249" s="110">
        <f>VLOOKUP(DATE(YEAR(A249),MONTH(A249),DAY(A249)),FY24_Temp[],3,FALSE)</f>
        <v>12.8</v>
      </c>
      <c r="O249" s="110">
        <f t="shared" si="207"/>
        <v>11.5</v>
      </c>
      <c r="P249" s="110">
        <f t="shared" si="208"/>
        <v>19.5</v>
      </c>
      <c r="Q249" s="111">
        <f>VLOOKUP(VLOOKUP(DATEVALUE(TEXT(A249,"m/d/yyyy")),FY24_Temp[],5,FALSE)&amp;TEXT(A249,"-h"),TempDelta[],4,FALSE)</f>
        <v>2.7405714307512556</v>
      </c>
      <c r="R249" s="112">
        <v>10</v>
      </c>
      <c r="S249" s="112">
        <v>1500</v>
      </c>
      <c r="T249" s="99">
        <f>VLOOKUP(TEXT(A249,"yy-mm")&amp;"-"&amp;IF(AND(WEEKDAY(A249)&gt;1,WEEKDAY(A249)&lt;7),"Wkd",TEXT(A249,"Ddd"))&amp;"-"&amp;TEXT(A249,"hh"),LoadTable[],3,FALSE)*0.92</f>
        <v>279.25312000000002</v>
      </c>
      <c r="U249" s="113">
        <f t="shared" si="209"/>
        <v>27.925312000000002</v>
      </c>
    </row>
    <row r="250" spans="1:21" ht="15" thickBot="1">
      <c r="A250" s="29">
        <f t="shared" si="247"/>
        <v>45846.291666668047</v>
      </c>
      <c r="B250" s="187">
        <f t="shared" ref="B250:L250" si="264">B274</f>
        <v>8000</v>
      </c>
      <c r="C250" s="187">
        <f t="shared" si="264"/>
        <v>25000</v>
      </c>
      <c r="D250" s="187">
        <v>0</v>
      </c>
      <c r="E250" s="187">
        <v>700</v>
      </c>
      <c r="F250" s="187">
        <v>15000</v>
      </c>
      <c r="G250" s="187">
        <f t="shared" si="264"/>
        <v>2400</v>
      </c>
      <c r="H250" s="187">
        <f t="shared" si="264"/>
        <v>25000</v>
      </c>
      <c r="I250" s="187">
        <f t="shared" si="264"/>
        <v>8000</v>
      </c>
      <c r="J250" s="187">
        <v>40000</v>
      </c>
      <c r="K250" s="187">
        <f t="shared" si="264"/>
        <v>8000</v>
      </c>
      <c r="L250" s="187">
        <v>40000</v>
      </c>
      <c r="M250" s="110">
        <v>9.5</v>
      </c>
      <c r="N250" s="110">
        <f>VLOOKUP(DATE(YEAR(A250),MONTH(A250),DAY(A250)),FY24_Temp[],3,FALSE)</f>
        <v>12.8</v>
      </c>
      <c r="O250" s="110">
        <f t="shared" si="207"/>
        <v>11.5</v>
      </c>
      <c r="P250" s="110">
        <f t="shared" si="208"/>
        <v>19.5</v>
      </c>
      <c r="Q250" s="111">
        <f>VLOOKUP(VLOOKUP(DATEVALUE(TEXT(A250,"m/d/yyyy")),FY24_Temp[],5,FALSE)&amp;TEXT(A250,"-h"),TempDelta[],4,FALSE)</f>
        <v>2.6134285245622908</v>
      </c>
      <c r="R250" s="112">
        <v>10</v>
      </c>
      <c r="S250" s="112">
        <v>1500</v>
      </c>
      <c r="T250" s="99">
        <f>VLOOKUP(TEXT(A250,"yy-mm")&amp;"-"&amp;IF(AND(WEEKDAY(A250)&gt;1,WEEKDAY(A250)&lt;7),"Wkd",TEXT(A250,"Ddd"))&amp;"-"&amp;TEXT(A250,"hh"),LoadTable[],3,FALSE)*0.92</f>
        <v>279.25312000000002</v>
      </c>
      <c r="U250" s="113">
        <f t="shared" si="209"/>
        <v>27.925312000000002</v>
      </c>
    </row>
    <row r="251" spans="1:21" ht="15" thickBot="1">
      <c r="A251" s="29">
        <f t="shared" si="247"/>
        <v>45846.333333334711</v>
      </c>
      <c r="B251" s="187">
        <f t="shared" ref="B251:L251" si="265">B275</f>
        <v>8000</v>
      </c>
      <c r="C251" s="187">
        <f t="shared" si="265"/>
        <v>25000</v>
      </c>
      <c r="D251" s="187">
        <v>0</v>
      </c>
      <c r="E251" s="187">
        <v>700</v>
      </c>
      <c r="F251" s="187">
        <v>15000</v>
      </c>
      <c r="G251" s="187">
        <f t="shared" si="265"/>
        <v>2400</v>
      </c>
      <c r="H251" s="187">
        <f t="shared" si="265"/>
        <v>25000</v>
      </c>
      <c r="I251" s="187">
        <f t="shared" si="265"/>
        <v>8000</v>
      </c>
      <c r="J251" s="187">
        <v>40000</v>
      </c>
      <c r="K251" s="187">
        <f t="shared" si="265"/>
        <v>8000</v>
      </c>
      <c r="L251" s="187">
        <v>40000</v>
      </c>
      <c r="M251" s="110">
        <v>9.5</v>
      </c>
      <c r="N251" s="110">
        <f>VLOOKUP(DATE(YEAR(A251),MONTH(A251),DAY(A251)),FY24_Temp[],3,FALSE)</f>
        <v>12.8</v>
      </c>
      <c r="O251" s="110">
        <f t="shared" si="207"/>
        <v>11.5</v>
      </c>
      <c r="P251" s="110">
        <f t="shared" si="208"/>
        <v>19.5</v>
      </c>
      <c r="Q251" s="111">
        <f>VLOOKUP(VLOOKUP(DATEVALUE(TEXT(A251,"m/d/yyyy")),FY24_Temp[],5,FALSE)&amp;TEXT(A251,"-h"),TempDelta[],4,FALSE)</f>
        <v>2.44985716683524</v>
      </c>
      <c r="R251" s="112">
        <v>10</v>
      </c>
      <c r="S251" s="112">
        <v>1500</v>
      </c>
      <c r="T251" s="99">
        <f>VLOOKUP(TEXT(A251,"yy-mm")&amp;"-"&amp;IF(AND(WEEKDAY(A251)&gt;1,WEEKDAY(A251)&lt;7),"Wkd",TEXT(A251,"Ddd"))&amp;"-"&amp;TEXT(A251,"hh"),LoadTable[],3,FALSE)*0.92</f>
        <v>279.25312000000002</v>
      </c>
      <c r="U251" s="113">
        <f t="shared" si="209"/>
        <v>27.925312000000002</v>
      </c>
    </row>
    <row r="252" spans="1:21" ht="15" thickBot="1">
      <c r="A252" s="29">
        <f t="shared" si="247"/>
        <v>45846.375000001375</v>
      </c>
      <c r="B252" s="187">
        <f t="shared" ref="B252:L252" si="266">B276</f>
        <v>8000</v>
      </c>
      <c r="C252" s="187">
        <f t="shared" si="266"/>
        <v>25000</v>
      </c>
      <c r="D252" s="187">
        <v>0</v>
      </c>
      <c r="E252" s="187">
        <v>700</v>
      </c>
      <c r="F252" s="187">
        <v>15000</v>
      </c>
      <c r="G252" s="187">
        <f t="shared" si="266"/>
        <v>2400</v>
      </c>
      <c r="H252" s="187">
        <f t="shared" si="266"/>
        <v>25000</v>
      </c>
      <c r="I252" s="187">
        <f t="shared" si="266"/>
        <v>8000</v>
      </c>
      <c r="J252" s="187">
        <v>40000</v>
      </c>
      <c r="K252" s="187">
        <f t="shared" si="266"/>
        <v>8000</v>
      </c>
      <c r="L252" s="187">
        <v>40000</v>
      </c>
      <c r="M252" s="110">
        <v>9.5</v>
      </c>
      <c r="N252" s="110">
        <f>VLOOKUP(DATE(YEAR(A252),MONTH(A252),DAY(A252)),FY24_Temp[],3,FALSE)</f>
        <v>12.8</v>
      </c>
      <c r="O252" s="110">
        <f t="shared" si="207"/>
        <v>11.5</v>
      </c>
      <c r="P252" s="110">
        <f t="shared" si="208"/>
        <v>19.5</v>
      </c>
      <c r="Q252" s="111">
        <f>VLOOKUP(VLOOKUP(DATEVALUE(TEXT(A252,"m/d/yyyy")),FY24_Temp[],5,FALSE)&amp;TEXT(A252,"-h"),TempDelta[],4,FALSE)</f>
        <v>2.2458571025303433</v>
      </c>
      <c r="R252" s="112">
        <v>10</v>
      </c>
      <c r="S252" s="112">
        <v>1500</v>
      </c>
      <c r="T252" s="99">
        <f>VLOOKUP(TEXT(A252,"yy-mm")&amp;"-"&amp;IF(AND(WEEKDAY(A252)&gt;1,WEEKDAY(A252)&lt;7),"Wkd",TEXT(A252,"Ddd"))&amp;"-"&amp;TEXT(A252,"hh"),LoadTable[],3,FALSE)*0.92</f>
        <v>279.25312000000002</v>
      </c>
      <c r="U252" s="113">
        <f t="shared" si="209"/>
        <v>27.925312000000002</v>
      </c>
    </row>
    <row r="253" spans="1:21" ht="15" thickBot="1">
      <c r="A253" s="29">
        <f t="shared" si="247"/>
        <v>45846.416666668039</v>
      </c>
      <c r="B253" s="187">
        <f t="shared" ref="B253:L253" si="267">B277</f>
        <v>8000</v>
      </c>
      <c r="C253" s="187">
        <f t="shared" si="267"/>
        <v>25000</v>
      </c>
      <c r="D253" s="187">
        <v>0</v>
      </c>
      <c r="E253" s="187">
        <v>700</v>
      </c>
      <c r="F253" s="187">
        <v>15000</v>
      </c>
      <c r="G253" s="187">
        <f t="shared" si="267"/>
        <v>2400</v>
      </c>
      <c r="H253" s="187">
        <f t="shared" si="267"/>
        <v>25000</v>
      </c>
      <c r="I253" s="187">
        <f t="shared" si="267"/>
        <v>8000</v>
      </c>
      <c r="J253" s="187">
        <v>40000</v>
      </c>
      <c r="K253" s="187">
        <f t="shared" si="267"/>
        <v>8000</v>
      </c>
      <c r="L253" s="187">
        <v>40000</v>
      </c>
      <c r="M253" s="110">
        <v>9.5</v>
      </c>
      <c r="N253" s="110">
        <f>VLOOKUP(DATE(YEAR(A253),MONTH(A253),DAY(A253)),FY24_Temp[],3,FALSE)</f>
        <v>12.8</v>
      </c>
      <c r="O253" s="110">
        <f t="shared" si="207"/>
        <v>11.5</v>
      </c>
      <c r="P253" s="110">
        <f t="shared" si="208"/>
        <v>19.5</v>
      </c>
      <c r="Q253" s="111">
        <f>VLOOKUP(VLOOKUP(DATEVALUE(TEXT(A253,"m/d/yyyy")),FY24_Temp[],5,FALSE)&amp;TEXT(A253,"-h"),TempDelta[],4,FALSE)</f>
        <v>2.0832857234137401</v>
      </c>
      <c r="R253" s="112">
        <v>10</v>
      </c>
      <c r="S253" s="112">
        <v>1500</v>
      </c>
      <c r="T253" s="99">
        <f>VLOOKUP(TEXT(A253,"yy-mm")&amp;"-"&amp;IF(AND(WEEKDAY(A253)&gt;1,WEEKDAY(A253)&lt;7),"Wkd",TEXT(A253,"Ddd"))&amp;"-"&amp;TEXT(A253,"hh"),LoadTable[],3,FALSE)*0.92</f>
        <v>279.25312000000002</v>
      </c>
      <c r="U253" s="113">
        <f t="shared" si="209"/>
        <v>27.925312000000002</v>
      </c>
    </row>
    <row r="254" spans="1:21" ht="15" thickBot="1">
      <c r="A254" s="29">
        <f t="shared" si="247"/>
        <v>45846.458333334704</v>
      </c>
      <c r="B254" s="187">
        <f t="shared" ref="B254:L254" si="268">B278</f>
        <v>8000</v>
      </c>
      <c r="C254" s="187">
        <f t="shared" si="268"/>
        <v>25000</v>
      </c>
      <c r="D254" s="187">
        <v>0</v>
      </c>
      <c r="E254" s="187">
        <v>700</v>
      </c>
      <c r="F254" s="187">
        <v>15000</v>
      </c>
      <c r="G254" s="187">
        <f t="shared" si="268"/>
        <v>2400</v>
      </c>
      <c r="H254" s="187">
        <f t="shared" si="268"/>
        <v>25000</v>
      </c>
      <c r="I254" s="187">
        <f t="shared" si="268"/>
        <v>8000</v>
      </c>
      <c r="J254" s="187">
        <v>40000</v>
      </c>
      <c r="K254" s="187">
        <f t="shared" si="268"/>
        <v>8000</v>
      </c>
      <c r="L254" s="187">
        <v>40000</v>
      </c>
      <c r="M254" s="110">
        <v>9.5</v>
      </c>
      <c r="N254" s="110">
        <f>VLOOKUP(DATE(YEAR(A254),MONTH(A254),DAY(A254)),FY24_Temp[],3,FALSE)</f>
        <v>12.8</v>
      </c>
      <c r="O254" s="110">
        <f t="shared" si="207"/>
        <v>11.5</v>
      </c>
      <c r="P254" s="110">
        <f t="shared" si="208"/>
        <v>19.5</v>
      </c>
      <c r="Q254" s="111">
        <f>VLOOKUP(VLOOKUP(DATEVALUE(TEXT(A254,"m/d/yyyy")),FY24_Temp[],5,FALSE)&amp;TEXT(A254,"-h"),TempDelta[],4,FALSE)</f>
        <v>1.8928571258272444</v>
      </c>
      <c r="R254" s="112">
        <v>10</v>
      </c>
      <c r="S254" s="112">
        <v>1500</v>
      </c>
      <c r="T254" s="99">
        <f>VLOOKUP(TEXT(A254,"yy-mm")&amp;"-"&amp;IF(AND(WEEKDAY(A254)&gt;1,WEEKDAY(A254)&lt;7),"Wkd",TEXT(A254,"Ddd"))&amp;"-"&amp;TEXT(A254,"hh"),LoadTable[],3,FALSE)*0.92</f>
        <v>279.25312000000002</v>
      </c>
      <c r="U254" s="113">
        <f t="shared" si="209"/>
        <v>27.925312000000002</v>
      </c>
    </row>
    <row r="255" spans="1:21" ht="15" thickBot="1">
      <c r="A255" s="29">
        <f t="shared" si="247"/>
        <v>45846.500000001368</v>
      </c>
      <c r="B255" s="187">
        <f t="shared" ref="B255:L255" si="269">B279</f>
        <v>8000</v>
      </c>
      <c r="C255" s="187">
        <f t="shared" si="269"/>
        <v>25000</v>
      </c>
      <c r="D255" s="187">
        <v>0</v>
      </c>
      <c r="E255" s="187">
        <v>700</v>
      </c>
      <c r="F255" s="187">
        <v>15000</v>
      </c>
      <c r="G255" s="187">
        <f t="shared" si="269"/>
        <v>2400</v>
      </c>
      <c r="H255" s="187">
        <f t="shared" si="269"/>
        <v>25000</v>
      </c>
      <c r="I255" s="187">
        <f t="shared" si="269"/>
        <v>8000</v>
      </c>
      <c r="J255" s="187">
        <v>40000</v>
      </c>
      <c r="K255" s="187">
        <f t="shared" si="269"/>
        <v>8000</v>
      </c>
      <c r="L255" s="187">
        <v>40000</v>
      </c>
      <c r="M255" s="110">
        <v>9.5</v>
      </c>
      <c r="N255" s="110">
        <f>VLOOKUP(DATE(YEAR(A255),MONTH(A255),DAY(A255)),FY24_Temp[],3,FALSE)</f>
        <v>12.8</v>
      </c>
      <c r="O255" s="110">
        <f t="shared" si="207"/>
        <v>11.5</v>
      </c>
      <c r="P255" s="110">
        <f t="shared" si="208"/>
        <v>19.5</v>
      </c>
      <c r="Q255" s="111">
        <f>VLOOKUP(VLOOKUP(DATEVALUE(TEXT(A255,"m/d/yyyy")),FY24_Temp[],5,FALSE)&amp;TEXT(A255,"-h"),TempDelta[],4,FALSE)</f>
        <v>1.665857127734593</v>
      </c>
      <c r="R255" s="112">
        <v>10</v>
      </c>
      <c r="S255" s="112">
        <v>1500</v>
      </c>
      <c r="T255" s="99">
        <f>VLOOKUP(TEXT(A255,"yy-mm")&amp;"-"&amp;IF(AND(WEEKDAY(A255)&gt;1,WEEKDAY(A255)&lt;7),"Wkd",TEXT(A255,"Ddd"))&amp;"-"&amp;TEXT(A255,"hh"),LoadTable[],3,FALSE)*0.92</f>
        <v>279.25312000000002</v>
      </c>
      <c r="U255" s="113">
        <f t="shared" si="209"/>
        <v>27.925312000000002</v>
      </c>
    </row>
    <row r="256" spans="1:21" ht="15" thickBot="1">
      <c r="A256" s="29">
        <f t="shared" si="247"/>
        <v>45846.541666668032</v>
      </c>
      <c r="B256" s="187">
        <f t="shared" ref="B256:L256" si="270">B280</f>
        <v>8000</v>
      </c>
      <c r="C256" s="187">
        <f t="shared" si="270"/>
        <v>25000</v>
      </c>
      <c r="D256" s="187">
        <v>0</v>
      </c>
      <c r="E256" s="187">
        <v>700</v>
      </c>
      <c r="F256" s="187">
        <v>15000</v>
      </c>
      <c r="G256" s="187">
        <f t="shared" si="270"/>
        <v>2400</v>
      </c>
      <c r="H256" s="187">
        <f t="shared" si="270"/>
        <v>25000</v>
      </c>
      <c r="I256" s="187">
        <f t="shared" si="270"/>
        <v>8000</v>
      </c>
      <c r="J256" s="187">
        <v>40000</v>
      </c>
      <c r="K256" s="187">
        <f t="shared" si="270"/>
        <v>8000</v>
      </c>
      <c r="L256" s="187">
        <v>40000</v>
      </c>
      <c r="M256" s="110">
        <v>9.5</v>
      </c>
      <c r="N256" s="110">
        <f>VLOOKUP(DATE(YEAR(A256),MONTH(A256),DAY(A256)),FY24_Temp[],3,FALSE)</f>
        <v>12.8</v>
      </c>
      <c r="O256" s="110">
        <f t="shared" si="207"/>
        <v>11.5</v>
      </c>
      <c r="P256" s="110">
        <f t="shared" si="208"/>
        <v>19.5</v>
      </c>
      <c r="Q256" s="111">
        <f>VLOOKUP(VLOOKUP(DATEVALUE(TEXT(A256,"m/d/yyyy")),FY24_Temp[],5,FALSE)&amp;TEXT(A256,"-h"),TempDelta[],4,FALSE)</f>
        <v>1.4252856969833374</v>
      </c>
      <c r="R256" s="112">
        <v>10</v>
      </c>
      <c r="S256" s="112">
        <v>1500</v>
      </c>
      <c r="T256" s="99">
        <f>VLOOKUP(TEXT(A256,"yy-mm")&amp;"-"&amp;IF(AND(WEEKDAY(A256)&gt;1,WEEKDAY(A256)&lt;7),"Wkd",TEXT(A256,"Ddd"))&amp;"-"&amp;TEXT(A256,"hh"),LoadTable[],3,FALSE)*0.92</f>
        <v>279.25312000000002</v>
      </c>
      <c r="U256" s="113">
        <f t="shared" si="209"/>
        <v>27.925312000000002</v>
      </c>
    </row>
    <row r="257" spans="1:21" ht="15" thickBot="1">
      <c r="A257" s="29">
        <f t="shared" si="247"/>
        <v>45846.583333334696</v>
      </c>
      <c r="B257" s="187">
        <f t="shared" ref="B257:L257" si="271">B281</f>
        <v>8000</v>
      </c>
      <c r="C257" s="187">
        <f t="shared" si="271"/>
        <v>25000</v>
      </c>
      <c r="D257" s="187">
        <v>0</v>
      </c>
      <c r="E257" s="187">
        <v>700</v>
      </c>
      <c r="F257" s="187">
        <v>15000</v>
      </c>
      <c r="G257" s="187">
        <f t="shared" si="271"/>
        <v>2400</v>
      </c>
      <c r="H257" s="187">
        <f t="shared" si="271"/>
        <v>25000</v>
      </c>
      <c r="I257" s="187">
        <f t="shared" si="271"/>
        <v>8000</v>
      </c>
      <c r="J257" s="187">
        <v>40000</v>
      </c>
      <c r="K257" s="187">
        <f t="shared" si="271"/>
        <v>8000</v>
      </c>
      <c r="L257" s="187">
        <v>40000</v>
      </c>
      <c r="M257" s="110">
        <v>9.5</v>
      </c>
      <c r="N257" s="110">
        <f>VLOOKUP(DATE(YEAR(A257),MONTH(A257),DAY(A257)),FY24_Temp[],3,FALSE)</f>
        <v>12.8</v>
      </c>
      <c r="O257" s="110">
        <f t="shared" si="207"/>
        <v>11.5</v>
      </c>
      <c r="P257" s="110">
        <f t="shared" si="208"/>
        <v>19.5</v>
      </c>
      <c r="Q257" s="111">
        <f>VLOOKUP(VLOOKUP(DATEVALUE(TEXT(A257,"m/d/yyyy")),FY24_Temp[],5,FALSE)&amp;TEXT(A257,"-h"),TempDelta[],4,FALSE)</f>
        <v>1.2351428781236922</v>
      </c>
      <c r="R257" s="112">
        <v>10</v>
      </c>
      <c r="S257" s="112">
        <v>1500</v>
      </c>
      <c r="T257" s="99">
        <f>VLOOKUP(TEXT(A257,"yy-mm")&amp;"-"&amp;IF(AND(WEEKDAY(A257)&gt;1,WEEKDAY(A257)&lt;7),"Wkd",TEXT(A257,"Ddd"))&amp;"-"&amp;TEXT(A257,"hh"),LoadTable[],3,FALSE)*0.92</f>
        <v>373.26607999999999</v>
      </c>
      <c r="U257" s="113">
        <f t="shared" si="209"/>
        <v>37.326608</v>
      </c>
    </row>
    <row r="258" spans="1:21" ht="15" thickBot="1">
      <c r="A258" s="29">
        <f t="shared" si="247"/>
        <v>45846.625000001361</v>
      </c>
      <c r="B258" s="187">
        <f t="shared" ref="B258:L258" si="272">B282</f>
        <v>8000</v>
      </c>
      <c r="C258" s="187">
        <f t="shared" si="272"/>
        <v>25000</v>
      </c>
      <c r="D258" s="187">
        <v>0</v>
      </c>
      <c r="E258" s="187">
        <v>700</v>
      </c>
      <c r="F258" s="187">
        <v>15000</v>
      </c>
      <c r="G258" s="187">
        <f t="shared" si="272"/>
        <v>2400</v>
      </c>
      <c r="H258" s="187">
        <f t="shared" si="272"/>
        <v>25000</v>
      </c>
      <c r="I258" s="187">
        <f t="shared" si="272"/>
        <v>8000</v>
      </c>
      <c r="J258" s="187">
        <v>40000</v>
      </c>
      <c r="K258" s="187">
        <f t="shared" si="272"/>
        <v>8000</v>
      </c>
      <c r="L258" s="187">
        <v>40000</v>
      </c>
      <c r="M258" s="110">
        <v>9.5</v>
      </c>
      <c r="N258" s="110">
        <f>VLOOKUP(DATE(YEAR(A258),MONTH(A258),DAY(A258)),FY24_Temp[],3,FALSE)</f>
        <v>12.8</v>
      </c>
      <c r="O258" s="110">
        <f t="shared" si="207"/>
        <v>11.5</v>
      </c>
      <c r="P258" s="110">
        <f t="shared" si="208"/>
        <v>19.5</v>
      </c>
      <c r="Q258" s="111">
        <f>VLOOKUP(VLOOKUP(DATEVALUE(TEXT(A258,"m/d/yyyy")),FY24_Temp[],5,FALSE)&amp;TEXT(A258,"-h"),TempDelta[],4,FALSE)</f>
        <v>0.97514284508568905</v>
      </c>
      <c r="R258" s="112">
        <v>10</v>
      </c>
      <c r="S258" s="112">
        <v>1500</v>
      </c>
      <c r="T258" s="99">
        <f>VLOOKUP(TEXT(A258,"yy-mm")&amp;"-"&amp;IF(AND(WEEKDAY(A258)&gt;1,WEEKDAY(A258)&lt;7),"Wkd",TEXT(A258,"Ddd"))&amp;"-"&amp;TEXT(A258,"hh"),LoadTable[],3,FALSE)*0.92</f>
        <v>494.57360000000006</v>
      </c>
      <c r="U258" s="113">
        <f t="shared" si="209"/>
        <v>49.457360000000008</v>
      </c>
    </row>
    <row r="259" spans="1:21" ht="15" thickBot="1">
      <c r="A259" s="29">
        <f t="shared" si="247"/>
        <v>45846.666666668025</v>
      </c>
      <c r="B259" s="187">
        <f t="shared" ref="B259:L259" si="273">B283</f>
        <v>8000</v>
      </c>
      <c r="C259" s="187">
        <f t="shared" si="273"/>
        <v>25000</v>
      </c>
      <c r="D259" s="187">
        <v>0</v>
      </c>
      <c r="E259" s="187">
        <v>700</v>
      </c>
      <c r="F259" s="187">
        <v>15000</v>
      </c>
      <c r="G259" s="187">
        <f t="shared" si="273"/>
        <v>2400</v>
      </c>
      <c r="H259" s="187">
        <f t="shared" si="273"/>
        <v>25000</v>
      </c>
      <c r="I259" s="187">
        <f t="shared" si="273"/>
        <v>8000</v>
      </c>
      <c r="J259" s="187">
        <v>40000</v>
      </c>
      <c r="K259" s="187">
        <f t="shared" si="273"/>
        <v>8000</v>
      </c>
      <c r="L259" s="187">
        <v>40000</v>
      </c>
      <c r="M259" s="110">
        <v>9.5</v>
      </c>
      <c r="N259" s="110">
        <f>VLOOKUP(DATE(YEAR(A259),MONTH(A259),DAY(A259)),FY24_Temp[],3,FALSE)</f>
        <v>12.8</v>
      </c>
      <c r="O259" s="110">
        <f t="shared" si="207"/>
        <v>11.5</v>
      </c>
      <c r="P259" s="110">
        <f t="shared" si="208"/>
        <v>19.5</v>
      </c>
      <c r="Q259" s="111">
        <f>VLOOKUP(VLOOKUP(DATEVALUE(TEXT(A259,"m/d/yyyy")),FY24_Temp[],5,FALSE)&amp;TEXT(A259,"-h"),TempDelta[],4,FALSE)</f>
        <v>0.88578571166310993</v>
      </c>
      <c r="R259" s="112">
        <v>10</v>
      </c>
      <c r="S259" s="112">
        <v>1500</v>
      </c>
      <c r="T259" s="99">
        <f>VLOOKUP(TEXT(A259,"yy-mm")&amp;"-"&amp;IF(AND(WEEKDAY(A259)&gt;1,WEEKDAY(A259)&lt;7),"Wkd",TEXT(A259,"Ddd"))&amp;"-"&amp;TEXT(A259,"hh"),LoadTable[],3,FALSE)*0.92</f>
        <v>494.57360000000006</v>
      </c>
      <c r="U259" s="113">
        <f t="shared" si="209"/>
        <v>49.457360000000008</v>
      </c>
    </row>
    <row r="260" spans="1:21" ht="15" thickBot="1">
      <c r="A260" s="29">
        <f t="shared" si="247"/>
        <v>45846.708333334689</v>
      </c>
      <c r="B260" s="187">
        <f t="shared" ref="B260:L260" si="274">B284</f>
        <v>8000</v>
      </c>
      <c r="C260" s="187">
        <f t="shared" si="274"/>
        <v>25000</v>
      </c>
      <c r="D260" s="187">
        <v>0</v>
      </c>
      <c r="E260" s="187">
        <v>700</v>
      </c>
      <c r="F260" s="187">
        <v>15000</v>
      </c>
      <c r="G260" s="187">
        <f t="shared" si="274"/>
        <v>2400</v>
      </c>
      <c r="H260" s="187">
        <f t="shared" si="274"/>
        <v>25000</v>
      </c>
      <c r="I260" s="187">
        <f t="shared" si="274"/>
        <v>8000</v>
      </c>
      <c r="J260" s="187">
        <v>40000</v>
      </c>
      <c r="K260" s="187">
        <f t="shared" si="274"/>
        <v>8000</v>
      </c>
      <c r="L260" s="187">
        <v>40000</v>
      </c>
      <c r="M260" s="110">
        <v>9.5</v>
      </c>
      <c r="N260" s="110">
        <f>VLOOKUP(DATE(YEAR(A260),MONTH(A260),DAY(A260)),FY24_Temp[],3,FALSE)</f>
        <v>12.8</v>
      </c>
      <c r="O260" s="110">
        <f t="shared" ref="O260:O323" si="275">15.5-4</f>
        <v>11.5</v>
      </c>
      <c r="P260" s="110">
        <f t="shared" ref="P260:P323" si="276">15.5+4</f>
        <v>19.5</v>
      </c>
      <c r="Q260" s="111">
        <f>VLOOKUP(VLOOKUP(DATEVALUE(TEXT(A260,"m/d/yyyy")),FY24_Temp[],5,FALSE)&amp;TEXT(A260,"-h"),TempDelta[],4,FALSE)</f>
        <v>1.0356428495475225</v>
      </c>
      <c r="R260" s="112">
        <v>10</v>
      </c>
      <c r="S260" s="112">
        <v>1500</v>
      </c>
      <c r="T260" s="99">
        <f>VLOOKUP(TEXT(A260,"yy-mm")&amp;"-"&amp;IF(AND(WEEKDAY(A260)&gt;1,WEEKDAY(A260)&lt;7),"Wkd",TEXT(A260,"Ddd"))&amp;"-"&amp;TEXT(A260,"hh"),LoadTable[],3,FALSE)*0.92</f>
        <v>494.57360000000006</v>
      </c>
      <c r="U260" s="113">
        <f t="shared" ref="U260:U323" si="277">T260/10</f>
        <v>49.457360000000008</v>
      </c>
    </row>
    <row r="261" spans="1:21" ht="15" thickBot="1">
      <c r="A261" s="29">
        <f t="shared" si="247"/>
        <v>45846.750000001353</v>
      </c>
      <c r="B261" s="187">
        <f t="shared" ref="B261:L261" si="278">B285</f>
        <v>5000</v>
      </c>
      <c r="C261" s="187">
        <f t="shared" si="278"/>
        <v>25000</v>
      </c>
      <c r="D261" s="187">
        <v>0</v>
      </c>
      <c r="E261" s="187">
        <v>700</v>
      </c>
      <c r="F261" s="187">
        <v>15000</v>
      </c>
      <c r="G261" s="187">
        <f t="shared" si="278"/>
        <v>2400</v>
      </c>
      <c r="H261" s="187">
        <f t="shared" si="278"/>
        <v>25000</v>
      </c>
      <c r="I261" s="187">
        <f t="shared" si="278"/>
        <v>5000</v>
      </c>
      <c r="J261" s="187">
        <v>40000</v>
      </c>
      <c r="K261" s="187">
        <f t="shared" si="278"/>
        <v>5000</v>
      </c>
      <c r="L261" s="187">
        <v>40000</v>
      </c>
      <c r="M261" s="110">
        <v>9.5</v>
      </c>
      <c r="N261" s="110">
        <f>VLOOKUP(DATE(YEAR(A261),MONTH(A261),DAY(A261)),FY24_Temp[],3,FALSE)</f>
        <v>12.8</v>
      </c>
      <c r="O261" s="110">
        <f t="shared" si="275"/>
        <v>11.5</v>
      </c>
      <c r="P261" s="110">
        <f t="shared" si="276"/>
        <v>19.5</v>
      </c>
      <c r="Q261" s="111">
        <f>VLOOKUP(VLOOKUP(DATEVALUE(TEXT(A261,"m/d/yyyy")),FY24_Temp[],5,FALSE)&amp;TEXT(A261,"-h"),TempDelta[],4,FALSE)</f>
        <v>1.3991428358214242</v>
      </c>
      <c r="R261" s="112">
        <v>10</v>
      </c>
      <c r="S261" s="112">
        <v>1500</v>
      </c>
      <c r="T261" s="99">
        <f>VLOOKUP(TEXT(A261,"yy-mm")&amp;"-"&amp;IF(AND(WEEKDAY(A261)&gt;1,WEEKDAY(A261)&lt;7),"Wkd",TEXT(A261,"Ddd"))&amp;"-"&amp;TEXT(A261,"hh"),LoadTable[],3,FALSE)*0.92</f>
        <v>494.57360000000006</v>
      </c>
      <c r="U261" s="113">
        <f t="shared" si="277"/>
        <v>49.457360000000008</v>
      </c>
    </row>
    <row r="262" spans="1:21" ht="15" thickBot="1">
      <c r="A262" s="29">
        <f t="shared" si="247"/>
        <v>45846.791666668018</v>
      </c>
      <c r="B262" s="187">
        <f t="shared" ref="B262:L262" si="279">B286</f>
        <v>5000</v>
      </c>
      <c r="C262" s="187">
        <f t="shared" si="279"/>
        <v>25000</v>
      </c>
      <c r="D262" s="187">
        <v>0</v>
      </c>
      <c r="E262" s="187">
        <v>700</v>
      </c>
      <c r="F262" s="187">
        <v>15000</v>
      </c>
      <c r="G262" s="187">
        <f t="shared" si="279"/>
        <v>2400</v>
      </c>
      <c r="H262" s="187">
        <f t="shared" si="279"/>
        <v>25000</v>
      </c>
      <c r="I262" s="187">
        <f t="shared" si="279"/>
        <v>5000</v>
      </c>
      <c r="J262" s="187">
        <v>40000</v>
      </c>
      <c r="K262" s="187">
        <f t="shared" si="279"/>
        <v>5000</v>
      </c>
      <c r="L262" s="187">
        <v>40000</v>
      </c>
      <c r="M262" s="110">
        <v>9.5</v>
      </c>
      <c r="N262" s="110">
        <f>VLOOKUP(DATE(YEAR(A262),MONTH(A262),DAY(A262)),FY24_Temp[],3,FALSE)</f>
        <v>12.8</v>
      </c>
      <c r="O262" s="110">
        <f t="shared" si="275"/>
        <v>11.5</v>
      </c>
      <c r="P262" s="110">
        <f t="shared" si="276"/>
        <v>19.5</v>
      </c>
      <c r="Q262" s="111">
        <f>VLOOKUP(VLOOKUP(DATEVALUE(TEXT(A262,"m/d/yyyy")),FY24_Temp[],5,FALSE)&amp;TEXT(A262,"-h"),TempDelta[],4,FALSE)</f>
        <v>1.8638571415628706</v>
      </c>
      <c r="R262" s="112">
        <v>10</v>
      </c>
      <c r="S262" s="112">
        <v>1500</v>
      </c>
      <c r="T262" s="99">
        <f>VLOOKUP(TEXT(A262,"yy-mm")&amp;"-"&amp;IF(AND(WEEKDAY(A262)&gt;1,WEEKDAY(A262)&lt;7),"Wkd",TEXT(A262,"Ddd"))&amp;"-"&amp;TEXT(A262,"hh"),LoadTable[],3,FALSE)*0.92</f>
        <v>494.57360000000006</v>
      </c>
      <c r="U262" s="113">
        <f t="shared" si="277"/>
        <v>49.457360000000008</v>
      </c>
    </row>
    <row r="263" spans="1:21" ht="15" thickBot="1">
      <c r="A263" s="29">
        <f t="shared" si="247"/>
        <v>45846.833333334682</v>
      </c>
      <c r="B263" s="187">
        <f t="shared" ref="B263:L263" si="280">B287</f>
        <v>5000</v>
      </c>
      <c r="C263" s="187">
        <f t="shared" si="280"/>
        <v>25000</v>
      </c>
      <c r="D263" s="187">
        <v>0</v>
      </c>
      <c r="E263" s="187">
        <v>700</v>
      </c>
      <c r="F263" s="187">
        <v>15000</v>
      </c>
      <c r="G263" s="187">
        <f t="shared" si="280"/>
        <v>2400</v>
      </c>
      <c r="H263" s="187">
        <f t="shared" si="280"/>
        <v>25000</v>
      </c>
      <c r="I263" s="187">
        <f t="shared" si="280"/>
        <v>5000</v>
      </c>
      <c r="J263" s="187">
        <v>40000</v>
      </c>
      <c r="K263" s="187">
        <f t="shared" si="280"/>
        <v>5000</v>
      </c>
      <c r="L263" s="187">
        <v>40000</v>
      </c>
      <c r="M263" s="110">
        <v>9.5</v>
      </c>
      <c r="N263" s="110">
        <f>VLOOKUP(DATE(YEAR(A263),MONTH(A263),DAY(A263)),FY24_Temp[],3,FALSE)</f>
        <v>12.8</v>
      </c>
      <c r="O263" s="110">
        <f t="shared" si="275"/>
        <v>11.5</v>
      </c>
      <c r="P263" s="110">
        <f t="shared" si="276"/>
        <v>19.5</v>
      </c>
      <c r="Q263" s="111">
        <f>VLOOKUP(VLOOKUP(DATEVALUE(TEXT(A263,"m/d/yyyy")),FY24_Temp[],5,FALSE)&amp;TEXT(A263,"-h"),TempDelta[],4,FALSE)</f>
        <v>2.300714305468968</v>
      </c>
      <c r="R263" s="112">
        <v>10</v>
      </c>
      <c r="S263" s="112">
        <v>1500</v>
      </c>
      <c r="T263" s="99">
        <f>VLOOKUP(TEXT(A263,"yy-mm")&amp;"-"&amp;IF(AND(WEEKDAY(A263)&gt;1,WEEKDAY(A263)&lt;7),"Wkd",TEXT(A263,"Ddd"))&amp;"-"&amp;TEXT(A263,"hh"),LoadTable[],3,FALSE)*0.92</f>
        <v>494.57360000000006</v>
      </c>
      <c r="U263" s="113">
        <f t="shared" si="277"/>
        <v>49.457360000000008</v>
      </c>
    </row>
    <row r="264" spans="1:21" ht="15" thickBot="1">
      <c r="A264" s="29">
        <f t="shared" si="247"/>
        <v>45846.875000001346</v>
      </c>
      <c r="B264" s="187">
        <f t="shared" ref="B264:L264" si="281">B288</f>
        <v>5000</v>
      </c>
      <c r="C264" s="187">
        <f t="shared" si="281"/>
        <v>25000</v>
      </c>
      <c r="D264" s="187">
        <v>0</v>
      </c>
      <c r="E264" s="187">
        <v>700</v>
      </c>
      <c r="F264" s="187">
        <v>15000</v>
      </c>
      <c r="G264" s="187">
        <f t="shared" si="281"/>
        <v>2400</v>
      </c>
      <c r="H264" s="187">
        <f t="shared" si="281"/>
        <v>25000</v>
      </c>
      <c r="I264" s="187">
        <f t="shared" si="281"/>
        <v>5000</v>
      </c>
      <c r="J264" s="187">
        <v>40000</v>
      </c>
      <c r="K264" s="187">
        <f t="shared" si="281"/>
        <v>5000</v>
      </c>
      <c r="L264" s="187">
        <v>40000</v>
      </c>
      <c r="M264" s="110">
        <v>9.5</v>
      </c>
      <c r="N264" s="110">
        <f>VLOOKUP(DATE(YEAR(A264),MONTH(A264),DAY(A264)),FY24_Temp[],3,FALSE)</f>
        <v>12.8</v>
      </c>
      <c r="O264" s="110">
        <f t="shared" si="275"/>
        <v>11.5</v>
      </c>
      <c r="P264" s="110">
        <f t="shared" si="276"/>
        <v>19.5</v>
      </c>
      <c r="Q264" s="111">
        <f>VLOOKUP(VLOOKUP(DATEVALUE(TEXT(A264,"m/d/yyyy")),FY24_Temp[],5,FALSE)&amp;TEXT(A264,"-h"),TempDelta[],4,FALSE)</f>
        <v>2.554214222090585</v>
      </c>
      <c r="R264" s="112">
        <v>10</v>
      </c>
      <c r="S264" s="112">
        <v>1500</v>
      </c>
      <c r="T264" s="99">
        <f>VLOOKUP(TEXT(A264,"yy-mm")&amp;"-"&amp;IF(AND(WEEKDAY(A264)&gt;1,WEEKDAY(A264)&lt;7),"Wkd",TEXT(A264,"Ddd"))&amp;"-"&amp;TEXT(A264,"hh"),LoadTable[],3,FALSE)*0.92</f>
        <v>494.57360000000006</v>
      </c>
      <c r="U264" s="113">
        <f t="shared" si="277"/>
        <v>49.457360000000008</v>
      </c>
    </row>
    <row r="265" spans="1:21" ht="15" thickBot="1">
      <c r="A265" s="29">
        <f t="shared" si="247"/>
        <v>45846.91666666801</v>
      </c>
      <c r="B265" s="187">
        <f t="shared" ref="B265:L265" si="282">B289</f>
        <v>5000</v>
      </c>
      <c r="C265" s="187">
        <f t="shared" si="282"/>
        <v>25000</v>
      </c>
      <c r="D265" s="187">
        <v>0</v>
      </c>
      <c r="E265" s="187">
        <v>700</v>
      </c>
      <c r="F265" s="187">
        <v>15000</v>
      </c>
      <c r="G265" s="187">
        <f t="shared" si="282"/>
        <v>2400</v>
      </c>
      <c r="H265" s="187">
        <f t="shared" si="282"/>
        <v>25000</v>
      </c>
      <c r="I265" s="187">
        <f t="shared" si="282"/>
        <v>5000</v>
      </c>
      <c r="J265" s="187">
        <v>40000</v>
      </c>
      <c r="K265" s="187">
        <f t="shared" si="282"/>
        <v>5000</v>
      </c>
      <c r="L265" s="187">
        <v>40000</v>
      </c>
      <c r="M265" s="110">
        <v>9.5</v>
      </c>
      <c r="N265" s="110">
        <f>VLOOKUP(DATE(YEAR(A265),MONTH(A265),DAY(A265)),FY24_Temp[],3,FALSE)</f>
        <v>12.8</v>
      </c>
      <c r="O265" s="110">
        <f t="shared" si="275"/>
        <v>11.5</v>
      </c>
      <c r="P265" s="110">
        <f t="shared" si="276"/>
        <v>19.5</v>
      </c>
      <c r="Q265" s="111">
        <f>VLOOKUP(VLOOKUP(DATEVALUE(TEXT(A265,"m/d/yyyy")),FY24_Temp[],5,FALSE)&amp;TEXT(A265,"-h"),TempDelta[],4,FALSE)</f>
        <v>2.7827142647334506</v>
      </c>
      <c r="R265" s="112">
        <v>10</v>
      </c>
      <c r="S265" s="112">
        <v>1500</v>
      </c>
      <c r="T265" s="99">
        <f>VLOOKUP(TEXT(A265,"yy-mm")&amp;"-"&amp;IF(AND(WEEKDAY(A265)&gt;1,WEEKDAY(A265)&lt;7),"Wkd",TEXT(A265,"Ddd"))&amp;"-"&amp;TEXT(A265,"hh"),LoadTable[],3,FALSE)*0.92</f>
        <v>418.75640000000004</v>
      </c>
      <c r="U265" s="113">
        <f t="shared" si="277"/>
        <v>41.875640000000004</v>
      </c>
    </row>
    <row r="266" spans="1:21" ht="15" thickBot="1">
      <c r="A266" s="29">
        <f t="shared" si="247"/>
        <v>45846.958333334675</v>
      </c>
      <c r="B266" s="187">
        <f t="shared" ref="B266:L266" si="283">B290</f>
        <v>5000</v>
      </c>
      <c r="C266" s="187">
        <f t="shared" si="283"/>
        <v>25000</v>
      </c>
      <c r="D266" s="187">
        <v>0</v>
      </c>
      <c r="E266" s="187">
        <v>700</v>
      </c>
      <c r="F266" s="187">
        <v>15000</v>
      </c>
      <c r="G266" s="187">
        <f t="shared" si="283"/>
        <v>2400</v>
      </c>
      <c r="H266" s="187">
        <f t="shared" si="283"/>
        <v>25000</v>
      </c>
      <c r="I266" s="187">
        <f t="shared" si="283"/>
        <v>5000</v>
      </c>
      <c r="J266" s="187">
        <v>40000</v>
      </c>
      <c r="K266" s="187">
        <f t="shared" si="283"/>
        <v>5000</v>
      </c>
      <c r="L266" s="187">
        <v>40000</v>
      </c>
      <c r="M266" s="110">
        <v>9.5</v>
      </c>
      <c r="N266" s="110">
        <f>VLOOKUP(DATE(YEAR(A266),MONTH(A266),DAY(A266)),FY24_Temp[],3,FALSE)</f>
        <v>12.8</v>
      </c>
      <c r="O266" s="110">
        <f t="shared" si="275"/>
        <v>11.5</v>
      </c>
      <c r="P266" s="110">
        <f t="shared" si="276"/>
        <v>19.5</v>
      </c>
      <c r="Q266" s="111">
        <f>VLOOKUP(VLOOKUP(DATEVALUE(TEXT(A266,"m/d/yyyy")),FY24_Temp[],5,FALSE)&amp;TEXT(A266,"-h"),TempDelta[],4,FALSE)</f>
        <v>2.8792857101985385</v>
      </c>
      <c r="R266" s="112">
        <v>10</v>
      </c>
      <c r="S266" s="112">
        <v>1500</v>
      </c>
      <c r="T266" s="99">
        <f>VLOOKUP(TEXT(A266,"yy-mm")&amp;"-"&amp;IF(AND(WEEKDAY(A266)&gt;1,WEEKDAY(A266)&lt;7),"Wkd",TEXT(A266,"Ddd"))&amp;"-"&amp;TEXT(A266,"hh"),LoadTable[],3,FALSE)*0.92</f>
        <v>342.93920000000003</v>
      </c>
      <c r="U266" s="113">
        <f t="shared" si="277"/>
        <v>34.29392</v>
      </c>
    </row>
    <row r="267" spans="1:21" ht="15" thickBot="1">
      <c r="A267" s="29">
        <f t="shared" si="247"/>
        <v>45847.000000001339</v>
      </c>
      <c r="B267" s="187">
        <f t="shared" ref="B267:L267" si="284">B291</f>
        <v>5000</v>
      </c>
      <c r="C267" s="187">
        <f t="shared" si="284"/>
        <v>25000</v>
      </c>
      <c r="D267" s="187">
        <v>0</v>
      </c>
      <c r="E267" s="187">
        <v>700</v>
      </c>
      <c r="F267" s="187">
        <v>15000</v>
      </c>
      <c r="G267" s="187">
        <f t="shared" si="284"/>
        <v>2400</v>
      </c>
      <c r="H267" s="187">
        <f t="shared" si="284"/>
        <v>25000</v>
      </c>
      <c r="I267" s="187">
        <f t="shared" si="284"/>
        <v>5000</v>
      </c>
      <c r="J267" s="187">
        <v>40000</v>
      </c>
      <c r="K267" s="187">
        <f t="shared" si="284"/>
        <v>5000</v>
      </c>
      <c r="L267" s="187">
        <v>40000</v>
      </c>
      <c r="M267" s="110">
        <v>9.5</v>
      </c>
      <c r="N267" s="110">
        <f>VLOOKUP(DATE(YEAR(A267),MONTH(A267),DAY(A267)),FY24_Temp[],3,FALSE)</f>
        <v>12.8</v>
      </c>
      <c r="O267" s="110">
        <f t="shared" si="275"/>
        <v>11.5</v>
      </c>
      <c r="P267" s="110">
        <f t="shared" si="276"/>
        <v>19.5</v>
      </c>
      <c r="Q267" s="111">
        <f>VLOOKUP(VLOOKUP(DATEVALUE(TEXT(A267,"m/d/yyyy")),FY24_Temp[],5,FALSE)&amp;TEXT(A267,"-h"),TempDelta[],4,FALSE)</f>
        <v>3.0441428933824812</v>
      </c>
      <c r="R267" s="112">
        <v>10</v>
      </c>
      <c r="S267" s="112">
        <v>1500</v>
      </c>
      <c r="T267" s="99">
        <f>VLOOKUP(TEXT(A267,"yy-mm")&amp;"-"&amp;IF(AND(WEEKDAY(A267)&gt;1,WEEKDAY(A267)&lt;7),"Wkd",TEXT(A267,"Ddd"))&amp;"-"&amp;TEXT(A267,"hh"),LoadTable[],3,FALSE)*0.92</f>
        <v>279.25312000000002</v>
      </c>
      <c r="U267" s="113">
        <f t="shared" si="277"/>
        <v>27.925312000000002</v>
      </c>
    </row>
    <row r="268" spans="1:21" ht="15" thickBot="1">
      <c r="A268" s="29">
        <f t="shared" si="247"/>
        <v>45847.041666668003</v>
      </c>
      <c r="B268" s="187">
        <f t="shared" ref="B268:L268" si="285">B292</f>
        <v>5000</v>
      </c>
      <c r="C268" s="187">
        <f t="shared" si="285"/>
        <v>25000</v>
      </c>
      <c r="D268" s="187">
        <v>0</v>
      </c>
      <c r="E268" s="187">
        <v>700</v>
      </c>
      <c r="F268" s="187">
        <v>15000</v>
      </c>
      <c r="G268" s="187">
        <f t="shared" si="285"/>
        <v>2400</v>
      </c>
      <c r="H268" s="187">
        <f t="shared" si="285"/>
        <v>25000</v>
      </c>
      <c r="I268" s="187">
        <f t="shared" si="285"/>
        <v>5000</v>
      </c>
      <c r="J268" s="187">
        <v>40000</v>
      </c>
      <c r="K268" s="187">
        <f t="shared" si="285"/>
        <v>5000</v>
      </c>
      <c r="L268" s="187">
        <v>40000</v>
      </c>
      <c r="M268" s="110">
        <v>9.5</v>
      </c>
      <c r="N268" s="110">
        <f>VLOOKUP(DATE(YEAR(A268),MONTH(A268),DAY(A268)),FY24_Temp[],3,FALSE)</f>
        <v>12.8</v>
      </c>
      <c r="O268" s="110">
        <f t="shared" si="275"/>
        <v>11.5</v>
      </c>
      <c r="P268" s="110">
        <f t="shared" si="276"/>
        <v>19.5</v>
      </c>
      <c r="Q268" s="111">
        <f>VLOOKUP(VLOOKUP(DATEVALUE(TEXT(A268,"m/d/yyyy")),FY24_Temp[],5,FALSE)&amp;TEXT(A268,"-h"),TempDelta[],4,FALSE)</f>
        <v>3.0992857047489712</v>
      </c>
      <c r="R268" s="112">
        <v>10</v>
      </c>
      <c r="S268" s="112">
        <v>1500</v>
      </c>
      <c r="T268" s="99">
        <f>VLOOKUP(TEXT(A268,"yy-mm")&amp;"-"&amp;IF(AND(WEEKDAY(A268)&gt;1,WEEKDAY(A268)&lt;7),"Wkd",TEXT(A268,"Ddd"))&amp;"-"&amp;TEXT(A268,"hh"),LoadTable[],3,FALSE)*0.92</f>
        <v>279.25312000000002</v>
      </c>
      <c r="U268" s="113">
        <f t="shared" si="277"/>
        <v>27.925312000000002</v>
      </c>
    </row>
    <row r="269" spans="1:21" ht="15" thickBot="1">
      <c r="A269" s="29">
        <f t="shared" si="247"/>
        <v>45847.083333334667</v>
      </c>
      <c r="B269" s="187">
        <f t="shared" ref="B269:L269" si="286">B293</f>
        <v>5000</v>
      </c>
      <c r="C269" s="187">
        <f t="shared" si="286"/>
        <v>25000</v>
      </c>
      <c r="D269" s="187">
        <v>0</v>
      </c>
      <c r="E269" s="187">
        <v>700</v>
      </c>
      <c r="F269" s="187">
        <v>15000</v>
      </c>
      <c r="G269" s="187">
        <f t="shared" si="286"/>
        <v>2400</v>
      </c>
      <c r="H269" s="187">
        <f t="shared" si="286"/>
        <v>25000</v>
      </c>
      <c r="I269" s="187">
        <f t="shared" si="286"/>
        <v>5000</v>
      </c>
      <c r="J269" s="187">
        <v>40000</v>
      </c>
      <c r="K269" s="187">
        <f t="shared" si="286"/>
        <v>5000</v>
      </c>
      <c r="L269" s="187">
        <v>40000</v>
      </c>
      <c r="M269" s="110">
        <v>9.5</v>
      </c>
      <c r="N269" s="110">
        <f>VLOOKUP(DATE(YEAR(A269),MONTH(A269),DAY(A269)),FY24_Temp[],3,FALSE)</f>
        <v>12.8</v>
      </c>
      <c r="O269" s="110">
        <f t="shared" si="275"/>
        <v>11.5</v>
      </c>
      <c r="P269" s="110">
        <f t="shared" si="276"/>
        <v>19.5</v>
      </c>
      <c r="Q269" s="111">
        <f>VLOOKUP(VLOOKUP(DATEVALUE(TEXT(A269,"m/d/yyyy")),FY24_Temp[],5,FALSE)&amp;TEXT(A269,"-h"),TempDelta[],4,FALSE)</f>
        <v>3.1050000190734863</v>
      </c>
      <c r="R269" s="112">
        <v>10</v>
      </c>
      <c r="S269" s="112">
        <v>1500</v>
      </c>
      <c r="T269" s="99">
        <f>VLOOKUP(TEXT(A269,"yy-mm")&amp;"-"&amp;IF(AND(WEEKDAY(A269)&gt;1,WEEKDAY(A269)&lt;7),"Wkd",TEXT(A269,"Ddd"))&amp;"-"&amp;TEXT(A269,"hh"),LoadTable[],3,FALSE)*0.92</f>
        <v>279.25312000000002</v>
      </c>
      <c r="U269" s="113">
        <f t="shared" si="277"/>
        <v>27.925312000000002</v>
      </c>
    </row>
    <row r="270" spans="1:21" ht="15" thickBot="1">
      <c r="A270" s="29">
        <f t="shared" si="247"/>
        <v>45847.125000001332</v>
      </c>
      <c r="B270" s="187">
        <f t="shared" ref="B270:L270" si="287">B294</f>
        <v>5000</v>
      </c>
      <c r="C270" s="187">
        <f t="shared" si="287"/>
        <v>25000</v>
      </c>
      <c r="D270" s="187">
        <v>0</v>
      </c>
      <c r="E270" s="187">
        <v>700</v>
      </c>
      <c r="F270" s="187">
        <v>15000</v>
      </c>
      <c r="G270" s="187">
        <f t="shared" si="287"/>
        <v>2400</v>
      </c>
      <c r="H270" s="187">
        <f t="shared" si="287"/>
        <v>25000</v>
      </c>
      <c r="I270" s="187">
        <f t="shared" si="287"/>
        <v>5000</v>
      </c>
      <c r="J270" s="187">
        <v>40000</v>
      </c>
      <c r="K270" s="187">
        <f t="shared" si="287"/>
        <v>5000</v>
      </c>
      <c r="L270" s="187">
        <v>40000</v>
      </c>
      <c r="M270" s="110">
        <v>9.5</v>
      </c>
      <c r="N270" s="110">
        <f>VLOOKUP(DATE(YEAR(A270),MONTH(A270),DAY(A270)),FY24_Temp[],3,FALSE)</f>
        <v>12.8</v>
      </c>
      <c r="O270" s="110">
        <f t="shared" si="275"/>
        <v>11.5</v>
      </c>
      <c r="P270" s="110">
        <f t="shared" si="276"/>
        <v>19.5</v>
      </c>
      <c r="Q270" s="111">
        <f>VLOOKUP(VLOOKUP(DATEVALUE(TEXT(A270,"m/d/yyyy")),FY24_Temp[],5,FALSE)&amp;TEXT(A270,"-h"),TempDelta[],4,FALSE)</f>
        <v>3.0428571701049805</v>
      </c>
      <c r="R270" s="112">
        <v>10</v>
      </c>
      <c r="S270" s="112">
        <v>1500</v>
      </c>
      <c r="T270" s="99">
        <f>VLOOKUP(TEXT(A270,"yy-mm")&amp;"-"&amp;IF(AND(WEEKDAY(A270)&gt;1,WEEKDAY(A270)&lt;7),"Wkd",TEXT(A270,"Ddd"))&amp;"-"&amp;TEXT(A270,"hh"),LoadTable[],3,FALSE)*0.92</f>
        <v>279.25312000000002</v>
      </c>
      <c r="U270" s="113">
        <f t="shared" si="277"/>
        <v>27.925312000000002</v>
      </c>
    </row>
    <row r="271" spans="1:21" ht="15" thickBot="1">
      <c r="A271" s="29">
        <f t="shared" si="247"/>
        <v>45847.166666667996</v>
      </c>
      <c r="B271" s="187">
        <f t="shared" ref="B271:L271" si="288">B295</f>
        <v>5000</v>
      </c>
      <c r="C271" s="187">
        <f t="shared" si="288"/>
        <v>25000</v>
      </c>
      <c r="D271" s="187">
        <v>0</v>
      </c>
      <c r="E271" s="187">
        <v>700</v>
      </c>
      <c r="F271" s="187">
        <v>15000</v>
      </c>
      <c r="G271" s="187">
        <f t="shared" si="288"/>
        <v>2400</v>
      </c>
      <c r="H271" s="187">
        <f t="shared" si="288"/>
        <v>25000</v>
      </c>
      <c r="I271" s="187">
        <f t="shared" si="288"/>
        <v>5000</v>
      </c>
      <c r="J271" s="187">
        <v>40000</v>
      </c>
      <c r="K271" s="187">
        <f t="shared" si="288"/>
        <v>5000</v>
      </c>
      <c r="L271" s="187">
        <v>40000</v>
      </c>
      <c r="M271" s="110">
        <v>9.5</v>
      </c>
      <c r="N271" s="110">
        <f>VLOOKUP(DATE(YEAR(A271),MONTH(A271),DAY(A271)),FY24_Temp[],3,FALSE)</f>
        <v>12.8</v>
      </c>
      <c r="O271" s="110">
        <f t="shared" si="275"/>
        <v>11.5</v>
      </c>
      <c r="P271" s="110">
        <f t="shared" si="276"/>
        <v>19.5</v>
      </c>
      <c r="Q271" s="111">
        <f>VLOOKUP(VLOOKUP(DATEVALUE(TEXT(A271,"m/d/yyyy")),FY24_Temp[],5,FALSE)&amp;TEXT(A271,"-h"),TempDelta[],4,FALSE)</f>
        <v>2.9580000468662808</v>
      </c>
      <c r="R271" s="112">
        <v>10</v>
      </c>
      <c r="S271" s="112">
        <v>1500</v>
      </c>
      <c r="T271" s="99">
        <f>VLOOKUP(TEXT(A271,"yy-mm")&amp;"-"&amp;IF(AND(WEEKDAY(A271)&gt;1,WEEKDAY(A271)&lt;7),"Wkd",TEXT(A271,"Ddd"))&amp;"-"&amp;TEXT(A271,"hh"),LoadTable[],3,FALSE)*0.92</f>
        <v>279.25312000000002</v>
      </c>
      <c r="U271" s="113">
        <f t="shared" si="277"/>
        <v>27.925312000000002</v>
      </c>
    </row>
    <row r="272" spans="1:21" ht="15" thickBot="1">
      <c r="A272" s="29">
        <f t="shared" si="247"/>
        <v>45847.20833333466</v>
      </c>
      <c r="B272" s="187">
        <f t="shared" ref="B272:L272" si="289">B296</f>
        <v>5000</v>
      </c>
      <c r="C272" s="187">
        <f t="shared" si="289"/>
        <v>25000</v>
      </c>
      <c r="D272" s="187">
        <v>0</v>
      </c>
      <c r="E272" s="187">
        <v>700</v>
      </c>
      <c r="F272" s="187">
        <v>15000</v>
      </c>
      <c r="G272" s="187">
        <f t="shared" si="289"/>
        <v>2400</v>
      </c>
      <c r="H272" s="187">
        <f t="shared" si="289"/>
        <v>25000</v>
      </c>
      <c r="I272" s="187">
        <f t="shared" si="289"/>
        <v>5000</v>
      </c>
      <c r="J272" s="187">
        <v>40000</v>
      </c>
      <c r="K272" s="187">
        <f t="shared" si="289"/>
        <v>5000</v>
      </c>
      <c r="L272" s="187">
        <v>40000</v>
      </c>
      <c r="M272" s="110">
        <v>9.5</v>
      </c>
      <c r="N272" s="110">
        <f>VLOOKUP(DATE(YEAR(A272),MONTH(A272),DAY(A272)),FY24_Temp[],3,FALSE)</f>
        <v>12.8</v>
      </c>
      <c r="O272" s="110">
        <f t="shared" si="275"/>
        <v>11.5</v>
      </c>
      <c r="P272" s="110">
        <f t="shared" si="276"/>
        <v>19.5</v>
      </c>
      <c r="Q272" s="111">
        <f>VLOOKUP(VLOOKUP(DATEVALUE(TEXT(A272,"m/d/yyyy")),FY24_Temp[],5,FALSE)&amp;TEXT(A272,"-h"),TempDelta[],4,FALSE)</f>
        <v>2.8608571801866804</v>
      </c>
      <c r="R272" s="112">
        <v>10</v>
      </c>
      <c r="S272" s="112">
        <v>1500</v>
      </c>
      <c r="T272" s="99">
        <f>VLOOKUP(TEXT(A272,"yy-mm")&amp;"-"&amp;IF(AND(WEEKDAY(A272)&gt;1,WEEKDAY(A272)&lt;7),"Wkd",TEXT(A272,"Ddd"))&amp;"-"&amp;TEXT(A272,"hh"),LoadTable[],3,FALSE)*0.92</f>
        <v>279.25312000000002</v>
      </c>
      <c r="U272" s="113">
        <f t="shared" si="277"/>
        <v>27.925312000000002</v>
      </c>
    </row>
    <row r="273" spans="1:21" ht="15" thickBot="1">
      <c r="A273" s="29">
        <f t="shared" si="247"/>
        <v>45847.250000001324</v>
      </c>
      <c r="B273" s="187">
        <f t="shared" ref="B273:L273" si="290">B297</f>
        <v>8000</v>
      </c>
      <c r="C273" s="187">
        <f t="shared" si="290"/>
        <v>25000</v>
      </c>
      <c r="D273" s="187">
        <v>0</v>
      </c>
      <c r="E273" s="187">
        <v>700</v>
      </c>
      <c r="F273" s="187">
        <v>15000</v>
      </c>
      <c r="G273" s="187">
        <f t="shared" si="290"/>
        <v>2400</v>
      </c>
      <c r="H273" s="187">
        <f t="shared" si="290"/>
        <v>25000</v>
      </c>
      <c r="I273" s="187">
        <f t="shared" si="290"/>
        <v>8000</v>
      </c>
      <c r="J273" s="187">
        <v>40000</v>
      </c>
      <c r="K273" s="187">
        <f t="shared" si="290"/>
        <v>8000</v>
      </c>
      <c r="L273" s="187">
        <v>40000</v>
      </c>
      <c r="M273" s="110">
        <v>9.5</v>
      </c>
      <c r="N273" s="110">
        <f>VLOOKUP(DATE(YEAR(A273),MONTH(A273),DAY(A273)),FY24_Temp[],3,FALSE)</f>
        <v>12.8</v>
      </c>
      <c r="O273" s="110">
        <f t="shared" si="275"/>
        <v>11.5</v>
      </c>
      <c r="P273" s="110">
        <f t="shared" si="276"/>
        <v>19.5</v>
      </c>
      <c r="Q273" s="111">
        <f>VLOOKUP(VLOOKUP(DATEVALUE(TEXT(A273,"m/d/yyyy")),FY24_Temp[],5,FALSE)&amp;TEXT(A273,"-h"),TempDelta[],4,FALSE)</f>
        <v>2.7405714307512556</v>
      </c>
      <c r="R273" s="112">
        <v>10</v>
      </c>
      <c r="S273" s="112">
        <v>1500</v>
      </c>
      <c r="T273" s="99">
        <f>VLOOKUP(TEXT(A273,"yy-mm")&amp;"-"&amp;IF(AND(WEEKDAY(A273)&gt;1,WEEKDAY(A273)&lt;7),"Wkd",TEXT(A273,"Ddd"))&amp;"-"&amp;TEXT(A273,"hh"),LoadTable[],3,FALSE)*0.92</f>
        <v>279.25312000000002</v>
      </c>
      <c r="U273" s="113">
        <f t="shared" si="277"/>
        <v>27.925312000000002</v>
      </c>
    </row>
    <row r="274" spans="1:21" ht="15" thickBot="1">
      <c r="A274" s="29">
        <f t="shared" si="247"/>
        <v>45847.291666667988</v>
      </c>
      <c r="B274" s="187">
        <f t="shared" ref="B274:L274" si="291">B298</f>
        <v>8000</v>
      </c>
      <c r="C274" s="187">
        <f t="shared" si="291"/>
        <v>25000</v>
      </c>
      <c r="D274" s="187">
        <v>0</v>
      </c>
      <c r="E274" s="187">
        <v>700</v>
      </c>
      <c r="F274" s="187">
        <v>15000</v>
      </c>
      <c r="G274" s="187">
        <f t="shared" si="291"/>
        <v>2400</v>
      </c>
      <c r="H274" s="187">
        <f t="shared" si="291"/>
        <v>25000</v>
      </c>
      <c r="I274" s="187">
        <f t="shared" si="291"/>
        <v>8000</v>
      </c>
      <c r="J274" s="187">
        <v>40000</v>
      </c>
      <c r="K274" s="187">
        <f t="shared" si="291"/>
        <v>8000</v>
      </c>
      <c r="L274" s="187">
        <v>40000</v>
      </c>
      <c r="M274" s="110">
        <v>9.5</v>
      </c>
      <c r="N274" s="110">
        <f>VLOOKUP(DATE(YEAR(A274),MONTH(A274),DAY(A274)),FY24_Temp[],3,FALSE)</f>
        <v>12.8</v>
      </c>
      <c r="O274" s="110">
        <f t="shared" si="275"/>
        <v>11.5</v>
      </c>
      <c r="P274" s="110">
        <f t="shared" si="276"/>
        <v>19.5</v>
      </c>
      <c r="Q274" s="111">
        <f>VLOOKUP(VLOOKUP(DATEVALUE(TEXT(A274,"m/d/yyyy")),FY24_Temp[],5,FALSE)&amp;TEXT(A274,"-h"),TempDelta[],4,FALSE)</f>
        <v>2.6134285245622908</v>
      </c>
      <c r="R274" s="112">
        <v>10</v>
      </c>
      <c r="S274" s="112">
        <v>1500</v>
      </c>
      <c r="T274" s="99">
        <f>VLOOKUP(TEXT(A274,"yy-mm")&amp;"-"&amp;IF(AND(WEEKDAY(A274)&gt;1,WEEKDAY(A274)&lt;7),"Wkd",TEXT(A274,"Ddd"))&amp;"-"&amp;TEXT(A274,"hh"),LoadTable[],3,FALSE)*0.92</f>
        <v>279.25312000000002</v>
      </c>
      <c r="U274" s="113">
        <f t="shared" si="277"/>
        <v>27.925312000000002</v>
      </c>
    </row>
    <row r="275" spans="1:21" ht="15" thickBot="1">
      <c r="A275" s="29">
        <f t="shared" si="247"/>
        <v>45847.333333334653</v>
      </c>
      <c r="B275" s="187">
        <f t="shared" ref="B275:L275" si="292">B299</f>
        <v>8000</v>
      </c>
      <c r="C275" s="187">
        <f t="shared" si="292"/>
        <v>25000</v>
      </c>
      <c r="D275" s="187">
        <v>0</v>
      </c>
      <c r="E275" s="187">
        <v>700</v>
      </c>
      <c r="F275" s="187">
        <v>15000</v>
      </c>
      <c r="G275" s="187">
        <f t="shared" si="292"/>
        <v>2400</v>
      </c>
      <c r="H275" s="187">
        <f t="shared" si="292"/>
        <v>25000</v>
      </c>
      <c r="I275" s="187">
        <f t="shared" si="292"/>
        <v>8000</v>
      </c>
      <c r="J275" s="187">
        <v>40000</v>
      </c>
      <c r="K275" s="187">
        <f t="shared" si="292"/>
        <v>8000</v>
      </c>
      <c r="L275" s="187">
        <v>40000</v>
      </c>
      <c r="M275" s="110">
        <v>9.5</v>
      </c>
      <c r="N275" s="110">
        <f>VLOOKUP(DATE(YEAR(A275),MONTH(A275),DAY(A275)),FY24_Temp[],3,FALSE)</f>
        <v>12.8</v>
      </c>
      <c r="O275" s="110">
        <f t="shared" si="275"/>
        <v>11.5</v>
      </c>
      <c r="P275" s="110">
        <f t="shared" si="276"/>
        <v>19.5</v>
      </c>
      <c r="Q275" s="111">
        <f>VLOOKUP(VLOOKUP(DATEVALUE(TEXT(A275,"m/d/yyyy")),FY24_Temp[],5,FALSE)&amp;TEXT(A275,"-h"),TempDelta[],4,FALSE)</f>
        <v>2.44985716683524</v>
      </c>
      <c r="R275" s="112">
        <v>10</v>
      </c>
      <c r="S275" s="112">
        <v>1500</v>
      </c>
      <c r="T275" s="99">
        <f>VLOOKUP(TEXT(A275,"yy-mm")&amp;"-"&amp;IF(AND(WEEKDAY(A275)&gt;1,WEEKDAY(A275)&lt;7),"Wkd",TEXT(A275,"Ddd"))&amp;"-"&amp;TEXT(A275,"hh"),LoadTable[],3,FALSE)*0.92</f>
        <v>279.25312000000002</v>
      </c>
      <c r="U275" s="113">
        <f t="shared" si="277"/>
        <v>27.925312000000002</v>
      </c>
    </row>
    <row r="276" spans="1:21" ht="15" thickBot="1">
      <c r="A276" s="29">
        <f t="shared" si="247"/>
        <v>45847.375000001317</v>
      </c>
      <c r="B276" s="187">
        <f t="shared" ref="B276:L276" si="293">B300</f>
        <v>8000</v>
      </c>
      <c r="C276" s="187">
        <f t="shared" si="293"/>
        <v>25000</v>
      </c>
      <c r="D276" s="187">
        <v>0</v>
      </c>
      <c r="E276" s="187">
        <v>700</v>
      </c>
      <c r="F276" s="187">
        <v>15000</v>
      </c>
      <c r="G276" s="187">
        <f t="shared" si="293"/>
        <v>2400</v>
      </c>
      <c r="H276" s="187">
        <f t="shared" si="293"/>
        <v>25000</v>
      </c>
      <c r="I276" s="187">
        <f t="shared" si="293"/>
        <v>8000</v>
      </c>
      <c r="J276" s="187">
        <v>40000</v>
      </c>
      <c r="K276" s="187">
        <f t="shared" si="293"/>
        <v>8000</v>
      </c>
      <c r="L276" s="187">
        <v>40000</v>
      </c>
      <c r="M276" s="110">
        <v>9.5</v>
      </c>
      <c r="N276" s="110">
        <f>VLOOKUP(DATE(YEAR(A276),MONTH(A276),DAY(A276)),FY24_Temp[],3,FALSE)</f>
        <v>12.8</v>
      </c>
      <c r="O276" s="110">
        <f t="shared" si="275"/>
        <v>11.5</v>
      </c>
      <c r="P276" s="110">
        <f t="shared" si="276"/>
        <v>19.5</v>
      </c>
      <c r="Q276" s="111">
        <f>VLOOKUP(VLOOKUP(DATEVALUE(TEXT(A276,"m/d/yyyy")),FY24_Temp[],5,FALSE)&amp;TEXT(A276,"-h"),TempDelta[],4,FALSE)</f>
        <v>2.2458571025303433</v>
      </c>
      <c r="R276" s="112">
        <v>10</v>
      </c>
      <c r="S276" s="112">
        <v>1500</v>
      </c>
      <c r="T276" s="99">
        <f>VLOOKUP(TEXT(A276,"yy-mm")&amp;"-"&amp;IF(AND(WEEKDAY(A276)&gt;1,WEEKDAY(A276)&lt;7),"Wkd",TEXT(A276,"Ddd"))&amp;"-"&amp;TEXT(A276,"hh"),LoadTable[],3,FALSE)*0.92</f>
        <v>279.25312000000002</v>
      </c>
      <c r="U276" s="113">
        <f t="shared" si="277"/>
        <v>27.925312000000002</v>
      </c>
    </row>
    <row r="277" spans="1:21" ht="15" thickBot="1">
      <c r="A277" s="29">
        <f t="shared" si="247"/>
        <v>45847.416666667981</v>
      </c>
      <c r="B277" s="187">
        <f t="shared" ref="B277:L277" si="294">B301</f>
        <v>8000</v>
      </c>
      <c r="C277" s="187">
        <f t="shared" si="294"/>
        <v>25000</v>
      </c>
      <c r="D277" s="187">
        <v>0</v>
      </c>
      <c r="E277" s="187">
        <v>700</v>
      </c>
      <c r="F277" s="187">
        <v>15000</v>
      </c>
      <c r="G277" s="187">
        <f t="shared" si="294"/>
        <v>2400</v>
      </c>
      <c r="H277" s="187">
        <f t="shared" si="294"/>
        <v>25000</v>
      </c>
      <c r="I277" s="187">
        <f t="shared" si="294"/>
        <v>8000</v>
      </c>
      <c r="J277" s="187">
        <v>40000</v>
      </c>
      <c r="K277" s="187">
        <f t="shared" si="294"/>
        <v>8000</v>
      </c>
      <c r="L277" s="187">
        <v>40000</v>
      </c>
      <c r="M277" s="110">
        <v>9.5</v>
      </c>
      <c r="N277" s="110">
        <f>VLOOKUP(DATE(YEAR(A277),MONTH(A277),DAY(A277)),FY24_Temp[],3,FALSE)</f>
        <v>12.8</v>
      </c>
      <c r="O277" s="110">
        <f t="shared" si="275"/>
        <v>11.5</v>
      </c>
      <c r="P277" s="110">
        <f t="shared" si="276"/>
        <v>19.5</v>
      </c>
      <c r="Q277" s="111">
        <f>VLOOKUP(VLOOKUP(DATEVALUE(TEXT(A277,"m/d/yyyy")),FY24_Temp[],5,FALSE)&amp;TEXT(A277,"-h"),TempDelta[],4,FALSE)</f>
        <v>2.0832857234137401</v>
      </c>
      <c r="R277" s="112">
        <v>10</v>
      </c>
      <c r="S277" s="112">
        <v>1500</v>
      </c>
      <c r="T277" s="99">
        <f>VLOOKUP(TEXT(A277,"yy-mm")&amp;"-"&amp;IF(AND(WEEKDAY(A277)&gt;1,WEEKDAY(A277)&lt;7),"Wkd",TEXT(A277,"Ddd"))&amp;"-"&amp;TEXT(A277,"hh"),LoadTable[],3,FALSE)*0.92</f>
        <v>279.25312000000002</v>
      </c>
      <c r="U277" s="113">
        <f t="shared" si="277"/>
        <v>27.925312000000002</v>
      </c>
    </row>
    <row r="278" spans="1:21" ht="15" thickBot="1">
      <c r="A278" s="29">
        <f t="shared" si="247"/>
        <v>45847.458333334645</v>
      </c>
      <c r="B278" s="187">
        <f t="shared" ref="B278:L278" si="295">B302</f>
        <v>8000</v>
      </c>
      <c r="C278" s="187">
        <f t="shared" si="295"/>
        <v>25000</v>
      </c>
      <c r="D278" s="187">
        <v>0</v>
      </c>
      <c r="E278" s="187">
        <v>700</v>
      </c>
      <c r="F278" s="187">
        <v>15000</v>
      </c>
      <c r="G278" s="187">
        <f t="shared" si="295"/>
        <v>2400</v>
      </c>
      <c r="H278" s="187">
        <f t="shared" si="295"/>
        <v>25000</v>
      </c>
      <c r="I278" s="187">
        <f t="shared" si="295"/>
        <v>8000</v>
      </c>
      <c r="J278" s="187">
        <v>40000</v>
      </c>
      <c r="K278" s="187">
        <f t="shared" si="295"/>
        <v>8000</v>
      </c>
      <c r="L278" s="187">
        <v>40000</v>
      </c>
      <c r="M278" s="110">
        <v>9.5</v>
      </c>
      <c r="N278" s="110">
        <f>VLOOKUP(DATE(YEAR(A278),MONTH(A278),DAY(A278)),FY24_Temp[],3,FALSE)</f>
        <v>12.8</v>
      </c>
      <c r="O278" s="110">
        <f t="shared" si="275"/>
        <v>11.5</v>
      </c>
      <c r="P278" s="110">
        <f t="shared" si="276"/>
        <v>19.5</v>
      </c>
      <c r="Q278" s="111">
        <f>VLOOKUP(VLOOKUP(DATEVALUE(TEXT(A278,"m/d/yyyy")),FY24_Temp[],5,FALSE)&amp;TEXT(A278,"-h"),TempDelta[],4,FALSE)</f>
        <v>1.8928571258272444</v>
      </c>
      <c r="R278" s="112">
        <v>10</v>
      </c>
      <c r="S278" s="112">
        <v>1500</v>
      </c>
      <c r="T278" s="99">
        <f>VLOOKUP(TEXT(A278,"yy-mm")&amp;"-"&amp;IF(AND(WEEKDAY(A278)&gt;1,WEEKDAY(A278)&lt;7),"Wkd",TEXT(A278,"Ddd"))&amp;"-"&amp;TEXT(A278,"hh"),LoadTable[],3,FALSE)*0.92</f>
        <v>279.25312000000002</v>
      </c>
      <c r="U278" s="113">
        <f t="shared" si="277"/>
        <v>27.925312000000002</v>
      </c>
    </row>
    <row r="279" spans="1:21" ht="15" thickBot="1">
      <c r="A279" s="29">
        <f t="shared" si="247"/>
        <v>45847.50000000131</v>
      </c>
      <c r="B279" s="187">
        <f t="shared" ref="B279:L279" si="296">B303</f>
        <v>8000</v>
      </c>
      <c r="C279" s="187">
        <f t="shared" si="296"/>
        <v>25000</v>
      </c>
      <c r="D279" s="187">
        <v>0</v>
      </c>
      <c r="E279" s="187">
        <v>700</v>
      </c>
      <c r="F279" s="187">
        <v>15000</v>
      </c>
      <c r="G279" s="187">
        <f t="shared" si="296"/>
        <v>2400</v>
      </c>
      <c r="H279" s="187">
        <f t="shared" si="296"/>
        <v>25000</v>
      </c>
      <c r="I279" s="187">
        <f t="shared" si="296"/>
        <v>8000</v>
      </c>
      <c r="J279" s="187">
        <v>40000</v>
      </c>
      <c r="K279" s="187">
        <f t="shared" si="296"/>
        <v>8000</v>
      </c>
      <c r="L279" s="187">
        <v>40000</v>
      </c>
      <c r="M279" s="110">
        <v>9.5</v>
      </c>
      <c r="N279" s="110">
        <f>VLOOKUP(DATE(YEAR(A279),MONTH(A279),DAY(A279)),FY24_Temp[],3,FALSE)</f>
        <v>12.8</v>
      </c>
      <c r="O279" s="110">
        <f t="shared" si="275"/>
        <v>11.5</v>
      </c>
      <c r="P279" s="110">
        <f t="shared" si="276"/>
        <v>19.5</v>
      </c>
      <c r="Q279" s="111">
        <f>VLOOKUP(VLOOKUP(DATEVALUE(TEXT(A279,"m/d/yyyy")),FY24_Temp[],5,FALSE)&amp;TEXT(A279,"-h"),TempDelta[],4,FALSE)</f>
        <v>1.665857127734593</v>
      </c>
      <c r="R279" s="112">
        <v>10</v>
      </c>
      <c r="S279" s="112">
        <v>1500</v>
      </c>
      <c r="T279" s="99">
        <f>VLOOKUP(TEXT(A279,"yy-mm")&amp;"-"&amp;IF(AND(WEEKDAY(A279)&gt;1,WEEKDAY(A279)&lt;7),"Wkd",TEXT(A279,"Ddd"))&amp;"-"&amp;TEXT(A279,"hh"),LoadTable[],3,FALSE)*0.92</f>
        <v>279.25312000000002</v>
      </c>
      <c r="U279" s="113">
        <f t="shared" si="277"/>
        <v>27.925312000000002</v>
      </c>
    </row>
    <row r="280" spans="1:21" ht="15" thickBot="1">
      <c r="A280" s="29">
        <f t="shared" si="247"/>
        <v>45847.541666667974</v>
      </c>
      <c r="B280" s="187">
        <f t="shared" ref="B280:L280" si="297">B304</f>
        <v>8000</v>
      </c>
      <c r="C280" s="187">
        <f t="shared" si="297"/>
        <v>25000</v>
      </c>
      <c r="D280" s="187">
        <v>0</v>
      </c>
      <c r="E280" s="187">
        <v>700</v>
      </c>
      <c r="F280" s="187">
        <v>15000</v>
      </c>
      <c r="G280" s="187">
        <f t="shared" si="297"/>
        <v>2400</v>
      </c>
      <c r="H280" s="187">
        <f t="shared" si="297"/>
        <v>25000</v>
      </c>
      <c r="I280" s="187">
        <f t="shared" si="297"/>
        <v>8000</v>
      </c>
      <c r="J280" s="187">
        <v>40000</v>
      </c>
      <c r="K280" s="187">
        <f t="shared" si="297"/>
        <v>8000</v>
      </c>
      <c r="L280" s="187">
        <v>40000</v>
      </c>
      <c r="M280" s="110">
        <v>9.5</v>
      </c>
      <c r="N280" s="110">
        <f>VLOOKUP(DATE(YEAR(A280),MONTH(A280),DAY(A280)),FY24_Temp[],3,FALSE)</f>
        <v>12.8</v>
      </c>
      <c r="O280" s="110">
        <f t="shared" si="275"/>
        <v>11.5</v>
      </c>
      <c r="P280" s="110">
        <f t="shared" si="276"/>
        <v>19.5</v>
      </c>
      <c r="Q280" s="111">
        <f>VLOOKUP(VLOOKUP(DATEVALUE(TEXT(A280,"m/d/yyyy")),FY24_Temp[],5,FALSE)&amp;TEXT(A280,"-h"),TempDelta[],4,FALSE)</f>
        <v>1.4252856969833374</v>
      </c>
      <c r="R280" s="112">
        <v>10</v>
      </c>
      <c r="S280" s="112">
        <v>1500</v>
      </c>
      <c r="T280" s="99">
        <f>VLOOKUP(TEXT(A280,"yy-mm")&amp;"-"&amp;IF(AND(WEEKDAY(A280)&gt;1,WEEKDAY(A280)&lt;7),"Wkd",TEXT(A280,"Ddd"))&amp;"-"&amp;TEXT(A280,"hh"),LoadTable[],3,FALSE)*0.92</f>
        <v>279.25312000000002</v>
      </c>
      <c r="U280" s="113">
        <f t="shared" si="277"/>
        <v>27.925312000000002</v>
      </c>
    </row>
    <row r="281" spans="1:21" ht="15" thickBot="1">
      <c r="A281" s="29">
        <f t="shared" si="247"/>
        <v>45847.583333334638</v>
      </c>
      <c r="B281" s="187">
        <f t="shared" ref="B281:L281" si="298">B305</f>
        <v>8000</v>
      </c>
      <c r="C281" s="187">
        <f t="shared" si="298"/>
        <v>25000</v>
      </c>
      <c r="D281" s="187">
        <v>0</v>
      </c>
      <c r="E281" s="187">
        <v>700</v>
      </c>
      <c r="F281" s="187">
        <v>15000</v>
      </c>
      <c r="G281" s="187">
        <f t="shared" si="298"/>
        <v>2400</v>
      </c>
      <c r="H281" s="187">
        <f t="shared" si="298"/>
        <v>25000</v>
      </c>
      <c r="I281" s="187">
        <f t="shared" si="298"/>
        <v>8000</v>
      </c>
      <c r="J281" s="187">
        <v>40000</v>
      </c>
      <c r="K281" s="187">
        <f t="shared" si="298"/>
        <v>8000</v>
      </c>
      <c r="L281" s="187">
        <v>40000</v>
      </c>
      <c r="M281" s="110">
        <v>9.5</v>
      </c>
      <c r="N281" s="110">
        <f>VLOOKUP(DATE(YEAR(A281),MONTH(A281),DAY(A281)),FY24_Temp[],3,FALSE)</f>
        <v>12.8</v>
      </c>
      <c r="O281" s="110">
        <f t="shared" si="275"/>
        <v>11.5</v>
      </c>
      <c r="P281" s="110">
        <f t="shared" si="276"/>
        <v>19.5</v>
      </c>
      <c r="Q281" s="111">
        <f>VLOOKUP(VLOOKUP(DATEVALUE(TEXT(A281,"m/d/yyyy")),FY24_Temp[],5,FALSE)&amp;TEXT(A281,"-h"),TempDelta[],4,FALSE)</f>
        <v>1.2351428781236922</v>
      </c>
      <c r="R281" s="112">
        <v>10</v>
      </c>
      <c r="S281" s="112">
        <v>1500</v>
      </c>
      <c r="T281" s="99">
        <f>VLOOKUP(TEXT(A281,"yy-mm")&amp;"-"&amp;IF(AND(WEEKDAY(A281)&gt;1,WEEKDAY(A281)&lt;7),"Wkd",TEXT(A281,"Ddd"))&amp;"-"&amp;TEXT(A281,"hh"),LoadTable[],3,FALSE)*0.92</f>
        <v>373.26607999999999</v>
      </c>
      <c r="U281" s="113">
        <f t="shared" si="277"/>
        <v>37.326608</v>
      </c>
    </row>
    <row r="282" spans="1:21" ht="15" thickBot="1">
      <c r="A282" s="29">
        <f t="shared" si="247"/>
        <v>45847.625000001302</v>
      </c>
      <c r="B282" s="187">
        <f t="shared" ref="B282:L282" si="299">B306</f>
        <v>8000</v>
      </c>
      <c r="C282" s="187">
        <f t="shared" si="299"/>
        <v>25000</v>
      </c>
      <c r="D282" s="187">
        <v>0</v>
      </c>
      <c r="E282" s="187">
        <v>700</v>
      </c>
      <c r="F282" s="187">
        <v>15000</v>
      </c>
      <c r="G282" s="187">
        <f t="shared" si="299"/>
        <v>2400</v>
      </c>
      <c r="H282" s="187">
        <f t="shared" si="299"/>
        <v>25000</v>
      </c>
      <c r="I282" s="187">
        <f t="shared" si="299"/>
        <v>8000</v>
      </c>
      <c r="J282" s="187">
        <v>40000</v>
      </c>
      <c r="K282" s="187">
        <f t="shared" si="299"/>
        <v>8000</v>
      </c>
      <c r="L282" s="187">
        <v>40000</v>
      </c>
      <c r="M282" s="110">
        <v>9.5</v>
      </c>
      <c r="N282" s="110">
        <f>VLOOKUP(DATE(YEAR(A282),MONTH(A282),DAY(A282)),FY24_Temp[],3,FALSE)</f>
        <v>12.8</v>
      </c>
      <c r="O282" s="110">
        <f t="shared" si="275"/>
        <v>11.5</v>
      </c>
      <c r="P282" s="110">
        <f t="shared" si="276"/>
        <v>19.5</v>
      </c>
      <c r="Q282" s="111">
        <f>VLOOKUP(VLOOKUP(DATEVALUE(TEXT(A282,"m/d/yyyy")),FY24_Temp[],5,FALSE)&amp;TEXT(A282,"-h"),TempDelta[],4,FALSE)</f>
        <v>0.97514284508568905</v>
      </c>
      <c r="R282" s="112">
        <v>10</v>
      </c>
      <c r="S282" s="112">
        <v>1500</v>
      </c>
      <c r="T282" s="99">
        <f>VLOOKUP(TEXT(A282,"yy-mm")&amp;"-"&amp;IF(AND(WEEKDAY(A282)&gt;1,WEEKDAY(A282)&lt;7),"Wkd",TEXT(A282,"Ddd"))&amp;"-"&amp;TEXT(A282,"hh"),LoadTable[],3,FALSE)*0.92</f>
        <v>494.57360000000006</v>
      </c>
      <c r="U282" s="113">
        <f t="shared" si="277"/>
        <v>49.457360000000008</v>
      </c>
    </row>
    <row r="283" spans="1:21" ht="15" thickBot="1">
      <c r="A283" s="29">
        <f t="shared" si="247"/>
        <v>45847.666666667967</v>
      </c>
      <c r="B283" s="187">
        <f t="shared" ref="B283:L283" si="300">B307</f>
        <v>8000</v>
      </c>
      <c r="C283" s="187">
        <f t="shared" si="300"/>
        <v>25000</v>
      </c>
      <c r="D283" s="187">
        <v>0</v>
      </c>
      <c r="E283" s="187">
        <v>700</v>
      </c>
      <c r="F283" s="187">
        <v>15000</v>
      </c>
      <c r="G283" s="187">
        <f t="shared" si="300"/>
        <v>2400</v>
      </c>
      <c r="H283" s="187">
        <f t="shared" si="300"/>
        <v>25000</v>
      </c>
      <c r="I283" s="187">
        <f t="shared" si="300"/>
        <v>8000</v>
      </c>
      <c r="J283" s="187">
        <v>40000</v>
      </c>
      <c r="K283" s="187">
        <f t="shared" si="300"/>
        <v>8000</v>
      </c>
      <c r="L283" s="187">
        <v>40000</v>
      </c>
      <c r="M283" s="110">
        <v>9.5</v>
      </c>
      <c r="N283" s="110">
        <f>VLOOKUP(DATE(YEAR(A283),MONTH(A283),DAY(A283)),FY24_Temp[],3,FALSE)</f>
        <v>12.8</v>
      </c>
      <c r="O283" s="110">
        <f t="shared" si="275"/>
        <v>11.5</v>
      </c>
      <c r="P283" s="110">
        <f t="shared" si="276"/>
        <v>19.5</v>
      </c>
      <c r="Q283" s="111">
        <f>VLOOKUP(VLOOKUP(DATEVALUE(TEXT(A283,"m/d/yyyy")),FY24_Temp[],5,FALSE)&amp;TEXT(A283,"-h"),TempDelta[],4,FALSE)</f>
        <v>0.88578571166310993</v>
      </c>
      <c r="R283" s="112">
        <v>10</v>
      </c>
      <c r="S283" s="112">
        <v>1500</v>
      </c>
      <c r="T283" s="99">
        <f>VLOOKUP(TEXT(A283,"yy-mm")&amp;"-"&amp;IF(AND(WEEKDAY(A283)&gt;1,WEEKDAY(A283)&lt;7),"Wkd",TEXT(A283,"Ddd"))&amp;"-"&amp;TEXT(A283,"hh"),LoadTable[],3,FALSE)*0.92</f>
        <v>494.57360000000006</v>
      </c>
      <c r="U283" s="113">
        <f t="shared" si="277"/>
        <v>49.457360000000008</v>
      </c>
    </row>
    <row r="284" spans="1:21" ht="15" thickBot="1">
      <c r="A284" s="29">
        <f t="shared" si="247"/>
        <v>45847.708333334631</v>
      </c>
      <c r="B284" s="187">
        <f t="shared" ref="B284:L284" si="301">B308</f>
        <v>8000</v>
      </c>
      <c r="C284" s="187">
        <f t="shared" si="301"/>
        <v>25000</v>
      </c>
      <c r="D284" s="187">
        <v>0</v>
      </c>
      <c r="E284" s="187">
        <v>700</v>
      </c>
      <c r="F284" s="187">
        <v>15000</v>
      </c>
      <c r="G284" s="187">
        <f t="shared" si="301"/>
        <v>2400</v>
      </c>
      <c r="H284" s="187">
        <f t="shared" si="301"/>
        <v>25000</v>
      </c>
      <c r="I284" s="187">
        <f t="shared" si="301"/>
        <v>8000</v>
      </c>
      <c r="J284" s="187">
        <v>40000</v>
      </c>
      <c r="K284" s="187">
        <f t="shared" si="301"/>
        <v>8000</v>
      </c>
      <c r="L284" s="187">
        <v>40000</v>
      </c>
      <c r="M284" s="110">
        <v>9.5</v>
      </c>
      <c r="N284" s="110">
        <f>VLOOKUP(DATE(YEAR(A284),MONTH(A284),DAY(A284)),FY24_Temp[],3,FALSE)</f>
        <v>12.8</v>
      </c>
      <c r="O284" s="110">
        <f t="shared" si="275"/>
        <v>11.5</v>
      </c>
      <c r="P284" s="110">
        <f t="shared" si="276"/>
        <v>19.5</v>
      </c>
      <c r="Q284" s="111">
        <f>VLOOKUP(VLOOKUP(DATEVALUE(TEXT(A284,"m/d/yyyy")),FY24_Temp[],5,FALSE)&amp;TEXT(A284,"-h"),TempDelta[],4,FALSE)</f>
        <v>1.0356428495475225</v>
      </c>
      <c r="R284" s="112">
        <v>10</v>
      </c>
      <c r="S284" s="112">
        <v>1500</v>
      </c>
      <c r="T284" s="99">
        <f>VLOOKUP(TEXT(A284,"yy-mm")&amp;"-"&amp;IF(AND(WEEKDAY(A284)&gt;1,WEEKDAY(A284)&lt;7),"Wkd",TEXT(A284,"Ddd"))&amp;"-"&amp;TEXT(A284,"hh"),LoadTable[],3,FALSE)*0.92</f>
        <v>494.57360000000006</v>
      </c>
      <c r="U284" s="113">
        <f t="shared" si="277"/>
        <v>49.457360000000008</v>
      </c>
    </row>
    <row r="285" spans="1:21" ht="15" thickBot="1">
      <c r="A285" s="29">
        <f t="shared" si="247"/>
        <v>45847.750000001295</v>
      </c>
      <c r="B285" s="187">
        <f t="shared" ref="B285:L285" si="302">B309</f>
        <v>5000</v>
      </c>
      <c r="C285" s="187">
        <f t="shared" si="302"/>
        <v>25000</v>
      </c>
      <c r="D285" s="187">
        <v>0</v>
      </c>
      <c r="E285" s="187">
        <v>700</v>
      </c>
      <c r="F285" s="187">
        <v>15000</v>
      </c>
      <c r="G285" s="187">
        <f t="shared" si="302"/>
        <v>2400</v>
      </c>
      <c r="H285" s="187">
        <f t="shared" si="302"/>
        <v>25000</v>
      </c>
      <c r="I285" s="187">
        <f t="shared" si="302"/>
        <v>5000</v>
      </c>
      <c r="J285" s="187">
        <v>40000</v>
      </c>
      <c r="K285" s="187">
        <f t="shared" si="302"/>
        <v>5000</v>
      </c>
      <c r="L285" s="187">
        <v>40000</v>
      </c>
      <c r="M285" s="110">
        <v>9.5</v>
      </c>
      <c r="N285" s="110">
        <f>VLOOKUP(DATE(YEAR(A285),MONTH(A285),DAY(A285)),FY24_Temp[],3,FALSE)</f>
        <v>12.8</v>
      </c>
      <c r="O285" s="110">
        <f t="shared" si="275"/>
        <v>11.5</v>
      </c>
      <c r="P285" s="110">
        <f t="shared" si="276"/>
        <v>19.5</v>
      </c>
      <c r="Q285" s="111">
        <f>VLOOKUP(VLOOKUP(DATEVALUE(TEXT(A285,"m/d/yyyy")),FY24_Temp[],5,FALSE)&amp;TEXT(A285,"-h"),TempDelta[],4,FALSE)</f>
        <v>1.3991428358214242</v>
      </c>
      <c r="R285" s="112">
        <v>10</v>
      </c>
      <c r="S285" s="112">
        <v>1500</v>
      </c>
      <c r="T285" s="99">
        <f>VLOOKUP(TEXT(A285,"yy-mm")&amp;"-"&amp;IF(AND(WEEKDAY(A285)&gt;1,WEEKDAY(A285)&lt;7),"Wkd",TEXT(A285,"Ddd"))&amp;"-"&amp;TEXT(A285,"hh"),LoadTable[],3,FALSE)*0.92</f>
        <v>494.57360000000006</v>
      </c>
      <c r="U285" s="113">
        <f t="shared" si="277"/>
        <v>49.457360000000008</v>
      </c>
    </row>
    <row r="286" spans="1:21" ht="15" thickBot="1">
      <c r="A286" s="29">
        <f t="shared" si="247"/>
        <v>45847.791666667959</v>
      </c>
      <c r="B286" s="187">
        <f t="shared" ref="B286:L286" si="303">B310</f>
        <v>5000</v>
      </c>
      <c r="C286" s="187">
        <f t="shared" si="303"/>
        <v>25000</v>
      </c>
      <c r="D286" s="187">
        <v>0</v>
      </c>
      <c r="E286" s="187">
        <v>700</v>
      </c>
      <c r="F286" s="187">
        <v>15000</v>
      </c>
      <c r="G286" s="187">
        <f t="shared" si="303"/>
        <v>2400</v>
      </c>
      <c r="H286" s="187">
        <f t="shared" si="303"/>
        <v>25000</v>
      </c>
      <c r="I286" s="187">
        <f t="shared" si="303"/>
        <v>5000</v>
      </c>
      <c r="J286" s="187">
        <v>40000</v>
      </c>
      <c r="K286" s="187">
        <f t="shared" si="303"/>
        <v>5000</v>
      </c>
      <c r="L286" s="187">
        <v>40000</v>
      </c>
      <c r="M286" s="110">
        <v>9.5</v>
      </c>
      <c r="N286" s="110">
        <f>VLOOKUP(DATE(YEAR(A286),MONTH(A286),DAY(A286)),FY24_Temp[],3,FALSE)</f>
        <v>12.8</v>
      </c>
      <c r="O286" s="110">
        <f t="shared" si="275"/>
        <v>11.5</v>
      </c>
      <c r="P286" s="110">
        <f t="shared" si="276"/>
        <v>19.5</v>
      </c>
      <c r="Q286" s="111">
        <f>VLOOKUP(VLOOKUP(DATEVALUE(TEXT(A286,"m/d/yyyy")),FY24_Temp[],5,FALSE)&amp;TEXT(A286,"-h"),TempDelta[],4,FALSE)</f>
        <v>1.8638571415628706</v>
      </c>
      <c r="R286" s="112">
        <v>10</v>
      </c>
      <c r="S286" s="112">
        <v>1500</v>
      </c>
      <c r="T286" s="99">
        <f>VLOOKUP(TEXT(A286,"yy-mm")&amp;"-"&amp;IF(AND(WEEKDAY(A286)&gt;1,WEEKDAY(A286)&lt;7),"Wkd",TEXT(A286,"Ddd"))&amp;"-"&amp;TEXT(A286,"hh"),LoadTable[],3,FALSE)*0.92</f>
        <v>494.57360000000006</v>
      </c>
      <c r="U286" s="113">
        <f t="shared" si="277"/>
        <v>49.457360000000008</v>
      </c>
    </row>
    <row r="287" spans="1:21" ht="15" thickBot="1">
      <c r="A287" s="29">
        <f t="shared" si="247"/>
        <v>45847.833333334624</v>
      </c>
      <c r="B287" s="187">
        <f t="shared" ref="B287:L287" si="304">B311</f>
        <v>5000</v>
      </c>
      <c r="C287" s="187">
        <f t="shared" si="304"/>
        <v>25000</v>
      </c>
      <c r="D287" s="187">
        <v>0</v>
      </c>
      <c r="E287" s="187">
        <v>700</v>
      </c>
      <c r="F287" s="187">
        <v>15000</v>
      </c>
      <c r="G287" s="187">
        <f t="shared" si="304"/>
        <v>2400</v>
      </c>
      <c r="H287" s="187">
        <f t="shared" si="304"/>
        <v>25000</v>
      </c>
      <c r="I287" s="187">
        <f t="shared" si="304"/>
        <v>5000</v>
      </c>
      <c r="J287" s="187">
        <v>40000</v>
      </c>
      <c r="K287" s="187">
        <f t="shared" si="304"/>
        <v>5000</v>
      </c>
      <c r="L287" s="187">
        <v>40000</v>
      </c>
      <c r="M287" s="110">
        <v>9.5</v>
      </c>
      <c r="N287" s="110">
        <f>VLOOKUP(DATE(YEAR(A287),MONTH(A287),DAY(A287)),FY24_Temp[],3,FALSE)</f>
        <v>12.8</v>
      </c>
      <c r="O287" s="110">
        <f t="shared" si="275"/>
        <v>11.5</v>
      </c>
      <c r="P287" s="110">
        <f t="shared" si="276"/>
        <v>19.5</v>
      </c>
      <c r="Q287" s="111">
        <f>VLOOKUP(VLOOKUP(DATEVALUE(TEXT(A287,"m/d/yyyy")),FY24_Temp[],5,FALSE)&amp;TEXT(A287,"-h"),TempDelta[],4,FALSE)</f>
        <v>2.300714305468968</v>
      </c>
      <c r="R287" s="112">
        <v>10</v>
      </c>
      <c r="S287" s="112">
        <v>1500</v>
      </c>
      <c r="T287" s="99">
        <f>VLOOKUP(TEXT(A287,"yy-mm")&amp;"-"&amp;IF(AND(WEEKDAY(A287)&gt;1,WEEKDAY(A287)&lt;7),"Wkd",TEXT(A287,"Ddd"))&amp;"-"&amp;TEXT(A287,"hh"),LoadTable[],3,FALSE)*0.92</f>
        <v>494.57360000000006</v>
      </c>
      <c r="U287" s="113">
        <f t="shared" si="277"/>
        <v>49.457360000000008</v>
      </c>
    </row>
    <row r="288" spans="1:21" ht="15" thickBot="1">
      <c r="A288" s="29">
        <f t="shared" si="247"/>
        <v>45847.875000001288</v>
      </c>
      <c r="B288" s="187">
        <f t="shared" ref="B288:L288" si="305">B312</f>
        <v>5000</v>
      </c>
      <c r="C288" s="187">
        <f t="shared" si="305"/>
        <v>25000</v>
      </c>
      <c r="D288" s="187">
        <v>0</v>
      </c>
      <c r="E288" s="187">
        <v>700</v>
      </c>
      <c r="F288" s="187">
        <v>15000</v>
      </c>
      <c r="G288" s="187">
        <f t="shared" si="305"/>
        <v>2400</v>
      </c>
      <c r="H288" s="187">
        <f t="shared" si="305"/>
        <v>25000</v>
      </c>
      <c r="I288" s="187">
        <f t="shared" si="305"/>
        <v>5000</v>
      </c>
      <c r="J288" s="187">
        <v>40000</v>
      </c>
      <c r="K288" s="187">
        <f t="shared" si="305"/>
        <v>5000</v>
      </c>
      <c r="L288" s="187">
        <v>40000</v>
      </c>
      <c r="M288" s="110">
        <v>9.5</v>
      </c>
      <c r="N288" s="110">
        <f>VLOOKUP(DATE(YEAR(A288),MONTH(A288),DAY(A288)),FY24_Temp[],3,FALSE)</f>
        <v>12.8</v>
      </c>
      <c r="O288" s="110">
        <f t="shared" si="275"/>
        <v>11.5</v>
      </c>
      <c r="P288" s="110">
        <f t="shared" si="276"/>
        <v>19.5</v>
      </c>
      <c r="Q288" s="111">
        <f>VLOOKUP(VLOOKUP(DATEVALUE(TEXT(A288,"m/d/yyyy")),FY24_Temp[],5,FALSE)&amp;TEXT(A288,"-h"),TempDelta[],4,FALSE)</f>
        <v>2.554214222090585</v>
      </c>
      <c r="R288" s="112">
        <v>10</v>
      </c>
      <c r="S288" s="112">
        <v>1500</v>
      </c>
      <c r="T288" s="99">
        <f>VLOOKUP(TEXT(A288,"yy-mm")&amp;"-"&amp;IF(AND(WEEKDAY(A288)&gt;1,WEEKDAY(A288)&lt;7),"Wkd",TEXT(A288,"Ddd"))&amp;"-"&amp;TEXT(A288,"hh"),LoadTable[],3,FALSE)*0.92</f>
        <v>494.57360000000006</v>
      </c>
      <c r="U288" s="113">
        <f t="shared" si="277"/>
        <v>49.457360000000008</v>
      </c>
    </row>
    <row r="289" spans="1:21" ht="15" thickBot="1">
      <c r="A289" s="29">
        <f t="shared" si="247"/>
        <v>45847.916666667952</v>
      </c>
      <c r="B289" s="187">
        <f t="shared" ref="B289:L289" si="306">B313</f>
        <v>5000</v>
      </c>
      <c r="C289" s="187">
        <f t="shared" si="306"/>
        <v>25000</v>
      </c>
      <c r="D289" s="187">
        <v>0</v>
      </c>
      <c r="E289" s="187">
        <v>700</v>
      </c>
      <c r="F289" s="187">
        <v>15000</v>
      </c>
      <c r="G289" s="187">
        <f t="shared" si="306"/>
        <v>2400</v>
      </c>
      <c r="H289" s="187">
        <f t="shared" si="306"/>
        <v>25000</v>
      </c>
      <c r="I289" s="187">
        <f t="shared" si="306"/>
        <v>5000</v>
      </c>
      <c r="J289" s="187">
        <v>40000</v>
      </c>
      <c r="K289" s="187">
        <f t="shared" si="306"/>
        <v>5000</v>
      </c>
      <c r="L289" s="187">
        <v>40000</v>
      </c>
      <c r="M289" s="110">
        <v>9.5</v>
      </c>
      <c r="N289" s="110">
        <f>VLOOKUP(DATE(YEAR(A289),MONTH(A289),DAY(A289)),FY24_Temp[],3,FALSE)</f>
        <v>12.8</v>
      </c>
      <c r="O289" s="110">
        <f t="shared" si="275"/>
        <v>11.5</v>
      </c>
      <c r="P289" s="110">
        <f t="shared" si="276"/>
        <v>19.5</v>
      </c>
      <c r="Q289" s="111">
        <f>VLOOKUP(VLOOKUP(DATEVALUE(TEXT(A289,"m/d/yyyy")),FY24_Temp[],5,FALSE)&amp;TEXT(A289,"-h"),TempDelta[],4,FALSE)</f>
        <v>2.7827142647334506</v>
      </c>
      <c r="R289" s="112">
        <v>10</v>
      </c>
      <c r="S289" s="112">
        <v>1500</v>
      </c>
      <c r="T289" s="99">
        <f>VLOOKUP(TEXT(A289,"yy-mm")&amp;"-"&amp;IF(AND(WEEKDAY(A289)&gt;1,WEEKDAY(A289)&lt;7),"Wkd",TEXT(A289,"Ddd"))&amp;"-"&amp;TEXT(A289,"hh"),LoadTable[],3,FALSE)*0.92</f>
        <v>418.75640000000004</v>
      </c>
      <c r="U289" s="113">
        <f t="shared" si="277"/>
        <v>41.875640000000004</v>
      </c>
    </row>
    <row r="290" spans="1:21" ht="15" thickBot="1">
      <c r="A290" s="29">
        <f t="shared" si="247"/>
        <v>45847.958333334616</v>
      </c>
      <c r="B290" s="187">
        <f t="shared" ref="B290:L290" si="307">B314</f>
        <v>5000</v>
      </c>
      <c r="C290" s="187">
        <f t="shared" si="307"/>
        <v>25000</v>
      </c>
      <c r="D290" s="187">
        <v>0</v>
      </c>
      <c r="E290" s="187">
        <v>700</v>
      </c>
      <c r="F290" s="187">
        <v>15000</v>
      </c>
      <c r="G290" s="187">
        <f t="shared" si="307"/>
        <v>2400</v>
      </c>
      <c r="H290" s="187">
        <f t="shared" si="307"/>
        <v>25000</v>
      </c>
      <c r="I290" s="187">
        <f t="shared" si="307"/>
        <v>5000</v>
      </c>
      <c r="J290" s="187">
        <v>40000</v>
      </c>
      <c r="K290" s="187">
        <f t="shared" si="307"/>
        <v>5000</v>
      </c>
      <c r="L290" s="187">
        <v>40000</v>
      </c>
      <c r="M290" s="110">
        <v>9.5</v>
      </c>
      <c r="N290" s="110">
        <f>VLOOKUP(DATE(YEAR(A290),MONTH(A290),DAY(A290)),FY24_Temp[],3,FALSE)</f>
        <v>12.8</v>
      </c>
      <c r="O290" s="110">
        <f t="shared" si="275"/>
        <v>11.5</v>
      </c>
      <c r="P290" s="110">
        <f t="shared" si="276"/>
        <v>19.5</v>
      </c>
      <c r="Q290" s="111">
        <f>VLOOKUP(VLOOKUP(DATEVALUE(TEXT(A290,"m/d/yyyy")),FY24_Temp[],5,FALSE)&amp;TEXT(A290,"-h"),TempDelta[],4,FALSE)</f>
        <v>2.8792857101985385</v>
      </c>
      <c r="R290" s="112">
        <v>10</v>
      </c>
      <c r="S290" s="112">
        <v>1500</v>
      </c>
      <c r="T290" s="99">
        <f>VLOOKUP(TEXT(A290,"yy-mm")&amp;"-"&amp;IF(AND(WEEKDAY(A290)&gt;1,WEEKDAY(A290)&lt;7),"Wkd",TEXT(A290,"Ddd"))&amp;"-"&amp;TEXT(A290,"hh"),LoadTable[],3,FALSE)*0.92</f>
        <v>342.93920000000003</v>
      </c>
      <c r="U290" s="113">
        <f t="shared" si="277"/>
        <v>34.29392</v>
      </c>
    </row>
    <row r="291" spans="1:21" ht="15" thickBot="1">
      <c r="A291" s="29">
        <f t="shared" si="247"/>
        <v>45848.000000001281</v>
      </c>
      <c r="B291" s="187">
        <f t="shared" ref="B291:L291" si="308">B315</f>
        <v>5000</v>
      </c>
      <c r="C291" s="187">
        <f t="shared" si="308"/>
        <v>25000</v>
      </c>
      <c r="D291" s="187">
        <v>0</v>
      </c>
      <c r="E291" s="187">
        <v>700</v>
      </c>
      <c r="F291" s="187">
        <v>15000</v>
      </c>
      <c r="G291" s="187">
        <f t="shared" si="308"/>
        <v>2400</v>
      </c>
      <c r="H291" s="187">
        <f t="shared" si="308"/>
        <v>25000</v>
      </c>
      <c r="I291" s="187">
        <f t="shared" si="308"/>
        <v>5000</v>
      </c>
      <c r="J291" s="187">
        <v>40000</v>
      </c>
      <c r="K291" s="187">
        <f t="shared" si="308"/>
        <v>5000</v>
      </c>
      <c r="L291" s="187">
        <v>40000</v>
      </c>
      <c r="M291" s="110">
        <v>9.5</v>
      </c>
      <c r="N291" s="110">
        <f>VLOOKUP(DATE(YEAR(A291),MONTH(A291),DAY(A291)),FY24_Temp[],3,FALSE)</f>
        <v>12.8</v>
      </c>
      <c r="O291" s="110">
        <f t="shared" si="275"/>
        <v>11.5</v>
      </c>
      <c r="P291" s="110">
        <f t="shared" si="276"/>
        <v>19.5</v>
      </c>
      <c r="Q291" s="111">
        <f>VLOOKUP(VLOOKUP(DATEVALUE(TEXT(A291,"m/d/yyyy")),FY24_Temp[],5,FALSE)&amp;TEXT(A291,"-h"),TempDelta[],4,FALSE)</f>
        <v>3.0441428933824812</v>
      </c>
      <c r="R291" s="112">
        <v>10</v>
      </c>
      <c r="S291" s="112">
        <v>1500</v>
      </c>
      <c r="T291" s="99">
        <f>VLOOKUP(TEXT(A291,"yy-mm")&amp;"-"&amp;IF(AND(WEEKDAY(A291)&gt;1,WEEKDAY(A291)&lt;7),"Wkd",TEXT(A291,"Ddd"))&amp;"-"&amp;TEXT(A291,"hh"),LoadTable[],3,FALSE)*0.92</f>
        <v>279.25312000000002</v>
      </c>
      <c r="U291" s="113">
        <f t="shared" si="277"/>
        <v>27.925312000000002</v>
      </c>
    </row>
    <row r="292" spans="1:21" ht="15" thickBot="1">
      <c r="A292" s="29">
        <f t="shared" si="247"/>
        <v>45848.041666667945</v>
      </c>
      <c r="B292" s="187">
        <f t="shared" ref="B292:L292" si="309">B316</f>
        <v>5000</v>
      </c>
      <c r="C292" s="187">
        <f t="shared" si="309"/>
        <v>25000</v>
      </c>
      <c r="D292" s="187">
        <v>0</v>
      </c>
      <c r="E292" s="187">
        <v>700</v>
      </c>
      <c r="F292" s="187">
        <v>15000</v>
      </c>
      <c r="G292" s="187">
        <f t="shared" si="309"/>
        <v>2400</v>
      </c>
      <c r="H292" s="187">
        <f t="shared" si="309"/>
        <v>25000</v>
      </c>
      <c r="I292" s="187">
        <f t="shared" si="309"/>
        <v>5000</v>
      </c>
      <c r="J292" s="187">
        <v>40000</v>
      </c>
      <c r="K292" s="187">
        <f t="shared" si="309"/>
        <v>5000</v>
      </c>
      <c r="L292" s="187">
        <v>40000</v>
      </c>
      <c r="M292" s="110">
        <v>9.5</v>
      </c>
      <c r="N292" s="110">
        <f>VLOOKUP(DATE(YEAR(A292),MONTH(A292),DAY(A292)),FY24_Temp[],3,FALSE)</f>
        <v>12.8</v>
      </c>
      <c r="O292" s="110">
        <f t="shared" si="275"/>
        <v>11.5</v>
      </c>
      <c r="P292" s="110">
        <f t="shared" si="276"/>
        <v>19.5</v>
      </c>
      <c r="Q292" s="111">
        <f>VLOOKUP(VLOOKUP(DATEVALUE(TEXT(A292,"m/d/yyyy")),FY24_Temp[],5,FALSE)&amp;TEXT(A292,"-h"),TempDelta[],4,FALSE)</f>
        <v>3.0992857047489712</v>
      </c>
      <c r="R292" s="112">
        <v>10</v>
      </c>
      <c r="S292" s="112">
        <v>1500</v>
      </c>
      <c r="T292" s="99">
        <f>VLOOKUP(TEXT(A292,"yy-mm")&amp;"-"&amp;IF(AND(WEEKDAY(A292)&gt;1,WEEKDAY(A292)&lt;7),"Wkd",TEXT(A292,"Ddd"))&amp;"-"&amp;TEXT(A292,"hh"),LoadTable[],3,FALSE)*0.92</f>
        <v>279.25312000000002</v>
      </c>
      <c r="U292" s="113">
        <f t="shared" si="277"/>
        <v>27.925312000000002</v>
      </c>
    </row>
    <row r="293" spans="1:21" ht="15" thickBot="1">
      <c r="A293" s="29">
        <f t="shared" si="247"/>
        <v>45848.083333334609</v>
      </c>
      <c r="B293" s="187">
        <f t="shared" ref="B293:L293" si="310">B317</f>
        <v>5000</v>
      </c>
      <c r="C293" s="187">
        <f t="shared" si="310"/>
        <v>25000</v>
      </c>
      <c r="D293" s="187">
        <v>0</v>
      </c>
      <c r="E293" s="187">
        <v>700</v>
      </c>
      <c r="F293" s="187">
        <v>15000</v>
      </c>
      <c r="G293" s="187">
        <f t="shared" si="310"/>
        <v>2400</v>
      </c>
      <c r="H293" s="187">
        <f t="shared" si="310"/>
        <v>25000</v>
      </c>
      <c r="I293" s="187">
        <f t="shared" si="310"/>
        <v>5000</v>
      </c>
      <c r="J293" s="187">
        <v>40000</v>
      </c>
      <c r="K293" s="187">
        <f t="shared" si="310"/>
        <v>5000</v>
      </c>
      <c r="L293" s="187">
        <v>40000</v>
      </c>
      <c r="M293" s="110">
        <v>9.5</v>
      </c>
      <c r="N293" s="110">
        <f>VLOOKUP(DATE(YEAR(A293),MONTH(A293),DAY(A293)),FY24_Temp[],3,FALSE)</f>
        <v>12.8</v>
      </c>
      <c r="O293" s="110">
        <f t="shared" si="275"/>
        <v>11.5</v>
      </c>
      <c r="P293" s="110">
        <f t="shared" si="276"/>
        <v>19.5</v>
      </c>
      <c r="Q293" s="111">
        <f>VLOOKUP(VLOOKUP(DATEVALUE(TEXT(A293,"m/d/yyyy")),FY24_Temp[],5,FALSE)&amp;TEXT(A293,"-h"),TempDelta[],4,FALSE)</f>
        <v>3.1050000190734863</v>
      </c>
      <c r="R293" s="112">
        <v>10</v>
      </c>
      <c r="S293" s="112">
        <v>1500</v>
      </c>
      <c r="T293" s="99">
        <f>VLOOKUP(TEXT(A293,"yy-mm")&amp;"-"&amp;IF(AND(WEEKDAY(A293)&gt;1,WEEKDAY(A293)&lt;7),"Wkd",TEXT(A293,"Ddd"))&amp;"-"&amp;TEXT(A293,"hh"),LoadTable[],3,FALSE)*0.92</f>
        <v>279.25312000000002</v>
      </c>
      <c r="U293" s="113">
        <f t="shared" si="277"/>
        <v>27.925312000000002</v>
      </c>
    </row>
    <row r="294" spans="1:21" ht="15" thickBot="1">
      <c r="A294" s="29">
        <f t="shared" si="247"/>
        <v>45848.125000001273</v>
      </c>
      <c r="B294" s="187">
        <f t="shared" ref="B294:L294" si="311">B318</f>
        <v>5000</v>
      </c>
      <c r="C294" s="187">
        <f t="shared" si="311"/>
        <v>25000</v>
      </c>
      <c r="D294" s="187">
        <v>0</v>
      </c>
      <c r="E294" s="187">
        <v>700</v>
      </c>
      <c r="F294" s="187">
        <v>15000</v>
      </c>
      <c r="G294" s="187">
        <f t="shared" si="311"/>
        <v>2400</v>
      </c>
      <c r="H294" s="187">
        <f t="shared" si="311"/>
        <v>25000</v>
      </c>
      <c r="I294" s="187">
        <f t="shared" si="311"/>
        <v>5000</v>
      </c>
      <c r="J294" s="187">
        <v>40000</v>
      </c>
      <c r="K294" s="187">
        <f t="shared" si="311"/>
        <v>5000</v>
      </c>
      <c r="L294" s="187">
        <v>40000</v>
      </c>
      <c r="M294" s="110">
        <v>9.5</v>
      </c>
      <c r="N294" s="110">
        <f>VLOOKUP(DATE(YEAR(A294),MONTH(A294),DAY(A294)),FY24_Temp[],3,FALSE)</f>
        <v>12.8</v>
      </c>
      <c r="O294" s="110">
        <f t="shared" si="275"/>
        <v>11.5</v>
      </c>
      <c r="P294" s="110">
        <f t="shared" si="276"/>
        <v>19.5</v>
      </c>
      <c r="Q294" s="111">
        <f>VLOOKUP(VLOOKUP(DATEVALUE(TEXT(A294,"m/d/yyyy")),FY24_Temp[],5,FALSE)&amp;TEXT(A294,"-h"),TempDelta[],4,FALSE)</f>
        <v>3.0428571701049805</v>
      </c>
      <c r="R294" s="112">
        <v>10</v>
      </c>
      <c r="S294" s="112">
        <v>1500</v>
      </c>
      <c r="T294" s="99">
        <f>VLOOKUP(TEXT(A294,"yy-mm")&amp;"-"&amp;IF(AND(WEEKDAY(A294)&gt;1,WEEKDAY(A294)&lt;7),"Wkd",TEXT(A294,"Ddd"))&amp;"-"&amp;TEXT(A294,"hh"),LoadTable[],3,FALSE)*0.92</f>
        <v>279.25312000000002</v>
      </c>
      <c r="U294" s="113">
        <f t="shared" si="277"/>
        <v>27.925312000000002</v>
      </c>
    </row>
    <row r="295" spans="1:21" ht="15" thickBot="1">
      <c r="A295" s="29">
        <f t="shared" si="247"/>
        <v>45848.166666667938</v>
      </c>
      <c r="B295" s="187">
        <f t="shared" ref="B295:L295" si="312">B319</f>
        <v>5000</v>
      </c>
      <c r="C295" s="187">
        <f t="shared" si="312"/>
        <v>25000</v>
      </c>
      <c r="D295" s="187">
        <v>0</v>
      </c>
      <c r="E295" s="187">
        <v>700</v>
      </c>
      <c r="F295" s="187">
        <v>15000</v>
      </c>
      <c r="G295" s="187">
        <f t="shared" si="312"/>
        <v>2400</v>
      </c>
      <c r="H295" s="187">
        <f t="shared" si="312"/>
        <v>25000</v>
      </c>
      <c r="I295" s="187">
        <f t="shared" si="312"/>
        <v>5000</v>
      </c>
      <c r="J295" s="187">
        <v>40000</v>
      </c>
      <c r="K295" s="187">
        <f t="shared" si="312"/>
        <v>5000</v>
      </c>
      <c r="L295" s="187">
        <v>40000</v>
      </c>
      <c r="M295" s="110">
        <v>9.5</v>
      </c>
      <c r="N295" s="110">
        <f>VLOOKUP(DATE(YEAR(A295),MONTH(A295),DAY(A295)),FY24_Temp[],3,FALSE)</f>
        <v>12.8</v>
      </c>
      <c r="O295" s="110">
        <f t="shared" si="275"/>
        <v>11.5</v>
      </c>
      <c r="P295" s="110">
        <f t="shared" si="276"/>
        <v>19.5</v>
      </c>
      <c r="Q295" s="111">
        <f>VLOOKUP(VLOOKUP(DATEVALUE(TEXT(A295,"m/d/yyyy")),FY24_Temp[],5,FALSE)&amp;TEXT(A295,"-h"),TempDelta[],4,FALSE)</f>
        <v>2.9580000468662808</v>
      </c>
      <c r="R295" s="112">
        <v>10</v>
      </c>
      <c r="S295" s="112">
        <v>1500</v>
      </c>
      <c r="T295" s="99">
        <f>VLOOKUP(TEXT(A295,"yy-mm")&amp;"-"&amp;IF(AND(WEEKDAY(A295)&gt;1,WEEKDAY(A295)&lt;7),"Wkd",TEXT(A295,"Ddd"))&amp;"-"&amp;TEXT(A295,"hh"),LoadTable[],3,FALSE)*0.92</f>
        <v>279.25312000000002</v>
      </c>
      <c r="U295" s="113">
        <f t="shared" si="277"/>
        <v>27.925312000000002</v>
      </c>
    </row>
    <row r="296" spans="1:21" ht="15" thickBot="1">
      <c r="A296" s="29">
        <f t="shared" si="247"/>
        <v>45848.208333334602</v>
      </c>
      <c r="B296" s="187">
        <f t="shared" ref="B296:L296" si="313">B320</f>
        <v>5000</v>
      </c>
      <c r="C296" s="187">
        <f t="shared" si="313"/>
        <v>25000</v>
      </c>
      <c r="D296" s="187">
        <v>0</v>
      </c>
      <c r="E296" s="187">
        <v>700</v>
      </c>
      <c r="F296" s="187">
        <v>15000</v>
      </c>
      <c r="G296" s="187">
        <f t="shared" si="313"/>
        <v>2400</v>
      </c>
      <c r="H296" s="187">
        <f t="shared" si="313"/>
        <v>25000</v>
      </c>
      <c r="I296" s="187">
        <f t="shared" si="313"/>
        <v>5000</v>
      </c>
      <c r="J296" s="187">
        <v>40000</v>
      </c>
      <c r="K296" s="187">
        <f t="shared" si="313"/>
        <v>5000</v>
      </c>
      <c r="L296" s="187">
        <v>40000</v>
      </c>
      <c r="M296" s="110">
        <v>9.5</v>
      </c>
      <c r="N296" s="110">
        <f>VLOOKUP(DATE(YEAR(A296),MONTH(A296),DAY(A296)),FY24_Temp[],3,FALSE)</f>
        <v>12.8</v>
      </c>
      <c r="O296" s="110">
        <f t="shared" si="275"/>
        <v>11.5</v>
      </c>
      <c r="P296" s="110">
        <f t="shared" si="276"/>
        <v>19.5</v>
      </c>
      <c r="Q296" s="111">
        <f>VLOOKUP(VLOOKUP(DATEVALUE(TEXT(A296,"m/d/yyyy")),FY24_Temp[],5,FALSE)&amp;TEXT(A296,"-h"),TempDelta[],4,FALSE)</f>
        <v>2.8608571801866804</v>
      </c>
      <c r="R296" s="112">
        <v>10</v>
      </c>
      <c r="S296" s="112">
        <v>1500</v>
      </c>
      <c r="T296" s="99">
        <f>VLOOKUP(TEXT(A296,"yy-mm")&amp;"-"&amp;IF(AND(WEEKDAY(A296)&gt;1,WEEKDAY(A296)&lt;7),"Wkd",TEXT(A296,"Ddd"))&amp;"-"&amp;TEXT(A296,"hh"),LoadTable[],3,FALSE)*0.92</f>
        <v>279.25312000000002</v>
      </c>
      <c r="U296" s="113">
        <f t="shared" si="277"/>
        <v>27.925312000000002</v>
      </c>
    </row>
    <row r="297" spans="1:21" ht="15" thickBot="1">
      <c r="A297" s="29">
        <f t="shared" si="247"/>
        <v>45848.250000001266</v>
      </c>
      <c r="B297" s="187">
        <f t="shared" ref="B297:L297" si="314">B321</f>
        <v>8000</v>
      </c>
      <c r="C297" s="187">
        <f t="shared" si="314"/>
        <v>25000</v>
      </c>
      <c r="D297" s="187">
        <v>0</v>
      </c>
      <c r="E297" s="187">
        <v>700</v>
      </c>
      <c r="F297" s="187">
        <v>15000</v>
      </c>
      <c r="G297" s="187">
        <f t="shared" si="314"/>
        <v>2400</v>
      </c>
      <c r="H297" s="187">
        <f t="shared" si="314"/>
        <v>25000</v>
      </c>
      <c r="I297" s="187">
        <f t="shared" si="314"/>
        <v>8000</v>
      </c>
      <c r="J297" s="187">
        <v>40000</v>
      </c>
      <c r="K297" s="187">
        <f t="shared" si="314"/>
        <v>8000</v>
      </c>
      <c r="L297" s="187">
        <v>40000</v>
      </c>
      <c r="M297" s="110">
        <v>9.5</v>
      </c>
      <c r="N297" s="110">
        <f>VLOOKUP(DATE(YEAR(A297),MONTH(A297),DAY(A297)),FY24_Temp[],3,FALSE)</f>
        <v>12.8</v>
      </c>
      <c r="O297" s="110">
        <f t="shared" si="275"/>
        <v>11.5</v>
      </c>
      <c r="P297" s="110">
        <f t="shared" si="276"/>
        <v>19.5</v>
      </c>
      <c r="Q297" s="111">
        <f>VLOOKUP(VLOOKUP(DATEVALUE(TEXT(A297,"m/d/yyyy")),FY24_Temp[],5,FALSE)&amp;TEXT(A297,"-h"),TempDelta[],4,FALSE)</f>
        <v>2.7405714307512556</v>
      </c>
      <c r="R297" s="112">
        <v>10</v>
      </c>
      <c r="S297" s="112">
        <v>1500</v>
      </c>
      <c r="T297" s="99">
        <f>VLOOKUP(TEXT(A297,"yy-mm")&amp;"-"&amp;IF(AND(WEEKDAY(A297)&gt;1,WEEKDAY(A297)&lt;7),"Wkd",TEXT(A297,"Ddd"))&amp;"-"&amp;TEXT(A297,"hh"),LoadTable[],3,FALSE)*0.92</f>
        <v>279.25312000000002</v>
      </c>
      <c r="U297" s="113">
        <f t="shared" si="277"/>
        <v>27.925312000000002</v>
      </c>
    </row>
    <row r="298" spans="1:21" ht="15" thickBot="1">
      <c r="A298" s="29">
        <f t="shared" ref="A298:A361" si="315">A299-TIME(1,0,0)</f>
        <v>45848.29166666793</v>
      </c>
      <c r="B298" s="187">
        <f t="shared" ref="B298:L298" si="316">B322</f>
        <v>8000</v>
      </c>
      <c r="C298" s="187">
        <f t="shared" si="316"/>
        <v>25000</v>
      </c>
      <c r="D298" s="187">
        <v>0</v>
      </c>
      <c r="E298" s="187">
        <v>700</v>
      </c>
      <c r="F298" s="187">
        <v>15000</v>
      </c>
      <c r="G298" s="187">
        <f t="shared" si="316"/>
        <v>2400</v>
      </c>
      <c r="H298" s="187">
        <f t="shared" si="316"/>
        <v>25000</v>
      </c>
      <c r="I298" s="187">
        <f t="shared" si="316"/>
        <v>8000</v>
      </c>
      <c r="J298" s="187">
        <v>40000</v>
      </c>
      <c r="K298" s="187">
        <f t="shared" si="316"/>
        <v>8000</v>
      </c>
      <c r="L298" s="187">
        <v>40000</v>
      </c>
      <c r="M298" s="110">
        <v>9.5</v>
      </c>
      <c r="N298" s="110">
        <f>VLOOKUP(DATE(YEAR(A298),MONTH(A298),DAY(A298)),FY24_Temp[],3,FALSE)</f>
        <v>12.8</v>
      </c>
      <c r="O298" s="110">
        <f t="shared" si="275"/>
        <v>11.5</v>
      </c>
      <c r="P298" s="110">
        <f t="shared" si="276"/>
        <v>19.5</v>
      </c>
      <c r="Q298" s="111">
        <f>VLOOKUP(VLOOKUP(DATEVALUE(TEXT(A298,"m/d/yyyy")),FY24_Temp[],5,FALSE)&amp;TEXT(A298,"-h"),TempDelta[],4,FALSE)</f>
        <v>2.6134285245622908</v>
      </c>
      <c r="R298" s="112">
        <v>10</v>
      </c>
      <c r="S298" s="112">
        <v>1500</v>
      </c>
      <c r="T298" s="99">
        <f>VLOOKUP(TEXT(A298,"yy-mm")&amp;"-"&amp;IF(AND(WEEKDAY(A298)&gt;1,WEEKDAY(A298)&lt;7),"Wkd",TEXT(A298,"Ddd"))&amp;"-"&amp;TEXT(A298,"hh"),LoadTable[],3,FALSE)*0.92</f>
        <v>279.25312000000002</v>
      </c>
      <c r="U298" s="113">
        <f t="shared" si="277"/>
        <v>27.925312000000002</v>
      </c>
    </row>
    <row r="299" spans="1:21" ht="15" thickBot="1">
      <c r="A299" s="29">
        <f t="shared" si="315"/>
        <v>45848.333333334594</v>
      </c>
      <c r="B299" s="187">
        <f t="shared" ref="B299:L299" si="317">B323</f>
        <v>8000</v>
      </c>
      <c r="C299" s="187">
        <f t="shared" si="317"/>
        <v>25000</v>
      </c>
      <c r="D299" s="187">
        <v>0</v>
      </c>
      <c r="E299" s="187">
        <v>700</v>
      </c>
      <c r="F299" s="187">
        <v>15000</v>
      </c>
      <c r="G299" s="187">
        <f t="shared" si="317"/>
        <v>2400</v>
      </c>
      <c r="H299" s="187">
        <f t="shared" si="317"/>
        <v>25000</v>
      </c>
      <c r="I299" s="187">
        <f t="shared" si="317"/>
        <v>8000</v>
      </c>
      <c r="J299" s="187">
        <v>40000</v>
      </c>
      <c r="K299" s="187">
        <f t="shared" si="317"/>
        <v>8000</v>
      </c>
      <c r="L299" s="187">
        <v>40000</v>
      </c>
      <c r="M299" s="110">
        <v>9.5</v>
      </c>
      <c r="N299" s="110">
        <f>VLOOKUP(DATE(YEAR(A299),MONTH(A299),DAY(A299)),FY24_Temp[],3,FALSE)</f>
        <v>12.8</v>
      </c>
      <c r="O299" s="110">
        <f t="shared" si="275"/>
        <v>11.5</v>
      </c>
      <c r="P299" s="110">
        <f t="shared" si="276"/>
        <v>19.5</v>
      </c>
      <c r="Q299" s="111">
        <f>VLOOKUP(VLOOKUP(DATEVALUE(TEXT(A299,"m/d/yyyy")),FY24_Temp[],5,FALSE)&amp;TEXT(A299,"-h"),TempDelta[],4,FALSE)</f>
        <v>2.44985716683524</v>
      </c>
      <c r="R299" s="112">
        <v>10</v>
      </c>
      <c r="S299" s="112">
        <v>1500</v>
      </c>
      <c r="T299" s="99">
        <f>VLOOKUP(TEXT(A299,"yy-mm")&amp;"-"&amp;IF(AND(WEEKDAY(A299)&gt;1,WEEKDAY(A299)&lt;7),"Wkd",TEXT(A299,"Ddd"))&amp;"-"&amp;TEXT(A299,"hh"),LoadTable[],3,FALSE)*0.92</f>
        <v>279.25312000000002</v>
      </c>
      <c r="U299" s="113">
        <f t="shared" si="277"/>
        <v>27.925312000000002</v>
      </c>
    </row>
    <row r="300" spans="1:21" ht="15" thickBot="1">
      <c r="A300" s="29">
        <f t="shared" si="315"/>
        <v>45848.375000001259</v>
      </c>
      <c r="B300" s="187">
        <f t="shared" ref="B300:L300" si="318">B324</f>
        <v>8000</v>
      </c>
      <c r="C300" s="187">
        <f t="shared" si="318"/>
        <v>25000</v>
      </c>
      <c r="D300" s="187">
        <v>0</v>
      </c>
      <c r="E300" s="187">
        <v>700</v>
      </c>
      <c r="F300" s="187">
        <v>15000</v>
      </c>
      <c r="G300" s="187">
        <f t="shared" si="318"/>
        <v>2400</v>
      </c>
      <c r="H300" s="187">
        <f t="shared" si="318"/>
        <v>25000</v>
      </c>
      <c r="I300" s="187">
        <f t="shared" si="318"/>
        <v>8000</v>
      </c>
      <c r="J300" s="187">
        <v>40000</v>
      </c>
      <c r="K300" s="187">
        <f t="shared" si="318"/>
        <v>8000</v>
      </c>
      <c r="L300" s="187">
        <v>40000</v>
      </c>
      <c r="M300" s="110">
        <v>9.5</v>
      </c>
      <c r="N300" s="110">
        <f>VLOOKUP(DATE(YEAR(A300),MONTH(A300),DAY(A300)),FY24_Temp[],3,FALSE)</f>
        <v>12.8</v>
      </c>
      <c r="O300" s="110">
        <f t="shared" si="275"/>
        <v>11.5</v>
      </c>
      <c r="P300" s="110">
        <f t="shared" si="276"/>
        <v>19.5</v>
      </c>
      <c r="Q300" s="111">
        <f>VLOOKUP(VLOOKUP(DATEVALUE(TEXT(A300,"m/d/yyyy")),FY24_Temp[],5,FALSE)&amp;TEXT(A300,"-h"),TempDelta[],4,FALSE)</f>
        <v>2.2458571025303433</v>
      </c>
      <c r="R300" s="112">
        <v>10</v>
      </c>
      <c r="S300" s="112">
        <v>1500</v>
      </c>
      <c r="T300" s="99">
        <f>VLOOKUP(TEXT(A300,"yy-mm")&amp;"-"&amp;IF(AND(WEEKDAY(A300)&gt;1,WEEKDAY(A300)&lt;7),"Wkd",TEXT(A300,"Ddd"))&amp;"-"&amp;TEXT(A300,"hh"),LoadTable[],3,FALSE)*0.92</f>
        <v>279.25312000000002</v>
      </c>
      <c r="U300" s="113">
        <f t="shared" si="277"/>
        <v>27.925312000000002</v>
      </c>
    </row>
    <row r="301" spans="1:21" ht="15" thickBot="1">
      <c r="A301" s="29">
        <f t="shared" si="315"/>
        <v>45848.416666667923</v>
      </c>
      <c r="B301" s="187">
        <f t="shared" ref="B301:L301" si="319">B325</f>
        <v>8000</v>
      </c>
      <c r="C301" s="187">
        <f t="shared" si="319"/>
        <v>25000</v>
      </c>
      <c r="D301" s="187">
        <v>0</v>
      </c>
      <c r="E301" s="187">
        <v>700</v>
      </c>
      <c r="F301" s="187">
        <v>15000</v>
      </c>
      <c r="G301" s="187">
        <f t="shared" si="319"/>
        <v>2400</v>
      </c>
      <c r="H301" s="187">
        <f t="shared" si="319"/>
        <v>25000</v>
      </c>
      <c r="I301" s="187">
        <f t="shared" si="319"/>
        <v>8000</v>
      </c>
      <c r="J301" s="187">
        <v>40000</v>
      </c>
      <c r="K301" s="187">
        <f t="shared" si="319"/>
        <v>8000</v>
      </c>
      <c r="L301" s="187">
        <v>40000</v>
      </c>
      <c r="M301" s="110">
        <v>9.5</v>
      </c>
      <c r="N301" s="110">
        <f>VLOOKUP(DATE(YEAR(A301),MONTH(A301),DAY(A301)),FY24_Temp[],3,FALSE)</f>
        <v>12.8</v>
      </c>
      <c r="O301" s="110">
        <f t="shared" si="275"/>
        <v>11.5</v>
      </c>
      <c r="P301" s="110">
        <f t="shared" si="276"/>
        <v>19.5</v>
      </c>
      <c r="Q301" s="111">
        <f>VLOOKUP(VLOOKUP(DATEVALUE(TEXT(A301,"m/d/yyyy")),FY24_Temp[],5,FALSE)&amp;TEXT(A301,"-h"),TempDelta[],4,FALSE)</f>
        <v>2.0832857234137401</v>
      </c>
      <c r="R301" s="112">
        <v>10</v>
      </c>
      <c r="S301" s="112">
        <v>1500</v>
      </c>
      <c r="T301" s="99">
        <f>VLOOKUP(TEXT(A301,"yy-mm")&amp;"-"&amp;IF(AND(WEEKDAY(A301)&gt;1,WEEKDAY(A301)&lt;7),"Wkd",TEXT(A301,"Ddd"))&amp;"-"&amp;TEXT(A301,"hh"),LoadTable[],3,FALSE)*0.92</f>
        <v>279.25312000000002</v>
      </c>
      <c r="U301" s="113">
        <f t="shared" si="277"/>
        <v>27.925312000000002</v>
      </c>
    </row>
    <row r="302" spans="1:21" ht="15" thickBot="1">
      <c r="A302" s="29">
        <f t="shared" si="315"/>
        <v>45848.458333334587</v>
      </c>
      <c r="B302" s="187">
        <f t="shared" ref="B302:L302" si="320">B326</f>
        <v>8000</v>
      </c>
      <c r="C302" s="187">
        <f t="shared" si="320"/>
        <v>25000</v>
      </c>
      <c r="D302" s="187">
        <v>0</v>
      </c>
      <c r="E302" s="187">
        <v>700</v>
      </c>
      <c r="F302" s="187">
        <v>15000</v>
      </c>
      <c r="G302" s="187">
        <f t="shared" si="320"/>
        <v>2400</v>
      </c>
      <c r="H302" s="187">
        <f t="shared" si="320"/>
        <v>25000</v>
      </c>
      <c r="I302" s="187">
        <f t="shared" si="320"/>
        <v>8000</v>
      </c>
      <c r="J302" s="187">
        <v>40000</v>
      </c>
      <c r="K302" s="187">
        <f t="shared" si="320"/>
        <v>8000</v>
      </c>
      <c r="L302" s="187">
        <v>40000</v>
      </c>
      <c r="M302" s="110">
        <v>9.5</v>
      </c>
      <c r="N302" s="110">
        <f>VLOOKUP(DATE(YEAR(A302),MONTH(A302),DAY(A302)),FY24_Temp[],3,FALSE)</f>
        <v>12.8</v>
      </c>
      <c r="O302" s="110">
        <f t="shared" si="275"/>
        <v>11.5</v>
      </c>
      <c r="P302" s="110">
        <f t="shared" si="276"/>
        <v>19.5</v>
      </c>
      <c r="Q302" s="111">
        <f>VLOOKUP(VLOOKUP(DATEVALUE(TEXT(A302,"m/d/yyyy")),FY24_Temp[],5,FALSE)&amp;TEXT(A302,"-h"),TempDelta[],4,FALSE)</f>
        <v>1.8928571258272444</v>
      </c>
      <c r="R302" s="112">
        <v>10</v>
      </c>
      <c r="S302" s="112">
        <v>1500</v>
      </c>
      <c r="T302" s="99">
        <f>VLOOKUP(TEXT(A302,"yy-mm")&amp;"-"&amp;IF(AND(WEEKDAY(A302)&gt;1,WEEKDAY(A302)&lt;7),"Wkd",TEXT(A302,"Ddd"))&amp;"-"&amp;TEXT(A302,"hh"),LoadTable[],3,FALSE)*0.92</f>
        <v>279.25312000000002</v>
      </c>
      <c r="U302" s="113">
        <f t="shared" si="277"/>
        <v>27.925312000000002</v>
      </c>
    </row>
    <row r="303" spans="1:21" ht="15" thickBot="1">
      <c r="A303" s="29">
        <f t="shared" si="315"/>
        <v>45848.500000001251</v>
      </c>
      <c r="B303" s="187">
        <f t="shared" ref="B303:L303" si="321">B327</f>
        <v>8000</v>
      </c>
      <c r="C303" s="187">
        <f t="shared" si="321"/>
        <v>25000</v>
      </c>
      <c r="D303" s="187">
        <v>0</v>
      </c>
      <c r="E303" s="187">
        <v>700</v>
      </c>
      <c r="F303" s="187">
        <v>15000</v>
      </c>
      <c r="G303" s="187">
        <f t="shared" si="321"/>
        <v>2400</v>
      </c>
      <c r="H303" s="187">
        <f t="shared" si="321"/>
        <v>25000</v>
      </c>
      <c r="I303" s="187">
        <f t="shared" si="321"/>
        <v>8000</v>
      </c>
      <c r="J303" s="187">
        <v>40000</v>
      </c>
      <c r="K303" s="187">
        <f t="shared" si="321"/>
        <v>8000</v>
      </c>
      <c r="L303" s="187">
        <v>40000</v>
      </c>
      <c r="M303" s="110">
        <v>9.5</v>
      </c>
      <c r="N303" s="110">
        <f>VLOOKUP(DATE(YEAR(A303),MONTH(A303),DAY(A303)),FY24_Temp[],3,FALSE)</f>
        <v>12.8</v>
      </c>
      <c r="O303" s="110">
        <f t="shared" si="275"/>
        <v>11.5</v>
      </c>
      <c r="P303" s="110">
        <f t="shared" si="276"/>
        <v>19.5</v>
      </c>
      <c r="Q303" s="111">
        <f>VLOOKUP(VLOOKUP(DATEVALUE(TEXT(A303,"m/d/yyyy")),FY24_Temp[],5,FALSE)&amp;TEXT(A303,"-h"),TempDelta[],4,FALSE)</f>
        <v>1.665857127734593</v>
      </c>
      <c r="R303" s="112">
        <v>10</v>
      </c>
      <c r="S303" s="112">
        <v>1500</v>
      </c>
      <c r="T303" s="99">
        <f>VLOOKUP(TEXT(A303,"yy-mm")&amp;"-"&amp;IF(AND(WEEKDAY(A303)&gt;1,WEEKDAY(A303)&lt;7),"Wkd",TEXT(A303,"Ddd"))&amp;"-"&amp;TEXT(A303,"hh"),LoadTable[],3,FALSE)*0.92</f>
        <v>279.25312000000002</v>
      </c>
      <c r="U303" s="113">
        <f t="shared" si="277"/>
        <v>27.925312000000002</v>
      </c>
    </row>
    <row r="304" spans="1:21" ht="15" thickBot="1">
      <c r="A304" s="29">
        <f t="shared" si="315"/>
        <v>45848.541666667916</v>
      </c>
      <c r="B304" s="187">
        <f t="shared" ref="B304:L304" si="322">B328</f>
        <v>8000</v>
      </c>
      <c r="C304" s="187">
        <f t="shared" si="322"/>
        <v>25000</v>
      </c>
      <c r="D304" s="187">
        <v>0</v>
      </c>
      <c r="E304" s="187">
        <v>700</v>
      </c>
      <c r="F304" s="187">
        <v>15000</v>
      </c>
      <c r="G304" s="187">
        <f t="shared" si="322"/>
        <v>2400</v>
      </c>
      <c r="H304" s="187">
        <f t="shared" si="322"/>
        <v>25000</v>
      </c>
      <c r="I304" s="187">
        <f t="shared" si="322"/>
        <v>8000</v>
      </c>
      <c r="J304" s="187">
        <v>40000</v>
      </c>
      <c r="K304" s="187">
        <f t="shared" si="322"/>
        <v>8000</v>
      </c>
      <c r="L304" s="187">
        <v>40000</v>
      </c>
      <c r="M304" s="110">
        <v>9.5</v>
      </c>
      <c r="N304" s="110">
        <f>VLOOKUP(DATE(YEAR(A304),MONTH(A304),DAY(A304)),FY24_Temp[],3,FALSE)</f>
        <v>12.8</v>
      </c>
      <c r="O304" s="110">
        <f t="shared" si="275"/>
        <v>11.5</v>
      </c>
      <c r="P304" s="110">
        <f t="shared" si="276"/>
        <v>19.5</v>
      </c>
      <c r="Q304" s="111">
        <f>VLOOKUP(VLOOKUP(DATEVALUE(TEXT(A304,"m/d/yyyy")),FY24_Temp[],5,FALSE)&amp;TEXT(A304,"-h"),TempDelta[],4,FALSE)</f>
        <v>1.4252856969833374</v>
      </c>
      <c r="R304" s="112">
        <v>10</v>
      </c>
      <c r="S304" s="112">
        <v>1500</v>
      </c>
      <c r="T304" s="99">
        <f>VLOOKUP(TEXT(A304,"yy-mm")&amp;"-"&amp;IF(AND(WEEKDAY(A304)&gt;1,WEEKDAY(A304)&lt;7),"Wkd",TEXT(A304,"Ddd"))&amp;"-"&amp;TEXT(A304,"hh"),LoadTable[],3,FALSE)*0.92</f>
        <v>279.25312000000002</v>
      </c>
      <c r="U304" s="113">
        <f t="shared" si="277"/>
        <v>27.925312000000002</v>
      </c>
    </row>
    <row r="305" spans="1:21" ht="15" thickBot="1">
      <c r="A305" s="29">
        <f t="shared" si="315"/>
        <v>45848.58333333458</v>
      </c>
      <c r="B305" s="187">
        <f t="shared" ref="B305:L305" si="323">B329</f>
        <v>8000</v>
      </c>
      <c r="C305" s="187">
        <f t="shared" si="323"/>
        <v>25000</v>
      </c>
      <c r="D305" s="187">
        <v>0</v>
      </c>
      <c r="E305" s="187">
        <v>700</v>
      </c>
      <c r="F305" s="187">
        <v>15000</v>
      </c>
      <c r="G305" s="187">
        <f t="shared" si="323"/>
        <v>2400</v>
      </c>
      <c r="H305" s="187">
        <f t="shared" si="323"/>
        <v>25000</v>
      </c>
      <c r="I305" s="187">
        <f t="shared" si="323"/>
        <v>8000</v>
      </c>
      <c r="J305" s="187">
        <v>40000</v>
      </c>
      <c r="K305" s="187">
        <f t="shared" si="323"/>
        <v>8000</v>
      </c>
      <c r="L305" s="187">
        <v>40000</v>
      </c>
      <c r="M305" s="110">
        <v>9.5</v>
      </c>
      <c r="N305" s="110">
        <f>VLOOKUP(DATE(YEAR(A305),MONTH(A305),DAY(A305)),FY24_Temp[],3,FALSE)</f>
        <v>12.8</v>
      </c>
      <c r="O305" s="110">
        <f t="shared" si="275"/>
        <v>11.5</v>
      </c>
      <c r="P305" s="110">
        <f t="shared" si="276"/>
        <v>19.5</v>
      </c>
      <c r="Q305" s="111">
        <f>VLOOKUP(VLOOKUP(DATEVALUE(TEXT(A305,"m/d/yyyy")),FY24_Temp[],5,FALSE)&amp;TEXT(A305,"-h"),TempDelta[],4,FALSE)</f>
        <v>1.2351428781236922</v>
      </c>
      <c r="R305" s="112">
        <v>10</v>
      </c>
      <c r="S305" s="112">
        <v>1500</v>
      </c>
      <c r="T305" s="99">
        <f>VLOOKUP(TEXT(A305,"yy-mm")&amp;"-"&amp;IF(AND(WEEKDAY(A305)&gt;1,WEEKDAY(A305)&lt;7),"Wkd",TEXT(A305,"Ddd"))&amp;"-"&amp;TEXT(A305,"hh"),LoadTable[],3,FALSE)*0.92</f>
        <v>373.26607999999999</v>
      </c>
      <c r="U305" s="113">
        <f t="shared" si="277"/>
        <v>37.326608</v>
      </c>
    </row>
    <row r="306" spans="1:21" ht="15" thickBot="1">
      <c r="A306" s="29">
        <f t="shared" si="315"/>
        <v>45848.625000001244</v>
      </c>
      <c r="B306" s="187">
        <f t="shared" ref="B306:L306" si="324">B330</f>
        <v>8000</v>
      </c>
      <c r="C306" s="187">
        <f t="shared" si="324"/>
        <v>25000</v>
      </c>
      <c r="D306" s="187">
        <v>0</v>
      </c>
      <c r="E306" s="187">
        <v>700</v>
      </c>
      <c r="F306" s="187">
        <v>15000</v>
      </c>
      <c r="G306" s="187">
        <f t="shared" si="324"/>
        <v>2400</v>
      </c>
      <c r="H306" s="187">
        <f t="shared" si="324"/>
        <v>25000</v>
      </c>
      <c r="I306" s="187">
        <f t="shared" si="324"/>
        <v>8000</v>
      </c>
      <c r="J306" s="187">
        <v>40000</v>
      </c>
      <c r="K306" s="187">
        <f t="shared" si="324"/>
        <v>8000</v>
      </c>
      <c r="L306" s="187">
        <v>40000</v>
      </c>
      <c r="M306" s="110">
        <v>9.5</v>
      </c>
      <c r="N306" s="110">
        <f>VLOOKUP(DATE(YEAR(A306),MONTH(A306),DAY(A306)),FY24_Temp[],3,FALSE)</f>
        <v>12.8</v>
      </c>
      <c r="O306" s="110">
        <f t="shared" si="275"/>
        <v>11.5</v>
      </c>
      <c r="P306" s="110">
        <f t="shared" si="276"/>
        <v>19.5</v>
      </c>
      <c r="Q306" s="111">
        <f>VLOOKUP(VLOOKUP(DATEVALUE(TEXT(A306,"m/d/yyyy")),FY24_Temp[],5,FALSE)&amp;TEXT(A306,"-h"),TempDelta[],4,FALSE)</f>
        <v>0.97514284508568905</v>
      </c>
      <c r="R306" s="112">
        <v>10</v>
      </c>
      <c r="S306" s="112">
        <v>1500</v>
      </c>
      <c r="T306" s="99">
        <f>VLOOKUP(TEXT(A306,"yy-mm")&amp;"-"&amp;IF(AND(WEEKDAY(A306)&gt;1,WEEKDAY(A306)&lt;7),"Wkd",TEXT(A306,"Ddd"))&amp;"-"&amp;TEXT(A306,"hh"),LoadTable[],3,FALSE)*0.92</f>
        <v>494.57360000000006</v>
      </c>
      <c r="U306" s="113">
        <f t="shared" si="277"/>
        <v>49.457360000000008</v>
      </c>
    </row>
    <row r="307" spans="1:21" ht="15" thickBot="1">
      <c r="A307" s="29">
        <f t="shared" si="315"/>
        <v>45848.666666667908</v>
      </c>
      <c r="B307" s="187">
        <f t="shared" ref="B307:L307" si="325">B331</f>
        <v>8000</v>
      </c>
      <c r="C307" s="187">
        <f t="shared" si="325"/>
        <v>25000</v>
      </c>
      <c r="D307" s="187">
        <v>0</v>
      </c>
      <c r="E307" s="187">
        <v>700</v>
      </c>
      <c r="F307" s="187">
        <v>15000</v>
      </c>
      <c r="G307" s="187">
        <f t="shared" si="325"/>
        <v>2400</v>
      </c>
      <c r="H307" s="187">
        <f t="shared" si="325"/>
        <v>25000</v>
      </c>
      <c r="I307" s="187">
        <f t="shared" si="325"/>
        <v>8000</v>
      </c>
      <c r="J307" s="187">
        <v>40000</v>
      </c>
      <c r="K307" s="187">
        <f t="shared" si="325"/>
        <v>8000</v>
      </c>
      <c r="L307" s="187">
        <v>40000</v>
      </c>
      <c r="M307" s="110">
        <v>9.5</v>
      </c>
      <c r="N307" s="110">
        <f>VLOOKUP(DATE(YEAR(A307),MONTH(A307),DAY(A307)),FY24_Temp[],3,FALSE)</f>
        <v>12.8</v>
      </c>
      <c r="O307" s="110">
        <f t="shared" si="275"/>
        <v>11.5</v>
      </c>
      <c r="P307" s="110">
        <f t="shared" si="276"/>
        <v>19.5</v>
      </c>
      <c r="Q307" s="111">
        <f>VLOOKUP(VLOOKUP(DATEVALUE(TEXT(A307,"m/d/yyyy")),FY24_Temp[],5,FALSE)&amp;TEXT(A307,"-h"),TempDelta[],4,FALSE)</f>
        <v>0.88578571166310993</v>
      </c>
      <c r="R307" s="112">
        <v>10</v>
      </c>
      <c r="S307" s="112">
        <v>1500</v>
      </c>
      <c r="T307" s="99">
        <f>VLOOKUP(TEXT(A307,"yy-mm")&amp;"-"&amp;IF(AND(WEEKDAY(A307)&gt;1,WEEKDAY(A307)&lt;7),"Wkd",TEXT(A307,"Ddd"))&amp;"-"&amp;TEXT(A307,"hh"),LoadTable[],3,FALSE)*0.92</f>
        <v>494.57360000000006</v>
      </c>
      <c r="U307" s="113">
        <f t="shared" si="277"/>
        <v>49.457360000000008</v>
      </c>
    </row>
    <row r="308" spans="1:21" ht="15" thickBot="1">
      <c r="A308" s="29">
        <f t="shared" si="315"/>
        <v>45848.708333334573</v>
      </c>
      <c r="B308" s="187">
        <f t="shared" ref="B308:L308" si="326">B332</f>
        <v>8000</v>
      </c>
      <c r="C308" s="187">
        <f t="shared" si="326"/>
        <v>25000</v>
      </c>
      <c r="D308" s="187">
        <v>0</v>
      </c>
      <c r="E308" s="187">
        <v>700</v>
      </c>
      <c r="F308" s="187">
        <v>15000</v>
      </c>
      <c r="G308" s="187">
        <f t="shared" si="326"/>
        <v>2400</v>
      </c>
      <c r="H308" s="187">
        <f t="shared" si="326"/>
        <v>25000</v>
      </c>
      <c r="I308" s="187">
        <f t="shared" si="326"/>
        <v>8000</v>
      </c>
      <c r="J308" s="187">
        <v>40000</v>
      </c>
      <c r="K308" s="187">
        <f t="shared" si="326"/>
        <v>8000</v>
      </c>
      <c r="L308" s="187">
        <v>40000</v>
      </c>
      <c r="M308" s="110">
        <v>9.5</v>
      </c>
      <c r="N308" s="110">
        <f>VLOOKUP(DATE(YEAR(A308),MONTH(A308),DAY(A308)),FY24_Temp[],3,FALSE)</f>
        <v>12.8</v>
      </c>
      <c r="O308" s="110">
        <f t="shared" si="275"/>
        <v>11.5</v>
      </c>
      <c r="P308" s="110">
        <f t="shared" si="276"/>
        <v>19.5</v>
      </c>
      <c r="Q308" s="111">
        <f>VLOOKUP(VLOOKUP(DATEVALUE(TEXT(A308,"m/d/yyyy")),FY24_Temp[],5,FALSE)&amp;TEXT(A308,"-h"),TempDelta[],4,FALSE)</f>
        <v>1.0356428495475225</v>
      </c>
      <c r="R308" s="112">
        <v>10</v>
      </c>
      <c r="S308" s="112">
        <v>1500</v>
      </c>
      <c r="T308" s="99">
        <f>VLOOKUP(TEXT(A308,"yy-mm")&amp;"-"&amp;IF(AND(WEEKDAY(A308)&gt;1,WEEKDAY(A308)&lt;7),"Wkd",TEXT(A308,"Ddd"))&amp;"-"&amp;TEXT(A308,"hh"),LoadTable[],3,FALSE)*0.92</f>
        <v>494.57360000000006</v>
      </c>
      <c r="U308" s="113">
        <f t="shared" si="277"/>
        <v>49.457360000000008</v>
      </c>
    </row>
    <row r="309" spans="1:21" ht="15" thickBot="1">
      <c r="A309" s="29">
        <f t="shared" si="315"/>
        <v>45848.750000001237</v>
      </c>
      <c r="B309" s="187">
        <f t="shared" ref="B309:L309" si="327">B333</f>
        <v>5000</v>
      </c>
      <c r="C309" s="187">
        <f t="shared" si="327"/>
        <v>25000</v>
      </c>
      <c r="D309" s="187">
        <v>0</v>
      </c>
      <c r="E309" s="187">
        <v>700</v>
      </c>
      <c r="F309" s="187">
        <v>15000</v>
      </c>
      <c r="G309" s="187">
        <f t="shared" si="327"/>
        <v>2400</v>
      </c>
      <c r="H309" s="187">
        <f t="shared" si="327"/>
        <v>25000</v>
      </c>
      <c r="I309" s="187">
        <f t="shared" si="327"/>
        <v>5000</v>
      </c>
      <c r="J309" s="187">
        <v>40000</v>
      </c>
      <c r="K309" s="187">
        <f t="shared" si="327"/>
        <v>5000</v>
      </c>
      <c r="L309" s="187">
        <v>40000</v>
      </c>
      <c r="M309" s="110">
        <v>9.5</v>
      </c>
      <c r="N309" s="110">
        <f>VLOOKUP(DATE(YEAR(A309),MONTH(A309),DAY(A309)),FY24_Temp[],3,FALSE)</f>
        <v>12.8</v>
      </c>
      <c r="O309" s="110">
        <f t="shared" si="275"/>
        <v>11.5</v>
      </c>
      <c r="P309" s="110">
        <f t="shared" si="276"/>
        <v>19.5</v>
      </c>
      <c r="Q309" s="111">
        <f>VLOOKUP(VLOOKUP(DATEVALUE(TEXT(A309,"m/d/yyyy")),FY24_Temp[],5,FALSE)&amp;TEXT(A309,"-h"),TempDelta[],4,FALSE)</f>
        <v>1.3991428358214242</v>
      </c>
      <c r="R309" s="112">
        <v>10</v>
      </c>
      <c r="S309" s="112">
        <v>1500</v>
      </c>
      <c r="T309" s="99">
        <f>VLOOKUP(TEXT(A309,"yy-mm")&amp;"-"&amp;IF(AND(WEEKDAY(A309)&gt;1,WEEKDAY(A309)&lt;7),"Wkd",TEXT(A309,"Ddd"))&amp;"-"&amp;TEXT(A309,"hh"),LoadTable[],3,FALSE)*0.92</f>
        <v>494.57360000000006</v>
      </c>
      <c r="U309" s="113">
        <f t="shared" si="277"/>
        <v>49.457360000000008</v>
      </c>
    </row>
    <row r="310" spans="1:21" ht="15" thickBot="1">
      <c r="A310" s="29">
        <f t="shared" si="315"/>
        <v>45848.791666667901</v>
      </c>
      <c r="B310" s="187">
        <f t="shared" ref="B310:L310" si="328">B334</f>
        <v>5000</v>
      </c>
      <c r="C310" s="187">
        <f t="shared" si="328"/>
        <v>25000</v>
      </c>
      <c r="D310" s="187">
        <v>0</v>
      </c>
      <c r="E310" s="187">
        <v>700</v>
      </c>
      <c r="F310" s="187">
        <v>15000</v>
      </c>
      <c r="G310" s="187">
        <f t="shared" si="328"/>
        <v>2400</v>
      </c>
      <c r="H310" s="187">
        <f t="shared" si="328"/>
        <v>25000</v>
      </c>
      <c r="I310" s="187">
        <f t="shared" si="328"/>
        <v>5000</v>
      </c>
      <c r="J310" s="187">
        <v>40000</v>
      </c>
      <c r="K310" s="187">
        <f t="shared" si="328"/>
        <v>5000</v>
      </c>
      <c r="L310" s="187">
        <v>40000</v>
      </c>
      <c r="M310" s="110">
        <v>9.5</v>
      </c>
      <c r="N310" s="110">
        <f>VLOOKUP(DATE(YEAR(A310),MONTH(A310),DAY(A310)),FY24_Temp[],3,FALSE)</f>
        <v>12.8</v>
      </c>
      <c r="O310" s="110">
        <f t="shared" si="275"/>
        <v>11.5</v>
      </c>
      <c r="P310" s="110">
        <f t="shared" si="276"/>
        <v>19.5</v>
      </c>
      <c r="Q310" s="111">
        <f>VLOOKUP(VLOOKUP(DATEVALUE(TEXT(A310,"m/d/yyyy")),FY24_Temp[],5,FALSE)&amp;TEXT(A310,"-h"),TempDelta[],4,FALSE)</f>
        <v>1.8638571415628706</v>
      </c>
      <c r="R310" s="112">
        <v>10</v>
      </c>
      <c r="S310" s="112">
        <v>1500</v>
      </c>
      <c r="T310" s="99">
        <f>VLOOKUP(TEXT(A310,"yy-mm")&amp;"-"&amp;IF(AND(WEEKDAY(A310)&gt;1,WEEKDAY(A310)&lt;7),"Wkd",TEXT(A310,"Ddd"))&amp;"-"&amp;TEXT(A310,"hh"),LoadTable[],3,FALSE)*0.92</f>
        <v>494.57360000000006</v>
      </c>
      <c r="U310" s="113">
        <f t="shared" si="277"/>
        <v>49.457360000000008</v>
      </c>
    </row>
    <row r="311" spans="1:21" ht="15" thickBot="1">
      <c r="A311" s="29">
        <f t="shared" si="315"/>
        <v>45848.833333334565</v>
      </c>
      <c r="B311" s="187">
        <f t="shared" ref="B311:L311" si="329">B335</f>
        <v>5000</v>
      </c>
      <c r="C311" s="187">
        <f t="shared" si="329"/>
        <v>25000</v>
      </c>
      <c r="D311" s="187">
        <v>0</v>
      </c>
      <c r="E311" s="187">
        <v>700</v>
      </c>
      <c r="F311" s="187">
        <v>15000</v>
      </c>
      <c r="G311" s="187">
        <f t="shared" si="329"/>
        <v>2400</v>
      </c>
      <c r="H311" s="187">
        <f t="shared" si="329"/>
        <v>25000</v>
      </c>
      <c r="I311" s="187">
        <f t="shared" si="329"/>
        <v>5000</v>
      </c>
      <c r="J311" s="187">
        <v>40000</v>
      </c>
      <c r="K311" s="187">
        <f t="shared" si="329"/>
        <v>5000</v>
      </c>
      <c r="L311" s="187">
        <v>40000</v>
      </c>
      <c r="M311" s="110">
        <v>9.5</v>
      </c>
      <c r="N311" s="110">
        <f>VLOOKUP(DATE(YEAR(A311),MONTH(A311),DAY(A311)),FY24_Temp[],3,FALSE)</f>
        <v>12.8</v>
      </c>
      <c r="O311" s="110">
        <f t="shared" si="275"/>
        <v>11.5</v>
      </c>
      <c r="P311" s="110">
        <f t="shared" si="276"/>
        <v>19.5</v>
      </c>
      <c r="Q311" s="111">
        <f>VLOOKUP(VLOOKUP(DATEVALUE(TEXT(A311,"m/d/yyyy")),FY24_Temp[],5,FALSE)&amp;TEXT(A311,"-h"),TempDelta[],4,FALSE)</f>
        <v>2.300714305468968</v>
      </c>
      <c r="R311" s="112">
        <v>10</v>
      </c>
      <c r="S311" s="112">
        <v>1500</v>
      </c>
      <c r="T311" s="99">
        <f>VLOOKUP(TEXT(A311,"yy-mm")&amp;"-"&amp;IF(AND(WEEKDAY(A311)&gt;1,WEEKDAY(A311)&lt;7),"Wkd",TEXT(A311,"Ddd"))&amp;"-"&amp;TEXT(A311,"hh"),LoadTable[],3,FALSE)*0.92</f>
        <v>494.57360000000006</v>
      </c>
      <c r="U311" s="113">
        <f t="shared" si="277"/>
        <v>49.457360000000008</v>
      </c>
    </row>
    <row r="312" spans="1:21" ht="15" thickBot="1">
      <c r="A312" s="29">
        <f t="shared" si="315"/>
        <v>45848.87500000123</v>
      </c>
      <c r="B312" s="187">
        <f t="shared" ref="B312:L312" si="330">B336</f>
        <v>5000</v>
      </c>
      <c r="C312" s="187">
        <f t="shared" si="330"/>
        <v>25000</v>
      </c>
      <c r="D312" s="187">
        <v>0</v>
      </c>
      <c r="E312" s="187">
        <v>700</v>
      </c>
      <c r="F312" s="187">
        <v>15000</v>
      </c>
      <c r="G312" s="187">
        <f t="shared" si="330"/>
        <v>2400</v>
      </c>
      <c r="H312" s="187">
        <f t="shared" si="330"/>
        <v>25000</v>
      </c>
      <c r="I312" s="187">
        <f t="shared" si="330"/>
        <v>5000</v>
      </c>
      <c r="J312" s="187">
        <v>40000</v>
      </c>
      <c r="K312" s="187">
        <f t="shared" si="330"/>
        <v>5000</v>
      </c>
      <c r="L312" s="187">
        <v>40000</v>
      </c>
      <c r="M312" s="110">
        <v>9.5</v>
      </c>
      <c r="N312" s="110">
        <f>VLOOKUP(DATE(YEAR(A312),MONTH(A312),DAY(A312)),FY24_Temp[],3,FALSE)</f>
        <v>12.8</v>
      </c>
      <c r="O312" s="110">
        <f t="shared" si="275"/>
        <v>11.5</v>
      </c>
      <c r="P312" s="110">
        <f t="shared" si="276"/>
        <v>19.5</v>
      </c>
      <c r="Q312" s="111">
        <f>VLOOKUP(VLOOKUP(DATEVALUE(TEXT(A312,"m/d/yyyy")),FY24_Temp[],5,FALSE)&amp;TEXT(A312,"-h"),TempDelta[],4,FALSE)</f>
        <v>2.554214222090585</v>
      </c>
      <c r="R312" s="112">
        <v>10</v>
      </c>
      <c r="S312" s="112">
        <v>1500</v>
      </c>
      <c r="T312" s="99">
        <f>VLOOKUP(TEXT(A312,"yy-mm")&amp;"-"&amp;IF(AND(WEEKDAY(A312)&gt;1,WEEKDAY(A312)&lt;7),"Wkd",TEXT(A312,"Ddd"))&amp;"-"&amp;TEXT(A312,"hh"),LoadTable[],3,FALSE)*0.92</f>
        <v>494.57360000000006</v>
      </c>
      <c r="U312" s="113">
        <f t="shared" si="277"/>
        <v>49.457360000000008</v>
      </c>
    </row>
    <row r="313" spans="1:21" ht="15" thickBot="1">
      <c r="A313" s="29">
        <f t="shared" si="315"/>
        <v>45848.916666667894</v>
      </c>
      <c r="B313" s="187">
        <f t="shared" ref="B313:L313" si="331">B337</f>
        <v>5000</v>
      </c>
      <c r="C313" s="187">
        <f t="shared" si="331"/>
        <v>25000</v>
      </c>
      <c r="D313" s="187">
        <v>0</v>
      </c>
      <c r="E313" s="187">
        <v>700</v>
      </c>
      <c r="F313" s="187">
        <v>15000</v>
      </c>
      <c r="G313" s="187">
        <f t="shared" si="331"/>
        <v>2400</v>
      </c>
      <c r="H313" s="187">
        <f t="shared" si="331"/>
        <v>25000</v>
      </c>
      <c r="I313" s="187">
        <f t="shared" si="331"/>
        <v>5000</v>
      </c>
      <c r="J313" s="187">
        <v>40000</v>
      </c>
      <c r="K313" s="187">
        <f t="shared" si="331"/>
        <v>5000</v>
      </c>
      <c r="L313" s="187">
        <v>40000</v>
      </c>
      <c r="M313" s="110">
        <v>9.5</v>
      </c>
      <c r="N313" s="110">
        <f>VLOOKUP(DATE(YEAR(A313),MONTH(A313),DAY(A313)),FY24_Temp[],3,FALSE)</f>
        <v>12.8</v>
      </c>
      <c r="O313" s="110">
        <f t="shared" si="275"/>
        <v>11.5</v>
      </c>
      <c r="P313" s="110">
        <f t="shared" si="276"/>
        <v>19.5</v>
      </c>
      <c r="Q313" s="111">
        <f>VLOOKUP(VLOOKUP(DATEVALUE(TEXT(A313,"m/d/yyyy")),FY24_Temp[],5,FALSE)&amp;TEXT(A313,"-h"),TempDelta[],4,FALSE)</f>
        <v>2.7827142647334506</v>
      </c>
      <c r="R313" s="112">
        <v>10</v>
      </c>
      <c r="S313" s="112">
        <v>1500</v>
      </c>
      <c r="T313" s="99">
        <f>VLOOKUP(TEXT(A313,"yy-mm")&amp;"-"&amp;IF(AND(WEEKDAY(A313)&gt;1,WEEKDAY(A313)&lt;7),"Wkd",TEXT(A313,"Ddd"))&amp;"-"&amp;TEXT(A313,"hh"),LoadTable[],3,FALSE)*0.92</f>
        <v>418.75640000000004</v>
      </c>
      <c r="U313" s="113">
        <f t="shared" si="277"/>
        <v>41.875640000000004</v>
      </c>
    </row>
    <row r="314" spans="1:21" ht="15" thickBot="1">
      <c r="A314" s="29">
        <f t="shared" si="315"/>
        <v>45848.958333334558</v>
      </c>
      <c r="B314" s="187">
        <f t="shared" ref="B314:L314" si="332">B338</f>
        <v>5000</v>
      </c>
      <c r="C314" s="187">
        <f t="shared" si="332"/>
        <v>25000</v>
      </c>
      <c r="D314" s="187">
        <v>0</v>
      </c>
      <c r="E314" s="187">
        <v>700</v>
      </c>
      <c r="F314" s="187">
        <v>15000</v>
      </c>
      <c r="G314" s="187">
        <f t="shared" si="332"/>
        <v>2400</v>
      </c>
      <c r="H314" s="187">
        <f t="shared" si="332"/>
        <v>25000</v>
      </c>
      <c r="I314" s="187">
        <f t="shared" si="332"/>
        <v>5000</v>
      </c>
      <c r="J314" s="187">
        <v>40000</v>
      </c>
      <c r="K314" s="187">
        <f t="shared" si="332"/>
        <v>5000</v>
      </c>
      <c r="L314" s="187">
        <v>40000</v>
      </c>
      <c r="M314" s="110">
        <v>9.5</v>
      </c>
      <c r="N314" s="110">
        <f>VLOOKUP(DATE(YEAR(A314),MONTH(A314),DAY(A314)),FY24_Temp[],3,FALSE)</f>
        <v>12.8</v>
      </c>
      <c r="O314" s="110">
        <f t="shared" si="275"/>
        <v>11.5</v>
      </c>
      <c r="P314" s="110">
        <f t="shared" si="276"/>
        <v>19.5</v>
      </c>
      <c r="Q314" s="111">
        <f>VLOOKUP(VLOOKUP(DATEVALUE(TEXT(A314,"m/d/yyyy")),FY24_Temp[],5,FALSE)&amp;TEXT(A314,"-h"),TempDelta[],4,FALSE)</f>
        <v>2.8792857101985385</v>
      </c>
      <c r="R314" s="112">
        <v>10</v>
      </c>
      <c r="S314" s="112">
        <v>1500</v>
      </c>
      <c r="T314" s="99">
        <f>VLOOKUP(TEXT(A314,"yy-mm")&amp;"-"&amp;IF(AND(WEEKDAY(A314)&gt;1,WEEKDAY(A314)&lt;7),"Wkd",TEXT(A314,"Ddd"))&amp;"-"&amp;TEXT(A314,"hh"),LoadTable[],3,FALSE)*0.92</f>
        <v>342.93920000000003</v>
      </c>
      <c r="U314" s="113">
        <f t="shared" si="277"/>
        <v>34.29392</v>
      </c>
    </row>
    <row r="315" spans="1:21" ht="15" thickBot="1">
      <c r="A315" s="29">
        <f t="shared" si="315"/>
        <v>45849.000000001222</v>
      </c>
      <c r="B315" s="187">
        <f t="shared" ref="B315:L315" si="333">B339</f>
        <v>5000</v>
      </c>
      <c r="C315" s="187">
        <f t="shared" si="333"/>
        <v>25000</v>
      </c>
      <c r="D315" s="187">
        <v>0</v>
      </c>
      <c r="E315" s="187">
        <v>700</v>
      </c>
      <c r="F315" s="187">
        <v>15000</v>
      </c>
      <c r="G315" s="187">
        <f t="shared" si="333"/>
        <v>2400</v>
      </c>
      <c r="H315" s="187">
        <f t="shared" si="333"/>
        <v>25000</v>
      </c>
      <c r="I315" s="187">
        <f t="shared" si="333"/>
        <v>5000</v>
      </c>
      <c r="J315" s="187">
        <v>40000</v>
      </c>
      <c r="K315" s="187">
        <f t="shared" si="333"/>
        <v>5000</v>
      </c>
      <c r="L315" s="187">
        <v>40000</v>
      </c>
      <c r="M315" s="110">
        <v>9.5</v>
      </c>
      <c r="N315" s="110">
        <f>VLOOKUP(DATE(YEAR(A315),MONTH(A315),DAY(A315)),FY24_Temp[],3,FALSE)</f>
        <v>12.8</v>
      </c>
      <c r="O315" s="110">
        <f t="shared" si="275"/>
        <v>11.5</v>
      </c>
      <c r="P315" s="110">
        <f t="shared" si="276"/>
        <v>19.5</v>
      </c>
      <c r="Q315" s="111">
        <f>VLOOKUP(VLOOKUP(DATEVALUE(TEXT(A315,"m/d/yyyy")),FY24_Temp[],5,FALSE)&amp;TEXT(A315,"-h"),TempDelta[],4,FALSE)</f>
        <v>3.0441428933824812</v>
      </c>
      <c r="R315" s="112">
        <v>10</v>
      </c>
      <c r="S315" s="112">
        <v>1500</v>
      </c>
      <c r="T315" s="99">
        <f>VLOOKUP(TEXT(A315,"yy-mm")&amp;"-"&amp;IF(AND(WEEKDAY(A315)&gt;1,WEEKDAY(A315)&lt;7),"Wkd",TEXT(A315,"Ddd"))&amp;"-"&amp;TEXT(A315,"hh"),LoadTable[],3,FALSE)*0.92</f>
        <v>279.25312000000002</v>
      </c>
      <c r="U315" s="113">
        <f t="shared" si="277"/>
        <v>27.925312000000002</v>
      </c>
    </row>
    <row r="316" spans="1:21" ht="15" thickBot="1">
      <c r="A316" s="29">
        <f t="shared" si="315"/>
        <v>45849.041666667887</v>
      </c>
      <c r="B316" s="187">
        <f t="shared" ref="B316:L316" si="334">B340</f>
        <v>5000</v>
      </c>
      <c r="C316" s="187">
        <f t="shared" si="334"/>
        <v>25000</v>
      </c>
      <c r="D316" s="187">
        <v>0</v>
      </c>
      <c r="E316" s="187">
        <v>700</v>
      </c>
      <c r="F316" s="187">
        <v>15000</v>
      </c>
      <c r="G316" s="187">
        <f t="shared" si="334"/>
        <v>2400</v>
      </c>
      <c r="H316" s="187">
        <f t="shared" si="334"/>
        <v>25000</v>
      </c>
      <c r="I316" s="187">
        <f t="shared" si="334"/>
        <v>5000</v>
      </c>
      <c r="J316" s="187">
        <v>40000</v>
      </c>
      <c r="K316" s="187">
        <f t="shared" si="334"/>
        <v>5000</v>
      </c>
      <c r="L316" s="187">
        <v>40000</v>
      </c>
      <c r="M316" s="110">
        <v>9.5</v>
      </c>
      <c r="N316" s="110">
        <f>VLOOKUP(DATE(YEAR(A316),MONTH(A316),DAY(A316)),FY24_Temp[],3,FALSE)</f>
        <v>12.8</v>
      </c>
      <c r="O316" s="110">
        <f t="shared" si="275"/>
        <v>11.5</v>
      </c>
      <c r="P316" s="110">
        <f t="shared" si="276"/>
        <v>19.5</v>
      </c>
      <c r="Q316" s="111">
        <f>VLOOKUP(VLOOKUP(DATEVALUE(TEXT(A316,"m/d/yyyy")),FY24_Temp[],5,FALSE)&amp;TEXT(A316,"-h"),TempDelta[],4,FALSE)</f>
        <v>3.0992857047489712</v>
      </c>
      <c r="R316" s="112">
        <v>10</v>
      </c>
      <c r="S316" s="112">
        <v>1500</v>
      </c>
      <c r="T316" s="99">
        <f>VLOOKUP(TEXT(A316,"yy-mm")&amp;"-"&amp;IF(AND(WEEKDAY(A316)&gt;1,WEEKDAY(A316)&lt;7),"Wkd",TEXT(A316,"Ddd"))&amp;"-"&amp;TEXT(A316,"hh"),LoadTable[],3,FALSE)*0.92</f>
        <v>279.25312000000002</v>
      </c>
      <c r="U316" s="113">
        <f t="shared" si="277"/>
        <v>27.925312000000002</v>
      </c>
    </row>
    <row r="317" spans="1:21" ht="15" thickBot="1">
      <c r="A317" s="29">
        <f t="shared" si="315"/>
        <v>45849.083333334551</v>
      </c>
      <c r="B317" s="187">
        <f t="shared" ref="B317:L317" si="335">B341</f>
        <v>5000</v>
      </c>
      <c r="C317" s="187">
        <f t="shared" si="335"/>
        <v>25000</v>
      </c>
      <c r="D317" s="187">
        <v>0</v>
      </c>
      <c r="E317" s="187">
        <v>700</v>
      </c>
      <c r="F317" s="187">
        <v>15000</v>
      </c>
      <c r="G317" s="187">
        <f t="shared" si="335"/>
        <v>2400</v>
      </c>
      <c r="H317" s="187">
        <f t="shared" si="335"/>
        <v>25000</v>
      </c>
      <c r="I317" s="187">
        <f t="shared" si="335"/>
        <v>5000</v>
      </c>
      <c r="J317" s="187">
        <v>40000</v>
      </c>
      <c r="K317" s="187">
        <f t="shared" si="335"/>
        <v>5000</v>
      </c>
      <c r="L317" s="187">
        <v>40000</v>
      </c>
      <c r="M317" s="110">
        <v>9.5</v>
      </c>
      <c r="N317" s="110">
        <f>VLOOKUP(DATE(YEAR(A317),MONTH(A317),DAY(A317)),FY24_Temp[],3,FALSE)</f>
        <v>12.8</v>
      </c>
      <c r="O317" s="110">
        <f t="shared" si="275"/>
        <v>11.5</v>
      </c>
      <c r="P317" s="110">
        <f t="shared" si="276"/>
        <v>19.5</v>
      </c>
      <c r="Q317" s="111">
        <f>VLOOKUP(VLOOKUP(DATEVALUE(TEXT(A317,"m/d/yyyy")),FY24_Temp[],5,FALSE)&amp;TEXT(A317,"-h"),TempDelta[],4,FALSE)</f>
        <v>3.1050000190734863</v>
      </c>
      <c r="R317" s="112">
        <v>10</v>
      </c>
      <c r="S317" s="112">
        <v>1500</v>
      </c>
      <c r="T317" s="99">
        <f>VLOOKUP(TEXT(A317,"yy-mm")&amp;"-"&amp;IF(AND(WEEKDAY(A317)&gt;1,WEEKDAY(A317)&lt;7),"Wkd",TEXT(A317,"Ddd"))&amp;"-"&amp;TEXT(A317,"hh"),LoadTable[],3,FALSE)*0.92</f>
        <v>279.25312000000002</v>
      </c>
      <c r="U317" s="113">
        <f t="shared" si="277"/>
        <v>27.925312000000002</v>
      </c>
    </row>
    <row r="318" spans="1:21" ht="15" thickBot="1">
      <c r="A318" s="29">
        <f t="shared" si="315"/>
        <v>45849.125000001215</v>
      </c>
      <c r="B318" s="187">
        <f t="shared" ref="B318:L318" si="336">B342</f>
        <v>5000</v>
      </c>
      <c r="C318" s="187">
        <f t="shared" si="336"/>
        <v>25000</v>
      </c>
      <c r="D318" s="187">
        <v>0</v>
      </c>
      <c r="E318" s="187">
        <v>700</v>
      </c>
      <c r="F318" s="187">
        <v>15000</v>
      </c>
      <c r="G318" s="187">
        <f t="shared" si="336"/>
        <v>2400</v>
      </c>
      <c r="H318" s="187">
        <f t="shared" si="336"/>
        <v>25000</v>
      </c>
      <c r="I318" s="187">
        <f t="shared" si="336"/>
        <v>5000</v>
      </c>
      <c r="J318" s="187">
        <v>40000</v>
      </c>
      <c r="K318" s="187">
        <f t="shared" si="336"/>
        <v>5000</v>
      </c>
      <c r="L318" s="187">
        <v>40000</v>
      </c>
      <c r="M318" s="110">
        <v>9.5</v>
      </c>
      <c r="N318" s="110">
        <f>VLOOKUP(DATE(YEAR(A318),MONTH(A318),DAY(A318)),FY24_Temp[],3,FALSE)</f>
        <v>12.8</v>
      </c>
      <c r="O318" s="110">
        <f t="shared" si="275"/>
        <v>11.5</v>
      </c>
      <c r="P318" s="110">
        <f t="shared" si="276"/>
        <v>19.5</v>
      </c>
      <c r="Q318" s="111">
        <f>VLOOKUP(VLOOKUP(DATEVALUE(TEXT(A318,"m/d/yyyy")),FY24_Temp[],5,FALSE)&amp;TEXT(A318,"-h"),TempDelta[],4,FALSE)</f>
        <v>3.0428571701049805</v>
      </c>
      <c r="R318" s="112">
        <v>10</v>
      </c>
      <c r="S318" s="112">
        <v>1500</v>
      </c>
      <c r="T318" s="99">
        <f>VLOOKUP(TEXT(A318,"yy-mm")&amp;"-"&amp;IF(AND(WEEKDAY(A318)&gt;1,WEEKDAY(A318)&lt;7),"Wkd",TEXT(A318,"Ddd"))&amp;"-"&amp;TEXT(A318,"hh"),LoadTable[],3,FALSE)*0.92</f>
        <v>279.25312000000002</v>
      </c>
      <c r="U318" s="113">
        <f t="shared" si="277"/>
        <v>27.925312000000002</v>
      </c>
    </row>
    <row r="319" spans="1:21" ht="15" thickBot="1">
      <c r="A319" s="29">
        <f t="shared" si="315"/>
        <v>45849.166666667879</v>
      </c>
      <c r="B319" s="187">
        <f t="shared" ref="B319:L319" si="337">B343</f>
        <v>5000</v>
      </c>
      <c r="C319" s="187">
        <f t="shared" si="337"/>
        <v>25000</v>
      </c>
      <c r="D319" s="187">
        <v>0</v>
      </c>
      <c r="E319" s="187">
        <v>700</v>
      </c>
      <c r="F319" s="187">
        <v>15000</v>
      </c>
      <c r="G319" s="187">
        <f t="shared" si="337"/>
        <v>2400</v>
      </c>
      <c r="H319" s="187">
        <f t="shared" si="337"/>
        <v>25000</v>
      </c>
      <c r="I319" s="187">
        <f t="shared" si="337"/>
        <v>5000</v>
      </c>
      <c r="J319" s="187">
        <v>40000</v>
      </c>
      <c r="K319" s="187">
        <f t="shared" si="337"/>
        <v>5000</v>
      </c>
      <c r="L319" s="187">
        <v>40000</v>
      </c>
      <c r="M319" s="110">
        <v>9.5</v>
      </c>
      <c r="N319" s="110">
        <f>VLOOKUP(DATE(YEAR(A319),MONTH(A319),DAY(A319)),FY24_Temp[],3,FALSE)</f>
        <v>12.8</v>
      </c>
      <c r="O319" s="110">
        <f t="shared" si="275"/>
        <v>11.5</v>
      </c>
      <c r="P319" s="110">
        <f t="shared" si="276"/>
        <v>19.5</v>
      </c>
      <c r="Q319" s="111">
        <f>VLOOKUP(VLOOKUP(DATEVALUE(TEXT(A319,"m/d/yyyy")),FY24_Temp[],5,FALSE)&amp;TEXT(A319,"-h"),TempDelta[],4,FALSE)</f>
        <v>2.9580000468662808</v>
      </c>
      <c r="R319" s="112">
        <v>10</v>
      </c>
      <c r="S319" s="112">
        <v>1500</v>
      </c>
      <c r="T319" s="99">
        <f>VLOOKUP(TEXT(A319,"yy-mm")&amp;"-"&amp;IF(AND(WEEKDAY(A319)&gt;1,WEEKDAY(A319)&lt;7),"Wkd",TEXT(A319,"Ddd"))&amp;"-"&amp;TEXT(A319,"hh"),LoadTable[],3,FALSE)*0.92</f>
        <v>279.25312000000002</v>
      </c>
      <c r="U319" s="113">
        <f t="shared" si="277"/>
        <v>27.925312000000002</v>
      </c>
    </row>
    <row r="320" spans="1:21" ht="15" thickBot="1">
      <c r="A320" s="29">
        <f t="shared" si="315"/>
        <v>45849.208333334544</v>
      </c>
      <c r="B320" s="187">
        <f t="shared" ref="B320:L320" si="338">B344</f>
        <v>5000</v>
      </c>
      <c r="C320" s="187">
        <f t="shared" si="338"/>
        <v>25000</v>
      </c>
      <c r="D320" s="187">
        <v>0</v>
      </c>
      <c r="E320" s="187">
        <v>700</v>
      </c>
      <c r="F320" s="187">
        <v>15000</v>
      </c>
      <c r="G320" s="187">
        <f t="shared" si="338"/>
        <v>2400</v>
      </c>
      <c r="H320" s="187">
        <f t="shared" si="338"/>
        <v>25000</v>
      </c>
      <c r="I320" s="187">
        <f t="shared" si="338"/>
        <v>5000</v>
      </c>
      <c r="J320" s="187">
        <v>40000</v>
      </c>
      <c r="K320" s="187">
        <f t="shared" si="338"/>
        <v>5000</v>
      </c>
      <c r="L320" s="187">
        <v>40000</v>
      </c>
      <c r="M320" s="110">
        <v>9.5</v>
      </c>
      <c r="N320" s="110">
        <f>VLOOKUP(DATE(YEAR(A320),MONTH(A320),DAY(A320)),FY24_Temp[],3,FALSE)</f>
        <v>12.8</v>
      </c>
      <c r="O320" s="110">
        <f t="shared" si="275"/>
        <v>11.5</v>
      </c>
      <c r="P320" s="110">
        <f t="shared" si="276"/>
        <v>19.5</v>
      </c>
      <c r="Q320" s="111">
        <f>VLOOKUP(VLOOKUP(DATEVALUE(TEXT(A320,"m/d/yyyy")),FY24_Temp[],5,FALSE)&amp;TEXT(A320,"-h"),TempDelta[],4,FALSE)</f>
        <v>2.8608571801866804</v>
      </c>
      <c r="R320" s="112">
        <v>10</v>
      </c>
      <c r="S320" s="112">
        <v>1500</v>
      </c>
      <c r="T320" s="99">
        <f>VLOOKUP(TEXT(A320,"yy-mm")&amp;"-"&amp;IF(AND(WEEKDAY(A320)&gt;1,WEEKDAY(A320)&lt;7),"Wkd",TEXT(A320,"Ddd"))&amp;"-"&amp;TEXT(A320,"hh"),LoadTable[],3,FALSE)*0.92</f>
        <v>279.25312000000002</v>
      </c>
      <c r="U320" s="113">
        <f t="shared" si="277"/>
        <v>27.925312000000002</v>
      </c>
    </row>
    <row r="321" spans="1:21" ht="15" thickBot="1">
      <c r="A321" s="29">
        <f t="shared" si="315"/>
        <v>45849.250000001208</v>
      </c>
      <c r="B321" s="187">
        <f t="shared" ref="B321:L321" si="339">B345</f>
        <v>8000</v>
      </c>
      <c r="C321" s="187">
        <f t="shared" si="339"/>
        <v>25000</v>
      </c>
      <c r="D321" s="187">
        <v>0</v>
      </c>
      <c r="E321" s="187">
        <v>700</v>
      </c>
      <c r="F321" s="187">
        <v>15000</v>
      </c>
      <c r="G321" s="187">
        <f t="shared" si="339"/>
        <v>2400</v>
      </c>
      <c r="H321" s="187">
        <f t="shared" si="339"/>
        <v>25000</v>
      </c>
      <c r="I321" s="187">
        <f t="shared" si="339"/>
        <v>8000</v>
      </c>
      <c r="J321" s="187">
        <v>40000</v>
      </c>
      <c r="K321" s="187">
        <f t="shared" si="339"/>
        <v>8000</v>
      </c>
      <c r="L321" s="187">
        <v>40000</v>
      </c>
      <c r="M321" s="110">
        <v>9.5</v>
      </c>
      <c r="N321" s="110">
        <f>VLOOKUP(DATE(YEAR(A321),MONTH(A321),DAY(A321)),FY24_Temp[],3,FALSE)</f>
        <v>12.8</v>
      </c>
      <c r="O321" s="110">
        <f t="shared" si="275"/>
        <v>11.5</v>
      </c>
      <c r="P321" s="110">
        <f t="shared" si="276"/>
        <v>19.5</v>
      </c>
      <c r="Q321" s="111">
        <f>VLOOKUP(VLOOKUP(DATEVALUE(TEXT(A321,"m/d/yyyy")),FY24_Temp[],5,FALSE)&amp;TEXT(A321,"-h"),TempDelta[],4,FALSE)</f>
        <v>2.7405714307512556</v>
      </c>
      <c r="R321" s="112">
        <v>10</v>
      </c>
      <c r="S321" s="112">
        <v>1500</v>
      </c>
      <c r="T321" s="99">
        <f>VLOOKUP(TEXT(A321,"yy-mm")&amp;"-"&amp;IF(AND(WEEKDAY(A321)&gt;1,WEEKDAY(A321)&lt;7),"Wkd",TEXT(A321,"Ddd"))&amp;"-"&amp;TEXT(A321,"hh"),LoadTable[],3,FALSE)*0.92</f>
        <v>279.25312000000002</v>
      </c>
      <c r="U321" s="113">
        <f t="shared" si="277"/>
        <v>27.925312000000002</v>
      </c>
    </row>
    <row r="322" spans="1:21" ht="15" thickBot="1">
      <c r="A322" s="29">
        <f t="shared" si="315"/>
        <v>45849.291666667872</v>
      </c>
      <c r="B322" s="187">
        <f t="shared" ref="B322:L322" si="340">B346</f>
        <v>8000</v>
      </c>
      <c r="C322" s="187">
        <f t="shared" si="340"/>
        <v>25000</v>
      </c>
      <c r="D322" s="187">
        <v>0</v>
      </c>
      <c r="E322" s="187">
        <v>700</v>
      </c>
      <c r="F322" s="187">
        <v>15000</v>
      </c>
      <c r="G322" s="187">
        <f t="shared" si="340"/>
        <v>2400</v>
      </c>
      <c r="H322" s="187">
        <f t="shared" si="340"/>
        <v>25000</v>
      </c>
      <c r="I322" s="187">
        <f t="shared" si="340"/>
        <v>8000</v>
      </c>
      <c r="J322" s="187">
        <v>40000</v>
      </c>
      <c r="K322" s="187">
        <f t="shared" si="340"/>
        <v>8000</v>
      </c>
      <c r="L322" s="187">
        <v>40000</v>
      </c>
      <c r="M322" s="110">
        <v>9.5</v>
      </c>
      <c r="N322" s="110">
        <f>VLOOKUP(DATE(YEAR(A322),MONTH(A322),DAY(A322)),FY24_Temp[],3,FALSE)</f>
        <v>12.8</v>
      </c>
      <c r="O322" s="110">
        <f t="shared" si="275"/>
        <v>11.5</v>
      </c>
      <c r="P322" s="110">
        <f t="shared" si="276"/>
        <v>19.5</v>
      </c>
      <c r="Q322" s="111">
        <f>VLOOKUP(VLOOKUP(DATEVALUE(TEXT(A322,"m/d/yyyy")),FY24_Temp[],5,FALSE)&amp;TEXT(A322,"-h"),TempDelta[],4,FALSE)</f>
        <v>2.6134285245622908</v>
      </c>
      <c r="R322" s="112">
        <v>10</v>
      </c>
      <c r="S322" s="112">
        <v>1500</v>
      </c>
      <c r="T322" s="99">
        <f>VLOOKUP(TEXT(A322,"yy-mm")&amp;"-"&amp;IF(AND(WEEKDAY(A322)&gt;1,WEEKDAY(A322)&lt;7),"Wkd",TEXT(A322,"Ddd"))&amp;"-"&amp;TEXT(A322,"hh"),LoadTable[],3,FALSE)*0.92</f>
        <v>279.25312000000002</v>
      </c>
      <c r="U322" s="113">
        <f t="shared" si="277"/>
        <v>27.925312000000002</v>
      </c>
    </row>
    <row r="323" spans="1:21" ht="15" thickBot="1">
      <c r="A323" s="29">
        <f t="shared" si="315"/>
        <v>45849.333333334536</v>
      </c>
      <c r="B323" s="187">
        <f t="shared" ref="B323:L323" si="341">B347</f>
        <v>8000</v>
      </c>
      <c r="C323" s="187">
        <f t="shared" si="341"/>
        <v>25000</v>
      </c>
      <c r="D323" s="187">
        <v>0</v>
      </c>
      <c r="E323" s="187">
        <v>700</v>
      </c>
      <c r="F323" s="187">
        <v>15000</v>
      </c>
      <c r="G323" s="187">
        <f t="shared" si="341"/>
        <v>2400</v>
      </c>
      <c r="H323" s="187">
        <f t="shared" si="341"/>
        <v>25000</v>
      </c>
      <c r="I323" s="187">
        <f t="shared" si="341"/>
        <v>8000</v>
      </c>
      <c r="J323" s="187">
        <v>40000</v>
      </c>
      <c r="K323" s="187">
        <f t="shared" si="341"/>
        <v>8000</v>
      </c>
      <c r="L323" s="187">
        <v>40000</v>
      </c>
      <c r="M323" s="110">
        <v>9.5</v>
      </c>
      <c r="N323" s="110">
        <f>VLOOKUP(DATE(YEAR(A323),MONTH(A323),DAY(A323)),FY24_Temp[],3,FALSE)</f>
        <v>12.8</v>
      </c>
      <c r="O323" s="110">
        <f t="shared" si="275"/>
        <v>11.5</v>
      </c>
      <c r="P323" s="110">
        <f t="shared" si="276"/>
        <v>19.5</v>
      </c>
      <c r="Q323" s="111">
        <f>VLOOKUP(VLOOKUP(DATEVALUE(TEXT(A323,"m/d/yyyy")),FY24_Temp[],5,FALSE)&amp;TEXT(A323,"-h"),TempDelta[],4,FALSE)</f>
        <v>2.44985716683524</v>
      </c>
      <c r="R323" s="112">
        <v>10</v>
      </c>
      <c r="S323" s="112">
        <v>1500</v>
      </c>
      <c r="T323" s="99">
        <f>VLOOKUP(TEXT(A323,"yy-mm")&amp;"-"&amp;IF(AND(WEEKDAY(A323)&gt;1,WEEKDAY(A323)&lt;7),"Wkd",TEXT(A323,"Ddd"))&amp;"-"&amp;TEXT(A323,"hh"),LoadTable[],3,FALSE)*0.92</f>
        <v>279.25312000000002</v>
      </c>
      <c r="U323" s="113">
        <f t="shared" si="277"/>
        <v>27.925312000000002</v>
      </c>
    </row>
    <row r="324" spans="1:21" ht="15" thickBot="1">
      <c r="A324" s="29">
        <f t="shared" si="315"/>
        <v>45849.375000001201</v>
      </c>
      <c r="B324" s="187">
        <f t="shared" ref="B324:L324" si="342">B348</f>
        <v>8000</v>
      </c>
      <c r="C324" s="187">
        <f t="shared" si="342"/>
        <v>25000</v>
      </c>
      <c r="D324" s="187">
        <v>0</v>
      </c>
      <c r="E324" s="187">
        <v>700</v>
      </c>
      <c r="F324" s="187">
        <v>15000</v>
      </c>
      <c r="G324" s="187">
        <f t="shared" si="342"/>
        <v>2400</v>
      </c>
      <c r="H324" s="187">
        <f t="shared" si="342"/>
        <v>25000</v>
      </c>
      <c r="I324" s="187">
        <f t="shared" si="342"/>
        <v>8000</v>
      </c>
      <c r="J324" s="187">
        <v>40000</v>
      </c>
      <c r="K324" s="187">
        <f t="shared" si="342"/>
        <v>8000</v>
      </c>
      <c r="L324" s="187">
        <v>40000</v>
      </c>
      <c r="M324" s="110">
        <v>9.5</v>
      </c>
      <c r="N324" s="110">
        <f>VLOOKUP(DATE(YEAR(A324),MONTH(A324),DAY(A324)),FY24_Temp[],3,FALSE)</f>
        <v>12.8</v>
      </c>
      <c r="O324" s="110">
        <f t="shared" ref="O324:O387" si="343">15.5-4</f>
        <v>11.5</v>
      </c>
      <c r="P324" s="110">
        <f t="shared" ref="P324:P387" si="344">15.5+4</f>
        <v>19.5</v>
      </c>
      <c r="Q324" s="111">
        <f>VLOOKUP(VLOOKUP(DATEVALUE(TEXT(A324,"m/d/yyyy")),FY24_Temp[],5,FALSE)&amp;TEXT(A324,"-h"),TempDelta[],4,FALSE)</f>
        <v>2.2458571025303433</v>
      </c>
      <c r="R324" s="112">
        <v>10</v>
      </c>
      <c r="S324" s="112">
        <v>1500</v>
      </c>
      <c r="T324" s="99">
        <f>VLOOKUP(TEXT(A324,"yy-mm")&amp;"-"&amp;IF(AND(WEEKDAY(A324)&gt;1,WEEKDAY(A324)&lt;7),"Wkd",TEXT(A324,"Ddd"))&amp;"-"&amp;TEXT(A324,"hh"),LoadTable[],3,FALSE)*0.92</f>
        <v>279.25312000000002</v>
      </c>
      <c r="U324" s="113">
        <f t="shared" ref="U324:U387" si="345">T324/10</f>
        <v>27.925312000000002</v>
      </c>
    </row>
    <row r="325" spans="1:21" ht="15" thickBot="1">
      <c r="A325" s="29">
        <f t="shared" si="315"/>
        <v>45849.416666667865</v>
      </c>
      <c r="B325" s="187">
        <f t="shared" ref="B325:L325" si="346">B349</f>
        <v>8000</v>
      </c>
      <c r="C325" s="187">
        <f t="shared" si="346"/>
        <v>25000</v>
      </c>
      <c r="D325" s="187">
        <v>0</v>
      </c>
      <c r="E325" s="187">
        <v>700</v>
      </c>
      <c r="F325" s="187">
        <v>15000</v>
      </c>
      <c r="G325" s="187">
        <f t="shared" si="346"/>
        <v>2400</v>
      </c>
      <c r="H325" s="187">
        <f t="shared" si="346"/>
        <v>25000</v>
      </c>
      <c r="I325" s="187">
        <f t="shared" si="346"/>
        <v>8000</v>
      </c>
      <c r="J325" s="187">
        <v>40000</v>
      </c>
      <c r="K325" s="187">
        <f t="shared" si="346"/>
        <v>8000</v>
      </c>
      <c r="L325" s="187">
        <v>40000</v>
      </c>
      <c r="M325" s="110">
        <v>9.5</v>
      </c>
      <c r="N325" s="110">
        <f>VLOOKUP(DATE(YEAR(A325),MONTH(A325),DAY(A325)),FY24_Temp[],3,FALSE)</f>
        <v>12.8</v>
      </c>
      <c r="O325" s="110">
        <f t="shared" si="343"/>
        <v>11.5</v>
      </c>
      <c r="P325" s="110">
        <f t="shared" si="344"/>
        <v>19.5</v>
      </c>
      <c r="Q325" s="111">
        <f>VLOOKUP(VLOOKUP(DATEVALUE(TEXT(A325,"m/d/yyyy")),FY24_Temp[],5,FALSE)&amp;TEXT(A325,"-h"),TempDelta[],4,FALSE)</f>
        <v>2.0832857234137401</v>
      </c>
      <c r="R325" s="112">
        <v>10</v>
      </c>
      <c r="S325" s="112">
        <v>1500</v>
      </c>
      <c r="T325" s="99">
        <f>VLOOKUP(TEXT(A325,"yy-mm")&amp;"-"&amp;IF(AND(WEEKDAY(A325)&gt;1,WEEKDAY(A325)&lt;7),"Wkd",TEXT(A325,"Ddd"))&amp;"-"&amp;TEXT(A325,"hh"),LoadTable[],3,FALSE)*0.92</f>
        <v>279.25312000000002</v>
      </c>
      <c r="U325" s="113">
        <f t="shared" si="345"/>
        <v>27.925312000000002</v>
      </c>
    </row>
    <row r="326" spans="1:21" ht="15" thickBot="1">
      <c r="A326" s="29">
        <f t="shared" si="315"/>
        <v>45849.458333334529</v>
      </c>
      <c r="B326" s="187">
        <f t="shared" ref="B326:L326" si="347">B350</f>
        <v>8000</v>
      </c>
      <c r="C326" s="187">
        <f t="shared" si="347"/>
        <v>25000</v>
      </c>
      <c r="D326" s="187">
        <v>0</v>
      </c>
      <c r="E326" s="187">
        <v>700</v>
      </c>
      <c r="F326" s="187">
        <v>15000</v>
      </c>
      <c r="G326" s="187">
        <f t="shared" si="347"/>
        <v>2400</v>
      </c>
      <c r="H326" s="187">
        <f t="shared" si="347"/>
        <v>25000</v>
      </c>
      <c r="I326" s="187">
        <f t="shared" si="347"/>
        <v>8000</v>
      </c>
      <c r="J326" s="187">
        <v>40000</v>
      </c>
      <c r="K326" s="187">
        <f t="shared" si="347"/>
        <v>8000</v>
      </c>
      <c r="L326" s="187">
        <v>40000</v>
      </c>
      <c r="M326" s="110">
        <v>9.5</v>
      </c>
      <c r="N326" s="110">
        <f>VLOOKUP(DATE(YEAR(A326),MONTH(A326),DAY(A326)),FY24_Temp[],3,FALSE)</f>
        <v>12.8</v>
      </c>
      <c r="O326" s="110">
        <f t="shared" si="343"/>
        <v>11.5</v>
      </c>
      <c r="P326" s="110">
        <f t="shared" si="344"/>
        <v>19.5</v>
      </c>
      <c r="Q326" s="111">
        <f>VLOOKUP(VLOOKUP(DATEVALUE(TEXT(A326,"m/d/yyyy")),FY24_Temp[],5,FALSE)&amp;TEXT(A326,"-h"),TempDelta[],4,FALSE)</f>
        <v>1.8928571258272444</v>
      </c>
      <c r="R326" s="112">
        <v>10</v>
      </c>
      <c r="S326" s="112">
        <v>1500</v>
      </c>
      <c r="T326" s="99">
        <f>VLOOKUP(TEXT(A326,"yy-mm")&amp;"-"&amp;IF(AND(WEEKDAY(A326)&gt;1,WEEKDAY(A326)&lt;7),"Wkd",TEXT(A326,"Ddd"))&amp;"-"&amp;TEXT(A326,"hh"),LoadTable[],3,FALSE)*0.92</f>
        <v>279.25312000000002</v>
      </c>
      <c r="U326" s="113">
        <f t="shared" si="345"/>
        <v>27.925312000000002</v>
      </c>
    </row>
    <row r="327" spans="1:21" ht="15" thickBot="1">
      <c r="A327" s="29">
        <f t="shared" si="315"/>
        <v>45849.500000001193</v>
      </c>
      <c r="B327" s="187">
        <f t="shared" ref="B327:L327" si="348">B351</f>
        <v>8000</v>
      </c>
      <c r="C327" s="187">
        <f t="shared" si="348"/>
        <v>25000</v>
      </c>
      <c r="D327" s="187">
        <v>0</v>
      </c>
      <c r="E327" s="187">
        <v>700</v>
      </c>
      <c r="F327" s="187">
        <v>15000</v>
      </c>
      <c r="G327" s="187">
        <f t="shared" si="348"/>
        <v>2400</v>
      </c>
      <c r="H327" s="187">
        <f t="shared" si="348"/>
        <v>25000</v>
      </c>
      <c r="I327" s="187">
        <f t="shared" si="348"/>
        <v>8000</v>
      </c>
      <c r="J327" s="187">
        <v>40000</v>
      </c>
      <c r="K327" s="187">
        <f t="shared" si="348"/>
        <v>8000</v>
      </c>
      <c r="L327" s="187">
        <v>40000</v>
      </c>
      <c r="M327" s="110">
        <v>9.5</v>
      </c>
      <c r="N327" s="110">
        <f>VLOOKUP(DATE(YEAR(A327),MONTH(A327),DAY(A327)),FY24_Temp[],3,FALSE)</f>
        <v>12.8</v>
      </c>
      <c r="O327" s="110">
        <f t="shared" si="343"/>
        <v>11.5</v>
      </c>
      <c r="P327" s="110">
        <f t="shared" si="344"/>
        <v>19.5</v>
      </c>
      <c r="Q327" s="111">
        <f>VLOOKUP(VLOOKUP(DATEVALUE(TEXT(A327,"m/d/yyyy")),FY24_Temp[],5,FALSE)&amp;TEXT(A327,"-h"),TempDelta[],4,FALSE)</f>
        <v>1.665857127734593</v>
      </c>
      <c r="R327" s="112">
        <v>10</v>
      </c>
      <c r="S327" s="112">
        <v>1500</v>
      </c>
      <c r="T327" s="99">
        <f>VLOOKUP(TEXT(A327,"yy-mm")&amp;"-"&amp;IF(AND(WEEKDAY(A327)&gt;1,WEEKDAY(A327)&lt;7),"Wkd",TEXT(A327,"Ddd"))&amp;"-"&amp;TEXT(A327,"hh"),LoadTable[],3,FALSE)*0.92</f>
        <v>279.25312000000002</v>
      </c>
      <c r="U327" s="113">
        <f t="shared" si="345"/>
        <v>27.925312000000002</v>
      </c>
    </row>
    <row r="328" spans="1:21" ht="15" thickBot="1">
      <c r="A328" s="29">
        <f t="shared" si="315"/>
        <v>45849.541666667857</v>
      </c>
      <c r="B328" s="187">
        <f t="shared" ref="B328:L328" si="349">B352</f>
        <v>8000</v>
      </c>
      <c r="C328" s="187">
        <f t="shared" si="349"/>
        <v>25000</v>
      </c>
      <c r="D328" s="187">
        <v>0</v>
      </c>
      <c r="E328" s="187">
        <v>700</v>
      </c>
      <c r="F328" s="187">
        <v>15000</v>
      </c>
      <c r="G328" s="187">
        <f t="shared" si="349"/>
        <v>2400</v>
      </c>
      <c r="H328" s="187">
        <f t="shared" si="349"/>
        <v>25000</v>
      </c>
      <c r="I328" s="187">
        <f t="shared" si="349"/>
        <v>8000</v>
      </c>
      <c r="J328" s="187">
        <v>40000</v>
      </c>
      <c r="K328" s="187">
        <f t="shared" si="349"/>
        <v>8000</v>
      </c>
      <c r="L328" s="187">
        <v>40000</v>
      </c>
      <c r="M328" s="110">
        <v>9.5</v>
      </c>
      <c r="N328" s="110">
        <f>VLOOKUP(DATE(YEAR(A328),MONTH(A328),DAY(A328)),FY24_Temp[],3,FALSE)</f>
        <v>12.8</v>
      </c>
      <c r="O328" s="110">
        <f t="shared" si="343"/>
        <v>11.5</v>
      </c>
      <c r="P328" s="110">
        <f t="shared" si="344"/>
        <v>19.5</v>
      </c>
      <c r="Q328" s="111">
        <f>VLOOKUP(VLOOKUP(DATEVALUE(TEXT(A328,"m/d/yyyy")),FY24_Temp[],5,FALSE)&amp;TEXT(A328,"-h"),TempDelta[],4,FALSE)</f>
        <v>1.4252856969833374</v>
      </c>
      <c r="R328" s="112">
        <v>10</v>
      </c>
      <c r="S328" s="112">
        <v>1500</v>
      </c>
      <c r="T328" s="99">
        <f>VLOOKUP(TEXT(A328,"yy-mm")&amp;"-"&amp;IF(AND(WEEKDAY(A328)&gt;1,WEEKDAY(A328)&lt;7),"Wkd",TEXT(A328,"Ddd"))&amp;"-"&amp;TEXT(A328,"hh"),LoadTable[],3,FALSE)*0.92</f>
        <v>279.25312000000002</v>
      </c>
      <c r="U328" s="113">
        <f t="shared" si="345"/>
        <v>27.925312000000002</v>
      </c>
    </row>
    <row r="329" spans="1:21" ht="15" thickBot="1">
      <c r="A329" s="29">
        <f t="shared" si="315"/>
        <v>45849.583333334522</v>
      </c>
      <c r="B329" s="187">
        <f t="shared" ref="B329:L329" si="350">B353</f>
        <v>8000</v>
      </c>
      <c r="C329" s="187">
        <f t="shared" si="350"/>
        <v>25000</v>
      </c>
      <c r="D329" s="187">
        <v>0</v>
      </c>
      <c r="E329" s="187">
        <v>700</v>
      </c>
      <c r="F329" s="187">
        <v>15000</v>
      </c>
      <c r="G329" s="187">
        <f t="shared" si="350"/>
        <v>2400</v>
      </c>
      <c r="H329" s="187">
        <f t="shared" si="350"/>
        <v>25000</v>
      </c>
      <c r="I329" s="187">
        <f t="shared" si="350"/>
        <v>8000</v>
      </c>
      <c r="J329" s="187">
        <v>40000</v>
      </c>
      <c r="K329" s="187">
        <f t="shared" si="350"/>
        <v>8000</v>
      </c>
      <c r="L329" s="187">
        <v>40000</v>
      </c>
      <c r="M329" s="110">
        <v>9.5</v>
      </c>
      <c r="N329" s="110">
        <f>VLOOKUP(DATE(YEAR(A329),MONTH(A329),DAY(A329)),FY24_Temp[],3,FALSE)</f>
        <v>12.8</v>
      </c>
      <c r="O329" s="110">
        <f t="shared" si="343"/>
        <v>11.5</v>
      </c>
      <c r="P329" s="110">
        <f t="shared" si="344"/>
        <v>19.5</v>
      </c>
      <c r="Q329" s="111">
        <f>VLOOKUP(VLOOKUP(DATEVALUE(TEXT(A329,"m/d/yyyy")),FY24_Temp[],5,FALSE)&amp;TEXT(A329,"-h"),TempDelta[],4,FALSE)</f>
        <v>1.2351428781236922</v>
      </c>
      <c r="R329" s="112">
        <v>10</v>
      </c>
      <c r="S329" s="112">
        <v>1500</v>
      </c>
      <c r="T329" s="99">
        <f>VLOOKUP(TEXT(A329,"yy-mm")&amp;"-"&amp;IF(AND(WEEKDAY(A329)&gt;1,WEEKDAY(A329)&lt;7),"Wkd",TEXT(A329,"Ddd"))&amp;"-"&amp;TEXT(A329,"hh"),LoadTable[],3,FALSE)*0.92</f>
        <v>373.26607999999999</v>
      </c>
      <c r="U329" s="113">
        <f t="shared" si="345"/>
        <v>37.326608</v>
      </c>
    </row>
    <row r="330" spans="1:21" ht="15" thickBot="1">
      <c r="A330" s="29">
        <f t="shared" si="315"/>
        <v>45849.625000001186</v>
      </c>
      <c r="B330" s="187">
        <f t="shared" ref="B330:L330" si="351">B354</f>
        <v>8000</v>
      </c>
      <c r="C330" s="187">
        <f t="shared" si="351"/>
        <v>25000</v>
      </c>
      <c r="D330" s="187">
        <v>0</v>
      </c>
      <c r="E330" s="187">
        <v>700</v>
      </c>
      <c r="F330" s="187">
        <v>15000</v>
      </c>
      <c r="G330" s="187">
        <f t="shared" si="351"/>
        <v>2400</v>
      </c>
      <c r="H330" s="187">
        <f t="shared" si="351"/>
        <v>25000</v>
      </c>
      <c r="I330" s="187">
        <f t="shared" si="351"/>
        <v>8000</v>
      </c>
      <c r="J330" s="187">
        <v>40000</v>
      </c>
      <c r="K330" s="187">
        <f t="shared" si="351"/>
        <v>8000</v>
      </c>
      <c r="L330" s="187">
        <v>40000</v>
      </c>
      <c r="M330" s="110">
        <v>9.5</v>
      </c>
      <c r="N330" s="110">
        <f>VLOOKUP(DATE(YEAR(A330),MONTH(A330),DAY(A330)),FY24_Temp[],3,FALSE)</f>
        <v>12.8</v>
      </c>
      <c r="O330" s="110">
        <f t="shared" si="343"/>
        <v>11.5</v>
      </c>
      <c r="P330" s="110">
        <f t="shared" si="344"/>
        <v>19.5</v>
      </c>
      <c r="Q330" s="111">
        <f>VLOOKUP(VLOOKUP(DATEVALUE(TEXT(A330,"m/d/yyyy")),FY24_Temp[],5,FALSE)&amp;TEXT(A330,"-h"),TempDelta[],4,FALSE)</f>
        <v>0.97514284508568905</v>
      </c>
      <c r="R330" s="112">
        <v>10</v>
      </c>
      <c r="S330" s="112">
        <v>1500</v>
      </c>
      <c r="T330" s="99">
        <f>VLOOKUP(TEXT(A330,"yy-mm")&amp;"-"&amp;IF(AND(WEEKDAY(A330)&gt;1,WEEKDAY(A330)&lt;7),"Wkd",TEXT(A330,"Ddd"))&amp;"-"&amp;TEXT(A330,"hh"),LoadTable[],3,FALSE)*0.92</f>
        <v>494.57360000000006</v>
      </c>
      <c r="U330" s="113">
        <f t="shared" si="345"/>
        <v>49.457360000000008</v>
      </c>
    </row>
    <row r="331" spans="1:21" ht="15" thickBot="1">
      <c r="A331" s="29">
        <f t="shared" si="315"/>
        <v>45849.66666666785</v>
      </c>
      <c r="B331" s="187">
        <f t="shared" ref="B331:L331" si="352">B355</f>
        <v>8000</v>
      </c>
      <c r="C331" s="187">
        <f t="shared" si="352"/>
        <v>25000</v>
      </c>
      <c r="D331" s="187">
        <v>0</v>
      </c>
      <c r="E331" s="187">
        <v>700</v>
      </c>
      <c r="F331" s="187">
        <v>15000</v>
      </c>
      <c r="G331" s="187">
        <f t="shared" si="352"/>
        <v>2400</v>
      </c>
      <c r="H331" s="187">
        <f t="shared" si="352"/>
        <v>25000</v>
      </c>
      <c r="I331" s="187">
        <f t="shared" si="352"/>
        <v>8000</v>
      </c>
      <c r="J331" s="187">
        <v>40000</v>
      </c>
      <c r="K331" s="187">
        <f t="shared" si="352"/>
        <v>8000</v>
      </c>
      <c r="L331" s="187">
        <v>40000</v>
      </c>
      <c r="M331" s="110">
        <v>9.5</v>
      </c>
      <c r="N331" s="110">
        <f>VLOOKUP(DATE(YEAR(A331),MONTH(A331),DAY(A331)),FY24_Temp[],3,FALSE)</f>
        <v>12.8</v>
      </c>
      <c r="O331" s="110">
        <f t="shared" si="343"/>
        <v>11.5</v>
      </c>
      <c r="P331" s="110">
        <f t="shared" si="344"/>
        <v>19.5</v>
      </c>
      <c r="Q331" s="111">
        <f>VLOOKUP(VLOOKUP(DATEVALUE(TEXT(A331,"m/d/yyyy")),FY24_Temp[],5,FALSE)&amp;TEXT(A331,"-h"),TempDelta[],4,FALSE)</f>
        <v>0.88578571166310993</v>
      </c>
      <c r="R331" s="112">
        <v>10</v>
      </c>
      <c r="S331" s="112">
        <v>1500</v>
      </c>
      <c r="T331" s="99">
        <f>VLOOKUP(TEXT(A331,"yy-mm")&amp;"-"&amp;IF(AND(WEEKDAY(A331)&gt;1,WEEKDAY(A331)&lt;7),"Wkd",TEXT(A331,"Ddd"))&amp;"-"&amp;TEXT(A331,"hh"),LoadTable[],3,FALSE)*0.92</f>
        <v>494.57360000000006</v>
      </c>
      <c r="U331" s="113">
        <f t="shared" si="345"/>
        <v>49.457360000000008</v>
      </c>
    </row>
    <row r="332" spans="1:21" ht="15" thickBot="1">
      <c r="A332" s="29">
        <f t="shared" si="315"/>
        <v>45849.708333334514</v>
      </c>
      <c r="B332" s="187">
        <f t="shared" ref="B332:L332" si="353">B356</f>
        <v>8000</v>
      </c>
      <c r="C332" s="187">
        <f t="shared" si="353"/>
        <v>25000</v>
      </c>
      <c r="D332" s="187">
        <v>0</v>
      </c>
      <c r="E332" s="187">
        <v>700</v>
      </c>
      <c r="F332" s="187">
        <v>15000</v>
      </c>
      <c r="G332" s="187">
        <f t="shared" si="353"/>
        <v>2400</v>
      </c>
      <c r="H332" s="187">
        <f t="shared" si="353"/>
        <v>25000</v>
      </c>
      <c r="I332" s="187">
        <f t="shared" si="353"/>
        <v>8000</v>
      </c>
      <c r="J332" s="187">
        <v>40000</v>
      </c>
      <c r="K332" s="187">
        <f t="shared" si="353"/>
        <v>8000</v>
      </c>
      <c r="L332" s="187">
        <v>40000</v>
      </c>
      <c r="M332" s="110">
        <v>9.5</v>
      </c>
      <c r="N332" s="110">
        <f>VLOOKUP(DATE(YEAR(A332),MONTH(A332),DAY(A332)),FY24_Temp[],3,FALSE)</f>
        <v>12.8</v>
      </c>
      <c r="O332" s="110">
        <f t="shared" si="343"/>
        <v>11.5</v>
      </c>
      <c r="P332" s="110">
        <f t="shared" si="344"/>
        <v>19.5</v>
      </c>
      <c r="Q332" s="111">
        <f>VLOOKUP(VLOOKUP(DATEVALUE(TEXT(A332,"m/d/yyyy")),FY24_Temp[],5,FALSE)&amp;TEXT(A332,"-h"),TempDelta[],4,FALSE)</f>
        <v>1.0356428495475225</v>
      </c>
      <c r="R332" s="112">
        <v>10</v>
      </c>
      <c r="S332" s="112">
        <v>1500</v>
      </c>
      <c r="T332" s="99">
        <f>VLOOKUP(TEXT(A332,"yy-mm")&amp;"-"&amp;IF(AND(WEEKDAY(A332)&gt;1,WEEKDAY(A332)&lt;7),"Wkd",TEXT(A332,"Ddd"))&amp;"-"&amp;TEXT(A332,"hh"),LoadTable[],3,FALSE)*0.92</f>
        <v>494.57360000000006</v>
      </c>
      <c r="U332" s="113">
        <f t="shared" si="345"/>
        <v>49.457360000000008</v>
      </c>
    </row>
    <row r="333" spans="1:21" ht="15" thickBot="1">
      <c r="A333" s="29">
        <f t="shared" si="315"/>
        <v>45849.750000001179</v>
      </c>
      <c r="B333" s="187">
        <f t="shared" ref="B333:L333" si="354">B357</f>
        <v>5000</v>
      </c>
      <c r="C333" s="187">
        <f t="shared" si="354"/>
        <v>25000</v>
      </c>
      <c r="D333" s="187">
        <v>0</v>
      </c>
      <c r="E333" s="187">
        <v>700</v>
      </c>
      <c r="F333" s="187">
        <v>15000</v>
      </c>
      <c r="G333" s="187">
        <f t="shared" si="354"/>
        <v>2400</v>
      </c>
      <c r="H333" s="187">
        <f t="shared" si="354"/>
        <v>25000</v>
      </c>
      <c r="I333" s="187">
        <f t="shared" si="354"/>
        <v>5000</v>
      </c>
      <c r="J333" s="187">
        <v>40000</v>
      </c>
      <c r="K333" s="187">
        <f t="shared" si="354"/>
        <v>5000</v>
      </c>
      <c r="L333" s="187">
        <v>40000</v>
      </c>
      <c r="M333" s="110">
        <v>9.5</v>
      </c>
      <c r="N333" s="110">
        <f>VLOOKUP(DATE(YEAR(A333),MONTH(A333),DAY(A333)),FY24_Temp[],3,FALSE)</f>
        <v>12.8</v>
      </c>
      <c r="O333" s="110">
        <f t="shared" si="343"/>
        <v>11.5</v>
      </c>
      <c r="P333" s="110">
        <f t="shared" si="344"/>
        <v>19.5</v>
      </c>
      <c r="Q333" s="111">
        <f>VLOOKUP(VLOOKUP(DATEVALUE(TEXT(A333,"m/d/yyyy")),FY24_Temp[],5,FALSE)&amp;TEXT(A333,"-h"),TempDelta[],4,FALSE)</f>
        <v>1.3991428358214242</v>
      </c>
      <c r="R333" s="112">
        <v>10</v>
      </c>
      <c r="S333" s="112">
        <v>1500</v>
      </c>
      <c r="T333" s="99">
        <f>VLOOKUP(TEXT(A333,"yy-mm")&amp;"-"&amp;IF(AND(WEEKDAY(A333)&gt;1,WEEKDAY(A333)&lt;7),"Wkd",TEXT(A333,"Ddd"))&amp;"-"&amp;TEXT(A333,"hh"),LoadTable[],3,FALSE)*0.92</f>
        <v>494.57360000000006</v>
      </c>
      <c r="U333" s="113">
        <f t="shared" si="345"/>
        <v>49.457360000000008</v>
      </c>
    </row>
    <row r="334" spans="1:21" ht="15" thickBot="1">
      <c r="A334" s="29">
        <f t="shared" si="315"/>
        <v>45849.791666667843</v>
      </c>
      <c r="B334" s="187">
        <f t="shared" ref="B334:L334" si="355">B358</f>
        <v>5000</v>
      </c>
      <c r="C334" s="187">
        <f t="shared" si="355"/>
        <v>25000</v>
      </c>
      <c r="D334" s="187">
        <v>0</v>
      </c>
      <c r="E334" s="187">
        <v>700</v>
      </c>
      <c r="F334" s="187">
        <v>15000</v>
      </c>
      <c r="G334" s="187">
        <f t="shared" si="355"/>
        <v>2400</v>
      </c>
      <c r="H334" s="187">
        <f t="shared" si="355"/>
        <v>25000</v>
      </c>
      <c r="I334" s="187">
        <f t="shared" si="355"/>
        <v>5000</v>
      </c>
      <c r="J334" s="187">
        <v>40000</v>
      </c>
      <c r="K334" s="187">
        <f t="shared" si="355"/>
        <v>5000</v>
      </c>
      <c r="L334" s="187">
        <v>40000</v>
      </c>
      <c r="M334" s="110">
        <v>9.5</v>
      </c>
      <c r="N334" s="110">
        <f>VLOOKUP(DATE(YEAR(A334),MONTH(A334),DAY(A334)),FY24_Temp[],3,FALSE)</f>
        <v>12.8</v>
      </c>
      <c r="O334" s="110">
        <f t="shared" si="343"/>
        <v>11.5</v>
      </c>
      <c r="P334" s="110">
        <f t="shared" si="344"/>
        <v>19.5</v>
      </c>
      <c r="Q334" s="111">
        <f>VLOOKUP(VLOOKUP(DATEVALUE(TEXT(A334,"m/d/yyyy")),FY24_Temp[],5,FALSE)&amp;TEXT(A334,"-h"),TempDelta[],4,FALSE)</f>
        <v>1.8638571415628706</v>
      </c>
      <c r="R334" s="112">
        <v>10</v>
      </c>
      <c r="S334" s="112">
        <v>1500</v>
      </c>
      <c r="T334" s="99">
        <f>VLOOKUP(TEXT(A334,"yy-mm")&amp;"-"&amp;IF(AND(WEEKDAY(A334)&gt;1,WEEKDAY(A334)&lt;7),"Wkd",TEXT(A334,"Ddd"))&amp;"-"&amp;TEXT(A334,"hh"),LoadTable[],3,FALSE)*0.92</f>
        <v>494.57360000000006</v>
      </c>
      <c r="U334" s="113">
        <f t="shared" si="345"/>
        <v>49.457360000000008</v>
      </c>
    </row>
    <row r="335" spans="1:21" ht="15" thickBot="1">
      <c r="A335" s="29">
        <f t="shared" si="315"/>
        <v>45849.833333334507</v>
      </c>
      <c r="B335" s="187">
        <f t="shared" ref="B335:L335" si="356">B359</f>
        <v>5000</v>
      </c>
      <c r="C335" s="187">
        <f t="shared" si="356"/>
        <v>25000</v>
      </c>
      <c r="D335" s="187">
        <v>0</v>
      </c>
      <c r="E335" s="187">
        <v>700</v>
      </c>
      <c r="F335" s="187">
        <v>15000</v>
      </c>
      <c r="G335" s="187">
        <f t="shared" si="356"/>
        <v>2400</v>
      </c>
      <c r="H335" s="187">
        <f t="shared" si="356"/>
        <v>25000</v>
      </c>
      <c r="I335" s="187">
        <f t="shared" si="356"/>
        <v>5000</v>
      </c>
      <c r="J335" s="187">
        <v>40000</v>
      </c>
      <c r="K335" s="187">
        <f t="shared" si="356"/>
        <v>5000</v>
      </c>
      <c r="L335" s="187">
        <v>40000</v>
      </c>
      <c r="M335" s="110">
        <v>9.5</v>
      </c>
      <c r="N335" s="110">
        <f>VLOOKUP(DATE(YEAR(A335),MONTH(A335),DAY(A335)),FY24_Temp[],3,FALSE)</f>
        <v>12.8</v>
      </c>
      <c r="O335" s="110">
        <f t="shared" si="343"/>
        <v>11.5</v>
      </c>
      <c r="P335" s="110">
        <f t="shared" si="344"/>
        <v>19.5</v>
      </c>
      <c r="Q335" s="111">
        <f>VLOOKUP(VLOOKUP(DATEVALUE(TEXT(A335,"m/d/yyyy")),FY24_Temp[],5,FALSE)&amp;TEXT(A335,"-h"),TempDelta[],4,FALSE)</f>
        <v>2.300714305468968</v>
      </c>
      <c r="R335" s="112">
        <v>10</v>
      </c>
      <c r="S335" s="112">
        <v>1500</v>
      </c>
      <c r="T335" s="99">
        <f>VLOOKUP(TEXT(A335,"yy-mm")&amp;"-"&amp;IF(AND(WEEKDAY(A335)&gt;1,WEEKDAY(A335)&lt;7),"Wkd",TEXT(A335,"Ddd"))&amp;"-"&amp;TEXT(A335,"hh"),LoadTable[],3,FALSE)*0.92</f>
        <v>494.57360000000006</v>
      </c>
      <c r="U335" s="113">
        <f t="shared" si="345"/>
        <v>49.457360000000008</v>
      </c>
    </row>
    <row r="336" spans="1:21" ht="15" thickBot="1">
      <c r="A336" s="29">
        <f t="shared" si="315"/>
        <v>45849.875000001171</v>
      </c>
      <c r="B336" s="187">
        <f t="shared" ref="B336:L336" si="357">B360</f>
        <v>5000</v>
      </c>
      <c r="C336" s="187">
        <f t="shared" si="357"/>
        <v>25000</v>
      </c>
      <c r="D336" s="187">
        <v>0</v>
      </c>
      <c r="E336" s="187">
        <v>700</v>
      </c>
      <c r="F336" s="187">
        <v>15000</v>
      </c>
      <c r="G336" s="187">
        <f t="shared" si="357"/>
        <v>2400</v>
      </c>
      <c r="H336" s="187">
        <f t="shared" si="357"/>
        <v>25000</v>
      </c>
      <c r="I336" s="187">
        <f t="shared" si="357"/>
        <v>5000</v>
      </c>
      <c r="J336" s="187">
        <v>40000</v>
      </c>
      <c r="K336" s="187">
        <f t="shared" si="357"/>
        <v>5000</v>
      </c>
      <c r="L336" s="187">
        <v>40000</v>
      </c>
      <c r="M336" s="110">
        <v>9.5</v>
      </c>
      <c r="N336" s="110">
        <f>VLOOKUP(DATE(YEAR(A336),MONTH(A336),DAY(A336)),FY24_Temp[],3,FALSE)</f>
        <v>12.8</v>
      </c>
      <c r="O336" s="110">
        <f t="shared" si="343"/>
        <v>11.5</v>
      </c>
      <c r="P336" s="110">
        <f t="shared" si="344"/>
        <v>19.5</v>
      </c>
      <c r="Q336" s="111">
        <f>VLOOKUP(VLOOKUP(DATEVALUE(TEXT(A336,"m/d/yyyy")),FY24_Temp[],5,FALSE)&amp;TEXT(A336,"-h"),TempDelta[],4,FALSE)</f>
        <v>2.554214222090585</v>
      </c>
      <c r="R336" s="112">
        <v>10</v>
      </c>
      <c r="S336" s="112">
        <v>1500</v>
      </c>
      <c r="T336" s="99">
        <f>VLOOKUP(TEXT(A336,"yy-mm")&amp;"-"&amp;IF(AND(WEEKDAY(A336)&gt;1,WEEKDAY(A336)&lt;7),"Wkd",TEXT(A336,"Ddd"))&amp;"-"&amp;TEXT(A336,"hh"),LoadTable[],3,FALSE)*0.92</f>
        <v>494.57360000000006</v>
      </c>
      <c r="U336" s="113">
        <f t="shared" si="345"/>
        <v>49.457360000000008</v>
      </c>
    </row>
    <row r="337" spans="1:21" ht="15" thickBot="1">
      <c r="A337" s="29">
        <f t="shared" si="315"/>
        <v>45849.916666667836</v>
      </c>
      <c r="B337" s="187">
        <f t="shared" ref="B337:L337" si="358">B361</f>
        <v>5000</v>
      </c>
      <c r="C337" s="187">
        <f t="shared" si="358"/>
        <v>25000</v>
      </c>
      <c r="D337" s="187">
        <v>0</v>
      </c>
      <c r="E337" s="187">
        <v>700</v>
      </c>
      <c r="F337" s="187">
        <v>15000</v>
      </c>
      <c r="G337" s="187">
        <f t="shared" si="358"/>
        <v>2400</v>
      </c>
      <c r="H337" s="187">
        <f t="shared" si="358"/>
        <v>25000</v>
      </c>
      <c r="I337" s="187">
        <f t="shared" si="358"/>
        <v>5000</v>
      </c>
      <c r="J337" s="187">
        <v>40000</v>
      </c>
      <c r="K337" s="187">
        <f t="shared" si="358"/>
        <v>5000</v>
      </c>
      <c r="L337" s="187">
        <v>40000</v>
      </c>
      <c r="M337" s="110">
        <v>9.5</v>
      </c>
      <c r="N337" s="110">
        <f>VLOOKUP(DATE(YEAR(A337),MONTH(A337),DAY(A337)),FY24_Temp[],3,FALSE)</f>
        <v>12.8</v>
      </c>
      <c r="O337" s="110">
        <f t="shared" si="343"/>
        <v>11.5</v>
      </c>
      <c r="P337" s="110">
        <f t="shared" si="344"/>
        <v>19.5</v>
      </c>
      <c r="Q337" s="111">
        <f>VLOOKUP(VLOOKUP(DATEVALUE(TEXT(A337,"m/d/yyyy")),FY24_Temp[],5,FALSE)&amp;TEXT(A337,"-h"),TempDelta[],4,FALSE)</f>
        <v>2.7827142647334506</v>
      </c>
      <c r="R337" s="112">
        <v>10</v>
      </c>
      <c r="S337" s="112">
        <v>1500</v>
      </c>
      <c r="T337" s="99">
        <f>VLOOKUP(TEXT(A337,"yy-mm")&amp;"-"&amp;IF(AND(WEEKDAY(A337)&gt;1,WEEKDAY(A337)&lt;7),"Wkd",TEXT(A337,"Ddd"))&amp;"-"&amp;TEXT(A337,"hh"),LoadTable[],3,FALSE)*0.92</f>
        <v>418.75640000000004</v>
      </c>
      <c r="U337" s="113">
        <f t="shared" si="345"/>
        <v>41.875640000000004</v>
      </c>
    </row>
    <row r="338" spans="1:21" ht="15" thickBot="1">
      <c r="A338" s="29">
        <f t="shared" si="315"/>
        <v>45849.9583333345</v>
      </c>
      <c r="B338" s="187">
        <f t="shared" ref="B338:L338" si="359">B362</f>
        <v>5000</v>
      </c>
      <c r="C338" s="187">
        <f t="shared" si="359"/>
        <v>25000</v>
      </c>
      <c r="D338" s="187">
        <v>0</v>
      </c>
      <c r="E338" s="187">
        <v>700</v>
      </c>
      <c r="F338" s="187">
        <v>15000</v>
      </c>
      <c r="G338" s="187">
        <f t="shared" si="359"/>
        <v>2400</v>
      </c>
      <c r="H338" s="187">
        <f t="shared" si="359"/>
        <v>25000</v>
      </c>
      <c r="I338" s="187">
        <f t="shared" si="359"/>
        <v>5000</v>
      </c>
      <c r="J338" s="187">
        <v>40000</v>
      </c>
      <c r="K338" s="187">
        <f t="shared" si="359"/>
        <v>5000</v>
      </c>
      <c r="L338" s="187">
        <v>40000</v>
      </c>
      <c r="M338" s="110">
        <v>9.5</v>
      </c>
      <c r="N338" s="110">
        <f>VLOOKUP(DATE(YEAR(A338),MONTH(A338),DAY(A338)),FY24_Temp[],3,FALSE)</f>
        <v>12.8</v>
      </c>
      <c r="O338" s="110">
        <f t="shared" si="343"/>
        <v>11.5</v>
      </c>
      <c r="P338" s="110">
        <f t="shared" si="344"/>
        <v>19.5</v>
      </c>
      <c r="Q338" s="111">
        <f>VLOOKUP(VLOOKUP(DATEVALUE(TEXT(A338,"m/d/yyyy")),FY24_Temp[],5,FALSE)&amp;TEXT(A338,"-h"),TempDelta[],4,FALSE)</f>
        <v>2.8792857101985385</v>
      </c>
      <c r="R338" s="112">
        <v>10</v>
      </c>
      <c r="S338" s="112">
        <v>1500</v>
      </c>
      <c r="T338" s="99">
        <f>VLOOKUP(TEXT(A338,"yy-mm")&amp;"-"&amp;IF(AND(WEEKDAY(A338)&gt;1,WEEKDAY(A338)&lt;7),"Wkd",TEXT(A338,"Ddd"))&amp;"-"&amp;TEXT(A338,"hh"),LoadTable[],3,FALSE)*0.92</f>
        <v>342.93920000000003</v>
      </c>
      <c r="U338" s="113">
        <f t="shared" si="345"/>
        <v>34.29392</v>
      </c>
    </row>
    <row r="339" spans="1:21" ht="15" thickBot="1">
      <c r="A339" s="29">
        <f t="shared" si="315"/>
        <v>45850.000000001164</v>
      </c>
      <c r="B339" s="187">
        <f t="shared" ref="B339:L339" si="360">B363</f>
        <v>5000</v>
      </c>
      <c r="C339" s="187">
        <f t="shared" si="360"/>
        <v>25000</v>
      </c>
      <c r="D339" s="187">
        <v>0</v>
      </c>
      <c r="E339" s="187">
        <v>700</v>
      </c>
      <c r="F339" s="187">
        <v>15000</v>
      </c>
      <c r="G339" s="187">
        <f t="shared" si="360"/>
        <v>2400</v>
      </c>
      <c r="H339" s="187">
        <f t="shared" si="360"/>
        <v>25000</v>
      </c>
      <c r="I339" s="187">
        <f t="shared" si="360"/>
        <v>5000</v>
      </c>
      <c r="J339" s="187">
        <v>40000</v>
      </c>
      <c r="K339" s="187">
        <f t="shared" si="360"/>
        <v>5000</v>
      </c>
      <c r="L339" s="187">
        <v>40000</v>
      </c>
      <c r="M339" s="110">
        <v>9.5</v>
      </c>
      <c r="N339" s="110">
        <f>VLOOKUP(DATE(YEAR(A339),MONTH(A339),DAY(A339)),FY24_Temp[],3,FALSE)</f>
        <v>12.8</v>
      </c>
      <c r="O339" s="110">
        <f t="shared" si="343"/>
        <v>11.5</v>
      </c>
      <c r="P339" s="110">
        <f t="shared" si="344"/>
        <v>19.5</v>
      </c>
      <c r="Q339" s="111">
        <f>VLOOKUP(VLOOKUP(DATEVALUE(TEXT(A339,"m/d/yyyy")),FY24_Temp[],5,FALSE)&amp;TEXT(A339,"-h"),TempDelta[],4,FALSE)</f>
        <v>3.0441428933824812</v>
      </c>
      <c r="R339" s="112">
        <v>10</v>
      </c>
      <c r="S339" s="112">
        <v>1500</v>
      </c>
      <c r="T339" s="99">
        <f>VLOOKUP(TEXT(A339,"yy-mm")&amp;"-"&amp;IF(AND(WEEKDAY(A339)&gt;1,WEEKDAY(A339)&lt;7),"Wkd",TEXT(A339,"Ddd"))&amp;"-"&amp;TEXT(A339,"hh"),LoadTable[],3,FALSE)*0.92</f>
        <v>279.25312000000002</v>
      </c>
      <c r="U339" s="113">
        <f t="shared" si="345"/>
        <v>27.925312000000002</v>
      </c>
    </row>
    <row r="340" spans="1:21" ht="15" thickBot="1">
      <c r="A340" s="29">
        <f t="shared" si="315"/>
        <v>45850.041666667828</v>
      </c>
      <c r="B340" s="187">
        <f t="shared" ref="B340:L340" si="361">B364</f>
        <v>5000</v>
      </c>
      <c r="C340" s="187">
        <f t="shared" si="361"/>
        <v>25000</v>
      </c>
      <c r="D340" s="187">
        <v>0</v>
      </c>
      <c r="E340" s="187">
        <v>700</v>
      </c>
      <c r="F340" s="187">
        <v>15000</v>
      </c>
      <c r="G340" s="187">
        <f t="shared" si="361"/>
        <v>2400</v>
      </c>
      <c r="H340" s="187">
        <f t="shared" si="361"/>
        <v>25000</v>
      </c>
      <c r="I340" s="187">
        <f t="shared" si="361"/>
        <v>5000</v>
      </c>
      <c r="J340" s="187">
        <v>40000</v>
      </c>
      <c r="K340" s="187">
        <f t="shared" si="361"/>
        <v>5000</v>
      </c>
      <c r="L340" s="187">
        <v>40000</v>
      </c>
      <c r="M340" s="110">
        <v>9.5</v>
      </c>
      <c r="N340" s="110">
        <f>VLOOKUP(DATE(YEAR(A340),MONTH(A340),DAY(A340)),FY24_Temp[],3,FALSE)</f>
        <v>12.8</v>
      </c>
      <c r="O340" s="110">
        <f t="shared" si="343"/>
        <v>11.5</v>
      </c>
      <c r="P340" s="110">
        <f t="shared" si="344"/>
        <v>19.5</v>
      </c>
      <c r="Q340" s="111">
        <f>VLOOKUP(VLOOKUP(DATEVALUE(TEXT(A340,"m/d/yyyy")),FY24_Temp[],5,FALSE)&amp;TEXT(A340,"-h"),TempDelta[],4,FALSE)</f>
        <v>3.0992857047489712</v>
      </c>
      <c r="R340" s="112">
        <v>10</v>
      </c>
      <c r="S340" s="112">
        <v>1500</v>
      </c>
      <c r="T340" s="99">
        <f>VLOOKUP(TEXT(A340,"yy-mm")&amp;"-"&amp;IF(AND(WEEKDAY(A340)&gt;1,WEEKDAY(A340)&lt;7),"Wkd",TEXT(A340,"Ddd"))&amp;"-"&amp;TEXT(A340,"hh"),LoadTable[],3,FALSE)*0.92</f>
        <v>279.25312000000002</v>
      </c>
      <c r="U340" s="113">
        <f t="shared" si="345"/>
        <v>27.925312000000002</v>
      </c>
    </row>
    <row r="341" spans="1:21" ht="15" thickBot="1">
      <c r="A341" s="29">
        <f t="shared" si="315"/>
        <v>45850.083333334493</v>
      </c>
      <c r="B341" s="187">
        <f t="shared" ref="B341:L341" si="362">B365</f>
        <v>5000</v>
      </c>
      <c r="C341" s="187">
        <f t="shared" si="362"/>
        <v>25000</v>
      </c>
      <c r="D341" s="187">
        <v>0</v>
      </c>
      <c r="E341" s="187">
        <v>700</v>
      </c>
      <c r="F341" s="187">
        <v>15000</v>
      </c>
      <c r="G341" s="187">
        <f t="shared" si="362"/>
        <v>2400</v>
      </c>
      <c r="H341" s="187">
        <f t="shared" si="362"/>
        <v>25000</v>
      </c>
      <c r="I341" s="187">
        <f t="shared" si="362"/>
        <v>5000</v>
      </c>
      <c r="J341" s="187">
        <v>40000</v>
      </c>
      <c r="K341" s="187">
        <f t="shared" si="362"/>
        <v>5000</v>
      </c>
      <c r="L341" s="187">
        <v>40000</v>
      </c>
      <c r="M341" s="110">
        <v>9.5</v>
      </c>
      <c r="N341" s="110">
        <f>VLOOKUP(DATE(YEAR(A341),MONTH(A341),DAY(A341)),FY24_Temp[],3,FALSE)</f>
        <v>12.8</v>
      </c>
      <c r="O341" s="110">
        <f t="shared" si="343"/>
        <v>11.5</v>
      </c>
      <c r="P341" s="110">
        <f t="shared" si="344"/>
        <v>19.5</v>
      </c>
      <c r="Q341" s="111">
        <f>VLOOKUP(VLOOKUP(DATEVALUE(TEXT(A341,"m/d/yyyy")),FY24_Temp[],5,FALSE)&amp;TEXT(A341,"-h"),TempDelta[],4,FALSE)</f>
        <v>3.1050000190734863</v>
      </c>
      <c r="R341" s="112">
        <v>10</v>
      </c>
      <c r="S341" s="112">
        <v>1500</v>
      </c>
      <c r="T341" s="99">
        <f>VLOOKUP(TEXT(A341,"yy-mm")&amp;"-"&amp;IF(AND(WEEKDAY(A341)&gt;1,WEEKDAY(A341)&lt;7),"Wkd",TEXT(A341,"Ddd"))&amp;"-"&amp;TEXT(A341,"hh"),LoadTable[],3,FALSE)*0.92</f>
        <v>279.25312000000002</v>
      </c>
      <c r="U341" s="113">
        <f t="shared" si="345"/>
        <v>27.925312000000002</v>
      </c>
    </row>
    <row r="342" spans="1:21" ht="15" thickBot="1">
      <c r="A342" s="29">
        <f t="shared" si="315"/>
        <v>45850.125000001157</v>
      </c>
      <c r="B342" s="187">
        <f t="shared" ref="B342:L342" si="363">B366</f>
        <v>5000</v>
      </c>
      <c r="C342" s="187">
        <f t="shared" si="363"/>
        <v>25000</v>
      </c>
      <c r="D342" s="187">
        <v>0</v>
      </c>
      <c r="E342" s="187">
        <v>700</v>
      </c>
      <c r="F342" s="187">
        <v>15000</v>
      </c>
      <c r="G342" s="187">
        <f t="shared" si="363"/>
        <v>2400</v>
      </c>
      <c r="H342" s="187">
        <f t="shared" si="363"/>
        <v>25000</v>
      </c>
      <c r="I342" s="187">
        <f t="shared" si="363"/>
        <v>5000</v>
      </c>
      <c r="J342" s="187">
        <v>40000</v>
      </c>
      <c r="K342" s="187">
        <f t="shared" si="363"/>
        <v>5000</v>
      </c>
      <c r="L342" s="187">
        <v>40000</v>
      </c>
      <c r="M342" s="110">
        <v>9.5</v>
      </c>
      <c r="N342" s="110">
        <f>VLOOKUP(DATE(YEAR(A342),MONTH(A342),DAY(A342)),FY24_Temp[],3,FALSE)</f>
        <v>12.8</v>
      </c>
      <c r="O342" s="110">
        <f t="shared" si="343"/>
        <v>11.5</v>
      </c>
      <c r="P342" s="110">
        <f t="shared" si="344"/>
        <v>19.5</v>
      </c>
      <c r="Q342" s="111">
        <f>VLOOKUP(VLOOKUP(DATEVALUE(TEXT(A342,"m/d/yyyy")),FY24_Temp[],5,FALSE)&amp;TEXT(A342,"-h"),TempDelta[],4,FALSE)</f>
        <v>3.0428571701049805</v>
      </c>
      <c r="R342" s="112">
        <v>10</v>
      </c>
      <c r="S342" s="112">
        <v>1500</v>
      </c>
      <c r="T342" s="99">
        <f>VLOOKUP(TEXT(A342,"yy-mm")&amp;"-"&amp;IF(AND(WEEKDAY(A342)&gt;1,WEEKDAY(A342)&lt;7),"Wkd",TEXT(A342,"Ddd"))&amp;"-"&amp;TEXT(A342,"hh"),LoadTable[],3,FALSE)*0.92</f>
        <v>279.25312000000002</v>
      </c>
      <c r="U342" s="113">
        <f t="shared" si="345"/>
        <v>27.925312000000002</v>
      </c>
    </row>
    <row r="343" spans="1:21" ht="15" thickBot="1">
      <c r="A343" s="29">
        <f t="shared" si="315"/>
        <v>45850.166666667821</v>
      </c>
      <c r="B343" s="187">
        <f t="shared" ref="B343:L343" si="364">B367</f>
        <v>5000</v>
      </c>
      <c r="C343" s="187">
        <f t="shared" si="364"/>
        <v>25000</v>
      </c>
      <c r="D343" s="187">
        <v>0</v>
      </c>
      <c r="E343" s="187">
        <v>700</v>
      </c>
      <c r="F343" s="187">
        <v>15000</v>
      </c>
      <c r="G343" s="187">
        <f t="shared" si="364"/>
        <v>2400</v>
      </c>
      <c r="H343" s="187">
        <f t="shared" si="364"/>
        <v>25000</v>
      </c>
      <c r="I343" s="187">
        <f t="shared" si="364"/>
        <v>5000</v>
      </c>
      <c r="J343" s="187">
        <v>40000</v>
      </c>
      <c r="K343" s="187">
        <f t="shared" si="364"/>
        <v>5000</v>
      </c>
      <c r="L343" s="187">
        <v>40000</v>
      </c>
      <c r="M343" s="110">
        <v>9.5</v>
      </c>
      <c r="N343" s="110">
        <f>VLOOKUP(DATE(YEAR(A343),MONTH(A343),DAY(A343)),FY24_Temp[],3,FALSE)</f>
        <v>12.8</v>
      </c>
      <c r="O343" s="110">
        <f t="shared" si="343"/>
        <v>11.5</v>
      </c>
      <c r="P343" s="110">
        <f t="shared" si="344"/>
        <v>19.5</v>
      </c>
      <c r="Q343" s="111">
        <f>VLOOKUP(VLOOKUP(DATEVALUE(TEXT(A343,"m/d/yyyy")),FY24_Temp[],5,FALSE)&amp;TEXT(A343,"-h"),TempDelta[],4,FALSE)</f>
        <v>2.9580000468662808</v>
      </c>
      <c r="R343" s="112">
        <v>10</v>
      </c>
      <c r="S343" s="112">
        <v>1500</v>
      </c>
      <c r="T343" s="99">
        <f>VLOOKUP(TEXT(A343,"yy-mm")&amp;"-"&amp;IF(AND(WEEKDAY(A343)&gt;1,WEEKDAY(A343)&lt;7),"Wkd",TEXT(A343,"Ddd"))&amp;"-"&amp;TEXT(A343,"hh"),LoadTable[],3,FALSE)*0.92</f>
        <v>279.25312000000002</v>
      </c>
      <c r="U343" s="113">
        <f t="shared" si="345"/>
        <v>27.925312000000002</v>
      </c>
    </row>
    <row r="344" spans="1:21" ht="15" thickBot="1">
      <c r="A344" s="29">
        <f t="shared" si="315"/>
        <v>45850.208333334485</v>
      </c>
      <c r="B344" s="187">
        <f t="shared" ref="B344:L344" si="365">B368</f>
        <v>5000</v>
      </c>
      <c r="C344" s="187">
        <f t="shared" si="365"/>
        <v>25000</v>
      </c>
      <c r="D344" s="187">
        <v>0</v>
      </c>
      <c r="E344" s="187">
        <v>700</v>
      </c>
      <c r="F344" s="187">
        <v>15000</v>
      </c>
      <c r="G344" s="187">
        <f t="shared" si="365"/>
        <v>2400</v>
      </c>
      <c r="H344" s="187">
        <f t="shared" si="365"/>
        <v>25000</v>
      </c>
      <c r="I344" s="187">
        <f t="shared" si="365"/>
        <v>5000</v>
      </c>
      <c r="J344" s="187">
        <v>40000</v>
      </c>
      <c r="K344" s="187">
        <f t="shared" si="365"/>
        <v>5000</v>
      </c>
      <c r="L344" s="187">
        <v>40000</v>
      </c>
      <c r="M344" s="110">
        <v>9.5</v>
      </c>
      <c r="N344" s="110">
        <f>VLOOKUP(DATE(YEAR(A344),MONTH(A344),DAY(A344)),FY24_Temp[],3,FALSE)</f>
        <v>12.8</v>
      </c>
      <c r="O344" s="110">
        <f t="shared" si="343"/>
        <v>11.5</v>
      </c>
      <c r="P344" s="110">
        <f t="shared" si="344"/>
        <v>19.5</v>
      </c>
      <c r="Q344" s="111">
        <f>VLOOKUP(VLOOKUP(DATEVALUE(TEXT(A344,"m/d/yyyy")),FY24_Temp[],5,FALSE)&amp;TEXT(A344,"-h"),TempDelta[],4,FALSE)</f>
        <v>2.8608571801866804</v>
      </c>
      <c r="R344" s="112">
        <v>10</v>
      </c>
      <c r="S344" s="112">
        <v>1500</v>
      </c>
      <c r="T344" s="99">
        <f>VLOOKUP(TEXT(A344,"yy-mm")&amp;"-"&amp;IF(AND(WEEKDAY(A344)&gt;1,WEEKDAY(A344)&lt;7),"Wkd",TEXT(A344,"Ddd"))&amp;"-"&amp;TEXT(A344,"hh"),LoadTable[],3,FALSE)*0.92</f>
        <v>279.25312000000002</v>
      </c>
      <c r="U344" s="113">
        <f t="shared" si="345"/>
        <v>27.925312000000002</v>
      </c>
    </row>
    <row r="345" spans="1:21" ht="15" thickBot="1">
      <c r="A345" s="29">
        <f t="shared" si="315"/>
        <v>45850.25000000115</v>
      </c>
      <c r="B345" s="187">
        <f t="shared" ref="B345:L345" si="366">B369</f>
        <v>8000</v>
      </c>
      <c r="C345" s="187">
        <f t="shared" si="366"/>
        <v>25000</v>
      </c>
      <c r="D345" s="187">
        <v>0</v>
      </c>
      <c r="E345" s="187">
        <v>700</v>
      </c>
      <c r="F345" s="187">
        <v>15000</v>
      </c>
      <c r="G345" s="187">
        <f t="shared" si="366"/>
        <v>2400</v>
      </c>
      <c r="H345" s="187">
        <f t="shared" si="366"/>
        <v>25000</v>
      </c>
      <c r="I345" s="187">
        <f t="shared" si="366"/>
        <v>8000</v>
      </c>
      <c r="J345" s="187">
        <v>40000</v>
      </c>
      <c r="K345" s="187">
        <f t="shared" si="366"/>
        <v>8000</v>
      </c>
      <c r="L345" s="187">
        <v>40000</v>
      </c>
      <c r="M345" s="110">
        <v>9.5</v>
      </c>
      <c r="N345" s="110">
        <f>VLOOKUP(DATE(YEAR(A345),MONTH(A345),DAY(A345)),FY24_Temp[],3,FALSE)</f>
        <v>12.8</v>
      </c>
      <c r="O345" s="110">
        <f t="shared" si="343"/>
        <v>11.5</v>
      </c>
      <c r="P345" s="110">
        <f t="shared" si="344"/>
        <v>19.5</v>
      </c>
      <c r="Q345" s="111">
        <f>VLOOKUP(VLOOKUP(DATEVALUE(TEXT(A345,"m/d/yyyy")),FY24_Temp[],5,FALSE)&amp;TEXT(A345,"-h"),TempDelta[],4,FALSE)</f>
        <v>2.7405714307512556</v>
      </c>
      <c r="R345" s="112">
        <v>10</v>
      </c>
      <c r="S345" s="112">
        <v>1500</v>
      </c>
      <c r="T345" s="99">
        <f>VLOOKUP(TEXT(A345,"yy-mm")&amp;"-"&amp;IF(AND(WEEKDAY(A345)&gt;1,WEEKDAY(A345)&lt;7),"Wkd",TEXT(A345,"Ddd"))&amp;"-"&amp;TEXT(A345,"hh"),LoadTable[],3,FALSE)*0.92</f>
        <v>279.25312000000002</v>
      </c>
      <c r="U345" s="113">
        <f t="shared" si="345"/>
        <v>27.925312000000002</v>
      </c>
    </row>
    <row r="346" spans="1:21" ht="15" thickBot="1">
      <c r="A346" s="29">
        <f t="shared" si="315"/>
        <v>45850.291666667814</v>
      </c>
      <c r="B346" s="187">
        <f t="shared" ref="B346:L346" si="367">B370</f>
        <v>8000</v>
      </c>
      <c r="C346" s="187">
        <f t="shared" si="367"/>
        <v>25000</v>
      </c>
      <c r="D346" s="187">
        <v>0</v>
      </c>
      <c r="E346" s="187">
        <v>700</v>
      </c>
      <c r="F346" s="187">
        <v>15000</v>
      </c>
      <c r="G346" s="187">
        <f t="shared" si="367"/>
        <v>2400</v>
      </c>
      <c r="H346" s="187">
        <f t="shared" si="367"/>
        <v>25000</v>
      </c>
      <c r="I346" s="187">
        <f t="shared" si="367"/>
        <v>8000</v>
      </c>
      <c r="J346" s="187">
        <v>40000</v>
      </c>
      <c r="K346" s="187">
        <f t="shared" si="367"/>
        <v>8000</v>
      </c>
      <c r="L346" s="187">
        <v>40000</v>
      </c>
      <c r="M346" s="110">
        <v>9.5</v>
      </c>
      <c r="N346" s="110">
        <f>VLOOKUP(DATE(YEAR(A346),MONTH(A346),DAY(A346)),FY24_Temp[],3,FALSE)</f>
        <v>12.8</v>
      </c>
      <c r="O346" s="110">
        <f t="shared" si="343"/>
        <v>11.5</v>
      </c>
      <c r="P346" s="110">
        <f t="shared" si="344"/>
        <v>19.5</v>
      </c>
      <c r="Q346" s="111">
        <f>VLOOKUP(VLOOKUP(DATEVALUE(TEXT(A346,"m/d/yyyy")),FY24_Temp[],5,FALSE)&amp;TEXT(A346,"-h"),TempDelta[],4,FALSE)</f>
        <v>2.6134285245622908</v>
      </c>
      <c r="R346" s="112">
        <v>10</v>
      </c>
      <c r="S346" s="112">
        <v>1500</v>
      </c>
      <c r="T346" s="99">
        <f>VLOOKUP(TEXT(A346,"yy-mm")&amp;"-"&amp;IF(AND(WEEKDAY(A346)&gt;1,WEEKDAY(A346)&lt;7),"Wkd",TEXT(A346,"Ddd"))&amp;"-"&amp;TEXT(A346,"hh"),LoadTable[],3,FALSE)*0.92</f>
        <v>279.25312000000002</v>
      </c>
      <c r="U346" s="113">
        <f t="shared" si="345"/>
        <v>27.925312000000002</v>
      </c>
    </row>
    <row r="347" spans="1:21" ht="15" thickBot="1">
      <c r="A347" s="29">
        <f t="shared" si="315"/>
        <v>45850.333333334478</v>
      </c>
      <c r="B347" s="187">
        <f t="shared" ref="B347:L347" si="368">B371</f>
        <v>8000</v>
      </c>
      <c r="C347" s="187">
        <f t="shared" si="368"/>
        <v>25000</v>
      </c>
      <c r="D347" s="187">
        <v>0</v>
      </c>
      <c r="E347" s="187">
        <v>700</v>
      </c>
      <c r="F347" s="187">
        <v>15000</v>
      </c>
      <c r="G347" s="187">
        <f t="shared" si="368"/>
        <v>2400</v>
      </c>
      <c r="H347" s="187">
        <f t="shared" si="368"/>
        <v>25000</v>
      </c>
      <c r="I347" s="187">
        <f t="shared" si="368"/>
        <v>8000</v>
      </c>
      <c r="J347" s="187">
        <v>40000</v>
      </c>
      <c r="K347" s="187">
        <f t="shared" si="368"/>
        <v>8000</v>
      </c>
      <c r="L347" s="187">
        <v>40000</v>
      </c>
      <c r="M347" s="110">
        <v>9.5</v>
      </c>
      <c r="N347" s="110">
        <f>VLOOKUP(DATE(YEAR(A347),MONTH(A347),DAY(A347)),FY24_Temp[],3,FALSE)</f>
        <v>12.8</v>
      </c>
      <c r="O347" s="110">
        <f t="shared" si="343"/>
        <v>11.5</v>
      </c>
      <c r="P347" s="110">
        <f t="shared" si="344"/>
        <v>19.5</v>
      </c>
      <c r="Q347" s="111">
        <f>VLOOKUP(VLOOKUP(DATEVALUE(TEXT(A347,"m/d/yyyy")),FY24_Temp[],5,FALSE)&amp;TEXT(A347,"-h"),TempDelta[],4,FALSE)</f>
        <v>2.44985716683524</v>
      </c>
      <c r="R347" s="112">
        <v>10</v>
      </c>
      <c r="S347" s="112">
        <v>1500</v>
      </c>
      <c r="T347" s="99">
        <f>VLOOKUP(TEXT(A347,"yy-mm")&amp;"-"&amp;IF(AND(WEEKDAY(A347)&gt;1,WEEKDAY(A347)&lt;7),"Wkd",TEXT(A347,"Ddd"))&amp;"-"&amp;TEXT(A347,"hh"),LoadTable[],3,FALSE)*0.92</f>
        <v>279.25312000000002</v>
      </c>
      <c r="U347" s="113">
        <f t="shared" si="345"/>
        <v>27.925312000000002</v>
      </c>
    </row>
    <row r="348" spans="1:21" ht="15" thickBot="1">
      <c r="A348" s="29">
        <f t="shared" si="315"/>
        <v>45850.375000001142</v>
      </c>
      <c r="B348" s="187">
        <f t="shared" ref="B348:L348" si="369">B372</f>
        <v>8000</v>
      </c>
      <c r="C348" s="187">
        <f t="shared" si="369"/>
        <v>25000</v>
      </c>
      <c r="D348" s="187">
        <v>0</v>
      </c>
      <c r="E348" s="187">
        <v>700</v>
      </c>
      <c r="F348" s="187">
        <v>15000</v>
      </c>
      <c r="G348" s="187">
        <f t="shared" si="369"/>
        <v>2400</v>
      </c>
      <c r="H348" s="187">
        <f t="shared" si="369"/>
        <v>25000</v>
      </c>
      <c r="I348" s="187">
        <f t="shared" si="369"/>
        <v>8000</v>
      </c>
      <c r="J348" s="187">
        <v>40000</v>
      </c>
      <c r="K348" s="187">
        <f t="shared" si="369"/>
        <v>8000</v>
      </c>
      <c r="L348" s="187">
        <v>40000</v>
      </c>
      <c r="M348" s="110">
        <v>9.5</v>
      </c>
      <c r="N348" s="110">
        <f>VLOOKUP(DATE(YEAR(A348),MONTH(A348),DAY(A348)),FY24_Temp[],3,FALSE)</f>
        <v>12.8</v>
      </c>
      <c r="O348" s="110">
        <f t="shared" si="343"/>
        <v>11.5</v>
      </c>
      <c r="P348" s="110">
        <f t="shared" si="344"/>
        <v>19.5</v>
      </c>
      <c r="Q348" s="111">
        <f>VLOOKUP(VLOOKUP(DATEVALUE(TEXT(A348,"m/d/yyyy")),FY24_Temp[],5,FALSE)&amp;TEXT(A348,"-h"),TempDelta[],4,FALSE)</f>
        <v>2.2458571025303433</v>
      </c>
      <c r="R348" s="112">
        <v>10</v>
      </c>
      <c r="S348" s="112">
        <v>1500</v>
      </c>
      <c r="T348" s="99">
        <f>VLOOKUP(TEXT(A348,"yy-mm")&amp;"-"&amp;IF(AND(WEEKDAY(A348)&gt;1,WEEKDAY(A348)&lt;7),"Wkd",TEXT(A348,"Ddd"))&amp;"-"&amp;TEXT(A348,"hh"),LoadTable[],3,FALSE)*0.92</f>
        <v>279.25312000000002</v>
      </c>
      <c r="U348" s="113">
        <f t="shared" si="345"/>
        <v>27.925312000000002</v>
      </c>
    </row>
    <row r="349" spans="1:21" ht="15" thickBot="1">
      <c r="A349" s="29">
        <f t="shared" si="315"/>
        <v>45850.416666667807</v>
      </c>
      <c r="B349" s="187">
        <f t="shared" ref="B349:L349" si="370">B373</f>
        <v>8000</v>
      </c>
      <c r="C349" s="187">
        <f t="shared" si="370"/>
        <v>25000</v>
      </c>
      <c r="D349" s="187">
        <v>0</v>
      </c>
      <c r="E349" s="187">
        <v>700</v>
      </c>
      <c r="F349" s="187">
        <v>15000</v>
      </c>
      <c r="G349" s="187">
        <f t="shared" si="370"/>
        <v>2400</v>
      </c>
      <c r="H349" s="187">
        <f t="shared" si="370"/>
        <v>25000</v>
      </c>
      <c r="I349" s="187">
        <f t="shared" si="370"/>
        <v>8000</v>
      </c>
      <c r="J349" s="187">
        <v>40000</v>
      </c>
      <c r="K349" s="187">
        <f t="shared" si="370"/>
        <v>8000</v>
      </c>
      <c r="L349" s="187">
        <v>40000</v>
      </c>
      <c r="M349" s="110">
        <v>9.5</v>
      </c>
      <c r="N349" s="110">
        <f>VLOOKUP(DATE(YEAR(A349),MONTH(A349),DAY(A349)),FY24_Temp[],3,FALSE)</f>
        <v>12.8</v>
      </c>
      <c r="O349" s="110">
        <f t="shared" si="343"/>
        <v>11.5</v>
      </c>
      <c r="P349" s="110">
        <f t="shared" si="344"/>
        <v>19.5</v>
      </c>
      <c r="Q349" s="111">
        <f>VLOOKUP(VLOOKUP(DATEVALUE(TEXT(A349,"m/d/yyyy")),FY24_Temp[],5,FALSE)&amp;TEXT(A349,"-h"),TempDelta[],4,FALSE)</f>
        <v>2.0832857234137401</v>
      </c>
      <c r="R349" s="112">
        <v>10</v>
      </c>
      <c r="S349" s="112">
        <v>1500</v>
      </c>
      <c r="T349" s="99">
        <f>VLOOKUP(TEXT(A349,"yy-mm")&amp;"-"&amp;IF(AND(WEEKDAY(A349)&gt;1,WEEKDAY(A349)&lt;7),"Wkd",TEXT(A349,"Ddd"))&amp;"-"&amp;TEXT(A349,"hh"),LoadTable[],3,FALSE)*0.92</f>
        <v>279.25312000000002</v>
      </c>
      <c r="U349" s="113">
        <f t="shared" si="345"/>
        <v>27.925312000000002</v>
      </c>
    </row>
    <row r="350" spans="1:21" ht="15" thickBot="1">
      <c r="A350" s="29">
        <f t="shared" si="315"/>
        <v>45850.458333334471</v>
      </c>
      <c r="B350" s="187">
        <f t="shared" ref="B350:L350" si="371">B374</f>
        <v>8000</v>
      </c>
      <c r="C350" s="187">
        <f t="shared" si="371"/>
        <v>25000</v>
      </c>
      <c r="D350" s="187">
        <v>0</v>
      </c>
      <c r="E350" s="187">
        <v>700</v>
      </c>
      <c r="F350" s="187">
        <v>15000</v>
      </c>
      <c r="G350" s="187">
        <f t="shared" si="371"/>
        <v>2400</v>
      </c>
      <c r="H350" s="187">
        <f t="shared" si="371"/>
        <v>25000</v>
      </c>
      <c r="I350" s="187">
        <f t="shared" si="371"/>
        <v>8000</v>
      </c>
      <c r="J350" s="187">
        <v>40000</v>
      </c>
      <c r="K350" s="187">
        <f t="shared" si="371"/>
        <v>8000</v>
      </c>
      <c r="L350" s="187">
        <v>40000</v>
      </c>
      <c r="M350" s="110">
        <v>9.5</v>
      </c>
      <c r="N350" s="110">
        <f>VLOOKUP(DATE(YEAR(A350),MONTH(A350),DAY(A350)),FY24_Temp[],3,FALSE)</f>
        <v>12.8</v>
      </c>
      <c r="O350" s="110">
        <f t="shared" si="343"/>
        <v>11.5</v>
      </c>
      <c r="P350" s="110">
        <f t="shared" si="344"/>
        <v>19.5</v>
      </c>
      <c r="Q350" s="111">
        <f>VLOOKUP(VLOOKUP(DATEVALUE(TEXT(A350,"m/d/yyyy")),FY24_Temp[],5,FALSE)&amp;TEXT(A350,"-h"),TempDelta[],4,FALSE)</f>
        <v>1.8928571258272444</v>
      </c>
      <c r="R350" s="112">
        <v>10</v>
      </c>
      <c r="S350" s="112">
        <v>1500</v>
      </c>
      <c r="T350" s="99">
        <f>VLOOKUP(TEXT(A350,"yy-mm")&amp;"-"&amp;IF(AND(WEEKDAY(A350)&gt;1,WEEKDAY(A350)&lt;7),"Wkd",TEXT(A350,"Ddd"))&amp;"-"&amp;TEXT(A350,"hh"),LoadTable[],3,FALSE)*0.92</f>
        <v>279.25312000000002</v>
      </c>
      <c r="U350" s="113">
        <f t="shared" si="345"/>
        <v>27.925312000000002</v>
      </c>
    </row>
    <row r="351" spans="1:21" ht="15" thickBot="1">
      <c r="A351" s="29">
        <f t="shared" si="315"/>
        <v>45850.500000001135</v>
      </c>
      <c r="B351" s="187">
        <f t="shared" ref="B351:L351" si="372">B375</f>
        <v>8000</v>
      </c>
      <c r="C351" s="187">
        <f t="shared" si="372"/>
        <v>25000</v>
      </c>
      <c r="D351" s="187">
        <v>0</v>
      </c>
      <c r="E351" s="187">
        <v>700</v>
      </c>
      <c r="F351" s="187">
        <v>15000</v>
      </c>
      <c r="G351" s="187">
        <f t="shared" si="372"/>
        <v>2400</v>
      </c>
      <c r="H351" s="187">
        <f t="shared" si="372"/>
        <v>25000</v>
      </c>
      <c r="I351" s="187">
        <f t="shared" si="372"/>
        <v>8000</v>
      </c>
      <c r="J351" s="187">
        <v>40000</v>
      </c>
      <c r="K351" s="187">
        <f t="shared" si="372"/>
        <v>8000</v>
      </c>
      <c r="L351" s="187">
        <v>40000</v>
      </c>
      <c r="M351" s="110">
        <v>9.5</v>
      </c>
      <c r="N351" s="110">
        <f>VLOOKUP(DATE(YEAR(A351),MONTH(A351),DAY(A351)),FY24_Temp[],3,FALSE)</f>
        <v>12.8</v>
      </c>
      <c r="O351" s="110">
        <f t="shared" si="343"/>
        <v>11.5</v>
      </c>
      <c r="P351" s="110">
        <f t="shared" si="344"/>
        <v>19.5</v>
      </c>
      <c r="Q351" s="111">
        <f>VLOOKUP(VLOOKUP(DATEVALUE(TEXT(A351,"m/d/yyyy")),FY24_Temp[],5,FALSE)&amp;TEXT(A351,"-h"),TempDelta[],4,FALSE)</f>
        <v>1.665857127734593</v>
      </c>
      <c r="R351" s="112">
        <v>10</v>
      </c>
      <c r="S351" s="112">
        <v>1500</v>
      </c>
      <c r="T351" s="99">
        <f>VLOOKUP(TEXT(A351,"yy-mm")&amp;"-"&amp;IF(AND(WEEKDAY(A351)&gt;1,WEEKDAY(A351)&lt;7),"Wkd",TEXT(A351,"Ddd"))&amp;"-"&amp;TEXT(A351,"hh"),LoadTable[],3,FALSE)*0.92</f>
        <v>279.25312000000002</v>
      </c>
      <c r="U351" s="113">
        <f t="shared" si="345"/>
        <v>27.925312000000002</v>
      </c>
    </row>
    <row r="352" spans="1:21" ht="15" thickBot="1">
      <c r="A352" s="29">
        <f t="shared" si="315"/>
        <v>45850.541666667799</v>
      </c>
      <c r="B352" s="187">
        <f t="shared" ref="B352:L352" si="373">B376</f>
        <v>8000</v>
      </c>
      <c r="C352" s="187">
        <f t="shared" si="373"/>
        <v>25000</v>
      </c>
      <c r="D352" s="187">
        <v>0</v>
      </c>
      <c r="E352" s="187">
        <v>700</v>
      </c>
      <c r="F352" s="187">
        <v>15000</v>
      </c>
      <c r="G352" s="187">
        <f t="shared" si="373"/>
        <v>2400</v>
      </c>
      <c r="H352" s="187">
        <f t="shared" si="373"/>
        <v>25000</v>
      </c>
      <c r="I352" s="187">
        <f t="shared" si="373"/>
        <v>8000</v>
      </c>
      <c r="J352" s="187">
        <v>40000</v>
      </c>
      <c r="K352" s="187">
        <f t="shared" si="373"/>
        <v>8000</v>
      </c>
      <c r="L352" s="187">
        <v>40000</v>
      </c>
      <c r="M352" s="110">
        <v>9.5</v>
      </c>
      <c r="N352" s="110">
        <f>VLOOKUP(DATE(YEAR(A352),MONTH(A352),DAY(A352)),FY24_Temp[],3,FALSE)</f>
        <v>12.8</v>
      </c>
      <c r="O352" s="110">
        <f t="shared" si="343"/>
        <v>11.5</v>
      </c>
      <c r="P352" s="110">
        <f t="shared" si="344"/>
        <v>19.5</v>
      </c>
      <c r="Q352" s="111">
        <f>VLOOKUP(VLOOKUP(DATEVALUE(TEXT(A352,"m/d/yyyy")),FY24_Temp[],5,FALSE)&amp;TEXT(A352,"-h"),TempDelta[],4,FALSE)</f>
        <v>1.4252856969833374</v>
      </c>
      <c r="R352" s="112">
        <v>10</v>
      </c>
      <c r="S352" s="112">
        <v>1500</v>
      </c>
      <c r="T352" s="99">
        <f>VLOOKUP(TEXT(A352,"yy-mm")&amp;"-"&amp;IF(AND(WEEKDAY(A352)&gt;1,WEEKDAY(A352)&lt;7),"Wkd",TEXT(A352,"Ddd"))&amp;"-"&amp;TEXT(A352,"hh"),LoadTable[],3,FALSE)*0.92</f>
        <v>279.25312000000002</v>
      </c>
      <c r="U352" s="113">
        <f t="shared" si="345"/>
        <v>27.925312000000002</v>
      </c>
    </row>
    <row r="353" spans="1:21" ht="15" thickBot="1">
      <c r="A353" s="29">
        <f t="shared" si="315"/>
        <v>45850.583333334464</v>
      </c>
      <c r="B353" s="187">
        <f t="shared" ref="B353:L353" si="374">B377</f>
        <v>8000</v>
      </c>
      <c r="C353" s="187">
        <f t="shared" si="374"/>
        <v>25000</v>
      </c>
      <c r="D353" s="187">
        <v>0</v>
      </c>
      <c r="E353" s="187">
        <v>700</v>
      </c>
      <c r="F353" s="187">
        <v>15000</v>
      </c>
      <c r="G353" s="187">
        <f t="shared" si="374"/>
        <v>2400</v>
      </c>
      <c r="H353" s="187">
        <f t="shared" si="374"/>
        <v>25000</v>
      </c>
      <c r="I353" s="187">
        <f t="shared" si="374"/>
        <v>8000</v>
      </c>
      <c r="J353" s="187">
        <v>40000</v>
      </c>
      <c r="K353" s="187">
        <f t="shared" si="374"/>
        <v>8000</v>
      </c>
      <c r="L353" s="187">
        <v>40000</v>
      </c>
      <c r="M353" s="110">
        <v>9.5</v>
      </c>
      <c r="N353" s="110">
        <f>VLOOKUP(DATE(YEAR(A353),MONTH(A353),DAY(A353)),FY24_Temp[],3,FALSE)</f>
        <v>12.8</v>
      </c>
      <c r="O353" s="110">
        <f t="shared" si="343"/>
        <v>11.5</v>
      </c>
      <c r="P353" s="110">
        <f t="shared" si="344"/>
        <v>19.5</v>
      </c>
      <c r="Q353" s="111">
        <f>VLOOKUP(VLOOKUP(DATEVALUE(TEXT(A353,"m/d/yyyy")),FY24_Temp[],5,FALSE)&amp;TEXT(A353,"-h"),TempDelta[],4,FALSE)</f>
        <v>1.2351428781236922</v>
      </c>
      <c r="R353" s="112">
        <v>10</v>
      </c>
      <c r="S353" s="112">
        <v>1500</v>
      </c>
      <c r="T353" s="99">
        <f>VLOOKUP(TEXT(A353,"yy-mm")&amp;"-"&amp;IF(AND(WEEKDAY(A353)&gt;1,WEEKDAY(A353)&lt;7),"Wkd",TEXT(A353,"Ddd"))&amp;"-"&amp;TEXT(A353,"hh"),LoadTable[],3,FALSE)*0.92</f>
        <v>279.25312000000002</v>
      </c>
      <c r="U353" s="113">
        <f t="shared" si="345"/>
        <v>27.925312000000002</v>
      </c>
    </row>
    <row r="354" spans="1:21" ht="15" thickBot="1">
      <c r="A354" s="29">
        <f t="shared" si="315"/>
        <v>45850.625000001128</v>
      </c>
      <c r="B354" s="187">
        <f t="shared" ref="B354:L354" si="375">B378</f>
        <v>8000</v>
      </c>
      <c r="C354" s="187">
        <f t="shared" si="375"/>
        <v>25000</v>
      </c>
      <c r="D354" s="187">
        <v>0</v>
      </c>
      <c r="E354" s="187">
        <v>700</v>
      </c>
      <c r="F354" s="187">
        <v>15000</v>
      </c>
      <c r="G354" s="187">
        <f t="shared" si="375"/>
        <v>2400</v>
      </c>
      <c r="H354" s="187">
        <f t="shared" si="375"/>
        <v>25000</v>
      </c>
      <c r="I354" s="187">
        <f t="shared" si="375"/>
        <v>8000</v>
      </c>
      <c r="J354" s="187">
        <v>40000</v>
      </c>
      <c r="K354" s="187">
        <f t="shared" si="375"/>
        <v>8000</v>
      </c>
      <c r="L354" s="187">
        <v>40000</v>
      </c>
      <c r="M354" s="110">
        <v>9.5</v>
      </c>
      <c r="N354" s="110">
        <f>VLOOKUP(DATE(YEAR(A354),MONTH(A354),DAY(A354)),FY24_Temp[],3,FALSE)</f>
        <v>12.8</v>
      </c>
      <c r="O354" s="110">
        <f t="shared" si="343"/>
        <v>11.5</v>
      </c>
      <c r="P354" s="110">
        <f t="shared" si="344"/>
        <v>19.5</v>
      </c>
      <c r="Q354" s="111">
        <f>VLOOKUP(VLOOKUP(DATEVALUE(TEXT(A354,"m/d/yyyy")),FY24_Temp[],5,FALSE)&amp;TEXT(A354,"-h"),TempDelta[],4,FALSE)</f>
        <v>0.97514284508568905</v>
      </c>
      <c r="R354" s="112">
        <v>10</v>
      </c>
      <c r="S354" s="112">
        <v>1500</v>
      </c>
      <c r="T354" s="99">
        <f>VLOOKUP(TEXT(A354,"yy-mm")&amp;"-"&amp;IF(AND(WEEKDAY(A354)&gt;1,WEEKDAY(A354)&lt;7),"Wkd",TEXT(A354,"Ddd"))&amp;"-"&amp;TEXT(A354,"hh"),LoadTable[],3,FALSE)*0.92</f>
        <v>400.56064000000003</v>
      </c>
      <c r="U354" s="113">
        <f t="shared" si="345"/>
        <v>40.056064000000006</v>
      </c>
    </row>
    <row r="355" spans="1:21" ht="15" thickBot="1">
      <c r="A355" s="29">
        <f t="shared" si="315"/>
        <v>45850.666666667792</v>
      </c>
      <c r="B355" s="187">
        <f t="shared" ref="B355:L355" si="376">B379</f>
        <v>8000</v>
      </c>
      <c r="C355" s="187">
        <f t="shared" si="376"/>
        <v>25000</v>
      </c>
      <c r="D355" s="187">
        <v>0</v>
      </c>
      <c r="E355" s="187">
        <v>700</v>
      </c>
      <c r="F355" s="187">
        <v>15000</v>
      </c>
      <c r="G355" s="187">
        <f t="shared" si="376"/>
        <v>2400</v>
      </c>
      <c r="H355" s="187">
        <f t="shared" si="376"/>
        <v>25000</v>
      </c>
      <c r="I355" s="187">
        <f t="shared" si="376"/>
        <v>8000</v>
      </c>
      <c r="J355" s="187">
        <v>40000</v>
      </c>
      <c r="K355" s="187">
        <f t="shared" si="376"/>
        <v>8000</v>
      </c>
      <c r="L355" s="187">
        <v>40000</v>
      </c>
      <c r="M355" s="110">
        <v>9.5</v>
      </c>
      <c r="N355" s="110">
        <f>VLOOKUP(DATE(YEAR(A355),MONTH(A355),DAY(A355)),FY24_Temp[],3,FALSE)</f>
        <v>12.8</v>
      </c>
      <c r="O355" s="110">
        <f t="shared" si="343"/>
        <v>11.5</v>
      </c>
      <c r="P355" s="110">
        <f t="shared" si="344"/>
        <v>19.5</v>
      </c>
      <c r="Q355" s="111">
        <f>VLOOKUP(VLOOKUP(DATEVALUE(TEXT(A355,"m/d/yyyy")),FY24_Temp[],5,FALSE)&amp;TEXT(A355,"-h"),TempDelta[],4,FALSE)</f>
        <v>0.88578571166310993</v>
      </c>
      <c r="R355" s="112">
        <v>10</v>
      </c>
      <c r="S355" s="112">
        <v>1500</v>
      </c>
      <c r="T355" s="99">
        <f>VLOOKUP(TEXT(A355,"yy-mm")&amp;"-"&amp;IF(AND(WEEKDAY(A355)&gt;1,WEEKDAY(A355)&lt;7),"Wkd",TEXT(A355,"Ddd"))&amp;"-"&amp;TEXT(A355,"hh"),LoadTable[],3,FALSE)*0.92</f>
        <v>447.97376000000003</v>
      </c>
      <c r="U355" s="113">
        <f t="shared" si="345"/>
        <v>44.797376</v>
      </c>
    </row>
    <row r="356" spans="1:21" ht="15" thickBot="1">
      <c r="A356" s="29">
        <f t="shared" si="315"/>
        <v>45850.708333334456</v>
      </c>
      <c r="B356" s="187">
        <f t="shared" ref="B356:L356" si="377">B380</f>
        <v>8000</v>
      </c>
      <c r="C356" s="187">
        <f t="shared" si="377"/>
        <v>25000</v>
      </c>
      <c r="D356" s="187">
        <v>0</v>
      </c>
      <c r="E356" s="187">
        <v>700</v>
      </c>
      <c r="F356" s="187">
        <v>15000</v>
      </c>
      <c r="G356" s="187">
        <f t="shared" si="377"/>
        <v>2400</v>
      </c>
      <c r="H356" s="187">
        <f t="shared" si="377"/>
        <v>25000</v>
      </c>
      <c r="I356" s="187">
        <f t="shared" si="377"/>
        <v>8000</v>
      </c>
      <c r="J356" s="187">
        <v>40000</v>
      </c>
      <c r="K356" s="187">
        <f t="shared" si="377"/>
        <v>8000</v>
      </c>
      <c r="L356" s="187">
        <v>40000</v>
      </c>
      <c r="M356" s="110">
        <v>9.5</v>
      </c>
      <c r="N356" s="110">
        <f>VLOOKUP(DATE(YEAR(A356),MONTH(A356),DAY(A356)),FY24_Temp[],3,FALSE)</f>
        <v>12.8</v>
      </c>
      <c r="O356" s="110">
        <f t="shared" si="343"/>
        <v>11.5</v>
      </c>
      <c r="P356" s="110">
        <f t="shared" si="344"/>
        <v>19.5</v>
      </c>
      <c r="Q356" s="111">
        <f>VLOOKUP(VLOOKUP(DATEVALUE(TEXT(A356,"m/d/yyyy")),FY24_Temp[],5,FALSE)&amp;TEXT(A356,"-h"),TempDelta[],4,FALSE)</f>
        <v>1.0356428495475225</v>
      </c>
      <c r="R356" s="112">
        <v>10</v>
      </c>
      <c r="S356" s="112">
        <v>1500</v>
      </c>
      <c r="T356" s="99">
        <f>VLOOKUP(TEXT(A356,"yy-mm")&amp;"-"&amp;IF(AND(WEEKDAY(A356)&gt;1,WEEKDAY(A356)&lt;7),"Wkd",TEXT(A356,"Ddd"))&amp;"-"&amp;TEXT(A356,"hh"),LoadTable[],3,FALSE)*0.92</f>
        <v>494.57360000000006</v>
      </c>
      <c r="U356" s="113">
        <f t="shared" si="345"/>
        <v>49.457360000000008</v>
      </c>
    </row>
    <row r="357" spans="1:21" ht="15" thickBot="1">
      <c r="A357" s="29">
        <f t="shared" si="315"/>
        <v>45850.75000000112</v>
      </c>
      <c r="B357" s="187">
        <f t="shared" ref="B357:L357" si="378">B381</f>
        <v>5000</v>
      </c>
      <c r="C357" s="187">
        <f t="shared" si="378"/>
        <v>25000</v>
      </c>
      <c r="D357" s="187">
        <v>0</v>
      </c>
      <c r="E357" s="187">
        <v>700</v>
      </c>
      <c r="F357" s="187">
        <v>15000</v>
      </c>
      <c r="G357" s="187">
        <f t="shared" si="378"/>
        <v>2400</v>
      </c>
      <c r="H357" s="187">
        <f t="shared" si="378"/>
        <v>25000</v>
      </c>
      <c r="I357" s="187">
        <f t="shared" si="378"/>
        <v>5000</v>
      </c>
      <c r="J357" s="187">
        <v>40000</v>
      </c>
      <c r="K357" s="187">
        <f t="shared" si="378"/>
        <v>5000</v>
      </c>
      <c r="L357" s="187">
        <v>40000</v>
      </c>
      <c r="M357" s="110">
        <v>9.5</v>
      </c>
      <c r="N357" s="110">
        <f>VLOOKUP(DATE(YEAR(A357),MONTH(A357),DAY(A357)),FY24_Temp[],3,FALSE)</f>
        <v>12.8</v>
      </c>
      <c r="O357" s="110">
        <f t="shared" si="343"/>
        <v>11.5</v>
      </c>
      <c r="P357" s="110">
        <f t="shared" si="344"/>
        <v>19.5</v>
      </c>
      <c r="Q357" s="111">
        <f>VLOOKUP(VLOOKUP(DATEVALUE(TEXT(A357,"m/d/yyyy")),FY24_Temp[],5,FALSE)&amp;TEXT(A357,"-h"),TempDelta[],4,FALSE)</f>
        <v>1.3991428358214242</v>
      </c>
      <c r="R357" s="112">
        <v>10</v>
      </c>
      <c r="S357" s="112">
        <v>1500</v>
      </c>
      <c r="T357" s="99">
        <f>VLOOKUP(TEXT(A357,"yy-mm")&amp;"-"&amp;IF(AND(WEEKDAY(A357)&gt;1,WEEKDAY(A357)&lt;7),"Wkd",TEXT(A357,"Ddd"))&amp;"-"&amp;TEXT(A357,"hh"),LoadTable[],3,FALSE)*0.92</f>
        <v>494.57360000000006</v>
      </c>
      <c r="U357" s="113">
        <f t="shared" si="345"/>
        <v>49.457360000000008</v>
      </c>
    </row>
    <row r="358" spans="1:21" ht="15" thickBot="1">
      <c r="A358" s="29">
        <f t="shared" si="315"/>
        <v>45850.791666667785</v>
      </c>
      <c r="B358" s="187">
        <f t="shared" ref="B358:L358" si="379">B382</f>
        <v>5000</v>
      </c>
      <c r="C358" s="187">
        <f t="shared" si="379"/>
        <v>25000</v>
      </c>
      <c r="D358" s="187">
        <v>0</v>
      </c>
      <c r="E358" s="187">
        <v>700</v>
      </c>
      <c r="F358" s="187">
        <v>15000</v>
      </c>
      <c r="G358" s="187">
        <f t="shared" si="379"/>
        <v>2400</v>
      </c>
      <c r="H358" s="187">
        <f t="shared" si="379"/>
        <v>25000</v>
      </c>
      <c r="I358" s="187">
        <f t="shared" si="379"/>
        <v>5000</v>
      </c>
      <c r="J358" s="187">
        <v>40000</v>
      </c>
      <c r="K358" s="187">
        <f t="shared" si="379"/>
        <v>5000</v>
      </c>
      <c r="L358" s="187">
        <v>40000</v>
      </c>
      <c r="M358" s="110">
        <v>9.5</v>
      </c>
      <c r="N358" s="110">
        <f>VLOOKUP(DATE(YEAR(A358),MONTH(A358),DAY(A358)),FY24_Temp[],3,FALSE)</f>
        <v>12.8</v>
      </c>
      <c r="O358" s="110">
        <f t="shared" si="343"/>
        <v>11.5</v>
      </c>
      <c r="P358" s="110">
        <f t="shared" si="344"/>
        <v>19.5</v>
      </c>
      <c r="Q358" s="111">
        <f>VLOOKUP(VLOOKUP(DATEVALUE(TEXT(A358,"m/d/yyyy")),FY24_Temp[],5,FALSE)&amp;TEXT(A358,"-h"),TempDelta[],4,FALSE)</f>
        <v>1.8638571415628706</v>
      </c>
      <c r="R358" s="112">
        <v>10</v>
      </c>
      <c r="S358" s="112">
        <v>1500</v>
      </c>
      <c r="T358" s="99">
        <f>VLOOKUP(TEXT(A358,"yy-mm")&amp;"-"&amp;IF(AND(WEEKDAY(A358)&gt;1,WEEKDAY(A358)&lt;7),"Wkd",TEXT(A358,"Ddd"))&amp;"-"&amp;TEXT(A358,"hh"),LoadTable[],3,FALSE)*0.92</f>
        <v>494.57360000000006</v>
      </c>
      <c r="U358" s="113">
        <f t="shared" si="345"/>
        <v>49.457360000000008</v>
      </c>
    </row>
    <row r="359" spans="1:21" ht="15" thickBot="1">
      <c r="A359" s="29">
        <f t="shared" si="315"/>
        <v>45850.833333334449</v>
      </c>
      <c r="B359" s="187">
        <f t="shared" ref="B359:L359" si="380">B383</f>
        <v>5000</v>
      </c>
      <c r="C359" s="187">
        <f t="shared" si="380"/>
        <v>25000</v>
      </c>
      <c r="D359" s="187">
        <v>0</v>
      </c>
      <c r="E359" s="187">
        <v>700</v>
      </c>
      <c r="F359" s="187">
        <v>15000</v>
      </c>
      <c r="G359" s="187">
        <f t="shared" si="380"/>
        <v>2400</v>
      </c>
      <c r="H359" s="187">
        <f t="shared" si="380"/>
        <v>25000</v>
      </c>
      <c r="I359" s="187">
        <f t="shared" si="380"/>
        <v>5000</v>
      </c>
      <c r="J359" s="187">
        <v>40000</v>
      </c>
      <c r="K359" s="187">
        <f t="shared" si="380"/>
        <v>5000</v>
      </c>
      <c r="L359" s="187">
        <v>40000</v>
      </c>
      <c r="M359" s="110">
        <v>9.5</v>
      </c>
      <c r="N359" s="110">
        <f>VLOOKUP(DATE(YEAR(A359),MONTH(A359),DAY(A359)),FY24_Temp[],3,FALSE)</f>
        <v>12.8</v>
      </c>
      <c r="O359" s="110">
        <f t="shared" si="343"/>
        <v>11.5</v>
      </c>
      <c r="P359" s="110">
        <f t="shared" si="344"/>
        <v>19.5</v>
      </c>
      <c r="Q359" s="111">
        <f>VLOOKUP(VLOOKUP(DATEVALUE(TEXT(A359,"m/d/yyyy")),FY24_Temp[],5,FALSE)&amp;TEXT(A359,"-h"),TempDelta[],4,FALSE)</f>
        <v>2.300714305468968</v>
      </c>
      <c r="R359" s="112">
        <v>10</v>
      </c>
      <c r="S359" s="112">
        <v>1500</v>
      </c>
      <c r="T359" s="99">
        <f>VLOOKUP(TEXT(A359,"yy-mm")&amp;"-"&amp;IF(AND(WEEKDAY(A359)&gt;1,WEEKDAY(A359)&lt;7),"Wkd",TEXT(A359,"Ddd"))&amp;"-"&amp;TEXT(A359,"hh"),LoadTable[],3,FALSE)*0.92</f>
        <v>494.57360000000006</v>
      </c>
      <c r="U359" s="113">
        <f t="shared" si="345"/>
        <v>49.457360000000008</v>
      </c>
    </row>
    <row r="360" spans="1:21" ht="15" thickBot="1">
      <c r="A360" s="29">
        <f t="shared" si="315"/>
        <v>45850.875000001113</v>
      </c>
      <c r="B360" s="187">
        <f t="shared" ref="B360:L360" si="381">B384</f>
        <v>5000</v>
      </c>
      <c r="C360" s="187">
        <f t="shared" si="381"/>
        <v>25000</v>
      </c>
      <c r="D360" s="187">
        <v>0</v>
      </c>
      <c r="E360" s="187">
        <v>700</v>
      </c>
      <c r="F360" s="187">
        <v>15000</v>
      </c>
      <c r="G360" s="187">
        <f t="shared" si="381"/>
        <v>2400</v>
      </c>
      <c r="H360" s="187">
        <f t="shared" si="381"/>
        <v>25000</v>
      </c>
      <c r="I360" s="187">
        <f t="shared" si="381"/>
        <v>5000</v>
      </c>
      <c r="J360" s="187">
        <v>40000</v>
      </c>
      <c r="K360" s="187">
        <f t="shared" si="381"/>
        <v>5000</v>
      </c>
      <c r="L360" s="187">
        <v>40000</v>
      </c>
      <c r="M360" s="110">
        <v>9.5</v>
      </c>
      <c r="N360" s="110">
        <f>VLOOKUP(DATE(YEAR(A360),MONTH(A360),DAY(A360)),FY24_Temp[],3,FALSE)</f>
        <v>12.8</v>
      </c>
      <c r="O360" s="110">
        <f t="shared" si="343"/>
        <v>11.5</v>
      </c>
      <c r="P360" s="110">
        <f t="shared" si="344"/>
        <v>19.5</v>
      </c>
      <c r="Q360" s="111">
        <f>VLOOKUP(VLOOKUP(DATEVALUE(TEXT(A360,"m/d/yyyy")),FY24_Temp[],5,FALSE)&amp;TEXT(A360,"-h"),TempDelta[],4,FALSE)</f>
        <v>2.554214222090585</v>
      </c>
      <c r="R360" s="112">
        <v>10</v>
      </c>
      <c r="S360" s="112">
        <v>1500</v>
      </c>
      <c r="T360" s="99">
        <f>VLOOKUP(TEXT(A360,"yy-mm")&amp;"-"&amp;IF(AND(WEEKDAY(A360)&gt;1,WEEKDAY(A360)&lt;7),"Wkd",TEXT(A360,"Ddd"))&amp;"-"&amp;TEXT(A360,"hh"),LoadTable[],3,FALSE)*0.92</f>
        <v>494.57360000000006</v>
      </c>
      <c r="U360" s="113">
        <f t="shared" si="345"/>
        <v>49.457360000000008</v>
      </c>
    </row>
    <row r="361" spans="1:21" ht="15" thickBot="1">
      <c r="A361" s="29">
        <f t="shared" si="315"/>
        <v>45850.916666667777</v>
      </c>
      <c r="B361" s="187">
        <f t="shared" ref="B361:L361" si="382">B385</f>
        <v>5000</v>
      </c>
      <c r="C361" s="187">
        <f t="shared" si="382"/>
        <v>25000</v>
      </c>
      <c r="D361" s="187">
        <v>0</v>
      </c>
      <c r="E361" s="187">
        <v>700</v>
      </c>
      <c r="F361" s="187">
        <v>15000</v>
      </c>
      <c r="G361" s="187">
        <f t="shared" si="382"/>
        <v>2400</v>
      </c>
      <c r="H361" s="187">
        <f t="shared" si="382"/>
        <v>25000</v>
      </c>
      <c r="I361" s="187">
        <f t="shared" si="382"/>
        <v>5000</v>
      </c>
      <c r="J361" s="187">
        <v>40000</v>
      </c>
      <c r="K361" s="187">
        <f t="shared" si="382"/>
        <v>5000</v>
      </c>
      <c r="L361" s="187">
        <v>40000</v>
      </c>
      <c r="M361" s="110">
        <v>9.5</v>
      </c>
      <c r="N361" s="110">
        <f>VLOOKUP(DATE(YEAR(A361),MONTH(A361),DAY(A361)),FY24_Temp[],3,FALSE)</f>
        <v>12.8</v>
      </c>
      <c r="O361" s="110">
        <f t="shared" si="343"/>
        <v>11.5</v>
      </c>
      <c r="P361" s="110">
        <f t="shared" si="344"/>
        <v>19.5</v>
      </c>
      <c r="Q361" s="111">
        <f>VLOOKUP(VLOOKUP(DATEVALUE(TEXT(A361,"m/d/yyyy")),FY24_Temp[],5,FALSE)&amp;TEXT(A361,"-h"),TempDelta[],4,FALSE)</f>
        <v>2.7827142647334506</v>
      </c>
      <c r="R361" s="112">
        <v>10</v>
      </c>
      <c r="S361" s="112">
        <v>1500</v>
      </c>
      <c r="T361" s="99">
        <f>VLOOKUP(TEXT(A361,"yy-mm")&amp;"-"&amp;IF(AND(WEEKDAY(A361)&gt;1,WEEKDAY(A361)&lt;7),"Wkd",TEXT(A361,"Ddd"))&amp;"-"&amp;TEXT(A361,"hh"),LoadTable[],3,FALSE)*0.92</f>
        <v>418.75640000000004</v>
      </c>
      <c r="U361" s="113">
        <f t="shared" si="345"/>
        <v>41.875640000000004</v>
      </c>
    </row>
    <row r="362" spans="1:21" ht="15" thickBot="1">
      <c r="A362" s="29">
        <f t="shared" ref="A362:A425" si="383">A363-TIME(1,0,0)</f>
        <v>45850.958333334442</v>
      </c>
      <c r="B362" s="187">
        <f t="shared" ref="B362:L362" si="384">B386</f>
        <v>5000</v>
      </c>
      <c r="C362" s="187">
        <f t="shared" si="384"/>
        <v>25000</v>
      </c>
      <c r="D362" s="187">
        <v>0</v>
      </c>
      <c r="E362" s="187">
        <v>700</v>
      </c>
      <c r="F362" s="187">
        <v>15000</v>
      </c>
      <c r="G362" s="187">
        <f t="shared" si="384"/>
        <v>2400</v>
      </c>
      <c r="H362" s="187">
        <f t="shared" si="384"/>
        <v>25000</v>
      </c>
      <c r="I362" s="187">
        <f t="shared" si="384"/>
        <v>5000</v>
      </c>
      <c r="J362" s="187">
        <v>40000</v>
      </c>
      <c r="K362" s="187">
        <f t="shared" si="384"/>
        <v>5000</v>
      </c>
      <c r="L362" s="187">
        <v>40000</v>
      </c>
      <c r="M362" s="110">
        <v>9.5</v>
      </c>
      <c r="N362" s="110">
        <f>VLOOKUP(DATE(YEAR(A362),MONTH(A362),DAY(A362)),FY24_Temp[],3,FALSE)</f>
        <v>12.8</v>
      </c>
      <c r="O362" s="110">
        <f t="shared" si="343"/>
        <v>11.5</v>
      </c>
      <c r="P362" s="110">
        <f t="shared" si="344"/>
        <v>19.5</v>
      </c>
      <c r="Q362" s="111">
        <f>VLOOKUP(VLOOKUP(DATEVALUE(TEXT(A362,"m/d/yyyy")),FY24_Temp[],5,FALSE)&amp;TEXT(A362,"-h"),TempDelta[],4,FALSE)</f>
        <v>2.8792857101985385</v>
      </c>
      <c r="R362" s="112">
        <v>10</v>
      </c>
      <c r="S362" s="112">
        <v>1500</v>
      </c>
      <c r="T362" s="99">
        <f>VLOOKUP(TEXT(A362,"yy-mm")&amp;"-"&amp;IF(AND(WEEKDAY(A362)&gt;1,WEEKDAY(A362)&lt;7),"Wkd",TEXT(A362,"Ddd"))&amp;"-"&amp;TEXT(A362,"hh"),LoadTable[],3,FALSE)*0.92</f>
        <v>342.93920000000003</v>
      </c>
      <c r="U362" s="113">
        <f t="shared" si="345"/>
        <v>34.29392</v>
      </c>
    </row>
    <row r="363" spans="1:21" ht="15" thickBot="1">
      <c r="A363" s="29">
        <f t="shared" si="383"/>
        <v>45851.000000001106</v>
      </c>
      <c r="B363" s="187">
        <f t="shared" ref="B363:L363" si="385">B387</f>
        <v>5000</v>
      </c>
      <c r="C363" s="187">
        <f t="shared" si="385"/>
        <v>25000</v>
      </c>
      <c r="D363" s="187">
        <v>0</v>
      </c>
      <c r="E363" s="187">
        <v>700</v>
      </c>
      <c r="F363" s="187">
        <v>15000</v>
      </c>
      <c r="G363" s="187">
        <f t="shared" si="385"/>
        <v>2400</v>
      </c>
      <c r="H363" s="187">
        <f t="shared" si="385"/>
        <v>25000</v>
      </c>
      <c r="I363" s="187">
        <f t="shared" si="385"/>
        <v>5000</v>
      </c>
      <c r="J363" s="187">
        <v>40000</v>
      </c>
      <c r="K363" s="187">
        <f t="shared" si="385"/>
        <v>5000</v>
      </c>
      <c r="L363" s="187">
        <v>40000</v>
      </c>
      <c r="M363" s="110">
        <v>9.5</v>
      </c>
      <c r="N363" s="110">
        <f>VLOOKUP(DATE(YEAR(A363),MONTH(A363),DAY(A363)),FY24_Temp[],3,FALSE)</f>
        <v>12.8</v>
      </c>
      <c r="O363" s="110">
        <f t="shared" si="343"/>
        <v>11.5</v>
      </c>
      <c r="P363" s="110">
        <f t="shared" si="344"/>
        <v>19.5</v>
      </c>
      <c r="Q363" s="111">
        <f>VLOOKUP(VLOOKUP(DATEVALUE(TEXT(A363,"m/d/yyyy")),FY24_Temp[],5,FALSE)&amp;TEXT(A363,"-h"),TempDelta[],4,FALSE)</f>
        <v>3.0441428933824812</v>
      </c>
      <c r="R363" s="112">
        <v>10</v>
      </c>
      <c r="S363" s="112">
        <v>1500</v>
      </c>
      <c r="T363" s="99">
        <f>VLOOKUP(TEXT(A363,"yy-mm")&amp;"-"&amp;IF(AND(WEEKDAY(A363)&gt;1,WEEKDAY(A363)&lt;7),"Wkd",TEXT(A363,"Ddd"))&amp;"-"&amp;TEXT(A363,"hh"),LoadTable[],3,FALSE)*0.92</f>
        <v>279.25312000000002</v>
      </c>
      <c r="U363" s="113">
        <f t="shared" si="345"/>
        <v>27.925312000000002</v>
      </c>
    </row>
    <row r="364" spans="1:21" ht="15" thickBot="1">
      <c r="A364" s="29">
        <f t="shared" si="383"/>
        <v>45851.04166666777</v>
      </c>
      <c r="B364" s="187">
        <f t="shared" ref="B364:L364" si="386">B388</f>
        <v>5000</v>
      </c>
      <c r="C364" s="187">
        <f t="shared" si="386"/>
        <v>25000</v>
      </c>
      <c r="D364" s="187">
        <v>0</v>
      </c>
      <c r="E364" s="187">
        <v>700</v>
      </c>
      <c r="F364" s="187">
        <v>15000</v>
      </c>
      <c r="G364" s="187">
        <f t="shared" si="386"/>
        <v>2400</v>
      </c>
      <c r="H364" s="187">
        <f t="shared" si="386"/>
        <v>25000</v>
      </c>
      <c r="I364" s="187">
        <f t="shared" si="386"/>
        <v>5000</v>
      </c>
      <c r="J364" s="187">
        <v>40000</v>
      </c>
      <c r="K364" s="187">
        <f t="shared" si="386"/>
        <v>5000</v>
      </c>
      <c r="L364" s="187">
        <v>40000</v>
      </c>
      <c r="M364" s="110">
        <v>9.5</v>
      </c>
      <c r="N364" s="110">
        <f>VLOOKUP(DATE(YEAR(A364),MONTH(A364),DAY(A364)),FY24_Temp[],3,FALSE)</f>
        <v>12.8</v>
      </c>
      <c r="O364" s="110">
        <f t="shared" si="343"/>
        <v>11.5</v>
      </c>
      <c r="P364" s="110">
        <f t="shared" si="344"/>
        <v>19.5</v>
      </c>
      <c r="Q364" s="111">
        <f>VLOOKUP(VLOOKUP(DATEVALUE(TEXT(A364,"m/d/yyyy")),FY24_Temp[],5,FALSE)&amp;TEXT(A364,"-h"),TempDelta[],4,FALSE)</f>
        <v>3.0992857047489712</v>
      </c>
      <c r="R364" s="112">
        <v>10</v>
      </c>
      <c r="S364" s="112">
        <v>1500</v>
      </c>
      <c r="T364" s="99">
        <f>VLOOKUP(TEXT(A364,"yy-mm")&amp;"-"&amp;IF(AND(WEEKDAY(A364)&gt;1,WEEKDAY(A364)&lt;7),"Wkd",TEXT(A364,"Ddd"))&amp;"-"&amp;TEXT(A364,"hh"),LoadTable[],3,FALSE)*0.92</f>
        <v>279.25312000000002</v>
      </c>
      <c r="U364" s="113">
        <f t="shared" si="345"/>
        <v>27.925312000000002</v>
      </c>
    </row>
    <row r="365" spans="1:21" ht="15" thickBot="1">
      <c r="A365" s="29">
        <f t="shared" si="383"/>
        <v>45851.083333334434</v>
      </c>
      <c r="B365" s="187">
        <f t="shared" ref="B365:L365" si="387">B389</f>
        <v>5000</v>
      </c>
      <c r="C365" s="187">
        <f t="shared" si="387"/>
        <v>25000</v>
      </c>
      <c r="D365" s="187">
        <v>0</v>
      </c>
      <c r="E365" s="187">
        <v>700</v>
      </c>
      <c r="F365" s="187">
        <v>15000</v>
      </c>
      <c r="G365" s="187">
        <f t="shared" si="387"/>
        <v>2400</v>
      </c>
      <c r="H365" s="187">
        <f t="shared" si="387"/>
        <v>25000</v>
      </c>
      <c r="I365" s="187">
        <f t="shared" si="387"/>
        <v>5000</v>
      </c>
      <c r="J365" s="187">
        <v>40000</v>
      </c>
      <c r="K365" s="187">
        <f t="shared" si="387"/>
        <v>5000</v>
      </c>
      <c r="L365" s="187">
        <v>40000</v>
      </c>
      <c r="M365" s="110">
        <v>9.5</v>
      </c>
      <c r="N365" s="110">
        <f>VLOOKUP(DATE(YEAR(A365),MONTH(A365),DAY(A365)),FY24_Temp[],3,FALSE)</f>
        <v>12.8</v>
      </c>
      <c r="O365" s="110">
        <f t="shared" si="343"/>
        <v>11.5</v>
      </c>
      <c r="P365" s="110">
        <f t="shared" si="344"/>
        <v>19.5</v>
      </c>
      <c r="Q365" s="111">
        <f>VLOOKUP(VLOOKUP(DATEVALUE(TEXT(A365,"m/d/yyyy")),FY24_Temp[],5,FALSE)&amp;TEXT(A365,"-h"),TempDelta[],4,FALSE)</f>
        <v>3.1050000190734863</v>
      </c>
      <c r="R365" s="112">
        <v>10</v>
      </c>
      <c r="S365" s="112">
        <v>1500</v>
      </c>
      <c r="T365" s="99">
        <f>VLOOKUP(TEXT(A365,"yy-mm")&amp;"-"&amp;IF(AND(WEEKDAY(A365)&gt;1,WEEKDAY(A365)&lt;7),"Wkd",TEXT(A365,"Ddd"))&amp;"-"&amp;TEXT(A365,"hh"),LoadTable[],3,FALSE)*0.92</f>
        <v>279.25312000000002</v>
      </c>
      <c r="U365" s="113">
        <f t="shared" si="345"/>
        <v>27.925312000000002</v>
      </c>
    </row>
    <row r="366" spans="1:21" ht="15" thickBot="1">
      <c r="A366" s="29">
        <f t="shared" si="383"/>
        <v>45851.125000001099</v>
      </c>
      <c r="B366" s="187">
        <f t="shared" ref="B366:L366" si="388">B390</f>
        <v>5000</v>
      </c>
      <c r="C366" s="187">
        <f t="shared" si="388"/>
        <v>25000</v>
      </c>
      <c r="D366" s="187">
        <v>0</v>
      </c>
      <c r="E366" s="187">
        <v>700</v>
      </c>
      <c r="F366" s="187">
        <v>15000</v>
      </c>
      <c r="G366" s="187">
        <f t="shared" si="388"/>
        <v>2400</v>
      </c>
      <c r="H366" s="187">
        <f t="shared" si="388"/>
        <v>25000</v>
      </c>
      <c r="I366" s="187">
        <f t="shared" si="388"/>
        <v>5000</v>
      </c>
      <c r="J366" s="187">
        <v>40000</v>
      </c>
      <c r="K366" s="187">
        <f t="shared" si="388"/>
        <v>5000</v>
      </c>
      <c r="L366" s="187">
        <v>40000</v>
      </c>
      <c r="M366" s="110">
        <v>9.5</v>
      </c>
      <c r="N366" s="110">
        <f>VLOOKUP(DATE(YEAR(A366),MONTH(A366),DAY(A366)),FY24_Temp[],3,FALSE)</f>
        <v>12.8</v>
      </c>
      <c r="O366" s="110">
        <f t="shared" si="343"/>
        <v>11.5</v>
      </c>
      <c r="P366" s="110">
        <f t="shared" si="344"/>
        <v>19.5</v>
      </c>
      <c r="Q366" s="111">
        <f>VLOOKUP(VLOOKUP(DATEVALUE(TEXT(A366,"m/d/yyyy")),FY24_Temp[],5,FALSE)&amp;TEXT(A366,"-h"),TempDelta[],4,FALSE)</f>
        <v>3.0428571701049805</v>
      </c>
      <c r="R366" s="112">
        <v>10</v>
      </c>
      <c r="S366" s="112">
        <v>1500</v>
      </c>
      <c r="T366" s="99">
        <f>VLOOKUP(TEXT(A366,"yy-mm")&amp;"-"&amp;IF(AND(WEEKDAY(A366)&gt;1,WEEKDAY(A366)&lt;7),"Wkd",TEXT(A366,"Ddd"))&amp;"-"&amp;TEXT(A366,"hh"),LoadTable[],3,FALSE)*0.92</f>
        <v>279.25312000000002</v>
      </c>
      <c r="U366" s="113">
        <f t="shared" si="345"/>
        <v>27.925312000000002</v>
      </c>
    </row>
    <row r="367" spans="1:21" ht="15" thickBot="1">
      <c r="A367" s="29">
        <f t="shared" si="383"/>
        <v>45851.166666667763</v>
      </c>
      <c r="B367" s="187">
        <f t="shared" ref="B367:L367" si="389">B391</f>
        <v>5000</v>
      </c>
      <c r="C367" s="187">
        <f t="shared" si="389"/>
        <v>25000</v>
      </c>
      <c r="D367" s="187">
        <v>0</v>
      </c>
      <c r="E367" s="187">
        <v>700</v>
      </c>
      <c r="F367" s="187">
        <v>15000</v>
      </c>
      <c r="G367" s="187">
        <f t="shared" si="389"/>
        <v>2400</v>
      </c>
      <c r="H367" s="187">
        <f t="shared" si="389"/>
        <v>25000</v>
      </c>
      <c r="I367" s="187">
        <f t="shared" si="389"/>
        <v>5000</v>
      </c>
      <c r="J367" s="187">
        <v>40000</v>
      </c>
      <c r="K367" s="187">
        <f t="shared" si="389"/>
        <v>5000</v>
      </c>
      <c r="L367" s="187">
        <v>40000</v>
      </c>
      <c r="M367" s="110">
        <v>9.5</v>
      </c>
      <c r="N367" s="110">
        <f>VLOOKUP(DATE(YEAR(A367),MONTH(A367),DAY(A367)),FY24_Temp[],3,FALSE)</f>
        <v>12.8</v>
      </c>
      <c r="O367" s="110">
        <f t="shared" si="343"/>
        <v>11.5</v>
      </c>
      <c r="P367" s="110">
        <f t="shared" si="344"/>
        <v>19.5</v>
      </c>
      <c r="Q367" s="111">
        <f>VLOOKUP(VLOOKUP(DATEVALUE(TEXT(A367,"m/d/yyyy")),FY24_Temp[],5,FALSE)&amp;TEXT(A367,"-h"),TempDelta[],4,FALSE)</f>
        <v>2.9580000468662808</v>
      </c>
      <c r="R367" s="112">
        <v>10</v>
      </c>
      <c r="S367" s="112">
        <v>1500</v>
      </c>
      <c r="T367" s="99">
        <f>VLOOKUP(TEXT(A367,"yy-mm")&amp;"-"&amp;IF(AND(WEEKDAY(A367)&gt;1,WEEKDAY(A367)&lt;7),"Wkd",TEXT(A367,"Ddd"))&amp;"-"&amp;TEXT(A367,"hh"),LoadTable[],3,FALSE)*0.92</f>
        <v>279.25312000000002</v>
      </c>
      <c r="U367" s="113">
        <f t="shared" si="345"/>
        <v>27.925312000000002</v>
      </c>
    </row>
    <row r="368" spans="1:21" ht="15" thickBot="1">
      <c r="A368" s="29">
        <f t="shared" si="383"/>
        <v>45851.208333334427</v>
      </c>
      <c r="B368" s="187">
        <f t="shared" ref="B368:L368" si="390">B392</f>
        <v>5000</v>
      </c>
      <c r="C368" s="187">
        <f t="shared" si="390"/>
        <v>25000</v>
      </c>
      <c r="D368" s="187">
        <v>0</v>
      </c>
      <c r="E368" s="187">
        <v>700</v>
      </c>
      <c r="F368" s="187">
        <v>15000</v>
      </c>
      <c r="G368" s="187">
        <f t="shared" si="390"/>
        <v>2400</v>
      </c>
      <c r="H368" s="187">
        <f t="shared" si="390"/>
        <v>25000</v>
      </c>
      <c r="I368" s="187">
        <f t="shared" si="390"/>
        <v>5000</v>
      </c>
      <c r="J368" s="187">
        <v>40000</v>
      </c>
      <c r="K368" s="187">
        <f t="shared" si="390"/>
        <v>5000</v>
      </c>
      <c r="L368" s="187">
        <v>40000</v>
      </c>
      <c r="M368" s="110">
        <v>9.5</v>
      </c>
      <c r="N368" s="110">
        <f>VLOOKUP(DATE(YEAR(A368),MONTH(A368),DAY(A368)),FY24_Temp[],3,FALSE)</f>
        <v>12.8</v>
      </c>
      <c r="O368" s="110">
        <f t="shared" si="343"/>
        <v>11.5</v>
      </c>
      <c r="P368" s="110">
        <f t="shared" si="344"/>
        <v>19.5</v>
      </c>
      <c r="Q368" s="111">
        <f>VLOOKUP(VLOOKUP(DATEVALUE(TEXT(A368,"m/d/yyyy")),FY24_Temp[],5,FALSE)&amp;TEXT(A368,"-h"),TempDelta[],4,FALSE)</f>
        <v>2.8608571801866804</v>
      </c>
      <c r="R368" s="112">
        <v>10</v>
      </c>
      <c r="S368" s="112">
        <v>1500</v>
      </c>
      <c r="T368" s="99">
        <f>VLOOKUP(TEXT(A368,"yy-mm")&amp;"-"&amp;IF(AND(WEEKDAY(A368)&gt;1,WEEKDAY(A368)&lt;7),"Wkd",TEXT(A368,"Ddd"))&amp;"-"&amp;TEXT(A368,"hh"),LoadTable[],3,FALSE)*0.92</f>
        <v>279.25312000000002</v>
      </c>
      <c r="U368" s="113">
        <f t="shared" si="345"/>
        <v>27.925312000000002</v>
      </c>
    </row>
    <row r="369" spans="1:21" ht="15" thickBot="1">
      <c r="A369" s="29">
        <f t="shared" si="383"/>
        <v>45851.250000001091</v>
      </c>
      <c r="B369" s="187">
        <f t="shared" ref="B369:L369" si="391">B393</f>
        <v>8000</v>
      </c>
      <c r="C369" s="187">
        <f t="shared" si="391"/>
        <v>25000</v>
      </c>
      <c r="D369" s="187">
        <v>0</v>
      </c>
      <c r="E369" s="187">
        <v>700</v>
      </c>
      <c r="F369" s="187">
        <v>15000</v>
      </c>
      <c r="G369" s="187">
        <f t="shared" si="391"/>
        <v>2400</v>
      </c>
      <c r="H369" s="187">
        <f t="shared" si="391"/>
        <v>25000</v>
      </c>
      <c r="I369" s="187">
        <f t="shared" si="391"/>
        <v>8000</v>
      </c>
      <c r="J369" s="187">
        <v>40000</v>
      </c>
      <c r="K369" s="187">
        <f t="shared" si="391"/>
        <v>8000</v>
      </c>
      <c r="L369" s="187">
        <v>40000</v>
      </c>
      <c r="M369" s="110">
        <v>9.5</v>
      </c>
      <c r="N369" s="110">
        <f>VLOOKUP(DATE(YEAR(A369),MONTH(A369),DAY(A369)),FY24_Temp[],3,FALSE)</f>
        <v>12.8</v>
      </c>
      <c r="O369" s="110">
        <f t="shared" si="343"/>
        <v>11.5</v>
      </c>
      <c r="P369" s="110">
        <f t="shared" si="344"/>
        <v>19.5</v>
      </c>
      <c r="Q369" s="111">
        <f>VLOOKUP(VLOOKUP(DATEVALUE(TEXT(A369,"m/d/yyyy")),FY24_Temp[],5,FALSE)&amp;TEXT(A369,"-h"),TempDelta[],4,FALSE)</f>
        <v>2.7405714307512556</v>
      </c>
      <c r="R369" s="112">
        <v>10</v>
      </c>
      <c r="S369" s="112">
        <v>1500</v>
      </c>
      <c r="T369" s="99">
        <f>VLOOKUP(TEXT(A369,"yy-mm")&amp;"-"&amp;IF(AND(WEEKDAY(A369)&gt;1,WEEKDAY(A369)&lt;7),"Wkd",TEXT(A369,"Ddd"))&amp;"-"&amp;TEXT(A369,"hh"),LoadTable[],3,FALSE)*0.92</f>
        <v>279.25312000000002</v>
      </c>
      <c r="U369" s="113">
        <f t="shared" si="345"/>
        <v>27.925312000000002</v>
      </c>
    </row>
    <row r="370" spans="1:21" ht="15" thickBot="1">
      <c r="A370" s="29">
        <f t="shared" si="383"/>
        <v>45851.291666667756</v>
      </c>
      <c r="B370" s="187">
        <f t="shared" ref="B370:L370" si="392">B394</f>
        <v>8000</v>
      </c>
      <c r="C370" s="187">
        <f t="shared" si="392"/>
        <v>25000</v>
      </c>
      <c r="D370" s="187">
        <v>0</v>
      </c>
      <c r="E370" s="187">
        <v>700</v>
      </c>
      <c r="F370" s="187">
        <v>15000</v>
      </c>
      <c r="G370" s="187">
        <f t="shared" si="392"/>
        <v>2400</v>
      </c>
      <c r="H370" s="187">
        <f t="shared" si="392"/>
        <v>25000</v>
      </c>
      <c r="I370" s="187">
        <f t="shared" si="392"/>
        <v>8000</v>
      </c>
      <c r="J370" s="187">
        <v>40000</v>
      </c>
      <c r="K370" s="187">
        <f t="shared" si="392"/>
        <v>8000</v>
      </c>
      <c r="L370" s="187">
        <v>40000</v>
      </c>
      <c r="M370" s="110">
        <v>9.5</v>
      </c>
      <c r="N370" s="110">
        <f>VLOOKUP(DATE(YEAR(A370),MONTH(A370),DAY(A370)),FY24_Temp[],3,FALSE)</f>
        <v>12.8</v>
      </c>
      <c r="O370" s="110">
        <f t="shared" si="343"/>
        <v>11.5</v>
      </c>
      <c r="P370" s="110">
        <f t="shared" si="344"/>
        <v>19.5</v>
      </c>
      <c r="Q370" s="111">
        <f>VLOOKUP(VLOOKUP(DATEVALUE(TEXT(A370,"m/d/yyyy")),FY24_Temp[],5,FALSE)&amp;TEXT(A370,"-h"),TempDelta[],4,FALSE)</f>
        <v>2.6134285245622908</v>
      </c>
      <c r="R370" s="112">
        <v>10</v>
      </c>
      <c r="S370" s="112">
        <v>1500</v>
      </c>
      <c r="T370" s="99">
        <f>VLOOKUP(TEXT(A370,"yy-mm")&amp;"-"&amp;IF(AND(WEEKDAY(A370)&gt;1,WEEKDAY(A370)&lt;7),"Wkd",TEXT(A370,"Ddd"))&amp;"-"&amp;TEXT(A370,"hh"),LoadTable[],3,FALSE)*0.92</f>
        <v>279.25312000000002</v>
      </c>
      <c r="U370" s="113">
        <f t="shared" si="345"/>
        <v>27.925312000000002</v>
      </c>
    </row>
    <row r="371" spans="1:21" ht="15" thickBot="1">
      <c r="A371" s="29">
        <f t="shared" si="383"/>
        <v>45851.33333333442</v>
      </c>
      <c r="B371" s="187">
        <f t="shared" ref="B371:L371" si="393">B395</f>
        <v>8000</v>
      </c>
      <c r="C371" s="187">
        <f t="shared" si="393"/>
        <v>25000</v>
      </c>
      <c r="D371" s="187">
        <v>0</v>
      </c>
      <c r="E371" s="187">
        <v>700</v>
      </c>
      <c r="F371" s="187">
        <v>15000</v>
      </c>
      <c r="G371" s="187">
        <f t="shared" si="393"/>
        <v>2400</v>
      </c>
      <c r="H371" s="187">
        <f t="shared" si="393"/>
        <v>25000</v>
      </c>
      <c r="I371" s="187">
        <f t="shared" si="393"/>
        <v>8000</v>
      </c>
      <c r="J371" s="187">
        <v>40000</v>
      </c>
      <c r="K371" s="187">
        <f t="shared" si="393"/>
        <v>8000</v>
      </c>
      <c r="L371" s="187">
        <v>40000</v>
      </c>
      <c r="M371" s="110">
        <v>9.5</v>
      </c>
      <c r="N371" s="110">
        <f>VLOOKUP(DATE(YEAR(A371),MONTH(A371),DAY(A371)),FY24_Temp[],3,FALSE)</f>
        <v>12.8</v>
      </c>
      <c r="O371" s="110">
        <f t="shared" si="343"/>
        <v>11.5</v>
      </c>
      <c r="P371" s="110">
        <f t="shared" si="344"/>
        <v>19.5</v>
      </c>
      <c r="Q371" s="111">
        <f>VLOOKUP(VLOOKUP(DATEVALUE(TEXT(A371,"m/d/yyyy")),FY24_Temp[],5,FALSE)&amp;TEXT(A371,"-h"),TempDelta[],4,FALSE)</f>
        <v>2.44985716683524</v>
      </c>
      <c r="R371" s="112">
        <v>10</v>
      </c>
      <c r="S371" s="112">
        <v>1500</v>
      </c>
      <c r="T371" s="99">
        <f>VLOOKUP(TEXT(A371,"yy-mm")&amp;"-"&amp;IF(AND(WEEKDAY(A371)&gt;1,WEEKDAY(A371)&lt;7),"Wkd",TEXT(A371,"Ddd"))&amp;"-"&amp;TEXT(A371,"hh"),LoadTable[],3,FALSE)*0.92</f>
        <v>279.25312000000002</v>
      </c>
      <c r="U371" s="113">
        <f t="shared" si="345"/>
        <v>27.925312000000002</v>
      </c>
    </row>
    <row r="372" spans="1:21" ht="15" thickBot="1">
      <c r="A372" s="29">
        <f t="shared" si="383"/>
        <v>45851.375000001084</v>
      </c>
      <c r="B372" s="187">
        <f t="shared" ref="B372:L372" si="394">B396</f>
        <v>8000</v>
      </c>
      <c r="C372" s="187">
        <f t="shared" si="394"/>
        <v>25000</v>
      </c>
      <c r="D372" s="187">
        <v>0</v>
      </c>
      <c r="E372" s="187">
        <v>700</v>
      </c>
      <c r="F372" s="187">
        <v>15000</v>
      </c>
      <c r="G372" s="187">
        <f t="shared" si="394"/>
        <v>2400</v>
      </c>
      <c r="H372" s="187">
        <f t="shared" si="394"/>
        <v>25000</v>
      </c>
      <c r="I372" s="187">
        <f t="shared" si="394"/>
        <v>8000</v>
      </c>
      <c r="J372" s="187">
        <v>40000</v>
      </c>
      <c r="K372" s="187">
        <f t="shared" si="394"/>
        <v>8000</v>
      </c>
      <c r="L372" s="187">
        <v>40000</v>
      </c>
      <c r="M372" s="110">
        <v>9.5</v>
      </c>
      <c r="N372" s="110">
        <f>VLOOKUP(DATE(YEAR(A372),MONTH(A372),DAY(A372)),FY24_Temp[],3,FALSE)</f>
        <v>12.8</v>
      </c>
      <c r="O372" s="110">
        <f t="shared" si="343"/>
        <v>11.5</v>
      </c>
      <c r="P372" s="110">
        <f t="shared" si="344"/>
        <v>19.5</v>
      </c>
      <c r="Q372" s="111">
        <f>VLOOKUP(VLOOKUP(DATEVALUE(TEXT(A372,"m/d/yyyy")),FY24_Temp[],5,FALSE)&amp;TEXT(A372,"-h"),TempDelta[],4,FALSE)</f>
        <v>2.2458571025303433</v>
      </c>
      <c r="R372" s="112">
        <v>10</v>
      </c>
      <c r="S372" s="112">
        <v>1500</v>
      </c>
      <c r="T372" s="99">
        <f>VLOOKUP(TEXT(A372,"yy-mm")&amp;"-"&amp;IF(AND(WEEKDAY(A372)&gt;1,WEEKDAY(A372)&lt;7),"Wkd",TEXT(A372,"Ddd"))&amp;"-"&amp;TEXT(A372,"hh"),LoadTable[],3,FALSE)*0.92</f>
        <v>279.25312000000002</v>
      </c>
      <c r="U372" s="113">
        <f t="shared" si="345"/>
        <v>27.925312000000002</v>
      </c>
    </row>
    <row r="373" spans="1:21" ht="15" thickBot="1">
      <c r="A373" s="29">
        <f t="shared" si="383"/>
        <v>45851.416666667748</v>
      </c>
      <c r="B373" s="187">
        <f t="shared" ref="B373:L373" si="395">B397</f>
        <v>8000</v>
      </c>
      <c r="C373" s="187">
        <f t="shared" si="395"/>
        <v>25000</v>
      </c>
      <c r="D373" s="187">
        <v>0</v>
      </c>
      <c r="E373" s="187">
        <v>700</v>
      </c>
      <c r="F373" s="187">
        <v>15000</v>
      </c>
      <c r="G373" s="187">
        <f t="shared" si="395"/>
        <v>2400</v>
      </c>
      <c r="H373" s="187">
        <f t="shared" si="395"/>
        <v>25000</v>
      </c>
      <c r="I373" s="187">
        <f t="shared" si="395"/>
        <v>8000</v>
      </c>
      <c r="J373" s="187">
        <v>40000</v>
      </c>
      <c r="K373" s="187">
        <f t="shared" si="395"/>
        <v>8000</v>
      </c>
      <c r="L373" s="187">
        <v>40000</v>
      </c>
      <c r="M373" s="110">
        <v>9.5</v>
      </c>
      <c r="N373" s="110">
        <f>VLOOKUP(DATE(YEAR(A373),MONTH(A373),DAY(A373)),FY24_Temp[],3,FALSE)</f>
        <v>12.8</v>
      </c>
      <c r="O373" s="110">
        <f t="shared" si="343"/>
        <v>11.5</v>
      </c>
      <c r="P373" s="110">
        <f t="shared" si="344"/>
        <v>19.5</v>
      </c>
      <c r="Q373" s="111">
        <f>VLOOKUP(VLOOKUP(DATEVALUE(TEXT(A373,"m/d/yyyy")),FY24_Temp[],5,FALSE)&amp;TEXT(A373,"-h"),TempDelta[],4,FALSE)</f>
        <v>2.0832857234137401</v>
      </c>
      <c r="R373" s="112">
        <v>10</v>
      </c>
      <c r="S373" s="112">
        <v>1500</v>
      </c>
      <c r="T373" s="99">
        <f>VLOOKUP(TEXT(A373,"yy-mm")&amp;"-"&amp;IF(AND(WEEKDAY(A373)&gt;1,WEEKDAY(A373)&lt;7),"Wkd",TEXT(A373,"Ddd"))&amp;"-"&amp;TEXT(A373,"hh"),LoadTable[],3,FALSE)*0.92</f>
        <v>279.25312000000002</v>
      </c>
      <c r="U373" s="113">
        <f t="shared" si="345"/>
        <v>27.925312000000002</v>
      </c>
    </row>
    <row r="374" spans="1:21" ht="15" thickBot="1">
      <c r="A374" s="29">
        <f t="shared" si="383"/>
        <v>45851.458333334413</v>
      </c>
      <c r="B374" s="187">
        <f t="shared" ref="B374:L374" si="396">B398</f>
        <v>8000</v>
      </c>
      <c r="C374" s="187">
        <f t="shared" si="396"/>
        <v>25000</v>
      </c>
      <c r="D374" s="187">
        <v>0</v>
      </c>
      <c r="E374" s="187">
        <v>700</v>
      </c>
      <c r="F374" s="187">
        <v>15000</v>
      </c>
      <c r="G374" s="187">
        <f t="shared" si="396"/>
        <v>2400</v>
      </c>
      <c r="H374" s="187">
        <f t="shared" si="396"/>
        <v>25000</v>
      </c>
      <c r="I374" s="187">
        <f t="shared" si="396"/>
        <v>8000</v>
      </c>
      <c r="J374" s="187">
        <v>40000</v>
      </c>
      <c r="K374" s="187">
        <f t="shared" si="396"/>
        <v>8000</v>
      </c>
      <c r="L374" s="187">
        <v>40000</v>
      </c>
      <c r="M374" s="110">
        <v>9.5</v>
      </c>
      <c r="N374" s="110">
        <f>VLOOKUP(DATE(YEAR(A374),MONTH(A374),DAY(A374)),FY24_Temp[],3,FALSE)</f>
        <v>12.8</v>
      </c>
      <c r="O374" s="110">
        <f t="shared" si="343"/>
        <v>11.5</v>
      </c>
      <c r="P374" s="110">
        <f t="shared" si="344"/>
        <v>19.5</v>
      </c>
      <c r="Q374" s="111">
        <f>VLOOKUP(VLOOKUP(DATEVALUE(TEXT(A374,"m/d/yyyy")),FY24_Temp[],5,FALSE)&amp;TEXT(A374,"-h"),TempDelta[],4,FALSE)</f>
        <v>1.8928571258272444</v>
      </c>
      <c r="R374" s="112">
        <v>10</v>
      </c>
      <c r="S374" s="112">
        <v>1500</v>
      </c>
      <c r="T374" s="99">
        <f>VLOOKUP(TEXT(A374,"yy-mm")&amp;"-"&amp;IF(AND(WEEKDAY(A374)&gt;1,WEEKDAY(A374)&lt;7),"Wkd",TEXT(A374,"Ddd"))&amp;"-"&amp;TEXT(A374,"hh"),LoadTable[],3,FALSE)*0.92</f>
        <v>279.25312000000002</v>
      </c>
      <c r="U374" s="113">
        <f t="shared" si="345"/>
        <v>27.925312000000002</v>
      </c>
    </row>
    <row r="375" spans="1:21" ht="15" thickBot="1">
      <c r="A375" s="29">
        <f t="shared" si="383"/>
        <v>45851.500000001077</v>
      </c>
      <c r="B375" s="187">
        <f t="shared" ref="B375:L375" si="397">B399</f>
        <v>8000</v>
      </c>
      <c r="C375" s="187">
        <f t="shared" si="397"/>
        <v>25000</v>
      </c>
      <c r="D375" s="187">
        <v>0</v>
      </c>
      <c r="E375" s="187">
        <v>700</v>
      </c>
      <c r="F375" s="187">
        <v>15000</v>
      </c>
      <c r="G375" s="187">
        <f t="shared" si="397"/>
        <v>2400</v>
      </c>
      <c r="H375" s="187">
        <f t="shared" si="397"/>
        <v>25000</v>
      </c>
      <c r="I375" s="187">
        <f t="shared" si="397"/>
        <v>8000</v>
      </c>
      <c r="J375" s="187">
        <v>40000</v>
      </c>
      <c r="K375" s="187">
        <f t="shared" si="397"/>
        <v>8000</v>
      </c>
      <c r="L375" s="187">
        <v>40000</v>
      </c>
      <c r="M375" s="110">
        <v>9.5</v>
      </c>
      <c r="N375" s="110">
        <f>VLOOKUP(DATE(YEAR(A375),MONTH(A375),DAY(A375)),FY24_Temp[],3,FALSE)</f>
        <v>12.8</v>
      </c>
      <c r="O375" s="110">
        <f t="shared" si="343"/>
        <v>11.5</v>
      </c>
      <c r="P375" s="110">
        <f t="shared" si="344"/>
        <v>19.5</v>
      </c>
      <c r="Q375" s="111">
        <f>VLOOKUP(VLOOKUP(DATEVALUE(TEXT(A375,"m/d/yyyy")),FY24_Temp[],5,FALSE)&amp;TEXT(A375,"-h"),TempDelta[],4,FALSE)</f>
        <v>1.665857127734593</v>
      </c>
      <c r="R375" s="112">
        <v>10</v>
      </c>
      <c r="S375" s="112">
        <v>1500</v>
      </c>
      <c r="T375" s="99">
        <f>VLOOKUP(TEXT(A375,"yy-mm")&amp;"-"&amp;IF(AND(WEEKDAY(A375)&gt;1,WEEKDAY(A375)&lt;7),"Wkd",TEXT(A375,"Ddd"))&amp;"-"&amp;TEXT(A375,"hh"),LoadTable[],3,FALSE)*0.92</f>
        <v>279.25312000000002</v>
      </c>
      <c r="U375" s="113">
        <f t="shared" si="345"/>
        <v>27.925312000000002</v>
      </c>
    </row>
    <row r="376" spans="1:21" ht="15" thickBot="1">
      <c r="A376" s="29">
        <f t="shared" si="383"/>
        <v>45851.541666667741</v>
      </c>
      <c r="B376" s="187">
        <f t="shared" ref="B376:L376" si="398">B400</f>
        <v>8000</v>
      </c>
      <c r="C376" s="187">
        <f t="shared" si="398"/>
        <v>25000</v>
      </c>
      <c r="D376" s="187">
        <v>0</v>
      </c>
      <c r="E376" s="187">
        <v>700</v>
      </c>
      <c r="F376" s="187">
        <v>15000</v>
      </c>
      <c r="G376" s="187">
        <f t="shared" si="398"/>
        <v>2400</v>
      </c>
      <c r="H376" s="187">
        <f t="shared" si="398"/>
        <v>25000</v>
      </c>
      <c r="I376" s="187">
        <f t="shared" si="398"/>
        <v>8000</v>
      </c>
      <c r="J376" s="187">
        <v>40000</v>
      </c>
      <c r="K376" s="187">
        <f t="shared" si="398"/>
        <v>8000</v>
      </c>
      <c r="L376" s="187">
        <v>40000</v>
      </c>
      <c r="M376" s="110">
        <v>9.5</v>
      </c>
      <c r="N376" s="110">
        <f>VLOOKUP(DATE(YEAR(A376),MONTH(A376),DAY(A376)),FY24_Temp[],3,FALSE)</f>
        <v>12.8</v>
      </c>
      <c r="O376" s="110">
        <f t="shared" si="343"/>
        <v>11.5</v>
      </c>
      <c r="P376" s="110">
        <f t="shared" si="344"/>
        <v>19.5</v>
      </c>
      <c r="Q376" s="111">
        <f>VLOOKUP(VLOOKUP(DATEVALUE(TEXT(A376,"m/d/yyyy")),FY24_Temp[],5,FALSE)&amp;TEXT(A376,"-h"),TempDelta[],4,FALSE)</f>
        <v>1.4252856969833374</v>
      </c>
      <c r="R376" s="112">
        <v>10</v>
      </c>
      <c r="S376" s="112">
        <v>1500</v>
      </c>
      <c r="T376" s="99">
        <f>VLOOKUP(TEXT(A376,"yy-mm")&amp;"-"&amp;IF(AND(WEEKDAY(A376)&gt;1,WEEKDAY(A376)&lt;7),"Wkd",TEXT(A376,"Ddd"))&amp;"-"&amp;TEXT(A376,"hh"),LoadTable[],3,FALSE)*0.92</f>
        <v>279.25312000000002</v>
      </c>
      <c r="U376" s="113">
        <f t="shared" si="345"/>
        <v>27.925312000000002</v>
      </c>
    </row>
    <row r="377" spans="1:21" ht="15" thickBot="1">
      <c r="A377" s="29">
        <f t="shared" si="383"/>
        <v>45851.583333334405</v>
      </c>
      <c r="B377" s="187">
        <f t="shared" ref="B377:L377" si="399">B401</f>
        <v>8000</v>
      </c>
      <c r="C377" s="187">
        <f t="shared" si="399"/>
        <v>25000</v>
      </c>
      <c r="D377" s="187">
        <v>0</v>
      </c>
      <c r="E377" s="187">
        <v>700</v>
      </c>
      <c r="F377" s="187">
        <v>15000</v>
      </c>
      <c r="G377" s="187">
        <f t="shared" si="399"/>
        <v>2400</v>
      </c>
      <c r="H377" s="187">
        <f t="shared" si="399"/>
        <v>25000</v>
      </c>
      <c r="I377" s="187">
        <f t="shared" si="399"/>
        <v>8000</v>
      </c>
      <c r="J377" s="187">
        <v>40000</v>
      </c>
      <c r="K377" s="187">
        <f t="shared" si="399"/>
        <v>8000</v>
      </c>
      <c r="L377" s="187">
        <v>40000</v>
      </c>
      <c r="M377" s="110">
        <v>9.5</v>
      </c>
      <c r="N377" s="110">
        <f>VLOOKUP(DATE(YEAR(A377),MONTH(A377),DAY(A377)),FY24_Temp[],3,FALSE)</f>
        <v>12.8</v>
      </c>
      <c r="O377" s="110">
        <f t="shared" si="343"/>
        <v>11.5</v>
      </c>
      <c r="P377" s="110">
        <f t="shared" si="344"/>
        <v>19.5</v>
      </c>
      <c r="Q377" s="111">
        <f>VLOOKUP(VLOOKUP(DATEVALUE(TEXT(A377,"m/d/yyyy")),FY24_Temp[],5,FALSE)&amp;TEXT(A377,"-h"),TempDelta[],4,FALSE)</f>
        <v>1.2351428781236922</v>
      </c>
      <c r="R377" s="112">
        <v>10</v>
      </c>
      <c r="S377" s="112">
        <v>1500</v>
      </c>
      <c r="T377" s="99">
        <f>VLOOKUP(TEXT(A377,"yy-mm")&amp;"-"&amp;IF(AND(WEEKDAY(A377)&gt;1,WEEKDAY(A377)&lt;7),"Wkd",TEXT(A377,"Ddd"))&amp;"-"&amp;TEXT(A377,"hh"),LoadTable[],3,FALSE)*0.92</f>
        <v>279.25312000000002</v>
      </c>
      <c r="U377" s="113">
        <f t="shared" si="345"/>
        <v>27.925312000000002</v>
      </c>
    </row>
    <row r="378" spans="1:21" ht="15" thickBot="1">
      <c r="A378" s="29">
        <f t="shared" si="383"/>
        <v>45851.62500000107</v>
      </c>
      <c r="B378" s="187">
        <f t="shared" ref="B378:L378" si="400">B402</f>
        <v>8000</v>
      </c>
      <c r="C378" s="187">
        <f t="shared" si="400"/>
        <v>25000</v>
      </c>
      <c r="D378" s="187">
        <v>0</v>
      </c>
      <c r="E378" s="187">
        <v>700</v>
      </c>
      <c r="F378" s="187">
        <v>15000</v>
      </c>
      <c r="G378" s="187">
        <f t="shared" si="400"/>
        <v>2400</v>
      </c>
      <c r="H378" s="187">
        <f t="shared" si="400"/>
        <v>25000</v>
      </c>
      <c r="I378" s="187">
        <f t="shared" si="400"/>
        <v>8000</v>
      </c>
      <c r="J378" s="187">
        <v>40000</v>
      </c>
      <c r="K378" s="187">
        <f t="shared" si="400"/>
        <v>8000</v>
      </c>
      <c r="L378" s="187">
        <v>40000</v>
      </c>
      <c r="M378" s="110">
        <v>9.5</v>
      </c>
      <c r="N378" s="110">
        <f>VLOOKUP(DATE(YEAR(A378),MONTH(A378),DAY(A378)),FY24_Temp[],3,FALSE)</f>
        <v>12.8</v>
      </c>
      <c r="O378" s="110">
        <f t="shared" si="343"/>
        <v>11.5</v>
      </c>
      <c r="P378" s="110">
        <f t="shared" si="344"/>
        <v>19.5</v>
      </c>
      <c r="Q378" s="111">
        <f>VLOOKUP(VLOOKUP(DATEVALUE(TEXT(A378,"m/d/yyyy")),FY24_Temp[],5,FALSE)&amp;TEXT(A378,"-h"),TempDelta[],4,FALSE)</f>
        <v>0.97514284508568905</v>
      </c>
      <c r="R378" s="112">
        <v>10</v>
      </c>
      <c r="S378" s="112">
        <v>1500</v>
      </c>
      <c r="T378" s="99">
        <f>VLOOKUP(TEXT(A378,"yy-mm")&amp;"-"&amp;IF(AND(WEEKDAY(A378)&gt;1,WEEKDAY(A378)&lt;7),"Wkd",TEXT(A378,"Ddd"))&amp;"-"&amp;TEXT(A378,"hh"),LoadTable[],3,FALSE)*0.92</f>
        <v>400.56064000000003</v>
      </c>
      <c r="U378" s="113">
        <f t="shared" si="345"/>
        <v>40.056064000000006</v>
      </c>
    </row>
    <row r="379" spans="1:21" ht="15" thickBot="1">
      <c r="A379" s="29">
        <f t="shared" si="383"/>
        <v>45851.666666667734</v>
      </c>
      <c r="B379" s="187">
        <f t="shared" ref="B379:L379" si="401">B403</f>
        <v>8000</v>
      </c>
      <c r="C379" s="187">
        <f t="shared" si="401"/>
        <v>25000</v>
      </c>
      <c r="D379" s="187">
        <v>0</v>
      </c>
      <c r="E379" s="187">
        <v>700</v>
      </c>
      <c r="F379" s="187">
        <v>15000</v>
      </c>
      <c r="G379" s="187">
        <f t="shared" si="401"/>
        <v>2400</v>
      </c>
      <c r="H379" s="187">
        <f t="shared" si="401"/>
        <v>25000</v>
      </c>
      <c r="I379" s="187">
        <f t="shared" si="401"/>
        <v>8000</v>
      </c>
      <c r="J379" s="187">
        <v>40000</v>
      </c>
      <c r="K379" s="187">
        <f t="shared" si="401"/>
        <v>8000</v>
      </c>
      <c r="L379" s="187">
        <v>40000</v>
      </c>
      <c r="M379" s="110">
        <v>9.5</v>
      </c>
      <c r="N379" s="110">
        <f>VLOOKUP(DATE(YEAR(A379),MONTH(A379),DAY(A379)),FY24_Temp[],3,FALSE)</f>
        <v>12.8</v>
      </c>
      <c r="O379" s="110">
        <f t="shared" si="343"/>
        <v>11.5</v>
      </c>
      <c r="P379" s="110">
        <f t="shared" si="344"/>
        <v>19.5</v>
      </c>
      <c r="Q379" s="111">
        <f>VLOOKUP(VLOOKUP(DATEVALUE(TEXT(A379,"m/d/yyyy")),FY24_Temp[],5,FALSE)&amp;TEXT(A379,"-h"),TempDelta[],4,FALSE)</f>
        <v>0.88578571166310993</v>
      </c>
      <c r="R379" s="112">
        <v>10</v>
      </c>
      <c r="S379" s="112">
        <v>1500</v>
      </c>
      <c r="T379" s="99">
        <f>VLOOKUP(TEXT(A379,"yy-mm")&amp;"-"&amp;IF(AND(WEEKDAY(A379)&gt;1,WEEKDAY(A379)&lt;7),"Wkd",TEXT(A379,"Ddd"))&amp;"-"&amp;TEXT(A379,"hh"),LoadTable[],3,FALSE)*0.92</f>
        <v>473.62059999999997</v>
      </c>
      <c r="U379" s="113">
        <f t="shared" si="345"/>
        <v>47.36206</v>
      </c>
    </row>
    <row r="380" spans="1:21" ht="15" thickBot="1">
      <c r="A380" s="29">
        <f t="shared" si="383"/>
        <v>45851.708333334398</v>
      </c>
      <c r="B380" s="187">
        <f t="shared" ref="B380:L380" si="402">B404</f>
        <v>8000</v>
      </c>
      <c r="C380" s="187">
        <f t="shared" si="402"/>
        <v>25000</v>
      </c>
      <c r="D380" s="187">
        <v>0</v>
      </c>
      <c r="E380" s="187">
        <v>700</v>
      </c>
      <c r="F380" s="187">
        <v>15000</v>
      </c>
      <c r="G380" s="187">
        <f t="shared" si="402"/>
        <v>2400</v>
      </c>
      <c r="H380" s="187">
        <f t="shared" si="402"/>
        <v>25000</v>
      </c>
      <c r="I380" s="187">
        <f t="shared" si="402"/>
        <v>8000</v>
      </c>
      <c r="J380" s="187">
        <v>40000</v>
      </c>
      <c r="K380" s="187">
        <f t="shared" si="402"/>
        <v>8000</v>
      </c>
      <c r="L380" s="187">
        <v>40000</v>
      </c>
      <c r="M380" s="110">
        <v>9.5</v>
      </c>
      <c r="N380" s="110">
        <f>VLOOKUP(DATE(YEAR(A380),MONTH(A380),DAY(A380)),FY24_Temp[],3,FALSE)</f>
        <v>12.8</v>
      </c>
      <c r="O380" s="110">
        <f t="shared" si="343"/>
        <v>11.5</v>
      </c>
      <c r="P380" s="110">
        <f t="shared" si="344"/>
        <v>19.5</v>
      </c>
      <c r="Q380" s="111">
        <f>VLOOKUP(VLOOKUP(DATEVALUE(TEXT(A380,"m/d/yyyy")),FY24_Temp[],5,FALSE)&amp;TEXT(A380,"-h"),TempDelta[],4,FALSE)</f>
        <v>1.0356428495475225</v>
      </c>
      <c r="R380" s="112">
        <v>10</v>
      </c>
      <c r="S380" s="112">
        <v>1500</v>
      </c>
      <c r="T380" s="99">
        <f>VLOOKUP(TEXT(A380,"yy-mm")&amp;"-"&amp;IF(AND(WEEKDAY(A380)&gt;1,WEEKDAY(A380)&lt;7),"Wkd",TEXT(A380,"Ddd"))&amp;"-"&amp;TEXT(A380,"hh"),LoadTable[],3,FALSE)*0.92</f>
        <v>473.62059999999997</v>
      </c>
      <c r="U380" s="113">
        <f t="shared" si="345"/>
        <v>47.36206</v>
      </c>
    </row>
    <row r="381" spans="1:21" ht="15" thickBot="1">
      <c r="A381" s="29">
        <f t="shared" si="383"/>
        <v>45851.750000001062</v>
      </c>
      <c r="B381" s="187">
        <f t="shared" ref="B381:L381" si="403">B405</f>
        <v>5000</v>
      </c>
      <c r="C381" s="187">
        <f t="shared" si="403"/>
        <v>25000</v>
      </c>
      <c r="D381" s="187">
        <v>0</v>
      </c>
      <c r="E381" s="187">
        <v>700</v>
      </c>
      <c r="F381" s="187">
        <v>15000</v>
      </c>
      <c r="G381" s="187">
        <f t="shared" si="403"/>
        <v>2400</v>
      </c>
      <c r="H381" s="187">
        <f t="shared" si="403"/>
        <v>25000</v>
      </c>
      <c r="I381" s="187">
        <f t="shared" si="403"/>
        <v>5000</v>
      </c>
      <c r="J381" s="187">
        <v>40000</v>
      </c>
      <c r="K381" s="187">
        <f t="shared" si="403"/>
        <v>5000</v>
      </c>
      <c r="L381" s="187">
        <v>40000</v>
      </c>
      <c r="M381" s="110">
        <v>9.5</v>
      </c>
      <c r="N381" s="110">
        <f>VLOOKUP(DATE(YEAR(A381),MONTH(A381),DAY(A381)),FY24_Temp[],3,FALSE)</f>
        <v>12.8</v>
      </c>
      <c r="O381" s="110">
        <f t="shared" si="343"/>
        <v>11.5</v>
      </c>
      <c r="P381" s="110">
        <f t="shared" si="344"/>
        <v>19.5</v>
      </c>
      <c r="Q381" s="111">
        <f>VLOOKUP(VLOOKUP(DATEVALUE(TEXT(A381,"m/d/yyyy")),FY24_Temp[],5,FALSE)&amp;TEXT(A381,"-h"),TempDelta[],4,FALSE)</f>
        <v>1.3991428358214242</v>
      </c>
      <c r="R381" s="112">
        <v>10</v>
      </c>
      <c r="S381" s="112">
        <v>1500</v>
      </c>
      <c r="T381" s="99">
        <f>VLOOKUP(TEXT(A381,"yy-mm")&amp;"-"&amp;IF(AND(WEEKDAY(A381)&gt;1,WEEKDAY(A381)&lt;7),"Wkd",TEXT(A381,"Ddd"))&amp;"-"&amp;TEXT(A381,"hh"),LoadTable[],3,FALSE)*0.92</f>
        <v>494.57360000000006</v>
      </c>
      <c r="U381" s="113">
        <f t="shared" si="345"/>
        <v>49.457360000000008</v>
      </c>
    </row>
    <row r="382" spans="1:21" ht="15" thickBot="1">
      <c r="A382" s="29">
        <f t="shared" si="383"/>
        <v>45851.791666667727</v>
      </c>
      <c r="B382" s="187">
        <f t="shared" ref="B382:L382" si="404">B406</f>
        <v>5000</v>
      </c>
      <c r="C382" s="187">
        <f t="shared" si="404"/>
        <v>25000</v>
      </c>
      <c r="D382" s="187">
        <v>0</v>
      </c>
      <c r="E382" s="187">
        <v>700</v>
      </c>
      <c r="F382" s="187">
        <v>15000</v>
      </c>
      <c r="G382" s="187">
        <f t="shared" si="404"/>
        <v>2400</v>
      </c>
      <c r="H382" s="187">
        <f t="shared" si="404"/>
        <v>25000</v>
      </c>
      <c r="I382" s="187">
        <f t="shared" si="404"/>
        <v>5000</v>
      </c>
      <c r="J382" s="187">
        <v>40000</v>
      </c>
      <c r="K382" s="187">
        <f t="shared" si="404"/>
        <v>5000</v>
      </c>
      <c r="L382" s="187">
        <v>40000</v>
      </c>
      <c r="M382" s="110">
        <v>9.5</v>
      </c>
      <c r="N382" s="110">
        <f>VLOOKUP(DATE(YEAR(A382),MONTH(A382),DAY(A382)),FY24_Temp[],3,FALSE)</f>
        <v>12.8</v>
      </c>
      <c r="O382" s="110">
        <f t="shared" si="343"/>
        <v>11.5</v>
      </c>
      <c r="P382" s="110">
        <f t="shared" si="344"/>
        <v>19.5</v>
      </c>
      <c r="Q382" s="111">
        <f>VLOOKUP(VLOOKUP(DATEVALUE(TEXT(A382,"m/d/yyyy")),FY24_Temp[],5,FALSE)&amp;TEXT(A382,"-h"),TempDelta[],4,FALSE)</f>
        <v>1.8638571415628706</v>
      </c>
      <c r="R382" s="112">
        <v>10</v>
      </c>
      <c r="S382" s="112">
        <v>1500</v>
      </c>
      <c r="T382" s="99">
        <f>VLOOKUP(TEXT(A382,"yy-mm")&amp;"-"&amp;IF(AND(WEEKDAY(A382)&gt;1,WEEKDAY(A382)&lt;7),"Wkd",TEXT(A382,"Ddd"))&amp;"-"&amp;TEXT(A382,"hh"),LoadTable[],3,FALSE)*0.92</f>
        <v>494.57360000000006</v>
      </c>
      <c r="U382" s="113">
        <f t="shared" si="345"/>
        <v>49.457360000000008</v>
      </c>
    </row>
    <row r="383" spans="1:21" ht="15" thickBot="1">
      <c r="A383" s="29">
        <f t="shared" si="383"/>
        <v>45851.833333334391</v>
      </c>
      <c r="B383" s="187">
        <f t="shared" ref="B383:L383" si="405">B407</f>
        <v>5000</v>
      </c>
      <c r="C383" s="187">
        <f t="shared" si="405"/>
        <v>25000</v>
      </c>
      <c r="D383" s="187">
        <v>0</v>
      </c>
      <c r="E383" s="187">
        <v>700</v>
      </c>
      <c r="F383" s="187">
        <v>15000</v>
      </c>
      <c r="G383" s="187">
        <f t="shared" si="405"/>
        <v>2400</v>
      </c>
      <c r="H383" s="187">
        <f t="shared" si="405"/>
        <v>25000</v>
      </c>
      <c r="I383" s="187">
        <f t="shared" si="405"/>
        <v>5000</v>
      </c>
      <c r="J383" s="187">
        <v>40000</v>
      </c>
      <c r="K383" s="187">
        <f t="shared" si="405"/>
        <v>5000</v>
      </c>
      <c r="L383" s="187">
        <v>40000</v>
      </c>
      <c r="M383" s="110">
        <v>9.5</v>
      </c>
      <c r="N383" s="110">
        <f>VLOOKUP(DATE(YEAR(A383),MONTH(A383),DAY(A383)),FY24_Temp[],3,FALSE)</f>
        <v>12.8</v>
      </c>
      <c r="O383" s="110">
        <f t="shared" si="343"/>
        <v>11.5</v>
      </c>
      <c r="P383" s="110">
        <f t="shared" si="344"/>
        <v>19.5</v>
      </c>
      <c r="Q383" s="111">
        <f>VLOOKUP(VLOOKUP(DATEVALUE(TEXT(A383,"m/d/yyyy")),FY24_Temp[],5,FALSE)&amp;TEXT(A383,"-h"),TempDelta[],4,FALSE)</f>
        <v>2.300714305468968</v>
      </c>
      <c r="R383" s="112">
        <v>10</v>
      </c>
      <c r="S383" s="112">
        <v>1500</v>
      </c>
      <c r="T383" s="99">
        <f>VLOOKUP(TEXT(A383,"yy-mm")&amp;"-"&amp;IF(AND(WEEKDAY(A383)&gt;1,WEEKDAY(A383)&lt;7),"Wkd",TEXT(A383,"Ddd"))&amp;"-"&amp;TEXT(A383,"hh"),LoadTable[],3,FALSE)*0.92</f>
        <v>494.57360000000006</v>
      </c>
      <c r="U383" s="113">
        <f t="shared" si="345"/>
        <v>49.457360000000008</v>
      </c>
    </row>
    <row r="384" spans="1:21" ht="15" thickBot="1">
      <c r="A384" s="29">
        <f t="shared" si="383"/>
        <v>45851.875000001055</v>
      </c>
      <c r="B384" s="187">
        <f t="shared" ref="B384:L384" si="406">B408</f>
        <v>5000</v>
      </c>
      <c r="C384" s="187">
        <f t="shared" si="406"/>
        <v>25000</v>
      </c>
      <c r="D384" s="187">
        <v>0</v>
      </c>
      <c r="E384" s="187">
        <v>700</v>
      </c>
      <c r="F384" s="187">
        <v>15000</v>
      </c>
      <c r="G384" s="187">
        <f t="shared" si="406"/>
        <v>2400</v>
      </c>
      <c r="H384" s="187">
        <f t="shared" si="406"/>
        <v>25000</v>
      </c>
      <c r="I384" s="187">
        <f t="shared" si="406"/>
        <v>5000</v>
      </c>
      <c r="J384" s="187">
        <v>40000</v>
      </c>
      <c r="K384" s="187">
        <f t="shared" si="406"/>
        <v>5000</v>
      </c>
      <c r="L384" s="187">
        <v>40000</v>
      </c>
      <c r="M384" s="110">
        <v>9.5</v>
      </c>
      <c r="N384" s="110">
        <f>VLOOKUP(DATE(YEAR(A384),MONTH(A384),DAY(A384)),FY24_Temp[],3,FALSE)</f>
        <v>12.8</v>
      </c>
      <c r="O384" s="110">
        <f t="shared" si="343"/>
        <v>11.5</v>
      </c>
      <c r="P384" s="110">
        <f t="shared" si="344"/>
        <v>19.5</v>
      </c>
      <c r="Q384" s="111">
        <f>VLOOKUP(VLOOKUP(DATEVALUE(TEXT(A384,"m/d/yyyy")),FY24_Temp[],5,FALSE)&amp;TEXT(A384,"-h"),TempDelta[],4,FALSE)</f>
        <v>2.554214222090585</v>
      </c>
      <c r="R384" s="112">
        <v>10</v>
      </c>
      <c r="S384" s="112">
        <v>1500</v>
      </c>
      <c r="T384" s="99">
        <f>VLOOKUP(TEXT(A384,"yy-mm")&amp;"-"&amp;IF(AND(WEEKDAY(A384)&gt;1,WEEKDAY(A384)&lt;7),"Wkd",TEXT(A384,"Ddd"))&amp;"-"&amp;TEXT(A384,"hh"),LoadTable[],3,FALSE)*0.92</f>
        <v>418.75640000000004</v>
      </c>
      <c r="U384" s="113">
        <f t="shared" si="345"/>
        <v>41.875640000000004</v>
      </c>
    </row>
    <row r="385" spans="1:21" ht="15" thickBot="1">
      <c r="A385" s="29">
        <f t="shared" si="383"/>
        <v>45851.916666667719</v>
      </c>
      <c r="B385" s="187">
        <f t="shared" ref="B385:L385" si="407">B409</f>
        <v>5000</v>
      </c>
      <c r="C385" s="187">
        <f t="shared" si="407"/>
        <v>25000</v>
      </c>
      <c r="D385" s="187">
        <v>0</v>
      </c>
      <c r="E385" s="187">
        <v>700</v>
      </c>
      <c r="F385" s="187">
        <v>15000</v>
      </c>
      <c r="G385" s="187">
        <f t="shared" si="407"/>
        <v>2400</v>
      </c>
      <c r="H385" s="187">
        <f t="shared" si="407"/>
        <v>25000</v>
      </c>
      <c r="I385" s="187">
        <f t="shared" si="407"/>
        <v>5000</v>
      </c>
      <c r="J385" s="187">
        <v>40000</v>
      </c>
      <c r="K385" s="187">
        <f t="shared" si="407"/>
        <v>5000</v>
      </c>
      <c r="L385" s="187">
        <v>40000</v>
      </c>
      <c r="M385" s="110">
        <v>9.5</v>
      </c>
      <c r="N385" s="110">
        <f>VLOOKUP(DATE(YEAR(A385),MONTH(A385),DAY(A385)),FY24_Temp[],3,FALSE)</f>
        <v>12.8</v>
      </c>
      <c r="O385" s="110">
        <f t="shared" si="343"/>
        <v>11.5</v>
      </c>
      <c r="P385" s="110">
        <f t="shared" si="344"/>
        <v>19.5</v>
      </c>
      <c r="Q385" s="111">
        <f>VLOOKUP(VLOOKUP(DATEVALUE(TEXT(A385,"m/d/yyyy")),FY24_Temp[],5,FALSE)&amp;TEXT(A385,"-h"),TempDelta[],4,FALSE)</f>
        <v>2.7827142647334506</v>
      </c>
      <c r="R385" s="112">
        <v>10</v>
      </c>
      <c r="S385" s="112">
        <v>1500</v>
      </c>
      <c r="T385" s="99">
        <f>VLOOKUP(TEXT(A385,"yy-mm")&amp;"-"&amp;IF(AND(WEEKDAY(A385)&gt;1,WEEKDAY(A385)&lt;7),"Wkd",TEXT(A385,"Ddd"))&amp;"-"&amp;TEXT(A385,"hh"),LoadTable[],3,FALSE)*0.92</f>
        <v>342.93920000000003</v>
      </c>
      <c r="U385" s="113">
        <f t="shared" si="345"/>
        <v>34.29392</v>
      </c>
    </row>
    <row r="386" spans="1:21" ht="15" thickBot="1">
      <c r="A386" s="29">
        <f t="shared" si="383"/>
        <v>45851.958333334383</v>
      </c>
      <c r="B386" s="187">
        <f t="shared" ref="B386:L386" si="408">B410</f>
        <v>5000</v>
      </c>
      <c r="C386" s="187">
        <f t="shared" si="408"/>
        <v>25000</v>
      </c>
      <c r="D386" s="187">
        <v>0</v>
      </c>
      <c r="E386" s="187">
        <v>700</v>
      </c>
      <c r="F386" s="187">
        <v>15000</v>
      </c>
      <c r="G386" s="187">
        <f t="shared" si="408"/>
        <v>2400</v>
      </c>
      <c r="H386" s="187">
        <f t="shared" si="408"/>
        <v>25000</v>
      </c>
      <c r="I386" s="187">
        <f t="shared" si="408"/>
        <v>5000</v>
      </c>
      <c r="J386" s="187">
        <v>40000</v>
      </c>
      <c r="K386" s="187">
        <f t="shared" si="408"/>
        <v>5000</v>
      </c>
      <c r="L386" s="187">
        <v>40000</v>
      </c>
      <c r="M386" s="110">
        <v>9.5</v>
      </c>
      <c r="N386" s="110">
        <f>VLOOKUP(DATE(YEAR(A386),MONTH(A386),DAY(A386)),FY24_Temp[],3,FALSE)</f>
        <v>12.8</v>
      </c>
      <c r="O386" s="110">
        <f t="shared" si="343"/>
        <v>11.5</v>
      </c>
      <c r="P386" s="110">
        <f t="shared" si="344"/>
        <v>19.5</v>
      </c>
      <c r="Q386" s="111">
        <f>VLOOKUP(VLOOKUP(DATEVALUE(TEXT(A386,"m/d/yyyy")),FY24_Temp[],5,FALSE)&amp;TEXT(A386,"-h"),TempDelta[],4,FALSE)</f>
        <v>2.8792857101985385</v>
      </c>
      <c r="R386" s="112">
        <v>10</v>
      </c>
      <c r="S386" s="112">
        <v>1500</v>
      </c>
      <c r="T386" s="99">
        <f>VLOOKUP(TEXT(A386,"yy-mm")&amp;"-"&amp;IF(AND(WEEKDAY(A386)&gt;1,WEEKDAY(A386)&lt;7),"Wkd",TEXT(A386,"Ddd"))&amp;"-"&amp;TEXT(A386,"hh"),LoadTable[],3,FALSE)*0.92</f>
        <v>279.25312000000002</v>
      </c>
      <c r="U386" s="113">
        <f t="shared" si="345"/>
        <v>27.925312000000002</v>
      </c>
    </row>
    <row r="387" spans="1:21" ht="15" thickBot="1">
      <c r="A387" s="29">
        <f t="shared" si="383"/>
        <v>45852.000000001048</v>
      </c>
      <c r="B387" s="187">
        <f t="shared" ref="B387:L387" si="409">B411</f>
        <v>5000</v>
      </c>
      <c r="C387" s="187">
        <f t="shared" si="409"/>
        <v>25000</v>
      </c>
      <c r="D387" s="187">
        <v>0</v>
      </c>
      <c r="E387" s="187">
        <v>700</v>
      </c>
      <c r="F387" s="187">
        <v>15000</v>
      </c>
      <c r="G387" s="187">
        <f t="shared" si="409"/>
        <v>2400</v>
      </c>
      <c r="H387" s="187">
        <f t="shared" si="409"/>
        <v>25000</v>
      </c>
      <c r="I387" s="187">
        <f t="shared" si="409"/>
        <v>5000</v>
      </c>
      <c r="J387" s="187">
        <v>40000</v>
      </c>
      <c r="K387" s="187">
        <f t="shared" si="409"/>
        <v>5000</v>
      </c>
      <c r="L387" s="187">
        <v>40000</v>
      </c>
      <c r="M387" s="110">
        <v>9.5</v>
      </c>
      <c r="N387" s="110">
        <f>VLOOKUP(DATE(YEAR(A387),MONTH(A387),DAY(A387)),FY24_Temp[],3,FALSE)</f>
        <v>12.8</v>
      </c>
      <c r="O387" s="110">
        <f t="shared" si="343"/>
        <v>11.5</v>
      </c>
      <c r="P387" s="110">
        <f t="shared" si="344"/>
        <v>19.5</v>
      </c>
      <c r="Q387" s="111">
        <f>VLOOKUP(VLOOKUP(DATEVALUE(TEXT(A387,"m/d/yyyy")),FY24_Temp[],5,FALSE)&amp;TEXT(A387,"-h"),TempDelta[],4,FALSE)</f>
        <v>3.0441428933824812</v>
      </c>
      <c r="R387" s="112">
        <v>10</v>
      </c>
      <c r="S387" s="112">
        <v>1500</v>
      </c>
      <c r="T387" s="99">
        <f>VLOOKUP(TEXT(A387,"yy-mm")&amp;"-"&amp;IF(AND(WEEKDAY(A387)&gt;1,WEEKDAY(A387)&lt;7),"Wkd",TEXT(A387,"Ddd"))&amp;"-"&amp;TEXT(A387,"hh"),LoadTable[],3,FALSE)*0.92</f>
        <v>279.25312000000002</v>
      </c>
      <c r="U387" s="113">
        <f t="shared" si="345"/>
        <v>27.925312000000002</v>
      </c>
    </row>
    <row r="388" spans="1:21" ht="15" thickBot="1">
      <c r="A388" s="29">
        <f t="shared" si="383"/>
        <v>45852.041666667712</v>
      </c>
      <c r="B388" s="187">
        <f t="shared" ref="B388:L388" si="410">B412</f>
        <v>5000</v>
      </c>
      <c r="C388" s="187">
        <f t="shared" si="410"/>
        <v>25000</v>
      </c>
      <c r="D388" s="187">
        <v>0</v>
      </c>
      <c r="E388" s="187">
        <v>700</v>
      </c>
      <c r="F388" s="187">
        <v>15000</v>
      </c>
      <c r="G388" s="187">
        <f t="shared" si="410"/>
        <v>2400</v>
      </c>
      <c r="H388" s="187">
        <f t="shared" si="410"/>
        <v>25000</v>
      </c>
      <c r="I388" s="187">
        <f t="shared" si="410"/>
        <v>5000</v>
      </c>
      <c r="J388" s="187">
        <v>40000</v>
      </c>
      <c r="K388" s="187">
        <f t="shared" si="410"/>
        <v>5000</v>
      </c>
      <c r="L388" s="187">
        <v>40000</v>
      </c>
      <c r="M388" s="110">
        <v>9.5</v>
      </c>
      <c r="N388" s="110">
        <f>VLOOKUP(DATE(YEAR(A388),MONTH(A388),DAY(A388)),FY24_Temp[],3,FALSE)</f>
        <v>12.8</v>
      </c>
      <c r="O388" s="110">
        <f t="shared" ref="O388:O451" si="411">15.5-4</f>
        <v>11.5</v>
      </c>
      <c r="P388" s="110">
        <f t="shared" ref="P388:P451" si="412">15.5+4</f>
        <v>19.5</v>
      </c>
      <c r="Q388" s="111">
        <f>VLOOKUP(VLOOKUP(DATEVALUE(TEXT(A388,"m/d/yyyy")),FY24_Temp[],5,FALSE)&amp;TEXT(A388,"-h"),TempDelta[],4,FALSE)</f>
        <v>3.0992857047489712</v>
      </c>
      <c r="R388" s="112">
        <v>10</v>
      </c>
      <c r="S388" s="112">
        <v>1500</v>
      </c>
      <c r="T388" s="99">
        <f>VLOOKUP(TEXT(A388,"yy-mm")&amp;"-"&amp;IF(AND(WEEKDAY(A388)&gt;1,WEEKDAY(A388)&lt;7),"Wkd",TEXT(A388,"Ddd"))&amp;"-"&amp;TEXT(A388,"hh"),LoadTable[],3,FALSE)*0.92</f>
        <v>279.25312000000002</v>
      </c>
      <c r="U388" s="113">
        <f t="shared" ref="U388:U451" si="413">T388/10</f>
        <v>27.925312000000002</v>
      </c>
    </row>
    <row r="389" spans="1:21" ht="15" thickBot="1">
      <c r="A389" s="29">
        <f t="shared" si="383"/>
        <v>45852.083333334376</v>
      </c>
      <c r="B389" s="187">
        <f t="shared" ref="B389:L389" si="414">B413</f>
        <v>5000</v>
      </c>
      <c r="C389" s="187">
        <f t="shared" si="414"/>
        <v>25000</v>
      </c>
      <c r="D389" s="187">
        <v>0</v>
      </c>
      <c r="E389" s="187">
        <v>700</v>
      </c>
      <c r="F389" s="187">
        <v>15000</v>
      </c>
      <c r="G389" s="187">
        <f t="shared" si="414"/>
        <v>2400</v>
      </c>
      <c r="H389" s="187">
        <f t="shared" si="414"/>
        <v>25000</v>
      </c>
      <c r="I389" s="187">
        <f t="shared" si="414"/>
        <v>5000</v>
      </c>
      <c r="J389" s="187">
        <v>40000</v>
      </c>
      <c r="K389" s="187">
        <f t="shared" si="414"/>
        <v>5000</v>
      </c>
      <c r="L389" s="187">
        <v>40000</v>
      </c>
      <c r="M389" s="110">
        <v>9.5</v>
      </c>
      <c r="N389" s="110">
        <f>VLOOKUP(DATE(YEAR(A389),MONTH(A389),DAY(A389)),FY24_Temp[],3,FALSE)</f>
        <v>12.8</v>
      </c>
      <c r="O389" s="110">
        <f t="shared" si="411"/>
        <v>11.5</v>
      </c>
      <c r="P389" s="110">
        <f t="shared" si="412"/>
        <v>19.5</v>
      </c>
      <c r="Q389" s="111">
        <f>VLOOKUP(VLOOKUP(DATEVALUE(TEXT(A389,"m/d/yyyy")),FY24_Temp[],5,FALSE)&amp;TEXT(A389,"-h"),TempDelta[],4,FALSE)</f>
        <v>3.1050000190734863</v>
      </c>
      <c r="R389" s="112">
        <v>10</v>
      </c>
      <c r="S389" s="112">
        <v>1500</v>
      </c>
      <c r="T389" s="99">
        <f>VLOOKUP(TEXT(A389,"yy-mm")&amp;"-"&amp;IF(AND(WEEKDAY(A389)&gt;1,WEEKDAY(A389)&lt;7),"Wkd",TEXT(A389,"Ddd"))&amp;"-"&amp;TEXT(A389,"hh"),LoadTable[],3,FALSE)*0.92</f>
        <v>279.25312000000002</v>
      </c>
      <c r="U389" s="113">
        <f t="shared" si="413"/>
        <v>27.925312000000002</v>
      </c>
    </row>
    <row r="390" spans="1:21" ht="15" thickBot="1">
      <c r="A390" s="29">
        <f t="shared" si="383"/>
        <v>45852.12500000104</v>
      </c>
      <c r="B390" s="187">
        <f t="shared" ref="B390:L390" si="415">B414</f>
        <v>5000</v>
      </c>
      <c r="C390" s="187">
        <f t="shared" si="415"/>
        <v>25000</v>
      </c>
      <c r="D390" s="187">
        <v>0</v>
      </c>
      <c r="E390" s="187">
        <v>700</v>
      </c>
      <c r="F390" s="187">
        <v>15000</v>
      </c>
      <c r="G390" s="187">
        <f t="shared" si="415"/>
        <v>2400</v>
      </c>
      <c r="H390" s="187">
        <f t="shared" si="415"/>
        <v>25000</v>
      </c>
      <c r="I390" s="187">
        <f t="shared" si="415"/>
        <v>5000</v>
      </c>
      <c r="J390" s="187">
        <v>40000</v>
      </c>
      <c r="K390" s="187">
        <f t="shared" si="415"/>
        <v>5000</v>
      </c>
      <c r="L390" s="187">
        <v>40000</v>
      </c>
      <c r="M390" s="110">
        <v>9.5</v>
      </c>
      <c r="N390" s="110">
        <f>VLOOKUP(DATE(YEAR(A390),MONTH(A390),DAY(A390)),FY24_Temp[],3,FALSE)</f>
        <v>12.8</v>
      </c>
      <c r="O390" s="110">
        <f t="shared" si="411"/>
        <v>11.5</v>
      </c>
      <c r="P390" s="110">
        <f t="shared" si="412"/>
        <v>19.5</v>
      </c>
      <c r="Q390" s="111">
        <f>VLOOKUP(VLOOKUP(DATEVALUE(TEXT(A390,"m/d/yyyy")),FY24_Temp[],5,FALSE)&amp;TEXT(A390,"-h"),TempDelta[],4,FALSE)</f>
        <v>3.0428571701049805</v>
      </c>
      <c r="R390" s="112">
        <v>10</v>
      </c>
      <c r="S390" s="112">
        <v>1500</v>
      </c>
      <c r="T390" s="99">
        <f>VLOOKUP(TEXT(A390,"yy-mm")&amp;"-"&amp;IF(AND(WEEKDAY(A390)&gt;1,WEEKDAY(A390)&lt;7),"Wkd",TEXT(A390,"Ddd"))&amp;"-"&amp;TEXT(A390,"hh"),LoadTable[],3,FALSE)*0.92</f>
        <v>279.25312000000002</v>
      </c>
      <c r="U390" s="113">
        <f t="shared" si="413"/>
        <v>27.925312000000002</v>
      </c>
    </row>
    <row r="391" spans="1:21" ht="15" thickBot="1">
      <c r="A391" s="29">
        <f t="shared" si="383"/>
        <v>45852.166666667705</v>
      </c>
      <c r="B391" s="187">
        <f t="shared" ref="B391:L391" si="416">B415</f>
        <v>5000</v>
      </c>
      <c r="C391" s="187">
        <f t="shared" si="416"/>
        <v>25000</v>
      </c>
      <c r="D391" s="187">
        <v>0</v>
      </c>
      <c r="E391" s="187">
        <v>700</v>
      </c>
      <c r="F391" s="187">
        <v>15000</v>
      </c>
      <c r="G391" s="187">
        <f t="shared" si="416"/>
        <v>2400</v>
      </c>
      <c r="H391" s="187">
        <f t="shared" si="416"/>
        <v>25000</v>
      </c>
      <c r="I391" s="187">
        <f t="shared" si="416"/>
        <v>5000</v>
      </c>
      <c r="J391" s="187">
        <v>40000</v>
      </c>
      <c r="K391" s="187">
        <f t="shared" si="416"/>
        <v>5000</v>
      </c>
      <c r="L391" s="187">
        <v>40000</v>
      </c>
      <c r="M391" s="110">
        <v>9.5</v>
      </c>
      <c r="N391" s="110">
        <f>VLOOKUP(DATE(YEAR(A391),MONTH(A391),DAY(A391)),FY24_Temp[],3,FALSE)</f>
        <v>12.8</v>
      </c>
      <c r="O391" s="110">
        <f t="shared" si="411"/>
        <v>11.5</v>
      </c>
      <c r="P391" s="110">
        <f t="shared" si="412"/>
        <v>19.5</v>
      </c>
      <c r="Q391" s="111">
        <f>VLOOKUP(VLOOKUP(DATEVALUE(TEXT(A391,"m/d/yyyy")),FY24_Temp[],5,FALSE)&amp;TEXT(A391,"-h"),TempDelta[],4,FALSE)</f>
        <v>2.9580000468662808</v>
      </c>
      <c r="R391" s="112">
        <v>10</v>
      </c>
      <c r="S391" s="112">
        <v>1500</v>
      </c>
      <c r="T391" s="99">
        <f>VLOOKUP(TEXT(A391,"yy-mm")&amp;"-"&amp;IF(AND(WEEKDAY(A391)&gt;1,WEEKDAY(A391)&lt;7),"Wkd",TEXT(A391,"Ddd"))&amp;"-"&amp;TEXT(A391,"hh"),LoadTable[],3,FALSE)*0.92</f>
        <v>279.25312000000002</v>
      </c>
      <c r="U391" s="113">
        <f t="shared" si="413"/>
        <v>27.925312000000002</v>
      </c>
    </row>
    <row r="392" spans="1:21" ht="15" thickBot="1">
      <c r="A392" s="29">
        <f t="shared" si="383"/>
        <v>45852.208333334369</v>
      </c>
      <c r="B392" s="187">
        <f t="shared" ref="B392:L392" si="417">B416</f>
        <v>5000</v>
      </c>
      <c r="C392" s="187">
        <f t="shared" si="417"/>
        <v>25000</v>
      </c>
      <c r="D392" s="187">
        <v>0</v>
      </c>
      <c r="E392" s="187">
        <v>700</v>
      </c>
      <c r="F392" s="187">
        <v>15000</v>
      </c>
      <c r="G392" s="187">
        <f t="shared" si="417"/>
        <v>2400</v>
      </c>
      <c r="H392" s="187">
        <f t="shared" si="417"/>
        <v>25000</v>
      </c>
      <c r="I392" s="187">
        <f t="shared" si="417"/>
        <v>5000</v>
      </c>
      <c r="J392" s="187">
        <v>40000</v>
      </c>
      <c r="K392" s="187">
        <f t="shared" si="417"/>
        <v>5000</v>
      </c>
      <c r="L392" s="187">
        <v>40000</v>
      </c>
      <c r="M392" s="110">
        <v>9.5</v>
      </c>
      <c r="N392" s="110">
        <f>VLOOKUP(DATE(YEAR(A392),MONTH(A392),DAY(A392)),FY24_Temp[],3,FALSE)</f>
        <v>12.8</v>
      </c>
      <c r="O392" s="110">
        <f t="shared" si="411"/>
        <v>11.5</v>
      </c>
      <c r="P392" s="110">
        <f t="shared" si="412"/>
        <v>19.5</v>
      </c>
      <c r="Q392" s="111">
        <f>VLOOKUP(VLOOKUP(DATEVALUE(TEXT(A392,"m/d/yyyy")),FY24_Temp[],5,FALSE)&amp;TEXT(A392,"-h"),TempDelta[],4,FALSE)</f>
        <v>2.8608571801866804</v>
      </c>
      <c r="R392" s="112">
        <v>10</v>
      </c>
      <c r="S392" s="112">
        <v>1500</v>
      </c>
      <c r="T392" s="99">
        <f>VLOOKUP(TEXT(A392,"yy-mm")&amp;"-"&amp;IF(AND(WEEKDAY(A392)&gt;1,WEEKDAY(A392)&lt;7),"Wkd",TEXT(A392,"Ddd"))&amp;"-"&amp;TEXT(A392,"hh"),LoadTable[],3,FALSE)*0.92</f>
        <v>279.25312000000002</v>
      </c>
      <c r="U392" s="113">
        <f t="shared" si="413"/>
        <v>27.925312000000002</v>
      </c>
    </row>
    <row r="393" spans="1:21" ht="15" thickBot="1">
      <c r="A393" s="29">
        <f t="shared" si="383"/>
        <v>45852.250000001033</v>
      </c>
      <c r="B393" s="187">
        <f t="shared" ref="B393:L393" si="418">B417</f>
        <v>8000</v>
      </c>
      <c r="C393" s="187">
        <f t="shared" si="418"/>
        <v>25000</v>
      </c>
      <c r="D393" s="187">
        <v>0</v>
      </c>
      <c r="E393" s="187">
        <v>700</v>
      </c>
      <c r="F393" s="187">
        <v>15000</v>
      </c>
      <c r="G393" s="187">
        <f t="shared" si="418"/>
        <v>2400</v>
      </c>
      <c r="H393" s="187">
        <f t="shared" si="418"/>
        <v>25000</v>
      </c>
      <c r="I393" s="187">
        <f t="shared" si="418"/>
        <v>8000</v>
      </c>
      <c r="J393" s="187">
        <v>40000</v>
      </c>
      <c r="K393" s="187">
        <f t="shared" si="418"/>
        <v>8000</v>
      </c>
      <c r="L393" s="187">
        <v>40000</v>
      </c>
      <c r="M393" s="110">
        <v>9.5</v>
      </c>
      <c r="N393" s="110">
        <f>VLOOKUP(DATE(YEAR(A393),MONTH(A393),DAY(A393)),FY24_Temp[],3,FALSE)</f>
        <v>12.8</v>
      </c>
      <c r="O393" s="110">
        <f t="shared" si="411"/>
        <v>11.5</v>
      </c>
      <c r="P393" s="110">
        <f t="shared" si="412"/>
        <v>19.5</v>
      </c>
      <c r="Q393" s="111">
        <f>VLOOKUP(VLOOKUP(DATEVALUE(TEXT(A393,"m/d/yyyy")),FY24_Temp[],5,FALSE)&amp;TEXT(A393,"-h"),TempDelta[],4,FALSE)</f>
        <v>2.7405714307512556</v>
      </c>
      <c r="R393" s="112">
        <v>10</v>
      </c>
      <c r="S393" s="112">
        <v>1500</v>
      </c>
      <c r="T393" s="99">
        <f>VLOOKUP(TEXT(A393,"yy-mm")&amp;"-"&amp;IF(AND(WEEKDAY(A393)&gt;1,WEEKDAY(A393)&lt;7),"Wkd",TEXT(A393,"Ddd"))&amp;"-"&amp;TEXT(A393,"hh"),LoadTable[],3,FALSE)*0.92</f>
        <v>279.25312000000002</v>
      </c>
      <c r="U393" s="113">
        <f t="shared" si="413"/>
        <v>27.925312000000002</v>
      </c>
    </row>
    <row r="394" spans="1:21" ht="15" thickBot="1">
      <c r="A394" s="29">
        <f t="shared" si="383"/>
        <v>45852.291666667697</v>
      </c>
      <c r="B394" s="187">
        <f t="shared" ref="B394:L394" si="419">B418</f>
        <v>8000</v>
      </c>
      <c r="C394" s="187">
        <f t="shared" si="419"/>
        <v>25000</v>
      </c>
      <c r="D394" s="187">
        <v>0</v>
      </c>
      <c r="E394" s="187">
        <v>700</v>
      </c>
      <c r="F394" s="187">
        <v>15000</v>
      </c>
      <c r="G394" s="187">
        <f t="shared" si="419"/>
        <v>2400</v>
      </c>
      <c r="H394" s="187">
        <f t="shared" si="419"/>
        <v>25000</v>
      </c>
      <c r="I394" s="187">
        <f t="shared" si="419"/>
        <v>8000</v>
      </c>
      <c r="J394" s="187">
        <v>40000</v>
      </c>
      <c r="K394" s="187">
        <f t="shared" si="419"/>
        <v>8000</v>
      </c>
      <c r="L394" s="187">
        <v>40000</v>
      </c>
      <c r="M394" s="110">
        <v>9.5</v>
      </c>
      <c r="N394" s="110">
        <f>VLOOKUP(DATE(YEAR(A394),MONTH(A394),DAY(A394)),FY24_Temp[],3,FALSE)</f>
        <v>12.8</v>
      </c>
      <c r="O394" s="110">
        <f t="shared" si="411"/>
        <v>11.5</v>
      </c>
      <c r="P394" s="110">
        <f t="shared" si="412"/>
        <v>19.5</v>
      </c>
      <c r="Q394" s="111">
        <f>VLOOKUP(VLOOKUP(DATEVALUE(TEXT(A394,"m/d/yyyy")),FY24_Temp[],5,FALSE)&amp;TEXT(A394,"-h"),TempDelta[],4,FALSE)</f>
        <v>2.6134285245622908</v>
      </c>
      <c r="R394" s="112">
        <v>10</v>
      </c>
      <c r="S394" s="112">
        <v>1500</v>
      </c>
      <c r="T394" s="99">
        <f>VLOOKUP(TEXT(A394,"yy-mm")&amp;"-"&amp;IF(AND(WEEKDAY(A394)&gt;1,WEEKDAY(A394)&lt;7),"Wkd",TEXT(A394,"Ddd"))&amp;"-"&amp;TEXT(A394,"hh"),LoadTable[],3,FALSE)*0.92</f>
        <v>279.25312000000002</v>
      </c>
      <c r="U394" s="113">
        <f t="shared" si="413"/>
        <v>27.925312000000002</v>
      </c>
    </row>
    <row r="395" spans="1:21" ht="15" thickBot="1">
      <c r="A395" s="29">
        <f t="shared" si="383"/>
        <v>45852.333333334362</v>
      </c>
      <c r="B395" s="187">
        <f t="shared" ref="B395:L395" si="420">B419</f>
        <v>8000</v>
      </c>
      <c r="C395" s="187">
        <f t="shared" si="420"/>
        <v>25000</v>
      </c>
      <c r="D395" s="187">
        <v>0</v>
      </c>
      <c r="E395" s="187">
        <v>700</v>
      </c>
      <c r="F395" s="187">
        <v>15000</v>
      </c>
      <c r="G395" s="187">
        <f t="shared" si="420"/>
        <v>2400</v>
      </c>
      <c r="H395" s="187">
        <f t="shared" si="420"/>
        <v>25000</v>
      </c>
      <c r="I395" s="187">
        <f t="shared" si="420"/>
        <v>8000</v>
      </c>
      <c r="J395" s="187">
        <v>40000</v>
      </c>
      <c r="K395" s="187">
        <f t="shared" si="420"/>
        <v>8000</v>
      </c>
      <c r="L395" s="187">
        <v>40000</v>
      </c>
      <c r="M395" s="110">
        <v>9.5</v>
      </c>
      <c r="N395" s="110">
        <f>VLOOKUP(DATE(YEAR(A395),MONTH(A395),DAY(A395)),FY24_Temp[],3,FALSE)</f>
        <v>12.8</v>
      </c>
      <c r="O395" s="110">
        <f t="shared" si="411"/>
        <v>11.5</v>
      </c>
      <c r="P395" s="110">
        <f t="shared" si="412"/>
        <v>19.5</v>
      </c>
      <c r="Q395" s="111">
        <f>VLOOKUP(VLOOKUP(DATEVALUE(TEXT(A395,"m/d/yyyy")),FY24_Temp[],5,FALSE)&amp;TEXT(A395,"-h"),TempDelta[],4,FALSE)</f>
        <v>2.44985716683524</v>
      </c>
      <c r="R395" s="112">
        <v>10</v>
      </c>
      <c r="S395" s="112">
        <v>1500</v>
      </c>
      <c r="T395" s="99">
        <f>VLOOKUP(TEXT(A395,"yy-mm")&amp;"-"&amp;IF(AND(WEEKDAY(A395)&gt;1,WEEKDAY(A395)&lt;7),"Wkd",TEXT(A395,"Ddd"))&amp;"-"&amp;TEXT(A395,"hh"),LoadTable[],3,FALSE)*0.92</f>
        <v>279.25312000000002</v>
      </c>
      <c r="U395" s="113">
        <f t="shared" si="413"/>
        <v>27.925312000000002</v>
      </c>
    </row>
    <row r="396" spans="1:21" ht="15" thickBot="1">
      <c r="A396" s="29">
        <f t="shared" si="383"/>
        <v>45852.375000001026</v>
      </c>
      <c r="B396" s="187">
        <f t="shared" ref="B396:L396" si="421">B420</f>
        <v>8000</v>
      </c>
      <c r="C396" s="187">
        <f t="shared" si="421"/>
        <v>25000</v>
      </c>
      <c r="D396" s="187">
        <v>0</v>
      </c>
      <c r="E396" s="187">
        <v>700</v>
      </c>
      <c r="F396" s="187">
        <v>15000</v>
      </c>
      <c r="G396" s="187">
        <f t="shared" si="421"/>
        <v>2400</v>
      </c>
      <c r="H396" s="187">
        <f t="shared" si="421"/>
        <v>25000</v>
      </c>
      <c r="I396" s="187">
        <f t="shared" si="421"/>
        <v>8000</v>
      </c>
      <c r="J396" s="187">
        <v>40000</v>
      </c>
      <c r="K396" s="187">
        <f t="shared" si="421"/>
        <v>8000</v>
      </c>
      <c r="L396" s="187">
        <v>40000</v>
      </c>
      <c r="M396" s="110">
        <v>9.5</v>
      </c>
      <c r="N396" s="110">
        <f>VLOOKUP(DATE(YEAR(A396),MONTH(A396),DAY(A396)),FY24_Temp[],3,FALSE)</f>
        <v>12.8</v>
      </c>
      <c r="O396" s="110">
        <f t="shared" si="411"/>
        <v>11.5</v>
      </c>
      <c r="P396" s="110">
        <f t="shared" si="412"/>
        <v>19.5</v>
      </c>
      <c r="Q396" s="111">
        <f>VLOOKUP(VLOOKUP(DATEVALUE(TEXT(A396,"m/d/yyyy")),FY24_Temp[],5,FALSE)&amp;TEXT(A396,"-h"),TempDelta[],4,FALSE)</f>
        <v>2.2458571025303433</v>
      </c>
      <c r="R396" s="112">
        <v>10</v>
      </c>
      <c r="S396" s="112">
        <v>1500</v>
      </c>
      <c r="T396" s="99">
        <f>VLOOKUP(TEXT(A396,"yy-mm")&amp;"-"&amp;IF(AND(WEEKDAY(A396)&gt;1,WEEKDAY(A396)&lt;7),"Wkd",TEXT(A396,"Ddd"))&amp;"-"&amp;TEXT(A396,"hh"),LoadTable[],3,FALSE)*0.92</f>
        <v>279.25312000000002</v>
      </c>
      <c r="U396" s="113">
        <f t="shared" si="413"/>
        <v>27.925312000000002</v>
      </c>
    </row>
    <row r="397" spans="1:21" ht="15" thickBot="1">
      <c r="A397" s="29">
        <f t="shared" si="383"/>
        <v>45852.41666666769</v>
      </c>
      <c r="B397" s="187">
        <f t="shared" ref="B397:L397" si="422">B421</f>
        <v>8000</v>
      </c>
      <c r="C397" s="187">
        <f t="shared" si="422"/>
        <v>25000</v>
      </c>
      <c r="D397" s="187">
        <v>0</v>
      </c>
      <c r="E397" s="187">
        <v>700</v>
      </c>
      <c r="F397" s="187">
        <v>15000</v>
      </c>
      <c r="G397" s="187">
        <f t="shared" si="422"/>
        <v>2400</v>
      </c>
      <c r="H397" s="187">
        <f t="shared" si="422"/>
        <v>25000</v>
      </c>
      <c r="I397" s="187">
        <f t="shared" si="422"/>
        <v>8000</v>
      </c>
      <c r="J397" s="187">
        <v>40000</v>
      </c>
      <c r="K397" s="187">
        <f t="shared" si="422"/>
        <v>8000</v>
      </c>
      <c r="L397" s="187">
        <v>40000</v>
      </c>
      <c r="M397" s="110">
        <v>9.5</v>
      </c>
      <c r="N397" s="110">
        <f>VLOOKUP(DATE(YEAR(A397),MONTH(A397),DAY(A397)),FY24_Temp[],3,FALSE)</f>
        <v>12.8</v>
      </c>
      <c r="O397" s="110">
        <f t="shared" si="411"/>
        <v>11.5</v>
      </c>
      <c r="P397" s="110">
        <f t="shared" si="412"/>
        <v>19.5</v>
      </c>
      <c r="Q397" s="111">
        <f>VLOOKUP(VLOOKUP(DATEVALUE(TEXT(A397,"m/d/yyyy")),FY24_Temp[],5,FALSE)&amp;TEXT(A397,"-h"),TempDelta[],4,FALSE)</f>
        <v>2.0832857234137401</v>
      </c>
      <c r="R397" s="112">
        <v>10</v>
      </c>
      <c r="S397" s="112">
        <v>1500</v>
      </c>
      <c r="T397" s="99">
        <f>VLOOKUP(TEXT(A397,"yy-mm")&amp;"-"&amp;IF(AND(WEEKDAY(A397)&gt;1,WEEKDAY(A397)&lt;7),"Wkd",TEXT(A397,"Ddd"))&amp;"-"&amp;TEXT(A397,"hh"),LoadTable[],3,FALSE)*0.92</f>
        <v>279.25312000000002</v>
      </c>
      <c r="U397" s="113">
        <f t="shared" si="413"/>
        <v>27.925312000000002</v>
      </c>
    </row>
    <row r="398" spans="1:21" ht="15" thickBot="1">
      <c r="A398" s="29">
        <f t="shared" si="383"/>
        <v>45852.458333334354</v>
      </c>
      <c r="B398" s="187">
        <f t="shared" ref="B398:L398" si="423">B422</f>
        <v>8000</v>
      </c>
      <c r="C398" s="187">
        <f t="shared" si="423"/>
        <v>25000</v>
      </c>
      <c r="D398" s="187">
        <v>0</v>
      </c>
      <c r="E398" s="187">
        <v>700</v>
      </c>
      <c r="F398" s="187">
        <v>15000</v>
      </c>
      <c r="G398" s="187">
        <f t="shared" si="423"/>
        <v>2400</v>
      </c>
      <c r="H398" s="187">
        <f t="shared" si="423"/>
        <v>25000</v>
      </c>
      <c r="I398" s="187">
        <f t="shared" si="423"/>
        <v>8000</v>
      </c>
      <c r="J398" s="187">
        <v>40000</v>
      </c>
      <c r="K398" s="187">
        <f t="shared" si="423"/>
        <v>8000</v>
      </c>
      <c r="L398" s="187">
        <v>40000</v>
      </c>
      <c r="M398" s="110">
        <v>9.5</v>
      </c>
      <c r="N398" s="110">
        <f>VLOOKUP(DATE(YEAR(A398),MONTH(A398),DAY(A398)),FY24_Temp[],3,FALSE)</f>
        <v>12.8</v>
      </c>
      <c r="O398" s="110">
        <f t="shared" si="411"/>
        <v>11.5</v>
      </c>
      <c r="P398" s="110">
        <f t="shared" si="412"/>
        <v>19.5</v>
      </c>
      <c r="Q398" s="111">
        <f>VLOOKUP(VLOOKUP(DATEVALUE(TEXT(A398,"m/d/yyyy")),FY24_Temp[],5,FALSE)&amp;TEXT(A398,"-h"),TempDelta[],4,FALSE)</f>
        <v>1.8928571258272444</v>
      </c>
      <c r="R398" s="112">
        <v>10</v>
      </c>
      <c r="S398" s="112">
        <v>1500</v>
      </c>
      <c r="T398" s="99">
        <f>VLOOKUP(TEXT(A398,"yy-mm")&amp;"-"&amp;IF(AND(WEEKDAY(A398)&gt;1,WEEKDAY(A398)&lt;7),"Wkd",TEXT(A398,"Ddd"))&amp;"-"&amp;TEXT(A398,"hh"),LoadTable[],3,FALSE)*0.92</f>
        <v>279.25312000000002</v>
      </c>
      <c r="U398" s="113">
        <f t="shared" si="413"/>
        <v>27.925312000000002</v>
      </c>
    </row>
    <row r="399" spans="1:21" ht="15" thickBot="1">
      <c r="A399" s="29">
        <f t="shared" si="383"/>
        <v>45852.500000001019</v>
      </c>
      <c r="B399" s="187">
        <f t="shared" ref="B399:L399" si="424">B423</f>
        <v>8000</v>
      </c>
      <c r="C399" s="187">
        <f t="shared" si="424"/>
        <v>25000</v>
      </c>
      <c r="D399" s="187">
        <v>0</v>
      </c>
      <c r="E399" s="187">
        <v>700</v>
      </c>
      <c r="F399" s="187">
        <v>15000</v>
      </c>
      <c r="G399" s="187">
        <f t="shared" si="424"/>
        <v>2400</v>
      </c>
      <c r="H399" s="187">
        <f t="shared" si="424"/>
        <v>25000</v>
      </c>
      <c r="I399" s="187">
        <f t="shared" si="424"/>
        <v>8000</v>
      </c>
      <c r="J399" s="187">
        <v>40000</v>
      </c>
      <c r="K399" s="187">
        <f t="shared" si="424"/>
        <v>8000</v>
      </c>
      <c r="L399" s="187">
        <v>40000</v>
      </c>
      <c r="M399" s="110">
        <v>9.5</v>
      </c>
      <c r="N399" s="110">
        <f>VLOOKUP(DATE(YEAR(A399),MONTH(A399),DAY(A399)),FY24_Temp[],3,FALSE)</f>
        <v>12.8</v>
      </c>
      <c r="O399" s="110">
        <f t="shared" si="411"/>
        <v>11.5</v>
      </c>
      <c r="P399" s="110">
        <f t="shared" si="412"/>
        <v>19.5</v>
      </c>
      <c r="Q399" s="111">
        <f>VLOOKUP(VLOOKUP(DATEVALUE(TEXT(A399,"m/d/yyyy")),FY24_Temp[],5,FALSE)&amp;TEXT(A399,"-h"),TempDelta[],4,FALSE)</f>
        <v>1.665857127734593</v>
      </c>
      <c r="R399" s="112">
        <v>10</v>
      </c>
      <c r="S399" s="112">
        <v>1500</v>
      </c>
      <c r="T399" s="99">
        <f>VLOOKUP(TEXT(A399,"yy-mm")&amp;"-"&amp;IF(AND(WEEKDAY(A399)&gt;1,WEEKDAY(A399)&lt;7),"Wkd",TEXT(A399,"Ddd"))&amp;"-"&amp;TEXT(A399,"hh"),LoadTable[],3,FALSE)*0.92</f>
        <v>279.25312000000002</v>
      </c>
      <c r="U399" s="113">
        <f t="shared" si="413"/>
        <v>27.925312000000002</v>
      </c>
    </row>
    <row r="400" spans="1:21" ht="15" thickBot="1">
      <c r="A400" s="29">
        <f t="shared" si="383"/>
        <v>45852.541666667683</v>
      </c>
      <c r="B400" s="187">
        <f t="shared" ref="B400:L400" si="425">B424</f>
        <v>8000</v>
      </c>
      <c r="C400" s="187">
        <f t="shared" si="425"/>
        <v>25000</v>
      </c>
      <c r="D400" s="187">
        <v>0</v>
      </c>
      <c r="E400" s="187">
        <v>700</v>
      </c>
      <c r="F400" s="187">
        <v>15000</v>
      </c>
      <c r="G400" s="187">
        <f t="shared" si="425"/>
        <v>2400</v>
      </c>
      <c r="H400" s="187">
        <f t="shared" si="425"/>
        <v>25000</v>
      </c>
      <c r="I400" s="187">
        <f t="shared" si="425"/>
        <v>8000</v>
      </c>
      <c r="J400" s="187">
        <v>40000</v>
      </c>
      <c r="K400" s="187">
        <f t="shared" si="425"/>
        <v>8000</v>
      </c>
      <c r="L400" s="187">
        <v>40000</v>
      </c>
      <c r="M400" s="110">
        <v>9.5</v>
      </c>
      <c r="N400" s="110">
        <f>VLOOKUP(DATE(YEAR(A400),MONTH(A400),DAY(A400)),FY24_Temp[],3,FALSE)</f>
        <v>12.8</v>
      </c>
      <c r="O400" s="110">
        <f t="shared" si="411"/>
        <v>11.5</v>
      </c>
      <c r="P400" s="110">
        <f t="shared" si="412"/>
        <v>19.5</v>
      </c>
      <c r="Q400" s="111">
        <f>VLOOKUP(VLOOKUP(DATEVALUE(TEXT(A400,"m/d/yyyy")),FY24_Temp[],5,FALSE)&amp;TEXT(A400,"-h"),TempDelta[],4,FALSE)</f>
        <v>1.4252856969833374</v>
      </c>
      <c r="R400" s="112">
        <v>10</v>
      </c>
      <c r="S400" s="112">
        <v>1500</v>
      </c>
      <c r="T400" s="99">
        <f>VLOOKUP(TEXT(A400,"yy-mm")&amp;"-"&amp;IF(AND(WEEKDAY(A400)&gt;1,WEEKDAY(A400)&lt;7),"Wkd",TEXT(A400,"Ddd"))&amp;"-"&amp;TEXT(A400,"hh"),LoadTable[],3,FALSE)*0.92</f>
        <v>279.25312000000002</v>
      </c>
      <c r="U400" s="113">
        <f t="shared" si="413"/>
        <v>27.925312000000002</v>
      </c>
    </row>
    <row r="401" spans="1:21" ht="15" thickBot="1">
      <c r="A401" s="29">
        <f t="shared" si="383"/>
        <v>45852.583333334347</v>
      </c>
      <c r="B401" s="187">
        <f t="shared" ref="B401:L401" si="426">B425</f>
        <v>8000</v>
      </c>
      <c r="C401" s="187">
        <f t="shared" si="426"/>
        <v>25000</v>
      </c>
      <c r="D401" s="187">
        <v>0</v>
      </c>
      <c r="E401" s="187">
        <v>700</v>
      </c>
      <c r="F401" s="187">
        <v>15000</v>
      </c>
      <c r="G401" s="187">
        <f t="shared" si="426"/>
        <v>2400</v>
      </c>
      <c r="H401" s="187">
        <f t="shared" si="426"/>
        <v>25000</v>
      </c>
      <c r="I401" s="187">
        <f t="shared" si="426"/>
        <v>8000</v>
      </c>
      <c r="J401" s="187">
        <v>40000</v>
      </c>
      <c r="K401" s="187">
        <f t="shared" si="426"/>
        <v>8000</v>
      </c>
      <c r="L401" s="187">
        <v>40000</v>
      </c>
      <c r="M401" s="110">
        <v>9.5</v>
      </c>
      <c r="N401" s="110">
        <f>VLOOKUP(DATE(YEAR(A401),MONTH(A401),DAY(A401)),FY24_Temp[],3,FALSE)</f>
        <v>12.8</v>
      </c>
      <c r="O401" s="110">
        <f t="shared" si="411"/>
        <v>11.5</v>
      </c>
      <c r="P401" s="110">
        <f t="shared" si="412"/>
        <v>19.5</v>
      </c>
      <c r="Q401" s="111">
        <f>VLOOKUP(VLOOKUP(DATEVALUE(TEXT(A401,"m/d/yyyy")),FY24_Temp[],5,FALSE)&amp;TEXT(A401,"-h"),TempDelta[],4,FALSE)</f>
        <v>1.2351428781236922</v>
      </c>
      <c r="R401" s="112">
        <v>10</v>
      </c>
      <c r="S401" s="112">
        <v>1500</v>
      </c>
      <c r="T401" s="99">
        <f>VLOOKUP(TEXT(A401,"yy-mm")&amp;"-"&amp;IF(AND(WEEKDAY(A401)&gt;1,WEEKDAY(A401)&lt;7),"Wkd",TEXT(A401,"Ddd"))&amp;"-"&amp;TEXT(A401,"hh"),LoadTable[],3,FALSE)*0.92</f>
        <v>373.26607999999999</v>
      </c>
      <c r="U401" s="113">
        <f t="shared" si="413"/>
        <v>37.326608</v>
      </c>
    </row>
    <row r="402" spans="1:21" ht="15" thickBot="1">
      <c r="A402" s="29">
        <f t="shared" si="383"/>
        <v>45852.625000001011</v>
      </c>
      <c r="B402" s="187">
        <f t="shared" ref="B402:L402" si="427">B426</f>
        <v>8000</v>
      </c>
      <c r="C402" s="187">
        <f t="shared" si="427"/>
        <v>25000</v>
      </c>
      <c r="D402" s="187">
        <v>0</v>
      </c>
      <c r="E402" s="187">
        <v>700</v>
      </c>
      <c r="F402" s="187">
        <v>15000</v>
      </c>
      <c r="G402" s="187">
        <f t="shared" si="427"/>
        <v>2400</v>
      </c>
      <c r="H402" s="187">
        <f t="shared" si="427"/>
        <v>25000</v>
      </c>
      <c r="I402" s="187">
        <f t="shared" si="427"/>
        <v>8000</v>
      </c>
      <c r="J402" s="187">
        <v>40000</v>
      </c>
      <c r="K402" s="187">
        <f t="shared" si="427"/>
        <v>8000</v>
      </c>
      <c r="L402" s="187">
        <v>40000</v>
      </c>
      <c r="M402" s="110">
        <v>9.5</v>
      </c>
      <c r="N402" s="110">
        <f>VLOOKUP(DATE(YEAR(A402),MONTH(A402),DAY(A402)),FY24_Temp[],3,FALSE)</f>
        <v>12.8</v>
      </c>
      <c r="O402" s="110">
        <f t="shared" si="411"/>
        <v>11.5</v>
      </c>
      <c r="P402" s="110">
        <f t="shared" si="412"/>
        <v>19.5</v>
      </c>
      <c r="Q402" s="111">
        <f>VLOOKUP(VLOOKUP(DATEVALUE(TEXT(A402,"m/d/yyyy")),FY24_Temp[],5,FALSE)&amp;TEXT(A402,"-h"),TempDelta[],4,FALSE)</f>
        <v>0.97514284508568905</v>
      </c>
      <c r="R402" s="112">
        <v>10</v>
      </c>
      <c r="S402" s="112">
        <v>1500</v>
      </c>
      <c r="T402" s="99">
        <f>VLOOKUP(TEXT(A402,"yy-mm")&amp;"-"&amp;IF(AND(WEEKDAY(A402)&gt;1,WEEKDAY(A402)&lt;7),"Wkd",TEXT(A402,"Ddd"))&amp;"-"&amp;TEXT(A402,"hh"),LoadTable[],3,FALSE)*0.92</f>
        <v>494.57360000000006</v>
      </c>
      <c r="U402" s="113">
        <f t="shared" si="413"/>
        <v>49.457360000000008</v>
      </c>
    </row>
    <row r="403" spans="1:21" ht="15" thickBot="1">
      <c r="A403" s="29">
        <f t="shared" si="383"/>
        <v>45852.666666667676</v>
      </c>
      <c r="B403" s="187">
        <f t="shared" ref="B403:L403" si="428">B427</f>
        <v>8000</v>
      </c>
      <c r="C403" s="187">
        <f t="shared" si="428"/>
        <v>25000</v>
      </c>
      <c r="D403" s="187">
        <v>0</v>
      </c>
      <c r="E403" s="187">
        <v>700</v>
      </c>
      <c r="F403" s="187">
        <v>15000</v>
      </c>
      <c r="G403" s="187">
        <f t="shared" si="428"/>
        <v>2400</v>
      </c>
      <c r="H403" s="187">
        <f t="shared" si="428"/>
        <v>25000</v>
      </c>
      <c r="I403" s="187">
        <f t="shared" si="428"/>
        <v>8000</v>
      </c>
      <c r="J403" s="187">
        <v>40000</v>
      </c>
      <c r="K403" s="187">
        <f t="shared" si="428"/>
        <v>8000</v>
      </c>
      <c r="L403" s="187">
        <v>40000</v>
      </c>
      <c r="M403" s="110">
        <v>9.5</v>
      </c>
      <c r="N403" s="110">
        <f>VLOOKUP(DATE(YEAR(A403),MONTH(A403),DAY(A403)),FY24_Temp[],3,FALSE)</f>
        <v>12.8</v>
      </c>
      <c r="O403" s="110">
        <f t="shared" si="411"/>
        <v>11.5</v>
      </c>
      <c r="P403" s="110">
        <f t="shared" si="412"/>
        <v>19.5</v>
      </c>
      <c r="Q403" s="111">
        <f>VLOOKUP(VLOOKUP(DATEVALUE(TEXT(A403,"m/d/yyyy")),FY24_Temp[],5,FALSE)&amp;TEXT(A403,"-h"),TempDelta[],4,FALSE)</f>
        <v>0.88578571166310993</v>
      </c>
      <c r="R403" s="112">
        <v>10</v>
      </c>
      <c r="S403" s="112">
        <v>1500</v>
      </c>
      <c r="T403" s="99">
        <f>VLOOKUP(TEXT(A403,"yy-mm")&amp;"-"&amp;IF(AND(WEEKDAY(A403)&gt;1,WEEKDAY(A403)&lt;7),"Wkd",TEXT(A403,"Ddd"))&amp;"-"&amp;TEXT(A403,"hh"),LoadTable[],3,FALSE)*0.92</f>
        <v>494.57360000000006</v>
      </c>
      <c r="U403" s="113">
        <f t="shared" si="413"/>
        <v>49.457360000000008</v>
      </c>
    </row>
    <row r="404" spans="1:21" ht="15" thickBot="1">
      <c r="A404" s="29">
        <f t="shared" si="383"/>
        <v>45852.70833333434</v>
      </c>
      <c r="B404" s="187">
        <f t="shared" ref="B404:L404" si="429">B428</f>
        <v>8000</v>
      </c>
      <c r="C404" s="187">
        <f t="shared" si="429"/>
        <v>25000</v>
      </c>
      <c r="D404" s="187">
        <v>0</v>
      </c>
      <c r="E404" s="187">
        <v>700</v>
      </c>
      <c r="F404" s="187">
        <v>15000</v>
      </c>
      <c r="G404" s="187">
        <f t="shared" si="429"/>
        <v>2400</v>
      </c>
      <c r="H404" s="187">
        <f t="shared" si="429"/>
        <v>25000</v>
      </c>
      <c r="I404" s="187">
        <f t="shared" si="429"/>
        <v>8000</v>
      </c>
      <c r="J404" s="187">
        <v>40000</v>
      </c>
      <c r="K404" s="187">
        <f t="shared" si="429"/>
        <v>8000</v>
      </c>
      <c r="L404" s="187">
        <v>40000</v>
      </c>
      <c r="M404" s="110">
        <v>9.5</v>
      </c>
      <c r="N404" s="110">
        <f>VLOOKUP(DATE(YEAR(A404),MONTH(A404),DAY(A404)),FY24_Temp[],3,FALSE)</f>
        <v>12.8</v>
      </c>
      <c r="O404" s="110">
        <f t="shared" si="411"/>
        <v>11.5</v>
      </c>
      <c r="P404" s="110">
        <f t="shared" si="412"/>
        <v>19.5</v>
      </c>
      <c r="Q404" s="111">
        <f>VLOOKUP(VLOOKUP(DATEVALUE(TEXT(A404,"m/d/yyyy")),FY24_Temp[],5,FALSE)&amp;TEXT(A404,"-h"),TempDelta[],4,FALSE)</f>
        <v>1.0356428495475225</v>
      </c>
      <c r="R404" s="112">
        <v>10</v>
      </c>
      <c r="S404" s="112">
        <v>1500</v>
      </c>
      <c r="T404" s="99">
        <f>VLOOKUP(TEXT(A404,"yy-mm")&amp;"-"&amp;IF(AND(WEEKDAY(A404)&gt;1,WEEKDAY(A404)&lt;7),"Wkd",TEXT(A404,"Ddd"))&amp;"-"&amp;TEXT(A404,"hh"),LoadTable[],3,FALSE)*0.92</f>
        <v>494.57360000000006</v>
      </c>
      <c r="U404" s="113">
        <f t="shared" si="413"/>
        <v>49.457360000000008</v>
      </c>
    </row>
    <row r="405" spans="1:21" ht="15" thickBot="1">
      <c r="A405" s="29">
        <f t="shared" si="383"/>
        <v>45852.750000001004</v>
      </c>
      <c r="B405" s="187">
        <f t="shared" ref="B405:L405" si="430">B429</f>
        <v>5000</v>
      </c>
      <c r="C405" s="187">
        <f t="shared" si="430"/>
        <v>25000</v>
      </c>
      <c r="D405" s="187">
        <v>0</v>
      </c>
      <c r="E405" s="187">
        <v>700</v>
      </c>
      <c r="F405" s="187">
        <v>15000</v>
      </c>
      <c r="G405" s="187">
        <f t="shared" si="430"/>
        <v>2400</v>
      </c>
      <c r="H405" s="187">
        <f t="shared" si="430"/>
        <v>25000</v>
      </c>
      <c r="I405" s="187">
        <f t="shared" si="430"/>
        <v>5000</v>
      </c>
      <c r="J405" s="187">
        <v>40000</v>
      </c>
      <c r="K405" s="187">
        <f t="shared" si="430"/>
        <v>5000</v>
      </c>
      <c r="L405" s="187">
        <v>40000</v>
      </c>
      <c r="M405" s="110">
        <v>9.5</v>
      </c>
      <c r="N405" s="110">
        <f>VLOOKUP(DATE(YEAR(A405),MONTH(A405),DAY(A405)),FY24_Temp[],3,FALSE)</f>
        <v>12.8</v>
      </c>
      <c r="O405" s="110">
        <f t="shared" si="411"/>
        <v>11.5</v>
      </c>
      <c r="P405" s="110">
        <f t="shared" si="412"/>
        <v>19.5</v>
      </c>
      <c r="Q405" s="111">
        <f>VLOOKUP(VLOOKUP(DATEVALUE(TEXT(A405,"m/d/yyyy")),FY24_Temp[],5,FALSE)&amp;TEXT(A405,"-h"),TempDelta[],4,FALSE)</f>
        <v>1.3991428358214242</v>
      </c>
      <c r="R405" s="112">
        <v>10</v>
      </c>
      <c r="S405" s="112">
        <v>1500</v>
      </c>
      <c r="T405" s="99">
        <f>VLOOKUP(TEXT(A405,"yy-mm")&amp;"-"&amp;IF(AND(WEEKDAY(A405)&gt;1,WEEKDAY(A405)&lt;7),"Wkd",TEXT(A405,"Ddd"))&amp;"-"&amp;TEXT(A405,"hh"),LoadTable[],3,FALSE)*0.92</f>
        <v>494.57360000000006</v>
      </c>
      <c r="U405" s="113">
        <f t="shared" si="413"/>
        <v>49.457360000000008</v>
      </c>
    </row>
    <row r="406" spans="1:21" ht="15" thickBot="1">
      <c r="A406" s="29">
        <f t="shared" si="383"/>
        <v>45852.791666667668</v>
      </c>
      <c r="B406" s="187">
        <f t="shared" ref="B406:L406" si="431">B430</f>
        <v>5000</v>
      </c>
      <c r="C406" s="187">
        <f t="shared" si="431"/>
        <v>25000</v>
      </c>
      <c r="D406" s="187">
        <v>0</v>
      </c>
      <c r="E406" s="187">
        <v>700</v>
      </c>
      <c r="F406" s="187">
        <v>15000</v>
      </c>
      <c r="G406" s="187">
        <f t="shared" si="431"/>
        <v>2400</v>
      </c>
      <c r="H406" s="187">
        <f t="shared" si="431"/>
        <v>25000</v>
      </c>
      <c r="I406" s="187">
        <f t="shared" si="431"/>
        <v>5000</v>
      </c>
      <c r="J406" s="187">
        <v>40000</v>
      </c>
      <c r="K406" s="187">
        <f t="shared" si="431"/>
        <v>5000</v>
      </c>
      <c r="L406" s="187">
        <v>40000</v>
      </c>
      <c r="M406" s="110">
        <v>9.5</v>
      </c>
      <c r="N406" s="110">
        <f>VLOOKUP(DATE(YEAR(A406),MONTH(A406),DAY(A406)),FY24_Temp[],3,FALSE)</f>
        <v>12.8</v>
      </c>
      <c r="O406" s="110">
        <f t="shared" si="411"/>
        <v>11.5</v>
      </c>
      <c r="P406" s="110">
        <f t="shared" si="412"/>
        <v>19.5</v>
      </c>
      <c r="Q406" s="111">
        <f>VLOOKUP(VLOOKUP(DATEVALUE(TEXT(A406,"m/d/yyyy")),FY24_Temp[],5,FALSE)&amp;TEXT(A406,"-h"),TempDelta[],4,FALSE)</f>
        <v>1.8638571415628706</v>
      </c>
      <c r="R406" s="112">
        <v>10</v>
      </c>
      <c r="S406" s="112">
        <v>1500</v>
      </c>
      <c r="T406" s="99">
        <f>VLOOKUP(TEXT(A406,"yy-mm")&amp;"-"&amp;IF(AND(WEEKDAY(A406)&gt;1,WEEKDAY(A406)&lt;7),"Wkd",TEXT(A406,"Ddd"))&amp;"-"&amp;TEXT(A406,"hh"),LoadTable[],3,FALSE)*0.92</f>
        <v>494.57360000000006</v>
      </c>
      <c r="U406" s="113">
        <f t="shared" si="413"/>
        <v>49.457360000000008</v>
      </c>
    </row>
    <row r="407" spans="1:21" ht="15" thickBot="1">
      <c r="A407" s="29">
        <f t="shared" si="383"/>
        <v>45852.833333334333</v>
      </c>
      <c r="B407" s="187">
        <f t="shared" ref="B407:L407" si="432">B431</f>
        <v>5000</v>
      </c>
      <c r="C407" s="187">
        <f t="shared" si="432"/>
        <v>25000</v>
      </c>
      <c r="D407" s="187">
        <v>0</v>
      </c>
      <c r="E407" s="187">
        <v>700</v>
      </c>
      <c r="F407" s="187">
        <v>15000</v>
      </c>
      <c r="G407" s="187">
        <f t="shared" si="432"/>
        <v>2400</v>
      </c>
      <c r="H407" s="187">
        <f t="shared" si="432"/>
        <v>25000</v>
      </c>
      <c r="I407" s="187">
        <f t="shared" si="432"/>
        <v>5000</v>
      </c>
      <c r="J407" s="187">
        <v>40000</v>
      </c>
      <c r="K407" s="187">
        <f t="shared" si="432"/>
        <v>5000</v>
      </c>
      <c r="L407" s="187">
        <v>40000</v>
      </c>
      <c r="M407" s="110">
        <v>9.5</v>
      </c>
      <c r="N407" s="110">
        <f>VLOOKUP(DATE(YEAR(A407),MONTH(A407),DAY(A407)),FY24_Temp[],3,FALSE)</f>
        <v>12.8</v>
      </c>
      <c r="O407" s="110">
        <f t="shared" si="411"/>
        <v>11.5</v>
      </c>
      <c r="P407" s="110">
        <f t="shared" si="412"/>
        <v>19.5</v>
      </c>
      <c r="Q407" s="111">
        <f>VLOOKUP(VLOOKUP(DATEVALUE(TEXT(A407,"m/d/yyyy")),FY24_Temp[],5,FALSE)&amp;TEXT(A407,"-h"),TempDelta[],4,FALSE)</f>
        <v>2.300714305468968</v>
      </c>
      <c r="R407" s="112">
        <v>10</v>
      </c>
      <c r="S407" s="112">
        <v>1500</v>
      </c>
      <c r="T407" s="99">
        <f>VLOOKUP(TEXT(A407,"yy-mm")&amp;"-"&amp;IF(AND(WEEKDAY(A407)&gt;1,WEEKDAY(A407)&lt;7),"Wkd",TEXT(A407,"Ddd"))&amp;"-"&amp;TEXT(A407,"hh"),LoadTable[],3,FALSE)*0.92</f>
        <v>494.57360000000006</v>
      </c>
      <c r="U407" s="113">
        <f t="shared" si="413"/>
        <v>49.457360000000008</v>
      </c>
    </row>
    <row r="408" spans="1:21" ht="15" thickBot="1">
      <c r="A408" s="29">
        <f t="shared" si="383"/>
        <v>45852.875000000997</v>
      </c>
      <c r="B408" s="187">
        <f t="shared" ref="B408:L408" si="433">B432</f>
        <v>5000</v>
      </c>
      <c r="C408" s="187">
        <f t="shared" si="433"/>
        <v>25000</v>
      </c>
      <c r="D408" s="187">
        <v>0</v>
      </c>
      <c r="E408" s="187">
        <v>700</v>
      </c>
      <c r="F408" s="187">
        <v>15000</v>
      </c>
      <c r="G408" s="187">
        <f t="shared" si="433"/>
        <v>2400</v>
      </c>
      <c r="H408" s="187">
        <f t="shared" si="433"/>
        <v>25000</v>
      </c>
      <c r="I408" s="187">
        <f t="shared" si="433"/>
        <v>5000</v>
      </c>
      <c r="J408" s="187">
        <v>40000</v>
      </c>
      <c r="K408" s="187">
        <f t="shared" si="433"/>
        <v>5000</v>
      </c>
      <c r="L408" s="187">
        <v>40000</v>
      </c>
      <c r="M408" s="110">
        <v>9.5</v>
      </c>
      <c r="N408" s="110">
        <f>VLOOKUP(DATE(YEAR(A408),MONTH(A408),DAY(A408)),FY24_Temp[],3,FALSE)</f>
        <v>12.8</v>
      </c>
      <c r="O408" s="110">
        <f t="shared" si="411"/>
        <v>11.5</v>
      </c>
      <c r="P408" s="110">
        <f t="shared" si="412"/>
        <v>19.5</v>
      </c>
      <c r="Q408" s="111">
        <f>VLOOKUP(VLOOKUP(DATEVALUE(TEXT(A408,"m/d/yyyy")),FY24_Temp[],5,FALSE)&amp;TEXT(A408,"-h"),TempDelta[],4,FALSE)</f>
        <v>2.554214222090585</v>
      </c>
      <c r="R408" s="112">
        <v>10</v>
      </c>
      <c r="S408" s="112">
        <v>1500</v>
      </c>
      <c r="T408" s="99">
        <f>VLOOKUP(TEXT(A408,"yy-mm")&amp;"-"&amp;IF(AND(WEEKDAY(A408)&gt;1,WEEKDAY(A408)&lt;7),"Wkd",TEXT(A408,"Ddd"))&amp;"-"&amp;TEXT(A408,"hh"),LoadTable[],3,FALSE)*0.92</f>
        <v>494.57360000000006</v>
      </c>
      <c r="U408" s="113">
        <f t="shared" si="413"/>
        <v>49.457360000000008</v>
      </c>
    </row>
    <row r="409" spans="1:21" ht="15" thickBot="1">
      <c r="A409" s="29">
        <f t="shared" si="383"/>
        <v>45852.916666667661</v>
      </c>
      <c r="B409" s="187">
        <f t="shared" ref="B409:L409" si="434">B433</f>
        <v>5000</v>
      </c>
      <c r="C409" s="187">
        <f t="shared" si="434"/>
        <v>25000</v>
      </c>
      <c r="D409" s="187">
        <v>0</v>
      </c>
      <c r="E409" s="187">
        <v>700</v>
      </c>
      <c r="F409" s="187">
        <v>15000</v>
      </c>
      <c r="G409" s="187">
        <f t="shared" si="434"/>
        <v>2400</v>
      </c>
      <c r="H409" s="187">
        <f t="shared" si="434"/>
        <v>25000</v>
      </c>
      <c r="I409" s="187">
        <f t="shared" si="434"/>
        <v>5000</v>
      </c>
      <c r="J409" s="187">
        <v>40000</v>
      </c>
      <c r="K409" s="187">
        <f t="shared" si="434"/>
        <v>5000</v>
      </c>
      <c r="L409" s="187">
        <v>40000</v>
      </c>
      <c r="M409" s="110">
        <v>9.5</v>
      </c>
      <c r="N409" s="110">
        <f>VLOOKUP(DATE(YEAR(A409),MONTH(A409),DAY(A409)),FY24_Temp[],3,FALSE)</f>
        <v>12.8</v>
      </c>
      <c r="O409" s="110">
        <f t="shared" si="411"/>
        <v>11.5</v>
      </c>
      <c r="P409" s="110">
        <f t="shared" si="412"/>
        <v>19.5</v>
      </c>
      <c r="Q409" s="111">
        <f>VLOOKUP(VLOOKUP(DATEVALUE(TEXT(A409,"m/d/yyyy")),FY24_Temp[],5,FALSE)&amp;TEXT(A409,"-h"),TempDelta[],4,FALSE)</f>
        <v>2.7827142647334506</v>
      </c>
      <c r="R409" s="112">
        <v>10</v>
      </c>
      <c r="S409" s="112">
        <v>1500</v>
      </c>
      <c r="T409" s="99">
        <f>VLOOKUP(TEXT(A409,"yy-mm")&amp;"-"&amp;IF(AND(WEEKDAY(A409)&gt;1,WEEKDAY(A409)&lt;7),"Wkd",TEXT(A409,"Ddd"))&amp;"-"&amp;TEXT(A409,"hh"),LoadTable[],3,FALSE)*0.92</f>
        <v>418.75640000000004</v>
      </c>
      <c r="U409" s="113">
        <f t="shared" si="413"/>
        <v>41.875640000000004</v>
      </c>
    </row>
    <row r="410" spans="1:21" ht="15" thickBot="1">
      <c r="A410" s="29">
        <f t="shared" si="383"/>
        <v>45852.958333334325</v>
      </c>
      <c r="B410" s="187">
        <f t="shared" ref="B410:L410" si="435">B434</f>
        <v>5000</v>
      </c>
      <c r="C410" s="187">
        <f t="shared" si="435"/>
        <v>25000</v>
      </c>
      <c r="D410" s="187">
        <v>0</v>
      </c>
      <c r="E410" s="187">
        <v>700</v>
      </c>
      <c r="F410" s="187">
        <v>15000</v>
      </c>
      <c r="G410" s="187">
        <f t="shared" si="435"/>
        <v>2400</v>
      </c>
      <c r="H410" s="187">
        <f t="shared" si="435"/>
        <v>25000</v>
      </c>
      <c r="I410" s="187">
        <f t="shared" si="435"/>
        <v>5000</v>
      </c>
      <c r="J410" s="187">
        <v>40000</v>
      </c>
      <c r="K410" s="187">
        <f t="shared" si="435"/>
        <v>5000</v>
      </c>
      <c r="L410" s="187">
        <v>40000</v>
      </c>
      <c r="M410" s="110">
        <v>9.5</v>
      </c>
      <c r="N410" s="110">
        <f>VLOOKUP(DATE(YEAR(A410),MONTH(A410),DAY(A410)),FY24_Temp[],3,FALSE)</f>
        <v>12.8</v>
      </c>
      <c r="O410" s="110">
        <f t="shared" si="411"/>
        <v>11.5</v>
      </c>
      <c r="P410" s="110">
        <f t="shared" si="412"/>
        <v>19.5</v>
      </c>
      <c r="Q410" s="111">
        <f>VLOOKUP(VLOOKUP(DATEVALUE(TEXT(A410,"m/d/yyyy")),FY24_Temp[],5,FALSE)&amp;TEXT(A410,"-h"),TempDelta[],4,FALSE)</f>
        <v>2.8792857101985385</v>
      </c>
      <c r="R410" s="112">
        <v>10</v>
      </c>
      <c r="S410" s="112">
        <v>1500</v>
      </c>
      <c r="T410" s="99">
        <f>VLOOKUP(TEXT(A410,"yy-mm")&amp;"-"&amp;IF(AND(WEEKDAY(A410)&gt;1,WEEKDAY(A410)&lt;7),"Wkd",TEXT(A410,"Ddd"))&amp;"-"&amp;TEXT(A410,"hh"),LoadTable[],3,FALSE)*0.92</f>
        <v>342.93920000000003</v>
      </c>
      <c r="U410" s="113">
        <f t="shared" si="413"/>
        <v>34.29392</v>
      </c>
    </row>
    <row r="411" spans="1:21" ht="15" thickBot="1">
      <c r="A411" s="29">
        <f t="shared" si="383"/>
        <v>45853.00000000099</v>
      </c>
      <c r="B411" s="187">
        <f t="shared" ref="B411:L411" si="436">B435</f>
        <v>5000</v>
      </c>
      <c r="C411" s="187">
        <f t="shared" si="436"/>
        <v>25000</v>
      </c>
      <c r="D411" s="187">
        <v>0</v>
      </c>
      <c r="E411" s="187">
        <v>700</v>
      </c>
      <c r="F411" s="187">
        <v>15000</v>
      </c>
      <c r="G411" s="187">
        <f t="shared" si="436"/>
        <v>2400</v>
      </c>
      <c r="H411" s="187">
        <f t="shared" si="436"/>
        <v>25000</v>
      </c>
      <c r="I411" s="187">
        <f t="shared" si="436"/>
        <v>5000</v>
      </c>
      <c r="J411" s="187">
        <v>40000</v>
      </c>
      <c r="K411" s="187">
        <f t="shared" si="436"/>
        <v>5000</v>
      </c>
      <c r="L411" s="187">
        <v>40000</v>
      </c>
      <c r="M411" s="110">
        <v>9.5</v>
      </c>
      <c r="N411" s="110">
        <f>VLOOKUP(DATE(YEAR(A411),MONTH(A411),DAY(A411)),FY24_Temp[],3,FALSE)</f>
        <v>12.8</v>
      </c>
      <c r="O411" s="110">
        <f t="shared" si="411"/>
        <v>11.5</v>
      </c>
      <c r="P411" s="110">
        <f t="shared" si="412"/>
        <v>19.5</v>
      </c>
      <c r="Q411" s="111">
        <f>VLOOKUP(VLOOKUP(DATEVALUE(TEXT(A411,"m/d/yyyy")),FY24_Temp[],5,FALSE)&amp;TEXT(A411,"-h"),TempDelta[],4,FALSE)</f>
        <v>3.0441428933824812</v>
      </c>
      <c r="R411" s="112">
        <v>10</v>
      </c>
      <c r="S411" s="112">
        <v>1500</v>
      </c>
      <c r="T411" s="99">
        <f>VLOOKUP(TEXT(A411,"yy-mm")&amp;"-"&amp;IF(AND(WEEKDAY(A411)&gt;1,WEEKDAY(A411)&lt;7),"Wkd",TEXT(A411,"Ddd"))&amp;"-"&amp;TEXT(A411,"hh"),LoadTable[],3,FALSE)*0.92</f>
        <v>279.25312000000002</v>
      </c>
      <c r="U411" s="113">
        <f t="shared" si="413"/>
        <v>27.925312000000002</v>
      </c>
    </row>
    <row r="412" spans="1:21" ht="15" thickBot="1">
      <c r="A412" s="29">
        <f t="shared" si="383"/>
        <v>45853.041666667654</v>
      </c>
      <c r="B412" s="187">
        <f t="shared" ref="B412:L412" si="437">B436</f>
        <v>5000</v>
      </c>
      <c r="C412" s="187">
        <f t="shared" si="437"/>
        <v>25000</v>
      </c>
      <c r="D412" s="187">
        <v>0</v>
      </c>
      <c r="E412" s="187">
        <v>700</v>
      </c>
      <c r="F412" s="187">
        <v>15000</v>
      </c>
      <c r="G412" s="187">
        <f t="shared" si="437"/>
        <v>2400</v>
      </c>
      <c r="H412" s="187">
        <f t="shared" si="437"/>
        <v>25000</v>
      </c>
      <c r="I412" s="187">
        <f t="shared" si="437"/>
        <v>5000</v>
      </c>
      <c r="J412" s="187">
        <v>40000</v>
      </c>
      <c r="K412" s="187">
        <f t="shared" si="437"/>
        <v>5000</v>
      </c>
      <c r="L412" s="187">
        <v>40000</v>
      </c>
      <c r="M412" s="110">
        <v>9.5</v>
      </c>
      <c r="N412" s="110">
        <f>VLOOKUP(DATE(YEAR(A412),MONTH(A412),DAY(A412)),FY24_Temp[],3,FALSE)</f>
        <v>12.8</v>
      </c>
      <c r="O412" s="110">
        <f t="shared" si="411"/>
        <v>11.5</v>
      </c>
      <c r="P412" s="110">
        <f t="shared" si="412"/>
        <v>19.5</v>
      </c>
      <c r="Q412" s="111">
        <f>VLOOKUP(VLOOKUP(DATEVALUE(TEXT(A412,"m/d/yyyy")),FY24_Temp[],5,FALSE)&amp;TEXT(A412,"-h"),TempDelta[],4,FALSE)</f>
        <v>3.0992857047489712</v>
      </c>
      <c r="R412" s="112">
        <v>10</v>
      </c>
      <c r="S412" s="112">
        <v>1500</v>
      </c>
      <c r="T412" s="99">
        <f>VLOOKUP(TEXT(A412,"yy-mm")&amp;"-"&amp;IF(AND(WEEKDAY(A412)&gt;1,WEEKDAY(A412)&lt;7),"Wkd",TEXT(A412,"Ddd"))&amp;"-"&amp;TEXT(A412,"hh"),LoadTable[],3,FALSE)*0.92</f>
        <v>279.25312000000002</v>
      </c>
      <c r="U412" s="113">
        <f t="shared" si="413"/>
        <v>27.925312000000002</v>
      </c>
    </row>
    <row r="413" spans="1:21" ht="15" thickBot="1">
      <c r="A413" s="29">
        <f t="shared" si="383"/>
        <v>45853.083333334318</v>
      </c>
      <c r="B413" s="187">
        <f t="shared" ref="B413:L413" si="438">B437</f>
        <v>5000</v>
      </c>
      <c r="C413" s="187">
        <f t="shared" si="438"/>
        <v>25000</v>
      </c>
      <c r="D413" s="187">
        <v>0</v>
      </c>
      <c r="E413" s="187">
        <v>700</v>
      </c>
      <c r="F413" s="187">
        <v>15000</v>
      </c>
      <c r="G413" s="187">
        <f t="shared" si="438"/>
        <v>2400</v>
      </c>
      <c r="H413" s="187">
        <f t="shared" si="438"/>
        <v>25000</v>
      </c>
      <c r="I413" s="187">
        <f t="shared" si="438"/>
        <v>5000</v>
      </c>
      <c r="J413" s="187">
        <v>40000</v>
      </c>
      <c r="K413" s="187">
        <f t="shared" si="438"/>
        <v>5000</v>
      </c>
      <c r="L413" s="187">
        <v>40000</v>
      </c>
      <c r="M413" s="110">
        <v>9.5</v>
      </c>
      <c r="N413" s="110">
        <f>VLOOKUP(DATE(YEAR(A413),MONTH(A413),DAY(A413)),FY24_Temp[],3,FALSE)</f>
        <v>12.8</v>
      </c>
      <c r="O413" s="110">
        <f t="shared" si="411"/>
        <v>11.5</v>
      </c>
      <c r="P413" s="110">
        <f t="shared" si="412"/>
        <v>19.5</v>
      </c>
      <c r="Q413" s="111">
        <f>VLOOKUP(VLOOKUP(DATEVALUE(TEXT(A413,"m/d/yyyy")),FY24_Temp[],5,FALSE)&amp;TEXT(A413,"-h"),TempDelta[],4,FALSE)</f>
        <v>3.1050000190734863</v>
      </c>
      <c r="R413" s="112">
        <v>10</v>
      </c>
      <c r="S413" s="112">
        <v>1500</v>
      </c>
      <c r="T413" s="99">
        <f>VLOOKUP(TEXT(A413,"yy-mm")&amp;"-"&amp;IF(AND(WEEKDAY(A413)&gt;1,WEEKDAY(A413)&lt;7),"Wkd",TEXT(A413,"Ddd"))&amp;"-"&amp;TEXT(A413,"hh"),LoadTable[],3,FALSE)*0.92</f>
        <v>279.25312000000002</v>
      </c>
      <c r="U413" s="113">
        <f t="shared" si="413"/>
        <v>27.925312000000002</v>
      </c>
    </row>
    <row r="414" spans="1:21" ht="15" thickBot="1">
      <c r="A414" s="29">
        <f t="shared" si="383"/>
        <v>45853.125000000982</v>
      </c>
      <c r="B414" s="187">
        <f t="shared" ref="B414:L414" si="439">B438</f>
        <v>5000</v>
      </c>
      <c r="C414" s="187">
        <f t="shared" si="439"/>
        <v>25000</v>
      </c>
      <c r="D414" s="187">
        <v>0</v>
      </c>
      <c r="E414" s="187">
        <v>700</v>
      </c>
      <c r="F414" s="187">
        <v>15000</v>
      </c>
      <c r="G414" s="187">
        <f t="shared" si="439"/>
        <v>2400</v>
      </c>
      <c r="H414" s="187">
        <f t="shared" si="439"/>
        <v>25000</v>
      </c>
      <c r="I414" s="187">
        <f t="shared" si="439"/>
        <v>5000</v>
      </c>
      <c r="J414" s="187">
        <v>40000</v>
      </c>
      <c r="K414" s="187">
        <f t="shared" si="439"/>
        <v>5000</v>
      </c>
      <c r="L414" s="187">
        <v>40000</v>
      </c>
      <c r="M414" s="110">
        <v>9.5</v>
      </c>
      <c r="N414" s="110">
        <f>VLOOKUP(DATE(YEAR(A414),MONTH(A414),DAY(A414)),FY24_Temp[],3,FALSE)</f>
        <v>12.8</v>
      </c>
      <c r="O414" s="110">
        <f t="shared" si="411"/>
        <v>11.5</v>
      </c>
      <c r="P414" s="110">
        <f t="shared" si="412"/>
        <v>19.5</v>
      </c>
      <c r="Q414" s="111">
        <f>VLOOKUP(VLOOKUP(DATEVALUE(TEXT(A414,"m/d/yyyy")),FY24_Temp[],5,FALSE)&amp;TEXT(A414,"-h"),TempDelta[],4,FALSE)</f>
        <v>3.0428571701049805</v>
      </c>
      <c r="R414" s="112">
        <v>10</v>
      </c>
      <c r="S414" s="112">
        <v>1500</v>
      </c>
      <c r="T414" s="99">
        <f>VLOOKUP(TEXT(A414,"yy-mm")&amp;"-"&amp;IF(AND(WEEKDAY(A414)&gt;1,WEEKDAY(A414)&lt;7),"Wkd",TEXT(A414,"Ddd"))&amp;"-"&amp;TEXT(A414,"hh"),LoadTable[],3,FALSE)*0.92</f>
        <v>279.25312000000002</v>
      </c>
      <c r="U414" s="113">
        <f t="shared" si="413"/>
        <v>27.925312000000002</v>
      </c>
    </row>
    <row r="415" spans="1:21" ht="15" thickBot="1">
      <c r="A415" s="29">
        <f t="shared" si="383"/>
        <v>45853.166666667646</v>
      </c>
      <c r="B415" s="187">
        <f t="shared" ref="B415:L415" si="440">B439</f>
        <v>5000</v>
      </c>
      <c r="C415" s="187">
        <f t="shared" si="440"/>
        <v>25000</v>
      </c>
      <c r="D415" s="187">
        <v>0</v>
      </c>
      <c r="E415" s="187">
        <v>700</v>
      </c>
      <c r="F415" s="187">
        <v>15000</v>
      </c>
      <c r="G415" s="187">
        <f t="shared" si="440"/>
        <v>2400</v>
      </c>
      <c r="H415" s="187">
        <f t="shared" si="440"/>
        <v>25000</v>
      </c>
      <c r="I415" s="187">
        <f t="shared" si="440"/>
        <v>5000</v>
      </c>
      <c r="J415" s="187">
        <v>40000</v>
      </c>
      <c r="K415" s="187">
        <f t="shared" si="440"/>
        <v>5000</v>
      </c>
      <c r="L415" s="187">
        <v>40000</v>
      </c>
      <c r="M415" s="110">
        <v>9.5</v>
      </c>
      <c r="N415" s="110">
        <f>VLOOKUP(DATE(YEAR(A415),MONTH(A415),DAY(A415)),FY24_Temp[],3,FALSE)</f>
        <v>12.8</v>
      </c>
      <c r="O415" s="110">
        <f t="shared" si="411"/>
        <v>11.5</v>
      </c>
      <c r="P415" s="110">
        <f t="shared" si="412"/>
        <v>19.5</v>
      </c>
      <c r="Q415" s="111">
        <f>VLOOKUP(VLOOKUP(DATEVALUE(TEXT(A415,"m/d/yyyy")),FY24_Temp[],5,FALSE)&amp;TEXT(A415,"-h"),TempDelta[],4,FALSE)</f>
        <v>2.9580000468662808</v>
      </c>
      <c r="R415" s="112">
        <v>10</v>
      </c>
      <c r="S415" s="112">
        <v>1500</v>
      </c>
      <c r="T415" s="99">
        <f>VLOOKUP(TEXT(A415,"yy-mm")&amp;"-"&amp;IF(AND(WEEKDAY(A415)&gt;1,WEEKDAY(A415)&lt;7),"Wkd",TEXT(A415,"Ddd"))&amp;"-"&amp;TEXT(A415,"hh"),LoadTable[],3,FALSE)*0.92</f>
        <v>279.25312000000002</v>
      </c>
      <c r="U415" s="113">
        <f t="shared" si="413"/>
        <v>27.925312000000002</v>
      </c>
    </row>
    <row r="416" spans="1:21" ht="15" thickBot="1">
      <c r="A416" s="29">
        <f t="shared" si="383"/>
        <v>45853.208333334311</v>
      </c>
      <c r="B416" s="187">
        <f t="shared" ref="B416:L416" si="441">B440</f>
        <v>5000</v>
      </c>
      <c r="C416" s="187">
        <f t="shared" si="441"/>
        <v>25000</v>
      </c>
      <c r="D416" s="187">
        <v>0</v>
      </c>
      <c r="E416" s="187">
        <v>700</v>
      </c>
      <c r="F416" s="187">
        <v>15000</v>
      </c>
      <c r="G416" s="187">
        <f t="shared" si="441"/>
        <v>2400</v>
      </c>
      <c r="H416" s="187">
        <f t="shared" si="441"/>
        <v>25000</v>
      </c>
      <c r="I416" s="187">
        <f t="shared" si="441"/>
        <v>5000</v>
      </c>
      <c r="J416" s="187">
        <v>40000</v>
      </c>
      <c r="K416" s="187">
        <f t="shared" si="441"/>
        <v>5000</v>
      </c>
      <c r="L416" s="187">
        <v>40000</v>
      </c>
      <c r="M416" s="110">
        <v>9.5</v>
      </c>
      <c r="N416" s="110">
        <f>VLOOKUP(DATE(YEAR(A416),MONTH(A416),DAY(A416)),FY24_Temp[],3,FALSE)</f>
        <v>12.8</v>
      </c>
      <c r="O416" s="110">
        <f t="shared" si="411"/>
        <v>11.5</v>
      </c>
      <c r="P416" s="110">
        <f t="shared" si="412"/>
        <v>19.5</v>
      </c>
      <c r="Q416" s="111">
        <f>VLOOKUP(VLOOKUP(DATEVALUE(TEXT(A416,"m/d/yyyy")),FY24_Temp[],5,FALSE)&amp;TEXT(A416,"-h"),TempDelta[],4,FALSE)</f>
        <v>2.8608571801866804</v>
      </c>
      <c r="R416" s="112">
        <v>10</v>
      </c>
      <c r="S416" s="112">
        <v>1500</v>
      </c>
      <c r="T416" s="99">
        <f>VLOOKUP(TEXT(A416,"yy-mm")&amp;"-"&amp;IF(AND(WEEKDAY(A416)&gt;1,WEEKDAY(A416)&lt;7),"Wkd",TEXT(A416,"Ddd"))&amp;"-"&amp;TEXT(A416,"hh"),LoadTable[],3,FALSE)*0.92</f>
        <v>279.25312000000002</v>
      </c>
      <c r="U416" s="113">
        <f t="shared" si="413"/>
        <v>27.925312000000002</v>
      </c>
    </row>
    <row r="417" spans="1:21" ht="15" thickBot="1">
      <c r="A417" s="29">
        <f t="shared" si="383"/>
        <v>45853.250000000975</v>
      </c>
      <c r="B417" s="187">
        <f t="shared" ref="B417:L417" si="442">B441</f>
        <v>8000</v>
      </c>
      <c r="C417" s="187">
        <f t="shared" si="442"/>
        <v>25000</v>
      </c>
      <c r="D417" s="187">
        <v>0</v>
      </c>
      <c r="E417" s="187">
        <v>700</v>
      </c>
      <c r="F417" s="187">
        <v>15000</v>
      </c>
      <c r="G417" s="187">
        <f t="shared" si="442"/>
        <v>2400</v>
      </c>
      <c r="H417" s="187">
        <f t="shared" si="442"/>
        <v>25000</v>
      </c>
      <c r="I417" s="187">
        <f t="shared" si="442"/>
        <v>8000</v>
      </c>
      <c r="J417" s="187">
        <v>40000</v>
      </c>
      <c r="K417" s="187">
        <f t="shared" si="442"/>
        <v>8000</v>
      </c>
      <c r="L417" s="187">
        <v>40000</v>
      </c>
      <c r="M417" s="110">
        <v>9.5</v>
      </c>
      <c r="N417" s="110">
        <f>VLOOKUP(DATE(YEAR(A417),MONTH(A417),DAY(A417)),FY24_Temp[],3,FALSE)</f>
        <v>12.8</v>
      </c>
      <c r="O417" s="110">
        <f t="shared" si="411"/>
        <v>11.5</v>
      </c>
      <c r="P417" s="110">
        <f t="shared" si="412"/>
        <v>19.5</v>
      </c>
      <c r="Q417" s="111">
        <f>VLOOKUP(VLOOKUP(DATEVALUE(TEXT(A417,"m/d/yyyy")),FY24_Temp[],5,FALSE)&amp;TEXT(A417,"-h"),TempDelta[],4,FALSE)</f>
        <v>2.7405714307512556</v>
      </c>
      <c r="R417" s="112">
        <v>10</v>
      </c>
      <c r="S417" s="112">
        <v>1500</v>
      </c>
      <c r="T417" s="99">
        <f>VLOOKUP(TEXT(A417,"yy-mm")&amp;"-"&amp;IF(AND(WEEKDAY(A417)&gt;1,WEEKDAY(A417)&lt;7),"Wkd",TEXT(A417,"Ddd"))&amp;"-"&amp;TEXT(A417,"hh"),LoadTable[],3,FALSE)*0.92</f>
        <v>279.25312000000002</v>
      </c>
      <c r="U417" s="113">
        <f t="shared" si="413"/>
        <v>27.925312000000002</v>
      </c>
    </row>
    <row r="418" spans="1:21" ht="15" thickBot="1">
      <c r="A418" s="29">
        <f t="shared" si="383"/>
        <v>45853.291666667639</v>
      </c>
      <c r="B418" s="187">
        <f t="shared" ref="B418:L418" si="443">B442</f>
        <v>8000</v>
      </c>
      <c r="C418" s="187">
        <f t="shared" si="443"/>
        <v>25000</v>
      </c>
      <c r="D418" s="187">
        <v>0</v>
      </c>
      <c r="E418" s="187">
        <v>700</v>
      </c>
      <c r="F418" s="187">
        <v>15000</v>
      </c>
      <c r="G418" s="187">
        <f t="shared" si="443"/>
        <v>2400</v>
      </c>
      <c r="H418" s="187">
        <f t="shared" si="443"/>
        <v>25000</v>
      </c>
      <c r="I418" s="187">
        <f t="shared" si="443"/>
        <v>8000</v>
      </c>
      <c r="J418" s="187">
        <v>40000</v>
      </c>
      <c r="K418" s="187">
        <f t="shared" si="443"/>
        <v>8000</v>
      </c>
      <c r="L418" s="187">
        <v>40000</v>
      </c>
      <c r="M418" s="110">
        <v>9.5</v>
      </c>
      <c r="N418" s="110">
        <f>VLOOKUP(DATE(YEAR(A418),MONTH(A418),DAY(A418)),FY24_Temp[],3,FALSE)</f>
        <v>12.8</v>
      </c>
      <c r="O418" s="110">
        <f t="shared" si="411"/>
        <v>11.5</v>
      </c>
      <c r="P418" s="110">
        <f t="shared" si="412"/>
        <v>19.5</v>
      </c>
      <c r="Q418" s="111">
        <f>VLOOKUP(VLOOKUP(DATEVALUE(TEXT(A418,"m/d/yyyy")),FY24_Temp[],5,FALSE)&amp;TEXT(A418,"-h"),TempDelta[],4,FALSE)</f>
        <v>2.6134285245622908</v>
      </c>
      <c r="R418" s="112">
        <v>10</v>
      </c>
      <c r="S418" s="112">
        <v>1500</v>
      </c>
      <c r="T418" s="99">
        <f>VLOOKUP(TEXT(A418,"yy-mm")&amp;"-"&amp;IF(AND(WEEKDAY(A418)&gt;1,WEEKDAY(A418)&lt;7),"Wkd",TEXT(A418,"Ddd"))&amp;"-"&amp;TEXT(A418,"hh"),LoadTable[],3,FALSE)*0.92</f>
        <v>279.25312000000002</v>
      </c>
      <c r="U418" s="113">
        <f t="shared" si="413"/>
        <v>27.925312000000002</v>
      </c>
    </row>
    <row r="419" spans="1:21" ht="15" thickBot="1">
      <c r="A419" s="29">
        <f t="shared" si="383"/>
        <v>45853.333333334303</v>
      </c>
      <c r="B419" s="187">
        <f t="shared" ref="B419:L419" si="444">B443</f>
        <v>8000</v>
      </c>
      <c r="C419" s="187">
        <f t="shared" si="444"/>
        <v>25000</v>
      </c>
      <c r="D419" s="187">
        <v>0</v>
      </c>
      <c r="E419" s="187">
        <v>700</v>
      </c>
      <c r="F419" s="187">
        <v>15000</v>
      </c>
      <c r="G419" s="187">
        <f t="shared" si="444"/>
        <v>2400</v>
      </c>
      <c r="H419" s="187">
        <f t="shared" si="444"/>
        <v>25000</v>
      </c>
      <c r="I419" s="187">
        <f t="shared" si="444"/>
        <v>8000</v>
      </c>
      <c r="J419" s="187">
        <v>40000</v>
      </c>
      <c r="K419" s="187">
        <f t="shared" si="444"/>
        <v>8000</v>
      </c>
      <c r="L419" s="187">
        <v>40000</v>
      </c>
      <c r="M419" s="110">
        <v>9.5</v>
      </c>
      <c r="N419" s="110">
        <f>VLOOKUP(DATE(YEAR(A419),MONTH(A419),DAY(A419)),FY24_Temp[],3,FALSE)</f>
        <v>12.8</v>
      </c>
      <c r="O419" s="110">
        <f t="shared" si="411"/>
        <v>11.5</v>
      </c>
      <c r="P419" s="110">
        <f t="shared" si="412"/>
        <v>19.5</v>
      </c>
      <c r="Q419" s="111">
        <f>VLOOKUP(VLOOKUP(DATEVALUE(TEXT(A419,"m/d/yyyy")),FY24_Temp[],5,FALSE)&amp;TEXT(A419,"-h"),TempDelta[],4,FALSE)</f>
        <v>2.44985716683524</v>
      </c>
      <c r="R419" s="112">
        <v>10</v>
      </c>
      <c r="S419" s="112">
        <v>1500</v>
      </c>
      <c r="T419" s="99">
        <f>VLOOKUP(TEXT(A419,"yy-mm")&amp;"-"&amp;IF(AND(WEEKDAY(A419)&gt;1,WEEKDAY(A419)&lt;7),"Wkd",TEXT(A419,"Ddd"))&amp;"-"&amp;TEXT(A419,"hh"),LoadTable[],3,FALSE)*0.92</f>
        <v>279.25312000000002</v>
      </c>
      <c r="U419" s="113">
        <f t="shared" si="413"/>
        <v>27.925312000000002</v>
      </c>
    </row>
    <row r="420" spans="1:21" ht="15" thickBot="1">
      <c r="A420" s="29">
        <f t="shared" si="383"/>
        <v>45853.375000000968</v>
      </c>
      <c r="B420" s="187">
        <f t="shared" ref="B420:L420" si="445">B444</f>
        <v>8000</v>
      </c>
      <c r="C420" s="187">
        <f t="shared" si="445"/>
        <v>25000</v>
      </c>
      <c r="D420" s="187">
        <v>0</v>
      </c>
      <c r="E420" s="187">
        <v>700</v>
      </c>
      <c r="F420" s="187">
        <v>15000</v>
      </c>
      <c r="G420" s="187">
        <f t="shared" si="445"/>
        <v>2400</v>
      </c>
      <c r="H420" s="187">
        <f t="shared" si="445"/>
        <v>25000</v>
      </c>
      <c r="I420" s="187">
        <f t="shared" si="445"/>
        <v>8000</v>
      </c>
      <c r="J420" s="187">
        <v>40000</v>
      </c>
      <c r="K420" s="187">
        <f t="shared" si="445"/>
        <v>8000</v>
      </c>
      <c r="L420" s="187">
        <v>40000</v>
      </c>
      <c r="M420" s="110">
        <v>9.5</v>
      </c>
      <c r="N420" s="110">
        <f>VLOOKUP(DATE(YEAR(A420),MONTH(A420),DAY(A420)),FY24_Temp[],3,FALSE)</f>
        <v>12.8</v>
      </c>
      <c r="O420" s="110">
        <f t="shared" si="411"/>
        <v>11.5</v>
      </c>
      <c r="P420" s="110">
        <f t="shared" si="412"/>
        <v>19.5</v>
      </c>
      <c r="Q420" s="111">
        <f>VLOOKUP(VLOOKUP(DATEVALUE(TEXT(A420,"m/d/yyyy")),FY24_Temp[],5,FALSE)&amp;TEXT(A420,"-h"),TempDelta[],4,FALSE)</f>
        <v>2.2458571025303433</v>
      </c>
      <c r="R420" s="112">
        <v>10</v>
      </c>
      <c r="S420" s="112">
        <v>1500</v>
      </c>
      <c r="T420" s="99">
        <f>VLOOKUP(TEXT(A420,"yy-mm")&amp;"-"&amp;IF(AND(WEEKDAY(A420)&gt;1,WEEKDAY(A420)&lt;7),"Wkd",TEXT(A420,"Ddd"))&amp;"-"&amp;TEXT(A420,"hh"),LoadTable[],3,FALSE)*0.92</f>
        <v>279.25312000000002</v>
      </c>
      <c r="U420" s="113">
        <f t="shared" si="413"/>
        <v>27.925312000000002</v>
      </c>
    </row>
    <row r="421" spans="1:21" ht="15" thickBot="1">
      <c r="A421" s="29">
        <f t="shared" si="383"/>
        <v>45853.416666667632</v>
      </c>
      <c r="B421" s="187">
        <f t="shared" ref="B421:L421" si="446">B445</f>
        <v>8000</v>
      </c>
      <c r="C421" s="187">
        <f t="shared" si="446"/>
        <v>25000</v>
      </c>
      <c r="D421" s="187">
        <v>0</v>
      </c>
      <c r="E421" s="187">
        <v>700</v>
      </c>
      <c r="F421" s="187">
        <v>15000</v>
      </c>
      <c r="G421" s="187">
        <f t="shared" si="446"/>
        <v>2400</v>
      </c>
      <c r="H421" s="187">
        <f t="shared" si="446"/>
        <v>25000</v>
      </c>
      <c r="I421" s="187">
        <f t="shared" si="446"/>
        <v>8000</v>
      </c>
      <c r="J421" s="187">
        <v>40000</v>
      </c>
      <c r="K421" s="187">
        <f t="shared" si="446"/>
        <v>8000</v>
      </c>
      <c r="L421" s="187">
        <v>40000</v>
      </c>
      <c r="M421" s="110">
        <v>9.5</v>
      </c>
      <c r="N421" s="110">
        <f>VLOOKUP(DATE(YEAR(A421),MONTH(A421),DAY(A421)),FY24_Temp[],3,FALSE)</f>
        <v>12.8</v>
      </c>
      <c r="O421" s="110">
        <f t="shared" si="411"/>
        <v>11.5</v>
      </c>
      <c r="P421" s="110">
        <f t="shared" si="412"/>
        <v>19.5</v>
      </c>
      <c r="Q421" s="111">
        <f>VLOOKUP(VLOOKUP(DATEVALUE(TEXT(A421,"m/d/yyyy")),FY24_Temp[],5,FALSE)&amp;TEXT(A421,"-h"),TempDelta[],4,FALSE)</f>
        <v>2.0832857234137401</v>
      </c>
      <c r="R421" s="112">
        <v>10</v>
      </c>
      <c r="S421" s="112">
        <v>1500</v>
      </c>
      <c r="T421" s="99">
        <f>VLOOKUP(TEXT(A421,"yy-mm")&amp;"-"&amp;IF(AND(WEEKDAY(A421)&gt;1,WEEKDAY(A421)&lt;7),"Wkd",TEXT(A421,"Ddd"))&amp;"-"&amp;TEXT(A421,"hh"),LoadTable[],3,FALSE)*0.92</f>
        <v>279.25312000000002</v>
      </c>
      <c r="U421" s="113">
        <f t="shared" si="413"/>
        <v>27.925312000000002</v>
      </c>
    </row>
    <row r="422" spans="1:21" ht="15" thickBot="1">
      <c r="A422" s="29">
        <f t="shared" si="383"/>
        <v>45853.458333334296</v>
      </c>
      <c r="B422" s="187">
        <f t="shared" ref="B422:L422" si="447">B446</f>
        <v>8000</v>
      </c>
      <c r="C422" s="187">
        <f t="shared" si="447"/>
        <v>25000</v>
      </c>
      <c r="D422" s="187">
        <v>0</v>
      </c>
      <c r="E422" s="187">
        <v>700</v>
      </c>
      <c r="F422" s="187">
        <v>15000</v>
      </c>
      <c r="G422" s="187">
        <f t="shared" si="447"/>
        <v>2400</v>
      </c>
      <c r="H422" s="187">
        <f t="shared" si="447"/>
        <v>25000</v>
      </c>
      <c r="I422" s="187">
        <f t="shared" si="447"/>
        <v>8000</v>
      </c>
      <c r="J422" s="187">
        <v>40000</v>
      </c>
      <c r="K422" s="187">
        <f t="shared" si="447"/>
        <v>8000</v>
      </c>
      <c r="L422" s="187">
        <v>40000</v>
      </c>
      <c r="M422" s="110">
        <v>9.5</v>
      </c>
      <c r="N422" s="110">
        <f>VLOOKUP(DATE(YEAR(A422),MONTH(A422),DAY(A422)),FY24_Temp[],3,FALSE)</f>
        <v>12.8</v>
      </c>
      <c r="O422" s="110">
        <f t="shared" si="411"/>
        <v>11.5</v>
      </c>
      <c r="P422" s="110">
        <f t="shared" si="412"/>
        <v>19.5</v>
      </c>
      <c r="Q422" s="111">
        <f>VLOOKUP(VLOOKUP(DATEVALUE(TEXT(A422,"m/d/yyyy")),FY24_Temp[],5,FALSE)&amp;TEXT(A422,"-h"),TempDelta[],4,FALSE)</f>
        <v>1.8928571258272444</v>
      </c>
      <c r="R422" s="112">
        <v>10</v>
      </c>
      <c r="S422" s="112">
        <v>1500</v>
      </c>
      <c r="T422" s="99">
        <f>VLOOKUP(TEXT(A422,"yy-mm")&amp;"-"&amp;IF(AND(WEEKDAY(A422)&gt;1,WEEKDAY(A422)&lt;7),"Wkd",TEXT(A422,"Ddd"))&amp;"-"&amp;TEXT(A422,"hh"),LoadTable[],3,FALSE)*0.92</f>
        <v>279.25312000000002</v>
      </c>
      <c r="U422" s="113">
        <f t="shared" si="413"/>
        <v>27.925312000000002</v>
      </c>
    </row>
    <row r="423" spans="1:21" ht="15" thickBot="1">
      <c r="A423" s="29">
        <f t="shared" si="383"/>
        <v>45853.50000000096</v>
      </c>
      <c r="B423" s="187">
        <f t="shared" ref="B423:L423" si="448">B447</f>
        <v>8000</v>
      </c>
      <c r="C423" s="187">
        <f t="shared" si="448"/>
        <v>25000</v>
      </c>
      <c r="D423" s="187">
        <v>0</v>
      </c>
      <c r="E423" s="187">
        <v>700</v>
      </c>
      <c r="F423" s="187">
        <v>15000</v>
      </c>
      <c r="G423" s="187">
        <f t="shared" si="448"/>
        <v>2400</v>
      </c>
      <c r="H423" s="187">
        <f t="shared" si="448"/>
        <v>25000</v>
      </c>
      <c r="I423" s="187">
        <f t="shared" si="448"/>
        <v>8000</v>
      </c>
      <c r="J423" s="187">
        <v>40000</v>
      </c>
      <c r="K423" s="187">
        <f t="shared" si="448"/>
        <v>8000</v>
      </c>
      <c r="L423" s="187">
        <v>40000</v>
      </c>
      <c r="M423" s="110">
        <v>9.5</v>
      </c>
      <c r="N423" s="110">
        <f>VLOOKUP(DATE(YEAR(A423),MONTH(A423),DAY(A423)),FY24_Temp[],3,FALSE)</f>
        <v>12.8</v>
      </c>
      <c r="O423" s="110">
        <f t="shared" si="411"/>
        <v>11.5</v>
      </c>
      <c r="P423" s="110">
        <f t="shared" si="412"/>
        <v>19.5</v>
      </c>
      <c r="Q423" s="111">
        <f>VLOOKUP(VLOOKUP(DATEVALUE(TEXT(A423,"m/d/yyyy")),FY24_Temp[],5,FALSE)&amp;TEXT(A423,"-h"),TempDelta[],4,FALSE)</f>
        <v>1.665857127734593</v>
      </c>
      <c r="R423" s="112">
        <v>10</v>
      </c>
      <c r="S423" s="112">
        <v>1500</v>
      </c>
      <c r="T423" s="99">
        <f>VLOOKUP(TEXT(A423,"yy-mm")&amp;"-"&amp;IF(AND(WEEKDAY(A423)&gt;1,WEEKDAY(A423)&lt;7),"Wkd",TEXT(A423,"Ddd"))&amp;"-"&amp;TEXT(A423,"hh"),LoadTable[],3,FALSE)*0.92</f>
        <v>279.25312000000002</v>
      </c>
      <c r="U423" s="113">
        <f t="shared" si="413"/>
        <v>27.925312000000002</v>
      </c>
    </row>
    <row r="424" spans="1:21" ht="15" thickBot="1">
      <c r="A424" s="29">
        <f t="shared" si="383"/>
        <v>45853.541666667625</v>
      </c>
      <c r="B424" s="187">
        <f t="shared" ref="B424:L424" si="449">B448</f>
        <v>8000</v>
      </c>
      <c r="C424" s="187">
        <f t="shared" si="449"/>
        <v>25000</v>
      </c>
      <c r="D424" s="187">
        <v>0</v>
      </c>
      <c r="E424" s="187">
        <v>700</v>
      </c>
      <c r="F424" s="187">
        <v>15000</v>
      </c>
      <c r="G424" s="187">
        <f t="shared" si="449"/>
        <v>2400</v>
      </c>
      <c r="H424" s="187">
        <f t="shared" si="449"/>
        <v>25000</v>
      </c>
      <c r="I424" s="187">
        <f t="shared" si="449"/>
        <v>8000</v>
      </c>
      <c r="J424" s="187">
        <v>40000</v>
      </c>
      <c r="K424" s="187">
        <f t="shared" si="449"/>
        <v>8000</v>
      </c>
      <c r="L424" s="187">
        <v>40000</v>
      </c>
      <c r="M424" s="110">
        <v>9.5</v>
      </c>
      <c r="N424" s="110">
        <f>VLOOKUP(DATE(YEAR(A424),MONTH(A424),DAY(A424)),FY24_Temp[],3,FALSE)</f>
        <v>12.8</v>
      </c>
      <c r="O424" s="110">
        <f t="shared" si="411"/>
        <v>11.5</v>
      </c>
      <c r="P424" s="110">
        <f t="shared" si="412"/>
        <v>19.5</v>
      </c>
      <c r="Q424" s="111">
        <f>VLOOKUP(VLOOKUP(DATEVALUE(TEXT(A424,"m/d/yyyy")),FY24_Temp[],5,FALSE)&amp;TEXT(A424,"-h"),TempDelta[],4,FALSE)</f>
        <v>1.4252856969833374</v>
      </c>
      <c r="R424" s="112">
        <v>10</v>
      </c>
      <c r="S424" s="112">
        <v>1500</v>
      </c>
      <c r="T424" s="99">
        <f>VLOOKUP(TEXT(A424,"yy-mm")&amp;"-"&amp;IF(AND(WEEKDAY(A424)&gt;1,WEEKDAY(A424)&lt;7),"Wkd",TEXT(A424,"Ddd"))&amp;"-"&amp;TEXT(A424,"hh"),LoadTable[],3,FALSE)*0.92</f>
        <v>279.25312000000002</v>
      </c>
      <c r="U424" s="113">
        <f t="shared" si="413"/>
        <v>27.925312000000002</v>
      </c>
    </row>
    <row r="425" spans="1:21" ht="15" thickBot="1">
      <c r="A425" s="29">
        <f t="shared" si="383"/>
        <v>45853.583333334289</v>
      </c>
      <c r="B425" s="187">
        <f t="shared" ref="B425:L425" si="450">B449</f>
        <v>8000</v>
      </c>
      <c r="C425" s="187">
        <f t="shared" si="450"/>
        <v>25000</v>
      </c>
      <c r="D425" s="187">
        <v>0</v>
      </c>
      <c r="E425" s="187">
        <v>700</v>
      </c>
      <c r="F425" s="187">
        <v>15000</v>
      </c>
      <c r="G425" s="187">
        <f t="shared" si="450"/>
        <v>2400</v>
      </c>
      <c r="H425" s="187">
        <f t="shared" si="450"/>
        <v>25000</v>
      </c>
      <c r="I425" s="187">
        <f t="shared" si="450"/>
        <v>8000</v>
      </c>
      <c r="J425" s="187">
        <v>40000</v>
      </c>
      <c r="K425" s="187">
        <f t="shared" si="450"/>
        <v>8000</v>
      </c>
      <c r="L425" s="187">
        <v>40000</v>
      </c>
      <c r="M425" s="110">
        <v>9.5</v>
      </c>
      <c r="N425" s="110">
        <f>VLOOKUP(DATE(YEAR(A425),MONTH(A425),DAY(A425)),FY24_Temp[],3,FALSE)</f>
        <v>12.8</v>
      </c>
      <c r="O425" s="110">
        <f t="shared" si="411"/>
        <v>11.5</v>
      </c>
      <c r="P425" s="110">
        <f t="shared" si="412"/>
        <v>19.5</v>
      </c>
      <c r="Q425" s="111">
        <f>VLOOKUP(VLOOKUP(DATEVALUE(TEXT(A425,"m/d/yyyy")),FY24_Temp[],5,FALSE)&amp;TEXT(A425,"-h"),TempDelta[],4,FALSE)</f>
        <v>1.2351428781236922</v>
      </c>
      <c r="R425" s="112">
        <v>10</v>
      </c>
      <c r="S425" s="112">
        <v>1500</v>
      </c>
      <c r="T425" s="99">
        <f>VLOOKUP(TEXT(A425,"yy-mm")&amp;"-"&amp;IF(AND(WEEKDAY(A425)&gt;1,WEEKDAY(A425)&lt;7),"Wkd",TEXT(A425,"Ddd"))&amp;"-"&amp;TEXT(A425,"hh"),LoadTable[],3,FALSE)*0.92</f>
        <v>373.26607999999999</v>
      </c>
      <c r="U425" s="113">
        <f t="shared" si="413"/>
        <v>37.326608</v>
      </c>
    </row>
    <row r="426" spans="1:21" ht="15" thickBot="1">
      <c r="A426" s="29">
        <f t="shared" ref="A426:A489" si="451">A427-TIME(1,0,0)</f>
        <v>45853.625000000953</v>
      </c>
      <c r="B426" s="187">
        <f t="shared" ref="B426:L426" si="452">B450</f>
        <v>8000</v>
      </c>
      <c r="C426" s="187">
        <f t="shared" si="452"/>
        <v>25000</v>
      </c>
      <c r="D426" s="187">
        <v>0</v>
      </c>
      <c r="E426" s="187">
        <v>700</v>
      </c>
      <c r="F426" s="187">
        <v>15000</v>
      </c>
      <c r="G426" s="187">
        <f t="shared" si="452"/>
        <v>2400</v>
      </c>
      <c r="H426" s="187">
        <f t="shared" si="452"/>
        <v>25000</v>
      </c>
      <c r="I426" s="187">
        <f t="shared" si="452"/>
        <v>8000</v>
      </c>
      <c r="J426" s="187">
        <v>40000</v>
      </c>
      <c r="K426" s="187">
        <f t="shared" si="452"/>
        <v>8000</v>
      </c>
      <c r="L426" s="187">
        <v>40000</v>
      </c>
      <c r="M426" s="110">
        <v>9.5</v>
      </c>
      <c r="N426" s="110">
        <f>VLOOKUP(DATE(YEAR(A426),MONTH(A426),DAY(A426)),FY24_Temp[],3,FALSE)</f>
        <v>12.8</v>
      </c>
      <c r="O426" s="110">
        <f t="shared" si="411"/>
        <v>11.5</v>
      </c>
      <c r="P426" s="110">
        <f t="shared" si="412"/>
        <v>19.5</v>
      </c>
      <c r="Q426" s="111">
        <f>VLOOKUP(VLOOKUP(DATEVALUE(TEXT(A426,"m/d/yyyy")),FY24_Temp[],5,FALSE)&amp;TEXT(A426,"-h"),TempDelta[],4,FALSE)</f>
        <v>0.97514284508568905</v>
      </c>
      <c r="R426" s="112">
        <v>10</v>
      </c>
      <c r="S426" s="112">
        <v>1500</v>
      </c>
      <c r="T426" s="99">
        <f>VLOOKUP(TEXT(A426,"yy-mm")&amp;"-"&amp;IF(AND(WEEKDAY(A426)&gt;1,WEEKDAY(A426)&lt;7),"Wkd",TEXT(A426,"Ddd"))&amp;"-"&amp;TEXT(A426,"hh"),LoadTable[],3,FALSE)*0.92</f>
        <v>494.57360000000006</v>
      </c>
      <c r="U426" s="113">
        <f t="shared" si="413"/>
        <v>49.457360000000008</v>
      </c>
    </row>
    <row r="427" spans="1:21" ht="15" thickBot="1">
      <c r="A427" s="29">
        <f t="shared" si="451"/>
        <v>45853.666666667617</v>
      </c>
      <c r="B427" s="187">
        <f t="shared" ref="B427:L427" si="453">B451</f>
        <v>8000</v>
      </c>
      <c r="C427" s="187">
        <f t="shared" si="453"/>
        <v>25000</v>
      </c>
      <c r="D427" s="187">
        <v>0</v>
      </c>
      <c r="E427" s="187">
        <v>700</v>
      </c>
      <c r="F427" s="187">
        <v>15000</v>
      </c>
      <c r="G427" s="187">
        <f t="shared" si="453"/>
        <v>2400</v>
      </c>
      <c r="H427" s="187">
        <f t="shared" si="453"/>
        <v>25000</v>
      </c>
      <c r="I427" s="187">
        <f t="shared" si="453"/>
        <v>8000</v>
      </c>
      <c r="J427" s="187">
        <v>40000</v>
      </c>
      <c r="K427" s="187">
        <f t="shared" si="453"/>
        <v>8000</v>
      </c>
      <c r="L427" s="187">
        <v>40000</v>
      </c>
      <c r="M427" s="110">
        <v>9.5</v>
      </c>
      <c r="N427" s="110">
        <f>VLOOKUP(DATE(YEAR(A427),MONTH(A427),DAY(A427)),FY24_Temp[],3,FALSE)</f>
        <v>12.8</v>
      </c>
      <c r="O427" s="110">
        <f t="shared" si="411"/>
        <v>11.5</v>
      </c>
      <c r="P427" s="110">
        <f t="shared" si="412"/>
        <v>19.5</v>
      </c>
      <c r="Q427" s="111">
        <f>VLOOKUP(VLOOKUP(DATEVALUE(TEXT(A427,"m/d/yyyy")),FY24_Temp[],5,FALSE)&amp;TEXT(A427,"-h"),TempDelta[],4,FALSE)</f>
        <v>0.88578571166310993</v>
      </c>
      <c r="R427" s="112">
        <v>10</v>
      </c>
      <c r="S427" s="112">
        <v>1500</v>
      </c>
      <c r="T427" s="99">
        <f>VLOOKUP(TEXT(A427,"yy-mm")&amp;"-"&amp;IF(AND(WEEKDAY(A427)&gt;1,WEEKDAY(A427)&lt;7),"Wkd",TEXT(A427,"Ddd"))&amp;"-"&amp;TEXT(A427,"hh"),LoadTable[],3,FALSE)*0.92</f>
        <v>494.57360000000006</v>
      </c>
      <c r="U427" s="113">
        <f t="shared" si="413"/>
        <v>49.457360000000008</v>
      </c>
    </row>
    <row r="428" spans="1:21" ht="15" thickBot="1">
      <c r="A428" s="29">
        <f t="shared" si="451"/>
        <v>45853.708333334282</v>
      </c>
      <c r="B428" s="187">
        <f t="shared" ref="B428:L428" si="454">B452</f>
        <v>8000</v>
      </c>
      <c r="C428" s="187">
        <f t="shared" si="454"/>
        <v>25000</v>
      </c>
      <c r="D428" s="187">
        <v>0</v>
      </c>
      <c r="E428" s="187">
        <v>700</v>
      </c>
      <c r="F428" s="187">
        <v>15000</v>
      </c>
      <c r="G428" s="187">
        <f t="shared" si="454"/>
        <v>2400</v>
      </c>
      <c r="H428" s="187">
        <f t="shared" si="454"/>
        <v>25000</v>
      </c>
      <c r="I428" s="187">
        <f t="shared" si="454"/>
        <v>8000</v>
      </c>
      <c r="J428" s="187">
        <v>40000</v>
      </c>
      <c r="K428" s="187">
        <f t="shared" si="454"/>
        <v>8000</v>
      </c>
      <c r="L428" s="187">
        <v>40000</v>
      </c>
      <c r="M428" s="110">
        <v>9.5</v>
      </c>
      <c r="N428" s="110">
        <f>VLOOKUP(DATE(YEAR(A428),MONTH(A428),DAY(A428)),FY24_Temp[],3,FALSE)</f>
        <v>12.8</v>
      </c>
      <c r="O428" s="110">
        <f t="shared" si="411"/>
        <v>11.5</v>
      </c>
      <c r="P428" s="110">
        <f t="shared" si="412"/>
        <v>19.5</v>
      </c>
      <c r="Q428" s="111">
        <f>VLOOKUP(VLOOKUP(DATEVALUE(TEXT(A428,"m/d/yyyy")),FY24_Temp[],5,FALSE)&amp;TEXT(A428,"-h"),TempDelta[],4,FALSE)</f>
        <v>1.0356428495475225</v>
      </c>
      <c r="R428" s="112">
        <v>10</v>
      </c>
      <c r="S428" s="112">
        <v>1500</v>
      </c>
      <c r="T428" s="99">
        <f>VLOOKUP(TEXT(A428,"yy-mm")&amp;"-"&amp;IF(AND(WEEKDAY(A428)&gt;1,WEEKDAY(A428)&lt;7),"Wkd",TEXT(A428,"Ddd"))&amp;"-"&amp;TEXT(A428,"hh"),LoadTable[],3,FALSE)*0.92</f>
        <v>494.57360000000006</v>
      </c>
      <c r="U428" s="113">
        <f t="shared" si="413"/>
        <v>49.457360000000008</v>
      </c>
    </row>
    <row r="429" spans="1:21" ht="15" thickBot="1">
      <c r="A429" s="29">
        <f t="shared" si="451"/>
        <v>45853.750000000946</v>
      </c>
      <c r="B429" s="187">
        <f t="shared" ref="B429:L429" si="455">B453</f>
        <v>5000</v>
      </c>
      <c r="C429" s="187">
        <f t="shared" si="455"/>
        <v>25000</v>
      </c>
      <c r="D429" s="187">
        <v>0</v>
      </c>
      <c r="E429" s="187">
        <v>700</v>
      </c>
      <c r="F429" s="187">
        <v>15000</v>
      </c>
      <c r="G429" s="187">
        <f t="shared" si="455"/>
        <v>2400</v>
      </c>
      <c r="H429" s="187">
        <f t="shared" si="455"/>
        <v>25000</v>
      </c>
      <c r="I429" s="187">
        <f t="shared" si="455"/>
        <v>5000</v>
      </c>
      <c r="J429" s="187">
        <v>40000</v>
      </c>
      <c r="K429" s="187">
        <f t="shared" si="455"/>
        <v>5000</v>
      </c>
      <c r="L429" s="187">
        <v>40000</v>
      </c>
      <c r="M429" s="110">
        <v>9.5</v>
      </c>
      <c r="N429" s="110">
        <f>VLOOKUP(DATE(YEAR(A429),MONTH(A429),DAY(A429)),FY24_Temp[],3,FALSE)</f>
        <v>12.8</v>
      </c>
      <c r="O429" s="110">
        <f t="shared" si="411"/>
        <v>11.5</v>
      </c>
      <c r="P429" s="110">
        <f t="shared" si="412"/>
        <v>19.5</v>
      </c>
      <c r="Q429" s="111">
        <f>VLOOKUP(VLOOKUP(DATEVALUE(TEXT(A429,"m/d/yyyy")),FY24_Temp[],5,FALSE)&amp;TEXT(A429,"-h"),TempDelta[],4,FALSE)</f>
        <v>1.3991428358214242</v>
      </c>
      <c r="R429" s="112">
        <v>10</v>
      </c>
      <c r="S429" s="112">
        <v>1500</v>
      </c>
      <c r="T429" s="99">
        <f>VLOOKUP(TEXT(A429,"yy-mm")&amp;"-"&amp;IF(AND(WEEKDAY(A429)&gt;1,WEEKDAY(A429)&lt;7),"Wkd",TEXT(A429,"Ddd"))&amp;"-"&amp;TEXT(A429,"hh"),LoadTable[],3,FALSE)*0.92</f>
        <v>494.57360000000006</v>
      </c>
      <c r="U429" s="113">
        <f t="shared" si="413"/>
        <v>49.457360000000008</v>
      </c>
    </row>
    <row r="430" spans="1:21" ht="15" thickBot="1">
      <c r="A430" s="29">
        <f t="shared" si="451"/>
        <v>45853.79166666761</v>
      </c>
      <c r="B430" s="187">
        <f t="shared" ref="B430:L430" si="456">B454</f>
        <v>5000</v>
      </c>
      <c r="C430" s="187">
        <f t="shared" si="456"/>
        <v>25000</v>
      </c>
      <c r="D430" s="187">
        <v>0</v>
      </c>
      <c r="E430" s="187">
        <v>700</v>
      </c>
      <c r="F430" s="187">
        <v>15000</v>
      </c>
      <c r="G430" s="187">
        <f t="shared" si="456"/>
        <v>2400</v>
      </c>
      <c r="H430" s="187">
        <f t="shared" si="456"/>
        <v>25000</v>
      </c>
      <c r="I430" s="187">
        <f t="shared" si="456"/>
        <v>5000</v>
      </c>
      <c r="J430" s="187">
        <v>40000</v>
      </c>
      <c r="K430" s="187">
        <f t="shared" si="456"/>
        <v>5000</v>
      </c>
      <c r="L430" s="187">
        <v>40000</v>
      </c>
      <c r="M430" s="110">
        <v>9.5</v>
      </c>
      <c r="N430" s="110">
        <f>VLOOKUP(DATE(YEAR(A430),MONTH(A430),DAY(A430)),FY24_Temp[],3,FALSE)</f>
        <v>12.8</v>
      </c>
      <c r="O430" s="110">
        <f t="shared" si="411"/>
        <v>11.5</v>
      </c>
      <c r="P430" s="110">
        <f t="shared" si="412"/>
        <v>19.5</v>
      </c>
      <c r="Q430" s="111">
        <f>VLOOKUP(VLOOKUP(DATEVALUE(TEXT(A430,"m/d/yyyy")),FY24_Temp[],5,FALSE)&amp;TEXT(A430,"-h"),TempDelta[],4,FALSE)</f>
        <v>1.8638571415628706</v>
      </c>
      <c r="R430" s="112">
        <v>10</v>
      </c>
      <c r="S430" s="112">
        <v>1500</v>
      </c>
      <c r="T430" s="99">
        <f>VLOOKUP(TEXT(A430,"yy-mm")&amp;"-"&amp;IF(AND(WEEKDAY(A430)&gt;1,WEEKDAY(A430)&lt;7),"Wkd",TEXT(A430,"Ddd"))&amp;"-"&amp;TEXT(A430,"hh"),LoadTable[],3,FALSE)*0.92</f>
        <v>494.57360000000006</v>
      </c>
      <c r="U430" s="113">
        <f t="shared" si="413"/>
        <v>49.457360000000008</v>
      </c>
    </row>
    <row r="431" spans="1:21" ht="15" thickBot="1">
      <c r="A431" s="29">
        <f t="shared" si="451"/>
        <v>45853.833333334274</v>
      </c>
      <c r="B431" s="187">
        <f t="shared" ref="B431:L431" si="457">B455</f>
        <v>5000</v>
      </c>
      <c r="C431" s="187">
        <f t="shared" si="457"/>
        <v>25000</v>
      </c>
      <c r="D431" s="187">
        <v>0</v>
      </c>
      <c r="E431" s="187">
        <v>700</v>
      </c>
      <c r="F431" s="187">
        <v>15000</v>
      </c>
      <c r="G431" s="187">
        <f t="shared" si="457"/>
        <v>2400</v>
      </c>
      <c r="H431" s="187">
        <f t="shared" si="457"/>
        <v>25000</v>
      </c>
      <c r="I431" s="187">
        <f t="shared" si="457"/>
        <v>5000</v>
      </c>
      <c r="J431" s="187">
        <v>40000</v>
      </c>
      <c r="K431" s="187">
        <f t="shared" si="457"/>
        <v>5000</v>
      </c>
      <c r="L431" s="187">
        <v>40000</v>
      </c>
      <c r="M431" s="110">
        <v>9.5</v>
      </c>
      <c r="N431" s="110">
        <f>VLOOKUP(DATE(YEAR(A431),MONTH(A431),DAY(A431)),FY24_Temp[],3,FALSE)</f>
        <v>12.8</v>
      </c>
      <c r="O431" s="110">
        <f t="shared" si="411"/>
        <v>11.5</v>
      </c>
      <c r="P431" s="110">
        <f t="shared" si="412"/>
        <v>19.5</v>
      </c>
      <c r="Q431" s="111">
        <f>VLOOKUP(VLOOKUP(DATEVALUE(TEXT(A431,"m/d/yyyy")),FY24_Temp[],5,FALSE)&amp;TEXT(A431,"-h"),TempDelta[],4,FALSE)</f>
        <v>2.300714305468968</v>
      </c>
      <c r="R431" s="112">
        <v>10</v>
      </c>
      <c r="S431" s="112">
        <v>1500</v>
      </c>
      <c r="T431" s="99">
        <f>VLOOKUP(TEXT(A431,"yy-mm")&amp;"-"&amp;IF(AND(WEEKDAY(A431)&gt;1,WEEKDAY(A431)&lt;7),"Wkd",TEXT(A431,"Ddd"))&amp;"-"&amp;TEXT(A431,"hh"),LoadTable[],3,FALSE)*0.92</f>
        <v>494.57360000000006</v>
      </c>
      <c r="U431" s="113">
        <f t="shared" si="413"/>
        <v>49.457360000000008</v>
      </c>
    </row>
    <row r="432" spans="1:21" ht="15" thickBot="1">
      <c r="A432" s="29">
        <f t="shared" si="451"/>
        <v>45853.875000000939</v>
      </c>
      <c r="B432" s="187">
        <f t="shared" ref="B432:L432" si="458">B456</f>
        <v>5000</v>
      </c>
      <c r="C432" s="187">
        <f t="shared" si="458"/>
        <v>25000</v>
      </c>
      <c r="D432" s="187">
        <v>0</v>
      </c>
      <c r="E432" s="187">
        <v>700</v>
      </c>
      <c r="F432" s="187">
        <v>15000</v>
      </c>
      <c r="G432" s="187">
        <f t="shared" si="458"/>
        <v>2400</v>
      </c>
      <c r="H432" s="187">
        <f t="shared" si="458"/>
        <v>25000</v>
      </c>
      <c r="I432" s="187">
        <f t="shared" si="458"/>
        <v>5000</v>
      </c>
      <c r="J432" s="187">
        <v>40000</v>
      </c>
      <c r="K432" s="187">
        <f t="shared" si="458"/>
        <v>5000</v>
      </c>
      <c r="L432" s="187">
        <v>40000</v>
      </c>
      <c r="M432" s="110">
        <v>9.5</v>
      </c>
      <c r="N432" s="110">
        <f>VLOOKUP(DATE(YEAR(A432),MONTH(A432),DAY(A432)),FY24_Temp[],3,FALSE)</f>
        <v>12.8</v>
      </c>
      <c r="O432" s="110">
        <f t="shared" si="411"/>
        <v>11.5</v>
      </c>
      <c r="P432" s="110">
        <f t="shared" si="412"/>
        <v>19.5</v>
      </c>
      <c r="Q432" s="111">
        <f>VLOOKUP(VLOOKUP(DATEVALUE(TEXT(A432,"m/d/yyyy")),FY24_Temp[],5,FALSE)&amp;TEXT(A432,"-h"),TempDelta[],4,FALSE)</f>
        <v>2.554214222090585</v>
      </c>
      <c r="R432" s="112">
        <v>10</v>
      </c>
      <c r="S432" s="112">
        <v>1500</v>
      </c>
      <c r="T432" s="99">
        <f>VLOOKUP(TEXT(A432,"yy-mm")&amp;"-"&amp;IF(AND(WEEKDAY(A432)&gt;1,WEEKDAY(A432)&lt;7),"Wkd",TEXT(A432,"Ddd"))&amp;"-"&amp;TEXT(A432,"hh"),LoadTable[],3,FALSE)*0.92</f>
        <v>494.57360000000006</v>
      </c>
      <c r="U432" s="113">
        <f t="shared" si="413"/>
        <v>49.457360000000008</v>
      </c>
    </row>
    <row r="433" spans="1:21" ht="15" thickBot="1">
      <c r="A433" s="29">
        <f t="shared" si="451"/>
        <v>45853.916666667603</v>
      </c>
      <c r="B433" s="187">
        <f t="shared" ref="B433:L433" si="459">B457</f>
        <v>5000</v>
      </c>
      <c r="C433" s="187">
        <f t="shared" si="459"/>
        <v>25000</v>
      </c>
      <c r="D433" s="187">
        <v>0</v>
      </c>
      <c r="E433" s="187">
        <v>700</v>
      </c>
      <c r="F433" s="187">
        <v>15000</v>
      </c>
      <c r="G433" s="187">
        <f t="shared" si="459"/>
        <v>2400</v>
      </c>
      <c r="H433" s="187">
        <f t="shared" si="459"/>
        <v>25000</v>
      </c>
      <c r="I433" s="187">
        <f t="shared" si="459"/>
        <v>5000</v>
      </c>
      <c r="J433" s="187">
        <v>40000</v>
      </c>
      <c r="K433" s="187">
        <f t="shared" si="459"/>
        <v>5000</v>
      </c>
      <c r="L433" s="187">
        <v>40000</v>
      </c>
      <c r="M433" s="110">
        <v>9.5</v>
      </c>
      <c r="N433" s="110">
        <f>VLOOKUP(DATE(YEAR(A433),MONTH(A433),DAY(A433)),FY24_Temp[],3,FALSE)</f>
        <v>12.8</v>
      </c>
      <c r="O433" s="110">
        <f t="shared" si="411"/>
        <v>11.5</v>
      </c>
      <c r="P433" s="110">
        <f t="shared" si="412"/>
        <v>19.5</v>
      </c>
      <c r="Q433" s="111">
        <f>VLOOKUP(VLOOKUP(DATEVALUE(TEXT(A433,"m/d/yyyy")),FY24_Temp[],5,FALSE)&amp;TEXT(A433,"-h"),TempDelta[],4,FALSE)</f>
        <v>2.7827142647334506</v>
      </c>
      <c r="R433" s="112">
        <v>10</v>
      </c>
      <c r="S433" s="112">
        <v>1500</v>
      </c>
      <c r="T433" s="99">
        <f>VLOOKUP(TEXT(A433,"yy-mm")&amp;"-"&amp;IF(AND(WEEKDAY(A433)&gt;1,WEEKDAY(A433)&lt;7),"Wkd",TEXT(A433,"Ddd"))&amp;"-"&amp;TEXT(A433,"hh"),LoadTable[],3,FALSE)*0.92</f>
        <v>418.75640000000004</v>
      </c>
      <c r="U433" s="113">
        <f t="shared" si="413"/>
        <v>41.875640000000004</v>
      </c>
    </row>
    <row r="434" spans="1:21" ht="15" thickBot="1">
      <c r="A434" s="29">
        <f t="shared" si="451"/>
        <v>45853.958333334267</v>
      </c>
      <c r="B434" s="187">
        <f t="shared" ref="B434:L434" si="460">B458</f>
        <v>5000</v>
      </c>
      <c r="C434" s="187">
        <f t="shared" si="460"/>
        <v>25000</v>
      </c>
      <c r="D434" s="187">
        <v>0</v>
      </c>
      <c r="E434" s="187">
        <v>700</v>
      </c>
      <c r="F434" s="187">
        <v>15000</v>
      </c>
      <c r="G434" s="187">
        <f t="shared" si="460"/>
        <v>2400</v>
      </c>
      <c r="H434" s="187">
        <f t="shared" si="460"/>
        <v>25000</v>
      </c>
      <c r="I434" s="187">
        <f t="shared" si="460"/>
        <v>5000</v>
      </c>
      <c r="J434" s="187">
        <v>40000</v>
      </c>
      <c r="K434" s="187">
        <f t="shared" si="460"/>
        <v>5000</v>
      </c>
      <c r="L434" s="187">
        <v>40000</v>
      </c>
      <c r="M434" s="110">
        <v>9.5</v>
      </c>
      <c r="N434" s="110">
        <f>VLOOKUP(DATE(YEAR(A434),MONTH(A434),DAY(A434)),FY24_Temp[],3,FALSE)</f>
        <v>12.8</v>
      </c>
      <c r="O434" s="110">
        <f t="shared" si="411"/>
        <v>11.5</v>
      </c>
      <c r="P434" s="110">
        <f t="shared" si="412"/>
        <v>19.5</v>
      </c>
      <c r="Q434" s="111">
        <f>VLOOKUP(VLOOKUP(DATEVALUE(TEXT(A434,"m/d/yyyy")),FY24_Temp[],5,FALSE)&amp;TEXT(A434,"-h"),TempDelta[],4,FALSE)</f>
        <v>2.8792857101985385</v>
      </c>
      <c r="R434" s="112">
        <v>10</v>
      </c>
      <c r="S434" s="112">
        <v>1500</v>
      </c>
      <c r="T434" s="99">
        <f>VLOOKUP(TEXT(A434,"yy-mm")&amp;"-"&amp;IF(AND(WEEKDAY(A434)&gt;1,WEEKDAY(A434)&lt;7),"Wkd",TEXT(A434,"Ddd"))&amp;"-"&amp;TEXT(A434,"hh"),LoadTable[],3,FALSE)*0.92</f>
        <v>342.93920000000003</v>
      </c>
      <c r="U434" s="113">
        <f t="shared" si="413"/>
        <v>34.29392</v>
      </c>
    </row>
    <row r="435" spans="1:21" ht="15" thickBot="1">
      <c r="A435" s="29">
        <f t="shared" si="451"/>
        <v>45854.000000000931</v>
      </c>
      <c r="B435" s="187">
        <f t="shared" ref="B435:L435" si="461">B459</f>
        <v>5000</v>
      </c>
      <c r="C435" s="187">
        <f t="shared" si="461"/>
        <v>25000</v>
      </c>
      <c r="D435" s="187">
        <v>0</v>
      </c>
      <c r="E435" s="187">
        <v>700</v>
      </c>
      <c r="F435" s="187">
        <v>15000</v>
      </c>
      <c r="G435" s="187">
        <f t="shared" si="461"/>
        <v>2400</v>
      </c>
      <c r="H435" s="187">
        <f t="shared" si="461"/>
        <v>25000</v>
      </c>
      <c r="I435" s="187">
        <f t="shared" si="461"/>
        <v>5000</v>
      </c>
      <c r="J435" s="187">
        <v>40000</v>
      </c>
      <c r="K435" s="187">
        <f t="shared" si="461"/>
        <v>5000</v>
      </c>
      <c r="L435" s="187">
        <v>40000</v>
      </c>
      <c r="M435" s="110">
        <v>9.5</v>
      </c>
      <c r="N435" s="110">
        <f>VLOOKUP(DATE(YEAR(A435),MONTH(A435),DAY(A435)),FY24_Temp[],3,FALSE)</f>
        <v>12.8</v>
      </c>
      <c r="O435" s="110">
        <f t="shared" si="411"/>
        <v>11.5</v>
      </c>
      <c r="P435" s="110">
        <f t="shared" si="412"/>
        <v>19.5</v>
      </c>
      <c r="Q435" s="111">
        <f>VLOOKUP(VLOOKUP(DATEVALUE(TEXT(A435,"m/d/yyyy")),FY24_Temp[],5,FALSE)&amp;TEXT(A435,"-h"),TempDelta[],4,FALSE)</f>
        <v>3.0441428933824812</v>
      </c>
      <c r="R435" s="112">
        <v>10</v>
      </c>
      <c r="S435" s="112">
        <v>1500</v>
      </c>
      <c r="T435" s="99">
        <f>VLOOKUP(TEXT(A435,"yy-mm")&amp;"-"&amp;IF(AND(WEEKDAY(A435)&gt;1,WEEKDAY(A435)&lt;7),"Wkd",TEXT(A435,"Ddd"))&amp;"-"&amp;TEXT(A435,"hh"),LoadTable[],3,FALSE)*0.92</f>
        <v>279.25312000000002</v>
      </c>
      <c r="U435" s="113">
        <f t="shared" si="413"/>
        <v>27.925312000000002</v>
      </c>
    </row>
    <row r="436" spans="1:21" ht="15" thickBot="1">
      <c r="A436" s="29">
        <f t="shared" si="451"/>
        <v>45854.041666667596</v>
      </c>
      <c r="B436" s="187">
        <f t="shared" ref="B436:L436" si="462">B460</f>
        <v>5000</v>
      </c>
      <c r="C436" s="187">
        <f t="shared" si="462"/>
        <v>25000</v>
      </c>
      <c r="D436" s="187">
        <v>0</v>
      </c>
      <c r="E436" s="187">
        <v>700</v>
      </c>
      <c r="F436" s="187">
        <v>15000</v>
      </c>
      <c r="G436" s="187">
        <f t="shared" si="462"/>
        <v>2400</v>
      </c>
      <c r="H436" s="187">
        <f t="shared" si="462"/>
        <v>25000</v>
      </c>
      <c r="I436" s="187">
        <f t="shared" si="462"/>
        <v>5000</v>
      </c>
      <c r="J436" s="187">
        <v>40000</v>
      </c>
      <c r="K436" s="187">
        <f t="shared" si="462"/>
        <v>5000</v>
      </c>
      <c r="L436" s="187">
        <v>40000</v>
      </c>
      <c r="M436" s="110">
        <v>9.5</v>
      </c>
      <c r="N436" s="110">
        <f>VLOOKUP(DATE(YEAR(A436),MONTH(A436),DAY(A436)),FY24_Temp[],3,FALSE)</f>
        <v>12.8</v>
      </c>
      <c r="O436" s="110">
        <f t="shared" si="411"/>
        <v>11.5</v>
      </c>
      <c r="P436" s="110">
        <f t="shared" si="412"/>
        <v>19.5</v>
      </c>
      <c r="Q436" s="111">
        <f>VLOOKUP(VLOOKUP(DATEVALUE(TEXT(A436,"m/d/yyyy")),FY24_Temp[],5,FALSE)&amp;TEXT(A436,"-h"),TempDelta[],4,FALSE)</f>
        <v>3.0992857047489712</v>
      </c>
      <c r="R436" s="112">
        <v>10</v>
      </c>
      <c r="S436" s="112">
        <v>1500</v>
      </c>
      <c r="T436" s="99">
        <f>VLOOKUP(TEXT(A436,"yy-mm")&amp;"-"&amp;IF(AND(WEEKDAY(A436)&gt;1,WEEKDAY(A436)&lt;7),"Wkd",TEXT(A436,"Ddd"))&amp;"-"&amp;TEXT(A436,"hh"),LoadTable[],3,FALSE)*0.92</f>
        <v>279.25312000000002</v>
      </c>
      <c r="U436" s="113">
        <f t="shared" si="413"/>
        <v>27.925312000000002</v>
      </c>
    </row>
    <row r="437" spans="1:21" ht="15" thickBot="1">
      <c r="A437" s="29">
        <f t="shared" si="451"/>
        <v>45854.08333333426</v>
      </c>
      <c r="B437" s="187">
        <f t="shared" ref="B437:L437" si="463">B461</f>
        <v>5000</v>
      </c>
      <c r="C437" s="187">
        <f t="shared" si="463"/>
        <v>25000</v>
      </c>
      <c r="D437" s="187">
        <v>0</v>
      </c>
      <c r="E437" s="187">
        <v>700</v>
      </c>
      <c r="F437" s="187">
        <v>15000</v>
      </c>
      <c r="G437" s="187">
        <f t="shared" si="463"/>
        <v>2400</v>
      </c>
      <c r="H437" s="187">
        <f t="shared" si="463"/>
        <v>25000</v>
      </c>
      <c r="I437" s="187">
        <f t="shared" si="463"/>
        <v>5000</v>
      </c>
      <c r="J437" s="187">
        <v>40000</v>
      </c>
      <c r="K437" s="187">
        <f t="shared" si="463"/>
        <v>5000</v>
      </c>
      <c r="L437" s="187">
        <v>40000</v>
      </c>
      <c r="M437" s="110">
        <v>9.5</v>
      </c>
      <c r="N437" s="110">
        <f>VLOOKUP(DATE(YEAR(A437),MONTH(A437),DAY(A437)),FY24_Temp[],3,FALSE)</f>
        <v>12.8</v>
      </c>
      <c r="O437" s="110">
        <f t="shared" si="411"/>
        <v>11.5</v>
      </c>
      <c r="P437" s="110">
        <f t="shared" si="412"/>
        <v>19.5</v>
      </c>
      <c r="Q437" s="111">
        <f>VLOOKUP(VLOOKUP(DATEVALUE(TEXT(A437,"m/d/yyyy")),FY24_Temp[],5,FALSE)&amp;TEXT(A437,"-h"),TempDelta[],4,FALSE)</f>
        <v>3.1050000190734863</v>
      </c>
      <c r="R437" s="112">
        <v>10</v>
      </c>
      <c r="S437" s="112">
        <v>1500</v>
      </c>
      <c r="T437" s="99">
        <f>VLOOKUP(TEXT(A437,"yy-mm")&amp;"-"&amp;IF(AND(WEEKDAY(A437)&gt;1,WEEKDAY(A437)&lt;7),"Wkd",TEXT(A437,"Ddd"))&amp;"-"&amp;TEXT(A437,"hh"),LoadTable[],3,FALSE)*0.92</f>
        <v>279.25312000000002</v>
      </c>
      <c r="U437" s="113">
        <f t="shared" si="413"/>
        <v>27.925312000000002</v>
      </c>
    </row>
    <row r="438" spans="1:21" ht="15" thickBot="1">
      <c r="A438" s="29">
        <f t="shared" si="451"/>
        <v>45854.125000000924</v>
      </c>
      <c r="B438" s="187">
        <f t="shared" ref="B438:L438" si="464">B462</f>
        <v>5000</v>
      </c>
      <c r="C438" s="187">
        <f t="shared" si="464"/>
        <v>25000</v>
      </c>
      <c r="D438" s="187">
        <v>0</v>
      </c>
      <c r="E438" s="187">
        <v>700</v>
      </c>
      <c r="F438" s="187">
        <v>15000</v>
      </c>
      <c r="G438" s="187">
        <f t="shared" si="464"/>
        <v>2400</v>
      </c>
      <c r="H438" s="187">
        <f t="shared" si="464"/>
        <v>25000</v>
      </c>
      <c r="I438" s="187">
        <f t="shared" si="464"/>
        <v>5000</v>
      </c>
      <c r="J438" s="187">
        <v>40000</v>
      </c>
      <c r="K438" s="187">
        <f t="shared" si="464"/>
        <v>5000</v>
      </c>
      <c r="L438" s="187">
        <v>40000</v>
      </c>
      <c r="M438" s="110">
        <v>9.5</v>
      </c>
      <c r="N438" s="110">
        <f>VLOOKUP(DATE(YEAR(A438),MONTH(A438),DAY(A438)),FY24_Temp[],3,FALSE)</f>
        <v>12.8</v>
      </c>
      <c r="O438" s="110">
        <f t="shared" si="411"/>
        <v>11.5</v>
      </c>
      <c r="P438" s="110">
        <f t="shared" si="412"/>
        <v>19.5</v>
      </c>
      <c r="Q438" s="111">
        <f>VLOOKUP(VLOOKUP(DATEVALUE(TEXT(A438,"m/d/yyyy")),FY24_Temp[],5,FALSE)&amp;TEXT(A438,"-h"),TempDelta[],4,FALSE)</f>
        <v>3.0428571701049805</v>
      </c>
      <c r="R438" s="112">
        <v>10</v>
      </c>
      <c r="S438" s="112">
        <v>1500</v>
      </c>
      <c r="T438" s="99">
        <f>VLOOKUP(TEXT(A438,"yy-mm")&amp;"-"&amp;IF(AND(WEEKDAY(A438)&gt;1,WEEKDAY(A438)&lt;7),"Wkd",TEXT(A438,"Ddd"))&amp;"-"&amp;TEXT(A438,"hh"),LoadTable[],3,FALSE)*0.92</f>
        <v>279.25312000000002</v>
      </c>
      <c r="U438" s="113">
        <f t="shared" si="413"/>
        <v>27.925312000000002</v>
      </c>
    </row>
    <row r="439" spans="1:21" ht="15" thickBot="1">
      <c r="A439" s="29">
        <f t="shared" si="451"/>
        <v>45854.166666667588</v>
      </c>
      <c r="B439" s="187">
        <f t="shared" ref="B439:L439" si="465">B463</f>
        <v>5000</v>
      </c>
      <c r="C439" s="187">
        <f t="shared" si="465"/>
        <v>25000</v>
      </c>
      <c r="D439" s="187">
        <v>0</v>
      </c>
      <c r="E439" s="187">
        <v>700</v>
      </c>
      <c r="F439" s="187">
        <v>15000</v>
      </c>
      <c r="G439" s="187">
        <f t="shared" si="465"/>
        <v>2400</v>
      </c>
      <c r="H439" s="187">
        <f t="shared" si="465"/>
        <v>25000</v>
      </c>
      <c r="I439" s="187">
        <f t="shared" si="465"/>
        <v>5000</v>
      </c>
      <c r="J439" s="187">
        <v>40000</v>
      </c>
      <c r="K439" s="187">
        <f t="shared" si="465"/>
        <v>5000</v>
      </c>
      <c r="L439" s="187">
        <v>40000</v>
      </c>
      <c r="M439" s="110">
        <v>9.5</v>
      </c>
      <c r="N439" s="110">
        <f>VLOOKUP(DATE(YEAR(A439),MONTH(A439),DAY(A439)),FY24_Temp[],3,FALSE)</f>
        <v>12.8</v>
      </c>
      <c r="O439" s="110">
        <f t="shared" si="411"/>
        <v>11.5</v>
      </c>
      <c r="P439" s="110">
        <f t="shared" si="412"/>
        <v>19.5</v>
      </c>
      <c r="Q439" s="111">
        <f>VLOOKUP(VLOOKUP(DATEVALUE(TEXT(A439,"m/d/yyyy")),FY24_Temp[],5,FALSE)&amp;TEXT(A439,"-h"),TempDelta[],4,FALSE)</f>
        <v>2.9580000468662808</v>
      </c>
      <c r="R439" s="112">
        <v>10</v>
      </c>
      <c r="S439" s="112">
        <v>1500</v>
      </c>
      <c r="T439" s="99">
        <f>VLOOKUP(TEXT(A439,"yy-mm")&amp;"-"&amp;IF(AND(WEEKDAY(A439)&gt;1,WEEKDAY(A439)&lt;7),"Wkd",TEXT(A439,"Ddd"))&amp;"-"&amp;TEXT(A439,"hh"),LoadTable[],3,FALSE)*0.92</f>
        <v>279.25312000000002</v>
      </c>
      <c r="U439" s="113">
        <f t="shared" si="413"/>
        <v>27.925312000000002</v>
      </c>
    </row>
    <row r="440" spans="1:21" ht="15" thickBot="1">
      <c r="A440" s="29">
        <f t="shared" si="451"/>
        <v>45854.208333334253</v>
      </c>
      <c r="B440" s="187">
        <f t="shared" ref="B440:L440" si="466">B464</f>
        <v>5000</v>
      </c>
      <c r="C440" s="187">
        <f t="shared" si="466"/>
        <v>25000</v>
      </c>
      <c r="D440" s="187">
        <v>0</v>
      </c>
      <c r="E440" s="187">
        <v>700</v>
      </c>
      <c r="F440" s="187">
        <v>15000</v>
      </c>
      <c r="G440" s="187">
        <f t="shared" si="466"/>
        <v>2400</v>
      </c>
      <c r="H440" s="187">
        <f t="shared" si="466"/>
        <v>25000</v>
      </c>
      <c r="I440" s="187">
        <f t="shared" si="466"/>
        <v>5000</v>
      </c>
      <c r="J440" s="187">
        <v>40000</v>
      </c>
      <c r="K440" s="187">
        <f t="shared" si="466"/>
        <v>5000</v>
      </c>
      <c r="L440" s="187">
        <v>40000</v>
      </c>
      <c r="M440" s="110">
        <v>9.5</v>
      </c>
      <c r="N440" s="110">
        <f>VLOOKUP(DATE(YEAR(A440),MONTH(A440),DAY(A440)),FY24_Temp[],3,FALSE)</f>
        <v>12.8</v>
      </c>
      <c r="O440" s="110">
        <f t="shared" si="411"/>
        <v>11.5</v>
      </c>
      <c r="P440" s="110">
        <f t="shared" si="412"/>
        <v>19.5</v>
      </c>
      <c r="Q440" s="111">
        <f>VLOOKUP(VLOOKUP(DATEVALUE(TEXT(A440,"m/d/yyyy")),FY24_Temp[],5,FALSE)&amp;TEXT(A440,"-h"),TempDelta[],4,FALSE)</f>
        <v>2.8608571801866804</v>
      </c>
      <c r="R440" s="112">
        <v>10</v>
      </c>
      <c r="S440" s="112">
        <v>1500</v>
      </c>
      <c r="T440" s="99">
        <f>VLOOKUP(TEXT(A440,"yy-mm")&amp;"-"&amp;IF(AND(WEEKDAY(A440)&gt;1,WEEKDAY(A440)&lt;7),"Wkd",TEXT(A440,"Ddd"))&amp;"-"&amp;TEXT(A440,"hh"),LoadTable[],3,FALSE)*0.92</f>
        <v>279.25312000000002</v>
      </c>
      <c r="U440" s="113">
        <f t="shared" si="413"/>
        <v>27.925312000000002</v>
      </c>
    </row>
    <row r="441" spans="1:21" ht="15" thickBot="1">
      <c r="A441" s="29">
        <f t="shared" si="451"/>
        <v>45854.250000000917</v>
      </c>
      <c r="B441" s="187">
        <f t="shared" ref="B441:L441" si="467">B465</f>
        <v>8000</v>
      </c>
      <c r="C441" s="187">
        <f t="shared" si="467"/>
        <v>25000</v>
      </c>
      <c r="D441" s="187">
        <v>0</v>
      </c>
      <c r="E441" s="187">
        <v>700</v>
      </c>
      <c r="F441" s="187">
        <v>15000</v>
      </c>
      <c r="G441" s="187">
        <f t="shared" si="467"/>
        <v>2400</v>
      </c>
      <c r="H441" s="187">
        <f t="shared" si="467"/>
        <v>25000</v>
      </c>
      <c r="I441" s="187">
        <f t="shared" si="467"/>
        <v>8000</v>
      </c>
      <c r="J441" s="187">
        <v>40000</v>
      </c>
      <c r="K441" s="187">
        <f t="shared" si="467"/>
        <v>8000</v>
      </c>
      <c r="L441" s="187">
        <v>40000</v>
      </c>
      <c r="M441" s="110">
        <v>9.5</v>
      </c>
      <c r="N441" s="110">
        <f>VLOOKUP(DATE(YEAR(A441),MONTH(A441),DAY(A441)),FY24_Temp[],3,FALSE)</f>
        <v>12.8</v>
      </c>
      <c r="O441" s="110">
        <f t="shared" si="411"/>
        <v>11.5</v>
      </c>
      <c r="P441" s="110">
        <f t="shared" si="412"/>
        <v>19.5</v>
      </c>
      <c r="Q441" s="111">
        <f>VLOOKUP(VLOOKUP(DATEVALUE(TEXT(A441,"m/d/yyyy")),FY24_Temp[],5,FALSE)&amp;TEXT(A441,"-h"),TempDelta[],4,FALSE)</f>
        <v>2.7405714307512556</v>
      </c>
      <c r="R441" s="112">
        <v>10</v>
      </c>
      <c r="S441" s="112">
        <v>1500</v>
      </c>
      <c r="T441" s="99">
        <f>VLOOKUP(TEXT(A441,"yy-mm")&amp;"-"&amp;IF(AND(WEEKDAY(A441)&gt;1,WEEKDAY(A441)&lt;7),"Wkd",TEXT(A441,"Ddd"))&amp;"-"&amp;TEXT(A441,"hh"),LoadTable[],3,FALSE)*0.92</f>
        <v>279.25312000000002</v>
      </c>
      <c r="U441" s="113">
        <f t="shared" si="413"/>
        <v>27.925312000000002</v>
      </c>
    </row>
    <row r="442" spans="1:21" ht="15" thickBot="1">
      <c r="A442" s="29">
        <f t="shared" si="451"/>
        <v>45854.291666667581</v>
      </c>
      <c r="B442" s="187">
        <f t="shared" ref="B442:L442" si="468">B466</f>
        <v>8000</v>
      </c>
      <c r="C442" s="187">
        <f t="shared" si="468"/>
        <v>25000</v>
      </c>
      <c r="D442" s="187">
        <v>0</v>
      </c>
      <c r="E442" s="187">
        <v>700</v>
      </c>
      <c r="F442" s="187">
        <v>15000</v>
      </c>
      <c r="G442" s="187">
        <f t="shared" si="468"/>
        <v>2400</v>
      </c>
      <c r="H442" s="187">
        <f t="shared" si="468"/>
        <v>25000</v>
      </c>
      <c r="I442" s="187">
        <f t="shared" si="468"/>
        <v>8000</v>
      </c>
      <c r="J442" s="187">
        <v>40000</v>
      </c>
      <c r="K442" s="187">
        <f t="shared" si="468"/>
        <v>8000</v>
      </c>
      <c r="L442" s="187">
        <v>40000</v>
      </c>
      <c r="M442" s="110">
        <v>9.5</v>
      </c>
      <c r="N442" s="110">
        <f>VLOOKUP(DATE(YEAR(A442),MONTH(A442),DAY(A442)),FY24_Temp[],3,FALSE)</f>
        <v>12.8</v>
      </c>
      <c r="O442" s="110">
        <f t="shared" si="411"/>
        <v>11.5</v>
      </c>
      <c r="P442" s="110">
        <f t="shared" si="412"/>
        <v>19.5</v>
      </c>
      <c r="Q442" s="111">
        <f>VLOOKUP(VLOOKUP(DATEVALUE(TEXT(A442,"m/d/yyyy")),FY24_Temp[],5,FALSE)&amp;TEXT(A442,"-h"),TempDelta[],4,FALSE)</f>
        <v>2.6134285245622908</v>
      </c>
      <c r="R442" s="112">
        <v>10</v>
      </c>
      <c r="S442" s="112">
        <v>1500</v>
      </c>
      <c r="T442" s="99">
        <f>VLOOKUP(TEXT(A442,"yy-mm")&amp;"-"&amp;IF(AND(WEEKDAY(A442)&gt;1,WEEKDAY(A442)&lt;7),"Wkd",TEXT(A442,"Ddd"))&amp;"-"&amp;TEXT(A442,"hh"),LoadTable[],3,FALSE)*0.92</f>
        <v>279.25312000000002</v>
      </c>
      <c r="U442" s="113">
        <f t="shared" si="413"/>
        <v>27.925312000000002</v>
      </c>
    </row>
    <row r="443" spans="1:21" ht="15" thickBot="1">
      <c r="A443" s="29">
        <f t="shared" si="451"/>
        <v>45854.333333334245</v>
      </c>
      <c r="B443" s="187">
        <f t="shared" ref="B443:L443" si="469">B467</f>
        <v>8000</v>
      </c>
      <c r="C443" s="187">
        <f t="shared" si="469"/>
        <v>25000</v>
      </c>
      <c r="D443" s="187">
        <v>0</v>
      </c>
      <c r="E443" s="187">
        <v>700</v>
      </c>
      <c r="F443" s="187">
        <v>15000</v>
      </c>
      <c r="G443" s="187">
        <f t="shared" si="469"/>
        <v>2400</v>
      </c>
      <c r="H443" s="187">
        <f t="shared" si="469"/>
        <v>25000</v>
      </c>
      <c r="I443" s="187">
        <f t="shared" si="469"/>
        <v>8000</v>
      </c>
      <c r="J443" s="187">
        <v>40000</v>
      </c>
      <c r="K443" s="187">
        <f t="shared" si="469"/>
        <v>8000</v>
      </c>
      <c r="L443" s="187">
        <v>40000</v>
      </c>
      <c r="M443" s="110">
        <v>9.5</v>
      </c>
      <c r="N443" s="110">
        <f>VLOOKUP(DATE(YEAR(A443),MONTH(A443),DAY(A443)),FY24_Temp[],3,FALSE)</f>
        <v>12.8</v>
      </c>
      <c r="O443" s="110">
        <f t="shared" si="411"/>
        <v>11.5</v>
      </c>
      <c r="P443" s="110">
        <f t="shared" si="412"/>
        <v>19.5</v>
      </c>
      <c r="Q443" s="111">
        <f>VLOOKUP(VLOOKUP(DATEVALUE(TEXT(A443,"m/d/yyyy")),FY24_Temp[],5,FALSE)&amp;TEXT(A443,"-h"),TempDelta[],4,FALSE)</f>
        <v>2.44985716683524</v>
      </c>
      <c r="R443" s="112">
        <v>10</v>
      </c>
      <c r="S443" s="112">
        <v>1500</v>
      </c>
      <c r="T443" s="99">
        <f>VLOOKUP(TEXT(A443,"yy-mm")&amp;"-"&amp;IF(AND(WEEKDAY(A443)&gt;1,WEEKDAY(A443)&lt;7),"Wkd",TEXT(A443,"Ddd"))&amp;"-"&amp;TEXT(A443,"hh"),LoadTable[],3,FALSE)*0.92</f>
        <v>279.25312000000002</v>
      </c>
      <c r="U443" s="113">
        <f t="shared" si="413"/>
        <v>27.925312000000002</v>
      </c>
    </row>
    <row r="444" spans="1:21" ht="15" thickBot="1">
      <c r="A444" s="29">
        <f t="shared" si="451"/>
        <v>45854.375000000909</v>
      </c>
      <c r="B444" s="187">
        <f t="shared" ref="B444:L444" si="470">B468</f>
        <v>8000</v>
      </c>
      <c r="C444" s="187">
        <f t="shared" si="470"/>
        <v>25000</v>
      </c>
      <c r="D444" s="187">
        <v>0</v>
      </c>
      <c r="E444" s="187">
        <v>700</v>
      </c>
      <c r="F444" s="187">
        <v>15000</v>
      </c>
      <c r="G444" s="187">
        <f t="shared" si="470"/>
        <v>2400</v>
      </c>
      <c r="H444" s="187">
        <f t="shared" si="470"/>
        <v>25000</v>
      </c>
      <c r="I444" s="187">
        <f t="shared" si="470"/>
        <v>8000</v>
      </c>
      <c r="J444" s="187">
        <v>40000</v>
      </c>
      <c r="K444" s="187">
        <f t="shared" si="470"/>
        <v>8000</v>
      </c>
      <c r="L444" s="187">
        <v>40000</v>
      </c>
      <c r="M444" s="110">
        <v>9.5</v>
      </c>
      <c r="N444" s="110">
        <f>VLOOKUP(DATE(YEAR(A444),MONTH(A444),DAY(A444)),FY24_Temp[],3,FALSE)</f>
        <v>12.8</v>
      </c>
      <c r="O444" s="110">
        <f t="shared" si="411"/>
        <v>11.5</v>
      </c>
      <c r="P444" s="110">
        <f t="shared" si="412"/>
        <v>19.5</v>
      </c>
      <c r="Q444" s="111">
        <f>VLOOKUP(VLOOKUP(DATEVALUE(TEXT(A444,"m/d/yyyy")),FY24_Temp[],5,FALSE)&amp;TEXT(A444,"-h"),TempDelta[],4,FALSE)</f>
        <v>2.2458571025303433</v>
      </c>
      <c r="R444" s="112">
        <v>10</v>
      </c>
      <c r="S444" s="112">
        <v>1500</v>
      </c>
      <c r="T444" s="99">
        <f>VLOOKUP(TEXT(A444,"yy-mm")&amp;"-"&amp;IF(AND(WEEKDAY(A444)&gt;1,WEEKDAY(A444)&lt;7),"Wkd",TEXT(A444,"Ddd"))&amp;"-"&amp;TEXT(A444,"hh"),LoadTable[],3,FALSE)*0.92</f>
        <v>279.25312000000002</v>
      </c>
      <c r="U444" s="113">
        <f t="shared" si="413"/>
        <v>27.925312000000002</v>
      </c>
    </row>
    <row r="445" spans="1:21" ht="15" thickBot="1">
      <c r="A445" s="29">
        <f t="shared" si="451"/>
        <v>45854.416666667574</v>
      </c>
      <c r="B445" s="187">
        <f t="shared" ref="B445:L445" si="471">B469</f>
        <v>8000</v>
      </c>
      <c r="C445" s="187">
        <f t="shared" si="471"/>
        <v>25000</v>
      </c>
      <c r="D445" s="187">
        <v>0</v>
      </c>
      <c r="E445" s="187">
        <v>700</v>
      </c>
      <c r="F445" s="187">
        <v>15000</v>
      </c>
      <c r="G445" s="187">
        <f t="shared" si="471"/>
        <v>2400</v>
      </c>
      <c r="H445" s="187">
        <f t="shared" si="471"/>
        <v>25000</v>
      </c>
      <c r="I445" s="187">
        <f t="shared" si="471"/>
        <v>8000</v>
      </c>
      <c r="J445" s="187">
        <v>40000</v>
      </c>
      <c r="K445" s="187">
        <f t="shared" si="471"/>
        <v>8000</v>
      </c>
      <c r="L445" s="187">
        <v>40000</v>
      </c>
      <c r="M445" s="110">
        <v>9.5</v>
      </c>
      <c r="N445" s="110">
        <f>VLOOKUP(DATE(YEAR(A445),MONTH(A445),DAY(A445)),FY24_Temp[],3,FALSE)</f>
        <v>12.8</v>
      </c>
      <c r="O445" s="110">
        <f t="shared" si="411"/>
        <v>11.5</v>
      </c>
      <c r="P445" s="110">
        <f t="shared" si="412"/>
        <v>19.5</v>
      </c>
      <c r="Q445" s="111">
        <f>VLOOKUP(VLOOKUP(DATEVALUE(TEXT(A445,"m/d/yyyy")),FY24_Temp[],5,FALSE)&amp;TEXT(A445,"-h"),TempDelta[],4,FALSE)</f>
        <v>2.0832857234137401</v>
      </c>
      <c r="R445" s="112">
        <v>10</v>
      </c>
      <c r="S445" s="112">
        <v>1500</v>
      </c>
      <c r="T445" s="99">
        <f>VLOOKUP(TEXT(A445,"yy-mm")&amp;"-"&amp;IF(AND(WEEKDAY(A445)&gt;1,WEEKDAY(A445)&lt;7),"Wkd",TEXT(A445,"Ddd"))&amp;"-"&amp;TEXT(A445,"hh"),LoadTable[],3,FALSE)*0.92</f>
        <v>279.25312000000002</v>
      </c>
      <c r="U445" s="113">
        <f t="shared" si="413"/>
        <v>27.925312000000002</v>
      </c>
    </row>
    <row r="446" spans="1:21" ht="15" thickBot="1">
      <c r="A446" s="29">
        <f t="shared" si="451"/>
        <v>45854.458333334238</v>
      </c>
      <c r="B446" s="187">
        <f t="shared" ref="B446:L446" si="472">B470</f>
        <v>8000</v>
      </c>
      <c r="C446" s="187">
        <f t="shared" si="472"/>
        <v>25000</v>
      </c>
      <c r="D446" s="187">
        <v>0</v>
      </c>
      <c r="E446" s="187">
        <v>700</v>
      </c>
      <c r="F446" s="187">
        <v>15000</v>
      </c>
      <c r="G446" s="187">
        <f t="shared" si="472"/>
        <v>2400</v>
      </c>
      <c r="H446" s="187">
        <f t="shared" si="472"/>
        <v>25000</v>
      </c>
      <c r="I446" s="187">
        <f t="shared" si="472"/>
        <v>8000</v>
      </c>
      <c r="J446" s="187">
        <v>40000</v>
      </c>
      <c r="K446" s="187">
        <f t="shared" si="472"/>
        <v>8000</v>
      </c>
      <c r="L446" s="187">
        <v>40000</v>
      </c>
      <c r="M446" s="110">
        <v>9.5</v>
      </c>
      <c r="N446" s="110">
        <f>VLOOKUP(DATE(YEAR(A446),MONTH(A446),DAY(A446)),FY24_Temp[],3,FALSE)</f>
        <v>12.8</v>
      </c>
      <c r="O446" s="110">
        <f t="shared" si="411"/>
        <v>11.5</v>
      </c>
      <c r="P446" s="110">
        <f t="shared" si="412"/>
        <v>19.5</v>
      </c>
      <c r="Q446" s="111">
        <f>VLOOKUP(VLOOKUP(DATEVALUE(TEXT(A446,"m/d/yyyy")),FY24_Temp[],5,FALSE)&amp;TEXT(A446,"-h"),TempDelta[],4,FALSE)</f>
        <v>1.8928571258272444</v>
      </c>
      <c r="R446" s="112">
        <v>10</v>
      </c>
      <c r="S446" s="112">
        <v>1500</v>
      </c>
      <c r="T446" s="99">
        <f>VLOOKUP(TEXT(A446,"yy-mm")&amp;"-"&amp;IF(AND(WEEKDAY(A446)&gt;1,WEEKDAY(A446)&lt;7),"Wkd",TEXT(A446,"Ddd"))&amp;"-"&amp;TEXT(A446,"hh"),LoadTable[],3,FALSE)*0.92</f>
        <v>279.25312000000002</v>
      </c>
      <c r="U446" s="113">
        <f t="shared" si="413"/>
        <v>27.925312000000002</v>
      </c>
    </row>
    <row r="447" spans="1:21" ht="15" thickBot="1">
      <c r="A447" s="29">
        <f t="shared" si="451"/>
        <v>45854.500000000902</v>
      </c>
      <c r="B447" s="187">
        <f t="shared" ref="B447:L447" si="473">B471</f>
        <v>8000</v>
      </c>
      <c r="C447" s="187">
        <f t="shared" si="473"/>
        <v>25000</v>
      </c>
      <c r="D447" s="187">
        <v>0</v>
      </c>
      <c r="E447" s="187">
        <v>700</v>
      </c>
      <c r="F447" s="187">
        <v>15000</v>
      </c>
      <c r="G447" s="187">
        <f t="shared" si="473"/>
        <v>2400</v>
      </c>
      <c r="H447" s="187">
        <f t="shared" si="473"/>
        <v>25000</v>
      </c>
      <c r="I447" s="187">
        <f t="shared" si="473"/>
        <v>8000</v>
      </c>
      <c r="J447" s="187">
        <v>40000</v>
      </c>
      <c r="K447" s="187">
        <f t="shared" si="473"/>
        <v>8000</v>
      </c>
      <c r="L447" s="187">
        <v>40000</v>
      </c>
      <c r="M447" s="110">
        <v>9.5</v>
      </c>
      <c r="N447" s="110">
        <f>VLOOKUP(DATE(YEAR(A447),MONTH(A447),DAY(A447)),FY24_Temp[],3,FALSE)</f>
        <v>12.8</v>
      </c>
      <c r="O447" s="110">
        <f t="shared" si="411"/>
        <v>11.5</v>
      </c>
      <c r="P447" s="110">
        <f t="shared" si="412"/>
        <v>19.5</v>
      </c>
      <c r="Q447" s="111">
        <f>VLOOKUP(VLOOKUP(DATEVALUE(TEXT(A447,"m/d/yyyy")),FY24_Temp[],5,FALSE)&amp;TEXT(A447,"-h"),TempDelta[],4,FALSE)</f>
        <v>1.665857127734593</v>
      </c>
      <c r="R447" s="112">
        <v>10</v>
      </c>
      <c r="S447" s="112">
        <v>1500</v>
      </c>
      <c r="T447" s="99">
        <f>VLOOKUP(TEXT(A447,"yy-mm")&amp;"-"&amp;IF(AND(WEEKDAY(A447)&gt;1,WEEKDAY(A447)&lt;7),"Wkd",TEXT(A447,"Ddd"))&amp;"-"&amp;TEXT(A447,"hh"),LoadTable[],3,FALSE)*0.92</f>
        <v>279.25312000000002</v>
      </c>
      <c r="U447" s="113">
        <f t="shared" si="413"/>
        <v>27.925312000000002</v>
      </c>
    </row>
    <row r="448" spans="1:21" ht="15" thickBot="1">
      <c r="A448" s="29">
        <f t="shared" si="451"/>
        <v>45854.541666667566</v>
      </c>
      <c r="B448" s="187">
        <f t="shared" ref="B448:L448" si="474">B472</f>
        <v>8000</v>
      </c>
      <c r="C448" s="187">
        <f t="shared" si="474"/>
        <v>25000</v>
      </c>
      <c r="D448" s="187">
        <v>0</v>
      </c>
      <c r="E448" s="187">
        <v>700</v>
      </c>
      <c r="F448" s="187">
        <v>15000</v>
      </c>
      <c r="G448" s="187">
        <f t="shared" si="474"/>
        <v>2400</v>
      </c>
      <c r="H448" s="187">
        <f t="shared" si="474"/>
        <v>25000</v>
      </c>
      <c r="I448" s="187">
        <f t="shared" si="474"/>
        <v>8000</v>
      </c>
      <c r="J448" s="187">
        <v>40000</v>
      </c>
      <c r="K448" s="187">
        <f t="shared" si="474"/>
        <v>8000</v>
      </c>
      <c r="L448" s="187">
        <v>40000</v>
      </c>
      <c r="M448" s="110">
        <v>9.5</v>
      </c>
      <c r="N448" s="110">
        <f>VLOOKUP(DATE(YEAR(A448),MONTH(A448),DAY(A448)),FY24_Temp[],3,FALSE)</f>
        <v>12.8</v>
      </c>
      <c r="O448" s="110">
        <f t="shared" si="411"/>
        <v>11.5</v>
      </c>
      <c r="P448" s="110">
        <f t="shared" si="412"/>
        <v>19.5</v>
      </c>
      <c r="Q448" s="111">
        <f>VLOOKUP(VLOOKUP(DATEVALUE(TEXT(A448,"m/d/yyyy")),FY24_Temp[],5,FALSE)&amp;TEXT(A448,"-h"),TempDelta[],4,FALSE)</f>
        <v>1.4252856969833374</v>
      </c>
      <c r="R448" s="112">
        <v>10</v>
      </c>
      <c r="S448" s="112">
        <v>1500</v>
      </c>
      <c r="T448" s="99">
        <f>VLOOKUP(TEXT(A448,"yy-mm")&amp;"-"&amp;IF(AND(WEEKDAY(A448)&gt;1,WEEKDAY(A448)&lt;7),"Wkd",TEXT(A448,"Ddd"))&amp;"-"&amp;TEXT(A448,"hh"),LoadTable[],3,FALSE)*0.92</f>
        <v>279.25312000000002</v>
      </c>
      <c r="U448" s="113">
        <f t="shared" si="413"/>
        <v>27.925312000000002</v>
      </c>
    </row>
    <row r="449" spans="1:21" ht="15" thickBot="1">
      <c r="A449" s="29">
        <f t="shared" si="451"/>
        <v>45854.583333334231</v>
      </c>
      <c r="B449" s="187">
        <f t="shared" ref="B449:L449" si="475">B473</f>
        <v>8000</v>
      </c>
      <c r="C449" s="187">
        <f t="shared" si="475"/>
        <v>25000</v>
      </c>
      <c r="D449" s="187">
        <v>0</v>
      </c>
      <c r="E449" s="187">
        <v>700</v>
      </c>
      <c r="F449" s="187">
        <v>15000</v>
      </c>
      <c r="G449" s="187">
        <f t="shared" si="475"/>
        <v>2400</v>
      </c>
      <c r="H449" s="187">
        <f t="shared" si="475"/>
        <v>25000</v>
      </c>
      <c r="I449" s="187">
        <f t="shared" si="475"/>
        <v>8000</v>
      </c>
      <c r="J449" s="187">
        <v>40000</v>
      </c>
      <c r="K449" s="187">
        <f t="shared" si="475"/>
        <v>8000</v>
      </c>
      <c r="L449" s="187">
        <v>40000</v>
      </c>
      <c r="M449" s="110">
        <v>9.5</v>
      </c>
      <c r="N449" s="110">
        <f>VLOOKUP(DATE(YEAR(A449),MONTH(A449),DAY(A449)),FY24_Temp[],3,FALSE)</f>
        <v>12.8</v>
      </c>
      <c r="O449" s="110">
        <f t="shared" si="411"/>
        <v>11.5</v>
      </c>
      <c r="P449" s="110">
        <f t="shared" si="412"/>
        <v>19.5</v>
      </c>
      <c r="Q449" s="111">
        <f>VLOOKUP(VLOOKUP(DATEVALUE(TEXT(A449,"m/d/yyyy")),FY24_Temp[],5,FALSE)&amp;TEXT(A449,"-h"),TempDelta[],4,FALSE)</f>
        <v>1.2351428781236922</v>
      </c>
      <c r="R449" s="112">
        <v>10</v>
      </c>
      <c r="S449" s="112">
        <v>1500</v>
      </c>
      <c r="T449" s="99">
        <f>VLOOKUP(TEXT(A449,"yy-mm")&amp;"-"&amp;IF(AND(WEEKDAY(A449)&gt;1,WEEKDAY(A449)&lt;7),"Wkd",TEXT(A449,"Ddd"))&amp;"-"&amp;TEXT(A449,"hh"),LoadTable[],3,FALSE)*0.92</f>
        <v>373.26607999999999</v>
      </c>
      <c r="U449" s="113">
        <f t="shared" si="413"/>
        <v>37.326608</v>
      </c>
    </row>
    <row r="450" spans="1:21" ht="15" thickBot="1">
      <c r="A450" s="29">
        <f t="shared" si="451"/>
        <v>45854.625000000895</v>
      </c>
      <c r="B450" s="187">
        <f t="shared" ref="B450:L450" si="476">B474</f>
        <v>8000</v>
      </c>
      <c r="C450" s="187">
        <f t="shared" si="476"/>
        <v>25000</v>
      </c>
      <c r="D450" s="187">
        <v>0</v>
      </c>
      <c r="E450" s="187">
        <v>700</v>
      </c>
      <c r="F450" s="187">
        <v>15000</v>
      </c>
      <c r="G450" s="187">
        <f t="shared" si="476"/>
        <v>2400</v>
      </c>
      <c r="H450" s="187">
        <f t="shared" si="476"/>
        <v>25000</v>
      </c>
      <c r="I450" s="187">
        <f t="shared" si="476"/>
        <v>8000</v>
      </c>
      <c r="J450" s="187">
        <v>40000</v>
      </c>
      <c r="K450" s="187">
        <f t="shared" si="476"/>
        <v>8000</v>
      </c>
      <c r="L450" s="187">
        <v>40000</v>
      </c>
      <c r="M450" s="110">
        <v>9.5</v>
      </c>
      <c r="N450" s="110">
        <f>VLOOKUP(DATE(YEAR(A450),MONTH(A450),DAY(A450)),FY24_Temp[],3,FALSE)</f>
        <v>12.8</v>
      </c>
      <c r="O450" s="110">
        <f t="shared" si="411"/>
        <v>11.5</v>
      </c>
      <c r="P450" s="110">
        <f t="shared" si="412"/>
        <v>19.5</v>
      </c>
      <c r="Q450" s="111">
        <f>VLOOKUP(VLOOKUP(DATEVALUE(TEXT(A450,"m/d/yyyy")),FY24_Temp[],5,FALSE)&amp;TEXT(A450,"-h"),TempDelta[],4,FALSE)</f>
        <v>0.97514284508568905</v>
      </c>
      <c r="R450" s="112">
        <v>10</v>
      </c>
      <c r="S450" s="112">
        <v>1500</v>
      </c>
      <c r="T450" s="99">
        <f>VLOOKUP(TEXT(A450,"yy-mm")&amp;"-"&amp;IF(AND(WEEKDAY(A450)&gt;1,WEEKDAY(A450)&lt;7),"Wkd",TEXT(A450,"Ddd"))&amp;"-"&amp;TEXT(A450,"hh"),LoadTable[],3,FALSE)*0.92</f>
        <v>494.57360000000006</v>
      </c>
      <c r="U450" s="113">
        <f t="shared" si="413"/>
        <v>49.457360000000008</v>
      </c>
    </row>
    <row r="451" spans="1:21" ht="15" thickBot="1">
      <c r="A451" s="29">
        <f t="shared" si="451"/>
        <v>45854.666666667559</v>
      </c>
      <c r="B451" s="187">
        <f t="shared" ref="B451:L451" si="477">B475</f>
        <v>8000</v>
      </c>
      <c r="C451" s="187">
        <f t="shared" si="477"/>
        <v>25000</v>
      </c>
      <c r="D451" s="187">
        <v>0</v>
      </c>
      <c r="E451" s="187">
        <v>700</v>
      </c>
      <c r="F451" s="187">
        <v>15000</v>
      </c>
      <c r="G451" s="187">
        <f t="shared" si="477"/>
        <v>2400</v>
      </c>
      <c r="H451" s="187">
        <f t="shared" si="477"/>
        <v>25000</v>
      </c>
      <c r="I451" s="187">
        <f t="shared" si="477"/>
        <v>8000</v>
      </c>
      <c r="J451" s="187">
        <v>40000</v>
      </c>
      <c r="K451" s="187">
        <f t="shared" si="477"/>
        <v>8000</v>
      </c>
      <c r="L451" s="187">
        <v>40000</v>
      </c>
      <c r="M451" s="110">
        <v>9.5</v>
      </c>
      <c r="N451" s="110">
        <f>VLOOKUP(DATE(YEAR(A451),MONTH(A451),DAY(A451)),FY24_Temp[],3,FALSE)</f>
        <v>12.8</v>
      </c>
      <c r="O451" s="110">
        <f t="shared" si="411"/>
        <v>11.5</v>
      </c>
      <c r="P451" s="110">
        <f t="shared" si="412"/>
        <v>19.5</v>
      </c>
      <c r="Q451" s="111">
        <f>VLOOKUP(VLOOKUP(DATEVALUE(TEXT(A451,"m/d/yyyy")),FY24_Temp[],5,FALSE)&amp;TEXT(A451,"-h"),TempDelta[],4,FALSE)</f>
        <v>0.88578571166310993</v>
      </c>
      <c r="R451" s="112">
        <v>10</v>
      </c>
      <c r="S451" s="112">
        <v>1500</v>
      </c>
      <c r="T451" s="99">
        <f>VLOOKUP(TEXT(A451,"yy-mm")&amp;"-"&amp;IF(AND(WEEKDAY(A451)&gt;1,WEEKDAY(A451)&lt;7),"Wkd",TEXT(A451,"Ddd"))&amp;"-"&amp;TEXT(A451,"hh"),LoadTable[],3,FALSE)*0.92</f>
        <v>494.57360000000006</v>
      </c>
      <c r="U451" s="113">
        <f t="shared" si="413"/>
        <v>49.457360000000008</v>
      </c>
    </row>
    <row r="452" spans="1:21" ht="15" thickBot="1">
      <c r="A452" s="29">
        <f t="shared" si="451"/>
        <v>45854.708333334223</v>
      </c>
      <c r="B452" s="187">
        <f t="shared" ref="B452:L452" si="478">B476</f>
        <v>8000</v>
      </c>
      <c r="C452" s="187">
        <f t="shared" si="478"/>
        <v>25000</v>
      </c>
      <c r="D452" s="187">
        <v>0</v>
      </c>
      <c r="E452" s="187">
        <v>700</v>
      </c>
      <c r="F452" s="187">
        <v>15000</v>
      </c>
      <c r="G452" s="187">
        <f t="shared" si="478"/>
        <v>2400</v>
      </c>
      <c r="H452" s="187">
        <f t="shared" si="478"/>
        <v>25000</v>
      </c>
      <c r="I452" s="187">
        <f t="shared" si="478"/>
        <v>8000</v>
      </c>
      <c r="J452" s="187">
        <v>40000</v>
      </c>
      <c r="K452" s="187">
        <f t="shared" si="478"/>
        <v>8000</v>
      </c>
      <c r="L452" s="187">
        <v>40000</v>
      </c>
      <c r="M452" s="110">
        <v>9.5</v>
      </c>
      <c r="N452" s="110">
        <f>VLOOKUP(DATE(YEAR(A452),MONTH(A452),DAY(A452)),FY24_Temp[],3,FALSE)</f>
        <v>12.8</v>
      </c>
      <c r="O452" s="110">
        <f t="shared" ref="O452:O515" si="479">15.5-4</f>
        <v>11.5</v>
      </c>
      <c r="P452" s="110">
        <f t="shared" ref="P452:P515" si="480">15.5+4</f>
        <v>19.5</v>
      </c>
      <c r="Q452" s="111">
        <f>VLOOKUP(VLOOKUP(DATEVALUE(TEXT(A452,"m/d/yyyy")),FY24_Temp[],5,FALSE)&amp;TEXT(A452,"-h"),TempDelta[],4,FALSE)</f>
        <v>1.0356428495475225</v>
      </c>
      <c r="R452" s="112">
        <v>10</v>
      </c>
      <c r="S452" s="112">
        <v>1500</v>
      </c>
      <c r="T452" s="99">
        <f>VLOOKUP(TEXT(A452,"yy-mm")&amp;"-"&amp;IF(AND(WEEKDAY(A452)&gt;1,WEEKDAY(A452)&lt;7),"Wkd",TEXT(A452,"Ddd"))&amp;"-"&amp;TEXT(A452,"hh"),LoadTable[],3,FALSE)*0.92</f>
        <v>494.57360000000006</v>
      </c>
      <c r="U452" s="113">
        <f t="shared" ref="U452:U515" si="481">T452/10</f>
        <v>49.457360000000008</v>
      </c>
    </row>
    <row r="453" spans="1:21" ht="15" thickBot="1">
      <c r="A453" s="29">
        <f t="shared" si="451"/>
        <v>45854.750000000888</v>
      </c>
      <c r="B453" s="187">
        <f t="shared" ref="B453:L453" si="482">B477</f>
        <v>5000</v>
      </c>
      <c r="C453" s="187">
        <f t="shared" si="482"/>
        <v>25000</v>
      </c>
      <c r="D453" s="187">
        <v>0</v>
      </c>
      <c r="E453" s="187">
        <v>700</v>
      </c>
      <c r="F453" s="187">
        <v>15000</v>
      </c>
      <c r="G453" s="187">
        <f t="shared" si="482"/>
        <v>2400</v>
      </c>
      <c r="H453" s="187">
        <f t="shared" si="482"/>
        <v>25000</v>
      </c>
      <c r="I453" s="187">
        <f t="shared" si="482"/>
        <v>5000</v>
      </c>
      <c r="J453" s="187">
        <v>40000</v>
      </c>
      <c r="K453" s="187">
        <f t="shared" si="482"/>
        <v>5000</v>
      </c>
      <c r="L453" s="187">
        <v>40000</v>
      </c>
      <c r="M453" s="110">
        <v>9.5</v>
      </c>
      <c r="N453" s="110">
        <f>VLOOKUP(DATE(YEAR(A453),MONTH(A453),DAY(A453)),FY24_Temp[],3,FALSE)</f>
        <v>12.8</v>
      </c>
      <c r="O453" s="110">
        <f t="shared" si="479"/>
        <v>11.5</v>
      </c>
      <c r="P453" s="110">
        <f t="shared" si="480"/>
        <v>19.5</v>
      </c>
      <c r="Q453" s="111">
        <f>VLOOKUP(VLOOKUP(DATEVALUE(TEXT(A453,"m/d/yyyy")),FY24_Temp[],5,FALSE)&amp;TEXT(A453,"-h"),TempDelta[],4,FALSE)</f>
        <v>1.3991428358214242</v>
      </c>
      <c r="R453" s="112">
        <v>10</v>
      </c>
      <c r="S453" s="112">
        <v>1500</v>
      </c>
      <c r="T453" s="99">
        <f>VLOOKUP(TEXT(A453,"yy-mm")&amp;"-"&amp;IF(AND(WEEKDAY(A453)&gt;1,WEEKDAY(A453)&lt;7),"Wkd",TEXT(A453,"Ddd"))&amp;"-"&amp;TEXT(A453,"hh"),LoadTable[],3,FALSE)*0.92</f>
        <v>494.57360000000006</v>
      </c>
      <c r="U453" s="113">
        <f t="shared" si="481"/>
        <v>49.457360000000008</v>
      </c>
    </row>
    <row r="454" spans="1:21" ht="15" thickBot="1">
      <c r="A454" s="29">
        <f t="shared" si="451"/>
        <v>45854.791666667552</v>
      </c>
      <c r="B454" s="187">
        <f t="shared" ref="B454:L454" si="483">B478</f>
        <v>5000</v>
      </c>
      <c r="C454" s="187">
        <f t="shared" si="483"/>
        <v>25000</v>
      </c>
      <c r="D454" s="187">
        <v>0</v>
      </c>
      <c r="E454" s="187">
        <v>700</v>
      </c>
      <c r="F454" s="187">
        <v>15000</v>
      </c>
      <c r="G454" s="187">
        <f t="shared" si="483"/>
        <v>2400</v>
      </c>
      <c r="H454" s="187">
        <f t="shared" si="483"/>
        <v>25000</v>
      </c>
      <c r="I454" s="187">
        <f t="shared" si="483"/>
        <v>5000</v>
      </c>
      <c r="J454" s="187">
        <v>40000</v>
      </c>
      <c r="K454" s="187">
        <f t="shared" si="483"/>
        <v>5000</v>
      </c>
      <c r="L454" s="187">
        <v>40000</v>
      </c>
      <c r="M454" s="110">
        <v>9.5</v>
      </c>
      <c r="N454" s="110">
        <f>VLOOKUP(DATE(YEAR(A454),MONTH(A454),DAY(A454)),FY24_Temp[],3,FALSE)</f>
        <v>12.8</v>
      </c>
      <c r="O454" s="110">
        <f t="shared" si="479"/>
        <v>11.5</v>
      </c>
      <c r="P454" s="110">
        <f t="shared" si="480"/>
        <v>19.5</v>
      </c>
      <c r="Q454" s="111">
        <f>VLOOKUP(VLOOKUP(DATEVALUE(TEXT(A454,"m/d/yyyy")),FY24_Temp[],5,FALSE)&amp;TEXT(A454,"-h"),TempDelta[],4,FALSE)</f>
        <v>1.8638571415628706</v>
      </c>
      <c r="R454" s="112">
        <v>10</v>
      </c>
      <c r="S454" s="112">
        <v>1500</v>
      </c>
      <c r="T454" s="99">
        <f>VLOOKUP(TEXT(A454,"yy-mm")&amp;"-"&amp;IF(AND(WEEKDAY(A454)&gt;1,WEEKDAY(A454)&lt;7),"Wkd",TEXT(A454,"Ddd"))&amp;"-"&amp;TEXT(A454,"hh"),LoadTable[],3,FALSE)*0.92</f>
        <v>494.57360000000006</v>
      </c>
      <c r="U454" s="113">
        <f t="shared" si="481"/>
        <v>49.457360000000008</v>
      </c>
    </row>
    <row r="455" spans="1:21" ht="15" thickBot="1">
      <c r="A455" s="29">
        <f t="shared" si="451"/>
        <v>45854.833333334216</v>
      </c>
      <c r="B455" s="187">
        <f t="shared" ref="B455:L455" si="484">B479</f>
        <v>5000</v>
      </c>
      <c r="C455" s="187">
        <f t="shared" si="484"/>
        <v>25000</v>
      </c>
      <c r="D455" s="187">
        <v>0</v>
      </c>
      <c r="E455" s="187">
        <v>700</v>
      </c>
      <c r="F455" s="187">
        <v>15000</v>
      </c>
      <c r="G455" s="187">
        <f t="shared" si="484"/>
        <v>2400</v>
      </c>
      <c r="H455" s="187">
        <f t="shared" si="484"/>
        <v>25000</v>
      </c>
      <c r="I455" s="187">
        <f t="shared" si="484"/>
        <v>5000</v>
      </c>
      <c r="J455" s="187">
        <v>40000</v>
      </c>
      <c r="K455" s="187">
        <f t="shared" si="484"/>
        <v>5000</v>
      </c>
      <c r="L455" s="187">
        <v>40000</v>
      </c>
      <c r="M455" s="110">
        <v>9.5</v>
      </c>
      <c r="N455" s="110">
        <f>VLOOKUP(DATE(YEAR(A455),MONTH(A455),DAY(A455)),FY24_Temp[],3,FALSE)</f>
        <v>12.8</v>
      </c>
      <c r="O455" s="110">
        <f t="shared" si="479"/>
        <v>11.5</v>
      </c>
      <c r="P455" s="110">
        <f t="shared" si="480"/>
        <v>19.5</v>
      </c>
      <c r="Q455" s="111">
        <f>VLOOKUP(VLOOKUP(DATEVALUE(TEXT(A455,"m/d/yyyy")),FY24_Temp[],5,FALSE)&amp;TEXT(A455,"-h"),TempDelta[],4,FALSE)</f>
        <v>2.300714305468968</v>
      </c>
      <c r="R455" s="112">
        <v>10</v>
      </c>
      <c r="S455" s="112">
        <v>1500</v>
      </c>
      <c r="T455" s="99">
        <f>VLOOKUP(TEXT(A455,"yy-mm")&amp;"-"&amp;IF(AND(WEEKDAY(A455)&gt;1,WEEKDAY(A455)&lt;7),"Wkd",TEXT(A455,"Ddd"))&amp;"-"&amp;TEXT(A455,"hh"),LoadTable[],3,FALSE)*0.92</f>
        <v>494.57360000000006</v>
      </c>
      <c r="U455" s="113">
        <f t="shared" si="481"/>
        <v>49.457360000000008</v>
      </c>
    </row>
    <row r="456" spans="1:21" ht="15" thickBot="1">
      <c r="A456" s="29">
        <f t="shared" si="451"/>
        <v>45854.87500000088</v>
      </c>
      <c r="B456" s="187">
        <f t="shared" ref="B456:L456" si="485">B480</f>
        <v>5000</v>
      </c>
      <c r="C456" s="187">
        <f t="shared" si="485"/>
        <v>25000</v>
      </c>
      <c r="D456" s="187">
        <v>0</v>
      </c>
      <c r="E456" s="187">
        <v>700</v>
      </c>
      <c r="F456" s="187">
        <v>15000</v>
      </c>
      <c r="G456" s="187">
        <f t="shared" si="485"/>
        <v>2400</v>
      </c>
      <c r="H456" s="187">
        <f t="shared" si="485"/>
        <v>25000</v>
      </c>
      <c r="I456" s="187">
        <f t="shared" si="485"/>
        <v>5000</v>
      </c>
      <c r="J456" s="187">
        <v>40000</v>
      </c>
      <c r="K456" s="187">
        <f t="shared" si="485"/>
        <v>5000</v>
      </c>
      <c r="L456" s="187">
        <v>40000</v>
      </c>
      <c r="M456" s="110">
        <v>9.5</v>
      </c>
      <c r="N456" s="110">
        <f>VLOOKUP(DATE(YEAR(A456),MONTH(A456),DAY(A456)),FY24_Temp[],3,FALSE)</f>
        <v>12.8</v>
      </c>
      <c r="O456" s="110">
        <f t="shared" si="479"/>
        <v>11.5</v>
      </c>
      <c r="P456" s="110">
        <f t="shared" si="480"/>
        <v>19.5</v>
      </c>
      <c r="Q456" s="111">
        <f>VLOOKUP(VLOOKUP(DATEVALUE(TEXT(A456,"m/d/yyyy")),FY24_Temp[],5,FALSE)&amp;TEXT(A456,"-h"),TempDelta[],4,FALSE)</f>
        <v>2.554214222090585</v>
      </c>
      <c r="R456" s="112">
        <v>10</v>
      </c>
      <c r="S456" s="112">
        <v>1500</v>
      </c>
      <c r="T456" s="99">
        <f>VLOOKUP(TEXT(A456,"yy-mm")&amp;"-"&amp;IF(AND(WEEKDAY(A456)&gt;1,WEEKDAY(A456)&lt;7),"Wkd",TEXT(A456,"Ddd"))&amp;"-"&amp;TEXT(A456,"hh"),LoadTable[],3,FALSE)*0.92</f>
        <v>494.57360000000006</v>
      </c>
      <c r="U456" s="113">
        <f t="shared" si="481"/>
        <v>49.457360000000008</v>
      </c>
    </row>
    <row r="457" spans="1:21" ht="15" thickBot="1">
      <c r="A457" s="29">
        <f t="shared" si="451"/>
        <v>45854.916666667545</v>
      </c>
      <c r="B457" s="187">
        <f t="shared" ref="B457:L457" si="486">B481</f>
        <v>5000</v>
      </c>
      <c r="C457" s="187">
        <f t="shared" si="486"/>
        <v>25000</v>
      </c>
      <c r="D457" s="187">
        <v>0</v>
      </c>
      <c r="E457" s="187">
        <v>700</v>
      </c>
      <c r="F457" s="187">
        <v>15000</v>
      </c>
      <c r="G457" s="187">
        <f t="shared" si="486"/>
        <v>2400</v>
      </c>
      <c r="H457" s="187">
        <f t="shared" si="486"/>
        <v>25000</v>
      </c>
      <c r="I457" s="187">
        <f t="shared" si="486"/>
        <v>5000</v>
      </c>
      <c r="J457" s="187">
        <v>40000</v>
      </c>
      <c r="K457" s="187">
        <f t="shared" si="486"/>
        <v>5000</v>
      </c>
      <c r="L457" s="187">
        <v>40000</v>
      </c>
      <c r="M457" s="110">
        <v>9.5</v>
      </c>
      <c r="N457" s="110">
        <f>VLOOKUP(DATE(YEAR(A457),MONTH(A457),DAY(A457)),FY24_Temp[],3,FALSE)</f>
        <v>12.8</v>
      </c>
      <c r="O457" s="110">
        <f t="shared" si="479"/>
        <v>11.5</v>
      </c>
      <c r="P457" s="110">
        <f t="shared" si="480"/>
        <v>19.5</v>
      </c>
      <c r="Q457" s="111">
        <f>VLOOKUP(VLOOKUP(DATEVALUE(TEXT(A457,"m/d/yyyy")),FY24_Temp[],5,FALSE)&amp;TEXT(A457,"-h"),TempDelta[],4,FALSE)</f>
        <v>2.7827142647334506</v>
      </c>
      <c r="R457" s="112">
        <v>10</v>
      </c>
      <c r="S457" s="112">
        <v>1500</v>
      </c>
      <c r="T457" s="99">
        <f>VLOOKUP(TEXT(A457,"yy-mm")&amp;"-"&amp;IF(AND(WEEKDAY(A457)&gt;1,WEEKDAY(A457)&lt;7),"Wkd",TEXT(A457,"Ddd"))&amp;"-"&amp;TEXT(A457,"hh"),LoadTable[],3,FALSE)*0.92</f>
        <v>418.75640000000004</v>
      </c>
      <c r="U457" s="113">
        <f t="shared" si="481"/>
        <v>41.875640000000004</v>
      </c>
    </row>
    <row r="458" spans="1:21" ht="15" thickBot="1">
      <c r="A458" s="29">
        <f t="shared" si="451"/>
        <v>45854.958333334209</v>
      </c>
      <c r="B458" s="187">
        <f t="shared" ref="B458:L458" si="487">B482</f>
        <v>5000</v>
      </c>
      <c r="C458" s="187">
        <f t="shared" si="487"/>
        <v>25000</v>
      </c>
      <c r="D458" s="187">
        <v>0</v>
      </c>
      <c r="E458" s="187">
        <v>700</v>
      </c>
      <c r="F458" s="187">
        <v>15000</v>
      </c>
      <c r="G458" s="187">
        <f t="shared" si="487"/>
        <v>2400</v>
      </c>
      <c r="H458" s="187">
        <f t="shared" si="487"/>
        <v>25000</v>
      </c>
      <c r="I458" s="187">
        <f t="shared" si="487"/>
        <v>5000</v>
      </c>
      <c r="J458" s="187">
        <v>40000</v>
      </c>
      <c r="K458" s="187">
        <f t="shared" si="487"/>
        <v>5000</v>
      </c>
      <c r="L458" s="187">
        <v>40000</v>
      </c>
      <c r="M458" s="110">
        <v>9.5</v>
      </c>
      <c r="N458" s="110">
        <f>VLOOKUP(DATE(YEAR(A458),MONTH(A458),DAY(A458)),FY24_Temp[],3,FALSE)</f>
        <v>12.8</v>
      </c>
      <c r="O458" s="110">
        <f t="shared" si="479"/>
        <v>11.5</v>
      </c>
      <c r="P458" s="110">
        <f t="shared" si="480"/>
        <v>19.5</v>
      </c>
      <c r="Q458" s="111">
        <f>VLOOKUP(VLOOKUP(DATEVALUE(TEXT(A458,"m/d/yyyy")),FY24_Temp[],5,FALSE)&amp;TEXT(A458,"-h"),TempDelta[],4,FALSE)</f>
        <v>2.8792857101985385</v>
      </c>
      <c r="R458" s="112">
        <v>10</v>
      </c>
      <c r="S458" s="112">
        <v>1500</v>
      </c>
      <c r="T458" s="99">
        <f>VLOOKUP(TEXT(A458,"yy-mm")&amp;"-"&amp;IF(AND(WEEKDAY(A458)&gt;1,WEEKDAY(A458)&lt;7),"Wkd",TEXT(A458,"Ddd"))&amp;"-"&amp;TEXT(A458,"hh"),LoadTable[],3,FALSE)*0.92</f>
        <v>342.93920000000003</v>
      </c>
      <c r="U458" s="113">
        <f t="shared" si="481"/>
        <v>34.29392</v>
      </c>
    </row>
    <row r="459" spans="1:21" ht="15" thickBot="1">
      <c r="A459" s="29">
        <f t="shared" si="451"/>
        <v>45855.000000000873</v>
      </c>
      <c r="B459" s="187">
        <f t="shared" ref="B459:L459" si="488">B483</f>
        <v>5000</v>
      </c>
      <c r="C459" s="187">
        <f t="shared" si="488"/>
        <v>25000</v>
      </c>
      <c r="D459" s="187">
        <v>0</v>
      </c>
      <c r="E459" s="187">
        <v>700</v>
      </c>
      <c r="F459" s="187">
        <v>15000</v>
      </c>
      <c r="G459" s="187">
        <f t="shared" si="488"/>
        <v>2400</v>
      </c>
      <c r="H459" s="187">
        <f t="shared" si="488"/>
        <v>25000</v>
      </c>
      <c r="I459" s="187">
        <f t="shared" si="488"/>
        <v>5000</v>
      </c>
      <c r="J459" s="187">
        <v>40000</v>
      </c>
      <c r="K459" s="187">
        <f t="shared" si="488"/>
        <v>5000</v>
      </c>
      <c r="L459" s="187">
        <v>40000</v>
      </c>
      <c r="M459" s="110">
        <v>9.5</v>
      </c>
      <c r="N459" s="110">
        <f>VLOOKUP(DATE(YEAR(A459),MONTH(A459),DAY(A459)),FY24_Temp[],3,FALSE)</f>
        <v>12.8</v>
      </c>
      <c r="O459" s="110">
        <f t="shared" si="479"/>
        <v>11.5</v>
      </c>
      <c r="P459" s="110">
        <f t="shared" si="480"/>
        <v>19.5</v>
      </c>
      <c r="Q459" s="111">
        <f>VLOOKUP(VLOOKUP(DATEVALUE(TEXT(A459,"m/d/yyyy")),FY24_Temp[],5,FALSE)&amp;TEXT(A459,"-h"),TempDelta[],4,FALSE)</f>
        <v>3.0441428933824812</v>
      </c>
      <c r="R459" s="112">
        <v>10</v>
      </c>
      <c r="S459" s="112">
        <v>1500</v>
      </c>
      <c r="T459" s="99">
        <f>VLOOKUP(TEXT(A459,"yy-mm")&amp;"-"&amp;IF(AND(WEEKDAY(A459)&gt;1,WEEKDAY(A459)&lt;7),"Wkd",TEXT(A459,"Ddd"))&amp;"-"&amp;TEXT(A459,"hh"),LoadTable[],3,FALSE)*0.92</f>
        <v>279.25312000000002</v>
      </c>
      <c r="U459" s="113">
        <f t="shared" si="481"/>
        <v>27.925312000000002</v>
      </c>
    </row>
    <row r="460" spans="1:21" ht="15" thickBot="1">
      <c r="A460" s="29">
        <f t="shared" si="451"/>
        <v>45855.041666667537</v>
      </c>
      <c r="B460" s="187">
        <f t="shared" ref="B460:L460" si="489">B484</f>
        <v>5000</v>
      </c>
      <c r="C460" s="187">
        <f t="shared" si="489"/>
        <v>25000</v>
      </c>
      <c r="D460" s="187">
        <v>0</v>
      </c>
      <c r="E460" s="187">
        <v>700</v>
      </c>
      <c r="F460" s="187">
        <v>15000</v>
      </c>
      <c r="G460" s="187">
        <f t="shared" si="489"/>
        <v>2400</v>
      </c>
      <c r="H460" s="187">
        <f t="shared" si="489"/>
        <v>25000</v>
      </c>
      <c r="I460" s="187">
        <f t="shared" si="489"/>
        <v>5000</v>
      </c>
      <c r="J460" s="187">
        <v>40000</v>
      </c>
      <c r="K460" s="187">
        <f t="shared" si="489"/>
        <v>5000</v>
      </c>
      <c r="L460" s="187">
        <v>40000</v>
      </c>
      <c r="M460" s="110">
        <v>9.5</v>
      </c>
      <c r="N460" s="110">
        <f>VLOOKUP(DATE(YEAR(A460),MONTH(A460),DAY(A460)),FY24_Temp[],3,FALSE)</f>
        <v>12.8</v>
      </c>
      <c r="O460" s="110">
        <f t="shared" si="479"/>
        <v>11.5</v>
      </c>
      <c r="P460" s="110">
        <f t="shared" si="480"/>
        <v>19.5</v>
      </c>
      <c r="Q460" s="111">
        <f>VLOOKUP(VLOOKUP(DATEVALUE(TEXT(A460,"m/d/yyyy")),FY24_Temp[],5,FALSE)&amp;TEXT(A460,"-h"),TempDelta[],4,FALSE)</f>
        <v>3.0992857047489712</v>
      </c>
      <c r="R460" s="112">
        <v>10</v>
      </c>
      <c r="S460" s="112">
        <v>1500</v>
      </c>
      <c r="T460" s="99">
        <f>VLOOKUP(TEXT(A460,"yy-mm")&amp;"-"&amp;IF(AND(WEEKDAY(A460)&gt;1,WEEKDAY(A460)&lt;7),"Wkd",TEXT(A460,"Ddd"))&amp;"-"&amp;TEXT(A460,"hh"),LoadTable[],3,FALSE)*0.92</f>
        <v>279.25312000000002</v>
      </c>
      <c r="U460" s="113">
        <f t="shared" si="481"/>
        <v>27.925312000000002</v>
      </c>
    </row>
    <row r="461" spans="1:21" ht="15" thickBot="1">
      <c r="A461" s="29">
        <f t="shared" si="451"/>
        <v>45855.083333334202</v>
      </c>
      <c r="B461" s="187">
        <f t="shared" ref="B461:L461" si="490">B485</f>
        <v>5000</v>
      </c>
      <c r="C461" s="187">
        <f t="shared" si="490"/>
        <v>25000</v>
      </c>
      <c r="D461" s="187">
        <v>0</v>
      </c>
      <c r="E461" s="187">
        <v>700</v>
      </c>
      <c r="F461" s="187">
        <v>15000</v>
      </c>
      <c r="G461" s="187">
        <f t="shared" si="490"/>
        <v>2400</v>
      </c>
      <c r="H461" s="187">
        <f t="shared" si="490"/>
        <v>25000</v>
      </c>
      <c r="I461" s="187">
        <f t="shared" si="490"/>
        <v>5000</v>
      </c>
      <c r="J461" s="187">
        <v>40000</v>
      </c>
      <c r="K461" s="187">
        <f t="shared" si="490"/>
        <v>5000</v>
      </c>
      <c r="L461" s="187">
        <v>40000</v>
      </c>
      <c r="M461" s="110">
        <v>9.5</v>
      </c>
      <c r="N461" s="110">
        <f>VLOOKUP(DATE(YEAR(A461),MONTH(A461),DAY(A461)),FY24_Temp[],3,FALSE)</f>
        <v>12.8</v>
      </c>
      <c r="O461" s="110">
        <f t="shared" si="479"/>
        <v>11.5</v>
      </c>
      <c r="P461" s="110">
        <f t="shared" si="480"/>
        <v>19.5</v>
      </c>
      <c r="Q461" s="111">
        <f>VLOOKUP(VLOOKUP(DATEVALUE(TEXT(A461,"m/d/yyyy")),FY24_Temp[],5,FALSE)&amp;TEXT(A461,"-h"),TempDelta[],4,FALSE)</f>
        <v>3.1050000190734863</v>
      </c>
      <c r="R461" s="112">
        <v>10</v>
      </c>
      <c r="S461" s="112">
        <v>1500</v>
      </c>
      <c r="T461" s="99">
        <f>VLOOKUP(TEXT(A461,"yy-mm")&amp;"-"&amp;IF(AND(WEEKDAY(A461)&gt;1,WEEKDAY(A461)&lt;7),"Wkd",TEXT(A461,"Ddd"))&amp;"-"&amp;TEXT(A461,"hh"),LoadTable[],3,FALSE)*0.92</f>
        <v>279.25312000000002</v>
      </c>
      <c r="U461" s="113">
        <f t="shared" si="481"/>
        <v>27.925312000000002</v>
      </c>
    </row>
    <row r="462" spans="1:21" ht="15" thickBot="1">
      <c r="A462" s="29">
        <f t="shared" si="451"/>
        <v>45855.125000000866</v>
      </c>
      <c r="B462" s="187">
        <f t="shared" ref="B462:L462" si="491">B486</f>
        <v>5000</v>
      </c>
      <c r="C462" s="187">
        <f t="shared" si="491"/>
        <v>25000</v>
      </c>
      <c r="D462" s="187">
        <v>0</v>
      </c>
      <c r="E462" s="187">
        <v>700</v>
      </c>
      <c r="F462" s="187">
        <v>15000</v>
      </c>
      <c r="G462" s="187">
        <f t="shared" si="491"/>
        <v>2400</v>
      </c>
      <c r="H462" s="187">
        <f t="shared" si="491"/>
        <v>25000</v>
      </c>
      <c r="I462" s="187">
        <f t="shared" si="491"/>
        <v>5000</v>
      </c>
      <c r="J462" s="187">
        <v>40000</v>
      </c>
      <c r="K462" s="187">
        <f t="shared" si="491"/>
        <v>5000</v>
      </c>
      <c r="L462" s="187">
        <v>40000</v>
      </c>
      <c r="M462" s="110">
        <v>9.5</v>
      </c>
      <c r="N462" s="110">
        <f>VLOOKUP(DATE(YEAR(A462),MONTH(A462),DAY(A462)),FY24_Temp[],3,FALSE)</f>
        <v>12.8</v>
      </c>
      <c r="O462" s="110">
        <f t="shared" si="479"/>
        <v>11.5</v>
      </c>
      <c r="P462" s="110">
        <f t="shared" si="480"/>
        <v>19.5</v>
      </c>
      <c r="Q462" s="111">
        <f>VLOOKUP(VLOOKUP(DATEVALUE(TEXT(A462,"m/d/yyyy")),FY24_Temp[],5,FALSE)&amp;TEXT(A462,"-h"),TempDelta[],4,FALSE)</f>
        <v>3.0428571701049805</v>
      </c>
      <c r="R462" s="112">
        <v>10</v>
      </c>
      <c r="S462" s="112">
        <v>1500</v>
      </c>
      <c r="T462" s="99">
        <f>VLOOKUP(TEXT(A462,"yy-mm")&amp;"-"&amp;IF(AND(WEEKDAY(A462)&gt;1,WEEKDAY(A462)&lt;7),"Wkd",TEXT(A462,"Ddd"))&amp;"-"&amp;TEXT(A462,"hh"),LoadTable[],3,FALSE)*0.92</f>
        <v>279.25312000000002</v>
      </c>
      <c r="U462" s="113">
        <f t="shared" si="481"/>
        <v>27.925312000000002</v>
      </c>
    </row>
    <row r="463" spans="1:21" ht="15" thickBot="1">
      <c r="A463" s="29">
        <f t="shared" si="451"/>
        <v>45855.16666666753</v>
      </c>
      <c r="B463" s="187">
        <f t="shared" ref="B463:L463" si="492">B487</f>
        <v>5000</v>
      </c>
      <c r="C463" s="187">
        <f t="shared" si="492"/>
        <v>25000</v>
      </c>
      <c r="D463" s="187">
        <v>0</v>
      </c>
      <c r="E463" s="187">
        <v>700</v>
      </c>
      <c r="F463" s="187">
        <v>15000</v>
      </c>
      <c r="G463" s="187">
        <f t="shared" si="492"/>
        <v>2400</v>
      </c>
      <c r="H463" s="187">
        <f t="shared" si="492"/>
        <v>25000</v>
      </c>
      <c r="I463" s="187">
        <f t="shared" si="492"/>
        <v>5000</v>
      </c>
      <c r="J463" s="187">
        <v>40000</v>
      </c>
      <c r="K463" s="187">
        <f t="shared" si="492"/>
        <v>5000</v>
      </c>
      <c r="L463" s="187">
        <v>40000</v>
      </c>
      <c r="M463" s="110">
        <v>9.5</v>
      </c>
      <c r="N463" s="110">
        <f>VLOOKUP(DATE(YEAR(A463),MONTH(A463),DAY(A463)),FY24_Temp[],3,FALSE)</f>
        <v>12.8</v>
      </c>
      <c r="O463" s="110">
        <f t="shared" si="479"/>
        <v>11.5</v>
      </c>
      <c r="P463" s="110">
        <f t="shared" si="480"/>
        <v>19.5</v>
      </c>
      <c r="Q463" s="111">
        <f>VLOOKUP(VLOOKUP(DATEVALUE(TEXT(A463,"m/d/yyyy")),FY24_Temp[],5,FALSE)&amp;TEXT(A463,"-h"),TempDelta[],4,FALSE)</f>
        <v>2.9580000468662808</v>
      </c>
      <c r="R463" s="112">
        <v>10</v>
      </c>
      <c r="S463" s="112">
        <v>1500</v>
      </c>
      <c r="T463" s="99">
        <f>VLOOKUP(TEXT(A463,"yy-mm")&amp;"-"&amp;IF(AND(WEEKDAY(A463)&gt;1,WEEKDAY(A463)&lt;7),"Wkd",TEXT(A463,"Ddd"))&amp;"-"&amp;TEXT(A463,"hh"),LoadTable[],3,FALSE)*0.92</f>
        <v>279.25312000000002</v>
      </c>
      <c r="U463" s="113">
        <f t="shared" si="481"/>
        <v>27.925312000000002</v>
      </c>
    </row>
    <row r="464" spans="1:21" ht="15" thickBot="1">
      <c r="A464" s="29">
        <f t="shared" si="451"/>
        <v>45855.208333334194</v>
      </c>
      <c r="B464" s="187">
        <f t="shared" ref="B464:L464" si="493">B488</f>
        <v>5000</v>
      </c>
      <c r="C464" s="187">
        <f t="shared" si="493"/>
        <v>25000</v>
      </c>
      <c r="D464" s="187">
        <v>0</v>
      </c>
      <c r="E464" s="187">
        <v>700</v>
      </c>
      <c r="F464" s="187">
        <v>15000</v>
      </c>
      <c r="G464" s="187">
        <f t="shared" si="493"/>
        <v>2400</v>
      </c>
      <c r="H464" s="187">
        <f t="shared" si="493"/>
        <v>25000</v>
      </c>
      <c r="I464" s="187">
        <f t="shared" si="493"/>
        <v>5000</v>
      </c>
      <c r="J464" s="187">
        <v>40000</v>
      </c>
      <c r="K464" s="187">
        <f t="shared" si="493"/>
        <v>5000</v>
      </c>
      <c r="L464" s="187">
        <v>40000</v>
      </c>
      <c r="M464" s="110">
        <v>9.5</v>
      </c>
      <c r="N464" s="110">
        <f>VLOOKUP(DATE(YEAR(A464),MONTH(A464),DAY(A464)),FY24_Temp[],3,FALSE)</f>
        <v>12.8</v>
      </c>
      <c r="O464" s="110">
        <f t="shared" si="479"/>
        <v>11.5</v>
      </c>
      <c r="P464" s="110">
        <f t="shared" si="480"/>
        <v>19.5</v>
      </c>
      <c r="Q464" s="111">
        <f>VLOOKUP(VLOOKUP(DATEVALUE(TEXT(A464,"m/d/yyyy")),FY24_Temp[],5,FALSE)&amp;TEXT(A464,"-h"),TempDelta[],4,FALSE)</f>
        <v>2.8608571801866804</v>
      </c>
      <c r="R464" s="112">
        <v>10</v>
      </c>
      <c r="S464" s="112">
        <v>1500</v>
      </c>
      <c r="T464" s="99">
        <f>VLOOKUP(TEXT(A464,"yy-mm")&amp;"-"&amp;IF(AND(WEEKDAY(A464)&gt;1,WEEKDAY(A464)&lt;7),"Wkd",TEXT(A464,"Ddd"))&amp;"-"&amp;TEXT(A464,"hh"),LoadTable[],3,FALSE)*0.92</f>
        <v>279.25312000000002</v>
      </c>
      <c r="U464" s="113">
        <f t="shared" si="481"/>
        <v>27.925312000000002</v>
      </c>
    </row>
    <row r="465" spans="1:21" ht="15" thickBot="1">
      <c r="A465" s="29">
        <f t="shared" si="451"/>
        <v>45855.250000000859</v>
      </c>
      <c r="B465" s="187">
        <f t="shared" ref="B465:L465" si="494">B489</f>
        <v>8000</v>
      </c>
      <c r="C465" s="187">
        <f t="shared" si="494"/>
        <v>25000</v>
      </c>
      <c r="D465" s="187">
        <v>0</v>
      </c>
      <c r="E465" s="187">
        <v>700</v>
      </c>
      <c r="F465" s="187">
        <v>15000</v>
      </c>
      <c r="G465" s="187">
        <f t="shared" si="494"/>
        <v>2400</v>
      </c>
      <c r="H465" s="187">
        <f t="shared" si="494"/>
        <v>25000</v>
      </c>
      <c r="I465" s="187">
        <f t="shared" si="494"/>
        <v>8000</v>
      </c>
      <c r="J465" s="187">
        <v>40000</v>
      </c>
      <c r="K465" s="187">
        <f t="shared" si="494"/>
        <v>8000</v>
      </c>
      <c r="L465" s="187">
        <v>40000</v>
      </c>
      <c r="M465" s="110">
        <v>9.5</v>
      </c>
      <c r="N465" s="110">
        <f>VLOOKUP(DATE(YEAR(A465),MONTH(A465),DAY(A465)),FY24_Temp[],3,FALSE)</f>
        <v>12.8</v>
      </c>
      <c r="O465" s="110">
        <f t="shared" si="479"/>
        <v>11.5</v>
      </c>
      <c r="P465" s="110">
        <f t="shared" si="480"/>
        <v>19.5</v>
      </c>
      <c r="Q465" s="111">
        <f>VLOOKUP(VLOOKUP(DATEVALUE(TEXT(A465,"m/d/yyyy")),FY24_Temp[],5,FALSE)&amp;TEXT(A465,"-h"),TempDelta[],4,FALSE)</f>
        <v>2.7405714307512556</v>
      </c>
      <c r="R465" s="112">
        <v>10</v>
      </c>
      <c r="S465" s="112">
        <v>1500</v>
      </c>
      <c r="T465" s="99">
        <f>VLOOKUP(TEXT(A465,"yy-mm")&amp;"-"&amp;IF(AND(WEEKDAY(A465)&gt;1,WEEKDAY(A465)&lt;7),"Wkd",TEXT(A465,"Ddd"))&amp;"-"&amp;TEXT(A465,"hh"),LoadTable[],3,FALSE)*0.92</f>
        <v>279.25312000000002</v>
      </c>
      <c r="U465" s="113">
        <f t="shared" si="481"/>
        <v>27.925312000000002</v>
      </c>
    </row>
    <row r="466" spans="1:21" ht="15" thickBot="1">
      <c r="A466" s="29">
        <f t="shared" si="451"/>
        <v>45855.291666667523</v>
      </c>
      <c r="B466" s="187">
        <f t="shared" ref="B466:L466" si="495">B490</f>
        <v>8000</v>
      </c>
      <c r="C466" s="187">
        <f t="shared" si="495"/>
        <v>25000</v>
      </c>
      <c r="D466" s="187">
        <v>0</v>
      </c>
      <c r="E466" s="187">
        <v>700</v>
      </c>
      <c r="F466" s="187">
        <v>15000</v>
      </c>
      <c r="G466" s="187">
        <f t="shared" si="495"/>
        <v>2400</v>
      </c>
      <c r="H466" s="187">
        <f t="shared" si="495"/>
        <v>25000</v>
      </c>
      <c r="I466" s="187">
        <f t="shared" si="495"/>
        <v>8000</v>
      </c>
      <c r="J466" s="187">
        <v>40000</v>
      </c>
      <c r="K466" s="187">
        <f t="shared" si="495"/>
        <v>8000</v>
      </c>
      <c r="L466" s="187">
        <v>40000</v>
      </c>
      <c r="M466" s="110">
        <v>9.5</v>
      </c>
      <c r="N466" s="110">
        <f>VLOOKUP(DATE(YEAR(A466),MONTH(A466),DAY(A466)),FY24_Temp[],3,FALSE)</f>
        <v>12.8</v>
      </c>
      <c r="O466" s="110">
        <f t="shared" si="479"/>
        <v>11.5</v>
      </c>
      <c r="P466" s="110">
        <f t="shared" si="480"/>
        <v>19.5</v>
      </c>
      <c r="Q466" s="111">
        <f>VLOOKUP(VLOOKUP(DATEVALUE(TEXT(A466,"m/d/yyyy")),FY24_Temp[],5,FALSE)&amp;TEXT(A466,"-h"),TempDelta[],4,FALSE)</f>
        <v>2.6134285245622908</v>
      </c>
      <c r="R466" s="112">
        <v>10</v>
      </c>
      <c r="S466" s="112">
        <v>1500</v>
      </c>
      <c r="T466" s="99">
        <f>VLOOKUP(TEXT(A466,"yy-mm")&amp;"-"&amp;IF(AND(WEEKDAY(A466)&gt;1,WEEKDAY(A466)&lt;7),"Wkd",TEXT(A466,"Ddd"))&amp;"-"&amp;TEXT(A466,"hh"),LoadTable[],3,FALSE)*0.92</f>
        <v>279.25312000000002</v>
      </c>
      <c r="U466" s="113">
        <f t="shared" si="481"/>
        <v>27.925312000000002</v>
      </c>
    </row>
    <row r="467" spans="1:21" ht="15" thickBot="1">
      <c r="A467" s="29">
        <f t="shared" si="451"/>
        <v>45855.333333334187</v>
      </c>
      <c r="B467" s="187">
        <f t="shared" ref="B467:L467" si="496">B491</f>
        <v>8000</v>
      </c>
      <c r="C467" s="187">
        <f t="shared" si="496"/>
        <v>25000</v>
      </c>
      <c r="D467" s="187">
        <v>0</v>
      </c>
      <c r="E467" s="187">
        <v>700</v>
      </c>
      <c r="F467" s="187">
        <v>15000</v>
      </c>
      <c r="G467" s="187">
        <f t="shared" si="496"/>
        <v>2400</v>
      </c>
      <c r="H467" s="187">
        <f t="shared" si="496"/>
        <v>25000</v>
      </c>
      <c r="I467" s="187">
        <f t="shared" si="496"/>
        <v>8000</v>
      </c>
      <c r="J467" s="187">
        <v>40000</v>
      </c>
      <c r="K467" s="187">
        <f t="shared" si="496"/>
        <v>8000</v>
      </c>
      <c r="L467" s="187">
        <v>40000</v>
      </c>
      <c r="M467" s="110">
        <v>9.5</v>
      </c>
      <c r="N467" s="110">
        <f>VLOOKUP(DATE(YEAR(A467),MONTH(A467),DAY(A467)),FY24_Temp[],3,FALSE)</f>
        <v>12.8</v>
      </c>
      <c r="O467" s="110">
        <f t="shared" si="479"/>
        <v>11.5</v>
      </c>
      <c r="P467" s="110">
        <f t="shared" si="480"/>
        <v>19.5</v>
      </c>
      <c r="Q467" s="111">
        <f>VLOOKUP(VLOOKUP(DATEVALUE(TEXT(A467,"m/d/yyyy")),FY24_Temp[],5,FALSE)&amp;TEXT(A467,"-h"),TempDelta[],4,FALSE)</f>
        <v>2.44985716683524</v>
      </c>
      <c r="R467" s="112">
        <v>10</v>
      </c>
      <c r="S467" s="112">
        <v>1500</v>
      </c>
      <c r="T467" s="99">
        <f>VLOOKUP(TEXT(A467,"yy-mm")&amp;"-"&amp;IF(AND(WEEKDAY(A467)&gt;1,WEEKDAY(A467)&lt;7),"Wkd",TEXT(A467,"Ddd"))&amp;"-"&amp;TEXT(A467,"hh"),LoadTable[],3,FALSE)*0.92</f>
        <v>279.25312000000002</v>
      </c>
      <c r="U467" s="113">
        <f t="shared" si="481"/>
        <v>27.925312000000002</v>
      </c>
    </row>
    <row r="468" spans="1:21" ht="15" thickBot="1">
      <c r="A468" s="29">
        <f t="shared" si="451"/>
        <v>45855.375000000851</v>
      </c>
      <c r="B468" s="187">
        <f t="shared" ref="B468:L468" si="497">B492</f>
        <v>8000</v>
      </c>
      <c r="C468" s="187">
        <f t="shared" si="497"/>
        <v>25000</v>
      </c>
      <c r="D468" s="187">
        <v>0</v>
      </c>
      <c r="E468" s="187">
        <v>700</v>
      </c>
      <c r="F468" s="187">
        <v>15000</v>
      </c>
      <c r="G468" s="187">
        <f t="shared" si="497"/>
        <v>2400</v>
      </c>
      <c r="H468" s="187">
        <f t="shared" si="497"/>
        <v>25000</v>
      </c>
      <c r="I468" s="187">
        <f t="shared" si="497"/>
        <v>8000</v>
      </c>
      <c r="J468" s="187">
        <v>40000</v>
      </c>
      <c r="K468" s="187">
        <f t="shared" si="497"/>
        <v>8000</v>
      </c>
      <c r="L468" s="187">
        <v>40000</v>
      </c>
      <c r="M468" s="110">
        <v>9.5</v>
      </c>
      <c r="N468" s="110">
        <f>VLOOKUP(DATE(YEAR(A468),MONTH(A468),DAY(A468)),FY24_Temp[],3,FALSE)</f>
        <v>12.8</v>
      </c>
      <c r="O468" s="110">
        <f t="shared" si="479"/>
        <v>11.5</v>
      </c>
      <c r="P468" s="110">
        <f t="shared" si="480"/>
        <v>19.5</v>
      </c>
      <c r="Q468" s="111">
        <f>VLOOKUP(VLOOKUP(DATEVALUE(TEXT(A468,"m/d/yyyy")),FY24_Temp[],5,FALSE)&amp;TEXT(A468,"-h"),TempDelta[],4,FALSE)</f>
        <v>2.2458571025303433</v>
      </c>
      <c r="R468" s="112">
        <v>10</v>
      </c>
      <c r="S468" s="112">
        <v>1500</v>
      </c>
      <c r="T468" s="99">
        <f>VLOOKUP(TEXT(A468,"yy-mm")&amp;"-"&amp;IF(AND(WEEKDAY(A468)&gt;1,WEEKDAY(A468)&lt;7),"Wkd",TEXT(A468,"Ddd"))&amp;"-"&amp;TEXT(A468,"hh"),LoadTable[],3,FALSE)*0.92</f>
        <v>279.25312000000002</v>
      </c>
      <c r="U468" s="113">
        <f t="shared" si="481"/>
        <v>27.925312000000002</v>
      </c>
    </row>
    <row r="469" spans="1:21" ht="15" thickBot="1">
      <c r="A469" s="29">
        <f t="shared" si="451"/>
        <v>45855.416666667516</v>
      </c>
      <c r="B469" s="187">
        <f t="shared" ref="B469:L469" si="498">B493</f>
        <v>8000</v>
      </c>
      <c r="C469" s="187">
        <f t="shared" si="498"/>
        <v>25000</v>
      </c>
      <c r="D469" s="187">
        <v>0</v>
      </c>
      <c r="E469" s="187">
        <v>700</v>
      </c>
      <c r="F469" s="187">
        <v>15000</v>
      </c>
      <c r="G469" s="187">
        <f t="shared" si="498"/>
        <v>2400</v>
      </c>
      <c r="H469" s="187">
        <f t="shared" si="498"/>
        <v>25000</v>
      </c>
      <c r="I469" s="187">
        <f t="shared" si="498"/>
        <v>8000</v>
      </c>
      <c r="J469" s="187">
        <v>40000</v>
      </c>
      <c r="K469" s="187">
        <f t="shared" si="498"/>
        <v>8000</v>
      </c>
      <c r="L469" s="187">
        <v>40000</v>
      </c>
      <c r="M469" s="110">
        <v>9.5</v>
      </c>
      <c r="N469" s="110">
        <f>VLOOKUP(DATE(YEAR(A469),MONTH(A469),DAY(A469)),FY24_Temp[],3,FALSE)</f>
        <v>12.8</v>
      </c>
      <c r="O469" s="110">
        <f t="shared" si="479"/>
        <v>11.5</v>
      </c>
      <c r="P469" s="110">
        <f t="shared" si="480"/>
        <v>19.5</v>
      </c>
      <c r="Q469" s="111">
        <f>VLOOKUP(VLOOKUP(DATEVALUE(TEXT(A469,"m/d/yyyy")),FY24_Temp[],5,FALSE)&amp;TEXT(A469,"-h"),TempDelta[],4,FALSE)</f>
        <v>2.0832857234137401</v>
      </c>
      <c r="R469" s="112">
        <v>10</v>
      </c>
      <c r="S469" s="112">
        <v>1500</v>
      </c>
      <c r="T469" s="99">
        <f>VLOOKUP(TEXT(A469,"yy-mm")&amp;"-"&amp;IF(AND(WEEKDAY(A469)&gt;1,WEEKDAY(A469)&lt;7),"Wkd",TEXT(A469,"Ddd"))&amp;"-"&amp;TEXT(A469,"hh"),LoadTable[],3,FALSE)*0.92</f>
        <v>279.25312000000002</v>
      </c>
      <c r="U469" s="113">
        <f t="shared" si="481"/>
        <v>27.925312000000002</v>
      </c>
    </row>
    <row r="470" spans="1:21" ht="15" thickBot="1">
      <c r="A470" s="29">
        <f t="shared" si="451"/>
        <v>45855.45833333418</v>
      </c>
      <c r="B470" s="187">
        <f t="shared" ref="B470:L470" si="499">B494</f>
        <v>8000</v>
      </c>
      <c r="C470" s="187">
        <f t="shared" si="499"/>
        <v>25000</v>
      </c>
      <c r="D470" s="187">
        <v>0</v>
      </c>
      <c r="E470" s="187">
        <v>700</v>
      </c>
      <c r="F470" s="187">
        <v>15000</v>
      </c>
      <c r="G470" s="187">
        <f t="shared" si="499"/>
        <v>2400</v>
      </c>
      <c r="H470" s="187">
        <f t="shared" si="499"/>
        <v>25000</v>
      </c>
      <c r="I470" s="187">
        <f t="shared" si="499"/>
        <v>8000</v>
      </c>
      <c r="J470" s="187">
        <v>40000</v>
      </c>
      <c r="K470" s="187">
        <f t="shared" si="499"/>
        <v>8000</v>
      </c>
      <c r="L470" s="187">
        <v>40000</v>
      </c>
      <c r="M470" s="110">
        <v>9.5</v>
      </c>
      <c r="N470" s="110">
        <f>VLOOKUP(DATE(YEAR(A470),MONTH(A470),DAY(A470)),FY24_Temp[],3,FALSE)</f>
        <v>12.8</v>
      </c>
      <c r="O470" s="110">
        <f t="shared" si="479"/>
        <v>11.5</v>
      </c>
      <c r="P470" s="110">
        <f t="shared" si="480"/>
        <v>19.5</v>
      </c>
      <c r="Q470" s="111">
        <f>VLOOKUP(VLOOKUP(DATEVALUE(TEXT(A470,"m/d/yyyy")),FY24_Temp[],5,FALSE)&amp;TEXT(A470,"-h"),TempDelta[],4,FALSE)</f>
        <v>1.8928571258272444</v>
      </c>
      <c r="R470" s="112">
        <v>10</v>
      </c>
      <c r="S470" s="112">
        <v>1500</v>
      </c>
      <c r="T470" s="99">
        <f>VLOOKUP(TEXT(A470,"yy-mm")&amp;"-"&amp;IF(AND(WEEKDAY(A470)&gt;1,WEEKDAY(A470)&lt;7),"Wkd",TEXT(A470,"Ddd"))&amp;"-"&amp;TEXT(A470,"hh"),LoadTable[],3,FALSE)*0.92</f>
        <v>279.25312000000002</v>
      </c>
      <c r="U470" s="113">
        <f t="shared" si="481"/>
        <v>27.925312000000002</v>
      </c>
    </row>
    <row r="471" spans="1:21" ht="15" thickBot="1">
      <c r="A471" s="29">
        <f t="shared" si="451"/>
        <v>45855.500000000844</v>
      </c>
      <c r="B471" s="187">
        <f t="shared" ref="B471:L471" si="500">B495</f>
        <v>8000</v>
      </c>
      <c r="C471" s="187">
        <f t="shared" si="500"/>
        <v>25000</v>
      </c>
      <c r="D471" s="187">
        <v>0</v>
      </c>
      <c r="E471" s="187">
        <v>700</v>
      </c>
      <c r="F471" s="187">
        <v>15000</v>
      </c>
      <c r="G471" s="187">
        <f t="shared" si="500"/>
        <v>2400</v>
      </c>
      <c r="H471" s="187">
        <f t="shared" si="500"/>
        <v>25000</v>
      </c>
      <c r="I471" s="187">
        <f t="shared" si="500"/>
        <v>8000</v>
      </c>
      <c r="J471" s="187">
        <v>40000</v>
      </c>
      <c r="K471" s="187">
        <f t="shared" si="500"/>
        <v>8000</v>
      </c>
      <c r="L471" s="187">
        <v>40000</v>
      </c>
      <c r="M471" s="110">
        <v>9.5</v>
      </c>
      <c r="N471" s="110">
        <f>VLOOKUP(DATE(YEAR(A471),MONTH(A471),DAY(A471)),FY24_Temp[],3,FALSE)</f>
        <v>12.8</v>
      </c>
      <c r="O471" s="110">
        <f t="shared" si="479"/>
        <v>11.5</v>
      </c>
      <c r="P471" s="110">
        <f t="shared" si="480"/>
        <v>19.5</v>
      </c>
      <c r="Q471" s="111">
        <f>VLOOKUP(VLOOKUP(DATEVALUE(TEXT(A471,"m/d/yyyy")),FY24_Temp[],5,FALSE)&amp;TEXT(A471,"-h"),TempDelta[],4,FALSE)</f>
        <v>1.665857127734593</v>
      </c>
      <c r="R471" s="112">
        <v>10</v>
      </c>
      <c r="S471" s="112">
        <v>1500</v>
      </c>
      <c r="T471" s="99">
        <f>VLOOKUP(TEXT(A471,"yy-mm")&amp;"-"&amp;IF(AND(WEEKDAY(A471)&gt;1,WEEKDAY(A471)&lt;7),"Wkd",TEXT(A471,"Ddd"))&amp;"-"&amp;TEXT(A471,"hh"),LoadTable[],3,FALSE)*0.92</f>
        <v>279.25312000000002</v>
      </c>
      <c r="U471" s="113">
        <f t="shared" si="481"/>
        <v>27.925312000000002</v>
      </c>
    </row>
    <row r="472" spans="1:21" ht="15" thickBot="1">
      <c r="A472" s="29">
        <f t="shared" si="451"/>
        <v>45855.541666667508</v>
      </c>
      <c r="B472" s="187">
        <f t="shared" ref="B472:L472" si="501">B496</f>
        <v>8000</v>
      </c>
      <c r="C472" s="187">
        <f t="shared" si="501"/>
        <v>25000</v>
      </c>
      <c r="D472" s="187">
        <v>0</v>
      </c>
      <c r="E472" s="187">
        <v>700</v>
      </c>
      <c r="F472" s="187">
        <v>15000</v>
      </c>
      <c r="G472" s="187">
        <f t="shared" si="501"/>
        <v>2400</v>
      </c>
      <c r="H472" s="187">
        <f t="shared" si="501"/>
        <v>25000</v>
      </c>
      <c r="I472" s="187">
        <f t="shared" si="501"/>
        <v>8000</v>
      </c>
      <c r="J472" s="187">
        <v>40000</v>
      </c>
      <c r="K472" s="187">
        <f t="shared" si="501"/>
        <v>8000</v>
      </c>
      <c r="L472" s="187">
        <v>40000</v>
      </c>
      <c r="M472" s="110">
        <v>9.5</v>
      </c>
      <c r="N472" s="110">
        <f>VLOOKUP(DATE(YEAR(A472),MONTH(A472),DAY(A472)),FY24_Temp[],3,FALSE)</f>
        <v>12.8</v>
      </c>
      <c r="O472" s="110">
        <f t="shared" si="479"/>
        <v>11.5</v>
      </c>
      <c r="P472" s="110">
        <f t="shared" si="480"/>
        <v>19.5</v>
      </c>
      <c r="Q472" s="111">
        <f>VLOOKUP(VLOOKUP(DATEVALUE(TEXT(A472,"m/d/yyyy")),FY24_Temp[],5,FALSE)&amp;TEXT(A472,"-h"),TempDelta[],4,FALSE)</f>
        <v>1.4252856969833374</v>
      </c>
      <c r="R472" s="112">
        <v>10</v>
      </c>
      <c r="S472" s="112">
        <v>1500</v>
      </c>
      <c r="T472" s="99">
        <f>VLOOKUP(TEXT(A472,"yy-mm")&amp;"-"&amp;IF(AND(WEEKDAY(A472)&gt;1,WEEKDAY(A472)&lt;7),"Wkd",TEXT(A472,"Ddd"))&amp;"-"&amp;TEXT(A472,"hh"),LoadTable[],3,FALSE)*0.92</f>
        <v>279.25312000000002</v>
      </c>
      <c r="U472" s="113">
        <f t="shared" si="481"/>
        <v>27.925312000000002</v>
      </c>
    </row>
    <row r="473" spans="1:21" ht="15" thickBot="1">
      <c r="A473" s="29">
        <f t="shared" si="451"/>
        <v>45855.583333334172</v>
      </c>
      <c r="B473" s="187">
        <f t="shared" ref="B473:L473" si="502">B497</f>
        <v>8000</v>
      </c>
      <c r="C473" s="187">
        <f t="shared" si="502"/>
        <v>25000</v>
      </c>
      <c r="D473" s="187">
        <v>0</v>
      </c>
      <c r="E473" s="187">
        <v>700</v>
      </c>
      <c r="F473" s="187">
        <v>15000</v>
      </c>
      <c r="G473" s="187">
        <f t="shared" si="502"/>
        <v>2400</v>
      </c>
      <c r="H473" s="187">
        <f t="shared" si="502"/>
        <v>25000</v>
      </c>
      <c r="I473" s="187">
        <f t="shared" si="502"/>
        <v>8000</v>
      </c>
      <c r="J473" s="187">
        <v>40000</v>
      </c>
      <c r="K473" s="187">
        <f t="shared" si="502"/>
        <v>8000</v>
      </c>
      <c r="L473" s="187">
        <v>40000</v>
      </c>
      <c r="M473" s="110">
        <v>9.5</v>
      </c>
      <c r="N473" s="110">
        <f>VLOOKUP(DATE(YEAR(A473),MONTH(A473),DAY(A473)),FY24_Temp[],3,FALSE)</f>
        <v>12.8</v>
      </c>
      <c r="O473" s="110">
        <f t="shared" si="479"/>
        <v>11.5</v>
      </c>
      <c r="P473" s="110">
        <f t="shared" si="480"/>
        <v>19.5</v>
      </c>
      <c r="Q473" s="111">
        <f>VLOOKUP(VLOOKUP(DATEVALUE(TEXT(A473,"m/d/yyyy")),FY24_Temp[],5,FALSE)&amp;TEXT(A473,"-h"),TempDelta[],4,FALSE)</f>
        <v>1.2351428781236922</v>
      </c>
      <c r="R473" s="112">
        <v>10</v>
      </c>
      <c r="S473" s="112">
        <v>1500</v>
      </c>
      <c r="T473" s="99">
        <f>VLOOKUP(TEXT(A473,"yy-mm")&amp;"-"&amp;IF(AND(WEEKDAY(A473)&gt;1,WEEKDAY(A473)&lt;7),"Wkd",TEXT(A473,"Ddd"))&amp;"-"&amp;TEXT(A473,"hh"),LoadTable[],3,FALSE)*0.92</f>
        <v>373.26607999999999</v>
      </c>
      <c r="U473" s="113">
        <f t="shared" si="481"/>
        <v>37.326608</v>
      </c>
    </row>
    <row r="474" spans="1:21" ht="15" thickBot="1">
      <c r="A474" s="29">
        <f t="shared" si="451"/>
        <v>45855.625000000837</v>
      </c>
      <c r="B474" s="187">
        <f t="shared" ref="B474:L474" si="503">B498</f>
        <v>8000</v>
      </c>
      <c r="C474" s="187">
        <f t="shared" si="503"/>
        <v>25000</v>
      </c>
      <c r="D474" s="187">
        <v>0</v>
      </c>
      <c r="E474" s="187">
        <v>700</v>
      </c>
      <c r="F474" s="187">
        <v>15000</v>
      </c>
      <c r="G474" s="187">
        <f t="shared" si="503"/>
        <v>2400</v>
      </c>
      <c r="H474" s="187">
        <f t="shared" si="503"/>
        <v>25000</v>
      </c>
      <c r="I474" s="187">
        <f t="shared" si="503"/>
        <v>8000</v>
      </c>
      <c r="J474" s="187">
        <v>40000</v>
      </c>
      <c r="K474" s="187">
        <f t="shared" si="503"/>
        <v>8000</v>
      </c>
      <c r="L474" s="187">
        <v>40000</v>
      </c>
      <c r="M474" s="110">
        <v>9.5</v>
      </c>
      <c r="N474" s="110">
        <f>VLOOKUP(DATE(YEAR(A474),MONTH(A474),DAY(A474)),FY24_Temp[],3,FALSE)</f>
        <v>12.8</v>
      </c>
      <c r="O474" s="110">
        <f t="shared" si="479"/>
        <v>11.5</v>
      </c>
      <c r="P474" s="110">
        <f t="shared" si="480"/>
        <v>19.5</v>
      </c>
      <c r="Q474" s="111">
        <f>VLOOKUP(VLOOKUP(DATEVALUE(TEXT(A474,"m/d/yyyy")),FY24_Temp[],5,FALSE)&amp;TEXT(A474,"-h"),TempDelta[],4,FALSE)</f>
        <v>0.97514284508568905</v>
      </c>
      <c r="R474" s="112">
        <v>10</v>
      </c>
      <c r="S474" s="112">
        <v>1500</v>
      </c>
      <c r="T474" s="99">
        <f>VLOOKUP(TEXT(A474,"yy-mm")&amp;"-"&amp;IF(AND(WEEKDAY(A474)&gt;1,WEEKDAY(A474)&lt;7),"Wkd",TEXT(A474,"Ddd"))&amp;"-"&amp;TEXT(A474,"hh"),LoadTable[],3,FALSE)*0.92</f>
        <v>494.57360000000006</v>
      </c>
      <c r="U474" s="113">
        <f t="shared" si="481"/>
        <v>49.457360000000008</v>
      </c>
    </row>
    <row r="475" spans="1:21" ht="15" thickBot="1">
      <c r="A475" s="29">
        <f t="shared" si="451"/>
        <v>45855.666666667501</v>
      </c>
      <c r="B475" s="187">
        <f t="shared" ref="B475:L475" si="504">B499</f>
        <v>8000</v>
      </c>
      <c r="C475" s="187">
        <f t="shared" si="504"/>
        <v>25000</v>
      </c>
      <c r="D475" s="187">
        <v>0</v>
      </c>
      <c r="E475" s="187">
        <v>700</v>
      </c>
      <c r="F475" s="187">
        <v>15000</v>
      </c>
      <c r="G475" s="187">
        <f t="shared" si="504"/>
        <v>2400</v>
      </c>
      <c r="H475" s="187">
        <f t="shared" si="504"/>
        <v>25000</v>
      </c>
      <c r="I475" s="187">
        <f t="shared" si="504"/>
        <v>8000</v>
      </c>
      <c r="J475" s="187">
        <v>40000</v>
      </c>
      <c r="K475" s="187">
        <f t="shared" si="504"/>
        <v>8000</v>
      </c>
      <c r="L475" s="187">
        <v>40000</v>
      </c>
      <c r="M475" s="110">
        <v>9.5</v>
      </c>
      <c r="N475" s="110">
        <f>VLOOKUP(DATE(YEAR(A475),MONTH(A475),DAY(A475)),FY24_Temp[],3,FALSE)</f>
        <v>12.8</v>
      </c>
      <c r="O475" s="110">
        <f t="shared" si="479"/>
        <v>11.5</v>
      </c>
      <c r="P475" s="110">
        <f t="shared" si="480"/>
        <v>19.5</v>
      </c>
      <c r="Q475" s="111">
        <f>VLOOKUP(VLOOKUP(DATEVALUE(TEXT(A475,"m/d/yyyy")),FY24_Temp[],5,FALSE)&amp;TEXT(A475,"-h"),TempDelta[],4,FALSE)</f>
        <v>0.88578571166310993</v>
      </c>
      <c r="R475" s="112">
        <v>10</v>
      </c>
      <c r="S475" s="112">
        <v>1500</v>
      </c>
      <c r="T475" s="99">
        <f>VLOOKUP(TEXT(A475,"yy-mm")&amp;"-"&amp;IF(AND(WEEKDAY(A475)&gt;1,WEEKDAY(A475)&lt;7),"Wkd",TEXT(A475,"Ddd"))&amp;"-"&amp;TEXT(A475,"hh"),LoadTable[],3,FALSE)*0.92</f>
        <v>494.57360000000006</v>
      </c>
      <c r="U475" s="113">
        <f t="shared" si="481"/>
        <v>49.457360000000008</v>
      </c>
    </row>
    <row r="476" spans="1:21" ht="15" thickBot="1">
      <c r="A476" s="29">
        <f t="shared" si="451"/>
        <v>45855.708333334165</v>
      </c>
      <c r="B476" s="187">
        <f t="shared" ref="B476:L476" si="505">B500</f>
        <v>8000</v>
      </c>
      <c r="C476" s="187">
        <f t="shared" si="505"/>
        <v>25000</v>
      </c>
      <c r="D476" s="187">
        <v>0</v>
      </c>
      <c r="E476" s="187">
        <v>700</v>
      </c>
      <c r="F476" s="187">
        <v>15000</v>
      </c>
      <c r="G476" s="187">
        <f t="shared" si="505"/>
        <v>2400</v>
      </c>
      <c r="H476" s="187">
        <f t="shared" si="505"/>
        <v>25000</v>
      </c>
      <c r="I476" s="187">
        <f t="shared" si="505"/>
        <v>8000</v>
      </c>
      <c r="J476" s="187">
        <v>40000</v>
      </c>
      <c r="K476" s="187">
        <f t="shared" si="505"/>
        <v>8000</v>
      </c>
      <c r="L476" s="187">
        <v>40000</v>
      </c>
      <c r="M476" s="110">
        <v>9.5</v>
      </c>
      <c r="N476" s="110">
        <f>VLOOKUP(DATE(YEAR(A476),MONTH(A476),DAY(A476)),FY24_Temp[],3,FALSE)</f>
        <v>12.8</v>
      </c>
      <c r="O476" s="110">
        <f t="shared" si="479"/>
        <v>11.5</v>
      </c>
      <c r="P476" s="110">
        <f t="shared" si="480"/>
        <v>19.5</v>
      </c>
      <c r="Q476" s="111">
        <f>VLOOKUP(VLOOKUP(DATEVALUE(TEXT(A476,"m/d/yyyy")),FY24_Temp[],5,FALSE)&amp;TEXT(A476,"-h"),TempDelta[],4,FALSE)</f>
        <v>1.0356428495475225</v>
      </c>
      <c r="R476" s="112">
        <v>10</v>
      </c>
      <c r="S476" s="112">
        <v>1500</v>
      </c>
      <c r="T476" s="99">
        <f>VLOOKUP(TEXT(A476,"yy-mm")&amp;"-"&amp;IF(AND(WEEKDAY(A476)&gt;1,WEEKDAY(A476)&lt;7),"Wkd",TEXT(A476,"Ddd"))&amp;"-"&amp;TEXT(A476,"hh"),LoadTable[],3,FALSE)*0.92</f>
        <v>494.57360000000006</v>
      </c>
      <c r="U476" s="113">
        <f t="shared" si="481"/>
        <v>49.457360000000008</v>
      </c>
    </row>
    <row r="477" spans="1:21" ht="15" thickBot="1">
      <c r="A477" s="29">
        <f t="shared" si="451"/>
        <v>45855.750000000829</v>
      </c>
      <c r="B477" s="187">
        <f t="shared" ref="B477:L477" si="506">B501</f>
        <v>5000</v>
      </c>
      <c r="C477" s="187">
        <f t="shared" si="506"/>
        <v>25000</v>
      </c>
      <c r="D477" s="187">
        <v>0</v>
      </c>
      <c r="E477" s="187">
        <v>700</v>
      </c>
      <c r="F477" s="187">
        <v>15000</v>
      </c>
      <c r="G477" s="187">
        <f t="shared" si="506"/>
        <v>2400</v>
      </c>
      <c r="H477" s="187">
        <f t="shared" si="506"/>
        <v>25000</v>
      </c>
      <c r="I477" s="187">
        <f t="shared" si="506"/>
        <v>5000</v>
      </c>
      <c r="J477" s="187">
        <v>40000</v>
      </c>
      <c r="K477" s="187">
        <f t="shared" si="506"/>
        <v>5000</v>
      </c>
      <c r="L477" s="187">
        <v>40000</v>
      </c>
      <c r="M477" s="110">
        <v>9.5</v>
      </c>
      <c r="N477" s="110">
        <f>VLOOKUP(DATE(YEAR(A477),MONTH(A477),DAY(A477)),FY24_Temp[],3,FALSE)</f>
        <v>12.8</v>
      </c>
      <c r="O477" s="110">
        <f t="shared" si="479"/>
        <v>11.5</v>
      </c>
      <c r="P477" s="110">
        <f t="shared" si="480"/>
        <v>19.5</v>
      </c>
      <c r="Q477" s="111">
        <f>VLOOKUP(VLOOKUP(DATEVALUE(TEXT(A477,"m/d/yyyy")),FY24_Temp[],5,FALSE)&amp;TEXT(A477,"-h"),TempDelta[],4,FALSE)</f>
        <v>1.3991428358214242</v>
      </c>
      <c r="R477" s="112">
        <v>10</v>
      </c>
      <c r="S477" s="112">
        <v>1500</v>
      </c>
      <c r="T477" s="99">
        <f>VLOOKUP(TEXT(A477,"yy-mm")&amp;"-"&amp;IF(AND(WEEKDAY(A477)&gt;1,WEEKDAY(A477)&lt;7),"Wkd",TEXT(A477,"Ddd"))&amp;"-"&amp;TEXT(A477,"hh"),LoadTable[],3,FALSE)*0.92</f>
        <v>494.57360000000006</v>
      </c>
      <c r="U477" s="113">
        <f t="shared" si="481"/>
        <v>49.457360000000008</v>
      </c>
    </row>
    <row r="478" spans="1:21" ht="15" thickBot="1">
      <c r="A478" s="29">
        <f t="shared" si="451"/>
        <v>45855.791666667494</v>
      </c>
      <c r="B478" s="187">
        <f t="shared" ref="B478:L478" si="507">B502</f>
        <v>5000</v>
      </c>
      <c r="C478" s="187">
        <f t="shared" si="507"/>
        <v>25000</v>
      </c>
      <c r="D478" s="187">
        <v>0</v>
      </c>
      <c r="E478" s="187">
        <v>700</v>
      </c>
      <c r="F478" s="187">
        <v>15000</v>
      </c>
      <c r="G478" s="187">
        <f t="shared" si="507"/>
        <v>2400</v>
      </c>
      <c r="H478" s="187">
        <f t="shared" si="507"/>
        <v>25000</v>
      </c>
      <c r="I478" s="187">
        <f t="shared" si="507"/>
        <v>5000</v>
      </c>
      <c r="J478" s="187">
        <v>40000</v>
      </c>
      <c r="K478" s="187">
        <f t="shared" si="507"/>
        <v>5000</v>
      </c>
      <c r="L478" s="187">
        <v>40000</v>
      </c>
      <c r="M478" s="110">
        <v>9.5</v>
      </c>
      <c r="N478" s="110">
        <f>VLOOKUP(DATE(YEAR(A478),MONTH(A478),DAY(A478)),FY24_Temp[],3,FALSE)</f>
        <v>12.8</v>
      </c>
      <c r="O478" s="110">
        <f t="shared" si="479"/>
        <v>11.5</v>
      </c>
      <c r="P478" s="110">
        <f t="shared" si="480"/>
        <v>19.5</v>
      </c>
      <c r="Q478" s="111">
        <f>VLOOKUP(VLOOKUP(DATEVALUE(TEXT(A478,"m/d/yyyy")),FY24_Temp[],5,FALSE)&amp;TEXT(A478,"-h"),TempDelta[],4,FALSE)</f>
        <v>1.8638571415628706</v>
      </c>
      <c r="R478" s="112">
        <v>10</v>
      </c>
      <c r="S478" s="112">
        <v>1500</v>
      </c>
      <c r="T478" s="99">
        <f>VLOOKUP(TEXT(A478,"yy-mm")&amp;"-"&amp;IF(AND(WEEKDAY(A478)&gt;1,WEEKDAY(A478)&lt;7),"Wkd",TEXT(A478,"Ddd"))&amp;"-"&amp;TEXT(A478,"hh"),LoadTable[],3,FALSE)*0.92</f>
        <v>494.57360000000006</v>
      </c>
      <c r="U478" s="113">
        <f t="shared" si="481"/>
        <v>49.457360000000008</v>
      </c>
    </row>
    <row r="479" spans="1:21" ht="15" thickBot="1">
      <c r="A479" s="29">
        <f t="shared" si="451"/>
        <v>45855.833333334158</v>
      </c>
      <c r="B479" s="187">
        <f t="shared" ref="B479:L479" si="508">B503</f>
        <v>5000</v>
      </c>
      <c r="C479" s="187">
        <f t="shared" si="508"/>
        <v>25000</v>
      </c>
      <c r="D479" s="187">
        <v>0</v>
      </c>
      <c r="E479" s="187">
        <v>700</v>
      </c>
      <c r="F479" s="187">
        <v>15000</v>
      </c>
      <c r="G479" s="187">
        <f t="shared" si="508"/>
        <v>2400</v>
      </c>
      <c r="H479" s="187">
        <f t="shared" si="508"/>
        <v>25000</v>
      </c>
      <c r="I479" s="187">
        <f t="shared" si="508"/>
        <v>5000</v>
      </c>
      <c r="J479" s="187">
        <v>40000</v>
      </c>
      <c r="K479" s="187">
        <f t="shared" si="508"/>
        <v>5000</v>
      </c>
      <c r="L479" s="187">
        <v>40000</v>
      </c>
      <c r="M479" s="110">
        <v>9.5</v>
      </c>
      <c r="N479" s="110">
        <f>VLOOKUP(DATE(YEAR(A479),MONTH(A479),DAY(A479)),FY24_Temp[],3,FALSE)</f>
        <v>12.8</v>
      </c>
      <c r="O479" s="110">
        <f t="shared" si="479"/>
        <v>11.5</v>
      </c>
      <c r="P479" s="110">
        <f t="shared" si="480"/>
        <v>19.5</v>
      </c>
      <c r="Q479" s="111">
        <f>VLOOKUP(VLOOKUP(DATEVALUE(TEXT(A479,"m/d/yyyy")),FY24_Temp[],5,FALSE)&amp;TEXT(A479,"-h"),TempDelta[],4,FALSE)</f>
        <v>2.300714305468968</v>
      </c>
      <c r="R479" s="112">
        <v>10</v>
      </c>
      <c r="S479" s="112">
        <v>1500</v>
      </c>
      <c r="T479" s="99">
        <f>VLOOKUP(TEXT(A479,"yy-mm")&amp;"-"&amp;IF(AND(WEEKDAY(A479)&gt;1,WEEKDAY(A479)&lt;7),"Wkd",TEXT(A479,"Ddd"))&amp;"-"&amp;TEXT(A479,"hh"),LoadTable[],3,FALSE)*0.92</f>
        <v>494.57360000000006</v>
      </c>
      <c r="U479" s="113">
        <f t="shared" si="481"/>
        <v>49.457360000000008</v>
      </c>
    </row>
    <row r="480" spans="1:21" ht="15" thickBot="1">
      <c r="A480" s="29">
        <f t="shared" si="451"/>
        <v>45855.875000000822</v>
      </c>
      <c r="B480" s="187">
        <f t="shared" ref="B480:L480" si="509">B504</f>
        <v>5000</v>
      </c>
      <c r="C480" s="187">
        <f t="shared" si="509"/>
        <v>25000</v>
      </c>
      <c r="D480" s="187">
        <v>0</v>
      </c>
      <c r="E480" s="187">
        <v>700</v>
      </c>
      <c r="F480" s="187">
        <v>15000</v>
      </c>
      <c r="G480" s="187">
        <f t="shared" si="509"/>
        <v>2400</v>
      </c>
      <c r="H480" s="187">
        <f t="shared" si="509"/>
        <v>25000</v>
      </c>
      <c r="I480" s="187">
        <f t="shared" si="509"/>
        <v>5000</v>
      </c>
      <c r="J480" s="187">
        <v>40000</v>
      </c>
      <c r="K480" s="187">
        <f t="shared" si="509"/>
        <v>5000</v>
      </c>
      <c r="L480" s="187">
        <v>40000</v>
      </c>
      <c r="M480" s="110">
        <v>9.5</v>
      </c>
      <c r="N480" s="110">
        <f>VLOOKUP(DATE(YEAR(A480),MONTH(A480),DAY(A480)),FY24_Temp[],3,FALSE)</f>
        <v>12.8</v>
      </c>
      <c r="O480" s="110">
        <f t="shared" si="479"/>
        <v>11.5</v>
      </c>
      <c r="P480" s="110">
        <f t="shared" si="480"/>
        <v>19.5</v>
      </c>
      <c r="Q480" s="111">
        <f>VLOOKUP(VLOOKUP(DATEVALUE(TEXT(A480,"m/d/yyyy")),FY24_Temp[],5,FALSE)&amp;TEXT(A480,"-h"),TempDelta[],4,FALSE)</f>
        <v>2.554214222090585</v>
      </c>
      <c r="R480" s="112">
        <v>10</v>
      </c>
      <c r="S480" s="112">
        <v>1500</v>
      </c>
      <c r="T480" s="99">
        <f>VLOOKUP(TEXT(A480,"yy-mm")&amp;"-"&amp;IF(AND(WEEKDAY(A480)&gt;1,WEEKDAY(A480)&lt;7),"Wkd",TEXT(A480,"Ddd"))&amp;"-"&amp;TEXT(A480,"hh"),LoadTable[],3,FALSE)*0.92</f>
        <v>494.57360000000006</v>
      </c>
      <c r="U480" s="113">
        <f t="shared" si="481"/>
        <v>49.457360000000008</v>
      </c>
    </row>
    <row r="481" spans="1:21" ht="15" thickBot="1">
      <c r="A481" s="29">
        <f t="shared" si="451"/>
        <v>45855.916666667486</v>
      </c>
      <c r="B481" s="187">
        <f t="shared" ref="B481:L481" si="510">B505</f>
        <v>5000</v>
      </c>
      <c r="C481" s="187">
        <f t="shared" si="510"/>
        <v>25000</v>
      </c>
      <c r="D481" s="187">
        <v>0</v>
      </c>
      <c r="E481" s="187">
        <v>700</v>
      </c>
      <c r="F481" s="187">
        <v>15000</v>
      </c>
      <c r="G481" s="187">
        <f t="shared" si="510"/>
        <v>2400</v>
      </c>
      <c r="H481" s="187">
        <f t="shared" si="510"/>
        <v>25000</v>
      </c>
      <c r="I481" s="187">
        <f t="shared" si="510"/>
        <v>5000</v>
      </c>
      <c r="J481" s="187">
        <v>40000</v>
      </c>
      <c r="K481" s="187">
        <f t="shared" si="510"/>
        <v>5000</v>
      </c>
      <c r="L481" s="187">
        <v>40000</v>
      </c>
      <c r="M481" s="110">
        <v>9.5</v>
      </c>
      <c r="N481" s="110">
        <f>VLOOKUP(DATE(YEAR(A481),MONTH(A481),DAY(A481)),FY24_Temp[],3,FALSE)</f>
        <v>12.8</v>
      </c>
      <c r="O481" s="110">
        <f t="shared" si="479"/>
        <v>11.5</v>
      </c>
      <c r="P481" s="110">
        <f t="shared" si="480"/>
        <v>19.5</v>
      </c>
      <c r="Q481" s="111">
        <f>VLOOKUP(VLOOKUP(DATEVALUE(TEXT(A481,"m/d/yyyy")),FY24_Temp[],5,FALSE)&amp;TEXT(A481,"-h"),TempDelta[],4,FALSE)</f>
        <v>2.7827142647334506</v>
      </c>
      <c r="R481" s="112">
        <v>10</v>
      </c>
      <c r="S481" s="112">
        <v>1500</v>
      </c>
      <c r="T481" s="99">
        <f>VLOOKUP(TEXT(A481,"yy-mm")&amp;"-"&amp;IF(AND(WEEKDAY(A481)&gt;1,WEEKDAY(A481)&lt;7),"Wkd",TEXT(A481,"Ddd"))&amp;"-"&amp;TEXT(A481,"hh"),LoadTable[],3,FALSE)*0.92</f>
        <v>418.75640000000004</v>
      </c>
      <c r="U481" s="113">
        <f t="shared" si="481"/>
        <v>41.875640000000004</v>
      </c>
    </row>
    <row r="482" spans="1:21" ht="15" thickBot="1">
      <c r="A482" s="29">
        <f t="shared" si="451"/>
        <v>45855.958333334151</v>
      </c>
      <c r="B482" s="187">
        <f t="shared" ref="B482:L482" si="511">B506</f>
        <v>5000</v>
      </c>
      <c r="C482" s="187">
        <f t="shared" si="511"/>
        <v>25000</v>
      </c>
      <c r="D482" s="187">
        <v>0</v>
      </c>
      <c r="E482" s="187">
        <v>700</v>
      </c>
      <c r="F482" s="187">
        <v>15000</v>
      </c>
      <c r="G482" s="187">
        <f t="shared" si="511"/>
        <v>2400</v>
      </c>
      <c r="H482" s="187">
        <f t="shared" si="511"/>
        <v>25000</v>
      </c>
      <c r="I482" s="187">
        <f t="shared" si="511"/>
        <v>5000</v>
      </c>
      <c r="J482" s="187">
        <v>40000</v>
      </c>
      <c r="K482" s="187">
        <f t="shared" si="511"/>
        <v>5000</v>
      </c>
      <c r="L482" s="187">
        <v>40000</v>
      </c>
      <c r="M482" s="110">
        <v>9.5</v>
      </c>
      <c r="N482" s="110">
        <f>VLOOKUP(DATE(YEAR(A482),MONTH(A482),DAY(A482)),FY24_Temp[],3,FALSE)</f>
        <v>12.8</v>
      </c>
      <c r="O482" s="110">
        <f t="shared" si="479"/>
        <v>11.5</v>
      </c>
      <c r="P482" s="110">
        <f t="shared" si="480"/>
        <v>19.5</v>
      </c>
      <c r="Q482" s="111">
        <f>VLOOKUP(VLOOKUP(DATEVALUE(TEXT(A482,"m/d/yyyy")),FY24_Temp[],5,FALSE)&amp;TEXT(A482,"-h"),TempDelta[],4,FALSE)</f>
        <v>2.8792857101985385</v>
      </c>
      <c r="R482" s="112">
        <v>10</v>
      </c>
      <c r="S482" s="112">
        <v>1500</v>
      </c>
      <c r="T482" s="99">
        <f>VLOOKUP(TEXT(A482,"yy-mm")&amp;"-"&amp;IF(AND(WEEKDAY(A482)&gt;1,WEEKDAY(A482)&lt;7),"Wkd",TEXT(A482,"Ddd"))&amp;"-"&amp;TEXT(A482,"hh"),LoadTable[],3,FALSE)*0.92</f>
        <v>342.93920000000003</v>
      </c>
      <c r="U482" s="113">
        <f t="shared" si="481"/>
        <v>34.29392</v>
      </c>
    </row>
    <row r="483" spans="1:21" ht="15" thickBot="1">
      <c r="A483" s="29">
        <f t="shared" si="451"/>
        <v>45856.000000000815</v>
      </c>
      <c r="B483" s="187">
        <f t="shared" ref="B483:L483" si="512">B507</f>
        <v>5000</v>
      </c>
      <c r="C483" s="187">
        <f t="shared" si="512"/>
        <v>25000</v>
      </c>
      <c r="D483" s="187">
        <v>0</v>
      </c>
      <c r="E483" s="187">
        <v>700</v>
      </c>
      <c r="F483" s="187">
        <v>15000</v>
      </c>
      <c r="G483" s="187">
        <f t="shared" si="512"/>
        <v>2400</v>
      </c>
      <c r="H483" s="187">
        <f t="shared" si="512"/>
        <v>25000</v>
      </c>
      <c r="I483" s="187">
        <f t="shared" si="512"/>
        <v>5000</v>
      </c>
      <c r="J483" s="187">
        <v>40000</v>
      </c>
      <c r="K483" s="187">
        <f t="shared" si="512"/>
        <v>5000</v>
      </c>
      <c r="L483" s="187">
        <v>40000</v>
      </c>
      <c r="M483" s="110">
        <v>9.5</v>
      </c>
      <c r="N483" s="110">
        <f>VLOOKUP(DATE(YEAR(A483),MONTH(A483),DAY(A483)),FY24_Temp[],3,FALSE)</f>
        <v>12.8</v>
      </c>
      <c r="O483" s="110">
        <f t="shared" si="479"/>
        <v>11.5</v>
      </c>
      <c r="P483" s="110">
        <f t="shared" si="480"/>
        <v>19.5</v>
      </c>
      <c r="Q483" s="111">
        <f>VLOOKUP(VLOOKUP(DATEVALUE(TEXT(A483,"m/d/yyyy")),FY24_Temp[],5,FALSE)&amp;TEXT(A483,"-h"),TempDelta[],4,FALSE)</f>
        <v>3.0441428933824812</v>
      </c>
      <c r="R483" s="112">
        <v>10</v>
      </c>
      <c r="S483" s="112">
        <v>1500</v>
      </c>
      <c r="T483" s="99">
        <f>VLOOKUP(TEXT(A483,"yy-mm")&amp;"-"&amp;IF(AND(WEEKDAY(A483)&gt;1,WEEKDAY(A483)&lt;7),"Wkd",TEXT(A483,"Ddd"))&amp;"-"&amp;TEXT(A483,"hh"),LoadTable[],3,FALSE)*0.92</f>
        <v>279.25312000000002</v>
      </c>
      <c r="U483" s="113">
        <f t="shared" si="481"/>
        <v>27.925312000000002</v>
      </c>
    </row>
    <row r="484" spans="1:21" ht="15" thickBot="1">
      <c r="A484" s="29">
        <f t="shared" si="451"/>
        <v>45856.041666667479</v>
      </c>
      <c r="B484" s="187">
        <f t="shared" ref="B484:L484" si="513">B508</f>
        <v>5000</v>
      </c>
      <c r="C484" s="187">
        <f t="shared" si="513"/>
        <v>25000</v>
      </c>
      <c r="D484" s="187">
        <v>0</v>
      </c>
      <c r="E484" s="187">
        <v>700</v>
      </c>
      <c r="F484" s="187">
        <v>15000</v>
      </c>
      <c r="G484" s="187">
        <f t="shared" si="513"/>
        <v>2400</v>
      </c>
      <c r="H484" s="187">
        <f t="shared" si="513"/>
        <v>25000</v>
      </c>
      <c r="I484" s="187">
        <f t="shared" si="513"/>
        <v>5000</v>
      </c>
      <c r="J484" s="187">
        <v>40000</v>
      </c>
      <c r="K484" s="187">
        <f t="shared" si="513"/>
        <v>5000</v>
      </c>
      <c r="L484" s="187">
        <v>40000</v>
      </c>
      <c r="M484" s="110">
        <v>9.5</v>
      </c>
      <c r="N484" s="110">
        <f>VLOOKUP(DATE(YEAR(A484),MONTH(A484),DAY(A484)),FY24_Temp[],3,FALSE)</f>
        <v>12.8</v>
      </c>
      <c r="O484" s="110">
        <f t="shared" si="479"/>
        <v>11.5</v>
      </c>
      <c r="P484" s="110">
        <f t="shared" si="480"/>
        <v>19.5</v>
      </c>
      <c r="Q484" s="111">
        <f>VLOOKUP(VLOOKUP(DATEVALUE(TEXT(A484,"m/d/yyyy")),FY24_Temp[],5,FALSE)&amp;TEXT(A484,"-h"),TempDelta[],4,FALSE)</f>
        <v>3.0992857047489712</v>
      </c>
      <c r="R484" s="112">
        <v>10</v>
      </c>
      <c r="S484" s="112">
        <v>1500</v>
      </c>
      <c r="T484" s="99">
        <f>VLOOKUP(TEXT(A484,"yy-mm")&amp;"-"&amp;IF(AND(WEEKDAY(A484)&gt;1,WEEKDAY(A484)&lt;7),"Wkd",TEXT(A484,"Ddd"))&amp;"-"&amp;TEXT(A484,"hh"),LoadTable[],3,FALSE)*0.92</f>
        <v>279.25312000000002</v>
      </c>
      <c r="U484" s="113">
        <f t="shared" si="481"/>
        <v>27.925312000000002</v>
      </c>
    </row>
    <row r="485" spans="1:21" ht="15" thickBot="1">
      <c r="A485" s="29">
        <f t="shared" si="451"/>
        <v>45856.083333334143</v>
      </c>
      <c r="B485" s="187">
        <f t="shared" ref="B485:L485" si="514">B509</f>
        <v>5000</v>
      </c>
      <c r="C485" s="187">
        <f t="shared" si="514"/>
        <v>25000</v>
      </c>
      <c r="D485" s="187">
        <v>0</v>
      </c>
      <c r="E485" s="187">
        <v>700</v>
      </c>
      <c r="F485" s="187">
        <v>15000</v>
      </c>
      <c r="G485" s="187">
        <f t="shared" si="514"/>
        <v>2400</v>
      </c>
      <c r="H485" s="187">
        <f t="shared" si="514"/>
        <v>25000</v>
      </c>
      <c r="I485" s="187">
        <f t="shared" si="514"/>
        <v>5000</v>
      </c>
      <c r="J485" s="187">
        <v>40000</v>
      </c>
      <c r="K485" s="187">
        <f t="shared" si="514"/>
        <v>5000</v>
      </c>
      <c r="L485" s="187">
        <v>40000</v>
      </c>
      <c r="M485" s="110">
        <v>9.5</v>
      </c>
      <c r="N485" s="110">
        <f>VLOOKUP(DATE(YEAR(A485),MONTH(A485),DAY(A485)),FY24_Temp[],3,FALSE)</f>
        <v>12.8</v>
      </c>
      <c r="O485" s="110">
        <f t="shared" si="479"/>
        <v>11.5</v>
      </c>
      <c r="P485" s="110">
        <f t="shared" si="480"/>
        <v>19.5</v>
      </c>
      <c r="Q485" s="111">
        <f>VLOOKUP(VLOOKUP(DATEVALUE(TEXT(A485,"m/d/yyyy")),FY24_Temp[],5,FALSE)&amp;TEXT(A485,"-h"),TempDelta[],4,FALSE)</f>
        <v>3.1050000190734863</v>
      </c>
      <c r="R485" s="112">
        <v>10</v>
      </c>
      <c r="S485" s="112">
        <v>1500</v>
      </c>
      <c r="T485" s="99">
        <f>VLOOKUP(TEXT(A485,"yy-mm")&amp;"-"&amp;IF(AND(WEEKDAY(A485)&gt;1,WEEKDAY(A485)&lt;7),"Wkd",TEXT(A485,"Ddd"))&amp;"-"&amp;TEXT(A485,"hh"),LoadTable[],3,FALSE)*0.92</f>
        <v>279.25312000000002</v>
      </c>
      <c r="U485" s="113">
        <f t="shared" si="481"/>
        <v>27.925312000000002</v>
      </c>
    </row>
    <row r="486" spans="1:21" ht="15" thickBot="1">
      <c r="A486" s="29">
        <f t="shared" si="451"/>
        <v>45856.125000000808</v>
      </c>
      <c r="B486" s="187">
        <f t="shared" ref="B486:L486" si="515">B510</f>
        <v>5000</v>
      </c>
      <c r="C486" s="187">
        <f t="shared" si="515"/>
        <v>25000</v>
      </c>
      <c r="D486" s="187">
        <v>0</v>
      </c>
      <c r="E486" s="187">
        <v>700</v>
      </c>
      <c r="F486" s="187">
        <v>15000</v>
      </c>
      <c r="G486" s="187">
        <f t="shared" si="515"/>
        <v>2400</v>
      </c>
      <c r="H486" s="187">
        <f t="shared" si="515"/>
        <v>25000</v>
      </c>
      <c r="I486" s="187">
        <f t="shared" si="515"/>
        <v>5000</v>
      </c>
      <c r="J486" s="187">
        <v>40000</v>
      </c>
      <c r="K486" s="187">
        <f t="shared" si="515"/>
        <v>5000</v>
      </c>
      <c r="L486" s="187">
        <v>40000</v>
      </c>
      <c r="M486" s="110">
        <v>9.5</v>
      </c>
      <c r="N486" s="110">
        <f>VLOOKUP(DATE(YEAR(A486),MONTH(A486),DAY(A486)),FY24_Temp[],3,FALSE)</f>
        <v>12.8</v>
      </c>
      <c r="O486" s="110">
        <f t="shared" si="479"/>
        <v>11.5</v>
      </c>
      <c r="P486" s="110">
        <f t="shared" si="480"/>
        <v>19.5</v>
      </c>
      <c r="Q486" s="111">
        <f>VLOOKUP(VLOOKUP(DATEVALUE(TEXT(A486,"m/d/yyyy")),FY24_Temp[],5,FALSE)&amp;TEXT(A486,"-h"),TempDelta[],4,FALSE)</f>
        <v>3.0428571701049805</v>
      </c>
      <c r="R486" s="112">
        <v>10</v>
      </c>
      <c r="S486" s="112">
        <v>1500</v>
      </c>
      <c r="T486" s="99">
        <f>VLOOKUP(TEXT(A486,"yy-mm")&amp;"-"&amp;IF(AND(WEEKDAY(A486)&gt;1,WEEKDAY(A486)&lt;7),"Wkd",TEXT(A486,"Ddd"))&amp;"-"&amp;TEXT(A486,"hh"),LoadTable[],3,FALSE)*0.92</f>
        <v>279.25312000000002</v>
      </c>
      <c r="U486" s="113">
        <f t="shared" si="481"/>
        <v>27.925312000000002</v>
      </c>
    </row>
    <row r="487" spans="1:21" ht="15" thickBot="1">
      <c r="A487" s="29">
        <f t="shared" si="451"/>
        <v>45856.166666667472</v>
      </c>
      <c r="B487" s="187">
        <f t="shared" ref="B487:L487" si="516">B511</f>
        <v>5000</v>
      </c>
      <c r="C487" s="187">
        <f t="shared" si="516"/>
        <v>25000</v>
      </c>
      <c r="D487" s="187">
        <v>0</v>
      </c>
      <c r="E487" s="187">
        <v>700</v>
      </c>
      <c r="F487" s="187">
        <v>15000</v>
      </c>
      <c r="G487" s="187">
        <f t="shared" si="516"/>
        <v>2400</v>
      </c>
      <c r="H487" s="187">
        <f t="shared" si="516"/>
        <v>25000</v>
      </c>
      <c r="I487" s="187">
        <f t="shared" si="516"/>
        <v>5000</v>
      </c>
      <c r="J487" s="187">
        <v>40000</v>
      </c>
      <c r="K487" s="187">
        <f t="shared" si="516"/>
        <v>5000</v>
      </c>
      <c r="L487" s="187">
        <v>40000</v>
      </c>
      <c r="M487" s="110">
        <v>9.5</v>
      </c>
      <c r="N487" s="110">
        <f>VLOOKUP(DATE(YEAR(A487),MONTH(A487),DAY(A487)),FY24_Temp[],3,FALSE)</f>
        <v>12.8</v>
      </c>
      <c r="O487" s="110">
        <f t="shared" si="479"/>
        <v>11.5</v>
      </c>
      <c r="P487" s="110">
        <f t="shared" si="480"/>
        <v>19.5</v>
      </c>
      <c r="Q487" s="111">
        <f>VLOOKUP(VLOOKUP(DATEVALUE(TEXT(A487,"m/d/yyyy")),FY24_Temp[],5,FALSE)&amp;TEXT(A487,"-h"),TempDelta[],4,FALSE)</f>
        <v>2.9580000468662808</v>
      </c>
      <c r="R487" s="112">
        <v>10</v>
      </c>
      <c r="S487" s="112">
        <v>1500</v>
      </c>
      <c r="T487" s="99">
        <f>VLOOKUP(TEXT(A487,"yy-mm")&amp;"-"&amp;IF(AND(WEEKDAY(A487)&gt;1,WEEKDAY(A487)&lt;7),"Wkd",TEXT(A487,"Ddd"))&amp;"-"&amp;TEXT(A487,"hh"),LoadTable[],3,FALSE)*0.92</f>
        <v>279.25312000000002</v>
      </c>
      <c r="U487" s="113">
        <f t="shared" si="481"/>
        <v>27.925312000000002</v>
      </c>
    </row>
    <row r="488" spans="1:21" ht="15" thickBot="1">
      <c r="A488" s="29">
        <f t="shared" si="451"/>
        <v>45856.208333334136</v>
      </c>
      <c r="B488" s="187">
        <f t="shared" ref="B488:L488" si="517">B512</f>
        <v>5000</v>
      </c>
      <c r="C488" s="187">
        <f t="shared" si="517"/>
        <v>25000</v>
      </c>
      <c r="D488" s="187">
        <v>0</v>
      </c>
      <c r="E488" s="187">
        <v>700</v>
      </c>
      <c r="F488" s="187">
        <v>15000</v>
      </c>
      <c r="G488" s="187">
        <f t="shared" si="517"/>
        <v>2400</v>
      </c>
      <c r="H488" s="187">
        <f t="shared" si="517"/>
        <v>25000</v>
      </c>
      <c r="I488" s="187">
        <f t="shared" si="517"/>
        <v>5000</v>
      </c>
      <c r="J488" s="187">
        <v>40000</v>
      </c>
      <c r="K488" s="187">
        <f t="shared" si="517"/>
        <v>5000</v>
      </c>
      <c r="L488" s="187">
        <v>40000</v>
      </c>
      <c r="M488" s="110">
        <v>9.5</v>
      </c>
      <c r="N488" s="110">
        <f>VLOOKUP(DATE(YEAR(A488),MONTH(A488),DAY(A488)),FY24_Temp[],3,FALSE)</f>
        <v>12.8</v>
      </c>
      <c r="O488" s="110">
        <f t="shared" si="479"/>
        <v>11.5</v>
      </c>
      <c r="P488" s="110">
        <f t="shared" si="480"/>
        <v>19.5</v>
      </c>
      <c r="Q488" s="111">
        <f>VLOOKUP(VLOOKUP(DATEVALUE(TEXT(A488,"m/d/yyyy")),FY24_Temp[],5,FALSE)&amp;TEXT(A488,"-h"),TempDelta[],4,FALSE)</f>
        <v>2.8608571801866804</v>
      </c>
      <c r="R488" s="112">
        <v>10</v>
      </c>
      <c r="S488" s="112">
        <v>1500</v>
      </c>
      <c r="T488" s="99">
        <f>VLOOKUP(TEXT(A488,"yy-mm")&amp;"-"&amp;IF(AND(WEEKDAY(A488)&gt;1,WEEKDAY(A488)&lt;7),"Wkd",TEXT(A488,"Ddd"))&amp;"-"&amp;TEXT(A488,"hh"),LoadTable[],3,FALSE)*0.92</f>
        <v>279.25312000000002</v>
      </c>
      <c r="U488" s="113">
        <f t="shared" si="481"/>
        <v>27.925312000000002</v>
      </c>
    </row>
    <row r="489" spans="1:21" ht="15" thickBot="1">
      <c r="A489" s="29">
        <f t="shared" si="451"/>
        <v>45856.2500000008</v>
      </c>
      <c r="B489" s="187">
        <f t="shared" ref="B489:L489" si="518">B513</f>
        <v>8000</v>
      </c>
      <c r="C489" s="187">
        <f t="shared" si="518"/>
        <v>25000</v>
      </c>
      <c r="D489" s="187">
        <v>0</v>
      </c>
      <c r="E489" s="187">
        <v>700</v>
      </c>
      <c r="F489" s="187">
        <v>15000</v>
      </c>
      <c r="G489" s="187">
        <f t="shared" si="518"/>
        <v>2400</v>
      </c>
      <c r="H489" s="187">
        <f t="shared" si="518"/>
        <v>25000</v>
      </c>
      <c r="I489" s="187">
        <f t="shared" si="518"/>
        <v>8000</v>
      </c>
      <c r="J489" s="187">
        <v>40000</v>
      </c>
      <c r="K489" s="187">
        <f t="shared" si="518"/>
        <v>8000</v>
      </c>
      <c r="L489" s="187">
        <v>40000</v>
      </c>
      <c r="M489" s="110">
        <v>9.5</v>
      </c>
      <c r="N489" s="110">
        <f>VLOOKUP(DATE(YEAR(A489),MONTH(A489),DAY(A489)),FY24_Temp[],3,FALSE)</f>
        <v>12.8</v>
      </c>
      <c r="O489" s="110">
        <f t="shared" si="479"/>
        <v>11.5</v>
      </c>
      <c r="P489" s="110">
        <f t="shared" si="480"/>
        <v>19.5</v>
      </c>
      <c r="Q489" s="111">
        <f>VLOOKUP(VLOOKUP(DATEVALUE(TEXT(A489,"m/d/yyyy")),FY24_Temp[],5,FALSE)&amp;TEXT(A489,"-h"),TempDelta[],4,FALSE)</f>
        <v>2.7405714307512556</v>
      </c>
      <c r="R489" s="112">
        <v>10</v>
      </c>
      <c r="S489" s="112">
        <v>1500</v>
      </c>
      <c r="T489" s="99">
        <f>VLOOKUP(TEXT(A489,"yy-mm")&amp;"-"&amp;IF(AND(WEEKDAY(A489)&gt;1,WEEKDAY(A489)&lt;7),"Wkd",TEXT(A489,"Ddd"))&amp;"-"&amp;TEXT(A489,"hh"),LoadTable[],3,FALSE)*0.92</f>
        <v>279.25312000000002</v>
      </c>
      <c r="U489" s="113">
        <f t="shared" si="481"/>
        <v>27.925312000000002</v>
      </c>
    </row>
    <row r="490" spans="1:21" ht="15" thickBot="1">
      <c r="A490" s="29">
        <f t="shared" ref="A490:A553" si="519">A491-TIME(1,0,0)</f>
        <v>45856.291666667465</v>
      </c>
      <c r="B490" s="187">
        <f t="shared" ref="B490:L490" si="520">B514</f>
        <v>8000</v>
      </c>
      <c r="C490" s="187">
        <f t="shared" si="520"/>
        <v>25000</v>
      </c>
      <c r="D490" s="187">
        <v>0</v>
      </c>
      <c r="E490" s="187">
        <v>700</v>
      </c>
      <c r="F490" s="187">
        <v>15000</v>
      </c>
      <c r="G490" s="187">
        <f t="shared" si="520"/>
        <v>2400</v>
      </c>
      <c r="H490" s="187">
        <f t="shared" si="520"/>
        <v>25000</v>
      </c>
      <c r="I490" s="187">
        <f t="shared" si="520"/>
        <v>8000</v>
      </c>
      <c r="J490" s="187">
        <v>40000</v>
      </c>
      <c r="K490" s="187">
        <f t="shared" si="520"/>
        <v>8000</v>
      </c>
      <c r="L490" s="187">
        <v>40000</v>
      </c>
      <c r="M490" s="110">
        <v>9.5</v>
      </c>
      <c r="N490" s="110">
        <f>VLOOKUP(DATE(YEAR(A490),MONTH(A490),DAY(A490)),FY24_Temp[],3,FALSE)</f>
        <v>12.8</v>
      </c>
      <c r="O490" s="110">
        <f t="shared" si="479"/>
        <v>11.5</v>
      </c>
      <c r="P490" s="110">
        <f t="shared" si="480"/>
        <v>19.5</v>
      </c>
      <c r="Q490" s="111">
        <f>VLOOKUP(VLOOKUP(DATEVALUE(TEXT(A490,"m/d/yyyy")),FY24_Temp[],5,FALSE)&amp;TEXT(A490,"-h"),TempDelta[],4,FALSE)</f>
        <v>2.6134285245622908</v>
      </c>
      <c r="R490" s="112">
        <v>10</v>
      </c>
      <c r="S490" s="112">
        <v>1500</v>
      </c>
      <c r="T490" s="99">
        <f>VLOOKUP(TEXT(A490,"yy-mm")&amp;"-"&amp;IF(AND(WEEKDAY(A490)&gt;1,WEEKDAY(A490)&lt;7),"Wkd",TEXT(A490,"Ddd"))&amp;"-"&amp;TEXT(A490,"hh"),LoadTable[],3,FALSE)*0.92</f>
        <v>279.25312000000002</v>
      </c>
      <c r="U490" s="113">
        <f t="shared" si="481"/>
        <v>27.925312000000002</v>
      </c>
    </row>
    <row r="491" spans="1:21" ht="15" thickBot="1">
      <c r="A491" s="29">
        <f t="shared" si="519"/>
        <v>45856.333333334129</v>
      </c>
      <c r="B491" s="187">
        <f t="shared" ref="B491:L491" si="521">B515</f>
        <v>8000</v>
      </c>
      <c r="C491" s="187">
        <f t="shared" si="521"/>
        <v>25000</v>
      </c>
      <c r="D491" s="187">
        <v>0</v>
      </c>
      <c r="E491" s="187">
        <v>700</v>
      </c>
      <c r="F491" s="187">
        <v>15000</v>
      </c>
      <c r="G491" s="187">
        <f t="shared" si="521"/>
        <v>2400</v>
      </c>
      <c r="H491" s="187">
        <f t="shared" si="521"/>
        <v>25000</v>
      </c>
      <c r="I491" s="187">
        <f t="shared" si="521"/>
        <v>8000</v>
      </c>
      <c r="J491" s="187">
        <v>40000</v>
      </c>
      <c r="K491" s="187">
        <f t="shared" si="521"/>
        <v>8000</v>
      </c>
      <c r="L491" s="187">
        <v>40000</v>
      </c>
      <c r="M491" s="110">
        <v>9.5</v>
      </c>
      <c r="N491" s="110">
        <f>VLOOKUP(DATE(YEAR(A491),MONTH(A491),DAY(A491)),FY24_Temp[],3,FALSE)</f>
        <v>12.8</v>
      </c>
      <c r="O491" s="110">
        <f t="shared" si="479"/>
        <v>11.5</v>
      </c>
      <c r="P491" s="110">
        <f t="shared" si="480"/>
        <v>19.5</v>
      </c>
      <c r="Q491" s="111">
        <f>VLOOKUP(VLOOKUP(DATEVALUE(TEXT(A491,"m/d/yyyy")),FY24_Temp[],5,FALSE)&amp;TEXT(A491,"-h"),TempDelta[],4,FALSE)</f>
        <v>2.44985716683524</v>
      </c>
      <c r="R491" s="112">
        <v>10</v>
      </c>
      <c r="S491" s="112">
        <v>1500</v>
      </c>
      <c r="T491" s="99">
        <f>VLOOKUP(TEXT(A491,"yy-mm")&amp;"-"&amp;IF(AND(WEEKDAY(A491)&gt;1,WEEKDAY(A491)&lt;7),"Wkd",TEXT(A491,"Ddd"))&amp;"-"&amp;TEXT(A491,"hh"),LoadTable[],3,FALSE)*0.92</f>
        <v>279.25312000000002</v>
      </c>
      <c r="U491" s="113">
        <f t="shared" si="481"/>
        <v>27.925312000000002</v>
      </c>
    </row>
    <row r="492" spans="1:21" ht="15" thickBot="1">
      <c r="A492" s="29">
        <f t="shared" si="519"/>
        <v>45856.375000000793</v>
      </c>
      <c r="B492" s="187">
        <f t="shared" ref="B492:L492" si="522">B516</f>
        <v>8000</v>
      </c>
      <c r="C492" s="187">
        <f t="shared" si="522"/>
        <v>25000</v>
      </c>
      <c r="D492" s="187">
        <v>0</v>
      </c>
      <c r="E492" s="187">
        <v>700</v>
      </c>
      <c r="F492" s="187">
        <v>15000</v>
      </c>
      <c r="G492" s="187">
        <f t="shared" si="522"/>
        <v>2400</v>
      </c>
      <c r="H492" s="187">
        <f t="shared" si="522"/>
        <v>25000</v>
      </c>
      <c r="I492" s="187">
        <f t="shared" si="522"/>
        <v>8000</v>
      </c>
      <c r="J492" s="187">
        <v>40000</v>
      </c>
      <c r="K492" s="187">
        <f t="shared" si="522"/>
        <v>8000</v>
      </c>
      <c r="L492" s="187">
        <v>40000</v>
      </c>
      <c r="M492" s="110">
        <v>9.5</v>
      </c>
      <c r="N492" s="110">
        <f>VLOOKUP(DATE(YEAR(A492),MONTH(A492),DAY(A492)),FY24_Temp[],3,FALSE)</f>
        <v>12.8</v>
      </c>
      <c r="O492" s="110">
        <f t="shared" si="479"/>
        <v>11.5</v>
      </c>
      <c r="P492" s="110">
        <f t="shared" si="480"/>
        <v>19.5</v>
      </c>
      <c r="Q492" s="111">
        <f>VLOOKUP(VLOOKUP(DATEVALUE(TEXT(A492,"m/d/yyyy")),FY24_Temp[],5,FALSE)&amp;TEXT(A492,"-h"),TempDelta[],4,FALSE)</f>
        <v>2.2458571025303433</v>
      </c>
      <c r="R492" s="112">
        <v>10</v>
      </c>
      <c r="S492" s="112">
        <v>1500</v>
      </c>
      <c r="T492" s="99">
        <f>VLOOKUP(TEXT(A492,"yy-mm")&amp;"-"&amp;IF(AND(WEEKDAY(A492)&gt;1,WEEKDAY(A492)&lt;7),"Wkd",TEXT(A492,"Ddd"))&amp;"-"&amp;TEXT(A492,"hh"),LoadTable[],3,FALSE)*0.92</f>
        <v>279.25312000000002</v>
      </c>
      <c r="U492" s="113">
        <f t="shared" si="481"/>
        <v>27.925312000000002</v>
      </c>
    </row>
    <row r="493" spans="1:21" ht="15" thickBot="1">
      <c r="A493" s="29">
        <f t="shared" si="519"/>
        <v>45856.416666667457</v>
      </c>
      <c r="B493" s="187">
        <f t="shared" ref="B493:L493" si="523">B517</f>
        <v>8000</v>
      </c>
      <c r="C493" s="187">
        <f t="shared" si="523"/>
        <v>25000</v>
      </c>
      <c r="D493" s="187">
        <v>0</v>
      </c>
      <c r="E493" s="187">
        <v>700</v>
      </c>
      <c r="F493" s="187">
        <v>15000</v>
      </c>
      <c r="G493" s="187">
        <f t="shared" si="523"/>
        <v>2400</v>
      </c>
      <c r="H493" s="187">
        <f t="shared" si="523"/>
        <v>25000</v>
      </c>
      <c r="I493" s="187">
        <f t="shared" si="523"/>
        <v>8000</v>
      </c>
      <c r="J493" s="187">
        <v>40000</v>
      </c>
      <c r="K493" s="187">
        <f t="shared" si="523"/>
        <v>8000</v>
      </c>
      <c r="L493" s="187">
        <v>40000</v>
      </c>
      <c r="M493" s="110">
        <v>9.5</v>
      </c>
      <c r="N493" s="110">
        <f>VLOOKUP(DATE(YEAR(A493),MONTH(A493),DAY(A493)),FY24_Temp[],3,FALSE)</f>
        <v>12.8</v>
      </c>
      <c r="O493" s="110">
        <f t="shared" si="479"/>
        <v>11.5</v>
      </c>
      <c r="P493" s="110">
        <f t="shared" si="480"/>
        <v>19.5</v>
      </c>
      <c r="Q493" s="111">
        <f>VLOOKUP(VLOOKUP(DATEVALUE(TEXT(A493,"m/d/yyyy")),FY24_Temp[],5,FALSE)&amp;TEXT(A493,"-h"),TempDelta[],4,FALSE)</f>
        <v>2.0832857234137401</v>
      </c>
      <c r="R493" s="112">
        <v>10</v>
      </c>
      <c r="S493" s="112">
        <v>1500</v>
      </c>
      <c r="T493" s="99">
        <f>VLOOKUP(TEXT(A493,"yy-mm")&amp;"-"&amp;IF(AND(WEEKDAY(A493)&gt;1,WEEKDAY(A493)&lt;7),"Wkd",TEXT(A493,"Ddd"))&amp;"-"&amp;TEXT(A493,"hh"),LoadTable[],3,FALSE)*0.92</f>
        <v>279.25312000000002</v>
      </c>
      <c r="U493" s="113">
        <f t="shared" si="481"/>
        <v>27.925312000000002</v>
      </c>
    </row>
    <row r="494" spans="1:21" ht="15" thickBot="1">
      <c r="A494" s="29">
        <f t="shared" si="519"/>
        <v>45856.458333334122</v>
      </c>
      <c r="B494" s="187">
        <f t="shared" ref="B494:L494" si="524">B518</f>
        <v>8000</v>
      </c>
      <c r="C494" s="187">
        <f t="shared" si="524"/>
        <v>25000</v>
      </c>
      <c r="D494" s="187">
        <v>0</v>
      </c>
      <c r="E494" s="187">
        <v>700</v>
      </c>
      <c r="F494" s="187">
        <v>15000</v>
      </c>
      <c r="G494" s="187">
        <f t="shared" si="524"/>
        <v>2400</v>
      </c>
      <c r="H494" s="187">
        <f t="shared" si="524"/>
        <v>25000</v>
      </c>
      <c r="I494" s="187">
        <f t="shared" si="524"/>
        <v>8000</v>
      </c>
      <c r="J494" s="187">
        <v>40000</v>
      </c>
      <c r="K494" s="187">
        <f t="shared" si="524"/>
        <v>8000</v>
      </c>
      <c r="L494" s="187">
        <v>40000</v>
      </c>
      <c r="M494" s="110">
        <v>9.5</v>
      </c>
      <c r="N494" s="110">
        <f>VLOOKUP(DATE(YEAR(A494),MONTH(A494),DAY(A494)),FY24_Temp[],3,FALSE)</f>
        <v>12.8</v>
      </c>
      <c r="O494" s="110">
        <f t="shared" si="479"/>
        <v>11.5</v>
      </c>
      <c r="P494" s="110">
        <f t="shared" si="480"/>
        <v>19.5</v>
      </c>
      <c r="Q494" s="111">
        <f>VLOOKUP(VLOOKUP(DATEVALUE(TEXT(A494,"m/d/yyyy")),FY24_Temp[],5,FALSE)&amp;TEXT(A494,"-h"),TempDelta[],4,FALSE)</f>
        <v>1.8928571258272444</v>
      </c>
      <c r="R494" s="112">
        <v>10</v>
      </c>
      <c r="S494" s="112">
        <v>1500</v>
      </c>
      <c r="T494" s="99">
        <f>VLOOKUP(TEXT(A494,"yy-mm")&amp;"-"&amp;IF(AND(WEEKDAY(A494)&gt;1,WEEKDAY(A494)&lt;7),"Wkd",TEXT(A494,"Ddd"))&amp;"-"&amp;TEXT(A494,"hh"),LoadTable[],3,FALSE)*0.92</f>
        <v>279.25312000000002</v>
      </c>
      <c r="U494" s="113">
        <f t="shared" si="481"/>
        <v>27.925312000000002</v>
      </c>
    </row>
    <row r="495" spans="1:21" ht="15" thickBot="1">
      <c r="A495" s="29">
        <f t="shared" si="519"/>
        <v>45856.500000000786</v>
      </c>
      <c r="B495" s="187">
        <f t="shared" ref="B495:L495" si="525">B519</f>
        <v>8000</v>
      </c>
      <c r="C495" s="187">
        <f t="shared" si="525"/>
        <v>25000</v>
      </c>
      <c r="D495" s="187">
        <v>0</v>
      </c>
      <c r="E495" s="187">
        <v>700</v>
      </c>
      <c r="F495" s="187">
        <v>15000</v>
      </c>
      <c r="G495" s="187">
        <f t="shared" si="525"/>
        <v>2400</v>
      </c>
      <c r="H495" s="187">
        <f t="shared" si="525"/>
        <v>25000</v>
      </c>
      <c r="I495" s="187">
        <f t="shared" si="525"/>
        <v>8000</v>
      </c>
      <c r="J495" s="187">
        <v>40000</v>
      </c>
      <c r="K495" s="187">
        <f t="shared" si="525"/>
        <v>8000</v>
      </c>
      <c r="L495" s="187">
        <v>40000</v>
      </c>
      <c r="M495" s="110">
        <v>9.5</v>
      </c>
      <c r="N495" s="110">
        <f>VLOOKUP(DATE(YEAR(A495),MONTH(A495),DAY(A495)),FY24_Temp[],3,FALSE)</f>
        <v>12.8</v>
      </c>
      <c r="O495" s="110">
        <f t="shared" si="479"/>
        <v>11.5</v>
      </c>
      <c r="P495" s="110">
        <f t="shared" si="480"/>
        <v>19.5</v>
      </c>
      <c r="Q495" s="111">
        <f>VLOOKUP(VLOOKUP(DATEVALUE(TEXT(A495,"m/d/yyyy")),FY24_Temp[],5,FALSE)&amp;TEXT(A495,"-h"),TempDelta[],4,FALSE)</f>
        <v>1.665857127734593</v>
      </c>
      <c r="R495" s="112">
        <v>10</v>
      </c>
      <c r="S495" s="112">
        <v>1500</v>
      </c>
      <c r="T495" s="99">
        <f>VLOOKUP(TEXT(A495,"yy-mm")&amp;"-"&amp;IF(AND(WEEKDAY(A495)&gt;1,WEEKDAY(A495)&lt;7),"Wkd",TEXT(A495,"Ddd"))&amp;"-"&amp;TEXT(A495,"hh"),LoadTable[],3,FALSE)*0.92</f>
        <v>279.25312000000002</v>
      </c>
      <c r="U495" s="113">
        <f t="shared" si="481"/>
        <v>27.925312000000002</v>
      </c>
    </row>
    <row r="496" spans="1:21" ht="15" thickBot="1">
      <c r="A496" s="29">
        <f t="shared" si="519"/>
        <v>45856.54166666745</v>
      </c>
      <c r="B496" s="187">
        <f t="shared" ref="B496:L496" si="526">B520</f>
        <v>8000</v>
      </c>
      <c r="C496" s="187">
        <f t="shared" si="526"/>
        <v>25000</v>
      </c>
      <c r="D496" s="187">
        <v>0</v>
      </c>
      <c r="E496" s="187">
        <v>700</v>
      </c>
      <c r="F496" s="187">
        <v>15000</v>
      </c>
      <c r="G496" s="187">
        <f t="shared" si="526"/>
        <v>2400</v>
      </c>
      <c r="H496" s="187">
        <f t="shared" si="526"/>
        <v>25000</v>
      </c>
      <c r="I496" s="187">
        <f t="shared" si="526"/>
        <v>8000</v>
      </c>
      <c r="J496" s="187">
        <v>40000</v>
      </c>
      <c r="K496" s="187">
        <f t="shared" si="526"/>
        <v>8000</v>
      </c>
      <c r="L496" s="187">
        <v>40000</v>
      </c>
      <c r="M496" s="110">
        <v>9.5</v>
      </c>
      <c r="N496" s="110">
        <f>VLOOKUP(DATE(YEAR(A496),MONTH(A496),DAY(A496)),FY24_Temp[],3,FALSE)</f>
        <v>12.8</v>
      </c>
      <c r="O496" s="110">
        <f t="shared" si="479"/>
        <v>11.5</v>
      </c>
      <c r="P496" s="110">
        <f t="shared" si="480"/>
        <v>19.5</v>
      </c>
      <c r="Q496" s="111">
        <f>VLOOKUP(VLOOKUP(DATEVALUE(TEXT(A496,"m/d/yyyy")),FY24_Temp[],5,FALSE)&amp;TEXT(A496,"-h"),TempDelta[],4,FALSE)</f>
        <v>1.4252856969833374</v>
      </c>
      <c r="R496" s="112">
        <v>10</v>
      </c>
      <c r="S496" s="112">
        <v>1500</v>
      </c>
      <c r="T496" s="99">
        <f>VLOOKUP(TEXT(A496,"yy-mm")&amp;"-"&amp;IF(AND(WEEKDAY(A496)&gt;1,WEEKDAY(A496)&lt;7),"Wkd",TEXT(A496,"Ddd"))&amp;"-"&amp;TEXT(A496,"hh"),LoadTable[],3,FALSE)*0.92</f>
        <v>279.25312000000002</v>
      </c>
      <c r="U496" s="113">
        <f t="shared" si="481"/>
        <v>27.925312000000002</v>
      </c>
    </row>
    <row r="497" spans="1:21" ht="15" thickBot="1">
      <c r="A497" s="29">
        <f t="shared" si="519"/>
        <v>45856.583333334114</v>
      </c>
      <c r="B497" s="187">
        <f t="shared" ref="B497:L497" si="527">B521</f>
        <v>8000</v>
      </c>
      <c r="C497" s="187">
        <f t="shared" si="527"/>
        <v>25000</v>
      </c>
      <c r="D497" s="187">
        <v>0</v>
      </c>
      <c r="E497" s="187">
        <v>700</v>
      </c>
      <c r="F497" s="187">
        <v>15000</v>
      </c>
      <c r="G497" s="187">
        <f t="shared" si="527"/>
        <v>2400</v>
      </c>
      <c r="H497" s="187">
        <f t="shared" si="527"/>
        <v>25000</v>
      </c>
      <c r="I497" s="187">
        <f t="shared" si="527"/>
        <v>8000</v>
      </c>
      <c r="J497" s="187">
        <v>40000</v>
      </c>
      <c r="K497" s="187">
        <f t="shared" si="527"/>
        <v>8000</v>
      </c>
      <c r="L497" s="187">
        <v>40000</v>
      </c>
      <c r="M497" s="110">
        <v>9.5</v>
      </c>
      <c r="N497" s="110">
        <f>VLOOKUP(DATE(YEAR(A497),MONTH(A497),DAY(A497)),FY24_Temp[],3,FALSE)</f>
        <v>12.8</v>
      </c>
      <c r="O497" s="110">
        <f t="shared" si="479"/>
        <v>11.5</v>
      </c>
      <c r="P497" s="110">
        <f t="shared" si="480"/>
        <v>19.5</v>
      </c>
      <c r="Q497" s="111">
        <f>VLOOKUP(VLOOKUP(DATEVALUE(TEXT(A497,"m/d/yyyy")),FY24_Temp[],5,FALSE)&amp;TEXT(A497,"-h"),TempDelta[],4,FALSE)</f>
        <v>1.2351428781236922</v>
      </c>
      <c r="R497" s="112">
        <v>10</v>
      </c>
      <c r="S497" s="112">
        <v>1500</v>
      </c>
      <c r="T497" s="99">
        <f>VLOOKUP(TEXT(A497,"yy-mm")&amp;"-"&amp;IF(AND(WEEKDAY(A497)&gt;1,WEEKDAY(A497)&lt;7),"Wkd",TEXT(A497,"Ddd"))&amp;"-"&amp;TEXT(A497,"hh"),LoadTable[],3,FALSE)*0.92</f>
        <v>373.26607999999999</v>
      </c>
      <c r="U497" s="113">
        <f t="shared" si="481"/>
        <v>37.326608</v>
      </c>
    </row>
    <row r="498" spans="1:21" ht="15" thickBot="1">
      <c r="A498" s="29">
        <f t="shared" si="519"/>
        <v>45856.625000000779</v>
      </c>
      <c r="B498" s="187">
        <f t="shared" ref="B498:L498" si="528">B522</f>
        <v>8000</v>
      </c>
      <c r="C498" s="187">
        <f t="shared" si="528"/>
        <v>25000</v>
      </c>
      <c r="D498" s="187">
        <v>0</v>
      </c>
      <c r="E498" s="187">
        <v>700</v>
      </c>
      <c r="F498" s="187">
        <v>15000</v>
      </c>
      <c r="G498" s="187">
        <f t="shared" si="528"/>
        <v>2400</v>
      </c>
      <c r="H498" s="187">
        <f t="shared" si="528"/>
        <v>25000</v>
      </c>
      <c r="I498" s="187">
        <f t="shared" si="528"/>
        <v>8000</v>
      </c>
      <c r="J498" s="187">
        <v>40000</v>
      </c>
      <c r="K498" s="187">
        <f t="shared" si="528"/>
        <v>8000</v>
      </c>
      <c r="L498" s="187">
        <v>40000</v>
      </c>
      <c r="M498" s="110">
        <v>9.5</v>
      </c>
      <c r="N498" s="110">
        <f>VLOOKUP(DATE(YEAR(A498),MONTH(A498),DAY(A498)),FY24_Temp[],3,FALSE)</f>
        <v>12.8</v>
      </c>
      <c r="O498" s="110">
        <f t="shared" si="479"/>
        <v>11.5</v>
      </c>
      <c r="P498" s="110">
        <f t="shared" si="480"/>
        <v>19.5</v>
      </c>
      <c r="Q498" s="111">
        <f>VLOOKUP(VLOOKUP(DATEVALUE(TEXT(A498,"m/d/yyyy")),FY24_Temp[],5,FALSE)&amp;TEXT(A498,"-h"),TempDelta[],4,FALSE)</f>
        <v>0.97514284508568905</v>
      </c>
      <c r="R498" s="112">
        <v>10</v>
      </c>
      <c r="S498" s="112">
        <v>1500</v>
      </c>
      <c r="T498" s="99">
        <f>VLOOKUP(TEXT(A498,"yy-mm")&amp;"-"&amp;IF(AND(WEEKDAY(A498)&gt;1,WEEKDAY(A498)&lt;7),"Wkd",TEXT(A498,"Ddd"))&amp;"-"&amp;TEXT(A498,"hh"),LoadTable[],3,FALSE)*0.92</f>
        <v>494.57360000000006</v>
      </c>
      <c r="U498" s="113">
        <f t="shared" si="481"/>
        <v>49.457360000000008</v>
      </c>
    </row>
    <row r="499" spans="1:21" ht="15" thickBot="1">
      <c r="A499" s="29">
        <f t="shared" si="519"/>
        <v>45856.666666667443</v>
      </c>
      <c r="B499" s="187">
        <f t="shared" ref="B499:L499" si="529">B523</f>
        <v>8000</v>
      </c>
      <c r="C499" s="187">
        <f t="shared" si="529"/>
        <v>25000</v>
      </c>
      <c r="D499" s="187">
        <v>0</v>
      </c>
      <c r="E499" s="187">
        <v>700</v>
      </c>
      <c r="F499" s="187">
        <v>15000</v>
      </c>
      <c r="G499" s="187">
        <f t="shared" si="529"/>
        <v>2400</v>
      </c>
      <c r="H499" s="187">
        <f t="shared" si="529"/>
        <v>25000</v>
      </c>
      <c r="I499" s="187">
        <f t="shared" si="529"/>
        <v>8000</v>
      </c>
      <c r="J499" s="187">
        <v>40000</v>
      </c>
      <c r="K499" s="187">
        <f t="shared" si="529"/>
        <v>8000</v>
      </c>
      <c r="L499" s="187">
        <v>40000</v>
      </c>
      <c r="M499" s="110">
        <v>9.5</v>
      </c>
      <c r="N499" s="110">
        <f>VLOOKUP(DATE(YEAR(A499),MONTH(A499),DAY(A499)),FY24_Temp[],3,FALSE)</f>
        <v>12.8</v>
      </c>
      <c r="O499" s="110">
        <f t="shared" si="479"/>
        <v>11.5</v>
      </c>
      <c r="P499" s="110">
        <f t="shared" si="480"/>
        <v>19.5</v>
      </c>
      <c r="Q499" s="111">
        <f>VLOOKUP(VLOOKUP(DATEVALUE(TEXT(A499,"m/d/yyyy")),FY24_Temp[],5,FALSE)&amp;TEXT(A499,"-h"),TempDelta[],4,FALSE)</f>
        <v>0.88578571166310993</v>
      </c>
      <c r="R499" s="112">
        <v>10</v>
      </c>
      <c r="S499" s="112">
        <v>1500</v>
      </c>
      <c r="T499" s="99">
        <f>VLOOKUP(TEXT(A499,"yy-mm")&amp;"-"&amp;IF(AND(WEEKDAY(A499)&gt;1,WEEKDAY(A499)&lt;7),"Wkd",TEXT(A499,"Ddd"))&amp;"-"&amp;TEXT(A499,"hh"),LoadTable[],3,FALSE)*0.92</f>
        <v>494.57360000000006</v>
      </c>
      <c r="U499" s="113">
        <f t="shared" si="481"/>
        <v>49.457360000000008</v>
      </c>
    </row>
    <row r="500" spans="1:21" ht="15" thickBot="1">
      <c r="A500" s="29">
        <f t="shared" si="519"/>
        <v>45856.708333334107</v>
      </c>
      <c r="B500" s="187">
        <f t="shared" ref="B500:L500" si="530">B524</f>
        <v>8000</v>
      </c>
      <c r="C500" s="187">
        <f t="shared" si="530"/>
        <v>25000</v>
      </c>
      <c r="D500" s="187">
        <v>0</v>
      </c>
      <c r="E500" s="187">
        <v>700</v>
      </c>
      <c r="F500" s="187">
        <v>15000</v>
      </c>
      <c r="G500" s="187">
        <f t="shared" si="530"/>
        <v>2400</v>
      </c>
      <c r="H500" s="187">
        <f t="shared" si="530"/>
        <v>25000</v>
      </c>
      <c r="I500" s="187">
        <f t="shared" si="530"/>
        <v>8000</v>
      </c>
      <c r="J500" s="187">
        <v>40000</v>
      </c>
      <c r="K500" s="187">
        <f t="shared" si="530"/>
        <v>8000</v>
      </c>
      <c r="L500" s="187">
        <v>40000</v>
      </c>
      <c r="M500" s="110">
        <v>9.5</v>
      </c>
      <c r="N500" s="110">
        <f>VLOOKUP(DATE(YEAR(A500),MONTH(A500),DAY(A500)),FY24_Temp[],3,FALSE)</f>
        <v>12.8</v>
      </c>
      <c r="O500" s="110">
        <f t="shared" si="479"/>
        <v>11.5</v>
      </c>
      <c r="P500" s="110">
        <f t="shared" si="480"/>
        <v>19.5</v>
      </c>
      <c r="Q500" s="111">
        <f>VLOOKUP(VLOOKUP(DATEVALUE(TEXT(A500,"m/d/yyyy")),FY24_Temp[],5,FALSE)&amp;TEXT(A500,"-h"),TempDelta[],4,FALSE)</f>
        <v>1.0356428495475225</v>
      </c>
      <c r="R500" s="112">
        <v>10</v>
      </c>
      <c r="S500" s="112">
        <v>1500</v>
      </c>
      <c r="T500" s="99">
        <f>VLOOKUP(TEXT(A500,"yy-mm")&amp;"-"&amp;IF(AND(WEEKDAY(A500)&gt;1,WEEKDAY(A500)&lt;7),"Wkd",TEXT(A500,"Ddd"))&amp;"-"&amp;TEXT(A500,"hh"),LoadTable[],3,FALSE)*0.92</f>
        <v>494.57360000000006</v>
      </c>
      <c r="U500" s="113">
        <f t="shared" si="481"/>
        <v>49.457360000000008</v>
      </c>
    </row>
    <row r="501" spans="1:21" ht="15" thickBot="1">
      <c r="A501" s="29">
        <f t="shared" si="519"/>
        <v>45856.750000000771</v>
      </c>
      <c r="B501" s="187">
        <f t="shared" ref="B501:L501" si="531">B525</f>
        <v>5000</v>
      </c>
      <c r="C501" s="187">
        <f t="shared" si="531"/>
        <v>25000</v>
      </c>
      <c r="D501" s="187">
        <v>0</v>
      </c>
      <c r="E501" s="187">
        <v>700</v>
      </c>
      <c r="F501" s="187">
        <v>15000</v>
      </c>
      <c r="G501" s="187">
        <f t="shared" si="531"/>
        <v>2400</v>
      </c>
      <c r="H501" s="187">
        <f t="shared" si="531"/>
        <v>25000</v>
      </c>
      <c r="I501" s="187">
        <f t="shared" si="531"/>
        <v>5000</v>
      </c>
      <c r="J501" s="187">
        <v>40000</v>
      </c>
      <c r="K501" s="187">
        <f t="shared" si="531"/>
        <v>5000</v>
      </c>
      <c r="L501" s="187">
        <v>40000</v>
      </c>
      <c r="M501" s="110">
        <v>9.5</v>
      </c>
      <c r="N501" s="110">
        <f>VLOOKUP(DATE(YEAR(A501),MONTH(A501),DAY(A501)),FY24_Temp[],3,FALSE)</f>
        <v>12.8</v>
      </c>
      <c r="O501" s="110">
        <f t="shared" si="479"/>
        <v>11.5</v>
      </c>
      <c r="P501" s="110">
        <f t="shared" si="480"/>
        <v>19.5</v>
      </c>
      <c r="Q501" s="111">
        <f>VLOOKUP(VLOOKUP(DATEVALUE(TEXT(A501,"m/d/yyyy")),FY24_Temp[],5,FALSE)&amp;TEXT(A501,"-h"),TempDelta[],4,FALSE)</f>
        <v>1.3991428358214242</v>
      </c>
      <c r="R501" s="112">
        <v>10</v>
      </c>
      <c r="S501" s="112">
        <v>1500</v>
      </c>
      <c r="T501" s="99">
        <f>VLOOKUP(TEXT(A501,"yy-mm")&amp;"-"&amp;IF(AND(WEEKDAY(A501)&gt;1,WEEKDAY(A501)&lt;7),"Wkd",TEXT(A501,"Ddd"))&amp;"-"&amp;TEXT(A501,"hh"),LoadTable[],3,FALSE)*0.92</f>
        <v>494.57360000000006</v>
      </c>
      <c r="U501" s="113">
        <f t="shared" si="481"/>
        <v>49.457360000000008</v>
      </c>
    </row>
    <row r="502" spans="1:21" ht="15" thickBot="1">
      <c r="A502" s="29">
        <f t="shared" si="519"/>
        <v>45856.791666667435</v>
      </c>
      <c r="B502" s="187">
        <f t="shared" ref="B502:L502" si="532">B526</f>
        <v>5000</v>
      </c>
      <c r="C502" s="187">
        <f t="shared" si="532"/>
        <v>25000</v>
      </c>
      <c r="D502" s="187">
        <v>0</v>
      </c>
      <c r="E502" s="187">
        <v>700</v>
      </c>
      <c r="F502" s="187">
        <v>15000</v>
      </c>
      <c r="G502" s="187">
        <f t="shared" si="532"/>
        <v>2400</v>
      </c>
      <c r="H502" s="187">
        <f t="shared" si="532"/>
        <v>25000</v>
      </c>
      <c r="I502" s="187">
        <f t="shared" si="532"/>
        <v>5000</v>
      </c>
      <c r="J502" s="187">
        <v>40000</v>
      </c>
      <c r="K502" s="187">
        <f t="shared" si="532"/>
        <v>5000</v>
      </c>
      <c r="L502" s="187">
        <v>40000</v>
      </c>
      <c r="M502" s="110">
        <v>9.5</v>
      </c>
      <c r="N502" s="110">
        <f>VLOOKUP(DATE(YEAR(A502),MONTH(A502),DAY(A502)),FY24_Temp[],3,FALSE)</f>
        <v>12.8</v>
      </c>
      <c r="O502" s="110">
        <f t="shared" si="479"/>
        <v>11.5</v>
      </c>
      <c r="P502" s="110">
        <f t="shared" si="480"/>
        <v>19.5</v>
      </c>
      <c r="Q502" s="111">
        <f>VLOOKUP(VLOOKUP(DATEVALUE(TEXT(A502,"m/d/yyyy")),FY24_Temp[],5,FALSE)&amp;TEXT(A502,"-h"),TempDelta[],4,FALSE)</f>
        <v>1.8638571415628706</v>
      </c>
      <c r="R502" s="112">
        <v>10</v>
      </c>
      <c r="S502" s="112">
        <v>1500</v>
      </c>
      <c r="T502" s="99">
        <f>VLOOKUP(TEXT(A502,"yy-mm")&amp;"-"&amp;IF(AND(WEEKDAY(A502)&gt;1,WEEKDAY(A502)&lt;7),"Wkd",TEXT(A502,"Ddd"))&amp;"-"&amp;TEXT(A502,"hh"),LoadTable[],3,FALSE)*0.92</f>
        <v>494.57360000000006</v>
      </c>
      <c r="U502" s="113">
        <f t="shared" si="481"/>
        <v>49.457360000000008</v>
      </c>
    </row>
    <row r="503" spans="1:21" ht="15" thickBot="1">
      <c r="A503" s="29">
        <f t="shared" si="519"/>
        <v>45856.8333333341</v>
      </c>
      <c r="B503" s="187">
        <f t="shared" ref="B503:L503" si="533">B527</f>
        <v>5000</v>
      </c>
      <c r="C503" s="187">
        <f t="shared" si="533"/>
        <v>25000</v>
      </c>
      <c r="D503" s="187">
        <v>0</v>
      </c>
      <c r="E503" s="187">
        <v>700</v>
      </c>
      <c r="F503" s="187">
        <v>15000</v>
      </c>
      <c r="G503" s="187">
        <f t="shared" si="533"/>
        <v>2400</v>
      </c>
      <c r="H503" s="187">
        <f t="shared" si="533"/>
        <v>25000</v>
      </c>
      <c r="I503" s="187">
        <f t="shared" si="533"/>
        <v>5000</v>
      </c>
      <c r="J503" s="187">
        <v>40000</v>
      </c>
      <c r="K503" s="187">
        <f t="shared" si="533"/>
        <v>5000</v>
      </c>
      <c r="L503" s="187">
        <v>40000</v>
      </c>
      <c r="M503" s="110">
        <v>9.5</v>
      </c>
      <c r="N503" s="110">
        <f>VLOOKUP(DATE(YEAR(A503),MONTH(A503),DAY(A503)),FY24_Temp[],3,FALSE)</f>
        <v>12.8</v>
      </c>
      <c r="O503" s="110">
        <f t="shared" si="479"/>
        <v>11.5</v>
      </c>
      <c r="P503" s="110">
        <f t="shared" si="480"/>
        <v>19.5</v>
      </c>
      <c r="Q503" s="111">
        <f>VLOOKUP(VLOOKUP(DATEVALUE(TEXT(A503,"m/d/yyyy")),FY24_Temp[],5,FALSE)&amp;TEXT(A503,"-h"),TempDelta[],4,FALSE)</f>
        <v>2.300714305468968</v>
      </c>
      <c r="R503" s="112">
        <v>10</v>
      </c>
      <c r="S503" s="112">
        <v>1500</v>
      </c>
      <c r="T503" s="99">
        <f>VLOOKUP(TEXT(A503,"yy-mm")&amp;"-"&amp;IF(AND(WEEKDAY(A503)&gt;1,WEEKDAY(A503)&lt;7),"Wkd",TEXT(A503,"Ddd"))&amp;"-"&amp;TEXT(A503,"hh"),LoadTable[],3,FALSE)*0.92</f>
        <v>494.57360000000006</v>
      </c>
      <c r="U503" s="113">
        <f t="shared" si="481"/>
        <v>49.457360000000008</v>
      </c>
    </row>
    <row r="504" spans="1:21" ht="15" thickBot="1">
      <c r="A504" s="29">
        <f t="shared" si="519"/>
        <v>45856.875000000764</v>
      </c>
      <c r="B504" s="187">
        <f t="shared" ref="B504:L504" si="534">B528</f>
        <v>5000</v>
      </c>
      <c r="C504" s="187">
        <f t="shared" si="534"/>
        <v>25000</v>
      </c>
      <c r="D504" s="187">
        <v>0</v>
      </c>
      <c r="E504" s="187">
        <v>700</v>
      </c>
      <c r="F504" s="187">
        <v>15000</v>
      </c>
      <c r="G504" s="187">
        <f t="shared" si="534"/>
        <v>2400</v>
      </c>
      <c r="H504" s="187">
        <f t="shared" si="534"/>
        <v>25000</v>
      </c>
      <c r="I504" s="187">
        <f t="shared" si="534"/>
        <v>5000</v>
      </c>
      <c r="J504" s="187">
        <v>40000</v>
      </c>
      <c r="K504" s="187">
        <f t="shared" si="534"/>
        <v>5000</v>
      </c>
      <c r="L504" s="187">
        <v>40000</v>
      </c>
      <c r="M504" s="110">
        <v>9.5</v>
      </c>
      <c r="N504" s="110">
        <f>VLOOKUP(DATE(YEAR(A504),MONTH(A504),DAY(A504)),FY24_Temp[],3,FALSE)</f>
        <v>12.8</v>
      </c>
      <c r="O504" s="110">
        <f t="shared" si="479"/>
        <v>11.5</v>
      </c>
      <c r="P504" s="110">
        <f t="shared" si="480"/>
        <v>19.5</v>
      </c>
      <c r="Q504" s="111">
        <f>VLOOKUP(VLOOKUP(DATEVALUE(TEXT(A504,"m/d/yyyy")),FY24_Temp[],5,FALSE)&amp;TEXT(A504,"-h"),TempDelta[],4,FALSE)</f>
        <v>2.554214222090585</v>
      </c>
      <c r="R504" s="112">
        <v>10</v>
      </c>
      <c r="S504" s="112">
        <v>1500</v>
      </c>
      <c r="T504" s="99">
        <f>VLOOKUP(TEXT(A504,"yy-mm")&amp;"-"&amp;IF(AND(WEEKDAY(A504)&gt;1,WEEKDAY(A504)&lt;7),"Wkd",TEXT(A504,"Ddd"))&amp;"-"&amp;TEXT(A504,"hh"),LoadTable[],3,FALSE)*0.92</f>
        <v>494.57360000000006</v>
      </c>
      <c r="U504" s="113">
        <f t="shared" si="481"/>
        <v>49.457360000000008</v>
      </c>
    </row>
    <row r="505" spans="1:21" ht="15" thickBot="1">
      <c r="A505" s="29">
        <f t="shared" si="519"/>
        <v>45856.916666667428</v>
      </c>
      <c r="B505" s="187">
        <f t="shared" ref="B505:L505" si="535">B529</f>
        <v>5000</v>
      </c>
      <c r="C505" s="187">
        <f t="shared" si="535"/>
        <v>25000</v>
      </c>
      <c r="D505" s="187">
        <v>0</v>
      </c>
      <c r="E505" s="187">
        <v>700</v>
      </c>
      <c r="F505" s="187">
        <v>15000</v>
      </c>
      <c r="G505" s="187">
        <f t="shared" si="535"/>
        <v>2400</v>
      </c>
      <c r="H505" s="187">
        <f t="shared" si="535"/>
        <v>25000</v>
      </c>
      <c r="I505" s="187">
        <f t="shared" si="535"/>
        <v>5000</v>
      </c>
      <c r="J505" s="187">
        <v>40000</v>
      </c>
      <c r="K505" s="187">
        <f t="shared" si="535"/>
        <v>5000</v>
      </c>
      <c r="L505" s="187">
        <v>40000</v>
      </c>
      <c r="M505" s="110">
        <v>9.5</v>
      </c>
      <c r="N505" s="110">
        <f>VLOOKUP(DATE(YEAR(A505),MONTH(A505),DAY(A505)),FY24_Temp[],3,FALSE)</f>
        <v>12.8</v>
      </c>
      <c r="O505" s="110">
        <f t="shared" si="479"/>
        <v>11.5</v>
      </c>
      <c r="P505" s="110">
        <f t="shared" si="480"/>
        <v>19.5</v>
      </c>
      <c r="Q505" s="111">
        <f>VLOOKUP(VLOOKUP(DATEVALUE(TEXT(A505,"m/d/yyyy")),FY24_Temp[],5,FALSE)&amp;TEXT(A505,"-h"),TempDelta[],4,FALSE)</f>
        <v>2.7827142647334506</v>
      </c>
      <c r="R505" s="112">
        <v>10</v>
      </c>
      <c r="S505" s="112">
        <v>1500</v>
      </c>
      <c r="T505" s="99">
        <f>VLOOKUP(TEXT(A505,"yy-mm")&amp;"-"&amp;IF(AND(WEEKDAY(A505)&gt;1,WEEKDAY(A505)&lt;7),"Wkd",TEXT(A505,"Ddd"))&amp;"-"&amp;TEXT(A505,"hh"),LoadTable[],3,FALSE)*0.92</f>
        <v>418.75640000000004</v>
      </c>
      <c r="U505" s="113">
        <f t="shared" si="481"/>
        <v>41.875640000000004</v>
      </c>
    </row>
    <row r="506" spans="1:21" ht="15" thickBot="1">
      <c r="A506" s="29">
        <f t="shared" si="519"/>
        <v>45856.958333334092</v>
      </c>
      <c r="B506" s="187">
        <f t="shared" ref="B506:L506" si="536">B530</f>
        <v>5000</v>
      </c>
      <c r="C506" s="187">
        <f t="shared" si="536"/>
        <v>25000</v>
      </c>
      <c r="D506" s="187">
        <v>0</v>
      </c>
      <c r="E506" s="187">
        <v>700</v>
      </c>
      <c r="F506" s="187">
        <v>15000</v>
      </c>
      <c r="G506" s="187">
        <f t="shared" si="536"/>
        <v>2400</v>
      </c>
      <c r="H506" s="187">
        <f t="shared" si="536"/>
        <v>25000</v>
      </c>
      <c r="I506" s="187">
        <f t="shared" si="536"/>
        <v>5000</v>
      </c>
      <c r="J506" s="187">
        <v>40000</v>
      </c>
      <c r="K506" s="187">
        <f t="shared" si="536"/>
        <v>5000</v>
      </c>
      <c r="L506" s="187">
        <v>40000</v>
      </c>
      <c r="M506" s="110">
        <v>9.5</v>
      </c>
      <c r="N506" s="110">
        <f>VLOOKUP(DATE(YEAR(A506),MONTH(A506),DAY(A506)),FY24_Temp[],3,FALSE)</f>
        <v>12.8</v>
      </c>
      <c r="O506" s="110">
        <f t="shared" si="479"/>
        <v>11.5</v>
      </c>
      <c r="P506" s="110">
        <f t="shared" si="480"/>
        <v>19.5</v>
      </c>
      <c r="Q506" s="111">
        <f>VLOOKUP(VLOOKUP(DATEVALUE(TEXT(A506,"m/d/yyyy")),FY24_Temp[],5,FALSE)&amp;TEXT(A506,"-h"),TempDelta[],4,FALSE)</f>
        <v>2.8792857101985385</v>
      </c>
      <c r="R506" s="112">
        <v>10</v>
      </c>
      <c r="S506" s="112">
        <v>1500</v>
      </c>
      <c r="T506" s="99">
        <f>VLOOKUP(TEXT(A506,"yy-mm")&amp;"-"&amp;IF(AND(WEEKDAY(A506)&gt;1,WEEKDAY(A506)&lt;7),"Wkd",TEXT(A506,"Ddd"))&amp;"-"&amp;TEXT(A506,"hh"),LoadTable[],3,FALSE)*0.92</f>
        <v>342.93920000000003</v>
      </c>
      <c r="U506" s="113">
        <f t="shared" si="481"/>
        <v>34.29392</v>
      </c>
    </row>
    <row r="507" spans="1:21" ht="15" thickBot="1">
      <c r="A507" s="29">
        <f t="shared" si="519"/>
        <v>45857.000000000757</v>
      </c>
      <c r="B507" s="187">
        <f t="shared" ref="B507:L507" si="537">B531</f>
        <v>5000</v>
      </c>
      <c r="C507" s="187">
        <f t="shared" si="537"/>
        <v>25000</v>
      </c>
      <c r="D507" s="187">
        <v>0</v>
      </c>
      <c r="E507" s="187">
        <v>700</v>
      </c>
      <c r="F507" s="187">
        <v>15000</v>
      </c>
      <c r="G507" s="187">
        <f t="shared" si="537"/>
        <v>2400</v>
      </c>
      <c r="H507" s="187">
        <f t="shared" si="537"/>
        <v>25000</v>
      </c>
      <c r="I507" s="187">
        <f t="shared" si="537"/>
        <v>5000</v>
      </c>
      <c r="J507" s="187">
        <v>40000</v>
      </c>
      <c r="K507" s="187">
        <f t="shared" si="537"/>
        <v>5000</v>
      </c>
      <c r="L507" s="187">
        <v>40000</v>
      </c>
      <c r="M507" s="110">
        <v>9.5</v>
      </c>
      <c r="N507" s="110">
        <f>VLOOKUP(DATE(YEAR(A507),MONTH(A507),DAY(A507)),FY24_Temp[],3,FALSE)</f>
        <v>12.8</v>
      </c>
      <c r="O507" s="110">
        <f t="shared" si="479"/>
        <v>11.5</v>
      </c>
      <c r="P507" s="110">
        <f t="shared" si="480"/>
        <v>19.5</v>
      </c>
      <c r="Q507" s="111">
        <f>VLOOKUP(VLOOKUP(DATEVALUE(TEXT(A507,"m/d/yyyy")),FY24_Temp[],5,FALSE)&amp;TEXT(A507,"-h"),TempDelta[],4,FALSE)</f>
        <v>3.0441428933824812</v>
      </c>
      <c r="R507" s="112">
        <v>10</v>
      </c>
      <c r="S507" s="112">
        <v>1500</v>
      </c>
      <c r="T507" s="99">
        <f>VLOOKUP(TEXT(A507,"yy-mm")&amp;"-"&amp;IF(AND(WEEKDAY(A507)&gt;1,WEEKDAY(A507)&lt;7),"Wkd",TEXT(A507,"Ddd"))&amp;"-"&amp;TEXT(A507,"hh"),LoadTable[],3,FALSE)*0.92</f>
        <v>279.25312000000002</v>
      </c>
      <c r="U507" s="113">
        <f t="shared" si="481"/>
        <v>27.925312000000002</v>
      </c>
    </row>
    <row r="508" spans="1:21" ht="15" thickBot="1">
      <c r="A508" s="29">
        <f t="shared" si="519"/>
        <v>45857.041666667421</v>
      </c>
      <c r="B508" s="187">
        <f t="shared" ref="B508:L508" si="538">B532</f>
        <v>5000</v>
      </c>
      <c r="C508" s="187">
        <f t="shared" si="538"/>
        <v>25000</v>
      </c>
      <c r="D508" s="187">
        <v>0</v>
      </c>
      <c r="E508" s="187">
        <v>700</v>
      </c>
      <c r="F508" s="187">
        <v>15000</v>
      </c>
      <c r="G508" s="187">
        <f t="shared" si="538"/>
        <v>2400</v>
      </c>
      <c r="H508" s="187">
        <f t="shared" si="538"/>
        <v>25000</v>
      </c>
      <c r="I508" s="187">
        <f t="shared" si="538"/>
        <v>5000</v>
      </c>
      <c r="J508" s="187">
        <v>40000</v>
      </c>
      <c r="K508" s="187">
        <f t="shared" si="538"/>
        <v>5000</v>
      </c>
      <c r="L508" s="187">
        <v>40000</v>
      </c>
      <c r="M508" s="110">
        <v>9.5</v>
      </c>
      <c r="N508" s="110">
        <f>VLOOKUP(DATE(YEAR(A508),MONTH(A508),DAY(A508)),FY24_Temp[],3,FALSE)</f>
        <v>12.8</v>
      </c>
      <c r="O508" s="110">
        <f t="shared" si="479"/>
        <v>11.5</v>
      </c>
      <c r="P508" s="110">
        <f t="shared" si="480"/>
        <v>19.5</v>
      </c>
      <c r="Q508" s="111">
        <f>VLOOKUP(VLOOKUP(DATEVALUE(TEXT(A508,"m/d/yyyy")),FY24_Temp[],5,FALSE)&amp;TEXT(A508,"-h"),TempDelta[],4,FALSE)</f>
        <v>3.0992857047489712</v>
      </c>
      <c r="R508" s="112">
        <v>10</v>
      </c>
      <c r="S508" s="112">
        <v>1500</v>
      </c>
      <c r="T508" s="99">
        <f>VLOOKUP(TEXT(A508,"yy-mm")&amp;"-"&amp;IF(AND(WEEKDAY(A508)&gt;1,WEEKDAY(A508)&lt;7),"Wkd",TEXT(A508,"Ddd"))&amp;"-"&amp;TEXT(A508,"hh"),LoadTable[],3,FALSE)*0.92</f>
        <v>279.25312000000002</v>
      </c>
      <c r="U508" s="113">
        <f t="shared" si="481"/>
        <v>27.925312000000002</v>
      </c>
    </row>
    <row r="509" spans="1:21" ht="15" thickBot="1">
      <c r="A509" s="29">
        <f t="shared" si="519"/>
        <v>45857.083333334085</v>
      </c>
      <c r="B509" s="187">
        <f t="shared" ref="B509:L509" si="539">B533</f>
        <v>5000</v>
      </c>
      <c r="C509" s="187">
        <f t="shared" si="539"/>
        <v>25000</v>
      </c>
      <c r="D509" s="187">
        <v>0</v>
      </c>
      <c r="E509" s="187">
        <v>700</v>
      </c>
      <c r="F509" s="187">
        <v>15000</v>
      </c>
      <c r="G509" s="187">
        <f t="shared" si="539"/>
        <v>2400</v>
      </c>
      <c r="H509" s="187">
        <f t="shared" si="539"/>
        <v>25000</v>
      </c>
      <c r="I509" s="187">
        <f t="shared" si="539"/>
        <v>5000</v>
      </c>
      <c r="J509" s="187">
        <v>40000</v>
      </c>
      <c r="K509" s="187">
        <f t="shared" si="539"/>
        <v>5000</v>
      </c>
      <c r="L509" s="187">
        <v>40000</v>
      </c>
      <c r="M509" s="110">
        <v>9.5</v>
      </c>
      <c r="N509" s="110">
        <f>VLOOKUP(DATE(YEAR(A509),MONTH(A509),DAY(A509)),FY24_Temp[],3,FALSE)</f>
        <v>12.8</v>
      </c>
      <c r="O509" s="110">
        <f t="shared" si="479"/>
        <v>11.5</v>
      </c>
      <c r="P509" s="110">
        <f t="shared" si="480"/>
        <v>19.5</v>
      </c>
      <c r="Q509" s="111">
        <f>VLOOKUP(VLOOKUP(DATEVALUE(TEXT(A509,"m/d/yyyy")),FY24_Temp[],5,FALSE)&amp;TEXT(A509,"-h"),TempDelta[],4,FALSE)</f>
        <v>3.1050000190734863</v>
      </c>
      <c r="R509" s="112">
        <v>10</v>
      </c>
      <c r="S509" s="112">
        <v>1500</v>
      </c>
      <c r="T509" s="99">
        <f>VLOOKUP(TEXT(A509,"yy-mm")&amp;"-"&amp;IF(AND(WEEKDAY(A509)&gt;1,WEEKDAY(A509)&lt;7),"Wkd",TEXT(A509,"Ddd"))&amp;"-"&amp;TEXT(A509,"hh"),LoadTable[],3,FALSE)*0.92</f>
        <v>279.25312000000002</v>
      </c>
      <c r="U509" s="113">
        <f t="shared" si="481"/>
        <v>27.925312000000002</v>
      </c>
    </row>
    <row r="510" spans="1:21" ht="15" thickBot="1">
      <c r="A510" s="29">
        <f t="shared" si="519"/>
        <v>45857.125000000749</v>
      </c>
      <c r="B510" s="187">
        <f t="shared" ref="B510:L510" si="540">B534</f>
        <v>5000</v>
      </c>
      <c r="C510" s="187">
        <f t="shared" si="540"/>
        <v>25000</v>
      </c>
      <c r="D510" s="187">
        <v>0</v>
      </c>
      <c r="E510" s="187">
        <v>700</v>
      </c>
      <c r="F510" s="187">
        <v>15000</v>
      </c>
      <c r="G510" s="187">
        <f t="shared" si="540"/>
        <v>2400</v>
      </c>
      <c r="H510" s="187">
        <f t="shared" si="540"/>
        <v>25000</v>
      </c>
      <c r="I510" s="187">
        <f t="shared" si="540"/>
        <v>5000</v>
      </c>
      <c r="J510" s="187">
        <v>40000</v>
      </c>
      <c r="K510" s="187">
        <f t="shared" si="540"/>
        <v>5000</v>
      </c>
      <c r="L510" s="187">
        <v>40000</v>
      </c>
      <c r="M510" s="110">
        <v>9.5</v>
      </c>
      <c r="N510" s="110">
        <f>VLOOKUP(DATE(YEAR(A510),MONTH(A510),DAY(A510)),FY24_Temp[],3,FALSE)</f>
        <v>12.8</v>
      </c>
      <c r="O510" s="110">
        <f t="shared" si="479"/>
        <v>11.5</v>
      </c>
      <c r="P510" s="110">
        <f t="shared" si="480"/>
        <v>19.5</v>
      </c>
      <c r="Q510" s="111">
        <f>VLOOKUP(VLOOKUP(DATEVALUE(TEXT(A510,"m/d/yyyy")),FY24_Temp[],5,FALSE)&amp;TEXT(A510,"-h"),TempDelta[],4,FALSE)</f>
        <v>3.0428571701049805</v>
      </c>
      <c r="R510" s="112">
        <v>10</v>
      </c>
      <c r="S510" s="112">
        <v>1500</v>
      </c>
      <c r="T510" s="99">
        <f>VLOOKUP(TEXT(A510,"yy-mm")&amp;"-"&amp;IF(AND(WEEKDAY(A510)&gt;1,WEEKDAY(A510)&lt;7),"Wkd",TEXT(A510,"Ddd"))&amp;"-"&amp;TEXT(A510,"hh"),LoadTable[],3,FALSE)*0.92</f>
        <v>279.25312000000002</v>
      </c>
      <c r="U510" s="113">
        <f t="shared" si="481"/>
        <v>27.925312000000002</v>
      </c>
    </row>
    <row r="511" spans="1:21" ht="15" thickBot="1">
      <c r="A511" s="29">
        <f t="shared" si="519"/>
        <v>45857.166666667414</v>
      </c>
      <c r="B511" s="187">
        <f t="shared" ref="B511:L511" si="541">B535</f>
        <v>5000</v>
      </c>
      <c r="C511" s="187">
        <f t="shared" si="541"/>
        <v>25000</v>
      </c>
      <c r="D511" s="187">
        <v>0</v>
      </c>
      <c r="E511" s="187">
        <v>700</v>
      </c>
      <c r="F511" s="187">
        <v>15000</v>
      </c>
      <c r="G511" s="187">
        <f t="shared" si="541"/>
        <v>2400</v>
      </c>
      <c r="H511" s="187">
        <f t="shared" si="541"/>
        <v>25000</v>
      </c>
      <c r="I511" s="187">
        <f t="shared" si="541"/>
        <v>5000</v>
      </c>
      <c r="J511" s="187">
        <v>40000</v>
      </c>
      <c r="K511" s="187">
        <f t="shared" si="541"/>
        <v>5000</v>
      </c>
      <c r="L511" s="187">
        <v>40000</v>
      </c>
      <c r="M511" s="110">
        <v>9.5</v>
      </c>
      <c r="N511" s="110">
        <f>VLOOKUP(DATE(YEAR(A511),MONTH(A511),DAY(A511)),FY24_Temp[],3,FALSE)</f>
        <v>12.8</v>
      </c>
      <c r="O511" s="110">
        <f t="shared" si="479"/>
        <v>11.5</v>
      </c>
      <c r="P511" s="110">
        <f t="shared" si="480"/>
        <v>19.5</v>
      </c>
      <c r="Q511" s="111">
        <f>VLOOKUP(VLOOKUP(DATEVALUE(TEXT(A511,"m/d/yyyy")),FY24_Temp[],5,FALSE)&amp;TEXT(A511,"-h"),TempDelta[],4,FALSE)</f>
        <v>2.9580000468662808</v>
      </c>
      <c r="R511" s="112">
        <v>10</v>
      </c>
      <c r="S511" s="112">
        <v>1500</v>
      </c>
      <c r="T511" s="99">
        <f>VLOOKUP(TEXT(A511,"yy-mm")&amp;"-"&amp;IF(AND(WEEKDAY(A511)&gt;1,WEEKDAY(A511)&lt;7),"Wkd",TEXT(A511,"Ddd"))&amp;"-"&amp;TEXT(A511,"hh"),LoadTable[],3,FALSE)*0.92</f>
        <v>279.25312000000002</v>
      </c>
      <c r="U511" s="113">
        <f t="shared" si="481"/>
        <v>27.925312000000002</v>
      </c>
    </row>
    <row r="512" spans="1:21" ht="15" thickBot="1">
      <c r="A512" s="29">
        <f t="shared" si="519"/>
        <v>45857.208333334078</v>
      </c>
      <c r="B512" s="187">
        <f t="shared" ref="B512:L512" si="542">B536</f>
        <v>5000</v>
      </c>
      <c r="C512" s="187">
        <f t="shared" si="542"/>
        <v>25000</v>
      </c>
      <c r="D512" s="187">
        <v>0</v>
      </c>
      <c r="E512" s="187">
        <v>700</v>
      </c>
      <c r="F512" s="187">
        <v>15000</v>
      </c>
      <c r="G512" s="187">
        <f t="shared" si="542"/>
        <v>2400</v>
      </c>
      <c r="H512" s="187">
        <f t="shared" si="542"/>
        <v>25000</v>
      </c>
      <c r="I512" s="187">
        <f t="shared" si="542"/>
        <v>5000</v>
      </c>
      <c r="J512" s="187">
        <v>40000</v>
      </c>
      <c r="K512" s="187">
        <f t="shared" si="542"/>
        <v>5000</v>
      </c>
      <c r="L512" s="187">
        <v>40000</v>
      </c>
      <c r="M512" s="110">
        <v>9.5</v>
      </c>
      <c r="N512" s="110">
        <f>VLOOKUP(DATE(YEAR(A512),MONTH(A512),DAY(A512)),FY24_Temp[],3,FALSE)</f>
        <v>12.8</v>
      </c>
      <c r="O512" s="110">
        <f t="shared" si="479"/>
        <v>11.5</v>
      </c>
      <c r="P512" s="110">
        <f t="shared" si="480"/>
        <v>19.5</v>
      </c>
      <c r="Q512" s="111">
        <f>VLOOKUP(VLOOKUP(DATEVALUE(TEXT(A512,"m/d/yyyy")),FY24_Temp[],5,FALSE)&amp;TEXT(A512,"-h"),TempDelta[],4,FALSE)</f>
        <v>2.8608571801866804</v>
      </c>
      <c r="R512" s="112">
        <v>10</v>
      </c>
      <c r="S512" s="112">
        <v>1500</v>
      </c>
      <c r="T512" s="99">
        <f>VLOOKUP(TEXT(A512,"yy-mm")&amp;"-"&amp;IF(AND(WEEKDAY(A512)&gt;1,WEEKDAY(A512)&lt;7),"Wkd",TEXT(A512,"Ddd"))&amp;"-"&amp;TEXT(A512,"hh"),LoadTable[],3,FALSE)*0.92</f>
        <v>279.25312000000002</v>
      </c>
      <c r="U512" s="113">
        <f t="shared" si="481"/>
        <v>27.925312000000002</v>
      </c>
    </row>
    <row r="513" spans="1:21" ht="15" thickBot="1">
      <c r="A513" s="29">
        <f t="shared" si="519"/>
        <v>45857.250000000742</v>
      </c>
      <c r="B513" s="187">
        <f t="shared" ref="B513:L513" si="543">B537</f>
        <v>8000</v>
      </c>
      <c r="C513" s="187">
        <f t="shared" si="543"/>
        <v>25000</v>
      </c>
      <c r="D513" s="187">
        <v>0</v>
      </c>
      <c r="E513" s="187">
        <v>700</v>
      </c>
      <c r="F513" s="187">
        <v>15000</v>
      </c>
      <c r="G513" s="187">
        <f t="shared" si="543"/>
        <v>2400</v>
      </c>
      <c r="H513" s="187">
        <f t="shared" si="543"/>
        <v>25000</v>
      </c>
      <c r="I513" s="187">
        <f t="shared" si="543"/>
        <v>8000</v>
      </c>
      <c r="J513" s="187">
        <v>40000</v>
      </c>
      <c r="K513" s="187">
        <f t="shared" si="543"/>
        <v>8000</v>
      </c>
      <c r="L513" s="187">
        <v>40000</v>
      </c>
      <c r="M513" s="110">
        <v>9.5</v>
      </c>
      <c r="N513" s="110">
        <f>VLOOKUP(DATE(YEAR(A513),MONTH(A513),DAY(A513)),FY24_Temp[],3,FALSE)</f>
        <v>12.8</v>
      </c>
      <c r="O513" s="110">
        <f t="shared" si="479"/>
        <v>11.5</v>
      </c>
      <c r="P513" s="110">
        <f t="shared" si="480"/>
        <v>19.5</v>
      </c>
      <c r="Q513" s="111">
        <f>VLOOKUP(VLOOKUP(DATEVALUE(TEXT(A513,"m/d/yyyy")),FY24_Temp[],5,FALSE)&amp;TEXT(A513,"-h"),TempDelta[],4,FALSE)</f>
        <v>2.7405714307512556</v>
      </c>
      <c r="R513" s="112">
        <v>10</v>
      </c>
      <c r="S513" s="112">
        <v>1500</v>
      </c>
      <c r="T513" s="99">
        <f>VLOOKUP(TEXT(A513,"yy-mm")&amp;"-"&amp;IF(AND(WEEKDAY(A513)&gt;1,WEEKDAY(A513)&lt;7),"Wkd",TEXT(A513,"Ddd"))&amp;"-"&amp;TEXT(A513,"hh"),LoadTable[],3,FALSE)*0.92</f>
        <v>279.25312000000002</v>
      </c>
      <c r="U513" s="113">
        <f t="shared" si="481"/>
        <v>27.925312000000002</v>
      </c>
    </row>
    <row r="514" spans="1:21" ht="15" thickBot="1">
      <c r="A514" s="29">
        <f t="shared" si="519"/>
        <v>45857.291666667406</v>
      </c>
      <c r="B514" s="187">
        <f t="shared" ref="B514:L514" si="544">B538</f>
        <v>8000</v>
      </c>
      <c r="C514" s="187">
        <f t="shared" si="544"/>
        <v>25000</v>
      </c>
      <c r="D514" s="187">
        <v>0</v>
      </c>
      <c r="E514" s="187">
        <v>700</v>
      </c>
      <c r="F514" s="187">
        <v>15000</v>
      </c>
      <c r="G514" s="187">
        <f t="shared" si="544"/>
        <v>2400</v>
      </c>
      <c r="H514" s="187">
        <f t="shared" si="544"/>
        <v>25000</v>
      </c>
      <c r="I514" s="187">
        <f t="shared" si="544"/>
        <v>8000</v>
      </c>
      <c r="J514" s="187">
        <v>40000</v>
      </c>
      <c r="K514" s="187">
        <f t="shared" si="544"/>
        <v>8000</v>
      </c>
      <c r="L514" s="187">
        <v>40000</v>
      </c>
      <c r="M514" s="110">
        <v>9.5</v>
      </c>
      <c r="N514" s="110">
        <f>VLOOKUP(DATE(YEAR(A514),MONTH(A514),DAY(A514)),FY24_Temp[],3,FALSE)</f>
        <v>12.8</v>
      </c>
      <c r="O514" s="110">
        <f t="shared" si="479"/>
        <v>11.5</v>
      </c>
      <c r="P514" s="110">
        <f t="shared" si="480"/>
        <v>19.5</v>
      </c>
      <c r="Q514" s="111">
        <f>VLOOKUP(VLOOKUP(DATEVALUE(TEXT(A514,"m/d/yyyy")),FY24_Temp[],5,FALSE)&amp;TEXT(A514,"-h"),TempDelta[],4,FALSE)</f>
        <v>2.6134285245622908</v>
      </c>
      <c r="R514" s="112">
        <v>10</v>
      </c>
      <c r="S514" s="112">
        <v>1500</v>
      </c>
      <c r="T514" s="99">
        <f>VLOOKUP(TEXT(A514,"yy-mm")&amp;"-"&amp;IF(AND(WEEKDAY(A514)&gt;1,WEEKDAY(A514)&lt;7),"Wkd",TEXT(A514,"Ddd"))&amp;"-"&amp;TEXT(A514,"hh"),LoadTable[],3,FALSE)*0.92</f>
        <v>279.25312000000002</v>
      </c>
      <c r="U514" s="113">
        <f t="shared" si="481"/>
        <v>27.925312000000002</v>
      </c>
    </row>
    <row r="515" spans="1:21" ht="15" thickBot="1">
      <c r="A515" s="29">
        <f t="shared" si="519"/>
        <v>45857.333333334071</v>
      </c>
      <c r="B515" s="187">
        <f t="shared" ref="B515:L515" si="545">B539</f>
        <v>8000</v>
      </c>
      <c r="C515" s="187">
        <f t="shared" si="545"/>
        <v>25000</v>
      </c>
      <c r="D515" s="187">
        <v>0</v>
      </c>
      <c r="E515" s="187">
        <v>700</v>
      </c>
      <c r="F515" s="187">
        <v>15000</v>
      </c>
      <c r="G515" s="187">
        <f t="shared" si="545"/>
        <v>2400</v>
      </c>
      <c r="H515" s="187">
        <f t="shared" si="545"/>
        <v>25000</v>
      </c>
      <c r="I515" s="187">
        <f t="shared" si="545"/>
        <v>8000</v>
      </c>
      <c r="J515" s="187">
        <v>40000</v>
      </c>
      <c r="K515" s="187">
        <f t="shared" si="545"/>
        <v>8000</v>
      </c>
      <c r="L515" s="187">
        <v>40000</v>
      </c>
      <c r="M515" s="110">
        <v>9.5</v>
      </c>
      <c r="N515" s="110">
        <f>VLOOKUP(DATE(YEAR(A515),MONTH(A515),DAY(A515)),FY24_Temp[],3,FALSE)</f>
        <v>12.8</v>
      </c>
      <c r="O515" s="110">
        <f t="shared" si="479"/>
        <v>11.5</v>
      </c>
      <c r="P515" s="110">
        <f t="shared" si="480"/>
        <v>19.5</v>
      </c>
      <c r="Q515" s="111">
        <f>VLOOKUP(VLOOKUP(DATEVALUE(TEXT(A515,"m/d/yyyy")),FY24_Temp[],5,FALSE)&amp;TEXT(A515,"-h"),TempDelta[],4,FALSE)</f>
        <v>2.44985716683524</v>
      </c>
      <c r="R515" s="112">
        <v>10</v>
      </c>
      <c r="S515" s="112">
        <v>1500</v>
      </c>
      <c r="T515" s="99">
        <f>VLOOKUP(TEXT(A515,"yy-mm")&amp;"-"&amp;IF(AND(WEEKDAY(A515)&gt;1,WEEKDAY(A515)&lt;7),"Wkd",TEXT(A515,"Ddd"))&amp;"-"&amp;TEXT(A515,"hh"),LoadTable[],3,FALSE)*0.92</f>
        <v>279.25312000000002</v>
      </c>
      <c r="U515" s="113">
        <f t="shared" si="481"/>
        <v>27.925312000000002</v>
      </c>
    </row>
    <row r="516" spans="1:21" ht="15" thickBot="1">
      <c r="A516" s="29">
        <f t="shared" si="519"/>
        <v>45857.375000000735</v>
      </c>
      <c r="B516" s="187">
        <f t="shared" ref="B516:L516" si="546">B540</f>
        <v>8000</v>
      </c>
      <c r="C516" s="187">
        <f t="shared" si="546"/>
        <v>25000</v>
      </c>
      <c r="D516" s="187">
        <v>0</v>
      </c>
      <c r="E516" s="187">
        <v>700</v>
      </c>
      <c r="F516" s="187">
        <v>15000</v>
      </c>
      <c r="G516" s="187">
        <f t="shared" si="546"/>
        <v>2400</v>
      </c>
      <c r="H516" s="187">
        <f t="shared" si="546"/>
        <v>25000</v>
      </c>
      <c r="I516" s="187">
        <f t="shared" si="546"/>
        <v>8000</v>
      </c>
      <c r="J516" s="187">
        <v>40000</v>
      </c>
      <c r="K516" s="187">
        <f t="shared" si="546"/>
        <v>8000</v>
      </c>
      <c r="L516" s="187">
        <v>40000</v>
      </c>
      <c r="M516" s="110">
        <v>9.5</v>
      </c>
      <c r="N516" s="110">
        <f>VLOOKUP(DATE(YEAR(A516),MONTH(A516),DAY(A516)),FY24_Temp[],3,FALSE)</f>
        <v>12.8</v>
      </c>
      <c r="O516" s="110">
        <f t="shared" ref="O516:O579" si="547">15.5-4</f>
        <v>11.5</v>
      </c>
      <c r="P516" s="110">
        <f t="shared" ref="P516:P579" si="548">15.5+4</f>
        <v>19.5</v>
      </c>
      <c r="Q516" s="111">
        <f>VLOOKUP(VLOOKUP(DATEVALUE(TEXT(A516,"m/d/yyyy")),FY24_Temp[],5,FALSE)&amp;TEXT(A516,"-h"),TempDelta[],4,FALSE)</f>
        <v>2.2458571025303433</v>
      </c>
      <c r="R516" s="112">
        <v>10</v>
      </c>
      <c r="S516" s="112">
        <v>1500</v>
      </c>
      <c r="T516" s="99">
        <f>VLOOKUP(TEXT(A516,"yy-mm")&amp;"-"&amp;IF(AND(WEEKDAY(A516)&gt;1,WEEKDAY(A516)&lt;7),"Wkd",TEXT(A516,"Ddd"))&amp;"-"&amp;TEXT(A516,"hh"),LoadTable[],3,FALSE)*0.92</f>
        <v>279.25312000000002</v>
      </c>
      <c r="U516" s="113">
        <f t="shared" ref="U516:U579" si="549">T516/10</f>
        <v>27.925312000000002</v>
      </c>
    </row>
    <row r="517" spans="1:21" ht="15" thickBot="1">
      <c r="A517" s="29">
        <f t="shared" si="519"/>
        <v>45857.416666667399</v>
      </c>
      <c r="B517" s="187">
        <f t="shared" ref="B517:L517" si="550">B541</f>
        <v>8000</v>
      </c>
      <c r="C517" s="187">
        <f t="shared" si="550"/>
        <v>25000</v>
      </c>
      <c r="D517" s="187">
        <v>0</v>
      </c>
      <c r="E517" s="187">
        <v>700</v>
      </c>
      <c r="F517" s="187">
        <v>15000</v>
      </c>
      <c r="G517" s="187">
        <f t="shared" si="550"/>
        <v>2400</v>
      </c>
      <c r="H517" s="187">
        <f t="shared" si="550"/>
        <v>25000</v>
      </c>
      <c r="I517" s="187">
        <f t="shared" si="550"/>
        <v>8000</v>
      </c>
      <c r="J517" s="187">
        <v>40000</v>
      </c>
      <c r="K517" s="187">
        <f t="shared" si="550"/>
        <v>8000</v>
      </c>
      <c r="L517" s="187">
        <v>40000</v>
      </c>
      <c r="M517" s="110">
        <v>9.5</v>
      </c>
      <c r="N517" s="110">
        <f>VLOOKUP(DATE(YEAR(A517),MONTH(A517),DAY(A517)),FY24_Temp[],3,FALSE)</f>
        <v>12.8</v>
      </c>
      <c r="O517" s="110">
        <f t="shared" si="547"/>
        <v>11.5</v>
      </c>
      <c r="P517" s="110">
        <f t="shared" si="548"/>
        <v>19.5</v>
      </c>
      <c r="Q517" s="111">
        <f>VLOOKUP(VLOOKUP(DATEVALUE(TEXT(A517,"m/d/yyyy")),FY24_Temp[],5,FALSE)&amp;TEXT(A517,"-h"),TempDelta[],4,FALSE)</f>
        <v>2.0832857234137401</v>
      </c>
      <c r="R517" s="112">
        <v>10</v>
      </c>
      <c r="S517" s="112">
        <v>1500</v>
      </c>
      <c r="T517" s="99">
        <f>VLOOKUP(TEXT(A517,"yy-mm")&amp;"-"&amp;IF(AND(WEEKDAY(A517)&gt;1,WEEKDAY(A517)&lt;7),"Wkd",TEXT(A517,"Ddd"))&amp;"-"&amp;TEXT(A517,"hh"),LoadTable[],3,FALSE)*0.92</f>
        <v>279.25312000000002</v>
      </c>
      <c r="U517" s="113">
        <f t="shared" si="549"/>
        <v>27.925312000000002</v>
      </c>
    </row>
    <row r="518" spans="1:21" ht="15" thickBot="1">
      <c r="A518" s="29">
        <f t="shared" si="519"/>
        <v>45857.458333334063</v>
      </c>
      <c r="B518" s="187">
        <f t="shared" ref="B518:L518" si="551">B542</f>
        <v>8000</v>
      </c>
      <c r="C518" s="187">
        <f t="shared" si="551"/>
        <v>25000</v>
      </c>
      <c r="D518" s="187">
        <v>0</v>
      </c>
      <c r="E518" s="187">
        <v>700</v>
      </c>
      <c r="F518" s="187">
        <v>15000</v>
      </c>
      <c r="G518" s="187">
        <f t="shared" si="551"/>
        <v>2400</v>
      </c>
      <c r="H518" s="187">
        <f t="shared" si="551"/>
        <v>25000</v>
      </c>
      <c r="I518" s="187">
        <f t="shared" si="551"/>
        <v>8000</v>
      </c>
      <c r="J518" s="187">
        <v>40000</v>
      </c>
      <c r="K518" s="187">
        <f t="shared" si="551"/>
        <v>8000</v>
      </c>
      <c r="L518" s="187">
        <v>40000</v>
      </c>
      <c r="M518" s="110">
        <v>9.5</v>
      </c>
      <c r="N518" s="110">
        <f>VLOOKUP(DATE(YEAR(A518),MONTH(A518),DAY(A518)),FY24_Temp[],3,FALSE)</f>
        <v>12.8</v>
      </c>
      <c r="O518" s="110">
        <f t="shared" si="547"/>
        <v>11.5</v>
      </c>
      <c r="P518" s="110">
        <f t="shared" si="548"/>
        <v>19.5</v>
      </c>
      <c r="Q518" s="111">
        <f>VLOOKUP(VLOOKUP(DATEVALUE(TEXT(A518,"m/d/yyyy")),FY24_Temp[],5,FALSE)&amp;TEXT(A518,"-h"),TempDelta[],4,FALSE)</f>
        <v>1.8928571258272444</v>
      </c>
      <c r="R518" s="112">
        <v>10</v>
      </c>
      <c r="S518" s="112">
        <v>1500</v>
      </c>
      <c r="T518" s="99">
        <f>VLOOKUP(TEXT(A518,"yy-mm")&amp;"-"&amp;IF(AND(WEEKDAY(A518)&gt;1,WEEKDAY(A518)&lt;7),"Wkd",TEXT(A518,"Ddd"))&amp;"-"&amp;TEXT(A518,"hh"),LoadTable[],3,FALSE)*0.92</f>
        <v>279.25312000000002</v>
      </c>
      <c r="U518" s="113">
        <f t="shared" si="549"/>
        <v>27.925312000000002</v>
      </c>
    </row>
    <row r="519" spans="1:21" ht="15" thickBot="1">
      <c r="A519" s="29">
        <f t="shared" si="519"/>
        <v>45857.500000000728</v>
      </c>
      <c r="B519" s="187">
        <f t="shared" ref="B519:L519" si="552">B543</f>
        <v>8000</v>
      </c>
      <c r="C519" s="187">
        <f t="shared" si="552"/>
        <v>25000</v>
      </c>
      <c r="D519" s="187">
        <v>0</v>
      </c>
      <c r="E519" s="187">
        <v>700</v>
      </c>
      <c r="F519" s="187">
        <v>15000</v>
      </c>
      <c r="G519" s="187">
        <f t="shared" si="552"/>
        <v>2400</v>
      </c>
      <c r="H519" s="187">
        <f t="shared" si="552"/>
        <v>25000</v>
      </c>
      <c r="I519" s="187">
        <f t="shared" si="552"/>
        <v>8000</v>
      </c>
      <c r="J519" s="187">
        <v>40000</v>
      </c>
      <c r="K519" s="187">
        <f t="shared" si="552"/>
        <v>8000</v>
      </c>
      <c r="L519" s="187">
        <v>40000</v>
      </c>
      <c r="M519" s="110">
        <v>9.5</v>
      </c>
      <c r="N519" s="110">
        <f>VLOOKUP(DATE(YEAR(A519),MONTH(A519),DAY(A519)),FY24_Temp[],3,FALSE)</f>
        <v>12.8</v>
      </c>
      <c r="O519" s="110">
        <f t="shared" si="547"/>
        <v>11.5</v>
      </c>
      <c r="P519" s="110">
        <f t="shared" si="548"/>
        <v>19.5</v>
      </c>
      <c r="Q519" s="111">
        <f>VLOOKUP(VLOOKUP(DATEVALUE(TEXT(A519,"m/d/yyyy")),FY24_Temp[],5,FALSE)&amp;TEXT(A519,"-h"),TempDelta[],4,FALSE)</f>
        <v>1.665857127734593</v>
      </c>
      <c r="R519" s="112">
        <v>10</v>
      </c>
      <c r="S519" s="112">
        <v>1500</v>
      </c>
      <c r="T519" s="99">
        <f>VLOOKUP(TEXT(A519,"yy-mm")&amp;"-"&amp;IF(AND(WEEKDAY(A519)&gt;1,WEEKDAY(A519)&lt;7),"Wkd",TEXT(A519,"Ddd"))&amp;"-"&amp;TEXT(A519,"hh"),LoadTable[],3,FALSE)*0.92</f>
        <v>279.25312000000002</v>
      </c>
      <c r="U519" s="113">
        <f t="shared" si="549"/>
        <v>27.925312000000002</v>
      </c>
    </row>
    <row r="520" spans="1:21" ht="15" thickBot="1">
      <c r="A520" s="29">
        <f t="shared" si="519"/>
        <v>45857.541666667392</v>
      </c>
      <c r="B520" s="187">
        <f t="shared" ref="B520:L520" si="553">B544</f>
        <v>8000</v>
      </c>
      <c r="C520" s="187">
        <f t="shared" si="553"/>
        <v>25000</v>
      </c>
      <c r="D520" s="187">
        <v>0</v>
      </c>
      <c r="E520" s="187">
        <v>700</v>
      </c>
      <c r="F520" s="187">
        <v>15000</v>
      </c>
      <c r="G520" s="187">
        <f t="shared" si="553"/>
        <v>2400</v>
      </c>
      <c r="H520" s="187">
        <f t="shared" si="553"/>
        <v>25000</v>
      </c>
      <c r="I520" s="187">
        <f t="shared" si="553"/>
        <v>8000</v>
      </c>
      <c r="J520" s="187">
        <v>40000</v>
      </c>
      <c r="K520" s="187">
        <f t="shared" si="553"/>
        <v>8000</v>
      </c>
      <c r="L520" s="187">
        <v>40000</v>
      </c>
      <c r="M520" s="110">
        <v>9.5</v>
      </c>
      <c r="N520" s="110">
        <f>VLOOKUP(DATE(YEAR(A520),MONTH(A520),DAY(A520)),FY24_Temp[],3,FALSE)</f>
        <v>12.8</v>
      </c>
      <c r="O520" s="110">
        <f t="shared" si="547"/>
        <v>11.5</v>
      </c>
      <c r="P520" s="110">
        <f t="shared" si="548"/>
        <v>19.5</v>
      </c>
      <c r="Q520" s="111">
        <f>VLOOKUP(VLOOKUP(DATEVALUE(TEXT(A520,"m/d/yyyy")),FY24_Temp[],5,FALSE)&amp;TEXT(A520,"-h"),TempDelta[],4,FALSE)</f>
        <v>1.4252856969833374</v>
      </c>
      <c r="R520" s="112">
        <v>10</v>
      </c>
      <c r="S520" s="112">
        <v>1500</v>
      </c>
      <c r="T520" s="99">
        <f>VLOOKUP(TEXT(A520,"yy-mm")&amp;"-"&amp;IF(AND(WEEKDAY(A520)&gt;1,WEEKDAY(A520)&lt;7),"Wkd",TEXT(A520,"Ddd"))&amp;"-"&amp;TEXT(A520,"hh"),LoadTable[],3,FALSE)*0.92</f>
        <v>279.25312000000002</v>
      </c>
      <c r="U520" s="113">
        <f t="shared" si="549"/>
        <v>27.925312000000002</v>
      </c>
    </row>
    <row r="521" spans="1:21" ht="15" thickBot="1">
      <c r="A521" s="29">
        <f t="shared" si="519"/>
        <v>45857.583333334056</v>
      </c>
      <c r="B521" s="187">
        <f t="shared" ref="B521:L521" si="554">B545</f>
        <v>8000</v>
      </c>
      <c r="C521" s="187">
        <f t="shared" si="554"/>
        <v>25000</v>
      </c>
      <c r="D521" s="187">
        <v>0</v>
      </c>
      <c r="E521" s="187">
        <v>700</v>
      </c>
      <c r="F521" s="187">
        <v>15000</v>
      </c>
      <c r="G521" s="187">
        <f t="shared" si="554"/>
        <v>2400</v>
      </c>
      <c r="H521" s="187">
        <f t="shared" si="554"/>
        <v>25000</v>
      </c>
      <c r="I521" s="187">
        <f t="shared" si="554"/>
        <v>8000</v>
      </c>
      <c r="J521" s="187">
        <v>40000</v>
      </c>
      <c r="K521" s="187">
        <f t="shared" si="554"/>
        <v>8000</v>
      </c>
      <c r="L521" s="187">
        <v>40000</v>
      </c>
      <c r="M521" s="110">
        <v>9.5</v>
      </c>
      <c r="N521" s="110">
        <f>VLOOKUP(DATE(YEAR(A521),MONTH(A521),DAY(A521)),FY24_Temp[],3,FALSE)</f>
        <v>12.8</v>
      </c>
      <c r="O521" s="110">
        <f t="shared" si="547"/>
        <v>11.5</v>
      </c>
      <c r="P521" s="110">
        <f t="shared" si="548"/>
        <v>19.5</v>
      </c>
      <c r="Q521" s="111">
        <f>VLOOKUP(VLOOKUP(DATEVALUE(TEXT(A521,"m/d/yyyy")),FY24_Temp[],5,FALSE)&amp;TEXT(A521,"-h"),TempDelta[],4,FALSE)</f>
        <v>1.2351428781236922</v>
      </c>
      <c r="R521" s="112">
        <v>10</v>
      </c>
      <c r="S521" s="112">
        <v>1500</v>
      </c>
      <c r="T521" s="99">
        <f>VLOOKUP(TEXT(A521,"yy-mm")&amp;"-"&amp;IF(AND(WEEKDAY(A521)&gt;1,WEEKDAY(A521)&lt;7),"Wkd",TEXT(A521,"Ddd"))&amp;"-"&amp;TEXT(A521,"hh"),LoadTable[],3,FALSE)*0.92</f>
        <v>279.25312000000002</v>
      </c>
      <c r="U521" s="113">
        <f t="shared" si="549"/>
        <v>27.925312000000002</v>
      </c>
    </row>
    <row r="522" spans="1:21" ht="15" thickBot="1">
      <c r="A522" s="29">
        <f t="shared" si="519"/>
        <v>45857.62500000072</v>
      </c>
      <c r="B522" s="187">
        <f t="shared" ref="B522:L522" si="555">B546</f>
        <v>8000</v>
      </c>
      <c r="C522" s="187">
        <f t="shared" si="555"/>
        <v>25000</v>
      </c>
      <c r="D522" s="187">
        <v>0</v>
      </c>
      <c r="E522" s="187">
        <v>700</v>
      </c>
      <c r="F522" s="187">
        <v>15000</v>
      </c>
      <c r="G522" s="187">
        <f t="shared" si="555"/>
        <v>2400</v>
      </c>
      <c r="H522" s="187">
        <f t="shared" si="555"/>
        <v>25000</v>
      </c>
      <c r="I522" s="187">
        <f t="shared" si="555"/>
        <v>8000</v>
      </c>
      <c r="J522" s="187">
        <v>40000</v>
      </c>
      <c r="K522" s="187">
        <f t="shared" si="555"/>
        <v>8000</v>
      </c>
      <c r="L522" s="187">
        <v>40000</v>
      </c>
      <c r="M522" s="110">
        <v>9.5</v>
      </c>
      <c r="N522" s="110">
        <f>VLOOKUP(DATE(YEAR(A522),MONTH(A522),DAY(A522)),FY24_Temp[],3,FALSE)</f>
        <v>12.8</v>
      </c>
      <c r="O522" s="110">
        <f t="shared" si="547"/>
        <v>11.5</v>
      </c>
      <c r="P522" s="110">
        <f t="shared" si="548"/>
        <v>19.5</v>
      </c>
      <c r="Q522" s="111">
        <f>VLOOKUP(VLOOKUP(DATEVALUE(TEXT(A522,"m/d/yyyy")),FY24_Temp[],5,FALSE)&amp;TEXT(A522,"-h"),TempDelta[],4,FALSE)</f>
        <v>0.97514284508568905</v>
      </c>
      <c r="R522" s="112">
        <v>10</v>
      </c>
      <c r="S522" s="112">
        <v>1500</v>
      </c>
      <c r="T522" s="99">
        <f>VLOOKUP(TEXT(A522,"yy-mm")&amp;"-"&amp;IF(AND(WEEKDAY(A522)&gt;1,WEEKDAY(A522)&lt;7),"Wkd",TEXT(A522,"Ddd"))&amp;"-"&amp;TEXT(A522,"hh"),LoadTable[],3,FALSE)*0.92</f>
        <v>400.56064000000003</v>
      </c>
      <c r="U522" s="113">
        <f t="shared" si="549"/>
        <v>40.056064000000006</v>
      </c>
    </row>
    <row r="523" spans="1:21" ht="15" thickBot="1">
      <c r="A523" s="29">
        <f t="shared" si="519"/>
        <v>45857.666666667385</v>
      </c>
      <c r="B523" s="187">
        <f t="shared" ref="B523:L523" si="556">B547</f>
        <v>8000</v>
      </c>
      <c r="C523" s="187">
        <f t="shared" si="556"/>
        <v>25000</v>
      </c>
      <c r="D523" s="187">
        <v>0</v>
      </c>
      <c r="E523" s="187">
        <v>700</v>
      </c>
      <c r="F523" s="187">
        <v>15000</v>
      </c>
      <c r="G523" s="187">
        <f t="shared" si="556"/>
        <v>2400</v>
      </c>
      <c r="H523" s="187">
        <f t="shared" si="556"/>
        <v>25000</v>
      </c>
      <c r="I523" s="187">
        <f t="shared" si="556"/>
        <v>8000</v>
      </c>
      <c r="J523" s="187">
        <v>40000</v>
      </c>
      <c r="K523" s="187">
        <f t="shared" si="556"/>
        <v>8000</v>
      </c>
      <c r="L523" s="187">
        <v>40000</v>
      </c>
      <c r="M523" s="110">
        <v>9.5</v>
      </c>
      <c r="N523" s="110">
        <f>VLOOKUP(DATE(YEAR(A523),MONTH(A523),DAY(A523)),FY24_Temp[],3,FALSE)</f>
        <v>12.8</v>
      </c>
      <c r="O523" s="110">
        <f t="shared" si="547"/>
        <v>11.5</v>
      </c>
      <c r="P523" s="110">
        <f t="shared" si="548"/>
        <v>19.5</v>
      </c>
      <c r="Q523" s="111">
        <f>VLOOKUP(VLOOKUP(DATEVALUE(TEXT(A523,"m/d/yyyy")),FY24_Temp[],5,FALSE)&amp;TEXT(A523,"-h"),TempDelta[],4,FALSE)</f>
        <v>0.88578571166310993</v>
      </c>
      <c r="R523" s="112">
        <v>10</v>
      </c>
      <c r="S523" s="112">
        <v>1500</v>
      </c>
      <c r="T523" s="99">
        <f>VLOOKUP(TEXT(A523,"yy-mm")&amp;"-"&amp;IF(AND(WEEKDAY(A523)&gt;1,WEEKDAY(A523)&lt;7),"Wkd",TEXT(A523,"Ddd"))&amp;"-"&amp;TEXT(A523,"hh"),LoadTable[],3,FALSE)*0.92</f>
        <v>447.97376000000003</v>
      </c>
      <c r="U523" s="113">
        <f t="shared" si="549"/>
        <v>44.797376</v>
      </c>
    </row>
    <row r="524" spans="1:21" ht="15" thickBot="1">
      <c r="A524" s="29">
        <f t="shared" si="519"/>
        <v>45857.708333334049</v>
      </c>
      <c r="B524" s="187">
        <f t="shared" ref="B524:L524" si="557">B548</f>
        <v>8000</v>
      </c>
      <c r="C524" s="187">
        <f t="shared" si="557"/>
        <v>25000</v>
      </c>
      <c r="D524" s="187">
        <v>0</v>
      </c>
      <c r="E524" s="187">
        <v>700</v>
      </c>
      <c r="F524" s="187">
        <v>15000</v>
      </c>
      <c r="G524" s="187">
        <f t="shared" si="557"/>
        <v>2400</v>
      </c>
      <c r="H524" s="187">
        <f t="shared" si="557"/>
        <v>25000</v>
      </c>
      <c r="I524" s="187">
        <f t="shared" si="557"/>
        <v>8000</v>
      </c>
      <c r="J524" s="187">
        <v>40000</v>
      </c>
      <c r="K524" s="187">
        <f t="shared" si="557"/>
        <v>8000</v>
      </c>
      <c r="L524" s="187">
        <v>40000</v>
      </c>
      <c r="M524" s="110">
        <v>9.5</v>
      </c>
      <c r="N524" s="110">
        <f>VLOOKUP(DATE(YEAR(A524),MONTH(A524),DAY(A524)),FY24_Temp[],3,FALSE)</f>
        <v>12.8</v>
      </c>
      <c r="O524" s="110">
        <f t="shared" si="547"/>
        <v>11.5</v>
      </c>
      <c r="P524" s="110">
        <f t="shared" si="548"/>
        <v>19.5</v>
      </c>
      <c r="Q524" s="111">
        <f>VLOOKUP(VLOOKUP(DATEVALUE(TEXT(A524,"m/d/yyyy")),FY24_Temp[],5,FALSE)&amp;TEXT(A524,"-h"),TempDelta[],4,FALSE)</f>
        <v>1.0356428495475225</v>
      </c>
      <c r="R524" s="112">
        <v>10</v>
      </c>
      <c r="S524" s="112">
        <v>1500</v>
      </c>
      <c r="T524" s="99">
        <f>VLOOKUP(TEXT(A524,"yy-mm")&amp;"-"&amp;IF(AND(WEEKDAY(A524)&gt;1,WEEKDAY(A524)&lt;7),"Wkd",TEXT(A524,"Ddd"))&amp;"-"&amp;TEXT(A524,"hh"),LoadTable[],3,FALSE)*0.92</f>
        <v>494.57360000000006</v>
      </c>
      <c r="U524" s="113">
        <f t="shared" si="549"/>
        <v>49.457360000000008</v>
      </c>
    </row>
    <row r="525" spans="1:21" ht="15" thickBot="1">
      <c r="A525" s="29">
        <f t="shared" si="519"/>
        <v>45857.750000000713</v>
      </c>
      <c r="B525" s="187">
        <f t="shared" ref="B525:L525" si="558">B549</f>
        <v>5000</v>
      </c>
      <c r="C525" s="187">
        <f t="shared" si="558"/>
        <v>25000</v>
      </c>
      <c r="D525" s="187">
        <v>0</v>
      </c>
      <c r="E525" s="187">
        <v>700</v>
      </c>
      <c r="F525" s="187">
        <v>15000</v>
      </c>
      <c r="G525" s="187">
        <f t="shared" si="558"/>
        <v>2400</v>
      </c>
      <c r="H525" s="187">
        <f t="shared" si="558"/>
        <v>25000</v>
      </c>
      <c r="I525" s="187">
        <f t="shared" si="558"/>
        <v>5000</v>
      </c>
      <c r="J525" s="187">
        <v>40000</v>
      </c>
      <c r="K525" s="187">
        <f t="shared" si="558"/>
        <v>5000</v>
      </c>
      <c r="L525" s="187">
        <v>40000</v>
      </c>
      <c r="M525" s="110">
        <v>9.5</v>
      </c>
      <c r="N525" s="110">
        <f>VLOOKUP(DATE(YEAR(A525),MONTH(A525),DAY(A525)),FY24_Temp[],3,FALSE)</f>
        <v>12.8</v>
      </c>
      <c r="O525" s="110">
        <f t="shared" si="547"/>
        <v>11.5</v>
      </c>
      <c r="P525" s="110">
        <f t="shared" si="548"/>
        <v>19.5</v>
      </c>
      <c r="Q525" s="111">
        <f>VLOOKUP(VLOOKUP(DATEVALUE(TEXT(A525,"m/d/yyyy")),FY24_Temp[],5,FALSE)&amp;TEXT(A525,"-h"),TempDelta[],4,FALSE)</f>
        <v>1.3991428358214242</v>
      </c>
      <c r="R525" s="112">
        <v>10</v>
      </c>
      <c r="S525" s="112">
        <v>1500</v>
      </c>
      <c r="T525" s="99">
        <f>VLOOKUP(TEXT(A525,"yy-mm")&amp;"-"&amp;IF(AND(WEEKDAY(A525)&gt;1,WEEKDAY(A525)&lt;7),"Wkd",TEXT(A525,"Ddd"))&amp;"-"&amp;TEXT(A525,"hh"),LoadTable[],3,FALSE)*0.92</f>
        <v>494.57360000000006</v>
      </c>
      <c r="U525" s="113">
        <f t="shared" si="549"/>
        <v>49.457360000000008</v>
      </c>
    </row>
    <row r="526" spans="1:21" ht="15" thickBot="1">
      <c r="A526" s="29">
        <f t="shared" si="519"/>
        <v>45857.791666667377</v>
      </c>
      <c r="B526" s="187">
        <f t="shared" ref="B526:L526" si="559">B550</f>
        <v>5000</v>
      </c>
      <c r="C526" s="187">
        <f t="shared" si="559"/>
        <v>25000</v>
      </c>
      <c r="D526" s="187">
        <v>0</v>
      </c>
      <c r="E526" s="187">
        <v>700</v>
      </c>
      <c r="F526" s="187">
        <v>15000</v>
      </c>
      <c r="G526" s="187">
        <f t="shared" si="559"/>
        <v>2400</v>
      </c>
      <c r="H526" s="187">
        <f t="shared" si="559"/>
        <v>25000</v>
      </c>
      <c r="I526" s="187">
        <f t="shared" si="559"/>
        <v>5000</v>
      </c>
      <c r="J526" s="187">
        <v>40000</v>
      </c>
      <c r="K526" s="187">
        <f t="shared" si="559"/>
        <v>5000</v>
      </c>
      <c r="L526" s="187">
        <v>40000</v>
      </c>
      <c r="M526" s="110">
        <v>9.5</v>
      </c>
      <c r="N526" s="110">
        <f>VLOOKUP(DATE(YEAR(A526),MONTH(A526),DAY(A526)),FY24_Temp[],3,FALSE)</f>
        <v>12.8</v>
      </c>
      <c r="O526" s="110">
        <f t="shared" si="547"/>
        <v>11.5</v>
      </c>
      <c r="P526" s="110">
        <f t="shared" si="548"/>
        <v>19.5</v>
      </c>
      <c r="Q526" s="111">
        <f>VLOOKUP(VLOOKUP(DATEVALUE(TEXT(A526,"m/d/yyyy")),FY24_Temp[],5,FALSE)&amp;TEXT(A526,"-h"),TempDelta[],4,FALSE)</f>
        <v>1.8638571415628706</v>
      </c>
      <c r="R526" s="112">
        <v>10</v>
      </c>
      <c r="S526" s="112">
        <v>1500</v>
      </c>
      <c r="T526" s="99">
        <f>VLOOKUP(TEXT(A526,"yy-mm")&amp;"-"&amp;IF(AND(WEEKDAY(A526)&gt;1,WEEKDAY(A526)&lt;7),"Wkd",TEXT(A526,"Ddd"))&amp;"-"&amp;TEXT(A526,"hh"),LoadTable[],3,FALSE)*0.92</f>
        <v>494.57360000000006</v>
      </c>
      <c r="U526" s="113">
        <f t="shared" si="549"/>
        <v>49.457360000000008</v>
      </c>
    </row>
    <row r="527" spans="1:21" ht="15" thickBot="1">
      <c r="A527" s="29">
        <f t="shared" si="519"/>
        <v>45857.833333334042</v>
      </c>
      <c r="B527" s="187">
        <f t="shared" ref="B527:L527" si="560">B551</f>
        <v>5000</v>
      </c>
      <c r="C527" s="187">
        <f t="shared" si="560"/>
        <v>25000</v>
      </c>
      <c r="D527" s="187">
        <v>0</v>
      </c>
      <c r="E527" s="187">
        <v>700</v>
      </c>
      <c r="F527" s="187">
        <v>15000</v>
      </c>
      <c r="G527" s="187">
        <f t="shared" si="560"/>
        <v>2400</v>
      </c>
      <c r="H527" s="187">
        <f t="shared" si="560"/>
        <v>25000</v>
      </c>
      <c r="I527" s="187">
        <f t="shared" si="560"/>
        <v>5000</v>
      </c>
      <c r="J527" s="187">
        <v>40000</v>
      </c>
      <c r="K527" s="187">
        <f t="shared" si="560"/>
        <v>5000</v>
      </c>
      <c r="L527" s="187">
        <v>40000</v>
      </c>
      <c r="M527" s="110">
        <v>9.5</v>
      </c>
      <c r="N527" s="110">
        <f>VLOOKUP(DATE(YEAR(A527),MONTH(A527),DAY(A527)),FY24_Temp[],3,FALSE)</f>
        <v>12.8</v>
      </c>
      <c r="O527" s="110">
        <f t="shared" si="547"/>
        <v>11.5</v>
      </c>
      <c r="P527" s="110">
        <f t="shared" si="548"/>
        <v>19.5</v>
      </c>
      <c r="Q527" s="111">
        <f>VLOOKUP(VLOOKUP(DATEVALUE(TEXT(A527,"m/d/yyyy")),FY24_Temp[],5,FALSE)&amp;TEXT(A527,"-h"),TempDelta[],4,FALSE)</f>
        <v>2.300714305468968</v>
      </c>
      <c r="R527" s="112">
        <v>10</v>
      </c>
      <c r="S527" s="112">
        <v>1500</v>
      </c>
      <c r="T527" s="99">
        <f>VLOOKUP(TEXT(A527,"yy-mm")&amp;"-"&amp;IF(AND(WEEKDAY(A527)&gt;1,WEEKDAY(A527)&lt;7),"Wkd",TEXT(A527,"Ddd"))&amp;"-"&amp;TEXT(A527,"hh"),LoadTable[],3,FALSE)*0.92</f>
        <v>494.57360000000006</v>
      </c>
      <c r="U527" s="113">
        <f t="shared" si="549"/>
        <v>49.457360000000008</v>
      </c>
    </row>
    <row r="528" spans="1:21" ht="15" thickBot="1">
      <c r="A528" s="29">
        <f t="shared" si="519"/>
        <v>45857.875000000706</v>
      </c>
      <c r="B528" s="187">
        <f t="shared" ref="B528:L528" si="561">B552</f>
        <v>5000</v>
      </c>
      <c r="C528" s="187">
        <f t="shared" si="561"/>
        <v>25000</v>
      </c>
      <c r="D528" s="187">
        <v>0</v>
      </c>
      <c r="E528" s="187">
        <v>700</v>
      </c>
      <c r="F528" s="187">
        <v>15000</v>
      </c>
      <c r="G528" s="187">
        <f t="shared" si="561"/>
        <v>2400</v>
      </c>
      <c r="H528" s="187">
        <f t="shared" si="561"/>
        <v>25000</v>
      </c>
      <c r="I528" s="187">
        <f t="shared" si="561"/>
        <v>5000</v>
      </c>
      <c r="J528" s="187">
        <v>40000</v>
      </c>
      <c r="K528" s="187">
        <f t="shared" si="561"/>
        <v>5000</v>
      </c>
      <c r="L528" s="187">
        <v>40000</v>
      </c>
      <c r="M528" s="110">
        <v>9.5</v>
      </c>
      <c r="N528" s="110">
        <f>VLOOKUP(DATE(YEAR(A528),MONTH(A528),DAY(A528)),FY24_Temp[],3,FALSE)</f>
        <v>12.8</v>
      </c>
      <c r="O528" s="110">
        <f t="shared" si="547"/>
        <v>11.5</v>
      </c>
      <c r="P528" s="110">
        <f t="shared" si="548"/>
        <v>19.5</v>
      </c>
      <c r="Q528" s="111">
        <f>VLOOKUP(VLOOKUP(DATEVALUE(TEXT(A528,"m/d/yyyy")),FY24_Temp[],5,FALSE)&amp;TEXT(A528,"-h"),TempDelta[],4,FALSE)</f>
        <v>2.554214222090585</v>
      </c>
      <c r="R528" s="112">
        <v>10</v>
      </c>
      <c r="S528" s="112">
        <v>1500</v>
      </c>
      <c r="T528" s="99">
        <f>VLOOKUP(TEXT(A528,"yy-mm")&amp;"-"&amp;IF(AND(WEEKDAY(A528)&gt;1,WEEKDAY(A528)&lt;7),"Wkd",TEXT(A528,"Ddd"))&amp;"-"&amp;TEXT(A528,"hh"),LoadTable[],3,FALSE)*0.92</f>
        <v>494.57360000000006</v>
      </c>
      <c r="U528" s="113">
        <f t="shared" si="549"/>
        <v>49.457360000000008</v>
      </c>
    </row>
    <row r="529" spans="1:21" ht="15" thickBot="1">
      <c r="A529" s="29">
        <f t="shared" si="519"/>
        <v>45857.91666666737</v>
      </c>
      <c r="B529" s="187">
        <f t="shared" ref="B529:L529" si="562">B553</f>
        <v>5000</v>
      </c>
      <c r="C529" s="187">
        <f t="shared" si="562"/>
        <v>25000</v>
      </c>
      <c r="D529" s="187">
        <v>0</v>
      </c>
      <c r="E529" s="187">
        <v>700</v>
      </c>
      <c r="F529" s="187">
        <v>15000</v>
      </c>
      <c r="G529" s="187">
        <f t="shared" si="562"/>
        <v>2400</v>
      </c>
      <c r="H529" s="187">
        <f t="shared" si="562"/>
        <v>25000</v>
      </c>
      <c r="I529" s="187">
        <f t="shared" si="562"/>
        <v>5000</v>
      </c>
      <c r="J529" s="187">
        <v>40000</v>
      </c>
      <c r="K529" s="187">
        <f t="shared" si="562"/>
        <v>5000</v>
      </c>
      <c r="L529" s="187">
        <v>40000</v>
      </c>
      <c r="M529" s="110">
        <v>9.5</v>
      </c>
      <c r="N529" s="110">
        <f>VLOOKUP(DATE(YEAR(A529),MONTH(A529),DAY(A529)),FY24_Temp[],3,FALSE)</f>
        <v>12.8</v>
      </c>
      <c r="O529" s="110">
        <f t="shared" si="547"/>
        <v>11.5</v>
      </c>
      <c r="P529" s="110">
        <f t="shared" si="548"/>
        <v>19.5</v>
      </c>
      <c r="Q529" s="111">
        <f>VLOOKUP(VLOOKUP(DATEVALUE(TEXT(A529,"m/d/yyyy")),FY24_Temp[],5,FALSE)&amp;TEXT(A529,"-h"),TempDelta[],4,FALSE)</f>
        <v>2.7827142647334506</v>
      </c>
      <c r="R529" s="112">
        <v>10</v>
      </c>
      <c r="S529" s="112">
        <v>1500</v>
      </c>
      <c r="T529" s="99">
        <f>VLOOKUP(TEXT(A529,"yy-mm")&amp;"-"&amp;IF(AND(WEEKDAY(A529)&gt;1,WEEKDAY(A529)&lt;7),"Wkd",TEXT(A529,"Ddd"))&amp;"-"&amp;TEXT(A529,"hh"),LoadTable[],3,FALSE)*0.92</f>
        <v>418.75640000000004</v>
      </c>
      <c r="U529" s="113">
        <f t="shared" si="549"/>
        <v>41.875640000000004</v>
      </c>
    </row>
    <row r="530" spans="1:21" ht="15" thickBot="1">
      <c r="A530" s="29">
        <f t="shared" si="519"/>
        <v>45857.958333334034</v>
      </c>
      <c r="B530" s="187">
        <f t="shared" ref="B530:L530" si="563">B554</f>
        <v>5000</v>
      </c>
      <c r="C530" s="187">
        <f t="shared" si="563"/>
        <v>25000</v>
      </c>
      <c r="D530" s="187">
        <v>0</v>
      </c>
      <c r="E530" s="187">
        <v>700</v>
      </c>
      <c r="F530" s="187">
        <v>15000</v>
      </c>
      <c r="G530" s="187">
        <f t="shared" si="563"/>
        <v>2400</v>
      </c>
      <c r="H530" s="187">
        <f t="shared" si="563"/>
        <v>25000</v>
      </c>
      <c r="I530" s="187">
        <f t="shared" si="563"/>
        <v>5000</v>
      </c>
      <c r="J530" s="187">
        <v>40000</v>
      </c>
      <c r="K530" s="187">
        <f t="shared" si="563"/>
        <v>5000</v>
      </c>
      <c r="L530" s="187">
        <v>40000</v>
      </c>
      <c r="M530" s="110">
        <v>9.5</v>
      </c>
      <c r="N530" s="110">
        <f>VLOOKUP(DATE(YEAR(A530),MONTH(A530),DAY(A530)),FY24_Temp[],3,FALSE)</f>
        <v>12.8</v>
      </c>
      <c r="O530" s="110">
        <f t="shared" si="547"/>
        <v>11.5</v>
      </c>
      <c r="P530" s="110">
        <f t="shared" si="548"/>
        <v>19.5</v>
      </c>
      <c r="Q530" s="111">
        <f>VLOOKUP(VLOOKUP(DATEVALUE(TEXT(A530,"m/d/yyyy")),FY24_Temp[],5,FALSE)&amp;TEXT(A530,"-h"),TempDelta[],4,FALSE)</f>
        <v>2.8792857101985385</v>
      </c>
      <c r="R530" s="112">
        <v>10</v>
      </c>
      <c r="S530" s="112">
        <v>1500</v>
      </c>
      <c r="T530" s="99">
        <f>VLOOKUP(TEXT(A530,"yy-mm")&amp;"-"&amp;IF(AND(WEEKDAY(A530)&gt;1,WEEKDAY(A530)&lt;7),"Wkd",TEXT(A530,"Ddd"))&amp;"-"&amp;TEXT(A530,"hh"),LoadTable[],3,FALSE)*0.92</f>
        <v>342.93920000000003</v>
      </c>
      <c r="U530" s="113">
        <f t="shared" si="549"/>
        <v>34.29392</v>
      </c>
    </row>
    <row r="531" spans="1:21" ht="15" thickBot="1">
      <c r="A531" s="29">
        <f t="shared" si="519"/>
        <v>45858.000000000698</v>
      </c>
      <c r="B531" s="187">
        <f t="shared" ref="B531:L531" si="564">B555</f>
        <v>5000</v>
      </c>
      <c r="C531" s="187">
        <f t="shared" si="564"/>
        <v>25000</v>
      </c>
      <c r="D531" s="187">
        <v>0</v>
      </c>
      <c r="E531" s="187">
        <v>700</v>
      </c>
      <c r="F531" s="187">
        <v>15000</v>
      </c>
      <c r="G531" s="187">
        <f t="shared" si="564"/>
        <v>2400</v>
      </c>
      <c r="H531" s="187">
        <f t="shared" si="564"/>
        <v>25000</v>
      </c>
      <c r="I531" s="187">
        <f t="shared" si="564"/>
        <v>5000</v>
      </c>
      <c r="J531" s="187">
        <v>40000</v>
      </c>
      <c r="K531" s="187">
        <f t="shared" si="564"/>
        <v>5000</v>
      </c>
      <c r="L531" s="187">
        <v>40000</v>
      </c>
      <c r="M531" s="110">
        <v>9.5</v>
      </c>
      <c r="N531" s="110">
        <f>VLOOKUP(DATE(YEAR(A531),MONTH(A531),DAY(A531)),FY24_Temp[],3,FALSE)</f>
        <v>12.8</v>
      </c>
      <c r="O531" s="110">
        <f t="shared" si="547"/>
        <v>11.5</v>
      </c>
      <c r="P531" s="110">
        <f t="shared" si="548"/>
        <v>19.5</v>
      </c>
      <c r="Q531" s="111">
        <f>VLOOKUP(VLOOKUP(DATEVALUE(TEXT(A531,"m/d/yyyy")),FY24_Temp[],5,FALSE)&amp;TEXT(A531,"-h"),TempDelta[],4,FALSE)</f>
        <v>3.0441428933824812</v>
      </c>
      <c r="R531" s="112">
        <v>10</v>
      </c>
      <c r="S531" s="112">
        <v>1500</v>
      </c>
      <c r="T531" s="99">
        <f>VLOOKUP(TEXT(A531,"yy-mm")&amp;"-"&amp;IF(AND(WEEKDAY(A531)&gt;1,WEEKDAY(A531)&lt;7),"Wkd",TEXT(A531,"Ddd"))&amp;"-"&amp;TEXT(A531,"hh"),LoadTable[],3,FALSE)*0.92</f>
        <v>279.25312000000002</v>
      </c>
      <c r="U531" s="113">
        <f t="shared" si="549"/>
        <v>27.925312000000002</v>
      </c>
    </row>
    <row r="532" spans="1:21" ht="15" thickBot="1">
      <c r="A532" s="29">
        <f t="shared" si="519"/>
        <v>45858.041666667363</v>
      </c>
      <c r="B532" s="187">
        <f t="shared" ref="B532:L532" si="565">B556</f>
        <v>5000</v>
      </c>
      <c r="C532" s="187">
        <f t="shared" si="565"/>
        <v>25000</v>
      </c>
      <c r="D532" s="187">
        <v>0</v>
      </c>
      <c r="E532" s="187">
        <v>700</v>
      </c>
      <c r="F532" s="187">
        <v>15000</v>
      </c>
      <c r="G532" s="187">
        <f t="shared" si="565"/>
        <v>2400</v>
      </c>
      <c r="H532" s="187">
        <f t="shared" si="565"/>
        <v>25000</v>
      </c>
      <c r="I532" s="187">
        <f t="shared" si="565"/>
        <v>5000</v>
      </c>
      <c r="J532" s="187">
        <v>40000</v>
      </c>
      <c r="K532" s="187">
        <f t="shared" si="565"/>
        <v>5000</v>
      </c>
      <c r="L532" s="187">
        <v>40000</v>
      </c>
      <c r="M532" s="110">
        <v>9.5</v>
      </c>
      <c r="N532" s="110">
        <f>VLOOKUP(DATE(YEAR(A532),MONTH(A532),DAY(A532)),FY24_Temp[],3,FALSE)</f>
        <v>12.8</v>
      </c>
      <c r="O532" s="110">
        <f t="shared" si="547"/>
        <v>11.5</v>
      </c>
      <c r="P532" s="110">
        <f t="shared" si="548"/>
        <v>19.5</v>
      </c>
      <c r="Q532" s="111">
        <f>VLOOKUP(VLOOKUP(DATEVALUE(TEXT(A532,"m/d/yyyy")),FY24_Temp[],5,FALSE)&amp;TEXT(A532,"-h"),TempDelta[],4,FALSE)</f>
        <v>3.0992857047489712</v>
      </c>
      <c r="R532" s="112">
        <v>10</v>
      </c>
      <c r="S532" s="112">
        <v>1500</v>
      </c>
      <c r="T532" s="99">
        <f>VLOOKUP(TEXT(A532,"yy-mm")&amp;"-"&amp;IF(AND(WEEKDAY(A532)&gt;1,WEEKDAY(A532)&lt;7),"Wkd",TEXT(A532,"Ddd"))&amp;"-"&amp;TEXT(A532,"hh"),LoadTable[],3,FALSE)*0.92</f>
        <v>279.25312000000002</v>
      </c>
      <c r="U532" s="113">
        <f t="shared" si="549"/>
        <v>27.925312000000002</v>
      </c>
    </row>
    <row r="533" spans="1:21" ht="15" thickBot="1">
      <c r="A533" s="29">
        <f t="shared" si="519"/>
        <v>45858.083333334027</v>
      </c>
      <c r="B533" s="187">
        <f t="shared" ref="B533:L533" si="566">B557</f>
        <v>5000</v>
      </c>
      <c r="C533" s="187">
        <f t="shared" si="566"/>
        <v>25000</v>
      </c>
      <c r="D533" s="187">
        <v>0</v>
      </c>
      <c r="E533" s="187">
        <v>700</v>
      </c>
      <c r="F533" s="187">
        <v>15000</v>
      </c>
      <c r="G533" s="187">
        <f t="shared" si="566"/>
        <v>2400</v>
      </c>
      <c r="H533" s="187">
        <f t="shared" si="566"/>
        <v>25000</v>
      </c>
      <c r="I533" s="187">
        <f t="shared" si="566"/>
        <v>5000</v>
      </c>
      <c r="J533" s="187">
        <v>40000</v>
      </c>
      <c r="K533" s="187">
        <f t="shared" si="566"/>
        <v>5000</v>
      </c>
      <c r="L533" s="187">
        <v>40000</v>
      </c>
      <c r="M533" s="110">
        <v>9.5</v>
      </c>
      <c r="N533" s="110">
        <f>VLOOKUP(DATE(YEAR(A533),MONTH(A533),DAY(A533)),FY24_Temp[],3,FALSE)</f>
        <v>12.8</v>
      </c>
      <c r="O533" s="110">
        <f t="shared" si="547"/>
        <v>11.5</v>
      </c>
      <c r="P533" s="110">
        <f t="shared" si="548"/>
        <v>19.5</v>
      </c>
      <c r="Q533" s="111">
        <f>VLOOKUP(VLOOKUP(DATEVALUE(TEXT(A533,"m/d/yyyy")),FY24_Temp[],5,FALSE)&amp;TEXT(A533,"-h"),TempDelta[],4,FALSE)</f>
        <v>3.1050000190734863</v>
      </c>
      <c r="R533" s="112">
        <v>10</v>
      </c>
      <c r="S533" s="112">
        <v>1500</v>
      </c>
      <c r="T533" s="99">
        <f>VLOOKUP(TEXT(A533,"yy-mm")&amp;"-"&amp;IF(AND(WEEKDAY(A533)&gt;1,WEEKDAY(A533)&lt;7),"Wkd",TEXT(A533,"Ddd"))&amp;"-"&amp;TEXT(A533,"hh"),LoadTable[],3,FALSE)*0.92</f>
        <v>279.25312000000002</v>
      </c>
      <c r="U533" s="113">
        <f t="shared" si="549"/>
        <v>27.925312000000002</v>
      </c>
    </row>
    <row r="534" spans="1:21" ht="15" thickBot="1">
      <c r="A534" s="29">
        <f t="shared" si="519"/>
        <v>45858.125000000691</v>
      </c>
      <c r="B534" s="187">
        <f t="shared" ref="B534:L534" si="567">B558</f>
        <v>5000</v>
      </c>
      <c r="C534" s="187">
        <f t="shared" si="567"/>
        <v>25000</v>
      </c>
      <c r="D534" s="187">
        <v>0</v>
      </c>
      <c r="E534" s="187">
        <v>700</v>
      </c>
      <c r="F534" s="187">
        <v>15000</v>
      </c>
      <c r="G534" s="187">
        <f t="shared" si="567"/>
        <v>2400</v>
      </c>
      <c r="H534" s="187">
        <f t="shared" si="567"/>
        <v>25000</v>
      </c>
      <c r="I534" s="187">
        <f t="shared" si="567"/>
        <v>5000</v>
      </c>
      <c r="J534" s="187">
        <v>40000</v>
      </c>
      <c r="K534" s="187">
        <f t="shared" si="567"/>
        <v>5000</v>
      </c>
      <c r="L534" s="187">
        <v>40000</v>
      </c>
      <c r="M534" s="110">
        <v>9.5</v>
      </c>
      <c r="N534" s="110">
        <f>VLOOKUP(DATE(YEAR(A534),MONTH(A534),DAY(A534)),FY24_Temp[],3,FALSE)</f>
        <v>12.8</v>
      </c>
      <c r="O534" s="110">
        <f t="shared" si="547"/>
        <v>11.5</v>
      </c>
      <c r="P534" s="110">
        <f t="shared" si="548"/>
        <v>19.5</v>
      </c>
      <c r="Q534" s="111">
        <f>VLOOKUP(VLOOKUP(DATEVALUE(TEXT(A534,"m/d/yyyy")),FY24_Temp[],5,FALSE)&amp;TEXT(A534,"-h"),TempDelta[],4,FALSE)</f>
        <v>3.0428571701049805</v>
      </c>
      <c r="R534" s="112">
        <v>10</v>
      </c>
      <c r="S534" s="112">
        <v>1500</v>
      </c>
      <c r="T534" s="99">
        <f>VLOOKUP(TEXT(A534,"yy-mm")&amp;"-"&amp;IF(AND(WEEKDAY(A534)&gt;1,WEEKDAY(A534)&lt;7),"Wkd",TEXT(A534,"Ddd"))&amp;"-"&amp;TEXT(A534,"hh"),LoadTable[],3,FALSE)*0.92</f>
        <v>279.25312000000002</v>
      </c>
      <c r="U534" s="113">
        <f t="shared" si="549"/>
        <v>27.925312000000002</v>
      </c>
    </row>
    <row r="535" spans="1:21" ht="15" thickBot="1">
      <c r="A535" s="29">
        <f t="shared" si="519"/>
        <v>45858.166666667355</v>
      </c>
      <c r="B535" s="187">
        <f t="shared" ref="B535:L535" si="568">B559</f>
        <v>5000</v>
      </c>
      <c r="C535" s="187">
        <f t="shared" si="568"/>
        <v>25000</v>
      </c>
      <c r="D535" s="187">
        <v>0</v>
      </c>
      <c r="E535" s="187">
        <v>700</v>
      </c>
      <c r="F535" s="187">
        <v>15000</v>
      </c>
      <c r="G535" s="187">
        <f t="shared" si="568"/>
        <v>2400</v>
      </c>
      <c r="H535" s="187">
        <f t="shared" si="568"/>
        <v>25000</v>
      </c>
      <c r="I535" s="187">
        <f t="shared" si="568"/>
        <v>5000</v>
      </c>
      <c r="J535" s="187">
        <v>40000</v>
      </c>
      <c r="K535" s="187">
        <f t="shared" si="568"/>
        <v>5000</v>
      </c>
      <c r="L535" s="187">
        <v>40000</v>
      </c>
      <c r="M535" s="110">
        <v>9.5</v>
      </c>
      <c r="N535" s="110">
        <f>VLOOKUP(DATE(YEAR(A535),MONTH(A535),DAY(A535)),FY24_Temp[],3,FALSE)</f>
        <v>12.8</v>
      </c>
      <c r="O535" s="110">
        <f t="shared" si="547"/>
        <v>11.5</v>
      </c>
      <c r="P535" s="110">
        <f t="shared" si="548"/>
        <v>19.5</v>
      </c>
      <c r="Q535" s="111">
        <f>VLOOKUP(VLOOKUP(DATEVALUE(TEXT(A535,"m/d/yyyy")),FY24_Temp[],5,FALSE)&amp;TEXT(A535,"-h"),TempDelta[],4,FALSE)</f>
        <v>2.9580000468662808</v>
      </c>
      <c r="R535" s="112">
        <v>10</v>
      </c>
      <c r="S535" s="112">
        <v>1500</v>
      </c>
      <c r="T535" s="99">
        <f>VLOOKUP(TEXT(A535,"yy-mm")&amp;"-"&amp;IF(AND(WEEKDAY(A535)&gt;1,WEEKDAY(A535)&lt;7),"Wkd",TEXT(A535,"Ddd"))&amp;"-"&amp;TEXT(A535,"hh"),LoadTable[],3,FALSE)*0.92</f>
        <v>279.25312000000002</v>
      </c>
      <c r="U535" s="113">
        <f t="shared" si="549"/>
        <v>27.925312000000002</v>
      </c>
    </row>
    <row r="536" spans="1:21" ht="15" thickBot="1">
      <c r="A536" s="29">
        <f t="shared" si="519"/>
        <v>45858.20833333402</v>
      </c>
      <c r="B536" s="187">
        <f t="shared" ref="B536:L536" si="569">B560</f>
        <v>5000</v>
      </c>
      <c r="C536" s="187">
        <f t="shared" si="569"/>
        <v>25000</v>
      </c>
      <c r="D536" s="187">
        <v>0</v>
      </c>
      <c r="E536" s="187">
        <v>700</v>
      </c>
      <c r="F536" s="187">
        <v>15000</v>
      </c>
      <c r="G536" s="187">
        <f t="shared" si="569"/>
        <v>2400</v>
      </c>
      <c r="H536" s="187">
        <f t="shared" si="569"/>
        <v>25000</v>
      </c>
      <c r="I536" s="187">
        <f t="shared" si="569"/>
        <v>5000</v>
      </c>
      <c r="J536" s="187">
        <v>40000</v>
      </c>
      <c r="K536" s="187">
        <f t="shared" si="569"/>
        <v>5000</v>
      </c>
      <c r="L536" s="187">
        <v>40000</v>
      </c>
      <c r="M536" s="110">
        <v>9.5</v>
      </c>
      <c r="N536" s="110">
        <f>VLOOKUP(DATE(YEAR(A536),MONTH(A536),DAY(A536)),FY24_Temp[],3,FALSE)</f>
        <v>12.8</v>
      </c>
      <c r="O536" s="110">
        <f t="shared" si="547"/>
        <v>11.5</v>
      </c>
      <c r="P536" s="110">
        <f t="shared" si="548"/>
        <v>19.5</v>
      </c>
      <c r="Q536" s="111">
        <f>VLOOKUP(VLOOKUP(DATEVALUE(TEXT(A536,"m/d/yyyy")),FY24_Temp[],5,FALSE)&amp;TEXT(A536,"-h"),TempDelta[],4,FALSE)</f>
        <v>2.8608571801866804</v>
      </c>
      <c r="R536" s="112">
        <v>10</v>
      </c>
      <c r="S536" s="112">
        <v>1500</v>
      </c>
      <c r="T536" s="99">
        <f>VLOOKUP(TEXT(A536,"yy-mm")&amp;"-"&amp;IF(AND(WEEKDAY(A536)&gt;1,WEEKDAY(A536)&lt;7),"Wkd",TEXT(A536,"Ddd"))&amp;"-"&amp;TEXT(A536,"hh"),LoadTable[],3,FALSE)*0.92</f>
        <v>279.25312000000002</v>
      </c>
      <c r="U536" s="113">
        <f t="shared" si="549"/>
        <v>27.925312000000002</v>
      </c>
    </row>
    <row r="537" spans="1:21" ht="15" thickBot="1">
      <c r="A537" s="29">
        <f t="shared" si="519"/>
        <v>45858.250000000684</v>
      </c>
      <c r="B537" s="187">
        <f t="shared" ref="B537:L537" si="570">B561</f>
        <v>8000</v>
      </c>
      <c r="C537" s="187">
        <f t="shared" si="570"/>
        <v>25000</v>
      </c>
      <c r="D537" s="187">
        <v>0</v>
      </c>
      <c r="E537" s="187">
        <v>700</v>
      </c>
      <c r="F537" s="187">
        <v>15000</v>
      </c>
      <c r="G537" s="187">
        <f t="shared" si="570"/>
        <v>2400</v>
      </c>
      <c r="H537" s="187">
        <f t="shared" si="570"/>
        <v>25000</v>
      </c>
      <c r="I537" s="187">
        <f t="shared" si="570"/>
        <v>8000</v>
      </c>
      <c r="J537" s="187">
        <v>40000</v>
      </c>
      <c r="K537" s="187">
        <f t="shared" si="570"/>
        <v>8000</v>
      </c>
      <c r="L537" s="187">
        <v>40000</v>
      </c>
      <c r="M537" s="110">
        <v>9.5</v>
      </c>
      <c r="N537" s="110">
        <f>VLOOKUP(DATE(YEAR(A537),MONTH(A537),DAY(A537)),FY24_Temp[],3,FALSE)</f>
        <v>12.8</v>
      </c>
      <c r="O537" s="110">
        <f t="shared" si="547"/>
        <v>11.5</v>
      </c>
      <c r="P537" s="110">
        <f t="shared" si="548"/>
        <v>19.5</v>
      </c>
      <c r="Q537" s="111">
        <f>VLOOKUP(VLOOKUP(DATEVALUE(TEXT(A537,"m/d/yyyy")),FY24_Temp[],5,FALSE)&amp;TEXT(A537,"-h"),TempDelta[],4,FALSE)</f>
        <v>2.7405714307512556</v>
      </c>
      <c r="R537" s="112">
        <v>10</v>
      </c>
      <c r="S537" s="112">
        <v>1500</v>
      </c>
      <c r="T537" s="99">
        <f>VLOOKUP(TEXT(A537,"yy-mm")&amp;"-"&amp;IF(AND(WEEKDAY(A537)&gt;1,WEEKDAY(A537)&lt;7),"Wkd",TEXT(A537,"Ddd"))&amp;"-"&amp;TEXT(A537,"hh"),LoadTable[],3,FALSE)*0.92</f>
        <v>279.25312000000002</v>
      </c>
      <c r="U537" s="113">
        <f t="shared" si="549"/>
        <v>27.925312000000002</v>
      </c>
    </row>
    <row r="538" spans="1:21" ht="15" thickBot="1">
      <c r="A538" s="29">
        <f t="shared" si="519"/>
        <v>45858.291666667348</v>
      </c>
      <c r="B538" s="187">
        <f t="shared" ref="B538:L538" si="571">B562</f>
        <v>8000</v>
      </c>
      <c r="C538" s="187">
        <f t="shared" si="571"/>
        <v>25000</v>
      </c>
      <c r="D538" s="187">
        <v>0</v>
      </c>
      <c r="E538" s="187">
        <v>700</v>
      </c>
      <c r="F538" s="187">
        <v>15000</v>
      </c>
      <c r="G538" s="187">
        <f t="shared" si="571"/>
        <v>2400</v>
      </c>
      <c r="H538" s="187">
        <f t="shared" si="571"/>
        <v>25000</v>
      </c>
      <c r="I538" s="187">
        <f t="shared" si="571"/>
        <v>8000</v>
      </c>
      <c r="J538" s="187">
        <v>40000</v>
      </c>
      <c r="K538" s="187">
        <f t="shared" si="571"/>
        <v>8000</v>
      </c>
      <c r="L538" s="187">
        <v>40000</v>
      </c>
      <c r="M538" s="110">
        <v>9.5</v>
      </c>
      <c r="N538" s="110">
        <f>VLOOKUP(DATE(YEAR(A538),MONTH(A538),DAY(A538)),FY24_Temp[],3,FALSE)</f>
        <v>12.8</v>
      </c>
      <c r="O538" s="110">
        <f t="shared" si="547"/>
        <v>11.5</v>
      </c>
      <c r="P538" s="110">
        <f t="shared" si="548"/>
        <v>19.5</v>
      </c>
      <c r="Q538" s="111">
        <f>VLOOKUP(VLOOKUP(DATEVALUE(TEXT(A538,"m/d/yyyy")),FY24_Temp[],5,FALSE)&amp;TEXT(A538,"-h"),TempDelta[],4,FALSE)</f>
        <v>2.6134285245622908</v>
      </c>
      <c r="R538" s="112">
        <v>10</v>
      </c>
      <c r="S538" s="112">
        <v>1500</v>
      </c>
      <c r="T538" s="99">
        <f>VLOOKUP(TEXT(A538,"yy-mm")&amp;"-"&amp;IF(AND(WEEKDAY(A538)&gt;1,WEEKDAY(A538)&lt;7),"Wkd",TEXT(A538,"Ddd"))&amp;"-"&amp;TEXT(A538,"hh"),LoadTable[],3,FALSE)*0.92</f>
        <v>279.25312000000002</v>
      </c>
      <c r="U538" s="113">
        <f t="shared" si="549"/>
        <v>27.925312000000002</v>
      </c>
    </row>
    <row r="539" spans="1:21" ht="15" thickBot="1">
      <c r="A539" s="29">
        <f t="shared" si="519"/>
        <v>45858.333333334012</v>
      </c>
      <c r="B539" s="187">
        <f t="shared" ref="B539:L539" si="572">B563</f>
        <v>8000</v>
      </c>
      <c r="C539" s="187">
        <f t="shared" si="572"/>
        <v>25000</v>
      </c>
      <c r="D539" s="187">
        <v>0</v>
      </c>
      <c r="E539" s="187">
        <v>700</v>
      </c>
      <c r="F539" s="187">
        <v>15000</v>
      </c>
      <c r="G539" s="187">
        <f t="shared" si="572"/>
        <v>2400</v>
      </c>
      <c r="H539" s="187">
        <f t="shared" si="572"/>
        <v>25000</v>
      </c>
      <c r="I539" s="187">
        <f t="shared" si="572"/>
        <v>8000</v>
      </c>
      <c r="J539" s="187">
        <v>40000</v>
      </c>
      <c r="K539" s="187">
        <f t="shared" si="572"/>
        <v>8000</v>
      </c>
      <c r="L539" s="187">
        <v>40000</v>
      </c>
      <c r="M539" s="110">
        <v>9.5</v>
      </c>
      <c r="N539" s="110">
        <f>VLOOKUP(DATE(YEAR(A539),MONTH(A539),DAY(A539)),FY24_Temp[],3,FALSE)</f>
        <v>12.8</v>
      </c>
      <c r="O539" s="110">
        <f t="shared" si="547"/>
        <v>11.5</v>
      </c>
      <c r="P539" s="110">
        <f t="shared" si="548"/>
        <v>19.5</v>
      </c>
      <c r="Q539" s="111">
        <f>VLOOKUP(VLOOKUP(DATEVALUE(TEXT(A539,"m/d/yyyy")),FY24_Temp[],5,FALSE)&amp;TEXT(A539,"-h"),TempDelta[],4,FALSE)</f>
        <v>2.44985716683524</v>
      </c>
      <c r="R539" s="112">
        <v>10</v>
      </c>
      <c r="S539" s="112">
        <v>1500</v>
      </c>
      <c r="T539" s="99">
        <f>VLOOKUP(TEXT(A539,"yy-mm")&amp;"-"&amp;IF(AND(WEEKDAY(A539)&gt;1,WEEKDAY(A539)&lt;7),"Wkd",TEXT(A539,"Ddd"))&amp;"-"&amp;TEXT(A539,"hh"),LoadTable[],3,FALSE)*0.92</f>
        <v>279.25312000000002</v>
      </c>
      <c r="U539" s="113">
        <f t="shared" si="549"/>
        <v>27.925312000000002</v>
      </c>
    </row>
    <row r="540" spans="1:21" ht="15" thickBot="1">
      <c r="A540" s="29">
        <f t="shared" si="519"/>
        <v>45858.375000000677</v>
      </c>
      <c r="B540" s="187">
        <f t="shared" ref="B540:L540" si="573">B564</f>
        <v>8000</v>
      </c>
      <c r="C540" s="187">
        <f t="shared" si="573"/>
        <v>25000</v>
      </c>
      <c r="D540" s="187">
        <v>0</v>
      </c>
      <c r="E540" s="187">
        <v>700</v>
      </c>
      <c r="F540" s="187">
        <v>15000</v>
      </c>
      <c r="G540" s="187">
        <f t="shared" si="573"/>
        <v>2400</v>
      </c>
      <c r="H540" s="187">
        <f t="shared" si="573"/>
        <v>25000</v>
      </c>
      <c r="I540" s="187">
        <f t="shared" si="573"/>
        <v>8000</v>
      </c>
      <c r="J540" s="187">
        <v>40000</v>
      </c>
      <c r="K540" s="187">
        <f t="shared" si="573"/>
        <v>8000</v>
      </c>
      <c r="L540" s="187">
        <v>40000</v>
      </c>
      <c r="M540" s="110">
        <v>9.5</v>
      </c>
      <c r="N540" s="110">
        <f>VLOOKUP(DATE(YEAR(A540),MONTH(A540),DAY(A540)),FY24_Temp[],3,FALSE)</f>
        <v>12.8</v>
      </c>
      <c r="O540" s="110">
        <f t="shared" si="547"/>
        <v>11.5</v>
      </c>
      <c r="P540" s="110">
        <f t="shared" si="548"/>
        <v>19.5</v>
      </c>
      <c r="Q540" s="111">
        <f>VLOOKUP(VLOOKUP(DATEVALUE(TEXT(A540,"m/d/yyyy")),FY24_Temp[],5,FALSE)&amp;TEXT(A540,"-h"),TempDelta[],4,FALSE)</f>
        <v>2.2458571025303433</v>
      </c>
      <c r="R540" s="112">
        <v>10</v>
      </c>
      <c r="S540" s="112">
        <v>1500</v>
      </c>
      <c r="T540" s="99">
        <f>VLOOKUP(TEXT(A540,"yy-mm")&amp;"-"&amp;IF(AND(WEEKDAY(A540)&gt;1,WEEKDAY(A540)&lt;7),"Wkd",TEXT(A540,"Ddd"))&amp;"-"&amp;TEXT(A540,"hh"),LoadTable[],3,FALSE)*0.92</f>
        <v>279.25312000000002</v>
      </c>
      <c r="U540" s="113">
        <f t="shared" si="549"/>
        <v>27.925312000000002</v>
      </c>
    </row>
    <row r="541" spans="1:21" ht="15" thickBot="1">
      <c r="A541" s="29">
        <f t="shared" si="519"/>
        <v>45858.416666667341</v>
      </c>
      <c r="B541" s="187">
        <f t="shared" ref="B541:L541" si="574">B565</f>
        <v>8000</v>
      </c>
      <c r="C541" s="187">
        <f t="shared" si="574"/>
        <v>25000</v>
      </c>
      <c r="D541" s="187">
        <v>0</v>
      </c>
      <c r="E541" s="187">
        <v>700</v>
      </c>
      <c r="F541" s="187">
        <v>15000</v>
      </c>
      <c r="G541" s="187">
        <f t="shared" si="574"/>
        <v>2400</v>
      </c>
      <c r="H541" s="187">
        <f t="shared" si="574"/>
        <v>25000</v>
      </c>
      <c r="I541" s="187">
        <f t="shared" si="574"/>
        <v>8000</v>
      </c>
      <c r="J541" s="187">
        <v>40000</v>
      </c>
      <c r="K541" s="187">
        <f t="shared" si="574"/>
        <v>8000</v>
      </c>
      <c r="L541" s="187">
        <v>40000</v>
      </c>
      <c r="M541" s="110">
        <v>9.5</v>
      </c>
      <c r="N541" s="110">
        <f>VLOOKUP(DATE(YEAR(A541),MONTH(A541),DAY(A541)),FY24_Temp[],3,FALSE)</f>
        <v>12.8</v>
      </c>
      <c r="O541" s="110">
        <f t="shared" si="547"/>
        <v>11.5</v>
      </c>
      <c r="P541" s="110">
        <f t="shared" si="548"/>
        <v>19.5</v>
      </c>
      <c r="Q541" s="111">
        <f>VLOOKUP(VLOOKUP(DATEVALUE(TEXT(A541,"m/d/yyyy")),FY24_Temp[],5,FALSE)&amp;TEXT(A541,"-h"),TempDelta[],4,FALSE)</f>
        <v>2.0832857234137401</v>
      </c>
      <c r="R541" s="112">
        <v>10</v>
      </c>
      <c r="S541" s="112">
        <v>1500</v>
      </c>
      <c r="T541" s="99">
        <f>VLOOKUP(TEXT(A541,"yy-mm")&amp;"-"&amp;IF(AND(WEEKDAY(A541)&gt;1,WEEKDAY(A541)&lt;7),"Wkd",TEXT(A541,"Ddd"))&amp;"-"&amp;TEXT(A541,"hh"),LoadTable[],3,FALSE)*0.92</f>
        <v>279.25312000000002</v>
      </c>
      <c r="U541" s="113">
        <f t="shared" si="549"/>
        <v>27.925312000000002</v>
      </c>
    </row>
    <row r="542" spans="1:21" ht="15" thickBot="1">
      <c r="A542" s="29">
        <f t="shared" si="519"/>
        <v>45858.458333334005</v>
      </c>
      <c r="B542" s="187">
        <f t="shared" ref="B542:L542" si="575">B566</f>
        <v>8000</v>
      </c>
      <c r="C542" s="187">
        <f t="shared" si="575"/>
        <v>25000</v>
      </c>
      <c r="D542" s="187">
        <v>0</v>
      </c>
      <c r="E542" s="187">
        <v>700</v>
      </c>
      <c r="F542" s="187">
        <v>15000</v>
      </c>
      <c r="G542" s="187">
        <f t="shared" si="575"/>
        <v>2400</v>
      </c>
      <c r="H542" s="187">
        <f t="shared" si="575"/>
        <v>25000</v>
      </c>
      <c r="I542" s="187">
        <f t="shared" si="575"/>
        <v>8000</v>
      </c>
      <c r="J542" s="187">
        <v>40000</v>
      </c>
      <c r="K542" s="187">
        <f t="shared" si="575"/>
        <v>8000</v>
      </c>
      <c r="L542" s="187">
        <v>40000</v>
      </c>
      <c r="M542" s="110">
        <v>9.5</v>
      </c>
      <c r="N542" s="110">
        <f>VLOOKUP(DATE(YEAR(A542),MONTH(A542),DAY(A542)),FY24_Temp[],3,FALSE)</f>
        <v>12.8</v>
      </c>
      <c r="O542" s="110">
        <f t="shared" si="547"/>
        <v>11.5</v>
      </c>
      <c r="P542" s="110">
        <f t="shared" si="548"/>
        <v>19.5</v>
      </c>
      <c r="Q542" s="111">
        <f>VLOOKUP(VLOOKUP(DATEVALUE(TEXT(A542,"m/d/yyyy")),FY24_Temp[],5,FALSE)&amp;TEXT(A542,"-h"),TempDelta[],4,FALSE)</f>
        <v>1.8928571258272444</v>
      </c>
      <c r="R542" s="112">
        <v>10</v>
      </c>
      <c r="S542" s="112">
        <v>1500</v>
      </c>
      <c r="T542" s="99">
        <f>VLOOKUP(TEXT(A542,"yy-mm")&amp;"-"&amp;IF(AND(WEEKDAY(A542)&gt;1,WEEKDAY(A542)&lt;7),"Wkd",TEXT(A542,"Ddd"))&amp;"-"&amp;TEXT(A542,"hh"),LoadTable[],3,FALSE)*0.92</f>
        <v>279.25312000000002</v>
      </c>
      <c r="U542" s="113">
        <f t="shared" si="549"/>
        <v>27.925312000000002</v>
      </c>
    </row>
    <row r="543" spans="1:21" ht="15" thickBot="1">
      <c r="A543" s="29">
        <f t="shared" si="519"/>
        <v>45858.500000000669</v>
      </c>
      <c r="B543" s="187">
        <f t="shared" ref="B543:L543" si="576">B567</f>
        <v>8000</v>
      </c>
      <c r="C543" s="187">
        <f t="shared" si="576"/>
        <v>25000</v>
      </c>
      <c r="D543" s="187">
        <v>0</v>
      </c>
      <c r="E543" s="187">
        <v>700</v>
      </c>
      <c r="F543" s="187">
        <v>15000</v>
      </c>
      <c r="G543" s="187">
        <f t="shared" si="576"/>
        <v>2400</v>
      </c>
      <c r="H543" s="187">
        <f t="shared" si="576"/>
        <v>25000</v>
      </c>
      <c r="I543" s="187">
        <f t="shared" si="576"/>
        <v>8000</v>
      </c>
      <c r="J543" s="187">
        <v>40000</v>
      </c>
      <c r="K543" s="187">
        <f t="shared" si="576"/>
        <v>8000</v>
      </c>
      <c r="L543" s="187">
        <v>40000</v>
      </c>
      <c r="M543" s="110">
        <v>9.5</v>
      </c>
      <c r="N543" s="110">
        <f>VLOOKUP(DATE(YEAR(A543),MONTH(A543),DAY(A543)),FY24_Temp[],3,FALSE)</f>
        <v>12.8</v>
      </c>
      <c r="O543" s="110">
        <f t="shared" si="547"/>
        <v>11.5</v>
      </c>
      <c r="P543" s="110">
        <f t="shared" si="548"/>
        <v>19.5</v>
      </c>
      <c r="Q543" s="111">
        <f>VLOOKUP(VLOOKUP(DATEVALUE(TEXT(A543,"m/d/yyyy")),FY24_Temp[],5,FALSE)&amp;TEXT(A543,"-h"),TempDelta[],4,FALSE)</f>
        <v>1.665857127734593</v>
      </c>
      <c r="R543" s="112">
        <v>10</v>
      </c>
      <c r="S543" s="112">
        <v>1500</v>
      </c>
      <c r="T543" s="99">
        <f>VLOOKUP(TEXT(A543,"yy-mm")&amp;"-"&amp;IF(AND(WEEKDAY(A543)&gt;1,WEEKDAY(A543)&lt;7),"Wkd",TEXT(A543,"Ddd"))&amp;"-"&amp;TEXT(A543,"hh"),LoadTable[],3,FALSE)*0.92</f>
        <v>279.25312000000002</v>
      </c>
      <c r="U543" s="113">
        <f t="shared" si="549"/>
        <v>27.925312000000002</v>
      </c>
    </row>
    <row r="544" spans="1:21" ht="15" thickBot="1">
      <c r="A544" s="29">
        <f t="shared" si="519"/>
        <v>45858.541666667334</v>
      </c>
      <c r="B544" s="187">
        <f t="shared" ref="B544:L544" si="577">B568</f>
        <v>8000</v>
      </c>
      <c r="C544" s="187">
        <f t="shared" si="577"/>
        <v>25000</v>
      </c>
      <c r="D544" s="187">
        <v>0</v>
      </c>
      <c r="E544" s="187">
        <v>700</v>
      </c>
      <c r="F544" s="187">
        <v>15000</v>
      </c>
      <c r="G544" s="187">
        <f t="shared" si="577"/>
        <v>2400</v>
      </c>
      <c r="H544" s="187">
        <f t="shared" si="577"/>
        <v>25000</v>
      </c>
      <c r="I544" s="187">
        <f t="shared" si="577"/>
        <v>8000</v>
      </c>
      <c r="J544" s="187">
        <v>40000</v>
      </c>
      <c r="K544" s="187">
        <f t="shared" si="577"/>
        <v>8000</v>
      </c>
      <c r="L544" s="187">
        <v>40000</v>
      </c>
      <c r="M544" s="110">
        <v>9.5</v>
      </c>
      <c r="N544" s="110">
        <f>VLOOKUP(DATE(YEAR(A544),MONTH(A544),DAY(A544)),FY24_Temp[],3,FALSE)</f>
        <v>12.8</v>
      </c>
      <c r="O544" s="110">
        <f t="shared" si="547"/>
        <v>11.5</v>
      </c>
      <c r="P544" s="110">
        <f t="shared" si="548"/>
        <v>19.5</v>
      </c>
      <c r="Q544" s="111">
        <f>VLOOKUP(VLOOKUP(DATEVALUE(TEXT(A544,"m/d/yyyy")),FY24_Temp[],5,FALSE)&amp;TEXT(A544,"-h"),TempDelta[],4,FALSE)</f>
        <v>1.4252856969833374</v>
      </c>
      <c r="R544" s="112">
        <v>10</v>
      </c>
      <c r="S544" s="112">
        <v>1500</v>
      </c>
      <c r="T544" s="99">
        <f>VLOOKUP(TEXT(A544,"yy-mm")&amp;"-"&amp;IF(AND(WEEKDAY(A544)&gt;1,WEEKDAY(A544)&lt;7),"Wkd",TEXT(A544,"Ddd"))&amp;"-"&amp;TEXT(A544,"hh"),LoadTable[],3,FALSE)*0.92</f>
        <v>279.25312000000002</v>
      </c>
      <c r="U544" s="113">
        <f t="shared" si="549"/>
        <v>27.925312000000002</v>
      </c>
    </row>
    <row r="545" spans="1:21" ht="15" thickBot="1">
      <c r="A545" s="29">
        <f t="shared" si="519"/>
        <v>45858.583333333998</v>
      </c>
      <c r="B545" s="187">
        <f t="shared" ref="B545:L545" si="578">B569</f>
        <v>8000</v>
      </c>
      <c r="C545" s="187">
        <f t="shared" si="578"/>
        <v>25000</v>
      </c>
      <c r="D545" s="187">
        <v>0</v>
      </c>
      <c r="E545" s="187">
        <v>700</v>
      </c>
      <c r="F545" s="187">
        <v>15000</v>
      </c>
      <c r="G545" s="187">
        <f t="shared" si="578"/>
        <v>2400</v>
      </c>
      <c r="H545" s="187">
        <f t="shared" si="578"/>
        <v>25000</v>
      </c>
      <c r="I545" s="187">
        <f t="shared" si="578"/>
        <v>8000</v>
      </c>
      <c r="J545" s="187">
        <v>40000</v>
      </c>
      <c r="K545" s="187">
        <f t="shared" si="578"/>
        <v>8000</v>
      </c>
      <c r="L545" s="187">
        <v>40000</v>
      </c>
      <c r="M545" s="110">
        <v>9.5</v>
      </c>
      <c r="N545" s="110">
        <f>VLOOKUP(DATE(YEAR(A545),MONTH(A545),DAY(A545)),FY24_Temp[],3,FALSE)</f>
        <v>12.8</v>
      </c>
      <c r="O545" s="110">
        <f t="shared" si="547"/>
        <v>11.5</v>
      </c>
      <c r="P545" s="110">
        <f t="shared" si="548"/>
        <v>19.5</v>
      </c>
      <c r="Q545" s="111">
        <f>VLOOKUP(VLOOKUP(DATEVALUE(TEXT(A545,"m/d/yyyy")),FY24_Temp[],5,FALSE)&amp;TEXT(A545,"-h"),TempDelta[],4,FALSE)</f>
        <v>1.2351428781236922</v>
      </c>
      <c r="R545" s="112">
        <v>10</v>
      </c>
      <c r="S545" s="112">
        <v>1500</v>
      </c>
      <c r="T545" s="99">
        <f>VLOOKUP(TEXT(A545,"yy-mm")&amp;"-"&amp;IF(AND(WEEKDAY(A545)&gt;1,WEEKDAY(A545)&lt;7),"Wkd",TEXT(A545,"Ddd"))&amp;"-"&amp;TEXT(A545,"hh"),LoadTable[],3,FALSE)*0.92</f>
        <v>279.25312000000002</v>
      </c>
      <c r="U545" s="113">
        <f t="shared" si="549"/>
        <v>27.925312000000002</v>
      </c>
    </row>
    <row r="546" spans="1:21" ht="15" thickBot="1">
      <c r="A546" s="29">
        <f t="shared" si="519"/>
        <v>45858.625000000662</v>
      </c>
      <c r="B546" s="187">
        <f t="shared" ref="B546:L546" si="579">B570</f>
        <v>8000</v>
      </c>
      <c r="C546" s="187">
        <f t="shared" si="579"/>
        <v>25000</v>
      </c>
      <c r="D546" s="187">
        <v>0</v>
      </c>
      <c r="E546" s="187">
        <v>700</v>
      </c>
      <c r="F546" s="187">
        <v>15000</v>
      </c>
      <c r="G546" s="187">
        <f t="shared" si="579"/>
        <v>2400</v>
      </c>
      <c r="H546" s="187">
        <f t="shared" si="579"/>
        <v>25000</v>
      </c>
      <c r="I546" s="187">
        <f t="shared" si="579"/>
        <v>8000</v>
      </c>
      <c r="J546" s="187">
        <v>40000</v>
      </c>
      <c r="K546" s="187">
        <f t="shared" si="579"/>
        <v>8000</v>
      </c>
      <c r="L546" s="187">
        <v>40000</v>
      </c>
      <c r="M546" s="110">
        <v>9.5</v>
      </c>
      <c r="N546" s="110">
        <f>VLOOKUP(DATE(YEAR(A546),MONTH(A546),DAY(A546)),FY24_Temp[],3,FALSE)</f>
        <v>12.8</v>
      </c>
      <c r="O546" s="110">
        <f t="shared" si="547"/>
        <v>11.5</v>
      </c>
      <c r="P546" s="110">
        <f t="shared" si="548"/>
        <v>19.5</v>
      </c>
      <c r="Q546" s="111">
        <f>VLOOKUP(VLOOKUP(DATEVALUE(TEXT(A546,"m/d/yyyy")),FY24_Temp[],5,FALSE)&amp;TEXT(A546,"-h"),TempDelta[],4,FALSE)</f>
        <v>0.97514284508568905</v>
      </c>
      <c r="R546" s="112">
        <v>10</v>
      </c>
      <c r="S546" s="112">
        <v>1500</v>
      </c>
      <c r="T546" s="99">
        <f>VLOOKUP(TEXT(A546,"yy-mm")&amp;"-"&amp;IF(AND(WEEKDAY(A546)&gt;1,WEEKDAY(A546)&lt;7),"Wkd",TEXT(A546,"Ddd"))&amp;"-"&amp;TEXT(A546,"hh"),LoadTable[],3,FALSE)*0.92</f>
        <v>400.56064000000003</v>
      </c>
      <c r="U546" s="113">
        <f t="shared" si="549"/>
        <v>40.056064000000006</v>
      </c>
    </row>
    <row r="547" spans="1:21" ht="15" thickBot="1">
      <c r="A547" s="29">
        <f t="shared" si="519"/>
        <v>45858.666666667326</v>
      </c>
      <c r="B547" s="187">
        <f t="shared" ref="B547:L547" si="580">B571</f>
        <v>8000</v>
      </c>
      <c r="C547" s="187">
        <f t="shared" si="580"/>
        <v>25000</v>
      </c>
      <c r="D547" s="187">
        <v>0</v>
      </c>
      <c r="E547" s="187">
        <v>700</v>
      </c>
      <c r="F547" s="187">
        <v>15000</v>
      </c>
      <c r="G547" s="187">
        <f t="shared" si="580"/>
        <v>2400</v>
      </c>
      <c r="H547" s="187">
        <f t="shared" si="580"/>
        <v>25000</v>
      </c>
      <c r="I547" s="187">
        <f t="shared" si="580"/>
        <v>8000</v>
      </c>
      <c r="J547" s="187">
        <v>40000</v>
      </c>
      <c r="K547" s="187">
        <f t="shared" si="580"/>
        <v>8000</v>
      </c>
      <c r="L547" s="187">
        <v>40000</v>
      </c>
      <c r="M547" s="110">
        <v>9.5</v>
      </c>
      <c r="N547" s="110">
        <f>VLOOKUP(DATE(YEAR(A547),MONTH(A547),DAY(A547)),FY24_Temp[],3,FALSE)</f>
        <v>12.8</v>
      </c>
      <c r="O547" s="110">
        <f t="shared" si="547"/>
        <v>11.5</v>
      </c>
      <c r="P547" s="110">
        <f t="shared" si="548"/>
        <v>19.5</v>
      </c>
      <c r="Q547" s="111">
        <f>VLOOKUP(VLOOKUP(DATEVALUE(TEXT(A547,"m/d/yyyy")),FY24_Temp[],5,FALSE)&amp;TEXT(A547,"-h"),TempDelta[],4,FALSE)</f>
        <v>0.88578571166310993</v>
      </c>
      <c r="R547" s="112">
        <v>10</v>
      </c>
      <c r="S547" s="112">
        <v>1500</v>
      </c>
      <c r="T547" s="99">
        <f>VLOOKUP(TEXT(A547,"yy-mm")&amp;"-"&amp;IF(AND(WEEKDAY(A547)&gt;1,WEEKDAY(A547)&lt;7),"Wkd",TEXT(A547,"Ddd"))&amp;"-"&amp;TEXT(A547,"hh"),LoadTable[],3,FALSE)*0.92</f>
        <v>473.62059999999997</v>
      </c>
      <c r="U547" s="113">
        <f t="shared" si="549"/>
        <v>47.36206</v>
      </c>
    </row>
    <row r="548" spans="1:21" ht="15" thickBot="1">
      <c r="A548" s="29">
        <f t="shared" si="519"/>
        <v>45858.708333333991</v>
      </c>
      <c r="B548" s="187">
        <f t="shared" ref="B548:L548" si="581">B572</f>
        <v>8000</v>
      </c>
      <c r="C548" s="187">
        <f t="shared" si="581"/>
        <v>25000</v>
      </c>
      <c r="D548" s="187">
        <v>0</v>
      </c>
      <c r="E548" s="187">
        <v>700</v>
      </c>
      <c r="F548" s="187">
        <v>15000</v>
      </c>
      <c r="G548" s="187">
        <f t="shared" si="581"/>
        <v>2400</v>
      </c>
      <c r="H548" s="187">
        <f t="shared" si="581"/>
        <v>25000</v>
      </c>
      <c r="I548" s="187">
        <f t="shared" si="581"/>
        <v>8000</v>
      </c>
      <c r="J548" s="187">
        <v>40000</v>
      </c>
      <c r="K548" s="187">
        <f t="shared" si="581"/>
        <v>8000</v>
      </c>
      <c r="L548" s="187">
        <v>40000</v>
      </c>
      <c r="M548" s="110">
        <v>9.5</v>
      </c>
      <c r="N548" s="110">
        <f>VLOOKUP(DATE(YEAR(A548),MONTH(A548),DAY(A548)),FY24_Temp[],3,FALSE)</f>
        <v>12.8</v>
      </c>
      <c r="O548" s="110">
        <f t="shared" si="547"/>
        <v>11.5</v>
      </c>
      <c r="P548" s="110">
        <f t="shared" si="548"/>
        <v>19.5</v>
      </c>
      <c r="Q548" s="111">
        <f>VLOOKUP(VLOOKUP(DATEVALUE(TEXT(A548,"m/d/yyyy")),FY24_Temp[],5,FALSE)&amp;TEXT(A548,"-h"),TempDelta[],4,FALSE)</f>
        <v>1.0356428495475225</v>
      </c>
      <c r="R548" s="112">
        <v>10</v>
      </c>
      <c r="S548" s="112">
        <v>1500</v>
      </c>
      <c r="T548" s="99">
        <f>VLOOKUP(TEXT(A548,"yy-mm")&amp;"-"&amp;IF(AND(WEEKDAY(A548)&gt;1,WEEKDAY(A548)&lt;7),"Wkd",TEXT(A548,"Ddd"))&amp;"-"&amp;TEXT(A548,"hh"),LoadTable[],3,FALSE)*0.92</f>
        <v>473.62059999999997</v>
      </c>
      <c r="U548" s="113">
        <f t="shared" si="549"/>
        <v>47.36206</v>
      </c>
    </row>
    <row r="549" spans="1:21" ht="15" thickBot="1">
      <c r="A549" s="29">
        <f t="shared" si="519"/>
        <v>45858.750000000655</v>
      </c>
      <c r="B549" s="187">
        <f t="shared" ref="B549:L549" si="582">B573</f>
        <v>5000</v>
      </c>
      <c r="C549" s="187">
        <f t="shared" si="582"/>
        <v>25000</v>
      </c>
      <c r="D549" s="187">
        <v>0</v>
      </c>
      <c r="E549" s="187">
        <v>700</v>
      </c>
      <c r="F549" s="187">
        <v>15000</v>
      </c>
      <c r="G549" s="187">
        <f t="shared" si="582"/>
        <v>2400</v>
      </c>
      <c r="H549" s="187">
        <f t="shared" si="582"/>
        <v>25000</v>
      </c>
      <c r="I549" s="187">
        <f t="shared" si="582"/>
        <v>5000</v>
      </c>
      <c r="J549" s="187">
        <v>40000</v>
      </c>
      <c r="K549" s="187">
        <f t="shared" si="582"/>
        <v>5000</v>
      </c>
      <c r="L549" s="187">
        <v>40000</v>
      </c>
      <c r="M549" s="110">
        <v>9.5</v>
      </c>
      <c r="N549" s="110">
        <f>VLOOKUP(DATE(YEAR(A549),MONTH(A549),DAY(A549)),FY24_Temp[],3,FALSE)</f>
        <v>12.8</v>
      </c>
      <c r="O549" s="110">
        <f t="shared" si="547"/>
        <v>11.5</v>
      </c>
      <c r="P549" s="110">
        <f t="shared" si="548"/>
        <v>19.5</v>
      </c>
      <c r="Q549" s="111">
        <f>VLOOKUP(VLOOKUP(DATEVALUE(TEXT(A549,"m/d/yyyy")),FY24_Temp[],5,FALSE)&amp;TEXT(A549,"-h"),TempDelta[],4,FALSE)</f>
        <v>1.3991428358214242</v>
      </c>
      <c r="R549" s="112">
        <v>10</v>
      </c>
      <c r="S549" s="112">
        <v>1500</v>
      </c>
      <c r="T549" s="99">
        <f>VLOOKUP(TEXT(A549,"yy-mm")&amp;"-"&amp;IF(AND(WEEKDAY(A549)&gt;1,WEEKDAY(A549)&lt;7),"Wkd",TEXT(A549,"Ddd"))&amp;"-"&amp;TEXT(A549,"hh"),LoadTable[],3,FALSE)*0.92</f>
        <v>494.57360000000006</v>
      </c>
      <c r="U549" s="113">
        <f t="shared" si="549"/>
        <v>49.457360000000008</v>
      </c>
    </row>
    <row r="550" spans="1:21" ht="15" thickBot="1">
      <c r="A550" s="29">
        <f t="shared" si="519"/>
        <v>45858.791666667319</v>
      </c>
      <c r="B550" s="187">
        <f t="shared" ref="B550:L550" si="583">B574</f>
        <v>5000</v>
      </c>
      <c r="C550" s="187">
        <f t="shared" si="583"/>
        <v>25000</v>
      </c>
      <c r="D550" s="187">
        <v>0</v>
      </c>
      <c r="E550" s="187">
        <v>700</v>
      </c>
      <c r="F550" s="187">
        <v>15000</v>
      </c>
      <c r="G550" s="187">
        <f t="shared" si="583"/>
        <v>2400</v>
      </c>
      <c r="H550" s="187">
        <f t="shared" si="583"/>
        <v>25000</v>
      </c>
      <c r="I550" s="187">
        <f t="shared" si="583"/>
        <v>5000</v>
      </c>
      <c r="J550" s="187">
        <v>40000</v>
      </c>
      <c r="K550" s="187">
        <f t="shared" si="583"/>
        <v>5000</v>
      </c>
      <c r="L550" s="187">
        <v>40000</v>
      </c>
      <c r="M550" s="110">
        <v>9.5</v>
      </c>
      <c r="N550" s="110">
        <f>VLOOKUP(DATE(YEAR(A550),MONTH(A550),DAY(A550)),FY24_Temp[],3,FALSE)</f>
        <v>12.8</v>
      </c>
      <c r="O550" s="110">
        <f t="shared" si="547"/>
        <v>11.5</v>
      </c>
      <c r="P550" s="110">
        <f t="shared" si="548"/>
        <v>19.5</v>
      </c>
      <c r="Q550" s="111">
        <f>VLOOKUP(VLOOKUP(DATEVALUE(TEXT(A550,"m/d/yyyy")),FY24_Temp[],5,FALSE)&amp;TEXT(A550,"-h"),TempDelta[],4,FALSE)</f>
        <v>1.8638571415628706</v>
      </c>
      <c r="R550" s="112">
        <v>10</v>
      </c>
      <c r="S550" s="112">
        <v>1500</v>
      </c>
      <c r="T550" s="99">
        <f>VLOOKUP(TEXT(A550,"yy-mm")&amp;"-"&amp;IF(AND(WEEKDAY(A550)&gt;1,WEEKDAY(A550)&lt;7),"Wkd",TEXT(A550,"Ddd"))&amp;"-"&amp;TEXT(A550,"hh"),LoadTable[],3,FALSE)*0.92</f>
        <v>494.57360000000006</v>
      </c>
      <c r="U550" s="113">
        <f t="shared" si="549"/>
        <v>49.457360000000008</v>
      </c>
    </row>
    <row r="551" spans="1:21" ht="15" thickBot="1">
      <c r="A551" s="29">
        <f t="shared" si="519"/>
        <v>45858.833333333983</v>
      </c>
      <c r="B551" s="187">
        <f t="shared" ref="B551:L551" si="584">B575</f>
        <v>5000</v>
      </c>
      <c r="C551" s="187">
        <f t="shared" si="584"/>
        <v>25000</v>
      </c>
      <c r="D551" s="187">
        <v>0</v>
      </c>
      <c r="E551" s="187">
        <v>700</v>
      </c>
      <c r="F551" s="187">
        <v>15000</v>
      </c>
      <c r="G551" s="187">
        <f t="shared" si="584"/>
        <v>2400</v>
      </c>
      <c r="H551" s="187">
        <f t="shared" si="584"/>
        <v>25000</v>
      </c>
      <c r="I551" s="187">
        <f t="shared" si="584"/>
        <v>5000</v>
      </c>
      <c r="J551" s="187">
        <v>40000</v>
      </c>
      <c r="K551" s="187">
        <f t="shared" si="584"/>
        <v>5000</v>
      </c>
      <c r="L551" s="187">
        <v>40000</v>
      </c>
      <c r="M551" s="110">
        <v>9.5</v>
      </c>
      <c r="N551" s="110">
        <f>VLOOKUP(DATE(YEAR(A551),MONTH(A551),DAY(A551)),FY24_Temp[],3,FALSE)</f>
        <v>12.8</v>
      </c>
      <c r="O551" s="110">
        <f t="shared" si="547"/>
        <v>11.5</v>
      </c>
      <c r="P551" s="110">
        <f t="shared" si="548"/>
        <v>19.5</v>
      </c>
      <c r="Q551" s="111">
        <f>VLOOKUP(VLOOKUP(DATEVALUE(TEXT(A551,"m/d/yyyy")),FY24_Temp[],5,FALSE)&amp;TEXT(A551,"-h"),TempDelta[],4,FALSE)</f>
        <v>2.300714305468968</v>
      </c>
      <c r="R551" s="112">
        <v>10</v>
      </c>
      <c r="S551" s="112">
        <v>1500</v>
      </c>
      <c r="T551" s="99">
        <f>VLOOKUP(TEXT(A551,"yy-mm")&amp;"-"&amp;IF(AND(WEEKDAY(A551)&gt;1,WEEKDAY(A551)&lt;7),"Wkd",TEXT(A551,"Ddd"))&amp;"-"&amp;TEXT(A551,"hh"),LoadTable[],3,FALSE)*0.92</f>
        <v>494.57360000000006</v>
      </c>
      <c r="U551" s="113">
        <f t="shared" si="549"/>
        <v>49.457360000000008</v>
      </c>
    </row>
    <row r="552" spans="1:21" ht="15" thickBot="1">
      <c r="A552" s="29">
        <f t="shared" si="519"/>
        <v>45858.875000000648</v>
      </c>
      <c r="B552" s="187">
        <f t="shared" ref="B552:L552" si="585">B576</f>
        <v>5000</v>
      </c>
      <c r="C552" s="187">
        <f t="shared" si="585"/>
        <v>25000</v>
      </c>
      <c r="D552" s="187">
        <v>0</v>
      </c>
      <c r="E552" s="187">
        <v>700</v>
      </c>
      <c r="F552" s="187">
        <v>15000</v>
      </c>
      <c r="G552" s="187">
        <f t="shared" si="585"/>
        <v>2400</v>
      </c>
      <c r="H552" s="187">
        <f t="shared" si="585"/>
        <v>25000</v>
      </c>
      <c r="I552" s="187">
        <f t="shared" si="585"/>
        <v>5000</v>
      </c>
      <c r="J552" s="187">
        <v>40000</v>
      </c>
      <c r="K552" s="187">
        <f t="shared" si="585"/>
        <v>5000</v>
      </c>
      <c r="L552" s="187">
        <v>40000</v>
      </c>
      <c r="M552" s="110">
        <v>9.5</v>
      </c>
      <c r="N552" s="110">
        <f>VLOOKUP(DATE(YEAR(A552),MONTH(A552),DAY(A552)),FY24_Temp[],3,FALSE)</f>
        <v>12.8</v>
      </c>
      <c r="O552" s="110">
        <f t="shared" si="547"/>
        <v>11.5</v>
      </c>
      <c r="P552" s="110">
        <f t="shared" si="548"/>
        <v>19.5</v>
      </c>
      <c r="Q552" s="111">
        <f>VLOOKUP(VLOOKUP(DATEVALUE(TEXT(A552,"m/d/yyyy")),FY24_Temp[],5,FALSE)&amp;TEXT(A552,"-h"),TempDelta[],4,FALSE)</f>
        <v>2.554214222090585</v>
      </c>
      <c r="R552" s="112">
        <v>10</v>
      </c>
      <c r="S552" s="112">
        <v>1500</v>
      </c>
      <c r="T552" s="99">
        <f>VLOOKUP(TEXT(A552,"yy-mm")&amp;"-"&amp;IF(AND(WEEKDAY(A552)&gt;1,WEEKDAY(A552)&lt;7),"Wkd",TEXT(A552,"Ddd"))&amp;"-"&amp;TEXT(A552,"hh"),LoadTable[],3,FALSE)*0.92</f>
        <v>418.75640000000004</v>
      </c>
      <c r="U552" s="113">
        <f t="shared" si="549"/>
        <v>41.875640000000004</v>
      </c>
    </row>
    <row r="553" spans="1:21" ht="15" thickBot="1">
      <c r="A553" s="29">
        <f t="shared" si="519"/>
        <v>45858.916666667312</v>
      </c>
      <c r="B553" s="187">
        <f t="shared" ref="B553:L553" si="586">B577</f>
        <v>5000</v>
      </c>
      <c r="C553" s="187">
        <f t="shared" si="586"/>
        <v>25000</v>
      </c>
      <c r="D553" s="187">
        <v>0</v>
      </c>
      <c r="E553" s="187">
        <v>700</v>
      </c>
      <c r="F553" s="187">
        <v>15000</v>
      </c>
      <c r="G553" s="187">
        <f t="shared" si="586"/>
        <v>2400</v>
      </c>
      <c r="H553" s="187">
        <f t="shared" si="586"/>
        <v>25000</v>
      </c>
      <c r="I553" s="187">
        <f t="shared" si="586"/>
        <v>5000</v>
      </c>
      <c r="J553" s="187">
        <v>40000</v>
      </c>
      <c r="K553" s="187">
        <f t="shared" si="586"/>
        <v>5000</v>
      </c>
      <c r="L553" s="187">
        <v>40000</v>
      </c>
      <c r="M553" s="110">
        <v>9.5</v>
      </c>
      <c r="N553" s="110">
        <f>VLOOKUP(DATE(YEAR(A553),MONTH(A553),DAY(A553)),FY24_Temp[],3,FALSE)</f>
        <v>12.8</v>
      </c>
      <c r="O553" s="110">
        <f t="shared" si="547"/>
        <v>11.5</v>
      </c>
      <c r="P553" s="110">
        <f t="shared" si="548"/>
        <v>19.5</v>
      </c>
      <c r="Q553" s="111">
        <f>VLOOKUP(VLOOKUP(DATEVALUE(TEXT(A553,"m/d/yyyy")),FY24_Temp[],5,FALSE)&amp;TEXT(A553,"-h"),TempDelta[],4,FALSE)</f>
        <v>2.7827142647334506</v>
      </c>
      <c r="R553" s="112">
        <v>10</v>
      </c>
      <c r="S553" s="112">
        <v>1500</v>
      </c>
      <c r="T553" s="99">
        <f>VLOOKUP(TEXT(A553,"yy-mm")&amp;"-"&amp;IF(AND(WEEKDAY(A553)&gt;1,WEEKDAY(A553)&lt;7),"Wkd",TEXT(A553,"Ddd"))&amp;"-"&amp;TEXT(A553,"hh"),LoadTable[],3,FALSE)*0.92</f>
        <v>342.93920000000003</v>
      </c>
      <c r="U553" s="113">
        <f t="shared" si="549"/>
        <v>34.29392</v>
      </c>
    </row>
    <row r="554" spans="1:21" ht="15" thickBot="1">
      <c r="A554" s="29">
        <f t="shared" ref="A554:A617" si="587">A555-TIME(1,0,0)</f>
        <v>45858.958333333976</v>
      </c>
      <c r="B554" s="187">
        <f t="shared" ref="B554:L554" si="588">B578</f>
        <v>5000</v>
      </c>
      <c r="C554" s="187">
        <f t="shared" si="588"/>
        <v>25000</v>
      </c>
      <c r="D554" s="187">
        <v>0</v>
      </c>
      <c r="E554" s="187">
        <v>700</v>
      </c>
      <c r="F554" s="187">
        <v>15000</v>
      </c>
      <c r="G554" s="187">
        <f t="shared" si="588"/>
        <v>2400</v>
      </c>
      <c r="H554" s="187">
        <f t="shared" si="588"/>
        <v>25000</v>
      </c>
      <c r="I554" s="187">
        <f t="shared" si="588"/>
        <v>5000</v>
      </c>
      <c r="J554" s="187">
        <v>40000</v>
      </c>
      <c r="K554" s="187">
        <f t="shared" si="588"/>
        <v>5000</v>
      </c>
      <c r="L554" s="187">
        <v>40000</v>
      </c>
      <c r="M554" s="110">
        <v>9.5</v>
      </c>
      <c r="N554" s="110">
        <f>VLOOKUP(DATE(YEAR(A554),MONTH(A554),DAY(A554)),FY24_Temp[],3,FALSE)</f>
        <v>12.8</v>
      </c>
      <c r="O554" s="110">
        <f t="shared" si="547"/>
        <v>11.5</v>
      </c>
      <c r="P554" s="110">
        <f t="shared" si="548"/>
        <v>19.5</v>
      </c>
      <c r="Q554" s="111">
        <f>VLOOKUP(VLOOKUP(DATEVALUE(TEXT(A554,"m/d/yyyy")),FY24_Temp[],5,FALSE)&amp;TEXT(A554,"-h"),TempDelta[],4,FALSE)</f>
        <v>2.8792857101985385</v>
      </c>
      <c r="R554" s="112">
        <v>10</v>
      </c>
      <c r="S554" s="112">
        <v>1500</v>
      </c>
      <c r="T554" s="99">
        <f>VLOOKUP(TEXT(A554,"yy-mm")&amp;"-"&amp;IF(AND(WEEKDAY(A554)&gt;1,WEEKDAY(A554)&lt;7),"Wkd",TEXT(A554,"Ddd"))&amp;"-"&amp;TEXT(A554,"hh"),LoadTable[],3,FALSE)*0.92</f>
        <v>279.25312000000002</v>
      </c>
      <c r="U554" s="113">
        <f t="shared" si="549"/>
        <v>27.925312000000002</v>
      </c>
    </row>
    <row r="555" spans="1:21" ht="15" thickBot="1">
      <c r="A555" s="29">
        <f t="shared" si="587"/>
        <v>45859.00000000064</v>
      </c>
      <c r="B555" s="187">
        <f t="shared" ref="B555:L555" si="589">B579</f>
        <v>5000</v>
      </c>
      <c r="C555" s="187">
        <f t="shared" si="589"/>
        <v>25000</v>
      </c>
      <c r="D555" s="187">
        <v>0</v>
      </c>
      <c r="E555" s="187">
        <v>700</v>
      </c>
      <c r="F555" s="187">
        <v>15000</v>
      </c>
      <c r="G555" s="187">
        <f t="shared" si="589"/>
        <v>2400</v>
      </c>
      <c r="H555" s="187">
        <f t="shared" si="589"/>
        <v>25000</v>
      </c>
      <c r="I555" s="187">
        <f t="shared" si="589"/>
        <v>5000</v>
      </c>
      <c r="J555" s="187">
        <v>40000</v>
      </c>
      <c r="K555" s="187">
        <f t="shared" si="589"/>
        <v>5000</v>
      </c>
      <c r="L555" s="187">
        <v>40000</v>
      </c>
      <c r="M555" s="110">
        <v>9.5</v>
      </c>
      <c r="N555" s="110">
        <f>VLOOKUP(DATE(YEAR(A555),MONTH(A555),DAY(A555)),FY24_Temp[],3,FALSE)</f>
        <v>12.8</v>
      </c>
      <c r="O555" s="110">
        <f t="shared" si="547"/>
        <v>11.5</v>
      </c>
      <c r="P555" s="110">
        <f t="shared" si="548"/>
        <v>19.5</v>
      </c>
      <c r="Q555" s="111">
        <f>VLOOKUP(VLOOKUP(DATEVALUE(TEXT(A555,"m/d/yyyy")),FY24_Temp[],5,FALSE)&amp;TEXT(A555,"-h"),TempDelta[],4,FALSE)</f>
        <v>3.0441428933824812</v>
      </c>
      <c r="R555" s="112">
        <v>10</v>
      </c>
      <c r="S555" s="112">
        <v>1500</v>
      </c>
      <c r="T555" s="99">
        <f>VLOOKUP(TEXT(A555,"yy-mm")&amp;"-"&amp;IF(AND(WEEKDAY(A555)&gt;1,WEEKDAY(A555)&lt;7),"Wkd",TEXT(A555,"Ddd"))&amp;"-"&amp;TEXT(A555,"hh"),LoadTable[],3,FALSE)*0.92</f>
        <v>279.25312000000002</v>
      </c>
      <c r="U555" s="113">
        <f t="shared" si="549"/>
        <v>27.925312000000002</v>
      </c>
    </row>
    <row r="556" spans="1:21" ht="15" thickBot="1">
      <c r="A556" s="29">
        <f t="shared" si="587"/>
        <v>45859.041666667305</v>
      </c>
      <c r="B556" s="187">
        <f t="shared" ref="B556:L556" si="590">B580</f>
        <v>5000</v>
      </c>
      <c r="C556" s="187">
        <f t="shared" si="590"/>
        <v>25000</v>
      </c>
      <c r="D556" s="187">
        <v>0</v>
      </c>
      <c r="E556" s="187">
        <v>700</v>
      </c>
      <c r="F556" s="187">
        <v>15000</v>
      </c>
      <c r="G556" s="187">
        <f t="shared" si="590"/>
        <v>2400</v>
      </c>
      <c r="H556" s="187">
        <f t="shared" si="590"/>
        <v>25000</v>
      </c>
      <c r="I556" s="187">
        <f t="shared" si="590"/>
        <v>5000</v>
      </c>
      <c r="J556" s="187">
        <v>40000</v>
      </c>
      <c r="K556" s="187">
        <f t="shared" si="590"/>
        <v>5000</v>
      </c>
      <c r="L556" s="187">
        <v>40000</v>
      </c>
      <c r="M556" s="110">
        <v>9.5</v>
      </c>
      <c r="N556" s="110">
        <f>VLOOKUP(DATE(YEAR(A556),MONTH(A556),DAY(A556)),FY24_Temp[],3,FALSE)</f>
        <v>12.8</v>
      </c>
      <c r="O556" s="110">
        <f t="shared" si="547"/>
        <v>11.5</v>
      </c>
      <c r="P556" s="110">
        <f t="shared" si="548"/>
        <v>19.5</v>
      </c>
      <c r="Q556" s="111">
        <f>VLOOKUP(VLOOKUP(DATEVALUE(TEXT(A556,"m/d/yyyy")),FY24_Temp[],5,FALSE)&amp;TEXT(A556,"-h"),TempDelta[],4,FALSE)</f>
        <v>3.0992857047489712</v>
      </c>
      <c r="R556" s="112">
        <v>10</v>
      </c>
      <c r="S556" s="112">
        <v>1500</v>
      </c>
      <c r="T556" s="99">
        <f>VLOOKUP(TEXT(A556,"yy-mm")&amp;"-"&amp;IF(AND(WEEKDAY(A556)&gt;1,WEEKDAY(A556)&lt;7),"Wkd",TEXT(A556,"Ddd"))&amp;"-"&amp;TEXT(A556,"hh"),LoadTable[],3,FALSE)*0.92</f>
        <v>279.25312000000002</v>
      </c>
      <c r="U556" s="113">
        <f t="shared" si="549"/>
        <v>27.925312000000002</v>
      </c>
    </row>
    <row r="557" spans="1:21" ht="15" thickBot="1">
      <c r="A557" s="29">
        <f t="shared" si="587"/>
        <v>45859.083333333969</v>
      </c>
      <c r="B557" s="187">
        <f t="shared" ref="B557:L557" si="591">B581</f>
        <v>5000</v>
      </c>
      <c r="C557" s="187">
        <f t="shared" si="591"/>
        <v>25000</v>
      </c>
      <c r="D557" s="187">
        <v>0</v>
      </c>
      <c r="E557" s="187">
        <v>700</v>
      </c>
      <c r="F557" s="187">
        <v>15000</v>
      </c>
      <c r="G557" s="187">
        <f t="shared" si="591"/>
        <v>2400</v>
      </c>
      <c r="H557" s="187">
        <f t="shared" si="591"/>
        <v>25000</v>
      </c>
      <c r="I557" s="187">
        <f t="shared" si="591"/>
        <v>5000</v>
      </c>
      <c r="J557" s="187">
        <v>40000</v>
      </c>
      <c r="K557" s="187">
        <f t="shared" si="591"/>
        <v>5000</v>
      </c>
      <c r="L557" s="187">
        <v>40000</v>
      </c>
      <c r="M557" s="110">
        <v>9.5</v>
      </c>
      <c r="N557" s="110">
        <f>VLOOKUP(DATE(YEAR(A557),MONTH(A557),DAY(A557)),FY24_Temp[],3,FALSE)</f>
        <v>12.8</v>
      </c>
      <c r="O557" s="110">
        <f t="shared" si="547"/>
        <v>11.5</v>
      </c>
      <c r="P557" s="110">
        <f t="shared" si="548"/>
        <v>19.5</v>
      </c>
      <c r="Q557" s="111">
        <f>VLOOKUP(VLOOKUP(DATEVALUE(TEXT(A557,"m/d/yyyy")),FY24_Temp[],5,FALSE)&amp;TEXT(A557,"-h"),TempDelta[],4,FALSE)</f>
        <v>3.1050000190734863</v>
      </c>
      <c r="R557" s="112">
        <v>10</v>
      </c>
      <c r="S557" s="112">
        <v>1500</v>
      </c>
      <c r="T557" s="99">
        <f>VLOOKUP(TEXT(A557,"yy-mm")&amp;"-"&amp;IF(AND(WEEKDAY(A557)&gt;1,WEEKDAY(A557)&lt;7),"Wkd",TEXT(A557,"Ddd"))&amp;"-"&amp;TEXT(A557,"hh"),LoadTable[],3,FALSE)*0.92</f>
        <v>279.25312000000002</v>
      </c>
      <c r="U557" s="113">
        <f t="shared" si="549"/>
        <v>27.925312000000002</v>
      </c>
    </row>
    <row r="558" spans="1:21" ht="15" thickBot="1">
      <c r="A558" s="29">
        <f t="shared" si="587"/>
        <v>45859.125000000633</v>
      </c>
      <c r="B558" s="187">
        <f t="shared" ref="B558:L558" si="592">B582</f>
        <v>5000</v>
      </c>
      <c r="C558" s="187">
        <f t="shared" si="592"/>
        <v>25000</v>
      </c>
      <c r="D558" s="187">
        <v>0</v>
      </c>
      <c r="E558" s="187">
        <v>700</v>
      </c>
      <c r="F558" s="187">
        <v>15000</v>
      </c>
      <c r="G558" s="187">
        <f t="shared" si="592"/>
        <v>2400</v>
      </c>
      <c r="H558" s="187">
        <f t="shared" si="592"/>
        <v>25000</v>
      </c>
      <c r="I558" s="187">
        <f t="shared" si="592"/>
        <v>5000</v>
      </c>
      <c r="J558" s="187">
        <v>40000</v>
      </c>
      <c r="K558" s="187">
        <f t="shared" si="592"/>
        <v>5000</v>
      </c>
      <c r="L558" s="187">
        <v>40000</v>
      </c>
      <c r="M558" s="110">
        <v>9.5</v>
      </c>
      <c r="N558" s="110">
        <f>VLOOKUP(DATE(YEAR(A558),MONTH(A558),DAY(A558)),FY24_Temp[],3,FALSE)</f>
        <v>12.8</v>
      </c>
      <c r="O558" s="110">
        <f t="shared" si="547"/>
        <v>11.5</v>
      </c>
      <c r="P558" s="110">
        <f t="shared" si="548"/>
        <v>19.5</v>
      </c>
      <c r="Q558" s="111">
        <f>VLOOKUP(VLOOKUP(DATEVALUE(TEXT(A558,"m/d/yyyy")),FY24_Temp[],5,FALSE)&amp;TEXT(A558,"-h"),TempDelta[],4,FALSE)</f>
        <v>3.0428571701049805</v>
      </c>
      <c r="R558" s="112">
        <v>10</v>
      </c>
      <c r="S558" s="112">
        <v>1500</v>
      </c>
      <c r="T558" s="99">
        <f>VLOOKUP(TEXT(A558,"yy-mm")&amp;"-"&amp;IF(AND(WEEKDAY(A558)&gt;1,WEEKDAY(A558)&lt;7),"Wkd",TEXT(A558,"Ddd"))&amp;"-"&amp;TEXT(A558,"hh"),LoadTable[],3,FALSE)*0.92</f>
        <v>279.25312000000002</v>
      </c>
      <c r="U558" s="113">
        <f t="shared" si="549"/>
        <v>27.925312000000002</v>
      </c>
    </row>
    <row r="559" spans="1:21" ht="15" thickBot="1">
      <c r="A559" s="29">
        <f t="shared" si="587"/>
        <v>45859.166666667297</v>
      </c>
      <c r="B559" s="187">
        <f t="shared" ref="B559:L559" si="593">B583</f>
        <v>5000</v>
      </c>
      <c r="C559" s="187">
        <f t="shared" si="593"/>
        <v>25000</v>
      </c>
      <c r="D559" s="187">
        <v>0</v>
      </c>
      <c r="E559" s="187">
        <v>700</v>
      </c>
      <c r="F559" s="187">
        <v>15000</v>
      </c>
      <c r="G559" s="187">
        <f t="shared" si="593"/>
        <v>2400</v>
      </c>
      <c r="H559" s="187">
        <f t="shared" si="593"/>
        <v>25000</v>
      </c>
      <c r="I559" s="187">
        <f t="shared" si="593"/>
        <v>5000</v>
      </c>
      <c r="J559" s="187">
        <v>40000</v>
      </c>
      <c r="K559" s="187">
        <f t="shared" si="593"/>
        <v>5000</v>
      </c>
      <c r="L559" s="187">
        <v>40000</v>
      </c>
      <c r="M559" s="110">
        <v>9.5</v>
      </c>
      <c r="N559" s="110">
        <f>VLOOKUP(DATE(YEAR(A559),MONTH(A559),DAY(A559)),FY24_Temp[],3,FALSE)</f>
        <v>12.8</v>
      </c>
      <c r="O559" s="110">
        <f t="shared" si="547"/>
        <v>11.5</v>
      </c>
      <c r="P559" s="110">
        <f t="shared" si="548"/>
        <v>19.5</v>
      </c>
      <c r="Q559" s="111">
        <f>VLOOKUP(VLOOKUP(DATEVALUE(TEXT(A559,"m/d/yyyy")),FY24_Temp[],5,FALSE)&amp;TEXT(A559,"-h"),TempDelta[],4,FALSE)</f>
        <v>2.9580000468662808</v>
      </c>
      <c r="R559" s="112">
        <v>10</v>
      </c>
      <c r="S559" s="112">
        <v>1500</v>
      </c>
      <c r="T559" s="99">
        <f>VLOOKUP(TEXT(A559,"yy-mm")&amp;"-"&amp;IF(AND(WEEKDAY(A559)&gt;1,WEEKDAY(A559)&lt;7),"Wkd",TEXT(A559,"Ddd"))&amp;"-"&amp;TEXT(A559,"hh"),LoadTable[],3,FALSE)*0.92</f>
        <v>279.25312000000002</v>
      </c>
      <c r="U559" s="113">
        <f t="shared" si="549"/>
        <v>27.925312000000002</v>
      </c>
    </row>
    <row r="560" spans="1:21" ht="15" thickBot="1">
      <c r="A560" s="29">
        <f t="shared" si="587"/>
        <v>45859.208333333961</v>
      </c>
      <c r="B560" s="187">
        <f t="shared" ref="B560:L560" si="594">B584</f>
        <v>5000</v>
      </c>
      <c r="C560" s="187">
        <f t="shared" si="594"/>
        <v>25000</v>
      </c>
      <c r="D560" s="187">
        <v>0</v>
      </c>
      <c r="E560" s="187">
        <v>700</v>
      </c>
      <c r="F560" s="187">
        <v>15000</v>
      </c>
      <c r="G560" s="187">
        <f t="shared" si="594"/>
        <v>2400</v>
      </c>
      <c r="H560" s="187">
        <f t="shared" si="594"/>
        <v>25000</v>
      </c>
      <c r="I560" s="187">
        <f t="shared" si="594"/>
        <v>5000</v>
      </c>
      <c r="J560" s="187">
        <v>40000</v>
      </c>
      <c r="K560" s="187">
        <f t="shared" si="594"/>
        <v>5000</v>
      </c>
      <c r="L560" s="187">
        <v>40000</v>
      </c>
      <c r="M560" s="110">
        <v>9.5</v>
      </c>
      <c r="N560" s="110">
        <f>VLOOKUP(DATE(YEAR(A560),MONTH(A560),DAY(A560)),FY24_Temp[],3,FALSE)</f>
        <v>12.8</v>
      </c>
      <c r="O560" s="110">
        <f t="shared" si="547"/>
        <v>11.5</v>
      </c>
      <c r="P560" s="110">
        <f t="shared" si="548"/>
        <v>19.5</v>
      </c>
      <c r="Q560" s="111">
        <f>VLOOKUP(VLOOKUP(DATEVALUE(TEXT(A560,"m/d/yyyy")),FY24_Temp[],5,FALSE)&amp;TEXT(A560,"-h"),TempDelta[],4,FALSE)</f>
        <v>2.8608571801866804</v>
      </c>
      <c r="R560" s="112">
        <v>10</v>
      </c>
      <c r="S560" s="112">
        <v>1500</v>
      </c>
      <c r="T560" s="99">
        <f>VLOOKUP(TEXT(A560,"yy-mm")&amp;"-"&amp;IF(AND(WEEKDAY(A560)&gt;1,WEEKDAY(A560)&lt;7),"Wkd",TEXT(A560,"Ddd"))&amp;"-"&amp;TEXT(A560,"hh"),LoadTable[],3,FALSE)*0.92</f>
        <v>279.25312000000002</v>
      </c>
      <c r="U560" s="113">
        <f t="shared" si="549"/>
        <v>27.925312000000002</v>
      </c>
    </row>
    <row r="561" spans="1:21" ht="15" thickBot="1">
      <c r="A561" s="29">
        <f t="shared" si="587"/>
        <v>45859.250000000626</v>
      </c>
      <c r="B561" s="187">
        <f t="shared" ref="B561:L561" si="595">B585</f>
        <v>8000</v>
      </c>
      <c r="C561" s="187">
        <f t="shared" si="595"/>
        <v>25000</v>
      </c>
      <c r="D561" s="187">
        <v>0</v>
      </c>
      <c r="E561" s="187">
        <v>700</v>
      </c>
      <c r="F561" s="187">
        <v>15000</v>
      </c>
      <c r="G561" s="187">
        <f t="shared" si="595"/>
        <v>2400</v>
      </c>
      <c r="H561" s="187">
        <f t="shared" si="595"/>
        <v>25000</v>
      </c>
      <c r="I561" s="187">
        <f t="shared" si="595"/>
        <v>8000</v>
      </c>
      <c r="J561" s="187">
        <v>40000</v>
      </c>
      <c r="K561" s="187">
        <f t="shared" si="595"/>
        <v>8000</v>
      </c>
      <c r="L561" s="187">
        <v>40000</v>
      </c>
      <c r="M561" s="110">
        <v>9.5</v>
      </c>
      <c r="N561" s="110">
        <f>VLOOKUP(DATE(YEAR(A561),MONTH(A561),DAY(A561)),FY24_Temp[],3,FALSE)</f>
        <v>12.8</v>
      </c>
      <c r="O561" s="110">
        <f t="shared" si="547"/>
        <v>11.5</v>
      </c>
      <c r="P561" s="110">
        <f t="shared" si="548"/>
        <v>19.5</v>
      </c>
      <c r="Q561" s="111">
        <f>VLOOKUP(VLOOKUP(DATEVALUE(TEXT(A561,"m/d/yyyy")),FY24_Temp[],5,FALSE)&amp;TEXT(A561,"-h"),TempDelta[],4,FALSE)</f>
        <v>2.7405714307512556</v>
      </c>
      <c r="R561" s="112">
        <v>10</v>
      </c>
      <c r="S561" s="112">
        <v>1500</v>
      </c>
      <c r="T561" s="99">
        <f>VLOOKUP(TEXT(A561,"yy-mm")&amp;"-"&amp;IF(AND(WEEKDAY(A561)&gt;1,WEEKDAY(A561)&lt;7),"Wkd",TEXT(A561,"Ddd"))&amp;"-"&amp;TEXT(A561,"hh"),LoadTable[],3,FALSE)*0.92</f>
        <v>279.25312000000002</v>
      </c>
      <c r="U561" s="113">
        <f t="shared" si="549"/>
        <v>27.925312000000002</v>
      </c>
    </row>
    <row r="562" spans="1:21" ht="15" thickBot="1">
      <c r="A562" s="29">
        <f t="shared" si="587"/>
        <v>45859.29166666729</v>
      </c>
      <c r="B562" s="187">
        <f t="shared" ref="B562:L562" si="596">B586</f>
        <v>8000</v>
      </c>
      <c r="C562" s="187">
        <f t="shared" si="596"/>
        <v>25000</v>
      </c>
      <c r="D562" s="187">
        <v>0</v>
      </c>
      <c r="E562" s="187">
        <v>700</v>
      </c>
      <c r="F562" s="187">
        <v>15000</v>
      </c>
      <c r="G562" s="187">
        <f t="shared" si="596"/>
        <v>2400</v>
      </c>
      <c r="H562" s="187">
        <f t="shared" si="596"/>
        <v>25000</v>
      </c>
      <c r="I562" s="187">
        <f t="shared" si="596"/>
        <v>8000</v>
      </c>
      <c r="J562" s="187">
        <v>40000</v>
      </c>
      <c r="K562" s="187">
        <f t="shared" si="596"/>
        <v>8000</v>
      </c>
      <c r="L562" s="187">
        <v>40000</v>
      </c>
      <c r="M562" s="110">
        <v>9.5</v>
      </c>
      <c r="N562" s="110">
        <f>VLOOKUP(DATE(YEAR(A562),MONTH(A562),DAY(A562)),FY24_Temp[],3,FALSE)</f>
        <v>12.8</v>
      </c>
      <c r="O562" s="110">
        <f t="shared" si="547"/>
        <v>11.5</v>
      </c>
      <c r="P562" s="110">
        <f t="shared" si="548"/>
        <v>19.5</v>
      </c>
      <c r="Q562" s="111">
        <f>VLOOKUP(VLOOKUP(DATEVALUE(TEXT(A562,"m/d/yyyy")),FY24_Temp[],5,FALSE)&amp;TEXT(A562,"-h"),TempDelta[],4,FALSE)</f>
        <v>2.6134285245622908</v>
      </c>
      <c r="R562" s="112">
        <v>10</v>
      </c>
      <c r="S562" s="112">
        <v>1500</v>
      </c>
      <c r="T562" s="99">
        <f>VLOOKUP(TEXT(A562,"yy-mm")&amp;"-"&amp;IF(AND(WEEKDAY(A562)&gt;1,WEEKDAY(A562)&lt;7),"Wkd",TEXT(A562,"Ddd"))&amp;"-"&amp;TEXT(A562,"hh"),LoadTable[],3,FALSE)*0.92</f>
        <v>279.25312000000002</v>
      </c>
      <c r="U562" s="113">
        <f t="shared" si="549"/>
        <v>27.925312000000002</v>
      </c>
    </row>
    <row r="563" spans="1:21" ht="15" thickBot="1">
      <c r="A563" s="29">
        <f t="shared" si="587"/>
        <v>45859.333333333954</v>
      </c>
      <c r="B563" s="187">
        <f t="shared" ref="B563:L563" si="597">B587</f>
        <v>8000</v>
      </c>
      <c r="C563" s="187">
        <f t="shared" si="597"/>
        <v>25000</v>
      </c>
      <c r="D563" s="187">
        <v>0</v>
      </c>
      <c r="E563" s="187">
        <v>700</v>
      </c>
      <c r="F563" s="187">
        <v>15000</v>
      </c>
      <c r="G563" s="187">
        <f t="shared" si="597"/>
        <v>2400</v>
      </c>
      <c r="H563" s="187">
        <f t="shared" si="597"/>
        <v>25000</v>
      </c>
      <c r="I563" s="187">
        <f t="shared" si="597"/>
        <v>8000</v>
      </c>
      <c r="J563" s="187">
        <v>40000</v>
      </c>
      <c r="K563" s="187">
        <f t="shared" si="597"/>
        <v>8000</v>
      </c>
      <c r="L563" s="187">
        <v>40000</v>
      </c>
      <c r="M563" s="110">
        <v>9.5</v>
      </c>
      <c r="N563" s="110">
        <f>VLOOKUP(DATE(YEAR(A563),MONTH(A563),DAY(A563)),FY24_Temp[],3,FALSE)</f>
        <v>12.8</v>
      </c>
      <c r="O563" s="110">
        <f t="shared" si="547"/>
        <v>11.5</v>
      </c>
      <c r="P563" s="110">
        <f t="shared" si="548"/>
        <v>19.5</v>
      </c>
      <c r="Q563" s="111">
        <f>VLOOKUP(VLOOKUP(DATEVALUE(TEXT(A563,"m/d/yyyy")),FY24_Temp[],5,FALSE)&amp;TEXT(A563,"-h"),TempDelta[],4,FALSE)</f>
        <v>2.44985716683524</v>
      </c>
      <c r="R563" s="112">
        <v>10</v>
      </c>
      <c r="S563" s="112">
        <v>1500</v>
      </c>
      <c r="T563" s="99">
        <f>VLOOKUP(TEXT(A563,"yy-mm")&amp;"-"&amp;IF(AND(WEEKDAY(A563)&gt;1,WEEKDAY(A563)&lt;7),"Wkd",TEXT(A563,"Ddd"))&amp;"-"&amp;TEXT(A563,"hh"),LoadTable[],3,FALSE)*0.92</f>
        <v>279.25312000000002</v>
      </c>
      <c r="U563" s="113">
        <f t="shared" si="549"/>
        <v>27.925312000000002</v>
      </c>
    </row>
    <row r="564" spans="1:21" ht="15" thickBot="1">
      <c r="A564" s="29">
        <f t="shared" si="587"/>
        <v>45859.375000000618</v>
      </c>
      <c r="B564" s="187">
        <f t="shared" ref="B564:L564" si="598">B588</f>
        <v>8000</v>
      </c>
      <c r="C564" s="187">
        <f t="shared" si="598"/>
        <v>25000</v>
      </c>
      <c r="D564" s="187">
        <v>0</v>
      </c>
      <c r="E564" s="187">
        <v>700</v>
      </c>
      <c r="F564" s="187">
        <v>15000</v>
      </c>
      <c r="G564" s="187">
        <f t="shared" si="598"/>
        <v>2400</v>
      </c>
      <c r="H564" s="187">
        <f t="shared" si="598"/>
        <v>25000</v>
      </c>
      <c r="I564" s="187">
        <f t="shared" si="598"/>
        <v>8000</v>
      </c>
      <c r="J564" s="187">
        <v>40000</v>
      </c>
      <c r="K564" s="187">
        <f t="shared" si="598"/>
        <v>8000</v>
      </c>
      <c r="L564" s="187">
        <v>40000</v>
      </c>
      <c r="M564" s="110">
        <v>9.5</v>
      </c>
      <c r="N564" s="110">
        <f>VLOOKUP(DATE(YEAR(A564),MONTH(A564),DAY(A564)),FY24_Temp[],3,FALSE)</f>
        <v>12.8</v>
      </c>
      <c r="O564" s="110">
        <f t="shared" si="547"/>
        <v>11.5</v>
      </c>
      <c r="P564" s="110">
        <f t="shared" si="548"/>
        <v>19.5</v>
      </c>
      <c r="Q564" s="111">
        <f>VLOOKUP(VLOOKUP(DATEVALUE(TEXT(A564,"m/d/yyyy")),FY24_Temp[],5,FALSE)&amp;TEXT(A564,"-h"),TempDelta[],4,FALSE)</f>
        <v>2.2458571025303433</v>
      </c>
      <c r="R564" s="112">
        <v>10</v>
      </c>
      <c r="S564" s="112">
        <v>1500</v>
      </c>
      <c r="T564" s="99">
        <f>VLOOKUP(TEXT(A564,"yy-mm")&amp;"-"&amp;IF(AND(WEEKDAY(A564)&gt;1,WEEKDAY(A564)&lt;7),"Wkd",TEXT(A564,"Ddd"))&amp;"-"&amp;TEXT(A564,"hh"),LoadTable[],3,FALSE)*0.92</f>
        <v>279.25312000000002</v>
      </c>
      <c r="U564" s="113">
        <f t="shared" si="549"/>
        <v>27.925312000000002</v>
      </c>
    </row>
    <row r="565" spans="1:21" ht="15" thickBot="1">
      <c r="A565" s="29">
        <f t="shared" si="587"/>
        <v>45859.416666667283</v>
      </c>
      <c r="B565" s="187">
        <f t="shared" ref="B565:L565" si="599">B589</f>
        <v>8000</v>
      </c>
      <c r="C565" s="187">
        <f t="shared" si="599"/>
        <v>25000</v>
      </c>
      <c r="D565" s="187">
        <v>0</v>
      </c>
      <c r="E565" s="187">
        <v>700</v>
      </c>
      <c r="F565" s="187">
        <v>15000</v>
      </c>
      <c r="G565" s="187">
        <f t="shared" si="599"/>
        <v>2400</v>
      </c>
      <c r="H565" s="187">
        <f t="shared" si="599"/>
        <v>25000</v>
      </c>
      <c r="I565" s="187">
        <f t="shared" si="599"/>
        <v>8000</v>
      </c>
      <c r="J565" s="187">
        <v>40000</v>
      </c>
      <c r="K565" s="187">
        <f t="shared" si="599"/>
        <v>8000</v>
      </c>
      <c r="L565" s="187">
        <v>40000</v>
      </c>
      <c r="M565" s="110">
        <v>9.5</v>
      </c>
      <c r="N565" s="110">
        <f>VLOOKUP(DATE(YEAR(A565),MONTH(A565),DAY(A565)),FY24_Temp[],3,FALSE)</f>
        <v>12.8</v>
      </c>
      <c r="O565" s="110">
        <f t="shared" si="547"/>
        <v>11.5</v>
      </c>
      <c r="P565" s="110">
        <f t="shared" si="548"/>
        <v>19.5</v>
      </c>
      <c r="Q565" s="111">
        <f>VLOOKUP(VLOOKUP(DATEVALUE(TEXT(A565,"m/d/yyyy")),FY24_Temp[],5,FALSE)&amp;TEXT(A565,"-h"),TempDelta[],4,FALSE)</f>
        <v>2.0832857234137401</v>
      </c>
      <c r="R565" s="112">
        <v>10</v>
      </c>
      <c r="S565" s="112">
        <v>1500</v>
      </c>
      <c r="T565" s="99">
        <f>VLOOKUP(TEXT(A565,"yy-mm")&amp;"-"&amp;IF(AND(WEEKDAY(A565)&gt;1,WEEKDAY(A565)&lt;7),"Wkd",TEXT(A565,"Ddd"))&amp;"-"&amp;TEXT(A565,"hh"),LoadTable[],3,FALSE)*0.92</f>
        <v>279.25312000000002</v>
      </c>
      <c r="U565" s="113">
        <f t="shared" si="549"/>
        <v>27.925312000000002</v>
      </c>
    </row>
    <row r="566" spans="1:21" ht="15" thickBot="1">
      <c r="A566" s="29">
        <f t="shared" si="587"/>
        <v>45859.458333333947</v>
      </c>
      <c r="B566" s="187">
        <f t="shared" ref="B566:L566" si="600">B590</f>
        <v>8000</v>
      </c>
      <c r="C566" s="187">
        <f t="shared" si="600"/>
        <v>25000</v>
      </c>
      <c r="D566" s="187">
        <v>0</v>
      </c>
      <c r="E566" s="187">
        <v>700</v>
      </c>
      <c r="F566" s="187">
        <v>15000</v>
      </c>
      <c r="G566" s="187">
        <f t="shared" si="600"/>
        <v>2400</v>
      </c>
      <c r="H566" s="187">
        <f t="shared" si="600"/>
        <v>25000</v>
      </c>
      <c r="I566" s="187">
        <f t="shared" si="600"/>
        <v>8000</v>
      </c>
      <c r="J566" s="187">
        <v>40000</v>
      </c>
      <c r="K566" s="187">
        <f t="shared" si="600"/>
        <v>8000</v>
      </c>
      <c r="L566" s="187">
        <v>40000</v>
      </c>
      <c r="M566" s="110">
        <v>9.5</v>
      </c>
      <c r="N566" s="110">
        <f>VLOOKUP(DATE(YEAR(A566),MONTH(A566),DAY(A566)),FY24_Temp[],3,FALSE)</f>
        <v>12.8</v>
      </c>
      <c r="O566" s="110">
        <f t="shared" si="547"/>
        <v>11.5</v>
      </c>
      <c r="P566" s="110">
        <f t="shared" si="548"/>
        <v>19.5</v>
      </c>
      <c r="Q566" s="111">
        <f>VLOOKUP(VLOOKUP(DATEVALUE(TEXT(A566,"m/d/yyyy")),FY24_Temp[],5,FALSE)&amp;TEXT(A566,"-h"),TempDelta[],4,FALSE)</f>
        <v>1.8928571258272444</v>
      </c>
      <c r="R566" s="112">
        <v>10</v>
      </c>
      <c r="S566" s="112">
        <v>1500</v>
      </c>
      <c r="T566" s="99">
        <f>VLOOKUP(TEXT(A566,"yy-mm")&amp;"-"&amp;IF(AND(WEEKDAY(A566)&gt;1,WEEKDAY(A566)&lt;7),"Wkd",TEXT(A566,"Ddd"))&amp;"-"&amp;TEXT(A566,"hh"),LoadTable[],3,FALSE)*0.92</f>
        <v>279.25312000000002</v>
      </c>
      <c r="U566" s="113">
        <f t="shared" si="549"/>
        <v>27.925312000000002</v>
      </c>
    </row>
    <row r="567" spans="1:21" ht="15" thickBot="1">
      <c r="A567" s="29">
        <f t="shared" si="587"/>
        <v>45859.500000000611</v>
      </c>
      <c r="B567" s="187">
        <f t="shared" ref="B567:L567" si="601">B591</f>
        <v>8000</v>
      </c>
      <c r="C567" s="187">
        <f t="shared" si="601"/>
        <v>25000</v>
      </c>
      <c r="D567" s="187">
        <v>0</v>
      </c>
      <c r="E567" s="187">
        <v>700</v>
      </c>
      <c r="F567" s="187">
        <v>15000</v>
      </c>
      <c r="G567" s="187">
        <f t="shared" si="601"/>
        <v>2400</v>
      </c>
      <c r="H567" s="187">
        <f t="shared" si="601"/>
        <v>25000</v>
      </c>
      <c r="I567" s="187">
        <f t="shared" si="601"/>
        <v>8000</v>
      </c>
      <c r="J567" s="187">
        <v>40000</v>
      </c>
      <c r="K567" s="187">
        <f t="shared" si="601"/>
        <v>8000</v>
      </c>
      <c r="L567" s="187">
        <v>40000</v>
      </c>
      <c r="M567" s="110">
        <v>9.5</v>
      </c>
      <c r="N567" s="110">
        <f>VLOOKUP(DATE(YEAR(A567),MONTH(A567),DAY(A567)),FY24_Temp[],3,FALSE)</f>
        <v>12.8</v>
      </c>
      <c r="O567" s="110">
        <f t="shared" si="547"/>
        <v>11.5</v>
      </c>
      <c r="P567" s="110">
        <f t="shared" si="548"/>
        <v>19.5</v>
      </c>
      <c r="Q567" s="111">
        <f>VLOOKUP(VLOOKUP(DATEVALUE(TEXT(A567,"m/d/yyyy")),FY24_Temp[],5,FALSE)&amp;TEXT(A567,"-h"),TempDelta[],4,FALSE)</f>
        <v>1.665857127734593</v>
      </c>
      <c r="R567" s="112">
        <v>10</v>
      </c>
      <c r="S567" s="112">
        <v>1500</v>
      </c>
      <c r="T567" s="99">
        <f>VLOOKUP(TEXT(A567,"yy-mm")&amp;"-"&amp;IF(AND(WEEKDAY(A567)&gt;1,WEEKDAY(A567)&lt;7),"Wkd",TEXT(A567,"Ddd"))&amp;"-"&amp;TEXT(A567,"hh"),LoadTable[],3,FALSE)*0.92</f>
        <v>279.25312000000002</v>
      </c>
      <c r="U567" s="113">
        <f t="shared" si="549"/>
        <v>27.925312000000002</v>
      </c>
    </row>
    <row r="568" spans="1:21" ht="15" thickBot="1">
      <c r="A568" s="29">
        <f t="shared" si="587"/>
        <v>45859.541666667275</v>
      </c>
      <c r="B568" s="187">
        <f t="shared" ref="B568:L568" si="602">B592</f>
        <v>8000</v>
      </c>
      <c r="C568" s="187">
        <f t="shared" si="602"/>
        <v>25000</v>
      </c>
      <c r="D568" s="187">
        <v>0</v>
      </c>
      <c r="E568" s="187">
        <v>700</v>
      </c>
      <c r="F568" s="187">
        <v>15000</v>
      </c>
      <c r="G568" s="187">
        <f t="shared" si="602"/>
        <v>2400</v>
      </c>
      <c r="H568" s="187">
        <f t="shared" si="602"/>
        <v>25000</v>
      </c>
      <c r="I568" s="187">
        <f t="shared" si="602"/>
        <v>8000</v>
      </c>
      <c r="J568" s="187">
        <v>40000</v>
      </c>
      <c r="K568" s="187">
        <f t="shared" si="602"/>
        <v>8000</v>
      </c>
      <c r="L568" s="187">
        <v>40000</v>
      </c>
      <c r="M568" s="110">
        <v>9.5</v>
      </c>
      <c r="N568" s="110">
        <f>VLOOKUP(DATE(YEAR(A568),MONTH(A568),DAY(A568)),FY24_Temp[],3,FALSE)</f>
        <v>12.8</v>
      </c>
      <c r="O568" s="110">
        <f t="shared" si="547"/>
        <v>11.5</v>
      </c>
      <c r="P568" s="110">
        <f t="shared" si="548"/>
        <v>19.5</v>
      </c>
      <c r="Q568" s="111">
        <f>VLOOKUP(VLOOKUP(DATEVALUE(TEXT(A568,"m/d/yyyy")),FY24_Temp[],5,FALSE)&amp;TEXT(A568,"-h"),TempDelta[],4,FALSE)</f>
        <v>1.4252856969833374</v>
      </c>
      <c r="R568" s="112">
        <v>10</v>
      </c>
      <c r="S568" s="112">
        <v>1500</v>
      </c>
      <c r="T568" s="99">
        <f>VLOOKUP(TEXT(A568,"yy-mm")&amp;"-"&amp;IF(AND(WEEKDAY(A568)&gt;1,WEEKDAY(A568)&lt;7),"Wkd",TEXT(A568,"Ddd"))&amp;"-"&amp;TEXT(A568,"hh"),LoadTable[],3,FALSE)*0.92</f>
        <v>279.25312000000002</v>
      </c>
      <c r="U568" s="113">
        <f t="shared" si="549"/>
        <v>27.925312000000002</v>
      </c>
    </row>
    <row r="569" spans="1:21" ht="15" thickBot="1">
      <c r="A569" s="29">
        <f t="shared" si="587"/>
        <v>45859.58333333394</v>
      </c>
      <c r="B569" s="187">
        <f t="shared" ref="B569:L569" si="603">B593</f>
        <v>8000</v>
      </c>
      <c r="C569" s="187">
        <f t="shared" si="603"/>
        <v>25000</v>
      </c>
      <c r="D569" s="187">
        <v>0</v>
      </c>
      <c r="E569" s="187">
        <v>700</v>
      </c>
      <c r="F569" s="187">
        <v>15000</v>
      </c>
      <c r="G569" s="187">
        <f t="shared" si="603"/>
        <v>2400</v>
      </c>
      <c r="H569" s="187">
        <f t="shared" si="603"/>
        <v>25000</v>
      </c>
      <c r="I569" s="187">
        <f t="shared" si="603"/>
        <v>8000</v>
      </c>
      <c r="J569" s="187">
        <v>40000</v>
      </c>
      <c r="K569" s="187">
        <f t="shared" si="603"/>
        <v>8000</v>
      </c>
      <c r="L569" s="187">
        <v>40000</v>
      </c>
      <c r="M569" s="110">
        <v>9.5</v>
      </c>
      <c r="N569" s="110">
        <f>VLOOKUP(DATE(YEAR(A569),MONTH(A569),DAY(A569)),FY24_Temp[],3,FALSE)</f>
        <v>12.8</v>
      </c>
      <c r="O569" s="110">
        <f t="shared" si="547"/>
        <v>11.5</v>
      </c>
      <c r="P569" s="110">
        <f t="shared" si="548"/>
        <v>19.5</v>
      </c>
      <c r="Q569" s="111">
        <f>VLOOKUP(VLOOKUP(DATEVALUE(TEXT(A569,"m/d/yyyy")),FY24_Temp[],5,FALSE)&amp;TEXT(A569,"-h"),TempDelta[],4,FALSE)</f>
        <v>1.2351428781236922</v>
      </c>
      <c r="R569" s="112">
        <v>10</v>
      </c>
      <c r="S569" s="112">
        <v>1500</v>
      </c>
      <c r="T569" s="99">
        <f>VLOOKUP(TEXT(A569,"yy-mm")&amp;"-"&amp;IF(AND(WEEKDAY(A569)&gt;1,WEEKDAY(A569)&lt;7),"Wkd",TEXT(A569,"Ddd"))&amp;"-"&amp;TEXT(A569,"hh"),LoadTable[],3,FALSE)*0.92</f>
        <v>373.26607999999999</v>
      </c>
      <c r="U569" s="113">
        <f t="shared" si="549"/>
        <v>37.326608</v>
      </c>
    </row>
    <row r="570" spans="1:21" ht="15" thickBot="1">
      <c r="A570" s="29">
        <f t="shared" si="587"/>
        <v>45859.625000000604</v>
      </c>
      <c r="B570" s="187">
        <f t="shared" ref="B570:L570" si="604">B594</f>
        <v>8000</v>
      </c>
      <c r="C570" s="187">
        <f t="shared" si="604"/>
        <v>25000</v>
      </c>
      <c r="D570" s="187">
        <v>0</v>
      </c>
      <c r="E570" s="187">
        <v>700</v>
      </c>
      <c r="F570" s="187">
        <v>15000</v>
      </c>
      <c r="G570" s="187">
        <f t="shared" si="604"/>
        <v>2400</v>
      </c>
      <c r="H570" s="187">
        <f t="shared" si="604"/>
        <v>25000</v>
      </c>
      <c r="I570" s="187">
        <f t="shared" si="604"/>
        <v>8000</v>
      </c>
      <c r="J570" s="187">
        <v>40000</v>
      </c>
      <c r="K570" s="187">
        <f t="shared" si="604"/>
        <v>8000</v>
      </c>
      <c r="L570" s="187">
        <v>40000</v>
      </c>
      <c r="M570" s="110">
        <v>9.5</v>
      </c>
      <c r="N570" s="110">
        <f>VLOOKUP(DATE(YEAR(A570),MONTH(A570),DAY(A570)),FY24_Temp[],3,FALSE)</f>
        <v>12.8</v>
      </c>
      <c r="O570" s="110">
        <f t="shared" si="547"/>
        <v>11.5</v>
      </c>
      <c r="P570" s="110">
        <f t="shared" si="548"/>
        <v>19.5</v>
      </c>
      <c r="Q570" s="111">
        <f>VLOOKUP(VLOOKUP(DATEVALUE(TEXT(A570,"m/d/yyyy")),FY24_Temp[],5,FALSE)&amp;TEXT(A570,"-h"),TempDelta[],4,FALSE)</f>
        <v>0.97514284508568905</v>
      </c>
      <c r="R570" s="112">
        <v>10</v>
      </c>
      <c r="S570" s="112">
        <v>1500</v>
      </c>
      <c r="T570" s="99">
        <f>VLOOKUP(TEXT(A570,"yy-mm")&amp;"-"&amp;IF(AND(WEEKDAY(A570)&gt;1,WEEKDAY(A570)&lt;7),"Wkd",TEXT(A570,"Ddd"))&amp;"-"&amp;TEXT(A570,"hh"),LoadTable[],3,FALSE)*0.92</f>
        <v>494.57360000000006</v>
      </c>
      <c r="U570" s="113">
        <f t="shared" si="549"/>
        <v>49.457360000000008</v>
      </c>
    </row>
    <row r="571" spans="1:21" ht="15" thickBot="1">
      <c r="A571" s="29">
        <f t="shared" si="587"/>
        <v>45859.666666667268</v>
      </c>
      <c r="B571" s="187">
        <f t="shared" ref="B571:L571" si="605">B595</f>
        <v>8000</v>
      </c>
      <c r="C571" s="187">
        <f t="shared" si="605"/>
        <v>25000</v>
      </c>
      <c r="D571" s="187">
        <v>0</v>
      </c>
      <c r="E571" s="187">
        <v>700</v>
      </c>
      <c r="F571" s="187">
        <v>15000</v>
      </c>
      <c r="G571" s="187">
        <f t="shared" si="605"/>
        <v>2400</v>
      </c>
      <c r="H571" s="187">
        <f t="shared" si="605"/>
        <v>25000</v>
      </c>
      <c r="I571" s="187">
        <f t="shared" si="605"/>
        <v>8000</v>
      </c>
      <c r="J571" s="187">
        <v>40000</v>
      </c>
      <c r="K571" s="187">
        <f t="shared" si="605"/>
        <v>8000</v>
      </c>
      <c r="L571" s="187">
        <v>40000</v>
      </c>
      <c r="M571" s="110">
        <v>9.5</v>
      </c>
      <c r="N571" s="110">
        <f>VLOOKUP(DATE(YEAR(A571),MONTH(A571),DAY(A571)),FY24_Temp[],3,FALSE)</f>
        <v>12.8</v>
      </c>
      <c r="O571" s="110">
        <f t="shared" si="547"/>
        <v>11.5</v>
      </c>
      <c r="P571" s="110">
        <f t="shared" si="548"/>
        <v>19.5</v>
      </c>
      <c r="Q571" s="111">
        <f>VLOOKUP(VLOOKUP(DATEVALUE(TEXT(A571,"m/d/yyyy")),FY24_Temp[],5,FALSE)&amp;TEXT(A571,"-h"),TempDelta[],4,FALSE)</f>
        <v>0.88578571166310993</v>
      </c>
      <c r="R571" s="112">
        <v>10</v>
      </c>
      <c r="S571" s="112">
        <v>1500</v>
      </c>
      <c r="T571" s="99">
        <f>VLOOKUP(TEXT(A571,"yy-mm")&amp;"-"&amp;IF(AND(WEEKDAY(A571)&gt;1,WEEKDAY(A571)&lt;7),"Wkd",TEXT(A571,"Ddd"))&amp;"-"&amp;TEXT(A571,"hh"),LoadTable[],3,FALSE)*0.92</f>
        <v>494.57360000000006</v>
      </c>
      <c r="U571" s="113">
        <f t="shared" si="549"/>
        <v>49.457360000000008</v>
      </c>
    </row>
    <row r="572" spans="1:21" ht="15" thickBot="1">
      <c r="A572" s="29">
        <f t="shared" si="587"/>
        <v>45859.708333333932</v>
      </c>
      <c r="B572" s="187">
        <f t="shared" ref="B572:L572" si="606">B596</f>
        <v>8000</v>
      </c>
      <c r="C572" s="187">
        <f t="shared" si="606"/>
        <v>25000</v>
      </c>
      <c r="D572" s="187">
        <v>0</v>
      </c>
      <c r="E572" s="187">
        <v>700</v>
      </c>
      <c r="F572" s="187">
        <v>15000</v>
      </c>
      <c r="G572" s="187">
        <f t="shared" si="606"/>
        <v>2400</v>
      </c>
      <c r="H572" s="187">
        <f t="shared" si="606"/>
        <v>25000</v>
      </c>
      <c r="I572" s="187">
        <f t="shared" si="606"/>
        <v>8000</v>
      </c>
      <c r="J572" s="187">
        <v>40000</v>
      </c>
      <c r="K572" s="187">
        <f t="shared" si="606"/>
        <v>8000</v>
      </c>
      <c r="L572" s="187">
        <v>40000</v>
      </c>
      <c r="M572" s="110">
        <v>9.5</v>
      </c>
      <c r="N572" s="110">
        <f>VLOOKUP(DATE(YEAR(A572),MONTH(A572),DAY(A572)),FY24_Temp[],3,FALSE)</f>
        <v>12.8</v>
      </c>
      <c r="O572" s="110">
        <f t="shared" si="547"/>
        <v>11.5</v>
      </c>
      <c r="P572" s="110">
        <f t="shared" si="548"/>
        <v>19.5</v>
      </c>
      <c r="Q572" s="111">
        <f>VLOOKUP(VLOOKUP(DATEVALUE(TEXT(A572,"m/d/yyyy")),FY24_Temp[],5,FALSE)&amp;TEXT(A572,"-h"),TempDelta[],4,FALSE)</f>
        <v>1.0356428495475225</v>
      </c>
      <c r="R572" s="112">
        <v>10</v>
      </c>
      <c r="S572" s="112">
        <v>1500</v>
      </c>
      <c r="T572" s="99">
        <f>VLOOKUP(TEXT(A572,"yy-mm")&amp;"-"&amp;IF(AND(WEEKDAY(A572)&gt;1,WEEKDAY(A572)&lt;7),"Wkd",TEXT(A572,"Ddd"))&amp;"-"&amp;TEXT(A572,"hh"),LoadTable[],3,FALSE)*0.92</f>
        <v>494.57360000000006</v>
      </c>
      <c r="U572" s="113">
        <f t="shared" si="549"/>
        <v>49.457360000000008</v>
      </c>
    </row>
    <row r="573" spans="1:21" ht="15" thickBot="1">
      <c r="A573" s="29">
        <f t="shared" si="587"/>
        <v>45859.750000000597</v>
      </c>
      <c r="B573" s="187">
        <f t="shared" ref="B573:L573" si="607">B597</f>
        <v>5000</v>
      </c>
      <c r="C573" s="187">
        <f t="shared" si="607"/>
        <v>25000</v>
      </c>
      <c r="D573" s="187">
        <v>0</v>
      </c>
      <c r="E573" s="187">
        <v>700</v>
      </c>
      <c r="F573" s="187">
        <v>15000</v>
      </c>
      <c r="G573" s="187">
        <f t="shared" si="607"/>
        <v>2400</v>
      </c>
      <c r="H573" s="187">
        <f t="shared" si="607"/>
        <v>25000</v>
      </c>
      <c r="I573" s="187">
        <f t="shared" si="607"/>
        <v>5000</v>
      </c>
      <c r="J573" s="187">
        <v>40000</v>
      </c>
      <c r="K573" s="187">
        <f t="shared" si="607"/>
        <v>5000</v>
      </c>
      <c r="L573" s="187">
        <v>40000</v>
      </c>
      <c r="M573" s="110">
        <v>9.5</v>
      </c>
      <c r="N573" s="110">
        <f>VLOOKUP(DATE(YEAR(A573),MONTH(A573),DAY(A573)),FY24_Temp[],3,FALSE)</f>
        <v>12.8</v>
      </c>
      <c r="O573" s="110">
        <f t="shared" si="547"/>
        <v>11.5</v>
      </c>
      <c r="P573" s="110">
        <f t="shared" si="548"/>
        <v>19.5</v>
      </c>
      <c r="Q573" s="111">
        <f>VLOOKUP(VLOOKUP(DATEVALUE(TEXT(A573,"m/d/yyyy")),FY24_Temp[],5,FALSE)&amp;TEXT(A573,"-h"),TempDelta[],4,FALSE)</f>
        <v>1.3991428358214242</v>
      </c>
      <c r="R573" s="112">
        <v>10</v>
      </c>
      <c r="S573" s="112">
        <v>1500</v>
      </c>
      <c r="T573" s="99">
        <f>VLOOKUP(TEXT(A573,"yy-mm")&amp;"-"&amp;IF(AND(WEEKDAY(A573)&gt;1,WEEKDAY(A573)&lt;7),"Wkd",TEXT(A573,"Ddd"))&amp;"-"&amp;TEXT(A573,"hh"),LoadTable[],3,FALSE)*0.92</f>
        <v>494.57360000000006</v>
      </c>
      <c r="U573" s="113">
        <f t="shared" si="549"/>
        <v>49.457360000000008</v>
      </c>
    </row>
    <row r="574" spans="1:21" ht="15" thickBot="1">
      <c r="A574" s="29">
        <f t="shared" si="587"/>
        <v>45859.791666667261</v>
      </c>
      <c r="B574" s="187">
        <f t="shared" ref="B574:L574" si="608">B598</f>
        <v>5000</v>
      </c>
      <c r="C574" s="187">
        <f t="shared" si="608"/>
        <v>25000</v>
      </c>
      <c r="D574" s="187">
        <v>0</v>
      </c>
      <c r="E574" s="187">
        <v>700</v>
      </c>
      <c r="F574" s="187">
        <v>15000</v>
      </c>
      <c r="G574" s="187">
        <f t="shared" si="608"/>
        <v>2400</v>
      </c>
      <c r="H574" s="187">
        <f t="shared" si="608"/>
        <v>25000</v>
      </c>
      <c r="I574" s="187">
        <f t="shared" si="608"/>
        <v>5000</v>
      </c>
      <c r="J574" s="187">
        <v>40000</v>
      </c>
      <c r="K574" s="187">
        <f t="shared" si="608"/>
        <v>5000</v>
      </c>
      <c r="L574" s="187">
        <v>40000</v>
      </c>
      <c r="M574" s="110">
        <v>9.5</v>
      </c>
      <c r="N574" s="110">
        <f>VLOOKUP(DATE(YEAR(A574),MONTH(A574),DAY(A574)),FY24_Temp[],3,FALSE)</f>
        <v>12.8</v>
      </c>
      <c r="O574" s="110">
        <f t="shared" si="547"/>
        <v>11.5</v>
      </c>
      <c r="P574" s="110">
        <f t="shared" si="548"/>
        <v>19.5</v>
      </c>
      <c r="Q574" s="111">
        <f>VLOOKUP(VLOOKUP(DATEVALUE(TEXT(A574,"m/d/yyyy")),FY24_Temp[],5,FALSE)&amp;TEXT(A574,"-h"),TempDelta[],4,FALSE)</f>
        <v>1.8638571415628706</v>
      </c>
      <c r="R574" s="112">
        <v>10</v>
      </c>
      <c r="S574" s="112">
        <v>1500</v>
      </c>
      <c r="T574" s="99">
        <f>VLOOKUP(TEXT(A574,"yy-mm")&amp;"-"&amp;IF(AND(WEEKDAY(A574)&gt;1,WEEKDAY(A574)&lt;7),"Wkd",TEXT(A574,"Ddd"))&amp;"-"&amp;TEXT(A574,"hh"),LoadTable[],3,FALSE)*0.92</f>
        <v>494.57360000000006</v>
      </c>
      <c r="U574" s="113">
        <f t="shared" si="549"/>
        <v>49.457360000000008</v>
      </c>
    </row>
    <row r="575" spans="1:21" ht="15" thickBot="1">
      <c r="A575" s="29">
        <f t="shared" si="587"/>
        <v>45859.833333333925</v>
      </c>
      <c r="B575" s="187">
        <f t="shared" ref="B575:L575" si="609">B599</f>
        <v>5000</v>
      </c>
      <c r="C575" s="187">
        <f t="shared" si="609"/>
        <v>25000</v>
      </c>
      <c r="D575" s="187">
        <v>0</v>
      </c>
      <c r="E575" s="187">
        <v>700</v>
      </c>
      <c r="F575" s="187">
        <v>15000</v>
      </c>
      <c r="G575" s="187">
        <f t="shared" si="609"/>
        <v>2400</v>
      </c>
      <c r="H575" s="187">
        <f t="shared" si="609"/>
        <v>25000</v>
      </c>
      <c r="I575" s="187">
        <f t="shared" si="609"/>
        <v>5000</v>
      </c>
      <c r="J575" s="187">
        <v>40000</v>
      </c>
      <c r="K575" s="187">
        <f t="shared" si="609"/>
        <v>5000</v>
      </c>
      <c r="L575" s="187">
        <v>40000</v>
      </c>
      <c r="M575" s="110">
        <v>9.5</v>
      </c>
      <c r="N575" s="110">
        <f>VLOOKUP(DATE(YEAR(A575),MONTH(A575),DAY(A575)),FY24_Temp[],3,FALSE)</f>
        <v>12.8</v>
      </c>
      <c r="O575" s="110">
        <f t="shared" si="547"/>
        <v>11.5</v>
      </c>
      <c r="P575" s="110">
        <f t="shared" si="548"/>
        <v>19.5</v>
      </c>
      <c r="Q575" s="111">
        <f>VLOOKUP(VLOOKUP(DATEVALUE(TEXT(A575,"m/d/yyyy")),FY24_Temp[],5,FALSE)&amp;TEXT(A575,"-h"),TempDelta[],4,FALSE)</f>
        <v>2.300714305468968</v>
      </c>
      <c r="R575" s="112">
        <v>10</v>
      </c>
      <c r="S575" s="112">
        <v>1500</v>
      </c>
      <c r="T575" s="99">
        <f>VLOOKUP(TEXT(A575,"yy-mm")&amp;"-"&amp;IF(AND(WEEKDAY(A575)&gt;1,WEEKDAY(A575)&lt;7),"Wkd",TEXT(A575,"Ddd"))&amp;"-"&amp;TEXT(A575,"hh"),LoadTable[],3,FALSE)*0.92</f>
        <v>494.57360000000006</v>
      </c>
      <c r="U575" s="113">
        <f t="shared" si="549"/>
        <v>49.457360000000008</v>
      </c>
    </row>
    <row r="576" spans="1:21" ht="15" thickBot="1">
      <c r="A576" s="29">
        <f t="shared" si="587"/>
        <v>45859.875000000589</v>
      </c>
      <c r="B576" s="187">
        <f t="shared" ref="B576:L576" si="610">B600</f>
        <v>5000</v>
      </c>
      <c r="C576" s="187">
        <f t="shared" si="610"/>
        <v>25000</v>
      </c>
      <c r="D576" s="187">
        <v>0</v>
      </c>
      <c r="E576" s="187">
        <v>700</v>
      </c>
      <c r="F576" s="187">
        <v>15000</v>
      </c>
      <c r="G576" s="187">
        <f t="shared" si="610"/>
        <v>2400</v>
      </c>
      <c r="H576" s="187">
        <f t="shared" si="610"/>
        <v>25000</v>
      </c>
      <c r="I576" s="187">
        <f t="shared" si="610"/>
        <v>5000</v>
      </c>
      <c r="J576" s="187">
        <v>40000</v>
      </c>
      <c r="K576" s="187">
        <f t="shared" si="610"/>
        <v>5000</v>
      </c>
      <c r="L576" s="187">
        <v>40000</v>
      </c>
      <c r="M576" s="110">
        <v>9.5</v>
      </c>
      <c r="N576" s="110">
        <f>VLOOKUP(DATE(YEAR(A576),MONTH(A576),DAY(A576)),FY24_Temp[],3,FALSE)</f>
        <v>12.8</v>
      </c>
      <c r="O576" s="110">
        <f t="shared" si="547"/>
        <v>11.5</v>
      </c>
      <c r="P576" s="110">
        <f t="shared" si="548"/>
        <v>19.5</v>
      </c>
      <c r="Q576" s="111">
        <f>VLOOKUP(VLOOKUP(DATEVALUE(TEXT(A576,"m/d/yyyy")),FY24_Temp[],5,FALSE)&amp;TEXT(A576,"-h"),TempDelta[],4,FALSE)</f>
        <v>2.554214222090585</v>
      </c>
      <c r="R576" s="112">
        <v>10</v>
      </c>
      <c r="S576" s="112">
        <v>1500</v>
      </c>
      <c r="T576" s="99">
        <f>VLOOKUP(TEXT(A576,"yy-mm")&amp;"-"&amp;IF(AND(WEEKDAY(A576)&gt;1,WEEKDAY(A576)&lt;7),"Wkd",TEXT(A576,"Ddd"))&amp;"-"&amp;TEXT(A576,"hh"),LoadTable[],3,FALSE)*0.92</f>
        <v>494.57360000000006</v>
      </c>
      <c r="U576" s="113">
        <f t="shared" si="549"/>
        <v>49.457360000000008</v>
      </c>
    </row>
    <row r="577" spans="1:21" ht="15" thickBot="1">
      <c r="A577" s="29">
        <f t="shared" si="587"/>
        <v>45859.916666667254</v>
      </c>
      <c r="B577" s="187">
        <f t="shared" ref="B577:L577" si="611">B601</f>
        <v>5000</v>
      </c>
      <c r="C577" s="187">
        <f t="shared" si="611"/>
        <v>25000</v>
      </c>
      <c r="D577" s="187">
        <v>0</v>
      </c>
      <c r="E577" s="187">
        <v>700</v>
      </c>
      <c r="F577" s="187">
        <v>15000</v>
      </c>
      <c r="G577" s="187">
        <f t="shared" si="611"/>
        <v>2400</v>
      </c>
      <c r="H577" s="187">
        <f t="shared" si="611"/>
        <v>25000</v>
      </c>
      <c r="I577" s="187">
        <f t="shared" si="611"/>
        <v>5000</v>
      </c>
      <c r="J577" s="187">
        <v>40000</v>
      </c>
      <c r="K577" s="187">
        <f t="shared" si="611"/>
        <v>5000</v>
      </c>
      <c r="L577" s="187">
        <v>40000</v>
      </c>
      <c r="M577" s="110">
        <v>9.5</v>
      </c>
      <c r="N577" s="110">
        <f>VLOOKUP(DATE(YEAR(A577),MONTH(A577),DAY(A577)),FY24_Temp[],3,FALSE)</f>
        <v>12.8</v>
      </c>
      <c r="O577" s="110">
        <f t="shared" si="547"/>
        <v>11.5</v>
      </c>
      <c r="P577" s="110">
        <f t="shared" si="548"/>
        <v>19.5</v>
      </c>
      <c r="Q577" s="111">
        <f>VLOOKUP(VLOOKUP(DATEVALUE(TEXT(A577,"m/d/yyyy")),FY24_Temp[],5,FALSE)&amp;TEXT(A577,"-h"),TempDelta[],4,FALSE)</f>
        <v>2.7827142647334506</v>
      </c>
      <c r="R577" s="112">
        <v>10</v>
      </c>
      <c r="S577" s="112">
        <v>1500</v>
      </c>
      <c r="T577" s="99">
        <f>VLOOKUP(TEXT(A577,"yy-mm")&amp;"-"&amp;IF(AND(WEEKDAY(A577)&gt;1,WEEKDAY(A577)&lt;7),"Wkd",TEXT(A577,"Ddd"))&amp;"-"&amp;TEXT(A577,"hh"),LoadTable[],3,FALSE)*0.92</f>
        <v>418.75640000000004</v>
      </c>
      <c r="U577" s="113">
        <f t="shared" si="549"/>
        <v>41.875640000000004</v>
      </c>
    </row>
    <row r="578" spans="1:21" ht="15" thickBot="1">
      <c r="A578" s="29">
        <f t="shared" si="587"/>
        <v>45859.958333333918</v>
      </c>
      <c r="B578" s="187">
        <f t="shared" ref="B578:L578" si="612">B602</f>
        <v>5000</v>
      </c>
      <c r="C578" s="187">
        <f t="shared" si="612"/>
        <v>25000</v>
      </c>
      <c r="D578" s="187">
        <v>0</v>
      </c>
      <c r="E578" s="187">
        <v>700</v>
      </c>
      <c r="F578" s="187">
        <v>15000</v>
      </c>
      <c r="G578" s="187">
        <f t="shared" si="612"/>
        <v>2400</v>
      </c>
      <c r="H578" s="187">
        <f t="shared" si="612"/>
        <v>25000</v>
      </c>
      <c r="I578" s="187">
        <f t="shared" si="612"/>
        <v>5000</v>
      </c>
      <c r="J578" s="187">
        <v>40000</v>
      </c>
      <c r="K578" s="187">
        <f t="shared" si="612"/>
        <v>5000</v>
      </c>
      <c r="L578" s="187">
        <v>40000</v>
      </c>
      <c r="M578" s="110">
        <v>9.5</v>
      </c>
      <c r="N578" s="110">
        <f>VLOOKUP(DATE(YEAR(A578),MONTH(A578),DAY(A578)),FY24_Temp[],3,FALSE)</f>
        <v>12.8</v>
      </c>
      <c r="O578" s="110">
        <f t="shared" si="547"/>
        <v>11.5</v>
      </c>
      <c r="P578" s="110">
        <f t="shared" si="548"/>
        <v>19.5</v>
      </c>
      <c r="Q578" s="111">
        <f>VLOOKUP(VLOOKUP(DATEVALUE(TEXT(A578,"m/d/yyyy")),FY24_Temp[],5,FALSE)&amp;TEXT(A578,"-h"),TempDelta[],4,FALSE)</f>
        <v>2.8792857101985385</v>
      </c>
      <c r="R578" s="112">
        <v>10</v>
      </c>
      <c r="S578" s="112">
        <v>1500</v>
      </c>
      <c r="T578" s="99">
        <f>VLOOKUP(TEXT(A578,"yy-mm")&amp;"-"&amp;IF(AND(WEEKDAY(A578)&gt;1,WEEKDAY(A578)&lt;7),"Wkd",TEXT(A578,"Ddd"))&amp;"-"&amp;TEXT(A578,"hh"),LoadTable[],3,FALSE)*0.92</f>
        <v>342.93920000000003</v>
      </c>
      <c r="U578" s="113">
        <f t="shared" si="549"/>
        <v>34.29392</v>
      </c>
    </row>
    <row r="579" spans="1:21" ht="15" thickBot="1">
      <c r="A579" s="29">
        <f t="shared" si="587"/>
        <v>45860.000000000582</v>
      </c>
      <c r="B579" s="187">
        <f t="shared" ref="B579:L579" si="613">B603</f>
        <v>5000</v>
      </c>
      <c r="C579" s="187">
        <f t="shared" si="613"/>
        <v>25000</v>
      </c>
      <c r="D579" s="187">
        <v>0</v>
      </c>
      <c r="E579" s="187">
        <v>700</v>
      </c>
      <c r="F579" s="187">
        <v>15000</v>
      </c>
      <c r="G579" s="187">
        <f t="shared" si="613"/>
        <v>2400</v>
      </c>
      <c r="H579" s="187">
        <f t="shared" si="613"/>
        <v>25000</v>
      </c>
      <c r="I579" s="187">
        <f t="shared" si="613"/>
        <v>5000</v>
      </c>
      <c r="J579" s="187">
        <v>40000</v>
      </c>
      <c r="K579" s="187">
        <f t="shared" si="613"/>
        <v>5000</v>
      </c>
      <c r="L579" s="187">
        <v>40000</v>
      </c>
      <c r="M579" s="110">
        <v>9.5</v>
      </c>
      <c r="N579" s="110">
        <f>VLOOKUP(DATE(YEAR(A579),MONTH(A579),DAY(A579)),FY24_Temp[],3,FALSE)</f>
        <v>12.8</v>
      </c>
      <c r="O579" s="110">
        <f t="shared" si="547"/>
        <v>11.5</v>
      </c>
      <c r="P579" s="110">
        <f t="shared" si="548"/>
        <v>19.5</v>
      </c>
      <c r="Q579" s="111">
        <f>VLOOKUP(VLOOKUP(DATEVALUE(TEXT(A579,"m/d/yyyy")),FY24_Temp[],5,FALSE)&amp;TEXT(A579,"-h"),TempDelta[],4,FALSE)</f>
        <v>3.0441428933824812</v>
      </c>
      <c r="R579" s="112">
        <v>10</v>
      </c>
      <c r="S579" s="112">
        <v>1500</v>
      </c>
      <c r="T579" s="99">
        <f>VLOOKUP(TEXT(A579,"yy-mm")&amp;"-"&amp;IF(AND(WEEKDAY(A579)&gt;1,WEEKDAY(A579)&lt;7),"Wkd",TEXT(A579,"Ddd"))&amp;"-"&amp;TEXT(A579,"hh"),LoadTable[],3,FALSE)*0.92</f>
        <v>279.25312000000002</v>
      </c>
      <c r="U579" s="113">
        <f t="shared" si="549"/>
        <v>27.925312000000002</v>
      </c>
    </row>
    <row r="580" spans="1:21" ht="15" thickBot="1">
      <c r="A580" s="29">
        <f t="shared" si="587"/>
        <v>45860.041666667246</v>
      </c>
      <c r="B580" s="187">
        <f t="shared" ref="B580:L580" si="614">B604</f>
        <v>5000</v>
      </c>
      <c r="C580" s="187">
        <f t="shared" si="614"/>
        <v>25000</v>
      </c>
      <c r="D580" s="187">
        <v>0</v>
      </c>
      <c r="E580" s="187">
        <v>700</v>
      </c>
      <c r="F580" s="187">
        <v>15000</v>
      </c>
      <c r="G580" s="187">
        <f t="shared" si="614"/>
        <v>2400</v>
      </c>
      <c r="H580" s="187">
        <f t="shared" si="614"/>
        <v>25000</v>
      </c>
      <c r="I580" s="187">
        <f t="shared" si="614"/>
        <v>5000</v>
      </c>
      <c r="J580" s="187">
        <v>40000</v>
      </c>
      <c r="K580" s="187">
        <f t="shared" si="614"/>
        <v>5000</v>
      </c>
      <c r="L580" s="187">
        <v>40000</v>
      </c>
      <c r="M580" s="110">
        <v>9.5</v>
      </c>
      <c r="N580" s="110">
        <f>VLOOKUP(DATE(YEAR(A580),MONTH(A580),DAY(A580)),FY24_Temp[],3,FALSE)</f>
        <v>12.8</v>
      </c>
      <c r="O580" s="110">
        <f t="shared" ref="O580:O643" si="615">15.5-4</f>
        <v>11.5</v>
      </c>
      <c r="P580" s="110">
        <f t="shared" ref="P580:P643" si="616">15.5+4</f>
        <v>19.5</v>
      </c>
      <c r="Q580" s="111">
        <f>VLOOKUP(VLOOKUP(DATEVALUE(TEXT(A580,"m/d/yyyy")),FY24_Temp[],5,FALSE)&amp;TEXT(A580,"-h"),TempDelta[],4,FALSE)</f>
        <v>3.0992857047489712</v>
      </c>
      <c r="R580" s="112">
        <v>10</v>
      </c>
      <c r="S580" s="112">
        <v>1500</v>
      </c>
      <c r="T580" s="99">
        <f>VLOOKUP(TEXT(A580,"yy-mm")&amp;"-"&amp;IF(AND(WEEKDAY(A580)&gt;1,WEEKDAY(A580)&lt;7),"Wkd",TEXT(A580,"Ddd"))&amp;"-"&amp;TEXT(A580,"hh"),LoadTable[],3,FALSE)*0.92</f>
        <v>279.25312000000002</v>
      </c>
      <c r="U580" s="113">
        <f t="shared" ref="U580:U643" si="617">T580/10</f>
        <v>27.925312000000002</v>
      </c>
    </row>
    <row r="581" spans="1:21" ht="15" thickBot="1">
      <c r="A581" s="29">
        <f t="shared" si="587"/>
        <v>45860.083333333911</v>
      </c>
      <c r="B581" s="187">
        <f t="shared" ref="B581:L581" si="618">B605</f>
        <v>5000</v>
      </c>
      <c r="C581" s="187">
        <f t="shared" si="618"/>
        <v>25000</v>
      </c>
      <c r="D581" s="187">
        <v>0</v>
      </c>
      <c r="E581" s="187">
        <v>700</v>
      </c>
      <c r="F581" s="187">
        <v>15000</v>
      </c>
      <c r="G581" s="187">
        <f t="shared" si="618"/>
        <v>2400</v>
      </c>
      <c r="H581" s="187">
        <f t="shared" si="618"/>
        <v>25000</v>
      </c>
      <c r="I581" s="187">
        <f t="shared" si="618"/>
        <v>5000</v>
      </c>
      <c r="J581" s="187">
        <v>40000</v>
      </c>
      <c r="K581" s="187">
        <f t="shared" si="618"/>
        <v>5000</v>
      </c>
      <c r="L581" s="187">
        <v>40000</v>
      </c>
      <c r="M581" s="110">
        <v>9.5</v>
      </c>
      <c r="N581" s="110">
        <f>VLOOKUP(DATE(YEAR(A581),MONTH(A581),DAY(A581)),FY24_Temp[],3,FALSE)</f>
        <v>12.8</v>
      </c>
      <c r="O581" s="110">
        <f t="shared" si="615"/>
        <v>11.5</v>
      </c>
      <c r="P581" s="110">
        <f t="shared" si="616"/>
        <v>19.5</v>
      </c>
      <c r="Q581" s="111">
        <f>VLOOKUP(VLOOKUP(DATEVALUE(TEXT(A581,"m/d/yyyy")),FY24_Temp[],5,FALSE)&amp;TEXT(A581,"-h"),TempDelta[],4,FALSE)</f>
        <v>3.1050000190734863</v>
      </c>
      <c r="R581" s="112">
        <v>10</v>
      </c>
      <c r="S581" s="112">
        <v>1500</v>
      </c>
      <c r="T581" s="99">
        <f>VLOOKUP(TEXT(A581,"yy-mm")&amp;"-"&amp;IF(AND(WEEKDAY(A581)&gt;1,WEEKDAY(A581)&lt;7),"Wkd",TEXT(A581,"Ddd"))&amp;"-"&amp;TEXT(A581,"hh"),LoadTable[],3,FALSE)*0.92</f>
        <v>279.25312000000002</v>
      </c>
      <c r="U581" s="113">
        <f t="shared" si="617"/>
        <v>27.925312000000002</v>
      </c>
    </row>
    <row r="582" spans="1:21" ht="15" thickBot="1">
      <c r="A582" s="29">
        <f t="shared" si="587"/>
        <v>45860.125000000575</v>
      </c>
      <c r="B582" s="187">
        <f t="shared" ref="B582:L582" si="619">B606</f>
        <v>5000</v>
      </c>
      <c r="C582" s="187">
        <f t="shared" si="619"/>
        <v>25000</v>
      </c>
      <c r="D582" s="187">
        <v>0</v>
      </c>
      <c r="E582" s="187">
        <v>700</v>
      </c>
      <c r="F582" s="187">
        <v>15000</v>
      </c>
      <c r="G582" s="187">
        <f t="shared" si="619"/>
        <v>2400</v>
      </c>
      <c r="H582" s="187">
        <f t="shared" si="619"/>
        <v>25000</v>
      </c>
      <c r="I582" s="187">
        <f t="shared" si="619"/>
        <v>5000</v>
      </c>
      <c r="J582" s="187">
        <v>40000</v>
      </c>
      <c r="K582" s="187">
        <f t="shared" si="619"/>
        <v>5000</v>
      </c>
      <c r="L582" s="187">
        <v>40000</v>
      </c>
      <c r="M582" s="110">
        <v>9.5</v>
      </c>
      <c r="N582" s="110">
        <f>VLOOKUP(DATE(YEAR(A582),MONTH(A582),DAY(A582)),FY24_Temp[],3,FALSE)</f>
        <v>12.8</v>
      </c>
      <c r="O582" s="110">
        <f t="shared" si="615"/>
        <v>11.5</v>
      </c>
      <c r="P582" s="110">
        <f t="shared" si="616"/>
        <v>19.5</v>
      </c>
      <c r="Q582" s="111">
        <f>VLOOKUP(VLOOKUP(DATEVALUE(TEXT(A582,"m/d/yyyy")),FY24_Temp[],5,FALSE)&amp;TEXT(A582,"-h"),TempDelta[],4,FALSE)</f>
        <v>3.0428571701049805</v>
      </c>
      <c r="R582" s="112">
        <v>10</v>
      </c>
      <c r="S582" s="112">
        <v>1500</v>
      </c>
      <c r="T582" s="99">
        <f>VLOOKUP(TEXT(A582,"yy-mm")&amp;"-"&amp;IF(AND(WEEKDAY(A582)&gt;1,WEEKDAY(A582)&lt;7),"Wkd",TEXT(A582,"Ddd"))&amp;"-"&amp;TEXT(A582,"hh"),LoadTable[],3,FALSE)*0.92</f>
        <v>279.25312000000002</v>
      </c>
      <c r="U582" s="113">
        <f t="shared" si="617"/>
        <v>27.925312000000002</v>
      </c>
    </row>
    <row r="583" spans="1:21" ht="15" thickBot="1">
      <c r="A583" s="29">
        <f t="shared" si="587"/>
        <v>45860.166666667239</v>
      </c>
      <c r="B583" s="187">
        <f t="shared" ref="B583:L583" si="620">B607</f>
        <v>5000</v>
      </c>
      <c r="C583" s="187">
        <f t="shared" si="620"/>
        <v>25000</v>
      </c>
      <c r="D583" s="187">
        <v>0</v>
      </c>
      <c r="E583" s="187">
        <v>700</v>
      </c>
      <c r="F583" s="187">
        <v>15000</v>
      </c>
      <c r="G583" s="187">
        <f t="shared" si="620"/>
        <v>2400</v>
      </c>
      <c r="H583" s="187">
        <f t="shared" si="620"/>
        <v>25000</v>
      </c>
      <c r="I583" s="187">
        <f t="shared" si="620"/>
        <v>5000</v>
      </c>
      <c r="J583" s="187">
        <v>40000</v>
      </c>
      <c r="K583" s="187">
        <f t="shared" si="620"/>
        <v>5000</v>
      </c>
      <c r="L583" s="187">
        <v>40000</v>
      </c>
      <c r="M583" s="110">
        <v>9.5</v>
      </c>
      <c r="N583" s="110">
        <f>VLOOKUP(DATE(YEAR(A583),MONTH(A583),DAY(A583)),FY24_Temp[],3,FALSE)</f>
        <v>12.8</v>
      </c>
      <c r="O583" s="110">
        <f t="shared" si="615"/>
        <v>11.5</v>
      </c>
      <c r="P583" s="110">
        <f t="shared" si="616"/>
        <v>19.5</v>
      </c>
      <c r="Q583" s="111">
        <f>VLOOKUP(VLOOKUP(DATEVALUE(TEXT(A583,"m/d/yyyy")),FY24_Temp[],5,FALSE)&amp;TEXT(A583,"-h"),TempDelta[],4,FALSE)</f>
        <v>2.9580000468662808</v>
      </c>
      <c r="R583" s="112">
        <v>10</v>
      </c>
      <c r="S583" s="112">
        <v>1500</v>
      </c>
      <c r="T583" s="99">
        <f>VLOOKUP(TEXT(A583,"yy-mm")&amp;"-"&amp;IF(AND(WEEKDAY(A583)&gt;1,WEEKDAY(A583)&lt;7),"Wkd",TEXT(A583,"Ddd"))&amp;"-"&amp;TEXT(A583,"hh"),LoadTable[],3,FALSE)*0.92</f>
        <v>279.25312000000002</v>
      </c>
      <c r="U583" s="113">
        <f t="shared" si="617"/>
        <v>27.925312000000002</v>
      </c>
    </row>
    <row r="584" spans="1:21" ht="15" thickBot="1">
      <c r="A584" s="29">
        <f t="shared" si="587"/>
        <v>45860.208333333903</v>
      </c>
      <c r="B584" s="187">
        <f t="shared" ref="B584:L584" si="621">B608</f>
        <v>5000</v>
      </c>
      <c r="C584" s="187">
        <f t="shared" si="621"/>
        <v>25000</v>
      </c>
      <c r="D584" s="187">
        <v>0</v>
      </c>
      <c r="E584" s="187">
        <v>700</v>
      </c>
      <c r="F584" s="187">
        <v>15000</v>
      </c>
      <c r="G584" s="187">
        <f t="shared" si="621"/>
        <v>2400</v>
      </c>
      <c r="H584" s="187">
        <f t="shared" si="621"/>
        <v>25000</v>
      </c>
      <c r="I584" s="187">
        <f t="shared" si="621"/>
        <v>5000</v>
      </c>
      <c r="J584" s="187">
        <v>40000</v>
      </c>
      <c r="K584" s="187">
        <f t="shared" si="621"/>
        <v>5000</v>
      </c>
      <c r="L584" s="187">
        <v>40000</v>
      </c>
      <c r="M584" s="110">
        <v>9.5</v>
      </c>
      <c r="N584" s="110">
        <f>VLOOKUP(DATE(YEAR(A584),MONTH(A584),DAY(A584)),FY24_Temp[],3,FALSE)</f>
        <v>12.8</v>
      </c>
      <c r="O584" s="110">
        <f t="shared" si="615"/>
        <v>11.5</v>
      </c>
      <c r="P584" s="110">
        <f t="shared" si="616"/>
        <v>19.5</v>
      </c>
      <c r="Q584" s="111">
        <f>VLOOKUP(VLOOKUP(DATEVALUE(TEXT(A584,"m/d/yyyy")),FY24_Temp[],5,FALSE)&amp;TEXT(A584,"-h"),TempDelta[],4,FALSE)</f>
        <v>2.8608571801866804</v>
      </c>
      <c r="R584" s="112">
        <v>10</v>
      </c>
      <c r="S584" s="112">
        <v>1500</v>
      </c>
      <c r="T584" s="99">
        <f>VLOOKUP(TEXT(A584,"yy-mm")&amp;"-"&amp;IF(AND(WEEKDAY(A584)&gt;1,WEEKDAY(A584)&lt;7),"Wkd",TEXT(A584,"Ddd"))&amp;"-"&amp;TEXT(A584,"hh"),LoadTable[],3,FALSE)*0.92</f>
        <v>279.25312000000002</v>
      </c>
      <c r="U584" s="113">
        <f t="shared" si="617"/>
        <v>27.925312000000002</v>
      </c>
    </row>
    <row r="585" spans="1:21" ht="15" thickBot="1">
      <c r="A585" s="29">
        <f t="shared" si="587"/>
        <v>45860.250000000568</v>
      </c>
      <c r="B585" s="187">
        <f t="shared" ref="B585:L585" si="622">B609</f>
        <v>8000</v>
      </c>
      <c r="C585" s="187">
        <f t="shared" si="622"/>
        <v>25000</v>
      </c>
      <c r="D585" s="187">
        <v>0</v>
      </c>
      <c r="E585" s="187">
        <v>700</v>
      </c>
      <c r="F585" s="187">
        <v>15000</v>
      </c>
      <c r="G585" s="187">
        <f t="shared" si="622"/>
        <v>2400</v>
      </c>
      <c r="H585" s="187">
        <f t="shared" si="622"/>
        <v>25000</v>
      </c>
      <c r="I585" s="187">
        <f t="shared" si="622"/>
        <v>8000</v>
      </c>
      <c r="J585" s="187">
        <v>40000</v>
      </c>
      <c r="K585" s="187">
        <f t="shared" si="622"/>
        <v>8000</v>
      </c>
      <c r="L585" s="187">
        <v>40000</v>
      </c>
      <c r="M585" s="110">
        <v>9.5</v>
      </c>
      <c r="N585" s="110">
        <f>VLOOKUP(DATE(YEAR(A585),MONTH(A585),DAY(A585)),FY24_Temp[],3,FALSE)</f>
        <v>12.8</v>
      </c>
      <c r="O585" s="110">
        <f t="shared" si="615"/>
        <v>11.5</v>
      </c>
      <c r="P585" s="110">
        <f t="shared" si="616"/>
        <v>19.5</v>
      </c>
      <c r="Q585" s="111">
        <f>VLOOKUP(VLOOKUP(DATEVALUE(TEXT(A585,"m/d/yyyy")),FY24_Temp[],5,FALSE)&amp;TEXT(A585,"-h"),TempDelta[],4,FALSE)</f>
        <v>2.7405714307512556</v>
      </c>
      <c r="R585" s="112">
        <v>10</v>
      </c>
      <c r="S585" s="112">
        <v>1500</v>
      </c>
      <c r="T585" s="99">
        <f>VLOOKUP(TEXT(A585,"yy-mm")&amp;"-"&amp;IF(AND(WEEKDAY(A585)&gt;1,WEEKDAY(A585)&lt;7),"Wkd",TEXT(A585,"Ddd"))&amp;"-"&amp;TEXT(A585,"hh"),LoadTable[],3,FALSE)*0.92</f>
        <v>279.25312000000002</v>
      </c>
      <c r="U585" s="113">
        <f t="shared" si="617"/>
        <v>27.925312000000002</v>
      </c>
    </row>
    <row r="586" spans="1:21" ht="15" thickBot="1">
      <c r="A586" s="29">
        <f t="shared" si="587"/>
        <v>45860.291666667232</v>
      </c>
      <c r="B586" s="187">
        <f t="shared" ref="B586:L586" si="623">B610</f>
        <v>8000</v>
      </c>
      <c r="C586" s="187">
        <f t="shared" si="623"/>
        <v>25000</v>
      </c>
      <c r="D586" s="187">
        <v>0</v>
      </c>
      <c r="E586" s="187">
        <v>700</v>
      </c>
      <c r="F586" s="187">
        <v>15000</v>
      </c>
      <c r="G586" s="187">
        <f t="shared" si="623"/>
        <v>2400</v>
      </c>
      <c r="H586" s="187">
        <f t="shared" si="623"/>
        <v>25000</v>
      </c>
      <c r="I586" s="187">
        <f t="shared" si="623"/>
        <v>8000</v>
      </c>
      <c r="J586" s="187">
        <v>40000</v>
      </c>
      <c r="K586" s="187">
        <f t="shared" si="623"/>
        <v>8000</v>
      </c>
      <c r="L586" s="187">
        <v>40000</v>
      </c>
      <c r="M586" s="110">
        <v>9.5</v>
      </c>
      <c r="N586" s="110">
        <f>VLOOKUP(DATE(YEAR(A586),MONTH(A586),DAY(A586)),FY24_Temp[],3,FALSE)</f>
        <v>12.8</v>
      </c>
      <c r="O586" s="110">
        <f t="shared" si="615"/>
        <v>11.5</v>
      </c>
      <c r="P586" s="110">
        <f t="shared" si="616"/>
        <v>19.5</v>
      </c>
      <c r="Q586" s="111">
        <f>VLOOKUP(VLOOKUP(DATEVALUE(TEXT(A586,"m/d/yyyy")),FY24_Temp[],5,FALSE)&amp;TEXT(A586,"-h"),TempDelta[],4,FALSE)</f>
        <v>2.6134285245622908</v>
      </c>
      <c r="R586" s="112">
        <v>10</v>
      </c>
      <c r="S586" s="112">
        <v>1500</v>
      </c>
      <c r="T586" s="99">
        <f>VLOOKUP(TEXT(A586,"yy-mm")&amp;"-"&amp;IF(AND(WEEKDAY(A586)&gt;1,WEEKDAY(A586)&lt;7),"Wkd",TEXT(A586,"Ddd"))&amp;"-"&amp;TEXT(A586,"hh"),LoadTable[],3,FALSE)*0.92</f>
        <v>279.25312000000002</v>
      </c>
      <c r="U586" s="113">
        <f t="shared" si="617"/>
        <v>27.925312000000002</v>
      </c>
    </row>
    <row r="587" spans="1:21" ht="15" thickBot="1">
      <c r="A587" s="29">
        <f t="shared" si="587"/>
        <v>45860.333333333896</v>
      </c>
      <c r="B587" s="187">
        <f t="shared" ref="B587:L587" si="624">B611</f>
        <v>8000</v>
      </c>
      <c r="C587" s="187">
        <f t="shared" si="624"/>
        <v>25000</v>
      </c>
      <c r="D587" s="187">
        <v>0</v>
      </c>
      <c r="E587" s="187">
        <v>700</v>
      </c>
      <c r="F587" s="187">
        <v>15000</v>
      </c>
      <c r="G587" s="187">
        <f t="shared" si="624"/>
        <v>2400</v>
      </c>
      <c r="H587" s="187">
        <f t="shared" si="624"/>
        <v>25000</v>
      </c>
      <c r="I587" s="187">
        <f t="shared" si="624"/>
        <v>8000</v>
      </c>
      <c r="J587" s="187">
        <v>40000</v>
      </c>
      <c r="K587" s="187">
        <f t="shared" si="624"/>
        <v>8000</v>
      </c>
      <c r="L587" s="187">
        <v>40000</v>
      </c>
      <c r="M587" s="110">
        <v>9.5</v>
      </c>
      <c r="N587" s="110">
        <f>VLOOKUP(DATE(YEAR(A587),MONTH(A587),DAY(A587)),FY24_Temp[],3,FALSE)</f>
        <v>12.8</v>
      </c>
      <c r="O587" s="110">
        <f t="shared" si="615"/>
        <v>11.5</v>
      </c>
      <c r="P587" s="110">
        <f t="shared" si="616"/>
        <v>19.5</v>
      </c>
      <c r="Q587" s="111">
        <f>VLOOKUP(VLOOKUP(DATEVALUE(TEXT(A587,"m/d/yyyy")),FY24_Temp[],5,FALSE)&amp;TEXT(A587,"-h"),TempDelta[],4,FALSE)</f>
        <v>2.44985716683524</v>
      </c>
      <c r="R587" s="112">
        <v>10</v>
      </c>
      <c r="S587" s="112">
        <v>1500</v>
      </c>
      <c r="T587" s="99">
        <f>VLOOKUP(TEXT(A587,"yy-mm")&amp;"-"&amp;IF(AND(WEEKDAY(A587)&gt;1,WEEKDAY(A587)&lt;7),"Wkd",TEXT(A587,"Ddd"))&amp;"-"&amp;TEXT(A587,"hh"),LoadTable[],3,FALSE)*0.92</f>
        <v>279.25312000000002</v>
      </c>
      <c r="U587" s="113">
        <f t="shared" si="617"/>
        <v>27.925312000000002</v>
      </c>
    </row>
    <row r="588" spans="1:21" ht="15" thickBot="1">
      <c r="A588" s="29">
        <f t="shared" si="587"/>
        <v>45860.37500000056</v>
      </c>
      <c r="B588" s="187">
        <f t="shared" ref="B588:L588" si="625">B612</f>
        <v>8000</v>
      </c>
      <c r="C588" s="187">
        <f t="shared" si="625"/>
        <v>25000</v>
      </c>
      <c r="D588" s="187">
        <v>0</v>
      </c>
      <c r="E588" s="187">
        <v>700</v>
      </c>
      <c r="F588" s="187">
        <v>15000</v>
      </c>
      <c r="G588" s="187">
        <f t="shared" si="625"/>
        <v>2400</v>
      </c>
      <c r="H588" s="187">
        <f t="shared" si="625"/>
        <v>25000</v>
      </c>
      <c r="I588" s="187">
        <f t="shared" si="625"/>
        <v>8000</v>
      </c>
      <c r="J588" s="187">
        <v>40000</v>
      </c>
      <c r="K588" s="187">
        <f t="shared" si="625"/>
        <v>8000</v>
      </c>
      <c r="L588" s="187">
        <v>40000</v>
      </c>
      <c r="M588" s="110">
        <v>9.5</v>
      </c>
      <c r="N588" s="110">
        <f>VLOOKUP(DATE(YEAR(A588),MONTH(A588),DAY(A588)),FY24_Temp[],3,FALSE)</f>
        <v>12.8</v>
      </c>
      <c r="O588" s="110">
        <f t="shared" si="615"/>
        <v>11.5</v>
      </c>
      <c r="P588" s="110">
        <f t="shared" si="616"/>
        <v>19.5</v>
      </c>
      <c r="Q588" s="111">
        <f>VLOOKUP(VLOOKUP(DATEVALUE(TEXT(A588,"m/d/yyyy")),FY24_Temp[],5,FALSE)&amp;TEXT(A588,"-h"),TempDelta[],4,FALSE)</f>
        <v>2.2458571025303433</v>
      </c>
      <c r="R588" s="112">
        <v>10</v>
      </c>
      <c r="S588" s="112">
        <v>1500</v>
      </c>
      <c r="T588" s="99">
        <f>VLOOKUP(TEXT(A588,"yy-mm")&amp;"-"&amp;IF(AND(WEEKDAY(A588)&gt;1,WEEKDAY(A588)&lt;7),"Wkd",TEXT(A588,"Ddd"))&amp;"-"&amp;TEXT(A588,"hh"),LoadTable[],3,FALSE)*0.92</f>
        <v>279.25312000000002</v>
      </c>
      <c r="U588" s="113">
        <f t="shared" si="617"/>
        <v>27.925312000000002</v>
      </c>
    </row>
    <row r="589" spans="1:21" ht="15" thickBot="1">
      <c r="A589" s="29">
        <f t="shared" si="587"/>
        <v>45860.416666667224</v>
      </c>
      <c r="B589" s="187">
        <f t="shared" ref="B589:L589" si="626">B613</f>
        <v>8000</v>
      </c>
      <c r="C589" s="187">
        <f t="shared" si="626"/>
        <v>25000</v>
      </c>
      <c r="D589" s="187">
        <v>0</v>
      </c>
      <c r="E589" s="187">
        <v>700</v>
      </c>
      <c r="F589" s="187">
        <v>15000</v>
      </c>
      <c r="G589" s="187">
        <f t="shared" si="626"/>
        <v>2400</v>
      </c>
      <c r="H589" s="187">
        <f t="shared" si="626"/>
        <v>25000</v>
      </c>
      <c r="I589" s="187">
        <f t="shared" si="626"/>
        <v>8000</v>
      </c>
      <c r="J589" s="187">
        <v>40000</v>
      </c>
      <c r="K589" s="187">
        <f t="shared" si="626"/>
        <v>8000</v>
      </c>
      <c r="L589" s="187">
        <v>40000</v>
      </c>
      <c r="M589" s="110">
        <v>9.5</v>
      </c>
      <c r="N589" s="110">
        <f>VLOOKUP(DATE(YEAR(A589),MONTH(A589),DAY(A589)),FY24_Temp[],3,FALSE)</f>
        <v>12.8</v>
      </c>
      <c r="O589" s="110">
        <f t="shared" si="615"/>
        <v>11.5</v>
      </c>
      <c r="P589" s="110">
        <f t="shared" si="616"/>
        <v>19.5</v>
      </c>
      <c r="Q589" s="111">
        <f>VLOOKUP(VLOOKUP(DATEVALUE(TEXT(A589,"m/d/yyyy")),FY24_Temp[],5,FALSE)&amp;TEXT(A589,"-h"),TempDelta[],4,FALSE)</f>
        <v>2.0832857234137401</v>
      </c>
      <c r="R589" s="112">
        <v>10</v>
      </c>
      <c r="S589" s="112">
        <v>1500</v>
      </c>
      <c r="T589" s="99">
        <f>VLOOKUP(TEXT(A589,"yy-mm")&amp;"-"&amp;IF(AND(WEEKDAY(A589)&gt;1,WEEKDAY(A589)&lt;7),"Wkd",TEXT(A589,"Ddd"))&amp;"-"&amp;TEXT(A589,"hh"),LoadTable[],3,FALSE)*0.92</f>
        <v>279.25312000000002</v>
      </c>
      <c r="U589" s="113">
        <f t="shared" si="617"/>
        <v>27.925312000000002</v>
      </c>
    </row>
    <row r="590" spans="1:21" ht="15" thickBot="1">
      <c r="A590" s="29">
        <f t="shared" si="587"/>
        <v>45860.458333333889</v>
      </c>
      <c r="B590" s="187">
        <f t="shared" ref="B590:L590" si="627">B614</f>
        <v>8000</v>
      </c>
      <c r="C590" s="187">
        <f t="shared" si="627"/>
        <v>25000</v>
      </c>
      <c r="D590" s="187">
        <v>0</v>
      </c>
      <c r="E590" s="187">
        <v>700</v>
      </c>
      <c r="F590" s="187">
        <v>15000</v>
      </c>
      <c r="G590" s="187">
        <f t="shared" si="627"/>
        <v>2400</v>
      </c>
      <c r="H590" s="187">
        <f t="shared" si="627"/>
        <v>25000</v>
      </c>
      <c r="I590" s="187">
        <f t="shared" si="627"/>
        <v>8000</v>
      </c>
      <c r="J590" s="187">
        <v>40000</v>
      </c>
      <c r="K590" s="187">
        <f t="shared" si="627"/>
        <v>8000</v>
      </c>
      <c r="L590" s="187">
        <v>40000</v>
      </c>
      <c r="M590" s="110">
        <v>9.5</v>
      </c>
      <c r="N590" s="110">
        <f>VLOOKUP(DATE(YEAR(A590),MONTH(A590),DAY(A590)),FY24_Temp[],3,FALSE)</f>
        <v>12.8</v>
      </c>
      <c r="O590" s="110">
        <f t="shared" si="615"/>
        <v>11.5</v>
      </c>
      <c r="P590" s="110">
        <f t="shared" si="616"/>
        <v>19.5</v>
      </c>
      <c r="Q590" s="111">
        <f>VLOOKUP(VLOOKUP(DATEVALUE(TEXT(A590,"m/d/yyyy")),FY24_Temp[],5,FALSE)&amp;TEXT(A590,"-h"),TempDelta[],4,FALSE)</f>
        <v>1.8928571258272444</v>
      </c>
      <c r="R590" s="112">
        <v>10</v>
      </c>
      <c r="S590" s="112">
        <v>1500</v>
      </c>
      <c r="T590" s="99">
        <f>VLOOKUP(TEXT(A590,"yy-mm")&amp;"-"&amp;IF(AND(WEEKDAY(A590)&gt;1,WEEKDAY(A590)&lt;7),"Wkd",TEXT(A590,"Ddd"))&amp;"-"&amp;TEXT(A590,"hh"),LoadTable[],3,FALSE)*0.92</f>
        <v>279.25312000000002</v>
      </c>
      <c r="U590" s="113">
        <f t="shared" si="617"/>
        <v>27.925312000000002</v>
      </c>
    </row>
    <row r="591" spans="1:21" ht="15" thickBot="1">
      <c r="A591" s="29">
        <f t="shared" si="587"/>
        <v>45860.500000000553</v>
      </c>
      <c r="B591" s="187">
        <f t="shared" ref="B591:L591" si="628">B615</f>
        <v>8000</v>
      </c>
      <c r="C591" s="187">
        <f t="shared" si="628"/>
        <v>25000</v>
      </c>
      <c r="D591" s="187">
        <v>0</v>
      </c>
      <c r="E591" s="187">
        <v>700</v>
      </c>
      <c r="F591" s="187">
        <v>15000</v>
      </c>
      <c r="G591" s="187">
        <f t="shared" si="628"/>
        <v>2400</v>
      </c>
      <c r="H591" s="187">
        <f t="shared" si="628"/>
        <v>25000</v>
      </c>
      <c r="I591" s="187">
        <f t="shared" si="628"/>
        <v>8000</v>
      </c>
      <c r="J591" s="187">
        <v>40000</v>
      </c>
      <c r="K591" s="187">
        <f t="shared" si="628"/>
        <v>8000</v>
      </c>
      <c r="L591" s="187">
        <v>40000</v>
      </c>
      <c r="M591" s="110">
        <v>9.5</v>
      </c>
      <c r="N591" s="110">
        <f>VLOOKUP(DATE(YEAR(A591),MONTH(A591),DAY(A591)),FY24_Temp[],3,FALSE)</f>
        <v>12.8</v>
      </c>
      <c r="O591" s="110">
        <f t="shared" si="615"/>
        <v>11.5</v>
      </c>
      <c r="P591" s="110">
        <f t="shared" si="616"/>
        <v>19.5</v>
      </c>
      <c r="Q591" s="111">
        <f>VLOOKUP(VLOOKUP(DATEVALUE(TEXT(A591,"m/d/yyyy")),FY24_Temp[],5,FALSE)&amp;TEXT(A591,"-h"),TempDelta[],4,FALSE)</f>
        <v>1.665857127734593</v>
      </c>
      <c r="R591" s="112">
        <v>10</v>
      </c>
      <c r="S591" s="112">
        <v>1500</v>
      </c>
      <c r="T591" s="99">
        <f>VLOOKUP(TEXT(A591,"yy-mm")&amp;"-"&amp;IF(AND(WEEKDAY(A591)&gt;1,WEEKDAY(A591)&lt;7),"Wkd",TEXT(A591,"Ddd"))&amp;"-"&amp;TEXT(A591,"hh"),LoadTable[],3,FALSE)*0.92</f>
        <v>279.25312000000002</v>
      </c>
      <c r="U591" s="113">
        <f t="shared" si="617"/>
        <v>27.925312000000002</v>
      </c>
    </row>
    <row r="592" spans="1:21" ht="15" thickBot="1">
      <c r="A592" s="29">
        <f t="shared" si="587"/>
        <v>45860.541666667217</v>
      </c>
      <c r="B592" s="187">
        <f t="shared" ref="B592:L592" si="629">B616</f>
        <v>8000</v>
      </c>
      <c r="C592" s="187">
        <f t="shared" si="629"/>
        <v>25000</v>
      </c>
      <c r="D592" s="187">
        <v>0</v>
      </c>
      <c r="E592" s="187">
        <v>700</v>
      </c>
      <c r="F592" s="187">
        <v>15000</v>
      </c>
      <c r="G592" s="187">
        <f t="shared" si="629"/>
        <v>2400</v>
      </c>
      <c r="H592" s="187">
        <f t="shared" si="629"/>
        <v>25000</v>
      </c>
      <c r="I592" s="187">
        <f t="shared" si="629"/>
        <v>8000</v>
      </c>
      <c r="J592" s="187">
        <v>40000</v>
      </c>
      <c r="K592" s="187">
        <f t="shared" si="629"/>
        <v>8000</v>
      </c>
      <c r="L592" s="187">
        <v>40000</v>
      </c>
      <c r="M592" s="110">
        <v>9.5</v>
      </c>
      <c r="N592" s="110">
        <f>VLOOKUP(DATE(YEAR(A592),MONTH(A592),DAY(A592)),FY24_Temp[],3,FALSE)</f>
        <v>12.8</v>
      </c>
      <c r="O592" s="110">
        <f t="shared" si="615"/>
        <v>11.5</v>
      </c>
      <c r="P592" s="110">
        <f t="shared" si="616"/>
        <v>19.5</v>
      </c>
      <c r="Q592" s="111">
        <f>VLOOKUP(VLOOKUP(DATEVALUE(TEXT(A592,"m/d/yyyy")),FY24_Temp[],5,FALSE)&amp;TEXT(A592,"-h"),TempDelta[],4,FALSE)</f>
        <v>1.4252856969833374</v>
      </c>
      <c r="R592" s="112">
        <v>10</v>
      </c>
      <c r="S592" s="112">
        <v>1500</v>
      </c>
      <c r="T592" s="99">
        <f>VLOOKUP(TEXT(A592,"yy-mm")&amp;"-"&amp;IF(AND(WEEKDAY(A592)&gt;1,WEEKDAY(A592)&lt;7),"Wkd",TEXT(A592,"Ddd"))&amp;"-"&amp;TEXT(A592,"hh"),LoadTable[],3,FALSE)*0.92</f>
        <v>279.25312000000002</v>
      </c>
      <c r="U592" s="113">
        <f t="shared" si="617"/>
        <v>27.925312000000002</v>
      </c>
    </row>
    <row r="593" spans="1:21" ht="15" thickBot="1">
      <c r="A593" s="29">
        <f t="shared" si="587"/>
        <v>45860.583333333881</v>
      </c>
      <c r="B593" s="187">
        <f t="shared" ref="B593:L593" si="630">B617</f>
        <v>8000</v>
      </c>
      <c r="C593" s="187">
        <f t="shared" si="630"/>
        <v>25000</v>
      </c>
      <c r="D593" s="187">
        <v>0</v>
      </c>
      <c r="E593" s="187">
        <v>700</v>
      </c>
      <c r="F593" s="187">
        <v>15000</v>
      </c>
      <c r="G593" s="187">
        <f t="shared" si="630"/>
        <v>2400</v>
      </c>
      <c r="H593" s="187">
        <f t="shared" si="630"/>
        <v>25000</v>
      </c>
      <c r="I593" s="187">
        <f t="shared" si="630"/>
        <v>8000</v>
      </c>
      <c r="J593" s="187">
        <v>40000</v>
      </c>
      <c r="K593" s="187">
        <f t="shared" si="630"/>
        <v>8000</v>
      </c>
      <c r="L593" s="187">
        <v>40000</v>
      </c>
      <c r="M593" s="110">
        <v>9.5</v>
      </c>
      <c r="N593" s="110">
        <f>VLOOKUP(DATE(YEAR(A593),MONTH(A593),DAY(A593)),FY24_Temp[],3,FALSE)</f>
        <v>12.8</v>
      </c>
      <c r="O593" s="110">
        <f t="shared" si="615"/>
        <v>11.5</v>
      </c>
      <c r="P593" s="110">
        <f t="shared" si="616"/>
        <v>19.5</v>
      </c>
      <c r="Q593" s="111">
        <f>VLOOKUP(VLOOKUP(DATEVALUE(TEXT(A593,"m/d/yyyy")),FY24_Temp[],5,FALSE)&amp;TEXT(A593,"-h"),TempDelta[],4,FALSE)</f>
        <v>1.2351428781236922</v>
      </c>
      <c r="R593" s="112">
        <v>10</v>
      </c>
      <c r="S593" s="112">
        <v>1500</v>
      </c>
      <c r="T593" s="99">
        <f>VLOOKUP(TEXT(A593,"yy-mm")&amp;"-"&amp;IF(AND(WEEKDAY(A593)&gt;1,WEEKDAY(A593)&lt;7),"Wkd",TEXT(A593,"Ddd"))&amp;"-"&amp;TEXT(A593,"hh"),LoadTable[],3,FALSE)*0.92</f>
        <v>373.26607999999999</v>
      </c>
      <c r="U593" s="113">
        <f t="shared" si="617"/>
        <v>37.326608</v>
      </c>
    </row>
    <row r="594" spans="1:21" ht="15" thickBot="1">
      <c r="A594" s="29">
        <f t="shared" si="587"/>
        <v>45860.625000000546</v>
      </c>
      <c r="B594" s="187">
        <f t="shared" ref="B594:L594" si="631">B618</f>
        <v>8000</v>
      </c>
      <c r="C594" s="187">
        <f t="shared" si="631"/>
        <v>25000</v>
      </c>
      <c r="D594" s="187">
        <v>0</v>
      </c>
      <c r="E594" s="187">
        <v>700</v>
      </c>
      <c r="F594" s="187">
        <v>15000</v>
      </c>
      <c r="G594" s="187">
        <f t="shared" si="631"/>
        <v>2400</v>
      </c>
      <c r="H594" s="187">
        <f t="shared" si="631"/>
        <v>25000</v>
      </c>
      <c r="I594" s="187">
        <f t="shared" si="631"/>
        <v>8000</v>
      </c>
      <c r="J594" s="187">
        <v>40000</v>
      </c>
      <c r="K594" s="187">
        <f t="shared" si="631"/>
        <v>8000</v>
      </c>
      <c r="L594" s="187">
        <v>40000</v>
      </c>
      <c r="M594" s="110">
        <v>9.5</v>
      </c>
      <c r="N594" s="110">
        <f>VLOOKUP(DATE(YEAR(A594),MONTH(A594),DAY(A594)),FY24_Temp[],3,FALSE)</f>
        <v>12.8</v>
      </c>
      <c r="O594" s="110">
        <f t="shared" si="615"/>
        <v>11.5</v>
      </c>
      <c r="P594" s="110">
        <f t="shared" si="616"/>
        <v>19.5</v>
      </c>
      <c r="Q594" s="111">
        <f>VLOOKUP(VLOOKUP(DATEVALUE(TEXT(A594,"m/d/yyyy")),FY24_Temp[],5,FALSE)&amp;TEXT(A594,"-h"),TempDelta[],4,FALSE)</f>
        <v>0.97514284508568905</v>
      </c>
      <c r="R594" s="112">
        <v>10</v>
      </c>
      <c r="S594" s="112">
        <v>1500</v>
      </c>
      <c r="T594" s="99">
        <f>VLOOKUP(TEXT(A594,"yy-mm")&amp;"-"&amp;IF(AND(WEEKDAY(A594)&gt;1,WEEKDAY(A594)&lt;7),"Wkd",TEXT(A594,"Ddd"))&amp;"-"&amp;TEXT(A594,"hh"),LoadTable[],3,FALSE)*0.92</f>
        <v>494.57360000000006</v>
      </c>
      <c r="U594" s="113">
        <f t="shared" si="617"/>
        <v>49.457360000000008</v>
      </c>
    </row>
    <row r="595" spans="1:21" ht="15" thickBot="1">
      <c r="A595" s="29">
        <f t="shared" si="587"/>
        <v>45860.66666666721</v>
      </c>
      <c r="B595" s="187">
        <f t="shared" ref="B595:L595" si="632">B619</f>
        <v>8000</v>
      </c>
      <c r="C595" s="187">
        <f t="shared" si="632"/>
        <v>25000</v>
      </c>
      <c r="D595" s="187">
        <v>0</v>
      </c>
      <c r="E595" s="187">
        <v>700</v>
      </c>
      <c r="F595" s="187">
        <v>15000</v>
      </c>
      <c r="G595" s="187">
        <f t="shared" si="632"/>
        <v>2400</v>
      </c>
      <c r="H595" s="187">
        <f t="shared" si="632"/>
        <v>25000</v>
      </c>
      <c r="I595" s="187">
        <f t="shared" si="632"/>
        <v>8000</v>
      </c>
      <c r="J595" s="187">
        <v>40000</v>
      </c>
      <c r="K595" s="187">
        <f t="shared" si="632"/>
        <v>8000</v>
      </c>
      <c r="L595" s="187">
        <v>40000</v>
      </c>
      <c r="M595" s="110">
        <v>9.5</v>
      </c>
      <c r="N595" s="110">
        <f>VLOOKUP(DATE(YEAR(A595),MONTH(A595),DAY(A595)),FY24_Temp[],3,FALSE)</f>
        <v>12.8</v>
      </c>
      <c r="O595" s="110">
        <f t="shared" si="615"/>
        <v>11.5</v>
      </c>
      <c r="P595" s="110">
        <f t="shared" si="616"/>
        <v>19.5</v>
      </c>
      <c r="Q595" s="111">
        <f>VLOOKUP(VLOOKUP(DATEVALUE(TEXT(A595,"m/d/yyyy")),FY24_Temp[],5,FALSE)&amp;TEXT(A595,"-h"),TempDelta[],4,FALSE)</f>
        <v>0.88578571166310993</v>
      </c>
      <c r="R595" s="112">
        <v>10</v>
      </c>
      <c r="S595" s="112">
        <v>1500</v>
      </c>
      <c r="T595" s="99">
        <f>VLOOKUP(TEXT(A595,"yy-mm")&amp;"-"&amp;IF(AND(WEEKDAY(A595)&gt;1,WEEKDAY(A595)&lt;7),"Wkd",TEXT(A595,"Ddd"))&amp;"-"&amp;TEXT(A595,"hh"),LoadTable[],3,FALSE)*0.92</f>
        <v>494.57360000000006</v>
      </c>
      <c r="U595" s="113">
        <f t="shared" si="617"/>
        <v>49.457360000000008</v>
      </c>
    </row>
    <row r="596" spans="1:21" ht="15" thickBot="1">
      <c r="A596" s="29">
        <f t="shared" si="587"/>
        <v>45860.708333333874</v>
      </c>
      <c r="B596" s="187">
        <f t="shared" ref="B596:L596" si="633">B620</f>
        <v>8000</v>
      </c>
      <c r="C596" s="187">
        <f t="shared" si="633"/>
        <v>25000</v>
      </c>
      <c r="D596" s="187">
        <v>0</v>
      </c>
      <c r="E596" s="187">
        <v>700</v>
      </c>
      <c r="F596" s="187">
        <v>15000</v>
      </c>
      <c r="G596" s="187">
        <f t="shared" si="633"/>
        <v>2400</v>
      </c>
      <c r="H596" s="187">
        <f t="shared" si="633"/>
        <v>25000</v>
      </c>
      <c r="I596" s="187">
        <f t="shared" si="633"/>
        <v>8000</v>
      </c>
      <c r="J596" s="187">
        <v>40000</v>
      </c>
      <c r="K596" s="187">
        <f t="shared" si="633"/>
        <v>8000</v>
      </c>
      <c r="L596" s="187">
        <v>40000</v>
      </c>
      <c r="M596" s="110">
        <v>9.5</v>
      </c>
      <c r="N596" s="110">
        <f>VLOOKUP(DATE(YEAR(A596),MONTH(A596),DAY(A596)),FY24_Temp[],3,FALSE)</f>
        <v>12.8</v>
      </c>
      <c r="O596" s="110">
        <f t="shared" si="615"/>
        <v>11.5</v>
      </c>
      <c r="P596" s="110">
        <f t="shared" si="616"/>
        <v>19.5</v>
      </c>
      <c r="Q596" s="111">
        <f>VLOOKUP(VLOOKUP(DATEVALUE(TEXT(A596,"m/d/yyyy")),FY24_Temp[],5,FALSE)&amp;TEXT(A596,"-h"),TempDelta[],4,FALSE)</f>
        <v>1.0356428495475225</v>
      </c>
      <c r="R596" s="112">
        <v>10</v>
      </c>
      <c r="S596" s="112">
        <v>1500</v>
      </c>
      <c r="T596" s="99">
        <f>VLOOKUP(TEXT(A596,"yy-mm")&amp;"-"&amp;IF(AND(WEEKDAY(A596)&gt;1,WEEKDAY(A596)&lt;7),"Wkd",TEXT(A596,"Ddd"))&amp;"-"&amp;TEXT(A596,"hh"),LoadTable[],3,FALSE)*0.92</f>
        <v>494.57360000000006</v>
      </c>
      <c r="U596" s="113">
        <f t="shared" si="617"/>
        <v>49.457360000000008</v>
      </c>
    </row>
    <row r="597" spans="1:21" ht="15" thickBot="1">
      <c r="A597" s="29">
        <f t="shared" si="587"/>
        <v>45860.750000000538</v>
      </c>
      <c r="B597" s="187">
        <f t="shared" ref="B597:L597" si="634">B621</f>
        <v>5000</v>
      </c>
      <c r="C597" s="187">
        <f t="shared" si="634"/>
        <v>25000</v>
      </c>
      <c r="D597" s="187">
        <v>0</v>
      </c>
      <c r="E597" s="187">
        <v>700</v>
      </c>
      <c r="F597" s="187">
        <v>15000</v>
      </c>
      <c r="G597" s="187">
        <f t="shared" si="634"/>
        <v>2400</v>
      </c>
      <c r="H597" s="187">
        <f t="shared" si="634"/>
        <v>25000</v>
      </c>
      <c r="I597" s="187">
        <f t="shared" si="634"/>
        <v>5000</v>
      </c>
      <c r="J597" s="187">
        <v>40000</v>
      </c>
      <c r="K597" s="187">
        <f t="shared" si="634"/>
        <v>5000</v>
      </c>
      <c r="L597" s="187">
        <v>40000</v>
      </c>
      <c r="M597" s="110">
        <v>9.5</v>
      </c>
      <c r="N597" s="110">
        <f>VLOOKUP(DATE(YEAR(A597),MONTH(A597),DAY(A597)),FY24_Temp[],3,FALSE)</f>
        <v>12.8</v>
      </c>
      <c r="O597" s="110">
        <f t="shared" si="615"/>
        <v>11.5</v>
      </c>
      <c r="P597" s="110">
        <f t="shared" si="616"/>
        <v>19.5</v>
      </c>
      <c r="Q597" s="111">
        <f>VLOOKUP(VLOOKUP(DATEVALUE(TEXT(A597,"m/d/yyyy")),FY24_Temp[],5,FALSE)&amp;TEXT(A597,"-h"),TempDelta[],4,FALSE)</f>
        <v>1.3991428358214242</v>
      </c>
      <c r="R597" s="112">
        <v>10</v>
      </c>
      <c r="S597" s="112">
        <v>1500</v>
      </c>
      <c r="T597" s="99">
        <f>VLOOKUP(TEXT(A597,"yy-mm")&amp;"-"&amp;IF(AND(WEEKDAY(A597)&gt;1,WEEKDAY(A597)&lt;7),"Wkd",TEXT(A597,"Ddd"))&amp;"-"&amp;TEXT(A597,"hh"),LoadTable[],3,FALSE)*0.92</f>
        <v>494.57360000000006</v>
      </c>
      <c r="U597" s="113">
        <f t="shared" si="617"/>
        <v>49.457360000000008</v>
      </c>
    </row>
    <row r="598" spans="1:21" ht="15" thickBot="1">
      <c r="A598" s="29">
        <f t="shared" si="587"/>
        <v>45860.791666667203</v>
      </c>
      <c r="B598" s="187">
        <f t="shared" ref="B598:L598" si="635">B622</f>
        <v>5000</v>
      </c>
      <c r="C598" s="187">
        <f t="shared" si="635"/>
        <v>25000</v>
      </c>
      <c r="D598" s="187">
        <v>0</v>
      </c>
      <c r="E598" s="187">
        <v>700</v>
      </c>
      <c r="F598" s="187">
        <v>15000</v>
      </c>
      <c r="G598" s="187">
        <f t="shared" si="635"/>
        <v>2400</v>
      </c>
      <c r="H598" s="187">
        <f t="shared" si="635"/>
        <v>25000</v>
      </c>
      <c r="I598" s="187">
        <f t="shared" si="635"/>
        <v>5000</v>
      </c>
      <c r="J598" s="187">
        <v>40000</v>
      </c>
      <c r="K598" s="187">
        <f t="shared" si="635"/>
        <v>5000</v>
      </c>
      <c r="L598" s="187">
        <v>40000</v>
      </c>
      <c r="M598" s="110">
        <v>9.5</v>
      </c>
      <c r="N598" s="110">
        <f>VLOOKUP(DATE(YEAR(A598),MONTH(A598),DAY(A598)),FY24_Temp[],3,FALSE)</f>
        <v>12.8</v>
      </c>
      <c r="O598" s="110">
        <f t="shared" si="615"/>
        <v>11.5</v>
      </c>
      <c r="P598" s="110">
        <f t="shared" si="616"/>
        <v>19.5</v>
      </c>
      <c r="Q598" s="111">
        <f>VLOOKUP(VLOOKUP(DATEVALUE(TEXT(A598,"m/d/yyyy")),FY24_Temp[],5,FALSE)&amp;TEXT(A598,"-h"),TempDelta[],4,FALSE)</f>
        <v>1.8638571415628706</v>
      </c>
      <c r="R598" s="112">
        <v>10</v>
      </c>
      <c r="S598" s="112">
        <v>1500</v>
      </c>
      <c r="T598" s="99">
        <f>VLOOKUP(TEXT(A598,"yy-mm")&amp;"-"&amp;IF(AND(WEEKDAY(A598)&gt;1,WEEKDAY(A598)&lt;7),"Wkd",TEXT(A598,"Ddd"))&amp;"-"&amp;TEXT(A598,"hh"),LoadTable[],3,FALSE)*0.92</f>
        <v>494.57360000000006</v>
      </c>
      <c r="U598" s="113">
        <f t="shared" si="617"/>
        <v>49.457360000000008</v>
      </c>
    </row>
    <row r="599" spans="1:21" ht="15" thickBot="1">
      <c r="A599" s="29">
        <f t="shared" si="587"/>
        <v>45860.833333333867</v>
      </c>
      <c r="B599" s="187">
        <f t="shared" ref="B599:L599" si="636">B623</f>
        <v>5000</v>
      </c>
      <c r="C599" s="187">
        <f t="shared" si="636"/>
        <v>25000</v>
      </c>
      <c r="D599" s="187">
        <v>0</v>
      </c>
      <c r="E599" s="187">
        <v>700</v>
      </c>
      <c r="F599" s="187">
        <v>15000</v>
      </c>
      <c r="G599" s="187">
        <f t="shared" si="636"/>
        <v>2400</v>
      </c>
      <c r="H599" s="187">
        <f t="shared" si="636"/>
        <v>25000</v>
      </c>
      <c r="I599" s="187">
        <f t="shared" si="636"/>
        <v>5000</v>
      </c>
      <c r="J599" s="187">
        <v>40000</v>
      </c>
      <c r="K599" s="187">
        <f t="shared" si="636"/>
        <v>5000</v>
      </c>
      <c r="L599" s="187">
        <v>40000</v>
      </c>
      <c r="M599" s="110">
        <v>9.5</v>
      </c>
      <c r="N599" s="110">
        <f>VLOOKUP(DATE(YEAR(A599),MONTH(A599),DAY(A599)),FY24_Temp[],3,FALSE)</f>
        <v>12.8</v>
      </c>
      <c r="O599" s="110">
        <f t="shared" si="615"/>
        <v>11.5</v>
      </c>
      <c r="P599" s="110">
        <f t="shared" si="616"/>
        <v>19.5</v>
      </c>
      <c r="Q599" s="111">
        <f>VLOOKUP(VLOOKUP(DATEVALUE(TEXT(A599,"m/d/yyyy")),FY24_Temp[],5,FALSE)&amp;TEXT(A599,"-h"),TempDelta[],4,FALSE)</f>
        <v>2.300714305468968</v>
      </c>
      <c r="R599" s="112">
        <v>10</v>
      </c>
      <c r="S599" s="112">
        <v>1500</v>
      </c>
      <c r="T599" s="99">
        <f>VLOOKUP(TEXT(A599,"yy-mm")&amp;"-"&amp;IF(AND(WEEKDAY(A599)&gt;1,WEEKDAY(A599)&lt;7),"Wkd",TEXT(A599,"Ddd"))&amp;"-"&amp;TEXT(A599,"hh"),LoadTable[],3,FALSE)*0.92</f>
        <v>494.57360000000006</v>
      </c>
      <c r="U599" s="113">
        <f t="shared" si="617"/>
        <v>49.457360000000008</v>
      </c>
    </row>
    <row r="600" spans="1:21" ht="15" thickBot="1">
      <c r="A600" s="29">
        <f t="shared" si="587"/>
        <v>45860.875000000531</v>
      </c>
      <c r="B600" s="187">
        <f t="shared" ref="B600:L600" si="637">B624</f>
        <v>5000</v>
      </c>
      <c r="C600" s="187">
        <f t="shared" si="637"/>
        <v>25000</v>
      </c>
      <c r="D600" s="187">
        <v>0</v>
      </c>
      <c r="E600" s="187">
        <v>700</v>
      </c>
      <c r="F600" s="187">
        <v>15000</v>
      </c>
      <c r="G600" s="187">
        <f t="shared" si="637"/>
        <v>2400</v>
      </c>
      <c r="H600" s="187">
        <f t="shared" si="637"/>
        <v>25000</v>
      </c>
      <c r="I600" s="187">
        <f t="shared" si="637"/>
        <v>5000</v>
      </c>
      <c r="J600" s="187">
        <v>40000</v>
      </c>
      <c r="K600" s="187">
        <f t="shared" si="637"/>
        <v>5000</v>
      </c>
      <c r="L600" s="187">
        <v>40000</v>
      </c>
      <c r="M600" s="110">
        <v>9.5</v>
      </c>
      <c r="N600" s="110">
        <f>VLOOKUP(DATE(YEAR(A600),MONTH(A600),DAY(A600)),FY24_Temp[],3,FALSE)</f>
        <v>12.8</v>
      </c>
      <c r="O600" s="110">
        <f t="shared" si="615"/>
        <v>11.5</v>
      </c>
      <c r="P600" s="110">
        <f t="shared" si="616"/>
        <v>19.5</v>
      </c>
      <c r="Q600" s="111">
        <f>VLOOKUP(VLOOKUP(DATEVALUE(TEXT(A600,"m/d/yyyy")),FY24_Temp[],5,FALSE)&amp;TEXT(A600,"-h"),TempDelta[],4,FALSE)</f>
        <v>2.554214222090585</v>
      </c>
      <c r="R600" s="112">
        <v>10</v>
      </c>
      <c r="S600" s="112">
        <v>1500</v>
      </c>
      <c r="T600" s="99">
        <f>VLOOKUP(TEXT(A600,"yy-mm")&amp;"-"&amp;IF(AND(WEEKDAY(A600)&gt;1,WEEKDAY(A600)&lt;7),"Wkd",TEXT(A600,"Ddd"))&amp;"-"&amp;TEXT(A600,"hh"),LoadTable[],3,FALSE)*0.92</f>
        <v>494.57360000000006</v>
      </c>
      <c r="U600" s="113">
        <f t="shared" si="617"/>
        <v>49.457360000000008</v>
      </c>
    </row>
    <row r="601" spans="1:21" ht="15" thickBot="1">
      <c r="A601" s="29">
        <f t="shared" si="587"/>
        <v>45860.916666667195</v>
      </c>
      <c r="B601" s="187">
        <f t="shared" ref="B601:L601" si="638">B625</f>
        <v>5000</v>
      </c>
      <c r="C601" s="187">
        <f t="shared" si="638"/>
        <v>25000</v>
      </c>
      <c r="D601" s="187">
        <v>0</v>
      </c>
      <c r="E601" s="187">
        <v>700</v>
      </c>
      <c r="F601" s="187">
        <v>15000</v>
      </c>
      <c r="G601" s="187">
        <f t="shared" si="638"/>
        <v>2400</v>
      </c>
      <c r="H601" s="187">
        <f t="shared" si="638"/>
        <v>25000</v>
      </c>
      <c r="I601" s="187">
        <f t="shared" si="638"/>
        <v>5000</v>
      </c>
      <c r="J601" s="187">
        <v>40000</v>
      </c>
      <c r="K601" s="187">
        <f t="shared" si="638"/>
        <v>5000</v>
      </c>
      <c r="L601" s="187">
        <v>40000</v>
      </c>
      <c r="M601" s="110">
        <v>9.5</v>
      </c>
      <c r="N601" s="110">
        <f>VLOOKUP(DATE(YEAR(A601),MONTH(A601),DAY(A601)),FY24_Temp[],3,FALSE)</f>
        <v>12.8</v>
      </c>
      <c r="O601" s="110">
        <f t="shared" si="615"/>
        <v>11.5</v>
      </c>
      <c r="P601" s="110">
        <f t="shared" si="616"/>
        <v>19.5</v>
      </c>
      <c r="Q601" s="111">
        <f>VLOOKUP(VLOOKUP(DATEVALUE(TEXT(A601,"m/d/yyyy")),FY24_Temp[],5,FALSE)&amp;TEXT(A601,"-h"),TempDelta[],4,FALSE)</f>
        <v>2.7827142647334506</v>
      </c>
      <c r="R601" s="112">
        <v>10</v>
      </c>
      <c r="S601" s="112">
        <v>1500</v>
      </c>
      <c r="T601" s="99">
        <f>VLOOKUP(TEXT(A601,"yy-mm")&amp;"-"&amp;IF(AND(WEEKDAY(A601)&gt;1,WEEKDAY(A601)&lt;7),"Wkd",TEXT(A601,"Ddd"))&amp;"-"&amp;TEXT(A601,"hh"),LoadTable[],3,FALSE)*0.92</f>
        <v>418.75640000000004</v>
      </c>
      <c r="U601" s="113">
        <f t="shared" si="617"/>
        <v>41.875640000000004</v>
      </c>
    </row>
    <row r="602" spans="1:21" ht="15" thickBot="1">
      <c r="A602" s="29">
        <f t="shared" si="587"/>
        <v>45860.95833333386</v>
      </c>
      <c r="B602" s="187">
        <f t="shared" ref="B602:L602" si="639">B626</f>
        <v>5000</v>
      </c>
      <c r="C602" s="187">
        <f t="shared" si="639"/>
        <v>25000</v>
      </c>
      <c r="D602" s="187">
        <v>0</v>
      </c>
      <c r="E602" s="187">
        <v>700</v>
      </c>
      <c r="F602" s="187">
        <v>15000</v>
      </c>
      <c r="G602" s="187">
        <f t="shared" si="639"/>
        <v>2400</v>
      </c>
      <c r="H602" s="187">
        <f t="shared" si="639"/>
        <v>25000</v>
      </c>
      <c r="I602" s="187">
        <f t="shared" si="639"/>
        <v>5000</v>
      </c>
      <c r="J602" s="187">
        <v>40000</v>
      </c>
      <c r="K602" s="187">
        <f t="shared" si="639"/>
        <v>5000</v>
      </c>
      <c r="L602" s="187">
        <v>40000</v>
      </c>
      <c r="M602" s="110">
        <v>9.5</v>
      </c>
      <c r="N602" s="110">
        <f>VLOOKUP(DATE(YEAR(A602),MONTH(A602),DAY(A602)),FY24_Temp[],3,FALSE)</f>
        <v>12.8</v>
      </c>
      <c r="O602" s="110">
        <f t="shared" si="615"/>
        <v>11.5</v>
      </c>
      <c r="P602" s="110">
        <f t="shared" si="616"/>
        <v>19.5</v>
      </c>
      <c r="Q602" s="111">
        <f>VLOOKUP(VLOOKUP(DATEVALUE(TEXT(A602,"m/d/yyyy")),FY24_Temp[],5,FALSE)&amp;TEXT(A602,"-h"),TempDelta[],4,FALSE)</f>
        <v>2.8792857101985385</v>
      </c>
      <c r="R602" s="112">
        <v>10</v>
      </c>
      <c r="S602" s="112">
        <v>1500</v>
      </c>
      <c r="T602" s="99">
        <f>VLOOKUP(TEXT(A602,"yy-mm")&amp;"-"&amp;IF(AND(WEEKDAY(A602)&gt;1,WEEKDAY(A602)&lt;7),"Wkd",TEXT(A602,"Ddd"))&amp;"-"&amp;TEXT(A602,"hh"),LoadTable[],3,FALSE)*0.92</f>
        <v>342.93920000000003</v>
      </c>
      <c r="U602" s="113">
        <f t="shared" si="617"/>
        <v>34.29392</v>
      </c>
    </row>
    <row r="603" spans="1:21" ht="15" thickBot="1">
      <c r="A603" s="29">
        <f t="shared" si="587"/>
        <v>45861.000000000524</v>
      </c>
      <c r="B603" s="187">
        <f t="shared" ref="B603:L603" si="640">B627</f>
        <v>5000</v>
      </c>
      <c r="C603" s="187">
        <f t="shared" si="640"/>
        <v>25000</v>
      </c>
      <c r="D603" s="187">
        <v>0</v>
      </c>
      <c r="E603" s="187">
        <v>700</v>
      </c>
      <c r="F603" s="187">
        <v>15000</v>
      </c>
      <c r="G603" s="187">
        <f t="shared" si="640"/>
        <v>2400</v>
      </c>
      <c r="H603" s="187">
        <f t="shared" si="640"/>
        <v>25000</v>
      </c>
      <c r="I603" s="187">
        <f t="shared" si="640"/>
        <v>5000</v>
      </c>
      <c r="J603" s="187">
        <v>40000</v>
      </c>
      <c r="K603" s="187">
        <f t="shared" si="640"/>
        <v>5000</v>
      </c>
      <c r="L603" s="187">
        <v>40000</v>
      </c>
      <c r="M603" s="110">
        <v>9.5</v>
      </c>
      <c r="N603" s="110">
        <f>VLOOKUP(DATE(YEAR(A603),MONTH(A603),DAY(A603)),FY24_Temp[],3,FALSE)</f>
        <v>12.8</v>
      </c>
      <c r="O603" s="110">
        <f t="shared" si="615"/>
        <v>11.5</v>
      </c>
      <c r="P603" s="110">
        <f t="shared" si="616"/>
        <v>19.5</v>
      </c>
      <c r="Q603" s="111">
        <f>VLOOKUP(VLOOKUP(DATEVALUE(TEXT(A603,"m/d/yyyy")),FY24_Temp[],5,FALSE)&amp;TEXT(A603,"-h"),TempDelta[],4,FALSE)</f>
        <v>3.0441428933824812</v>
      </c>
      <c r="R603" s="112">
        <v>10</v>
      </c>
      <c r="S603" s="112">
        <v>1500</v>
      </c>
      <c r="T603" s="99">
        <f>VLOOKUP(TEXT(A603,"yy-mm")&amp;"-"&amp;IF(AND(WEEKDAY(A603)&gt;1,WEEKDAY(A603)&lt;7),"Wkd",TEXT(A603,"Ddd"))&amp;"-"&amp;TEXT(A603,"hh"),LoadTable[],3,FALSE)*0.92</f>
        <v>279.25312000000002</v>
      </c>
      <c r="U603" s="113">
        <f t="shared" si="617"/>
        <v>27.925312000000002</v>
      </c>
    </row>
    <row r="604" spans="1:21" ht="15" thickBot="1">
      <c r="A604" s="29">
        <f t="shared" si="587"/>
        <v>45861.041666667188</v>
      </c>
      <c r="B604" s="187">
        <f t="shared" ref="B604:L604" si="641">B628</f>
        <v>5000</v>
      </c>
      <c r="C604" s="187">
        <f t="shared" si="641"/>
        <v>25000</v>
      </c>
      <c r="D604" s="187">
        <v>0</v>
      </c>
      <c r="E604" s="187">
        <v>700</v>
      </c>
      <c r="F604" s="187">
        <v>15000</v>
      </c>
      <c r="G604" s="187">
        <f t="shared" si="641"/>
        <v>2400</v>
      </c>
      <c r="H604" s="187">
        <f t="shared" si="641"/>
        <v>25000</v>
      </c>
      <c r="I604" s="187">
        <f t="shared" si="641"/>
        <v>5000</v>
      </c>
      <c r="J604" s="187">
        <v>40000</v>
      </c>
      <c r="K604" s="187">
        <f t="shared" si="641"/>
        <v>5000</v>
      </c>
      <c r="L604" s="187">
        <v>40000</v>
      </c>
      <c r="M604" s="110">
        <v>9.5</v>
      </c>
      <c r="N604" s="110">
        <f>VLOOKUP(DATE(YEAR(A604),MONTH(A604),DAY(A604)),FY24_Temp[],3,FALSE)</f>
        <v>12.8</v>
      </c>
      <c r="O604" s="110">
        <f t="shared" si="615"/>
        <v>11.5</v>
      </c>
      <c r="P604" s="110">
        <f t="shared" si="616"/>
        <v>19.5</v>
      </c>
      <c r="Q604" s="111">
        <f>VLOOKUP(VLOOKUP(DATEVALUE(TEXT(A604,"m/d/yyyy")),FY24_Temp[],5,FALSE)&amp;TEXT(A604,"-h"),TempDelta[],4,FALSE)</f>
        <v>3.0992857047489712</v>
      </c>
      <c r="R604" s="112">
        <v>10</v>
      </c>
      <c r="S604" s="112">
        <v>1500</v>
      </c>
      <c r="T604" s="99">
        <f>VLOOKUP(TEXT(A604,"yy-mm")&amp;"-"&amp;IF(AND(WEEKDAY(A604)&gt;1,WEEKDAY(A604)&lt;7),"Wkd",TEXT(A604,"Ddd"))&amp;"-"&amp;TEXT(A604,"hh"),LoadTable[],3,FALSE)*0.92</f>
        <v>279.25312000000002</v>
      </c>
      <c r="U604" s="113">
        <f t="shared" si="617"/>
        <v>27.925312000000002</v>
      </c>
    </row>
    <row r="605" spans="1:21" ht="15" thickBot="1">
      <c r="A605" s="29">
        <f t="shared" si="587"/>
        <v>45861.083333333852</v>
      </c>
      <c r="B605" s="187">
        <f t="shared" ref="B605:L605" si="642">B629</f>
        <v>5000</v>
      </c>
      <c r="C605" s="187">
        <f t="shared" si="642"/>
        <v>25000</v>
      </c>
      <c r="D605" s="187">
        <v>0</v>
      </c>
      <c r="E605" s="187">
        <v>700</v>
      </c>
      <c r="F605" s="187">
        <v>15000</v>
      </c>
      <c r="G605" s="187">
        <f t="shared" si="642"/>
        <v>2400</v>
      </c>
      <c r="H605" s="187">
        <f t="shared" si="642"/>
        <v>25000</v>
      </c>
      <c r="I605" s="187">
        <f t="shared" si="642"/>
        <v>5000</v>
      </c>
      <c r="J605" s="187">
        <v>40000</v>
      </c>
      <c r="K605" s="187">
        <f t="shared" si="642"/>
        <v>5000</v>
      </c>
      <c r="L605" s="187">
        <v>40000</v>
      </c>
      <c r="M605" s="110">
        <v>9.5</v>
      </c>
      <c r="N605" s="110">
        <f>VLOOKUP(DATE(YEAR(A605),MONTH(A605),DAY(A605)),FY24_Temp[],3,FALSE)</f>
        <v>12.8</v>
      </c>
      <c r="O605" s="110">
        <f t="shared" si="615"/>
        <v>11.5</v>
      </c>
      <c r="P605" s="110">
        <f t="shared" si="616"/>
        <v>19.5</v>
      </c>
      <c r="Q605" s="111">
        <f>VLOOKUP(VLOOKUP(DATEVALUE(TEXT(A605,"m/d/yyyy")),FY24_Temp[],5,FALSE)&amp;TEXT(A605,"-h"),TempDelta[],4,FALSE)</f>
        <v>3.1050000190734863</v>
      </c>
      <c r="R605" s="112">
        <v>10</v>
      </c>
      <c r="S605" s="112">
        <v>1500</v>
      </c>
      <c r="T605" s="99">
        <f>VLOOKUP(TEXT(A605,"yy-mm")&amp;"-"&amp;IF(AND(WEEKDAY(A605)&gt;1,WEEKDAY(A605)&lt;7),"Wkd",TEXT(A605,"Ddd"))&amp;"-"&amp;TEXT(A605,"hh"),LoadTable[],3,FALSE)*0.92</f>
        <v>279.25312000000002</v>
      </c>
      <c r="U605" s="113">
        <f t="shared" si="617"/>
        <v>27.925312000000002</v>
      </c>
    </row>
    <row r="606" spans="1:21" ht="15" thickBot="1">
      <c r="A606" s="29">
        <f t="shared" si="587"/>
        <v>45861.125000000517</v>
      </c>
      <c r="B606" s="187">
        <f t="shared" ref="B606:L606" si="643">B630</f>
        <v>5000</v>
      </c>
      <c r="C606" s="187">
        <f t="shared" si="643"/>
        <v>25000</v>
      </c>
      <c r="D606" s="187">
        <v>0</v>
      </c>
      <c r="E606" s="187">
        <v>700</v>
      </c>
      <c r="F606" s="187">
        <v>15000</v>
      </c>
      <c r="G606" s="187">
        <f t="shared" si="643"/>
        <v>2400</v>
      </c>
      <c r="H606" s="187">
        <f t="shared" si="643"/>
        <v>25000</v>
      </c>
      <c r="I606" s="187">
        <f t="shared" si="643"/>
        <v>5000</v>
      </c>
      <c r="J606" s="187">
        <v>40000</v>
      </c>
      <c r="K606" s="187">
        <f t="shared" si="643"/>
        <v>5000</v>
      </c>
      <c r="L606" s="187">
        <v>40000</v>
      </c>
      <c r="M606" s="110">
        <v>9.5</v>
      </c>
      <c r="N606" s="110">
        <f>VLOOKUP(DATE(YEAR(A606),MONTH(A606),DAY(A606)),FY24_Temp[],3,FALSE)</f>
        <v>12.8</v>
      </c>
      <c r="O606" s="110">
        <f t="shared" si="615"/>
        <v>11.5</v>
      </c>
      <c r="P606" s="110">
        <f t="shared" si="616"/>
        <v>19.5</v>
      </c>
      <c r="Q606" s="111">
        <f>VLOOKUP(VLOOKUP(DATEVALUE(TEXT(A606,"m/d/yyyy")),FY24_Temp[],5,FALSE)&amp;TEXT(A606,"-h"),TempDelta[],4,FALSE)</f>
        <v>3.0428571701049805</v>
      </c>
      <c r="R606" s="112">
        <v>10</v>
      </c>
      <c r="S606" s="112">
        <v>1500</v>
      </c>
      <c r="T606" s="99">
        <f>VLOOKUP(TEXT(A606,"yy-mm")&amp;"-"&amp;IF(AND(WEEKDAY(A606)&gt;1,WEEKDAY(A606)&lt;7),"Wkd",TEXT(A606,"Ddd"))&amp;"-"&amp;TEXT(A606,"hh"),LoadTable[],3,FALSE)*0.92</f>
        <v>279.25312000000002</v>
      </c>
      <c r="U606" s="113">
        <f t="shared" si="617"/>
        <v>27.925312000000002</v>
      </c>
    </row>
    <row r="607" spans="1:21" ht="15" thickBot="1">
      <c r="A607" s="29">
        <f t="shared" si="587"/>
        <v>45861.166666667181</v>
      </c>
      <c r="B607" s="187">
        <f t="shared" ref="B607:L607" si="644">B631</f>
        <v>5000</v>
      </c>
      <c r="C607" s="187">
        <f t="shared" si="644"/>
        <v>25000</v>
      </c>
      <c r="D607" s="187">
        <v>0</v>
      </c>
      <c r="E607" s="187">
        <v>700</v>
      </c>
      <c r="F607" s="187">
        <v>15000</v>
      </c>
      <c r="G607" s="187">
        <f t="shared" si="644"/>
        <v>2400</v>
      </c>
      <c r="H607" s="187">
        <f t="shared" si="644"/>
        <v>25000</v>
      </c>
      <c r="I607" s="187">
        <f t="shared" si="644"/>
        <v>5000</v>
      </c>
      <c r="J607" s="187">
        <v>40000</v>
      </c>
      <c r="K607" s="187">
        <f t="shared" si="644"/>
        <v>5000</v>
      </c>
      <c r="L607" s="187">
        <v>40000</v>
      </c>
      <c r="M607" s="110">
        <v>9.5</v>
      </c>
      <c r="N607" s="110">
        <f>VLOOKUP(DATE(YEAR(A607),MONTH(A607),DAY(A607)),FY24_Temp[],3,FALSE)</f>
        <v>12.8</v>
      </c>
      <c r="O607" s="110">
        <f t="shared" si="615"/>
        <v>11.5</v>
      </c>
      <c r="P607" s="110">
        <f t="shared" si="616"/>
        <v>19.5</v>
      </c>
      <c r="Q607" s="111">
        <f>VLOOKUP(VLOOKUP(DATEVALUE(TEXT(A607,"m/d/yyyy")),FY24_Temp[],5,FALSE)&amp;TEXT(A607,"-h"),TempDelta[],4,FALSE)</f>
        <v>2.9580000468662808</v>
      </c>
      <c r="R607" s="112">
        <v>10</v>
      </c>
      <c r="S607" s="112">
        <v>1500</v>
      </c>
      <c r="T607" s="99">
        <f>VLOOKUP(TEXT(A607,"yy-mm")&amp;"-"&amp;IF(AND(WEEKDAY(A607)&gt;1,WEEKDAY(A607)&lt;7),"Wkd",TEXT(A607,"Ddd"))&amp;"-"&amp;TEXT(A607,"hh"),LoadTable[],3,FALSE)*0.92</f>
        <v>279.25312000000002</v>
      </c>
      <c r="U607" s="113">
        <f t="shared" si="617"/>
        <v>27.925312000000002</v>
      </c>
    </row>
    <row r="608" spans="1:21" ht="15" thickBot="1">
      <c r="A608" s="29">
        <f t="shared" si="587"/>
        <v>45861.208333333845</v>
      </c>
      <c r="B608" s="187">
        <f t="shared" ref="B608:L608" si="645">B632</f>
        <v>5000</v>
      </c>
      <c r="C608" s="187">
        <f t="shared" si="645"/>
        <v>25000</v>
      </c>
      <c r="D608" s="187">
        <v>0</v>
      </c>
      <c r="E608" s="187">
        <v>700</v>
      </c>
      <c r="F608" s="187">
        <v>15000</v>
      </c>
      <c r="G608" s="187">
        <f t="shared" si="645"/>
        <v>2400</v>
      </c>
      <c r="H608" s="187">
        <f t="shared" si="645"/>
        <v>25000</v>
      </c>
      <c r="I608" s="187">
        <f t="shared" si="645"/>
        <v>5000</v>
      </c>
      <c r="J608" s="187">
        <v>40000</v>
      </c>
      <c r="K608" s="187">
        <f t="shared" si="645"/>
        <v>5000</v>
      </c>
      <c r="L608" s="187">
        <v>40000</v>
      </c>
      <c r="M608" s="110">
        <v>9.5</v>
      </c>
      <c r="N608" s="110">
        <f>VLOOKUP(DATE(YEAR(A608),MONTH(A608),DAY(A608)),FY24_Temp[],3,FALSE)</f>
        <v>12.8</v>
      </c>
      <c r="O608" s="110">
        <f t="shared" si="615"/>
        <v>11.5</v>
      </c>
      <c r="P608" s="110">
        <f t="shared" si="616"/>
        <v>19.5</v>
      </c>
      <c r="Q608" s="111">
        <f>VLOOKUP(VLOOKUP(DATEVALUE(TEXT(A608,"m/d/yyyy")),FY24_Temp[],5,FALSE)&amp;TEXT(A608,"-h"),TempDelta[],4,FALSE)</f>
        <v>2.8608571801866804</v>
      </c>
      <c r="R608" s="112">
        <v>10</v>
      </c>
      <c r="S608" s="112">
        <v>1500</v>
      </c>
      <c r="T608" s="99">
        <f>VLOOKUP(TEXT(A608,"yy-mm")&amp;"-"&amp;IF(AND(WEEKDAY(A608)&gt;1,WEEKDAY(A608)&lt;7),"Wkd",TEXT(A608,"Ddd"))&amp;"-"&amp;TEXT(A608,"hh"),LoadTable[],3,FALSE)*0.92</f>
        <v>279.25312000000002</v>
      </c>
      <c r="U608" s="113">
        <f t="shared" si="617"/>
        <v>27.925312000000002</v>
      </c>
    </row>
    <row r="609" spans="1:21" ht="15" thickBot="1">
      <c r="A609" s="29">
        <f t="shared" si="587"/>
        <v>45861.250000000509</v>
      </c>
      <c r="B609" s="187">
        <f t="shared" ref="B609:L609" si="646">B633</f>
        <v>8000</v>
      </c>
      <c r="C609" s="187">
        <f t="shared" si="646"/>
        <v>25000</v>
      </c>
      <c r="D609" s="187">
        <v>0</v>
      </c>
      <c r="E609" s="187">
        <v>700</v>
      </c>
      <c r="F609" s="187">
        <v>15000</v>
      </c>
      <c r="G609" s="187">
        <f t="shared" si="646"/>
        <v>2400</v>
      </c>
      <c r="H609" s="187">
        <f t="shared" si="646"/>
        <v>25000</v>
      </c>
      <c r="I609" s="187">
        <f t="shared" si="646"/>
        <v>8000</v>
      </c>
      <c r="J609" s="187">
        <v>40000</v>
      </c>
      <c r="K609" s="187">
        <f t="shared" si="646"/>
        <v>8000</v>
      </c>
      <c r="L609" s="187">
        <v>40000</v>
      </c>
      <c r="M609" s="110">
        <v>9.5</v>
      </c>
      <c r="N609" s="110">
        <f>VLOOKUP(DATE(YEAR(A609),MONTH(A609),DAY(A609)),FY24_Temp[],3,FALSE)</f>
        <v>12.8</v>
      </c>
      <c r="O609" s="110">
        <f t="shared" si="615"/>
        <v>11.5</v>
      </c>
      <c r="P609" s="110">
        <f t="shared" si="616"/>
        <v>19.5</v>
      </c>
      <c r="Q609" s="111">
        <f>VLOOKUP(VLOOKUP(DATEVALUE(TEXT(A609,"m/d/yyyy")),FY24_Temp[],5,FALSE)&amp;TEXT(A609,"-h"),TempDelta[],4,FALSE)</f>
        <v>2.7405714307512556</v>
      </c>
      <c r="R609" s="112">
        <v>10</v>
      </c>
      <c r="S609" s="112">
        <v>1500</v>
      </c>
      <c r="T609" s="99">
        <f>VLOOKUP(TEXT(A609,"yy-mm")&amp;"-"&amp;IF(AND(WEEKDAY(A609)&gt;1,WEEKDAY(A609)&lt;7),"Wkd",TEXT(A609,"Ddd"))&amp;"-"&amp;TEXT(A609,"hh"),LoadTable[],3,FALSE)*0.92</f>
        <v>279.25312000000002</v>
      </c>
      <c r="U609" s="113">
        <f t="shared" si="617"/>
        <v>27.925312000000002</v>
      </c>
    </row>
    <row r="610" spans="1:21" ht="15" thickBot="1">
      <c r="A610" s="29">
        <f t="shared" si="587"/>
        <v>45861.291666667174</v>
      </c>
      <c r="B610" s="187">
        <f t="shared" ref="B610:L610" si="647">B634</f>
        <v>8000</v>
      </c>
      <c r="C610" s="187">
        <f t="shared" si="647"/>
        <v>25000</v>
      </c>
      <c r="D610" s="187">
        <v>0</v>
      </c>
      <c r="E610" s="187">
        <v>700</v>
      </c>
      <c r="F610" s="187">
        <v>15000</v>
      </c>
      <c r="G610" s="187">
        <f t="shared" si="647"/>
        <v>2400</v>
      </c>
      <c r="H610" s="187">
        <f t="shared" si="647"/>
        <v>25000</v>
      </c>
      <c r="I610" s="187">
        <f t="shared" si="647"/>
        <v>8000</v>
      </c>
      <c r="J610" s="187">
        <v>40000</v>
      </c>
      <c r="K610" s="187">
        <f t="shared" si="647"/>
        <v>8000</v>
      </c>
      <c r="L610" s="187">
        <v>40000</v>
      </c>
      <c r="M610" s="110">
        <v>9.5</v>
      </c>
      <c r="N610" s="110">
        <f>VLOOKUP(DATE(YEAR(A610),MONTH(A610),DAY(A610)),FY24_Temp[],3,FALSE)</f>
        <v>12.8</v>
      </c>
      <c r="O610" s="110">
        <f t="shared" si="615"/>
        <v>11.5</v>
      </c>
      <c r="P610" s="110">
        <f t="shared" si="616"/>
        <v>19.5</v>
      </c>
      <c r="Q610" s="111">
        <f>VLOOKUP(VLOOKUP(DATEVALUE(TEXT(A610,"m/d/yyyy")),FY24_Temp[],5,FALSE)&amp;TEXT(A610,"-h"),TempDelta[],4,FALSE)</f>
        <v>2.6134285245622908</v>
      </c>
      <c r="R610" s="112">
        <v>10</v>
      </c>
      <c r="S610" s="112">
        <v>1500</v>
      </c>
      <c r="T610" s="99">
        <f>VLOOKUP(TEXT(A610,"yy-mm")&amp;"-"&amp;IF(AND(WEEKDAY(A610)&gt;1,WEEKDAY(A610)&lt;7),"Wkd",TEXT(A610,"Ddd"))&amp;"-"&amp;TEXT(A610,"hh"),LoadTable[],3,FALSE)*0.92</f>
        <v>279.25312000000002</v>
      </c>
      <c r="U610" s="113">
        <f t="shared" si="617"/>
        <v>27.925312000000002</v>
      </c>
    </row>
    <row r="611" spans="1:21" ht="15" thickBot="1">
      <c r="A611" s="29">
        <f t="shared" si="587"/>
        <v>45861.333333333838</v>
      </c>
      <c r="B611" s="187">
        <f t="shared" ref="B611:L611" si="648">B635</f>
        <v>8000</v>
      </c>
      <c r="C611" s="187">
        <f t="shared" si="648"/>
        <v>25000</v>
      </c>
      <c r="D611" s="187">
        <v>0</v>
      </c>
      <c r="E611" s="187">
        <v>700</v>
      </c>
      <c r="F611" s="187">
        <v>15000</v>
      </c>
      <c r="G611" s="187">
        <f t="shared" si="648"/>
        <v>2400</v>
      </c>
      <c r="H611" s="187">
        <f t="shared" si="648"/>
        <v>25000</v>
      </c>
      <c r="I611" s="187">
        <f t="shared" si="648"/>
        <v>8000</v>
      </c>
      <c r="J611" s="187">
        <v>40000</v>
      </c>
      <c r="K611" s="187">
        <f t="shared" si="648"/>
        <v>8000</v>
      </c>
      <c r="L611" s="187">
        <v>40000</v>
      </c>
      <c r="M611" s="110">
        <v>9.5</v>
      </c>
      <c r="N611" s="110">
        <f>VLOOKUP(DATE(YEAR(A611),MONTH(A611),DAY(A611)),FY24_Temp[],3,FALSE)</f>
        <v>12.8</v>
      </c>
      <c r="O611" s="110">
        <f t="shared" si="615"/>
        <v>11.5</v>
      </c>
      <c r="P611" s="110">
        <f t="shared" si="616"/>
        <v>19.5</v>
      </c>
      <c r="Q611" s="111">
        <f>VLOOKUP(VLOOKUP(DATEVALUE(TEXT(A611,"m/d/yyyy")),FY24_Temp[],5,FALSE)&amp;TEXT(A611,"-h"),TempDelta[],4,FALSE)</f>
        <v>2.44985716683524</v>
      </c>
      <c r="R611" s="112">
        <v>10</v>
      </c>
      <c r="S611" s="112">
        <v>1500</v>
      </c>
      <c r="T611" s="99">
        <f>VLOOKUP(TEXT(A611,"yy-mm")&amp;"-"&amp;IF(AND(WEEKDAY(A611)&gt;1,WEEKDAY(A611)&lt;7),"Wkd",TEXT(A611,"Ddd"))&amp;"-"&amp;TEXT(A611,"hh"),LoadTable[],3,FALSE)*0.92</f>
        <v>279.25312000000002</v>
      </c>
      <c r="U611" s="113">
        <f t="shared" si="617"/>
        <v>27.925312000000002</v>
      </c>
    </row>
    <row r="612" spans="1:21" ht="15" thickBot="1">
      <c r="A612" s="29">
        <f t="shared" si="587"/>
        <v>45861.375000000502</v>
      </c>
      <c r="B612" s="187">
        <f t="shared" ref="B612:L612" si="649">B636</f>
        <v>8000</v>
      </c>
      <c r="C612" s="187">
        <f t="shared" si="649"/>
        <v>25000</v>
      </c>
      <c r="D612" s="187">
        <v>0</v>
      </c>
      <c r="E612" s="187">
        <v>700</v>
      </c>
      <c r="F612" s="187">
        <v>15000</v>
      </c>
      <c r="G612" s="187">
        <f t="shared" si="649"/>
        <v>2400</v>
      </c>
      <c r="H612" s="187">
        <f t="shared" si="649"/>
        <v>25000</v>
      </c>
      <c r="I612" s="187">
        <f t="shared" si="649"/>
        <v>8000</v>
      </c>
      <c r="J612" s="187">
        <v>40000</v>
      </c>
      <c r="K612" s="187">
        <f t="shared" si="649"/>
        <v>8000</v>
      </c>
      <c r="L612" s="187">
        <v>40000</v>
      </c>
      <c r="M612" s="110">
        <v>9.5</v>
      </c>
      <c r="N612" s="110">
        <f>VLOOKUP(DATE(YEAR(A612),MONTH(A612),DAY(A612)),FY24_Temp[],3,FALSE)</f>
        <v>12.8</v>
      </c>
      <c r="O612" s="110">
        <f t="shared" si="615"/>
        <v>11.5</v>
      </c>
      <c r="P612" s="110">
        <f t="shared" si="616"/>
        <v>19.5</v>
      </c>
      <c r="Q612" s="111">
        <f>VLOOKUP(VLOOKUP(DATEVALUE(TEXT(A612,"m/d/yyyy")),FY24_Temp[],5,FALSE)&amp;TEXT(A612,"-h"),TempDelta[],4,FALSE)</f>
        <v>2.2458571025303433</v>
      </c>
      <c r="R612" s="112">
        <v>10</v>
      </c>
      <c r="S612" s="112">
        <v>1500</v>
      </c>
      <c r="T612" s="99">
        <f>VLOOKUP(TEXT(A612,"yy-mm")&amp;"-"&amp;IF(AND(WEEKDAY(A612)&gt;1,WEEKDAY(A612)&lt;7),"Wkd",TEXT(A612,"Ddd"))&amp;"-"&amp;TEXT(A612,"hh"),LoadTable[],3,FALSE)*0.92</f>
        <v>279.25312000000002</v>
      </c>
      <c r="U612" s="113">
        <f t="shared" si="617"/>
        <v>27.925312000000002</v>
      </c>
    </row>
    <row r="613" spans="1:21" ht="15" thickBot="1">
      <c r="A613" s="29">
        <f t="shared" si="587"/>
        <v>45861.416666667166</v>
      </c>
      <c r="B613" s="187">
        <f t="shared" ref="B613:L613" si="650">B637</f>
        <v>8000</v>
      </c>
      <c r="C613" s="187">
        <f t="shared" si="650"/>
        <v>25000</v>
      </c>
      <c r="D613" s="187">
        <v>0</v>
      </c>
      <c r="E613" s="187">
        <v>700</v>
      </c>
      <c r="F613" s="187">
        <v>15000</v>
      </c>
      <c r="G613" s="187">
        <f t="shared" si="650"/>
        <v>2400</v>
      </c>
      <c r="H613" s="187">
        <f t="shared" si="650"/>
        <v>25000</v>
      </c>
      <c r="I613" s="187">
        <f t="shared" si="650"/>
        <v>8000</v>
      </c>
      <c r="J613" s="187">
        <v>40000</v>
      </c>
      <c r="K613" s="187">
        <f t="shared" si="650"/>
        <v>8000</v>
      </c>
      <c r="L613" s="187">
        <v>40000</v>
      </c>
      <c r="M613" s="110">
        <v>9.5</v>
      </c>
      <c r="N613" s="110">
        <f>VLOOKUP(DATE(YEAR(A613),MONTH(A613),DAY(A613)),FY24_Temp[],3,FALSE)</f>
        <v>12.8</v>
      </c>
      <c r="O613" s="110">
        <f t="shared" si="615"/>
        <v>11.5</v>
      </c>
      <c r="P613" s="110">
        <f t="shared" si="616"/>
        <v>19.5</v>
      </c>
      <c r="Q613" s="111">
        <f>VLOOKUP(VLOOKUP(DATEVALUE(TEXT(A613,"m/d/yyyy")),FY24_Temp[],5,FALSE)&amp;TEXT(A613,"-h"),TempDelta[],4,FALSE)</f>
        <v>2.0832857234137401</v>
      </c>
      <c r="R613" s="112">
        <v>10</v>
      </c>
      <c r="S613" s="112">
        <v>1500</v>
      </c>
      <c r="T613" s="99">
        <f>VLOOKUP(TEXT(A613,"yy-mm")&amp;"-"&amp;IF(AND(WEEKDAY(A613)&gt;1,WEEKDAY(A613)&lt;7),"Wkd",TEXT(A613,"Ddd"))&amp;"-"&amp;TEXT(A613,"hh"),LoadTable[],3,FALSE)*0.92</f>
        <v>279.25312000000002</v>
      </c>
      <c r="U613" s="113">
        <f t="shared" si="617"/>
        <v>27.925312000000002</v>
      </c>
    </row>
    <row r="614" spans="1:21" ht="15" thickBot="1">
      <c r="A614" s="29">
        <f t="shared" si="587"/>
        <v>45861.458333333831</v>
      </c>
      <c r="B614" s="187">
        <f t="shared" ref="B614:L614" si="651">B638</f>
        <v>8000</v>
      </c>
      <c r="C614" s="187">
        <f t="shared" si="651"/>
        <v>25000</v>
      </c>
      <c r="D614" s="187">
        <v>0</v>
      </c>
      <c r="E614" s="187">
        <v>700</v>
      </c>
      <c r="F614" s="187">
        <v>15000</v>
      </c>
      <c r="G614" s="187">
        <f t="shared" si="651"/>
        <v>2400</v>
      </c>
      <c r="H614" s="187">
        <f t="shared" si="651"/>
        <v>25000</v>
      </c>
      <c r="I614" s="187">
        <f t="shared" si="651"/>
        <v>8000</v>
      </c>
      <c r="J614" s="187">
        <v>40000</v>
      </c>
      <c r="K614" s="187">
        <f t="shared" si="651"/>
        <v>8000</v>
      </c>
      <c r="L614" s="187">
        <v>40000</v>
      </c>
      <c r="M614" s="110">
        <v>9.5</v>
      </c>
      <c r="N614" s="110">
        <f>VLOOKUP(DATE(YEAR(A614),MONTH(A614),DAY(A614)),FY24_Temp[],3,FALSE)</f>
        <v>12.8</v>
      </c>
      <c r="O614" s="110">
        <f t="shared" si="615"/>
        <v>11.5</v>
      </c>
      <c r="P614" s="110">
        <f t="shared" si="616"/>
        <v>19.5</v>
      </c>
      <c r="Q614" s="111">
        <f>VLOOKUP(VLOOKUP(DATEVALUE(TEXT(A614,"m/d/yyyy")),FY24_Temp[],5,FALSE)&amp;TEXT(A614,"-h"),TempDelta[],4,FALSE)</f>
        <v>1.8928571258272444</v>
      </c>
      <c r="R614" s="112">
        <v>10</v>
      </c>
      <c r="S614" s="112">
        <v>1500</v>
      </c>
      <c r="T614" s="99">
        <f>VLOOKUP(TEXT(A614,"yy-mm")&amp;"-"&amp;IF(AND(WEEKDAY(A614)&gt;1,WEEKDAY(A614)&lt;7),"Wkd",TEXT(A614,"Ddd"))&amp;"-"&amp;TEXT(A614,"hh"),LoadTable[],3,FALSE)*0.92</f>
        <v>279.25312000000002</v>
      </c>
      <c r="U614" s="113">
        <f t="shared" si="617"/>
        <v>27.925312000000002</v>
      </c>
    </row>
    <row r="615" spans="1:21" ht="15" thickBot="1">
      <c r="A615" s="29">
        <f t="shared" si="587"/>
        <v>45861.500000000495</v>
      </c>
      <c r="B615" s="187">
        <f t="shared" ref="B615:L615" si="652">B639</f>
        <v>8000</v>
      </c>
      <c r="C615" s="187">
        <f t="shared" si="652"/>
        <v>25000</v>
      </c>
      <c r="D615" s="187">
        <v>0</v>
      </c>
      <c r="E615" s="187">
        <v>700</v>
      </c>
      <c r="F615" s="187">
        <v>15000</v>
      </c>
      <c r="G615" s="187">
        <f t="shared" si="652"/>
        <v>2400</v>
      </c>
      <c r="H615" s="187">
        <f t="shared" si="652"/>
        <v>25000</v>
      </c>
      <c r="I615" s="187">
        <f t="shared" si="652"/>
        <v>8000</v>
      </c>
      <c r="J615" s="187">
        <v>40000</v>
      </c>
      <c r="K615" s="187">
        <f t="shared" si="652"/>
        <v>8000</v>
      </c>
      <c r="L615" s="187">
        <v>40000</v>
      </c>
      <c r="M615" s="110">
        <v>9.5</v>
      </c>
      <c r="N615" s="110">
        <f>VLOOKUP(DATE(YEAR(A615),MONTH(A615),DAY(A615)),FY24_Temp[],3,FALSE)</f>
        <v>12.8</v>
      </c>
      <c r="O615" s="110">
        <f t="shared" si="615"/>
        <v>11.5</v>
      </c>
      <c r="P615" s="110">
        <f t="shared" si="616"/>
        <v>19.5</v>
      </c>
      <c r="Q615" s="111">
        <f>VLOOKUP(VLOOKUP(DATEVALUE(TEXT(A615,"m/d/yyyy")),FY24_Temp[],5,FALSE)&amp;TEXT(A615,"-h"),TempDelta[],4,FALSE)</f>
        <v>1.665857127734593</v>
      </c>
      <c r="R615" s="112">
        <v>10</v>
      </c>
      <c r="S615" s="112">
        <v>1500</v>
      </c>
      <c r="T615" s="99">
        <f>VLOOKUP(TEXT(A615,"yy-mm")&amp;"-"&amp;IF(AND(WEEKDAY(A615)&gt;1,WEEKDAY(A615)&lt;7),"Wkd",TEXT(A615,"Ddd"))&amp;"-"&amp;TEXT(A615,"hh"),LoadTable[],3,FALSE)*0.92</f>
        <v>279.25312000000002</v>
      </c>
      <c r="U615" s="113">
        <f t="shared" si="617"/>
        <v>27.925312000000002</v>
      </c>
    </row>
    <row r="616" spans="1:21" ht="15" thickBot="1">
      <c r="A616" s="29">
        <f t="shared" si="587"/>
        <v>45861.541666667159</v>
      </c>
      <c r="B616" s="187">
        <f t="shared" ref="B616:L616" si="653">B640</f>
        <v>8000</v>
      </c>
      <c r="C616" s="187">
        <f t="shared" si="653"/>
        <v>25000</v>
      </c>
      <c r="D616" s="187">
        <v>0</v>
      </c>
      <c r="E616" s="187">
        <v>700</v>
      </c>
      <c r="F616" s="187">
        <v>15000</v>
      </c>
      <c r="G616" s="187">
        <f t="shared" si="653"/>
        <v>2400</v>
      </c>
      <c r="H616" s="187">
        <f t="shared" si="653"/>
        <v>25000</v>
      </c>
      <c r="I616" s="187">
        <f t="shared" si="653"/>
        <v>8000</v>
      </c>
      <c r="J616" s="187">
        <v>40000</v>
      </c>
      <c r="K616" s="187">
        <f t="shared" si="653"/>
        <v>8000</v>
      </c>
      <c r="L616" s="187">
        <v>40000</v>
      </c>
      <c r="M616" s="110">
        <v>9.5</v>
      </c>
      <c r="N616" s="110">
        <f>VLOOKUP(DATE(YEAR(A616),MONTH(A616),DAY(A616)),FY24_Temp[],3,FALSE)</f>
        <v>12.8</v>
      </c>
      <c r="O616" s="110">
        <f t="shared" si="615"/>
        <v>11.5</v>
      </c>
      <c r="P616" s="110">
        <f t="shared" si="616"/>
        <v>19.5</v>
      </c>
      <c r="Q616" s="111">
        <f>VLOOKUP(VLOOKUP(DATEVALUE(TEXT(A616,"m/d/yyyy")),FY24_Temp[],5,FALSE)&amp;TEXT(A616,"-h"),TempDelta[],4,FALSE)</f>
        <v>1.4252856969833374</v>
      </c>
      <c r="R616" s="112">
        <v>10</v>
      </c>
      <c r="S616" s="112">
        <v>1500</v>
      </c>
      <c r="T616" s="99">
        <f>VLOOKUP(TEXT(A616,"yy-mm")&amp;"-"&amp;IF(AND(WEEKDAY(A616)&gt;1,WEEKDAY(A616)&lt;7),"Wkd",TEXT(A616,"Ddd"))&amp;"-"&amp;TEXT(A616,"hh"),LoadTable[],3,FALSE)*0.92</f>
        <v>279.25312000000002</v>
      </c>
      <c r="U616" s="113">
        <f t="shared" si="617"/>
        <v>27.925312000000002</v>
      </c>
    </row>
    <row r="617" spans="1:21" ht="15" thickBot="1">
      <c r="A617" s="29">
        <f t="shared" si="587"/>
        <v>45861.583333333823</v>
      </c>
      <c r="B617" s="187">
        <f t="shared" ref="B617:L617" si="654">B641</f>
        <v>8000</v>
      </c>
      <c r="C617" s="187">
        <f t="shared" si="654"/>
        <v>25000</v>
      </c>
      <c r="D617" s="187">
        <v>0</v>
      </c>
      <c r="E617" s="187">
        <v>700</v>
      </c>
      <c r="F617" s="187">
        <v>15000</v>
      </c>
      <c r="G617" s="187">
        <f t="shared" si="654"/>
        <v>2400</v>
      </c>
      <c r="H617" s="187">
        <f t="shared" si="654"/>
        <v>25000</v>
      </c>
      <c r="I617" s="187">
        <f t="shared" si="654"/>
        <v>8000</v>
      </c>
      <c r="J617" s="187">
        <v>40000</v>
      </c>
      <c r="K617" s="187">
        <f t="shared" si="654"/>
        <v>8000</v>
      </c>
      <c r="L617" s="187">
        <v>40000</v>
      </c>
      <c r="M617" s="110">
        <v>9.5</v>
      </c>
      <c r="N617" s="110">
        <f>VLOOKUP(DATE(YEAR(A617),MONTH(A617),DAY(A617)),FY24_Temp[],3,FALSE)</f>
        <v>12.8</v>
      </c>
      <c r="O617" s="110">
        <f t="shared" si="615"/>
        <v>11.5</v>
      </c>
      <c r="P617" s="110">
        <f t="shared" si="616"/>
        <v>19.5</v>
      </c>
      <c r="Q617" s="111">
        <f>VLOOKUP(VLOOKUP(DATEVALUE(TEXT(A617,"m/d/yyyy")),FY24_Temp[],5,FALSE)&amp;TEXT(A617,"-h"),TempDelta[],4,FALSE)</f>
        <v>1.2351428781236922</v>
      </c>
      <c r="R617" s="112">
        <v>10</v>
      </c>
      <c r="S617" s="112">
        <v>1500</v>
      </c>
      <c r="T617" s="99">
        <f>VLOOKUP(TEXT(A617,"yy-mm")&amp;"-"&amp;IF(AND(WEEKDAY(A617)&gt;1,WEEKDAY(A617)&lt;7),"Wkd",TEXT(A617,"Ddd"))&amp;"-"&amp;TEXT(A617,"hh"),LoadTable[],3,FALSE)*0.92</f>
        <v>373.26607999999999</v>
      </c>
      <c r="U617" s="113">
        <f t="shared" si="617"/>
        <v>37.326608</v>
      </c>
    </row>
    <row r="618" spans="1:21" ht="15" thickBot="1">
      <c r="A618" s="29">
        <f t="shared" ref="A618:A681" si="655">A619-TIME(1,0,0)</f>
        <v>45861.625000000487</v>
      </c>
      <c r="B618" s="187">
        <f t="shared" ref="B618:L618" si="656">B642</f>
        <v>8000</v>
      </c>
      <c r="C618" s="187">
        <f t="shared" si="656"/>
        <v>25000</v>
      </c>
      <c r="D618" s="187">
        <v>0</v>
      </c>
      <c r="E618" s="187">
        <v>700</v>
      </c>
      <c r="F618" s="187">
        <v>15000</v>
      </c>
      <c r="G618" s="187">
        <f t="shared" si="656"/>
        <v>2400</v>
      </c>
      <c r="H618" s="187">
        <f t="shared" si="656"/>
        <v>25000</v>
      </c>
      <c r="I618" s="187">
        <f t="shared" si="656"/>
        <v>8000</v>
      </c>
      <c r="J618" s="187">
        <v>40000</v>
      </c>
      <c r="K618" s="187">
        <f t="shared" si="656"/>
        <v>8000</v>
      </c>
      <c r="L618" s="187">
        <v>40000</v>
      </c>
      <c r="M618" s="110">
        <v>9.5</v>
      </c>
      <c r="N618" s="110">
        <f>VLOOKUP(DATE(YEAR(A618),MONTH(A618),DAY(A618)),FY24_Temp[],3,FALSE)</f>
        <v>12.8</v>
      </c>
      <c r="O618" s="110">
        <f t="shared" si="615"/>
        <v>11.5</v>
      </c>
      <c r="P618" s="110">
        <f t="shared" si="616"/>
        <v>19.5</v>
      </c>
      <c r="Q618" s="111">
        <f>VLOOKUP(VLOOKUP(DATEVALUE(TEXT(A618,"m/d/yyyy")),FY24_Temp[],5,FALSE)&amp;TEXT(A618,"-h"),TempDelta[],4,FALSE)</f>
        <v>0.97514284508568905</v>
      </c>
      <c r="R618" s="112">
        <v>10</v>
      </c>
      <c r="S618" s="112">
        <v>1500</v>
      </c>
      <c r="T618" s="99">
        <f>VLOOKUP(TEXT(A618,"yy-mm")&amp;"-"&amp;IF(AND(WEEKDAY(A618)&gt;1,WEEKDAY(A618)&lt;7),"Wkd",TEXT(A618,"Ddd"))&amp;"-"&amp;TEXT(A618,"hh"),LoadTable[],3,FALSE)*0.92</f>
        <v>494.57360000000006</v>
      </c>
      <c r="U618" s="113">
        <f t="shared" si="617"/>
        <v>49.457360000000008</v>
      </c>
    </row>
    <row r="619" spans="1:21" ht="15" thickBot="1">
      <c r="A619" s="29">
        <f t="shared" si="655"/>
        <v>45861.666666667152</v>
      </c>
      <c r="B619" s="187">
        <f t="shared" ref="B619:L619" si="657">B643</f>
        <v>8000</v>
      </c>
      <c r="C619" s="187">
        <f t="shared" si="657"/>
        <v>25000</v>
      </c>
      <c r="D619" s="187">
        <v>0</v>
      </c>
      <c r="E619" s="187">
        <v>700</v>
      </c>
      <c r="F619" s="187">
        <v>15000</v>
      </c>
      <c r="G619" s="187">
        <f t="shared" si="657"/>
        <v>2400</v>
      </c>
      <c r="H619" s="187">
        <f t="shared" si="657"/>
        <v>25000</v>
      </c>
      <c r="I619" s="187">
        <f t="shared" si="657"/>
        <v>8000</v>
      </c>
      <c r="J619" s="187">
        <v>40000</v>
      </c>
      <c r="K619" s="187">
        <f t="shared" si="657"/>
        <v>8000</v>
      </c>
      <c r="L619" s="187">
        <v>40000</v>
      </c>
      <c r="M619" s="110">
        <v>9.5</v>
      </c>
      <c r="N619" s="110">
        <f>VLOOKUP(DATE(YEAR(A619),MONTH(A619),DAY(A619)),FY24_Temp[],3,FALSE)</f>
        <v>12.8</v>
      </c>
      <c r="O619" s="110">
        <f t="shared" si="615"/>
        <v>11.5</v>
      </c>
      <c r="P619" s="110">
        <f t="shared" si="616"/>
        <v>19.5</v>
      </c>
      <c r="Q619" s="111">
        <f>VLOOKUP(VLOOKUP(DATEVALUE(TEXT(A619,"m/d/yyyy")),FY24_Temp[],5,FALSE)&amp;TEXT(A619,"-h"),TempDelta[],4,FALSE)</f>
        <v>0.88578571166310993</v>
      </c>
      <c r="R619" s="112">
        <v>10</v>
      </c>
      <c r="S619" s="112">
        <v>1500</v>
      </c>
      <c r="T619" s="99">
        <f>VLOOKUP(TEXT(A619,"yy-mm")&amp;"-"&amp;IF(AND(WEEKDAY(A619)&gt;1,WEEKDAY(A619)&lt;7),"Wkd",TEXT(A619,"Ddd"))&amp;"-"&amp;TEXT(A619,"hh"),LoadTable[],3,FALSE)*0.92</f>
        <v>494.57360000000006</v>
      </c>
      <c r="U619" s="113">
        <f t="shared" si="617"/>
        <v>49.457360000000008</v>
      </c>
    </row>
    <row r="620" spans="1:21" ht="15" thickBot="1">
      <c r="A620" s="29">
        <f t="shared" si="655"/>
        <v>45861.708333333816</v>
      </c>
      <c r="B620" s="187">
        <f t="shared" ref="B620:L620" si="658">B644</f>
        <v>8000</v>
      </c>
      <c r="C620" s="187">
        <f t="shared" si="658"/>
        <v>25000</v>
      </c>
      <c r="D620" s="187">
        <v>0</v>
      </c>
      <c r="E620" s="187">
        <v>700</v>
      </c>
      <c r="F620" s="187">
        <v>15000</v>
      </c>
      <c r="G620" s="187">
        <f t="shared" si="658"/>
        <v>2400</v>
      </c>
      <c r="H620" s="187">
        <f t="shared" si="658"/>
        <v>25000</v>
      </c>
      <c r="I620" s="187">
        <f t="shared" si="658"/>
        <v>8000</v>
      </c>
      <c r="J620" s="187">
        <v>40000</v>
      </c>
      <c r="K620" s="187">
        <f t="shared" si="658"/>
        <v>8000</v>
      </c>
      <c r="L620" s="187">
        <v>40000</v>
      </c>
      <c r="M620" s="110">
        <v>9.5</v>
      </c>
      <c r="N620" s="110">
        <f>VLOOKUP(DATE(YEAR(A620),MONTH(A620),DAY(A620)),FY24_Temp[],3,FALSE)</f>
        <v>12.8</v>
      </c>
      <c r="O620" s="110">
        <f t="shared" si="615"/>
        <v>11.5</v>
      </c>
      <c r="P620" s="110">
        <f t="shared" si="616"/>
        <v>19.5</v>
      </c>
      <c r="Q620" s="111">
        <f>VLOOKUP(VLOOKUP(DATEVALUE(TEXT(A620,"m/d/yyyy")),FY24_Temp[],5,FALSE)&amp;TEXT(A620,"-h"),TempDelta[],4,FALSE)</f>
        <v>1.0356428495475225</v>
      </c>
      <c r="R620" s="112">
        <v>10</v>
      </c>
      <c r="S620" s="112">
        <v>1500</v>
      </c>
      <c r="T620" s="99">
        <f>VLOOKUP(TEXT(A620,"yy-mm")&amp;"-"&amp;IF(AND(WEEKDAY(A620)&gt;1,WEEKDAY(A620)&lt;7),"Wkd",TEXT(A620,"Ddd"))&amp;"-"&amp;TEXT(A620,"hh"),LoadTable[],3,FALSE)*0.92</f>
        <v>494.57360000000006</v>
      </c>
      <c r="U620" s="113">
        <f t="shared" si="617"/>
        <v>49.457360000000008</v>
      </c>
    </row>
    <row r="621" spans="1:21" ht="15" thickBot="1">
      <c r="A621" s="29">
        <f t="shared" si="655"/>
        <v>45861.75000000048</v>
      </c>
      <c r="B621" s="187">
        <f t="shared" ref="B621:L621" si="659">B645</f>
        <v>5000</v>
      </c>
      <c r="C621" s="187">
        <f t="shared" si="659"/>
        <v>25000</v>
      </c>
      <c r="D621" s="187">
        <v>0</v>
      </c>
      <c r="E621" s="187">
        <v>700</v>
      </c>
      <c r="F621" s="187">
        <v>15000</v>
      </c>
      <c r="G621" s="187">
        <f t="shared" si="659"/>
        <v>2400</v>
      </c>
      <c r="H621" s="187">
        <f t="shared" si="659"/>
        <v>25000</v>
      </c>
      <c r="I621" s="187">
        <f t="shared" si="659"/>
        <v>5000</v>
      </c>
      <c r="J621" s="187">
        <v>40000</v>
      </c>
      <c r="K621" s="187">
        <f t="shared" si="659"/>
        <v>5000</v>
      </c>
      <c r="L621" s="187">
        <v>40000</v>
      </c>
      <c r="M621" s="110">
        <v>9.5</v>
      </c>
      <c r="N621" s="110">
        <f>VLOOKUP(DATE(YEAR(A621),MONTH(A621),DAY(A621)),FY24_Temp[],3,FALSE)</f>
        <v>12.8</v>
      </c>
      <c r="O621" s="110">
        <f t="shared" si="615"/>
        <v>11.5</v>
      </c>
      <c r="P621" s="110">
        <f t="shared" si="616"/>
        <v>19.5</v>
      </c>
      <c r="Q621" s="111">
        <f>VLOOKUP(VLOOKUP(DATEVALUE(TEXT(A621,"m/d/yyyy")),FY24_Temp[],5,FALSE)&amp;TEXT(A621,"-h"),TempDelta[],4,FALSE)</f>
        <v>1.3991428358214242</v>
      </c>
      <c r="R621" s="112">
        <v>10</v>
      </c>
      <c r="S621" s="112">
        <v>1500</v>
      </c>
      <c r="T621" s="99">
        <f>VLOOKUP(TEXT(A621,"yy-mm")&amp;"-"&amp;IF(AND(WEEKDAY(A621)&gt;1,WEEKDAY(A621)&lt;7),"Wkd",TEXT(A621,"Ddd"))&amp;"-"&amp;TEXT(A621,"hh"),LoadTable[],3,FALSE)*0.92</f>
        <v>494.57360000000006</v>
      </c>
      <c r="U621" s="113">
        <f t="shared" si="617"/>
        <v>49.457360000000008</v>
      </c>
    </row>
    <row r="622" spans="1:21" ht="15" thickBot="1">
      <c r="A622" s="29">
        <f t="shared" si="655"/>
        <v>45861.791666667144</v>
      </c>
      <c r="B622" s="187">
        <f t="shared" ref="B622:L622" si="660">B646</f>
        <v>5000</v>
      </c>
      <c r="C622" s="187">
        <f t="shared" si="660"/>
        <v>25000</v>
      </c>
      <c r="D622" s="187">
        <v>0</v>
      </c>
      <c r="E622" s="187">
        <v>700</v>
      </c>
      <c r="F622" s="187">
        <v>15000</v>
      </c>
      <c r="G622" s="187">
        <f t="shared" si="660"/>
        <v>2400</v>
      </c>
      <c r="H622" s="187">
        <f t="shared" si="660"/>
        <v>25000</v>
      </c>
      <c r="I622" s="187">
        <f t="shared" si="660"/>
        <v>5000</v>
      </c>
      <c r="J622" s="187">
        <v>40000</v>
      </c>
      <c r="K622" s="187">
        <f t="shared" si="660"/>
        <v>5000</v>
      </c>
      <c r="L622" s="187">
        <v>40000</v>
      </c>
      <c r="M622" s="110">
        <v>9.5</v>
      </c>
      <c r="N622" s="110">
        <f>VLOOKUP(DATE(YEAR(A622),MONTH(A622),DAY(A622)),FY24_Temp[],3,FALSE)</f>
        <v>12.8</v>
      </c>
      <c r="O622" s="110">
        <f t="shared" si="615"/>
        <v>11.5</v>
      </c>
      <c r="P622" s="110">
        <f t="shared" si="616"/>
        <v>19.5</v>
      </c>
      <c r="Q622" s="111">
        <f>VLOOKUP(VLOOKUP(DATEVALUE(TEXT(A622,"m/d/yyyy")),FY24_Temp[],5,FALSE)&amp;TEXT(A622,"-h"),TempDelta[],4,FALSE)</f>
        <v>1.8638571415628706</v>
      </c>
      <c r="R622" s="112">
        <v>10</v>
      </c>
      <c r="S622" s="112">
        <v>1500</v>
      </c>
      <c r="T622" s="99">
        <f>VLOOKUP(TEXT(A622,"yy-mm")&amp;"-"&amp;IF(AND(WEEKDAY(A622)&gt;1,WEEKDAY(A622)&lt;7),"Wkd",TEXT(A622,"Ddd"))&amp;"-"&amp;TEXT(A622,"hh"),LoadTable[],3,FALSE)*0.92</f>
        <v>494.57360000000006</v>
      </c>
      <c r="U622" s="113">
        <f t="shared" si="617"/>
        <v>49.457360000000008</v>
      </c>
    </row>
    <row r="623" spans="1:21" ht="15" thickBot="1">
      <c r="A623" s="29">
        <f t="shared" si="655"/>
        <v>45861.833333333809</v>
      </c>
      <c r="B623" s="187">
        <f t="shared" ref="B623:L623" si="661">B647</f>
        <v>5000</v>
      </c>
      <c r="C623" s="187">
        <f t="shared" si="661"/>
        <v>25000</v>
      </c>
      <c r="D623" s="187">
        <v>0</v>
      </c>
      <c r="E623" s="187">
        <v>700</v>
      </c>
      <c r="F623" s="187">
        <v>15000</v>
      </c>
      <c r="G623" s="187">
        <f t="shared" si="661"/>
        <v>2400</v>
      </c>
      <c r="H623" s="187">
        <f t="shared" si="661"/>
        <v>25000</v>
      </c>
      <c r="I623" s="187">
        <f t="shared" si="661"/>
        <v>5000</v>
      </c>
      <c r="J623" s="187">
        <v>40000</v>
      </c>
      <c r="K623" s="187">
        <f t="shared" si="661"/>
        <v>5000</v>
      </c>
      <c r="L623" s="187">
        <v>40000</v>
      </c>
      <c r="M623" s="110">
        <v>9.5</v>
      </c>
      <c r="N623" s="110">
        <f>VLOOKUP(DATE(YEAR(A623),MONTH(A623),DAY(A623)),FY24_Temp[],3,FALSE)</f>
        <v>12.8</v>
      </c>
      <c r="O623" s="110">
        <f t="shared" si="615"/>
        <v>11.5</v>
      </c>
      <c r="P623" s="110">
        <f t="shared" si="616"/>
        <v>19.5</v>
      </c>
      <c r="Q623" s="111">
        <f>VLOOKUP(VLOOKUP(DATEVALUE(TEXT(A623,"m/d/yyyy")),FY24_Temp[],5,FALSE)&amp;TEXT(A623,"-h"),TempDelta[],4,FALSE)</f>
        <v>2.300714305468968</v>
      </c>
      <c r="R623" s="112">
        <v>10</v>
      </c>
      <c r="S623" s="112">
        <v>1500</v>
      </c>
      <c r="T623" s="99">
        <f>VLOOKUP(TEXT(A623,"yy-mm")&amp;"-"&amp;IF(AND(WEEKDAY(A623)&gt;1,WEEKDAY(A623)&lt;7),"Wkd",TEXT(A623,"Ddd"))&amp;"-"&amp;TEXT(A623,"hh"),LoadTable[],3,FALSE)*0.92</f>
        <v>494.57360000000006</v>
      </c>
      <c r="U623" s="113">
        <f t="shared" si="617"/>
        <v>49.457360000000008</v>
      </c>
    </row>
    <row r="624" spans="1:21" ht="15" thickBot="1">
      <c r="A624" s="29">
        <f t="shared" si="655"/>
        <v>45861.875000000473</v>
      </c>
      <c r="B624" s="187">
        <f t="shared" ref="B624:L624" si="662">B648</f>
        <v>5000</v>
      </c>
      <c r="C624" s="187">
        <f t="shared" si="662"/>
        <v>25000</v>
      </c>
      <c r="D624" s="187">
        <v>0</v>
      </c>
      <c r="E624" s="187">
        <v>700</v>
      </c>
      <c r="F624" s="187">
        <v>15000</v>
      </c>
      <c r="G624" s="187">
        <f t="shared" si="662"/>
        <v>2400</v>
      </c>
      <c r="H624" s="187">
        <f t="shared" si="662"/>
        <v>25000</v>
      </c>
      <c r="I624" s="187">
        <f t="shared" si="662"/>
        <v>5000</v>
      </c>
      <c r="J624" s="187">
        <v>40000</v>
      </c>
      <c r="K624" s="187">
        <f t="shared" si="662"/>
        <v>5000</v>
      </c>
      <c r="L624" s="187">
        <v>40000</v>
      </c>
      <c r="M624" s="110">
        <v>9.5</v>
      </c>
      <c r="N624" s="110">
        <f>VLOOKUP(DATE(YEAR(A624),MONTH(A624),DAY(A624)),FY24_Temp[],3,FALSE)</f>
        <v>12.8</v>
      </c>
      <c r="O624" s="110">
        <f t="shared" si="615"/>
        <v>11.5</v>
      </c>
      <c r="P624" s="110">
        <f t="shared" si="616"/>
        <v>19.5</v>
      </c>
      <c r="Q624" s="111">
        <f>VLOOKUP(VLOOKUP(DATEVALUE(TEXT(A624,"m/d/yyyy")),FY24_Temp[],5,FALSE)&amp;TEXT(A624,"-h"),TempDelta[],4,FALSE)</f>
        <v>2.554214222090585</v>
      </c>
      <c r="R624" s="112">
        <v>10</v>
      </c>
      <c r="S624" s="112">
        <v>1500</v>
      </c>
      <c r="T624" s="99">
        <f>VLOOKUP(TEXT(A624,"yy-mm")&amp;"-"&amp;IF(AND(WEEKDAY(A624)&gt;1,WEEKDAY(A624)&lt;7),"Wkd",TEXT(A624,"Ddd"))&amp;"-"&amp;TEXT(A624,"hh"),LoadTable[],3,FALSE)*0.92</f>
        <v>494.57360000000006</v>
      </c>
      <c r="U624" s="113">
        <f t="shared" si="617"/>
        <v>49.457360000000008</v>
      </c>
    </row>
    <row r="625" spans="1:21" ht="15" thickBot="1">
      <c r="A625" s="29">
        <f t="shared" si="655"/>
        <v>45861.916666667137</v>
      </c>
      <c r="B625" s="187">
        <f t="shared" ref="B625:L625" si="663">B649</f>
        <v>5000</v>
      </c>
      <c r="C625" s="187">
        <f t="shared" si="663"/>
        <v>25000</v>
      </c>
      <c r="D625" s="187">
        <v>0</v>
      </c>
      <c r="E625" s="187">
        <v>700</v>
      </c>
      <c r="F625" s="187">
        <v>15000</v>
      </c>
      <c r="G625" s="187">
        <f t="shared" si="663"/>
        <v>2400</v>
      </c>
      <c r="H625" s="187">
        <f t="shared" si="663"/>
        <v>25000</v>
      </c>
      <c r="I625" s="187">
        <f t="shared" si="663"/>
        <v>5000</v>
      </c>
      <c r="J625" s="187">
        <v>40000</v>
      </c>
      <c r="K625" s="187">
        <f t="shared" si="663"/>
        <v>5000</v>
      </c>
      <c r="L625" s="187">
        <v>40000</v>
      </c>
      <c r="M625" s="110">
        <v>9.5</v>
      </c>
      <c r="N625" s="110">
        <f>VLOOKUP(DATE(YEAR(A625),MONTH(A625),DAY(A625)),FY24_Temp[],3,FALSE)</f>
        <v>12.8</v>
      </c>
      <c r="O625" s="110">
        <f t="shared" si="615"/>
        <v>11.5</v>
      </c>
      <c r="P625" s="110">
        <f t="shared" si="616"/>
        <v>19.5</v>
      </c>
      <c r="Q625" s="111">
        <f>VLOOKUP(VLOOKUP(DATEVALUE(TEXT(A625,"m/d/yyyy")),FY24_Temp[],5,FALSE)&amp;TEXT(A625,"-h"),TempDelta[],4,FALSE)</f>
        <v>2.7827142647334506</v>
      </c>
      <c r="R625" s="112">
        <v>10</v>
      </c>
      <c r="S625" s="112">
        <v>1500</v>
      </c>
      <c r="T625" s="99">
        <f>VLOOKUP(TEXT(A625,"yy-mm")&amp;"-"&amp;IF(AND(WEEKDAY(A625)&gt;1,WEEKDAY(A625)&lt;7),"Wkd",TEXT(A625,"Ddd"))&amp;"-"&amp;TEXT(A625,"hh"),LoadTable[],3,FALSE)*0.92</f>
        <v>418.75640000000004</v>
      </c>
      <c r="U625" s="113">
        <f t="shared" si="617"/>
        <v>41.875640000000004</v>
      </c>
    </row>
    <row r="626" spans="1:21" ht="15" thickBot="1">
      <c r="A626" s="29">
        <f t="shared" si="655"/>
        <v>45861.958333333801</v>
      </c>
      <c r="B626" s="187">
        <f t="shared" ref="B626:L626" si="664">B650</f>
        <v>5000</v>
      </c>
      <c r="C626" s="187">
        <f t="shared" si="664"/>
        <v>25000</v>
      </c>
      <c r="D626" s="187">
        <v>0</v>
      </c>
      <c r="E626" s="187">
        <v>700</v>
      </c>
      <c r="F626" s="187">
        <v>15000</v>
      </c>
      <c r="G626" s="187">
        <f t="shared" si="664"/>
        <v>2400</v>
      </c>
      <c r="H626" s="187">
        <f t="shared" si="664"/>
        <v>25000</v>
      </c>
      <c r="I626" s="187">
        <f t="shared" si="664"/>
        <v>5000</v>
      </c>
      <c r="J626" s="187">
        <v>40000</v>
      </c>
      <c r="K626" s="187">
        <f t="shared" si="664"/>
        <v>5000</v>
      </c>
      <c r="L626" s="187">
        <v>40000</v>
      </c>
      <c r="M626" s="110">
        <v>9.5</v>
      </c>
      <c r="N626" s="110">
        <f>VLOOKUP(DATE(YEAR(A626),MONTH(A626),DAY(A626)),FY24_Temp[],3,FALSE)</f>
        <v>12.8</v>
      </c>
      <c r="O626" s="110">
        <f t="shared" si="615"/>
        <v>11.5</v>
      </c>
      <c r="P626" s="110">
        <f t="shared" si="616"/>
        <v>19.5</v>
      </c>
      <c r="Q626" s="111">
        <f>VLOOKUP(VLOOKUP(DATEVALUE(TEXT(A626,"m/d/yyyy")),FY24_Temp[],5,FALSE)&amp;TEXT(A626,"-h"),TempDelta[],4,FALSE)</f>
        <v>2.8792857101985385</v>
      </c>
      <c r="R626" s="112">
        <v>10</v>
      </c>
      <c r="S626" s="112">
        <v>1500</v>
      </c>
      <c r="T626" s="99">
        <f>VLOOKUP(TEXT(A626,"yy-mm")&amp;"-"&amp;IF(AND(WEEKDAY(A626)&gt;1,WEEKDAY(A626)&lt;7),"Wkd",TEXT(A626,"Ddd"))&amp;"-"&amp;TEXT(A626,"hh"),LoadTable[],3,FALSE)*0.92</f>
        <v>342.93920000000003</v>
      </c>
      <c r="U626" s="113">
        <f t="shared" si="617"/>
        <v>34.29392</v>
      </c>
    </row>
    <row r="627" spans="1:21" ht="15" thickBot="1">
      <c r="A627" s="29">
        <f t="shared" si="655"/>
        <v>45862.000000000466</v>
      </c>
      <c r="B627" s="187">
        <f t="shared" ref="B627:L627" si="665">B651</f>
        <v>5000</v>
      </c>
      <c r="C627" s="187">
        <f t="shared" si="665"/>
        <v>25000</v>
      </c>
      <c r="D627" s="187">
        <v>0</v>
      </c>
      <c r="E627" s="187">
        <v>700</v>
      </c>
      <c r="F627" s="187">
        <v>15000</v>
      </c>
      <c r="G627" s="187">
        <f t="shared" si="665"/>
        <v>2400</v>
      </c>
      <c r="H627" s="187">
        <f t="shared" si="665"/>
        <v>25000</v>
      </c>
      <c r="I627" s="187">
        <f t="shared" si="665"/>
        <v>5000</v>
      </c>
      <c r="J627" s="187">
        <v>40000</v>
      </c>
      <c r="K627" s="187">
        <f t="shared" si="665"/>
        <v>5000</v>
      </c>
      <c r="L627" s="187">
        <v>40000</v>
      </c>
      <c r="M627" s="110">
        <v>9.5</v>
      </c>
      <c r="N627" s="110">
        <f>VLOOKUP(DATE(YEAR(A627),MONTH(A627),DAY(A627)),FY24_Temp[],3,FALSE)</f>
        <v>12.8</v>
      </c>
      <c r="O627" s="110">
        <f t="shared" si="615"/>
        <v>11.5</v>
      </c>
      <c r="P627" s="110">
        <f t="shared" si="616"/>
        <v>19.5</v>
      </c>
      <c r="Q627" s="111">
        <f>VLOOKUP(VLOOKUP(DATEVALUE(TEXT(A627,"m/d/yyyy")),FY24_Temp[],5,FALSE)&amp;TEXT(A627,"-h"),TempDelta[],4,FALSE)</f>
        <v>3.0441428933824812</v>
      </c>
      <c r="R627" s="112">
        <v>10</v>
      </c>
      <c r="S627" s="112">
        <v>1500</v>
      </c>
      <c r="T627" s="99">
        <f>VLOOKUP(TEXT(A627,"yy-mm")&amp;"-"&amp;IF(AND(WEEKDAY(A627)&gt;1,WEEKDAY(A627)&lt;7),"Wkd",TEXT(A627,"Ddd"))&amp;"-"&amp;TEXT(A627,"hh"),LoadTable[],3,FALSE)*0.92</f>
        <v>279.25312000000002</v>
      </c>
      <c r="U627" s="113">
        <f t="shared" si="617"/>
        <v>27.925312000000002</v>
      </c>
    </row>
    <row r="628" spans="1:21" ht="15" thickBot="1">
      <c r="A628" s="29">
        <f t="shared" si="655"/>
        <v>45862.04166666713</v>
      </c>
      <c r="B628" s="187">
        <f t="shared" ref="B628:L628" si="666">B652</f>
        <v>5000</v>
      </c>
      <c r="C628" s="187">
        <f t="shared" si="666"/>
        <v>25000</v>
      </c>
      <c r="D628" s="187">
        <v>0</v>
      </c>
      <c r="E628" s="187">
        <v>700</v>
      </c>
      <c r="F628" s="187">
        <v>15000</v>
      </c>
      <c r="G628" s="187">
        <f t="shared" si="666"/>
        <v>2400</v>
      </c>
      <c r="H628" s="187">
        <f t="shared" si="666"/>
        <v>25000</v>
      </c>
      <c r="I628" s="187">
        <f t="shared" si="666"/>
        <v>5000</v>
      </c>
      <c r="J628" s="187">
        <v>40000</v>
      </c>
      <c r="K628" s="187">
        <f t="shared" si="666"/>
        <v>5000</v>
      </c>
      <c r="L628" s="187">
        <v>40000</v>
      </c>
      <c r="M628" s="110">
        <v>9.5</v>
      </c>
      <c r="N628" s="110">
        <f>VLOOKUP(DATE(YEAR(A628),MONTH(A628),DAY(A628)),FY24_Temp[],3,FALSE)</f>
        <v>12.8</v>
      </c>
      <c r="O628" s="110">
        <f t="shared" si="615"/>
        <v>11.5</v>
      </c>
      <c r="P628" s="110">
        <f t="shared" si="616"/>
        <v>19.5</v>
      </c>
      <c r="Q628" s="111">
        <f>VLOOKUP(VLOOKUP(DATEVALUE(TEXT(A628,"m/d/yyyy")),FY24_Temp[],5,FALSE)&amp;TEXT(A628,"-h"),TempDelta[],4,FALSE)</f>
        <v>3.0992857047489712</v>
      </c>
      <c r="R628" s="112">
        <v>10</v>
      </c>
      <c r="S628" s="112">
        <v>1500</v>
      </c>
      <c r="T628" s="99">
        <f>VLOOKUP(TEXT(A628,"yy-mm")&amp;"-"&amp;IF(AND(WEEKDAY(A628)&gt;1,WEEKDAY(A628)&lt;7),"Wkd",TEXT(A628,"Ddd"))&amp;"-"&amp;TEXT(A628,"hh"),LoadTable[],3,FALSE)*0.92</f>
        <v>279.25312000000002</v>
      </c>
      <c r="U628" s="113">
        <f t="shared" si="617"/>
        <v>27.925312000000002</v>
      </c>
    </row>
    <row r="629" spans="1:21" ht="15" thickBot="1">
      <c r="A629" s="29">
        <f t="shared" si="655"/>
        <v>45862.083333333794</v>
      </c>
      <c r="B629" s="187">
        <f t="shared" ref="B629:L629" si="667">B653</f>
        <v>5000</v>
      </c>
      <c r="C629" s="187">
        <f t="shared" si="667"/>
        <v>25000</v>
      </c>
      <c r="D629" s="187">
        <v>0</v>
      </c>
      <c r="E629" s="187">
        <v>700</v>
      </c>
      <c r="F629" s="187">
        <v>15000</v>
      </c>
      <c r="G629" s="187">
        <f t="shared" si="667"/>
        <v>2400</v>
      </c>
      <c r="H629" s="187">
        <f t="shared" si="667"/>
        <v>25000</v>
      </c>
      <c r="I629" s="187">
        <f t="shared" si="667"/>
        <v>5000</v>
      </c>
      <c r="J629" s="187">
        <v>40000</v>
      </c>
      <c r="K629" s="187">
        <f t="shared" si="667"/>
        <v>5000</v>
      </c>
      <c r="L629" s="187">
        <v>40000</v>
      </c>
      <c r="M629" s="110">
        <v>9.5</v>
      </c>
      <c r="N629" s="110">
        <f>VLOOKUP(DATE(YEAR(A629),MONTH(A629),DAY(A629)),FY24_Temp[],3,FALSE)</f>
        <v>12.8</v>
      </c>
      <c r="O629" s="110">
        <f t="shared" si="615"/>
        <v>11.5</v>
      </c>
      <c r="P629" s="110">
        <f t="shared" si="616"/>
        <v>19.5</v>
      </c>
      <c r="Q629" s="111">
        <f>VLOOKUP(VLOOKUP(DATEVALUE(TEXT(A629,"m/d/yyyy")),FY24_Temp[],5,FALSE)&amp;TEXT(A629,"-h"),TempDelta[],4,FALSE)</f>
        <v>3.1050000190734863</v>
      </c>
      <c r="R629" s="112">
        <v>10</v>
      </c>
      <c r="S629" s="112">
        <v>1500</v>
      </c>
      <c r="T629" s="99">
        <f>VLOOKUP(TEXT(A629,"yy-mm")&amp;"-"&amp;IF(AND(WEEKDAY(A629)&gt;1,WEEKDAY(A629)&lt;7),"Wkd",TEXT(A629,"Ddd"))&amp;"-"&amp;TEXT(A629,"hh"),LoadTable[],3,FALSE)*0.92</f>
        <v>279.25312000000002</v>
      </c>
      <c r="U629" s="113">
        <f t="shared" si="617"/>
        <v>27.925312000000002</v>
      </c>
    </row>
    <row r="630" spans="1:21" ht="15" thickBot="1">
      <c r="A630" s="29">
        <f t="shared" si="655"/>
        <v>45862.125000000458</v>
      </c>
      <c r="B630" s="187">
        <f t="shared" ref="B630:L630" si="668">B654</f>
        <v>5000</v>
      </c>
      <c r="C630" s="187">
        <f t="shared" si="668"/>
        <v>25000</v>
      </c>
      <c r="D630" s="187">
        <v>0</v>
      </c>
      <c r="E630" s="187">
        <v>700</v>
      </c>
      <c r="F630" s="187">
        <v>15000</v>
      </c>
      <c r="G630" s="187">
        <f t="shared" si="668"/>
        <v>2400</v>
      </c>
      <c r="H630" s="187">
        <f t="shared" si="668"/>
        <v>25000</v>
      </c>
      <c r="I630" s="187">
        <f t="shared" si="668"/>
        <v>5000</v>
      </c>
      <c r="J630" s="187">
        <v>40000</v>
      </c>
      <c r="K630" s="187">
        <f t="shared" si="668"/>
        <v>5000</v>
      </c>
      <c r="L630" s="187">
        <v>40000</v>
      </c>
      <c r="M630" s="110">
        <v>9.5</v>
      </c>
      <c r="N630" s="110">
        <f>VLOOKUP(DATE(YEAR(A630),MONTH(A630),DAY(A630)),FY24_Temp[],3,FALSE)</f>
        <v>12.8</v>
      </c>
      <c r="O630" s="110">
        <f t="shared" si="615"/>
        <v>11.5</v>
      </c>
      <c r="P630" s="110">
        <f t="shared" si="616"/>
        <v>19.5</v>
      </c>
      <c r="Q630" s="111">
        <f>VLOOKUP(VLOOKUP(DATEVALUE(TEXT(A630,"m/d/yyyy")),FY24_Temp[],5,FALSE)&amp;TEXT(A630,"-h"),TempDelta[],4,FALSE)</f>
        <v>3.0428571701049805</v>
      </c>
      <c r="R630" s="112">
        <v>10</v>
      </c>
      <c r="S630" s="112">
        <v>1500</v>
      </c>
      <c r="T630" s="99">
        <f>VLOOKUP(TEXT(A630,"yy-mm")&amp;"-"&amp;IF(AND(WEEKDAY(A630)&gt;1,WEEKDAY(A630)&lt;7),"Wkd",TEXT(A630,"Ddd"))&amp;"-"&amp;TEXT(A630,"hh"),LoadTable[],3,FALSE)*0.92</f>
        <v>279.25312000000002</v>
      </c>
      <c r="U630" s="113">
        <f t="shared" si="617"/>
        <v>27.925312000000002</v>
      </c>
    </row>
    <row r="631" spans="1:21" ht="15" thickBot="1">
      <c r="A631" s="29">
        <f t="shared" si="655"/>
        <v>45862.166666667123</v>
      </c>
      <c r="B631" s="187">
        <f t="shared" ref="B631:L631" si="669">B655</f>
        <v>5000</v>
      </c>
      <c r="C631" s="187">
        <f t="shared" si="669"/>
        <v>25000</v>
      </c>
      <c r="D631" s="187">
        <v>0</v>
      </c>
      <c r="E631" s="187">
        <v>700</v>
      </c>
      <c r="F631" s="187">
        <v>15000</v>
      </c>
      <c r="G631" s="187">
        <f t="shared" si="669"/>
        <v>2400</v>
      </c>
      <c r="H631" s="187">
        <f t="shared" si="669"/>
        <v>25000</v>
      </c>
      <c r="I631" s="187">
        <f t="shared" si="669"/>
        <v>5000</v>
      </c>
      <c r="J631" s="187">
        <v>40000</v>
      </c>
      <c r="K631" s="187">
        <f t="shared" si="669"/>
        <v>5000</v>
      </c>
      <c r="L631" s="187">
        <v>40000</v>
      </c>
      <c r="M631" s="110">
        <v>9.5</v>
      </c>
      <c r="N631" s="110">
        <f>VLOOKUP(DATE(YEAR(A631),MONTH(A631),DAY(A631)),FY24_Temp[],3,FALSE)</f>
        <v>12.8</v>
      </c>
      <c r="O631" s="110">
        <f t="shared" si="615"/>
        <v>11.5</v>
      </c>
      <c r="P631" s="110">
        <f t="shared" si="616"/>
        <v>19.5</v>
      </c>
      <c r="Q631" s="111">
        <f>VLOOKUP(VLOOKUP(DATEVALUE(TEXT(A631,"m/d/yyyy")),FY24_Temp[],5,FALSE)&amp;TEXT(A631,"-h"),TempDelta[],4,FALSE)</f>
        <v>2.9580000468662808</v>
      </c>
      <c r="R631" s="112">
        <v>10</v>
      </c>
      <c r="S631" s="112">
        <v>1500</v>
      </c>
      <c r="T631" s="99">
        <f>VLOOKUP(TEXT(A631,"yy-mm")&amp;"-"&amp;IF(AND(WEEKDAY(A631)&gt;1,WEEKDAY(A631)&lt;7),"Wkd",TEXT(A631,"Ddd"))&amp;"-"&amp;TEXT(A631,"hh"),LoadTable[],3,FALSE)*0.92</f>
        <v>279.25312000000002</v>
      </c>
      <c r="U631" s="113">
        <f t="shared" si="617"/>
        <v>27.925312000000002</v>
      </c>
    </row>
    <row r="632" spans="1:21" ht="15" thickBot="1">
      <c r="A632" s="29">
        <f t="shared" si="655"/>
        <v>45862.208333333787</v>
      </c>
      <c r="B632" s="187">
        <f t="shared" ref="B632:L632" si="670">B656</f>
        <v>5000</v>
      </c>
      <c r="C632" s="187">
        <f t="shared" si="670"/>
        <v>25000</v>
      </c>
      <c r="D632" s="187">
        <v>0</v>
      </c>
      <c r="E632" s="187">
        <v>700</v>
      </c>
      <c r="F632" s="187">
        <v>15000</v>
      </c>
      <c r="G632" s="187">
        <f t="shared" si="670"/>
        <v>2400</v>
      </c>
      <c r="H632" s="187">
        <f t="shared" si="670"/>
        <v>25000</v>
      </c>
      <c r="I632" s="187">
        <f t="shared" si="670"/>
        <v>5000</v>
      </c>
      <c r="J632" s="187">
        <v>40000</v>
      </c>
      <c r="K632" s="187">
        <f t="shared" si="670"/>
        <v>5000</v>
      </c>
      <c r="L632" s="187">
        <v>40000</v>
      </c>
      <c r="M632" s="110">
        <v>9.5</v>
      </c>
      <c r="N632" s="110">
        <f>VLOOKUP(DATE(YEAR(A632),MONTH(A632),DAY(A632)),FY24_Temp[],3,FALSE)</f>
        <v>12.8</v>
      </c>
      <c r="O632" s="110">
        <f t="shared" si="615"/>
        <v>11.5</v>
      </c>
      <c r="P632" s="110">
        <f t="shared" si="616"/>
        <v>19.5</v>
      </c>
      <c r="Q632" s="111">
        <f>VLOOKUP(VLOOKUP(DATEVALUE(TEXT(A632,"m/d/yyyy")),FY24_Temp[],5,FALSE)&amp;TEXT(A632,"-h"),TempDelta[],4,FALSE)</f>
        <v>2.8608571801866804</v>
      </c>
      <c r="R632" s="112">
        <v>10</v>
      </c>
      <c r="S632" s="112">
        <v>1500</v>
      </c>
      <c r="T632" s="99">
        <f>VLOOKUP(TEXT(A632,"yy-mm")&amp;"-"&amp;IF(AND(WEEKDAY(A632)&gt;1,WEEKDAY(A632)&lt;7),"Wkd",TEXT(A632,"Ddd"))&amp;"-"&amp;TEXT(A632,"hh"),LoadTable[],3,FALSE)*0.92</f>
        <v>279.25312000000002</v>
      </c>
      <c r="U632" s="113">
        <f t="shared" si="617"/>
        <v>27.925312000000002</v>
      </c>
    </row>
    <row r="633" spans="1:21" ht="15" thickBot="1">
      <c r="A633" s="29">
        <f t="shared" si="655"/>
        <v>45862.250000000451</v>
      </c>
      <c r="B633" s="187">
        <f t="shared" ref="B633:L633" si="671">B657</f>
        <v>8000</v>
      </c>
      <c r="C633" s="187">
        <f t="shared" si="671"/>
        <v>25000</v>
      </c>
      <c r="D633" s="187">
        <v>0</v>
      </c>
      <c r="E633" s="187">
        <v>700</v>
      </c>
      <c r="F633" s="187">
        <v>15000</v>
      </c>
      <c r="G633" s="187">
        <f t="shared" si="671"/>
        <v>2400</v>
      </c>
      <c r="H633" s="187">
        <f t="shared" si="671"/>
        <v>25000</v>
      </c>
      <c r="I633" s="187">
        <f t="shared" si="671"/>
        <v>8000</v>
      </c>
      <c r="J633" s="187">
        <v>40000</v>
      </c>
      <c r="K633" s="187">
        <f t="shared" si="671"/>
        <v>8000</v>
      </c>
      <c r="L633" s="187">
        <v>40000</v>
      </c>
      <c r="M633" s="110">
        <v>9.5</v>
      </c>
      <c r="N633" s="110">
        <f>VLOOKUP(DATE(YEAR(A633),MONTH(A633),DAY(A633)),FY24_Temp[],3,FALSE)</f>
        <v>12.8</v>
      </c>
      <c r="O633" s="110">
        <f t="shared" si="615"/>
        <v>11.5</v>
      </c>
      <c r="P633" s="110">
        <f t="shared" si="616"/>
        <v>19.5</v>
      </c>
      <c r="Q633" s="111">
        <f>VLOOKUP(VLOOKUP(DATEVALUE(TEXT(A633,"m/d/yyyy")),FY24_Temp[],5,FALSE)&amp;TEXT(A633,"-h"),TempDelta[],4,FALSE)</f>
        <v>2.7405714307512556</v>
      </c>
      <c r="R633" s="112">
        <v>10</v>
      </c>
      <c r="S633" s="112">
        <v>1500</v>
      </c>
      <c r="T633" s="99">
        <f>VLOOKUP(TEXT(A633,"yy-mm")&amp;"-"&amp;IF(AND(WEEKDAY(A633)&gt;1,WEEKDAY(A633)&lt;7),"Wkd",TEXT(A633,"Ddd"))&amp;"-"&amp;TEXT(A633,"hh"),LoadTable[],3,FALSE)*0.92</f>
        <v>279.25312000000002</v>
      </c>
      <c r="U633" s="113">
        <f t="shared" si="617"/>
        <v>27.925312000000002</v>
      </c>
    </row>
    <row r="634" spans="1:21" ht="15" thickBot="1">
      <c r="A634" s="29">
        <f t="shared" si="655"/>
        <v>45862.291666667115</v>
      </c>
      <c r="B634" s="187">
        <f t="shared" ref="B634:L634" si="672">B658</f>
        <v>8000</v>
      </c>
      <c r="C634" s="187">
        <f t="shared" si="672"/>
        <v>25000</v>
      </c>
      <c r="D634" s="187">
        <v>0</v>
      </c>
      <c r="E634" s="187">
        <v>700</v>
      </c>
      <c r="F634" s="187">
        <v>15000</v>
      </c>
      <c r="G634" s="187">
        <f t="shared" si="672"/>
        <v>2400</v>
      </c>
      <c r="H634" s="187">
        <f t="shared" si="672"/>
        <v>25000</v>
      </c>
      <c r="I634" s="187">
        <f t="shared" si="672"/>
        <v>8000</v>
      </c>
      <c r="J634" s="187">
        <v>40000</v>
      </c>
      <c r="K634" s="187">
        <f t="shared" si="672"/>
        <v>8000</v>
      </c>
      <c r="L634" s="187">
        <v>40000</v>
      </c>
      <c r="M634" s="110">
        <v>9.5</v>
      </c>
      <c r="N634" s="110">
        <f>VLOOKUP(DATE(YEAR(A634),MONTH(A634),DAY(A634)),FY24_Temp[],3,FALSE)</f>
        <v>12.8</v>
      </c>
      <c r="O634" s="110">
        <f t="shared" si="615"/>
        <v>11.5</v>
      </c>
      <c r="P634" s="110">
        <f t="shared" si="616"/>
        <v>19.5</v>
      </c>
      <c r="Q634" s="111">
        <f>VLOOKUP(VLOOKUP(DATEVALUE(TEXT(A634,"m/d/yyyy")),FY24_Temp[],5,FALSE)&amp;TEXT(A634,"-h"),TempDelta[],4,FALSE)</f>
        <v>2.6134285245622908</v>
      </c>
      <c r="R634" s="112">
        <v>10</v>
      </c>
      <c r="S634" s="112">
        <v>1500</v>
      </c>
      <c r="T634" s="99">
        <f>VLOOKUP(TEXT(A634,"yy-mm")&amp;"-"&amp;IF(AND(WEEKDAY(A634)&gt;1,WEEKDAY(A634)&lt;7),"Wkd",TEXT(A634,"Ddd"))&amp;"-"&amp;TEXT(A634,"hh"),LoadTable[],3,FALSE)*0.92</f>
        <v>279.25312000000002</v>
      </c>
      <c r="U634" s="113">
        <f t="shared" si="617"/>
        <v>27.925312000000002</v>
      </c>
    </row>
    <row r="635" spans="1:21" ht="15" thickBot="1">
      <c r="A635" s="29">
        <f t="shared" si="655"/>
        <v>45862.33333333378</v>
      </c>
      <c r="B635" s="187">
        <f t="shared" ref="B635:L635" si="673">B659</f>
        <v>8000</v>
      </c>
      <c r="C635" s="187">
        <f t="shared" si="673"/>
        <v>25000</v>
      </c>
      <c r="D635" s="187">
        <v>0</v>
      </c>
      <c r="E635" s="187">
        <v>700</v>
      </c>
      <c r="F635" s="187">
        <v>15000</v>
      </c>
      <c r="G635" s="187">
        <f t="shared" si="673"/>
        <v>2400</v>
      </c>
      <c r="H635" s="187">
        <f t="shared" si="673"/>
        <v>25000</v>
      </c>
      <c r="I635" s="187">
        <f t="shared" si="673"/>
        <v>8000</v>
      </c>
      <c r="J635" s="187">
        <v>40000</v>
      </c>
      <c r="K635" s="187">
        <f t="shared" si="673"/>
        <v>8000</v>
      </c>
      <c r="L635" s="187">
        <v>40000</v>
      </c>
      <c r="M635" s="110">
        <v>9.5</v>
      </c>
      <c r="N635" s="110">
        <f>VLOOKUP(DATE(YEAR(A635),MONTH(A635),DAY(A635)),FY24_Temp[],3,FALSE)</f>
        <v>12.8</v>
      </c>
      <c r="O635" s="110">
        <f t="shared" si="615"/>
        <v>11.5</v>
      </c>
      <c r="P635" s="110">
        <f t="shared" si="616"/>
        <v>19.5</v>
      </c>
      <c r="Q635" s="111">
        <f>VLOOKUP(VLOOKUP(DATEVALUE(TEXT(A635,"m/d/yyyy")),FY24_Temp[],5,FALSE)&amp;TEXT(A635,"-h"),TempDelta[],4,FALSE)</f>
        <v>2.44985716683524</v>
      </c>
      <c r="R635" s="112">
        <v>10</v>
      </c>
      <c r="S635" s="112">
        <v>1500</v>
      </c>
      <c r="T635" s="99">
        <f>VLOOKUP(TEXT(A635,"yy-mm")&amp;"-"&amp;IF(AND(WEEKDAY(A635)&gt;1,WEEKDAY(A635)&lt;7),"Wkd",TEXT(A635,"Ddd"))&amp;"-"&amp;TEXT(A635,"hh"),LoadTable[],3,FALSE)*0.92</f>
        <v>279.25312000000002</v>
      </c>
      <c r="U635" s="113">
        <f t="shared" si="617"/>
        <v>27.925312000000002</v>
      </c>
    </row>
    <row r="636" spans="1:21" ht="15" thickBot="1">
      <c r="A636" s="29">
        <f t="shared" si="655"/>
        <v>45862.375000000444</v>
      </c>
      <c r="B636" s="187">
        <f t="shared" ref="B636:L636" si="674">B660</f>
        <v>8000</v>
      </c>
      <c r="C636" s="187">
        <f t="shared" si="674"/>
        <v>25000</v>
      </c>
      <c r="D636" s="187">
        <v>0</v>
      </c>
      <c r="E636" s="187">
        <v>700</v>
      </c>
      <c r="F636" s="187">
        <v>15000</v>
      </c>
      <c r="G636" s="187">
        <f t="shared" si="674"/>
        <v>2400</v>
      </c>
      <c r="H636" s="187">
        <f t="shared" si="674"/>
        <v>25000</v>
      </c>
      <c r="I636" s="187">
        <f t="shared" si="674"/>
        <v>8000</v>
      </c>
      <c r="J636" s="187">
        <v>40000</v>
      </c>
      <c r="K636" s="187">
        <f t="shared" si="674"/>
        <v>8000</v>
      </c>
      <c r="L636" s="187">
        <v>40000</v>
      </c>
      <c r="M636" s="110">
        <v>9.5</v>
      </c>
      <c r="N636" s="110">
        <f>VLOOKUP(DATE(YEAR(A636),MONTH(A636),DAY(A636)),FY24_Temp[],3,FALSE)</f>
        <v>12.8</v>
      </c>
      <c r="O636" s="110">
        <f t="shared" si="615"/>
        <v>11.5</v>
      </c>
      <c r="P636" s="110">
        <f t="shared" si="616"/>
        <v>19.5</v>
      </c>
      <c r="Q636" s="111">
        <f>VLOOKUP(VLOOKUP(DATEVALUE(TEXT(A636,"m/d/yyyy")),FY24_Temp[],5,FALSE)&amp;TEXT(A636,"-h"),TempDelta[],4,FALSE)</f>
        <v>2.2458571025303433</v>
      </c>
      <c r="R636" s="112">
        <v>10</v>
      </c>
      <c r="S636" s="112">
        <v>1500</v>
      </c>
      <c r="T636" s="99">
        <f>VLOOKUP(TEXT(A636,"yy-mm")&amp;"-"&amp;IF(AND(WEEKDAY(A636)&gt;1,WEEKDAY(A636)&lt;7),"Wkd",TEXT(A636,"Ddd"))&amp;"-"&amp;TEXT(A636,"hh"),LoadTable[],3,FALSE)*0.92</f>
        <v>279.25312000000002</v>
      </c>
      <c r="U636" s="113">
        <f t="shared" si="617"/>
        <v>27.925312000000002</v>
      </c>
    </row>
    <row r="637" spans="1:21" ht="15" thickBot="1">
      <c r="A637" s="29">
        <f t="shared" si="655"/>
        <v>45862.416666667108</v>
      </c>
      <c r="B637" s="187">
        <f t="shared" ref="B637:L637" si="675">B661</f>
        <v>8000</v>
      </c>
      <c r="C637" s="187">
        <f t="shared" si="675"/>
        <v>25000</v>
      </c>
      <c r="D637" s="187">
        <v>0</v>
      </c>
      <c r="E637" s="187">
        <v>700</v>
      </c>
      <c r="F637" s="187">
        <v>15000</v>
      </c>
      <c r="G637" s="187">
        <f t="shared" si="675"/>
        <v>2400</v>
      </c>
      <c r="H637" s="187">
        <f t="shared" si="675"/>
        <v>25000</v>
      </c>
      <c r="I637" s="187">
        <f t="shared" si="675"/>
        <v>8000</v>
      </c>
      <c r="J637" s="187">
        <v>40000</v>
      </c>
      <c r="K637" s="187">
        <f t="shared" si="675"/>
        <v>8000</v>
      </c>
      <c r="L637" s="187">
        <v>40000</v>
      </c>
      <c r="M637" s="110">
        <v>9.5</v>
      </c>
      <c r="N637" s="110">
        <f>VLOOKUP(DATE(YEAR(A637),MONTH(A637),DAY(A637)),FY24_Temp[],3,FALSE)</f>
        <v>12.8</v>
      </c>
      <c r="O637" s="110">
        <f t="shared" si="615"/>
        <v>11.5</v>
      </c>
      <c r="P637" s="110">
        <f t="shared" si="616"/>
        <v>19.5</v>
      </c>
      <c r="Q637" s="111">
        <f>VLOOKUP(VLOOKUP(DATEVALUE(TEXT(A637,"m/d/yyyy")),FY24_Temp[],5,FALSE)&amp;TEXT(A637,"-h"),TempDelta[],4,FALSE)</f>
        <v>2.0832857234137401</v>
      </c>
      <c r="R637" s="112">
        <v>10</v>
      </c>
      <c r="S637" s="112">
        <v>1500</v>
      </c>
      <c r="T637" s="99">
        <f>VLOOKUP(TEXT(A637,"yy-mm")&amp;"-"&amp;IF(AND(WEEKDAY(A637)&gt;1,WEEKDAY(A637)&lt;7),"Wkd",TEXT(A637,"Ddd"))&amp;"-"&amp;TEXT(A637,"hh"),LoadTable[],3,FALSE)*0.92</f>
        <v>279.25312000000002</v>
      </c>
      <c r="U637" s="113">
        <f t="shared" si="617"/>
        <v>27.925312000000002</v>
      </c>
    </row>
    <row r="638" spans="1:21" ht="15" thickBot="1">
      <c r="A638" s="29">
        <f t="shared" si="655"/>
        <v>45862.458333333772</v>
      </c>
      <c r="B638" s="187">
        <f t="shared" ref="B638:L638" si="676">B662</f>
        <v>8000</v>
      </c>
      <c r="C638" s="187">
        <f t="shared" si="676"/>
        <v>25000</v>
      </c>
      <c r="D638" s="187">
        <v>0</v>
      </c>
      <c r="E638" s="187">
        <v>700</v>
      </c>
      <c r="F638" s="187">
        <v>15000</v>
      </c>
      <c r="G638" s="187">
        <f t="shared" si="676"/>
        <v>2400</v>
      </c>
      <c r="H638" s="187">
        <f t="shared" si="676"/>
        <v>25000</v>
      </c>
      <c r="I638" s="187">
        <f t="shared" si="676"/>
        <v>8000</v>
      </c>
      <c r="J638" s="187">
        <v>40000</v>
      </c>
      <c r="K638" s="187">
        <f t="shared" si="676"/>
        <v>8000</v>
      </c>
      <c r="L638" s="187">
        <v>40000</v>
      </c>
      <c r="M638" s="110">
        <v>9.5</v>
      </c>
      <c r="N638" s="110">
        <f>VLOOKUP(DATE(YEAR(A638),MONTH(A638),DAY(A638)),FY24_Temp[],3,FALSE)</f>
        <v>12.8</v>
      </c>
      <c r="O638" s="110">
        <f t="shared" si="615"/>
        <v>11.5</v>
      </c>
      <c r="P638" s="110">
        <f t="shared" si="616"/>
        <v>19.5</v>
      </c>
      <c r="Q638" s="111">
        <f>VLOOKUP(VLOOKUP(DATEVALUE(TEXT(A638,"m/d/yyyy")),FY24_Temp[],5,FALSE)&amp;TEXT(A638,"-h"),TempDelta[],4,FALSE)</f>
        <v>1.8928571258272444</v>
      </c>
      <c r="R638" s="112">
        <v>10</v>
      </c>
      <c r="S638" s="112">
        <v>1500</v>
      </c>
      <c r="T638" s="99">
        <f>VLOOKUP(TEXT(A638,"yy-mm")&amp;"-"&amp;IF(AND(WEEKDAY(A638)&gt;1,WEEKDAY(A638)&lt;7),"Wkd",TEXT(A638,"Ddd"))&amp;"-"&amp;TEXT(A638,"hh"),LoadTable[],3,FALSE)*0.92</f>
        <v>279.25312000000002</v>
      </c>
      <c r="U638" s="113">
        <f t="shared" si="617"/>
        <v>27.925312000000002</v>
      </c>
    </row>
    <row r="639" spans="1:21" ht="15" thickBot="1">
      <c r="A639" s="29">
        <f t="shared" si="655"/>
        <v>45862.500000000437</v>
      </c>
      <c r="B639" s="187">
        <f t="shared" ref="B639:L639" si="677">B663</f>
        <v>8000</v>
      </c>
      <c r="C639" s="187">
        <f t="shared" si="677"/>
        <v>25000</v>
      </c>
      <c r="D639" s="187">
        <v>0</v>
      </c>
      <c r="E639" s="187">
        <v>700</v>
      </c>
      <c r="F639" s="187">
        <v>15000</v>
      </c>
      <c r="G639" s="187">
        <f t="shared" si="677"/>
        <v>2400</v>
      </c>
      <c r="H639" s="187">
        <f t="shared" si="677"/>
        <v>25000</v>
      </c>
      <c r="I639" s="187">
        <f t="shared" si="677"/>
        <v>8000</v>
      </c>
      <c r="J639" s="187">
        <v>40000</v>
      </c>
      <c r="K639" s="187">
        <f t="shared" si="677"/>
        <v>8000</v>
      </c>
      <c r="L639" s="187">
        <v>40000</v>
      </c>
      <c r="M639" s="110">
        <v>9.5</v>
      </c>
      <c r="N639" s="110">
        <f>VLOOKUP(DATE(YEAR(A639),MONTH(A639),DAY(A639)),FY24_Temp[],3,FALSE)</f>
        <v>12.8</v>
      </c>
      <c r="O639" s="110">
        <f t="shared" si="615"/>
        <v>11.5</v>
      </c>
      <c r="P639" s="110">
        <f t="shared" si="616"/>
        <v>19.5</v>
      </c>
      <c r="Q639" s="111">
        <f>VLOOKUP(VLOOKUP(DATEVALUE(TEXT(A639,"m/d/yyyy")),FY24_Temp[],5,FALSE)&amp;TEXT(A639,"-h"),TempDelta[],4,FALSE)</f>
        <v>1.665857127734593</v>
      </c>
      <c r="R639" s="112">
        <v>10</v>
      </c>
      <c r="S639" s="112">
        <v>1500</v>
      </c>
      <c r="T639" s="99">
        <f>VLOOKUP(TEXT(A639,"yy-mm")&amp;"-"&amp;IF(AND(WEEKDAY(A639)&gt;1,WEEKDAY(A639)&lt;7),"Wkd",TEXT(A639,"Ddd"))&amp;"-"&amp;TEXT(A639,"hh"),LoadTable[],3,FALSE)*0.92</f>
        <v>279.25312000000002</v>
      </c>
      <c r="U639" s="113">
        <f t="shared" si="617"/>
        <v>27.925312000000002</v>
      </c>
    </row>
    <row r="640" spans="1:21" ht="15" thickBot="1">
      <c r="A640" s="29">
        <f t="shared" si="655"/>
        <v>45862.541666667101</v>
      </c>
      <c r="B640" s="187">
        <f t="shared" ref="B640:L640" si="678">B664</f>
        <v>8000</v>
      </c>
      <c r="C640" s="187">
        <f t="shared" si="678"/>
        <v>25000</v>
      </c>
      <c r="D640" s="187">
        <v>0</v>
      </c>
      <c r="E640" s="187">
        <v>700</v>
      </c>
      <c r="F640" s="187">
        <v>15000</v>
      </c>
      <c r="G640" s="187">
        <f t="shared" si="678"/>
        <v>2400</v>
      </c>
      <c r="H640" s="187">
        <f t="shared" si="678"/>
        <v>25000</v>
      </c>
      <c r="I640" s="187">
        <f t="shared" si="678"/>
        <v>8000</v>
      </c>
      <c r="J640" s="187">
        <v>40000</v>
      </c>
      <c r="K640" s="187">
        <f t="shared" si="678"/>
        <v>8000</v>
      </c>
      <c r="L640" s="187">
        <v>40000</v>
      </c>
      <c r="M640" s="110">
        <v>9.5</v>
      </c>
      <c r="N640" s="110">
        <f>VLOOKUP(DATE(YEAR(A640),MONTH(A640),DAY(A640)),FY24_Temp[],3,FALSE)</f>
        <v>12.8</v>
      </c>
      <c r="O640" s="110">
        <f t="shared" si="615"/>
        <v>11.5</v>
      </c>
      <c r="P640" s="110">
        <f t="shared" si="616"/>
        <v>19.5</v>
      </c>
      <c r="Q640" s="111">
        <f>VLOOKUP(VLOOKUP(DATEVALUE(TEXT(A640,"m/d/yyyy")),FY24_Temp[],5,FALSE)&amp;TEXT(A640,"-h"),TempDelta[],4,FALSE)</f>
        <v>1.4252856969833374</v>
      </c>
      <c r="R640" s="112">
        <v>10</v>
      </c>
      <c r="S640" s="112">
        <v>1500</v>
      </c>
      <c r="T640" s="99">
        <f>VLOOKUP(TEXT(A640,"yy-mm")&amp;"-"&amp;IF(AND(WEEKDAY(A640)&gt;1,WEEKDAY(A640)&lt;7),"Wkd",TEXT(A640,"Ddd"))&amp;"-"&amp;TEXT(A640,"hh"),LoadTable[],3,FALSE)*0.92</f>
        <v>279.25312000000002</v>
      </c>
      <c r="U640" s="113">
        <f t="shared" si="617"/>
        <v>27.925312000000002</v>
      </c>
    </row>
    <row r="641" spans="1:21" ht="15" thickBot="1">
      <c r="A641" s="29">
        <f t="shared" si="655"/>
        <v>45862.583333333765</v>
      </c>
      <c r="B641" s="187">
        <f t="shared" ref="B641:L641" si="679">B665</f>
        <v>8000</v>
      </c>
      <c r="C641" s="187">
        <f t="shared" si="679"/>
        <v>25000</v>
      </c>
      <c r="D641" s="187">
        <v>0</v>
      </c>
      <c r="E641" s="187">
        <v>700</v>
      </c>
      <c r="F641" s="187">
        <v>15000</v>
      </c>
      <c r="G641" s="187">
        <f t="shared" si="679"/>
        <v>2400</v>
      </c>
      <c r="H641" s="187">
        <f t="shared" si="679"/>
        <v>25000</v>
      </c>
      <c r="I641" s="187">
        <f t="shared" si="679"/>
        <v>8000</v>
      </c>
      <c r="J641" s="187">
        <v>40000</v>
      </c>
      <c r="K641" s="187">
        <f t="shared" si="679"/>
        <v>8000</v>
      </c>
      <c r="L641" s="187">
        <v>40000</v>
      </c>
      <c r="M641" s="110">
        <v>9.5</v>
      </c>
      <c r="N641" s="110">
        <f>VLOOKUP(DATE(YEAR(A641),MONTH(A641),DAY(A641)),FY24_Temp[],3,FALSE)</f>
        <v>12.8</v>
      </c>
      <c r="O641" s="110">
        <f t="shared" si="615"/>
        <v>11.5</v>
      </c>
      <c r="P641" s="110">
        <f t="shared" si="616"/>
        <v>19.5</v>
      </c>
      <c r="Q641" s="111">
        <f>VLOOKUP(VLOOKUP(DATEVALUE(TEXT(A641,"m/d/yyyy")),FY24_Temp[],5,FALSE)&amp;TEXT(A641,"-h"),TempDelta[],4,FALSE)</f>
        <v>1.2351428781236922</v>
      </c>
      <c r="R641" s="112">
        <v>10</v>
      </c>
      <c r="S641" s="112">
        <v>1500</v>
      </c>
      <c r="T641" s="99">
        <f>VLOOKUP(TEXT(A641,"yy-mm")&amp;"-"&amp;IF(AND(WEEKDAY(A641)&gt;1,WEEKDAY(A641)&lt;7),"Wkd",TEXT(A641,"Ddd"))&amp;"-"&amp;TEXT(A641,"hh"),LoadTable[],3,FALSE)*0.92</f>
        <v>373.26607999999999</v>
      </c>
      <c r="U641" s="113">
        <f t="shared" si="617"/>
        <v>37.326608</v>
      </c>
    </row>
    <row r="642" spans="1:21" ht="15" thickBot="1">
      <c r="A642" s="29">
        <f t="shared" si="655"/>
        <v>45862.625000000429</v>
      </c>
      <c r="B642" s="187">
        <f t="shared" ref="B642:L642" si="680">B666</f>
        <v>8000</v>
      </c>
      <c r="C642" s="187">
        <f t="shared" si="680"/>
        <v>25000</v>
      </c>
      <c r="D642" s="187">
        <v>0</v>
      </c>
      <c r="E642" s="187">
        <v>700</v>
      </c>
      <c r="F642" s="187">
        <v>15000</v>
      </c>
      <c r="G642" s="187">
        <f t="shared" si="680"/>
        <v>2400</v>
      </c>
      <c r="H642" s="187">
        <f t="shared" si="680"/>
        <v>25000</v>
      </c>
      <c r="I642" s="187">
        <f t="shared" si="680"/>
        <v>8000</v>
      </c>
      <c r="J642" s="187">
        <v>40000</v>
      </c>
      <c r="K642" s="187">
        <f t="shared" si="680"/>
        <v>8000</v>
      </c>
      <c r="L642" s="187">
        <v>40000</v>
      </c>
      <c r="M642" s="110">
        <v>9.5</v>
      </c>
      <c r="N642" s="110">
        <f>VLOOKUP(DATE(YEAR(A642),MONTH(A642),DAY(A642)),FY24_Temp[],3,FALSE)</f>
        <v>12.8</v>
      </c>
      <c r="O642" s="110">
        <f t="shared" si="615"/>
        <v>11.5</v>
      </c>
      <c r="P642" s="110">
        <f t="shared" si="616"/>
        <v>19.5</v>
      </c>
      <c r="Q642" s="111">
        <f>VLOOKUP(VLOOKUP(DATEVALUE(TEXT(A642,"m/d/yyyy")),FY24_Temp[],5,FALSE)&amp;TEXT(A642,"-h"),TempDelta[],4,FALSE)</f>
        <v>0.97514284508568905</v>
      </c>
      <c r="R642" s="112">
        <v>10</v>
      </c>
      <c r="S642" s="112">
        <v>1500</v>
      </c>
      <c r="T642" s="99">
        <f>VLOOKUP(TEXT(A642,"yy-mm")&amp;"-"&amp;IF(AND(WEEKDAY(A642)&gt;1,WEEKDAY(A642)&lt;7),"Wkd",TEXT(A642,"Ddd"))&amp;"-"&amp;TEXT(A642,"hh"),LoadTable[],3,FALSE)*0.92</f>
        <v>494.57360000000006</v>
      </c>
      <c r="U642" s="113">
        <f t="shared" si="617"/>
        <v>49.457360000000008</v>
      </c>
    </row>
    <row r="643" spans="1:21" ht="15" thickBot="1">
      <c r="A643" s="29">
        <f t="shared" si="655"/>
        <v>45862.666666667094</v>
      </c>
      <c r="B643" s="187">
        <f t="shared" ref="B643:L643" si="681">B667</f>
        <v>8000</v>
      </c>
      <c r="C643" s="187">
        <f t="shared" si="681"/>
        <v>25000</v>
      </c>
      <c r="D643" s="187">
        <v>0</v>
      </c>
      <c r="E643" s="187">
        <v>700</v>
      </c>
      <c r="F643" s="187">
        <v>15000</v>
      </c>
      <c r="G643" s="187">
        <f t="shared" si="681"/>
        <v>2400</v>
      </c>
      <c r="H643" s="187">
        <f t="shared" si="681"/>
        <v>25000</v>
      </c>
      <c r="I643" s="187">
        <f t="shared" si="681"/>
        <v>8000</v>
      </c>
      <c r="J643" s="187">
        <v>40000</v>
      </c>
      <c r="K643" s="187">
        <f t="shared" si="681"/>
        <v>8000</v>
      </c>
      <c r="L643" s="187">
        <v>40000</v>
      </c>
      <c r="M643" s="110">
        <v>9.5</v>
      </c>
      <c r="N643" s="110">
        <f>VLOOKUP(DATE(YEAR(A643),MONTH(A643),DAY(A643)),FY24_Temp[],3,FALSE)</f>
        <v>12.8</v>
      </c>
      <c r="O643" s="110">
        <f t="shared" si="615"/>
        <v>11.5</v>
      </c>
      <c r="P643" s="110">
        <f t="shared" si="616"/>
        <v>19.5</v>
      </c>
      <c r="Q643" s="111">
        <f>VLOOKUP(VLOOKUP(DATEVALUE(TEXT(A643,"m/d/yyyy")),FY24_Temp[],5,FALSE)&amp;TEXT(A643,"-h"),TempDelta[],4,FALSE)</f>
        <v>0.88578571166310993</v>
      </c>
      <c r="R643" s="112">
        <v>10</v>
      </c>
      <c r="S643" s="112">
        <v>1500</v>
      </c>
      <c r="T643" s="99">
        <f>VLOOKUP(TEXT(A643,"yy-mm")&amp;"-"&amp;IF(AND(WEEKDAY(A643)&gt;1,WEEKDAY(A643)&lt;7),"Wkd",TEXT(A643,"Ddd"))&amp;"-"&amp;TEXT(A643,"hh"),LoadTable[],3,FALSE)*0.92</f>
        <v>494.57360000000006</v>
      </c>
      <c r="U643" s="113">
        <f t="shared" si="617"/>
        <v>49.457360000000008</v>
      </c>
    </row>
    <row r="644" spans="1:21" ht="15" thickBot="1">
      <c r="A644" s="29">
        <f t="shared" si="655"/>
        <v>45862.708333333758</v>
      </c>
      <c r="B644" s="187">
        <f t="shared" ref="B644:L644" si="682">B668</f>
        <v>8000</v>
      </c>
      <c r="C644" s="187">
        <f t="shared" si="682"/>
        <v>25000</v>
      </c>
      <c r="D644" s="187">
        <v>0</v>
      </c>
      <c r="E644" s="187">
        <v>700</v>
      </c>
      <c r="F644" s="187">
        <v>15000</v>
      </c>
      <c r="G644" s="187">
        <f t="shared" si="682"/>
        <v>2400</v>
      </c>
      <c r="H644" s="187">
        <f t="shared" si="682"/>
        <v>25000</v>
      </c>
      <c r="I644" s="187">
        <f t="shared" si="682"/>
        <v>8000</v>
      </c>
      <c r="J644" s="187">
        <v>40000</v>
      </c>
      <c r="K644" s="187">
        <f t="shared" si="682"/>
        <v>8000</v>
      </c>
      <c r="L644" s="187">
        <v>40000</v>
      </c>
      <c r="M644" s="110">
        <v>9.5</v>
      </c>
      <c r="N644" s="110">
        <f>VLOOKUP(DATE(YEAR(A644),MONTH(A644),DAY(A644)),FY24_Temp[],3,FALSE)</f>
        <v>12.8</v>
      </c>
      <c r="O644" s="110">
        <f t="shared" ref="O644:O707" si="683">15.5-4</f>
        <v>11.5</v>
      </c>
      <c r="P644" s="110">
        <f t="shared" ref="P644:P707" si="684">15.5+4</f>
        <v>19.5</v>
      </c>
      <c r="Q644" s="111">
        <f>VLOOKUP(VLOOKUP(DATEVALUE(TEXT(A644,"m/d/yyyy")),FY24_Temp[],5,FALSE)&amp;TEXT(A644,"-h"),TempDelta[],4,FALSE)</f>
        <v>1.0356428495475225</v>
      </c>
      <c r="R644" s="112">
        <v>10</v>
      </c>
      <c r="S644" s="112">
        <v>1500</v>
      </c>
      <c r="T644" s="99">
        <f>VLOOKUP(TEXT(A644,"yy-mm")&amp;"-"&amp;IF(AND(WEEKDAY(A644)&gt;1,WEEKDAY(A644)&lt;7),"Wkd",TEXT(A644,"Ddd"))&amp;"-"&amp;TEXT(A644,"hh"),LoadTable[],3,FALSE)*0.92</f>
        <v>494.57360000000006</v>
      </c>
      <c r="U644" s="113">
        <f t="shared" ref="U644:U707" si="685">T644/10</f>
        <v>49.457360000000008</v>
      </c>
    </row>
    <row r="645" spans="1:21" ht="15" thickBot="1">
      <c r="A645" s="29">
        <f t="shared" si="655"/>
        <v>45862.750000000422</v>
      </c>
      <c r="B645" s="187">
        <f t="shared" ref="B645:L645" si="686">B669</f>
        <v>5000</v>
      </c>
      <c r="C645" s="187">
        <f t="shared" si="686"/>
        <v>25000</v>
      </c>
      <c r="D645" s="187">
        <v>0</v>
      </c>
      <c r="E645" s="187">
        <v>700</v>
      </c>
      <c r="F645" s="187">
        <v>15000</v>
      </c>
      <c r="G645" s="187">
        <f t="shared" si="686"/>
        <v>2400</v>
      </c>
      <c r="H645" s="187">
        <f t="shared" si="686"/>
        <v>25000</v>
      </c>
      <c r="I645" s="187">
        <f t="shared" si="686"/>
        <v>5000</v>
      </c>
      <c r="J645" s="187">
        <v>40000</v>
      </c>
      <c r="K645" s="187">
        <f t="shared" si="686"/>
        <v>5000</v>
      </c>
      <c r="L645" s="187">
        <v>40000</v>
      </c>
      <c r="M645" s="110">
        <v>9.5</v>
      </c>
      <c r="N645" s="110">
        <f>VLOOKUP(DATE(YEAR(A645),MONTH(A645),DAY(A645)),FY24_Temp[],3,FALSE)</f>
        <v>12.8</v>
      </c>
      <c r="O645" s="110">
        <f t="shared" si="683"/>
        <v>11.5</v>
      </c>
      <c r="P645" s="110">
        <f t="shared" si="684"/>
        <v>19.5</v>
      </c>
      <c r="Q645" s="111">
        <f>VLOOKUP(VLOOKUP(DATEVALUE(TEXT(A645,"m/d/yyyy")),FY24_Temp[],5,FALSE)&amp;TEXT(A645,"-h"),TempDelta[],4,FALSE)</f>
        <v>1.3991428358214242</v>
      </c>
      <c r="R645" s="112">
        <v>10</v>
      </c>
      <c r="S645" s="112">
        <v>1500</v>
      </c>
      <c r="T645" s="99">
        <f>VLOOKUP(TEXT(A645,"yy-mm")&amp;"-"&amp;IF(AND(WEEKDAY(A645)&gt;1,WEEKDAY(A645)&lt;7),"Wkd",TEXT(A645,"Ddd"))&amp;"-"&amp;TEXT(A645,"hh"),LoadTable[],3,FALSE)*0.92</f>
        <v>494.57360000000006</v>
      </c>
      <c r="U645" s="113">
        <f t="shared" si="685"/>
        <v>49.457360000000008</v>
      </c>
    </row>
    <row r="646" spans="1:21" ht="15" thickBot="1">
      <c r="A646" s="29">
        <f t="shared" si="655"/>
        <v>45862.791666667086</v>
      </c>
      <c r="B646" s="187">
        <f t="shared" ref="B646:L646" si="687">B670</f>
        <v>5000</v>
      </c>
      <c r="C646" s="187">
        <f t="shared" si="687"/>
        <v>25000</v>
      </c>
      <c r="D646" s="187">
        <v>0</v>
      </c>
      <c r="E646" s="187">
        <v>700</v>
      </c>
      <c r="F646" s="187">
        <v>15000</v>
      </c>
      <c r="G646" s="187">
        <f t="shared" si="687"/>
        <v>2400</v>
      </c>
      <c r="H646" s="187">
        <f t="shared" si="687"/>
        <v>25000</v>
      </c>
      <c r="I646" s="187">
        <f t="shared" si="687"/>
        <v>5000</v>
      </c>
      <c r="J646" s="187">
        <v>40000</v>
      </c>
      <c r="K646" s="187">
        <f t="shared" si="687"/>
        <v>5000</v>
      </c>
      <c r="L646" s="187">
        <v>40000</v>
      </c>
      <c r="M646" s="110">
        <v>9.5</v>
      </c>
      <c r="N646" s="110">
        <f>VLOOKUP(DATE(YEAR(A646),MONTH(A646),DAY(A646)),FY24_Temp[],3,FALSE)</f>
        <v>12.8</v>
      </c>
      <c r="O646" s="110">
        <f t="shared" si="683"/>
        <v>11.5</v>
      </c>
      <c r="P646" s="110">
        <f t="shared" si="684"/>
        <v>19.5</v>
      </c>
      <c r="Q646" s="111">
        <f>VLOOKUP(VLOOKUP(DATEVALUE(TEXT(A646,"m/d/yyyy")),FY24_Temp[],5,FALSE)&amp;TEXT(A646,"-h"),TempDelta[],4,FALSE)</f>
        <v>1.8638571415628706</v>
      </c>
      <c r="R646" s="112">
        <v>10</v>
      </c>
      <c r="S646" s="112">
        <v>1500</v>
      </c>
      <c r="T646" s="99">
        <f>VLOOKUP(TEXT(A646,"yy-mm")&amp;"-"&amp;IF(AND(WEEKDAY(A646)&gt;1,WEEKDAY(A646)&lt;7),"Wkd",TEXT(A646,"Ddd"))&amp;"-"&amp;TEXT(A646,"hh"),LoadTable[],3,FALSE)*0.92</f>
        <v>494.57360000000006</v>
      </c>
      <c r="U646" s="113">
        <f t="shared" si="685"/>
        <v>49.457360000000008</v>
      </c>
    </row>
    <row r="647" spans="1:21" ht="15" thickBot="1">
      <c r="A647" s="29">
        <f t="shared" si="655"/>
        <v>45862.83333333375</v>
      </c>
      <c r="B647" s="187">
        <f t="shared" ref="B647:L647" si="688">B671</f>
        <v>5000</v>
      </c>
      <c r="C647" s="187">
        <f t="shared" si="688"/>
        <v>25000</v>
      </c>
      <c r="D647" s="187">
        <v>0</v>
      </c>
      <c r="E647" s="187">
        <v>700</v>
      </c>
      <c r="F647" s="187">
        <v>15000</v>
      </c>
      <c r="G647" s="187">
        <f t="shared" si="688"/>
        <v>2400</v>
      </c>
      <c r="H647" s="187">
        <f t="shared" si="688"/>
        <v>25000</v>
      </c>
      <c r="I647" s="187">
        <f t="shared" si="688"/>
        <v>5000</v>
      </c>
      <c r="J647" s="187">
        <v>40000</v>
      </c>
      <c r="K647" s="187">
        <f t="shared" si="688"/>
        <v>5000</v>
      </c>
      <c r="L647" s="187">
        <v>40000</v>
      </c>
      <c r="M647" s="110">
        <v>9.5</v>
      </c>
      <c r="N647" s="110">
        <f>VLOOKUP(DATE(YEAR(A647),MONTH(A647),DAY(A647)),FY24_Temp[],3,FALSE)</f>
        <v>12.8</v>
      </c>
      <c r="O647" s="110">
        <f t="shared" si="683"/>
        <v>11.5</v>
      </c>
      <c r="P647" s="110">
        <f t="shared" si="684"/>
        <v>19.5</v>
      </c>
      <c r="Q647" s="111">
        <f>VLOOKUP(VLOOKUP(DATEVALUE(TEXT(A647,"m/d/yyyy")),FY24_Temp[],5,FALSE)&amp;TEXT(A647,"-h"),TempDelta[],4,FALSE)</f>
        <v>2.300714305468968</v>
      </c>
      <c r="R647" s="112">
        <v>10</v>
      </c>
      <c r="S647" s="112">
        <v>1500</v>
      </c>
      <c r="T647" s="99">
        <f>VLOOKUP(TEXT(A647,"yy-mm")&amp;"-"&amp;IF(AND(WEEKDAY(A647)&gt;1,WEEKDAY(A647)&lt;7),"Wkd",TEXT(A647,"Ddd"))&amp;"-"&amp;TEXT(A647,"hh"),LoadTable[],3,FALSE)*0.92</f>
        <v>494.57360000000006</v>
      </c>
      <c r="U647" s="113">
        <f t="shared" si="685"/>
        <v>49.457360000000008</v>
      </c>
    </row>
    <row r="648" spans="1:21" ht="15" thickBot="1">
      <c r="A648" s="29">
        <f t="shared" si="655"/>
        <v>45862.875000000415</v>
      </c>
      <c r="B648" s="187">
        <f t="shared" ref="B648:L648" si="689">B672</f>
        <v>5000</v>
      </c>
      <c r="C648" s="187">
        <f t="shared" si="689"/>
        <v>25000</v>
      </c>
      <c r="D648" s="187">
        <v>0</v>
      </c>
      <c r="E648" s="187">
        <v>700</v>
      </c>
      <c r="F648" s="187">
        <v>15000</v>
      </c>
      <c r="G648" s="187">
        <f t="shared" si="689"/>
        <v>2400</v>
      </c>
      <c r="H648" s="187">
        <f t="shared" si="689"/>
        <v>25000</v>
      </c>
      <c r="I648" s="187">
        <f t="shared" si="689"/>
        <v>5000</v>
      </c>
      <c r="J648" s="187">
        <v>40000</v>
      </c>
      <c r="K648" s="187">
        <f t="shared" si="689"/>
        <v>5000</v>
      </c>
      <c r="L648" s="187">
        <v>40000</v>
      </c>
      <c r="M648" s="110">
        <v>9.5</v>
      </c>
      <c r="N648" s="110">
        <f>VLOOKUP(DATE(YEAR(A648),MONTH(A648),DAY(A648)),FY24_Temp[],3,FALSE)</f>
        <v>12.8</v>
      </c>
      <c r="O648" s="110">
        <f t="shared" si="683"/>
        <v>11.5</v>
      </c>
      <c r="P648" s="110">
        <f t="shared" si="684"/>
        <v>19.5</v>
      </c>
      <c r="Q648" s="111">
        <f>VLOOKUP(VLOOKUP(DATEVALUE(TEXT(A648,"m/d/yyyy")),FY24_Temp[],5,FALSE)&amp;TEXT(A648,"-h"),TempDelta[],4,FALSE)</f>
        <v>2.554214222090585</v>
      </c>
      <c r="R648" s="112">
        <v>10</v>
      </c>
      <c r="S648" s="112">
        <v>1500</v>
      </c>
      <c r="T648" s="99">
        <f>VLOOKUP(TEXT(A648,"yy-mm")&amp;"-"&amp;IF(AND(WEEKDAY(A648)&gt;1,WEEKDAY(A648)&lt;7),"Wkd",TEXT(A648,"Ddd"))&amp;"-"&amp;TEXT(A648,"hh"),LoadTable[],3,FALSE)*0.92</f>
        <v>494.57360000000006</v>
      </c>
      <c r="U648" s="113">
        <f t="shared" si="685"/>
        <v>49.457360000000008</v>
      </c>
    </row>
    <row r="649" spans="1:21" ht="15" thickBot="1">
      <c r="A649" s="29">
        <f t="shared" si="655"/>
        <v>45862.916666667079</v>
      </c>
      <c r="B649" s="187">
        <f t="shared" ref="B649:L649" si="690">B673</f>
        <v>5000</v>
      </c>
      <c r="C649" s="187">
        <f t="shared" si="690"/>
        <v>25000</v>
      </c>
      <c r="D649" s="187">
        <v>0</v>
      </c>
      <c r="E649" s="187">
        <v>700</v>
      </c>
      <c r="F649" s="187">
        <v>15000</v>
      </c>
      <c r="G649" s="187">
        <f t="shared" si="690"/>
        <v>2400</v>
      </c>
      <c r="H649" s="187">
        <f t="shared" si="690"/>
        <v>25000</v>
      </c>
      <c r="I649" s="187">
        <f t="shared" si="690"/>
        <v>5000</v>
      </c>
      <c r="J649" s="187">
        <v>40000</v>
      </c>
      <c r="K649" s="187">
        <f t="shared" si="690"/>
        <v>5000</v>
      </c>
      <c r="L649" s="187">
        <v>40000</v>
      </c>
      <c r="M649" s="110">
        <v>9.5</v>
      </c>
      <c r="N649" s="110">
        <f>VLOOKUP(DATE(YEAR(A649),MONTH(A649),DAY(A649)),FY24_Temp[],3,FALSE)</f>
        <v>12.8</v>
      </c>
      <c r="O649" s="110">
        <f t="shared" si="683"/>
        <v>11.5</v>
      </c>
      <c r="P649" s="110">
        <f t="shared" si="684"/>
        <v>19.5</v>
      </c>
      <c r="Q649" s="111">
        <f>VLOOKUP(VLOOKUP(DATEVALUE(TEXT(A649,"m/d/yyyy")),FY24_Temp[],5,FALSE)&amp;TEXT(A649,"-h"),TempDelta[],4,FALSE)</f>
        <v>2.7827142647334506</v>
      </c>
      <c r="R649" s="112">
        <v>10</v>
      </c>
      <c r="S649" s="112">
        <v>1500</v>
      </c>
      <c r="T649" s="99">
        <f>VLOOKUP(TEXT(A649,"yy-mm")&amp;"-"&amp;IF(AND(WEEKDAY(A649)&gt;1,WEEKDAY(A649)&lt;7),"Wkd",TEXT(A649,"Ddd"))&amp;"-"&amp;TEXT(A649,"hh"),LoadTable[],3,FALSE)*0.92</f>
        <v>418.75640000000004</v>
      </c>
      <c r="U649" s="113">
        <f t="shared" si="685"/>
        <v>41.875640000000004</v>
      </c>
    </row>
    <row r="650" spans="1:21" ht="15" thickBot="1">
      <c r="A650" s="29">
        <f t="shared" si="655"/>
        <v>45862.958333333743</v>
      </c>
      <c r="B650" s="187">
        <f t="shared" ref="B650:L650" si="691">B674</f>
        <v>5000</v>
      </c>
      <c r="C650" s="187">
        <f t="shared" si="691"/>
        <v>25000</v>
      </c>
      <c r="D650" s="187">
        <v>0</v>
      </c>
      <c r="E650" s="187">
        <v>700</v>
      </c>
      <c r="F650" s="187">
        <v>15000</v>
      </c>
      <c r="G650" s="187">
        <f t="shared" si="691"/>
        <v>2400</v>
      </c>
      <c r="H650" s="187">
        <f t="shared" si="691"/>
        <v>25000</v>
      </c>
      <c r="I650" s="187">
        <f t="shared" si="691"/>
        <v>5000</v>
      </c>
      <c r="J650" s="187">
        <v>40000</v>
      </c>
      <c r="K650" s="187">
        <f t="shared" si="691"/>
        <v>5000</v>
      </c>
      <c r="L650" s="187">
        <v>40000</v>
      </c>
      <c r="M650" s="110">
        <v>9.5</v>
      </c>
      <c r="N650" s="110">
        <f>VLOOKUP(DATE(YEAR(A650),MONTH(A650),DAY(A650)),FY24_Temp[],3,FALSE)</f>
        <v>12.8</v>
      </c>
      <c r="O650" s="110">
        <f t="shared" si="683"/>
        <v>11.5</v>
      </c>
      <c r="P650" s="110">
        <f t="shared" si="684"/>
        <v>19.5</v>
      </c>
      <c r="Q650" s="111">
        <f>VLOOKUP(VLOOKUP(DATEVALUE(TEXT(A650,"m/d/yyyy")),FY24_Temp[],5,FALSE)&amp;TEXT(A650,"-h"),TempDelta[],4,FALSE)</f>
        <v>2.8792857101985385</v>
      </c>
      <c r="R650" s="112">
        <v>10</v>
      </c>
      <c r="S650" s="112">
        <v>1500</v>
      </c>
      <c r="T650" s="99">
        <f>VLOOKUP(TEXT(A650,"yy-mm")&amp;"-"&amp;IF(AND(WEEKDAY(A650)&gt;1,WEEKDAY(A650)&lt;7),"Wkd",TEXT(A650,"Ddd"))&amp;"-"&amp;TEXT(A650,"hh"),LoadTable[],3,FALSE)*0.92</f>
        <v>342.93920000000003</v>
      </c>
      <c r="U650" s="113">
        <f t="shared" si="685"/>
        <v>34.29392</v>
      </c>
    </row>
    <row r="651" spans="1:21" ht="15" thickBot="1">
      <c r="A651" s="29">
        <f t="shared" si="655"/>
        <v>45863.000000000407</v>
      </c>
      <c r="B651" s="187">
        <f t="shared" ref="B651:L651" si="692">B675</f>
        <v>5000</v>
      </c>
      <c r="C651" s="187">
        <f t="shared" si="692"/>
        <v>25000</v>
      </c>
      <c r="D651" s="187">
        <v>0</v>
      </c>
      <c r="E651" s="187">
        <v>700</v>
      </c>
      <c r="F651" s="187">
        <v>15000</v>
      </c>
      <c r="G651" s="187">
        <f t="shared" si="692"/>
        <v>2400</v>
      </c>
      <c r="H651" s="187">
        <f t="shared" si="692"/>
        <v>25000</v>
      </c>
      <c r="I651" s="187">
        <f t="shared" si="692"/>
        <v>5000</v>
      </c>
      <c r="J651" s="187">
        <v>40000</v>
      </c>
      <c r="K651" s="187">
        <f t="shared" si="692"/>
        <v>5000</v>
      </c>
      <c r="L651" s="187">
        <v>40000</v>
      </c>
      <c r="M651" s="110">
        <v>9.5</v>
      </c>
      <c r="N651" s="110">
        <f>VLOOKUP(DATE(YEAR(A651),MONTH(A651),DAY(A651)),FY24_Temp[],3,FALSE)</f>
        <v>12.8</v>
      </c>
      <c r="O651" s="110">
        <f t="shared" si="683"/>
        <v>11.5</v>
      </c>
      <c r="P651" s="110">
        <f t="shared" si="684"/>
        <v>19.5</v>
      </c>
      <c r="Q651" s="111">
        <f>VLOOKUP(VLOOKUP(DATEVALUE(TEXT(A651,"m/d/yyyy")),FY24_Temp[],5,FALSE)&amp;TEXT(A651,"-h"),TempDelta[],4,FALSE)</f>
        <v>3.0441428933824812</v>
      </c>
      <c r="R651" s="112">
        <v>10</v>
      </c>
      <c r="S651" s="112">
        <v>1500</v>
      </c>
      <c r="T651" s="99">
        <f>VLOOKUP(TEXT(A651,"yy-mm")&amp;"-"&amp;IF(AND(WEEKDAY(A651)&gt;1,WEEKDAY(A651)&lt;7),"Wkd",TEXT(A651,"Ddd"))&amp;"-"&amp;TEXT(A651,"hh"),LoadTable[],3,FALSE)*0.92</f>
        <v>279.25312000000002</v>
      </c>
      <c r="U651" s="113">
        <f t="shared" si="685"/>
        <v>27.925312000000002</v>
      </c>
    </row>
    <row r="652" spans="1:21" ht="15" thickBot="1">
      <c r="A652" s="29">
        <f t="shared" si="655"/>
        <v>45863.041666667072</v>
      </c>
      <c r="B652" s="187">
        <f t="shared" ref="B652:L652" si="693">B676</f>
        <v>5000</v>
      </c>
      <c r="C652" s="187">
        <f t="shared" si="693"/>
        <v>25000</v>
      </c>
      <c r="D652" s="187">
        <v>0</v>
      </c>
      <c r="E652" s="187">
        <v>700</v>
      </c>
      <c r="F652" s="187">
        <v>15000</v>
      </c>
      <c r="G652" s="187">
        <f t="shared" si="693"/>
        <v>2400</v>
      </c>
      <c r="H652" s="187">
        <f t="shared" si="693"/>
        <v>25000</v>
      </c>
      <c r="I652" s="187">
        <f t="shared" si="693"/>
        <v>5000</v>
      </c>
      <c r="J652" s="187">
        <v>40000</v>
      </c>
      <c r="K652" s="187">
        <f t="shared" si="693"/>
        <v>5000</v>
      </c>
      <c r="L652" s="187">
        <v>40000</v>
      </c>
      <c r="M652" s="110">
        <v>9.5</v>
      </c>
      <c r="N652" s="110">
        <f>VLOOKUP(DATE(YEAR(A652),MONTH(A652),DAY(A652)),FY24_Temp[],3,FALSE)</f>
        <v>12.8</v>
      </c>
      <c r="O652" s="110">
        <f t="shared" si="683"/>
        <v>11.5</v>
      </c>
      <c r="P652" s="110">
        <f t="shared" si="684"/>
        <v>19.5</v>
      </c>
      <c r="Q652" s="111">
        <f>VLOOKUP(VLOOKUP(DATEVALUE(TEXT(A652,"m/d/yyyy")),FY24_Temp[],5,FALSE)&amp;TEXT(A652,"-h"),TempDelta[],4,FALSE)</f>
        <v>3.0992857047489712</v>
      </c>
      <c r="R652" s="112">
        <v>10</v>
      </c>
      <c r="S652" s="112">
        <v>1500</v>
      </c>
      <c r="T652" s="99">
        <f>VLOOKUP(TEXT(A652,"yy-mm")&amp;"-"&amp;IF(AND(WEEKDAY(A652)&gt;1,WEEKDAY(A652)&lt;7),"Wkd",TEXT(A652,"Ddd"))&amp;"-"&amp;TEXT(A652,"hh"),LoadTable[],3,FALSE)*0.92</f>
        <v>279.25312000000002</v>
      </c>
      <c r="U652" s="113">
        <f t="shared" si="685"/>
        <v>27.925312000000002</v>
      </c>
    </row>
    <row r="653" spans="1:21" ht="15" thickBot="1">
      <c r="A653" s="29">
        <f t="shared" si="655"/>
        <v>45863.083333333736</v>
      </c>
      <c r="B653" s="187">
        <f t="shared" ref="B653:L653" si="694">B677</f>
        <v>5000</v>
      </c>
      <c r="C653" s="187">
        <f t="shared" si="694"/>
        <v>25000</v>
      </c>
      <c r="D653" s="187">
        <v>0</v>
      </c>
      <c r="E653" s="187">
        <v>700</v>
      </c>
      <c r="F653" s="187">
        <v>15000</v>
      </c>
      <c r="G653" s="187">
        <f t="shared" si="694"/>
        <v>2400</v>
      </c>
      <c r="H653" s="187">
        <f t="shared" si="694"/>
        <v>25000</v>
      </c>
      <c r="I653" s="187">
        <f t="shared" si="694"/>
        <v>5000</v>
      </c>
      <c r="J653" s="187">
        <v>40000</v>
      </c>
      <c r="K653" s="187">
        <f t="shared" si="694"/>
        <v>5000</v>
      </c>
      <c r="L653" s="187">
        <v>40000</v>
      </c>
      <c r="M653" s="110">
        <v>9.5</v>
      </c>
      <c r="N653" s="110">
        <f>VLOOKUP(DATE(YEAR(A653),MONTH(A653),DAY(A653)),FY24_Temp[],3,FALSE)</f>
        <v>12.8</v>
      </c>
      <c r="O653" s="110">
        <f t="shared" si="683"/>
        <v>11.5</v>
      </c>
      <c r="P653" s="110">
        <f t="shared" si="684"/>
        <v>19.5</v>
      </c>
      <c r="Q653" s="111">
        <f>VLOOKUP(VLOOKUP(DATEVALUE(TEXT(A653,"m/d/yyyy")),FY24_Temp[],5,FALSE)&amp;TEXT(A653,"-h"),TempDelta[],4,FALSE)</f>
        <v>3.1050000190734863</v>
      </c>
      <c r="R653" s="112">
        <v>10</v>
      </c>
      <c r="S653" s="112">
        <v>1500</v>
      </c>
      <c r="T653" s="99">
        <f>VLOOKUP(TEXT(A653,"yy-mm")&amp;"-"&amp;IF(AND(WEEKDAY(A653)&gt;1,WEEKDAY(A653)&lt;7),"Wkd",TEXT(A653,"Ddd"))&amp;"-"&amp;TEXT(A653,"hh"),LoadTable[],3,FALSE)*0.92</f>
        <v>279.25312000000002</v>
      </c>
      <c r="U653" s="113">
        <f t="shared" si="685"/>
        <v>27.925312000000002</v>
      </c>
    </row>
    <row r="654" spans="1:21" ht="15" thickBot="1">
      <c r="A654" s="29">
        <f t="shared" si="655"/>
        <v>45863.1250000004</v>
      </c>
      <c r="B654" s="187">
        <f t="shared" ref="B654:L654" si="695">B678</f>
        <v>5000</v>
      </c>
      <c r="C654" s="187">
        <f t="shared" si="695"/>
        <v>25000</v>
      </c>
      <c r="D654" s="187">
        <v>0</v>
      </c>
      <c r="E654" s="187">
        <v>700</v>
      </c>
      <c r="F654" s="187">
        <v>15000</v>
      </c>
      <c r="G654" s="187">
        <f t="shared" si="695"/>
        <v>2400</v>
      </c>
      <c r="H654" s="187">
        <f t="shared" si="695"/>
        <v>25000</v>
      </c>
      <c r="I654" s="187">
        <f t="shared" si="695"/>
        <v>5000</v>
      </c>
      <c r="J654" s="187">
        <v>40000</v>
      </c>
      <c r="K654" s="187">
        <f t="shared" si="695"/>
        <v>5000</v>
      </c>
      <c r="L654" s="187">
        <v>40000</v>
      </c>
      <c r="M654" s="110">
        <v>9.5</v>
      </c>
      <c r="N654" s="110">
        <f>VLOOKUP(DATE(YEAR(A654),MONTH(A654),DAY(A654)),FY24_Temp[],3,FALSE)</f>
        <v>12.8</v>
      </c>
      <c r="O654" s="110">
        <f t="shared" si="683"/>
        <v>11.5</v>
      </c>
      <c r="P654" s="110">
        <f t="shared" si="684"/>
        <v>19.5</v>
      </c>
      <c r="Q654" s="111">
        <f>VLOOKUP(VLOOKUP(DATEVALUE(TEXT(A654,"m/d/yyyy")),FY24_Temp[],5,FALSE)&amp;TEXT(A654,"-h"),TempDelta[],4,FALSE)</f>
        <v>3.0428571701049805</v>
      </c>
      <c r="R654" s="112">
        <v>10</v>
      </c>
      <c r="S654" s="112">
        <v>1500</v>
      </c>
      <c r="T654" s="99">
        <f>VLOOKUP(TEXT(A654,"yy-mm")&amp;"-"&amp;IF(AND(WEEKDAY(A654)&gt;1,WEEKDAY(A654)&lt;7),"Wkd",TEXT(A654,"Ddd"))&amp;"-"&amp;TEXT(A654,"hh"),LoadTable[],3,FALSE)*0.92</f>
        <v>279.25312000000002</v>
      </c>
      <c r="U654" s="113">
        <f t="shared" si="685"/>
        <v>27.925312000000002</v>
      </c>
    </row>
    <row r="655" spans="1:21" ht="15" thickBot="1">
      <c r="A655" s="29">
        <f t="shared" si="655"/>
        <v>45863.166666667064</v>
      </c>
      <c r="B655" s="187">
        <f t="shared" ref="B655:L655" si="696">B679</f>
        <v>5000</v>
      </c>
      <c r="C655" s="187">
        <f t="shared" si="696"/>
        <v>25000</v>
      </c>
      <c r="D655" s="187">
        <v>0</v>
      </c>
      <c r="E655" s="187">
        <v>700</v>
      </c>
      <c r="F655" s="187">
        <v>15000</v>
      </c>
      <c r="G655" s="187">
        <f t="shared" si="696"/>
        <v>2400</v>
      </c>
      <c r="H655" s="187">
        <f t="shared" si="696"/>
        <v>25000</v>
      </c>
      <c r="I655" s="187">
        <f t="shared" si="696"/>
        <v>5000</v>
      </c>
      <c r="J655" s="187">
        <v>40000</v>
      </c>
      <c r="K655" s="187">
        <f t="shared" si="696"/>
        <v>5000</v>
      </c>
      <c r="L655" s="187">
        <v>40000</v>
      </c>
      <c r="M655" s="110">
        <v>9.5</v>
      </c>
      <c r="N655" s="110">
        <f>VLOOKUP(DATE(YEAR(A655),MONTH(A655),DAY(A655)),FY24_Temp[],3,FALSE)</f>
        <v>12.8</v>
      </c>
      <c r="O655" s="110">
        <f t="shared" si="683"/>
        <v>11.5</v>
      </c>
      <c r="P655" s="110">
        <f t="shared" si="684"/>
        <v>19.5</v>
      </c>
      <c r="Q655" s="111">
        <f>VLOOKUP(VLOOKUP(DATEVALUE(TEXT(A655,"m/d/yyyy")),FY24_Temp[],5,FALSE)&amp;TEXT(A655,"-h"),TempDelta[],4,FALSE)</f>
        <v>2.9580000468662808</v>
      </c>
      <c r="R655" s="112">
        <v>10</v>
      </c>
      <c r="S655" s="112">
        <v>1500</v>
      </c>
      <c r="T655" s="99">
        <f>VLOOKUP(TEXT(A655,"yy-mm")&amp;"-"&amp;IF(AND(WEEKDAY(A655)&gt;1,WEEKDAY(A655)&lt;7),"Wkd",TEXT(A655,"Ddd"))&amp;"-"&amp;TEXT(A655,"hh"),LoadTable[],3,FALSE)*0.92</f>
        <v>279.25312000000002</v>
      </c>
      <c r="U655" s="113">
        <f t="shared" si="685"/>
        <v>27.925312000000002</v>
      </c>
    </row>
    <row r="656" spans="1:21" ht="15" thickBot="1">
      <c r="A656" s="29">
        <f t="shared" si="655"/>
        <v>45863.208333333729</v>
      </c>
      <c r="B656" s="187">
        <f t="shared" ref="B656:L656" si="697">B680</f>
        <v>5000</v>
      </c>
      <c r="C656" s="187">
        <f t="shared" si="697"/>
        <v>25000</v>
      </c>
      <c r="D656" s="187">
        <v>0</v>
      </c>
      <c r="E656" s="187">
        <v>700</v>
      </c>
      <c r="F656" s="187">
        <v>15000</v>
      </c>
      <c r="G656" s="187">
        <f t="shared" si="697"/>
        <v>2400</v>
      </c>
      <c r="H656" s="187">
        <f t="shared" si="697"/>
        <v>25000</v>
      </c>
      <c r="I656" s="187">
        <f t="shared" si="697"/>
        <v>5000</v>
      </c>
      <c r="J656" s="187">
        <v>40000</v>
      </c>
      <c r="K656" s="187">
        <f t="shared" si="697"/>
        <v>5000</v>
      </c>
      <c r="L656" s="187">
        <v>40000</v>
      </c>
      <c r="M656" s="110">
        <v>9.5</v>
      </c>
      <c r="N656" s="110">
        <f>VLOOKUP(DATE(YEAR(A656),MONTH(A656),DAY(A656)),FY24_Temp[],3,FALSE)</f>
        <v>12.8</v>
      </c>
      <c r="O656" s="110">
        <f t="shared" si="683"/>
        <v>11.5</v>
      </c>
      <c r="P656" s="110">
        <f t="shared" si="684"/>
        <v>19.5</v>
      </c>
      <c r="Q656" s="111">
        <f>VLOOKUP(VLOOKUP(DATEVALUE(TEXT(A656,"m/d/yyyy")),FY24_Temp[],5,FALSE)&amp;TEXT(A656,"-h"),TempDelta[],4,FALSE)</f>
        <v>2.8608571801866804</v>
      </c>
      <c r="R656" s="112">
        <v>10</v>
      </c>
      <c r="S656" s="112">
        <v>1500</v>
      </c>
      <c r="T656" s="99">
        <f>VLOOKUP(TEXT(A656,"yy-mm")&amp;"-"&amp;IF(AND(WEEKDAY(A656)&gt;1,WEEKDAY(A656)&lt;7),"Wkd",TEXT(A656,"Ddd"))&amp;"-"&amp;TEXT(A656,"hh"),LoadTable[],3,FALSE)*0.92</f>
        <v>279.25312000000002</v>
      </c>
      <c r="U656" s="113">
        <f t="shared" si="685"/>
        <v>27.925312000000002</v>
      </c>
    </row>
    <row r="657" spans="1:21" ht="15" thickBot="1">
      <c r="A657" s="29">
        <f t="shared" si="655"/>
        <v>45863.250000000393</v>
      </c>
      <c r="B657" s="187">
        <f t="shared" ref="B657:L657" si="698">B681</f>
        <v>8000</v>
      </c>
      <c r="C657" s="187">
        <f t="shared" si="698"/>
        <v>25000</v>
      </c>
      <c r="D657" s="187">
        <v>0</v>
      </c>
      <c r="E657" s="187">
        <v>700</v>
      </c>
      <c r="F657" s="187">
        <v>15000</v>
      </c>
      <c r="G657" s="187">
        <f t="shared" si="698"/>
        <v>2400</v>
      </c>
      <c r="H657" s="187">
        <f t="shared" si="698"/>
        <v>25000</v>
      </c>
      <c r="I657" s="187">
        <f t="shared" si="698"/>
        <v>8000</v>
      </c>
      <c r="J657" s="187">
        <v>40000</v>
      </c>
      <c r="K657" s="187">
        <f t="shared" si="698"/>
        <v>8000</v>
      </c>
      <c r="L657" s="187">
        <v>40000</v>
      </c>
      <c r="M657" s="110">
        <v>9.5</v>
      </c>
      <c r="N657" s="110">
        <f>VLOOKUP(DATE(YEAR(A657),MONTH(A657),DAY(A657)),FY24_Temp[],3,FALSE)</f>
        <v>12.8</v>
      </c>
      <c r="O657" s="110">
        <f t="shared" si="683"/>
        <v>11.5</v>
      </c>
      <c r="P657" s="110">
        <f t="shared" si="684"/>
        <v>19.5</v>
      </c>
      <c r="Q657" s="111">
        <f>VLOOKUP(VLOOKUP(DATEVALUE(TEXT(A657,"m/d/yyyy")),FY24_Temp[],5,FALSE)&amp;TEXT(A657,"-h"),TempDelta[],4,FALSE)</f>
        <v>2.7405714307512556</v>
      </c>
      <c r="R657" s="112">
        <v>10</v>
      </c>
      <c r="S657" s="112">
        <v>1500</v>
      </c>
      <c r="T657" s="99">
        <f>VLOOKUP(TEXT(A657,"yy-mm")&amp;"-"&amp;IF(AND(WEEKDAY(A657)&gt;1,WEEKDAY(A657)&lt;7),"Wkd",TEXT(A657,"Ddd"))&amp;"-"&amp;TEXT(A657,"hh"),LoadTable[],3,FALSE)*0.92</f>
        <v>279.25312000000002</v>
      </c>
      <c r="U657" s="113">
        <f t="shared" si="685"/>
        <v>27.925312000000002</v>
      </c>
    </row>
    <row r="658" spans="1:21" ht="15" thickBot="1">
      <c r="A658" s="29">
        <f t="shared" si="655"/>
        <v>45863.291666667057</v>
      </c>
      <c r="B658" s="187">
        <f t="shared" ref="B658:L658" si="699">B682</f>
        <v>8000</v>
      </c>
      <c r="C658" s="187">
        <f t="shared" si="699"/>
        <v>25000</v>
      </c>
      <c r="D658" s="187">
        <v>0</v>
      </c>
      <c r="E658" s="187">
        <v>700</v>
      </c>
      <c r="F658" s="187">
        <v>15000</v>
      </c>
      <c r="G658" s="187">
        <f t="shared" si="699"/>
        <v>2400</v>
      </c>
      <c r="H658" s="187">
        <f t="shared" si="699"/>
        <v>25000</v>
      </c>
      <c r="I658" s="187">
        <f t="shared" si="699"/>
        <v>8000</v>
      </c>
      <c r="J658" s="187">
        <v>40000</v>
      </c>
      <c r="K658" s="187">
        <f t="shared" si="699"/>
        <v>8000</v>
      </c>
      <c r="L658" s="187">
        <v>40000</v>
      </c>
      <c r="M658" s="110">
        <v>9.5</v>
      </c>
      <c r="N658" s="110">
        <f>VLOOKUP(DATE(YEAR(A658),MONTH(A658),DAY(A658)),FY24_Temp[],3,FALSE)</f>
        <v>12.8</v>
      </c>
      <c r="O658" s="110">
        <f t="shared" si="683"/>
        <v>11.5</v>
      </c>
      <c r="P658" s="110">
        <f t="shared" si="684"/>
        <v>19.5</v>
      </c>
      <c r="Q658" s="111">
        <f>VLOOKUP(VLOOKUP(DATEVALUE(TEXT(A658,"m/d/yyyy")),FY24_Temp[],5,FALSE)&amp;TEXT(A658,"-h"),TempDelta[],4,FALSE)</f>
        <v>2.6134285245622908</v>
      </c>
      <c r="R658" s="112">
        <v>10</v>
      </c>
      <c r="S658" s="112">
        <v>1500</v>
      </c>
      <c r="T658" s="99">
        <f>VLOOKUP(TEXT(A658,"yy-mm")&amp;"-"&amp;IF(AND(WEEKDAY(A658)&gt;1,WEEKDAY(A658)&lt;7),"Wkd",TEXT(A658,"Ddd"))&amp;"-"&amp;TEXT(A658,"hh"),LoadTable[],3,FALSE)*0.92</f>
        <v>279.25312000000002</v>
      </c>
      <c r="U658" s="113">
        <f t="shared" si="685"/>
        <v>27.925312000000002</v>
      </c>
    </row>
    <row r="659" spans="1:21" ht="15" thickBot="1">
      <c r="A659" s="29">
        <f t="shared" si="655"/>
        <v>45863.333333333721</v>
      </c>
      <c r="B659" s="187">
        <f t="shared" ref="B659:L659" si="700">B683</f>
        <v>8000</v>
      </c>
      <c r="C659" s="187">
        <f t="shared" si="700"/>
        <v>25000</v>
      </c>
      <c r="D659" s="187">
        <v>0</v>
      </c>
      <c r="E659" s="187">
        <v>700</v>
      </c>
      <c r="F659" s="187">
        <v>15000</v>
      </c>
      <c r="G659" s="187">
        <f t="shared" si="700"/>
        <v>2400</v>
      </c>
      <c r="H659" s="187">
        <f t="shared" si="700"/>
        <v>25000</v>
      </c>
      <c r="I659" s="187">
        <f t="shared" si="700"/>
        <v>8000</v>
      </c>
      <c r="J659" s="187">
        <v>40000</v>
      </c>
      <c r="K659" s="187">
        <f t="shared" si="700"/>
        <v>8000</v>
      </c>
      <c r="L659" s="187">
        <v>40000</v>
      </c>
      <c r="M659" s="110">
        <v>9.5</v>
      </c>
      <c r="N659" s="110">
        <f>VLOOKUP(DATE(YEAR(A659),MONTH(A659),DAY(A659)),FY24_Temp[],3,FALSE)</f>
        <v>12.8</v>
      </c>
      <c r="O659" s="110">
        <f t="shared" si="683"/>
        <v>11.5</v>
      </c>
      <c r="P659" s="110">
        <f t="shared" si="684"/>
        <v>19.5</v>
      </c>
      <c r="Q659" s="111">
        <f>VLOOKUP(VLOOKUP(DATEVALUE(TEXT(A659,"m/d/yyyy")),FY24_Temp[],5,FALSE)&amp;TEXT(A659,"-h"),TempDelta[],4,FALSE)</f>
        <v>2.44985716683524</v>
      </c>
      <c r="R659" s="112">
        <v>10</v>
      </c>
      <c r="S659" s="112">
        <v>1500</v>
      </c>
      <c r="T659" s="99">
        <f>VLOOKUP(TEXT(A659,"yy-mm")&amp;"-"&amp;IF(AND(WEEKDAY(A659)&gt;1,WEEKDAY(A659)&lt;7),"Wkd",TEXT(A659,"Ddd"))&amp;"-"&amp;TEXT(A659,"hh"),LoadTable[],3,FALSE)*0.92</f>
        <v>279.25312000000002</v>
      </c>
      <c r="U659" s="113">
        <f t="shared" si="685"/>
        <v>27.925312000000002</v>
      </c>
    </row>
    <row r="660" spans="1:21" ht="15" thickBot="1">
      <c r="A660" s="29">
        <f t="shared" si="655"/>
        <v>45863.375000000386</v>
      </c>
      <c r="B660" s="187">
        <f t="shared" ref="B660:L660" si="701">B684</f>
        <v>8000</v>
      </c>
      <c r="C660" s="187">
        <f t="shared" si="701"/>
        <v>25000</v>
      </c>
      <c r="D660" s="187">
        <v>0</v>
      </c>
      <c r="E660" s="187">
        <v>700</v>
      </c>
      <c r="F660" s="187">
        <v>15000</v>
      </c>
      <c r="G660" s="187">
        <f t="shared" si="701"/>
        <v>2400</v>
      </c>
      <c r="H660" s="187">
        <f t="shared" si="701"/>
        <v>25000</v>
      </c>
      <c r="I660" s="187">
        <f t="shared" si="701"/>
        <v>8000</v>
      </c>
      <c r="J660" s="187">
        <v>40000</v>
      </c>
      <c r="K660" s="187">
        <f t="shared" si="701"/>
        <v>8000</v>
      </c>
      <c r="L660" s="187">
        <v>40000</v>
      </c>
      <c r="M660" s="110">
        <v>9.5</v>
      </c>
      <c r="N660" s="110">
        <f>VLOOKUP(DATE(YEAR(A660),MONTH(A660),DAY(A660)),FY24_Temp[],3,FALSE)</f>
        <v>12.8</v>
      </c>
      <c r="O660" s="110">
        <f t="shared" si="683"/>
        <v>11.5</v>
      </c>
      <c r="P660" s="110">
        <f t="shared" si="684"/>
        <v>19.5</v>
      </c>
      <c r="Q660" s="111">
        <f>VLOOKUP(VLOOKUP(DATEVALUE(TEXT(A660,"m/d/yyyy")),FY24_Temp[],5,FALSE)&amp;TEXT(A660,"-h"),TempDelta[],4,FALSE)</f>
        <v>2.2458571025303433</v>
      </c>
      <c r="R660" s="112">
        <v>10</v>
      </c>
      <c r="S660" s="112">
        <v>1500</v>
      </c>
      <c r="T660" s="99">
        <f>VLOOKUP(TEXT(A660,"yy-mm")&amp;"-"&amp;IF(AND(WEEKDAY(A660)&gt;1,WEEKDAY(A660)&lt;7),"Wkd",TEXT(A660,"Ddd"))&amp;"-"&amp;TEXT(A660,"hh"),LoadTable[],3,FALSE)*0.92</f>
        <v>279.25312000000002</v>
      </c>
      <c r="U660" s="113">
        <f t="shared" si="685"/>
        <v>27.925312000000002</v>
      </c>
    </row>
    <row r="661" spans="1:21" ht="15" thickBot="1">
      <c r="A661" s="29">
        <f t="shared" si="655"/>
        <v>45863.41666666705</v>
      </c>
      <c r="B661" s="187">
        <f t="shared" ref="B661:L661" si="702">B685</f>
        <v>8000</v>
      </c>
      <c r="C661" s="187">
        <f t="shared" si="702"/>
        <v>25000</v>
      </c>
      <c r="D661" s="187">
        <v>0</v>
      </c>
      <c r="E661" s="187">
        <v>700</v>
      </c>
      <c r="F661" s="187">
        <v>15000</v>
      </c>
      <c r="G661" s="187">
        <f t="shared" si="702"/>
        <v>2400</v>
      </c>
      <c r="H661" s="187">
        <f t="shared" si="702"/>
        <v>25000</v>
      </c>
      <c r="I661" s="187">
        <f t="shared" si="702"/>
        <v>8000</v>
      </c>
      <c r="J661" s="187">
        <v>40000</v>
      </c>
      <c r="K661" s="187">
        <f t="shared" si="702"/>
        <v>8000</v>
      </c>
      <c r="L661" s="187">
        <v>40000</v>
      </c>
      <c r="M661" s="110">
        <v>9.5</v>
      </c>
      <c r="N661" s="110">
        <f>VLOOKUP(DATE(YEAR(A661),MONTH(A661),DAY(A661)),FY24_Temp[],3,FALSE)</f>
        <v>12.8</v>
      </c>
      <c r="O661" s="110">
        <f t="shared" si="683"/>
        <v>11.5</v>
      </c>
      <c r="P661" s="110">
        <f t="shared" si="684"/>
        <v>19.5</v>
      </c>
      <c r="Q661" s="111">
        <f>VLOOKUP(VLOOKUP(DATEVALUE(TEXT(A661,"m/d/yyyy")),FY24_Temp[],5,FALSE)&amp;TEXT(A661,"-h"),TempDelta[],4,FALSE)</f>
        <v>2.0832857234137401</v>
      </c>
      <c r="R661" s="112">
        <v>10</v>
      </c>
      <c r="S661" s="112">
        <v>1500</v>
      </c>
      <c r="T661" s="99">
        <f>VLOOKUP(TEXT(A661,"yy-mm")&amp;"-"&amp;IF(AND(WEEKDAY(A661)&gt;1,WEEKDAY(A661)&lt;7),"Wkd",TEXT(A661,"Ddd"))&amp;"-"&amp;TEXT(A661,"hh"),LoadTable[],3,FALSE)*0.92</f>
        <v>279.25312000000002</v>
      </c>
      <c r="U661" s="113">
        <f t="shared" si="685"/>
        <v>27.925312000000002</v>
      </c>
    </row>
    <row r="662" spans="1:21" ht="15" thickBot="1">
      <c r="A662" s="29">
        <f t="shared" si="655"/>
        <v>45863.458333333714</v>
      </c>
      <c r="B662" s="187">
        <f t="shared" ref="B662:L662" si="703">B686</f>
        <v>8000</v>
      </c>
      <c r="C662" s="187">
        <f t="shared" si="703"/>
        <v>25000</v>
      </c>
      <c r="D662" s="187">
        <v>0</v>
      </c>
      <c r="E662" s="187">
        <v>700</v>
      </c>
      <c r="F662" s="187">
        <v>15000</v>
      </c>
      <c r="G662" s="187">
        <f t="shared" si="703"/>
        <v>2400</v>
      </c>
      <c r="H662" s="187">
        <f t="shared" si="703"/>
        <v>25000</v>
      </c>
      <c r="I662" s="187">
        <f t="shared" si="703"/>
        <v>8000</v>
      </c>
      <c r="J662" s="187">
        <v>40000</v>
      </c>
      <c r="K662" s="187">
        <f t="shared" si="703"/>
        <v>8000</v>
      </c>
      <c r="L662" s="187">
        <v>40000</v>
      </c>
      <c r="M662" s="110">
        <v>9.5</v>
      </c>
      <c r="N662" s="110">
        <f>VLOOKUP(DATE(YEAR(A662),MONTH(A662),DAY(A662)),FY24_Temp[],3,FALSE)</f>
        <v>12.8</v>
      </c>
      <c r="O662" s="110">
        <f t="shared" si="683"/>
        <v>11.5</v>
      </c>
      <c r="P662" s="110">
        <f t="shared" si="684"/>
        <v>19.5</v>
      </c>
      <c r="Q662" s="111">
        <f>VLOOKUP(VLOOKUP(DATEVALUE(TEXT(A662,"m/d/yyyy")),FY24_Temp[],5,FALSE)&amp;TEXT(A662,"-h"),TempDelta[],4,FALSE)</f>
        <v>1.8928571258272444</v>
      </c>
      <c r="R662" s="112">
        <v>10</v>
      </c>
      <c r="S662" s="112">
        <v>1500</v>
      </c>
      <c r="T662" s="99">
        <f>VLOOKUP(TEXT(A662,"yy-mm")&amp;"-"&amp;IF(AND(WEEKDAY(A662)&gt;1,WEEKDAY(A662)&lt;7),"Wkd",TEXT(A662,"Ddd"))&amp;"-"&amp;TEXT(A662,"hh"),LoadTable[],3,FALSE)*0.92</f>
        <v>279.25312000000002</v>
      </c>
      <c r="U662" s="113">
        <f t="shared" si="685"/>
        <v>27.925312000000002</v>
      </c>
    </row>
    <row r="663" spans="1:21" ht="15" thickBot="1">
      <c r="A663" s="29">
        <f t="shared" si="655"/>
        <v>45863.500000000378</v>
      </c>
      <c r="B663" s="187">
        <f t="shared" ref="B663:L663" si="704">B687</f>
        <v>8000</v>
      </c>
      <c r="C663" s="187">
        <f t="shared" si="704"/>
        <v>25000</v>
      </c>
      <c r="D663" s="187">
        <v>0</v>
      </c>
      <c r="E663" s="187">
        <v>700</v>
      </c>
      <c r="F663" s="187">
        <v>15000</v>
      </c>
      <c r="G663" s="187">
        <f t="shared" si="704"/>
        <v>2400</v>
      </c>
      <c r="H663" s="187">
        <f t="shared" si="704"/>
        <v>25000</v>
      </c>
      <c r="I663" s="187">
        <f t="shared" si="704"/>
        <v>8000</v>
      </c>
      <c r="J663" s="187">
        <v>40000</v>
      </c>
      <c r="K663" s="187">
        <f t="shared" si="704"/>
        <v>8000</v>
      </c>
      <c r="L663" s="187">
        <v>40000</v>
      </c>
      <c r="M663" s="110">
        <v>9.5</v>
      </c>
      <c r="N663" s="110">
        <f>VLOOKUP(DATE(YEAR(A663),MONTH(A663),DAY(A663)),FY24_Temp[],3,FALSE)</f>
        <v>12.8</v>
      </c>
      <c r="O663" s="110">
        <f t="shared" si="683"/>
        <v>11.5</v>
      </c>
      <c r="P663" s="110">
        <f t="shared" si="684"/>
        <v>19.5</v>
      </c>
      <c r="Q663" s="111">
        <f>VLOOKUP(VLOOKUP(DATEVALUE(TEXT(A663,"m/d/yyyy")),FY24_Temp[],5,FALSE)&amp;TEXT(A663,"-h"),TempDelta[],4,FALSE)</f>
        <v>1.665857127734593</v>
      </c>
      <c r="R663" s="112">
        <v>10</v>
      </c>
      <c r="S663" s="112">
        <v>1500</v>
      </c>
      <c r="T663" s="99">
        <f>VLOOKUP(TEXT(A663,"yy-mm")&amp;"-"&amp;IF(AND(WEEKDAY(A663)&gt;1,WEEKDAY(A663)&lt;7),"Wkd",TEXT(A663,"Ddd"))&amp;"-"&amp;TEXT(A663,"hh"),LoadTable[],3,FALSE)*0.92</f>
        <v>279.25312000000002</v>
      </c>
      <c r="U663" s="113">
        <f t="shared" si="685"/>
        <v>27.925312000000002</v>
      </c>
    </row>
    <row r="664" spans="1:21" ht="15" thickBot="1">
      <c r="A664" s="29">
        <f t="shared" si="655"/>
        <v>45863.541666667043</v>
      </c>
      <c r="B664" s="187">
        <f t="shared" ref="B664:L664" si="705">B688</f>
        <v>8000</v>
      </c>
      <c r="C664" s="187">
        <f t="shared" si="705"/>
        <v>25000</v>
      </c>
      <c r="D664" s="187">
        <v>0</v>
      </c>
      <c r="E664" s="187">
        <v>700</v>
      </c>
      <c r="F664" s="187">
        <v>15000</v>
      </c>
      <c r="G664" s="187">
        <f t="shared" si="705"/>
        <v>2400</v>
      </c>
      <c r="H664" s="187">
        <f t="shared" si="705"/>
        <v>25000</v>
      </c>
      <c r="I664" s="187">
        <f t="shared" si="705"/>
        <v>8000</v>
      </c>
      <c r="J664" s="187">
        <v>40000</v>
      </c>
      <c r="K664" s="187">
        <f t="shared" si="705"/>
        <v>8000</v>
      </c>
      <c r="L664" s="187">
        <v>40000</v>
      </c>
      <c r="M664" s="110">
        <v>9.5</v>
      </c>
      <c r="N664" s="110">
        <f>VLOOKUP(DATE(YEAR(A664),MONTH(A664),DAY(A664)),FY24_Temp[],3,FALSE)</f>
        <v>12.8</v>
      </c>
      <c r="O664" s="110">
        <f t="shared" si="683"/>
        <v>11.5</v>
      </c>
      <c r="P664" s="110">
        <f t="shared" si="684"/>
        <v>19.5</v>
      </c>
      <c r="Q664" s="111">
        <f>VLOOKUP(VLOOKUP(DATEVALUE(TEXT(A664,"m/d/yyyy")),FY24_Temp[],5,FALSE)&amp;TEXT(A664,"-h"),TempDelta[],4,FALSE)</f>
        <v>1.4252856969833374</v>
      </c>
      <c r="R664" s="112">
        <v>10</v>
      </c>
      <c r="S664" s="112">
        <v>1500</v>
      </c>
      <c r="T664" s="99">
        <f>VLOOKUP(TEXT(A664,"yy-mm")&amp;"-"&amp;IF(AND(WEEKDAY(A664)&gt;1,WEEKDAY(A664)&lt;7),"Wkd",TEXT(A664,"Ddd"))&amp;"-"&amp;TEXT(A664,"hh"),LoadTable[],3,FALSE)*0.92</f>
        <v>279.25312000000002</v>
      </c>
      <c r="U664" s="113">
        <f t="shared" si="685"/>
        <v>27.925312000000002</v>
      </c>
    </row>
    <row r="665" spans="1:21" ht="15" thickBot="1">
      <c r="A665" s="29">
        <f t="shared" si="655"/>
        <v>45863.583333333707</v>
      </c>
      <c r="B665" s="187">
        <f t="shared" ref="B665:L665" si="706">B689</f>
        <v>8000</v>
      </c>
      <c r="C665" s="187">
        <f t="shared" si="706"/>
        <v>25000</v>
      </c>
      <c r="D665" s="187">
        <v>0</v>
      </c>
      <c r="E665" s="187">
        <v>700</v>
      </c>
      <c r="F665" s="187">
        <v>15000</v>
      </c>
      <c r="G665" s="187">
        <f t="shared" si="706"/>
        <v>2400</v>
      </c>
      <c r="H665" s="187">
        <f t="shared" si="706"/>
        <v>25000</v>
      </c>
      <c r="I665" s="187">
        <f t="shared" si="706"/>
        <v>8000</v>
      </c>
      <c r="J665" s="187">
        <v>40000</v>
      </c>
      <c r="K665" s="187">
        <f t="shared" si="706"/>
        <v>8000</v>
      </c>
      <c r="L665" s="187">
        <v>40000</v>
      </c>
      <c r="M665" s="110">
        <v>9.5</v>
      </c>
      <c r="N665" s="110">
        <f>VLOOKUP(DATE(YEAR(A665),MONTH(A665),DAY(A665)),FY24_Temp[],3,FALSE)</f>
        <v>12.8</v>
      </c>
      <c r="O665" s="110">
        <f t="shared" si="683"/>
        <v>11.5</v>
      </c>
      <c r="P665" s="110">
        <f t="shared" si="684"/>
        <v>19.5</v>
      </c>
      <c r="Q665" s="111">
        <f>VLOOKUP(VLOOKUP(DATEVALUE(TEXT(A665,"m/d/yyyy")),FY24_Temp[],5,FALSE)&amp;TEXT(A665,"-h"),TempDelta[],4,FALSE)</f>
        <v>1.2351428781236922</v>
      </c>
      <c r="R665" s="112">
        <v>10</v>
      </c>
      <c r="S665" s="112">
        <v>1500</v>
      </c>
      <c r="T665" s="99">
        <f>VLOOKUP(TEXT(A665,"yy-mm")&amp;"-"&amp;IF(AND(WEEKDAY(A665)&gt;1,WEEKDAY(A665)&lt;7),"Wkd",TEXT(A665,"Ddd"))&amp;"-"&amp;TEXT(A665,"hh"),LoadTable[],3,FALSE)*0.92</f>
        <v>373.26607999999999</v>
      </c>
      <c r="U665" s="113">
        <f t="shared" si="685"/>
        <v>37.326608</v>
      </c>
    </row>
    <row r="666" spans="1:21" ht="15" thickBot="1">
      <c r="A666" s="29">
        <f t="shared" si="655"/>
        <v>45863.625000000371</v>
      </c>
      <c r="B666" s="187">
        <f t="shared" ref="B666:L666" si="707">B690</f>
        <v>8000</v>
      </c>
      <c r="C666" s="187">
        <f t="shared" si="707"/>
        <v>25000</v>
      </c>
      <c r="D666" s="187">
        <v>0</v>
      </c>
      <c r="E666" s="187">
        <v>700</v>
      </c>
      <c r="F666" s="187">
        <v>15000</v>
      </c>
      <c r="G666" s="187">
        <f t="shared" si="707"/>
        <v>2400</v>
      </c>
      <c r="H666" s="187">
        <f t="shared" si="707"/>
        <v>25000</v>
      </c>
      <c r="I666" s="187">
        <f t="shared" si="707"/>
        <v>8000</v>
      </c>
      <c r="J666" s="187">
        <v>40000</v>
      </c>
      <c r="K666" s="187">
        <f t="shared" si="707"/>
        <v>8000</v>
      </c>
      <c r="L666" s="187">
        <v>40000</v>
      </c>
      <c r="M666" s="110">
        <v>9.5</v>
      </c>
      <c r="N666" s="110">
        <f>VLOOKUP(DATE(YEAR(A666),MONTH(A666),DAY(A666)),FY24_Temp[],3,FALSE)</f>
        <v>12.8</v>
      </c>
      <c r="O666" s="110">
        <f t="shared" si="683"/>
        <v>11.5</v>
      </c>
      <c r="P666" s="110">
        <f t="shared" si="684"/>
        <v>19.5</v>
      </c>
      <c r="Q666" s="111">
        <f>VLOOKUP(VLOOKUP(DATEVALUE(TEXT(A666,"m/d/yyyy")),FY24_Temp[],5,FALSE)&amp;TEXT(A666,"-h"),TempDelta[],4,FALSE)</f>
        <v>0.97514284508568905</v>
      </c>
      <c r="R666" s="112">
        <v>10</v>
      </c>
      <c r="S666" s="112">
        <v>1500</v>
      </c>
      <c r="T666" s="99">
        <f>VLOOKUP(TEXT(A666,"yy-mm")&amp;"-"&amp;IF(AND(WEEKDAY(A666)&gt;1,WEEKDAY(A666)&lt;7),"Wkd",TEXT(A666,"Ddd"))&amp;"-"&amp;TEXT(A666,"hh"),LoadTable[],3,FALSE)*0.92</f>
        <v>494.57360000000006</v>
      </c>
      <c r="U666" s="113">
        <f t="shared" si="685"/>
        <v>49.457360000000008</v>
      </c>
    </row>
    <row r="667" spans="1:21" ht="15" thickBot="1">
      <c r="A667" s="29">
        <f t="shared" si="655"/>
        <v>45863.666666667035</v>
      </c>
      <c r="B667" s="187">
        <f t="shared" ref="B667:L667" si="708">B691</f>
        <v>8000</v>
      </c>
      <c r="C667" s="187">
        <f t="shared" si="708"/>
        <v>25000</v>
      </c>
      <c r="D667" s="187">
        <v>0</v>
      </c>
      <c r="E667" s="187">
        <v>700</v>
      </c>
      <c r="F667" s="187">
        <v>15000</v>
      </c>
      <c r="G667" s="187">
        <f t="shared" si="708"/>
        <v>2400</v>
      </c>
      <c r="H667" s="187">
        <f t="shared" si="708"/>
        <v>25000</v>
      </c>
      <c r="I667" s="187">
        <f t="shared" si="708"/>
        <v>8000</v>
      </c>
      <c r="J667" s="187">
        <v>40000</v>
      </c>
      <c r="K667" s="187">
        <f t="shared" si="708"/>
        <v>8000</v>
      </c>
      <c r="L667" s="187">
        <v>40000</v>
      </c>
      <c r="M667" s="110">
        <v>9.5</v>
      </c>
      <c r="N667" s="110">
        <f>VLOOKUP(DATE(YEAR(A667),MONTH(A667),DAY(A667)),FY24_Temp[],3,FALSE)</f>
        <v>12.8</v>
      </c>
      <c r="O667" s="110">
        <f t="shared" si="683"/>
        <v>11.5</v>
      </c>
      <c r="P667" s="110">
        <f t="shared" si="684"/>
        <v>19.5</v>
      </c>
      <c r="Q667" s="111">
        <f>VLOOKUP(VLOOKUP(DATEVALUE(TEXT(A667,"m/d/yyyy")),FY24_Temp[],5,FALSE)&amp;TEXT(A667,"-h"),TempDelta[],4,FALSE)</f>
        <v>0.88578571166310993</v>
      </c>
      <c r="R667" s="112">
        <v>10</v>
      </c>
      <c r="S667" s="112">
        <v>1500</v>
      </c>
      <c r="T667" s="99">
        <f>VLOOKUP(TEXT(A667,"yy-mm")&amp;"-"&amp;IF(AND(WEEKDAY(A667)&gt;1,WEEKDAY(A667)&lt;7),"Wkd",TEXT(A667,"Ddd"))&amp;"-"&amp;TEXT(A667,"hh"),LoadTable[],3,FALSE)*0.92</f>
        <v>494.57360000000006</v>
      </c>
      <c r="U667" s="113">
        <f t="shared" si="685"/>
        <v>49.457360000000008</v>
      </c>
    </row>
    <row r="668" spans="1:21" ht="15" thickBot="1">
      <c r="A668" s="29">
        <f t="shared" si="655"/>
        <v>45863.7083333337</v>
      </c>
      <c r="B668" s="187">
        <f t="shared" ref="B668:L668" si="709">B692</f>
        <v>8000</v>
      </c>
      <c r="C668" s="187">
        <f t="shared" si="709"/>
        <v>25000</v>
      </c>
      <c r="D668" s="187">
        <v>0</v>
      </c>
      <c r="E668" s="187">
        <v>700</v>
      </c>
      <c r="F668" s="187">
        <v>15000</v>
      </c>
      <c r="G668" s="187">
        <f t="shared" si="709"/>
        <v>2400</v>
      </c>
      <c r="H668" s="187">
        <f t="shared" si="709"/>
        <v>25000</v>
      </c>
      <c r="I668" s="187">
        <f t="shared" si="709"/>
        <v>8000</v>
      </c>
      <c r="J668" s="187">
        <v>40000</v>
      </c>
      <c r="K668" s="187">
        <f t="shared" si="709"/>
        <v>8000</v>
      </c>
      <c r="L668" s="187">
        <v>40000</v>
      </c>
      <c r="M668" s="110">
        <v>9.5</v>
      </c>
      <c r="N668" s="110">
        <f>VLOOKUP(DATE(YEAR(A668),MONTH(A668),DAY(A668)),FY24_Temp[],3,FALSE)</f>
        <v>12.8</v>
      </c>
      <c r="O668" s="110">
        <f t="shared" si="683"/>
        <v>11.5</v>
      </c>
      <c r="P668" s="110">
        <f t="shared" si="684"/>
        <v>19.5</v>
      </c>
      <c r="Q668" s="111">
        <f>VLOOKUP(VLOOKUP(DATEVALUE(TEXT(A668,"m/d/yyyy")),FY24_Temp[],5,FALSE)&amp;TEXT(A668,"-h"),TempDelta[],4,FALSE)</f>
        <v>1.0356428495475225</v>
      </c>
      <c r="R668" s="112">
        <v>10</v>
      </c>
      <c r="S668" s="112">
        <v>1500</v>
      </c>
      <c r="T668" s="99">
        <f>VLOOKUP(TEXT(A668,"yy-mm")&amp;"-"&amp;IF(AND(WEEKDAY(A668)&gt;1,WEEKDAY(A668)&lt;7),"Wkd",TEXT(A668,"Ddd"))&amp;"-"&amp;TEXT(A668,"hh"),LoadTable[],3,FALSE)*0.92</f>
        <v>494.57360000000006</v>
      </c>
      <c r="U668" s="113">
        <f t="shared" si="685"/>
        <v>49.457360000000008</v>
      </c>
    </row>
    <row r="669" spans="1:21" ht="15" thickBot="1">
      <c r="A669" s="29">
        <f t="shared" si="655"/>
        <v>45863.750000000364</v>
      </c>
      <c r="B669" s="187">
        <f t="shared" ref="B669:L669" si="710">B693</f>
        <v>5000</v>
      </c>
      <c r="C669" s="187">
        <f t="shared" si="710"/>
        <v>25000</v>
      </c>
      <c r="D669" s="187">
        <v>0</v>
      </c>
      <c r="E669" s="187">
        <v>700</v>
      </c>
      <c r="F669" s="187">
        <v>15000</v>
      </c>
      <c r="G669" s="187">
        <f t="shared" si="710"/>
        <v>2400</v>
      </c>
      <c r="H669" s="187">
        <f t="shared" si="710"/>
        <v>25000</v>
      </c>
      <c r="I669" s="187">
        <f t="shared" si="710"/>
        <v>5000</v>
      </c>
      <c r="J669" s="187">
        <v>40000</v>
      </c>
      <c r="K669" s="187">
        <f t="shared" si="710"/>
        <v>5000</v>
      </c>
      <c r="L669" s="187">
        <v>40000</v>
      </c>
      <c r="M669" s="110">
        <v>9.5</v>
      </c>
      <c r="N669" s="110">
        <f>VLOOKUP(DATE(YEAR(A669),MONTH(A669),DAY(A669)),FY24_Temp[],3,FALSE)</f>
        <v>12.8</v>
      </c>
      <c r="O669" s="110">
        <f t="shared" si="683"/>
        <v>11.5</v>
      </c>
      <c r="P669" s="110">
        <f t="shared" si="684"/>
        <v>19.5</v>
      </c>
      <c r="Q669" s="111">
        <f>VLOOKUP(VLOOKUP(DATEVALUE(TEXT(A669,"m/d/yyyy")),FY24_Temp[],5,FALSE)&amp;TEXT(A669,"-h"),TempDelta[],4,FALSE)</f>
        <v>1.3991428358214242</v>
      </c>
      <c r="R669" s="112">
        <v>10</v>
      </c>
      <c r="S669" s="112">
        <v>1500</v>
      </c>
      <c r="T669" s="99">
        <f>VLOOKUP(TEXT(A669,"yy-mm")&amp;"-"&amp;IF(AND(WEEKDAY(A669)&gt;1,WEEKDAY(A669)&lt;7),"Wkd",TEXT(A669,"Ddd"))&amp;"-"&amp;TEXT(A669,"hh"),LoadTable[],3,FALSE)*0.92</f>
        <v>494.57360000000006</v>
      </c>
      <c r="U669" s="113">
        <f t="shared" si="685"/>
        <v>49.457360000000008</v>
      </c>
    </row>
    <row r="670" spans="1:21" ht="15" thickBot="1">
      <c r="A670" s="29">
        <f t="shared" si="655"/>
        <v>45863.791666667028</v>
      </c>
      <c r="B670" s="187">
        <f t="shared" ref="B670:L670" si="711">B694</f>
        <v>5000</v>
      </c>
      <c r="C670" s="187">
        <f t="shared" si="711"/>
        <v>25000</v>
      </c>
      <c r="D670" s="187">
        <v>0</v>
      </c>
      <c r="E670" s="187">
        <v>700</v>
      </c>
      <c r="F670" s="187">
        <v>15000</v>
      </c>
      <c r="G670" s="187">
        <f t="shared" si="711"/>
        <v>2400</v>
      </c>
      <c r="H670" s="187">
        <f t="shared" si="711"/>
        <v>25000</v>
      </c>
      <c r="I670" s="187">
        <f t="shared" si="711"/>
        <v>5000</v>
      </c>
      <c r="J670" s="187">
        <v>40000</v>
      </c>
      <c r="K670" s="187">
        <f t="shared" si="711"/>
        <v>5000</v>
      </c>
      <c r="L670" s="187">
        <v>40000</v>
      </c>
      <c r="M670" s="110">
        <v>9.5</v>
      </c>
      <c r="N670" s="110">
        <f>VLOOKUP(DATE(YEAR(A670),MONTH(A670),DAY(A670)),FY24_Temp[],3,FALSE)</f>
        <v>12.8</v>
      </c>
      <c r="O670" s="110">
        <f t="shared" si="683"/>
        <v>11.5</v>
      </c>
      <c r="P670" s="110">
        <f t="shared" si="684"/>
        <v>19.5</v>
      </c>
      <c r="Q670" s="111">
        <f>VLOOKUP(VLOOKUP(DATEVALUE(TEXT(A670,"m/d/yyyy")),FY24_Temp[],5,FALSE)&amp;TEXT(A670,"-h"),TempDelta[],4,FALSE)</f>
        <v>1.8638571415628706</v>
      </c>
      <c r="R670" s="112">
        <v>10</v>
      </c>
      <c r="S670" s="112">
        <v>1500</v>
      </c>
      <c r="T670" s="99">
        <f>VLOOKUP(TEXT(A670,"yy-mm")&amp;"-"&amp;IF(AND(WEEKDAY(A670)&gt;1,WEEKDAY(A670)&lt;7),"Wkd",TEXT(A670,"Ddd"))&amp;"-"&amp;TEXT(A670,"hh"),LoadTable[],3,FALSE)*0.92</f>
        <v>494.57360000000006</v>
      </c>
      <c r="U670" s="113">
        <f t="shared" si="685"/>
        <v>49.457360000000008</v>
      </c>
    </row>
    <row r="671" spans="1:21" ht="15" thickBot="1">
      <c r="A671" s="29">
        <f t="shared" si="655"/>
        <v>45863.833333333692</v>
      </c>
      <c r="B671" s="187">
        <f t="shared" ref="B671:L671" si="712">B695</f>
        <v>5000</v>
      </c>
      <c r="C671" s="187">
        <f t="shared" si="712"/>
        <v>25000</v>
      </c>
      <c r="D671" s="187">
        <v>0</v>
      </c>
      <c r="E671" s="187">
        <v>700</v>
      </c>
      <c r="F671" s="187">
        <v>15000</v>
      </c>
      <c r="G671" s="187">
        <f t="shared" si="712"/>
        <v>2400</v>
      </c>
      <c r="H671" s="187">
        <f t="shared" si="712"/>
        <v>25000</v>
      </c>
      <c r="I671" s="187">
        <f t="shared" si="712"/>
        <v>5000</v>
      </c>
      <c r="J671" s="187">
        <v>40000</v>
      </c>
      <c r="K671" s="187">
        <f t="shared" si="712"/>
        <v>5000</v>
      </c>
      <c r="L671" s="187">
        <v>40000</v>
      </c>
      <c r="M671" s="110">
        <v>9.5</v>
      </c>
      <c r="N671" s="110">
        <f>VLOOKUP(DATE(YEAR(A671),MONTH(A671),DAY(A671)),FY24_Temp[],3,FALSE)</f>
        <v>12.8</v>
      </c>
      <c r="O671" s="110">
        <f t="shared" si="683"/>
        <v>11.5</v>
      </c>
      <c r="P671" s="110">
        <f t="shared" si="684"/>
        <v>19.5</v>
      </c>
      <c r="Q671" s="111">
        <f>VLOOKUP(VLOOKUP(DATEVALUE(TEXT(A671,"m/d/yyyy")),FY24_Temp[],5,FALSE)&amp;TEXT(A671,"-h"),TempDelta[],4,FALSE)</f>
        <v>2.300714305468968</v>
      </c>
      <c r="R671" s="112">
        <v>10</v>
      </c>
      <c r="S671" s="112">
        <v>1500</v>
      </c>
      <c r="T671" s="99">
        <f>VLOOKUP(TEXT(A671,"yy-mm")&amp;"-"&amp;IF(AND(WEEKDAY(A671)&gt;1,WEEKDAY(A671)&lt;7),"Wkd",TEXT(A671,"Ddd"))&amp;"-"&amp;TEXT(A671,"hh"),LoadTable[],3,FALSE)*0.92</f>
        <v>494.57360000000006</v>
      </c>
      <c r="U671" s="113">
        <f t="shared" si="685"/>
        <v>49.457360000000008</v>
      </c>
    </row>
    <row r="672" spans="1:21" ht="15" thickBot="1">
      <c r="A672" s="29">
        <f t="shared" si="655"/>
        <v>45863.875000000357</v>
      </c>
      <c r="B672" s="187">
        <f t="shared" ref="B672:L672" si="713">B696</f>
        <v>5000</v>
      </c>
      <c r="C672" s="187">
        <f t="shared" si="713"/>
        <v>25000</v>
      </c>
      <c r="D672" s="187">
        <v>0</v>
      </c>
      <c r="E672" s="187">
        <v>700</v>
      </c>
      <c r="F672" s="187">
        <v>15000</v>
      </c>
      <c r="G672" s="187">
        <f t="shared" si="713"/>
        <v>2400</v>
      </c>
      <c r="H672" s="187">
        <f t="shared" si="713"/>
        <v>25000</v>
      </c>
      <c r="I672" s="187">
        <f t="shared" si="713"/>
        <v>5000</v>
      </c>
      <c r="J672" s="187">
        <v>40000</v>
      </c>
      <c r="K672" s="187">
        <f t="shared" si="713"/>
        <v>5000</v>
      </c>
      <c r="L672" s="187">
        <v>40000</v>
      </c>
      <c r="M672" s="110">
        <v>9.5</v>
      </c>
      <c r="N672" s="110">
        <f>VLOOKUP(DATE(YEAR(A672),MONTH(A672),DAY(A672)),FY24_Temp[],3,FALSE)</f>
        <v>12.8</v>
      </c>
      <c r="O672" s="110">
        <f t="shared" si="683"/>
        <v>11.5</v>
      </c>
      <c r="P672" s="110">
        <f t="shared" si="684"/>
        <v>19.5</v>
      </c>
      <c r="Q672" s="111">
        <f>VLOOKUP(VLOOKUP(DATEVALUE(TEXT(A672,"m/d/yyyy")),FY24_Temp[],5,FALSE)&amp;TEXT(A672,"-h"),TempDelta[],4,FALSE)</f>
        <v>2.554214222090585</v>
      </c>
      <c r="R672" s="112">
        <v>10</v>
      </c>
      <c r="S672" s="112">
        <v>1500</v>
      </c>
      <c r="T672" s="99">
        <f>VLOOKUP(TEXT(A672,"yy-mm")&amp;"-"&amp;IF(AND(WEEKDAY(A672)&gt;1,WEEKDAY(A672)&lt;7),"Wkd",TEXT(A672,"Ddd"))&amp;"-"&amp;TEXT(A672,"hh"),LoadTable[],3,FALSE)*0.92</f>
        <v>494.57360000000006</v>
      </c>
      <c r="U672" s="113">
        <f t="shared" si="685"/>
        <v>49.457360000000008</v>
      </c>
    </row>
    <row r="673" spans="1:21" ht="15" thickBot="1">
      <c r="A673" s="29">
        <f t="shared" si="655"/>
        <v>45863.916666667021</v>
      </c>
      <c r="B673" s="187">
        <f t="shared" ref="B673:L673" si="714">B697</f>
        <v>5000</v>
      </c>
      <c r="C673" s="187">
        <f t="shared" si="714"/>
        <v>25000</v>
      </c>
      <c r="D673" s="187">
        <v>0</v>
      </c>
      <c r="E673" s="187">
        <v>700</v>
      </c>
      <c r="F673" s="187">
        <v>15000</v>
      </c>
      <c r="G673" s="187">
        <f t="shared" si="714"/>
        <v>2400</v>
      </c>
      <c r="H673" s="187">
        <f t="shared" si="714"/>
        <v>25000</v>
      </c>
      <c r="I673" s="187">
        <f t="shared" si="714"/>
        <v>5000</v>
      </c>
      <c r="J673" s="187">
        <v>40000</v>
      </c>
      <c r="K673" s="187">
        <f t="shared" si="714"/>
        <v>5000</v>
      </c>
      <c r="L673" s="187">
        <v>40000</v>
      </c>
      <c r="M673" s="110">
        <v>9.5</v>
      </c>
      <c r="N673" s="110">
        <f>VLOOKUP(DATE(YEAR(A673),MONTH(A673),DAY(A673)),FY24_Temp[],3,FALSE)</f>
        <v>12.8</v>
      </c>
      <c r="O673" s="110">
        <f t="shared" si="683"/>
        <v>11.5</v>
      </c>
      <c r="P673" s="110">
        <f t="shared" si="684"/>
        <v>19.5</v>
      </c>
      <c r="Q673" s="111">
        <f>VLOOKUP(VLOOKUP(DATEVALUE(TEXT(A673,"m/d/yyyy")),FY24_Temp[],5,FALSE)&amp;TEXT(A673,"-h"),TempDelta[],4,FALSE)</f>
        <v>2.7827142647334506</v>
      </c>
      <c r="R673" s="112">
        <v>10</v>
      </c>
      <c r="S673" s="112">
        <v>1500</v>
      </c>
      <c r="T673" s="99">
        <f>VLOOKUP(TEXT(A673,"yy-mm")&amp;"-"&amp;IF(AND(WEEKDAY(A673)&gt;1,WEEKDAY(A673)&lt;7),"Wkd",TEXT(A673,"Ddd"))&amp;"-"&amp;TEXT(A673,"hh"),LoadTable[],3,FALSE)*0.92</f>
        <v>418.75640000000004</v>
      </c>
      <c r="U673" s="113">
        <f t="shared" si="685"/>
        <v>41.875640000000004</v>
      </c>
    </row>
    <row r="674" spans="1:21" ht="15" thickBot="1">
      <c r="A674" s="29">
        <f t="shared" si="655"/>
        <v>45863.958333333685</v>
      </c>
      <c r="B674" s="187">
        <f t="shared" ref="B674:L674" si="715">B698</f>
        <v>5000</v>
      </c>
      <c r="C674" s="187">
        <f t="shared" si="715"/>
        <v>25000</v>
      </c>
      <c r="D674" s="187">
        <v>0</v>
      </c>
      <c r="E674" s="187">
        <v>700</v>
      </c>
      <c r="F674" s="187">
        <v>15000</v>
      </c>
      <c r="G674" s="187">
        <f t="shared" si="715"/>
        <v>2400</v>
      </c>
      <c r="H674" s="187">
        <f t="shared" si="715"/>
        <v>25000</v>
      </c>
      <c r="I674" s="187">
        <f t="shared" si="715"/>
        <v>5000</v>
      </c>
      <c r="J674" s="187">
        <v>40000</v>
      </c>
      <c r="K674" s="187">
        <f t="shared" si="715"/>
        <v>5000</v>
      </c>
      <c r="L674" s="187">
        <v>40000</v>
      </c>
      <c r="M674" s="110">
        <v>9.5</v>
      </c>
      <c r="N674" s="110">
        <f>VLOOKUP(DATE(YEAR(A674),MONTH(A674),DAY(A674)),FY24_Temp[],3,FALSE)</f>
        <v>12.8</v>
      </c>
      <c r="O674" s="110">
        <f t="shared" si="683"/>
        <v>11.5</v>
      </c>
      <c r="P674" s="110">
        <f t="shared" si="684"/>
        <v>19.5</v>
      </c>
      <c r="Q674" s="111">
        <f>VLOOKUP(VLOOKUP(DATEVALUE(TEXT(A674,"m/d/yyyy")),FY24_Temp[],5,FALSE)&amp;TEXT(A674,"-h"),TempDelta[],4,FALSE)</f>
        <v>2.8792857101985385</v>
      </c>
      <c r="R674" s="112">
        <v>10</v>
      </c>
      <c r="S674" s="112">
        <v>1500</v>
      </c>
      <c r="T674" s="99">
        <f>VLOOKUP(TEXT(A674,"yy-mm")&amp;"-"&amp;IF(AND(WEEKDAY(A674)&gt;1,WEEKDAY(A674)&lt;7),"Wkd",TEXT(A674,"Ddd"))&amp;"-"&amp;TEXT(A674,"hh"),LoadTable[],3,FALSE)*0.92</f>
        <v>342.93920000000003</v>
      </c>
      <c r="U674" s="113">
        <f t="shared" si="685"/>
        <v>34.29392</v>
      </c>
    </row>
    <row r="675" spans="1:21" ht="15" thickBot="1">
      <c r="A675" s="29">
        <f t="shared" si="655"/>
        <v>45864.000000000349</v>
      </c>
      <c r="B675" s="187">
        <f t="shared" ref="B675:L675" si="716">B699</f>
        <v>5000</v>
      </c>
      <c r="C675" s="187">
        <f t="shared" si="716"/>
        <v>25000</v>
      </c>
      <c r="D675" s="187">
        <v>0</v>
      </c>
      <c r="E675" s="187">
        <v>700</v>
      </c>
      <c r="F675" s="187">
        <v>15000</v>
      </c>
      <c r="G675" s="187">
        <f t="shared" si="716"/>
        <v>2400</v>
      </c>
      <c r="H675" s="187">
        <f t="shared" si="716"/>
        <v>25000</v>
      </c>
      <c r="I675" s="187">
        <f t="shared" si="716"/>
        <v>5000</v>
      </c>
      <c r="J675" s="187">
        <v>40000</v>
      </c>
      <c r="K675" s="187">
        <f t="shared" si="716"/>
        <v>5000</v>
      </c>
      <c r="L675" s="187">
        <v>40000</v>
      </c>
      <c r="M675" s="110">
        <v>9.5</v>
      </c>
      <c r="N675" s="110">
        <f>VLOOKUP(DATE(YEAR(A675),MONTH(A675),DAY(A675)),FY24_Temp[],3,FALSE)</f>
        <v>13.5</v>
      </c>
      <c r="O675" s="110">
        <f t="shared" si="683"/>
        <v>11.5</v>
      </c>
      <c r="P675" s="110">
        <f t="shared" si="684"/>
        <v>19.5</v>
      </c>
      <c r="Q675" s="111">
        <f>VLOOKUP(VLOOKUP(DATEVALUE(TEXT(A675,"m/d/yyyy")),FY24_Temp[],5,FALSE)&amp;TEXT(A675,"-h"),TempDelta[],4,FALSE)</f>
        <v>3.0441428933824812</v>
      </c>
      <c r="R675" s="112">
        <v>10</v>
      </c>
      <c r="S675" s="112">
        <v>1500</v>
      </c>
      <c r="T675" s="99">
        <f>VLOOKUP(TEXT(A675,"yy-mm")&amp;"-"&amp;IF(AND(WEEKDAY(A675)&gt;1,WEEKDAY(A675)&lt;7),"Wkd",TEXT(A675,"Ddd"))&amp;"-"&amp;TEXT(A675,"hh"),LoadTable[],3,FALSE)*0.92</f>
        <v>279.25312000000002</v>
      </c>
      <c r="U675" s="113">
        <f t="shared" si="685"/>
        <v>27.925312000000002</v>
      </c>
    </row>
    <row r="676" spans="1:21" ht="15" thickBot="1">
      <c r="A676" s="29">
        <f t="shared" si="655"/>
        <v>45864.041666667013</v>
      </c>
      <c r="B676" s="187">
        <f t="shared" ref="B676:L676" si="717">B700</f>
        <v>5000</v>
      </c>
      <c r="C676" s="187">
        <f t="shared" si="717"/>
        <v>25000</v>
      </c>
      <c r="D676" s="187">
        <v>0</v>
      </c>
      <c r="E676" s="187">
        <v>700</v>
      </c>
      <c r="F676" s="187">
        <v>15000</v>
      </c>
      <c r="G676" s="187">
        <f t="shared" si="717"/>
        <v>2400</v>
      </c>
      <c r="H676" s="187">
        <f t="shared" si="717"/>
        <v>25000</v>
      </c>
      <c r="I676" s="187">
        <f t="shared" si="717"/>
        <v>5000</v>
      </c>
      <c r="J676" s="187">
        <v>40000</v>
      </c>
      <c r="K676" s="187">
        <f t="shared" si="717"/>
        <v>5000</v>
      </c>
      <c r="L676" s="187">
        <v>40000</v>
      </c>
      <c r="M676" s="110">
        <v>9.5</v>
      </c>
      <c r="N676" s="110">
        <f>VLOOKUP(DATE(YEAR(A676),MONTH(A676),DAY(A676)),FY24_Temp[],3,FALSE)</f>
        <v>13.5</v>
      </c>
      <c r="O676" s="110">
        <f t="shared" si="683"/>
        <v>11.5</v>
      </c>
      <c r="P676" s="110">
        <f t="shared" si="684"/>
        <v>19.5</v>
      </c>
      <c r="Q676" s="111">
        <f>VLOOKUP(VLOOKUP(DATEVALUE(TEXT(A676,"m/d/yyyy")),FY24_Temp[],5,FALSE)&amp;TEXT(A676,"-h"),TempDelta[],4,FALSE)</f>
        <v>3.0992857047489712</v>
      </c>
      <c r="R676" s="112">
        <v>10</v>
      </c>
      <c r="S676" s="112">
        <v>1500</v>
      </c>
      <c r="T676" s="99">
        <f>VLOOKUP(TEXT(A676,"yy-mm")&amp;"-"&amp;IF(AND(WEEKDAY(A676)&gt;1,WEEKDAY(A676)&lt;7),"Wkd",TEXT(A676,"Ddd"))&amp;"-"&amp;TEXT(A676,"hh"),LoadTable[],3,FALSE)*0.92</f>
        <v>279.25312000000002</v>
      </c>
      <c r="U676" s="113">
        <f t="shared" si="685"/>
        <v>27.925312000000002</v>
      </c>
    </row>
    <row r="677" spans="1:21" ht="15" thickBot="1">
      <c r="A677" s="29">
        <f t="shared" si="655"/>
        <v>45864.083333333678</v>
      </c>
      <c r="B677" s="187">
        <f t="shared" ref="B677:L677" si="718">B701</f>
        <v>5000</v>
      </c>
      <c r="C677" s="187">
        <f t="shared" si="718"/>
        <v>25000</v>
      </c>
      <c r="D677" s="187">
        <v>0</v>
      </c>
      <c r="E677" s="187">
        <v>700</v>
      </c>
      <c r="F677" s="187">
        <v>15000</v>
      </c>
      <c r="G677" s="187">
        <f t="shared" si="718"/>
        <v>2400</v>
      </c>
      <c r="H677" s="187">
        <f t="shared" si="718"/>
        <v>25000</v>
      </c>
      <c r="I677" s="187">
        <f t="shared" si="718"/>
        <v>5000</v>
      </c>
      <c r="J677" s="187">
        <v>40000</v>
      </c>
      <c r="K677" s="187">
        <f t="shared" si="718"/>
        <v>5000</v>
      </c>
      <c r="L677" s="187">
        <v>40000</v>
      </c>
      <c r="M677" s="110">
        <v>9.5</v>
      </c>
      <c r="N677" s="110">
        <f>VLOOKUP(DATE(YEAR(A677),MONTH(A677),DAY(A677)),FY24_Temp[],3,FALSE)</f>
        <v>13.5</v>
      </c>
      <c r="O677" s="110">
        <f t="shared" si="683"/>
        <v>11.5</v>
      </c>
      <c r="P677" s="110">
        <f t="shared" si="684"/>
        <v>19.5</v>
      </c>
      <c r="Q677" s="111">
        <f>VLOOKUP(VLOOKUP(DATEVALUE(TEXT(A677,"m/d/yyyy")),FY24_Temp[],5,FALSE)&amp;TEXT(A677,"-h"),TempDelta[],4,FALSE)</f>
        <v>3.1050000190734863</v>
      </c>
      <c r="R677" s="112">
        <v>10</v>
      </c>
      <c r="S677" s="112">
        <v>1500</v>
      </c>
      <c r="T677" s="99">
        <f>VLOOKUP(TEXT(A677,"yy-mm")&amp;"-"&amp;IF(AND(WEEKDAY(A677)&gt;1,WEEKDAY(A677)&lt;7),"Wkd",TEXT(A677,"Ddd"))&amp;"-"&amp;TEXT(A677,"hh"),LoadTable[],3,FALSE)*0.92</f>
        <v>279.25312000000002</v>
      </c>
      <c r="U677" s="113">
        <f t="shared" si="685"/>
        <v>27.925312000000002</v>
      </c>
    </row>
    <row r="678" spans="1:21" ht="15" thickBot="1">
      <c r="A678" s="29">
        <f t="shared" si="655"/>
        <v>45864.125000000342</v>
      </c>
      <c r="B678" s="187">
        <f t="shared" ref="B678:L678" si="719">B702</f>
        <v>5000</v>
      </c>
      <c r="C678" s="187">
        <f t="shared" si="719"/>
        <v>25000</v>
      </c>
      <c r="D678" s="187">
        <v>0</v>
      </c>
      <c r="E678" s="187">
        <v>700</v>
      </c>
      <c r="F678" s="187">
        <v>15000</v>
      </c>
      <c r="G678" s="187">
        <f t="shared" si="719"/>
        <v>2400</v>
      </c>
      <c r="H678" s="187">
        <f t="shared" si="719"/>
        <v>25000</v>
      </c>
      <c r="I678" s="187">
        <f t="shared" si="719"/>
        <v>5000</v>
      </c>
      <c r="J678" s="187">
        <v>40000</v>
      </c>
      <c r="K678" s="187">
        <f t="shared" si="719"/>
        <v>5000</v>
      </c>
      <c r="L678" s="187">
        <v>40000</v>
      </c>
      <c r="M678" s="110">
        <v>9.5</v>
      </c>
      <c r="N678" s="110">
        <f>VLOOKUP(DATE(YEAR(A678),MONTH(A678),DAY(A678)),FY24_Temp[],3,FALSE)</f>
        <v>13.5</v>
      </c>
      <c r="O678" s="110">
        <f t="shared" si="683"/>
        <v>11.5</v>
      </c>
      <c r="P678" s="110">
        <f t="shared" si="684"/>
        <v>19.5</v>
      </c>
      <c r="Q678" s="111">
        <f>VLOOKUP(VLOOKUP(DATEVALUE(TEXT(A678,"m/d/yyyy")),FY24_Temp[],5,FALSE)&amp;TEXT(A678,"-h"),TempDelta[],4,FALSE)</f>
        <v>3.0428571701049805</v>
      </c>
      <c r="R678" s="112">
        <v>10</v>
      </c>
      <c r="S678" s="112">
        <v>1500</v>
      </c>
      <c r="T678" s="99">
        <f>VLOOKUP(TEXT(A678,"yy-mm")&amp;"-"&amp;IF(AND(WEEKDAY(A678)&gt;1,WEEKDAY(A678)&lt;7),"Wkd",TEXT(A678,"Ddd"))&amp;"-"&amp;TEXT(A678,"hh"),LoadTable[],3,FALSE)*0.92</f>
        <v>279.25312000000002</v>
      </c>
      <c r="U678" s="113">
        <f t="shared" si="685"/>
        <v>27.925312000000002</v>
      </c>
    </row>
    <row r="679" spans="1:21" ht="15" thickBot="1">
      <c r="A679" s="29">
        <f t="shared" si="655"/>
        <v>45864.166666667006</v>
      </c>
      <c r="B679" s="187">
        <f t="shared" ref="B679:L679" si="720">B703</f>
        <v>5000</v>
      </c>
      <c r="C679" s="187">
        <f t="shared" si="720"/>
        <v>25000</v>
      </c>
      <c r="D679" s="187">
        <v>0</v>
      </c>
      <c r="E679" s="187">
        <v>700</v>
      </c>
      <c r="F679" s="187">
        <v>15000</v>
      </c>
      <c r="G679" s="187">
        <f t="shared" si="720"/>
        <v>2400</v>
      </c>
      <c r="H679" s="187">
        <f t="shared" si="720"/>
        <v>25000</v>
      </c>
      <c r="I679" s="187">
        <f t="shared" si="720"/>
        <v>5000</v>
      </c>
      <c r="J679" s="187">
        <v>40000</v>
      </c>
      <c r="K679" s="187">
        <f t="shared" si="720"/>
        <v>5000</v>
      </c>
      <c r="L679" s="187">
        <v>40000</v>
      </c>
      <c r="M679" s="110">
        <v>9.5</v>
      </c>
      <c r="N679" s="110">
        <f>VLOOKUP(DATE(YEAR(A679),MONTH(A679),DAY(A679)),FY24_Temp[],3,FALSE)</f>
        <v>13.5</v>
      </c>
      <c r="O679" s="110">
        <f t="shared" si="683"/>
        <v>11.5</v>
      </c>
      <c r="P679" s="110">
        <f t="shared" si="684"/>
        <v>19.5</v>
      </c>
      <c r="Q679" s="111">
        <f>VLOOKUP(VLOOKUP(DATEVALUE(TEXT(A679,"m/d/yyyy")),FY24_Temp[],5,FALSE)&amp;TEXT(A679,"-h"),TempDelta[],4,FALSE)</f>
        <v>2.9580000468662808</v>
      </c>
      <c r="R679" s="112">
        <v>10</v>
      </c>
      <c r="S679" s="112">
        <v>1500</v>
      </c>
      <c r="T679" s="99">
        <f>VLOOKUP(TEXT(A679,"yy-mm")&amp;"-"&amp;IF(AND(WEEKDAY(A679)&gt;1,WEEKDAY(A679)&lt;7),"Wkd",TEXT(A679,"Ddd"))&amp;"-"&amp;TEXT(A679,"hh"),LoadTable[],3,FALSE)*0.92</f>
        <v>279.25312000000002</v>
      </c>
      <c r="U679" s="113">
        <f t="shared" si="685"/>
        <v>27.925312000000002</v>
      </c>
    </row>
    <row r="680" spans="1:21" ht="15" thickBot="1">
      <c r="A680" s="29">
        <f t="shared" si="655"/>
        <v>45864.20833333367</v>
      </c>
      <c r="B680" s="187">
        <f t="shared" ref="B680:L680" si="721">B704</f>
        <v>5000</v>
      </c>
      <c r="C680" s="187">
        <f t="shared" si="721"/>
        <v>25000</v>
      </c>
      <c r="D680" s="187">
        <v>0</v>
      </c>
      <c r="E680" s="187">
        <v>700</v>
      </c>
      <c r="F680" s="187">
        <v>15000</v>
      </c>
      <c r="G680" s="187">
        <f t="shared" si="721"/>
        <v>2400</v>
      </c>
      <c r="H680" s="187">
        <f t="shared" si="721"/>
        <v>25000</v>
      </c>
      <c r="I680" s="187">
        <f t="shared" si="721"/>
        <v>5000</v>
      </c>
      <c r="J680" s="187">
        <v>40000</v>
      </c>
      <c r="K680" s="187">
        <f t="shared" si="721"/>
        <v>5000</v>
      </c>
      <c r="L680" s="187">
        <v>40000</v>
      </c>
      <c r="M680" s="110">
        <v>9.5</v>
      </c>
      <c r="N680" s="110">
        <f>VLOOKUP(DATE(YEAR(A680),MONTH(A680),DAY(A680)),FY24_Temp[],3,FALSE)</f>
        <v>13.5</v>
      </c>
      <c r="O680" s="110">
        <f t="shared" si="683"/>
        <v>11.5</v>
      </c>
      <c r="P680" s="110">
        <f t="shared" si="684"/>
        <v>19.5</v>
      </c>
      <c r="Q680" s="111">
        <f>VLOOKUP(VLOOKUP(DATEVALUE(TEXT(A680,"m/d/yyyy")),FY24_Temp[],5,FALSE)&amp;TEXT(A680,"-h"),TempDelta[],4,FALSE)</f>
        <v>2.8608571801866804</v>
      </c>
      <c r="R680" s="112">
        <v>10</v>
      </c>
      <c r="S680" s="112">
        <v>1500</v>
      </c>
      <c r="T680" s="99">
        <f>VLOOKUP(TEXT(A680,"yy-mm")&amp;"-"&amp;IF(AND(WEEKDAY(A680)&gt;1,WEEKDAY(A680)&lt;7),"Wkd",TEXT(A680,"Ddd"))&amp;"-"&amp;TEXT(A680,"hh"),LoadTable[],3,FALSE)*0.92</f>
        <v>279.25312000000002</v>
      </c>
      <c r="U680" s="113">
        <f t="shared" si="685"/>
        <v>27.925312000000002</v>
      </c>
    </row>
    <row r="681" spans="1:21" ht="15" thickBot="1">
      <c r="A681" s="29">
        <f t="shared" si="655"/>
        <v>45864.250000000335</v>
      </c>
      <c r="B681" s="187">
        <f t="shared" ref="B681:L681" si="722">B705</f>
        <v>8000</v>
      </c>
      <c r="C681" s="187">
        <f t="shared" si="722"/>
        <v>25000</v>
      </c>
      <c r="D681" s="187">
        <v>0</v>
      </c>
      <c r="E681" s="187">
        <v>700</v>
      </c>
      <c r="F681" s="187">
        <v>15000</v>
      </c>
      <c r="G681" s="187">
        <f t="shared" si="722"/>
        <v>2400</v>
      </c>
      <c r="H681" s="187">
        <f t="shared" si="722"/>
        <v>25000</v>
      </c>
      <c r="I681" s="187">
        <f t="shared" si="722"/>
        <v>8000</v>
      </c>
      <c r="J681" s="187">
        <v>40000</v>
      </c>
      <c r="K681" s="187">
        <f t="shared" si="722"/>
        <v>8000</v>
      </c>
      <c r="L681" s="187">
        <v>40000</v>
      </c>
      <c r="M681" s="110">
        <v>9.5</v>
      </c>
      <c r="N681" s="110">
        <f>VLOOKUP(DATE(YEAR(A681),MONTH(A681),DAY(A681)),FY24_Temp[],3,FALSE)</f>
        <v>13.5</v>
      </c>
      <c r="O681" s="110">
        <f t="shared" si="683"/>
        <v>11.5</v>
      </c>
      <c r="P681" s="110">
        <f t="shared" si="684"/>
        <v>19.5</v>
      </c>
      <c r="Q681" s="111">
        <f>VLOOKUP(VLOOKUP(DATEVALUE(TEXT(A681,"m/d/yyyy")),FY24_Temp[],5,FALSE)&amp;TEXT(A681,"-h"),TempDelta[],4,FALSE)</f>
        <v>2.7405714307512556</v>
      </c>
      <c r="R681" s="112">
        <v>10</v>
      </c>
      <c r="S681" s="112">
        <v>1500</v>
      </c>
      <c r="T681" s="99">
        <f>VLOOKUP(TEXT(A681,"yy-mm")&amp;"-"&amp;IF(AND(WEEKDAY(A681)&gt;1,WEEKDAY(A681)&lt;7),"Wkd",TEXT(A681,"Ddd"))&amp;"-"&amp;TEXT(A681,"hh"),LoadTable[],3,FALSE)*0.92</f>
        <v>279.25312000000002</v>
      </c>
      <c r="U681" s="113">
        <f t="shared" si="685"/>
        <v>27.925312000000002</v>
      </c>
    </row>
    <row r="682" spans="1:21" ht="15" thickBot="1">
      <c r="A682" s="29">
        <f t="shared" ref="A682:A745" si="723">A683-TIME(1,0,0)</f>
        <v>45864.291666666999</v>
      </c>
      <c r="B682" s="187">
        <f t="shared" ref="B682:L682" si="724">B706</f>
        <v>8000</v>
      </c>
      <c r="C682" s="187">
        <f t="shared" si="724"/>
        <v>25000</v>
      </c>
      <c r="D682" s="187">
        <v>0</v>
      </c>
      <c r="E682" s="187">
        <v>700</v>
      </c>
      <c r="F682" s="187">
        <v>15000</v>
      </c>
      <c r="G682" s="187">
        <f t="shared" si="724"/>
        <v>2400</v>
      </c>
      <c r="H682" s="187">
        <f t="shared" si="724"/>
        <v>25000</v>
      </c>
      <c r="I682" s="187">
        <f t="shared" si="724"/>
        <v>8000</v>
      </c>
      <c r="J682" s="187">
        <v>40000</v>
      </c>
      <c r="K682" s="187">
        <f t="shared" si="724"/>
        <v>8000</v>
      </c>
      <c r="L682" s="187">
        <v>40000</v>
      </c>
      <c r="M682" s="110">
        <v>9.5</v>
      </c>
      <c r="N682" s="110">
        <f>VLOOKUP(DATE(YEAR(A682),MONTH(A682),DAY(A682)),FY24_Temp[],3,FALSE)</f>
        <v>13.5</v>
      </c>
      <c r="O682" s="110">
        <f t="shared" si="683"/>
        <v>11.5</v>
      </c>
      <c r="P682" s="110">
        <f t="shared" si="684"/>
        <v>19.5</v>
      </c>
      <c r="Q682" s="111">
        <f>VLOOKUP(VLOOKUP(DATEVALUE(TEXT(A682,"m/d/yyyy")),FY24_Temp[],5,FALSE)&amp;TEXT(A682,"-h"),TempDelta[],4,FALSE)</f>
        <v>2.6134285245622908</v>
      </c>
      <c r="R682" s="112">
        <v>10</v>
      </c>
      <c r="S682" s="112">
        <v>1500</v>
      </c>
      <c r="T682" s="99">
        <f>VLOOKUP(TEXT(A682,"yy-mm")&amp;"-"&amp;IF(AND(WEEKDAY(A682)&gt;1,WEEKDAY(A682)&lt;7),"Wkd",TEXT(A682,"Ddd"))&amp;"-"&amp;TEXT(A682,"hh"),LoadTable[],3,FALSE)*0.92</f>
        <v>279.25312000000002</v>
      </c>
      <c r="U682" s="113">
        <f t="shared" si="685"/>
        <v>27.925312000000002</v>
      </c>
    </row>
    <row r="683" spans="1:21" ht="15" thickBot="1">
      <c r="A683" s="29">
        <f t="shared" si="723"/>
        <v>45864.333333333663</v>
      </c>
      <c r="B683" s="187">
        <f t="shared" ref="B683:L683" si="725">B707</f>
        <v>8000</v>
      </c>
      <c r="C683" s="187">
        <f t="shared" si="725"/>
        <v>25000</v>
      </c>
      <c r="D683" s="187">
        <v>0</v>
      </c>
      <c r="E683" s="187">
        <v>700</v>
      </c>
      <c r="F683" s="187">
        <v>15000</v>
      </c>
      <c r="G683" s="187">
        <f t="shared" si="725"/>
        <v>2400</v>
      </c>
      <c r="H683" s="187">
        <f t="shared" si="725"/>
        <v>25000</v>
      </c>
      <c r="I683" s="187">
        <f t="shared" si="725"/>
        <v>8000</v>
      </c>
      <c r="J683" s="187">
        <v>40000</v>
      </c>
      <c r="K683" s="187">
        <f t="shared" si="725"/>
        <v>8000</v>
      </c>
      <c r="L683" s="187">
        <v>40000</v>
      </c>
      <c r="M683" s="110">
        <v>9.5</v>
      </c>
      <c r="N683" s="110">
        <f>VLOOKUP(DATE(YEAR(A683),MONTH(A683),DAY(A683)),FY24_Temp[],3,FALSE)</f>
        <v>13.5</v>
      </c>
      <c r="O683" s="110">
        <f t="shared" si="683"/>
        <v>11.5</v>
      </c>
      <c r="P683" s="110">
        <f t="shared" si="684"/>
        <v>19.5</v>
      </c>
      <c r="Q683" s="111">
        <f>VLOOKUP(VLOOKUP(DATEVALUE(TEXT(A683,"m/d/yyyy")),FY24_Temp[],5,FALSE)&amp;TEXT(A683,"-h"),TempDelta[],4,FALSE)</f>
        <v>2.44985716683524</v>
      </c>
      <c r="R683" s="112">
        <v>10</v>
      </c>
      <c r="S683" s="112">
        <v>1500</v>
      </c>
      <c r="T683" s="99">
        <f>VLOOKUP(TEXT(A683,"yy-mm")&amp;"-"&amp;IF(AND(WEEKDAY(A683)&gt;1,WEEKDAY(A683)&lt;7),"Wkd",TEXT(A683,"Ddd"))&amp;"-"&amp;TEXT(A683,"hh"),LoadTable[],3,FALSE)*0.92</f>
        <v>279.25312000000002</v>
      </c>
      <c r="U683" s="113">
        <f t="shared" si="685"/>
        <v>27.925312000000002</v>
      </c>
    </row>
    <row r="684" spans="1:21" ht="15" thickBot="1">
      <c r="A684" s="29">
        <f t="shared" si="723"/>
        <v>45864.375000000327</v>
      </c>
      <c r="B684" s="187">
        <f t="shared" ref="B684:L684" si="726">B708</f>
        <v>8000</v>
      </c>
      <c r="C684" s="187">
        <f t="shared" si="726"/>
        <v>25000</v>
      </c>
      <c r="D684" s="187">
        <v>0</v>
      </c>
      <c r="E684" s="187">
        <v>700</v>
      </c>
      <c r="F684" s="187">
        <v>15000</v>
      </c>
      <c r="G684" s="187">
        <f t="shared" si="726"/>
        <v>2400</v>
      </c>
      <c r="H684" s="187">
        <f t="shared" si="726"/>
        <v>25000</v>
      </c>
      <c r="I684" s="187">
        <f t="shared" si="726"/>
        <v>8000</v>
      </c>
      <c r="J684" s="187">
        <v>40000</v>
      </c>
      <c r="K684" s="187">
        <f t="shared" si="726"/>
        <v>8000</v>
      </c>
      <c r="L684" s="187">
        <v>40000</v>
      </c>
      <c r="M684" s="110">
        <v>9.5</v>
      </c>
      <c r="N684" s="110">
        <f>VLOOKUP(DATE(YEAR(A684),MONTH(A684),DAY(A684)),FY24_Temp[],3,FALSE)</f>
        <v>13.5</v>
      </c>
      <c r="O684" s="110">
        <f t="shared" si="683"/>
        <v>11.5</v>
      </c>
      <c r="P684" s="110">
        <f t="shared" si="684"/>
        <v>19.5</v>
      </c>
      <c r="Q684" s="111">
        <f>VLOOKUP(VLOOKUP(DATEVALUE(TEXT(A684,"m/d/yyyy")),FY24_Temp[],5,FALSE)&amp;TEXT(A684,"-h"),TempDelta[],4,FALSE)</f>
        <v>2.2458571025303433</v>
      </c>
      <c r="R684" s="112">
        <v>10</v>
      </c>
      <c r="S684" s="112">
        <v>1500</v>
      </c>
      <c r="T684" s="99">
        <f>VLOOKUP(TEXT(A684,"yy-mm")&amp;"-"&amp;IF(AND(WEEKDAY(A684)&gt;1,WEEKDAY(A684)&lt;7),"Wkd",TEXT(A684,"Ddd"))&amp;"-"&amp;TEXT(A684,"hh"),LoadTable[],3,FALSE)*0.92</f>
        <v>279.25312000000002</v>
      </c>
      <c r="U684" s="113">
        <f t="shared" si="685"/>
        <v>27.925312000000002</v>
      </c>
    </row>
    <row r="685" spans="1:21" ht="15" thickBot="1">
      <c r="A685" s="29">
        <f t="shared" si="723"/>
        <v>45864.416666666992</v>
      </c>
      <c r="B685" s="187">
        <f t="shared" ref="B685:L685" si="727">B709</f>
        <v>8000</v>
      </c>
      <c r="C685" s="187">
        <f t="shared" si="727"/>
        <v>25000</v>
      </c>
      <c r="D685" s="187">
        <v>0</v>
      </c>
      <c r="E685" s="187">
        <v>700</v>
      </c>
      <c r="F685" s="187">
        <v>15000</v>
      </c>
      <c r="G685" s="187">
        <f t="shared" si="727"/>
        <v>2400</v>
      </c>
      <c r="H685" s="187">
        <f t="shared" si="727"/>
        <v>25000</v>
      </c>
      <c r="I685" s="187">
        <f t="shared" si="727"/>
        <v>8000</v>
      </c>
      <c r="J685" s="187">
        <v>40000</v>
      </c>
      <c r="K685" s="187">
        <f t="shared" si="727"/>
        <v>8000</v>
      </c>
      <c r="L685" s="187">
        <v>40000</v>
      </c>
      <c r="M685" s="110">
        <v>9.5</v>
      </c>
      <c r="N685" s="110">
        <f>VLOOKUP(DATE(YEAR(A685),MONTH(A685),DAY(A685)),FY24_Temp[],3,FALSE)</f>
        <v>13.5</v>
      </c>
      <c r="O685" s="110">
        <f t="shared" si="683"/>
        <v>11.5</v>
      </c>
      <c r="P685" s="110">
        <f t="shared" si="684"/>
        <v>19.5</v>
      </c>
      <c r="Q685" s="111">
        <f>VLOOKUP(VLOOKUP(DATEVALUE(TEXT(A685,"m/d/yyyy")),FY24_Temp[],5,FALSE)&amp;TEXT(A685,"-h"),TempDelta[],4,FALSE)</f>
        <v>2.0832857234137401</v>
      </c>
      <c r="R685" s="112">
        <v>10</v>
      </c>
      <c r="S685" s="112">
        <v>1500</v>
      </c>
      <c r="T685" s="99">
        <f>VLOOKUP(TEXT(A685,"yy-mm")&amp;"-"&amp;IF(AND(WEEKDAY(A685)&gt;1,WEEKDAY(A685)&lt;7),"Wkd",TEXT(A685,"Ddd"))&amp;"-"&amp;TEXT(A685,"hh"),LoadTable[],3,FALSE)*0.92</f>
        <v>279.25312000000002</v>
      </c>
      <c r="U685" s="113">
        <f t="shared" si="685"/>
        <v>27.925312000000002</v>
      </c>
    </row>
    <row r="686" spans="1:21" ht="15" thickBot="1">
      <c r="A686" s="29">
        <f t="shared" si="723"/>
        <v>45864.458333333656</v>
      </c>
      <c r="B686" s="187">
        <f t="shared" ref="B686:L686" si="728">B710</f>
        <v>8000</v>
      </c>
      <c r="C686" s="187">
        <f t="shared" si="728"/>
        <v>25000</v>
      </c>
      <c r="D686" s="187">
        <v>0</v>
      </c>
      <c r="E686" s="187">
        <v>700</v>
      </c>
      <c r="F686" s="187">
        <v>15000</v>
      </c>
      <c r="G686" s="187">
        <f t="shared" si="728"/>
        <v>2400</v>
      </c>
      <c r="H686" s="187">
        <f t="shared" si="728"/>
        <v>25000</v>
      </c>
      <c r="I686" s="187">
        <f t="shared" si="728"/>
        <v>8000</v>
      </c>
      <c r="J686" s="187">
        <v>40000</v>
      </c>
      <c r="K686" s="187">
        <f t="shared" si="728"/>
        <v>8000</v>
      </c>
      <c r="L686" s="187">
        <v>40000</v>
      </c>
      <c r="M686" s="110">
        <v>9.5</v>
      </c>
      <c r="N686" s="110">
        <f>VLOOKUP(DATE(YEAR(A686),MONTH(A686),DAY(A686)),FY24_Temp[],3,FALSE)</f>
        <v>13.5</v>
      </c>
      <c r="O686" s="110">
        <f t="shared" si="683"/>
        <v>11.5</v>
      </c>
      <c r="P686" s="110">
        <f t="shared" si="684"/>
        <v>19.5</v>
      </c>
      <c r="Q686" s="111">
        <f>VLOOKUP(VLOOKUP(DATEVALUE(TEXT(A686,"m/d/yyyy")),FY24_Temp[],5,FALSE)&amp;TEXT(A686,"-h"),TempDelta[],4,FALSE)</f>
        <v>1.8928571258272444</v>
      </c>
      <c r="R686" s="112">
        <v>10</v>
      </c>
      <c r="S686" s="112">
        <v>1500</v>
      </c>
      <c r="T686" s="99">
        <f>VLOOKUP(TEXT(A686,"yy-mm")&amp;"-"&amp;IF(AND(WEEKDAY(A686)&gt;1,WEEKDAY(A686)&lt;7),"Wkd",TEXT(A686,"Ddd"))&amp;"-"&amp;TEXT(A686,"hh"),LoadTable[],3,FALSE)*0.92</f>
        <v>279.25312000000002</v>
      </c>
      <c r="U686" s="113">
        <f t="shared" si="685"/>
        <v>27.925312000000002</v>
      </c>
    </row>
    <row r="687" spans="1:21" ht="15" thickBot="1">
      <c r="A687" s="29">
        <f t="shared" si="723"/>
        <v>45864.50000000032</v>
      </c>
      <c r="B687" s="187">
        <f t="shared" ref="B687:L687" si="729">B711</f>
        <v>8000</v>
      </c>
      <c r="C687" s="187">
        <f t="shared" si="729"/>
        <v>25000</v>
      </c>
      <c r="D687" s="187">
        <v>0</v>
      </c>
      <c r="E687" s="187">
        <v>700</v>
      </c>
      <c r="F687" s="187">
        <v>15000</v>
      </c>
      <c r="G687" s="187">
        <f t="shared" si="729"/>
        <v>2400</v>
      </c>
      <c r="H687" s="187">
        <f t="shared" si="729"/>
        <v>25000</v>
      </c>
      <c r="I687" s="187">
        <f t="shared" si="729"/>
        <v>8000</v>
      </c>
      <c r="J687" s="187">
        <v>40000</v>
      </c>
      <c r="K687" s="187">
        <f t="shared" si="729"/>
        <v>8000</v>
      </c>
      <c r="L687" s="187">
        <v>40000</v>
      </c>
      <c r="M687" s="110">
        <v>9.5</v>
      </c>
      <c r="N687" s="110">
        <f>VLOOKUP(DATE(YEAR(A687),MONTH(A687),DAY(A687)),FY24_Temp[],3,FALSE)</f>
        <v>13.5</v>
      </c>
      <c r="O687" s="110">
        <f t="shared" si="683"/>
        <v>11.5</v>
      </c>
      <c r="P687" s="110">
        <f t="shared" si="684"/>
        <v>19.5</v>
      </c>
      <c r="Q687" s="111">
        <f>VLOOKUP(VLOOKUP(DATEVALUE(TEXT(A687,"m/d/yyyy")),FY24_Temp[],5,FALSE)&amp;TEXT(A687,"-h"),TempDelta[],4,FALSE)</f>
        <v>1.665857127734593</v>
      </c>
      <c r="R687" s="112">
        <v>10</v>
      </c>
      <c r="S687" s="112">
        <v>1500</v>
      </c>
      <c r="T687" s="99">
        <f>VLOOKUP(TEXT(A687,"yy-mm")&amp;"-"&amp;IF(AND(WEEKDAY(A687)&gt;1,WEEKDAY(A687)&lt;7),"Wkd",TEXT(A687,"Ddd"))&amp;"-"&amp;TEXT(A687,"hh"),LoadTable[],3,FALSE)*0.92</f>
        <v>279.25312000000002</v>
      </c>
      <c r="U687" s="113">
        <f t="shared" si="685"/>
        <v>27.925312000000002</v>
      </c>
    </row>
    <row r="688" spans="1:21" ht="15" thickBot="1">
      <c r="A688" s="29">
        <f t="shared" si="723"/>
        <v>45864.541666666984</v>
      </c>
      <c r="B688" s="187">
        <f t="shared" ref="B688:L688" si="730">B712</f>
        <v>8000</v>
      </c>
      <c r="C688" s="187">
        <f t="shared" si="730"/>
        <v>25000</v>
      </c>
      <c r="D688" s="187">
        <v>0</v>
      </c>
      <c r="E688" s="187">
        <v>700</v>
      </c>
      <c r="F688" s="187">
        <v>15000</v>
      </c>
      <c r="G688" s="187">
        <f t="shared" si="730"/>
        <v>2400</v>
      </c>
      <c r="H688" s="187">
        <f t="shared" si="730"/>
        <v>25000</v>
      </c>
      <c r="I688" s="187">
        <f t="shared" si="730"/>
        <v>8000</v>
      </c>
      <c r="J688" s="187">
        <v>40000</v>
      </c>
      <c r="K688" s="187">
        <f t="shared" si="730"/>
        <v>8000</v>
      </c>
      <c r="L688" s="187">
        <v>40000</v>
      </c>
      <c r="M688" s="110">
        <v>9.5</v>
      </c>
      <c r="N688" s="110">
        <f>VLOOKUP(DATE(YEAR(A688),MONTH(A688),DAY(A688)),FY24_Temp[],3,FALSE)</f>
        <v>13.5</v>
      </c>
      <c r="O688" s="110">
        <f t="shared" si="683"/>
        <v>11.5</v>
      </c>
      <c r="P688" s="110">
        <f t="shared" si="684"/>
        <v>19.5</v>
      </c>
      <c r="Q688" s="111">
        <f>VLOOKUP(VLOOKUP(DATEVALUE(TEXT(A688,"m/d/yyyy")),FY24_Temp[],5,FALSE)&amp;TEXT(A688,"-h"),TempDelta[],4,FALSE)</f>
        <v>1.4252856969833374</v>
      </c>
      <c r="R688" s="112">
        <v>10</v>
      </c>
      <c r="S688" s="112">
        <v>1500</v>
      </c>
      <c r="T688" s="99">
        <f>VLOOKUP(TEXT(A688,"yy-mm")&amp;"-"&amp;IF(AND(WEEKDAY(A688)&gt;1,WEEKDAY(A688)&lt;7),"Wkd",TEXT(A688,"Ddd"))&amp;"-"&amp;TEXT(A688,"hh"),LoadTable[],3,FALSE)*0.92</f>
        <v>279.25312000000002</v>
      </c>
      <c r="U688" s="113">
        <f t="shared" si="685"/>
        <v>27.925312000000002</v>
      </c>
    </row>
    <row r="689" spans="1:21" ht="15" thickBot="1">
      <c r="A689" s="29">
        <f t="shared" si="723"/>
        <v>45864.583333333649</v>
      </c>
      <c r="B689" s="187">
        <f t="shared" ref="B689:L689" si="731">B713</f>
        <v>8000</v>
      </c>
      <c r="C689" s="187">
        <f t="shared" si="731"/>
        <v>25000</v>
      </c>
      <c r="D689" s="187">
        <v>0</v>
      </c>
      <c r="E689" s="187">
        <v>700</v>
      </c>
      <c r="F689" s="187">
        <v>15000</v>
      </c>
      <c r="G689" s="187">
        <f t="shared" si="731"/>
        <v>2400</v>
      </c>
      <c r="H689" s="187">
        <f t="shared" si="731"/>
        <v>25000</v>
      </c>
      <c r="I689" s="187">
        <f t="shared" si="731"/>
        <v>8000</v>
      </c>
      <c r="J689" s="187">
        <v>40000</v>
      </c>
      <c r="K689" s="187">
        <f t="shared" si="731"/>
        <v>8000</v>
      </c>
      <c r="L689" s="187">
        <v>40000</v>
      </c>
      <c r="M689" s="110">
        <v>9.5</v>
      </c>
      <c r="N689" s="110">
        <f>VLOOKUP(DATE(YEAR(A689),MONTH(A689),DAY(A689)),FY24_Temp[],3,FALSE)</f>
        <v>13.5</v>
      </c>
      <c r="O689" s="110">
        <f t="shared" si="683"/>
        <v>11.5</v>
      </c>
      <c r="P689" s="110">
        <f t="shared" si="684"/>
        <v>19.5</v>
      </c>
      <c r="Q689" s="111">
        <f>VLOOKUP(VLOOKUP(DATEVALUE(TEXT(A689,"m/d/yyyy")),FY24_Temp[],5,FALSE)&amp;TEXT(A689,"-h"),TempDelta[],4,FALSE)</f>
        <v>1.2351428781236922</v>
      </c>
      <c r="R689" s="112">
        <v>10</v>
      </c>
      <c r="S689" s="112">
        <v>1500</v>
      </c>
      <c r="T689" s="99">
        <f>VLOOKUP(TEXT(A689,"yy-mm")&amp;"-"&amp;IF(AND(WEEKDAY(A689)&gt;1,WEEKDAY(A689)&lt;7),"Wkd",TEXT(A689,"Ddd"))&amp;"-"&amp;TEXT(A689,"hh"),LoadTable[],3,FALSE)*0.92</f>
        <v>279.25312000000002</v>
      </c>
      <c r="U689" s="113">
        <f t="shared" si="685"/>
        <v>27.925312000000002</v>
      </c>
    </row>
    <row r="690" spans="1:21" ht="15" thickBot="1">
      <c r="A690" s="29">
        <f t="shared" si="723"/>
        <v>45864.625000000313</v>
      </c>
      <c r="B690" s="187">
        <f t="shared" ref="B690:L690" si="732">B714</f>
        <v>8000</v>
      </c>
      <c r="C690" s="187">
        <f t="shared" si="732"/>
        <v>25000</v>
      </c>
      <c r="D690" s="187">
        <v>0</v>
      </c>
      <c r="E690" s="187">
        <v>700</v>
      </c>
      <c r="F690" s="187">
        <v>15000</v>
      </c>
      <c r="G690" s="187">
        <f t="shared" si="732"/>
        <v>2400</v>
      </c>
      <c r="H690" s="187">
        <f t="shared" si="732"/>
        <v>25000</v>
      </c>
      <c r="I690" s="187">
        <f t="shared" si="732"/>
        <v>8000</v>
      </c>
      <c r="J690" s="187">
        <v>40000</v>
      </c>
      <c r="K690" s="187">
        <f t="shared" si="732"/>
        <v>8000</v>
      </c>
      <c r="L690" s="187">
        <v>40000</v>
      </c>
      <c r="M690" s="110">
        <v>9.5</v>
      </c>
      <c r="N690" s="110">
        <f>VLOOKUP(DATE(YEAR(A690),MONTH(A690),DAY(A690)),FY24_Temp[],3,FALSE)</f>
        <v>13.5</v>
      </c>
      <c r="O690" s="110">
        <f t="shared" si="683"/>
        <v>11.5</v>
      </c>
      <c r="P690" s="110">
        <f t="shared" si="684"/>
        <v>19.5</v>
      </c>
      <c r="Q690" s="111">
        <f>VLOOKUP(VLOOKUP(DATEVALUE(TEXT(A690,"m/d/yyyy")),FY24_Temp[],5,FALSE)&amp;TEXT(A690,"-h"),TempDelta[],4,FALSE)</f>
        <v>0.97514284508568905</v>
      </c>
      <c r="R690" s="112">
        <v>10</v>
      </c>
      <c r="S690" s="112">
        <v>1500</v>
      </c>
      <c r="T690" s="99">
        <f>VLOOKUP(TEXT(A690,"yy-mm")&amp;"-"&amp;IF(AND(WEEKDAY(A690)&gt;1,WEEKDAY(A690)&lt;7),"Wkd",TEXT(A690,"Ddd"))&amp;"-"&amp;TEXT(A690,"hh"),LoadTable[],3,FALSE)*0.92</f>
        <v>400.56064000000003</v>
      </c>
      <c r="U690" s="113">
        <f t="shared" si="685"/>
        <v>40.056064000000006</v>
      </c>
    </row>
    <row r="691" spans="1:21" ht="15" thickBot="1">
      <c r="A691" s="29">
        <f t="shared" si="723"/>
        <v>45864.666666666977</v>
      </c>
      <c r="B691" s="187">
        <f t="shared" ref="B691:L691" si="733">B715</f>
        <v>8000</v>
      </c>
      <c r="C691" s="187">
        <f t="shared" si="733"/>
        <v>25000</v>
      </c>
      <c r="D691" s="187">
        <v>0</v>
      </c>
      <c r="E691" s="187">
        <v>700</v>
      </c>
      <c r="F691" s="187">
        <v>15000</v>
      </c>
      <c r="G691" s="187">
        <f t="shared" si="733"/>
        <v>2400</v>
      </c>
      <c r="H691" s="187">
        <f t="shared" si="733"/>
        <v>25000</v>
      </c>
      <c r="I691" s="187">
        <f t="shared" si="733"/>
        <v>8000</v>
      </c>
      <c r="J691" s="187">
        <v>40000</v>
      </c>
      <c r="K691" s="187">
        <f t="shared" si="733"/>
        <v>8000</v>
      </c>
      <c r="L691" s="187">
        <v>40000</v>
      </c>
      <c r="M691" s="110">
        <v>9.5</v>
      </c>
      <c r="N691" s="110">
        <f>VLOOKUP(DATE(YEAR(A691),MONTH(A691),DAY(A691)),FY24_Temp[],3,FALSE)</f>
        <v>13.5</v>
      </c>
      <c r="O691" s="110">
        <f t="shared" si="683"/>
        <v>11.5</v>
      </c>
      <c r="P691" s="110">
        <f t="shared" si="684"/>
        <v>19.5</v>
      </c>
      <c r="Q691" s="111">
        <f>VLOOKUP(VLOOKUP(DATEVALUE(TEXT(A691,"m/d/yyyy")),FY24_Temp[],5,FALSE)&amp;TEXT(A691,"-h"),TempDelta[],4,FALSE)</f>
        <v>0.88578571166310993</v>
      </c>
      <c r="R691" s="112">
        <v>10</v>
      </c>
      <c r="S691" s="112">
        <v>1500</v>
      </c>
      <c r="T691" s="99">
        <f>VLOOKUP(TEXT(A691,"yy-mm")&amp;"-"&amp;IF(AND(WEEKDAY(A691)&gt;1,WEEKDAY(A691)&lt;7),"Wkd",TEXT(A691,"Ddd"))&amp;"-"&amp;TEXT(A691,"hh"),LoadTable[],3,FALSE)*0.92</f>
        <v>447.97376000000003</v>
      </c>
      <c r="U691" s="113">
        <f t="shared" si="685"/>
        <v>44.797376</v>
      </c>
    </row>
    <row r="692" spans="1:21" ht="15" thickBot="1">
      <c r="A692" s="29">
        <f t="shared" si="723"/>
        <v>45864.708333333641</v>
      </c>
      <c r="B692" s="187">
        <f t="shared" ref="B692:L692" si="734">B716</f>
        <v>8000</v>
      </c>
      <c r="C692" s="187">
        <f t="shared" si="734"/>
        <v>25000</v>
      </c>
      <c r="D692" s="187">
        <v>0</v>
      </c>
      <c r="E692" s="187">
        <v>700</v>
      </c>
      <c r="F692" s="187">
        <v>15000</v>
      </c>
      <c r="G692" s="187">
        <f t="shared" si="734"/>
        <v>2400</v>
      </c>
      <c r="H692" s="187">
        <f t="shared" si="734"/>
        <v>25000</v>
      </c>
      <c r="I692" s="187">
        <f t="shared" si="734"/>
        <v>8000</v>
      </c>
      <c r="J692" s="187">
        <v>40000</v>
      </c>
      <c r="K692" s="187">
        <f t="shared" si="734"/>
        <v>8000</v>
      </c>
      <c r="L692" s="187">
        <v>40000</v>
      </c>
      <c r="M692" s="110">
        <v>9.5</v>
      </c>
      <c r="N692" s="110">
        <f>VLOOKUP(DATE(YEAR(A692),MONTH(A692),DAY(A692)),FY24_Temp[],3,FALSE)</f>
        <v>13.5</v>
      </c>
      <c r="O692" s="110">
        <f t="shared" si="683"/>
        <v>11.5</v>
      </c>
      <c r="P692" s="110">
        <f t="shared" si="684"/>
        <v>19.5</v>
      </c>
      <c r="Q692" s="111">
        <f>VLOOKUP(VLOOKUP(DATEVALUE(TEXT(A692,"m/d/yyyy")),FY24_Temp[],5,FALSE)&amp;TEXT(A692,"-h"),TempDelta[],4,FALSE)</f>
        <v>1.0356428495475225</v>
      </c>
      <c r="R692" s="112">
        <v>10</v>
      </c>
      <c r="S692" s="112">
        <v>1500</v>
      </c>
      <c r="T692" s="99">
        <f>VLOOKUP(TEXT(A692,"yy-mm")&amp;"-"&amp;IF(AND(WEEKDAY(A692)&gt;1,WEEKDAY(A692)&lt;7),"Wkd",TEXT(A692,"Ddd"))&amp;"-"&amp;TEXT(A692,"hh"),LoadTable[],3,FALSE)*0.92</f>
        <v>494.57360000000006</v>
      </c>
      <c r="U692" s="113">
        <f t="shared" si="685"/>
        <v>49.457360000000008</v>
      </c>
    </row>
    <row r="693" spans="1:21" ht="15" thickBot="1">
      <c r="A693" s="29">
        <f t="shared" si="723"/>
        <v>45864.750000000306</v>
      </c>
      <c r="B693" s="187">
        <f t="shared" ref="B693:L693" si="735">B717</f>
        <v>5000</v>
      </c>
      <c r="C693" s="187">
        <f t="shared" si="735"/>
        <v>25000</v>
      </c>
      <c r="D693" s="187">
        <v>0</v>
      </c>
      <c r="E693" s="187">
        <v>700</v>
      </c>
      <c r="F693" s="187">
        <v>15000</v>
      </c>
      <c r="G693" s="187">
        <f t="shared" si="735"/>
        <v>2400</v>
      </c>
      <c r="H693" s="187">
        <f t="shared" si="735"/>
        <v>25000</v>
      </c>
      <c r="I693" s="187">
        <f t="shared" si="735"/>
        <v>5000</v>
      </c>
      <c r="J693" s="187">
        <v>40000</v>
      </c>
      <c r="K693" s="187">
        <f t="shared" si="735"/>
        <v>5000</v>
      </c>
      <c r="L693" s="187">
        <v>40000</v>
      </c>
      <c r="M693" s="110">
        <v>9.5</v>
      </c>
      <c r="N693" s="110">
        <f>VLOOKUP(DATE(YEAR(A693),MONTH(A693),DAY(A693)),FY24_Temp[],3,FALSE)</f>
        <v>13.5</v>
      </c>
      <c r="O693" s="110">
        <f t="shared" si="683"/>
        <v>11.5</v>
      </c>
      <c r="P693" s="110">
        <f t="shared" si="684"/>
        <v>19.5</v>
      </c>
      <c r="Q693" s="111">
        <f>VLOOKUP(VLOOKUP(DATEVALUE(TEXT(A693,"m/d/yyyy")),FY24_Temp[],5,FALSE)&amp;TEXT(A693,"-h"),TempDelta[],4,FALSE)</f>
        <v>1.3991428358214242</v>
      </c>
      <c r="R693" s="112">
        <v>10</v>
      </c>
      <c r="S693" s="112">
        <v>1500</v>
      </c>
      <c r="T693" s="99">
        <f>VLOOKUP(TEXT(A693,"yy-mm")&amp;"-"&amp;IF(AND(WEEKDAY(A693)&gt;1,WEEKDAY(A693)&lt;7),"Wkd",TEXT(A693,"Ddd"))&amp;"-"&amp;TEXT(A693,"hh"),LoadTable[],3,FALSE)*0.92</f>
        <v>494.57360000000006</v>
      </c>
      <c r="U693" s="113">
        <f t="shared" si="685"/>
        <v>49.457360000000008</v>
      </c>
    </row>
    <row r="694" spans="1:21" ht="15" thickBot="1">
      <c r="A694" s="29">
        <f t="shared" si="723"/>
        <v>45864.79166666697</v>
      </c>
      <c r="B694" s="187">
        <f t="shared" ref="B694:L694" si="736">B718</f>
        <v>5000</v>
      </c>
      <c r="C694" s="187">
        <f t="shared" si="736"/>
        <v>25000</v>
      </c>
      <c r="D694" s="187">
        <v>0</v>
      </c>
      <c r="E694" s="187">
        <v>700</v>
      </c>
      <c r="F694" s="187">
        <v>15000</v>
      </c>
      <c r="G694" s="187">
        <f t="shared" si="736"/>
        <v>2400</v>
      </c>
      <c r="H694" s="187">
        <f t="shared" si="736"/>
        <v>25000</v>
      </c>
      <c r="I694" s="187">
        <f t="shared" si="736"/>
        <v>5000</v>
      </c>
      <c r="J694" s="187">
        <v>40000</v>
      </c>
      <c r="K694" s="187">
        <f t="shared" si="736"/>
        <v>5000</v>
      </c>
      <c r="L694" s="187">
        <v>40000</v>
      </c>
      <c r="M694" s="110">
        <v>9.5</v>
      </c>
      <c r="N694" s="110">
        <f>VLOOKUP(DATE(YEAR(A694),MONTH(A694),DAY(A694)),FY24_Temp[],3,FALSE)</f>
        <v>13.5</v>
      </c>
      <c r="O694" s="110">
        <f t="shared" si="683"/>
        <v>11.5</v>
      </c>
      <c r="P694" s="110">
        <f t="shared" si="684"/>
        <v>19.5</v>
      </c>
      <c r="Q694" s="111">
        <f>VLOOKUP(VLOOKUP(DATEVALUE(TEXT(A694,"m/d/yyyy")),FY24_Temp[],5,FALSE)&amp;TEXT(A694,"-h"),TempDelta[],4,FALSE)</f>
        <v>1.8638571415628706</v>
      </c>
      <c r="R694" s="112">
        <v>10</v>
      </c>
      <c r="S694" s="112">
        <v>1500</v>
      </c>
      <c r="T694" s="99">
        <f>VLOOKUP(TEXT(A694,"yy-mm")&amp;"-"&amp;IF(AND(WEEKDAY(A694)&gt;1,WEEKDAY(A694)&lt;7),"Wkd",TEXT(A694,"Ddd"))&amp;"-"&amp;TEXT(A694,"hh"),LoadTable[],3,FALSE)*0.92</f>
        <v>494.57360000000006</v>
      </c>
      <c r="U694" s="113">
        <f t="shared" si="685"/>
        <v>49.457360000000008</v>
      </c>
    </row>
    <row r="695" spans="1:21" ht="15" thickBot="1">
      <c r="A695" s="29">
        <f t="shared" si="723"/>
        <v>45864.833333333634</v>
      </c>
      <c r="B695" s="187">
        <f t="shared" ref="B695:L695" si="737">B719</f>
        <v>5000</v>
      </c>
      <c r="C695" s="187">
        <f t="shared" si="737"/>
        <v>25000</v>
      </c>
      <c r="D695" s="187">
        <v>0</v>
      </c>
      <c r="E695" s="187">
        <v>700</v>
      </c>
      <c r="F695" s="187">
        <v>15000</v>
      </c>
      <c r="G695" s="187">
        <f t="shared" si="737"/>
        <v>2400</v>
      </c>
      <c r="H695" s="187">
        <f t="shared" si="737"/>
        <v>25000</v>
      </c>
      <c r="I695" s="187">
        <f t="shared" si="737"/>
        <v>5000</v>
      </c>
      <c r="J695" s="187">
        <v>40000</v>
      </c>
      <c r="K695" s="187">
        <f t="shared" si="737"/>
        <v>5000</v>
      </c>
      <c r="L695" s="187">
        <v>40000</v>
      </c>
      <c r="M695" s="110">
        <v>9.5</v>
      </c>
      <c r="N695" s="110">
        <f>VLOOKUP(DATE(YEAR(A695),MONTH(A695),DAY(A695)),FY24_Temp[],3,FALSE)</f>
        <v>13.5</v>
      </c>
      <c r="O695" s="110">
        <f t="shared" si="683"/>
        <v>11.5</v>
      </c>
      <c r="P695" s="110">
        <f t="shared" si="684"/>
        <v>19.5</v>
      </c>
      <c r="Q695" s="111">
        <f>VLOOKUP(VLOOKUP(DATEVALUE(TEXT(A695,"m/d/yyyy")),FY24_Temp[],5,FALSE)&amp;TEXT(A695,"-h"),TempDelta[],4,FALSE)</f>
        <v>2.300714305468968</v>
      </c>
      <c r="R695" s="112">
        <v>10</v>
      </c>
      <c r="S695" s="112">
        <v>1500</v>
      </c>
      <c r="T695" s="99">
        <f>VLOOKUP(TEXT(A695,"yy-mm")&amp;"-"&amp;IF(AND(WEEKDAY(A695)&gt;1,WEEKDAY(A695)&lt;7),"Wkd",TEXT(A695,"Ddd"))&amp;"-"&amp;TEXT(A695,"hh"),LoadTable[],3,FALSE)*0.92</f>
        <v>494.57360000000006</v>
      </c>
      <c r="U695" s="113">
        <f t="shared" si="685"/>
        <v>49.457360000000008</v>
      </c>
    </row>
    <row r="696" spans="1:21" ht="15" thickBot="1">
      <c r="A696" s="29">
        <f t="shared" si="723"/>
        <v>45864.875000000298</v>
      </c>
      <c r="B696" s="187">
        <f t="shared" ref="B696:L696" si="738">B720</f>
        <v>5000</v>
      </c>
      <c r="C696" s="187">
        <f t="shared" si="738"/>
        <v>25000</v>
      </c>
      <c r="D696" s="187">
        <v>0</v>
      </c>
      <c r="E696" s="187">
        <v>700</v>
      </c>
      <c r="F696" s="187">
        <v>15000</v>
      </c>
      <c r="G696" s="187">
        <f t="shared" si="738"/>
        <v>2400</v>
      </c>
      <c r="H696" s="187">
        <f t="shared" si="738"/>
        <v>25000</v>
      </c>
      <c r="I696" s="187">
        <f t="shared" si="738"/>
        <v>5000</v>
      </c>
      <c r="J696" s="187">
        <v>40000</v>
      </c>
      <c r="K696" s="187">
        <f t="shared" si="738"/>
        <v>5000</v>
      </c>
      <c r="L696" s="187">
        <v>40000</v>
      </c>
      <c r="M696" s="110">
        <v>9.5</v>
      </c>
      <c r="N696" s="110">
        <f>VLOOKUP(DATE(YEAR(A696),MONTH(A696),DAY(A696)),FY24_Temp[],3,FALSE)</f>
        <v>13.5</v>
      </c>
      <c r="O696" s="110">
        <f t="shared" si="683"/>
        <v>11.5</v>
      </c>
      <c r="P696" s="110">
        <f t="shared" si="684"/>
        <v>19.5</v>
      </c>
      <c r="Q696" s="111">
        <f>VLOOKUP(VLOOKUP(DATEVALUE(TEXT(A696,"m/d/yyyy")),FY24_Temp[],5,FALSE)&amp;TEXT(A696,"-h"),TempDelta[],4,FALSE)</f>
        <v>2.554214222090585</v>
      </c>
      <c r="R696" s="112">
        <v>10</v>
      </c>
      <c r="S696" s="112">
        <v>1500</v>
      </c>
      <c r="T696" s="99">
        <f>VLOOKUP(TEXT(A696,"yy-mm")&amp;"-"&amp;IF(AND(WEEKDAY(A696)&gt;1,WEEKDAY(A696)&lt;7),"Wkd",TEXT(A696,"Ddd"))&amp;"-"&amp;TEXT(A696,"hh"),LoadTable[],3,FALSE)*0.92</f>
        <v>494.57360000000006</v>
      </c>
      <c r="U696" s="113">
        <f t="shared" si="685"/>
        <v>49.457360000000008</v>
      </c>
    </row>
    <row r="697" spans="1:21" ht="15" thickBot="1">
      <c r="A697" s="29">
        <f t="shared" si="723"/>
        <v>45864.916666666963</v>
      </c>
      <c r="B697" s="187">
        <f t="shared" ref="B697:L697" si="739">B721</f>
        <v>5000</v>
      </c>
      <c r="C697" s="187">
        <f t="shared" si="739"/>
        <v>25000</v>
      </c>
      <c r="D697" s="187">
        <v>0</v>
      </c>
      <c r="E697" s="187">
        <v>700</v>
      </c>
      <c r="F697" s="187">
        <v>15000</v>
      </c>
      <c r="G697" s="187">
        <f t="shared" si="739"/>
        <v>2400</v>
      </c>
      <c r="H697" s="187">
        <f t="shared" si="739"/>
        <v>25000</v>
      </c>
      <c r="I697" s="187">
        <f t="shared" si="739"/>
        <v>5000</v>
      </c>
      <c r="J697" s="187">
        <v>40000</v>
      </c>
      <c r="K697" s="187">
        <f t="shared" si="739"/>
        <v>5000</v>
      </c>
      <c r="L697" s="187">
        <v>40000</v>
      </c>
      <c r="M697" s="110">
        <v>9.5</v>
      </c>
      <c r="N697" s="110">
        <f>VLOOKUP(DATE(YEAR(A697),MONTH(A697),DAY(A697)),FY24_Temp[],3,FALSE)</f>
        <v>13.5</v>
      </c>
      <c r="O697" s="110">
        <f t="shared" si="683"/>
        <v>11.5</v>
      </c>
      <c r="P697" s="110">
        <f t="shared" si="684"/>
        <v>19.5</v>
      </c>
      <c r="Q697" s="111">
        <f>VLOOKUP(VLOOKUP(DATEVALUE(TEXT(A697,"m/d/yyyy")),FY24_Temp[],5,FALSE)&amp;TEXT(A697,"-h"),TempDelta[],4,FALSE)</f>
        <v>2.7827142647334506</v>
      </c>
      <c r="R697" s="112">
        <v>10</v>
      </c>
      <c r="S697" s="112">
        <v>1500</v>
      </c>
      <c r="T697" s="99">
        <f>VLOOKUP(TEXT(A697,"yy-mm")&amp;"-"&amp;IF(AND(WEEKDAY(A697)&gt;1,WEEKDAY(A697)&lt;7),"Wkd",TEXT(A697,"Ddd"))&amp;"-"&amp;TEXT(A697,"hh"),LoadTable[],3,FALSE)*0.92</f>
        <v>418.75640000000004</v>
      </c>
      <c r="U697" s="113">
        <f t="shared" si="685"/>
        <v>41.875640000000004</v>
      </c>
    </row>
    <row r="698" spans="1:21" ht="15" thickBot="1">
      <c r="A698" s="29">
        <f t="shared" si="723"/>
        <v>45864.958333333627</v>
      </c>
      <c r="B698" s="187">
        <f t="shared" ref="B698:L698" si="740">B722</f>
        <v>5000</v>
      </c>
      <c r="C698" s="187">
        <f t="shared" si="740"/>
        <v>25000</v>
      </c>
      <c r="D698" s="187">
        <v>0</v>
      </c>
      <c r="E698" s="187">
        <v>700</v>
      </c>
      <c r="F698" s="187">
        <v>15000</v>
      </c>
      <c r="G698" s="187">
        <f t="shared" si="740"/>
        <v>2400</v>
      </c>
      <c r="H698" s="187">
        <f t="shared" si="740"/>
        <v>25000</v>
      </c>
      <c r="I698" s="187">
        <f t="shared" si="740"/>
        <v>5000</v>
      </c>
      <c r="J698" s="187">
        <v>40000</v>
      </c>
      <c r="K698" s="187">
        <f t="shared" si="740"/>
        <v>5000</v>
      </c>
      <c r="L698" s="187">
        <v>40000</v>
      </c>
      <c r="M698" s="110">
        <v>9.5</v>
      </c>
      <c r="N698" s="110">
        <f>VLOOKUP(DATE(YEAR(A698),MONTH(A698),DAY(A698)),FY24_Temp[],3,FALSE)</f>
        <v>13.5</v>
      </c>
      <c r="O698" s="110">
        <f t="shared" si="683"/>
        <v>11.5</v>
      </c>
      <c r="P698" s="110">
        <f t="shared" si="684"/>
        <v>19.5</v>
      </c>
      <c r="Q698" s="111">
        <f>VLOOKUP(VLOOKUP(DATEVALUE(TEXT(A698,"m/d/yyyy")),FY24_Temp[],5,FALSE)&amp;TEXT(A698,"-h"),TempDelta[],4,FALSE)</f>
        <v>2.8792857101985385</v>
      </c>
      <c r="R698" s="112">
        <v>10</v>
      </c>
      <c r="S698" s="112">
        <v>1500</v>
      </c>
      <c r="T698" s="99">
        <f>VLOOKUP(TEXT(A698,"yy-mm")&amp;"-"&amp;IF(AND(WEEKDAY(A698)&gt;1,WEEKDAY(A698)&lt;7),"Wkd",TEXT(A698,"Ddd"))&amp;"-"&amp;TEXT(A698,"hh"),LoadTable[],3,FALSE)*0.92</f>
        <v>342.93920000000003</v>
      </c>
      <c r="U698" s="113">
        <f t="shared" si="685"/>
        <v>34.29392</v>
      </c>
    </row>
    <row r="699" spans="1:21" ht="15" thickBot="1">
      <c r="A699" s="29">
        <f t="shared" si="723"/>
        <v>45865.000000000291</v>
      </c>
      <c r="B699" s="187">
        <f t="shared" ref="B699:L699" si="741">B723</f>
        <v>5000</v>
      </c>
      <c r="C699" s="187">
        <f t="shared" si="741"/>
        <v>25000</v>
      </c>
      <c r="D699" s="187">
        <v>0</v>
      </c>
      <c r="E699" s="187">
        <v>700</v>
      </c>
      <c r="F699" s="187">
        <v>15000</v>
      </c>
      <c r="G699" s="187">
        <f t="shared" si="741"/>
        <v>2400</v>
      </c>
      <c r="H699" s="187">
        <f t="shared" si="741"/>
        <v>25000</v>
      </c>
      <c r="I699" s="187">
        <f t="shared" si="741"/>
        <v>5000</v>
      </c>
      <c r="J699" s="187">
        <v>40000</v>
      </c>
      <c r="K699" s="187">
        <f t="shared" si="741"/>
        <v>5000</v>
      </c>
      <c r="L699" s="187">
        <v>40000</v>
      </c>
      <c r="M699" s="110">
        <v>9.5</v>
      </c>
      <c r="N699" s="110">
        <f>VLOOKUP(DATE(YEAR(A699),MONTH(A699),DAY(A699)),FY24_Temp[],3,FALSE)</f>
        <v>13.5</v>
      </c>
      <c r="O699" s="110">
        <f t="shared" si="683"/>
        <v>11.5</v>
      </c>
      <c r="P699" s="110">
        <f t="shared" si="684"/>
        <v>19.5</v>
      </c>
      <c r="Q699" s="111">
        <f>VLOOKUP(VLOOKUP(DATEVALUE(TEXT(A699,"m/d/yyyy")),FY24_Temp[],5,FALSE)&amp;TEXT(A699,"-h"),TempDelta[],4,FALSE)</f>
        <v>3.0441428933824812</v>
      </c>
      <c r="R699" s="112">
        <v>10</v>
      </c>
      <c r="S699" s="112">
        <v>1500</v>
      </c>
      <c r="T699" s="99">
        <f>VLOOKUP(TEXT(A699,"yy-mm")&amp;"-"&amp;IF(AND(WEEKDAY(A699)&gt;1,WEEKDAY(A699)&lt;7),"Wkd",TEXT(A699,"Ddd"))&amp;"-"&amp;TEXT(A699,"hh"),LoadTable[],3,FALSE)*0.92</f>
        <v>279.25312000000002</v>
      </c>
      <c r="U699" s="113">
        <f t="shared" si="685"/>
        <v>27.925312000000002</v>
      </c>
    </row>
    <row r="700" spans="1:21" ht="15" thickBot="1">
      <c r="A700" s="29">
        <f t="shared" si="723"/>
        <v>45865.041666666955</v>
      </c>
      <c r="B700" s="187">
        <f t="shared" ref="B700:L700" si="742">B724</f>
        <v>5000</v>
      </c>
      <c r="C700" s="187">
        <f t="shared" si="742"/>
        <v>25000</v>
      </c>
      <c r="D700" s="187">
        <v>0</v>
      </c>
      <c r="E700" s="187">
        <v>700</v>
      </c>
      <c r="F700" s="187">
        <v>15000</v>
      </c>
      <c r="G700" s="187">
        <f t="shared" si="742"/>
        <v>2400</v>
      </c>
      <c r="H700" s="187">
        <f t="shared" si="742"/>
        <v>25000</v>
      </c>
      <c r="I700" s="187">
        <f t="shared" si="742"/>
        <v>5000</v>
      </c>
      <c r="J700" s="187">
        <v>40000</v>
      </c>
      <c r="K700" s="187">
        <f t="shared" si="742"/>
        <v>5000</v>
      </c>
      <c r="L700" s="187">
        <v>40000</v>
      </c>
      <c r="M700" s="110">
        <v>9.5</v>
      </c>
      <c r="N700" s="110">
        <f>VLOOKUP(DATE(YEAR(A700),MONTH(A700),DAY(A700)),FY24_Temp[],3,FALSE)</f>
        <v>13.5</v>
      </c>
      <c r="O700" s="110">
        <f t="shared" si="683"/>
        <v>11.5</v>
      </c>
      <c r="P700" s="110">
        <f t="shared" si="684"/>
        <v>19.5</v>
      </c>
      <c r="Q700" s="111">
        <f>VLOOKUP(VLOOKUP(DATEVALUE(TEXT(A700,"m/d/yyyy")),FY24_Temp[],5,FALSE)&amp;TEXT(A700,"-h"),TempDelta[],4,FALSE)</f>
        <v>3.0992857047489712</v>
      </c>
      <c r="R700" s="112">
        <v>10</v>
      </c>
      <c r="S700" s="112">
        <v>1500</v>
      </c>
      <c r="T700" s="99">
        <f>VLOOKUP(TEXT(A700,"yy-mm")&amp;"-"&amp;IF(AND(WEEKDAY(A700)&gt;1,WEEKDAY(A700)&lt;7),"Wkd",TEXT(A700,"Ddd"))&amp;"-"&amp;TEXT(A700,"hh"),LoadTable[],3,FALSE)*0.92</f>
        <v>279.25312000000002</v>
      </c>
      <c r="U700" s="113">
        <f t="shared" si="685"/>
        <v>27.925312000000002</v>
      </c>
    </row>
    <row r="701" spans="1:21" ht="15" thickBot="1">
      <c r="A701" s="29">
        <f t="shared" si="723"/>
        <v>45865.08333333362</v>
      </c>
      <c r="B701" s="187">
        <f t="shared" ref="B701:L701" si="743">B725</f>
        <v>5000</v>
      </c>
      <c r="C701" s="187">
        <f t="shared" si="743"/>
        <v>25000</v>
      </c>
      <c r="D701" s="187">
        <v>0</v>
      </c>
      <c r="E701" s="187">
        <v>700</v>
      </c>
      <c r="F701" s="187">
        <v>15000</v>
      </c>
      <c r="G701" s="187">
        <f t="shared" si="743"/>
        <v>2400</v>
      </c>
      <c r="H701" s="187">
        <f t="shared" si="743"/>
        <v>25000</v>
      </c>
      <c r="I701" s="187">
        <f t="shared" si="743"/>
        <v>5000</v>
      </c>
      <c r="J701" s="187">
        <v>40000</v>
      </c>
      <c r="K701" s="187">
        <f t="shared" si="743"/>
        <v>5000</v>
      </c>
      <c r="L701" s="187">
        <v>40000</v>
      </c>
      <c r="M701" s="110">
        <v>9.5</v>
      </c>
      <c r="N701" s="110">
        <f>VLOOKUP(DATE(YEAR(A701),MONTH(A701),DAY(A701)),FY24_Temp[],3,FALSE)</f>
        <v>13.5</v>
      </c>
      <c r="O701" s="110">
        <f t="shared" si="683"/>
        <v>11.5</v>
      </c>
      <c r="P701" s="110">
        <f t="shared" si="684"/>
        <v>19.5</v>
      </c>
      <c r="Q701" s="111">
        <f>VLOOKUP(VLOOKUP(DATEVALUE(TEXT(A701,"m/d/yyyy")),FY24_Temp[],5,FALSE)&amp;TEXT(A701,"-h"),TempDelta[],4,FALSE)</f>
        <v>3.1050000190734863</v>
      </c>
      <c r="R701" s="112">
        <v>10</v>
      </c>
      <c r="S701" s="112">
        <v>1500</v>
      </c>
      <c r="T701" s="99">
        <f>VLOOKUP(TEXT(A701,"yy-mm")&amp;"-"&amp;IF(AND(WEEKDAY(A701)&gt;1,WEEKDAY(A701)&lt;7),"Wkd",TEXT(A701,"Ddd"))&amp;"-"&amp;TEXT(A701,"hh"),LoadTable[],3,FALSE)*0.92</f>
        <v>279.25312000000002</v>
      </c>
      <c r="U701" s="113">
        <f t="shared" si="685"/>
        <v>27.925312000000002</v>
      </c>
    </row>
    <row r="702" spans="1:21" ht="15" thickBot="1">
      <c r="A702" s="29">
        <f t="shared" si="723"/>
        <v>45865.125000000284</v>
      </c>
      <c r="B702" s="187">
        <f t="shared" ref="B702:L702" si="744">B726</f>
        <v>5000</v>
      </c>
      <c r="C702" s="187">
        <f t="shared" si="744"/>
        <v>25000</v>
      </c>
      <c r="D702" s="187">
        <v>0</v>
      </c>
      <c r="E702" s="187">
        <v>700</v>
      </c>
      <c r="F702" s="187">
        <v>15000</v>
      </c>
      <c r="G702" s="187">
        <f t="shared" si="744"/>
        <v>2400</v>
      </c>
      <c r="H702" s="187">
        <f t="shared" si="744"/>
        <v>25000</v>
      </c>
      <c r="I702" s="187">
        <f t="shared" si="744"/>
        <v>5000</v>
      </c>
      <c r="J702" s="187">
        <v>40000</v>
      </c>
      <c r="K702" s="187">
        <f t="shared" si="744"/>
        <v>5000</v>
      </c>
      <c r="L702" s="187">
        <v>40000</v>
      </c>
      <c r="M702" s="110">
        <v>9.5</v>
      </c>
      <c r="N702" s="110">
        <f>VLOOKUP(DATE(YEAR(A702),MONTH(A702),DAY(A702)),FY24_Temp[],3,FALSE)</f>
        <v>13.5</v>
      </c>
      <c r="O702" s="110">
        <f t="shared" si="683"/>
        <v>11.5</v>
      </c>
      <c r="P702" s="110">
        <f t="shared" si="684"/>
        <v>19.5</v>
      </c>
      <c r="Q702" s="111">
        <f>VLOOKUP(VLOOKUP(DATEVALUE(TEXT(A702,"m/d/yyyy")),FY24_Temp[],5,FALSE)&amp;TEXT(A702,"-h"),TempDelta[],4,FALSE)</f>
        <v>3.0428571701049805</v>
      </c>
      <c r="R702" s="112">
        <v>10</v>
      </c>
      <c r="S702" s="112">
        <v>1500</v>
      </c>
      <c r="T702" s="99">
        <f>VLOOKUP(TEXT(A702,"yy-mm")&amp;"-"&amp;IF(AND(WEEKDAY(A702)&gt;1,WEEKDAY(A702)&lt;7),"Wkd",TEXT(A702,"Ddd"))&amp;"-"&amp;TEXT(A702,"hh"),LoadTable[],3,FALSE)*0.92</f>
        <v>279.25312000000002</v>
      </c>
      <c r="U702" s="113">
        <f t="shared" si="685"/>
        <v>27.925312000000002</v>
      </c>
    </row>
    <row r="703" spans="1:21" ht="15" thickBot="1">
      <c r="A703" s="29">
        <f t="shared" si="723"/>
        <v>45865.166666666948</v>
      </c>
      <c r="B703" s="187">
        <f t="shared" ref="B703:L703" si="745">B727</f>
        <v>5000</v>
      </c>
      <c r="C703" s="187">
        <f t="shared" si="745"/>
        <v>25000</v>
      </c>
      <c r="D703" s="187">
        <v>0</v>
      </c>
      <c r="E703" s="187">
        <v>700</v>
      </c>
      <c r="F703" s="187">
        <v>15000</v>
      </c>
      <c r="G703" s="187">
        <f t="shared" si="745"/>
        <v>2400</v>
      </c>
      <c r="H703" s="187">
        <f t="shared" si="745"/>
        <v>25000</v>
      </c>
      <c r="I703" s="187">
        <f t="shared" si="745"/>
        <v>5000</v>
      </c>
      <c r="J703" s="187">
        <v>40000</v>
      </c>
      <c r="K703" s="187">
        <f t="shared" si="745"/>
        <v>5000</v>
      </c>
      <c r="L703" s="187">
        <v>40000</v>
      </c>
      <c r="M703" s="110">
        <v>9.5</v>
      </c>
      <c r="N703" s="110">
        <f>VLOOKUP(DATE(YEAR(A703),MONTH(A703),DAY(A703)),FY24_Temp[],3,FALSE)</f>
        <v>13.5</v>
      </c>
      <c r="O703" s="110">
        <f t="shared" si="683"/>
        <v>11.5</v>
      </c>
      <c r="P703" s="110">
        <f t="shared" si="684"/>
        <v>19.5</v>
      </c>
      <c r="Q703" s="111">
        <f>VLOOKUP(VLOOKUP(DATEVALUE(TEXT(A703,"m/d/yyyy")),FY24_Temp[],5,FALSE)&amp;TEXT(A703,"-h"),TempDelta[],4,FALSE)</f>
        <v>2.9580000468662808</v>
      </c>
      <c r="R703" s="112">
        <v>10</v>
      </c>
      <c r="S703" s="112">
        <v>1500</v>
      </c>
      <c r="T703" s="99">
        <f>VLOOKUP(TEXT(A703,"yy-mm")&amp;"-"&amp;IF(AND(WEEKDAY(A703)&gt;1,WEEKDAY(A703)&lt;7),"Wkd",TEXT(A703,"Ddd"))&amp;"-"&amp;TEXT(A703,"hh"),LoadTable[],3,FALSE)*0.92</f>
        <v>279.25312000000002</v>
      </c>
      <c r="U703" s="113">
        <f t="shared" si="685"/>
        <v>27.925312000000002</v>
      </c>
    </row>
    <row r="704" spans="1:21" ht="15" thickBot="1">
      <c r="A704" s="29">
        <f t="shared" si="723"/>
        <v>45865.208333333612</v>
      </c>
      <c r="B704" s="187">
        <f t="shared" ref="B704:L704" si="746">B728</f>
        <v>5000</v>
      </c>
      <c r="C704" s="187">
        <f t="shared" si="746"/>
        <v>25000</v>
      </c>
      <c r="D704" s="187">
        <v>0</v>
      </c>
      <c r="E704" s="187">
        <v>700</v>
      </c>
      <c r="F704" s="187">
        <v>15000</v>
      </c>
      <c r="G704" s="187">
        <f t="shared" si="746"/>
        <v>2400</v>
      </c>
      <c r="H704" s="187">
        <f t="shared" si="746"/>
        <v>25000</v>
      </c>
      <c r="I704" s="187">
        <f t="shared" si="746"/>
        <v>5000</v>
      </c>
      <c r="J704" s="187">
        <v>40000</v>
      </c>
      <c r="K704" s="187">
        <f t="shared" si="746"/>
        <v>5000</v>
      </c>
      <c r="L704" s="187">
        <v>40000</v>
      </c>
      <c r="M704" s="110">
        <v>9.5</v>
      </c>
      <c r="N704" s="110">
        <f>VLOOKUP(DATE(YEAR(A704),MONTH(A704),DAY(A704)),FY24_Temp[],3,FALSE)</f>
        <v>13.5</v>
      </c>
      <c r="O704" s="110">
        <f t="shared" si="683"/>
        <v>11.5</v>
      </c>
      <c r="P704" s="110">
        <f t="shared" si="684"/>
        <v>19.5</v>
      </c>
      <c r="Q704" s="111">
        <f>VLOOKUP(VLOOKUP(DATEVALUE(TEXT(A704,"m/d/yyyy")),FY24_Temp[],5,FALSE)&amp;TEXT(A704,"-h"),TempDelta[],4,FALSE)</f>
        <v>2.8608571801866804</v>
      </c>
      <c r="R704" s="112">
        <v>10</v>
      </c>
      <c r="S704" s="112">
        <v>1500</v>
      </c>
      <c r="T704" s="99">
        <f>VLOOKUP(TEXT(A704,"yy-mm")&amp;"-"&amp;IF(AND(WEEKDAY(A704)&gt;1,WEEKDAY(A704)&lt;7),"Wkd",TEXT(A704,"Ddd"))&amp;"-"&amp;TEXT(A704,"hh"),LoadTable[],3,FALSE)*0.92</f>
        <v>279.25312000000002</v>
      </c>
      <c r="U704" s="113">
        <f t="shared" si="685"/>
        <v>27.925312000000002</v>
      </c>
    </row>
    <row r="705" spans="1:21" ht="15" thickBot="1">
      <c r="A705" s="29">
        <f t="shared" si="723"/>
        <v>45865.250000000276</v>
      </c>
      <c r="B705" s="187">
        <f t="shared" ref="B705:L705" si="747">B729</f>
        <v>8000</v>
      </c>
      <c r="C705" s="187">
        <f t="shared" si="747"/>
        <v>25000</v>
      </c>
      <c r="D705" s="187">
        <v>0</v>
      </c>
      <c r="E705" s="187">
        <v>700</v>
      </c>
      <c r="F705" s="187">
        <v>15000</v>
      </c>
      <c r="G705" s="187">
        <f t="shared" si="747"/>
        <v>2400</v>
      </c>
      <c r="H705" s="187">
        <f t="shared" si="747"/>
        <v>25000</v>
      </c>
      <c r="I705" s="187">
        <f t="shared" si="747"/>
        <v>8000</v>
      </c>
      <c r="J705" s="187">
        <v>40000</v>
      </c>
      <c r="K705" s="187">
        <f t="shared" si="747"/>
        <v>8000</v>
      </c>
      <c r="L705" s="187">
        <v>40000</v>
      </c>
      <c r="M705" s="110">
        <v>9.5</v>
      </c>
      <c r="N705" s="110">
        <f>VLOOKUP(DATE(YEAR(A705),MONTH(A705),DAY(A705)),FY24_Temp[],3,FALSE)</f>
        <v>13.5</v>
      </c>
      <c r="O705" s="110">
        <f t="shared" si="683"/>
        <v>11.5</v>
      </c>
      <c r="P705" s="110">
        <f t="shared" si="684"/>
        <v>19.5</v>
      </c>
      <c r="Q705" s="111">
        <f>VLOOKUP(VLOOKUP(DATEVALUE(TEXT(A705,"m/d/yyyy")),FY24_Temp[],5,FALSE)&amp;TEXT(A705,"-h"),TempDelta[],4,FALSE)</f>
        <v>2.7405714307512556</v>
      </c>
      <c r="R705" s="112">
        <v>10</v>
      </c>
      <c r="S705" s="112">
        <v>1500</v>
      </c>
      <c r="T705" s="99">
        <f>VLOOKUP(TEXT(A705,"yy-mm")&amp;"-"&amp;IF(AND(WEEKDAY(A705)&gt;1,WEEKDAY(A705)&lt;7),"Wkd",TEXT(A705,"Ddd"))&amp;"-"&amp;TEXT(A705,"hh"),LoadTable[],3,FALSE)*0.92</f>
        <v>279.25312000000002</v>
      </c>
      <c r="U705" s="113">
        <f t="shared" si="685"/>
        <v>27.925312000000002</v>
      </c>
    </row>
    <row r="706" spans="1:21" ht="15" thickBot="1">
      <c r="A706" s="29">
        <f t="shared" si="723"/>
        <v>45865.291666666941</v>
      </c>
      <c r="B706" s="187">
        <f t="shared" ref="B706:L706" si="748">B730</f>
        <v>8000</v>
      </c>
      <c r="C706" s="187">
        <f t="shared" si="748"/>
        <v>25000</v>
      </c>
      <c r="D706" s="187">
        <v>0</v>
      </c>
      <c r="E706" s="187">
        <v>700</v>
      </c>
      <c r="F706" s="187">
        <v>15000</v>
      </c>
      <c r="G706" s="187">
        <f t="shared" si="748"/>
        <v>2400</v>
      </c>
      <c r="H706" s="187">
        <f t="shared" si="748"/>
        <v>25000</v>
      </c>
      <c r="I706" s="187">
        <f t="shared" si="748"/>
        <v>8000</v>
      </c>
      <c r="J706" s="187">
        <v>40000</v>
      </c>
      <c r="K706" s="187">
        <f t="shared" si="748"/>
        <v>8000</v>
      </c>
      <c r="L706" s="187">
        <v>40000</v>
      </c>
      <c r="M706" s="110">
        <v>9.5</v>
      </c>
      <c r="N706" s="110">
        <f>VLOOKUP(DATE(YEAR(A706),MONTH(A706),DAY(A706)),FY24_Temp[],3,FALSE)</f>
        <v>13.5</v>
      </c>
      <c r="O706" s="110">
        <f t="shared" si="683"/>
        <v>11.5</v>
      </c>
      <c r="P706" s="110">
        <f t="shared" si="684"/>
        <v>19.5</v>
      </c>
      <c r="Q706" s="111">
        <f>VLOOKUP(VLOOKUP(DATEVALUE(TEXT(A706,"m/d/yyyy")),FY24_Temp[],5,FALSE)&amp;TEXT(A706,"-h"),TempDelta[],4,FALSE)</f>
        <v>2.6134285245622908</v>
      </c>
      <c r="R706" s="112">
        <v>10</v>
      </c>
      <c r="S706" s="112">
        <v>1500</v>
      </c>
      <c r="T706" s="99">
        <f>VLOOKUP(TEXT(A706,"yy-mm")&amp;"-"&amp;IF(AND(WEEKDAY(A706)&gt;1,WEEKDAY(A706)&lt;7),"Wkd",TEXT(A706,"Ddd"))&amp;"-"&amp;TEXT(A706,"hh"),LoadTable[],3,FALSE)*0.92</f>
        <v>279.25312000000002</v>
      </c>
      <c r="U706" s="113">
        <f t="shared" si="685"/>
        <v>27.925312000000002</v>
      </c>
    </row>
    <row r="707" spans="1:21" ht="15" thickBot="1">
      <c r="A707" s="29">
        <f t="shared" si="723"/>
        <v>45865.333333333605</v>
      </c>
      <c r="B707" s="187">
        <f t="shared" ref="B707:L707" si="749">B731</f>
        <v>8000</v>
      </c>
      <c r="C707" s="187">
        <f t="shared" si="749"/>
        <v>25000</v>
      </c>
      <c r="D707" s="187">
        <v>0</v>
      </c>
      <c r="E707" s="187">
        <v>700</v>
      </c>
      <c r="F707" s="187">
        <v>15000</v>
      </c>
      <c r="G707" s="187">
        <f t="shared" si="749"/>
        <v>2400</v>
      </c>
      <c r="H707" s="187">
        <f t="shared" si="749"/>
        <v>25000</v>
      </c>
      <c r="I707" s="187">
        <f t="shared" si="749"/>
        <v>8000</v>
      </c>
      <c r="J707" s="187">
        <v>40000</v>
      </c>
      <c r="K707" s="187">
        <f t="shared" si="749"/>
        <v>8000</v>
      </c>
      <c r="L707" s="187">
        <v>40000</v>
      </c>
      <c r="M707" s="110">
        <v>9.5</v>
      </c>
      <c r="N707" s="110">
        <f>VLOOKUP(DATE(YEAR(A707),MONTH(A707),DAY(A707)),FY24_Temp[],3,FALSE)</f>
        <v>13.5</v>
      </c>
      <c r="O707" s="110">
        <f t="shared" si="683"/>
        <v>11.5</v>
      </c>
      <c r="P707" s="110">
        <f t="shared" si="684"/>
        <v>19.5</v>
      </c>
      <c r="Q707" s="111">
        <f>VLOOKUP(VLOOKUP(DATEVALUE(TEXT(A707,"m/d/yyyy")),FY24_Temp[],5,FALSE)&amp;TEXT(A707,"-h"),TempDelta[],4,FALSE)</f>
        <v>2.44985716683524</v>
      </c>
      <c r="R707" s="112">
        <v>10</v>
      </c>
      <c r="S707" s="112">
        <v>1500</v>
      </c>
      <c r="T707" s="99">
        <f>VLOOKUP(TEXT(A707,"yy-mm")&amp;"-"&amp;IF(AND(WEEKDAY(A707)&gt;1,WEEKDAY(A707)&lt;7),"Wkd",TEXT(A707,"Ddd"))&amp;"-"&amp;TEXT(A707,"hh"),LoadTable[],3,FALSE)*0.92</f>
        <v>279.25312000000002</v>
      </c>
      <c r="U707" s="113">
        <f t="shared" si="685"/>
        <v>27.925312000000002</v>
      </c>
    </row>
    <row r="708" spans="1:21" ht="15" thickBot="1">
      <c r="A708" s="29">
        <f t="shared" si="723"/>
        <v>45865.375000000269</v>
      </c>
      <c r="B708" s="187">
        <f t="shared" ref="B708:L708" si="750">B732</f>
        <v>8000</v>
      </c>
      <c r="C708" s="187">
        <f t="shared" si="750"/>
        <v>25000</v>
      </c>
      <c r="D708" s="187">
        <v>0</v>
      </c>
      <c r="E708" s="187">
        <v>700</v>
      </c>
      <c r="F708" s="187">
        <v>15000</v>
      </c>
      <c r="G708" s="187">
        <f t="shared" si="750"/>
        <v>2400</v>
      </c>
      <c r="H708" s="187">
        <f t="shared" si="750"/>
        <v>25000</v>
      </c>
      <c r="I708" s="187">
        <f t="shared" si="750"/>
        <v>8000</v>
      </c>
      <c r="J708" s="187">
        <v>40000</v>
      </c>
      <c r="K708" s="187">
        <f t="shared" si="750"/>
        <v>8000</v>
      </c>
      <c r="L708" s="187">
        <v>40000</v>
      </c>
      <c r="M708" s="110">
        <v>9.5</v>
      </c>
      <c r="N708" s="110">
        <f>VLOOKUP(DATE(YEAR(A708),MONTH(A708),DAY(A708)),FY24_Temp[],3,FALSE)</f>
        <v>13.5</v>
      </c>
      <c r="O708" s="110">
        <f t="shared" ref="O708:O771" si="751">15.5-4</f>
        <v>11.5</v>
      </c>
      <c r="P708" s="110">
        <f t="shared" ref="P708:P771" si="752">15.5+4</f>
        <v>19.5</v>
      </c>
      <c r="Q708" s="111">
        <f>VLOOKUP(VLOOKUP(DATEVALUE(TEXT(A708,"m/d/yyyy")),FY24_Temp[],5,FALSE)&amp;TEXT(A708,"-h"),TempDelta[],4,FALSE)</f>
        <v>2.2458571025303433</v>
      </c>
      <c r="R708" s="112">
        <v>10</v>
      </c>
      <c r="S708" s="112">
        <v>1500</v>
      </c>
      <c r="T708" s="99">
        <f>VLOOKUP(TEXT(A708,"yy-mm")&amp;"-"&amp;IF(AND(WEEKDAY(A708)&gt;1,WEEKDAY(A708)&lt;7),"Wkd",TEXT(A708,"Ddd"))&amp;"-"&amp;TEXT(A708,"hh"),LoadTable[],3,FALSE)*0.92</f>
        <v>279.25312000000002</v>
      </c>
      <c r="U708" s="113">
        <f t="shared" ref="U708:U771" si="753">T708/10</f>
        <v>27.925312000000002</v>
      </c>
    </row>
    <row r="709" spans="1:21" ht="15" thickBot="1">
      <c r="A709" s="29">
        <f t="shared" si="723"/>
        <v>45865.416666666933</v>
      </c>
      <c r="B709" s="187">
        <f t="shared" ref="B709:L709" si="754">B733</f>
        <v>8000</v>
      </c>
      <c r="C709" s="187">
        <f t="shared" si="754"/>
        <v>25000</v>
      </c>
      <c r="D709" s="187">
        <v>0</v>
      </c>
      <c r="E709" s="187">
        <v>700</v>
      </c>
      <c r="F709" s="187">
        <v>15000</v>
      </c>
      <c r="G709" s="187">
        <f t="shared" si="754"/>
        <v>2400</v>
      </c>
      <c r="H709" s="187">
        <f t="shared" si="754"/>
        <v>25000</v>
      </c>
      <c r="I709" s="187">
        <f t="shared" si="754"/>
        <v>8000</v>
      </c>
      <c r="J709" s="187">
        <v>40000</v>
      </c>
      <c r="K709" s="187">
        <f t="shared" si="754"/>
        <v>8000</v>
      </c>
      <c r="L709" s="187">
        <v>40000</v>
      </c>
      <c r="M709" s="110">
        <v>9.5</v>
      </c>
      <c r="N709" s="110">
        <f>VLOOKUP(DATE(YEAR(A709),MONTH(A709),DAY(A709)),FY24_Temp[],3,FALSE)</f>
        <v>13.5</v>
      </c>
      <c r="O709" s="110">
        <f t="shared" si="751"/>
        <v>11.5</v>
      </c>
      <c r="P709" s="110">
        <f t="shared" si="752"/>
        <v>19.5</v>
      </c>
      <c r="Q709" s="111">
        <f>VLOOKUP(VLOOKUP(DATEVALUE(TEXT(A709,"m/d/yyyy")),FY24_Temp[],5,FALSE)&amp;TEXT(A709,"-h"),TempDelta[],4,FALSE)</f>
        <v>2.0832857234137401</v>
      </c>
      <c r="R709" s="112">
        <v>10</v>
      </c>
      <c r="S709" s="112">
        <v>1500</v>
      </c>
      <c r="T709" s="99">
        <f>VLOOKUP(TEXT(A709,"yy-mm")&amp;"-"&amp;IF(AND(WEEKDAY(A709)&gt;1,WEEKDAY(A709)&lt;7),"Wkd",TEXT(A709,"Ddd"))&amp;"-"&amp;TEXT(A709,"hh"),LoadTable[],3,FALSE)*0.92</f>
        <v>279.25312000000002</v>
      </c>
      <c r="U709" s="113">
        <f t="shared" si="753"/>
        <v>27.925312000000002</v>
      </c>
    </row>
    <row r="710" spans="1:21" ht="15" thickBot="1">
      <c r="A710" s="29">
        <f t="shared" si="723"/>
        <v>45865.458333333598</v>
      </c>
      <c r="B710" s="187">
        <f t="shared" ref="B710:L710" si="755">B734</f>
        <v>8000</v>
      </c>
      <c r="C710" s="187">
        <f t="shared" si="755"/>
        <v>25000</v>
      </c>
      <c r="D710" s="187">
        <v>0</v>
      </c>
      <c r="E710" s="187">
        <v>700</v>
      </c>
      <c r="F710" s="187">
        <v>15000</v>
      </c>
      <c r="G710" s="187">
        <f t="shared" si="755"/>
        <v>2400</v>
      </c>
      <c r="H710" s="187">
        <f t="shared" si="755"/>
        <v>25000</v>
      </c>
      <c r="I710" s="187">
        <f t="shared" si="755"/>
        <v>8000</v>
      </c>
      <c r="J710" s="187">
        <v>40000</v>
      </c>
      <c r="K710" s="187">
        <f t="shared" si="755"/>
        <v>8000</v>
      </c>
      <c r="L710" s="187">
        <v>40000</v>
      </c>
      <c r="M710" s="110">
        <v>9.5</v>
      </c>
      <c r="N710" s="110">
        <f>VLOOKUP(DATE(YEAR(A710),MONTH(A710),DAY(A710)),FY24_Temp[],3,FALSE)</f>
        <v>13.5</v>
      </c>
      <c r="O710" s="110">
        <f t="shared" si="751"/>
        <v>11.5</v>
      </c>
      <c r="P710" s="110">
        <f t="shared" si="752"/>
        <v>19.5</v>
      </c>
      <c r="Q710" s="111">
        <f>VLOOKUP(VLOOKUP(DATEVALUE(TEXT(A710,"m/d/yyyy")),FY24_Temp[],5,FALSE)&amp;TEXT(A710,"-h"),TempDelta[],4,FALSE)</f>
        <v>1.8928571258272444</v>
      </c>
      <c r="R710" s="112">
        <v>10</v>
      </c>
      <c r="S710" s="112">
        <v>1500</v>
      </c>
      <c r="T710" s="99">
        <f>VLOOKUP(TEXT(A710,"yy-mm")&amp;"-"&amp;IF(AND(WEEKDAY(A710)&gt;1,WEEKDAY(A710)&lt;7),"Wkd",TEXT(A710,"Ddd"))&amp;"-"&amp;TEXT(A710,"hh"),LoadTable[],3,FALSE)*0.92</f>
        <v>279.25312000000002</v>
      </c>
      <c r="U710" s="113">
        <f t="shared" si="753"/>
        <v>27.925312000000002</v>
      </c>
    </row>
    <row r="711" spans="1:21" ht="15" thickBot="1">
      <c r="A711" s="29">
        <f t="shared" si="723"/>
        <v>45865.500000000262</v>
      </c>
      <c r="B711" s="187">
        <f t="shared" ref="B711:L711" si="756">B735</f>
        <v>8000</v>
      </c>
      <c r="C711" s="187">
        <f t="shared" si="756"/>
        <v>25000</v>
      </c>
      <c r="D711" s="187">
        <v>0</v>
      </c>
      <c r="E711" s="187">
        <v>700</v>
      </c>
      <c r="F711" s="187">
        <v>15000</v>
      </c>
      <c r="G711" s="187">
        <f t="shared" si="756"/>
        <v>2400</v>
      </c>
      <c r="H711" s="187">
        <f t="shared" si="756"/>
        <v>25000</v>
      </c>
      <c r="I711" s="187">
        <f t="shared" si="756"/>
        <v>8000</v>
      </c>
      <c r="J711" s="187">
        <v>40000</v>
      </c>
      <c r="K711" s="187">
        <f t="shared" si="756"/>
        <v>8000</v>
      </c>
      <c r="L711" s="187">
        <v>40000</v>
      </c>
      <c r="M711" s="110">
        <v>9.5</v>
      </c>
      <c r="N711" s="110">
        <f>VLOOKUP(DATE(YEAR(A711),MONTH(A711),DAY(A711)),FY24_Temp[],3,FALSE)</f>
        <v>13.5</v>
      </c>
      <c r="O711" s="110">
        <f t="shared" si="751"/>
        <v>11.5</v>
      </c>
      <c r="P711" s="110">
        <f t="shared" si="752"/>
        <v>19.5</v>
      </c>
      <c r="Q711" s="111">
        <f>VLOOKUP(VLOOKUP(DATEVALUE(TEXT(A711,"m/d/yyyy")),FY24_Temp[],5,FALSE)&amp;TEXT(A711,"-h"),TempDelta[],4,FALSE)</f>
        <v>1.665857127734593</v>
      </c>
      <c r="R711" s="112">
        <v>10</v>
      </c>
      <c r="S711" s="112">
        <v>1500</v>
      </c>
      <c r="T711" s="99">
        <f>VLOOKUP(TEXT(A711,"yy-mm")&amp;"-"&amp;IF(AND(WEEKDAY(A711)&gt;1,WEEKDAY(A711)&lt;7),"Wkd",TEXT(A711,"Ddd"))&amp;"-"&amp;TEXT(A711,"hh"),LoadTable[],3,FALSE)*0.92</f>
        <v>279.25312000000002</v>
      </c>
      <c r="U711" s="113">
        <f t="shared" si="753"/>
        <v>27.925312000000002</v>
      </c>
    </row>
    <row r="712" spans="1:21" ht="15" thickBot="1">
      <c r="A712" s="29">
        <f t="shared" si="723"/>
        <v>45865.541666666926</v>
      </c>
      <c r="B712" s="187">
        <f t="shared" ref="B712:L712" si="757">B736</f>
        <v>8000</v>
      </c>
      <c r="C712" s="187">
        <f t="shared" si="757"/>
        <v>25000</v>
      </c>
      <c r="D712" s="187">
        <v>0</v>
      </c>
      <c r="E712" s="187">
        <v>700</v>
      </c>
      <c r="F712" s="187">
        <v>15000</v>
      </c>
      <c r="G712" s="187">
        <f t="shared" si="757"/>
        <v>2400</v>
      </c>
      <c r="H712" s="187">
        <f t="shared" si="757"/>
        <v>25000</v>
      </c>
      <c r="I712" s="187">
        <f t="shared" si="757"/>
        <v>8000</v>
      </c>
      <c r="J712" s="187">
        <v>40000</v>
      </c>
      <c r="K712" s="187">
        <f t="shared" si="757"/>
        <v>8000</v>
      </c>
      <c r="L712" s="187">
        <v>40000</v>
      </c>
      <c r="M712" s="110">
        <v>9.5</v>
      </c>
      <c r="N712" s="110">
        <f>VLOOKUP(DATE(YEAR(A712),MONTH(A712),DAY(A712)),FY24_Temp[],3,FALSE)</f>
        <v>13.5</v>
      </c>
      <c r="O712" s="110">
        <f t="shared" si="751"/>
        <v>11.5</v>
      </c>
      <c r="P712" s="110">
        <f t="shared" si="752"/>
        <v>19.5</v>
      </c>
      <c r="Q712" s="111">
        <f>VLOOKUP(VLOOKUP(DATEVALUE(TEXT(A712,"m/d/yyyy")),FY24_Temp[],5,FALSE)&amp;TEXT(A712,"-h"),TempDelta[],4,FALSE)</f>
        <v>1.4252856969833374</v>
      </c>
      <c r="R712" s="112">
        <v>10</v>
      </c>
      <c r="S712" s="112">
        <v>1500</v>
      </c>
      <c r="T712" s="99">
        <f>VLOOKUP(TEXT(A712,"yy-mm")&amp;"-"&amp;IF(AND(WEEKDAY(A712)&gt;1,WEEKDAY(A712)&lt;7),"Wkd",TEXT(A712,"Ddd"))&amp;"-"&amp;TEXT(A712,"hh"),LoadTable[],3,FALSE)*0.92</f>
        <v>279.25312000000002</v>
      </c>
      <c r="U712" s="113">
        <f t="shared" si="753"/>
        <v>27.925312000000002</v>
      </c>
    </row>
    <row r="713" spans="1:21" ht="15" thickBot="1">
      <c r="A713" s="29">
        <f t="shared" si="723"/>
        <v>45865.58333333359</v>
      </c>
      <c r="B713" s="187">
        <f t="shared" ref="B713:L713" si="758">B737</f>
        <v>8000</v>
      </c>
      <c r="C713" s="187">
        <f t="shared" si="758"/>
        <v>25000</v>
      </c>
      <c r="D713" s="187">
        <v>0</v>
      </c>
      <c r="E713" s="187">
        <v>700</v>
      </c>
      <c r="F713" s="187">
        <v>15000</v>
      </c>
      <c r="G713" s="187">
        <f t="shared" si="758"/>
        <v>2400</v>
      </c>
      <c r="H713" s="187">
        <f t="shared" si="758"/>
        <v>25000</v>
      </c>
      <c r="I713" s="187">
        <f t="shared" si="758"/>
        <v>8000</v>
      </c>
      <c r="J713" s="187">
        <v>40000</v>
      </c>
      <c r="K713" s="187">
        <f t="shared" si="758"/>
        <v>8000</v>
      </c>
      <c r="L713" s="187">
        <v>40000</v>
      </c>
      <c r="M713" s="110">
        <v>9.5</v>
      </c>
      <c r="N713" s="110">
        <f>VLOOKUP(DATE(YEAR(A713),MONTH(A713),DAY(A713)),FY24_Temp[],3,FALSE)</f>
        <v>13.5</v>
      </c>
      <c r="O713" s="110">
        <f t="shared" si="751"/>
        <v>11.5</v>
      </c>
      <c r="P713" s="110">
        <f t="shared" si="752"/>
        <v>19.5</v>
      </c>
      <c r="Q713" s="111">
        <f>VLOOKUP(VLOOKUP(DATEVALUE(TEXT(A713,"m/d/yyyy")),FY24_Temp[],5,FALSE)&amp;TEXT(A713,"-h"),TempDelta[],4,FALSE)</f>
        <v>1.2351428781236922</v>
      </c>
      <c r="R713" s="112">
        <v>10</v>
      </c>
      <c r="S713" s="112">
        <v>1500</v>
      </c>
      <c r="T713" s="99">
        <f>VLOOKUP(TEXT(A713,"yy-mm")&amp;"-"&amp;IF(AND(WEEKDAY(A713)&gt;1,WEEKDAY(A713)&lt;7),"Wkd",TEXT(A713,"Ddd"))&amp;"-"&amp;TEXT(A713,"hh"),LoadTable[],3,FALSE)*0.92</f>
        <v>279.25312000000002</v>
      </c>
      <c r="U713" s="113">
        <f t="shared" si="753"/>
        <v>27.925312000000002</v>
      </c>
    </row>
    <row r="714" spans="1:21" ht="15" thickBot="1">
      <c r="A714" s="29">
        <f t="shared" si="723"/>
        <v>45865.625000000255</v>
      </c>
      <c r="B714" s="187">
        <f t="shared" ref="B714:L714" si="759">B738</f>
        <v>8000</v>
      </c>
      <c r="C714" s="187">
        <f t="shared" si="759"/>
        <v>25000</v>
      </c>
      <c r="D714" s="187">
        <v>0</v>
      </c>
      <c r="E714" s="187">
        <v>700</v>
      </c>
      <c r="F714" s="187">
        <v>15000</v>
      </c>
      <c r="G714" s="187">
        <f t="shared" si="759"/>
        <v>2400</v>
      </c>
      <c r="H714" s="187">
        <f t="shared" si="759"/>
        <v>25000</v>
      </c>
      <c r="I714" s="187">
        <f t="shared" si="759"/>
        <v>8000</v>
      </c>
      <c r="J714" s="187">
        <v>40000</v>
      </c>
      <c r="K714" s="187">
        <f t="shared" si="759"/>
        <v>8000</v>
      </c>
      <c r="L714" s="187">
        <v>40000</v>
      </c>
      <c r="M714" s="110">
        <v>9.5</v>
      </c>
      <c r="N714" s="110">
        <f>VLOOKUP(DATE(YEAR(A714),MONTH(A714),DAY(A714)),FY24_Temp[],3,FALSE)</f>
        <v>13.5</v>
      </c>
      <c r="O714" s="110">
        <f t="shared" si="751"/>
        <v>11.5</v>
      </c>
      <c r="P714" s="110">
        <f t="shared" si="752"/>
        <v>19.5</v>
      </c>
      <c r="Q714" s="111">
        <f>VLOOKUP(VLOOKUP(DATEVALUE(TEXT(A714,"m/d/yyyy")),FY24_Temp[],5,FALSE)&amp;TEXT(A714,"-h"),TempDelta[],4,FALSE)</f>
        <v>0.97514284508568905</v>
      </c>
      <c r="R714" s="112">
        <v>10</v>
      </c>
      <c r="S714" s="112">
        <v>1500</v>
      </c>
      <c r="T714" s="99">
        <f>VLOOKUP(TEXT(A714,"yy-mm")&amp;"-"&amp;IF(AND(WEEKDAY(A714)&gt;1,WEEKDAY(A714)&lt;7),"Wkd",TEXT(A714,"Ddd"))&amp;"-"&amp;TEXT(A714,"hh"),LoadTable[],3,FALSE)*0.92</f>
        <v>400.56064000000003</v>
      </c>
      <c r="U714" s="113">
        <f t="shared" si="753"/>
        <v>40.056064000000006</v>
      </c>
    </row>
    <row r="715" spans="1:21" ht="15" thickBot="1">
      <c r="A715" s="29">
        <f t="shared" si="723"/>
        <v>45865.666666666919</v>
      </c>
      <c r="B715" s="187">
        <f t="shared" ref="B715:L715" si="760">B739</f>
        <v>8000</v>
      </c>
      <c r="C715" s="187">
        <f t="shared" si="760"/>
        <v>25000</v>
      </c>
      <c r="D715" s="187">
        <v>0</v>
      </c>
      <c r="E715" s="187">
        <v>700</v>
      </c>
      <c r="F715" s="187">
        <v>15000</v>
      </c>
      <c r="G715" s="187">
        <f t="shared" si="760"/>
        <v>2400</v>
      </c>
      <c r="H715" s="187">
        <f t="shared" si="760"/>
        <v>25000</v>
      </c>
      <c r="I715" s="187">
        <f t="shared" si="760"/>
        <v>8000</v>
      </c>
      <c r="J715" s="187">
        <v>40000</v>
      </c>
      <c r="K715" s="187">
        <f t="shared" si="760"/>
        <v>8000</v>
      </c>
      <c r="L715" s="187">
        <v>40000</v>
      </c>
      <c r="M715" s="110">
        <v>9.5</v>
      </c>
      <c r="N715" s="110">
        <f>VLOOKUP(DATE(YEAR(A715),MONTH(A715),DAY(A715)),FY24_Temp[],3,FALSE)</f>
        <v>13.5</v>
      </c>
      <c r="O715" s="110">
        <f t="shared" si="751"/>
        <v>11.5</v>
      </c>
      <c r="P715" s="110">
        <f t="shared" si="752"/>
        <v>19.5</v>
      </c>
      <c r="Q715" s="111">
        <f>VLOOKUP(VLOOKUP(DATEVALUE(TEXT(A715,"m/d/yyyy")),FY24_Temp[],5,FALSE)&amp;TEXT(A715,"-h"),TempDelta[],4,FALSE)</f>
        <v>0.88578571166310993</v>
      </c>
      <c r="R715" s="112">
        <v>10</v>
      </c>
      <c r="S715" s="112">
        <v>1500</v>
      </c>
      <c r="T715" s="99">
        <f>VLOOKUP(TEXT(A715,"yy-mm")&amp;"-"&amp;IF(AND(WEEKDAY(A715)&gt;1,WEEKDAY(A715)&lt;7),"Wkd",TEXT(A715,"Ddd"))&amp;"-"&amp;TEXT(A715,"hh"),LoadTable[],3,FALSE)*0.92</f>
        <v>473.62059999999997</v>
      </c>
      <c r="U715" s="113">
        <f t="shared" si="753"/>
        <v>47.36206</v>
      </c>
    </row>
    <row r="716" spans="1:21" ht="15" thickBot="1">
      <c r="A716" s="29">
        <f t="shared" si="723"/>
        <v>45865.708333333583</v>
      </c>
      <c r="B716" s="187">
        <f t="shared" ref="B716:L716" si="761">B740</f>
        <v>8000</v>
      </c>
      <c r="C716" s="187">
        <f t="shared" si="761"/>
        <v>25000</v>
      </c>
      <c r="D716" s="187">
        <v>0</v>
      </c>
      <c r="E716" s="187">
        <v>700</v>
      </c>
      <c r="F716" s="187">
        <v>15000</v>
      </c>
      <c r="G716" s="187">
        <f t="shared" si="761"/>
        <v>2400</v>
      </c>
      <c r="H716" s="187">
        <f t="shared" si="761"/>
        <v>25000</v>
      </c>
      <c r="I716" s="187">
        <f t="shared" si="761"/>
        <v>8000</v>
      </c>
      <c r="J716" s="187">
        <v>40000</v>
      </c>
      <c r="K716" s="187">
        <f t="shared" si="761"/>
        <v>8000</v>
      </c>
      <c r="L716" s="187">
        <v>40000</v>
      </c>
      <c r="M716" s="110">
        <v>9.5</v>
      </c>
      <c r="N716" s="110">
        <f>VLOOKUP(DATE(YEAR(A716),MONTH(A716),DAY(A716)),FY24_Temp[],3,FALSE)</f>
        <v>13.5</v>
      </c>
      <c r="O716" s="110">
        <f t="shared" si="751"/>
        <v>11.5</v>
      </c>
      <c r="P716" s="110">
        <f t="shared" si="752"/>
        <v>19.5</v>
      </c>
      <c r="Q716" s="111">
        <f>VLOOKUP(VLOOKUP(DATEVALUE(TEXT(A716,"m/d/yyyy")),FY24_Temp[],5,FALSE)&amp;TEXT(A716,"-h"),TempDelta[],4,FALSE)</f>
        <v>1.0356428495475225</v>
      </c>
      <c r="R716" s="112">
        <v>10</v>
      </c>
      <c r="S716" s="112">
        <v>1500</v>
      </c>
      <c r="T716" s="99">
        <f>VLOOKUP(TEXT(A716,"yy-mm")&amp;"-"&amp;IF(AND(WEEKDAY(A716)&gt;1,WEEKDAY(A716)&lt;7),"Wkd",TEXT(A716,"Ddd"))&amp;"-"&amp;TEXT(A716,"hh"),LoadTable[],3,FALSE)*0.92</f>
        <v>473.62059999999997</v>
      </c>
      <c r="U716" s="113">
        <f t="shared" si="753"/>
        <v>47.36206</v>
      </c>
    </row>
    <row r="717" spans="1:21" ht="15" thickBot="1">
      <c r="A717" s="29">
        <f t="shared" si="723"/>
        <v>45865.750000000247</v>
      </c>
      <c r="B717" s="187">
        <f t="shared" ref="B717:L717" si="762">B741</f>
        <v>5000</v>
      </c>
      <c r="C717" s="187">
        <f t="shared" si="762"/>
        <v>25000</v>
      </c>
      <c r="D717" s="187">
        <v>0</v>
      </c>
      <c r="E717" s="187">
        <v>700</v>
      </c>
      <c r="F717" s="187">
        <v>15000</v>
      </c>
      <c r="G717" s="187">
        <f t="shared" si="762"/>
        <v>2400</v>
      </c>
      <c r="H717" s="187">
        <f t="shared" si="762"/>
        <v>25000</v>
      </c>
      <c r="I717" s="187">
        <f t="shared" si="762"/>
        <v>5000</v>
      </c>
      <c r="J717" s="187">
        <v>40000</v>
      </c>
      <c r="K717" s="187">
        <f t="shared" si="762"/>
        <v>5000</v>
      </c>
      <c r="L717" s="187">
        <v>40000</v>
      </c>
      <c r="M717" s="110">
        <v>9.5</v>
      </c>
      <c r="N717" s="110">
        <f>VLOOKUP(DATE(YEAR(A717),MONTH(A717),DAY(A717)),FY24_Temp[],3,FALSE)</f>
        <v>13.5</v>
      </c>
      <c r="O717" s="110">
        <f t="shared" si="751"/>
        <v>11.5</v>
      </c>
      <c r="P717" s="110">
        <f t="shared" si="752"/>
        <v>19.5</v>
      </c>
      <c r="Q717" s="111">
        <f>VLOOKUP(VLOOKUP(DATEVALUE(TEXT(A717,"m/d/yyyy")),FY24_Temp[],5,FALSE)&amp;TEXT(A717,"-h"),TempDelta[],4,FALSE)</f>
        <v>1.3991428358214242</v>
      </c>
      <c r="R717" s="112">
        <v>10</v>
      </c>
      <c r="S717" s="112">
        <v>1500</v>
      </c>
      <c r="T717" s="99">
        <f>VLOOKUP(TEXT(A717,"yy-mm")&amp;"-"&amp;IF(AND(WEEKDAY(A717)&gt;1,WEEKDAY(A717)&lt;7),"Wkd",TEXT(A717,"Ddd"))&amp;"-"&amp;TEXT(A717,"hh"),LoadTable[],3,FALSE)*0.92</f>
        <v>494.57360000000006</v>
      </c>
      <c r="U717" s="113">
        <f t="shared" si="753"/>
        <v>49.457360000000008</v>
      </c>
    </row>
    <row r="718" spans="1:21" ht="15" thickBot="1">
      <c r="A718" s="29">
        <f t="shared" si="723"/>
        <v>45865.791666666912</v>
      </c>
      <c r="B718" s="187">
        <f t="shared" ref="B718:L718" si="763">B742</f>
        <v>5000</v>
      </c>
      <c r="C718" s="187">
        <f t="shared" si="763"/>
        <v>25000</v>
      </c>
      <c r="D718" s="187">
        <v>0</v>
      </c>
      <c r="E718" s="187">
        <v>700</v>
      </c>
      <c r="F718" s="187">
        <v>15000</v>
      </c>
      <c r="G718" s="187">
        <f t="shared" si="763"/>
        <v>2400</v>
      </c>
      <c r="H718" s="187">
        <f t="shared" si="763"/>
        <v>25000</v>
      </c>
      <c r="I718" s="187">
        <f t="shared" si="763"/>
        <v>5000</v>
      </c>
      <c r="J718" s="187">
        <v>40000</v>
      </c>
      <c r="K718" s="187">
        <f t="shared" si="763"/>
        <v>5000</v>
      </c>
      <c r="L718" s="187">
        <v>40000</v>
      </c>
      <c r="M718" s="110">
        <v>9.5</v>
      </c>
      <c r="N718" s="110">
        <f>VLOOKUP(DATE(YEAR(A718),MONTH(A718),DAY(A718)),FY24_Temp[],3,FALSE)</f>
        <v>13.5</v>
      </c>
      <c r="O718" s="110">
        <f t="shared" si="751"/>
        <v>11.5</v>
      </c>
      <c r="P718" s="110">
        <f t="shared" si="752"/>
        <v>19.5</v>
      </c>
      <c r="Q718" s="111">
        <f>VLOOKUP(VLOOKUP(DATEVALUE(TEXT(A718,"m/d/yyyy")),FY24_Temp[],5,FALSE)&amp;TEXT(A718,"-h"),TempDelta[],4,FALSE)</f>
        <v>1.8638571415628706</v>
      </c>
      <c r="R718" s="112">
        <v>10</v>
      </c>
      <c r="S718" s="112">
        <v>1500</v>
      </c>
      <c r="T718" s="99">
        <f>VLOOKUP(TEXT(A718,"yy-mm")&amp;"-"&amp;IF(AND(WEEKDAY(A718)&gt;1,WEEKDAY(A718)&lt;7),"Wkd",TEXT(A718,"Ddd"))&amp;"-"&amp;TEXT(A718,"hh"),LoadTable[],3,FALSE)*0.92</f>
        <v>494.57360000000006</v>
      </c>
      <c r="U718" s="113">
        <f t="shared" si="753"/>
        <v>49.457360000000008</v>
      </c>
    </row>
    <row r="719" spans="1:21" ht="15" thickBot="1">
      <c r="A719" s="29">
        <f t="shared" si="723"/>
        <v>45865.833333333576</v>
      </c>
      <c r="B719" s="187">
        <f t="shared" ref="B719:L719" si="764">B743</f>
        <v>5000</v>
      </c>
      <c r="C719" s="187">
        <f t="shared" si="764"/>
        <v>25000</v>
      </c>
      <c r="D719" s="187">
        <v>0</v>
      </c>
      <c r="E719" s="187">
        <v>700</v>
      </c>
      <c r="F719" s="187">
        <v>15000</v>
      </c>
      <c r="G719" s="187">
        <f t="shared" si="764"/>
        <v>2400</v>
      </c>
      <c r="H719" s="187">
        <f t="shared" si="764"/>
        <v>25000</v>
      </c>
      <c r="I719" s="187">
        <f t="shared" si="764"/>
        <v>5000</v>
      </c>
      <c r="J719" s="187">
        <v>40000</v>
      </c>
      <c r="K719" s="187">
        <f t="shared" si="764"/>
        <v>5000</v>
      </c>
      <c r="L719" s="187">
        <v>40000</v>
      </c>
      <c r="M719" s="110">
        <v>9.5</v>
      </c>
      <c r="N719" s="110">
        <f>VLOOKUP(DATE(YEAR(A719),MONTH(A719),DAY(A719)),FY24_Temp[],3,FALSE)</f>
        <v>13.5</v>
      </c>
      <c r="O719" s="110">
        <f t="shared" si="751"/>
        <v>11.5</v>
      </c>
      <c r="P719" s="110">
        <f t="shared" si="752"/>
        <v>19.5</v>
      </c>
      <c r="Q719" s="111">
        <f>VLOOKUP(VLOOKUP(DATEVALUE(TEXT(A719,"m/d/yyyy")),FY24_Temp[],5,FALSE)&amp;TEXT(A719,"-h"),TempDelta[],4,FALSE)</f>
        <v>2.300714305468968</v>
      </c>
      <c r="R719" s="112">
        <v>10</v>
      </c>
      <c r="S719" s="112">
        <v>1500</v>
      </c>
      <c r="T719" s="99">
        <f>VLOOKUP(TEXT(A719,"yy-mm")&amp;"-"&amp;IF(AND(WEEKDAY(A719)&gt;1,WEEKDAY(A719)&lt;7),"Wkd",TEXT(A719,"Ddd"))&amp;"-"&amp;TEXT(A719,"hh"),LoadTable[],3,FALSE)*0.92</f>
        <v>494.57360000000006</v>
      </c>
      <c r="U719" s="113">
        <f t="shared" si="753"/>
        <v>49.457360000000008</v>
      </c>
    </row>
    <row r="720" spans="1:21" ht="15" thickBot="1">
      <c r="A720" s="29">
        <f t="shared" si="723"/>
        <v>45865.87500000024</v>
      </c>
      <c r="B720" s="187">
        <f t="shared" ref="B720:L720" si="765">B744</f>
        <v>5000</v>
      </c>
      <c r="C720" s="187">
        <f t="shared" si="765"/>
        <v>25000</v>
      </c>
      <c r="D720" s="187">
        <v>0</v>
      </c>
      <c r="E720" s="187">
        <v>700</v>
      </c>
      <c r="F720" s="187">
        <v>15000</v>
      </c>
      <c r="G720" s="187">
        <f t="shared" si="765"/>
        <v>2400</v>
      </c>
      <c r="H720" s="187">
        <f t="shared" si="765"/>
        <v>25000</v>
      </c>
      <c r="I720" s="187">
        <f t="shared" si="765"/>
        <v>5000</v>
      </c>
      <c r="J720" s="187">
        <v>40000</v>
      </c>
      <c r="K720" s="187">
        <f t="shared" si="765"/>
        <v>5000</v>
      </c>
      <c r="L720" s="187">
        <v>40000</v>
      </c>
      <c r="M720" s="110">
        <v>9.5</v>
      </c>
      <c r="N720" s="110">
        <f>VLOOKUP(DATE(YEAR(A720),MONTH(A720),DAY(A720)),FY24_Temp[],3,FALSE)</f>
        <v>13.5</v>
      </c>
      <c r="O720" s="110">
        <f t="shared" si="751"/>
        <v>11.5</v>
      </c>
      <c r="P720" s="110">
        <f t="shared" si="752"/>
        <v>19.5</v>
      </c>
      <c r="Q720" s="111">
        <f>VLOOKUP(VLOOKUP(DATEVALUE(TEXT(A720,"m/d/yyyy")),FY24_Temp[],5,FALSE)&amp;TEXT(A720,"-h"),TempDelta[],4,FALSE)</f>
        <v>2.554214222090585</v>
      </c>
      <c r="R720" s="112">
        <v>10</v>
      </c>
      <c r="S720" s="112">
        <v>1500</v>
      </c>
      <c r="T720" s="99">
        <f>VLOOKUP(TEXT(A720,"yy-mm")&amp;"-"&amp;IF(AND(WEEKDAY(A720)&gt;1,WEEKDAY(A720)&lt;7),"Wkd",TEXT(A720,"Ddd"))&amp;"-"&amp;TEXT(A720,"hh"),LoadTable[],3,FALSE)*0.92</f>
        <v>418.75640000000004</v>
      </c>
      <c r="U720" s="113">
        <f t="shared" si="753"/>
        <v>41.875640000000004</v>
      </c>
    </row>
    <row r="721" spans="1:21" ht="15" thickBot="1">
      <c r="A721" s="29">
        <f t="shared" si="723"/>
        <v>45865.916666666904</v>
      </c>
      <c r="B721" s="187">
        <f t="shared" ref="B721:L721" si="766">B745</f>
        <v>5000</v>
      </c>
      <c r="C721" s="187">
        <f t="shared" si="766"/>
        <v>25000</v>
      </c>
      <c r="D721" s="187">
        <v>0</v>
      </c>
      <c r="E721" s="187">
        <v>700</v>
      </c>
      <c r="F721" s="187">
        <v>15000</v>
      </c>
      <c r="G721" s="187">
        <f t="shared" si="766"/>
        <v>2400</v>
      </c>
      <c r="H721" s="187">
        <f t="shared" si="766"/>
        <v>25000</v>
      </c>
      <c r="I721" s="187">
        <f t="shared" si="766"/>
        <v>5000</v>
      </c>
      <c r="J721" s="187">
        <v>40000</v>
      </c>
      <c r="K721" s="187">
        <f t="shared" si="766"/>
        <v>5000</v>
      </c>
      <c r="L721" s="187">
        <v>40000</v>
      </c>
      <c r="M721" s="110">
        <v>9.5</v>
      </c>
      <c r="N721" s="110">
        <f>VLOOKUP(DATE(YEAR(A721),MONTH(A721),DAY(A721)),FY24_Temp[],3,FALSE)</f>
        <v>13.5</v>
      </c>
      <c r="O721" s="110">
        <f t="shared" si="751"/>
        <v>11.5</v>
      </c>
      <c r="P721" s="110">
        <f t="shared" si="752"/>
        <v>19.5</v>
      </c>
      <c r="Q721" s="111">
        <f>VLOOKUP(VLOOKUP(DATEVALUE(TEXT(A721,"m/d/yyyy")),FY24_Temp[],5,FALSE)&amp;TEXT(A721,"-h"),TempDelta[],4,FALSE)</f>
        <v>2.7827142647334506</v>
      </c>
      <c r="R721" s="112">
        <v>10</v>
      </c>
      <c r="S721" s="112">
        <v>1500</v>
      </c>
      <c r="T721" s="99">
        <f>VLOOKUP(TEXT(A721,"yy-mm")&amp;"-"&amp;IF(AND(WEEKDAY(A721)&gt;1,WEEKDAY(A721)&lt;7),"Wkd",TEXT(A721,"Ddd"))&amp;"-"&amp;TEXT(A721,"hh"),LoadTable[],3,FALSE)*0.92</f>
        <v>342.93920000000003</v>
      </c>
      <c r="U721" s="113">
        <f t="shared" si="753"/>
        <v>34.29392</v>
      </c>
    </row>
    <row r="722" spans="1:21" ht="15" thickBot="1">
      <c r="A722" s="29">
        <f t="shared" si="723"/>
        <v>45865.958333333569</v>
      </c>
      <c r="B722" s="187">
        <f t="shared" ref="B722:L722" si="767">B746</f>
        <v>5000</v>
      </c>
      <c r="C722" s="187">
        <f t="shared" si="767"/>
        <v>25000</v>
      </c>
      <c r="D722" s="187">
        <v>0</v>
      </c>
      <c r="E722" s="187">
        <v>700</v>
      </c>
      <c r="F722" s="187">
        <v>15000</v>
      </c>
      <c r="G722" s="187">
        <f t="shared" si="767"/>
        <v>2400</v>
      </c>
      <c r="H722" s="187">
        <f t="shared" si="767"/>
        <v>25000</v>
      </c>
      <c r="I722" s="187">
        <f t="shared" si="767"/>
        <v>5000</v>
      </c>
      <c r="J722" s="187">
        <v>40000</v>
      </c>
      <c r="K722" s="187">
        <f t="shared" si="767"/>
        <v>5000</v>
      </c>
      <c r="L722" s="187">
        <v>40000</v>
      </c>
      <c r="M722" s="110">
        <v>9.5</v>
      </c>
      <c r="N722" s="110">
        <f>VLOOKUP(DATE(YEAR(A722),MONTH(A722),DAY(A722)),FY24_Temp[],3,FALSE)</f>
        <v>13.5</v>
      </c>
      <c r="O722" s="110">
        <f t="shared" si="751"/>
        <v>11.5</v>
      </c>
      <c r="P722" s="110">
        <f t="shared" si="752"/>
        <v>19.5</v>
      </c>
      <c r="Q722" s="111">
        <f>VLOOKUP(VLOOKUP(DATEVALUE(TEXT(A722,"m/d/yyyy")),FY24_Temp[],5,FALSE)&amp;TEXT(A722,"-h"),TempDelta[],4,FALSE)</f>
        <v>2.8792857101985385</v>
      </c>
      <c r="R722" s="112">
        <v>10</v>
      </c>
      <c r="S722" s="112">
        <v>1500</v>
      </c>
      <c r="T722" s="99">
        <f>VLOOKUP(TEXT(A722,"yy-mm")&amp;"-"&amp;IF(AND(WEEKDAY(A722)&gt;1,WEEKDAY(A722)&lt;7),"Wkd",TEXT(A722,"Ddd"))&amp;"-"&amp;TEXT(A722,"hh"),LoadTable[],3,FALSE)*0.92</f>
        <v>279.25312000000002</v>
      </c>
      <c r="U722" s="113">
        <f t="shared" si="753"/>
        <v>27.925312000000002</v>
      </c>
    </row>
    <row r="723" spans="1:21" ht="15" thickBot="1">
      <c r="A723" s="29">
        <f t="shared" si="723"/>
        <v>45866.000000000233</v>
      </c>
      <c r="B723" s="187">
        <f t="shared" ref="B723:L723" si="768">B747</f>
        <v>5000</v>
      </c>
      <c r="C723" s="187">
        <f t="shared" si="768"/>
        <v>25000</v>
      </c>
      <c r="D723" s="187">
        <v>0</v>
      </c>
      <c r="E723" s="187">
        <v>700</v>
      </c>
      <c r="F723" s="187">
        <v>15000</v>
      </c>
      <c r="G723" s="187">
        <f t="shared" si="768"/>
        <v>2400</v>
      </c>
      <c r="H723" s="187">
        <f t="shared" si="768"/>
        <v>25000</v>
      </c>
      <c r="I723" s="187">
        <f t="shared" si="768"/>
        <v>5000</v>
      </c>
      <c r="J723" s="187">
        <v>40000</v>
      </c>
      <c r="K723" s="187">
        <f t="shared" si="768"/>
        <v>5000</v>
      </c>
      <c r="L723" s="187">
        <v>40000</v>
      </c>
      <c r="M723" s="110">
        <v>9.5</v>
      </c>
      <c r="N723" s="110">
        <f>VLOOKUP(DATE(YEAR(A723),MONTH(A723),DAY(A723)),FY24_Temp[],3,FALSE)</f>
        <v>13.5</v>
      </c>
      <c r="O723" s="110">
        <f t="shared" si="751"/>
        <v>11.5</v>
      </c>
      <c r="P723" s="110">
        <f t="shared" si="752"/>
        <v>19.5</v>
      </c>
      <c r="Q723" s="111">
        <f>VLOOKUP(VLOOKUP(DATEVALUE(TEXT(A723,"m/d/yyyy")),FY24_Temp[],5,FALSE)&amp;TEXT(A723,"-h"),TempDelta[],4,FALSE)</f>
        <v>3.0441428933824812</v>
      </c>
      <c r="R723" s="112">
        <v>10</v>
      </c>
      <c r="S723" s="112">
        <v>1500</v>
      </c>
      <c r="T723" s="99">
        <f>VLOOKUP(TEXT(A723,"yy-mm")&amp;"-"&amp;IF(AND(WEEKDAY(A723)&gt;1,WEEKDAY(A723)&lt;7),"Wkd",TEXT(A723,"Ddd"))&amp;"-"&amp;TEXT(A723,"hh"),LoadTable[],3,FALSE)*0.92</f>
        <v>279.25312000000002</v>
      </c>
      <c r="U723" s="113">
        <f t="shared" si="753"/>
        <v>27.925312000000002</v>
      </c>
    </row>
    <row r="724" spans="1:21" ht="15" thickBot="1">
      <c r="A724" s="29">
        <f t="shared" si="723"/>
        <v>45866.041666666897</v>
      </c>
      <c r="B724" s="187">
        <f t="shared" ref="B724:L724" si="769">B748</f>
        <v>5000</v>
      </c>
      <c r="C724" s="187">
        <f t="shared" si="769"/>
        <v>25000</v>
      </c>
      <c r="D724" s="187">
        <v>0</v>
      </c>
      <c r="E724" s="187">
        <v>700</v>
      </c>
      <c r="F724" s="187">
        <v>15000</v>
      </c>
      <c r="G724" s="187">
        <f t="shared" si="769"/>
        <v>2400</v>
      </c>
      <c r="H724" s="187">
        <f t="shared" si="769"/>
        <v>25000</v>
      </c>
      <c r="I724" s="187">
        <f t="shared" si="769"/>
        <v>5000</v>
      </c>
      <c r="J724" s="187">
        <v>40000</v>
      </c>
      <c r="K724" s="187">
        <f t="shared" si="769"/>
        <v>5000</v>
      </c>
      <c r="L724" s="187">
        <v>40000</v>
      </c>
      <c r="M724" s="110">
        <v>9.5</v>
      </c>
      <c r="N724" s="110">
        <f>VLOOKUP(DATE(YEAR(A724),MONTH(A724),DAY(A724)),FY24_Temp[],3,FALSE)</f>
        <v>13.5</v>
      </c>
      <c r="O724" s="110">
        <f t="shared" si="751"/>
        <v>11.5</v>
      </c>
      <c r="P724" s="110">
        <f t="shared" si="752"/>
        <v>19.5</v>
      </c>
      <c r="Q724" s="111">
        <f>VLOOKUP(VLOOKUP(DATEVALUE(TEXT(A724,"m/d/yyyy")),FY24_Temp[],5,FALSE)&amp;TEXT(A724,"-h"),TempDelta[],4,FALSE)</f>
        <v>3.0992857047489712</v>
      </c>
      <c r="R724" s="112">
        <v>10</v>
      </c>
      <c r="S724" s="112">
        <v>1500</v>
      </c>
      <c r="T724" s="99">
        <f>VLOOKUP(TEXT(A724,"yy-mm")&amp;"-"&amp;IF(AND(WEEKDAY(A724)&gt;1,WEEKDAY(A724)&lt;7),"Wkd",TEXT(A724,"Ddd"))&amp;"-"&amp;TEXT(A724,"hh"),LoadTable[],3,FALSE)*0.92</f>
        <v>279.25312000000002</v>
      </c>
      <c r="U724" s="113">
        <f t="shared" si="753"/>
        <v>27.925312000000002</v>
      </c>
    </row>
    <row r="725" spans="1:21" ht="15" thickBot="1">
      <c r="A725" s="29">
        <f t="shared" si="723"/>
        <v>45866.083333333561</v>
      </c>
      <c r="B725" s="187">
        <f t="shared" ref="B725:L725" si="770">B749</f>
        <v>5000</v>
      </c>
      <c r="C725" s="187">
        <f t="shared" si="770"/>
        <v>25000</v>
      </c>
      <c r="D725" s="187">
        <v>0</v>
      </c>
      <c r="E725" s="187">
        <v>700</v>
      </c>
      <c r="F725" s="187">
        <v>15000</v>
      </c>
      <c r="G725" s="187">
        <f t="shared" si="770"/>
        <v>2400</v>
      </c>
      <c r="H725" s="187">
        <f t="shared" si="770"/>
        <v>25000</v>
      </c>
      <c r="I725" s="187">
        <f t="shared" si="770"/>
        <v>5000</v>
      </c>
      <c r="J725" s="187">
        <v>40000</v>
      </c>
      <c r="K725" s="187">
        <f t="shared" si="770"/>
        <v>5000</v>
      </c>
      <c r="L725" s="187">
        <v>40000</v>
      </c>
      <c r="M725" s="110">
        <v>9.5</v>
      </c>
      <c r="N725" s="110">
        <f>VLOOKUP(DATE(YEAR(A725),MONTH(A725),DAY(A725)),FY24_Temp[],3,FALSE)</f>
        <v>13.5</v>
      </c>
      <c r="O725" s="110">
        <f t="shared" si="751"/>
        <v>11.5</v>
      </c>
      <c r="P725" s="110">
        <f t="shared" si="752"/>
        <v>19.5</v>
      </c>
      <c r="Q725" s="111">
        <f>VLOOKUP(VLOOKUP(DATEVALUE(TEXT(A725,"m/d/yyyy")),FY24_Temp[],5,FALSE)&amp;TEXT(A725,"-h"),TempDelta[],4,FALSE)</f>
        <v>3.1050000190734863</v>
      </c>
      <c r="R725" s="112">
        <v>10</v>
      </c>
      <c r="S725" s="112">
        <v>1500</v>
      </c>
      <c r="T725" s="99">
        <f>VLOOKUP(TEXT(A725,"yy-mm")&amp;"-"&amp;IF(AND(WEEKDAY(A725)&gt;1,WEEKDAY(A725)&lt;7),"Wkd",TEXT(A725,"Ddd"))&amp;"-"&amp;TEXT(A725,"hh"),LoadTable[],3,FALSE)*0.92</f>
        <v>279.25312000000002</v>
      </c>
      <c r="U725" s="113">
        <f t="shared" si="753"/>
        <v>27.925312000000002</v>
      </c>
    </row>
    <row r="726" spans="1:21" ht="15" thickBot="1">
      <c r="A726" s="29">
        <f t="shared" si="723"/>
        <v>45866.125000000226</v>
      </c>
      <c r="B726" s="187">
        <f t="shared" ref="B726:L726" si="771">B750</f>
        <v>5000</v>
      </c>
      <c r="C726" s="187">
        <f t="shared" si="771"/>
        <v>25000</v>
      </c>
      <c r="D726" s="187">
        <v>0</v>
      </c>
      <c r="E726" s="187">
        <v>700</v>
      </c>
      <c r="F726" s="187">
        <v>15000</v>
      </c>
      <c r="G726" s="187">
        <f t="shared" si="771"/>
        <v>2400</v>
      </c>
      <c r="H726" s="187">
        <f t="shared" si="771"/>
        <v>25000</v>
      </c>
      <c r="I726" s="187">
        <f t="shared" si="771"/>
        <v>5000</v>
      </c>
      <c r="J726" s="187">
        <v>40000</v>
      </c>
      <c r="K726" s="187">
        <f t="shared" si="771"/>
        <v>5000</v>
      </c>
      <c r="L726" s="187">
        <v>40000</v>
      </c>
      <c r="M726" s="110">
        <v>9.5</v>
      </c>
      <c r="N726" s="110">
        <f>VLOOKUP(DATE(YEAR(A726),MONTH(A726),DAY(A726)),FY24_Temp[],3,FALSE)</f>
        <v>13.5</v>
      </c>
      <c r="O726" s="110">
        <f t="shared" si="751"/>
        <v>11.5</v>
      </c>
      <c r="P726" s="110">
        <f t="shared" si="752"/>
        <v>19.5</v>
      </c>
      <c r="Q726" s="111">
        <f>VLOOKUP(VLOOKUP(DATEVALUE(TEXT(A726,"m/d/yyyy")),FY24_Temp[],5,FALSE)&amp;TEXT(A726,"-h"),TempDelta[],4,FALSE)</f>
        <v>3.0428571701049805</v>
      </c>
      <c r="R726" s="112">
        <v>10</v>
      </c>
      <c r="S726" s="112">
        <v>1500</v>
      </c>
      <c r="T726" s="99">
        <f>VLOOKUP(TEXT(A726,"yy-mm")&amp;"-"&amp;IF(AND(WEEKDAY(A726)&gt;1,WEEKDAY(A726)&lt;7),"Wkd",TEXT(A726,"Ddd"))&amp;"-"&amp;TEXT(A726,"hh"),LoadTable[],3,FALSE)*0.92</f>
        <v>279.25312000000002</v>
      </c>
      <c r="U726" s="113">
        <f t="shared" si="753"/>
        <v>27.925312000000002</v>
      </c>
    </row>
    <row r="727" spans="1:21" ht="15" thickBot="1">
      <c r="A727" s="29">
        <f t="shared" si="723"/>
        <v>45866.16666666689</v>
      </c>
      <c r="B727" s="187">
        <f t="shared" ref="B727:L727" si="772">B751</f>
        <v>5000</v>
      </c>
      <c r="C727" s="187">
        <f t="shared" si="772"/>
        <v>25000</v>
      </c>
      <c r="D727" s="187">
        <v>0</v>
      </c>
      <c r="E727" s="187">
        <v>700</v>
      </c>
      <c r="F727" s="187">
        <v>15000</v>
      </c>
      <c r="G727" s="187">
        <f t="shared" si="772"/>
        <v>2400</v>
      </c>
      <c r="H727" s="187">
        <f t="shared" si="772"/>
        <v>25000</v>
      </c>
      <c r="I727" s="187">
        <f t="shared" si="772"/>
        <v>5000</v>
      </c>
      <c r="J727" s="187">
        <v>40000</v>
      </c>
      <c r="K727" s="187">
        <f t="shared" si="772"/>
        <v>5000</v>
      </c>
      <c r="L727" s="187">
        <v>40000</v>
      </c>
      <c r="M727" s="110">
        <v>9.5</v>
      </c>
      <c r="N727" s="110">
        <f>VLOOKUP(DATE(YEAR(A727),MONTH(A727),DAY(A727)),FY24_Temp[],3,FALSE)</f>
        <v>13.5</v>
      </c>
      <c r="O727" s="110">
        <f t="shared" si="751"/>
        <v>11.5</v>
      </c>
      <c r="P727" s="110">
        <f t="shared" si="752"/>
        <v>19.5</v>
      </c>
      <c r="Q727" s="111">
        <f>VLOOKUP(VLOOKUP(DATEVALUE(TEXT(A727,"m/d/yyyy")),FY24_Temp[],5,FALSE)&amp;TEXT(A727,"-h"),TempDelta[],4,FALSE)</f>
        <v>2.9580000468662808</v>
      </c>
      <c r="R727" s="112">
        <v>10</v>
      </c>
      <c r="S727" s="112">
        <v>1500</v>
      </c>
      <c r="T727" s="99">
        <f>VLOOKUP(TEXT(A727,"yy-mm")&amp;"-"&amp;IF(AND(WEEKDAY(A727)&gt;1,WEEKDAY(A727)&lt;7),"Wkd",TEXT(A727,"Ddd"))&amp;"-"&amp;TEXT(A727,"hh"),LoadTable[],3,FALSE)*0.92</f>
        <v>279.25312000000002</v>
      </c>
      <c r="U727" s="113">
        <f t="shared" si="753"/>
        <v>27.925312000000002</v>
      </c>
    </row>
    <row r="728" spans="1:21" ht="15" thickBot="1">
      <c r="A728" s="29">
        <f t="shared" si="723"/>
        <v>45866.208333333554</v>
      </c>
      <c r="B728" s="187">
        <f t="shared" ref="B728:L728" si="773">B752</f>
        <v>5000</v>
      </c>
      <c r="C728" s="187">
        <f t="shared" si="773"/>
        <v>25000</v>
      </c>
      <c r="D728" s="187">
        <v>0</v>
      </c>
      <c r="E728" s="187">
        <v>700</v>
      </c>
      <c r="F728" s="187">
        <v>15000</v>
      </c>
      <c r="G728" s="187">
        <f t="shared" si="773"/>
        <v>2400</v>
      </c>
      <c r="H728" s="187">
        <f t="shared" si="773"/>
        <v>25000</v>
      </c>
      <c r="I728" s="187">
        <f t="shared" si="773"/>
        <v>5000</v>
      </c>
      <c r="J728" s="187">
        <v>40000</v>
      </c>
      <c r="K728" s="187">
        <f t="shared" si="773"/>
        <v>5000</v>
      </c>
      <c r="L728" s="187">
        <v>40000</v>
      </c>
      <c r="M728" s="110">
        <v>9.5</v>
      </c>
      <c r="N728" s="110">
        <f>VLOOKUP(DATE(YEAR(A728),MONTH(A728),DAY(A728)),FY24_Temp[],3,FALSE)</f>
        <v>13.5</v>
      </c>
      <c r="O728" s="110">
        <f t="shared" si="751"/>
        <v>11.5</v>
      </c>
      <c r="P728" s="110">
        <f t="shared" si="752"/>
        <v>19.5</v>
      </c>
      <c r="Q728" s="111">
        <f>VLOOKUP(VLOOKUP(DATEVALUE(TEXT(A728,"m/d/yyyy")),FY24_Temp[],5,FALSE)&amp;TEXT(A728,"-h"),TempDelta[],4,FALSE)</f>
        <v>2.8608571801866804</v>
      </c>
      <c r="R728" s="112">
        <v>10</v>
      </c>
      <c r="S728" s="112">
        <v>1500</v>
      </c>
      <c r="T728" s="99">
        <f>VLOOKUP(TEXT(A728,"yy-mm")&amp;"-"&amp;IF(AND(WEEKDAY(A728)&gt;1,WEEKDAY(A728)&lt;7),"Wkd",TEXT(A728,"Ddd"))&amp;"-"&amp;TEXT(A728,"hh"),LoadTable[],3,FALSE)*0.92</f>
        <v>279.25312000000002</v>
      </c>
      <c r="U728" s="113">
        <f t="shared" si="753"/>
        <v>27.925312000000002</v>
      </c>
    </row>
    <row r="729" spans="1:21" ht="15" thickBot="1">
      <c r="A729" s="29">
        <f t="shared" si="723"/>
        <v>45866.250000000218</v>
      </c>
      <c r="B729" s="187">
        <f t="shared" ref="B729:L729" si="774">B753</f>
        <v>8000</v>
      </c>
      <c r="C729" s="187">
        <f t="shared" si="774"/>
        <v>25000</v>
      </c>
      <c r="D729" s="187">
        <v>0</v>
      </c>
      <c r="E729" s="187">
        <v>700</v>
      </c>
      <c r="F729" s="187">
        <v>15000</v>
      </c>
      <c r="G729" s="187">
        <f t="shared" si="774"/>
        <v>2400</v>
      </c>
      <c r="H729" s="187">
        <f t="shared" si="774"/>
        <v>25000</v>
      </c>
      <c r="I729" s="187">
        <f t="shared" si="774"/>
        <v>8000</v>
      </c>
      <c r="J729" s="187">
        <v>40000</v>
      </c>
      <c r="K729" s="187">
        <f t="shared" si="774"/>
        <v>8000</v>
      </c>
      <c r="L729" s="187">
        <v>40000</v>
      </c>
      <c r="M729" s="110">
        <v>9.5</v>
      </c>
      <c r="N729" s="110">
        <f>VLOOKUP(DATE(YEAR(A729),MONTH(A729),DAY(A729)),FY24_Temp[],3,FALSE)</f>
        <v>13.5</v>
      </c>
      <c r="O729" s="110">
        <f t="shared" si="751"/>
        <v>11.5</v>
      </c>
      <c r="P729" s="110">
        <f t="shared" si="752"/>
        <v>19.5</v>
      </c>
      <c r="Q729" s="111">
        <f>VLOOKUP(VLOOKUP(DATEVALUE(TEXT(A729,"m/d/yyyy")),FY24_Temp[],5,FALSE)&amp;TEXT(A729,"-h"),TempDelta[],4,FALSE)</f>
        <v>2.7405714307512556</v>
      </c>
      <c r="R729" s="112">
        <v>10</v>
      </c>
      <c r="S729" s="112">
        <v>1500</v>
      </c>
      <c r="T729" s="99">
        <f>VLOOKUP(TEXT(A729,"yy-mm")&amp;"-"&amp;IF(AND(WEEKDAY(A729)&gt;1,WEEKDAY(A729)&lt;7),"Wkd",TEXT(A729,"Ddd"))&amp;"-"&amp;TEXT(A729,"hh"),LoadTable[],3,FALSE)*0.92</f>
        <v>279.25312000000002</v>
      </c>
      <c r="U729" s="113">
        <f t="shared" si="753"/>
        <v>27.925312000000002</v>
      </c>
    </row>
    <row r="730" spans="1:21" ht="15" thickBot="1">
      <c r="A730" s="29">
        <f t="shared" si="723"/>
        <v>45866.291666666883</v>
      </c>
      <c r="B730" s="187">
        <f t="shared" ref="B730:L730" si="775">B754</f>
        <v>8000</v>
      </c>
      <c r="C730" s="187">
        <f t="shared" si="775"/>
        <v>25000</v>
      </c>
      <c r="D730" s="187">
        <v>0</v>
      </c>
      <c r="E730" s="187">
        <v>700</v>
      </c>
      <c r="F730" s="187">
        <v>15000</v>
      </c>
      <c r="G730" s="187">
        <f t="shared" si="775"/>
        <v>2400</v>
      </c>
      <c r="H730" s="187">
        <f t="shared" si="775"/>
        <v>25000</v>
      </c>
      <c r="I730" s="187">
        <f t="shared" si="775"/>
        <v>8000</v>
      </c>
      <c r="J730" s="187">
        <v>40000</v>
      </c>
      <c r="K730" s="187">
        <f t="shared" si="775"/>
        <v>8000</v>
      </c>
      <c r="L730" s="187">
        <v>40000</v>
      </c>
      <c r="M730" s="110">
        <v>9.5</v>
      </c>
      <c r="N730" s="110">
        <f>VLOOKUP(DATE(YEAR(A730),MONTH(A730),DAY(A730)),FY24_Temp[],3,FALSE)</f>
        <v>13.5</v>
      </c>
      <c r="O730" s="110">
        <f t="shared" si="751"/>
        <v>11.5</v>
      </c>
      <c r="P730" s="110">
        <f t="shared" si="752"/>
        <v>19.5</v>
      </c>
      <c r="Q730" s="111">
        <f>VLOOKUP(VLOOKUP(DATEVALUE(TEXT(A730,"m/d/yyyy")),FY24_Temp[],5,FALSE)&amp;TEXT(A730,"-h"),TempDelta[],4,FALSE)</f>
        <v>2.6134285245622908</v>
      </c>
      <c r="R730" s="112">
        <v>10</v>
      </c>
      <c r="S730" s="112">
        <v>1500</v>
      </c>
      <c r="T730" s="99">
        <f>VLOOKUP(TEXT(A730,"yy-mm")&amp;"-"&amp;IF(AND(WEEKDAY(A730)&gt;1,WEEKDAY(A730)&lt;7),"Wkd",TEXT(A730,"Ddd"))&amp;"-"&amp;TEXT(A730,"hh"),LoadTable[],3,FALSE)*0.92</f>
        <v>279.25312000000002</v>
      </c>
      <c r="U730" s="113">
        <f t="shared" si="753"/>
        <v>27.925312000000002</v>
      </c>
    </row>
    <row r="731" spans="1:21" ht="15" thickBot="1">
      <c r="A731" s="29">
        <f t="shared" si="723"/>
        <v>45866.333333333547</v>
      </c>
      <c r="B731" s="187">
        <f t="shared" ref="B731:L731" si="776">B755</f>
        <v>8000</v>
      </c>
      <c r="C731" s="187">
        <f t="shared" si="776"/>
        <v>25000</v>
      </c>
      <c r="D731" s="187">
        <v>0</v>
      </c>
      <c r="E731" s="187">
        <v>700</v>
      </c>
      <c r="F731" s="187">
        <v>15000</v>
      </c>
      <c r="G731" s="187">
        <f t="shared" si="776"/>
        <v>2400</v>
      </c>
      <c r="H731" s="187">
        <f t="shared" si="776"/>
        <v>25000</v>
      </c>
      <c r="I731" s="187">
        <f t="shared" si="776"/>
        <v>8000</v>
      </c>
      <c r="J731" s="187">
        <v>40000</v>
      </c>
      <c r="K731" s="187">
        <f t="shared" si="776"/>
        <v>8000</v>
      </c>
      <c r="L731" s="187">
        <v>40000</v>
      </c>
      <c r="M731" s="110">
        <v>9.5</v>
      </c>
      <c r="N731" s="110">
        <f>VLOOKUP(DATE(YEAR(A731),MONTH(A731),DAY(A731)),FY24_Temp[],3,FALSE)</f>
        <v>13.5</v>
      </c>
      <c r="O731" s="110">
        <f t="shared" si="751"/>
        <v>11.5</v>
      </c>
      <c r="P731" s="110">
        <f t="shared" si="752"/>
        <v>19.5</v>
      </c>
      <c r="Q731" s="111">
        <f>VLOOKUP(VLOOKUP(DATEVALUE(TEXT(A731,"m/d/yyyy")),FY24_Temp[],5,FALSE)&amp;TEXT(A731,"-h"),TempDelta[],4,FALSE)</f>
        <v>2.44985716683524</v>
      </c>
      <c r="R731" s="112">
        <v>10</v>
      </c>
      <c r="S731" s="112">
        <v>1500</v>
      </c>
      <c r="T731" s="99">
        <f>VLOOKUP(TEXT(A731,"yy-mm")&amp;"-"&amp;IF(AND(WEEKDAY(A731)&gt;1,WEEKDAY(A731)&lt;7),"Wkd",TEXT(A731,"Ddd"))&amp;"-"&amp;TEXT(A731,"hh"),LoadTable[],3,FALSE)*0.92</f>
        <v>279.25312000000002</v>
      </c>
      <c r="U731" s="113">
        <f t="shared" si="753"/>
        <v>27.925312000000002</v>
      </c>
    </row>
    <row r="732" spans="1:21" ht="15" thickBot="1">
      <c r="A732" s="29">
        <f t="shared" si="723"/>
        <v>45866.375000000211</v>
      </c>
      <c r="B732" s="187">
        <f t="shared" ref="B732:L732" si="777">B756</f>
        <v>8000</v>
      </c>
      <c r="C732" s="187">
        <f t="shared" si="777"/>
        <v>25000</v>
      </c>
      <c r="D732" s="187">
        <v>0</v>
      </c>
      <c r="E732" s="187">
        <v>700</v>
      </c>
      <c r="F732" s="187">
        <v>15000</v>
      </c>
      <c r="G732" s="187">
        <f t="shared" si="777"/>
        <v>2400</v>
      </c>
      <c r="H732" s="187">
        <f t="shared" si="777"/>
        <v>25000</v>
      </c>
      <c r="I732" s="187">
        <f t="shared" si="777"/>
        <v>8000</v>
      </c>
      <c r="J732" s="187">
        <v>40000</v>
      </c>
      <c r="K732" s="187">
        <f t="shared" si="777"/>
        <v>8000</v>
      </c>
      <c r="L732" s="187">
        <v>40000</v>
      </c>
      <c r="M732" s="110">
        <v>9.5</v>
      </c>
      <c r="N732" s="110">
        <f>VLOOKUP(DATE(YEAR(A732),MONTH(A732),DAY(A732)),FY24_Temp[],3,FALSE)</f>
        <v>13.5</v>
      </c>
      <c r="O732" s="110">
        <f t="shared" si="751"/>
        <v>11.5</v>
      </c>
      <c r="P732" s="110">
        <f t="shared" si="752"/>
        <v>19.5</v>
      </c>
      <c r="Q732" s="111">
        <f>VLOOKUP(VLOOKUP(DATEVALUE(TEXT(A732,"m/d/yyyy")),FY24_Temp[],5,FALSE)&amp;TEXT(A732,"-h"),TempDelta[],4,FALSE)</f>
        <v>2.2458571025303433</v>
      </c>
      <c r="R732" s="112">
        <v>10</v>
      </c>
      <c r="S732" s="112">
        <v>1500</v>
      </c>
      <c r="T732" s="99">
        <f>VLOOKUP(TEXT(A732,"yy-mm")&amp;"-"&amp;IF(AND(WEEKDAY(A732)&gt;1,WEEKDAY(A732)&lt;7),"Wkd",TEXT(A732,"Ddd"))&amp;"-"&amp;TEXT(A732,"hh"),LoadTable[],3,FALSE)*0.92</f>
        <v>279.25312000000002</v>
      </c>
      <c r="U732" s="113">
        <f t="shared" si="753"/>
        <v>27.925312000000002</v>
      </c>
    </row>
    <row r="733" spans="1:21" ht="15" thickBot="1">
      <c r="A733" s="29">
        <f t="shared" si="723"/>
        <v>45866.416666666875</v>
      </c>
      <c r="B733" s="187">
        <f t="shared" ref="B733:L733" si="778">B757</f>
        <v>8000</v>
      </c>
      <c r="C733" s="187">
        <f t="shared" si="778"/>
        <v>25000</v>
      </c>
      <c r="D733" s="187">
        <v>0</v>
      </c>
      <c r="E733" s="187">
        <v>700</v>
      </c>
      <c r="F733" s="187">
        <v>15000</v>
      </c>
      <c r="G733" s="187">
        <f t="shared" si="778"/>
        <v>2400</v>
      </c>
      <c r="H733" s="187">
        <f t="shared" si="778"/>
        <v>25000</v>
      </c>
      <c r="I733" s="187">
        <f t="shared" si="778"/>
        <v>8000</v>
      </c>
      <c r="J733" s="187">
        <v>40000</v>
      </c>
      <c r="K733" s="187">
        <f t="shared" si="778"/>
        <v>8000</v>
      </c>
      <c r="L733" s="187">
        <v>40000</v>
      </c>
      <c r="M733" s="110">
        <v>9.5</v>
      </c>
      <c r="N733" s="110">
        <f>VLOOKUP(DATE(YEAR(A733),MONTH(A733),DAY(A733)),FY24_Temp[],3,FALSE)</f>
        <v>13.5</v>
      </c>
      <c r="O733" s="110">
        <f t="shared" si="751"/>
        <v>11.5</v>
      </c>
      <c r="P733" s="110">
        <f t="shared" si="752"/>
        <v>19.5</v>
      </c>
      <c r="Q733" s="111">
        <f>VLOOKUP(VLOOKUP(DATEVALUE(TEXT(A733,"m/d/yyyy")),FY24_Temp[],5,FALSE)&amp;TEXT(A733,"-h"),TempDelta[],4,FALSE)</f>
        <v>2.0832857234137401</v>
      </c>
      <c r="R733" s="112">
        <v>10</v>
      </c>
      <c r="S733" s="112">
        <v>1500</v>
      </c>
      <c r="T733" s="99">
        <f>VLOOKUP(TEXT(A733,"yy-mm")&amp;"-"&amp;IF(AND(WEEKDAY(A733)&gt;1,WEEKDAY(A733)&lt;7),"Wkd",TEXT(A733,"Ddd"))&amp;"-"&amp;TEXT(A733,"hh"),LoadTable[],3,FALSE)*0.92</f>
        <v>279.25312000000002</v>
      </c>
      <c r="U733" s="113">
        <f t="shared" si="753"/>
        <v>27.925312000000002</v>
      </c>
    </row>
    <row r="734" spans="1:21" ht="15" thickBot="1">
      <c r="A734" s="29">
        <f t="shared" si="723"/>
        <v>45866.458333333539</v>
      </c>
      <c r="B734" s="187">
        <f t="shared" ref="B734:L734" si="779">B758</f>
        <v>8000</v>
      </c>
      <c r="C734" s="187">
        <f t="shared" si="779"/>
        <v>25000</v>
      </c>
      <c r="D734" s="187">
        <v>0</v>
      </c>
      <c r="E734" s="187">
        <v>700</v>
      </c>
      <c r="F734" s="187">
        <v>15000</v>
      </c>
      <c r="G734" s="187">
        <f t="shared" si="779"/>
        <v>2400</v>
      </c>
      <c r="H734" s="187">
        <f t="shared" si="779"/>
        <v>25000</v>
      </c>
      <c r="I734" s="187">
        <f t="shared" si="779"/>
        <v>8000</v>
      </c>
      <c r="J734" s="187">
        <v>40000</v>
      </c>
      <c r="K734" s="187">
        <f t="shared" si="779"/>
        <v>8000</v>
      </c>
      <c r="L734" s="187">
        <v>40000</v>
      </c>
      <c r="M734" s="110">
        <v>9.5</v>
      </c>
      <c r="N734" s="110">
        <f>VLOOKUP(DATE(YEAR(A734),MONTH(A734),DAY(A734)),FY24_Temp[],3,FALSE)</f>
        <v>13.5</v>
      </c>
      <c r="O734" s="110">
        <f t="shared" si="751"/>
        <v>11.5</v>
      </c>
      <c r="P734" s="110">
        <f t="shared" si="752"/>
        <v>19.5</v>
      </c>
      <c r="Q734" s="111">
        <f>VLOOKUP(VLOOKUP(DATEVALUE(TEXT(A734,"m/d/yyyy")),FY24_Temp[],5,FALSE)&amp;TEXT(A734,"-h"),TempDelta[],4,FALSE)</f>
        <v>1.8928571258272444</v>
      </c>
      <c r="R734" s="112">
        <v>10</v>
      </c>
      <c r="S734" s="112">
        <v>1500</v>
      </c>
      <c r="T734" s="99">
        <f>VLOOKUP(TEXT(A734,"yy-mm")&amp;"-"&amp;IF(AND(WEEKDAY(A734)&gt;1,WEEKDAY(A734)&lt;7),"Wkd",TEXT(A734,"Ddd"))&amp;"-"&amp;TEXT(A734,"hh"),LoadTable[],3,FALSE)*0.92</f>
        <v>279.25312000000002</v>
      </c>
      <c r="U734" s="113">
        <f t="shared" si="753"/>
        <v>27.925312000000002</v>
      </c>
    </row>
    <row r="735" spans="1:21" ht="15" thickBot="1">
      <c r="A735" s="29">
        <f t="shared" si="723"/>
        <v>45866.500000000204</v>
      </c>
      <c r="B735" s="187">
        <f t="shared" ref="B735:L735" si="780">B759</f>
        <v>8000</v>
      </c>
      <c r="C735" s="187">
        <f t="shared" si="780"/>
        <v>25000</v>
      </c>
      <c r="D735" s="187">
        <v>0</v>
      </c>
      <c r="E735" s="187">
        <v>700</v>
      </c>
      <c r="F735" s="187">
        <v>15000</v>
      </c>
      <c r="G735" s="187">
        <f t="shared" si="780"/>
        <v>2400</v>
      </c>
      <c r="H735" s="187">
        <f t="shared" si="780"/>
        <v>25000</v>
      </c>
      <c r="I735" s="187">
        <f t="shared" si="780"/>
        <v>8000</v>
      </c>
      <c r="J735" s="187">
        <v>40000</v>
      </c>
      <c r="K735" s="187">
        <f t="shared" si="780"/>
        <v>8000</v>
      </c>
      <c r="L735" s="187">
        <v>40000</v>
      </c>
      <c r="M735" s="110">
        <v>9.5</v>
      </c>
      <c r="N735" s="110">
        <f>VLOOKUP(DATE(YEAR(A735),MONTH(A735),DAY(A735)),FY24_Temp[],3,FALSE)</f>
        <v>13.5</v>
      </c>
      <c r="O735" s="110">
        <f t="shared" si="751"/>
        <v>11.5</v>
      </c>
      <c r="P735" s="110">
        <f t="shared" si="752"/>
        <v>19.5</v>
      </c>
      <c r="Q735" s="111">
        <f>VLOOKUP(VLOOKUP(DATEVALUE(TEXT(A735,"m/d/yyyy")),FY24_Temp[],5,FALSE)&amp;TEXT(A735,"-h"),TempDelta[],4,FALSE)</f>
        <v>1.665857127734593</v>
      </c>
      <c r="R735" s="112">
        <v>10</v>
      </c>
      <c r="S735" s="112">
        <v>1500</v>
      </c>
      <c r="T735" s="99">
        <f>VLOOKUP(TEXT(A735,"yy-mm")&amp;"-"&amp;IF(AND(WEEKDAY(A735)&gt;1,WEEKDAY(A735)&lt;7),"Wkd",TEXT(A735,"Ddd"))&amp;"-"&amp;TEXT(A735,"hh"),LoadTable[],3,FALSE)*0.92</f>
        <v>279.25312000000002</v>
      </c>
      <c r="U735" s="113">
        <f t="shared" si="753"/>
        <v>27.925312000000002</v>
      </c>
    </row>
    <row r="736" spans="1:21" ht="15" thickBot="1">
      <c r="A736" s="29">
        <f t="shared" si="723"/>
        <v>45866.541666666868</v>
      </c>
      <c r="B736" s="187">
        <f t="shared" ref="B736:L736" si="781">B760</f>
        <v>8000</v>
      </c>
      <c r="C736" s="187">
        <f t="shared" si="781"/>
        <v>25000</v>
      </c>
      <c r="D736" s="187">
        <v>0</v>
      </c>
      <c r="E736" s="187">
        <v>700</v>
      </c>
      <c r="F736" s="187">
        <v>15000</v>
      </c>
      <c r="G736" s="187">
        <f t="shared" si="781"/>
        <v>2400</v>
      </c>
      <c r="H736" s="187">
        <f t="shared" si="781"/>
        <v>25000</v>
      </c>
      <c r="I736" s="187">
        <f t="shared" si="781"/>
        <v>8000</v>
      </c>
      <c r="J736" s="187">
        <v>40000</v>
      </c>
      <c r="K736" s="187">
        <f t="shared" si="781"/>
        <v>8000</v>
      </c>
      <c r="L736" s="187">
        <v>40000</v>
      </c>
      <c r="M736" s="110">
        <v>9.5</v>
      </c>
      <c r="N736" s="110">
        <f>VLOOKUP(DATE(YEAR(A736),MONTH(A736),DAY(A736)),FY24_Temp[],3,FALSE)</f>
        <v>13.5</v>
      </c>
      <c r="O736" s="110">
        <f t="shared" si="751"/>
        <v>11.5</v>
      </c>
      <c r="P736" s="110">
        <f t="shared" si="752"/>
        <v>19.5</v>
      </c>
      <c r="Q736" s="111">
        <f>VLOOKUP(VLOOKUP(DATEVALUE(TEXT(A736,"m/d/yyyy")),FY24_Temp[],5,FALSE)&amp;TEXT(A736,"-h"),TempDelta[],4,FALSE)</f>
        <v>1.4252856969833374</v>
      </c>
      <c r="R736" s="112">
        <v>10</v>
      </c>
      <c r="S736" s="112">
        <v>1500</v>
      </c>
      <c r="T736" s="99">
        <f>VLOOKUP(TEXT(A736,"yy-mm")&amp;"-"&amp;IF(AND(WEEKDAY(A736)&gt;1,WEEKDAY(A736)&lt;7),"Wkd",TEXT(A736,"Ddd"))&amp;"-"&amp;TEXT(A736,"hh"),LoadTable[],3,FALSE)*0.92</f>
        <v>279.25312000000002</v>
      </c>
      <c r="U736" s="113">
        <f t="shared" si="753"/>
        <v>27.925312000000002</v>
      </c>
    </row>
    <row r="737" spans="1:21" ht="15" thickBot="1">
      <c r="A737" s="29">
        <f t="shared" si="723"/>
        <v>45866.583333333532</v>
      </c>
      <c r="B737" s="187">
        <f t="shared" ref="B737:L737" si="782">B761</f>
        <v>8000</v>
      </c>
      <c r="C737" s="187">
        <f t="shared" si="782"/>
        <v>25000</v>
      </c>
      <c r="D737" s="187">
        <v>0</v>
      </c>
      <c r="E737" s="187">
        <v>700</v>
      </c>
      <c r="F737" s="187">
        <v>15000</v>
      </c>
      <c r="G737" s="187">
        <f t="shared" si="782"/>
        <v>2400</v>
      </c>
      <c r="H737" s="187">
        <f t="shared" si="782"/>
        <v>25000</v>
      </c>
      <c r="I737" s="187">
        <f t="shared" si="782"/>
        <v>8000</v>
      </c>
      <c r="J737" s="187">
        <v>40000</v>
      </c>
      <c r="K737" s="187">
        <f t="shared" si="782"/>
        <v>8000</v>
      </c>
      <c r="L737" s="187">
        <v>40000</v>
      </c>
      <c r="M737" s="110">
        <v>9.5</v>
      </c>
      <c r="N737" s="110">
        <f>VLOOKUP(DATE(YEAR(A737),MONTH(A737),DAY(A737)),FY24_Temp[],3,FALSE)</f>
        <v>13.5</v>
      </c>
      <c r="O737" s="110">
        <f t="shared" si="751"/>
        <v>11.5</v>
      </c>
      <c r="P737" s="110">
        <f t="shared" si="752"/>
        <v>19.5</v>
      </c>
      <c r="Q737" s="111">
        <f>VLOOKUP(VLOOKUP(DATEVALUE(TEXT(A737,"m/d/yyyy")),FY24_Temp[],5,FALSE)&amp;TEXT(A737,"-h"),TempDelta[],4,FALSE)</f>
        <v>1.2351428781236922</v>
      </c>
      <c r="R737" s="112">
        <v>10</v>
      </c>
      <c r="S737" s="112">
        <v>1500</v>
      </c>
      <c r="T737" s="99">
        <f>VLOOKUP(TEXT(A737,"yy-mm")&amp;"-"&amp;IF(AND(WEEKDAY(A737)&gt;1,WEEKDAY(A737)&lt;7),"Wkd",TEXT(A737,"Ddd"))&amp;"-"&amp;TEXT(A737,"hh"),LoadTable[],3,FALSE)*0.92</f>
        <v>373.26607999999999</v>
      </c>
      <c r="U737" s="113">
        <f t="shared" si="753"/>
        <v>37.326608</v>
      </c>
    </row>
    <row r="738" spans="1:21" ht="15" thickBot="1">
      <c r="A738" s="29">
        <f t="shared" si="723"/>
        <v>45866.625000000196</v>
      </c>
      <c r="B738" s="187">
        <f t="shared" ref="B738:L738" si="783">B762</f>
        <v>8000</v>
      </c>
      <c r="C738" s="187">
        <f t="shared" si="783"/>
        <v>25000</v>
      </c>
      <c r="D738" s="187">
        <v>0</v>
      </c>
      <c r="E738" s="187">
        <v>700</v>
      </c>
      <c r="F738" s="187">
        <v>15000</v>
      </c>
      <c r="G738" s="187">
        <f t="shared" si="783"/>
        <v>2400</v>
      </c>
      <c r="H738" s="187">
        <f t="shared" si="783"/>
        <v>25000</v>
      </c>
      <c r="I738" s="187">
        <f t="shared" si="783"/>
        <v>8000</v>
      </c>
      <c r="J738" s="187">
        <v>40000</v>
      </c>
      <c r="K738" s="187">
        <f t="shared" si="783"/>
        <v>8000</v>
      </c>
      <c r="L738" s="187">
        <v>40000</v>
      </c>
      <c r="M738" s="110">
        <v>9.5</v>
      </c>
      <c r="N738" s="110">
        <f>VLOOKUP(DATE(YEAR(A738),MONTH(A738),DAY(A738)),FY24_Temp[],3,FALSE)</f>
        <v>13.5</v>
      </c>
      <c r="O738" s="110">
        <f t="shared" si="751"/>
        <v>11.5</v>
      </c>
      <c r="P738" s="110">
        <f t="shared" si="752"/>
        <v>19.5</v>
      </c>
      <c r="Q738" s="111">
        <f>VLOOKUP(VLOOKUP(DATEVALUE(TEXT(A738,"m/d/yyyy")),FY24_Temp[],5,FALSE)&amp;TEXT(A738,"-h"),TempDelta[],4,FALSE)</f>
        <v>0.97514284508568905</v>
      </c>
      <c r="R738" s="112">
        <v>10</v>
      </c>
      <c r="S738" s="112">
        <v>1500</v>
      </c>
      <c r="T738" s="99">
        <f>VLOOKUP(TEXT(A738,"yy-mm")&amp;"-"&amp;IF(AND(WEEKDAY(A738)&gt;1,WEEKDAY(A738)&lt;7),"Wkd",TEXT(A738,"Ddd"))&amp;"-"&amp;TEXT(A738,"hh"),LoadTable[],3,FALSE)*0.92</f>
        <v>494.57360000000006</v>
      </c>
      <c r="U738" s="113">
        <f t="shared" si="753"/>
        <v>49.457360000000008</v>
      </c>
    </row>
    <row r="739" spans="1:21" ht="15" thickBot="1">
      <c r="A739" s="29">
        <f t="shared" si="723"/>
        <v>45866.666666666861</v>
      </c>
      <c r="B739" s="187">
        <f t="shared" ref="B739:L739" si="784">B763</f>
        <v>8000</v>
      </c>
      <c r="C739" s="187">
        <f t="shared" si="784"/>
        <v>25000</v>
      </c>
      <c r="D739" s="187">
        <v>0</v>
      </c>
      <c r="E739" s="187">
        <v>700</v>
      </c>
      <c r="F739" s="187">
        <v>15000</v>
      </c>
      <c r="G739" s="187">
        <f t="shared" si="784"/>
        <v>2400</v>
      </c>
      <c r="H739" s="187">
        <f t="shared" si="784"/>
        <v>25000</v>
      </c>
      <c r="I739" s="187">
        <f t="shared" si="784"/>
        <v>8000</v>
      </c>
      <c r="J739" s="187">
        <v>40000</v>
      </c>
      <c r="K739" s="187">
        <f t="shared" si="784"/>
        <v>8000</v>
      </c>
      <c r="L739" s="187">
        <v>40000</v>
      </c>
      <c r="M739" s="110">
        <v>9.5</v>
      </c>
      <c r="N739" s="110">
        <f>VLOOKUP(DATE(YEAR(A739),MONTH(A739),DAY(A739)),FY24_Temp[],3,FALSE)</f>
        <v>13.5</v>
      </c>
      <c r="O739" s="110">
        <f t="shared" si="751"/>
        <v>11.5</v>
      </c>
      <c r="P739" s="110">
        <f t="shared" si="752"/>
        <v>19.5</v>
      </c>
      <c r="Q739" s="111">
        <f>VLOOKUP(VLOOKUP(DATEVALUE(TEXT(A739,"m/d/yyyy")),FY24_Temp[],5,FALSE)&amp;TEXT(A739,"-h"),TempDelta[],4,FALSE)</f>
        <v>0.88578571166310993</v>
      </c>
      <c r="R739" s="112">
        <v>10</v>
      </c>
      <c r="S739" s="112">
        <v>1500</v>
      </c>
      <c r="T739" s="99">
        <f>VLOOKUP(TEXT(A739,"yy-mm")&amp;"-"&amp;IF(AND(WEEKDAY(A739)&gt;1,WEEKDAY(A739)&lt;7),"Wkd",TEXT(A739,"Ddd"))&amp;"-"&amp;TEXT(A739,"hh"),LoadTable[],3,FALSE)*0.92</f>
        <v>494.57360000000006</v>
      </c>
      <c r="U739" s="113">
        <f t="shared" si="753"/>
        <v>49.457360000000008</v>
      </c>
    </row>
    <row r="740" spans="1:21" ht="15" thickBot="1">
      <c r="A740" s="29">
        <f t="shared" si="723"/>
        <v>45866.708333333525</v>
      </c>
      <c r="B740" s="187">
        <f t="shared" ref="B740:L740" si="785">B764</f>
        <v>8000</v>
      </c>
      <c r="C740" s="187">
        <f t="shared" si="785"/>
        <v>25000</v>
      </c>
      <c r="D740" s="187">
        <v>0</v>
      </c>
      <c r="E740" s="187">
        <v>700</v>
      </c>
      <c r="F740" s="187">
        <v>15000</v>
      </c>
      <c r="G740" s="187">
        <f t="shared" si="785"/>
        <v>2400</v>
      </c>
      <c r="H740" s="187">
        <f t="shared" si="785"/>
        <v>25000</v>
      </c>
      <c r="I740" s="187">
        <f t="shared" si="785"/>
        <v>8000</v>
      </c>
      <c r="J740" s="187">
        <v>40000</v>
      </c>
      <c r="K740" s="187">
        <f t="shared" si="785"/>
        <v>8000</v>
      </c>
      <c r="L740" s="187">
        <v>40000</v>
      </c>
      <c r="M740" s="110">
        <v>9.5</v>
      </c>
      <c r="N740" s="110">
        <f>VLOOKUP(DATE(YEAR(A740),MONTH(A740),DAY(A740)),FY24_Temp[],3,FALSE)</f>
        <v>13.5</v>
      </c>
      <c r="O740" s="110">
        <f t="shared" si="751"/>
        <v>11.5</v>
      </c>
      <c r="P740" s="110">
        <f t="shared" si="752"/>
        <v>19.5</v>
      </c>
      <c r="Q740" s="111">
        <f>VLOOKUP(VLOOKUP(DATEVALUE(TEXT(A740,"m/d/yyyy")),FY24_Temp[],5,FALSE)&amp;TEXT(A740,"-h"),TempDelta[],4,FALSE)</f>
        <v>1.0356428495475225</v>
      </c>
      <c r="R740" s="112">
        <v>10</v>
      </c>
      <c r="S740" s="112">
        <v>1500</v>
      </c>
      <c r="T740" s="99">
        <f>VLOOKUP(TEXT(A740,"yy-mm")&amp;"-"&amp;IF(AND(WEEKDAY(A740)&gt;1,WEEKDAY(A740)&lt;7),"Wkd",TEXT(A740,"Ddd"))&amp;"-"&amp;TEXT(A740,"hh"),LoadTable[],3,FALSE)*0.92</f>
        <v>494.57360000000006</v>
      </c>
      <c r="U740" s="113">
        <f t="shared" si="753"/>
        <v>49.457360000000008</v>
      </c>
    </row>
    <row r="741" spans="1:21" ht="15" thickBot="1">
      <c r="A741" s="29">
        <f t="shared" si="723"/>
        <v>45866.750000000189</v>
      </c>
      <c r="B741" s="187">
        <f t="shared" ref="B741:L741" si="786">B765</f>
        <v>5000</v>
      </c>
      <c r="C741" s="187">
        <f t="shared" si="786"/>
        <v>25000</v>
      </c>
      <c r="D741" s="187">
        <v>0</v>
      </c>
      <c r="E741" s="187">
        <v>700</v>
      </c>
      <c r="F741" s="187">
        <v>15000</v>
      </c>
      <c r="G741" s="187">
        <f t="shared" si="786"/>
        <v>2400</v>
      </c>
      <c r="H741" s="187">
        <f t="shared" si="786"/>
        <v>25000</v>
      </c>
      <c r="I741" s="187">
        <f t="shared" si="786"/>
        <v>5000</v>
      </c>
      <c r="J741" s="187">
        <v>40000</v>
      </c>
      <c r="K741" s="187">
        <f t="shared" si="786"/>
        <v>5000</v>
      </c>
      <c r="L741" s="187">
        <v>40000</v>
      </c>
      <c r="M741" s="110">
        <v>9.5</v>
      </c>
      <c r="N741" s="110">
        <f>VLOOKUP(DATE(YEAR(A741),MONTH(A741),DAY(A741)),FY24_Temp[],3,FALSE)</f>
        <v>13.5</v>
      </c>
      <c r="O741" s="110">
        <f t="shared" si="751"/>
        <v>11.5</v>
      </c>
      <c r="P741" s="110">
        <f t="shared" si="752"/>
        <v>19.5</v>
      </c>
      <c r="Q741" s="111">
        <f>VLOOKUP(VLOOKUP(DATEVALUE(TEXT(A741,"m/d/yyyy")),FY24_Temp[],5,FALSE)&amp;TEXT(A741,"-h"),TempDelta[],4,FALSE)</f>
        <v>1.3991428358214242</v>
      </c>
      <c r="R741" s="112">
        <v>10</v>
      </c>
      <c r="S741" s="112">
        <v>1500</v>
      </c>
      <c r="T741" s="99">
        <f>VLOOKUP(TEXT(A741,"yy-mm")&amp;"-"&amp;IF(AND(WEEKDAY(A741)&gt;1,WEEKDAY(A741)&lt;7),"Wkd",TEXT(A741,"Ddd"))&amp;"-"&amp;TEXT(A741,"hh"),LoadTable[],3,FALSE)*0.92</f>
        <v>494.57360000000006</v>
      </c>
      <c r="U741" s="113">
        <f t="shared" si="753"/>
        <v>49.457360000000008</v>
      </c>
    </row>
    <row r="742" spans="1:21" ht="15" thickBot="1">
      <c r="A742" s="29">
        <f t="shared" si="723"/>
        <v>45866.791666666853</v>
      </c>
      <c r="B742" s="187">
        <f t="shared" ref="B742:L742" si="787">B766</f>
        <v>5000</v>
      </c>
      <c r="C742" s="187">
        <f t="shared" si="787"/>
        <v>25000</v>
      </c>
      <c r="D742" s="187">
        <v>0</v>
      </c>
      <c r="E742" s="187">
        <v>700</v>
      </c>
      <c r="F742" s="187">
        <v>15000</v>
      </c>
      <c r="G742" s="187">
        <f t="shared" si="787"/>
        <v>2400</v>
      </c>
      <c r="H742" s="187">
        <f t="shared" si="787"/>
        <v>25000</v>
      </c>
      <c r="I742" s="187">
        <f t="shared" si="787"/>
        <v>5000</v>
      </c>
      <c r="J742" s="187">
        <v>40000</v>
      </c>
      <c r="K742" s="187">
        <f t="shared" si="787"/>
        <v>5000</v>
      </c>
      <c r="L742" s="187">
        <v>40000</v>
      </c>
      <c r="M742" s="110">
        <v>9.5</v>
      </c>
      <c r="N742" s="110">
        <f>VLOOKUP(DATE(YEAR(A742),MONTH(A742),DAY(A742)),FY24_Temp[],3,FALSE)</f>
        <v>13.5</v>
      </c>
      <c r="O742" s="110">
        <f t="shared" si="751"/>
        <v>11.5</v>
      </c>
      <c r="P742" s="110">
        <f t="shared" si="752"/>
        <v>19.5</v>
      </c>
      <c r="Q742" s="111">
        <f>VLOOKUP(VLOOKUP(DATEVALUE(TEXT(A742,"m/d/yyyy")),FY24_Temp[],5,FALSE)&amp;TEXT(A742,"-h"),TempDelta[],4,FALSE)</f>
        <v>1.8638571415628706</v>
      </c>
      <c r="R742" s="112">
        <v>10</v>
      </c>
      <c r="S742" s="112">
        <v>1500</v>
      </c>
      <c r="T742" s="99">
        <f>VLOOKUP(TEXT(A742,"yy-mm")&amp;"-"&amp;IF(AND(WEEKDAY(A742)&gt;1,WEEKDAY(A742)&lt;7),"Wkd",TEXT(A742,"Ddd"))&amp;"-"&amp;TEXT(A742,"hh"),LoadTable[],3,FALSE)*0.92</f>
        <v>494.57360000000006</v>
      </c>
      <c r="U742" s="113">
        <f t="shared" si="753"/>
        <v>49.457360000000008</v>
      </c>
    </row>
    <row r="743" spans="1:21" ht="15" thickBot="1">
      <c r="A743" s="29">
        <f t="shared" si="723"/>
        <v>45866.833333333518</v>
      </c>
      <c r="B743" s="187">
        <f t="shared" ref="B743:L743" si="788">B767</f>
        <v>5000</v>
      </c>
      <c r="C743" s="187">
        <f t="shared" si="788"/>
        <v>25000</v>
      </c>
      <c r="D743" s="187">
        <v>0</v>
      </c>
      <c r="E743" s="187">
        <v>700</v>
      </c>
      <c r="F743" s="187">
        <v>15000</v>
      </c>
      <c r="G743" s="187">
        <f t="shared" si="788"/>
        <v>2400</v>
      </c>
      <c r="H743" s="187">
        <f t="shared" si="788"/>
        <v>25000</v>
      </c>
      <c r="I743" s="187">
        <f t="shared" si="788"/>
        <v>5000</v>
      </c>
      <c r="J743" s="187">
        <v>40000</v>
      </c>
      <c r="K743" s="187">
        <f t="shared" si="788"/>
        <v>5000</v>
      </c>
      <c r="L743" s="187">
        <v>40000</v>
      </c>
      <c r="M743" s="110">
        <v>9.5</v>
      </c>
      <c r="N743" s="110">
        <f>VLOOKUP(DATE(YEAR(A743),MONTH(A743),DAY(A743)),FY24_Temp[],3,FALSE)</f>
        <v>13.5</v>
      </c>
      <c r="O743" s="110">
        <f t="shared" si="751"/>
        <v>11.5</v>
      </c>
      <c r="P743" s="110">
        <f t="shared" si="752"/>
        <v>19.5</v>
      </c>
      <c r="Q743" s="111">
        <f>VLOOKUP(VLOOKUP(DATEVALUE(TEXT(A743,"m/d/yyyy")),FY24_Temp[],5,FALSE)&amp;TEXT(A743,"-h"),TempDelta[],4,FALSE)</f>
        <v>2.300714305468968</v>
      </c>
      <c r="R743" s="112">
        <v>10</v>
      </c>
      <c r="S743" s="112">
        <v>1500</v>
      </c>
      <c r="T743" s="99">
        <f>VLOOKUP(TEXT(A743,"yy-mm")&amp;"-"&amp;IF(AND(WEEKDAY(A743)&gt;1,WEEKDAY(A743)&lt;7),"Wkd",TEXT(A743,"Ddd"))&amp;"-"&amp;TEXT(A743,"hh"),LoadTable[],3,FALSE)*0.92</f>
        <v>494.57360000000006</v>
      </c>
      <c r="U743" s="113">
        <f t="shared" si="753"/>
        <v>49.457360000000008</v>
      </c>
    </row>
    <row r="744" spans="1:21" ht="15" thickBot="1">
      <c r="A744" s="29">
        <f t="shared" si="723"/>
        <v>45866.875000000182</v>
      </c>
      <c r="B744" s="187">
        <f t="shared" ref="B744:L744" si="789">B768</f>
        <v>5000</v>
      </c>
      <c r="C744" s="187">
        <f t="shared" si="789"/>
        <v>25000</v>
      </c>
      <c r="D744" s="187">
        <v>0</v>
      </c>
      <c r="E744" s="187">
        <v>700</v>
      </c>
      <c r="F744" s="187">
        <v>15000</v>
      </c>
      <c r="G744" s="187">
        <f t="shared" si="789"/>
        <v>2400</v>
      </c>
      <c r="H744" s="187">
        <f t="shared" si="789"/>
        <v>25000</v>
      </c>
      <c r="I744" s="187">
        <f t="shared" si="789"/>
        <v>5000</v>
      </c>
      <c r="J744" s="187">
        <v>40000</v>
      </c>
      <c r="K744" s="187">
        <f t="shared" si="789"/>
        <v>5000</v>
      </c>
      <c r="L744" s="187">
        <v>40000</v>
      </c>
      <c r="M744" s="110">
        <v>9.5</v>
      </c>
      <c r="N744" s="110">
        <f>VLOOKUP(DATE(YEAR(A744),MONTH(A744),DAY(A744)),FY24_Temp[],3,FALSE)</f>
        <v>13.5</v>
      </c>
      <c r="O744" s="110">
        <f t="shared" si="751"/>
        <v>11.5</v>
      </c>
      <c r="P744" s="110">
        <f t="shared" si="752"/>
        <v>19.5</v>
      </c>
      <c r="Q744" s="111">
        <f>VLOOKUP(VLOOKUP(DATEVALUE(TEXT(A744,"m/d/yyyy")),FY24_Temp[],5,FALSE)&amp;TEXT(A744,"-h"),TempDelta[],4,FALSE)</f>
        <v>2.554214222090585</v>
      </c>
      <c r="R744" s="112">
        <v>10</v>
      </c>
      <c r="S744" s="112">
        <v>1500</v>
      </c>
      <c r="T744" s="99">
        <f>VLOOKUP(TEXT(A744,"yy-mm")&amp;"-"&amp;IF(AND(WEEKDAY(A744)&gt;1,WEEKDAY(A744)&lt;7),"Wkd",TEXT(A744,"Ddd"))&amp;"-"&amp;TEXT(A744,"hh"),LoadTable[],3,FALSE)*0.92</f>
        <v>494.57360000000006</v>
      </c>
      <c r="U744" s="113">
        <f t="shared" si="753"/>
        <v>49.457360000000008</v>
      </c>
    </row>
    <row r="745" spans="1:21" ht="15" thickBot="1">
      <c r="A745" s="29">
        <f t="shared" si="723"/>
        <v>45866.916666666846</v>
      </c>
      <c r="B745" s="187">
        <f t="shared" ref="B745:L745" si="790">B769</f>
        <v>5000</v>
      </c>
      <c r="C745" s="187">
        <f t="shared" si="790"/>
        <v>25000</v>
      </c>
      <c r="D745" s="187">
        <v>0</v>
      </c>
      <c r="E745" s="187">
        <v>700</v>
      </c>
      <c r="F745" s="187">
        <v>15000</v>
      </c>
      <c r="G745" s="187">
        <f t="shared" si="790"/>
        <v>2400</v>
      </c>
      <c r="H745" s="187">
        <f t="shared" si="790"/>
        <v>25000</v>
      </c>
      <c r="I745" s="187">
        <f t="shared" si="790"/>
        <v>5000</v>
      </c>
      <c r="J745" s="187">
        <v>40000</v>
      </c>
      <c r="K745" s="187">
        <f t="shared" si="790"/>
        <v>5000</v>
      </c>
      <c r="L745" s="187">
        <v>40000</v>
      </c>
      <c r="M745" s="110">
        <v>9.5</v>
      </c>
      <c r="N745" s="110">
        <f>VLOOKUP(DATE(YEAR(A745),MONTH(A745),DAY(A745)),FY24_Temp[],3,FALSE)</f>
        <v>13.5</v>
      </c>
      <c r="O745" s="110">
        <f t="shared" si="751"/>
        <v>11.5</v>
      </c>
      <c r="P745" s="110">
        <f t="shared" si="752"/>
        <v>19.5</v>
      </c>
      <c r="Q745" s="111">
        <f>VLOOKUP(VLOOKUP(DATEVALUE(TEXT(A745,"m/d/yyyy")),FY24_Temp[],5,FALSE)&amp;TEXT(A745,"-h"),TempDelta[],4,FALSE)</f>
        <v>2.7827142647334506</v>
      </c>
      <c r="R745" s="112">
        <v>10</v>
      </c>
      <c r="S745" s="112">
        <v>1500</v>
      </c>
      <c r="T745" s="99">
        <f>VLOOKUP(TEXT(A745,"yy-mm")&amp;"-"&amp;IF(AND(WEEKDAY(A745)&gt;1,WEEKDAY(A745)&lt;7),"Wkd",TEXT(A745,"Ddd"))&amp;"-"&amp;TEXT(A745,"hh"),LoadTable[],3,FALSE)*0.92</f>
        <v>418.75640000000004</v>
      </c>
      <c r="U745" s="113">
        <f t="shared" si="753"/>
        <v>41.875640000000004</v>
      </c>
    </row>
    <row r="746" spans="1:21" ht="15" thickBot="1">
      <c r="A746" s="29">
        <f t="shared" ref="A746:A809" si="791">A747-TIME(1,0,0)</f>
        <v>45866.95833333351</v>
      </c>
      <c r="B746" s="187">
        <f t="shared" ref="B746:L746" si="792">B770</f>
        <v>5000</v>
      </c>
      <c r="C746" s="187">
        <f t="shared" si="792"/>
        <v>25000</v>
      </c>
      <c r="D746" s="187">
        <v>0</v>
      </c>
      <c r="E746" s="187">
        <v>700</v>
      </c>
      <c r="F746" s="187">
        <v>15000</v>
      </c>
      <c r="G746" s="187">
        <f t="shared" si="792"/>
        <v>2400</v>
      </c>
      <c r="H746" s="187">
        <f t="shared" si="792"/>
        <v>25000</v>
      </c>
      <c r="I746" s="187">
        <f t="shared" si="792"/>
        <v>5000</v>
      </c>
      <c r="J746" s="187">
        <v>40000</v>
      </c>
      <c r="K746" s="187">
        <f t="shared" si="792"/>
        <v>5000</v>
      </c>
      <c r="L746" s="187">
        <v>40000</v>
      </c>
      <c r="M746" s="110">
        <v>9.5</v>
      </c>
      <c r="N746" s="110">
        <f>VLOOKUP(DATE(YEAR(A746),MONTH(A746),DAY(A746)),FY24_Temp[],3,FALSE)</f>
        <v>13.5</v>
      </c>
      <c r="O746" s="110">
        <f t="shared" si="751"/>
        <v>11.5</v>
      </c>
      <c r="P746" s="110">
        <f t="shared" si="752"/>
        <v>19.5</v>
      </c>
      <c r="Q746" s="111">
        <f>VLOOKUP(VLOOKUP(DATEVALUE(TEXT(A746,"m/d/yyyy")),FY24_Temp[],5,FALSE)&amp;TEXT(A746,"-h"),TempDelta[],4,FALSE)</f>
        <v>2.8792857101985385</v>
      </c>
      <c r="R746" s="112">
        <v>10</v>
      </c>
      <c r="S746" s="112">
        <v>1500</v>
      </c>
      <c r="T746" s="99">
        <f>VLOOKUP(TEXT(A746,"yy-mm")&amp;"-"&amp;IF(AND(WEEKDAY(A746)&gt;1,WEEKDAY(A746)&lt;7),"Wkd",TEXT(A746,"Ddd"))&amp;"-"&amp;TEXT(A746,"hh"),LoadTable[],3,FALSE)*0.92</f>
        <v>342.93920000000003</v>
      </c>
      <c r="U746" s="113">
        <f t="shared" si="753"/>
        <v>34.29392</v>
      </c>
    </row>
    <row r="747" spans="1:21" ht="15" thickBot="1">
      <c r="A747" s="29">
        <f t="shared" si="791"/>
        <v>45867.000000000175</v>
      </c>
      <c r="B747" s="187">
        <f t="shared" ref="B747:L747" si="793">B771</f>
        <v>5000</v>
      </c>
      <c r="C747" s="187">
        <f t="shared" si="793"/>
        <v>25000</v>
      </c>
      <c r="D747" s="187">
        <v>0</v>
      </c>
      <c r="E747" s="187">
        <v>700</v>
      </c>
      <c r="F747" s="187">
        <v>15000</v>
      </c>
      <c r="G747" s="187">
        <f t="shared" si="793"/>
        <v>2400</v>
      </c>
      <c r="H747" s="187">
        <f t="shared" si="793"/>
        <v>25000</v>
      </c>
      <c r="I747" s="187">
        <f t="shared" si="793"/>
        <v>5000</v>
      </c>
      <c r="J747" s="187">
        <v>40000</v>
      </c>
      <c r="K747" s="187">
        <f t="shared" si="793"/>
        <v>5000</v>
      </c>
      <c r="L747" s="187">
        <v>40000</v>
      </c>
      <c r="M747" s="110">
        <v>9.5</v>
      </c>
      <c r="N747" s="110">
        <f>VLOOKUP(DATE(YEAR(A747),MONTH(A747),DAY(A747)),FY24_Temp[],3,FALSE)</f>
        <v>13.5</v>
      </c>
      <c r="O747" s="110">
        <f t="shared" si="751"/>
        <v>11.5</v>
      </c>
      <c r="P747" s="110">
        <f t="shared" si="752"/>
        <v>19.5</v>
      </c>
      <c r="Q747" s="111">
        <f>VLOOKUP(VLOOKUP(DATEVALUE(TEXT(A747,"m/d/yyyy")),FY24_Temp[],5,FALSE)&amp;TEXT(A747,"-h"),TempDelta[],4,FALSE)</f>
        <v>3.0441428933824812</v>
      </c>
      <c r="R747" s="112">
        <v>10</v>
      </c>
      <c r="S747" s="112">
        <v>1500</v>
      </c>
      <c r="T747" s="99">
        <f>VLOOKUP(TEXT(A747,"yy-mm")&amp;"-"&amp;IF(AND(WEEKDAY(A747)&gt;1,WEEKDAY(A747)&lt;7),"Wkd",TEXT(A747,"Ddd"))&amp;"-"&amp;TEXT(A747,"hh"),LoadTable[],3,FALSE)*0.92</f>
        <v>279.25312000000002</v>
      </c>
      <c r="U747" s="113">
        <f t="shared" si="753"/>
        <v>27.925312000000002</v>
      </c>
    </row>
    <row r="748" spans="1:21" ht="15" thickBot="1">
      <c r="A748" s="29">
        <f t="shared" si="791"/>
        <v>45867.041666666839</v>
      </c>
      <c r="B748" s="187">
        <f t="shared" ref="B748:L748" si="794">B772</f>
        <v>5000</v>
      </c>
      <c r="C748" s="187">
        <f t="shared" si="794"/>
        <v>25000</v>
      </c>
      <c r="D748" s="187">
        <v>0</v>
      </c>
      <c r="E748" s="187">
        <v>700</v>
      </c>
      <c r="F748" s="187">
        <v>15000</v>
      </c>
      <c r="G748" s="187">
        <f t="shared" si="794"/>
        <v>2400</v>
      </c>
      <c r="H748" s="187">
        <f t="shared" si="794"/>
        <v>25000</v>
      </c>
      <c r="I748" s="187">
        <f t="shared" si="794"/>
        <v>5000</v>
      </c>
      <c r="J748" s="187">
        <v>40000</v>
      </c>
      <c r="K748" s="187">
        <f t="shared" si="794"/>
        <v>5000</v>
      </c>
      <c r="L748" s="187">
        <v>40000</v>
      </c>
      <c r="M748" s="110">
        <v>9.5</v>
      </c>
      <c r="N748" s="110">
        <f>VLOOKUP(DATE(YEAR(A748),MONTH(A748),DAY(A748)),FY24_Temp[],3,FALSE)</f>
        <v>13.5</v>
      </c>
      <c r="O748" s="110">
        <f t="shared" si="751"/>
        <v>11.5</v>
      </c>
      <c r="P748" s="110">
        <f t="shared" si="752"/>
        <v>19.5</v>
      </c>
      <c r="Q748" s="111">
        <f>VLOOKUP(VLOOKUP(DATEVALUE(TEXT(A748,"m/d/yyyy")),FY24_Temp[],5,FALSE)&amp;TEXT(A748,"-h"),TempDelta[],4,FALSE)</f>
        <v>3.0992857047489712</v>
      </c>
      <c r="R748" s="112">
        <v>10</v>
      </c>
      <c r="S748" s="112">
        <v>1500</v>
      </c>
      <c r="T748" s="99">
        <f>VLOOKUP(TEXT(A748,"yy-mm")&amp;"-"&amp;IF(AND(WEEKDAY(A748)&gt;1,WEEKDAY(A748)&lt;7),"Wkd",TEXT(A748,"Ddd"))&amp;"-"&amp;TEXT(A748,"hh"),LoadTable[],3,FALSE)*0.92</f>
        <v>279.25312000000002</v>
      </c>
      <c r="U748" s="113">
        <f t="shared" si="753"/>
        <v>27.925312000000002</v>
      </c>
    </row>
    <row r="749" spans="1:21" ht="15" thickBot="1">
      <c r="A749" s="29">
        <f t="shared" si="791"/>
        <v>45867.083333333503</v>
      </c>
      <c r="B749" s="187">
        <f t="shared" ref="B749:L749" si="795">B773</f>
        <v>5000</v>
      </c>
      <c r="C749" s="187">
        <f t="shared" si="795"/>
        <v>25000</v>
      </c>
      <c r="D749" s="187">
        <v>0</v>
      </c>
      <c r="E749" s="187">
        <v>700</v>
      </c>
      <c r="F749" s="187">
        <v>15000</v>
      </c>
      <c r="G749" s="187">
        <f t="shared" si="795"/>
        <v>2400</v>
      </c>
      <c r="H749" s="187">
        <f t="shared" si="795"/>
        <v>25000</v>
      </c>
      <c r="I749" s="187">
        <f t="shared" si="795"/>
        <v>5000</v>
      </c>
      <c r="J749" s="187">
        <v>40000</v>
      </c>
      <c r="K749" s="187">
        <f t="shared" si="795"/>
        <v>5000</v>
      </c>
      <c r="L749" s="187">
        <v>40000</v>
      </c>
      <c r="M749" s="110">
        <v>9.5</v>
      </c>
      <c r="N749" s="110">
        <f>VLOOKUP(DATE(YEAR(A749),MONTH(A749),DAY(A749)),FY24_Temp[],3,FALSE)</f>
        <v>13.5</v>
      </c>
      <c r="O749" s="110">
        <f t="shared" si="751"/>
        <v>11.5</v>
      </c>
      <c r="P749" s="110">
        <f t="shared" si="752"/>
        <v>19.5</v>
      </c>
      <c r="Q749" s="111">
        <f>VLOOKUP(VLOOKUP(DATEVALUE(TEXT(A749,"m/d/yyyy")),FY24_Temp[],5,FALSE)&amp;TEXT(A749,"-h"),TempDelta[],4,FALSE)</f>
        <v>3.1050000190734863</v>
      </c>
      <c r="R749" s="112">
        <v>10</v>
      </c>
      <c r="S749" s="112">
        <v>1500</v>
      </c>
      <c r="T749" s="99">
        <f>VLOOKUP(TEXT(A749,"yy-mm")&amp;"-"&amp;IF(AND(WEEKDAY(A749)&gt;1,WEEKDAY(A749)&lt;7),"Wkd",TEXT(A749,"Ddd"))&amp;"-"&amp;TEXT(A749,"hh"),LoadTable[],3,FALSE)*0.92</f>
        <v>279.25312000000002</v>
      </c>
      <c r="U749" s="113">
        <f t="shared" si="753"/>
        <v>27.925312000000002</v>
      </c>
    </row>
    <row r="750" spans="1:21" ht="15" thickBot="1">
      <c r="A750" s="29">
        <f t="shared" si="791"/>
        <v>45867.125000000167</v>
      </c>
      <c r="B750" s="187">
        <f t="shared" ref="B750:L750" si="796">B774</f>
        <v>5000</v>
      </c>
      <c r="C750" s="187">
        <f t="shared" si="796"/>
        <v>25000</v>
      </c>
      <c r="D750" s="187">
        <v>0</v>
      </c>
      <c r="E750" s="187">
        <v>700</v>
      </c>
      <c r="F750" s="187">
        <v>15000</v>
      </c>
      <c r="G750" s="187">
        <f t="shared" si="796"/>
        <v>2400</v>
      </c>
      <c r="H750" s="187">
        <f t="shared" si="796"/>
        <v>25000</v>
      </c>
      <c r="I750" s="187">
        <f t="shared" si="796"/>
        <v>5000</v>
      </c>
      <c r="J750" s="187">
        <v>40000</v>
      </c>
      <c r="K750" s="187">
        <f t="shared" si="796"/>
        <v>5000</v>
      </c>
      <c r="L750" s="187">
        <v>40000</v>
      </c>
      <c r="M750" s="110">
        <v>9.5</v>
      </c>
      <c r="N750" s="110">
        <f>VLOOKUP(DATE(YEAR(A750),MONTH(A750),DAY(A750)),FY24_Temp[],3,FALSE)</f>
        <v>13.5</v>
      </c>
      <c r="O750" s="110">
        <f t="shared" si="751"/>
        <v>11.5</v>
      </c>
      <c r="P750" s="110">
        <f t="shared" si="752"/>
        <v>19.5</v>
      </c>
      <c r="Q750" s="111">
        <f>VLOOKUP(VLOOKUP(DATEVALUE(TEXT(A750,"m/d/yyyy")),FY24_Temp[],5,FALSE)&amp;TEXT(A750,"-h"),TempDelta[],4,FALSE)</f>
        <v>3.0428571701049805</v>
      </c>
      <c r="R750" s="112">
        <v>10</v>
      </c>
      <c r="S750" s="112">
        <v>1500</v>
      </c>
      <c r="T750" s="99">
        <f>VLOOKUP(TEXT(A750,"yy-mm")&amp;"-"&amp;IF(AND(WEEKDAY(A750)&gt;1,WEEKDAY(A750)&lt;7),"Wkd",TEXT(A750,"Ddd"))&amp;"-"&amp;TEXT(A750,"hh"),LoadTable[],3,FALSE)*0.92</f>
        <v>279.25312000000002</v>
      </c>
      <c r="U750" s="113">
        <f t="shared" si="753"/>
        <v>27.925312000000002</v>
      </c>
    </row>
    <row r="751" spans="1:21" ht="15" thickBot="1">
      <c r="A751" s="29">
        <f t="shared" si="791"/>
        <v>45867.166666666832</v>
      </c>
      <c r="B751" s="187">
        <f t="shared" ref="B751:L751" si="797">B775</f>
        <v>5000</v>
      </c>
      <c r="C751" s="187">
        <f t="shared" si="797"/>
        <v>25000</v>
      </c>
      <c r="D751" s="187">
        <v>0</v>
      </c>
      <c r="E751" s="187">
        <v>700</v>
      </c>
      <c r="F751" s="187">
        <v>15000</v>
      </c>
      <c r="G751" s="187">
        <f t="shared" si="797"/>
        <v>2400</v>
      </c>
      <c r="H751" s="187">
        <f t="shared" si="797"/>
        <v>25000</v>
      </c>
      <c r="I751" s="187">
        <f t="shared" si="797"/>
        <v>5000</v>
      </c>
      <c r="J751" s="187">
        <v>40000</v>
      </c>
      <c r="K751" s="187">
        <f t="shared" si="797"/>
        <v>5000</v>
      </c>
      <c r="L751" s="187">
        <v>40000</v>
      </c>
      <c r="M751" s="110">
        <v>9.5</v>
      </c>
      <c r="N751" s="110">
        <f>VLOOKUP(DATE(YEAR(A751),MONTH(A751),DAY(A751)),FY24_Temp[],3,FALSE)</f>
        <v>13.5</v>
      </c>
      <c r="O751" s="110">
        <f t="shared" si="751"/>
        <v>11.5</v>
      </c>
      <c r="P751" s="110">
        <f t="shared" si="752"/>
        <v>19.5</v>
      </c>
      <c r="Q751" s="111">
        <f>VLOOKUP(VLOOKUP(DATEVALUE(TEXT(A751,"m/d/yyyy")),FY24_Temp[],5,FALSE)&amp;TEXT(A751,"-h"),TempDelta[],4,FALSE)</f>
        <v>2.9580000468662808</v>
      </c>
      <c r="R751" s="112">
        <v>10</v>
      </c>
      <c r="S751" s="112">
        <v>1500</v>
      </c>
      <c r="T751" s="99">
        <f>VLOOKUP(TEXT(A751,"yy-mm")&amp;"-"&amp;IF(AND(WEEKDAY(A751)&gt;1,WEEKDAY(A751)&lt;7),"Wkd",TEXT(A751,"Ddd"))&amp;"-"&amp;TEXT(A751,"hh"),LoadTable[],3,FALSE)*0.92</f>
        <v>279.25312000000002</v>
      </c>
      <c r="U751" s="113">
        <f t="shared" si="753"/>
        <v>27.925312000000002</v>
      </c>
    </row>
    <row r="752" spans="1:21" ht="15" thickBot="1">
      <c r="A752" s="29">
        <f t="shared" si="791"/>
        <v>45867.208333333496</v>
      </c>
      <c r="B752" s="187">
        <f t="shared" ref="B752:L752" si="798">B776</f>
        <v>5000</v>
      </c>
      <c r="C752" s="187">
        <f t="shared" si="798"/>
        <v>25000</v>
      </c>
      <c r="D752" s="187">
        <v>0</v>
      </c>
      <c r="E752" s="187">
        <v>700</v>
      </c>
      <c r="F752" s="187">
        <v>15000</v>
      </c>
      <c r="G752" s="187">
        <f t="shared" si="798"/>
        <v>2400</v>
      </c>
      <c r="H752" s="187">
        <f t="shared" si="798"/>
        <v>25000</v>
      </c>
      <c r="I752" s="187">
        <f t="shared" si="798"/>
        <v>5000</v>
      </c>
      <c r="J752" s="187">
        <v>40000</v>
      </c>
      <c r="K752" s="187">
        <f t="shared" si="798"/>
        <v>5000</v>
      </c>
      <c r="L752" s="187">
        <v>40000</v>
      </c>
      <c r="M752" s="110">
        <v>9.5</v>
      </c>
      <c r="N752" s="110">
        <f>VLOOKUP(DATE(YEAR(A752),MONTH(A752),DAY(A752)),FY24_Temp[],3,FALSE)</f>
        <v>13.5</v>
      </c>
      <c r="O752" s="110">
        <f t="shared" si="751"/>
        <v>11.5</v>
      </c>
      <c r="P752" s="110">
        <f t="shared" si="752"/>
        <v>19.5</v>
      </c>
      <c r="Q752" s="111">
        <f>VLOOKUP(VLOOKUP(DATEVALUE(TEXT(A752,"m/d/yyyy")),FY24_Temp[],5,FALSE)&amp;TEXT(A752,"-h"),TempDelta[],4,FALSE)</f>
        <v>2.8608571801866804</v>
      </c>
      <c r="R752" s="112">
        <v>10</v>
      </c>
      <c r="S752" s="112">
        <v>1500</v>
      </c>
      <c r="T752" s="99">
        <f>VLOOKUP(TEXT(A752,"yy-mm")&amp;"-"&amp;IF(AND(WEEKDAY(A752)&gt;1,WEEKDAY(A752)&lt;7),"Wkd",TEXT(A752,"Ddd"))&amp;"-"&amp;TEXT(A752,"hh"),LoadTable[],3,FALSE)*0.92</f>
        <v>279.25312000000002</v>
      </c>
      <c r="U752" s="113">
        <f t="shared" si="753"/>
        <v>27.925312000000002</v>
      </c>
    </row>
    <row r="753" spans="1:21" ht="15" thickBot="1">
      <c r="A753" s="29">
        <f t="shared" si="791"/>
        <v>45867.25000000016</v>
      </c>
      <c r="B753" s="187">
        <f t="shared" ref="B753:L753" si="799">B777</f>
        <v>8000</v>
      </c>
      <c r="C753" s="187">
        <f t="shared" si="799"/>
        <v>25000</v>
      </c>
      <c r="D753" s="187">
        <v>0</v>
      </c>
      <c r="E753" s="187">
        <v>700</v>
      </c>
      <c r="F753" s="187">
        <v>15000</v>
      </c>
      <c r="G753" s="187">
        <f t="shared" si="799"/>
        <v>2400</v>
      </c>
      <c r="H753" s="187">
        <f t="shared" si="799"/>
        <v>25000</v>
      </c>
      <c r="I753" s="187">
        <f t="shared" si="799"/>
        <v>8000</v>
      </c>
      <c r="J753" s="187">
        <v>40000</v>
      </c>
      <c r="K753" s="187">
        <f t="shared" si="799"/>
        <v>8000</v>
      </c>
      <c r="L753" s="187">
        <v>40000</v>
      </c>
      <c r="M753" s="110">
        <v>9.5</v>
      </c>
      <c r="N753" s="110">
        <f>VLOOKUP(DATE(YEAR(A753),MONTH(A753),DAY(A753)),FY24_Temp[],3,FALSE)</f>
        <v>13.5</v>
      </c>
      <c r="O753" s="110">
        <f t="shared" si="751"/>
        <v>11.5</v>
      </c>
      <c r="P753" s="110">
        <f t="shared" si="752"/>
        <v>19.5</v>
      </c>
      <c r="Q753" s="111">
        <f>VLOOKUP(VLOOKUP(DATEVALUE(TEXT(A753,"m/d/yyyy")),FY24_Temp[],5,FALSE)&amp;TEXT(A753,"-h"),TempDelta[],4,FALSE)</f>
        <v>2.7405714307512556</v>
      </c>
      <c r="R753" s="112">
        <v>10</v>
      </c>
      <c r="S753" s="112">
        <v>1500</v>
      </c>
      <c r="T753" s="99">
        <f>VLOOKUP(TEXT(A753,"yy-mm")&amp;"-"&amp;IF(AND(WEEKDAY(A753)&gt;1,WEEKDAY(A753)&lt;7),"Wkd",TEXT(A753,"Ddd"))&amp;"-"&amp;TEXT(A753,"hh"),LoadTable[],3,FALSE)*0.92</f>
        <v>279.25312000000002</v>
      </c>
      <c r="U753" s="113">
        <f t="shared" si="753"/>
        <v>27.925312000000002</v>
      </c>
    </row>
    <row r="754" spans="1:21" ht="15" thickBot="1">
      <c r="A754" s="29">
        <f t="shared" si="791"/>
        <v>45867.291666666824</v>
      </c>
      <c r="B754" s="187">
        <f t="shared" ref="B754:L754" si="800">B778</f>
        <v>8000</v>
      </c>
      <c r="C754" s="187">
        <f t="shared" si="800"/>
        <v>25000</v>
      </c>
      <c r="D754" s="187">
        <v>0</v>
      </c>
      <c r="E754" s="187">
        <v>700</v>
      </c>
      <c r="F754" s="187">
        <v>15000</v>
      </c>
      <c r="G754" s="187">
        <f t="shared" si="800"/>
        <v>2400</v>
      </c>
      <c r="H754" s="187">
        <f t="shared" si="800"/>
        <v>25000</v>
      </c>
      <c r="I754" s="187">
        <f t="shared" si="800"/>
        <v>8000</v>
      </c>
      <c r="J754" s="187">
        <v>40000</v>
      </c>
      <c r="K754" s="187">
        <f t="shared" si="800"/>
        <v>8000</v>
      </c>
      <c r="L754" s="187">
        <v>40000</v>
      </c>
      <c r="M754" s="110">
        <v>9.5</v>
      </c>
      <c r="N754" s="110">
        <f>VLOOKUP(DATE(YEAR(A754),MONTH(A754),DAY(A754)),FY24_Temp[],3,FALSE)</f>
        <v>13.5</v>
      </c>
      <c r="O754" s="110">
        <f t="shared" si="751"/>
        <v>11.5</v>
      </c>
      <c r="P754" s="110">
        <f t="shared" si="752"/>
        <v>19.5</v>
      </c>
      <c r="Q754" s="111">
        <f>VLOOKUP(VLOOKUP(DATEVALUE(TEXT(A754,"m/d/yyyy")),FY24_Temp[],5,FALSE)&amp;TEXT(A754,"-h"),TempDelta[],4,FALSE)</f>
        <v>2.6134285245622908</v>
      </c>
      <c r="R754" s="112">
        <v>10</v>
      </c>
      <c r="S754" s="112">
        <v>1500</v>
      </c>
      <c r="T754" s="99">
        <f>VLOOKUP(TEXT(A754,"yy-mm")&amp;"-"&amp;IF(AND(WEEKDAY(A754)&gt;1,WEEKDAY(A754)&lt;7),"Wkd",TEXT(A754,"Ddd"))&amp;"-"&amp;TEXT(A754,"hh"),LoadTable[],3,FALSE)*0.92</f>
        <v>279.25312000000002</v>
      </c>
      <c r="U754" s="113">
        <f t="shared" si="753"/>
        <v>27.925312000000002</v>
      </c>
    </row>
    <row r="755" spans="1:21" ht="15" thickBot="1">
      <c r="A755" s="29">
        <f t="shared" si="791"/>
        <v>45867.333333333489</v>
      </c>
      <c r="B755" s="187">
        <f t="shared" ref="B755:L755" si="801">B779</f>
        <v>8000</v>
      </c>
      <c r="C755" s="187">
        <f t="shared" si="801"/>
        <v>25000</v>
      </c>
      <c r="D755" s="187">
        <v>0</v>
      </c>
      <c r="E755" s="187">
        <v>700</v>
      </c>
      <c r="F755" s="187">
        <v>15000</v>
      </c>
      <c r="G755" s="187">
        <f t="shared" si="801"/>
        <v>2400</v>
      </c>
      <c r="H755" s="187">
        <f t="shared" si="801"/>
        <v>25000</v>
      </c>
      <c r="I755" s="187">
        <f t="shared" si="801"/>
        <v>8000</v>
      </c>
      <c r="J755" s="187">
        <v>40000</v>
      </c>
      <c r="K755" s="187">
        <f t="shared" si="801"/>
        <v>8000</v>
      </c>
      <c r="L755" s="187">
        <v>40000</v>
      </c>
      <c r="M755" s="110">
        <v>9.5</v>
      </c>
      <c r="N755" s="110">
        <f>VLOOKUP(DATE(YEAR(A755),MONTH(A755),DAY(A755)),FY24_Temp[],3,FALSE)</f>
        <v>13.5</v>
      </c>
      <c r="O755" s="110">
        <f t="shared" si="751"/>
        <v>11.5</v>
      </c>
      <c r="P755" s="110">
        <f t="shared" si="752"/>
        <v>19.5</v>
      </c>
      <c r="Q755" s="111">
        <f>VLOOKUP(VLOOKUP(DATEVALUE(TEXT(A755,"m/d/yyyy")),FY24_Temp[],5,FALSE)&amp;TEXT(A755,"-h"),TempDelta[],4,FALSE)</f>
        <v>2.44985716683524</v>
      </c>
      <c r="R755" s="112">
        <v>10</v>
      </c>
      <c r="S755" s="112">
        <v>1500</v>
      </c>
      <c r="T755" s="99">
        <f>VLOOKUP(TEXT(A755,"yy-mm")&amp;"-"&amp;IF(AND(WEEKDAY(A755)&gt;1,WEEKDAY(A755)&lt;7),"Wkd",TEXT(A755,"Ddd"))&amp;"-"&amp;TEXT(A755,"hh"),LoadTable[],3,FALSE)*0.92</f>
        <v>279.25312000000002</v>
      </c>
      <c r="U755" s="113">
        <f t="shared" si="753"/>
        <v>27.925312000000002</v>
      </c>
    </row>
    <row r="756" spans="1:21" ht="15" thickBot="1">
      <c r="A756" s="29">
        <f t="shared" si="791"/>
        <v>45867.375000000153</v>
      </c>
      <c r="B756" s="187">
        <f t="shared" ref="B756:L756" si="802">B780</f>
        <v>8000</v>
      </c>
      <c r="C756" s="187">
        <f t="shared" si="802"/>
        <v>25000</v>
      </c>
      <c r="D756" s="187">
        <v>0</v>
      </c>
      <c r="E756" s="187">
        <v>700</v>
      </c>
      <c r="F756" s="187">
        <v>15000</v>
      </c>
      <c r="G756" s="187">
        <f t="shared" si="802"/>
        <v>2400</v>
      </c>
      <c r="H756" s="187">
        <f t="shared" si="802"/>
        <v>25000</v>
      </c>
      <c r="I756" s="187">
        <f t="shared" si="802"/>
        <v>8000</v>
      </c>
      <c r="J756" s="187">
        <v>40000</v>
      </c>
      <c r="K756" s="187">
        <f t="shared" si="802"/>
        <v>8000</v>
      </c>
      <c r="L756" s="187">
        <v>40000</v>
      </c>
      <c r="M756" s="110">
        <v>9.5</v>
      </c>
      <c r="N756" s="110">
        <f>VLOOKUP(DATE(YEAR(A756),MONTH(A756),DAY(A756)),FY24_Temp[],3,FALSE)</f>
        <v>13.5</v>
      </c>
      <c r="O756" s="110">
        <f t="shared" si="751"/>
        <v>11.5</v>
      </c>
      <c r="P756" s="110">
        <f t="shared" si="752"/>
        <v>19.5</v>
      </c>
      <c r="Q756" s="111">
        <f>VLOOKUP(VLOOKUP(DATEVALUE(TEXT(A756,"m/d/yyyy")),FY24_Temp[],5,FALSE)&amp;TEXT(A756,"-h"),TempDelta[],4,FALSE)</f>
        <v>2.2458571025303433</v>
      </c>
      <c r="R756" s="112">
        <v>10</v>
      </c>
      <c r="S756" s="112">
        <v>1500</v>
      </c>
      <c r="T756" s="99">
        <f>VLOOKUP(TEXT(A756,"yy-mm")&amp;"-"&amp;IF(AND(WEEKDAY(A756)&gt;1,WEEKDAY(A756)&lt;7),"Wkd",TEXT(A756,"Ddd"))&amp;"-"&amp;TEXT(A756,"hh"),LoadTable[],3,FALSE)*0.92</f>
        <v>279.25312000000002</v>
      </c>
      <c r="U756" s="113">
        <f t="shared" si="753"/>
        <v>27.925312000000002</v>
      </c>
    </row>
    <row r="757" spans="1:21" ht="15" thickBot="1">
      <c r="A757" s="29">
        <f t="shared" si="791"/>
        <v>45867.416666666817</v>
      </c>
      <c r="B757" s="187">
        <f t="shared" ref="B757:L757" si="803">B781</f>
        <v>8000</v>
      </c>
      <c r="C757" s="187">
        <f t="shared" si="803"/>
        <v>25000</v>
      </c>
      <c r="D757" s="187">
        <v>0</v>
      </c>
      <c r="E757" s="187">
        <v>700</v>
      </c>
      <c r="F757" s="187">
        <v>15000</v>
      </c>
      <c r="G757" s="187">
        <f t="shared" si="803"/>
        <v>2400</v>
      </c>
      <c r="H757" s="187">
        <f t="shared" si="803"/>
        <v>25000</v>
      </c>
      <c r="I757" s="187">
        <f t="shared" si="803"/>
        <v>8000</v>
      </c>
      <c r="J757" s="187">
        <v>40000</v>
      </c>
      <c r="K757" s="187">
        <f t="shared" si="803"/>
        <v>8000</v>
      </c>
      <c r="L757" s="187">
        <v>40000</v>
      </c>
      <c r="M757" s="110">
        <v>9.5</v>
      </c>
      <c r="N757" s="110">
        <f>VLOOKUP(DATE(YEAR(A757),MONTH(A757),DAY(A757)),FY24_Temp[],3,FALSE)</f>
        <v>13.5</v>
      </c>
      <c r="O757" s="110">
        <f t="shared" si="751"/>
        <v>11.5</v>
      </c>
      <c r="P757" s="110">
        <f t="shared" si="752"/>
        <v>19.5</v>
      </c>
      <c r="Q757" s="111">
        <f>VLOOKUP(VLOOKUP(DATEVALUE(TEXT(A757,"m/d/yyyy")),FY24_Temp[],5,FALSE)&amp;TEXT(A757,"-h"),TempDelta[],4,FALSE)</f>
        <v>2.0832857234137401</v>
      </c>
      <c r="R757" s="112">
        <v>10</v>
      </c>
      <c r="S757" s="112">
        <v>1500</v>
      </c>
      <c r="T757" s="99">
        <f>VLOOKUP(TEXT(A757,"yy-mm")&amp;"-"&amp;IF(AND(WEEKDAY(A757)&gt;1,WEEKDAY(A757)&lt;7),"Wkd",TEXT(A757,"Ddd"))&amp;"-"&amp;TEXT(A757,"hh"),LoadTable[],3,FALSE)*0.92</f>
        <v>279.25312000000002</v>
      </c>
      <c r="U757" s="113">
        <f t="shared" si="753"/>
        <v>27.925312000000002</v>
      </c>
    </row>
    <row r="758" spans="1:21" ht="15" thickBot="1">
      <c r="A758" s="29">
        <f t="shared" si="791"/>
        <v>45867.458333333481</v>
      </c>
      <c r="B758" s="187">
        <f t="shared" ref="B758:L758" si="804">B782</f>
        <v>8000</v>
      </c>
      <c r="C758" s="187">
        <f t="shared" si="804"/>
        <v>25000</v>
      </c>
      <c r="D758" s="187">
        <v>0</v>
      </c>
      <c r="E758" s="187">
        <v>700</v>
      </c>
      <c r="F758" s="187">
        <v>15000</v>
      </c>
      <c r="G758" s="187">
        <f t="shared" si="804"/>
        <v>2400</v>
      </c>
      <c r="H758" s="187">
        <f t="shared" si="804"/>
        <v>25000</v>
      </c>
      <c r="I758" s="187">
        <f t="shared" si="804"/>
        <v>8000</v>
      </c>
      <c r="J758" s="187">
        <v>40000</v>
      </c>
      <c r="K758" s="187">
        <f t="shared" si="804"/>
        <v>8000</v>
      </c>
      <c r="L758" s="187">
        <v>40000</v>
      </c>
      <c r="M758" s="110">
        <v>9.5</v>
      </c>
      <c r="N758" s="110">
        <f>VLOOKUP(DATE(YEAR(A758),MONTH(A758),DAY(A758)),FY24_Temp[],3,FALSE)</f>
        <v>13.5</v>
      </c>
      <c r="O758" s="110">
        <f t="shared" si="751"/>
        <v>11.5</v>
      </c>
      <c r="P758" s="110">
        <f t="shared" si="752"/>
        <v>19.5</v>
      </c>
      <c r="Q758" s="111">
        <f>VLOOKUP(VLOOKUP(DATEVALUE(TEXT(A758,"m/d/yyyy")),FY24_Temp[],5,FALSE)&amp;TEXT(A758,"-h"),TempDelta[],4,FALSE)</f>
        <v>1.8928571258272444</v>
      </c>
      <c r="R758" s="112">
        <v>10</v>
      </c>
      <c r="S758" s="112">
        <v>1500</v>
      </c>
      <c r="T758" s="99">
        <f>VLOOKUP(TEXT(A758,"yy-mm")&amp;"-"&amp;IF(AND(WEEKDAY(A758)&gt;1,WEEKDAY(A758)&lt;7),"Wkd",TEXT(A758,"Ddd"))&amp;"-"&amp;TEXT(A758,"hh"),LoadTable[],3,FALSE)*0.92</f>
        <v>279.25312000000002</v>
      </c>
      <c r="U758" s="113">
        <f t="shared" si="753"/>
        <v>27.925312000000002</v>
      </c>
    </row>
    <row r="759" spans="1:21" ht="15" thickBot="1">
      <c r="A759" s="29">
        <f t="shared" si="791"/>
        <v>45867.500000000146</v>
      </c>
      <c r="B759" s="187">
        <f t="shared" ref="B759:L759" si="805">B783</f>
        <v>8000</v>
      </c>
      <c r="C759" s="187">
        <f t="shared" si="805"/>
        <v>25000</v>
      </c>
      <c r="D759" s="187">
        <v>0</v>
      </c>
      <c r="E759" s="187">
        <v>700</v>
      </c>
      <c r="F759" s="187">
        <v>15000</v>
      </c>
      <c r="G759" s="187">
        <f t="shared" si="805"/>
        <v>2400</v>
      </c>
      <c r="H759" s="187">
        <f t="shared" si="805"/>
        <v>25000</v>
      </c>
      <c r="I759" s="187">
        <f t="shared" si="805"/>
        <v>8000</v>
      </c>
      <c r="J759" s="187">
        <v>40000</v>
      </c>
      <c r="K759" s="187">
        <f t="shared" si="805"/>
        <v>8000</v>
      </c>
      <c r="L759" s="187">
        <v>40000</v>
      </c>
      <c r="M759" s="110">
        <v>9.5</v>
      </c>
      <c r="N759" s="110">
        <f>VLOOKUP(DATE(YEAR(A759),MONTH(A759),DAY(A759)),FY24_Temp[],3,FALSE)</f>
        <v>13.5</v>
      </c>
      <c r="O759" s="110">
        <f t="shared" si="751"/>
        <v>11.5</v>
      </c>
      <c r="P759" s="110">
        <f t="shared" si="752"/>
        <v>19.5</v>
      </c>
      <c r="Q759" s="111">
        <f>VLOOKUP(VLOOKUP(DATEVALUE(TEXT(A759,"m/d/yyyy")),FY24_Temp[],5,FALSE)&amp;TEXT(A759,"-h"),TempDelta[],4,FALSE)</f>
        <v>1.665857127734593</v>
      </c>
      <c r="R759" s="112">
        <v>10</v>
      </c>
      <c r="S759" s="112">
        <v>1500</v>
      </c>
      <c r="T759" s="99">
        <f>VLOOKUP(TEXT(A759,"yy-mm")&amp;"-"&amp;IF(AND(WEEKDAY(A759)&gt;1,WEEKDAY(A759)&lt;7),"Wkd",TEXT(A759,"Ddd"))&amp;"-"&amp;TEXT(A759,"hh"),LoadTable[],3,FALSE)*0.92</f>
        <v>279.25312000000002</v>
      </c>
      <c r="U759" s="113">
        <f t="shared" si="753"/>
        <v>27.925312000000002</v>
      </c>
    </row>
    <row r="760" spans="1:21" ht="15" thickBot="1">
      <c r="A760" s="29">
        <f t="shared" si="791"/>
        <v>45867.54166666681</v>
      </c>
      <c r="B760" s="187">
        <f t="shared" ref="B760:L760" si="806">B784</f>
        <v>8000</v>
      </c>
      <c r="C760" s="187">
        <f t="shared" si="806"/>
        <v>25000</v>
      </c>
      <c r="D760" s="187">
        <v>0</v>
      </c>
      <c r="E760" s="187">
        <v>700</v>
      </c>
      <c r="F760" s="187">
        <v>15000</v>
      </c>
      <c r="G760" s="187">
        <f t="shared" si="806"/>
        <v>2400</v>
      </c>
      <c r="H760" s="187">
        <f t="shared" si="806"/>
        <v>25000</v>
      </c>
      <c r="I760" s="187">
        <f t="shared" si="806"/>
        <v>8000</v>
      </c>
      <c r="J760" s="187">
        <v>40000</v>
      </c>
      <c r="K760" s="187">
        <f t="shared" si="806"/>
        <v>8000</v>
      </c>
      <c r="L760" s="187">
        <v>40000</v>
      </c>
      <c r="M760" s="110">
        <v>9.5</v>
      </c>
      <c r="N760" s="110">
        <f>VLOOKUP(DATE(YEAR(A760),MONTH(A760),DAY(A760)),FY24_Temp[],3,FALSE)</f>
        <v>13.5</v>
      </c>
      <c r="O760" s="110">
        <f t="shared" si="751"/>
        <v>11.5</v>
      </c>
      <c r="P760" s="110">
        <f t="shared" si="752"/>
        <v>19.5</v>
      </c>
      <c r="Q760" s="111">
        <f>VLOOKUP(VLOOKUP(DATEVALUE(TEXT(A760,"m/d/yyyy")),FY24_Temp[],5,FALSE)&amp;TEXT(A760,"-h"),TempDelta[],4,FALSE)</f>
        <v>1.4252856969833374</v>
      </c>
      <c r="R760" s="112">
        <v>10</v>
      </c>
      <c r="S760" s="112">
        <v>1500</v>
      </c>
      <c r="T760" s="99">
        <f>VLOOKUP(TEXT(A760,"yy-mm")&amp;"-"&amp;IF(AND(WEEKDAY(A760)&gt;1,WEEKDAY(A760)&lt;7),"Wkd",TEXT(A760,"Ddd"))&amp;"-"&amp;TEXT(A760,"hh"),LoadTable[],3,FALSE)*0.92</f>
        <v>279.25312000000002</v>
      </c>
      <c r="U760" s="113">
        <f t="shared" si="753"/>
        <v>27.925312000000002</v>
      </c>
    </row>
    <row r="761" spans="1:21" ht="15" thickBot="1">
      <c r="A761" s="29">
        <f t="shared" si="791"/>
        <v>45867.583333333474</v>
      </c>
      <c r="B761" s="187">
        <f t="shared" ref="B761:L761" si="807">B785</f>
        <v>8000</v>
      </c>
      <c r="C761" s="187">
        <f t="shared" si="807"/>
        <v>25000</v>
      </c>
      <c r="D761" s="187">
        <v>0</v>
      </c>
      <c r="E761" s="187">
        <v>700</v>
      </c>
      <c r="F761" s="187">
        <v>15000</v>
      </c>
      <c r="G761" s="187">
        <f t="shared" si="807"/>
        <v>2400</v>
      </c>
      <c r="H761" s="187">
        <f t="shared" si="807"/>
        <v>25000</v>
      </c>
      <c r="I761" s="187">
        <f t="shared" si="807"/>
        <v>8000</v>
      </c>
      <c r="J761" s="187">
        <v>40000</v>
      </c>
      <c r="K761" s="187">
        <f t="shared" si="807"/>
        <v>8000</v>
      </c>
      <c r="L761" s="187">
        <v>40000</v>
      </c>
      <c r="M761" s="110">
        <v>9.5</v>
      </c>
      <c r="N761" s="110">
        <f>VLOOKUP(DATE(YEAR(A761),MONTH(A761),DAY(A761)),FY24_Temp[],3,FALSE)</f>
        <v>13.5</v>
      </c>
      <c r="O761" s="110">
        <f t="shared" si="751"/>
        <v>11.5</v>
      </c>
      <c r="P761" s="110">
        <f t="shared" si="752"/>
        <v>19.5</v>
      </c>
      <c r="Q761" s="111">
        <f>VLOOKUP(VLOOKUP(DATEVALUE(TEXT(A761,"m/d/yyyy")),FY24_Temp[],5,FALSE)&amp;TEXT(A761,"-h"),TempDelta[],4,FALSE)</f>
        <v>1.2351428781236922</v>
      </c>
      <c r="R761" s="112">
        <v>10</v>
      </c>
      <c r="S761" s="112">
        <v>1500</v>
      </c>
      <c r="T761" s="99">
        <f>VLOOKUP(TEXT(A761,"yy-mm")&amp;"-"&amp;IF(AND(WEEKDAY(A761)&gt;1,WEEKDAY(A761)&lt;7),"Wkd",TEXT(A761,"Ddd"))&amp;"-"&amp;TEXT(A761,"hh"),LoadTable[],3,FALSE)*0.92</f>
        <v>373.26607999999999</v>
      </c>
      <c r="U761" s="113">
        <f t="shared" si="753"/>
        <v>37.326608</v>
      </c>
    </row>
    <row r="762" spans="1:21" ht="15" thickBot="1">
      <c r="A762" s="29">
        <f t="shared" si="791"/>
        <v>45867.625000000138</v>
      </c>
      <c r="B762" s="187">
        <f t="shared" ref="B762:L762" si="808">B786</f>
        <v>8000</v>
      </c>
      <c r="C762" s="187">
        <f t="shared" si="808"/>
        <v>25000</v>
      </c>
      <c r="D762" s="187">
        <v>0</v>
      </c>
      <c r="E762" s="187">
        <v>700</v>
      </c>
      <c r="F762" s="187">
        <v>15000</v>
      </c>
      <c r="G762" s="187">
        <f t="shared" si="808"/>
        <v>2400</v>
      </c>
      <c r="H762" s="187">
        <f t="shared" si="808"/>
        <v>25000</v>
      </c>
      <c r="I762" s="187">
        <f t="shared" si="808"/>
        <v>8000</v>
      </c>
      <c r="J762" s="187">
        <v>40000</v>
      </c>
      <c r="K762" s="187">
        <f t="shared" si="808"/>
        <v>8000</v>
      </c>
      <c r="L762" s="187">
        <v>40000</v>
      </c>
      <c r="M762" s="110">
        <v>9.5</v>
      </c>
      <c r="N762" s="110">
        <f>VLOOKUP(DATE(YEAR(A762),MONTH(A762),DAY(A762)),FY24_Temp[],3,FALSE)</f>
        <v>13.5</v>
      </c>
      <c r="O762" s="110">
        <f t="shared" si="751"/>
        <v>11.5</v>
      </c>
      <c r="P762" s="110">
        <f t="shared" si="752"/>
        <v>19.5</v>
      </c>
      <c r="Q762" s="111">
        <f>VLOOKUP(VLOOKUP(DATEVALUE(TEXT(A762,"m/d/yyyy")),FY24_Temp[],5,FALSE)&amp;TEXT(A762,"-h"),TempDelta[],4,FALSE)</f>
        <v>0.97514284508568905</v>
      </c>
      <c r="R762" s="112">
        <v>10</v>
      </c>
      <c r="S762" s="112">
        <v>1500</v>
      </c>
      <c r="T762" s="99">
        <f>VLOOKUP(TEXT(A762,"yy-mm")&amp;"-"&amp;IF(AND(WEEKDAY(A762)&gt;1,WEEKDAY(A762)&lt;7),"Wkd",TEXT(A762,"Ddd"))&amp;"-"&amp;TEXT(A762,"hh"),LoadTable[],3,FALSE)*0.92</f>
        <v>494.57360000000006</v>
      </c>
      <c r="U762" s="113">
        <f t="shared" si="753"/>
        <v>49.457360000000008</v>
      </c>
    </row>
    <row r="763" spans="1:21" ht="15" thickBot="1">
      <c r="A763" s="29">
        <f t="shared" si="791"/>
        <v>45867.666666666802</v>
      </c>
      <c r="B763" s="187">
        <f t="shared" ref="B763:L763" si="809">B787</f>
        <v>8000</v>
      </c>
      <c r="C763" s="187">
        <f t="shared" si="809"/>
        <v>25000</v>
      </c>
      <c r="D763" s="187">
        <v>0</v>
      </c>
      <c r="E763" s="187">
        <v>700</v>
      </c>
      <c r="F763" s="187">
        <v>15000</v>
      </c>
      <c r="G763" s="187">
        <f t="shared" si="809"/>
        <v>2400</v>
      </c>
      <c r="H763" s="187">
        <f t="shared" si="809"/>
        <v>25000</v>
      </c>
      <c r="I763" s="187">
        <f t="shared" si="809"/>
        <v>8000</v>
      </c>
      <c r="J763" s="187">
        <v>40000</v>
      </c>
      <c r="K763" s="187">
        <f t="shared" si="809"/>
        <v>8000</v>
      </c>
      <c r="L763" s="187">
        <v>40000</v>
      </c>
      <c r="M763" s="110">
        <v>9.5</v>
      </c>
      <c r="N763" s="110">
        <f>VLOOKUP(DATE(YEAR(A763),MONTH(A763),DAY(A763)),FY24_Temp[],3,FALSE)</f>
        <v>13.5</v>
      </c>
      <c r="O763" s="110">
        <f t="shared" si="751"/>
        <v>11.5</v>
      </c>
      <c r="P763" s="110">
        <f t="shared" si="752"/>
        <v>19.5</v>
      </c>
      <c r="Q763" s="111">
        <f>VLOOKUP(VLOOKUP(DATEVALUE(TEXT(A763,"m/d/yyyy")),FY24_Temp[],5,FALSE)&amp;TEXT(A763,"-h"),TempDelta[],4,FALSE)</f>
        <v>0.88578571166310993</v>
      </c>
      <c r="R763" s="112">
        <v>10</v>
      </c>
      <c r="S763" s="112">
        <v>1500</v>
      </c>
      <c r="T763" s="99">
        <f>VLOOKUP(TEXT(A763,"yy-mm")&amp;"-"&amp;IF(AND(WEEKDAY(A763)&gt;1,WEEKDAY(A763)&lt;7),"Wkd",TEXT(A763,"Ddd"))&amp;"-"&amp;TEXT(A763,"hh"),LoadTable[],3,FALSE)*0.92</f>
        <v>494.57360000000006</v>
      </c>
      <c r="U763" s="113">
        <f t="shared" si="753"/>
        <v>49.457360000000008</v>
      </c>
    </row>
    <row r="764" spans="1:21" ht="15" thickBot="1">
      <c r="A764" s="29">
        <f t="shared" si="791"/>
        <v>45867.708333333467</v>
      </c>
      <c r="B764" s="187">
        <f t="shared" ref="B764:L764" si="810">B788</f>
        <v>8000</v>
      </c>
      <c r="C764" s="187">
        <f t="shared" si="810"/>
        <v>25000</v>
      </c>
      <c r="D764" s="187">
        <v>0</v>
      </c>
      <c r="E764" s="187">
        <v>700</v>
      </c>
      <c r="F764" s="187">
        <v>15000</v>
      </c>
      <c r="G764" s="187">
        <f t="shared" si="810"/>
        <v>2400</v>
      </c>
      <c r="H764" s="187">
        <f t="shared" si="810"/>
        <v>25000</v>
      </c>
      <c r="I764" s="187">
        <f t="shared" si="810"/>
        <v>8000</v>
      </c>
      <c r="J764" s="187">
        <v>40000</v>
      </c>
      <c r="K764" s="187">
        <f t="shared" si="810"/>
        <v>8000</v>
      </c>
      <c r="L764" s="187">
        <v>40000</v>
      </c>
      <c r="M764" s="110">
        <v>9.5</v>
      </c>
      <c r="N764" s="110">
        <f>VLOOKUP(DATE(YEAR(A764),MONTH(A764),DAY(A764)),FY24_Temp[],3,FALSE)</f>
        <v>13.5</v>
      </c>
      <c r="O764" s="110">
        <f t="shared" si="751"/>
        <v>11.5</v>
      </c>
      <c r="P764" s="110">
        <f t="shared" si="752"/>
        <v>19.5</v>
      </c>
      <c r="Q764" s="111">
        <f>VLOOKUP(VLOOKUP(DATEVALUE(TEXT(A764,"m/d/yyyy")),FY24_Temp[],5,FALSE)&amp;TEXT(A764,"-h"),TempDelta[],4,FALSE)</f>
        <v>1.0356428495475225</v>
      </c>
      <c r="R764" s="112">
        <v>10</v>
      </c>
      <c r="S764" s="112">
        <v>1500</v>
      </c>
      <c r="T764" s="99">
        <f>VLOOKUP(TEXT(A764,"yy-mm")&amp;"-"&amp;IF(AND(WEEKDAY(A764)&gt;1,WEEKDAY(A764)&lt;7),"Wkd",TEXT(A764,"Ddd"))&amp;"-"&amp;TEXT(A764,"hh"),LoadTable[],3,FALSE)*0.92</f>
        <v>494.57360000000006</v>
      </c>
      <c r="U764" s="113">
        <f t="shared" si="753"/>
        <v>49.457360000000008</v>
      </c>
    </row>
    <row r="765" spans="1:21" ht="15" thickBot="1">
      <c r="A765" s="29">
        <f t="shared" si="791"/>
        <v>45867.750000000131</v>
      </c>
      <c r="B765" s="187">
        <f t="shared" ref="B765:L765" si="811">B789</f>
        <v>5000</v>
      </c>
      <c r="C765" s="187">
        <f t="shared" si="811"/>
        <v>25000</v>
      </c>
      <c r="D765" s="187">
        <v>0</v>
      </c>
      <c r="E765" s="187">
        <v>700</v>
      </c>
      <c r="F765" s="187">
        <v>15000</v>
      </c>
      <c r="G765" s="187">
        <f t="shared" si="811"/>
        <v>2400</v>
      </c>
      <c r="H765" s="187">
        <f t="shared" si="811"/>
        <v>25000</v>
      </c>
      <c r="I765" s="187">
        <f t="shared" si="811"/>
        <v>5000</v>
      </c>
      <c r="J765" s="187">
        <v>40000</v>
      </c>
      <c r="K765" s="187">
        <f t="shared" si="811"/>
        <v>5000</v>
      </c>
      <c r="L765" s="187">
        <v>40000</v>
      </c>
      <c r="M765" s="110">
        <v>9.5</v>
      </c>
      <c r="N765" s="110">
        <f>VLOOKUP(DATE(YEAR(A765),MONTH(A765),DAY(A765)),FY24_Temp[],3,FALSE)</f>
        <v>13.5</v>
      </c>
      <c r="O765" s="110">
        <f t="shared" si="751"/>
        <v>11.5</v>
      </c>
      <c r="P765" s="110">
        <f t="shared" si="752"/>
        <v>19.5</v>
      </c>
      <c r="Q765" s="111">
        <f>VLOOKUP(VLOOKUP(DATEVALUE(TEXT(A765,"m/d/yyyy")),FY24_Temp[],5,FALSE)&amp;TEXT(A765,"-h"),TempDelta[],4,FALSE)</f>
        <v>1.3991428358214242</v>
      </c>
      <c r="R765" s="112">
        <v>10</v>
      </c>
      <c r="S765" s="112">
        <v>1500</v>
      </c>
      <c r="T765" s="99">
        <f>VLOOKUP(TEXT(A765,"yy-mm")&amp;"-"&amp;IF(AND(WEEKDAY(A765)&gt;1,WEEKDAY(A765)&lt;7),"Wkd",TEXT(A765,"Ddd"))&amp;"-"&amp;TEXT(A765,"hh"),LoadTable[],3,FALSE)*0.92</f>
        <v>494.57360000000006</v>
      </c>
      <c r="U765" s="113">
        <f t="shared" si="753"/>
        <v>49.457360000000008</v>
      </c>
    </row>
    <row r="766" spans="1:21" ht="15" thickBot="1">
      <c r="A766" s="29">
        <f t="shared" si="791"/>
        <v>45867.791666666795</v>
      </c>
      <c r="B766" s="187">
        <f t="shared" ref="B766:L766" si="812">B790</f>
        <v>5000</v>
      </c>
      <c r="C766" s="187">
        <f t="shared" si="812"/>
        <v>25000</v>
      </c>
      <c r="D766" s="187">
        <v>0</v>
      </c>
      <c r="E766" s="187">
        <v>700</v>
      </c>
      <c r="F766" s="187">
        <v>15000</v>
      </c>
      <c r="G766" s="187">
        <f t="shared" si="812"/>
        <v>2400</v>
      </c>
      <c r="H766" s="187">
        <f t="shared" si="812"/>
        <v>25000</v>
      </c>
      <c r="I766" s="187">
        <f t="shared" si="812"/>
        <v>5000</v>
      </c>
      <c r="J766" s="187">
        <v>40000</v>
      </c>
      <c r="K766" s="187">
        <f t="shared" si="812"/>
        <v>5000</v>
      </c>
      <c r="L766" s="187">
        <v>40000</v>
      </c>
      <c r="M766" s="110">
        <v>9.5</v>
      </c>
      <c r="N766" s="110">
        <f>VLOOKUP(DATE(YEAR(A766),MONTH(A766),DAY(A766)),FY24_Temp[],3,FALSE)</f>
        <v>13.5</v>
      </c>
      <c r="O766" s="110">
        <f t="shared" si="751"/>
        <v>11.5</v>
      </c>
      <c r="P766" s="110">
        <f t="shared" si="752"/>
        <v>19.5</v>
      </c>
      <c r="Q766" s="111">
        <f>VLOOKUP(VLOOKUP(DATEVALUE(TEXT(A766,"m/d/yyyy")),FY24_Temp[],5,FALSE)&amp;TEXT(A766,"-h"),TempDelta[],4,FALSE)</f>
        <v>1.8638571415628706</v>
      </c>
      <c r="R766" s="112">
        <v>10</v>
      </c>
      <c r="S766" s="112">
        <v>1500</v>
      </c>
      <c r="T766" s="99">
        <f>VLOOKUP(TEXT(A766,"yy-mm")&amp;"-"&amp;IF(AND(WEEKDAY(A766)&gt;1,WEEKDAY(A766)&lt;7),"Wkd",TEXT(A766,"Ddd"))&amp;"-"&amp;TEXT(A766,"hh"),LoadTable[],3,FALSE)*0.92</f>
        <v>494.57360000000006</v>
      </c>
      <c r="U766" s="113">
        <f t="shared" si="753"/>
        <v>49.457360000000008</v>
      </c>
    </row>
    <row r="767" spans="1:21" ht="15" thickBot="1">
      <c r="A767" s="29">
        <f t="shared" si="791"/>
        <v>45867.833333333459</v>
      </c>
      <c r="B767" s="187">
        <f t="shared" ref="B767:L767" si="813">B791</f>
        <v>5000</v>
      </c>
      <c r="C767" s="187">
        <f t="shared" si="813"/>
        <v>25000</v>
      </c>
      <c r="D767" s="187">
        <v>0</v>
      </c>
      <c r="E767" s="187">
        <v>700</v>
      </c>
      <c r="F767" s="187">
        <v>15000</v>
      </c>
      <c r="G767" s="187">
        <f t="shared" si="813"/>
        <v>2400</v>
      </c>
      <c r="H767" s="187">
        <f t="shared" si="813"/>
        <v>25000</v>
      </c>
      <c r="I767" s="187">
        <f t="shared" si="813"/>
        <v>5000</v>
      </c>
      <c r="J767" s="187">
        <v>40000</v>
      </c>
      <c r="K767" s="187">
        <f t="shared" si="813"/>
        <v>5000</v>
      </c>
      <c r="L767" s="187">
        <v>40000</v>
      </c>
      <c r="M767" s="110">
        <v>9.5</v>
      </c>
      <c r="N767" s="110">
        <f>VLOOKUP(DATE(YEAR(A767),MONTH(A767),DAY(A767)),FY24_Temp[],3,FALSE)</f>
        <v>13.5</v>
      </c>
      <c r="O767" s="110">
        <f t="shared" si="751"/>
        <v>11.5</v>
      </c>
      <c r="P767" s="110">
        <f t="shared" si="752"/>
        <v>19.5</v>
      </c>
      <c r="Q767" s="111">
        <f>VLOOKUP(VLOOKUP(DATEVALUE(TEXT(A767,"m/d/yyyy")),FY24_Temp[],5,FALSE)&amp;TEXT(A767,"-h"),TempDelta[],4,FALSE)</f>
        <v>2.300714305468968</v>
      </c>
      <c r="R767" s="112">
        <v>10</v>
      </c>
      <c r="S767" s="112">
        <v>1500</v>
      </c>
      <c r="T767" s="99">
        <f>VLOOKUP(TEXT(A767,"yy-mm")&amp;"-"&amp;IF(AND(WEEKDAY(A767)&gt;1,WEEKDAY(A767)&lt;7),"Wkd",TEXT(A767,"Ddd"))&amp;"-"&amp;TEXT(A767,"hh"),LoadTable[],3,FALSE)*0.92</f>
        <v>494.57360000000006</v>
      </c>
      <c r="U767" s="113">
        <f t="shared" si="753"/>
        <v>49.457360000000008</v>
      </c>
    </row>
    <row r="768" spans="1:21" ht="15" thickBot="1">
      <c r="A768" s="29">
        <f t="shared" si="791"/>
        <v>45867.875000000124</v>
      </c>
      <c r="B768" s="187">
        <f t="shared" ref="B768:L768" si="814">B792</f>
        <v>5000</v>
      </c>
      <c r="C768" s="187">
        <f t="shared" si="814"/>
        <v>25000</v>
      </c>
      <c r="D768" s="187">
        <v>0</v>
      </c>
      <c r="E768" s="187">
        <v>700</v>
      </c>
      <c r="F768" s="187">
        <v>15000</v>
      </c>
      <c r="G768" s="187">
        <f t="shared" si="814"/>
        <v>2400</v>
      </c>
      <c r="H768" s="187">
        <f t="shared" si="814"/>
        <v>25000</v>
      </c>
      <c r="I768" s="187">
        <f t="shared" si="814"/>
        <v>5000</v>
      </c>
      <c r="J768" s="187">
        <v>40000</v>
      </c>
      <c r="K768" s="187">
        <f t="shared" si="814"/>
        <v>5000</v>
      </c>
      <c r="L768" s="187">
        <v>40000</v>
      </c>
      <c r="M768" s="110">
        <v>9.5</v>
      </c>
      <c r="N768" s="110">
        <f>VLOOKUP(DATE(YEAR(A768),MONTH(A768),DAY(A768)),FY24_Temp[],3,FALSE)</f>
        <v>13.5</v>
      </c>
      <c r="O768" s="110">
        <f t="shared" si="751"/>
        <v>11.5</v>
      </c>
      <c r="P768" s="110">
        <f t="shared" si="752"/>
        <v>19.5</v>
      </c>
      <c r="Q768" s="111">
        <f>VLOOKUP(VLOOKUP(DATEVALUE(TEXT(A768,"m/d/yyyy")),FY24_Temp[],5,FALSE)&amp;TEXT(A768,"-h"),TempDelta[],4,FALSE)</f>
        <v>2.554214222090585</v>
      </c>
      <c r="R768" s="112">
        <v>10</v>
      </c>
      <c r="S768" s="112">
        <v>1500</v>
      </c>
      <c r="T768" s="99">
        <f>VLOOKUP(TEXT(A768,"yy-mm")&amp;"-"&amp;IF(AND(WEEKDAY(A768)&gt;1,WEEKDAY(A768)&lt;7),"Wkd",TEXT(A768,"Ddd"))&amp;"-"&amp;TEXT(A768,"hh"),LoadTable[],3,FALSE)*0.92</f>
        <v>494.57360000000006</v>
      </c>
      <c r="U768" s="113">
        <f t="shared" si="753"/>
        <v>49.457360000000008</v>
      </c>
    </row>
    <row r="769" spans="1:21" ht="15" thickBot="1">
      <c r="A769" s="29">
        <f t="shared" si="791"/>
        <v>45867.916666666788</v>
      </c>
      <c r="B769" s="187">
        <f t="shared" ref="B769:L769" si="815">B793</f>
        <v>5000</v>
      </c>
      <c r="C769" s="187">
        <f t="shared" si="815"/>
        <v>25000</v>
      </c>
      <c r="D769" s="187">
        <v>0</v>
      </c>
      <c r="E769" s="187">
        <v>700</v>
      </c>
      <c r="F769" s="187">
        <v>15000</v>
      </c>
      <c r="G769" s="187">
        <f t="shared" si="815"/>
        <v>2400</v>
      </c>
      <c r="H769" s="187">
        <f t="shared" si="815"/>
        <v>25000</v>
      </c>
      <c r="I769" s="187">
        <f t="shared" si="815"/>
        <v>5000</v>
      </c>
      <c r="J769" s="187">
        <v>40000</v>
      </c>
      <c r="K769" s="187">
        <f t="shared" si="815"/>
        <v>5000</v>
      </c>
      <c r="L769" s="187">
        <v>40000</v>
      </c>
      <c r="M769" s="110">
        <v>9.5</v>
      </c>
      <c r="N769" s="110">
        <f>VLOOKUP(DATE(YEAR(A769),MONTH(A769),DAY(A769)),FY24_Temp[],3,FALSE)</f>
        <v>13.5</v>
      </c>
      <c r="O769" s="110">
        <f t="shared" si="751"/>
        <v>11.5</v>
      </c>
      <c r="P769" s="110">
        <f t="shared" si="752"/>
        <v>19.5</v>
      </c>
      <c r="Q769" s="111">
        <f>VLOOKUP(VLOOKUP(DATEVALUE(TEXT(A769,"m/d/yyyy")),FY24_Temp[],5,FALSE)&amp;TEXT(A769,"-h"),TempDelta[],4,FALSE)</f>
        <v>2.7827142647334506</v>
      </c>
      <c r="R769" s="112">
        <v>10</v>
      </c>
      <c r="S769" s="112">
        <v>1500</v>
      </c>
      <c r="T769" s="99">
        <f>VLOOKUP(TEXT(A769,"yy-mm")&amp;"-"&amp;IF(AND(WEEKDAY(A769)&gt;1,WEEKDAY(A769)&lt;7),"Wkd",TEXT(A769,"Ddd"))&amp;"-"&amp;TEXT(A769,"hh"),LoadTable[],3,FALSE)*0.92</f>
        <v>418.75640000000004</v>
      </c>
      <c r="U769" s="113">
        <f t="shared" si="753"/>
        <v>41.875640000000004</v>
      </c>
    </row>
    <row r="770" spans="1:21" ht="15" thickBot="1">
      <c r="A770" s="29">
        <f t="shared" si="791"/>
        <v>45867.958333333452</v>
      </c>
      <c r="B770" s="187">
        <f t="shared" ref="B770:L770" si="816">B794</f>
        <v>5000</v>
      </c>
      <c r="C770" s="187">
        <f t="shared" si="816"/>
        <v>25000</v>
      </c>
      <c r="D770" s="187">
        <v>0</v>
      </c>
      <c r="E770" s="187">
        <v>700</v>
      </c>
      <c r="F770" s="187">
        <v>15000</v>
      </c>
      <c r="G770" s="187">
        <f t="shared" si="816"/>
        <v>2400</v>
      </c>
      <c r="H770" s="187">
        <f t="shared" si="816"/>
        <v>25000</v>
      </c>
      <c r="I770" s="187">
        <f t="shared" si="816"/>
        <v>5000</v>
      </c>
      <c r="J770" s="187">
        <v>40000</v>
      </c>
      <c r="K770" s="187">
        <f t="shared" si="816"/>
        <v>5000</v>
      </c>
      <c r="L770" s="187">
        <v>40000</v>
      </c>
      <c r="M770" s="110">
        <v>9.5</v>
      </c>
      <c r="N770" s="110">
        <f>VLOOKUP(DATE(YEAR(A770),MONTH(A770),DAY(A770)),FY24_Temp[],3,FALSE)</f>
        <v>13.5</v>
      </c>
      <c r="O770" s="110">
        <f t="shared" si="751"/>
        <v>11.5</v>
      </c>
      <c r="P770" s="110">
        <f t="shared" si="752"/>
        <v>19.5</v>
      </c>
      <c r="Q770" s="111">
        <f>VLOOKUP(VLOOKUP(DATEVALUE(TEXT(A770,"m/d/yyyy")),FY24_Temp[],5,FALSE)&amp;TEXT(A770,"-h"),TempDelta[],4,FALSE)</f>
        <v>2.8792857101985385</v>
      </c>
      <c r="R770" s="112">
        <v>10</v>
      </c>
      <c r="S770" s="112">
        <v>1500</v>
      </c>
      <c r="T770" s="99">
        <f>VLOOKUP(TEXT(A770,"yy-mm")&amp;"-"&amp;IF(AND(WEEKDAY(A770)&gt;1,WEEKDAY(A770)&lt;7),"Wkd",TEXT(A770,"Ddd"))&amp;"-"&amp;TEXT(A770,"hh"),LoadTable[],3,FALSE)*0.92</f>
        <v>342.93920000000003</v>
      </c>
      <c r="U770" s="113">
        <f t="shared" si="753"/>
        <v>34.29392</v>
      </c>
    </row>
    <row r="771" spans="1:21" ht="15" thickBot="1">
      <c r="A771" s="29">
        <f t="shared" si="791"/>
        <v>45868.000000000116</v>
      </c>
      <c r="B771" s="187">
        <f t="shared" ref="B771:L771" si="817">B795</f>
        <v>5000</v>
      </c>
      <c r="C771" s="187">
        <f t="shared" si="817"/>
        <v>25000</v>
      </c>
      <c r="D771" s="187">
        <v>0</v>
      </c>
      <c r="E771" s="187">
        <v>700</v>
      </c>
      <c r="F771" s="187">
        <v>15000</v>
      </c>
      <c r="G771" s="187">
        <f t="shared" si="817"/>
        <v>2400</v>
      </c>
      <c r="H771" s="187">
        <f t="shared" si="817"/>
        <v>25000</v>
      </c>
      <c r="I771" s="187">
        <f t="shared" si="817"/>
        <v>5000</v>
      </c>
      <c r="J771" s="187">
        <v>40000</v>
      </c>
      <c r="K771" s="187">
        <f t="shared" si="817"/>
        <v>5000</v>
      </c>
      <c r="L771" s="187">
        <v>40000</v>
      </c>
      <c r="M771" s="110">
        <v>9.5</v>
      </c>
      <c r="N771" s="110">
        <f>VLOOKUP(DATE(YEAR(A771),MONTH(A771),DAY(A771)),FY24_Temp[],3,FALSE)</f>
        <v>13.5</v>
      </c>
      <c r="O771" s="110">
        <f t="shared" si="751"/>
        <v>11.5</v>
      </c>
      <c r="P771" s="110">
        <f t="shared" si="752"/>
        <v>19.5</v>
      </c>
      <c r="Q771" s="111">
        <f>VLOOKUP(VLOOKUP(DATEVALUE(TEXT(A771,"m/d/yyyy")),FY24_Temp[],5,FALSE)&amp;TEXT(A771,"-h"),TempDelta[],4,FALSE)</f>
        <v>3.0441428933824812</v>
      </c>
      <c r="R771" s="112">
        <v>10</v>
      </c>
      <c r="S771" s="112">
        <v>1500</v>
      </c>
      <c r="T771" s="99">
        <f>VLOOKUP(TEXT(A771,"yy-mm")&amp;"-"&amp;IF(AND(WEEKDAY(A771)&gt;1,WEEKDAY(A771)&lt;7),"Wkd",TEXT(A771,"Ddd"))&amp;"-"&amp;TEXT(A771,"hh"),LoadTable[],3,FALSE)*0.92</f>
        <v>279.25312000000002</v>
      </c>
      <c r="U771" s="113">
        <f t="shared" si="753"/>
        <v>27.925312000000002</v>
      </c>
    </row>
    <row r="772" spans="1:21" ht="15" thickBot="1">
      <c r="A772" s="29">
        <f t="shared" si="791"/>
        <v>45868.041666666781</v>
      </c>
      <c r="B772" s="187">
        <f t="shared" ref="B772:L772" si="818">B796</f>
        <v>5000</v>
      </c>
      <c r="C772" s="187">
        <f t="shared" si="818"/>
        <v>25000</v>
      </c>
      <c r="D772" s="187">
        <v>0</v>
      </c>
      <c r="E772" s="187">
        <v>700</v>
      </c>
      <c r="F772" s="187">
        <v>15000</v>
      </c>
      <c r="G772" s="187">
        <f t="shared" si="818"/>
        <v>2400</v>
      </c>
      <c r="H772" s="187">
        <f t="shared" si="818"/>
        <v>25000</v>
      </c>
      <c r="I772" s="187">
        <f t="shared" si="818"/>
        <v>5000</v>
      </c>
      <c r="J772" s="187">
        <v>40000</v>
      </c>
      <c r="K772" s="187">
        <f t="shared" si="818"/>
        <v>5000</v>
      </c>
      <c r="L772" s="187">
        <v>40000</v>
      </c>
      <c r="M772" s="110">
        <v>9.5</v>
      </c>
      <c r="N772" s="110">
        <f>VLOOKUP(DATE(YEAR(A772),MONTH(A772),DAY(A772)),FY24_Temp[],3,FALSE)</f>
        <v>13.5</v>
      </c>
      <c r="O772" s="110">
        <f t="shared" ref="O772:O835" si="819">15.5-4</f>
        <v>11.5</v>
      </c>
      <c r="P772" s="110">
        <f t="shared" ref="P772:P835" si="820">15.5+4</f>
        <v>19.5</v>
      </c>
      <c r="Q772" s="111">
        <f>VLOOKUP(VLOOKUP(DATEVALUE(TEXT(A772,"m/d/yyyy")),FY24_Temp[],5,FALSE)&amp;TEXT(A772,"-h"),TempDelta[],4,FALSE)</f>
        <v>3.0992857047489712</v>
      </c>
      <c r="R772" s="112">
        <v>10</v>
      </c>
      <c r="S772" s="112">
        <v>1500</v>
      </c>
      <c r="T772" s="99">
        <f>VLOOKUP(TEXT(A772,"yy-mm")&amp;"-"&amp;IF(AND(WEEKDAY(A772)&gt;1,WEEKDAY(A772)&lt;7),"Wkd",TEXT(A772,"Ddd"))&amp;"-"&amp;TEXT(A772,"hh"),LoadTable[],3,FALSE)*0.92</f>
        <v>279.25312000000002</v>
      </c>
      <c r="U772" s="113">
        <f t="shared" ref="U772:U835" si="821">T772/10</f>
        <v>27.925312000000002</v>
      </c>
    </row>
    <row r="773" spans="1:21" ht="15" thickBot="1">
      <c r="A773" s="29">
        <f t="shared" si="791"/>
        <v>45868.083333333445</v>
      </c>
      <c r="B773" s="187">
        <f t="shared" ref="B773:L773" si="822">B797</f>
        <v>5000</v>
      </c>
      <c r="C773" s="187">
        <f t="shared" si="822"/>
        <v>25000</v>
      </c>
      <c r="D773" s="187">
        <v>0</v>
      </c>
      <c r="E773" s="187">
        <v>700</v>
      </c>
      <c r="F773" s="187">
        <v>15000</v>
      </c>
      <c r="G773" s="187">
        <f t="shared" si="822"/>
        <v>2400</v>
      </c>
      <c r="H773" s="187">
        <f t="shared" si="822"/>
        <v>25000</v>
      </c>
      <c r="I773" s="187">
        <f t="shared" si="822"/>
        <v>5000</v>
      </c>
      <c r="J773" s="187">
        <v>40000</v>
      </c>
      <c r="K773" s="187">
        <f t="shared" si="822"/>
        <v>5000</v>
      </c>
      <c r="L773" s="187">
        <v>40000</v>
      </c>
      <c r="M773" s="110">
        <v>9.5</v>
      </c>
      <c r="N773" s="110">
        <f>VLOOKUP(DATE(YEAR(A773),MONTH(A773),DAY(A773)),FY24_Temp[],3,FALSE)</f>
        <v>13.5</v>
      </c>
      <c r="O773" s="110">
        <f t="shared" si="819"/>
        <v>11.5</v>
      </c>
      <c r="P773" s="110">
        <f t="shared" si="820"/>
        <v>19.5</v>
      </c>
      <c r="Q773" s="111">
        <f>VLOOKUP(VLOOKUP(DATEVALUE(TEXT(A773,"m/d/yyyy")),FY24_Temp[],5,FALSE)&amp;TEXT(A773,"-h"),TempDelta[],4,FALSE)</f>
        <v>3.1050000190734863</v>
      </c>
      <c r="R773" s="112">
        <v>10</v>
      </c>
      <c r="S773" s="112">
        <v>1500</v>
      </c>
      <c r="T773" s="99">
        <f>VLOOKUP(TEXT(A773,"yy-mm")&amp;"-"&amp;IF(AND(WEEKDAY(A773)&gt;1,WEEKDAY(A773)&lt;7),"Wkd",TEXT(A773,"Ddd"))&amp;"-"&amp;TEXT(A773,"hh"),LoadTable[],3,FALSE)*0.92</f>
        <v>279.25312000000002</v>
      </c>
      <c r="U773" s="113">
        <f t="shared" si="821"/>
        <v>27.925312000000002</v>
      </c>
    </row>
    <row r="774" spans="1:21" ht="15" thickBot="1">
      <c r="A774" s="29">
        <f t="shared" si="791"/>
        <v>45868.125000000109</v>
      </c>
      <c r="B774" s="187">
        <f t="shared" ref="B774:L774" si="823">B798</f>
        <v>5000</v>
      </c>
      <c r="C774" s="187">
        <f t="shared" si="823"/>
        <v>25000</v>
      </c>
      <c r="D774" s="187">
        <v>0</v>
      </c>
      <c r="E774" s="187">
        <v>700</v>
      </c>
      <c r="F774" s="187">
        <v>15000</v>
      </c>
      <c r="G774" s="187">
        <f t="shared" si="823"/>
        <v>2400</v>
      </c>
      <c r="H774" s="187">
        <f t="shared" si="823"/>
        <v>25000</v>
      </c>
      <c r="I774" s="187">
        <f t="shared" si="823"/>
        <v>5000</v>
      </c>
      <c r="J774" s="187">
        <v>40000</v>
      </c>
      <c r="K774" s="187">
        <f t="shared" si="823"/>
        <v>5000</v>
      </c>
      <c r="L774" s="187">
        <v>40000</v>
      </c>
      <c r="M774" s="110">
        <v>9.5</v>
      </c>
      <c r="N774" s="110">
        <f>VLOOKUP(DATE(YEAR(A774),MONTH(A774),DAY(A774)),FY24_Temp[],3,FALSE)</f>
        <v>13.5</v>
      </c>
      <c r="O774" s="110">
        <f t="shared" si="819"/>
        <v>11.5</v>
      </c>
      <c r="P774" s="110">
        <f t="shared" si="820"/>
        <v>19.5</v>
      </c>
      <c r="Q774" s="111">
        <f>VLOOKUP(VLOOKUP(DATEVALUE(TEXT(A774,"m/d/yyyy")),FY24_Temp[],5,FALSE)&amp;TEXT(A774,"-h"),TempDelta[],4,FALSE)</f>
        <v>3.0428571701049805</v>
      </c>
      <c r="R774" s="112">
        <v>10</v>
      </c>
      <c r="S774" s="112">
        <v>1500</v>
      </c>
      <c r="T774" s="99">
        <f>VLOOKUP(TEXT(A774,"yy-mm")&amp;"-"&amp;IF(AND(WEEKDAY(A774)&gt;1,WEEKDAY(A774)&lt;7),"Wkd",TEXT(A774,"Ddd"))&amp;"-"&amp;TEXT(A774,"hh"),LoadTable[],3,FALSE)*0.92</f>
        <v>279.25312000000002</v>
      </c>
      <c r="U774" s="113">
        <f t="shared" si="821"/>
        <v>27.925312000000002</v>
      </c>
    </row>
    <row r="775" spans="1:21" ht="15" thickBot="1">
      <c r="A775" s="29">
        <f t="shared" si="791"/>
        <v>45868.166666666773</v>
      </c>
      <c r="B775" s="187">
        <f t="shared" ref="B775:L775" si="824">B799</f>
        <v>5000</v>
      </c>
      <c r="C775" s="187">
        <f t="shared" si="824"/>
        <v>25000</v>
      </c>
      <c r="D775" s="187">
        <v>0</v>
      </c>
      <c r="E775" s="187">
        <v>700</v>
      </c>
      <c r="F775" s="187">
        <v>15000</v>
      </c>
      <c r="G775" s="187">
        <f t="shared" si="824"/>
        <v>2400</v>
      </c>
      <c r="H775" s="187">
        <f t="shared" si="824"/>
        <v>25000</v>
      </c>
      <c r="I775" s="187">
        <f t="shared" si="824"/>
        <v>5000</v>
      </c>
      <c r="J775" s="187">
        <v>40000</v>
      </c>
      <c r="K775" s="187">
        <f t="shared" si="824"/>
        <v>5000</v>
      </c>
      <c r="L775" s="187">
        <v>40000</v>
      </c>
      <c r="M775" s="110">
        <v>9.5</v>
      </c>
      <c r="N775" s="110">
        <f>VLOOKUP(DATE(YEAR(A775),MONTH(A775),DAY(A775)),FY24_Temp[],3,FALSE)</f>
        <v>13.5</v>
      </c>
      <c r="O775" s="110">
        <f t="shared" si="819"/>
        <v>11.5</v>
      </c>
      <c r="P775" s="110">
        <f t="shared" si="820"/>
        <v>19.5</v>
      </c>
      <c r="Q775" s="111">
        <f>VLOOKUP(VLOOKUP(DATEVALUE(TEXT(A775,"m/d/yyyy")),FY24_Temp[],5,FALSE)&amp;TEXT(A775,"-h"),TempDelta[],4,FALSE)</f>
        <v>2.9580000468662808</v>
      </c>
      <c r="R775" s="112">
        <v>10</v>
      </c>
      <c r="S775" s="112">
        <v>1500</v>
      </c>
      <c r="T775" s="99">
        <f>VLOOKUP(TEXT(A775,"yy-mm")&amp;"-"&amp;IF(AND(WEEKDAY(A775)&gt;1,WEEKDAY(A775)&lt;7),"Wkd",TEXT(A775,"Ddd"))&amp;"-"&amp;TEXT(A775,"hh"),LoadTable[],3,FALSE)*0.92</f>
        <v>279.25312000000002</v>
      </c>
      <c r="U775" s="113">
        <f t="shared" si="821"/>
        <v>27.925312000000002</v>
      </c>
    </row>
    <row r="776" spans="1:21" ht="15" thickBot="1">
      <c r="A776" s="29">
        <f t="shared" si="791"/>
        <v>45868.208333333438</v>
      </c>
      <c r="B776" s="187">
        <f t="shared" ref="B776:L776" si="825">B800</f>
        <v>5000</v>
      </c>
      <c r="C776" s="187">
        <f t="shared" si="825"/>
        <v>25000</v>
      </c>
      <c r="D776" s="187">
        <v>0</v>
      </c>
      <c r="E776" s="187">
        <v>700</v>
      </c>
      <c r="F776" s="187">
        <v>15000</v>
      </c>
      <c r="G776" s="187">
        <f t="shared" si="825"/>
        <v>2400</v>
      </c>
      <c r="H776" s="187">
        <f t="shared" si="825"/>
        <v>25000</v>
      </c>
      <c r="I776" s="187">
        <f t="shared" si="825"/>
        <v>5000</v>
      </c>
      <c r="J776" s="187">
        <v>40000</v>
      </c>
      <c r="K776" s="187">
        <f t="shared" si="825"/>
        <v>5000</v>
      </c>
      <c r="L776" s="187">
        <v>40000</v>
      </c>
      <c r="M776" s="110">
        <v>9.5</v>
      </c>
      <c r="N776" s="110">
        <f>VLOOKUP(DATE(YEAR(A776),MONTH(A776),DAY(A776)),FY24_Temp[],3,FALSE)</f>
        <v>13.5</v>
      </c>
      <c r="O776" s="110">
        <f t="shared" si="819"/>
        <v>11.5</v>
      </c>
      <c r="P776" s="110">
        <f t="shared" si="820"/>
        <v>19.5</v>
      </c>
      <c r="Q776" s="111">
        <f>VLOOKUP(VLOOKUP(DATEVALUE(TEXT(A776,"m/d/yyyy")),FY24_Temp[],5,FALSE)&amp;TEXT(A776,"-h"),TempDelta[],4,FALSE)</f>
        <v>2.8608571801866804</v>
      </c>
      <c r="R776" s="112">
        <v>10</v>
      </c>
      <c r="S776" s="112">
        <v>1500</v>
      </c>
      <c r="T776" s="99">
        <f>VLOOKUP(TEXT(A776,"yy-mm")&amp;"-"&amp;IF(AND(WEEKDAY(A776)&gt;1,WEEKDAY(A776)&lt;7),"Wkd",TEXT(A776,"Ddd"))&amp;"-"&amp;TEXT(A776,"hh"),LoadTable[],3,FALSE)*0.92</f>
        <v>279.25312000000002</v>
      </c>
      <c r="U776" s="113">
        <f t="shared" si="821"/>
        <v>27.925312000000002</v>
      </c>
    </row>
    <row r="777" spans="1:21" ht="15" thickBot="1">
      <c r="A777" s="29">
        <f t="shared" si="791"/>
        <v>45868.250000000102</v>
      </c>
      <c r="B777" s="187">
        <f t="shared" ref="B777:L777" si="826">B801</f>
        <v>8000</v>
      </c>
      <c r="C777" s="187">
        <f t="shared" si="826"/>
        <v>25000</v>
      </c>
      <c r="D777" s="187">
        <v>0</v>
      </c>
      <c r="E777" s="187">
        <v>700</v>
      </c>
      <c r="F777" s="187">
        <v>15000</v>
      </c>
      <c r="G777" s="187">
        <f t="shared" si="826"/>
        <v>2400</v>
      </c>
      <c r="H777" s="187">
        <f t="shared" si="826"/>
        <v>25000</v>
      </c>
      <c r="I777" s="187">
        <f t="shared" si="826"/>
        <v>8000</v>
      </c>
      <c r="J777" s="187">
        <v>40000</v>
      </c>
      <c r="K777" s="187">
        <f t="shared" si="826"/>
        <v>8000</v>
      </c>
      <c r="L777" s="187">
        <v>40000</v>
      </c>
      <c r="M777" s="110">
        <v>9.5</v>
      </c>
      <c r="N777" s="110">
        <f>VLOOKUP(DATE(YEAR(A777),MONTH(A777),DAY(A777)),FY24_Temp[],3,FALSE)</f>
        <v>13.5</v>
      </c>
      <c r="O777" s="110">
        <f t="shared" si="819"/>
        <v>11.5</v>
      </c>
      <c r="P777" s="110">
        <f t="shared" si="820"/>
        <v>19.5</v>
      </c>
      <c r="Q777" s="111">
        <f>VLOOKUP(VLOOKUP(DATEVALUE(TEXT(A777,"m/d/yyyy")),FY24_Temp[],5,FALSE)&amp;TEXT(A777,"-h"),TempDelta[],4,FALSE)</f>
        <v>2.7405714307512556</v>
      </c>
      <c r="R777" s="112">
        <v>10</v>
      </c>
      <c r="S777" s="112">
        <v>1500</v>
      </c>
      <c r="T777" s="99">
        <f>VLOOKUP(TEXT(A777,"yy-mm")&amp;"-"&amp;IF(AND(WEEKDAY(A777)&gt;1,WEEKDAY(A777)&lt;7),"Wkd",TEXT(A777,"Ddd"))&amp;"-"&amp;TEXT(A777,"hh"),LoadTable[],3,FALSE)*0.92</f>
        <v>279.25312000000002</v>
      </c>
      <c r="U777" s="113">
        <f t="shared" si="821"/>
        <v>27.925312000000002</v>
      </c>
    </row>
    <row r="778" spans="1:21" ht="15" thickBot="1">
      <c r="A778" s="29">
        <f t="shared" si="791"/>
        <v>45868.291666666766</v>
      </c>
      <c r="B778" s="187">
        <f t="shared" ref="B778:L778" si="827">B802</f>
        <v>8000</v>
      </c>
      <c r="C778" s="187">
        <f t="shared" si="827"/>
        <v>25000</v>
      </c>
      <c r="D778" s="187">
        <v>0</v>
      </c>
      <c r="E778" s="187">
        <v>700</v>
      </c>
      <c r="F778" s="187">
        <v>15000</v>
      </c>
      <c r="G778" s="187">
        <f t="shared" si="827"/>
        <v>2400</v>
      </c>
      <c r="H778" s="187">
        <f t="shared" si="827"/>
        <v>25000</v>
      </c>
      <c r="I778" s="187">
        <f t="shared" si="827"/>
        <v>8000</v>
      </c>
      <c r="J778" s="187">
        <v>40000</v>
      </c>
      <c r="K778" s="187">
        <f t="shared" si="827"/>
        <v>8000</v>
      </c>
      <c r="L778" s="187">
        <v>40000</v>
      </c>
      <c r="M778" s="110">
        <v>9.5</v>
      </c>
      <c r="N778" s="110">
        <f>VLOOKUP(DATE(YEAR(A778),MONTH(A778),DAY(A778)),FY24_Temp[],3,FALSE)</f>
        <v>13.5</v>
      </c>
      <c r="O778" s="110">
        <f t="shared" si="819"/>
        <v>11.5</v>
      </c>
      <c r="P778" s="110">
        <f t="shared" si="820"/>
        <v>19.5</v>
      </c>
      <c r="Q778" s="111">
        <f>VLOOKUP(VLOOKUP(DATEVALUE(TEXT(A778,"m/d/yyyy")),FY24_Temp[],5,FALSE)&amp;TEXT(A778,"-h"),TempDelta[],4,FALSE)</f>
        <v>2.6134285245622908</v>
      </c>
      <c r="R778" s="112">
        <v>10</v>
      </c>
      <c r="S778" s="112">
        <v>1500</v>
      </c>
      <c r="T778" s="99">
        <f>VLOOKUP(TEXT(A778,"yy-mm")&amp;"-"&amp;IF(AND(WEEKDAY(A778)&gt;1,WEEKDAY(A778)&lt;7),"Wkd",TEXT(A778,"Ddd"))&amp;"-"&amp;TEXT(A778,"hh"),LoadTable[],3,FALSE)*0.92</f>
        <v>279.25312000000002</v>
      </c>
      <c r="U778" s="113">
        <f t="shared" si="821"/>
        <v>27.925312000000002</v>
      </c>
    </row>
    <row r="779" spans="1:21" ht="15" thickBot="1">
      <c r="A779" s="29">
        <f t="shared" si="791"/>
        <v>45868.33333333343</v>
      </c>
      <c r="B779" s="187">
        <f t="shared" ref="B779:L779" si="828">B803</f>
        <v>8000</v>
      </c>
      <c r="C779" s="187">
        <f t="shared" si="828"/>
        <v>25000</v>
      </c>
      <c r="D779" s="187">
        <v>0</v>
      </c>
      <c r="E779" s="187">
        <v>700</v>
      </c>
      <c r="F779" s="187">
        <v>15000</v>
      </c>
      <c r="G779" s="187">
        <f t="shared" si="828"/>
        <v>2400</v>
      </c>
      <c r="H779" s="187">
        <f t="shared" si="828"/>
        <v>25000</v>
      </c>
      <c r="I779" s="187">
        <f t="shared" si="828"/>
        <v>8000</v>
      </c>
      <c r="J779" s="187">
        <v>40000</v>
      </c>
      <c r="K779" s="187">
        <f t="shared" si="828"/>
        <v>8000</v>
      </c>
      <c r="L779" s="187">
        <v>40000</v>
      </c>
      <c r="M779" s="110">
        <v>9.5</v>
      </c>
      <c r="N779" s="110">
        <f>VLOOKUP(DATE(YEAR(A779),MONTH(A779),DAY(A779)),FY24_Temp[],3,FALSE)</f>
        <v>13.5</v>
      </c>
      <c r="O779" s="110">
        <f t="shared" si="819"/>
        <v>11.5</v>
      </c>
      <c r="P779" s="110">
        <f t="shared" si="820"/>
        <v>19.5</v>
      </c>
      <c r="Q779" s="111">
        <f>VLOOKUP(VLOOKUP(DATEVALUE(TEXT(A779,"m/d/yyyy")),FY24_Temp[],5,FALSE)&amp;TEXT(A779,"-h"),TempDelta[],4,FALSE)</f>
        <v>2.44985716683524</v>
      </c>
      <c r="R779" s="112">
        <v>10</v>
      </c>
      <c r="S779" s="112">
        <v>1500</v>
      </c>
      <c r="T779" s="99">
        <f>VLOOKUP(TEXT(A779,"yy-mm")&amp;"-"&amp;IF(AND(WEEKDAY(A779)&gt;1,WEEKDAY(A779)&lt;7),"Wkd",TEXT(A779,"Ddd"))&amp;"-"&amp;TEXT(A779,"hh"),LoadTable[],3,FALSE)*0.92</f>
        <v>279.25312000000002</v>
      </c>
      <c r="U779" s="113">
        <f t="shared" si="821"/>
        <v>27.925312000000002</v>
      </c>
    </row>
    <row r="780" spans="1:21" ht="15" thickBot="1">
      <c r="A780" s="29">
        <f t="shared" si="791"/>
        <v>45868.375000000095</v>
      </c>
      <c r="B780" s="187">
        <f t="shared" ref="B780:L780" si="829">B804</f>
        <v>8000</v>
      </c>
      <c r="C780" s="187">
        <f t="shared" si="829"/>
        <v>25000</v>
      </c>
      <c r="D780" s="187">
        <v>0</v>
      </c>
      <c r="E780" s="187">
        <v>700</v>
      </c>
      <c r="F780" s="187">
        <v>15000</v>
      </c>
      <c r="G780" s="187">
        <f t="shared" si="829"/>
        <v>2400</v>
      </c>
      <c r="H780" s="187">
        <f t="shared" si="829"/>
        <v>25000</v>
      </c>
      <c r="I780" s="187">
        <f t="shared" si="829"/>
        <v>8000</v>
      </c>
      <c r="J780" s="187">
        <v>40000</v>
      </c>
      <c r="K780" s="187">
        <f t="shared" si="829"/>
        <v>8000</v>
      </c>
      <c r="L780" s="187">
        <v>40000</v>
      </c>
      <c r="M780" s="110">
        <v>9.5</v>
      </c>
      <c r="N780" s="110">
        <f>VLOOKUP(DATE(YEAR(A780),MONTH(A780),DAY(A780)),FY24_Temp[],3,FALSE)</f>
        <v>13.5</v>
      </c>
      <c r="O780" s="110">
        <f t="shared" si="819"/>
        <v>11.5</v>
      </c>
      <c r="P780" s="110">
        <f t="shared" si="820"/>
        <v>19.5</v>
      </c>
      <c r="Q780" s="111">
        <f>VLOOKUP(VLOOKUP(DATEVALUE(TEXT(A780,"m/d/yyyy")),FY24_Temp[],5,FALSE)&amp;TEXT(A780,"-h"),TempDelta[],4,FALSE)</f>
        <v>2.2458571025303433</v>
      </c>
      <c r="R780" s="112">
        <v>10</v>
      </c>
      <c r="S780" s="112">
        <v>1500</v>
      </c>
      <c r="T780" s="99">
        <f>VLOOKUP(TEXT(A780,"yy-mm")&amp;"-"&amp;IF(AND(WEEKDAY(A780)&gt;1,WEEKDAY(A780)&lt;7),"Wkd",TEXT(A780,"Ddd"))&amp;"-"&amp;TEXT(A780,"hh"),LoadTable[],3,FALSE)*0.92</f>
        <v>279.25312000000002</v>
      </c>
      <c r="U780" s="113">
        <f t="shared" si="821"/>
        <v>27.925312000000002</v>
      </c>
    </row>
    <row r="781" spans="1:21" ht="15" thickBot="1">
      <c r="A781" s="29">
        <f t="shared" si="791"/>
        <v>45868.416666666759</v>
      </c>
      <c r="B781" s="187">
        <f t="shared" ref="B781:L781" si="830">B805</f>
        <v>8000</v>
      </c>
      <c r="C781" s="187">
        <f t="shared" si="830"/>
        <v>25000</v>
      </c>
      <c r="D781" s="187">
        <v>0</v>
      </c>
      <c r="E781" s="187">
        <v>700</v>
      </c>
      <c r="F781" s="187">
        <v>15000</v>
      </c>
      <c r="G781" s="187">
        <f t="shared" si="830"/>
        <v>2400</v>
      </c>
      <c r="H781" s="187">
        <f t="shared" si="830"/>
        <v>25000</v>
      </c>
      <c r="I781" s="187">
        <f t="shared" si="830"/>
        <v>8000</v>
      </c>
      <c r="J781" s="187">
        <v>40000</v>
      </c>
      <c r="K781" s="187">
        <f t="shared" si="830"/>
        <v>8000</v>
      </c>
      <c r="L781" s="187">
        <v>40000</v>
      </c>
      <c r="M781" s="110">
        <v>9.5</v>
      </c>
      <c r="N781" s="110">
        <f>VLOOKUP(DATE(YEAR(A781),MONTH(A781),DAY(A781)),FY24_Temp[],3,FALSE)</f>
        <v>13.5</v>
      </c>
      <c r="O781" s="110">
        <f t="shared" si="819"/>
        <v>11.5</v>
      </c>
      <c r="P781" s="110">
        <f t="shared" si="820"/>
        <v>19.5</v>
      </c>
      <c r="Q781" s="111">
        <f>VLOOKUP(VLOOKUP(DATEVALUE(TEXT(A781,"m/d/yyyy")),FY24_Temp[],5,FALSE)&amp;TEXT(A781,"-h"),TempDelta[],4,FALSE)</f>
        <v>2.0832857234137401</v>
      </c>
      <c r="R781" s="112">
        <v>10</v>
      </c>
      <c r="S781" s="112">
        <v>1500</v>
      </c>
      <c r="T781" s="99">
        <f>VLOOKUP(TEXT(A781,"yy-mm")&amp;"-"&amp;IF(AND(WEEKDAY(A781)&gt;1,WEEKDAY(A781)&lt;7),"Wkd",TEXT(A781,"Ddd"))&amp;"-"&amp;TEXT(A781,"hh"),LoadTable[],3,FALSE)*0.92</f>
        <v>279.25312000000002</v>
      </c>
      <c r="U781" s="113">
        <f t="shared" si="821"/>
        <v>27.925312000000002</v>
      </c>
    </row>
    <row r="782" spans="1:21" ht="15" thickBot="1">
      <c r="A782" s="29">
        <f t="shared" si="791"/>
        <v>45868.458333333423</v>
      </c>
      <c r="B782" s="187">
        <f t="shared" ref="B782:L782" si="831">B806</f>
        <v>8000</v>
      </c>
      <c r="C782" s="187">
        <f t="shared" si="831"/>
        <v>25000</v>
      </c>
      <c r="D782" s="187">
        <v>0</v>
      </c>
      <c r="E782" s="187">
        <v>700</v>
      </c>
      <c r="F782" s="187">
        <v>15000</v>
      </c>
      <c r="G782" s="187">
        <f t="shared" si="831"/>
        <v>2400</v>
      </c>
      <c r="H782" s="187">
        <f t="shared" si="831"/>
        <v>25000</v>
      </c>
      <c r="I782" s="187">
        <f t="shared" si="831"/>
        <v>8000</v>
      </c>
      <c r="J782" s="187">
        <v>40000</v>
      </c>
      <c r="K782" s="187">
        <f t="shared" si="831"/>
        <v>8000</v>
      </c>
      <c r="L782" s="187">
        <v>40000</v>
      </c>
      <c r="M782" s="110">
        <v>9.5</v>
      </c>
      <c r="N782" s="110">
        <f>VLOOKUP(DATE(YEAR(A782),MONTH(A782),DAY(A782)),FY24_Temp[],3,FALSE)</f>
        <v>13.5</v>
      </c>
      <c r="O782" s="110">
        <f t="shared" si="819"/>
        <v>11.5</v>
      </c>
      <c r="P782" s="110">
        <f t="shared" si="820"/>
        <v>19.5</v>
      </c>
      <c r="Q782" s="111">
        <f>VLOOKUP(VLOOKUP(DATEVALUE(TEXT(A782,"m/d/yyyy")),FY24_Temp[],5,FALSE)&amp;TEXT(A782,"-h"),TempDelta[],4,FALSE)</f>
        <v>1.8928571258272444</v>
      </c>
      <c r="R782" s="112">
        <v>10</v>
      </c>
      <c r="S782" s="112">
        <v>1500</v>
      </c>
      <c r="T782" s="99">
        <f>VLOOKUP(TEXT(A782,"yy-mm")&amp;"-"&amp;IF(AND(WEEKDAY(A782)&gt;1,WEEKDAY(A782)&lt;7),"Wkd",TEXT(A782,"Ddd"))&amp;"-"&amp;TEXT(A782,"hh"),LoadTable[],3,FALSE)*0.92</f>
        <v>279.25312000000002</v>
      </c>
      <c r="U782" s="113">
        <f t="shared" si="821"/>
        <v>27.925312000000002</v>
      </c>
    </row>
    <row r="783" spans="1:21" ht="15" thickBot="1">
      <c r="A783" s="29">
        <f t="shared" si="791"/>
        <v>45868.500000000087</v>
      </c>
      <c r="B783" s="187">
        <f t="shared" ref="B783:L783" si="832">B807</f>
        <v>8000</v>
      </c>
      <c r="C783" s="187">
        <f t="shared" si="832"/>
        <v>25000</v>
      </c>
      <c r="D783" s="187">
        <v>0</v>
      </c>
      <c r="E783" s="187">
        <v>700</v>
      </c>
      <c r="F783" s="187">
        <v>15000</v>
      </c>
      <c r="G783" s="187">
        <f t="shared" si="832"/>
        <v>2400</v>
      </c>
      <c r="H783" s="187">
        <f t="shared" si="832"/>
        <v>25000</v>
      </c>
      <c r="I783" s="187">
        <f t="shared" si="832"/>
        <v>8000</v>
      </c>
      <c r="J783" s="187">
        <v>40000</v>
      </c>
      <c r="K783" s="187">
        <f t="shared" si="832"/>
        <v>8000</v>
      </c>
      <c r="L783" s="187">
        <v>40000</v>
      </c>
      <c r="M783" s="110">
        <v>9.5</v>
      </c>
      <c r="N783" s="110">
        <f>VLOOKUP(DATE(YEAR(A783),MONTH(A783),DAY(A783)),FY24_Temp[],3,FALSE)</f>
        <v>13.5</v>
      </c>
      <c r="O783" s="110">
        <f t="shared" si="819"/>
        <v>11.5</v>
      </c>
      <c r="P783" s="110">
        <f t="shared" si="820"/>
        <v>19.5</v>
      </c>
      <c r="Q783" s="111">
        <f>VLOOKUP(VLOOKUP(DATEVALUE(TEXT(A783,"m/d/yyyy")),FY24_Temp[],5,FALSE)&amp;TEXT(A783,"-h"),TempDelta[],4,FALSE)</f>
        <v>1.665857127734593</v>
      </c>
      <c r="R783" s="112">
        <v>10</v>
      </c>
      <c r="S783" s="112">
        <v>1500</v>
      </c>
      <c r="T783" s="99">
        <f>VLOOKUP(TEXT(A783,"yy-mm")&amp;"-"&amp;IF(AND(WEEKDAY(A783)&gt;1,WEEKDAY(A783)&lt;7),"Wkd",TEXT(A783,"Ddd"))&amp;"-"&amp;TEXT(A783,"hh"),LoadTable[],3,FALSE)*0.92</f>
        <v>279.25312000000002</v>
      </c>
      <c r="U783" s="113">
        <f t="shared" si="821"/>
        <v>27.925312000000002</v>
      </c>
    </row>
    <row r="784" spans="1:21" ht="15" thickBot="1">
      <c r="A784" s="29">
        <f t="shared" si="791"/>
        <v>45868.541666666752</v>
      </c>
      <c r="B784" s="187">
        <f t="shared" ref="B784:L784" si="833">B808</f>
        <v>8000</v>
      </c>
      <c r="C784" s="187">
        <f t="shared" si="833"/>
        <v>25000</v>
      </c>
      <c r="D784" s="187">
        <v>0</v>
      </c>
      <c r="E784" s="187">
        <v>700</v>
      </c>
      <c r="F784" s="187">
        <v>15000</v>
      </c>
      <c r="G784" s="187">
        <f t="shared" si="833"/>
        <v>2400</v>
      </c>
      <c r="H784" s="187">
        <f t="shared" si="833"/>
        <v>25000</v>
      </c>
      <c r="I784" s="187">
        <f t="shared" si="833"/>
        <v>8000</v>
      </c>
      <c r="J784" s="187">
        <v>40000</v>
      </c>
      <c r="K784" s="187">
        <f t="shared" si="833"/>
        <v>8000</v>
      </c>
      <c r="L784" s="187">
        <v>40000</v>
      </c>
      <c r="M784" s="110">
        <v>9.5</v>
      </c>
      <c r="N784" s="110">
        <f>VLOOKUP(DATE(YEAR(A784),MONTH(A784),DAY(A784)),FY24_Temp[],3,FALSE)</f>
        <v>13.5</v>
      </c>
      <c r="O784" s="110">
        <f t="shared" si="819"/>
        <v>11.5</v>
      </c>
      <c r="P784" s="110">
        <f t="shared" si="820"/>
        <v>19.5</v>
      </c>
      <c r="Q784" s="111">
        <f>VLOOKUP(VLOOKUP(DATEVALUE(TEXT(A784,"m/d/yyyy")),FY24_Temp[],5,FALSE)&amp;TEXT(A784,"-h"),TempDelta[],4,FALSE)</f>
        <v>1.4252856969833374</v>
      </c>
      <c r="R784" s="112">
        <v>10</v>
      </c>
      <c r="S784" s="112">
        <v>1500</v>
      </c>
      <c r="T784" s="99">
        <f>VLOOKUP(TEXT(A784,"yy-mm")&amp;"-"&amp;IF(AND(WEEKDAY(A784)&gt;1,WEEKDAY(A784)&lt;7),"Wkd",TEXT(A784,"Ddd"))&amp;"-"&amp;TEXT(A784,"hh"),LoadTable[],3,FALSE)*0.92</f>
        <v>279.25312000000002</v>
      </c>
      <c r="U784" s="113">
        <f t="shared" si="821"/>
        <v>27.925312000000002</v>
      </c>
    </row>
    <row r="785" spans="1:21" ht="15" thickBot="1">
      <c r="A785" s="29">
        <f t="shared" si="791"/>
        <v>45868.583333333416</v>
      </c>
      <c r="B785" s="187">
        <f t="shared" ref="B785:L785" si="834">B809</f>
        <v>8000</v>
      </c>
      <c r="C785" s="187">
        <f t="shared" si="834"/>
        <v>25000</v>
      </c>
      <c r="D785" s="187">
        <v>0</v>
      </c>
      <c r="E785" s="187">
        <v>700</v>
      </c>
      <c r="F785" s="187">
        <v>15000</v>
      </c>
      <c r="G785" s="187">
        <f t="shared" si="834"/>
        <v>2400</v>
      </c>
      <c r="H785" s="187">
        <f t="shared" si="834"/>
        <v>25000</v>
      </c>
      <c r="I785" s="187">
        <f t="shared" si="834"/>
        <v>8000</v>
      </c>
      <c r="J785" s="187">
        <v>40000</v>
      </c>
      <c r="K785" s="187">
        <f t="shared" si="834"/>
        <v>8000</v>
      </c>
      <c r="L785" s="187">
        <v>40000</v>
      </c>
      <c r="M785" s="110">
        <v>9.5</v>
      </c>
      <c r="N785" s="110">
        <f>VLOOKUP(DATE(YEAR(A785),MONTH(A785),DAY(A785)),FY24_Temp[],3,FALSE)</f>
        <v>13.5</v>
      </c>
      <c r="O785" s="110">
        <f t="shared" si="819"/>
        <v>11.5</v>
      </c>
      <c r="P785" s="110">
        <f t="shared" si="820"/>
        <v>19.5</v>
      </c>
      <c r="Q785" s="111">
        <f>VLOOKUP(VLOOKUP(DATEVALUE(TEXT(A785,"m/d/yyyy")),FY24_Temp[],5,FALSE)&amp;TEXT(A785,"-h"),TempDelta[],4,FALSE)</f>
        <v>1.2351428781236922</v>
      </c>
      <c r="R785" s="112">
        <v>10</v>
      </c>
      <c r="S785" s="112">
        <v>1500</v>
      </c>
      <c r="T785" s="99">
        <f>VLOOKUP(TEXT(A785,"yy-mm")&amp;"-"&amp;IF(AND(WEEKDAY(A785)&gt;1,WEEKDAY(A785)&lt;7),"Wkd",TEXT(A785,"Ddd"))&amp;"-"&amp;TEXT(A785,"hh"),LoadTable[],3,FALSE)*0.92</f>
        <v>373.26607999999999</v>
      </c>
      <c r="U785" s="113">
        <f t="shared" si="821"/>
        <v>37.326608</v>
      </c>
    </row>
    <row r="786" spans="1:21" ht="15" thickBot="1">
      <c r="A786" s="29">
        <f t="shared" si="791"/>
        <v>45868.62500000008</v>
      </c>
      <c r="B786" s="187">
        <f t="shared" ref="B786:L786" si="835">B810</f>
        <v>8000</v>
      </c>
      <c r="C786" s="187">
        <f t="shared" si="835"/>
        <v>25000</v>
      </c>
      <c r="D786" s="187">
        <v>0</v>
      </c>
      <c r="E786" s="187">
        <v>700</v>
      </c>
      <c r="F786" s="187">
        <v>15000</v>
      </c>
      <c r="G786" s="187">
        <f t="shared" si="835"/>
        <v>2400</v>
      </c>
      <c r="H786" s="187">
        <f t="shared" si="835"/>
        <v>25000</v>
      </c>
      <c r="I786" s="187">
        <f t="shared" si="835"/>
        <v>8000</v>
      </c>
      <c r="J786" s="187">
        <v>40000</v>
      </c>
      <c r="K786" s="187">
        <f t="shared" si="835"/>
        <v>8000</v>
      </c>
      <c r="L786" s="187">
        <v>40000</v>
      </c>
      <c r="M786" s="110">
        <v>9.5</v>
      </c>
      <c r="N786" s="110">
        <f>VLOOKUP(DATE(YEAR(A786),MONTH(A786),DAY(A786)),FY24_Temp[],3,FALSE)</f>
        <v>13.5</v>
      </c>
      <c r="O786" s="110">
        <f t="shared" si="819"/>
        <v>11.5</v>
      </c>
      <c r="P786" s="110">
        <f t="shared" si="820"/>
        <v>19.5</v>
      </c>
      <c r="Q786" s="111">
        <f>VLOOKUP(VLOOKUP(DATEVALUE(TEXT(A786,"m/d/yyyy")),FY24_Temp[],5,FALSE)&amp;TEXT(A786,"-h"),TempDelta[],4,FALSE)</f>
        <v>0.97514284508568905</v>
      </c>
      <c r="R786" s="112">
        <v>10</v>
      </c>
      <c r="S786" s="112">
        <v>1500</v>
      </c>
      <c r="T786" s="99">
        <f>VLOOKUP(TEXT(A786,"yy-mm")&amp;"-"&amp;IF(AND(WEEKDAY(A786)&gt;1,WEEKDAY(A786)&lt;7),"Wkd",TEXT(A786,"Ddd"))&amp;"-"&amp;TEXT(A786,"hh"),LoadTable[],3,FALSE)*0.92</f>
        <v>494.57360000000006</v>
      </c>
      <c r="U786" s="113">
        <f t="shared" si="821"/>
        <v>49.457360000000008</v>
      </c>
    </row>
    <row r="787" spans="1:21" ht="15" thickBot="1">
      <c r="A787" s="29">
        <f t="shared" si="791"/>
        <v>45868.666666666744</v>
      </c>
      <c r="B787" s="187">
        <f t="shared" ref="B787:L787" si="836">B811</f>
        <v>8000</v>
      </c>
      <c r="C787" s="187">
        <f t="shared" si="836"/>
        <v>25000</v>
      </c>
      <c r="D787" s="187">
        <v>0</v>
      </c>
      <c r="E787" s="187">
        <v>700</v>
      </c>
      <c r="F787" s="187">
        <v>15000</v>
      </c>
      <c r="G787" s="187">
        <f t="shared" si="836"/>
        <v>2400</v>
      </c>
      <c r="H787" s="187">
        <f t="shared" si="836"/>
        <v>25000</v>
      </c>
      <c r="I787" s="187">
        <f t="shared" si="836"/>
        <v>8000</v>
      </c>
      <c r="J787" s="187">
        <v>40000</v>
      </c>
      <c r="K787" s="187">
        <f t="shared" si="836"/>
        <v>8000</v>
      </c>
      <c r="L787" s="187">
        <v>40000</v>
      </c>
      <c r="M787" s="110">
        <v>9.5</v>
      </c>
      <c r="N787" s="110">
        <f>VLOOKUP(DATE(YEAR(A787),MONTH(A787),DAY(A787)),FY24_Temp[],3,FALSE)</f>
        <v>13.5</v>
      </c>
      <c r="O787" s="110">
        <f t="shared" si="819"/>
        <v>11.5</v>
      </c>
      <c r="P787" s="110">
        <f t="shared" si="820"/>
        <v>19.5</v>
      </c>
      <c r="Q787" s="111">
        <f>VLOOKUP(VLOOKUP(DATEVALUE(TEXT(A787,"m/d/yyyy")),FY24_Temp[],5,FALSE)&amp;TEXT(A787,"-h"),TempDelta[],4,FALSE)</f>
        <v>0.88578571166310993</v>
      </c>
      <c r="R787" s="112">
        <v>10</v>
      </c>
      <c r="S787" s="112">
        <v>1500</v>
      </c>
      <c r="T787" s="99">
        <f>VLOOKUP(TEXT(A787,"yy-mm")&amp;"-"&amp;IF(AND(WEEKDAY(A787)&gt;1,WEEKDAY(A787)&lt;7),"Wkd",TEXT(A787,"Ddd"))&amp;"-"&amp;TEXT(A787,"hh"),LoadTable[],3,FALSE)*0.92</f>
        <v>494.57360000000006</v>
      </c>
      <c r="U787" s="113">
        <f t="shared" si="821"/>
        <v>49.457360000000008</v>
      </c>
    </row>
    <row r="788" spans="1:21" ht="15" thickBot="1">
      <c r="A788" s="29">
        <f t="shared" si="791"/>
        <v>45868.708333333409</v>
      </c>
      <c r="B788" s="187">
        <f t="shared" ref="B788:L788" si="837">B812</f>
        <v>8000</v>
      </c>
      <c r="C788" s="187">
        <f t="shared" si="837"/>
        <v>25000</v>
      </c>
      <c r="D788" s="187">
        <v>0</v>
      </c>
      <c r="E788" s="187">
        <v>700</v>
      </c>
      <c r="F788" s="187">
        <v>15000</v>
      </c>
      <c r="G788" s="187">
        <f t="shared" si="837"/>
        <v>2400</v>
      </c>
      <c r="H788" s="187">
        <f t="shared" si="837"/>
        <v>25000</v>
      </c>
      <c r="I788" s="187">
        <f t="shared" si="837"/>
        <v>8000</v>
      </c>
      <c r="J788" s="187">
        <v>40000</v>
      </c>
      <c r="K788" s="187">
        <f t="shared" si="837"/>
        <v>8000</v>
      </c>
      <c r="L788" s="187">
        <v>40000</v>
      </c>
      <c r="M788" s="110">
        <v>9.5</v>
      </c>
      <c r="N788" s="110">
        <f>VLOOKUP(DATE(YEAR(A788),MONTH(A788),DAY(A788)),FY24_Temp[],3,FALSE)</f>
        <v>13.5</v>
      </c>
      <c r="O788" s="110">
        <f t="shared" si="819"/>
        <v>11.5</v>
      </c>
      <c r="P788" s="110">
        <f t="shared" si="820"/>
        <v>19.5</v>
      </c>
      <c r="Q788" s="111">
        <f>VLOOKUP(VLOOKUP(DATEVALUE(TEXT(A788,"m/d/yyyy")),FY24_Temp[],5,FALSE)&amp;TEXT(A788,"-h"),TempDelta[],4,FALSE)</f>
        <v>1.0356428495475225</v>
      </c>
      <c r="R788" s="112">
        <v>10</v>
      </c>
      <c r="S788" s="112">
        <v>1500</v>
      </c>
      <c r="T788" s="99">
        <f>VLOOKUP(TEXT(A788,"yy-mm")&amp;"-"&amp;IF(AND(WEEKDAY(A788)&gt;1,WEEKDAY(A788)&lt;7),"Wkd",TEXT(A788,"Ddd"))&amp;"-"&amp;TEXT(A788,"hh"),LoadTable[],3,FALSE)*0.92</f>
        <v>494.57360000000006</v>
      </c>
      <c r="U788" s="113">
        <f t="shared" si="821"/>
        <v>49.457360000000008</v>
      </c>
    </row>
    <row r="789" spans="1:21" ht="15" thickBot="1">
      <c r="A789" s="29">
        <f t="shared" si="791"/>
        <v>45868.750000000073</v>
      </c>
      <c r="B789" s="187">
        <f t="shared" ref="B789:L789" si="838">B813</f>
        <v>5000</v>
      </c>
      <c r="C789" s="187">
        <f t="shared" si="838"/>
        <v>25000</v>
      </c>
      <c r="D789" s="187">
        <v>0</v>
      </c>
      <c r="E789" s="187">
        <v>700</v>
      </c>
      <c r="F789" s="187">
        <v>15000</v>
      </c>
      <c r="G789" s="187">
        <f t="shared" si="838"/>
        <v>2400</v>
      </c>
      <c r="H789" s="187">
        <f t="shared" si="838"/>
        <v>25000</v>
      </c>
      <c r="I789" s="187">
        <f t="shared" si="838"/>
        <v>5000</v>
      </c>
      <c r="J789" s="187">
        <v>40000</v>
      </c>
      <c r="K789" s="187">
        <f t="shared" si="838"/>
        <v>5000</v>
      </c>
      <c r="L789" s="187">
        <v>40000</v>
      </c>
      <c r="M789" s="110">
        <v>9.5</v>
      </c>
      <c r="N789" s="110">
        <f>VLOOKUP(DATE(YEAR(A789),MONTH(A789),DAY(A789)),FY24_Temp[],3,FALSE)</f>
        <v>13.5</v>
      </c>
      <c r="O789" s="110">
        <f t="shared" si="819"/>
        <v>11.5</v>
      </c>
      <c r="P789" s="110">
        <f t="shared" si="820"/>
        <v>19.5</v>
      </c>
      <c r="Q789" s="111">
        <f>VLOOKUP(VLOOKUP(DATEVALUE(TEXT(A789,"m/d/yyyy")),FY24_Temp[],5,FALSE)&amp;TEXT(A789,"-h"),TempDelta[],4,FALSE)</f>
        <v>1.3991428358214242</v>
      </c>
      <c r="R789" s="112">
        <v>10</v>
      </c>
      <c r="S789" s="112">
        <v>1500</v>
      </c>
      <c r="T789" s="99">
        <f>VLOOKUP(TEXT(A789,"yy-mm")&amp;"-"&amp;IF(AND(WEEKDAY(A789)&gt;1,WEEKDAY(A789)&lt;7),"Wkd",TEXT(A789,"Ddd"))&amp;"-"&amp;TEXT(A789,"hh"),LoadTable[],3,FALSE)*0.92</f>
        <v>494.57360000000006</v>
      </c>
      <c r="U789" s="113">
        <f t="shared" si="821"/>
        <v>49.457360000000008</v>
      </c>
    </row>
    <row r="790" spans="1:21" ht="15" thickBot="1">
      <c r="A790" s="29">
        <f t="shared" si="791"/>
        <v>45868.791666666737</v>
      </c>
      <c r="B790" s="187">
        <f t="shared" ref="B790:L790" si="839">B814</f>
        <v>5000</v>
      </c>
      <c r="C790" s="187">
        <f t="shared" si="839"/>
        <v>25000</v>
      </c>
      <c r="D790" s="187">
        <v>0</v>
      </c>
      <c r="E790" s="187">
        <v>700</v>
      </c>
      <c r="F790" s="187">
        <v>15000</v>
      </c>
      <c r="G790" s="187">
        <f t="shared" si="839"/>
        <v>2400</v>
      </c>
      <c r="H790" s="187">
        <f t="shared" si="839"/>
        <v>25000</v>
      </c>
      <c r="I790" s="187">
        <f t="shared" si="839"/>
        <v>5000</v>
      </c>
      <c r="J790" s="187">
        <v>40000</v>
      </c>
      <c r="K790" s="187">
        <f t="shared" si="839"/>
        <v>5000</v>
      </c>
      <c r="L790" s="187">
        <v>40000</v>
      </c>
      <c r="M790" s="110">
        <v>9.5</v>
      </c>
      <c r="N790" s="110">
        <f>VLOOKUP(DATE(YEAR(A790),MONTH(A790),DAY(A790)),FY24_Temp[],3,FALSE)</f>
        <v>13.5</v>
      </c>
      <c r="O790" s="110">
        <f t="shared" si="819"/>
        <v>11.5</v>
      </c>
      <c r="P790" s="110">
        <f t="shared" si="820"/>
        <v>19.5</v>
      </c>
      <c r="Q790" s="111">
        <f>VLOOKUP(VLOOKUP(DATEVALUE(TEXT(A790,"m/d/yyyy")),FY24_Temp[],5,FALSE)&amp;TEXT(A790,"-h"),TempDelta[],4,FALSE)</f>
        <v>1.8638571415628706</v>
      </c>
      <c r="R790" s="112">
        <v>10</v>
      </c>
      <c r="S790" s="112">
        <v>1500</v>
      </c>
      <c r="T790" s="99">
        <f>VLOOKUP(TEXT(A790,"yy-mm")&amp;"-"&amp;IF(AND(WEEKDAY(A790)&gt;1,WEEKDAY(A790)&lt;7),"Wkd",TEXT(A790,"Ddd"))&amp;"-"&amp;TEXT(A790,"hh"),LoadTable[],3,FALSE)*0.92</f>
        <v>494.57360000000006</v>
      </c>
      <c r="U790" s="113">
        <f t="shared" si="821"/>
        <v>49.457360000000008</v>
      </c>
    </row>
    <row r="791" spans="1:21" ht="15" thickBot="1">
      <c r="A791" s="29">
        <f t="shared" si="791"/>
        <v>45868.833333333401</v>
      </c>
      <c r="B791" s="187">
        <f t="shared" ref="B791:L791" si="840">B815</f>
        <v>5000</v>
      </c>
      <c r="C791" s="187">
        <f t="shared" si="840"/>
        <v>25000</v>
      </c>
      <c r="D791" s="187">
        <v>0</v>
      </c>
      <c r="E791" s="187">
        <v>700</v>
      </c>
      <c r="F791" s="187">
        <v>15000</v>
      </c>
      <c r="G791" s="187">
        <f t="shared" si="840"/>
        <v>2400</v>
      </c>
      <c r="H791" s="187">
        <f t="shared" si="840"/>
        <v>25000</v>
      </c>
      <c r="I791" s="187">
        <f t="shared" si="840"/>
        <v>5000</v>
      </c>
      <c r="J791" s="187">
        <v>40000</v>
      </c>
      <c r="K791" s="187">
        <f t="shared" si="840"/>
        <v>5000</v>
      </c>
      <c r="L791" s="187">
        <v>40000</v>
      </c>
      <c r="M791" s="110">
        <v>9.5</v>
      </c>
      <c r="N791" s="110">
        <f>VLOOKUP(DATE(YEAR(A791),MONTH(A791),DAY(A791)),FY24_Temp[],3,FALSE)</f>
        <v>13.5</v>
      </c>
      <c r="O791" s="110">
        <f t="shared" si="819"/>
        <v>11.5</v>
      </c>
      <c r="P791" s="110">
        <f t="shared" si="820"/>
        <v>19.5</v>
      </c>
      <c r="Q791" s="111">
        <f>VLOOKUP(VLOOKUP(DATEVALUE(TEXT(A791,"m/d/yyyy")),FY24_Temp[],5,FALSE)&amp;TEXT(A791,"-h"),TempDelta[],4,FALSE)</f>
        <v>2.300714305468968</v>
      </c>
      <c r="R791" s="112">
        <v>10</v>
      </c>
      <c r="S791" s="112">
        <v>1500</v>
      </c>
      <c r="T791" s="99">
        <f>VLOOKUP(TEXT(A791,"yy-mm")&amp;"-"&amp;IF(AND(WEEKDAY(A791)&gt;1,WEEKDAY(A791)&lt;7),"Wkd",TEXT(A791,"Ddd"))&amp;"-"&amp;TEXT(A791,"hh"),LoadTable[],3,FALSE)*0.92</f>
        <v>494.57360000000006</v>
      </c>
      <c r="U791" s="113">
        <f t="shared" si="821"/>
        <v>49.457360000000008</v>
      </c>
    </row>
    <row r="792" spans="1:21" ht="15" thickBot="1">
      <c r="A792" s="29">
        <f t="shared" si="791"/>
        <v>45868.875000000065</v>
      </c>
      <c r="B792" s="187">
        <f t="shared" ref="B792:L792" si="841">B816</f>
        <v>5000</v>
      </c>
      <c r="C792" s="187">
        <f t="shared" si="841"/>
        <v>25000</v>
      </c>
      <c r="D792" s="187">
        <v>0</v>
      </c>
      <c r="E792" s="187">
        <v>700</v>
      </c>
      <c r="F792" s="187">
        <v>15000</v>
      </c>
      <c r="G792" s="187">
        <f t="shared" si="841"/>
        <v>2400</v>
      </c>
      <c r="H792" s="187">
        <f t="shared" si="841"/>
        <v>25000</v>
      </c>
      <c r="I792" s="187">
        <f t="shared" si="841"/>
        <v>5000</v>
      </c>
      <c r="J792" s="187">
        <v>40000</v>
      </c>
      <c r="K792" s="187">
        <f t="shared" si="841"/>
        <v>5000</v>
      </c>
      <c r="L792" s="187">
        <v>40000</v>
      </c>
      <c r="M792" s="110">
        <v>9.5</v>
      </c>
      <c r="N792" s="110">
        <f>VLOOKUP(DATE(YEAR(A792),MONTH(A792),DAY(A792)),FY24_Temp[],3,FALSE)</f>
        <v>13.5</v>
      </c>
      <c r="O792" s="110">
        <f t="shared" si="819"/>
        <v>11.5</v>
      </c>
      <c r="P792" s="110">
        <f t="shared" si="820"/>
        <v>19.5</v>
      </c>
      <c r="Q792" s="111">
        <f>VLOOKUP(VLOOKUP(DATEVALUE(TEXT(A792,"m/d/yyyy")),FY24_Temp[],5,FALSE)&amp;TEXT(A792,"-h"),TempDelta[],4,FALSE)</f>
        <v>2.554214222090585</v>
      </c>
      <c r="R792" s="112">
        <v>10</v>
      </c>
      <c r="S792" s="112">
        <v>1500</v>
      </c>
      <c r="T792" s="99">
        <f>VLOOKUP(TEXT(A792,"yy-mm")&amp;"-"&amp;IF(AND(WEEKDAY(A792)&gt;1,WEEKDAY(A792)&lt;7),"Wkd",TEXT(A792,"Ddd"))&amp;"-"&amp;TEXT(A792,"hh"),LoadTable[],3,FALSE)*0.92</f>
        <v>494.57360000000006</v>
      </c>
      <c r="U792" s="113">
        <f t="shared" si="821"/>
        <v>49.457360000000008</v>
      </c>
    </row>
    <row r="793" spans="1:21" ht="15" thickBot="1">
      <c r="A793" s="29">
        <f t="shared" si="791"/>
        <v>45868.91666666673</v>
      </c>
      <c r="B793" s="187">
        <f t="shared" ref="B793:L793" si="842">B817</f>
        <v>5000</v>
      </c>
      <c r="C793" s="187">
        <f t="shared" si="842"/>
        <v>25000</v>
      </c>
      <c r="D793" s="187">
        <v>0</v>
      </c>
      <c r="E793" s="187">
        <v>700</v>
      </c>
      <c r="F793" s="187">
        <v>15000</v>
      </c>
      <c r="G793" s="187">
        <f t="shared" si="842"/>
        <v>2400</v>
      </c>
      <c r="H793" s="187">
        <f t="shared" si="842"/>
        <v>25000</v>
      </c>
      <c r="I793" s="187">
        <f t="shared" si="842"/>
        <v>5000</v>
      </c>
      <c r="J793" s="187">
        <v>40000</v>
      </c>
      <c r="K793" s="187">
        <f t="shared" si="842"/>
        <v>5000</v>
      </c>
      <c r="L793" s="187">
        <v>40000</v>
      </c>
      <c r="M793" s="110">
        <v>9.5</v>
      </c>
      <c r="N793" s="110">
        <f>VLOOKUP(DATE(YEAR(A793),MONTH(A793),DAY(A793)),FY24_Temp[],3,FALSE)</f>
        <v>13.5</v>
      </c>
      <c r="O793" s="110">
        <f t="shared" si="819"/>
        <v>11.5</v>
      </c>
      <c r="P793" s="110">
        <f t="shared" si="820"/>
        <v>19.5</v>
      </c>
      <c r="Q793" s="111">
        <f>VLOOKUP(VLOOKUP(DATEVALUE(TEXT(A793,"m/d/yyyy")),FY24_Temp[],5,FALSE)&amp;TEXT(A793,"-h"),TempDelta[],4,FALSE)</f>
        <v>2.7827142647334506</v>
      </c>
      <c r="R793" s="112">
        <v>10</v>
      </c>
      <c r="S793" s="112">
        <v>1500</v>
      </c>
      <c r="T793" s="99">
        <f>VLOOKUP(TEXT(A793,"yy-mm")&amp;"-"&amp;IF(AND(WEEKDAY(A793)&gt;1,WEEKDAY(A793)&lt;7),"Wkd",TEXT(A793,"Ddd"))&amp;"-"&amp;TEXT(A793,"hh"),LoadTable[],3,FALSE)*0.92</f>
        <v>418.75640000000004</v>
      </c>
      <c r="U793" s="113">
        <f t="shared" si="821"/>
        <v>41.875640000000004</v>
      </c>
    </row>
    <row r="794" spans="1:21" ht="15" thickBot="1">
      <c r="A794" s="29">
        <f t="shared" si="791"/>
        <v>45868.958333333394</v>
      </c>
      <c r="B794" s="187">
        <f t="shared" ref="B794:L794" si="843">B818</f>
        <v>5000</v>
      </c>
      <c r="C794" s="187">
        <f t="shared" si="843"/>
        <v>25000</v>
      </c>
      <c r="D794" s="187">
        <v>0</v>
      </c>
      <c r="E794" s="187">
        <v>700</v>
      </c>
      <c r="F794" s="187">
        <v>15000</v>
      </c>
      <c r="G794" s="187">
        <f t="shared" si="843"/>
        <v>2400</v>
      </c>
      <c r="H794" s="187">
        <f t="shared" si="843"/>
        <v>25000</v>
      </c>
      <c r="I794" s="187">
        <f t="shared" si="843"/>
        <v>5000</v>
      </c>
      <c r="J794" s="187">
        <v>40000</v>
      </c>
      <c r="K794" s="187">
        <f t="shared" si="843"/>
        <v>5000</v>
      </c>
      <c r="L794" s="187">
        <v>40000</v>
      </c>
      <c r="M794" s="110">
        <v>9.5</v>
      </c>
      <c r="N794" s="110">
        <f>VLOOKUP(DATE(YEAR(A794),MONTH(A794),DAY(A794)),FY24_Temp[],3,FALSE)</f>
        <v>13.5</v>
      </c>
      <c r="O794" s="110">
        <f t="shared" si="819"/>
        <v>11.5</v>
      </c>
      <c r="P794" s="110">
        <f t="shared" si="820"/>
        <v>19.5</v>
      </c>
      <c r="Q794" s="111">
        <f>VLOOKUP(VLOOKUP(DATEVALUE(TEXT(A794,"m/d/yyyy")),FY24_Temp[],5,FALSE)&amp;TEXT(A794,"-h"),TempDelta[],4,FALSE)</f>
        <v>2.8792857101985385</v>
      </c>
      <c r="R794" s="112">
        <v>10</v>
      </c>
      <c r="S794" s="112">
        <v>1500</v>
      </c>
      <c r="T794" s="99">
        <f>VLOOKUP(TEXT(A794,"yy-mm")&amp;"-"&amp;IF(AND(WEEKDAY(A794)&gt;1,WEEKDAY(A794)&lt;7),"Wkd",TEXT(A794,"Ddd"))&amp;"-"&amp;TEXT(A794,"hh"),LoadTable[],3,FALSE)*0.92</f>
        <v>342.93920000000003</v>
      </c>
      <c r="U794" s="113">
        <f t="shared" si="821"/>
        <v>34.29392</v>
      </c>
    </row>
    <row r="795" spans="1:21" ht="15" thickBot="1">
      <c r="A795" s="29">
        <f t="shared" si="791"/>
        <v>45869.000000000058</v>
      </c>
      <c r="B795" s="187">
        <f t="shared" ref="B795:L795" si="844">B819</f>
        <v>5000</v>
      </c>
      <c r="C795" s="187">
        <f t="shared" si="844"/>
        <v>25000</v>
      </c>
      <c r="D795" s="187">
        <v>0</v>
      </c>
      <c r="E795" s="187">
        <v>700</v>
      </c>
      <c r="F795" s="187">
        <v>15000</v>
      </c>
      <c r="G795" s="187">
        <f t="shared" si="844"/>
        <v>2400</v>
      </c>
      <c r="H795" s="187">
        <f t="shared" si="844"/>
        <v>25000</v>
      </c>
      <c r="I795" s="187">
        <f t="shared" si="844"/>
        <v>5000</v>
      </c>
      <c r="J795" s="187">
        <v>40000</v>
      </c>
      <c r="K795" s="187">
        <f t="shared" si="844"/>
        <v>5000</v>
      </c>
      <c r="L795" s="187">
        <v>40000</v>
      </c>
      <c r="M795" s="110">
        <v>9.5</v>
      </c>
      <c r="N795" s="110">
        <f>VLOOKUP(DATE(YEAR(A795),MONTH(A795),DAY(A795)),FY24_Temp[],3,FALSE)</f>
        <v>13.5</v>
      </c>
      <c r="O795" s="110">
        <f t="shared" si="819"/>
        <v>11.5</v>
      </c>
      <c r="P795" s="110">
        <f t="shared" si="820"/>
        <v>19.5</v>
      </c>
      <c r="Q795" s="111">
        <f>VLOOKUP(VLOOKUP(DATEVALUE(TEXT(A795,"m/d/yyyy")),FY24_Temp[],5,FALSE)&amp;TEXT(A795,"-h"),TempDelta[],4,FALSE)</f>
        <v>3.0441428933824812</v>
      </c>
      <c r="R795" s="112">
        <v>10</v>
      </c>
      <c r="S795" s="112">
        <v>1500</v>
      </c>
      <c r="T795" s="99">
        <f>VLOOKUP(TEXT(A795,"yy-mm")&amp;"-"&amp;IF(AND(WEEKDAY(A795)&gt;1,WEEKDAY(A795)&lt;7),"Wkd",TEXT(A795,"Ddd"))&amp;"-"&amp;TEXT(A795,"hh"),LoadTable[],3,FALSE)*0.92</f>
        <v>279.25312000000002</v>
      </c>
      <c r="U795" s="113">
        <f t="shared" si="821"/>
        <v>27.925312000000002</v>
      </c>
    </row>
    <row r="796" spans="1:21" ht="15" thickBot="1">
      <c r="A796" s="29">
        <f t="shared" si="791"/>
        <v>45869.041666666722</v>
      </c>
      <c r="B796" s="187">
        <f t="shared" ref="B796:L796" si="845">B820</f>
        <v>5000</v>
      </c>
      <c r="C796" s="187">
        <f t="shared" si="845"/>
        <v>25000</v>
      </c>
      <c r="D796" s="187">
        <v>0</v>
      </c>
      <c r="E796" s="187">
        <v>700</v>
      </c>
      <c r="F796" s="187">
        <v>15000</v>
      </c>
      <c r="G796" s="187">
        <f t="shared" si="845"/>
        <v>2400</v>
      </c>
      <c r="H796" s="187">
        <f t="shared" si="845"/>
        <v>25000</v>
      </c>
      <c r="I796" s="187">
        <f t="shared" si="845"/>
        <v>5000</v>
      </c>
      <c r="J796" s="187">
        <v>40000</v>
      </c>
      <c r="K796" s="187">
        <f t="shared" si="845"/>
        <v>5000</v>
      </c>
      <c r="L796" s="187">
        <v>40000</v>
      </c>
      <c r="M796" s="110">
        <v>9.5</v>
      </c>
      <c r="N796" s="110">
        <f>VLOOKUP(DATE(YEAR(A796),MONTH(A796),DAY(A796)),FY24_Temp[],3,FALSE)</f>
        <v>13.5</v>
      </c>
      <c r="O796" s="110">
        <f t="shared" si="819"/>
        <v>11.5</v>
      </c>
      <c r="P796" s="110">
        <f t="shared" si="820"/>
        <v>19.5</v>
      </c>
      <c r="Q796" s="111">
        <f>VLOOKUP(VLOOKUP(DATEVALUE(TEXT(A796,"m/d/yyyy")),FY24_Temp[],5,FALSE)&amp;TEXT(A796,"-h"),TempDelta[],4,FALSE)</f>
        <v>3.0992857047489712</v>
      </c>
      <c r="R796" s="112">
        <v>10</v>
      </c>
      <c r="S796" s="112">
        <v>1500</v>
      </c>
      <c r="T796" s="99">
        <f>VLOOKUP(TEXT(A796,"yy-mm")&amp;"-"&amp;IF(AND(WEEKDAY(A796)&gt;1,WEEKDAY(A796)&lt;7),"Wkd",TEXT(A796,"Ddd"))&amp;"-"&amp;TEXT(A796,"hh"),LoadTable[],3,FALSE)*0.92</f>
        <v>279.25312000000002</v>
      </c>
      <c r="U796" s="113">
        <f t="shared" si="821"/>
        <v>27.925312000000002</v>
      </c>
    </row>
    <row r="797" spans="1:21" ht="15" thickBot="1">
      <c r="A797" s="29">
        <f t="shared" si="791"/>
        <v>45869.083333333387</v>
      </c>
      <c r="B797" s="187">
        <f t="shared" ref="B797:L797" si="846">B821</f>
        <v>5000</v>
      </c>
      <c r="C797" s="187">
        <f t="shared" si="846"/>
        <v>25000</v>
      </c>
      <c r="D797" s="187">
        <v>0</v>
      </c>
      <c r="E797" s="187">
        <v>700</v>
      </c>
      <c r="F797" s="187">
        <v>15000</v>
      </c>
      <c r="G797" s="187">
        <f t="shared" si="846"/>
        <v>2400</v>
      </c>
      <c r="H797" s="187">
        <f t="shared" si="846"/>
        <v>25000</v>
      </c>
      <c r="I797" s="187">
        <f t="shared" si="846"/>
        <v>5000</v>
      </c>
      <c r="J797" s="187">
        <v>40000</v>
      </c>
      <c r="K797" s="187">
        <f t="shared" si="846"/>
        <v>5000</v>
      </c>
      <c r="L797" s="187">
        <v>40000</v>
      </c>
      <c r="M797" s="110">
        <v>9.5</v>
      </c>
      <c r="N797" s="110">
        <f>VLOOKUP(DATE(YEAR(A797),MONTH(A797),DAY(A797)),FY24_Temp[],3,FALSE)</f>
        <v>13.5</v>
      </c>
      <c r="O797" s="110">
        <f t="shared" si="819"/>
        <v>11.5</v>
      </c>
      <c r="P797" s="110">
        <f t="shared" si="820"/>
        <v>19.5</v>
      </c>
      <c r="Q797" s="111">
        <f>VLOOKUP(VLOOKUP(DATEVALUE(TEXT(A797,"m/d/yyyy")),FY24_Temp[],5,FALSE)&amp;TEXT(A797,"-h"),TempDelta[],4,FALSE)</f>
        <v>3.1050000190734863</v>
      </c>
      <c r="R797" s="112">
        <v>10</v>
      </c>
      <c r="S797" s="112">
        <v>1500</v>
      </c>
      <c r="T797" s="99">
        <f>VLOOKUP(TEXT(A797,"yy-mm")&amp;"-"&amp;IF(AND(WEEKDAY(A797)&gt;1,WEEKDAY(A797)&lt;7),"Wkd",TEXT(A797,"Ddd"))&amp;"-"&amp;TEXT(A797,"hh"),LoadTable[],3,FALSE)*0.92</f>
        <v>279.25312000000002</v>
      </c>
      <c r="U797" s="113">
        <f t="shared" si="821"/>
        <v>27.925312000000002</v>
      </c>
    </row>
    <row r="798" spans="1:21" ht="15" thickBot="1">
      <c r="A798" s="29">
        <f t="shared" si="791"/>
        <v>45869.125000000051</v>
      </c>
      <c r="B798" s="187">
        <f t="shared" ref="B798:L798" si="847">B822</f>
        <v>5000</v>
      </c>
      <c r="C798" s="187">
        <f t="shared" si="847"/>
        <v>25000</v>
      </c>
      <c r="D798" s="187">
        <v>0</v>
      </c>
      <c r="E798" s="187">
        <v>700</v>
      </c>
      <c r="F798" s="187">
        <v>15000</v>
      </c>
      <c r="G798" s="187">
        <f t="shared" si="847"/>
        <v>2400</v>
      </c>
      <c r="H798" s="187">
        <f t="shared" si="847"/>
        <v>25000</v>
      </c>
      <c r="I798" s="187">
        <f t="shared" si="847"/>
        <v>5000</v>
      </c>
      <c r="J798" s="187">
        <v>40000</v>
      </c>
      <c r="K798" s="187">
        <f t="shared" si="847"/>
        <v>5000</v>
      </c>
      <c r="L798" s="187">
        <v>40000</v>
      </c>
      <c r="M798" s="110">
        <v>9.5</v>
      </c>
      <c r="N798" s="110">
        <f>VLOOKUP(DATE(YEAR(A798),MONTH(A798),DAY(A798)),FY24_Temp[],3,FALSE)</f>
        <v>13.5</v>
      </c>
      <c r="O798" s="110">
        <f t="shared" si="819"/>
        <v>11.5</v>
      </c>
      <c r="P798" s="110">
        <f t="shared" si="820"/>
        <v>19.5</v>
      </c>
      <c r="Q798" s="111">
        <f>VLOOKUP(VLOOKUP(DATEVALUE(TEXT(A798,"m/d/yyyy")),FY24_Temp[],5,FALSE)&amp;TEXT(A798,"-h"),TempDelta[],4,FALSE)</f>
        <v>3.0428571701049805</v>
      </c>
      <c r="R798" s="112">
        <v>10</v>
      </c>
      <c r="S798" s="112">
        <v>1500</v>
      </c>
      <c r="T798" s="99">
        <f>VLOOKUP(TEXT(A798,"yy-mm")&amp;"-"&amp;IF(AND(WEEKDAY(A798)&gt;1,WEEKDAY(A798)&lt;7),"Wkd",TEXT(A798,"Ddd"))&amp;"-"&amp;TEXT(A798,"hh"),LoadTable[],3,FALSE)*0.92</f>
        <v>279.25312000000002</v>
      </c>
      <c r="U798" s="113">
        <f t="shared" si="821"/>
        <v>27.925312000000002</v>
      </c>
    </row>
    <row r="799" spans="1:21" ht="15" thickBot="1">
      <c r="A799" s="29">
        <f t="shared" si="791"/>
        <v>45869.166666666715</v>
      </c>
      <c r="B799" s="187">
        <f t="shared" ref="B799:L799" si="848">B823</f>
        <v>5000</v>
      </c>
      <c r="C799" s="187">
        <f t="shared" si="848"/>
        <v>25000</v>
      </c>
      <c r="D799" s="187">
        <v>0</v>
      </c>
      <c r="E799" s="187">
        <v>700</v>
      </c>
      <c r="F799" s="187">
        <v>15000</v>
      </c>
      <c r="G799" s="187">
        <f t="shared" si="848"/>
        <v>2400</v>
      </c>
      <c r="H799" s="187">
        <f t="shared" si="848"/>
        <v>25000</v>
      </c>
      <c r="I799" s="187">
        <f t="shared" si="848"/>
        <v>5000</v>
      </c>
      <c r="J799" s="187">
        <v>40000</v>
      </c>
      <c r="K799" s="187">
        <f t="shared" si="848"/>
        <v>5000</v>
      </c>
      <c r="L799" s="187">
        <v>40000</v>
      </c>
      <c r="M799" s="110">
        <v>9.5</v>
      </c>
      <c r="N799" s="110">
        <f>VLOOKUP(DATE(YEAR(A799),MONTH(A799),DAY(A799)),FY24_Temp[],3,FALSE)</f>
        <v>13.5</v>
      </c>
      <c r="O799" s="110">
        <f t="shared" si="819"/>
        <v>11.5</v>
      </c>
      <c r="P799" s="110">
        <f t="shared" si="820"/>
        <v>19.5</v>
      </c>
      <c r="Q799" s="111">
        <f>VLOOKUP(VLOOKUP(DATEVALUE(TEXT(A799,"m/d/yyyy")),FY24_Temp[],5,FALSE)&amp;TEXT(A799,"-h"),TempDelta[],4,FALSE)</f>
        <v>2.9580000468662808</v>
      </c>
      <c r="R799" s="112">
        <v>10</v>
      </c>
      <c r="S799" s="112">
        <v>1500</v>
      </c>
      <c r="T799" s="99">
        <f>VLOOKUP(TEXT(A799,"yy-mm")&amp;"-"&amp;IF(AND(WEEKDAY(A799)&gt;1,WEEKDAY(A799)&lt;7),"Wkd",TEXT(A799,"Ddd"))&amp;"-"&amp;TEXT(A799,"hh"),LoadTable[],3,FALSE)*0.92</f>
        <v>279.25312000000002</v>
      </c>
      <c r="U799" s="113">
        <f t="shared" si="821"/>
        <v>27.925312000000002</v>
      </c>
    </row>
    <row r="800" spans="1:21" ht="15" thickBot="1">
      <c r="A800" s="29">
        <f t="shared" si="791"/>
        <v>45869.208333333379</v>
      </c>
      <c r="B800" s="187">
        <f t="shared" ref="B800:L800" si="849">B824</f>
        <v>5000</v>
      </c>
      <c r="C800" s="187">
        <f t="shared" si="849"/>
        <v>25000</v>
      </c>
      <c r="D800" s="187">
        <v>0</v>
      </c>
      <c r="E800" s="187">
        <v>700</v>
      </c>
      <c r="F800" s="187">
        <v>15000</v>
      </c>
      <c r="G800" s="187">
        <f t="shared" si="849"/>
        <v>2400</v>
      </c>
      <c r="H800" s="187">
        <f t="shared" si="849"/>
        <v>25000</v>
      </c>
      <c r="I800" s="187">
        <f t="shared" si="849"/>
        <v>5000</v>
      </c>
      <c r="J800" s="187">
        <v>40000</v>
      </c>
      <c r="K800" s="187">
        <f t="shared" si="849"/>
        <v>5000</v>
      </c>
      <c r="L800" s="187">
        <v>40000</v>
      </c>
      <c r="M800" s="110">
        <v>9.5</v>
      </c>
      <c r="N800" s="110">
        <f>VLOOKUP(DATE(YEAR(A800),MONTH(A800),DAY(A800)),FY24_Temp[],3,FALSE)</f>
        <v>13.5</v>
      </c>
      <c r="O800" s="110">
        <f t="shared" si="819"/>
        <v>11.5</v>
      </c>
      <c r="P800" s="110">
        <f t="shared" si="820"/>
        <v>19.5</v>
      </c>
      <c r="Q800" s="111">
        <f>VLOOKUP(VLOOKUP(DATEVALUE(TEXT(A800,"m/d/yyyy")),FY24_Temp[],5,FALSE)&amp;TEXT(A800,"-h"),TempDelta[],4,FALSE)</f>
        <v>2.8608571801866804</v>
      </c>
      <c r="R800" s="112">
        <v>10</v>
      </c>
      <c r="S800" s="112">
        <v>1500</v>
      </c>
      <c r="T800" s="99">
        <f>VLOOKUP(TEXT(A800,"yy-mm")&amp;"-"&amp;IF(AND(WEEKDAY(A800)&gt;1,WEEKDAY(A800)&lt;7),"Wkd",TEXT(A800,"Ddd"))&amp;"-"&amp;TEXT(A800,"hh"),LoadTable[],3,FALSE)*0.92</f>
        <v>279.25312000000002</v>
      </c>
      <c r="U800" s="113">
        <f t="shared" si="821"/>
        <v>27.925312000000002</v>
      </c>
    </row>
    <row r="801" spans="1:21" ht="15" thickBot="1">
      <c r="A801" s="29">
        <f t="shared" si="791"/>
        <v>45869.250000000044</v>
      </c>
      <c r="B801" s="187">
        <f t="shared" ref="B801:L801" si="850">B825</f>
        <v>8000</v>
      </c>
      <c r="C801" s="187">
        <f t="shared" si="850"/>
        <v>25000</v>
      </c>
      <c r="D801" s="187">
        <v>0</v>
      </c>
      <c r="E801" s="187">
        <v>700</v>
      </c>
      <c r="F801" s="187">
        <v>15000</v>
      </c>
      <c r="G801" s="187">
        <f t="shared" si="850"/>
        <v>2400</v>
      </c>
      <c r="H801" s="187">
        <f t="shared" si="850"/>
        <v>25000</v>
      </c>
      <c r="I801" s="187">
        <f t="shared" si="850"/>
        <v>8000</v>
      </c>
      <c r="J801" s="187">
        <v>40000</v>
      </c>
      <c r="K801" s="187">
        <f t="shared" si="850"/>
        <v>8000</v>
      </c>
      <c r="L801" s="187">
        <v>40000</v>
      </c>
      <c r="M801" s="110">
        <v>9.5</v>
      </c>
      <c r="N801" s="110">
        <f>VLOOKUP(DATE(YEAR(A801),MONTH(A801),DAY(A801)),FY24_Temp[],3,FALSE)</f>
        <v>13.5</v>
      </c>
      <c r="O801" s="110">
        <f t="shared" si="819"/>
        <v>11.5</v>
      </c>
      <c r="P801" s="110">
        <f t="shared" si="820"/>
        <v>19.5</v>
      </c>
      <c r="Q801" s="111">
        <f>VLOOKUP(VLOOKUP(DATEVALUE(TEXT(A801,"m/d/yyyy")),FY24_Temp[],5,FALSE)&amp;TEXT(A801,"-h"),TempDelta[],4,FALSE)</f>
        <v>2.7405714307512556</v>
      </c>
      <c r="R801" s="112">
        <v>10</v>
      </c>
      <c r="S801" s="112">
        <v>1500</v>
      </c>
      <c r="T801" s="99">
        <f>VLOOKUP(TEXT(A801,"yy-mm")&amp;"-"&amp;IF(AND(WEEKDAY(A801)&gt;1,WEEKDAY(A801)&lt;7),"Wkd",TEXT(A801,"Ddd"))&amp;"-"&amp;TEXT(A801,"hh"),LoadTable[],3,FALSE)*0.92</f>
        <v>279.25312000000002</v>
      </c>
      <c r="U801" s="113">
        <f t="shared" si="821"/>
        <v>27.925312000000002</v>
      </c>
    </row>
    <row r="802" spans="1:21" ht="15" thickBot="1">
      <c r="A802" s="29">
        <f t="shared" si="791"/>
        <v>45869.291666666708</v>
      </c>
      <c r="B802" s="187">
        <f t="shared" ref="B802:L802" si="851">B826</f>
        <v>8000</v>
      </c>
      <c r="C802" s="187">
        <f t="shared" si="851"/>
        <v>25000</v>
      </c>
      <c r="D802" s="187">
        <v>0</v>
      </c>
      <c r="E802" s="187">
        <v>700</v>
      </c>
      <c r="F802" s="187">
        <v>15000</v>
      </c>
      <c r="G802" s="187">
        <f t="shared" si="851"/>
        <v>2400</v>
      </c>
      <c r="H802" s="187">
        <f t="shared" si="851"/>
        <v>25000</v>
      </c>
      <c r="I802" s="187">
        <f t="shared" si="851"/>
        <v>8000</v>
      </c>
      <c r="J802" s="187">
        <v>40000</v>
      </c>
      <c r="K802" s="187">
        <f t="shared" si="851"/>
        <v>8000</v>
      </c>
      <c r="L802" s="187">
        <v>40000</v>
      </c>
      <c r="M802" s="110">
        <v>9.5</v>
      </c>
      <c r="N802" s="110">
        <f>VLOOKUP(DATE(YEAR(A802),MONTH(A802),DAY(A802)),FY24_Temp[],3,FALSE)</f>
        <v>13.5</v>
      </c>
      <c r="O802" s="110">
        <f t="shared" si="819"/>
        <v>11.5</v>
      </c>
      <c r="P802" s="110">
        <f t="shared" si="820"/>
        <v>19.5</v>
      </c>
      <c r="Q802" s="111">
        <f>VLOOKUP(VLOOKUP(DATEVALUE(TEXT(A802,"m/d/yyyy")),FY24_Temp[],5,FALSE)&amp;TEXT(A802,"-h"),TempDelta[],4,FALSE)</f>
        <v>2.6134285245622908</v>
      </c>
      <c r="R802" s="112">
        <v>10</v>
      </c>
      <c r="S802" s="112">
        <v>1500</v>
      </c>
      <c r="T802" s="99">
        <f>VLOOKUP(TEXT(A802,"yy-mm")&amp;"-"&amp;IF(AND(WEEKDAY(A802)&gt;1,WEEKDAY(A802)&lt;7),"Wkd",TEXT(A802,"Ddd"))&amp;"-"&amp;TEXT(A802,"hh"),LoadTable[],3,FALSE)*0.92</f>
        <v>279.25312000000002</v>
      </c>
      <c r="U802" s="113">
        <f t="shared" si="821"/>
        <v>27.925312000000002</v>
      </c>
    </row>
    <row r="803" spans="1:21" ht="15" thickBot="1">
      <c r="A803" s="29">
        <f t="shared" si="791"/>
        <v>45869.333333333372</v>
      </c>
      <c r="B803" s="187">
        <f t="shared" ref="B803:L803" si="852">B827</f>
        <v>8000</v>
      </c>
      <c r="C803" s="187">
        <f t="shared" si="852"/>
        <v>25000</v>
      </c>
      <c r="D803" s="187">
        <v>0</v>
      </c>
      <c r="E803" s="187">
        <v>700</v>
      </c>
      <c r="F803" s="187">
        <v>15000</v>
      </c>
      <c r="G803" s="187">
        <f t="shared" si="852"/>
        <v>2400</v>
      </c>
      <c r="H803" s="187">
        <f t="shared" si="852"/>
        <v>25000</v>
      </c>
      <c r="I803" s="187">
        <f t="shared" si="852"/>
        <v>8000</v>
      </c>
      <c r="J803" s="187">
        <v>40000</v>
      </c>
      <c r="K803" s="187">
        <f t="shared" si="852"/>
        <v>8000</v>
      </c>
      <c r="L803" s="187">
        <v>40000</v>
      </c>
      <c r="M803" s="110">
        <v>9.5</v>
      </c>
      <c r="N803" s="110">
        <f>VLOOKUP(DATE(YEAR(A803),MONTH(A803),DAY(A803)),FY24_Temp[],3,FALSE)</f>
        <v>13.5</v>
      </c>
      <c r="O803" s="110">
        <f t="shared" si="819"/>
        <v>11.5</v>
      </c>
      <c r="P803" s="110">
        <f t="shared" si="820"/>
        <v>19.5</v>
      </c>
      <c r="Q803" s="111">
        <f>VLOOKUP(VLOOKUP(DATEVALUE(TEXT(A803,"m/d/yyyy")),FY24_Temp[],5,FALSE)&amp;TEXT(A803,"-h"),TempDelta[],4,FALSE)</f>
        <v>2.44985716683524</v>
      </c>
      <c r="R803" s="112">
        <v>10</v>
      </c>
      <c r="S803" s="112">
        <v>1500</v>
      </c>
      <c r="T803" s="99">
        <f>VLOOKUP(TEXT(A803,"yy-mm")&amp;"-"&amp;IF(AND(WEEKDAY(A803)&gt;1,WEEKDAY(A803)&lt;7),"Wkd",TEXT(A803,"Ddd"))&amp;"-"&amp;TEXT(A803,"hh"),LoadTable[],3,FALSE)*0.92</f>
        <v>279.25312000000002</v>
      </c>
      <c r="U803" s="113">
        <f t="shared" si="821"/>
        <v>27.925312000000002</v>
      </c>
    </row>
    <row r="804" spans="1:21" ht="15" thickBot="1">
      <c r="A804" s="29">
        <f t="shared" si="791"/>
        <v>45869.375000000036</v>
      </c>
      <c r="B804" s="187">
        <f t="shared" ref="B804:L804" si="853">B828</f>
        <v>8000</v>
      </c>
      <c r="C804" s="187">
        <f t="shared" si="853"/>
        <v>25000</v>
      </c>
      <c r="D804" s="187">
        <v>0</v>
      </c>
      <c r="E804" s="187">
        <v>700</v>
      </c>
      <c r="F804" s="187">
        <v>15000</v>
      </c>
      <c r="G804" s="187">
        <f t="shared" si="853"/>
        <v>2400</v>
      </c>
      <c r="H804" s="187">
        <f t="shared" si="853"/>
        <v>25000</v>
      </c>
      <c r="I804" s="187">
        <f t="shared" si="853"/>
        <v>8000</v>
      </c>
      <c r="J804" s="187">
        <v>40000</v>
      </c>
      <c r="K804" s="187">
        <f t="shared" si="853"/>
        <v>8000</v>
      </c>
      <c r="L804" s="187">
        <v>40000</v>
      </c>
      <c r="M804" s="110">
        <v>9.5</v>
      </c>
      <c r="N804" s="110">
        <f>VLOOKUP(DATE(YEAR(A804),MONTH(A804),DAY(A804)),FY24_Temp[],3,FALSE)</f>
        <v>13.5</v>
      </c>
      <c r="O804" s="110">
        <f t="shared" si="819"/>
        <v>11.5</v>
      </c>
      <c r="P804" s="110">
        <f t="shared" si="820"/>
        <v>19.5</v>
      </c>
      <c r="Q804" s="111">
        <f>VLOOKUP(VLOOKUP(DATEVALUE(TEXT(A804,"m/d/yyyy")),FY24_Temp[],5,FALSE)&amp;TEXT(A804,"-h"),TempDelta[],4,FALSE)</f>
        <v>2.2458571025303433</v>
      </c>
      <c r="R804" s="112">
        <v>10</v>
      </c>
      <c r="S804" s="112">
        <v>1500</v>
      </c>
      <c r="T804" s="99">
        <f>VLOOKUP(TEXT(A804,"yy-mm")&amp;"-"&amp;IF(AND(WEEKDAY(A804)&gt;1,WEEKDAY(A804)&lt;7),"Wkd",TEXT(A804,"Ddd"))&amp;"-"&amp;TEXT(A804,"hh"),LoadTable[],3,FALSE)*0.92</f>
        <v>279.25312000000002</v>
      </c>
      <c r="U804" s="113">
        <f t="shared" si="821"/>
        <v>27.925312000000002</v>
      </c>
    </row>
    <row r="805" spans="1:21" ht="15" thickBot="1">
      <c r="A805" s="29">
        <f t="shared" si="791"/>
        <v>45869.416666666701</v>
      </c>
      <c r="B805" s="187">
        <f t="shared" ref="B805:L805" si="854">B829</f>
        <v>8000</v>
      </c>
      <c r="C805" s="187">
        <f t="shared" si="854"/>
        <v>25000</v>
      </c>
      <c r="D805" s="187">
        <v>0</v>
      </c>
      <c r="E805" s="187">
        <v>700</v>
      </c>
      <c r="F805" s="187">
        <v>15000</v>
      </c>
      <c r="G805" s="187">
        <f t="shared" si="854"/>
        <v>2400</v>
      </c>
      <c r="H805" s="187">
        <f t="shared" si="854"/>
        <v>25000</v>
      </c>
      <c r="I805" s="187">
        <f t="shared" si="854"/>
        <v>8000</v>
      </c>
      <c r="J805" s="187">
        <v>40000</v>
      </c>
      <c r="K805" s="187">
        <f t="shared" si="854"/>
        <v>8000</v>
      </c>
      <c r="L805" s="187">
        <v>40000</v>
      </c>
      <c r="M805" s="110">
        <v>9.5</v>
      </c>
      <c r="N805" s="110">
        <f>VLOOKUP(DATE(YEAR(A805),MONTH(A805),DAY(A805)),FY24_Temp[],3,FALSE)</f>
        <v>13.5</v>
      </c>
      <c r="O805" s="110">
        <f t="shared" si="819"/>
        <v>11.5</v>
      </c>
      <c r="P805" s="110">
        <f t="shared" si="820"/>
        <v>19.5</v>
      </c>
      <c r="Q805" s="111">
        <f>VLOOKUP(VLOOKUP(DATEVALUE(TEXT(A805,"m/d/yyyy")),FY24_Temp[],5,FALSE)&amp;TEXT(A805,"-h"),TempDelta[],4,FALSE)</f>
        <v>2.0832857234137401</v>
      </c>
      <c r="R805" s="112">
        <v>10</v>
      </c>
      <c r="S805" s="112">
        <v>1500</v>
      </c>
      <c r="T805" s="99">
        <f>VLOOKUP(TEXT(A805,"yy-mm")&amp;"-"&amp;IF(AND(WEEKDAY(A805)&gt;1,WEEKDAY(A805)&lt;7),"Wkd",TEXT(A805,"Ddd"))&amp;"-"&amp;TEXT(A805,"hh"),LoadTable[],3,FALSE)*0.92</f>
        <v>279.25312000000002</v>
      </c>
      <c r="U805" s="113">
        <f t="shared" si="821"/>
        <v>27.925312000000002</v>
      </c>
    </row>
    <row r="806" spans="1:21" ht="15" thickBot="1">
      <c r="A806" s="29">
        <f t="shared" si="791"/>
        <v>45869.458333333365</v>
      </c>
      <c r="B806" s="187">
        <f t="shared" ref="B806:L806" si="855">B830</f>
        <v>8000</v>
      </c>
      <c r="C806" s="187">
        <f t="shared" si="855"/>
        <v>25000</v>
      </c>
      <c r="D806" s="187">
        <v>0</v>
      </c>
      <c r="E806" s="187">
        <v>700</v>
      </c>
      <c r="F806" s="187">
        <v>15000</v>
      </c>
      <c r="G806" s="187">
        <f t="shared" si="855"/>
        <v>2400</v>
      </c>
      <c r="H806" s="187">
        <f t="shared" si="855"/>
        <v>25000</v>
      </c>
      <c r="I806" s="187">
        <f t="shared" si="855"/>
        <v>8000</v>
      </c>
      <c r="J806" s="187">
        <v>40000</v>
      </c>
      <c r="K806" s="187">
        <f t="shared" si="855"/>
        <v>8000</v>
      </c>
      <c r="L806" s="187">
        <v>40000</v>
      </c>
      <c r="M806" s="110">
        <v>9.5</v>
      </c>
      <c r="N806" s="110">
        <f>VLOOKUP(DATE(YEAR(A806),MONTH(A806),DAY(A806)),FY24_Temp[],3,FALSE)</f>
        <v>13.5</v>
      </c>
      <c r="O806" s="110">
        <f t="shared" si="819"/>
        <v>11.5</v>
      </c>
      <c r="P806" s="110">
        <f t="shared" si="820"/>
        <v>19.5</v>
      </c>
      <c r="Q806" s="111">
        <f>VLOOKUP(VLOOKUP(DATEVALUE(TEXT(A806,"m/d/yyyy")),FY24_Temp[],5,FALSE)&amp;TEXT(A806,"-h"),TempDelta[],4,FALSE)</f>
        <v>1.8928571258272444</v>
      </c>
      <c r="R806" s="112">
        <v>10</v>
      </c>
      <c r="S806" s="112">
        <v>1500</v>
      </c>
      <c r="T806" s="99">
        <f>VLOOKUP(TEXT(A806,"yy-mm")&amp;"-"&amp;IF(AND(WEEKDAY(A806)&gt;1,WEEKDAY(A806)&lt;7),"Wkd",TEXT(A806,"Ddd"))&amp;"-"&amp;TEXT(A806,"hh"),LoadTable[],3,FALSE)*0.92</f>
        <v>279.25312000000002</v>
      </c>
      <c r="U806" s="113">
        <f t="shared" si="821"/>
        <v>27.925312000000002</v>
      </c>
    </row>
    <row r="807" spans="1:21" ht="15" thickBot="1">
      <c r="A807" s="29">
        <f t="shared" si="791"/>
        <v>45869.500000000029</v>
      </c>
      <c r="B807" s="187">
        <f t="shared" ref="B807:L807" si="856">B831</f>
        <v>8000</v>
      </c>
      <c r="C807" s="187">
        <f t="shared" si="856"/>
        <v>25000</v>
      </c>
      <c r="D807" s="187">
        <v>0</v>
      </c>
      <c r="E807" s="187">
        <v>700</v>
      </c>
      <c r="F807" s="187">
        <v>15000</v>
      </c>
      <c r="G807" s="187">
        <f t="shared" si="856"/>
        <v>2400</v>
      </c>
      <c r="H807" s="187">
        <f t="shared" si="856"/>
        <v>25000</v>
      </c>
      <c r="I807" s="187">
        <f t="shared" si="856"/>
        <v>8000</v>
      </c>
      <c r="J807" s="187">
        <v>40000</v>
      </c>
      <c r="K807" s="187">
        <f t="shared" si="856"/>
        <v>8000</v>
      </c>
      <c r="L807" s="187">
        <v>40000</v>
      </c>
      <c r="M807" s="110">
        <v>9.5</v>
      </c>
      <c r="N807" s="110">
        <f>VLOOKUP(DATE(YEAR(A807),MONTH(A807),DAY(A807)),FY24_Temp[],3,FALSE)</f>
        <v>13.5</v>
      </c>
      <c r="O807" s="110">
        <f t="shared" si="819"/>
        <v>11.5</v>
      </c>
      <c r="P807" s="110">
        <f t="shared" si="820"/>
        <v>19.5</v>
      </c>
      <c r="Q807" s="111">
        <f>VLOOKUP(VLOOKUP(DATEVALUE(TEXT(A807,"m/d/yyyy")),FY24_Temp[],5,FALSE)&amp;TEXT(A807,"-h"),TempDelta[],4,FALSE)</f>
        <v>1.665857127734593</v>
      </c>
      <c r="R807" s="112">
        <v>10</v>
      </c>
      <c r="S807" s="112">
        <v>1500</v>
      </c>
      <c r="T807" s="99">
        <f>VLOOKUP(TEXT(A807,"yy-mm")&amp;"-"&amp;IF(AND(WEEKDAY(A807)&gt;1,WEEKDAY(A807)&lt;7),"Wkd",TEXT(A807,"Ddd"))&amp;"-"&amp;TEXT(A807,"hh"),LoadTable[],3,FALSE)*0.92</f>
        <v>279.25312000000002</v>
      </c>
      <c r="U807" s="113">
        <f t="shared" si="821"/>
        <v>27.925312000000002</v>
      </c>
    </row>
    <row r="808" spans="1:21" ht="15" thickBot="1">
      <c r="A808" s="29">
        <f t="shared" si="791"/>
        <v>45869.541666666693</v>
      </c>
      <c r="B808" s="187">
        <f t="shared" ref="B808:L808" si="857">B832</f>
        <v>8000</v>
      </c>
      <c r="C808" s="187">
        <f t="shared" si="857"/>
        <v>25000</v>
      </c>
      <c r="D808" s="187">
        <v>0</v>
      </c>
      <c r="E808" s="187">
        <v>700</v>
      </c>
      <c r="F808" s="187">
        <v>15000</v>
      </c>
      <c r="G808" s="187">
        <f t="shared" si="857"/>
        <v>2400</v>
      </c>
      <c r="H808" s="187">
        <f t="shared" si="857"/>
        <v>25000</v>
      </c>
      <c r="I808" s="187">
        <f t="shared" si="857"/>
        <v>8000</v>
      </c>
      <c r="J808" s="187">
        <v>40000</v>
      </c>
      <c r="K808" s="187">
        <f t="shared" si="857"/>
        <v>8000</v>
      </c>
      <c r="L808" s="187">
        <v>40000</v>
      </c>
      <c r="M808" s="110">
        <v>9.5</v>
      </c>
      <c r="N808" s="110">
        <f>VLOOKUP(DATE(YEAR(A808),MONTH(A808),DAY(A808)),FY24_Temp[],3,FALSE)</f>
        <v>13.5</v>
      </c>
      <c r="O808" s="110">
        <f t="shared" si="819"/>
        <v>11.5</v>
      </c>
      <c r="P808" s="110">
        <f t="shared" si="820"/>
        <v>19.5</v>
      </c>
      <c r="Q808" s="111">
        <f>VLOOKUP(VLOOKUP(DATEVALUE(TEXT(A808,"m/d/yyyy")),FY24_Temp[],5,FALSE)&amp;TEXT(A808,"-h"),TempDelta[],4,FALSE)</f>
        <v>1.4252856969833374</v>
      </c>
      <c r="R808" s="112">
        <v>10</v>
      </c>
      <c r="S808" s="112">
        <v>1500</v>
      </c>
      <c r="T808" s="99">
        <f>VLOOKUP(TEXT(A808,"yy-mm")&amp;"-"&amp;IF(AND(WEEKDAY(A808)&gt;1,WEEKDAY(A808)&lt;7),"Wkd",TEXT(A808,"Ddd"))&amp;"-"&amp;TEXT(A808,"hh"),LoadTable[],3,FALSE)*0.92</f>
        <v>279.25312000000002</v>
      </c>
      <c r="U808" s="113">
        <f t="shared" si="821"/>
        <v>27.925312000000002</v>
      </c>
    </row>
    <row r="809" spans="1:21" ht="15" thickBot="1">
      <c r="A809" s="29">
        <f t="shared" si="791"/>
        <v>45869.583333333358</v>
      </c>
      <c r="B809" s="187">
        <f t="shared" ref="B809:L809" si="858">B833</f>
        <v>8000</v>
      </c>
      <c r="C809" s="187">
        <f t="shared" si="858"/>
        <v>25000</v>
      </c>
      <c r="D809" s="187">
        <v>0</v>
      </c>
      <c r="E809" s="187">
        <v>700</v>
      </c>
      <c r="F809" s="187">
        <v>15000</v>
      </c>
      <c r="G809" s="187">
        <f t="shared" si="858"/>
        <v>2400</v>
      </c>
      <c r="H809" s="187">
        <f t="shared" si="858"/>
        <v>25000</v>
      </c>
      <c r="I809" s="187">
        <f t="shared" si="858"/>
        <v>8000</v>
      </c>
      <c r="J809" s="187">
        <v>40000</v>
      </c>
      <c r="K809" s="187">
        <f t="shared" si="858"/>
        <v>8000</v>
      </c>
      <c r="L809" s="187">
        <v>40000</v>
      </c>
      <c r="M809" s="110">
        <v>9.5</v>
      </c>
      <c r="N809" s="110">
        <f>VLOOKUP(DATE(YEAR(A809),MONTH(A809),DAY(A809)),FY24_Temp[],3,FALSE)</f>
        <v>13.5</v>
      </c>
      <c r="O809" s="110">
        <f t="shared" si="819"/>
        <v>11.5</v>
      </c>
      <c r="P809" s="110">
        <f t="shared" si="820"/>
        <v>19.5</v>
      </c>
      <c r="Q809" s="111">
        <f>VLOOKUP(VLOOKUP(DATEVALUE(TEXT(A809,"m/d/yyyy")),FY24_Temp[],5,FALSE)&amp;TEXT(A809,"-h"),TempDelta[],4,FALSE)</f>
        <v>1.2351428781236922</v>
      </c>
      <c r="R809" s="112">
        <v>10</v>
      </c>
      <c r="S809" s="112">
        <v>1500</v>
      </c>
      <c r="T809" s="99">
        <f>VLOOKUP(TEXT(A809,"yy-mm")&amp;"-"&amp;IF(AND(WEEKDAY(A809)&gt;1,WEEKDAY(A809)&lt;7),"Wkd",TEXT(A809,"Ddd"))&amp;"-"&amp;TEXT(A809,"hh"),LoadTable[],3,FALSE)*0.92</f>
        <v>373.26607999999999</v>
      </c>
      <c r="U809" s="113">
        <f t="shared" si="821"/>
        <v>37.326608</v>
      </c>
    </row>
    <row r="810" spans="1:21" ht="15" thickBot="1">
      <c r="A810" s="29">
        <f t="shared" ref="A810:A817" si="859">A811-TIME(1,0,0)</f>
        <v>45869.625000000022</v>
      </c>
      <c r="B810" s="187">
        <f t="shared" ref="B810:L810" si="860">B834</f>
        <v>8000</v>
      </c>
      <c r="C810" s="187">
        <f t="shared" si="860"/>
        <v>25000</v>
      </c>
      <c r="D810" s="187">
        <v>0</v>
      </c>
      <c r="E810" s="187">
        <v>700</v>
      </c>
      <c r="F810" s="187">
        <v>15000</v>
      </c>
      <c r="G810" s="187">
        <f t="shared" si="860"/>
        <v>2400</v>
      </c>
      <c r="H810" s="187">
        <f t="shared" si="860"/>
        <v>25000</v>
      </c>
      <c r="I810" s="187">
        <f t="shared" si="860"/>
        <v>8000</v>
      </c>
      <c r="J810" s="187">
        <v>40000</v>
      </c>
      <c r="K810" s="187">
        <f t="shared" si="860"/>
        <v>8000</v>
      </c>
      <c r="L810" s="187">
        <v>40000</v>
      </c>
      <c r="M810" s="110">
        <v>9.5</v>
      </c>
      <c r="N810" s="110">
        <f>VLOOKUP(DATE(YEAR(A810),MONTH(A810),DAY(A810)),FY24_Temp[],3,FALSE)</f>
        <v>13.5</v>
      </c>
      <c r="O810" s="110">
        <f t="shared" si="819"/>
        <v>11.5</v>
      </c>
      <c r="P810" s="110">
        <f t="shared" si="820"/>
        <v>19.5</v>
      </c>
      <c r="Q810" s="111">
        <f>VLOOKUP(VLOOKUP(DATEVALUE(TEXT(A810,"m/d/yyyy")),FY24_Temp[],5,FALSE)&amp;TEXT(A810,"-h"),TempDelta[],4,FALSE)</f>
        <v>0.97514284508568905</v>
      </c>
      <c r="R810" s="112">
        <v>10</v>
      </c>
      <c r="S810" s="112">
        <v>1500</v>
      </c>
      <c r="T810" s="99">
        <f>VLOOKUP(TEXT(A810,"yy-mm")&amp;"-"&amp;IF(AND(WEEKDAY(A810)&gt;1,WEEKDAY(A810)&lt;7),"Wkd",TEXT(A810,"Ddd"))&amp;"-"&amp;TEXT(A810,"hh"),LoadTable[],3,FALSE)*0.92</f>
        <v>494.57360000000006</v>
      </c>
      <c r="U810" s="113">
        <f t="shared" si="821"/>
        <v>49.457360000000008</v>
      </c>
    </row>
    <row r="811" spans="1:21" ht="15" thickBot="1">
      <c r="A811" s="29">
        <f t="shared" si="859"/>
        <v>45869.666666666686</v>
      </c>
      <c r="B811" s="187">
        <f t="shared" ref="B811:L811" si="861">B835</f>
        <v>8000</v>
      </c>
      <c r="C811" s="187">
        <f t="shared" si="861"/>
        <v>25000</v>
      </c>
      <c r="D811" s="187">
        <v>0</v>
      </c>
      <c r="E811" s="187">
        <v>700</v>
      </c>
      <c r="F811" s="187">
        <v>15000</v>
      </c>
      <c r="G811" s="187">
        <f t="shared" si="861"/>
        <v>2400</v>
      </c>
      <c r="H811" s="187">
        <f t="shared" si="861"/>
        <v>25000</v>
      </c>
      <c r="I811" s="187">
        <f t="shared" si="861"/>
        <v>8000</v>
      </c>
      <c r="J811" s="187">
        <v>40000</v>
      </c>
      <c r="K811" s="187">
        <f t="shared" si="861"/>
        <v>8000</v>
      </c>
      <c r="L811" s="187">
        <v>40000</v>
      </c>
      <c r="M811" s="110">
        <v>9.5</v>
      </c>
      <c r="N811" s="110">
        <f>VLOOKUP(DATE(YEAR(A811),MONTH(A811),DAY(A811)),FY24_Temp[],3,FALSE)</f>
        <v>13.5</v>
      </c>
      <c r="O811" s="110">
        <f t="shared" si="819"/>
        <v>11.5</v>
      </c>
      <c r="P811" s="110">
        <f t="shared" si="820"/>
        <v>19.5</v>
      </c>
      <c r="Q811" s="111">
        <f>VLOOKUP(VLOOKUP(DATEVALUE(TEXT(A811,"m/d/yyyy")),FY24_Temp[],5,FALSE)&amp;TEXT(A811,"-h"),TempDelta[],4,FALSE)</f>
        <v>0.88578571166310993</v>
      </c>
      <c r="R811" s="112">
        <v>10</v>
      </c>
      <c r="S811" s="112">
        <v>1500</v>
      </c>
      <c r="T811" s="99">
        <f>VLOOKUP(TEXT(A811,"yy-mm")&amp;"-"&amp;IF(AND(WEEKDAY(A811)&gt;1,WEEKDAY(A811)&lt;7),"Wkd",TEXT(A811,"Ddd"))&amp;"-"&amp;TEXT(A811,"hh"),LoadTable[],3,FALSE)*0.92</f>
        <v>494.57360000000006</v>
      </c>
      <c r="U811" s="113">
        <f t="shared" si="821"/>
        <v>49.457360000000008</v>
      </c>
    </row>
    <row r="812" spans="1:21" ht="15" thickBot="1">
      <c r="A812" s="29">
        <f t="shared" si="859"/>
        <v>45869.70833333335</v>
      </c>
      <c r="B812" s="187">
        <f t="shared" ref="B812:L812" si="862">B836</f>
        <v>8000</v>
      </c>
      <c r="C812" s="187">
        <f t="shared" si="862"/>
        <v>25000</v>
      </c>
      <c r="D812" s="187">
        <v>0</v>
      </c>
      <c r="E812" s="187">
        <v>700</v>
      </c>
      <c r="F812" s="187">
        <v>15000</v>
      </c>
      <c r="G812" s="187">
        <f t="shared" si="862"/>
        <v>2400</v>
      </c>
      <c r="H812" s="187">
        <f t="shared" si="862"/>
        <v>25000</v>
      </c>
      <c r="I812" s="187">
        <f t="shared" si="862"/>
        <v>8000</v>
      </c>
      <c r="J812" s="187">
        <v>40000</v>
      </c>
      <c r="K812" s="187">
        <f t="shared" si="862"/>
        <v>8000</v>
      </c>
      <c r="L812" s="187">
        <v>40000</v>
      </c>
      <c r="M812" s="110">
        <v>9.5</v>
      </c>
      <c r="N812" s="110">
        <f>VLOOKUP(DATE(YEAR(A812),MONTH(A812),DAY(A812)),FY24_Temp[],3,FALSE)</f>
        <v>13.5</v>
      </c>
      <c r="O812" s="110">
        <f t="shared" si="819"/>
        <v>11.5</v>
      </c>
      <c r="P812" s="110">
        <f t="shared" si="820"/>
        <v>19.5</v>
      </c>
      <c r="Q812" s="111">
        <f>VLOOKUP(VLOOKUP(DATEVALUE(TEXT(A812,"m/d/yyyy")),FY24_Temp[],5,FALSE)&amp;TEXT(A812,"-h"),TempDelta[],4,FALSE)</f>
        <v>1.0356428495475225</v>
      </c>
      <c r="R812" s="112">
        <v>10</v>
      </c>
      <c r="S812" s="112">
        <v>1500</v>
      </c>
      <c r="T812" s="99">
        <f>VLOOKUP(TEXT(A812,"yy-mm")&amp;"-"&amp;IF(AND(WEEKDAY(A812)&gt;1,WEEKDAY(A812)&lt;7),"Wkd",TEXT(A812,"Ddd"))&amp;"-"&amp;TEXT(A812,"hh"),LoadTable[],3,FALSE)*0.92</f>
        <v>494.57360000000006</v>
      </c>
      <c r="U812" s="113">
        <f t="shared" si="821"/>
        <v>49.457360000000008</v>
      </c>
    </row>
    <row r="813" spans="1:21" ht="15" thickBot="1">
      <c r="A813" s="29">
        <f t="shared" si="859"/>
        <v>45869.750000000015</v>
      </c>
      <c r="B813" s="187">
        <f t="shared" ref="B813:L813" si="863">B837</f>
        <v>5000</v>
      </c>
      <c r="C813" s="187">
        <f t="shared" si="863"/>
        <v>25000</v>
      </c>
      <c r="D813" s="187">
        <v>0</v>
      </c>
      <c r="E813" s="187">
        <v>700</v>
      </c>
      <c r="F813" s="187">
        <v>15000</v>
      </c>
      <c r="G813" s="187">
        <f t="shared" si="863"/>
        <v>2400</v>
      </c>
      <c r="H813" s="187">
        <f t="shared" si="863"/>
        <v>25000</v>
      </c>
      <c r="I813" s="187">
        <f t="shared" si="863"/>
        <v>5000</v>
      </c>
      <c r="J813" s="187">
        <v>40000</v>
      </c>
      <c r="K813" s="187">
        <f t="shared" si="863"/>
        <v>5000</v>
      </c>
      <c r="L813" s="187">
        <v>40000</v>
      </c>
      <c r="M813" s="110">
        <v>9.5</v>
      </c>
      <c r="N813" s="110">
        <f>VLOOKUP(DATE(YEAR(A813),MONTH(A813),DAY(A813)),FY24_Temp[],3,FALSE)</f>
        <v>13.5</v>
      </c>
      <c r="O813" s="110">
        <f t="shared" si="819"/>
        <v>11.5</v>
      </c>
      <c r="P813" s="110">
        <f t="shared" si="820"/>
        <v>19.5</v>
      </c>
      <c r="Q813" s="111">
        <f>VLOOKUP(VLOOKUP(DATEVALUE(TEXT(A813,"m/d/yyyy")),FY24_Temp[],5,FALSE)&amp;TEXT(A813,"-h"),TempDelta[],4,FALSE)</f>
        <v>1.3991428358214242</v>
      </c>
      <c r="R813" s="112">
        <v>10</v>
      </c>
      <c r="S813" s="112">
        <v>1500</v>
      </c>
      <c r="T813" s="99">
        <f>VLOOKUP(TEXT(A813,"yy-mm")&amp;"-"&amp;IF(AND(WEEKDAY(A813)&gt;1,WEEKDAY(A813)&lt;7),"Wkd",TEXT(A813,"Ddd"))&amp;"-"&amp;TEXT(A813,"hh"),LoadTable[],3,FALSE)*0.92</f>
        <v>494.57360000000006</v>
      </c>
      <c r="U813" s="113">
        <f t="shared" si="821"/>
        <v>49.457360000000008</v>
      </c>
    </row>
    <row r="814" spans="1:21" ht="15" thickBot="1">
      <c r="A814" s="29">
        <f t="shared" si="859"/>
        <v>45869.791666666679</v>
      </c>
      <c r="B814" s="187">
        <f t="shared" ref="B814:L814" si="864">B838</f>
        <v>5000</v>
      </c>
      <c r="C814" s="187">
        <f t="shared" si="864"/>
        <v>25000</v>
      </c>
      <c r="D814" s="187">
        <v>0</v>
      </c>
      <c r="E814" s="187">
        <v>700</v>
      </c>
      <c r="F814" s="187">
        <v>15000</v>
      </c>
      <c r="G814" s="187">
        <f t="shared" si="864"/>
        <v>2400</v>
      </c>
      <c r="H814" s="187">
        <f t="shared" si="864"/>
        <v>25000</v>
      </c>
      <c r="I814" s="187">
        <f t="shared" si="864"/>
        <v>5000</v>
      </c>
      <c r="J814" s="187">
        <v>40000</v>
      </c>
      <c r="K814" s="187">
        <f t="shared" si="864"/>
        <v>5000</v>
      </c>
      <c r="L814" s="187">
        <v>40000</v>
      </c>
      <c r="M814" s="110">
        <v>9.5</v>
      </c>
      <c r="N814" s="110">
        <f>VLOOKUP(DATE(YEAR(A814),MONTH(A814),DAY(A814)),FY24_Temp[],3,FALSE)</f>
        <v>13.5</v>
      </c>
      <c r="O814" s="110">
        <f t="shared" si="819"/>
        <v>11.5</v>
      </c>
      <c r="P814" s="110">
        <f t="shared" si="820"/>
        <v>19.5</v>
      </c>
      <c r="Q814" s="111">
        <f>VLOOKUP(VLOOKUP(DATEVALUE(TEXT(A814,"m/d/yyyy")),FY24_Temp[],5,FALSE)&amp;TEXT(A814,"-h"),TempDelta[],4,FALSE)</f>
        <v>1.8638571415628706</v>
      </c>
      <c r="R814" s="112">
        <v>10</v>
      </c>
      <c r="S814" s="112">
        <v>1500</v>
      </c>
      <c r="T814" s="99">
        <f>VLOOKUP(TEXT(A814,"yy-mm")&amp;"-"&amp;IF(AND(WEEKDAY(A814)&gt;1,WEEKDAY(A814)&lt;7),"Wkd",TEXT(A814,"Ddd"))&amp;"-"&amp;TEXT(A814,"hh"),LoadTable[],3,FALSE)*0.92</f>
        <v>494.57360000000006</v>
      </c>
      <c r="U814" s="113">
        <f t="shared" si="821"/>
        <v>49.457360000000008</v>
      </c>
    </row>
    <row r="815" spans="1:21" ht="15" thickBot="1">
      <c r="A815" s="29">
        <f t="shared" si="859"/>
        <v>45869.833333333343</v>
      </c>
      <c r="B815" s="187">
        <f t="shared" ref="B815:L815" si="865">B839</f>
        <v>5000</v>
      </c>
      <c r="C815" s="187">
        <f t="shared" si="865"/>
        <v>25000</v>
      </c>
      <c r="D815" s="187">
        <v>0</v>
      </c>
      <c r="E815" s="187">
        <v>700</v>
      </c>
      <c r="F815" s="187">
        <v>15000</v>
      </c>
      <c r="G815" s="187">
        <f t="shared" si="865"/>
        <v>2400</v>
      </c>
      <c r="H815" s="187">
        <f t="shared" si="865"/>
        <v>25000</v>
      </c>
      <c r="I815" s="187">
        <f t="shared" si="865"/>
        <v>5000</v>
      </c>
      <c r="J815" s="187">
        <v>40000</v>
      </c>
      <c r="K815" s="187">
        <f t="shared" si="865"/>
        <v>5000</v>
      </c>
      <c r="L815" s="187">
        <v>40000</v>
      </c>
      <c r="M815" s="110">
        <v>9.5</v>
      </c>
      <c r="N815" s="110">
        <f>VLOOKUP(DATE(YEAR(A815),MONTH(A815),DAY(A815)),FY24_Temp[],3,FALSE)</f>
        <v>13.5</v>
      </c>
      <c r="O815" s="110">
        <f t="shared" si="819"/>
        <v>11.5</v>
      </c>
      <c r="P815" s="110">
        <f t="shared" si="820"/>
        <v>19.5</v>
      </c>
      <c r="Q815" s="111">
        <f>VLOOKUP(VLOOKUP(DATEVALUE(TEXT(A815,"m/d/yyyy")),FY24_Temp[],5,FALSE)&amp;TEXT(A815,"-h"),TempDelta[],4,FALSE)</f>
        <v>2.300714305468968</v>
      </c>
      <c r="R815" s="112">
        <v>10</v>
      </c>
      <c r="S815" s="112">
        <v>1500</v>
      </c>
      <c r="T815" s="99">
        <f>VLOOKUP(TEXT(A815,"yy-mm")&amp;"-"&amp;IF(AND(WEEKDAY(A815)&gt;1,WEEKDAY(A815)&lt;7),"Wkd",TEXT(A815,"Ddd"))&amp;"-"&amp;TEXT(A815,"hh"),LoadTable[],3,FALSE)*0.92</f>
        <v>494.57360000000006</v>
      </c>
      <c r="U815" s="113">
        <f t="shared" si="821"/>
        <v>49.457360000000008</v>
      </c>
    </row>
    <row r="816" spans="1:21" ht="15" thickBot="1">
      <c r="A816" s="29">
        <f t="shared" si="859"/>
        <v>45869.875000000007</v>
      </c>
      <c r="B816" s="187">
        <f t="shared" ref="B816:L816" si="866">B840</f>
        <v>5000</v>
      </c>
      <c r="C816" s="187">
        <f t="shared" si="866"/>
        <v>25000</v>
      </c>
      <c r="D816" s="187">
        <v>0</v>
      </c>
      <c r="E816" s="187">
        <v>700</v>
      </c>
      <c r="F816" s="187">
        <v>15000</v>
      </c>
      <c r="G816" s="187">
        <f t="shared" si="866"/>
        <v>2400</v>
      </c>
      <c r="H816" s="187">
        <f t="shared" si="866"/>
        <v>25000</v>
      </c>
      <c r="I816" s="187">
        <f t="shared" si="866"/>
        <v>5000</v>
      </c>
      <c r="J816" s="187">
        <v>40000</v>
      </c>
      <c r="K816" s="187">
        <f t="shared" si="866"/>
        <v>5000</v>
      </c>
      <c r="L816" s="187">
        <v>40000</v>
      </c>
      <c r="M816" s="110">
        <v>9.5</v>
      </c>
      <c r="N816" s="110">
        <f>VLOOKUP(DATE(YEAR(A816),MONTH(A816),DAY(A816)),FY24_Temp[],3,FALSE)</f>
        <v>13.5</v>
      </c>
      <c r="O816" s="110">
        <f t="shared" si="819"/>
        <v>11.5</v>
      </c>
      <c r="P816" s="110">
        <f t="shared" si="820"/>
        <v>19.5</v>
      </c>
      <c r="Q816" s="111">
        <f>VLOOKUP(VLOOKUP(DATEVALUE(TEXT(A816,"m/d/yyyy")),FY24_Temp[],5,FALSE)&amp;TEXT(A816,"-h"),TempDelta[],4,FALSE)</f>
        <v>2.554214222090585</v>
      </c>
      <c r="R816" s="112">
        <v>10</v>
      </c>
      <c r="S816" s="112">
        <v>1500</v>
      </c>
      <c r="T816" s="99">
        <f>VLOOKUP(TEXT(A816,"yy-mm")&amp;"-"&amp;IF(AND(WEEKDAY(A816)&gt;1,WEEKDAY(A816)&lt;7),"Wkd",TEXT(A816,"Ddd"))&amp;"-"&amp;TEXT(A816,"hh"),LoadTable[],3,FALSE)*0.92</f>
        <v>494.57360000000006</v>
      </c>
      <c r="U816" s="113">
        <f t="shared" si="821"/>
        <v>49.457360000000008</v>
      </c>
    </row>
    <row r="817" spans="1:25" ht="15" thickBot="1">
      <c r="A817" s="29">
        <f t="shared" si="859"/>
        <v>45869.916666666672</v>
      </c>
      <c r="B817" s="187">
        <f t="shared" ref="B817:L817" si="867">B841</f>
        <v>5000</v>
      </c>
      <c r="C817" s="187">
        <f t="shared" si="867"/>
        <v>25000</v>
      </c>
      <c r="D817" s="187">
        <v>0</v>
      </c>
      <c r="E817" s="187">
        <v>700</v>
      </c>
      <c r="F817" s="187">
        <v>15000</v>
      </c>
      <c r="G817" s="187">
        <f t="shared" si="867"/>
        <v>2400</v>
      </c>
      <c r="H817" s="187">
        <f t="shared" si="867"/>
        <v>25000</v>
      </c>
      <c r="I817" s="187">
        <f t="shared" si="867"/>
        <v>5000</v>
      </c>
      <c r="J817" s="187">
        <v>40000</v>
      </c>
      <c r="K817" s="187">
        <f t="shared" si="867"/>
        <v>5000</v>
      </c>
      <c r="L817" s="187">
        <v>40000</v>
      </c>
      <c r="M817" s="110">
        <v>9.5</v>
      </c>
      <c r="N817" s="110">
        <f>VLOOKUP(DATE(YEAR(A817),MONTH(A817),DAY(A817)),FY24_Temp[],3,FALSE)</f>
        <v>13.5</v>
      </c>
      <c r="O817" s="110">
        <f t="shared" si="819"/>
        <v>11.5</v>
      </c>
      <c r="P817" s="110">
        <f t="shared" si="820"/>
        <v>19.5</v>
      </c>
      <c r="Q817" s="111">
        <f>VLOOKUP(VLOOKUP(DATEVALUE(TEXT(A817,"m/d/yyyy")),FY24_Temp[],5,FALSE)&amp;TEXT(A817,"-h"),TempDelta[],4,FALSE)</f>
        <v>2.7827142647334506</v>
      </c>
      <c r="R817" s="112">
        <v>10</v>
      </c>
      <c r="S817" s="112">
        <v>1500</v>
      </c>
      <c r="T817" s="99">
        <f>VLOOKUP(TEXT(A817,"yy-mm")&amp;"-"&amp;IF(AND(WEEKDAY(A817)&gt;1,WEEKDAY(A817)&lt;7),"Wkd",TEXT(A817,"Ddd"))&amp;"-"&amp;TEXT(A817,"hh"),LoadTable[],3,FALSE)*0.92</f>
        <v>418.75640000000004</v>
      </c>
      <c r="U817" s="113">
        <f t="shared" si="821"/>
        <v>41.875640000000004</v>
      </c>
    </row>
    <row r="818" spans="1:25" ht="15" thickBot="1">
      <c r="A818" s="29">
        <f>A819-TIME(1,0,0)</f>
        <v>45869.958333333336</v>
      </c>
      <c r="B818" s="187">
        <f>B842</f>
        <v>5000</v>
      </c>
      <c r="C818" s="187">
        <f t="shared" ref="C818:L818" si="868">C842</f>
        <v>25000</v>
      </c>
      <c r="D818" s="187">
        <v>0</v>
      </c>
      <c r="E818" s="187">
        <v>700</v>
      </c>
      <c r="F818" s="187">
        <v>15000</v>
      </c>
      <c r="G818" s="187">
        <f t="shared" si="868"/>
        <v>2400</v>
      </c>
      <c r="H818" s="187">
        <f t="shared" si="868"/>
        <v>25000</v>
      </c>
      <c r="I818" s="187">
        <f t="shared" si="868"/>
        <v>5000</v>
      </c>
      <c r="J818" s="187">
        <v>40000</v>
      </c>
      <c r="K818" s="187">
        <f t="shared" si="868"/>
        <v>5000</v>
      </c>
      <c r="L818" s="187">
        <v>40000</v>
      </c>
      <c r="M818" s="110">
        <v>9.5</v>
      </c>
      <c r="N818" s="110">
        <f>VLOOKUP(DATE(YEAR(A818),MONTH(A818),DAY(A818)),FY24_Temp[],3,FALSE)</f>
        <v>13.5</v>
      </c>
      <c r="O818" s="110">
        <f t="shared" si="819"/>
        <v>11.5</v>
      </c>
      <c r="P818" s="110">
        <f t="shared" si="820"/>
        <v>19.5</v>
      </c>
      <c r="Q818" s="111">
        <f>VLOOKUP(VLOOKUP(DATEVALUE(TEXT(A818,"m/d/yyyy")),FY24_Temp[],5,FALSE)&amp;TEXT(A818,"-h"),TempDelta[],4,FALSE)</f>
        <v>2.8792857101985385</v>
      </c>
      <c r="R818" s="112">
        <v>10</v>
      </c>
      <c r="S818" s="112">
        <v>1500</v>
      </c>
      <c r="T818" s="99">
        <f>VLOOKUP(TEXT(A818,"yy-mm")&amp;"-"&amp;IF(AND(WEEKDAY(A818)&gt;1,WEEKDAY(A818)&lt;7),"Wkd",TEXT(A818,"Ddd"))&amp;"-"&amp;TEXT(A818,"hh"),LoadTable[],3,FALSE)*0.92</f>
        <v>342.93920000000003</v>
      </c>
      <c r="U818" s="113">
        <f t="shared" si="821"/>
        <v>34.29392</v>
      </c>
    </row>
    <row r="819" spans="1:25" ht="15" thickBot="1">
      <c r="A819" s="115">
        <v>45870</v>
      </c>
      <c r="B819" s="109">
        <v>5000</v>
      </c>
      <c r="C819" s="8">
        <v>25000</v>
      </c>
      <c r="D819" s="187">
        <v>0</v>
      </c>
      <c r="E819" s="187">
        <v>700</v>
      </c>
      <c r="F819" s="187">
        <v>15000</v>
      </c>
      <c r="G819" s="109">
        <v>2400</v>
      </c>
      <c r="H819" s="109">
        <v>25000</v>
      </c>
      <c r="I819" s="109">
        <v>5000</v>
      </c>
      <c r="J819" s="187">
        <v>40000</v>
      </c>
      <c r="K819" s="109">
        <v>5000</v>
      </c>
      <c r="L819" s="187">
        <v>40000</v>
      </c>
      <c r="M819" s="110">
        <v>9.5</v>
      </c>
      <c r="N819" s="110">
        <f>VLOOKUP(DATE(YEAR(A819),MONTH(A819),DAY(A819)),FY24_Temp[],3,FALSE)</f>
        <v>13.5</v>
      </c>
      <c r="O819" s="110">
        <f t="shared" si="819"/>
        <v>11.5</v>
      </c>
      <c r="P819" s="110">
        <f t="shared" si="820"/>
        <v>19.5</v>
      </c>
      <c r="Q819" s="111">
        <f>VLOOKUP(VLOOKUP(DATEVALUE(TEXT(A819,"m/d/yyyy")),FY24_Temp[],5,FALSE)&amp;TEXT(A819,"-h"),TempDelta[],4,FALSE)</f>
        <v>3.0441428933824812</v>
      </c>
      <c r="R819" s="112">
        <v>10</v>
      </c>
      <c r="S819" s="112">
        <v>1500</v>
      </c>
      <c r="T819" s="99">
        <f>VLOOKUP(TEXT(A819,"yy-mm")&amp;"-"&amp;IF(AND(WEEKDAY(A819)&gt;1,WEEKDAY(A819)&lt;7),"Wkd",TEXT(A819,"Ddd"))&amp;"-"&amp;TEXT(A819,"hh"),LoadTable[],3,FALSE)*0.92</f>
        <v>372.20164</v>
      </c>
      <c r="U819" s="113">
        <f t="shared" si="821"/>
        <v>37.220163999999997</v>
      </c>
      <c r="V819" s="112">
        <v>3</v>
      </c>
      <c r="W819" s="112">
        <v>3.2</v>
      </c>
      <c r="X819" s="114">
        <v>2.5569288999999999</v>
      </c>
      <c r="Y819" s="39"/>
    </row>
    <row r="820" spans="1:25" ht="15" thickBot="1">
      <c r="A820" s="29">
        <f>A819+TIME(1,0,0)</f>
        <v>45870.041666666664</v>
      </c>
      <c r="B820" s="42">
        <v>5000</v>
      </c>
      <c r="C820" s="42">
        <v>25000</v>
      </c>
      <c r="D820" s="187">
        <v>0</v>
      </c>
      <c r="E820" s="187">
        <v>700</v>
      </c>
      <c r="F820" s="187">
        <v>15000</v>
      </c>
      <c r="G820" s="42">
        <v>2400</v>
      </c>
      <c r="H820" s="42">
        <v>25000</v>
      </c>
      <c r="I820" s="42">
        <v>5000</v>
      </c>
      <c r="J820" s="187">
        <v>40000</v>
      </c>
      <c r="K820" s="42">
        <v>5000</v>
      </c>
      <c r="L820" s="187">
        <v>40000</v>
      </c>
      <c r="M820" s="110">
        <v>9.5</v>
      </c>
      <c r="N820" s="86">
        <f>VLOOKUP(DATE(YEAR(A820),MONTH(A820),DAY(A820)),FY24_Temp[],3,FALSE)</f>
        <v>13.5</v>
      </c>
      <c r="O820" s="110">
        <f t="shared" si="819"/>
        <v>11.5</v>
      </c>
      <c r="P820" s="110">
        <f t="shared" si="820"/>
        <v>19.5</v>
      </c>
      <c r="Q820" s="87">
        <f>VLOOKUP(VLOOKUP(DATEVALUE(TEXT(A820,"m/d/yyyy")),FY24_Temp[],5,FALSE)&amp;TEXT(A820,"-h"),TempDelta[],4,FALSE)</f>
        <v>3.0992857047489712</v>
      </c>
      <c r="R820">
        <v>10</v>
      </c>
      <c r="S820" s="112">
        <v>1500</v>
      </c>
      <c r="T820" s="98">
        <f>VLOOKUP(TEXT(A820,"yy-mm")&amp;"-"&amp;IF(AND(WEEKDAY(A820)&gt;1,WEEKDAY(A820)&lt;7),"Wkd",TEXT(A820,"Ddd"))&amp;"-"&amp;TEXT(A820,"hh"),LoadTable[],3,FALSE)*0.92</f>
        <v>363.06235999999996</v>
      </c>
      <c r="U820" s="113">
        <f t="shared" si="821"/>
        <v>36.306235999999998</v>
      </c>
      <c r="V820">
        <v>2.6</v>
      </c>
      <c r="W820">
        <v>3.2</v>
      </c>
      <c r="X820" s="86">
        <v>2.5728320999999998</v>
      </c>
      <c r="Y820" s="39"/>
    </row>
    <row r="821" spans="1:25" ht="15" thickBot="1">
      <c r="A821" s="29">
        <f t="shared" ref="A821:A884" si="869">A820+TIME(1,0,0)</f>
        <v>45870.083333333328</v>
      </c>
      <c r="B821" s="8">
        <v>5000</v>
      </c>
      <c r="C821" s="8">
        <v>25000</v>
      </c>
      <c r="D821" s="187">
        <v>0</v>
      </c>
      <c r="E821" s="187">
        <v>700</v>
      </c>
      <c r="F821" s="187">
        <v>15000</v>
      </c>
      <c r="G821" s="8">
        <v>2400</v>
      </c>
      <c r="H821" s="8">
        <v>25000</v>
      </c>
      <c r="I821" s="8">
        <v>5000</v>
      </c>
      <c r="J821" s="187">
        <v>40000</v>
      </c>
      <c r="K821" s="8">
        <v>5000</v>
      </c>
      <c r="L821" s="187">
        <v>40000</v>
      </c>
      <c r="M821" s="110">
        <v>9.5</v>
      </c>
      <c r="N821" s="9">
        <f>VLOOKUP(DATE(YEAR(A821),MONTH(A821),DAY(A821)),FY24_Temp[],3,FALSE)</f>
        <v>13.5</v>
      </c>
      <c r="O821" s="110">
        <f t="shared" si="819"/>
        <v>11.5</v>
      </c>
      <c r="P821" s="110">
        <f t="shared" si="820"/>
        <v>19.5</v>
      </c>
      <c r="Q821" s="79">
        <f>VLOOKUP(VLOOKUP(DATEVALUE(TEXT(A821,"m/d/yyyy")),FY24_Temp[],5,FALSE)&amp;TEXT(A821,"-h"),TempDelta[],4,FALSE)</f>
        <v>3.1050000190734863</v>
      </c>
      <c r="R821">
        <v>10</v>
      </c>
      <c r="S821" s="112">
        <v>1500</v>
      </c>
      <c r="T821" s="5">
        <f>VLOOKUP(TEXT(A821,"yy-mm")&amp;"-"&amp;IF(AND(WEEKDAY(A821)&gt;1,WEEKDAY(A821)&lt;7),"Wkd",TEXT(A821,"Ddd"))&amp;"-"&amp;TEXT(A821,"hh"),LoadTable[],3,FALSE)*0.92</f>
        <v>363.06235999999996</v>
      </c>
      <c r="U821" s="113">
        <f t="shared" si="821"/>
        <v>36.306235999999998</v>
      </c>
      <c r="V821">
        <v>2.8</v>
      </c>
      <c r="W821">
        <v>3.2</v>
      </c>
      <c r="X821" s="9">
        <v>2.6065198999999999</v>
      </c>
      <c r="Y821" s="39"/>
    </row>
    <row r="822" spans="1:25" ht="15" thickBot="1">
      <c r="A822" s="29">
        <f t="shared" si="869"/>
        <v>45870.124999999993</v>
      </c>
      <c r="B822" s="8">
        <v>5000</v>
      </c>
      <c r="C822" s="8">
        <v>25000</v>
      </c>
      <c r="D822" s="187">
        <v>0</v>
      </c>
      <c r="E822" s="187">
        <v>700</v>
      </c>
      <c r="F822" s="187">
        <v>15000</v>
      </c>
      <c r="G822" s="8">
        <v>2400</v>
      </c>
      <c r="H822" s="8">
        <v>25000</v>
      </c>
      <c r="I822" s="8">
        <v>5000</v>
      </c>
      <c r="J822" s="187">
        <v>40000</v>
      </c>
      <c r="K822" s="8">
        <v>5000</v>
      </c>
      <c r="L822" s="187">
        <v>40000</v>
      </c>
      <c r="M822" s="110">
        <v>9.5</v>
      </c>
      <c r="N822" s="9">
        <f>VLOOKUP(DATE(YEAR(A822),MONTH(A822),DAY(A822)),FY24_Temp[],3,FALSE)</f>
        <v>13.5</v>
      </c>
      <c r="O822" s="110">
        <f t="shared" si="819"/>
        <v>11.5</v>
      </c>
      <c r="P822" s="110">
        <f t="shared" si="820"/>
        <v>19.5</v>
      </c>
      <c r="Q822" s="79">
        <f>VLOOKUP(VLOOKUP(DATEVALUE(TEXT(A822,"m/d/yyyy")),FY24_Temp[],5,FALSE)&amp;TEXT(A822,"-h"),TempDelta[],4,FALSE)</f>
        <v>3.0428571701049805</v>
      </c>
      <c r="R822">
        <v>10</v>
      </c>
      <c r="S822" s="112">
        <v>1500</v>
      </c>
      <c r="T822" s="5">
        <f>VLOOKUP(TEXT(A822,"yy-mm")&amp;"-"&amp;IF(AND(WEEKDAY(A822)&gt;1,WEEKDAY(A822)&lt;7),"Wkd",TEXT(A822,"Ddd"))&amp;"-"&amp;TEXT(A822,"hh"),LoadTable[],3,FALSE)*0.92</f>
        <v>363.06235999999996</v>
      </c>
      <c r="U822" s="113">
        <f t="shared" si="821"/>
        <v>36.306235999999998</v>
      </c>
      <c r="V822">
        <v>2.7</v>
      </c>
      <c r="W822">
        <v>3.2</v>
      </c>
      <c r="X822" s="9">
        <v>2.6428592000000002</v>
      </c>
      <c r="Y822" s="39"/>
    </row>
    <row r="823" spans="1:25" ht="15" thickBot="1">
      <c r="A823" s="29">
        <f t="shared" si="869"/>
        <v>45870.166666666657</v>
      </c>
      <c r="B823" s="8">
        <v>5000</v>
      </c>
      <c r="C823" s="8">
        <v>25000</v>
      </c>
      <c r="D823" s="187">
        <v>0</v>
      </c>
      <c r="E823" s="187">
        <v>700</v>
      </c>
      <c r="F823" s="187">
        <v>15000</v>
      </c>
      <c r="G823" s="8">
        <v>2400</v>
      </c>
      <c r="H823" s="8">
        <v>25000</v>
      </c>
      <c r="I823" s="8">
        <v>5000</v>
      </c>
      <c r="J823" s="187">
        <v>40000</v>
      </c>
      <c r="K823" s="8">
        <v>5000</v>
      </c>
      <c r="L823" s="187">
        <v>40000</v>
      </c>
      <c r="M823" s="110">
        <v>9.5</v>
      </c>
      <c r="N823" s="9">
        <f>VLOOKUP(DATE(YEAR(A823),MONTH(A823),DAY(A823)),FY24_Temp[],3,FALSE)</f>
        <v>13.5</v>
      </c>
      <c r="O823" s="110">
        <f t="shared" si="819"/>
        <v>11.5</v>
      </c>
      <c r="P823" s="110">
        <f t="shared" si="820"/>
        <v>19.5</v>
      </c>
      <c r="Q823" s="79">
        <f>VLOOKUP(VLOOKUP(DATEVALUE(TEXT(A823,"m/d/yyyy")),FY24_Temp[],5,FALSE)&amp;TEXT(A823,"-h"),TempDelta[],4,FALSE)</f>
        <v>2.9580000468662808</v>
      </c>
      <c r="R823">
        <v>10</v>
      </c>
      <c r="S823" s="112">
        <v>1500</v>
      </c>
      <c r="T823" s="5">
        <f>VLOOKUP(TEXT(A823,"yy-mm")&amp;"-"&amp;IF(AND(WEEKDAY(A823)&gt;1,WEEKDAY(A823)&lt;7),"Wkd",TEXT(A823,"Ddd"))&amp;"-"&amp;TEXT(A823,"hh"),LoadTable[],3,FALSE)*0.92</f>
        <v>363.06235999999996</v>
      </c>
      <c r="U823" s="113">
        <f t="shared" si="821"/>
        <v>36.306235999999998</v>
      </c>
      <c r="V823">
        <v>3</v>
      </c>
      <c r="W823">
        <v>3.1</v>
      </c>
      <c r="X823" s="9">
        <v>2.6824131000000002</v>
      </c>
      <c r="Y823" s="39"/>
    </row>
    <row r="824" spans="1:25" ht="15" thickBot="1">
      <c r="A824" s="29">
        <f t="shared" si="869"/>
        <v>45870.208333333321</v>
      </c>
      <c r="B824" s="8">
        <v>5000</v>
      </c>
      <c r="C824" s="8">
        <v>25000</v>
      </c>
      <c r="D824" s="187">
        <v>0</v>
      </c>
      <c r="E824" s="187">
        <v>700</v>
      </c>
      <c r="F824" s="187">
        <v>15000</v>
      </c>
      <c r="G824" s="8">
        <v>2400</v>
      </c>
      <c r="H824" s="8">
        <v>25000</v>
      </c>
      <c r="I824" s="8">
        <v>5000</v>
      </c>
      <c r="J824" s="187">
        <v>40000</v>
      </c>
      <c r="K824" s="8">
        <v>5000</v>
      </c>
      <c r="L824" s="187">
        <v>40000</v>
      </c>
      <c r="M824" s="110">
        <v>9.5</v>
      </c>
      <c r="N824" s="9">
        <f>VLOOKUP(DATE(YEAR(A824),MONTH(A824),DAY(A824)),FY24_Temp[],3,FALSE)</f>
        <v>13.5</v>
      </c>
      <c r="O824" s="110">
        <f t="shared" si="819"/>
        <v>11.5</v>
      </c>
      <c r="P824" s="110">
        <f t="shared" si="820"/>
        <v>19.5</v>
      </c>
      <c r="Q824" s="79">
        <f>VLOOKUP(VLOOKUP(DATEVALUE(TEXT(A824,"m/d/yyyy")),FY24_Temp[],5,FALSE)&amp;TEXT(A824,"-h"),TempDelta[],4,FALSE)</f>
        <v>2.8608571801866804</v>
      </c>
      <c r="R824">
        <v>10</v>
      </c>
      <c r="S824" s="112">
        <v>1500</v>
      </c>
      <c r="T824" s="5">
        <f>VLOOKUP(TEXT(A824,"yy-mm")&amp;"-"&amp;IF(AND(WEEKDAY(A824)&gt;1,WEEKDAY(A824)&lt;7),"Wkd",TEXT(A824,"Ddd"))&amp;"-"&amp;TEXT(A824,"hh"),LoadTable[],3,FALSE)*0.92</f>
        <v>363.06235999999996</v>
      </c>
      <c r="U824" s="113">
        <f t="shared" si="821"/>
        <v>36.306235999999998</v>
      </c>
      <c r="V824">
        <v>2.9</v>
      </c>
      <c r="W824">
        <v>3.1</v>
      </c>
      <c r="X824" s="9">
        <v>2.7804096</v>
      </c>
      <c r="Y824" s="39"/>
    </row>
    <row r="825" spans="1:25" ht="15" thickBot="1">
      <c r="A825" s="29">
        <f t="shared" si="869"/>
        <v>45870.249999999985</v>
      </c>
      <c r="B825" s="8">
        <v>8000</v>
      </c>
      <c r="C825" s="8">
        <v>25000</v>
      </c>
      <c r="D825" s="187">
        <v>0</v>
      </c>
      <c r="E825" s="187">
        <v>700</v>
      </c>
      <c r="F825" s="187">
        <v>15000</v>
      </c>
      <c r="G825" s="8">
        <v>2400</v>
      </c>
      <c r="H825" s="8">
        <v>25000</v>
      </c>
      <c r="I825" s="8">
        <v>8000</v>
      </c>
      <c r="J825" s="187">
        <v>40000</v>
      </c>
      <c r="K825" s="8">
        <v>8000</v>
      </c>
      <c r="L825" s="187">
        <v>40000</v>
      </c>
      <c r="M825" s="110">
        <v>9.5</v>
      </c>
      <c r="N825" s="9">
        <f>VLOOKUP(DATE(YEAR(A825),MONTH(A825),DAY(A825)),FY24_Temp[],3,FALSE)</f>
        <v>13.5</v>
      </c>
      <c r="O825" s="110">
        <f t="shared" si="819"/>
        <v>11.5</v>
      </c>
      <c r="P825" s="110">
        <f t="shared" si="820"/>
        <v>19.5</v>
      </c>
      <c r="Q825" s="79">
        <f>VLOOKUP(VLOOKUP(DATEVALUE(TEXT(A825,"m/d/yyyy")),FY24_Temp[],5,FALSE)&amp;TEXT(A825,"-h"),TempDelta[],4,FALSE)</f>
        <v>2.7405714307512556</v>
      </c>
      <c r="R825">
        <v>10</v>
      </c>
      <c r="S825" s="112">
        <v>1500</v>
      </c>
      <c r="T825" s="5">
        <f>VLOOKUP(TEXT(A825,"yy-mm")&amp;"-"&amp;IF(AND(WEEKDAY(A825)&gt;1,WEEKDAY(A825)&lt;7),"Wkd",TEXT(A825,"Ddd"))&amp;"-"&amp;TEXT(A825,"hh"),LoadTable[],3,FALSE)*0.92</f>
        <v>363.06235999999996</v>
      </c>
      <c r="U825" s="113">
        <f t="shared" si="821"/>
        <v>36.306235999999998</v>
      </c>
      <c r="V825">
        <v>2.5</v>
      </c>
      <c r="W825">
        <v>3.1</v>
      </c>
      <c r="X825" s="9">
        <v>2.9252291000000001</v>
      </c>
      <c r="Y825" s="39"/>
    </row>
    <row r="826" spans="1:25" ht="15" thickBot="1">
      <c r="A826" s="29">
        <f t="shared" si="869"/>
        <v>45870.29166666665</v>
      </c>
      <c r="B826" s="8">
        <v>8000</v>
      </c>
      <c r="C826" s="8">
        <v>25000</v>
      </c>
      <c r="D826" s="187">
        <v>0</v>
      </c>
      <c r="E826" s="187">
        <v>700</v>
      </c>
      <c r="F826" s="187">
        <v>15000</v>
      </c>
      <c r="G826" s="8">
        <v>2400</v>
      </c>
      <c r="H826" s="8">
        <v>25000</v>
      </c>
      <c r="I826" s="8">
        <v>8000</v>
      </c>
      <c r="J826" s="187">
        <v>40000</v>
      </c>
      <c r="K826" s="8">
        <v>8000</v>
      </c>
      <c r="L826" s="187">
        <v>40000</v>
      </c>
      <c r="M826" s="110">
        <v>9.5</v>
      </c>
      <c r="N826" s="9">
        <f>VLOOKUP(DATE(YEAR(A826),MONTH(A826),DAY(A826)),FY24_Temp[],3,FALSE)</f>
        <v>13.5</v>
      </c>
      <c r="O826" s="110">
        <f t="shared" si="819"/>
        <v>11.5</v>
      </c>
      <c r="P826" s="110">
        <f t="shared" si="820"/>
        <v>19.5</v>
      </c>
      <c r="Q826" s="79">
        <f>VLOOKUP(VLOOKUP(DATEVALUE(TEXT(A826,"m/d/yyyy")),FY24_Temp[],5,FALSE)&amp;TEXT(A826,"-h"),TempDelta[],4,FALSE)</f>
        <v>2.6134285245622908</v>
      </c>
      <c r="R826">
        <v>10</v>
      </c>
      <c r="S826" s="112">
        <v>1500</v>
      </c>
      <c r="T826" s="5">
        <f>VLOOKUP(TEXT(A826,"yy-mm")&amp;"-"&amp;IF(AND(WEEKDAY(A826)&gt;1,WEEKDAY(A826)&lt;7),"Wkd",TEXT(A826,"Ddd"))&amp;"-"&amp;TEXT(A826,"hh"),LoadTable[],3,FALSE)*0.92</f>
        <v>352.2091200000001</v>
      </c>
      <c r="U826" s="113">
        <f t="shared" si="821"/>
        <v>35.220912000000013</v>
      </c>
      <c r="V826">
        <v>2.5</v>
      </c>
      <c r="W826">
        <v>3.1</v>
      </c>
      <c r="X826" s="9">
        <v>3.0830164</v>
      </c>
      <c r="Y826" s="39"/>
    </row>
    <row r="827" spans="1:25" ht="15" thickBot="1">
      <c r="A827" s="29">
        <f t="shared" si="869"/>
        <v>45870.333333333314</v>
      </c>
      <c r="B827" s="8">
        <v>8000</v>
      </c>
      <c r="C827" s="8">
        <v>25000</v>
      </c>
      <c r="D827" s="187">
        <v>0</v>
      </c>
      <c r="E827" s="187">
        <v>700</v>
      </c>
      <c r="F827" s="187">
        <v>15000</v>
      </c>
      <c r="G827" s="8">
        <v>2400</v>
      </c>
      <c r="H827" s="8">
        <v>25000</v>
      </c>
      <c r="I827" s="8">
        <v>8000</v>
      </c>
      <c r="J827" s="187">
        <v>40000</v>
      </c>
      <c r="K827" s="8">
        <v>8000</v>
      </c>
      <c r="L827" s="187">
        <v>40000</v>
      </c>
      <c r="M827" s="110">
        <v>9.5</v>
      </c>
      <c r="N827" s="9">
        <f>VLOOKUP(DATE(YEAR(A827),MONTH(A827),DAY(A827)),FY24_Temp[],3,FALSE)</f>
        <v>13.5</v>
      </c>
      <c r="O827" s="110">
        <f t="shared" si="819"/>
        <v>11.5</v>
      </c>
      <c r="P827" s="110">
        <f t="shared" si="820"/>
        <v>19.5</v>
      </c>
      <c r="Q827" s="79">
        <f>VLOOKUP(VLOOKUP(DATEVALUE(TEXT(A827,"m/d/yyyy")),FY24_Temp[],5,FALSE)&amp;TEXT(A827,"-h"),TempDelta[],4,FALSE)</f>
        <v>2.44985716683524</v>
      </c>
      <c r="R827">
        <v>10</v>
      </c>
      <c r="S827" s="112">
        <v>1500</v>
      </c>
      <c r="T827" s="5">
        <f>VLOOKUP(TEXT(A827,"yy-mm")&amp;"-"&amp;IF(AND(WEEKDAY(A827)&gt;1,WEEKDAY(A827)&lt;7),"Wkd",TEXT(A827,"Ddd"))&amp;"-"&amp;TEXT(A827,"hh"),LoadTable[],3,FALSE)*0.92</f>
        <v>352.2091200000001</v>
      </c>
      <c r="U827" s="113">
        <f t="shared" si="821"/>
        <v>35.220912000000013</v>
      </c>
      <c r="V827">
        <v>3.2</v>
      </c>
      <c r="W827">
        <v>3</v>
      </c>
      <c r="X827" s="9">
        <v>3.1579742</v>
      </c>
      <c r="Y827" s="39"/>
    </row>
    <row r="828" spans="1:25" ht="15" thickBot="1">
      <c r="A828" s="29">
        <f t="shared" si="869"/>
        <v>45870.374999999978</v>
      </c>
      <c r="B828" s="8">
        <v>8000</v>
      </c>
      <c r="C828" s="8">
        <v>25000</v>
      </c>
      <c r="D828" s="187">
        <v>0</v>
      </c>
      <c r="E828" s="187">
        <v>700</v>
      </c>
      <c r="F828" s="187">
        <v>15000</v>
      </c>
      <c r="G828" s="8">
        <v>2400</v>
      </c>
      <c r="H828" s="8">
        <v>25000</v>
      </c>
      <c r="I828" s="8">
        <v>8000</v>
      </c>
      <c r="J828" s="187">
        <v>40000</v>
      </c>
      <c r="K828" s="8">
        <v>8000</v>
      </c>
      <c r="L828" s="187">
        <v>40000</v>
      </c>
      <c r="M828" s="110">
        <v>9.5</v>
      </c>
      <c r="N828" s="9">
        <f>VLOOKUP(DATE(YEAR(A828),MONTH(A828),DAY(A828)),FY24_Temp[],3,FALSE)</f>
        <v>13.5</v>
      </c>
      <c r="O828" s="110">
        <f t="shared" si="819"/>
        <v>11.5</v>
      </c>
      <c r="P828" s="110">
        <f t="shared" si="820"/>
        <v>19.5</v>
      </c>
      <c r="Q828" s="79">
        <f>VLOOKUP(VLOOKUP(DATEVALUE(TEXT(A828,"m/d/yyyy")),FY24_Temp[],5,FALSE)&amp;TEXT(A828,"-h"),TempDelta[],4,FALSE)</f>
        <v>2.2458571025303433</v>
      </c>
      <c r="R828">
        <v>10</v>
      </c>
      <c r="S828" s="112">
        <v>1500</v>
      </c>
      <c r="T828" s="5">
        <f>VLOOKUP(TEXT(A828,"yy-mm")&amp;"-"&amp;IF(AND(WEEKDAY(A828)&gt;1,WEEKDAY(A828)&lt;7),"Wkd",TEXT(A828,"Ddd"))&amp;"-"&amp;TEXT(A828,"hh"),LoadTable[],3,FALSE)*0.92</f>
        <v>340.60949077857163</v>
      </c>
      <c r="U828" s="113">
        <f t="shared" si="821"/>
        <v>34.06094907785716</v>
      </c>
      <c r="V828">
        <v>2.9</v>
      </c>
      <c r="W828">
        <v>3</v>
      </c>
      <c r="X828" s="9">
        <v>3.2167728000000002</v>
      </c>
      <c r="Y828" s="39"/>
    </row>
    <row r="829" spans="1:25" ht="15" thickBot="1">
      <c r="A829" s="29">
        <f t="shared" si="869"/>
        <v>45870.416666666642</v>
      </c>
      <c r="B829" s="8">
        <v>8000</v>
      </c>
      <c r="C829" s="8">
        <v>25000</v>
      </c>
      <c r="D829" s="187">
        <v>0</v>
      </c>
      <c r="E829" s="187">
        <v>700</v>
      </c>
      <c r="F829" s="187">
        <v>15000</v>
      </c>
      <c r="G829" s="8">
        <v>2400</v>
      </c>
      <c r="H829" s="8">
        <v>25000</v>
      </c>
      <c r="I829" s="8">
        <v>8000</v>
      </c>
      <c r="J829" s="187">
        <v>40000</v>
      </c>
      <c r="K829" s="8">
        <v>8000</v>
      </c>
      <c r="L829" s="187">
        <v>40000</v>
      </c>
      <c r="M829" s="110">
        <v>9.5</v>
      </c>
      <c r="N829" s="9">
        <f>VLOOKUP(DATE(YEAR(A829),MONTH(A829),DAY(A829)),FY24_Temp[],3,FALSE)</f>
        <v>13.5</v>
      </c>
      <c r="O829" s="110">
        <f t="shared" si="819"/>
        <v>11.5</v>
      </c>
      <c r="P829" s="110">
        <f t="shared" si="820"/>
        <v>19.5</v>
      </c>
      <c r="Q829" s="79">
        <f>VLOOKUP(VLOOKUP(DATEVALUE(TEXT(A829,"m/d/yyyy")),FY24_Temp[],5,FALSE)&amp;TEXT(A829,"-h"),TempDelta[],4,FALSE)</f>
        <v>2.0832857234137401</v>
      </c>
      <c r="R829">
        <v>10</v>
      </c>
      <c r="S829" s="112">
        <v>1500</v>
      </c>
      <c r="T829" s="5">
        <f>VLOOKUP(TEXT(A829,"yy-mm")&amp;"-"&amp;IF(AND(WEEKDAY(A829)&gt;1,WEEKDAY(A829)&lt;7),"Wkd",TEXT(A829,"Ddd"))&amp;"-"&amp;TEXT(A829,"hh"),LoadTable[],3,FALSE)*0.92</f>
        <v>338.44093501457746</v>
      </c>
      <c r="U829" s="113">
        <f t="shared" si="821"/>
        <v>33.844093501457749</v>
      </c>
      <c r="V829">
        <v>2.9</v>
      </c>
      <c r="W829">
        <v>3</v>
      </c>
      <c r="X829" s="9">
        <v>3.2937151999999998</v>
      </c>
      <c r="Y829" s="39"/>
    </row>
    <row r="830" spans="1:25" ht="15" thickBot="1">
      <c r="A830" s="29">
        <f t="shared" si="869"/>
        <v>45870.458333333307</v>
      </c>
      <c r="B830" s="8">
        <v>8000</v>
      </c>
      <c r="C830" s="8">
        <v>25000</v>
      </c>
      <c r="D830" s="187">
        <v>0</v>
      </c>
      <c r="E830" s="187">
        <v>700</v>
      </c>
      <c r="F830" s="187">
        <v>15000</v>
      </c>
      <c r="G830" s="8">
        <v>2400</v>
      </c>
      <c r="H830" s="8">
        <v>25000</v>
      </c>
      <c r="I830" s="8">
        <v>8000</v>
      </c>
      <c r="J830" s="187">
        <v>40000</v>
      </c>
      <c r="K830" s="8">
        <v>8000</v>
      </c>
      <c r="L830" s="187">
        <v>40000</v>
      </c>
      <c r="M830" s="110">
        <v>9.5</v>
      </c>
      <c r="N830" s="9">
        <f>VLOOKUP(DATE(YEAR(A830),MONTH(A830),DAY(A830)),FY24_Temp[],3,FALSE)</f>
        <v>13.5</v>
      </c>
      <c r="O830" s="110">
        <f t="shared" si="819"/>
        <v>11.5</v>
      </c>
      <c r="P830" s="110">
        <f t="shared" si="820"/>
        <v>19.5</v>
      </c>
      <c r="Q830" s="79">
        <f>VLOOKUP(VLOOKUP(DATEVALUE(TEXT(A830,"m/d/yyyy")),FY24_Temp[],5,FALSE)&amp;TEXT(A830,"-h"),TempDelta[],4,FALSE)</f>
        <v>1.8928571258272444</v>
      </c>
      <c r="R830">
        <v>10</v>
      </c>
      <c r="S830" s="112">
        <v>1500</v>
      </c>
      <c r="T830" s="5">
        <f>VLOOKUP(TEXT(A830,"yy-mm")&amp;"-"&amp;IF(AND(WEEKDAY(A830)&gt;1,WEEKDAY(A830)&lt;7),"Wkd",TEXT(A830,"Ddd"))&amp;"-"&amp;TEXT(A830,"hh"),LoadTable[],3,FALSE)*0.92</f>
        <v>338.44093501457746</v>
      </c>
      <c r="U830" s="113">
        <f t="shared" si="821"/>
        <v>33.844093501457749</v>
      </c>
      <c r="V830">
        <v>3.4</v>
      </c>
      <c r="W830">
        <v>3</v>
      </c>
      <c r="X830" s="9">
        <v>3.2510406999999999</v>
      </c>
      <c r="Y830" s="39"/>
    </row>
    <row r="831" spans="1:25" ht="15" thickBot="1">
      <c r="A831" s="29">
        <f t="shared" si="869"/>
        <v>45870.499999999971</v>
      </c>
      <c r="B831" s="8">
        <v>8000</v>
      </c>
      <c r="C831" s="8">
        <v>25000</v>
      </c>
      <c r="D831" s="187">
        <v>0</v>
      </c>
      <c r="E831" s="187">
        <v>700</v>
      </c>
      <c r="F831" s="187">
        <v>15000</v>
      </c>
      <c r="G831" s="8">
        <v>2400</v>
      </c>
      <c r="H831" s="8">
        <v>25000</v>
      </c>
      <c r="I831" s="8">
        <v>8000</v>
      </c>
      <c r="J831" s="187">
        <v>40000</v>
      </c>
      <c r="K831" s="8">
        <v>8000</v>
      </c>
      <c r="L831" s="187">
        <v>40000</v>
      </c>
      <c r="M831" s="110">
        <v>9.5</v>
      </c>
      <c r="N831" s="9">
        <f>VLOOKUP(DATE(YEAR(A831),MONTH(A831),DAY(A831)),FY24_Temp[],3,FALSE)</f>
        <v>13.5</v>
      </c>
      <c r="O831" s="110">
        <f t="shared" si="819"/>
        <v>11.5</v>
      </c>
      <c r="P831" s="110">
        <f t="shared" si="820"/>
        <v>19.5</v>
      </c>
      <c r="Q831" s="79">
        <f>VLOOKUP(VLOOKUP(DATEVALUE(TEXT(A831,"m/d/yyyy")),FY24_Temp[],5,FALSE)&amp;TEXT(A831,"-h"),TempDelta[],4,FALSE)</f>
        <v>1.665857127734593</v>
      </c>
      <c r="R831">
        <v>10</v>
      </c>
      <c r="S831" s="112">
        <v>1500</v>
      </c>
      <c r="T831" s="5">
        <f>VLOOKUP(TEXT(A831,"yy-mm")&amp;"-"&amp;IF(AND(WEEKDAY(A831)&gt;1,WEEKDAY(A831)&lt;7),"Wkd",TEXT(A831,"Ddd"))&amp;"-"&amp;TEXT(A831,"hh"),LoadTable[],3,FALSE)*0.92</f>
        <v>338.44093501457746</v>
      </c>
      <c r="U831" s="113">
        <f t="shared" si="821"/>
        <v>33.844093501457749</v>
      </c>
      <c r="V831">
        <v>3.1</v>
      </c>
      <c r="W831">
        <v>2.9</v>
      </c>
      <c r="X831" s="9">
        <v>3.1067328000000001</v>
      </c>
      <c r="Y831" s="39"/>
    </row>
    <row r="832" spans="1:25" ht="15" thickBot="1">
      <c r="A832" s="29">
        <f t="shared" si="869"/>
        <v>45870.541666666635</v>
      </c>
      <c r="B832" s="8">
        <v>8000</v>
      </c>
      <c r="C832" s="8">
        <v>25000</v>
      </c>
      <c r="D832" s="187">
        <v>0</v>
      </c>
      <c r="E832" s="187">
        <v>700</v>
      </c>
      <c r="F832" s="187">
        <v>15000</v>
      </c>
      <c r="G832" s="8">
        <v>2400</v>
      </c>
      <c r="H832" s="8">
        <v>25000</v>
      </c>
      <c r="I832" s="8">
        <v>8000</v>
      </c>
      <c r="J832" s="187">
        <v>40000</v>
      </c>
      <c r="K832" s="8">
        <v>8000</v>
      </c>
      <c r="L832" s="187">
        <v>40000</v>
      </c>
      <c r="M832" s="110">
        <v>9.5</v>
      </c>
      <c r="N832" s="9">
        <f>VLOOKUP(DATE(YEAR(A832),MONTH(A832),DAY(A832)),FY24_Temp[],3,FALSE)</f>
        <v>13.5</v>
      </c>
      <c r="O832" s="110">
        <f t="shared" si="819"/>
        <v>11.5</v>
      </c>
      <c r="P832" s="110">
        <f t="shared" si="820"/>
        <v>19.5</v>
      </c>
      <c r="Q832" s="79">
        <f>VLOOKUP(VLOOKUP(DATEVALUE(TEXT(A832,"m/d/yyyy")),FY24_Temp[],5,FALSE)&amp;TEXT(A832,"-h"),TempDelta[],4,FALSE)</f>
        <v>1.4252856969833374</v>
      </c>
      <c r="R832">
        <v>10</v>
      </c>
      <c r="S832" s="112">
        <v>1500</v>
      </c>
      <c r="T832" s="5">
        <f>VLOOKUP(TEXT(A832,"yy-mm")&amp;"-"&amp;IF(AND(WEEKDAY(A832)&gt;1,WEEKDAY(A832)&lt;7),"Wkd",TEXT(A832,"Ddd"))&amp;"-"&amp;TEXT(A832,"hh"),LoadTable[],3,FALSE)*0.92</f>
        <v>389.90980000000025</v>
      </c>
      <c r="U832" s="113">
        <f t="shared" si="821"/>
        <v>38.990980000000022</v>
      </c>
      <c r="V832">
        <v>3.2</v>
      </c>
      <c r="W832">
        <v>2.9</v>
      </c>
      <c r="X832" s="9">
        <v>2.9126077000000001</v>
      </c>
      <c r="Y832" s="39"/>
    </row>
    <row r="833" spans="1:25" ht="15" thickBot="1">
      <c r="A833" s="29">
        <f t="shared" si="869"/>
        <v>45870.583333333299</v>
      </c>
      <c r="B833" s="8">
        <v>8000</v>
      </c>
      <c r="C833" s="8">
        <v>25000</v>
      </c>
      <c r="D833" s="187">
        <v>0</v>
      </c>
      <c r="E833" s="187">
        <v>700</v>
      </c>
      <c r="F833" s="187">
        <v>15000</v>
      </c>
      <c r="G833" s="8">
        <v>2400</v>
      </c>
      <c r="H833" s="8">
        <v>25000</v>
      </c>
      <c r="I833" s="8">
        <v>8000</v>
      </c>
      <c r="J833" s="187">
        <v>40000</v>
      </c>
      <c r="K833" s="8">
        <v>8000</v>
      </c>
      <c r="L833" s="187">
        <v>40000</v>
      </c>
      <c r="M833" s="110">
        <v>9.5</v>
      </c>
      <c r="N833" s="9">
        <f>VLOOKUP(DATE(YEAR(A833),MONTH(A833),DAY(A833)),FY24_Temp[],3,FALSE)</f>
        <v>13.5</v>
      </c>
      <c r="O833" s="110">
        <f t="shared" si="819"/>
        <v>11.5</v>
      </c>
      <c r="P833" s="110">
        <f t="shared" si="820"/>
        <v>19.5</v>
      </c>
      <c r="Q833" s="79">
        <f>VLOOKUP(VLOOKUP(DATEVALUE(TEXT(A833,"m/d/yyyy")),FY24_Temp[],5,FALSE)&amp;TEXT(A833,"-h"),TempDelta[],4,FALSE)</f>
        <v>1.2351428781236922</v>
      </c>
      <c r="R833">
        <v>10</v>
      </c>
      <c r="S833" s="112">
        <v>1500</v>
      </c>
      <c r="T833" s="5">
        <f>VLOOKUP(TEXT(A833,"yy-mm")&amp;"-"&amp;IF(AND(WEEKDAY(A833)&gt;1,WEEKDAY(A833)&lt;7),"Wkd",TEXT(A833,"Ddd"))&amp;"-"&amp;TEXT(A833,"hh"),LoadTable[],3,FALSE)*0.92</f>
        <v>625.53652000000022</v>
      </c>
      <c r="U833" s="113">
        <f t="shared" si="821"/>
        <v>62.553652000000021</v>
      </c>
      <c r="V833">
        <v>3.5</v>
      </c>
      <c r="W833">
        <v>2.9</v>
      </c>
      <c r="X833" s="9">
        <v>2.8376633999999998</v>
      </c>
      <c r="Y833" s="39"/>
    </row>
    <row r="834" spans="1:25" ht="15" thickBot="1">
      <c r="A834" s="29">
        <f t="shared" si="869"/>
        <v>45870.624999999964</v>
      </c>
      <c r="B834" s="8">
        <v>8000</v>
      </c>
      <c r="C834" s="8">
        <v>25000</v>
      </c>
      <c r="D834" s="187">
        <v>0</v>
      </c>
      <c r="E834" s="187">
        <v>700</v>
      </c>
      <c r="F834" s="187">
        <v>15000</v>
      </c>
      <c r="G834" s="8">
        <v>2400</v>
      </c>
      <c r="H834" s="8">
        <v>25000</v>
      </c>
      <c r="I834" s="8">
        <v>8000</v>
      </c>
      <c r="J834" s="187">
        <v>40000</v>
      </c>
      <c r="K834" s="8">
        <v>8000</v>
      </c>
      <c r="L834" s="187">
        <v>40000</v>
      </c>
      <c r="M834" s="110">
        <v>9.5</v>
      </c>
      <c r="N834" s="9">
        <f>VLOOKUP(DATE(YEAR(A834),MONTH(A834),DAY(A834)),FY24_Temp[],3,FALSE)</f>
        <v>13.5</v>
      </c>
      <c r="O834" s="110">
        <f t="shared" si="819"/>
        <v>11.5</v>
      </c>
      <c r="P834" s="110">
        <f t="shared" si="820"/>
        <v>19.5</v>
      </c>
      <c r="Q834" s="79">
        <f>VLOOKUP(VLOOKUP(DATEVALUE(TEXT(A834,"m/d/yyyy")),FY24_Temp[],5,FALSE)&amp;TEXT(A834,"-h"),TempDelta[],4,FALSE)</f>
        <v>0.97514284508568905</v>
      </c>
      <c r="R834">
        <v>10</v>
      </c>
      <c r="S834" s="112">
        <v>1500</v>
      </c>
      <c r="T834" s="5">
        <f>VLOOKUP(TEXT(A834,"yy-mm")&amp;"-"&amp;IF(AND(WEEKDAY(A834)&gt;1,WEEKDAY(A834)&lt;7),"Wkd",TEXT(A834,"Ddd"))&amp;"-"&amp;TEXT(A834,"hh"),LoadTable[],3,FALSE)*0.92</f>
        <v>699.79524000000038</v>
      </c>
      <c r="U834" s="113">
        <f t="shared" si="821"/>
        <v>69.97952400000004</v>
      </c>
      <c r="V834">
        <v>3.2</v>
      </c>
      <c r="W834">
        <v>2.9</v>
      </c>
      <c r="X834" s="9">
        <v>3.1047552</v>
      </c>
      <c r="Y834" s="39"/>
    </row>
    <row r="835" spans="1:25" ht="15" thickBot="1">
      <c r="A835" s="29">
        <f t="shared" si="869"/>
        <v>45870.666666666628</v>
      </c>
      <c r="B835" s="8">
        <v>8000</v>
      </c>
      <c r="C835" s="8">
        <v>25000</v>
      </c>
      <c r="D835" s="187">
        <v>0</v>
      </c>
      <c r="E835" s="187">
        <v>700</v>
      </c>
      <c r="F835" s="187">
        <v>15000</v>
      </c>
      <c r="G835" s="8">
        <v>2400</v>
      </c>
      <c r="H835" s="8">
        <v>25000</v>
      </c>
      <c r="I835" s="8">
        <v>8000</v>
      </c>
      <c r="J835" s="187">
        <v>40000</v>
      </c>
      <c r="K835" s="8">
        <v>8000</v>
      </c>
      <c r="L835" s="187">
        <v>40000</v>
      </c>
      <c r="M835" s="110">
        <v>9.5</v>
      </c>
      <c r="N835" s="9">
        <f>VLOOKUP(DATE(YEAR(A835),MONTH(A835),DAY(A835)),FY24_Temp[],3,FALSE)</f>
        <v>13.5</v>
      </c>
      <c r="O835" s="110">
        <f t="shared" si="819"/>
        <v>11.5</v>
      </c>
      <c r="P835" s="110">
        <f t="shared" si="820"/>
        <v>19.5</v>
      </c>
      <c r="Q835" s="79">
        <f>VLOOKUP(VLOOKUP(DATEVALUE(TEXT(A835,"m/d/yyyy")),FY24_Temp[],5,FALSE)&amp;TEXT(A835,"-h"),TempDelta[],4,FALSE)</f>
        <v>0.88578571166310993</v>
      </c>
      <c r="R835">
        <v>10</v>
      </c>
      <c r="S835" s="112">
        <v>1500</v>
      </c>
      <c r="T835" s="5">
        <f>VLOOKUP(TEXT(A835,"yy-mm")&amp;"-"&amp;IF(AND(WEEKDAY(A835)&gt;1,WEEKDAY(A835)&lt;7),"Wkd",TEXT(A835,"Ddd"))&amp;"-"&amp;TEXT(A835,"hh"),LoadTable[],3,FALSE)*0.92</f>
        <v>786.27137399656624</v>
      </c>
      <c r="U835" s="113">
        <f t="shared" si="821"/>
        <v>78.627137399656618</v>
      </c>
      <c r="V835">
        <v>3.5</v>
      </c>
      <c r="W835">
        <v>3</v>
      </c>
      <c r="X835" s="9">
        <v>3.0114662999999999</v>
      </c>
      <c r="Y835" s="39"/>
    </row>
    <row r="836" spans="1:25" ht="15" thickBot="1">
      <c r="A836" s="29">
        <f t="shared" si="869"/>
        <v>45870.708333333292</v>
      </c>
      <c r="B836" s="8">
        <v>8000</v>
      </c>
      <c r="C836" s="8">
        <v>25000</v>
      </c>
      <c r="D836" s="187">
        <v>0</v>
      </c>
      <c r="E836" s="187">
        <v>700</v>
      </c>
      <c r="F836" s="187">
        <v>15000</v>
      </c>
      <c r="G836" s="8">
        <v>2400</v>
      </c>
      <c r="H836" s="8">
        <v>25000</v>
      </c>
      <c r="I836" s="8">
        <v>8000</v>
      </c>
      <c r="J836" s="187">
        <v>40000</v>
      </c>
      <c r="K836" s="8">
        <v>8000</v>
      </c>
      <c r="L836" s="187">
        <v>40000</v>
      </c>
      <c r="M836" s="110">
        <v>9.5</v>
      </c>
      <c r="N836" s="9">
        <f>VLOOKUP(DATE(YEAR(A836),MONTH(A836),DAY(A836)),FY24_Temp[],3,FALSE)</f>
        <v>13.5</v>
      </c>
      <c r="O836" s="110">
        <f t="shared" ref="O836:O899" si="870">15.5-4</f>
        <v>11.5</v>
      </c>
      <c r="P836" s="110">
        <f t="shared" ref="P836:P899" si="871">15.5+4</f>
        <v>19.5</v>
      </c>
      <c r="Q836" s="79">
        <f>VLOOKUP(VLOOKUP(DATEVALUE(TEXT(A836,"m/d/yyyy")),FY24_Temp[],5,FALSE)&amp;TEXT(A836,"-h"),TempDelta[],4,FALSE)</f>
        <v>1.0356428495475225</v>
      </c>
      <c r="R836">
        <v>10</v>
      </c>
      <c r="S836" s="112">
        <v>1500</v>
      </c>
      <c r="T836" s="5">
        <f>VLOOKUP(TEXT(A836,"yy-mm")&amp;"-"&amp;IF(AND(WEEKDAY(A836)&gt;1,WEEKDAY(A836)&lt;7),"Wkd",TEXT(A836,"Ddd"))&amp;"-"&amp;TEXT(A836,"hh"),LoadTable[],3,FALSE)*0.92</f>
        <v>786.27137399656624</v>
      </c>
      <c r="U836" s="113">
        <f t="shared" ref="U836:U899" si="872">T836/10</f>
        <v>78.627137399656618</v>
      </c>
      <c r="V836">
        <v>3.6</v>
      </c>
      <c r="W836">
        <v>3</v>
      </c>
      <c r="X836" s="9">
        <v>2.9133406000000002</v>
      </c>
      <c r="Y836" s="39"/>
    </row>
    <row r="837" spans="1:25" ht="15" thickBot="1">
      <c r="A837" s="29">
        <f t="shared" si="869"/>
        <v>45870.749999999956</v>
      </c>
      <c r="B837" s="8">
        <v>5000</v>
      </c>
      <c r="C837" s="8">
        <v>25000</v>
      </c>
      <c r="D837" s="187">
        <v>0</v>
      </c>
      <c r="E837" s="187">
        <v>700</v>
      </c>
      <c r="F837" s="187">
        <v>15000</v>
      </c>
      <c r="G837" s="8">
        <v>2400</v>
      </c>
      <c r="H837" s="8">
        <v>25000</v>
      </c>
      <c r="I837" s="8">
        <v>5000</v>
      </c>
      <c r="J837" s="187">
        <v>40000</v>
      </c>
      <c r="K837" s="8">
        <v>5000</v>
      </c>
      <c r="L837" s="187">
        <v>40000</v>
      </c>
      <c r="M837" s="110">
        <v>9.5</v>
      </c>
      <c r="N837" s="9">
        <f>VLOOKUP(DATE(YEAR(A837),MONTH(A837),DAY(A837)),FY24_Temp[],3,FALSE)</f>
        <v>13.5</v>
      </c>
      <c r="O837" s="110">
        <f t="shared" si="870"/>
        <v>11.5</v>
      </c>
      <c r="P837" s="110">
        <f t="shared" si="871"/>
        <v>19.5</v>
      </c>
      <c r="Q837" s="79">
        <f>VLOOKUP(VLOOKUP(DATEVALUE(TEXT(A837,"m/d/yyyy")),FY24_Temp[],5,FALSE)&amp;TEXT(A837,"-h"),TempDelta[],4,FALSE)</f>
        <v>1.3991428358214242</v>
      </c>
      <c r="R837">
        <v>10</v>
      </c>
      <c r="S837" s="112">
        <v>1500</v>
      </c>
      <c r="T837" s="5">
        <f>VLOOKUP(TEXT(A837,"yy-mm")&amp;"-"&amp;IF(AND(WEEKDAY(A837)&gt;1,WEEKDAY(A837)&lt;7),"Wkd",TEXT(A837,"Ddd"))&amp;"-"&amp;TEXT(A837,"hh"),LoadTable[],3,FALSE)*0.92</f>
        <v>786.27137399656647</v>
      </c>
      <c r="U837" s="113">
        <f t="shared" si="872"/>
        <v>78.627137399656647</v>
      </c>
      <c r="V837">
        <v>2.9</v>
      </c>
      <c r="W837">
        <v>3</v>
      </c>
      <c r="X837" s="9">
        <v>2.8793196999999999</v>
      </c>
      <c r="Y837" s="39"/>
    </row>
    <row r="838" spans="1:25" ht="15" thickBot="1">
      <c r="A838" s="29">
        <f t="shared" si="869"/>
        <v>45870.791666666621</v>
      </c>
      <c r="B838" s="8">
        <v>5000</v>
      </c>
      <c r="C838" s="8">
        <v>25000</v>
      </c>
      <c r="D838" s="187">
        <v>0</v>
      </c>
      <c r="E838" s="187">
        <v>700</v>
      </c>
      <c r="F838" s="187">
        <v>15000</v>
      </c>
      <c r="G838" s="8">
        <v>2400</v>
      </c>
      <c r="H838" s="8">
        <v>25000</v>
      </c>
      <c r="I838" s="8">
        <v>5000</v>
      </c>
      <c r="J838" s="187">
        <v>40000</v>
      </c>
      <c r="K838" s="8">
        <v>5000</v>
      </c>
      <c r="L838" s="187">
        <v>40000</v>
      </c>
      <c r="M838" s="110">
        <v>9.5</v>
      </c>
      <c r="N838" s="9">
        <f>VLOOKUP(DATE(YEAR(A838),MONTH(A838),DAY(A838)),FY24_Temp[],3,FALSE)</f>
        <v>13.5</v>
      </c>
      <c r="O838" s="110">
        <f t="shared" si="870"/>
        <v>11.5</v>
      </c>
      <c r="P838" s="110">
        <f t="shared" si="871"/>
        <v>19.5</v>
      </c>
      <c r="Q838" s="79">
        <f>VLOOKUP(VLOOKUP(DATEVALUE(TEXT(A838,"m/d/yyyy")),FY24_Temp[],5,FALSE)&amp;TEXT(A838,"-h"),TempDelta[],4,FALSE)</f>
        <v>1.8638571415628706</v>
      </c>
      <c r="R838">
        <v>10</v>
      </c>
      <c r="S838" s="112">
        <v>1500</v>
      </c>
      <c r="T838" s="5">
        <f>VLOOKUP(TEXT(A838,"yy-mm")&amp;"-"&amp;IF(AND(WEEKDAY(A838)&gt;1,WEEKDAY(A838)&lt;7),"Wkd",TEXT(A838,"Ddd"))&amp;"-"&amp;TEXT(A838,"hh"),LoadTable[],3,FALSE)*0.92</f>
        <v>786.27137399656647</v>
      </c>
      <c r="U838" s="113">
        <f t="shared" si="872"/>
        <v>78.627137399656647</v>
      </c>
      <c r="V838">
        <v>3</v>
      </c>
      <c r="W838">
        <v>3</v>
      </c>
      <c r="X838" s="9">
        <v>2.8393845999999998</v>
      </c>
      <c r="Y838" s="39"/>
    </row>
    <row r="839" spans="1:25" ht="15" thickBot="1">
      <c r="A839" s="29">
        <f t="shared" si="869"/>
        <v>45870.833333333285</v>
      </c>
      <c r="B839" s="8">
        <v>5000</v>
      </c>
      <c r="C839" s="8">
        <v>25000</v>
      </c>
      <c r="D839" s="187">
        <v>0</v>
      </c>
      <c r="E839" s="187">
        <v>700</v>
      </c>
      <c r="F839" s="187">
        <v>15000</v>
      </c>
      <c r="G839" s="8">
        <v>2400</v>
      </c>
      <c r="H839" s="8">
        <v>25000</v>
      </c>
      <c r="I839" s="8">
        <v>5000</v>
      </c>
      <c r="J839" s="187">
        <v>40000</v>
      </c>
      <c r="K839" s="8">
        <v>5000</v>
      </c>
      <c r="L839" s="187">
        <v>40000</v>
      </c>
      <c r="M839" s="110">
        <v>9.5</v>
      </c>
      <c r="N839" s="9">
        <f>VLOOKUP(DATE(YEAR(A839),MONTH(A839),DAY(A839)),FY24_Temp[],3,FALSE)</f>
        <v>13.5</v>
      </c>
      <c r="O839" s="110">
        <f t="shared" si="870"/>
        <v>11.5</v>
      </c>
      <c r="P839" s="110">
        <f t="shared" si="871"/>
        <v>19.5</v>
      </c>
      <c r="Q839" s="79">
        <f>VLOOKUP(VLOOKUP(DATEVALUE(TEXT(A839,"m/d/yyyy")),FY24_Temp[],5,FALSE)&amp;TEXT(A839,"-h"),TempDelta[],4,FALSE)</f>
        <v>2.300714305468968</v>
      </c>
      <c r="R839">
        <v>10</v>
      </c>
      <c r="S839" s="112">
        <v>1500</v>
      </c>
      <c r="T839" s="5">
        <f>VLOOKUP(TEXT(A839,"yy-mm")&amp;"-"&amp;IF(AND(WEEKDAY(A839)&gt;1,WEEKDAY(A839)&lt;7),"Wkd",TEXT(A839,"Ddd"))&amp;"-"&amp;TEXT(A839,"hh"),LoadTable[],3,FALSE)*0.92</f>
        <v>786.27137399656647</v>
      </c>
      <c r="U839" s="113">
        <f t="shared" si="872"/>
        <v>78.627137399656647</v>
      </c>
      <c r="V839">
        <v>2.8</v>
      </c>
      <c r="W839">
        <v>3.1</v>
      </c>
      <c r="X839" s="9">
        <v>2.8001990000000001</v>
      </c>
      <c r="Y839" s="39"/>
    </row>
    <row r="840" spans="1:25" ht="15" thickBot="1">
      <c r="A840" s="29">
        <f t="shared" si="869"/>
        <v>45870.874999999949</v>
      </c>
      <c r="B840" s="8">
        <v>5000</v>
      </c>
      <c r="C840" s="8">
        <v>25000</v>
      </c>
      <c r="D840" s="187">
        <v>0</v>
      </c>
      <c r="E840" s="187">
        <v>700</v>
      </c>
      <c r="F840" s="187">
        <v>15000</v>
      </c>
      <c r="G840" s="8">
        <v>2400</v>
      </c>
      <c r="H840" s="8">
        <v>25000</v>
      </c>
      <c r="I840" s="8">
        <v>5000</v>
      </c>
      <c r="J840" s="187">
        <v>40000</v>
      </c>
      <c r="K840" s="8">
        <v>5000</v>
      </c>
      <c r="L840" s="187">
        <v>40000</v>
      </c>
      <c r="M840" s="110">
        <v>9.5</v>
      </c>
      <c r="N840" s="9">
        <f>VLOOKUP(DATE(YEAR(A840),MONTH(A840),DAY(A840)),FY24_Temp[],3,FALSE)</f>
        <v>13.5</v>
      </c>
      <c r="O840" s="110">
        <f t="shared" si="870"/>
        <v>11.5</v>
      </c>
      <c r="P840" s="110">
        <f t="shared" si="871"/>
        <v>19.5</v>
      </c>
      <c r="Q840" s="79">
        <f>VLOOKUP(VLOOKUP(DATEVALUE(TEXT(A840,"m/d/yyyy")),FY24_Temp[],5,FALSE)&amp;TEXT(A840,"-h"),TempDelta[],4,FALSE)</f>
        <v>2.554214222090585</v>
      </c>
      <c r="R840">
        <v>10</v>
      </c>
      <c r="S840" s="112">
        <v>1500</v>
      </c>
      <c r="T840" s="5">
        <f>VLOOKUP(TEXT(A840,"yy-mm")&amp;"-"&amp;IF(AND(WEEKDAY(A840)&gt;1,WEEKDAY(A840)&lt;7),"Wkd",TEXT(A840,"Ddd"))&amp;"-"&amp;TEXT(A840,"hh"),LoadTable[],3,FALSE)*0.92</f>
        <v>784.39716226323299</v>
      </c>
      <c r="U840" s="113">
        <f t="shared" si="872"/>
        <v>78.439716226323299</v>
      </c>
      <c r="V840">
        <v>3.5</v>
      </c>
      <c r="W840">
        <v>3.1</v>
      </c>
      <c r="X840" s="9">
        <v>2.7702776999999998</v>
      </c>
      <c r="Y840" s="39"/>
    </row>
    <row r="841" spans="1:25" ht="15" thickBot="1">
      <c r="A841" s="29">
        <f t="shared" si="869"/>
        <v>45870.916666666613</v>
      </c>
      <c r="B841" s="8">
        <v>5000</v>
      </c>
      <c r="C841" s="8">
        <v>25000</v>
      </c>
      <c r="D841" s="187">
        <v>0</v>
      </c>
      <c r="E841" s="187">
        <v>700</v>
      </c>
      <c r="F841" s="187">
        <v>15000</v>
      </c>
      <c r="G841" s="8">
        <v>2400</v>
      </c>
      <c r="H841" s="8">
        <v>25000</v>
      </c>
      <c r="I841" s="8">
        <v>5000</v>
      </c>
      <c r="J841" s="187">
        <v>40000</v>
      </c>
      <c r="K841" s="8">
        <v>5000</v>
      </c>
      <c r="L841" s="187">
        <v>40000</v>
      </c>
      <c r="M841" s="110">
        <v>9.5</v>
      </c>
      <c r="N841" s="9">
        <f>VLOOKUP(DATE(YEAR(A841),MONTH(A841),DAY(A841)),FY24_Temp[],3,FALSE)</f>
        <v>13.5</v>
      </c>
      <c r="O841" s="110">
        <f t="shared" si="870"/>
        <v>11.5</v>
      </c>
      <c r="P841" s="110">
        <f t="shared" si="871"/>
        <v>19.5</v>
      </c>
      <c r="Q841" s="79">
        <f>VLOOKUP(VLOOKUP(DATEVALUE(TEXT(A841,"m/d/yyyy")),FY24_Temp[],5,FALSE)&amp;TEXT(A841,"-h"),TempDelta[],4,FALSE)</f>
        <v>2.7827142647334506</v>
      </c>
      <c r="R841">
        <v>10</v>
      </c>
      <c r="S841" s="112">
        <v>1500</v>
      </c>
      <c r="T841" s="5">
        <f>VLOOKUP(TEXT(A841,"yy-mm")&amp;"-"&amp;IF(AND(WEEKDAY(A841)&gt;1,WEEKDAY(A841)&lt;7),"Wkd",TEXT(A841,"Ddd"))&amp;"-"&amp;TEXT(A841,"hh"),LoadTable[],3,FALSE)*0.92</f>
        <v>600.06900003761973</v>
      </c>
      <c r="U841" s="113">
        <f t="shared" si="872"/>
        <v>60.00690000376197</v>
      </c>
      <c r="V841">
        <v>2.9</v>
      </c>
      <c r="W841">
        <v>3.1</v>
      </c>
      <c r="X841" s="9">
        <v>2.7435879999999999</v>
      </c>
      <c r="Y841" s="39"/>
    </row>
    <row r="842" spans="1:25" ht="15" thickBot="1">
      <c r="A842" s="29">
        <f t="shared" si="869"/>
        <v>45870.958333333278</v>
      </c>
      <c r="B842" s="41">
        <v>5000</v>
      </c>
      <c r="C842" s="41">
        <v>25000</v>
      </c>
      <c r="D842" s="187">
        <v>0</v>
      </c>
      <c r="E842" s="187">
        <v>700</v>
      </c>
      <c r="F842" s="187">
        <v>15000</v>
      </c>
      <c r="G842" s="41">
        <v>2400</v>
      </c>
      <c r="H842" s="41">
        <v>25000</v>
      </c>
      <c r="I842" s="41">
        <v>5000</v>
      </c>
      <c r="J842" s="187">
        <v>40000</v>
      </c>
      <c r="K842" s="41">
        <v>5000</v>
      </c>
      <c r="L842" s="187">
        <v>40000</v>
      </c>
      <c r="M842" s="110">
        <v>9.5</v>
      </c>
      <c r="N842" s="84">
        <f>VLOOKUP(DATE(YEAR(A842),MONTH(A842),DAY(A842)),FY24_Temp[],3,FALSE)</f>
        <v>13.5</v>
      </c>
      <c r="O842" s="110">
        <f t="shared" si="870"/>
        <v>11.5</v>
      </c>
      <c r="P842" s="110">
        <f t="shared" si="871"/>
        <v>19.5</v>
      </c>
      <c r="Q842" s="85">
        <f>VLOOKUP(VLOOKUP(DATEVALUE(TEXT(A842,"m/d/yyyy")),FY24_Temp[],5,FALSE)&amp;TEXT(A842,"-h"),TempDelta[],4,FALSE)</f>
        <v>2.8792857101985385</v>
      </c>
      <c r="R842">
        <v>10</v>
      </c>
      <c r="S842" s="112">
        <v>1500</v>
      </c>
      <c r="T842" s="97">
        <f>VLOOKUP(TEXT(A842,"yy-mm")&amp;"-"&amp;IF(AND(WEEKDAY(A842)&gt;1,WEEKDAY(A842)&lt;7),"Wkd",TEXT(A842,"Ddd"))&amp;"-"&amp;TEXT(A842,"hh"),LoadTable[],3,FALSE)*0.92</f>
        <v>486.44539999999989</v>
      </c>
      <c r="U842" s="113">
        <f t="shared" si="872"/>
        <v>48.644539999999992</v>
      </c>
      <c r="V842">
        <v>3.6</v>
      </c>
      <c r="W842">
        <v>3.1</v>
      </c>
      <c r="X842" s="84">
        <v>2.6532247</v>
      </c>
      <c r="Y842" s="39"/>
    </row>
    <row r="843" spans="1:25" ht="15" thickBot="1">
      <c r="A843" s="115">
        <f t="shared" si="869"/>
        <v>45870.999999999942</v>
      </c>
      <c r="B843" s="151">
        <f>B819</f>
        <v>5000</v>
      </c>
      <c r="C843" s="109">
        <v>25000</v>
      </c>
      <c r="D843" s="187">
        <v>0</v>
      </c>
      <c r="E843" s="187">
        <v>700</v>
      </c>
      <c r="F843" s="187">
        <v>15000</v>
      </c>
      <c r="G843" s="151">
        <f>G819</f>
        <v>2400</v>
      </c>
      <c r="H843" s="109">
        <v>25000</v>
      </c>
      <c r="I843" s="151">
        <f>I819</f>
        <v>5000</v>
      </c>
      <c r="J843" s="187">
        <v>40000</v>
      </c>
      <c r="K843" s="151">
        <f>K819</f>
        <v>5000</v>
      </c>
      <c r="L843" s="187">
        <v>40000</v>
      </c>
      <c r="M843" s="110">
        <v>9.5</v>
      </c>
      <c r="N843" s="110">
        <f>VLOOKUP(DATE(YEAR(A843),MONTH(A843),DAY(A843)),FY24_Temp[],3,FALSE)</f>
        <v>13.7</v>
      </c>
      <c r="O843" s="110">
        <f t="shared" si="870"/>
        <v>11.5</v>
      </c>
      <c r="P843" s="110">
        <f t="shared" si="871"/>
        <v>19.5</v>
      </c>
      <c r="Q843" s="111">
        <f>VLOOKUP(VLOOKUP(DATEVALUE(TEXT(A843,"m/d/yyyy")),FY24_Temp[],5,FALSE)&amp;TEXT(A843,"-h"),TempDelta[],4,FALSE)</f>
        <v>2.6947143077850342</v>
      </c>
      <c r="R843" s="112">
        <v>10</v>
      </c>
      <c r="S843" s="112">
        <v>1500</v>
      </c>
      <c r="T843" s="99">
        <f>VLOOKUP(TEXT(A843,"yy-mm")&amp;"-"&amp;IF(AND(WEEKDAY(A843)&gt;1,WEEKDAY(A843)&lt;7),"Wkd",TEXT(A843,"Ddd"))&amp;"-"&amp;TEXT(A843,"hh"),LoadTable[],3,FALSE)*0.92</f>
        <v>371.37732000000005</v>
      </c>
      <c r="U843" s="113">
        <f t="shared" si="872"/>
        <v>37.137732000000007</v>
      </c>
      <c r="V843" s="112">
        <f>V819</f>
        <v>3</v>
      </c>
      <c r="W843" s="112">
        <f>W819</f>
        <v>3.2</v>
      </c>
      <c r="X843" s="114">
        <v>2.5673892</v>
      </c>
      <c r="Y843" s="39"/>
    </row>
    <row r="844" spans="1:25" ht="15" thickBot="1">
      <c r="A844" s="29">
        <f t="shared" si="869"/>
        <v>45871.041666666606</v>
      </c>
      <c r="B844" s="30">
        <f t="shared" ref="B844:B890" si="873">B820</f>
        <v>5000</v>
      </c>
      <c r="C844" s="42">
        <v>25000</v>
      </c>
      <c r="D844" s="187">
        <v>0</v>
      </c>
      <c r="E844" s="187">
        <v>700</v>
      </c>
      <c r="F844" s="187">
        <v>15000</v>
      </c>
      <c r="G844" s="30">
        <f t="shared" ref="G844:G890" si="874">G820</f>
        <v>2400</v>
      </c>
      <c r="H844" s="42">
        <v>25000</v>
      </c>
      <c r="I844" s="30">
        <f t="shared" ref="I844:I907" si="875">I820</f>
        <v>5000</v>
      </c>
      <c r="J844" s="187">
        <v>40000</v>
      </c>
      <c r="K844" s="30">
        <f t="shared" ref="K844:K890" si="876">K820</f>
        <v>5000</v>
      </c>
      <c r="L844" s="187">
        <v>40000</v>
      </c>
      <c r="M844" s="110">
        <v>9.5</v>
      </c>
      <c r="N844" s="86">
        <f>VLOOKUP(DATE(YEAR(A844),MONTH(A844),DAY(A844)),FY24_Temp[],3,FALSE)</f>
        <v>13.7</v>
      </c>
      <c r="O844" s="110">
        <f t="shared" si="870"/>
        <v>11.5</v>
      </c>
      <c r="P844" s="110">
        <f t="shared" si="871"/>
        <v>19.5</v>
      </c>
      <c r="Q844" s="87">
        <f>VLOOKUP(VLOOKUP(DATEVALUE(TEXT(A844,"m/d/yyyy")),FY24_Temp[],5,FALSE)&amp;TEXT(A844,"-h"),TempDelta[],4,FALSE)</f>
        <v>2.746142796107701</v>
      </c>
      <c r="R844">
        <v>10</v>
      </c>
      <c r="S844" s="112">
        <v>1500</v>
      </c>
      <c r="T844" s="98">
        <f>VLOOKUP(TEXT(A844,"yy-mm")&amp;"-"&amp;IF(AND(WEEKDAY(A844)&gt;1,WEEKDAY(A844)&lt;7),"Wkd",TEXT(A844,"Ddd"))&amp;"-"&amp;TEXT(A844,"hh"),LoadTable[],3,FALSE)*0.92</f>
        <v>362.43308000000007</v>
      </c>
      <c r="U844" s="113">
        <f t="shared" si="872"/>
        <v>36.243308000000006</v>
      </c>
      <c r="V844">
        <f t="shared" ref="V844:W844" si="877">V820</f>
        <v>2.6</v>
      </c>
      <c r="W844">
        <f t="shared" si="877"/>
        <v>3.2</v>
      </c>
      <c r="X844" s="86">
        <v>2.502424</v>
      </c>
      <c r="Y844" s="39"/>
    </row>
    <row r="845" spans="1:25" ht="15" thickBot="1">
      <c r="A845" s="29">
        <f t="shared" si="869"/>
        <v>45871.08333333327</v>
      </c>
      <c r="B845" s="30">
        <f t="shared" si="873"/>
        <v>5000</v>
      </c>
      <c r="C845" s="8">
        <v>25000</v>
      </c>
      <c r="D845" s="187">
        <v>0</v>
      </c>
      <c r="E845" s="187">
        <v>700</v>
      </c>
      <c r="F845" s="187">
        <v>15000</v>
      </c>
      <c r="G845" s="30">
        <f t="shared" si="874"/>
        <v>2400</v>
      </c>
      <c r="H845" s="8">
        <v>25000</v>
      </c>
      <c r="I845" s="30">
        <f t="shared" si="875"/>
        <v>5000</v>
      </c>
      <c r="J845" s="187">
        <v>40000</v>
      </c>
      <c r="K845" s="30">
        <f t="shared" si="876"/>
        <v>5000</v>
      </c>
      <c r="L845" s="187">
        <v>40000</v>
      </c>
      <c r="M845" s="110">
        <v>9.5</v>
      </c>
      <c r="N845" s="9">
        <f>VLOOKUP(DATE(YEAR(A845),MONTH(A845),DAY(A845)),FY24_Temp[],3,FALSE)</f>
        <v>13.7</v>
      </c>
      <c r="O845" s="110">
        <f t="shared" si="870"/>
        <v>11.5</v>
      </c>
      <c r="P845" s="110">
        <f t="shared" si="871"/>
        <v>19.5</v>
      </c>
      <c r="Q845" s="79">
        <f>VLOOKUP(VLOOKUP(DATEVALUE(TEXT(A845,"m/d/yyyy")),FY24_Temp[],5,FALSE)&amp;TEXT(A845,"-h"),TempDelta[],4,FALSE)</f>
        <v>2.7678571428571428</v>
      </c>
      <c r="R845">
        <v>10</v>
      </c>
      <c r="S845" s="112">
        <v>1500</v>
      </c>
      <c r="T845" s="5">
        <f>VLOOKUP(TEXT(A845,"yy-mm")&amp;"-"&amp;IF(AND(WEEKDAY(A845)&gt;1,WEEKDAY(A845)&lt;7),"Wkd",TEXT(A845,"Ddd"))&amp;"-"&amp;TEXT(A845,"hh"),LoadTable[],3,FALSE)*0.92</f>
        <v>362.43308000000007</v>
      </c>
      <c r="U845" s="113">
        <f t="shared" si="872"/>
        <v>36.243308000000006</v>
      </c>
      <c r="V845">
        <f t="shared" ref="V845:W845" si="878">V821</f>
        <v>2.8</v>
      </c>
      <c r="W845">
        <f t="shared" si="878"/>
        <v>3.2</v>
      </c>
      <c r="X845" s="9">
        <v>2.6049666</v>
      </c>
      <c r="Y845" s="39"/>
    </row>
    <row r="846" spans="1:25" ht="15" thickBot="1">
      <c r="A846" s="29">
        <f t="shared" si="869"/>
        <v>45871.124999999935</v>
      </c>
      <c r="B846" s="30">
        <f t="shared" si="873"/>
        <v>5000</v>
      </c>
      <c r="C846" s="8">
        <v>25000</v>
      </c>
      <c r="D846" s="187">
        <v>0</v>
      </c>
      <c r="E846" s="187">
        <v>700</v>
      </c>
      <c r="F846" s="187">
        <v>15000</v>
      </c>
      <c r="G846" s="30">
        <f t="shared" si="874"/>
        <v>2400</v>
      </c>
      <c r="H846" s="8">
        <v>25000</v>
      </c>
      <c r="I846" s="30">
        <f t="shared" si="875"/>
        <v>5000</v>
      </c>
      <c r="J846" s="187">
        <v>40000</v>
      </c>
      <c r="K846" s="30">
        <f t="shared" si="876"/>
        <v>5000</v>
      </c>
      <c r="L846" s="187">
        <v>40000</v>
      </c>
      <c r="M846" s="110">
        <v>9.5</v>
      </c>
      <c r="N846" s="9">
        <f>VLOOKUP(DATE(YEAR(A846),MONTH(A846),DAY(A846)),FY24_Temp[],3,FALSE)</f>
        <v>13.7</v>
      </c>
      <c r="O846" s="110">
        <f t="shared" si="870"/>
        <v>11.5</v>
      </c>
      <c r="P846" s="110">
        <f t="shared" si="871"/>
        <v>19.5</v>
      </c>
      <c r="Q846" s="79">
        <f>VLOOKUP(VLOOKUP(DATEVALUE(TEXT(A846,"m/d/yyyy")),FY24_Temp[],5,FALSE)&amp;TEXT(A846,"-h"),TempDelta[],4,FALSE)</f>
        <v>2.7691428320748463</v>
      </c>
      <c r="R846">
        <v>10</v>
      </c>
      <c r="S846" s="112">
        <v>1500</v>
      </c>
      <c r="T846" s="5">
        <f>VLOOKUP(TEXT(A846,"yy-mm")&amp;"-"&amp;IF(AND(WEEKDAY(A846)&gt;1,WEEKDAY(A846)&lt;7),"Wkd",TEXT(A846,"Ddd"))&amp;"-"&amp;TEXT(A846,"hh"),LoadTable[],3,FALSE)*0.92</f>
        <v>362.43308000000007</v>
      </c>
      <c r="U846" s="113">
        <f t="shared" si="872"/>
        <v>36.243308000000006</v>
      </c>
      <c r="V846">
        <f t="shared" ref="V846:W846" si="879">V822</f>
        <v>2.7</v>
      </c>
      <c r="W846">
        <f t="shared" si="879"/>
        <v>3.2</v>
      </c>
      <c r="X846" s="9">
        <v>2.6881697</v>
      </c>
      <c r="Y846" s="39"/>
    </row>
    <row r="847" spans="1:25" ht="15" thickBot="1">
      <c r="A847" s="29">
        <f t="shared" si="869"/>
        <v>45871.166666666599</v>
      </c>
      <c r="B847" s="30">
        <f t="shared" si="873"/>
        <v>5000</v>
      </c>
      <c r="C847" s="8">
        <v>25000</v>
      </c>
      <c r="D847" s="187">
        <v>0</v>
      </c>
      <c r="E847" s="187">
        <v>700</v>
      </c>
      <c r="F847" s="187">
        <v>15000</v>
      </c>
      <c r="G847" s="30">
        <f t="shared" si="874"/>
        <v>2400</v>
      </c>
      <c r="H847" s="8">
        <v>25000</v>
      </c>
      <c r="I847" s="30">
        <f t="shared" si="875"/>
        <v>5000</v>
      </c>
      <c r="J847" s="187">
        <v>40000</v>
      </c>
      <c r="K847" s="30">
        <f t="shared" si="876"/>
        <v>5000</v>
      </c>
      <c r="L847" s="187">
        <v>40000</v>
      </c>
      <c r="M847" s="110">
        <v>9.5</v>
      </c>
      <c r="N847" s="9">
        <f>VLOOKUP(DATE(YEAR(A847),MONTH(A847),DAY(A847)),FY24_Temp[],3,FALSE)</f>
        <v>13.7</v>
      </c>
      <c r="O847" s="110">
        <f t="shared" si="870"/>
        <v>11.5</v>
      </c>
      <c r="P847" s="110">
        <f t="shared" si="871"/>
        <v>19.5</v>
      </c>
      <c r="Q847" s="79">
        <f>VLOOKUP(VLOOKUP(DATEVALUE(TEXT(A847,"m/d/yyyy")),FY24_Temp[],5,FALSE)&amp;TEXT(A847,"-h"),TempDelta[],4,FALSE)</f>
        <v>2.7731428486960277</v>
      </c>
      <c r="R847">
        <v>10</v>
      </c>
      <c r="S847" s="112">
        <v>1500</v>
      </c>
      <c r="T847" s="5">
        <f>VLOOKUP(TEXT(A847,"yy-mm")&amp;"-"&amp;IF(AND(WEEKDAY(A847)&gt;1,WEEKDAY(A847)&lt;7),"Wkd",TEXT(A847,"Ddd"))&amp;"-"&amp;TEXT(A847,"hh"),LoadTable[],3,FALSE)*0.92</f>
        <v>362.43308000000007</v>
      </c>
      <c r="U847" s="113">
        <f t="shared" si="872"/>
        <v>36.243308000000006</v>
      </c>
      <c r="V847">
        <f t="shared" ref="V847:W847" si="880">V823</f>
        <v>3</v>
      </c>
      <c r="W847">
        <f t="shared" si="880"/>
        <v>3.1</v>
      </c>
      <c r="X847" s="9">
        <v>2.7356929999999999</v>
      </c>
      <c r="Y847" s="39"/>
    </row>
    <row r="848" spans="1:25" ht="15" thickBot="1">
      <c r="A848" s="29">
        <f t="shared" si="869"/>
        <v>45871.208333333263</v>
      </c>
      <c r="B848" s="30">
        <f t="shared" si="873"/>
        <v>5000</v>
      </c>
      <c r="C848" s="8">
        <v>25000</v>
      </c>
      <c r="D848" s="187">
        <v>0</v>
      </c>
      <c r="E848" s="187">
        <v>700</v>
      </c>
      <c r="F848" s="187">
        <v>15000</v>
      </c>
      <c r="G848" s="30">
        <f t="shared" si="874"/>
        <v>2400</v>
      </c>
      <c r="H848" s="8">
        <v>25000</v>
      </c>
      <c r="I848" s="30">
        <f t="shared" si="875"/>
        <v>5000</v>
      </c>
      <c r="J848" s="187">
        <v>40000</v>
      </c>
      <c r="K848" s="30">
        <f t="shared" si="876"/>
        <v>5000</v>
      </c>
      <c r="L848" s="187">
        <v>40000</v>
      </c>
      <c r="M848" s="110">
        <v>9.5</v>
      </c>
      <c r="N848" s="9">
        <f>VLOOKUP(DATE(YEAR(A848),MONTH(A848),DAY(A848)),FY24_Temp[],3,FALSE)</f>
        <v>13.7</v>
      </c>
      <c r="O848" s="110">
        <f t="shared" si="870"/>
        <v>11.5</v>
      </c>
      <c r="P848" s="110">
        <f t="shared" si="871"/>
        <v>19.5</v>
      </c>
      <c r="Q848" s="79">
        <f>VLOOKUP(VLOOKUP(DATEVALUE(TEXT(A848,"m/d/yyyy")),FY24_Temp[],5,FALSE)&amp;TEXT(A848,"-h"),TempDelta[],4,FALSE)</f>
        <v>2.8117143426622664</v>
      </c>
      <c r="R848">
        <v>10</v>
      </c>
      <c r="S848" s="112">
        <v>1500</v>
      </c>
      <c r="T848" s="5">
        <f>VLOOKUP(TEXT(A848,"yy-mm")&amp;"-"&amp;IF(AND(WEEKDAY(A848)&gt;1,WEEKDAY(A848)&lt;7),"Wkd",TEXT(A848,"Ddd"))&amp;"-"&amp;TEXT(A848,"hh"),LoadTable[],3,FALSE)*0.92</f>
        <v>362.43308000000007</v>
      </c>
      <c r="U848" s="113">
        <f t="shared" si="872"/>
        <v>36.243308000000006</v>
      </c>
      <c r="V848">
        <f t="shared" ref="V848:W848" si="881">V824</f>
        <v>2.9</v>
      </c>
      <c r="W848">
        <f t="shared" si="881"/>
        <v>3.1</v>
      </c>
      <c r="X848" s="9">
        <v>2.8319869</v>
      </c>
      <c r="Y848" s="39"/>
    </row>
    <row r="849" spans="1:25" ht="15" thickBot="1">
      <c r="A849" s="29">
        <f t="shared" si="869"/>
        <v>45871.249999999927</v>
      </c>
      <c r="B849" s="30">
        <f t="shared" si="873"/>
        <v>8000</v>
      </c>
      <c r="C849" s="8">
        <v>25000</v>
      </c>
      <c r="D849" s="187">
        <v>0</v>
      </c>
      <c r="E849" s="187">
        <v>700</v>
      </c>
      <c r="F849" s="187">
        <v>15000</v>
      </c>
      <c r="G849" s="30">
        <f t="shared" si="874"/>
        <v>2400</v>
      </c>
      <c r="H849" s="8">
        <v>25000</v>
      </c>
      <c r="I849" s="30">
        <f t="shared" si="875"/>
        <v>8000</v>
      </c>
      <c r="J849" s="187">
        <v>40000</v>
      </c>
      <c r="K849" s="30">
        <f t="shared" si="876"/>
        <v>8000</v>
      </c>
      <c r="L849" s="187">
        <v>40000</v>
      </c>
      <c r="M849" s="110">
        <v>9.5</v>
      </c>
      <c r="N849" s="9">
        <f>VLOOKUP(DATE(YEAR(A849),MONTH(A849),DAY(A849)),FY24_Temp[],3,FALSE)</f>
        <v>13.7</v>
      </c>
      <c r="O849" s="110">
        <f t="shared" si="870"/>
        <v>11.5</v>
      </c>
      <c r="P849" s="110">
        <f t="shared" si="871"/>
        <v>19.5</v>
      </c>
      <c r="Q849" s="79">
        <f>VLOOKUP(VLOOKUP(DATEVALUE(TEXT(A849,"m/d/yyyy")),FY24_Temp[],5,FALSE)&amp;TEXT(A849,"-h"),TempDelta[],4,FALSE)</f>
        <v>2.8184285845075334</v>
      </c>
      <c r="R849">
        <v>10</v>
      </c>
      <c r="S849" s="112">
        <v>1500</v>
      </c>
      <c r="T849" s="5">
        <f>VLOOKUP(TEXT(A849,"yy-mm")&amp;"-"&amp;IF(AND(WEEKDAY(A849)&gt;1,WEEKDAY(A849)&lt;7),"Wkd",TEXT(A849,"Ddd"))&amp;"-"&amp;TEXT(A849,"hh"),LoadTable[],3,FALSE)*0.92</f>
        <v>362.43308000000007</v>
      </c>
      <c r="U849" s="113">
        <f t="shared" si="872"/>
        <v>36.243308000000006</v>
      </c>
      <c r="V849">
        <f t="shared" ref="V849:W849" si="882">V825</f>
        <v>2.5</v>
      </c>
      <c r="W849">
        <f t="shared" si="882"/>
        <v>3.1</v>
      </c>
      <c r="X849" s="9">
        <v>2.9732997000000001</v>
      </c>
      <c r="Y849" s="39"/>
    </row>
    <row r="850" spans="1:25" ht="15" thickBot="1">
      <c r="A850" s="29">
        <f t="shared" si="869"/>
        <v>45871.291666666591</v>
      </c>
      <c r="B850" s="30">
        <f t="shared" si="873"/>
        <v>8000</v>
      </c>
      <c r="C850" s="8">
        <v>25000</v>
      </c>
      <c r="D850" s="187">
        <v>0</v>
      </c>
      <c r="E850" s="187">
        <v>700</v>
      </c>
      <c r="F850" s="187">
        <v>15000</v>
      </c>
      <c r="G850" s="30">
        <f t="shared" si="874"/>
        <v>2400</v>
      </c>
      <c r="H850" s="8">
        <v>25000</v>
      </c>
      <c r="I850" s="30">
        <f t="shared" si="875"/>
        <v>8000</v>
      </c>
      <c r="J850" s="187">
        <v>40000</v>
      </c>
      <c r="K850" s="30">
        <f t="shared" si="876"/>
        <v>8000</v>
      </c>
      <c r="L850" s="187">
        <v>40000</v>
      </c>
      <c r="M850" s="110">
        <v>9.5</v>
      </c>
      <c r="N850" s="9">
        <f>VLOOKUP(DATE(YEAR(A850),MONTH(A850),DAY(A850)),FY24_Temp[],3,FALSE)</f>
        <v>13.7</v>
      </c>
      <c r="O850" s="110">
        <f t="shared" si="870"/>
        <v>11.5</v>
      </c>
      <c r="P850" s="110">
        <f t="shared" si="871"/>
        <v>19.5</v>
      </c>
      <c r="Q850" s="79">
        <f>VLOOKUP(VLOOKUP(DATEVALUE(TEXT(A850,"m/d/yyyy")),FY24_Temp[],5,FALSE)&amp;TEXT(A850,"-h"),TempDelta[],4,FALSE)</f>
        <v>2.7782857418060303</v>
      </c>
      <c r="R850">
        <v>10</v>
      </c>
      <c r="S850" s="112">
        <v>1500</v>
      </c>
      <c r="T850" s="5">
        <f>VLOOKUP(TEXT(A850,"yy-mm")&amp;"-"&amp;IF(AND(WEEKDAY(A850)&gt;1,WEEKDAY(A850)&lt;7),"Wkd",TEXT(A850,"Ddd"))&amp;"-"&amp;TEXT(A850,"hh"),LoadTable[],3,FALSE)*0.92</f>
        <v>339.23343999999997</v>
      </c>
      <c r="U850" s="113">
        <f t="shared" si="872"/>
        <v>33.923344</v>
      </c>
      <c r="V850">
        <f t="shared" ref="V850:W850" si="883">V826</f>
        <v>2.5</v>
      </c>
      <c r="W850">
        <f t="shared" si="883"/>
        <v>3.1</v>
      </c>
      <c r="X850" s="9">
        <v>3.1290011</v>
      </c>
      <c r="Y850" s="39"/>
    </row>
    <row r="851" spans="1:25" ht="15" thickBot="1">
      <c r="A851" s="29">
        <f t="shared" si="869"/>
        <v>45871.333333333256</v>
      </c>
      <c r="B851" s="30">
        <f t="shared" si="873"/>
        <v>8000</v>
      </c>
      <c r="C851" s="8">
        <v>25000</v>
      </c>
      <c r="D851" s="187">
        <v>0</v>
      </c>
      <c r="E851" s="187">
        <v>700</v>
      </c>
      <c r="F851" s="187">
        <v>15000</v>
      </c>
      <c r="G851" s="30">
        <f t="shared" si="874"/>
        <v>2400</v>
      </c>
      <c r="H851" s="8">
        <v>25000</v>
      </c>
      <c r="I851" s="30">
        <f t="shared" si="875"/>
        <v>8000</v>
      </c>
      <c r="J851" s="187">
        <v>40000</v>
      </c>
      <c r="K851" s="30">
        <f t="shared" si="876"/>
        <v>8000</v>
      </c>
      <c r="L851" s="187">
        <v>40000</v>
      </c>
      <c r="M851" s="110">
        <v>9.5</v>
      </c>
      <c r="N851" s="9">
        <f>VLOOKUP(DATE(YEAR(A851),MONTH(A851),DAY(A851)),FY24_Temp[],3,FALSE)</f>
        <v>13.7</v>
      </c>
      <c r="O851" s="110">
        <f t="shared" si="870"/>
        <v>11.5</v>
      </c>
      <c r="P851" s="110">
        <f t="shared" si="871"/>
        <v>19.5</v>
      </c>
      <c r="Q851" s="79">
        <f>VLOOKUP(VLOOKUP(DATEVALUE(TEXT(A851,"m/d/yyyy")),FY24_Temp[],5,FALSE)&amp;TEXT(A851,"-h"),TempDelta[],4,FALSE)</f>
        <v>2.6682857104710171</v>
      </c>
      <c r="R851">
        <v>10</v>
      </c>
      <c r="S851" s="112">
        <v>1500</v>
      </c>
      <c r="T851" s="5">
        <f>VLOOKUP(TEXT(A851,"yy-mm")&amp;"-"&amp;IF(AND(WEEKDAY(A851)&gt;1,WEEKDAY(A851)&lt;7),"Wkd",TEXT(A851,"Ddd"))&amp;"-"&amp;TEXT(A851,"hh"),LoadTable[],3,FALSE)*0.92</f>
        <v>339.23343999999997</v>
      </c>
      <c r="U851" s="113">
        <f t="shared" si="872"/>
        <v>33.923344</v>
      </c>
      <c r="V851">
        <f t="shared" ref="V851:W851" si="884">V827</f>
        <v>3.2</v>
      </c>
      <c r="W851">
        <f t="shared" si="884"/>
        <v>3</v>
      </c>
      <c r="X851" s="9">
        <v>3.2024976999999999</v>
      </c>
      <c r="Y851" s="39"/>
    </row>
    <row r="852" spans="1:25" ht="15" thickBot="1">
      <c r="A852" s="29">
        <f t="shared" si="869"/>
        <v>45871.37499999992</v>
      </c>
      <c r="B852" s="30">
        <f t="shared" si="873"/>
        <v>8000</v>
      </c>
      <c r="C852" s="8">
        <v>25000</v>
      </c>
      <c r="D852" s="187">
        <v>0</v>
      </c>
      <c r="E852" s="187">
        <v>700</v>
      </c>
      <c r="F852" s="187">
        <v>15000</v>
      </c>
      <c r="G852" s="30">
        <f t="shared" si="874"/>
        <v>2400</v>
      </c>
      <c r="H852" s="8">
        <v>25000</v>
      </c>
      <c r="I852" s="30">
        <f t="shared" si="875"/>
        <v>8000</v>
      </c>
      <c r="J852" s="187">
        <v>40000</v>
      </c>
      <c r="K852" s="30">
        <f t="shared" si="876"/>
        <v>8000</v>
      </c>
      <c r="L852" s="187">
        <v>40000</v>
      </c>
      <c r="M852" s="110">
        <v>9.5</v>
      </c>
      <c r="N852" s="9">
        <f>VLOOKUP(DATE(YEAR(A852),MONTH(A852),DAY(A852)),FY24_Temp[],3,FALSE)</f>
        <v>13.7</v>
      </c>
      <c r="O852" s="110">
        <f t="shared" si="870"/>
        <v>11.5</v>
      </c>
      <c r="P852" s="110">
        <f t="shared" si="871"/>
        <v>19.5</v>
      </c>
      <c r="Q852" s="79">
        <f>VLOOKUP(VLOOKUP(DATEVALUE(TEXT(A852,"m/d/yyyy")),FY24_Temp[],5,FALSE)&amp;TEXT(A852,"-h"),TempDelta[],4,FALSE)</f>
        <v>2.4805714062282016</v>
      </c>
      <c r="R852">
        <v>10</v>
      </c>
      <c r="S852" s="112">
        <v>1500</v>
      </c>
      <c r="T852" s="5">
        <f>VLOOKUP(TEXT(A852,"yy-mm")&amp;"-"&amp;IF(AND(WEEKDAY(A852)&gt;1,WEEKDAY(A852)&lt;7),"Wkd",TEXT(A852,"Ddd"))&amp;"-"&amp;TEXT(A852,"hh"),LoadTable[],3,FALSE)*0.92</f>
        <v>338.44093501457735</v>
      </c>
      <c r="U852" s="113">
        <f t="shared" si="872"/>
        <v>33.844093501457735</v>
      </c>
      <c r="V852">
        <f t="shared" ref="V852:W852" si="885">V828</f>
        <v>2.9</v>
      </c>
      <c r="W852">
        <f t="shared" si="885"/>
        <v>3</v>
      </c>
      <c r="X852" s="9">
        <v>3.2471429999999999</v>
      </c>
      <c r="Y852" s="39"/>
    </row>
    <row r="853" spans="1:25" ht="15" thickBot="1">
      <c r="A853" s="29">
        <f t="shared" si="869"/>
        <v>45871.416666666584</v>
      </c>
      <c r="B853" s="30">
        <f t="shared" si="873"/>
        <v>8000</v>
      </c>
      <c r="C853" s="8">
        <v>25000</v>
      </c>
      <c r="D853" s="187">
        <v>0</v>
      </c>
      <c r="E853" s="187">
        <v>700</v>
      </c>
      <c r="F853" s="187">
        <v>15000</v>
      </c>
      <c r="G853" s="30">
        <f t="shared" si="874"/>
        <v>2400</v>
      </c>
      <c r="H853" s="8">
        <v>25000</v>
      </c>
      <c r="I853" s="30">
        <f t="shared" si="875"/>
        <v>8000</v>
      </c>
      <c r="J853" s="187">
        <v>40000</v>
      </c>
      <c r="K853" s="30">
        <f t="shared" si="876"/>
        <v>8000</v>
      </c>
      <c r="L853" s="187">
        <v>40000</v>
      </c>
      <c r="M853" s="110">
        <v>9.5</v>
      </c>
      <c r="N853" s="9">
        <f>VLOOKUP(DATE(YEAR(A853),MONTH(A853),DAY(A853)),FY24_Temp[],3,FALSE)</f>
        <v>13.7</v>
      </c>
      <c r="O853" s="110">
        <f t="shared" si="870"/>
        <v>11.5</v>
      </c>
      <c r="P853" s="110">
        <f t="shared" si="871"/>
        <v>19.5</v>
      </c>
      <c r="Q853" s="79">
        <f>VLOOKUP(VLOOKUP(DATEVALUE(TEXT(A853,"m/d/yyyy")),FY24_Temp[],5,FALSE)&amp;TEXT(A853,"-h"),TempDelta[],4,FALSE)</f>
        <v>2.2650000027247836</v>
      </c>
      <c r="R853">
        <v>10</v>
      </c>
      <c r="S853" s="112">
        <v>1500</v>
      </c>
      <c r="T853" s="5">
        <f>VLOOKUP(TEXT(A853,"yy-mm")&amp;"-"&amp;IF(AND(WEEKDAY(A853)&gt;1,WEEKDAY(A853)&lt;7),"Wkd",TEXT(A853,"Ddd"))&amp;"-"&amp;TEXT(A853,"hh"),LoadTable[],3,FALSE)*0.92</f>
        <v>338.44093501457741</v>
      </c>
      <c r="U853" s="113">
        <f t="shared" si="872"/>
        <v>33.844093501457742</v>
      </c>
      <c r="V853">
        <f t="shared" ref="V853:W853" si="886">V829</f>
        <v>2.9</v>
      </c>
      <c r="W853">
        <f t="shared" si="886"/>
        <v>3</v>
      </c>
      <c r="X853" s="9">
        <v>3.3226513999999998</v>
      </c>
      <c r="Y853" s="39"/>
    </row>
    <row r="854" spans="1:25" ht="15" thickBot="1">
      <c r="A854" s="29">
        <f t="shared" si="869"/>
        <v>45871.458333333248</v>
      </c>
      <c r="B854" s="30">
        <f t="shared" si="873"/>
        <v>8000</v>
      </c>
      <c r="C854" s="8">
        <v>25000</v>
      </c>
      <c r="D854" s="187">
        <v>0</v>
      </c>
      <c r="E854" s="187">
        <v>700</v>
      </c>
      <c r="F854" s="187">
        <v>15000</v>
      </c>
      <c r="G854" s="30">
        <f t="shared" si="874"/>
        <v>2400</v>
      </c>
      <c r="H854" s="8">
        <v>25000</v>
      </c>
      <c r="I854" s="30">
        <f t="shared" si="875"/>
        <v>8000</v>
      </c>
      <c r="J854" s="187">
        <v>40000</v>
      </c>
      <c r="K854" s="30">
        <f t="shared" si="876"/>
        <v>8000</v>
      </c>
      <c r="L854" s="187">
        <v>40000</v>
      </c>
      <c r="M854" s="110">
        <v>9.5</v>
      </c>
      <c r="N854" s="9">
        <f>VLOOKUP(DATE(YEAR(A854),MONTH(A854),DAY(A854)),FY24_Temp[],3,FALSE)</f>
        <v>13.7</v>
      </c>
      <c r="O854" s="110">
        <f t="shared" si="870"/>
        <v>11.5</v>
      </c>
      <c r="P854" s="110">
        <f t="shared" si="871"/>
        <v>19.5</v>
      </c>
      <c r="Q854" s="79">
        <f>VLOOKUP(VLOOKUP(DATEVALUE(TEXT(A854,"m/d/yyyy")),FY24_Temp[],5,FALSE)&amp;TEXT(A854,"-h"),TempDelta[],4,FALSE)</f>
        <v>2.0114285605294362</v>
      </c>
      <c r="R854">
        <v>10</v>
      </c>
      <c r="S854" s="112">
        <v>1500</v>
      </c>
      <c r="T854" s="5">
        <f>VLOOKUP(TEXT(A854,"yy-mm")&amp;"-"&amp;IF(AND(WEEKDAY(A854)&gt;1,WEEKDAY(A854)&lt;7),"Wkd",TEXT(A854,"Ddd"))&amp;"-"&amp;TEXT(A854,"hh"),LoadTable[],3,FALSE)*0.92</f>
        <v>338.44093501457741</v>
      </c>
      <c r="U854" s="113">
        <f t="shared" si="872"/>
        <v>33.844093501457742</v>
      </c>
      <c r="V854">
        <f t="shared" ref="V854:W854" si="887">V830</f>
        <v>3.4</v>
      </c>
      <c r="W854">
        <f t="shared" si="887"/>
        <v>3</v>
      </c>
      <c r="X854" s="9">
        <v>3.2720126999999999</v>
      </c>
      <c r="Y854" s="39"/>
    </row>
    <row r="855" spans="1:25" ht="15" thickBot="1">
      <c r="A855" s="29">
        <f t="shared" si="869"/>
        <v>45871.499999999913</v>
      </c>
      <c r="B855" s="30">
        <f t="shared" si="873"/>
        <v>8000</v>
      </c>
      <c r="C855" s="8">
        <v>25000</v>
      </c>
      <c r="D855" s="187">
        <v>0</v>
      </c>
      <c r="E855" s="187">
        <v>700</v>
      </c>
      <c r="F855" s="187">
        <v>15000</v>
      </c>
      <c r="G855" s="30">
        <f t="shared" si="874"/>
        <v>2400</v>
      </c>
      <c r="H855" s="8">
        <v>25000</v>
      </c>
      <c r="I855" s="30">
        <f t="shared" si="875"/>
        <v>8000</v>
      </c>
      <c r="J855" s="187">
        <v>40000</v>
      </c>
      <c r="K855" s="30">
        <f t="shared" si="876"/>
        <v>8000</v>
      </c>
      <c r="L855" s="187">
        <v>40000</v>
      </c>
      <c r="M855" s="110">
        <v>9.5</v>
      </c>
      <c r="N855" s="9">
        <f>VLOOKUP(DATE(YEAR(A855),MONTH(A855),DAY(A855)),FY24_Temp[],3,FALSE)</f>
        <v>13.7</v>
      </c>
      <c r="O855" s="110">
        <f t="shared" si="870"/>
        <v>11.5</v>
      </c>
      <c r="P855" s="110">
        <f t="shared" si="871"/>
        <v>19.5</v>
      </c>
      <c r="Q855" s="79">
        <f>VLOOKUP(VLOOKUP(DATEVALUE(TEXT(A855,"m/d/yyyy")),FY24_Temp[],5,FALSE)&amp;TEXT(A855,"-h"),TempDelta[],4,FALSE)</f>
        <v>1.7541428463799613</v>
      </c>
      <c r="R855">
        <v>10</v>
      </c>
      <c r="S855" s="112">
        <v>1500</v>
      </c>
      <c r="T855" s="5">
        <f>VLOOKUP(TEXT(A855,"yy-mm")&amp;"-"&amp;IF(AND(WEEKDAY(A855)&gt;1,WEEKDAY(A855)&lt;7),"Wkd",TEXT(A855,"Ddd"))&amp;"-"&amp;TEXT(A855,"hh"),LoadTable[],3,FALSE)*0.92</f>
        <v>338.44093501457752</v>
      </c>
      <c r="U855" s="113">
        <f t="shared" si="872"/>
        <v>33.844093501457749</v>
      </c>
      <c r="V855">
        <f t="shared" ref="V855:W855" si="888">V831</f>
        <v>3.1</v>
      </c>
      <c r="W855">
        <f t="shared" si="888"/>
        <v>2.9</v>
      </c>
      <c r="X855" s="9">
        <v>3.1224072</v>
      </c>
      <c r="Y855" s="39"/>
    </row>
    <row r="856" spans="1:25" ht="15" thickBot="1">
      <c r="A856" s="29">
        <f t="shared" si="869"/>
        <v>45871.541666666577</v>
      </c>
      <c r="B856" s="30">
        <f t="shared" si="873"/>
        <v>8000</v>
      </c>
      <c r="C856" s="8">
        <v>25000</v>
      </c>
      <c r="D856" s="187">
        <v>0</v>
      </c>
      <c r="E856" s="187">
        <v>700</v>
      </c>
      <c r="F856" s="187">
        <v>15000</v>
      </c>
      <c r="G856" s="30">
        <f t="shared" si="874"/>
        <v>2400</v>
      </c>
      <c r="H856" s="8">
        <v>25000</v>
      </c>
      <c r="I856" s="30">
        <f t="shared" si="875"/>
        <v>8000</v>
      </c>
      <c r="J856" s="187">
        <v>40000</v>
      </c>
      <c r="K856" s="30">
        <f t="shared" si="876"/>
        <v>8000</v>
      </c>
      <c r="L856" s="187">
        <v>40000</v>
      </c>
      <c r="M856" s="110">
        <v>9.5</v>
      </c>
      <c r="N856" s="9">
        <f>VLOOKUP(DATE(YEAR(A856),MONTH(A856),DAY(A856)),FY24_Temp[],3,FALSE)</f>
        <v>13.7</v>
      </c>
      <c r="O856" s="110">
        <f t="shared" si="870"/>
        <v>11.5</v>
      </c>
      <c r="P856" s="110">
        <f t="shared" si="871"/>
        <v>19.5</v>
      </c>
      <c r="Q856" s="79">
        <f>VLOOKUP(VLOOKUP(DATEVALUE(TEXT(A856,"m/d/yyyy")),FY24_Temp[],5,FALSE)&amp;TEXT(A856,"-h"),TempDelta[],4,FALSE)</f>
        <v>1.4955714430127824</v>
      </c>
      <c r="R856">
        <v>10</v>
      </c>
      <c r="S856" s="112">
        <v>1500</v>
      </c>
      <c r="T856" s="5">
        <f>VLOOKUP(TEXT(A856,"yy-mm")&amp;"-"&amp;IF(AND(WEEKDAY(A856)&gt;1,WEEKDAY(A856)&lt;7),"Wkd",TEXT(A856,"Ddd"))&amp;"-"&amp;TEXT(A856,"hh"),LoadTable[],3,FALSE)*0.92</f>
        <v>419.45560000000012</v>
      </c>
      <c r="U856" s="113">
        <f t="shared" si="872"/>
        <v>41.945560000000015</v>
      </c>
      <c r="V856">
        <f t="shared" ref="V856:W856" si="889">V832</f>
        <v>3.2</v>
      </c>
      <c r="W856">
        <f t="shared" si="889"/>
        <v>2.9</v>
      </c>
      <c r="X856" s="9">
        <v>2.9144735000000002</v>
      </c>
      <c r="Y856" s="39"/>
    </row>
    <row r="857" spans="1:25" ht="15" thickBot="1">
      <c r="A857" s="29">
        <f t="shared" si="869"/>
        <v>45871.583333333241</v>
      </c>
      <c r="B857" s="30">
        <f t="shared" si="873"/>
        <v>8000</v>
      </c>
      <c r="C857" s="8">
        <v>25000</v>
      </c>
      <c r="D857" s="187">
        <v>0</v>
      </c>
      <c r="E857" s="187">
        <v>700</v>
      </c>
      <c r="F857" s="187">
        <v>15000</v>
      </c>
      <c r="G857" s="30">
        <f t="shared" si="874"/>
        <v>2400</v>
      </c>
      <c r="H857" s="8">
        <v>25000</v>
      </c>
      <c r="I857" s="30">
        <f t="shared" si="875"/>
        <v>8000</v>
      </c>
      <c r="J857" s="187">
        <v>40000</v>
      </c>
      <c r="K857" s="30">
        <f t="shared" si="876"/>
        <v>8000</v>
      </c>
      <c r="L857" s="187">
        <v>40000</v>
      </c>
      <c r="M857" s="110">
        <v>9.5</v>
      </c>
      <c r="N857" s="9">
        <f>VLOOKUP(DATE(YEAR(A857),MONTH(A857),DAY(A857)),FY24_Temp[],3,FALSE)</f>
        <v>13.7</v>
      </c>
      <c r="O857" s="110">
        <f t="shared" si="870"/>
        <v>11.5</v>
      </c>
      <c r="P857" s="110">
        <f t="shared" si="871"/>
        <v>19.5</v>
      </c>
      <c r="Q857" s="79">
        <f>VLOOKUP(VLOOKUP(DATEVALUE(TEXT(A857,"m/d/yyyy")),FY24_Temp[],5,FALSE)&amp;TEXT(A857,"-h"),TempDelta[],4,FALSE)</f>
        <v>1.0822857235159193</v>
      </c>
      <c r="R857">
        <v>10</v>
      </c>
      <c r="S857" s="112">
        <v>1500</v>
      </c>
      <c r="T857" s="5">
        <f>VLOOKUP(TEXT(A857,"yy-mm")&amp;"-"&amp;IF(AND(WEEKDAY(A857)&gt;1,WEEKDAY(A857)&lt;7),"Wkd",TEXT(A857,"Ddd"))&amp;"-"&amp;TEXT(A857,"hh"),LoadTable[],3,FALSE)*0.92</f>
        <v>602.53744000000006</v>
      </c>
      <c r="U857" s="113">
        <f t="shared" si="872"/>
        <v>60.253744000000005</v>
      </c>
      <c r="V857">
        <f t="shared" ref="V857:W857" si="890">V833</f>
        <v>3.5</v>
      </c>
      <c r="W857">
        <f t="shared" si="890"/>
        <v>2.9</v>
      </c>
      <c r="X857" s="9">
        <v>2.8631462999999999</v>
      </c>
      <c r="Y857" s="39"/>
    </row>
    <row r="858" spans="1:25" ht="15" thickBot="1">
      <c r="A858" s="29">
        <f t="shared" si="869"/>
        <v>45871.624999999905</v>
      </c>
      <c r="B858" s="30">
        <f t="shared" si="873"/>
        <v>8000</v>
      </c>
      <c r="C858" s="8">
        <v>25000</v>
      </c>
      <c r="D858" s="187">
        <v>0</v>
      </c>
      <c r="E858" s="187">
        <v>700</v>
      </c>
      <c r="F858" s="187">
        <v>15000</v>
      </c>
      <c r="G858" s="30">
        <f t="shared" si="874"/>
        <v>2400</v>
      </c>
      <c r="H858" s="8">
        <v>25000</v>
      </c>
      <c r="I858" s="30">
        <f t="shared" si="875"/>
        <v>8000</v>
      </c>
      <c r="J858" s="187">
        <v>40000</v>
      </c>
      <c r="K858" s="30">
        <f t="shared" si="876"/>
        <v>8000</v>
      </c>
      <c r="L858" s="187">
        <v>40000</v>
      </c>
      <c r="M858" s="110">
        <v>9.5</v>
      </c>
      <c r="N858" s="9">
        <f>VLOOKUP(DATE(YEAR(A858),MONTH(A858),DAY(A858)),FY24_Temp[],3,FALSE)</f>
        <v>13.7</v>
      </c>
      <c r="O858" s="110">
        <f t="shared" si="870"/>
        <v>11.5</v>
      </c>
      <c r="P858" s="110">
        <f t="shared" si="871"/>
        <v>19.5</v>
      </c>
      <c r="Q858" s="79">
        <f>VLOOKUP(VLOOKUP(DATEVALUE(TEXT(A858,"m/d/yyyy")),FY24_Temp[],5,FALSE)&amp;TEXT(A858,"-h"),TempDelta[],4,FALSE)</f>
        <v>0.86314284375735695</v>
      </c>
      <c r="R858">
        <v>10</v>
      </c>
      <c r="S858" s="112">
        <v>1500</v>
      </c>
      <c r="T858" s="5">
        <f>VLOOKUP(TEXT(A858,"yy-mm")&amp;"-"&amp;IF(AND(WEEKDAY(A858)&gt;1,WEEKDAY(A858)&lt;7),"Wkd",TEXT(A858,"Ddd"))&amp;"-"&amp;TEXT(A858,"hh"),LoadTable[],3,FALSE)*0.92</f>
        <v>718.53656000000001</v>
      </c>
      <c r="U858" s="113">
        <f t="shared" si="872"/>
        <v>71.853656000000001</v>
      </c>
      <c r="V858">
        <f t="shared" ref="V858:W858" si="891">V834</f>
        <v>3.2</v>
      </c>
      <c r="W858">
        <f t="shared" si="891"/>
        <v>2.9</v>
      </c>
      <c r="X858" s="9">
        <v>3.1547307999999998</v>
      </c>
      <c r="Y858" s="39"/>
    </row>
    <row r="859" spans="1:25" ht="15" thickBot="1">
      <c r="A859" s="29">
        <f t="shared" si="869"/>
        <v>45871.66666666657</v>
      </c>
      <c r="B859" s="30">
        <f t="shared" si="873"/>
        <v>8000</v>
      </c>
      <c r="C859" s="8">
        <v>25000</v>
      </c>
      <c r="D859" s="187">
        <v>0</v>
      </c>
      <c r="E859" s="187">
        <v>700</v>
      </c>
      <c r="F859" s="187">
        <v>15000</v>
      </c>
      <c r="G859" s="30">
        <f t="shared" si="874"/>
        <v>2400</v>
      </c>
      <c r="H859" s="8">
        <v>25000</v>
      </c>
      <c r="I859" s="30">
        <f t="shared" si="875"/>
        <v>8000</v>
      </c>
      <c r="J859" s="187">
        <v>40000</v>
      </c>
      <c r="K859" s="30">
        <f t="shared" si="876"/>
        <v>8000</v>
      </c>
      <c r="L859" s="187">
        <v>40000</v>
      </c>
      <c r="M859" s="110">
        <v>9.5</v>
      </c>
      <c r="N859" s="9">
        <f>VLOOKUP(DATE(YEAR(A859),MONTH(A859),DAY(A859)),FY24_Temp[],3,FALSE)</f>
        <v>13.7</v>
      </c>
      <c r="O859" s="110">
        <f t="shared" si="870"/>
        <v>11.5</v>
      </c>
      <c r="P859" s="110">
        <f t="shared" si="871"/>
        <v>19.5</v>
      </c>
      <c r="Q859" s="79">
        <f>VLOOKUP(VLOOKUP(DATEVALUE(TEXT(A859,"m/d/yyyy")),FY24_Temp[],5,FALSE)&amp;TEXT(A859,"-h"),TempDelta[],4,FALSE)</f>
        <v>0.71478571849209926</v>
      </c>
      <c r="R859">
        <v>10</v>
      </c>
      <c r="S859" s="112">
        <v>1500</v>
      </c>
      <c r="T859" s="5">
        <f>VLOOKUP(TEXT(A859,"yy-mm")&amp;"-"&amp;IF(AND(WEEKDAY(A859)&gt;1,WEEKDAY(A859)&lt;7),"Wkd",TEXT(A859,"Ddd"))&amp;"-"&amp;TEXT(A859,"hh"),LoadTable[],3,FALSE)*0.92</f>
        <v>786.27137399656624</v>
      </c>
      <c r="U859" s="113">
        <f t="shared" si="872"/>
        <v>78.627137399656618</v>
      </c>
      <c r="V859">
        <f t="shared" ref="V859:W859" si="892">V835</f>
        <v>3.5</v>
      </c>
      <c r="W859">
        <f t="shared" si="892"/>
        <v>3</v>
      </c>
      <c r="X859" s="9">
        <v>3.0276139</v>
      </c>
      <c r="Y859" s="39"/>
    </row>
    <row r="860" spans="1:25" ht="15" thickBot="1">
      <c r="A860" s="29">
        <f t="shared" si="869"/>
        <v>45871.708333333234</v>
      </c>
      <c r="B860" s="30">
        <f t="shared" si="873"/>
        <v>8000</v>
      </c>
      <c r="C860" s="8">
        <v>25000</v>
      </c>
      <c r="D860" s="187">
        <v>0</v>
      </c>
      <c r="E860" s="187">
        <v>700</v>
      </c>
      <c r="F860" s="187">
        <v>15000</v>
      </c>
      <c r="G860" s="30">
        <f t="shared" si="874"/>
        <v>2400</v>
      </c>
      <c r="H860" s="8">
        <v>25000</v>
      </c>
      <c r="I860" s="30">
        <f t="shared" si="875"/>
        <v>8000</v>
      </c>
      <c r="J860" s="187">
        <v>40000</v>
      </c>
      <c r="K860" s="30">
        <f t="shared" si="876"/>
        <v>8000</v>
      </c>
      <c r="L860" s="187">
        <v>40000</v>
      </c>
      <c r="M860" s="110">
        <v>9.5</v>
      </c>
      <c r="N860" s="9">
        <f>VLOOKUP(DATE(YEAR(A860),MONTH(A860),DAY(A860)),FY24_Temp[],3,FALSE)</f>
        <v>13.7</v>
      </c>
      <c r="O860" s="110">
        <f t="shared" si="870"/>
        <v>11.5</v>
      </c>
      <c r="P860" s="110">
        <f t="shared" si="871"/>
        <v>19.5</v>
      </c>
      <c r="Q860" s="79">
        <f>VLOOKUP(VLOOKUP(DATEVALUE(TEXT(A860,"m/d/yyyy")),FY24_Temp[],5,FALSE)&amp;TEXT(A860,"-h"),TempDelta[],4,FALSE)</f>
        <v>0.73571428656578064</v>
      </c>
      <c r="R860">
        <v>10</v>
      </c>
      <c r="S860" s="112">
        <v>1500</v>
      </c>
      <c r="T860" s="5">
        <f>VLOOKUP(TEXT(A860,"yy-mm")&amp;"-"&amp;IF(AND(WEEKDAY(A860)&gt;1,WEEKDAY(A860)&lt;7),"Wkd",TEXT(A860,"Ddd"))&amp;"-"&amp;TEXT(A860,"hh"),LoadTable[],3,FALSE)*0.92</f>
        <v>786.27137399656624</v>
      </c>
      <c r="U860" s="113">
        <f t="shared" si="872"/>
        <v>78.627137399656618</v>
      </c>
      <c r="V860">
        <f t="shared" ref="V860:W860" si="893">V836</f>
        <v>3.6</v>
      </c>
      <c r="W860">
        <f t="shared" si="893"/>
        <v>3</v>
      </c>
      <c r="X860" s="9">
        <v>2.9296717999999999</v>
      </c>
      <c r="Y860" s="39"/>
    </row>
    <row r="861" spans="1:25" ht="15" thickBot="1">
      <c r="A861" s="29">
        <f t="shared" si="869"/>
        <v>45871.749999999898</v>
      </c>
      <c r="B861" s="30">
        <f t="shared" si="873"/>
        <v>5000</v>
      </c>
      <c r="C861" s="8">
        <v>25000</v>
      </c>
      <c r="D861" s="187">
        <v>0</v>
      </c>
      <c r="E861" s="187">
        <v>700</v>
      </c>
      <c r="F861" s="187">
        <v>15000</v>
      </c>
      <c r="G861" s="30">
        <f t="shared" si="874"/>
        <v>2400</v>
      </c>
      <c r="H861" s="8">
        <v>25000</v>
      </c>
      <c r="I861" s="30">
        <f t="shared" si="875"/>
        <v>5000</v>
      </c>
      <c r="J861" s="187">
        <v>40000</v>
      </c>
      <c r="K861" s="30">
        <f t="shared" si="876"/>
        <v>5000</v>
      </c>
      <c r="L861" s="187">
        <v>40000</v>
      </c>
      <c r="M861" s="110">
        <v>9.5</v>
      </c>
      <c r="N861" s="9">
        <f>VLOOKUP(DATE(YEAR(A861),MONTH(A861),DAY(A861)),FY24_Temp[],3,FALSE)</f>
        <v>13.7</v>
      </c>
      <c r="O861" s="110">
        <f t="shared" si="870"/>
        <v>11.5</v>
      </c>
      <c r="P861" s="110">
        <f t="shared" si="871"/>
        <v>19.5</v>
      </c>
      <c r="Q861" s="79">
        <f>VLOOKUP(VLOOKUP(DATEVALUE(TEXT(A861,"m/d/yyyy")),FY24_Temp[],5,FALSE)&amp;TEXT(A861,"-h"),TempDelta[],4,FALSE)</f>
        <v>0.95992857217788696</v>
      </c>
      <c r="R861">
        <v>10</v>
      </c>
      <c r="S861" s="112">
        <v>1500</v>
      </c>
      <c r="T861" s="5">
        <f>VLOOKUP(TEXT(A861,"yy-mm")&amp;"-"&amp;IF(AND(WEEKDAY(A861)&gt;1,WEEKDAY(A861)&lt;7),"Wkd",TEXT(A861,"Ddd"))&amp;"-"&amp;TEXT(A861,"hh"),LoadTable[],3,FALSE)*0.92</f>
        <v>786.27137399656647</v>
      </c>
      <c r="U861" s="113">
        <f t="shared" si="872"/>
        <v>78.627137399656647</v>
      </c>
      <c r="V861">
        <f t="shared" ref="V861:W861" si="894">V837</f>
        <v>2.9</v>
      </c>
      <c r="W861">
        <f t="shared" si="894"/>
        <v>3</v>
      </c>
      <c r="X861" s="9">
        <v>2.9017328999999998</v>
      </c>
      <c r="Y861" s="39"/>
    </row>
    <row r="862" spans="1:25" ht="15" thickBot="1">
      <c r="A862" s="29">
        <f t="shared" si="869"/>
        <v>45871.791666666562</v>
      </c>
      <c r="B862" s="30">
        <f t="shared" si="873"/>
        <v>5000</v>
      </c>
      <c r="C862" s="8">
        <v>25000</v>
      </c>
      <c r="D862" s="187">
        <v>0</v>
      </c>
      <c r="E862" s="187">
        <v>700</v>
      </c>
      <c r="F862" s="187">
        <v>15000</v>
      </c>
      <c r="G862" s="30">
        <f t="shared" si="874"/>
        <v>2400</v>
      </c>
      <c r="H862" s="8">
        <v>25000</v>
      </c>
      <c r="I862" s="30">
        <f t="shared" si="875"/>
        <v>5000</v>
      </c>
      <c r="J862" s="187">
        <v>40000</v>
      </c>
      <c r="K862" s="30">
        <f t="shared" si="876"/>
        <v>5000</v>
      </c>
      <c r="L862" s="187">
        <v>40000</v>
      </c>
      <c r="M862" s="110">
        <v>9.5</v>
      </c>
      <c r="N862" s="9">
        <f>VLOOKUP(DATE(YEAR(A862),MONTH(A862),DAY(A862)),FY24_Temp[],3,FALSE)</f>
        <v>13.7</v>
      </c>
      <c r="O862" s="110">
        <f t="shared" si="870"/>
        <v>11.5</v>
      </c>
      <c r="P862" s="110">
        <f t="shared" si="871"/>
        <v>19.5</v>
      </c>
      <c r="Q862" s="79">
        <f>VLOOKUP(VLOOKUP(DATEVALUE(TEXT(A862,"m/d/yyyy")),FY24_Temp[],5,FALSE)&amp;TEXT(A862,"-h"),TempDelta[],4,FALSE)</f>
        <v>1.2718571509633745</v>
      </c>
      <c r="R862">
        <v>10</v>
      </c>
      <c r="S862" s="112">
        <v>1500</v>
      </c>
      <c r="T862" s="5">
        <f>VLOOKUP(TEXT(A862,"yy-mm")&amp;"-"&amp;IF(AND(WEEKDAY(A862)&gt;1,WEEKDAY(A862)&lt;7),"Wkd",TEXT(A862,"Ddd"))&amp;"-"&amp;TEXT(A862,"hh"),LoadTable[],3,FALSE)*0.92</f>
        <v>786.27137399656624</v>
      </c>
      <c r="U862" s="113">
        <f t="shared" si="872"/>
        <v>78.627137399656618</v>
      </c>
      <c r="V862">
        <f t="shared" ref="V862:W862" si="895">V838</f>
        <v>3</v>
      </c>
      <c r="W862">
        <f t="shared" si="895"/>
        <v>3</v>
      </c>
      <c r="X862" s="9">
        <v>2.8596317999999998</v>
      </c>
      <c r="Y862" s="39"/>
    </row>
    <row r="863" spans="1:25" ht="15" thickBot="1">
      <c r="A863" s="29">
        <f t="shared" si="869"/>
        <v>45871.833333333227</v>
      </c>
      <c r="B863" s="30">
        <f t="shared" si="873"/>
        <v>5000</v>
      </c>
      <c r="C863" s="8">
        <v>25000</v>
      </c>
      <c r="D863" s="187">
        <v>0</v>
      </c>
      <c r="E863" s="187">
        <v>700</v>
      </c>
      <c r="F863" s="187">
        <v>15000</v>
      </c>
      <c r="G863" s="30">
        <f t="shared" si="874"/>
        <v>2400</v>
      </c>
      <c r="H863" s="8">
        <v>25000</v>
      </c>
      <c r="I863" s="30">
        <f t="shared" si="875"/>
        <v>5000</v>
      </c>
      <c r="J863" s="187">
        <v>40000</v>
      </c>
      <c r="K863" s="30">
        <f t="shared" si="876"/>
        <v>5000</v>
      </c>
      <c r="L863" s="187">
        <v>40000</v>
      </c>
      <c r="M863" s="110">
        <v>9.5</v>
      </c>
      <c r="N863" s="9">
        <f>VLOOKUP(DATE(YEAR(A863),MONTH(A863),DAY(A863)),FY24_Temp[],3,FALSE)</f>
        <v>13.7</v>
      </c>
      <c r="O863" s="110">
        <f t="shared" si="870"/>
        <v>11.5</v>
      </c>
      <c r="P863" s="110">
        <f t="shared" si="871"/>
        <v>19.5</v>
      </c>
      <c r="Q863" s="79">
        <f>VLOOKUP(VLOOKUP(DATEVALUE(TEXT(A863,"m/d/yyyy")),FY24_Temp[],5,FALSE)&amp;TEXT(A863,"-h"),TempDelta[],4,FALSE)</f>
        <v>1.6933571355683463</v>
      </c>
      <c r="R863">
        <v>10</v>
      </c>
      <c r="S863" s="112">
        <v>1500</v>
      </c>
      <c r="T863" s="5">
        <f>VLOOKUP(TEXT(A863,"yy-mm")&amp;"-"&amp;IF(AND(WEEKDAY(A863)&gt;1,WEEKDAY(A863)&lt;7),"Wkd",TEXT(A863,"Ddd"))&amp;"-"&amp;TEXT(A863,"hh"),LoadTable[],3,FALSE)*0.92</f>
        <v>777.64820632864951</v>
      </c>
      <c r="U863" s="113">
        <f t="shared" si="872"/>
        <v>77.764820632864954</v>
      </c>
      <c r="V863">
        <f t="shared" ref="V863:W863" si="896">V839</f>
        <v>2.8</v>
      </c>
      <c r="W863">
        <f t="shared" si="896"/>
        <v>3.1</v>
      </c>
      <c r="X863" s="9">
        <v>2.8210294</v>
      </c>
      <c r="Y863" s="39"/>
    </row>
    <row r="864" spans="1:25" ht="15" thickBot="1">
      <c r="A864" s="29">
        <f t="shared" si="869"/>
        <v>45871.874999999891</v>
      </c>
      <c r="B864" s="30">
        <f t="shared" si="873"/>
        <v>5000</v>
      </c>
      <c r="C864" s="8">
        <v>25000</v>
      </c>
      <c r="D864" s="187">
        <v>0</v>
      </c>
      <c r="E864" s="187">
        <v>700</v>
      </c>
      <c r="F864" s="187">
        <v>15000</v>
      </c>
      <c r="G864" s="30">
        <f t="shared" si="874"/>
        <v>2400</v>
      </c>
      <c r="H864" s="8">
        <v>25000</v>
      </c>
      <c r="I864" s="30">
        <f t="shared" si="875"/>
        <v>5000</v>
      </c>
      <c r="J864" s="187">
        <v>40000</v>
      </c>
      <c r="K864" s="30">
        <f t="shared" si="876"/>
        <v>5000</v>
      </c>
      <c r="L864" s="187">
        <v>40000</v>
      </c>
      <c r="M864" s="110">
        <v>9.5</v>
      </c>
      <c r="N864" s="9">
        <f>VLOOKUP(DATE(YEAR(A864),MONTH(A864),DAY(A864)),FY24_Temp[],3,FALSE)</f>
        <v>13.7</v>
      </c>
      <c r="O864" s="110">
        <f t="shared" si="870"/>
        <v>11.5</v>
      </c>
      <c r="P864" s="110">
        <f t="shared" si="871"/>
        <v>19.5</v>
      </c>
      <c r="Q864" s="79">
        <f>VLOOKUP(VLOOKUP(DATEVALUE(TEXT(A864,"m/d/yyyy")),FY24_Temp[],5,FALSE)&amp;TEXT(A864,"-h"),TempDelta[],4,FALSE)</f>
        <v>2.0325714520045688</v>
      </c>
      <c r="R864">
        <v>10</v>
      </c>
      <c r="S864" s="112">
        <v>1500</v>
      </c>
      <c r="T864" s="5">
        <f>VLOOKUP(TEXT(A864,"yy-mm")&amp;"-"&amp;IF(AND(WEEKDAY(A864)&gt;1,WEEKDAY(A864)&lt;7),"Wkd",TEXT(A864,"Ddd"))&amp;"-"&amp;TEXT(A864,"hh"),LoadTable[],3,FALSE)*0.92</f>
        <v>646.6971562116064</v>
      </c>
      <c r="U864" s="113">
        <f t="shared" si="872"/>
        <v>64.669715621160634</v>
      </c>
      <c r="V864">
        <f t="shared" ref="V864:W864" si="897">V840</f>
        <v>3.5</v>
      </c>
      <c r="W864">
        <f t="shared" si="897"/>
        <v>3.1</v>
      </c>
      <c r="X864" s="9">
        <v>2.7868301999999998</v>
      </c>
      <c r="Y864" s="39"/>
    </row>
    <row r="865" spans="1:25" ht="15" thickBot="1">
      <c r="A865" s="29">
        <f t="shared" si="869"/>
        <v>45871.916666666555</v>
      </c>
      <c r="B865" s="30">
        <f t="shared" si="873"/>
        <v>5000</v>
      </c>
      <c r="C865" s="8">
        <v>25000</v>
      </c>
      <c r="D865" s="187">
        <v>0</v>
      </c>
      <c r="E865" s="187">
        <v>700</v>
      </c>
      <c r="F865" s="187">
        <v>15000</v>
      </c>
      <c r="G865" s="30">
        <f t="shared" si="874"/>
        <v>2400</v>
      </c>
      <c r="H865" s="8">
        <v>25000</v>
      </c>
      <c r="I865" s="30">
        <f t="shared" si="875"/>
        <v>5000</v>
      </c>
      <c r="J865" s="187">
        <v>40000</v>
      </c>
      <c r="K865" s="30">
        <f t="shared" si="876"/>
        <v>5000</v>
      </c>
      <c r="L865" s="187">
        <v>40000</v>
      </c>
      <c r="M865" s="110">
        <v>9.5</v>
      </c>
      <c r="N865" s="9">
        <f>VLOOKUP(DATE(YEAR(A865),MONTH(A865),DAY(A865)),FY24_Temp[],3,FALSE)</f>
        <v>13.7</v>
      </c>
      <c r="O865" s="110">
        <f t="shared" si="870"/>
        <v>11.5</v>
      </c>
      <c r="P865" s="110">
        <f t="shared" si="871"/>
        <v>19.5</v>
      </c>
      <c r="Q865" s="79">
        <f>VLOOKUP(VLOOKUP(DATEVALUE(TEXT(A865,"m/d/yyyy")),FY24_Temp[],5,FALSE)&amp;TEXT(A865,"-h"),TempDelta[],4,FALSE)</f>
        <v>2.3954285553523471</v>
      </c>
      <c r="R865">
        <v>10</v>
      </c>
      <c r="S865" s="112">
        <v>1500</v>
      </c>
      <c r="T865" s="5">
        <f>VLOOKUP(TEXT(A865,"yy-mm")&amp;"-"&amp;IF(AND(WEEKDAY(A865)&gt;1,WEEKDAY(A865)&lt;7),"Wkd",TEXT(A865,"Ddd"))&amp;"-"&amp;TEXT(A865,"hh"),LoadTable[],3,FALSE)*0.92</f>
        <v>584.81792964989802</v>
      </c>
      <c r="U865" s="113">
        <f t="shared" si="872"/>
        <v>58.481792964989801</v>
      </c>
      <c r="V865">
        <f t="shared" ref="V865:W865" si="898">V841</f>
        <v>2.9</v>
      </c>
      <c r="W865">
        <f t="shared" si="898"/>
        <v>3.1</v>
      </c>
      <c r="X865" s="9">
        <v>2.7539375000000001</v>
      </c>
      <c r="Y865" s="39"/>
    </row>
    <row r="866" spans="1:25" ht="15" thickBot="1">
      <c r="A866" s="29">
        <f t="shared" si="869"/>
        <v>45871.958333333219</v>
      </c>
      <c r="B866" s="30">
        <f t="shared" si="873"/>
        <v>5000</v>
      </c>
      <c r="C866" s="8">
        <v>25000</v>
      </c>
      <c r="D866" s="187">
        <v>0</v>
      </c>
      <c r="E866" s="187">
        <v>700</v>
      </c>
      <c r="F866" s="187">
        <v>15000</v>
      </c>
      <c r="G866" s="30">
        <f t="shared" si="874"/>
        <v>2400</v>
      </c>
      <c r="H866" s="8">
        <v>25000</v>
      </c>
      <c r="I866" s="30">
        <f t="shared" si="875"/>
        <v>5000</v>
      </c>
      <c r="J866" s="187">
        <v>40000</v>
      </c>
      <c r="K866" s="30">
        <f t="shared" si="876"/>
        <v>5000</v>
      </c>
      <c r="L866" s="187">
        <v>40000</v>
      </c>
      <c r="M866" s="110">
        <v>9.5</v>
      </c>
      <c r="N866" s="9">
        <f>VLOOKUP(DATE(YEAR(A866),MONTH(A866),DAY(A866)),FY24_Temp[],3,FALSE)</f>
        <v>13.7</v>
      </c>
      <c r="O866" s="110">
        <f t="shared" si="870"/>
        <v>11.5</v>
      </c>
      <c r="P866" s="110">
        <f t="shared" si="871"/>
        <v>19.5</v>
      </c>
      <c r="Q866" s="79">
        <f>VLOOKUP(VLOOKUP(DATEVALUE(TEXT(A866,"m/d/yyyy")),FY24_Temp[],5,FALSE)&amp;TEXT(A866,"-h"),TempDelta[],4,FALSE)</f>
        <v>2.5458571229662215</v>
      </c>
      <c r="R866">
        <v>10</v>
      </c>
      <c r="S866" s="112">
        <v>1500</v>
      </c>
      <c r="T866" s="5">
        <f>VLOOKUP(TEXT(A866,"yy-mm")&amp;"-"&amp;IF(AND(WEEKDAY(A866)&gt;1,WEEKDAY(A866)&lt;7),"Wkd",TEXT(A866,"Ddd"))&amp;"-"&amp;TEXT(A866,"hh"),LoadTable[],3,FALSE)*0.92</f>
        <v>476.19660000000005</v>
      </c>
      <c r="U866" s="113">
        <f t="shared" si="872"/>
        <v>47.619660000000003</v>
      </c>
      <c r="V866">
        <f t="shared" ref="V866:W866" si="899">V842</f>
        <v>3.6</v>
      </c>
      <c r="W866">
        <f t="shared" si="899"/>
        <v>3.1</v>
      </c>
      <c r="X866" s="9">
        <v>2.6527672</v>
      </c>
      <c r="Y866" s="39"/>
    </row>
    <row r="867" spans="1:25" ht="15" thickBot="1">
      <c r="A867" s="29">
        <f t="shared" si="869"/>
        <v>45871.999999999884</v>
      </c>
      <c r="B867" s="30">
        <f t="shared" si="873"/>
        <v>5000</v>
      </c>
      <c r="C867" s="8">
        <v>25000</v>
      </c>
      <c r="D867" s="187">
        <v>0</v>
      </c>
      <c r="E867" s="187">
        <v>700</v>
      </c>
      <c r="F867" s="187">
        <v>15000</v>
      </c>
      <c r="G867" s="30">
        <f t="shared" si="874"/>
        <v>2400</v>
      </c>
      <c r="H867" s="8">
        <v>25000</v>
      </c>
      <c r="I867" s="30">
        <f t="shared" si="875"/>
        <v>5000</v>
      </c>
      <c r="J867" s="187">
        <v>40000</v>
      </c>
      <c r="K867" s="30">
        <f t="shared" si="876"/>
        <v>5000</v>
      </c>
      <c r="L867" s="187">
        <v>40000</v>
      </c>
      <c r="M867" s="110">
        <v>9.5</v>
      </c>
      <c r="N867" s="9">
        <f>VLOOKUP(DATE(YEAR(A867),MONTH(A867),DAY(A867)),FY24_Temp[],3,FALSE)</f>
        <v>13.7</v>
      </c>
      <c r="O867" s="110">
        <f t="shared" si="870"/>
        <v>11.5</v>
      </c>
      <c r="P867" s="110">
        <f t="shared" si="871"/>
        <v>19.5</v>
      </c>
      <c r="Q867" s="79">
        <f>VLOOKUP(VLOOKUP(DATEVALUE(TEXT(A867,"m/d/yyyy")),FY24_Temp[],5,FALSE)&amp;TEXT(A867,"-h"),TempDelta[],4,FALSE)</f>
        <v>2.6947143077850342</v>
      </c>
      <c r="R867">
        <v>10</v>
      </c>
      <c r="S867" s="112">
        <v>1500</v>
      </c>
      <c r="T867" s="5">
        <f>VLOOKUP(TEXT(A867,"yy-mm")&amp;"-"&amp;IF(AND(WEEKDAY(A867)&gt;1,WEEKDAY(A867)&lt;7),"Wkd",TEXT(A867,"Ddd"))&amp;"-"&amp;TEXT(A867,"hh"),LoadTable[],3,FALSE)*0.92</f>
        <v>356.57820000000004</v>
      </c>
      <c r="U867" s="113">
        <f t="shared" si="872"/>
        <v>35.657820000000001</v>
      </c>
      <c r="V867">
        <f t="shared" ref="V867:W867" si="900">V843</f>
        <v>3</v>
      </c>
      <c r="W867">
        <f t="shared" si="900"/>
        <v>3.2</v>
      </c>
      <c r="X867" s="9">
        <v>2.5805712000000001</v>
      </c>
      <c r="Y867" s="39"/>
    </row>
    <row r="868" spans="1:25" ht="15" thickBot="1">
      <c r="A868" s="29">
        <f t="shared" si="869"/>
        <v>45872.041666666548</v>
      </c>
      <c r="B868" s="30">
        <f t="shared" si="873"/>
        <v>5000</v>
      </c>
      <c r="C868" s="8">
        <v>25000</v>
      </c>
      <c r="D868" s="187">
        <v>0</v>
      </c>
      <c r="E868" s="187">
        <v>700</v>
      </c>
      <c r="F868" s="187">
        <v>15000</v>
      </c>
      <c r="G868" s="30">
        <f t="shared" si="874"/>
        <v>2400</v>
      </c>
      <c r="H868" s="8">
        <v>25000</v>
      </c>
      <c r="I868" s="30">
        <f t="shared" si="875"/>
        <v>5000</v>
      </c>
      <c r="J868" s="187">
        <v>40000</v>
      </c>
      <c r="K868" s="30">
        <f t="shared" si="876"/>
        <v>5000</v>
      </c>
      <c r="L868" s="187">
        <v>40000</v>
      </c>
      <c r="M868" s="110">
        <v>9.5</v>
      </c>
      <c r="N868" s="9">
        <f>VLOOKUP(DATE(YEAR(A868),MONTH(A868),DAY(A868)),FY24_Temp[],3,FALSE)</f>
        <v>13.7</v>
      </c>
      <c r="O868" s="110">
        <f t="shared" si="870"/>
        <v>11.5</v>
      </c>
      <c r="P868" s="110">
        <f t="shared" si="871"/>
        <v>19.5</v>
      </c>
      <c r="Q868" s="79">
        <f>VLOOKUP(VLOOKUP(DATEVALUE(TEXT(A868,"m/d/yyyy")),FY24_Temp[],5,FALSE)&amp;TEXT(A868,"-h"),TempDelta[],4,FALSE)</f>
        <v>2.746142796107701</v>
      </c>
      <c r="R868">
        <v>10</v>
      </c>
      <c r="S868" s="112">
        <v>1500</v>
      </c>
      <c r="T868" s="5">
        <f>VLOOKUP(TEXT(A868,"yy-mm")&amp;"-"&amp;IF(AND(WEEKDAY(A868)&gt;1,WEEKDAY(A868)&lt;7),"Wkd",TEXT(A868,"Ddd"))&amp;"-"&amp;TEXT(A868,"hh"),LoadTable[],3,FALSE)*0.92</f>
        <v>347.99644000000006</v>
      </c>
      <c r="U868" s="113">
        <f t="shared" si="872"/>
        <v>34.799644000000008</v>
      </c>
      <c r="V868">
        <f t="shared" ref="V868:W868" si="901">V844</f>
        <v>2.6</v>
      </c>
      <c r="W868">
        <f t="shared" si="901"/>
        <v>3.2</v>
      </c>
      <c r="X868" s="9">
        <v>2.5404591999999999</v>
      </c>
      <c r="Y868" s="39"/>
    </row>
    <row r="869" spans="1:25" ht="15" thickBot="1">
      <c r="A869" s="29">
        <f t="shared" si="869"/>
        <v>45872.083333333212</v>
      </c>
      <c r="B869" s="30">
        <f t="shared" si="873"/>
        <v>5000</v>
      </c>
      <c r="C869" s="8">
        <v>25000</v>
      </c>
      <c r="D869" s="187">
        <v>0</v>
      </c>
      <c r="E869" s="187">
        <v>700</v>
      </c>
      <c r="F869" s="187">
        <v>15000</v>
      </c>
      <c r="G869" s="30">
        <f t="shared" si="874"/>
        <v>2400</v>
      </c>
      <c r="H869" s="8">
        <v>25000</v>
      </c>
      <c r="I869" s="30">
        <f t="shared" si="875"/>
        <v>5000</v>
      </c>
      <c r="J869" s="187">
        <v>40000</v>
      </c>
      <c r="K869" s="30">
        <f t="shared" si="876"/>
        <v>5000</v>
      </c>
      <c r="L869" s="187">
        <v>40000</v>
      </c>
      <c r="M869" s="110">
        <v>9.5</v>
      </c>
      <c r="N869" s="9">
        <f>VLOOKUP(DATE(YEAR(A869),MONTH(A869),DAY(A869)),FY24_Temp[],3,FALSE)</f>
        <v>13.7</v>
      </c>
      <c r="O869" s="110">
        <f t="shared" si="870"/>
        <v>11.5</v>
      </c>
      <c r="P869" s="110">
        <f t="shared" si="871"/>
        <v>19.5</v>
      </c>
      <c r="Q869" s="79">
        <f>VLOOKUP(VLOOKUP(DATEVALUE(TEXT(A869,"m/d/yyyy")),FY24_Temp[],5,FALSE)&amp;TEXT(A869,"-h"),TempDelta[],4,FALSE)</f>
        <v>2.7678571428571428</v>
      </c>
      <c r="R869">
        <v>10</v>
      </c>
      <c r="S869" s="112">
        <v>1500</v>
      </c>
      <c r="T869" s="5">
        <f>VLOOKUP(TEXT(A869,"yy-mm")&amp;"-"&amp;IF(AND(WEEKDAY(A869)&gt;1,WEEKDAY(A869)&lt;7),"Wkd",TEXT(A869,"Ddd"))&amp;"-"&amp;TEXT(A869,"hh"),LoadTable[],3,FALSE)*0.92</f>
        <v>341.29148000000004</v>
      </c>
      <c r="U869" s="113">
        <f t="shared" si="872"/>
        <v>34.129148000000001</v>
      </c>
      <c r="V869">
        <f t="shared" ref="V869:W869" si="902">V845</f>
        <v>2.8</v>
      </c>
      <c r="W869">
        <f t="shared" si="902"/>
        <v>3.2</v>
      </c>
      <c r="X869" s="9">
        <v>2.6293432999999999</v>
      </c>
      <c r="Y869" s="39"/>
    </row>
    <row r="870" spans="1:25" ht="15" thickBot="1">
      <c r="A870" s="29">
        <f t="shared" si="869"/>
        <v>45872.124999999876</v>
      </c>
      <c r="B870" s="30">
        <f t="shared" si="873"/>
        <v>5000</v>
      </c>
      <c r="C870" s="8">
        <v>25000</v>
      </c>
      <c r="D870" s="187">
        <v>0</v>
      </c>
      <c r="E870" s="187">
        <v>700</v>
      </c>
      <c r="F870" s="187">
        <v>15000</v>
      </c>
      <c r="G870" s="30">
        <f t="shared" si="874"/>
        <v>2400</v>
      </c>
      <c r="H870" s="8">
        <v>25000</v>
      </c>
      <c r="I870" s="30">
        <f t="shared" si="875"/>
        <v>5000</v>
      </c>
      <c r="J870" s="187">
        <v>40000</v>
      </c>
      <c r="K870" s="30">
        <f t="shared" si="876"/>
        <v>5000</v>
      </c>
      <c r="L870" s="187">
        <v>40000</v>
      </c>
      <c r="M870" s="110">
        <v>9.5</v>
      </c>
      <c r="N870" s="9">
        <f>VLOOKUP(DATE(YEAR(A870),MONTH(A870),DAY(A870)),FY24_Temp[],3,FALSE)</f>
        <v>13.7</v>
      </c>
      <c r="O870" s="110">
        <f t="shared" si="870"/>
        <v>11.5</v>
      </c>
      <c r="P870" s="110">
        <f t="shared" si="871"/>
        <v>19.5</v>
      </c>
      <c r="Q870" s="79">
        <f>VLOOKUP(VLOOKUP(DATEVALUE(TEXT(A870,"m/d/yyyy")),FY24_Temp[],5,FALSE)&amp;TEXT(A870,"-h"),TempDelta[],4,FALSE)</f>
        <v>2.7691428320748463</v>
      </c>
      <c r="R870">
        <v>10</v>
      </c>
      <c r="S870" s="112">
        <v>1500</v>
      </c>
      <c r="T870" s="5">
        <f>VLOOKUP(TEXT(A870,"yy-mm")&amp;"-"&amp;IF(AND(WEEKDAY(A870)&gt;1,WEEKDAY(A870)&lt;7),"Wkd",TEXT(A870,"Ddd"))&amp;"-"&amp;TEXT(A870,"hh"),LoadTable[],3,FALSE)*0.92</f>
        <v>341.29148000000004</v>
      </c>
      <c r="U870" s="113">
        <f t="shared" si="872"/>
        <v>34.129148000000001</v>
      </c>
      <c r="V870">
        <f t="shared" ref="V870:W870" si="903">V846</f>
        <v>2.7</v>
      </c>
      <c r="W870">
        <f t="shared" si="903"/>
        <v>3.2</v>
      </c>
      <c r="X870" s="9">
        <v>2.6928030999999999</v>
      </c>
      <c r="Y870" s="39"/>
    </row>
    <row r="871" spans="1:25" ht="15" thickBot="1">
      <c r="A871" s="29">
        <f t="shared" si="869"/>
        <v>45872.166666666541</v>
      </c>
      <c r="B871" s="30">
        <f t="shared" si="873"/>
        <v>5000</v>
      </c>
      <c r="C871" s="8">
        <v>25000</v>
      </c>
      <c r="D871" s="187">
        <v>0</v>
      </c>
      <c r="E871" s="187">
        <v>700</v>
      </c>
      <c r="F871" s="187">
        <v>15000</v>
      </c>
      <c r="G871" s="30">
        <f t="shared" si="874"/>
        <v>2400</v>
      </c>
      <c r="H871" s="8">
        <v>25000</v>
      </c>
      <c r="I871" s="30">
        <f t="shared" si="875"/>
        <v>5000</v>
      </c>
      <c r="J871" s="187">
        <v>40000</v>
      </c>
      <c r="K871" s="30">
        <f t="shared" si="876"/>
        <v>5000</v>
      </c>
      <c r="L871" s="187">
        <v>40000</v>
      </c>
      <c r="M871" s="110">
        <v>9.5</v>
      </c>
      <c r="N871" s="9">
        <f>VLOOKUP(DATE(YEAR(A871),MONTH(A871),DAY(A871)),FY24_Temp[],3,FALSE)</f>
        <v>13.7</v>
      </c>
      <c r="O871" s="110">
        <f t="shared" si="870"/>
        <v>11.5</v>
      </c>
      <c r="P871" s="110">
        <f t="shared" si="871"/>
        <v>19.5</v>
      </c>
      <c r="Q871" s="79">
        <f>VLOOKUP(VLOOKUP(DATEVALUE(TEXT(A871,"m/d/yyyy")),FY24_Temp[],5,FALSE)&amp;TEXT(A871,"-h"),TempDelta[],4,FALSE)</f>
        <v>2.7731428486960277</v>
      </c>
      <c r="R871">
        <v>10</v>
      </c>
      <c r="S871" s="112">
        <v>1500</v>
      </c>
      <c r="T871" s="5">
        <f>VLOOKUP(TEXT(A871,"yy-mm")&amp;"-"&amp;IF(AND(WEEKDAY(A871)&gt;1,WEEKDAY(A871)&lt;7),"Wkd",TEXT(A871,"Ddd"))&amp;"-"&amp;TEXT(A871,"hh"),LoadTable[],3,FALSE)*0.92</f>
        <v>341.29148000000004</v>
      </c>
      <c r="U871" s="113">
        <f t="shared" si="872"/>
        <v>34.129148000000001</v>
      </c>
      <c r="V871">
        <f t="shared" ref="V871:W871" si="904">V847</f>
        <v>3</v>
      </c>
      <c r="W871">
        <f t="shared" si="904"/>
        <v>3.1</v>
      </c>
      <c r="X871" s="9">
        <v>2.7318921</v>
      </c>
      <c r="Y871" s="39"/>
    </row>
    <row r="872" spans="1:25" ht="15" thickBot="1">
      <c r="A872" s="29">
        <f t="shared" si="869"/>
        <v>45872.208333333205</v>
      </c>
      <c r="B872" s="30">
        <f t="shared" si="873"/>
        <v>5000</v>
      </c>
      <c r="C872" s="8">
        <v>25000</v>
      </c>
      <c r="D872" s="187">
        <v>0</v>
      </c>
      <c r="E872" s="187">
        <v>700</v>
      </c>
      <c r="F872" s="187">
        <v>15000</v>
      </c>
      <c r="G872" s="30">
        <f t="shared" si="874"/>
        <v>2400</v>
      </c>
      <c r="H872" s="8">
        <v>25000</v>
      </c>
      <c r="I872" s="30">
        <f t="shared" si="875"/>
        <v>5000</v>
      </c>
      <c r="J872" s="187">
        <v>40000</v>
      </c>
      <c r="K872" s="30">
        <f t="shared" si="876"/>
        <v>5000</v>
      </c>
      <c r="L872" s="187">
        <v>40000</v>
      </c>
      <c r="M872" s="110">
        <v>9.5</v>
      </c>
      <c r="N872" s="9">
        <f>VLOOKUP(DATE(YEAR(A872),MONTH(A872),DAY(A872)),FY24_Temp[],3,FALSE)</f>
        <v>13.7</v>
      </c>
      <c r="O872" s="110">
        <f t="shared" si="870"/>
        <v>11.5</v>
      </c>
      <c r="P872" s="110">
        <f t="shared" si="871"/>
        <v>19.5</v>
      </c>
      <c r="Q872" s="79">
        <f>VLOOKUP(VLOOKUP(DATEVALUE(TEXT(A872,"m/d/yyyy")),FY24_Temp[],5,FALSE)&amp;TEXT(A872,"-h"),TempDelta[],4,FALSE)</f>
        <v>2.8117143426622664</v>
      </c>
      <c r="R872">
        <v>10</v>
      </c>
      <c r="S872" s="112">
        <v>1500</v>
      </c>
      <c r="T872" s="5">
        <f>VLOOKUP(TEXT(A872,"yy-mm")&amp;"-"&amp;IF(AND(WEEKDAY(A872)&gt;1,WEEKDAY(A872)&lt;7),"Wkd",TEXT(A872,"Ddd"))&amp;"-"&amp;TEXT(A872,"hh"),LoadTable[],3,FALSE)*0.92</f>
        <v>341.29148000000004</v>
      </c>
      <c r="U872" s="113">
        <f t="shared" si="872"/>
        <v>34.129148000000001</v>
      </c>
      <c r="V872">
        <f t="shared" ref="V872:W872" si="905">V848</f>
        <v>2.9</v>
      </c>
      <c r="W872">
        <f t="shared" si="905"/>
        <v>3.1</v>
      </c>
      <c r="X872" s="9">
        <v>2.8205574000000002</v>
      </c>
      <c r="Y872" s="39"/>
    </row>
    <row r="873" spans="1:25" ht="15" thickBot="1">
      <c r="A873" s="29">
        <f t="shared" si="869"/>
        <v>45872.249999999869</v>
      </c>
      <c r="B873" s="30">
        <f t="shared" si="873"/>
        <v>8000</v>
      </c>
      <c r="C873" s="8">
        <v>25000</v>
      </c>
      <c r="D873" s="187">
        <v>0</v>
      </c>
      <c r="E873" s="187">
        <v>700</v>
      </c>
      <c r="F873" s="187">
        <v>15000</v>
      </c>
      <c r="G873" s="30">
        <f t="shared" si="874"/>
        <v>2400</v>
      </c>
      <c r="H873" s="8">
        <v>25000</v>
      </c>
      <c r="I873" s="30">
        <f t="shared" si="875"/>
        <v>8000</v>
      </c>
      <c r="J873" s="187">
        <v>40000</v>
      </c>
      <c r="K873" s="30">
        <f t="shared" si="876"/>
        <v>8000</v>
      </c>
      <c r="L873" s="187">
        <v>40000</v>
      </c>
      <c r="M873" s="110">
        <v>9.5</v>
      </c>
      <c r="N873" s="9">
        <f>VLOOKUP(DATE(YEAR(A873),MONTH(A873),DAY(A873)),FY24_Temp[],3,FALSE)</f>
        <v>13.7</v>
      </c>
      <c r="O873" s="110">
        <f t="shared" si="870"/>
        <v>11.5</v>
      </c>
      <c r="P873" s="110">
        <f t="shared" si="871"/>
        <v>19.5</v>
      </c>
      <c r="Q873" s="79">
        <f>VLOOKUP(VLOOKUP(DATEVALUE(TEXT(A873,"m/d/yyyy")),FY24_Temp[],5,FALSE)&amp;TEXT(A873,"-h"),TempDelta[],4,FALSE)</f>
        <v>2.8184285845075334</v>
      </c>
      <c r="R873">
        <v>10</v>
      </c>
      <c r="S873" s="112">
        <v>1500</v>
      </c>
      <c r="T873" s="5">
        <f>VLOOKUP(TEXT(A873,"yy-mm")&amp;"-"&amp;IF(AND(WEEKDAY(A873)&gt;1,WEEKDAY(A873)&lt;7),"Wkd",TEXT(A873,"Ddd"))&amp;"-"&amp;TEXT(A873,"hh"),LoadTable[],3,FALSE)*0.92</f>
        <v>338.44328695210856</v>
      </c>
      <c r="U873" s="113">
        <f t="shared" si="872"/>
        <v>33.844328695210855</v>
      </c>
      <c r="V873">
        <f t="shared" ref="V873:W873" si="906">V849</f>
        <v>2.5</v>
      </c>
      <c r="W873">
        <f t="shared" si="906"/>
        <v>3.1</v>
      </c>
      <c r="X873" s="9">
        <v>2.9507203</v>
      </c>
      <c r="Y873" s="39"/>
    </row>
    <row r="874" spans="1:25" ht="15" thickBot="1">
      <c r="A874" s="29">
        <f t="shared" si="869"/>
        <v>45872.291666666533</v>
      </c>
      <c r="B874" s="30">
        <f t="shared" si="873"/>
        <v>8000</v>
      </c>
      <c r="C874" s="8">
        <v>25000</v>
      </c>
      <c r="D874" s="187">
        <v>0</v>
      </c>
      <c r="E874" s="187">
        <v>700</v>
      </c>
      <c r="F874" s="187">
        <v>15000</v>
      </c>
      <c r="G874" s="30">
        <f t="shared" si="874"/>
        <v>2400</v>
      </c>
      <c r="H874" s="8">
        <v>25000</v>
      </c>
      <c r="I874" s="30">
        <f t="shared" si="875"/>
        <v>8000</v>
      </c>
      <c r="J874" s="187">
        <v>40000</v>
      </c>
      <c r="K874" s="30">
        <f t="shared" si="876"/>
        <v>8000</v>
      </c>
      <c r="L874" s="187">
        <v>40000</v>
      </c>
      <c r="M874" s="110">
        <v>9.5</v>
      </c>
      <c r="N874" s="9">
        <f>VLOOKUP(DATE(YEAR(A874),MONTH(A874),DAY(A874)),FY24_Temp[],3,FALSE)</f>
        <v>13.7</v>
      </c>
      <c r="O874" s="110">
        <f t="shared" si="870"/>
        <v>11.5</v>
      </c>
      <c r="P874" s="110">
        <f t="shared" si="871"/>
        <v>19.5</v>
      </c>
      <c r="Q874" s="79">
        <f>VLOOKUP(VLOOKUP(DATEVALUE(TEXT(A874,"m/d/yyyy")),FY24_Temp[],5,FALSE)&amp;TEXT(A874,"-h"),TempDelta[],4,FALSE)</f>
        <v>2.7782857418060303</v>
      </c>
      <c r="R874">
        <v>10</v>
      </c>
      <c r="S874" s="112">
        <v>1500</v>
      </c>
      <c r="T874" s="5">
        <f>VLOOKUP(TEXT(A874,"yy-mm")&amp;"-"&amp;IF(AND(WEEKDAY(A874)&gt;1,WEEKDAY(A874)&lt;7),"Wkd",TEXT(A874,"Ddd"))&amp;"-"&amp;TEXT(A874,"hh"),LoadTable[],3,FALSE)*0.92</f>
        <v>338.44328695210856</v>
      </c>
      <c r="U874" s="113">
        <f t="shared" si="872"/>
        <v>33.844328695210855</v>
      </c>
      <c r="V874">
        <f t="shared" ref="V874:W874" si="907">V850</f>
        <v>2.5</v>
      </c>
      <c r="W874">
        <f t="shared" si="907"/>
        <v>3.1</v>
      </c>
      <c r="X874" s="9">
        <v>3.0952516000000001</v>
      </c>
      <c r="Y874" s="39"/>
    </row>
    <row r="875" spans="1:25" ht="15" thickBot="1">
      <c r="A875" s="29">
        <f t="shared" si="869"/>
        <v>45872.333333333198</v>
      </c>
      <c r="B875" s="30">
        <f t="shared" si="873"/>
        <v>8000</v>
      </c>
      <c r="C875" s="8">
        <v>25000</v>
      </c>
      <c r="D875" s="187">
        <v>0</v>
      </c>
      <c r="E875" s="187">
        <v>700</v>
      </c>
      <c r="F875" s="187">
        <v>15000</v>
      </c>
      <c r="G875" s="30">
        <f t="shared" si="874"/>
        <v>2400</v>
      </c>
      <c r="H875" s="8">
        <v>25000</v>
      </c>
      <c r="I875" s="30">
        <f t="shared" si="875"/>
        <v>8000</v>
      </c>
      <c r="J875" s="187">
        <v>40000</v>
      </c>
      <c r="K875" s="30">
        <f t="shared" si="876"/>
        <v>8000</v>
      </c>
      <c r="L875" s="187">
        <v>40000</v>
      </c>
      <c r="M875" s="110">
        <v>9.5</v>
      </c>
      <c r="N875" s="9">
        <f>VLOOKUP(DATE(YEAR(A875),MONTH(A875),DAY(A875)),FY24_Temp[],3,FALSE)</f>
        <v>13.7</v>
      </c>
      <c r="O875" s="110">
        <f t="shared" si="870"/>
        <v>11.5</v>
      </c>
      <c r="P875" s="110">
        <f t="shared" si="871"/>
        <v>19.5</v>
      </c>
      <c r="Q875" s="79">
        <f>VLOOKUP(VLOOKUP(DATEVALUE(TEXT(A875,"m/d/yyyy")),FY24_Temp[],5,FALSE)&amp;TEXT(A875,"-h"),TempDelta[],4,FALSE)</f>
        <v>2.6682857104710171</v>
      </c>
      <c r="R875">
        <v>10</v>
      </c>
      <c r="S875" s="112">
        <v>1500</v>
      </c>
      <c r="T875" s="5">
        <f>VLOOKUP(TEXT(A875,"yy-mm")&amp;"-"&amp;IF(AND(WEEKDAY(A875)&gt;1,WEEKDAY(A875)&lt;7),"Wkd",TEXT(A875,"Ddd"))&amp;"-"&amp;TEXT(A875,"hh"),LoadTable[],3,FALSE)*0.92</f>
        <v>338.44328695210851</v>
      </c>
      <c r="U875" s="113">
        <f t="shared" si="872"/>
        <v>33.844328695210848</v>
      </c>
      <c r="V875">
        <f t="shared" ref="V875:W875" si="908">V851</f>
        <v>3.2</v>
      </c>
      <c r="W875">
        <f t="shared" si="908"/>
        <v>3</v>
      </c>
      <c r="X875" s="9">
        <v>3.1802052999999999</v>
      </c>
      <c r="Y875" s="39"/>
    </row>
    <row r="876" spans="1:25" ht="15" thickBot="1">
      <c r="A876" s="29">
        <f t="shared" si="869"/>
        <v>45872.374999999862</v>
      </c>
      <c r="B876" s="30">
        <f t="shared" si="873"/>
        <v>8000</v>
      </c>
      <c r="C876" s="8">
        <v>25000</v>
      </c>
      <c r="D876" s="187">
        <v>0</v>
      </c>
      <c r="E876" s="187">
        <v>700</v>
      </c>
      <c r="F876" s="187">
        <v>15000</v>
      </c>
      <c r="G876" s="30">
        <f t="shared" si="874"/>
        <v>2400</v>
      </c>
      <c r="H876" s="8">
        <v>25000</v>
      </c>
      <c r="I876" s="30">
        <f t="shared" si="875"/>
        <v>8000</v>
      </c>
      <c r="J876" s="187">
        <v>40000</v>
      </c>
      <c r="K876" s="30">
        <f t="shared" si="876"/>
        <v>8000</v>
      </c>
      <c r="L876" s="187">
        <v>40000</v>
      </c>
      <c r="M876" s="110">
        <v>9.5</v>
      </c>
      <c r="N876" s="9">
        <f>VLOOKUP(DATE(YEAR(A876),MONTH(A876),DAY(A876)),FY24_Temp[],3,FALSE)</f>
        <v>13.7</v>
      </c>
      <c r="O876" s="110">
        <f t="shared" si="870"/>
        <v>11.5</v>
      </c>
      <c r="P876" s="110">
        <f t="shared" si="871"/>
        <v>19.5</v>
      </c>
      <c r="Q876" s="79">
        <f>VLOOKUP(VLOOKUP(DATEVALUE(TEXT(A876,"m/d/yyyy")),FY24_Temp[],5,FALSE)&amp;TEXT(A876,"-h"),TempDelta[],4,FALSE)</f>
        <v>2.4805714062282016</v>
      </c>
      <c r="R876">
        <v>10</v>
      </c>
      <c r="S876" s="112">
        <v>1500</v>
      </c>
      <c r="T876" s="5">
        <f>VLOOKUP(TEXT(A876,"yy-mm")&amp;"-"&amp;IF(AND(WEEKDAY(A876)&gt;1,WEEKDAY(A876)&lt;7),"Wkd",TEXT(A876,"Ddd"))&amp;"-"&amp;TEXT(A876,"hh"),LoadTable[],3,FALSE)*0.92</f>
        <v>338.44093501457735</v>
      </c>
      <c r="U876" s="113">
        <f t="shared" si="872"/>
        <v>33.844093501457735</v>
      </c>
      <c r="V876">
        <f t="shared" ref="V876:W876" si="909">V852</f>
        <v>2.9</v>
      </c>
      <c r="W876">
        <f t="shared" si="909"/>
        <v>3</v>
      </c>
      <c r="X876" s="9">
        <v>3.215414</v>
      </c>
      <c r="Y876" s="39"/>
    </row>
    <row r="877" spans="1:25" ht="15" thickBot="1">
      <c r="A877" s="29">
        <f t="shared" si="869"/>
        <v>45872.416666666526</v>
      </c>
      <c r="B877" s="30">
        <f t="shared" si="873"/>
        <v>8000</v>
      </c>
      <c r="C877" s="8">
        <v>25000</v>
      </c>
      <c r="D877" s="187">
        <v>0</v>
      </c>
      <c r="E877" s="187">
        <v>700</v>
      </c>
      <c r="F877" s="187">
        <v>15000</v>
      </c>
      <c r="G877" s="30">
        <f t="shared" si="874"/>
        <v>2400</v>
      </c>
      <c r="H877" s="8">
        <v>25000</v>
      </c>
      <c r="I877" s="30">
        <f t="shared" si="875"/>
        <v>8000</v>
      </c>
      <c r="J877" s="187">
        <v>40000</v>
      </c>
      <c r="K877" s="30">
        <f t="shared" si="876"/>
        <v>8000</v>
      </c>
      <c r="L877" s="187">
        <v>40000</v>
      </c>
      <c r="M877" s="110">
        <v>9.5</v>
      </c>
      <c r="N877" s="9">
        <f>VLOOKUP(DATE(YEAR(A877),MONTH(A877),DAY(A877)),FY24_Temp[],3,FALSE)</f>
        <v>13.7</v>
      </c>
      <c r="O877" s="110">
        <f t="shared" si="870"/>
        <v>11.5</v>
      </c>
      <c r="P877" s="110">
        <f t="shared" si="871"/>
        <v>19.5</v>
      </c>
      <c r="Q877" s="79">
        <f>VLOOKUP(VLOOKUP(DATEVALUE(TEXT(A877,"m/d/yyyy")),FY24_Temp[],5,FALSE)&amp;TEXT(A877,"-h"),TempDelta[],4,FALSE)</f>
        <v>2.2650000027247836</v>
      </c>
      <c r="R877">
        <v>10</v>
      </c>
      <c r="S877" s="112">
        <v>1500</v>
      </c>
      <c r="T877" s="5">
        <f>VLOOKUP(TEXT(A877,"yy-mm")&amp;"-"&amp;IF(AND(WEEKDAY(A877)&gt;1,WEEKDAY(A877)&lt;7),"Wkd",TEXT(A877,"Ddd"))&amp;"-"&amp;TEXT(A877,"hh"),LoadTable[],3,FALSE)*0.92</f>
        <v>338.44093501457741</v>
      </c>
      <c r="U877" s="113">
        <f t="shared" si="872"/>
        <v>33.844093501457742</v>
      </c>
      <c r="V877">
        <f t="shared" ref="V877:W877" si="910">V853</f>
        <v>2.9</v>
      </c>
      <c r="W877">
        <f t="shared" si="910"/>
        <v>3</v>
      </c>
      <c r="X877" s="9">
        <v>3.2890793999999999</v>
      </c>
      <c r="Y877" s="39"/>
    </row>
    <row r="878" spans="1:25" ht="15" thickBot="1">
      <c r="A878" s="29">
        <f t="shared" si="869"/>
        <v>45872.45833333319</v>
      </c>
      <c r="B878" s="30">
        <f t="shared" si="873"/>
        <v>8000</v>
      </c>
      <c r="C878" s="8">
        <v>25000</v>
      </c>
      <c r="D878" s="187">
        <v>0</v>
      </c>
      <c r="E878" s="187">
        <v>700</v>
      </c>
      <c r="F878" s="187">
        <v>15000</v>
      </c>
      <c r="G878" s="30">
        <f t="shared" si="874"/>
        <v>2400</v>
      </c>
      <c r="H878" s="8">
        <v>25000</v>
      </c>
      <c r="I878" s="30">
        <f t="shared" si="875"/>
        <v>8000</v>
      </c>
      <c r="J878" s="187">
        <v>40000</v>
      </c>
      <c r="K878" s="30">
        <f t="shared" si="876"/>
        <v>8000</v>
      </c>
      <c r="L878" s="187">
        <v>40000</v>
      </c>
      <c r="M878" s="110">
        <v>9.5</v>
      </c>
      <c r="N878" s="9">
        <f>VLOOKUP(DATE(YEAR(A878),MONTH(A878),DAY(A878)),FY24_Temp[],3,FALSE)</f>
        <v>13.7</v>
      </c>
      <c r="O878" s="110">
        <f t="shared" si="870"/>
        <v>11.5</v>
      </c>
      <c r="P878" s="110">
        <f t="shared" si="871"/>
        <v>19.5</v>
      </c>
      <c r="Q878" s="79">
        <f>VLOOKUP(VLOOKUP(DATEVALUE(TEXT(A878,"m/d/yyyy")),FY24_Temp[],5,FALSE)&amp;TEXT(A878,"-h"),TempDelta[],4,FALSE)</f>
        <v>2.0114285605294362</v>
      </c>
      <c r="R878">
        <v>10</v>
      </c>
      <c r="S878" s="112">
        <v>1500</v>
      </c>
      <c r="T878" s="5">
        <f>VLOOKUP(TEXT(A878,"yy-mm")&amp;"-"&amp;IF(AND(WEEKDAY(A878)&gt;1,WEEKDAY(A878)&lt;7),"Wkd",TEXT(A878,"Ddd"))&amp;"-"&amp;TEXT(A878,"hh"),LoadTable[],3,FALSE)*0.92</f>
        <v>338.44093501457741</v>
      </c>
      <c r="U878" s="113">
        <f t="shared" si="872"/>
        <v>33.844093501457742</v>
      </c>
      <c r="V878">
        <f t="shared" ref="V878:W878" si="911">V854</f>
        <v>3.4</v>
      </c>
      <c r="W878">
        <f t="shared" si="911"/>
        <v>3</v>
      </c>
      <c r="X878" s="9">
        <v>3.2425677999999998</v>
      </c>
      <c r="Y878" s="39"/>
    </row>
    <row r="879" spans="1:25" ht="15" thickBot="1">
      <c r="A879" s="29">
        <f t="shared" si="869"/>
        <v>45872.499999999854</v>
      </c>
      <c r="B879" s="30">
        <f t="shared" si="873"/>
        <v>8000</v>
      </c>
      <c r="C879" s="8">
        <v>25000</v>
      </c>
      <c r="D879" s="187">
        <v>0</v>
      </c>
      <c r="E879" s="187">
        <v>700</v>
      </c>
      <c r="F879" s="187">
        <v>15000</v>
      </c>
      <c r="G879" s="30">
        <f t="shared" si="874"/>
        <v>2400</v>
      </c>
      <c r="H879" s="8">
        <v>25000</v>
      </c>
      <c r="I879" s="30">
        <f t="shared" si="875"/>
        <v>8000</v>
      </c>
      <c r="J879" s="187">
        <v>40000</v>
      </c>
      <c r="K879" s="30">
        <f t="shared" si="876"/>
        <v>8000</v>
      </c>
      <c r="L879" s="187">
        <v>40000</v>
      </c>
      <c r="M879" s="110">
        <v>9.5</v>
      </c>
      <c r="N879" s="9">
        <f>VLOOKUP(DATE(YEAR(A879),MONTH(A879),DAY(A879)),FY24_Temp[],3,FALSE)</f>
        <v>13.7</v>
      </c>
      <c r="O879" s="110">
        <f t="shared" si="870"/>
        <v>11.5</v>
      </c>
      <c r="P879" s="110">
        <f t="shared" si="871"/>
        <v>19.5</v>
      </c>
      <c r="Q879" s="79">
        <f>VLOOKUP(VLOOKUP(DATEVALUE(TEXT(A879,"m/d/yyyy")),FY24_Temp[],5,FALSE)&amp;TEXT(A879,"-h"),TempDelta[],4,FALSE)</f>
        <v>1.7541428463799613</v>
      </c>
      <c r="R879">
        <v>10</v>
      </c>
      <c r="S879" s="112">
        <v>1500</v>
      </c>
      <c r="T879" s="5">
        <f>VLOOKUP(TEXT(A879,"yy-mm")&amp;"-"&amp;IF(AND(WEEKDAY(A879)&gt;1,WEEKDAY(A879)&lt;7),"Wkd",TEXT(A879,"Ddd"))&amp;"-"&amp;TEXT(A879,"hh"),LoadTable[],3,FALSE)*0.92</f>
        <v>338.44093501457741</v>
      </c>
      <c r="U879" s="113">
        <f t="shared" si="872"/>
        <v>33.844093501457742</v>
      </c>
      <c r="V879">
        <f t="shared" ref="V879:W879" si="912">V855</f>
        <v>3.1</v>
      </c>
      <c r="W879">
        <f t="shared" si="912"/>
        <v>2.9</v>
      </c>
      <c r="X879" s="9">
        <v>3.0969331000000002</v>
      </c>
      <c r="Y879" s="39"/>
    </row>
    <row r="880" spans="1:25" ht="15" thickBot="1">
      <c r="A880" s="29">
        <f t="shared" si="869"/>
        <v>45872.541666666519</v>
      </c>
      <c r="B880" s="30">
        <f t="shared" si="873"/>
        <v>8000</v>
      </c>
      <c r="C880" s="8">
        <v>25000</v>
      </c>
      <c r="D880" s="187">
        <v>0</v>
      </c>
      <c r="E880" s="187">
        <v>700</v>
      </c>
      <c r="F880" s="187">
        <v>15000</v>
      </c>
      <c r="G880" s="30">
        <f t="shared" si="874"/>
        <v>2400</v>
      </c>
      <c r="H880" s="8">
        <v>25000</v>
      </c>
      <c r="I880" s="30">
        <f t="shared" si="875"/>
        <v>8000</v>
      </c>
      <c r="J880" s="187">
        <v>40000</v>
      </c>
      <c r="K880" s="30">
        <f t="shared" si="876"/>
        <v>8000</v>
      </c>
      <c r="L880" s="187">
        <v>40000</v>
      </c>
      <c r="M880" s="110">
        <v>9.5</v>
      </c>
      <c r="N880" s="9">
        <f>VLOOKUP(DATE(YEAR(A880),MONTH(A880),DAY(A880)),FY24_Temp[],3,FALSE)</f>
        <v>13.7</v>
      </c>
      <c r="O880" s="110">
        <f t="shared" si="870"/>
        <v>11.5</v>
      </c>
      <c r="P880" s="110">
        <f t="shared" si="871"/>
        <v>19.5</v>
      </c>
      <c r="Q880" s="79">
        <f>VLOOKUP(VLOOKUP(DATEVALUE(TEXT(A880,"m/d/yyyy")),FY24_Temp[],5,FALSE)&amp;TEXT(A880,"-h"),TempDelta[],4,FALSE)</f>
        <v>1.4955714430127824</v>
      </c>
      <c r="R880">
        <v>10</v>
      </c>
      <c r="S880" s="112">
        <v>1500</v>
      </c>
      <c r="T880" s="5">
        <f>VLOOKUP(TEXT(A880,"yy-mm")&amp;"-"&amp;IF(AND(WEEKDAY(A880)&gt;1,WEEKDAY(A880)&lt;7),"Wkd",TEXT(A880,"Ddd"))&amp;"-"&amp;TEXT(A880,"hh"),LoadTable[],3,FALSE)*0.92</f>
        <v>353.09232000000009</v>
      </c>
      <c r="U880" s="113">
        <f t="shared" si="872"/>
        <v>35.309232000000009</v>
      </c>
      <c r="V880">
        <f t="shared" ref="V880:W880" si="913">V856</f>
        <v>3.2</v>
      </c>
      <c r="W880">
        <f t="shared" si="913"/>
        <v>2.9</v>
      </c>
      <c r="X880" s="9">
        <v>2.8885793999999998</v>
      </c>
      <c r="Y880" s="39"/>
    </row>
    <row r="881" spans="1:25" ht="15" thickBot="1">
      <c r="A881" s="29">
        <f t="shared" si="869"/>
        <v>45872.583333333183</v>
      </c>
      <c r="B881" s="30">
        <f t="shared" si="873"/>
        <v>8000</v>
      </c>
      <c r="C881" s="8">
        <v>25000</v>
      </c>
      <c r="D881" s="187">
        <v>0</v>
      </c>
      <c r="E881" s="187">
        <v>700</v>
      </c>
      <c r="F881" s="187">
        <v>15000</v>
      </c>
      <c r="G881" s="30">
        <f t="shared" si="874"/>
        <v>2400</v>
      </c>
      <c r="H881" s="8">
        <v>25000</v>
      </c>
      <c r="I881" s="30">
        <f t="shared" si="875"/>
        <v>8000</v>
      </c>
      <c r="J881" s="187">
        <v>40000</v>
      </c>
      <c r="K881" s="30">
        <f t="shared" si="876"/>
        <v>8000</v>
      </c>
      <c r="L881" s="187">
        <v>40000</v>
      </c>
      <c r="M881" s="110">
        <v>9.5</v>
      </c>
      <c r="N881" s="9">
        <f>VLOOKUP(DATE(YEAR(A881),MONTH(A881),DAY(A881)),FY24_Temp[],3,FALSE)</f>
        <v>13.7</v>
      </c>
      <c r="O881" s="110">
        <f t="shared" si="870"/>
        <v>11.5</v>
      </c>
      <c r="P881" s="110">
        <f t="shared" si="871"/>
        <v>19.5</v>
      </c>
      <c r="Q881" s="79">
        <f>VLOOKUP(VLOOKUP(DATEVALUE(TEXT(A881,"m/d/yyyy")),FY24_Temp[],5,FALSE)&amp;TEXT(A881,"-h"),TempDelta[],4,FALSE)</f>
        <v>1.0822857235159193</v>
      </c>
      <c r="R881">
        <v>10</v>
      </c>
      <c r="S881" s="112">
        <v>1500</v>
      </c>
      <c r="T881" s="5">
        <f>VLOOKUP(TEXT(A881,"yy-mm")&amp;"-"&amp;IF(AND(WEEKDAY(A881)&gt;1,WEEKDAY(A881)&lt;7),"Wkd",TEXT(A881,"Ddd"))&amp;"-"&amp;TEXT(A881,"hh"),LoadTable[],3,FALSE)*0.92</f>
        <v>553.46715198762581</v>
      </c>
      <c r="U881" s="113">
        <f t="shared" si="872"/>
        <v>55.346715198762581</v>
      </c>
      <c r="V881">
        <f t="shared" ref="V881:W881" si="914">V857</f>
        <v>3.5</v>
      </c>
      <c r="W881">
        <f t="shared" si="914"/>
        <v>2.9</v>
      </c>
      <c r="X881" s="9">
        <v>2.7654122999999999</v>
      </c>
      <c r="Y881" s="39"/>
    </row>
    <row r="882" spans="1:25" ht="15" thickBot="1">
      <c r="A882" s="29">
        <f t="shared" si="869"/>
        <v>45872.624999999847</v>
      </c>
      <c r="B882" s="30">
        <f t="shared" si="873"/>
        <v>8000</v>
      </c>
      <c r="C882" s="8">
        <v>25000</v>
      </c>
      <c r="D882" s="187">
        <v>0</v>
      </c>
      <c r="E882" s="187">
        <v>700</v>
      </c>
      <c r="F882" s="187">
        <v>15000</v>
      </c>
      <c r="G882" s="30">
        <f t="shared" si="874"/>
        <v>2400</v>
      </c>
      <c r="H882" s="8">
        <v>25000</v>
      </c>
      <c r="I882" s="30">
        <f t="shared" si="875"/>
        <v>8000</v>
      </c>
      <c r="J882" s="187">
        <v>40000</v>
      </c>
      <c r="K882" s="30">
        <f t="shared" si="876"/>
        <v>8000</v>
      </c>
      <c r="L882" s="187">
        <v>40000</v>
      </c>
      <c r="M882" s="110">
        <v>9.5</v>
      </c>
      <c r="N882" s="9">
        <f>VLOOKUP(DATE(YEAR(A882),MONTH(A882),DAY(A882)),FY24_Temp[],3,FALSE)</f>
        <v>13.7</v>
      </c>
      <c r="O882" s="110">
        <f t="shared" si="870"/>
        <v>11.5</v>
      </c>
      <c r="P882" s="110">
        <f t="shared" si="871"/>
        <v>19.5</v>
      </c>
      <c r="Q882" s="79">
        <f>VLOOKUP(VLOOKUP(DATEVALUE(TEXT(A882,"m/d/yyyy")),FY24_Temp[],5,FALSE)&amp;TEXT(A882,"-h"),TempDelta[],4,FALSE)</f>
        <v>0.86314284375735695</v>
      </c>
      <c r="R882">
        <v>10</v>
      </c>
      <c r="S882" s="112">
        <v>1500</v>
      </c>
      <c r="T882" s="5">
        <f>VLOOKUP(TEXT(A882,"yy-mm")&amp;"-"&amp;IF(AND(WEEKDAY(A882)&gt;1,WEEKDAY(A882)&lt;7),"Wkd",TEXT(A882,"Ddd"))&amp;"-"&amp;TEXT(A882,"hh"),LoadTable[],3,FALSE)*0.92</f>
        <v>645.42416000000014</v>
      </c>
      <c r="U882" s="113">
        <f t="shared" si="872"/>
        <v>64.542416000000017</v>
      </c>
      <c r="V882">
        <f t="shared" ref="V882:W882" si="915">V858</f>
        <v>3.2</v>
      </c>
      <c r="W882">
        <f t="shared" si="915"/>
        <v>2.9</v>
      </c>
      <c r="X882" s="9">
        <v>2.8434377</v>
      </c>
      <c r="Y882" s="39"/>
    </row>
    <row r="883" spans="1:25" ht="15" thickBot="1">
      <c r="A883" s="29">
        <f t="shared" si="869"/>
        <v>45872.666666666511</v>
      </c>
      <c r="B883" s="30">
        <f t="shared" si="873"/>
        <v>8000</v>
      </c>
      <c r="C883" s="8">
        <v>25000</v>
      </c>
      <c r="D883" s="187">
        <v>0</v>
      </c>
      <c r="E883" s="187">
        <v>700</v>
      </c>
      <c r="F883" s="187">
        <v>15000</v>
      </c>
      <c r="G883" s="30">
        <f t="shared" si="874"/>
        <v>2400</v>
      </c>
      <c r="H883" s="8">
        <v>25000</v>
      </c>
      <c r="I883" s="30">
        <f t="shared" si="875"/>
        <v>8000</v>
      </c>
      <c r="J883" s="187">
        <v>40000</v>
      </c>
      <c r="K883" s="30">
        <f t="shared" si="876"/>
        <v>8000</v>
      </c>
      <c r="L883" s="187">
        <v>40000</v>
      </c>
      <c r="M883" s="110">
        <v>9.5</v>
      </c>
      <c r="N883" s="9">
        <f>VLOOKUP(DATE(YEAR(A883),MONTH(A883),DAY(A883)),FY24_Temp[],3,FALSE)</f>
        <v>13.7</v>
      </c>
      <c r="O883" s="110">
        <f t="shared" si="870"/>
        <v>11.5</v>
      </c>
      <c r="P883" s="110">
        <f t="shared" si="871"/>
        <v>19.5</v>
      </c>
      <c r="Q883" s="79">
        <f>VLOOKUP(VLOOKUP(DATEVALUE(TEXT(A883,"m/d/yyyy")),FY24_Temp[],5,FALSE)&amp;TEXT(A883,"-h"),TempDelta[],4,FALSE)</f>
        <v>0.71478571849209926</v>
      </c>
      <c r="R883">
        <v>10</v>
      </c>
      <c r="S883" s="112">
        <v>1500</v>
      </c>
      <c r="T883" s="5">
        <f>VLOOKUP(TEXT(A883,"yy-mm")&amp;"-"&amp;IF(AND(WEEKDAY(A883)&gt;1,WEEKDAY(A883)&lt;7),"Wkd",TEXT(A883,"Ddd"))&amp;"-"&amp;TEXT(A883,"hh"),LoadTable[],3,FALSE)*0.92</f>
        <v>786.27137399656624</v>
      </c>
      <c r="U883" s="113">
        <f t="shared" si="872"/>
        <v>78.627137399656618</v>
      </c>
      <c r="V883">
        <f t="shared" ref="V883:W883" si="916">V859</f>
        <v>3.5</v>
      </c>
      <c r="W883">
        <f t="shared" si="916"/>
        <v>3</v>
      </c>
      <c r="X883" s="9">
        <v>3.1390566999999998</v>
      </c>
      <c r="Y883" s="39"/>
    </row>
    <row r="884" spans="1:25" ht="15" thickBot="1">
      <c r="A884" s="29">
        <f t="shared" si="869"/>
        <v>45872.708333333176</v>
      </c>
      <c r="B884" s="30">
        <f t="shared" si="873"/>
        <v>8000</v>
      </c>
      <c r="C884" s="8">
        <v>25000</v>
      </c>
      <c r="D884" s="187">
        <v>0</v>
      </c>
      <c r="E884" s="187">
        <v>700</v>
      </c>
      <c r="F884" s="187">
        <v>15000</v>
      </c>
      <c r="G884" s="30">
        <f t="shared" si="874"/>
        <v>2400</v>
      </c>
      <c r="H884" s="8">
        <v>25000</v>
      </c>
      <c r="I884" s="30">
        <f t="shared" si="875"/>
        <v>8000</v>
      </c>
      <c r="J884" s="187">
        <v>40000</v>
      </c>
      <c r="K884" s="30">
        <f t="shared" si="876"/>
        <v>8000</v>
      </c>
      <c r="L884" s="187">
        <v>40000</v>
      </c>
      <c r="M884" s="110">
        <v>9.5</v>
      </c>
      <c r="N884" s="9">
        <f>VLOOKUP(DATE(YEAR(A884),MONTH(A884),DAY(A884)),FY24_Temp[],3,FALSE)</f>
        <v>13.7</v>
      </c>
      <c r="O884" s="110">
        <f t="shared" si="870"/>
        <v>11.5</v>
      </c>
      <c r="P884" s="110">
        <f t="shared" si="871"/>
        <v>19.5</v>
      </c>
      <c r="Q884" s="79">
        <f>VLOOKUP(VLOOKUP(DATEVALUE(TEXT(A884,"m/d/yyyy")),FY24_Temp[],5,FALSE)&amp;TEXT(A884,"-h"),TempDelta[],4,FALSE)</f>
        <v>0.73571428656578064</v>
      </c>
      <c r="R884">
        <v>10</v>
      </c>
      <c r="S884" s="112">
        <v>1500</v>
      </c>
      <c r="T884" s="5">
        <f>VLOOKUP(TEXT(A884,"yy-mm")&amp;"-"&amp;IF(AND(WEEKDAY(A884)&gt;1,WEEKDAY(A884)&lt;7),"Wkd",TEXT(A884,"Ddd"))&amp;"-"&amp;TEXT(A884,"hh"),LoadTable[],3,FALSE)*0.92</f>
        <v>786.27137399656624</v>
      </c>
      <c r="U884" s="113">
        <f t="shared" si="872"/>
        <v>78.627137399656618</v>
      </c>
      <c r="V884">
        <f t="shared" ref="V884:W884" si="917">V860</f>
        <v>3.6</v>
      </c>
      <c r="W884">
        <f t="shared" si="917"/>
        <v>3</v>
      </c>
      <c r="X884" s="9">
        <v>2.9951669999999999</v>
      </c>
      <c r="Y884" s="39"/>
    </row>
    <row r="885" spans="1:25" ht="15" thickBot="1">
      <c r="A885" s="29">
        <f t="shared" ref="A885:A948" si="918">A884+TIME(1,0,0)</f>
        <v>45872.74999999984</v>
      </c>
      <c r="B885" s="30">
        <f t="shared" si="873"/>
        <v>5000</v>
      </c>
      <c r="C885" s="8">
        <v>25000</v>
      </c>
      <c r="D885" s="187">
        <v>0</v>
      </c>
      <c r="E885" s="187">
        <v>700</v>
      </c>
      <c r="F885" s="187">
        <v>15000</v>
      </c>
      <c r="G885" s="30">
        <f t="shared" si="874"/>
        <v>2400</v>
      </c>
      <c r="H885" s="8">
        <v>25000</v>
      </c>
      <c r="I885" s="30">
        <f t="shared" si="875"/>
        <v>5000</v>
      </c>
      <c r="J885" s="187">
        <v>40000</v>
      </c>
      <c r="K885" s="30">
        <f t="shared" si="876"/>
        <v>5000</v>
      </c>
      <c r="L885" s="187">
        <v>40000</v>
      </c>
      <c r="M885" s="110">
        <v>9.5</v>
      </c>
      <c r="N885" s="9">
        <f>VLOOKUP(DATE(YEAR(A885),MONTH(A885),DAY(A885)),FY24_Temp[],3,FALSE)</f>
        <v>13.7</v>
      </c>
      <c r="O885" s="110">
        <f t="shared" si="870"/>
        <v>11.5</v>
      </c>
      <c r="P885" s="110">
        <f t="shared" si="871"/>
        <v>19.5</v>
      </c>
      <c r="Q885" s="79">
        <f>VLOOKUP(VLOOKUP(DATEVALUE(TEXT(A885,"m/d/yyyy")),FY24_Temp[],5,FALSE)&amp;TEXT(A885,"-h"),TempDelta[],4,FALSE)</f>
        <v>0.95992857217788696</v>
      </c>
      <c r="R885">
        <v>10</v>
      </c>
      <c r="S885" s="112">
        <v>1500</v>
      </c>
      <c r="T885" s="5">
        <f>VLOOKUP(TEXT(A885,"yy-mm")&amp;"-"&amp;IF(AND(WEEKDAY(A885)&gt;1,WEEKDAY(A885)&lt;7),"Wkd",TEXT(A885,"Ddd"))&amp;"-"&amp;TEXT(A885,"hh"),LoadTable[],3,FALSE)*0.92</f>
        <v>786.27137399656647</v>
      </c>
      <c r="U885" s="113">
        <f t="shared" si="872"/>
        <v>78.627137399656647</v>
      </c>
      <c r="V885">
        <f t="shared" ref="V885:W885" si="919">V861</f>
        <v>2.9</v>
      </c>
      <c r="W885">
        <f t="shared" si="919"/>
        <v>3</v>
      </c>
      <c r="X885" s="9">
        <v>2.9305412999999998</v>
      </c>
      <c r="Y885" s="39"/>
    </row>
    <row r="886" spans="1:25" ht="15" thickBot="1">
      <c r="A886" s="29">
        <f t="shared" si="918"/>
        <v>45872.791666666504</v>
      </c>
      <c r="B886" s="30">
        <f t="shared" si="873"/>
        <v>5000</v>
      </c>
      <c r="C886" s="8">
        <v>25000</v>
      </c>
      <c r="D886" s="187">
        <v>0</v>
      </c>
      <c r="E886" s="187">
        <v>700</v>
      </c>
      <c r="F886" s="187">
        <v>15000</v>
      </c>
      <c r="G886" s="30">
        <f t="shared" si="874"/>
        <v>2400</v>
      </c>
      <c r="H886" s="8">
        <v>25000</v>
      </c>
      <c r="I886" s="30">
        <f t="shared" si="875"/>
        <v>5000</v>
      </c>
      <c r="J886" s="187">
        <v>40000</v>
      </c>
      <c r="K886" s="30">
        <f t="shared" si="876"/>
        <v>5000</v>
      </c>
      <c r="L886" s="187">
        <v>40000</v>
      </c>
      <c r="M886" s="110">
        <v>9.5</v>
      </c>
      <c r="N886" s="9">
        <f>VLOOKUP(DATE(YEAR(A886),MONTH(A886),DAY(A886)),FY24_Temp[],3,FALSE)</f>
        <v>13.7</v>
      </c>
      <c r="O886" s="110">
        <f t="shared" si="870"/>
        <v>11.5</v>
      </c>
      <c r="P886" s="110">
        <f t="shared" si="871"/>
        <v>19.5</v>
      </c>
      <c r="Q886" s="79">
        <f>VLOOKUP(VLOOKUP(DATEVALUE(TEXT(A886,"m/d/yyyy")),FY24_Temp[],5,FALSE)&amp;TEXT(A886,"-h"),TempDelta[],4,FALSE)</f>
        <v>1.2718571509633745</v>
      </c>
      <c r="R886">
        <v>10</v>
      </c>
      <c r="S886" s="112">
        <v>1500</v>
      </c>
      <c r="T886" s="5">
        <f>VLOOKUP(TEXT(A886,"yy-mm")&amp;"-"&amp;IF(AND(WEEKDAY(A886)&gt;1,WEEKDAY(A886)&lt;7),"Wkd",TEXT(A886,"Ddd"))&amp;"-"&amp;TEXT(A886,"hh"),LoadTable[],3,FALSE)*0.92</f>
        <v>786.27137399656624</v>
      </c>
      <c r="U886" s="113">
        <f t="shared" si="872"/>
        <v>78.627137399656618</v>
      </c>
      <c r="V886">
        <f t="shared" ref="V886:W886" si="920">V862</f>
        <v>3</v>
      </c>
      <c r="W886">
        <f t="shared" si="920"/>
        <v>3</v>
      </c>
      <c r="X886" s="9">
        <v>2.9572932999999999</v>
      </c>
      <c r="Y886" s="39"/>
    </row>
    <row r="887" spans="1:25" ht="15" thickBot="1">
      <c r="A887" s="29">
        <f t="shared" si="918"/>
        <v>45872.833333333168</v>
      </c>
      <c r="B887" s="30">
        <f t="shared" si="873"/>
        <v>5000</v>
      </c>
      <c r="C887" s="8">
        <v>25000</v>
      </c>
      <c r="D887" s="187">
        <v>0</v>
      </c>
      <c r="E887" s="187">
        <v>700</v>
      </c>
      <c r="F887" s="187">
        <v>15000</v>
      </c>
      <c r="G887" s="30">
        <f t="shared" si="874"/>
        <v>2400</v>
      </c>
      <c r="H887" s="8">
        <v>25000</v>
      </c>
      <c r="I887" s="30">
        <f t="shared" si="875"/>
        <v>5000</v>
      </c>
      <c r="J887" s="187">
        <v>40000</v>
      </c>
      <c r="K887" s="30">
        <f t="shared" si="876"/>
        <v>5000</v>
      </c>
      <c r="L887" s="187">
        <v>40000</v>
      </c>
      <c r="M887" s="110">
        <v>9.5</v>
      </c>
      <c r="N887" s="9">
        <f>VLOOKUP(DATE(YEAR(A887),MONTH(A887),DAY(A887)),FY24_Temp[],3,FALSE)</f>
        <v>13.7</v>
      </c>
      <c r="O887" s="110">
        <f t="shared" si="870"/>
        <v>11.5</v>
      </c>
      <c r="P887" s="110">
        <f t="shared" si="871"/>
        <v>19.5</v>
      </c>
      <c r="Q887" s="79">
        <f>VLOOKUP(VLOOKUP(DATEVALUE(TEXT(A887,"m/d/yyyy")),FY24_Temp[],5,FALSE)&amp;TEXT(A887,"-h"),TempDelta[],4,FALSE)</f>
        <v>1.6933571355683463</v>
      </c>
      <c r="R887">
        <v>10</v>
      </c>
      <c r="S887" s="112">
        <v>1500</v>
      </c>
      <c r="T887" s="5">
        <f>VLOOKUP(TEXT(A887,"yy-mm")&amp;"-"&amp;IF(AND(WEEKDAY(A887)&gt;1,WEEKDAY(A887)&lt;7),"Wkd",TEXT(A887,"Ddd"))&amp;"-"&amp;TEXT(A887,"hh"),LoadTable[],3,FALSE)*0.92</f>
        <v>786.27137399656647</v>
      </c>
      <c r="U887" s="113">
        <f t="shared" si="872"/>
        <v>78.627137399656647</v>
      </c>
      <c r="V887">
        <f t="shared" ref="V887:W887" si="921">V863</f>
        <v>2.8</v>
      </c>
      <c r="W887">
        <f t="shared" si="921"/>
        <v>3.1</v>
      </c>
      <c r="X887" s="9">
        <v>2.9727991</v>
      </c>
      <c r="Y887" s="39"/>
    </row>
    <row r="888" spans="1:25" ht="15" thickBot="1">
      <c r="A888" s="29">
        <f t="shared" si="918"/>
        <v>45872.874999999833</v>
      </c>
      <c r="B888" s="30">
        <f t="shared" si="873"/>
        <v>5000</v>
      </c>
      <c r="C888" s="8">
        <v>25000</v>
      </c>
      <c r="D888" s="187">
        <v>0</v>
      </c>
      <c r="E888" s="187">
        <v>700</v>
      </c>
      <c r="F888" s="187">
        <v>15000</v>
      </c>
      <c r="G888" s="30">
        <f t="shared" si="874"/>
        <v>2400</v>
      </c>
      <c r="H888" s="8">
        <v>25000</v>
      </c>
      <c r="I888" s="30">
        <f t="shared" si="875"/>
        <v>5000</v>
      </c>
      <c r="J888" s="187">
        <v>40000</v>
      </c>
      <c r="K888" s="30">
        <f t="shared" si="876"/>
        <v>5000</v>
      </c>
      <c r="L888" s="187">
        <v>40000</v>
      </c>
      <c r="M888" s="110">
        <v>9.5</v>
      </c>
      <c r="N888" s="9">
        <f>VLOOKUP(DATE(YEAR(A888),MONTH(A888),DAY(A888)),FY24_Temp[],3,FALSE)</f>
        <v>13.7</v>
      </c>
      <c r="O888" s="110">
        <f t="shared" si="870"/>
        <v>11.5</v>
      </c>
      <c r="P888" s="110">
        <f t="shared" si="871"/>
        <v>19.5</v>
      </c>
      <c r="Q888" s="79">
        <f>VLOOKUP(VLOOKUP(DATEVALUE(TEXT(A888,"m/d/yyyy")),FY24_Temp[],5,FALSE)&amp;TEXT(A888,"-h"),TempDelta[],4,FALSE)</f>
        <v>2.0325714520045688</v>
      </c>
      <c r="R888">
        <v>10</v>
      </c>
      <c r="S888" s="112">
        <v>1500</v>
      </c>
      <c r="T888" s="5">
        <f>VLOOKUP(TEXT(A888,"yy-mm")&amp;"-"&amp;IF(AND(WEEKDAY(A888)&gt;1,WEEKDAY(A888)&lt;7),"Wkd",TEXT(A888,"Ddd"))&amp;"-"&amp;TEXT(A888,"hh"),LoadTable[],3,FALSE)*0.92</f>
        <v>659.17515115813114</v>
      </c>
      <c r="U888" s="113">
        <f t="shared" si="872"/>
        <v>65.917515115813117</v>
      </c>
      <c r="V888">
        <f t="shared" ref="V888:W888" si="922">V864</f>
        <v>3.5</v>
      </c>
      <c r="W888">
        <f t="shared" si="922"/>
        <v>3.1</v>
      </c>
      <c r="X888" s="9">
        <v>2.9689014</v>
      </c>
      <c r="Y888" s="39"/>
    </row>
    <row r="889" spans="1:25" ht="15" thickBot="1">
      <c r="A889" s="29">
        <f t="shared" si="918"/>
        <v>45872.916666666497</v>
      </c>
      <c r="B889" s="30">
        <f t="shared" si="873"/>
        <v>5000</v>
      </c>
      <c r="C889" s="8">
        <v>25000</v>
      </c>
      <c r="D889" s="187">
        <v>0</v>
      </c>
      <c r="E889" s="187">
        <v>700</v>
      </c>
      <c r="F889" s="187">
        <v>15000</v>
      </c>
      <c r="G889" s="30">
        <f t="shared" si="874"/>
        <v>2400</v>
      </c>
      <c r="H889" s="8">
        <v>25000</v>
      </c>
      <c r="I889" s="30">
        <f t="shared" si="875"/>
        <v>5000</v>
      </c>
      <c r="J889" s="187">
        <v>40000</v>
      </c>
      <c r="K889" s="30">
        <f t="shared" si="876"/>
        <v>5000</v>
      </c>
      <c r="L889" s="187">
        <v>40000</v>
      </c>
      <c r="M889" s="110">
        <v>9.5</v>
      </c>
      <c r="N889" s="9">
        <f>VLOOKUP(DATE(YEAR(A889),MONTH(A889),DAY(A889)),FY24_Temp[],3,FALSE)</f>
        <v>13.7</v>
      </c>
      <c r="O889" s="110">
        <f t="shared" si="870"/>
        <v>11.5</v>
      </c>
      <c r="P889" s="110">
        <f t="shared" si="871"/>
        <v>19.5</v>
      </c>
      <c r="Q889" s="79">
        <f>VLOOKUP(VLOOKUP(DATEVALUE(TEXT(A889,"m/d/yyyy")),FY24_Temp[],5,FALSE)&amp;TEXT(A889,"-h"),TempDelta[],4,FALSE)</f>
        <v>2.3954285553523471</v>
      </c>
      <c r="R889">
        <v>10</v>
      </c>
      <c r="S889" s="112">
        <v>1500</v>
      </c>
      <c r="T889" s="5">
        <f>VLOOKUP(TEXT(A889,"yy-mm")&amp;"-"&amp;IF(AND(WEEKDAY(A889)&gt;1,WEEKDAY(A889)&lt;7),"Wkd",TEXT(A889,"Ddd"))&amp;"-"&amp;TEXT(A889,"hh"),LoadTable[],3,FALSE)*0.92</f>
        <v>598.79212957269056</v>
      </c>
      <c r="U889" s="113">
        <f t="shared" si="872"/>
        <v>59.879212957269054</v>
      </c>
      <c r="V889">
        <f t="shared" ref="V889:W889" si="923">V865</f>
        <v>2.9</v>
      </c>
      <c r="W889">
        <f t="shared" si="923"/>
        <v>3.1</v>
      </c>
      <c r="X889" s="9">
        <v>2.9532452</v>
      </c>
      <c r="Y889" s="39"/>
    </row>
    <row r="890" spans="1:25" ht="15" thickBot="1">
      <c r="A890" s="29">
        <f t="shared" si="918"/>
        <v>45872.958333333161</v>
      </c>
      <c r="B890" s="30">
        <f t="shared" si="873"/>
        <v>5000</v>
      </c>
      <c r="C890" s="8">
        <v>25000</v>
      </c>
      <c r="D890" s="187">
        <v>0</v>
      </c>
      <c r="E890" s="187">
        <v>700</v>
      </c>
      <c r="F890" s="187">
        <v>15000</v>
      </c>
      <c r="G890" s="30">
        <f t="shared" si="874"/>
        <v>2400</v>
      </c>
      <c r="H890" s="8">
        <v>25000</v>
      </c>
      <c r="I890" s="30">
        <f t="shared" si="875"/>
        <v>5000</v>
      </c>
      <c r="J890" s="187">
        <v>40000</v>
      </c>
      <c r="K890" s="30">
        <f t="shared" si="876"/>
        <v>5000</v>
      </c>
      <c r="L890" s="187">
        <v>40000</v>
      </c>
      <c r="M890" s="110">
        <v>9.5</v>
      </c>
      <c r="N890" s="9">
        <f>VLOOKUP(DATE(YEAR(A890),MONTH(A890),DAY(A890)),FY24_Temp[],3,FALSE)</f>
        <v>13.7</v>
      </c>
      <c r="O890" s="110">
        <f t="shared" si="870"/>
        <v>11.5</v>
      </c>
      <c r="P890" s="110">
        <f t="shared" si="871"/>
        <v>19.5</v>
      </c>
      <c r="Q890" s="79">
        <f>VLOOKUP(VLOOKUP(DATEVALUE(TEXT(A890,"m/d/yyyy")),FY24_Temp[],5,FALSE)&amp;TEXT(A890,"-h"),TempDelta[],4,FALSE)</f>
        <v>2.5458571229662215</v>
      </c>
      <c r="R890">
        <v>10</v>
      </c>
      <c r="S890" s="112">
        <v>1500</v>
      </c>
      <c r="T890" s="5">
        <f>VLOOKUP(TEXT(A890,"yy-mm")&amp;"-"&amp;IF(AND(WEEKDAY(A890)&gt;1,WEEKDAY(A890)&lt;7),"Wkd",TEXT(A890,"Ddd"))&amp;"-"&amp;TEXT(A890,"hh"),LoadTable[],3,FALSE)*0.92</f>
        <v>457.15168</v>
      </c>
      <c r="U890" s="113">
        <f t="shared" si="872"/>
        <v>45.715167999999998</v>
      </c>
      <c r="V890">
        <f t="shared" ref="V890:W890" si="924">V866</f>
        <v>3.6</v>
      </c>
      <c r="W890">
        <f t="shared" si="924"/>
        <v>3.1</v>
      </c>
      <c r="X890" s="9">
        <v>2.8432143000000001</v>
      </c>
      <c r="Y890" s="39"/>
    </row>
    <row r="891" spans="1:25" ht="15" thickBot="1">
      <c r="A891" s="29">
        <f>A890+TIME(1,0,0)</f>
        <v>45872.999999999825</v>
      </c>
      <c r="B891" s="30">
        <f t="shared" ref="B891:B914" si="925">B867</f>
        <v>5000</v>
      </c>
      <c r="C891" s="8">
        <v>25000</v>
      </c>
      <c r="D891" s="187">
        <v>0</v>
      </c>
      <c r="E891" s="187">
        <v>700</v>
      </c>
      <c r="F891" s="187">
        <v>15000</v>
      </c>
      <c r="G891" s="30">
        <f t="shared" ref="G891:G914" si="926">G867</f>
        <v>2400</v>
      </c>
      <c r="H891" s="8">
        <v>25000</v>
      </c>
      <c r="I891" s="30">
        <f t="shared" si="875"/>
        <v>5000</v>
      </c>
      <c r="J891" s="187">
        <v>40000</v>
      </c>
      <c r="K891" s="30">
        <f t="shared" ref="K891:K914" si="927">K867</f>
        <v>5000</v>
      </c>
      <c r="L891" s="187">
        <v>40000</v>
      </c>
      <c r="M891" s="110">
        <v>9.5</v>
      </c>
      <c r="N891" s="9">
        <f>VLOOKUP(DATE(YEAR(A891),MONTH(A891),DAY(A891)),FY24_Temp[],3,FALSE)</f>
        <v>13.7</v>
      </c>
      <c r="O891" s="110">
        <f t="shared" si="870"/>
        <v>11.5</v>
      </c>
      <c r="P891" s="110">
        <f t="shared" si="871"/>
        <v>19.5</v>
      </c>
      <c r="Q891" s="79">
        <f>VLOOKUP(VLOOKUP(DATEVALUE(TEXT(A891,"m/d/yyyy")),FY24_Temp[],5,FALSE)&amp;TEXT(A891,"-h"),TempDelta[],4,FALSE)</f>
        <v>2.6947143077850342</v>
      </c>
      <c r="R891">
        <v>10</v>
      </c>
      <c r="S891" s="112">
        <v>1500</v>
      </c>
      <c r="T891" s="5">
        <f>VLOOKUP(TEXT(A891,"yy-mm")&amp;"-"&amp;IF(AND(WEEKDAY(A891)&gt;1,WEEKDAY(A891)&lt;7),"Wkd",TEXT(A891,"Ddd"))&amp;"-"&amp;TEXT(A891,"hh"),LoadTable[],3,FALSE)*0.92</f>
        <v>372.20164</v>
      </c>
      <c r="U891" s="113">
        <f t="shared" si="872"/>
        <v>37.220163999999997</v>
      </c>
      <c r="V891">
        <f t="shared" ref="V891:W914" si="928">V867</f>
        <v>3</v>
      </c>
      <c r="W891">
        <f t="shared" si="928"/>
        <v>3.2</v>
      </c>
      <c r="X891" s="9">
        <v>2.8213556</v>
      </c>
      <c r="Y891" s="39"/>
    </row>
    <row r="892" spans="1:25" ht="15" thickBot="1">
      <c r="A892" s="29">
        <f t="shared" si="918"/>
        <v>45873.04166666649</v>
      </c>
      <c r="B892" s="30">
        <f t="shared" si="925"/>
        <v>5000</v>
      </c>
      <c r="C892" s="8">
        <v>25000</v>
      </c>
      <c r="D892" s="187">
        <v>0</v>
      </c>
      <c r="E892" s="187">
        <v>700</v>
      </c>
      <c r="F892" s="187">
        <v>15000</v>
      </c>
      <c r="G892" s="30">
        <f t="shared" si="926"/>
        <v>2400</v>
      </c>
      <c r="H892" s="8">
        <v>25000</v>
      </c>
      <c r="I892" s="30">
        <f t="shared" si="875"/>
        <v>5000</v>
      </c>
      <c r="J892" s="187">
        <v>40000</v>
      </c>
      <c r="K892" s="30">
        <f t="shared" si="927"/>
        <v>5000</v>
      </c>
      <c r="L892" s="187">
        <v>40000</v>
      </c>
      <c r="M892" s="110">
        <v>9.5</v>
      </c>
      <c r="N892" s="9">
        <f>VLOOKUP(DATE(YEAR(A892),MONTH(A892),DAY(A892)),FY24_Temp[],3,FALSE)</f>
        <v>13.7</v>
      </c>
      <c r="O892" s="110">
        <f t="shared" si="870"/>
        <v>11.5</v>
      </c>
      <c r="P892" s="110">
        <f t="shared" si="871"/>
        <v>19.5</v>
      </c>
      <c r="Q892" s="79">
        <f>VLOOKUP(VLOOKUP(DATEVALUE(TEXT(A892,"m/d/yyyy")),FY24_Temp[],5,FALSE)&amp;TEXT(A892,"-h"),TempDelta[],4,FALSE)</f>
        <v>2.746142796107701</v>
      </c>
      <c r="R892">
        <v>10</v>
      </c>
      <c r="S892" s="112">
        <v>1500</v>
      </c>
      <c r="T892" s="5">
        <f>VLOOKUP(TEXT(A892,"yy-mm")&amp;"-"&amp;IF(AND(WEEKDAY(A892)&gt;1,WEEKDAY(A892)&lt;7),"Wkd",TEXT(A892,"Ddd"))&amp;"-"&amp;TEXT(A892,"hh"),LoadTable[],3,FALSE)*0.92</f>
        <v>363.06235999999996</v>
      </c>
      <c r="U892" s="113">
        <f t="shared" si="872"/>
        <v>36.306235999999998</v>
      </c>
      <c r="V892">
        <f t="shared" si="928"/>
        <v>2.6</v>
      </c>
      <c r="W892">
        <f t="shared" si="928"/>
        <v>3.2</v>
      </c>
      <c r="X892" s="9">
        <v>2.8904147</v>
      </c>
      <c r="Y892" s="39"/>
    </row>
    <row r="893" spans="1:25" ht="15" thickBot="1">
      <c r="A893" s="29">
        <f t="shared" si="918"/>
        <v>45873.083333333154</v>
      </c>
      <c r="B893" s="30">
        <f t="shared" si="925"/>
        <v>5000</v>
      </c>
      <c r="C893" s="8">
        <v>25000</v>
      </c>
      <c r="D893" s="187">
        <v>0</v>
      </c>
      <c r="E893" s="187">
        <v>700</v>
      </c>
      <c r="F893" s="187">
        <v>15000</v>
      </c>
      <c r="G893" s="30">
        <f t="shared" si="926"/>
        <v>2400</v>
      </c>
      <c r="H893" s="8">
        <v>25000</v>
      </c>
      <c r="I893" s="30">
        <f t="shared" si="875"/>
        <v>5000</v>
      </c>
      <c r="J893" s="187">
        <v>40000</v>
      </c>
      <c r="K893" s="30">
        <f t="shared" si="927"/>
        <v>5000</v>
      </c>
      <c r="L893" s="187">
        <v>40000</v>
      </c>
      <c r="M893" s="110">
        <v>9.5</v>
      </c>
      <c r="N893" s="9">
        <f>VLOOKUP(DATE(YEAR(A893),MONTH(A893),DAY(A893)),FY24_Temp[],3,FALSE)</f>
        <v>13.7</v>
      </c>
      <c r="O893" s="110">
        <f t="shared" si="870"/>
        <v>11.5</v>
      </c>
      <c r="P893" s="110">
        <f t="shared" si="871"/>
        <v>19.5</v>
      </c>
      <c r="Q893" s="79">
        <f>VLOOKUP(VLOOKUP(DATEVALUE(TEXT(A893,"m/d/yyyy")),FY24_Temp[],5,FALSE)&amp;TEXT(A893,"-h"),TempDelta[],4,FALSE)</f>
        <v>2.7678571428571428</v>
      </c>
      <c r="R893">
        <v>10</v>
      </c>
      <c r="S893" s="112">
        <v>1500</v>
      </c>
      <c r="T893" s="5">
        <f>VLOOKUP(TEXT(A893,"yy-mm")&amp;"-"&amp;IF(AND(WEEKDAY(A893)&gt;1,WEEKDAY(A893)&lt;7),"Wkd",TEXT(A893,"Ddd"))&amp;"-"&amp;TEXT(A893,"hh"),LoadTable[],3,FALSE)*0.92</f>
        <v>363.06235999999996</v>
      </c>
      <c r="U893" s="113">
        <f t="shared" si="872"/>
        <v>36.306235999999998</v>
      </c>
      <c r="V893">
        <f t="shared" si="928"/>
        <v>2.8</v>
      </c>
      <c r="W893">
        <f t="shared" si="928"/>
        <v>3.2</v>
      </c>
      <c r="X893" s="9">
        <v>2.9694748</v>
      </c>
      <c r="Y893" s="39"/>
    </row>
    <row r="894" spans="1:25" ht="15" thickBot="1">
      <c r="A894" s="29">
        <f t="shared" si="918"/>
        <v>45873.124999999818</v>
      </c>
      <c r="B894" s="30">
        <f t="shared" si="925"/>
        <v>5000</v>
      </c>
      <c r="C894" s="8">
        <v>25000</v>
      </c>
      <c r="D894" s="187">
        <v>0</v>
      </c>
      <c r="E894" s="187">
        <v>700</v>
      </c>
      <c r="F894" s="187">
        <v>15000</v>
      </c>
      <c r="G894" s="30">
        <f t="shared" si="926"/>
        <v>2400</v>
      </c>
      <c r="H894" s="8">
        <v>25000</v>
      </c>
      <c r="I894" s="30">
        <f t="shared" si="875"/>
        <v>5000</v>
      </c>
      <c r="J894" s="187">
        <v>40000</v>
      </c>
      <c r="K894" s="30">
        <f t="shared" si="927"/>
        <v>5000</v>
      </c>
      <c r="L894" s="187">
        <v>40000</v>
      </c>
      <c r="M894" s="110">
        <v>9.5</v>
      </c>
      <c r="N894" s="9">
        <f>VLOOKUP(DATE(YEAR(A894),MONTH(A894),DAY(A894)),FY24_Temp[],3,FALSE)</f>
        <v>13.7</v>
      </c>
      <c r="O894" s="110">
        <f t="shared" si="870"/>
        <v>11.5</v>
      </c>
      <c r="P894" s="110">
        <f t="shared" si="871"/>
        <v>19.5</v>
      </c>
      <c r="Q894" s="79">
        <f>VLOOKUP(VLOOKUP(DATEVALUE(TEXT(A894,"m/d/yyyy")),FY24_Temp[],5,FALSE)&amp;TEXT(A894,"-h"),TempDelta[],4,FALSE)</f>
        <v>2.7691428320748463</v>
      </c>
      <c r="R894">
        <v>10</v>
      </c>
      <c r="S894" s="112">
        <v>1500</v>
      </c>
      <c r="T894" s="5">
        <f>VLOOKUP(TEXT(A894,"yy-mm")&amp;"-"&amp;IF(AND(WEEKDAY(A894)&gt;1,WEEKDAY(A894)&lt;7),"Wkd",TEXT(A894,"Ddd"))&amp;"-"&amp;TEXT(A894,"hh"),LoadTable[],3,FALSE)*0.92</f>
        <v>363.06235999999996</v>
      </c>
      <c r="U894" s="113">
        <f t="shared" si="872"/>
        <v>36.306235999999998</v>
      </c>
      <c r="V894">
        <f t="shared" si="928"/>
        <v>2.7</v>
      </c>
      <c r="W894">
        <f t="shared" si="928"/>
        <v>3.2</v>
      </c>
      <c r="X894" s="9">
        <v>3.0386495999999998</v>
      </c>
      <c r="Y894" s="39"/>
    </row>
    <row r="895" spans="1:25" ht="15" thickBot="1">
      <c r="A895" s="29">
        <f t="shared" si="918"/>
        <v>45873.166666666482</v>
      </c>
      <c r="B895" s="30">
        <f t="shared" si="925"/>
        <v>5000</v>
      </c>
      <c r="C895" s="8">
        <v>25000</v>
      </c>
      <c r="D895" s="187">
        <v>0</v>
      </c>
      <c r="E895" s="187">
        <v>700</v>
      </c>
      <c r="F895" s="187">
        <v>15000</v>
      </c>
      <c r="G895" s="30">
        <f t="shared" si="926"/>
        <v>2400</v>
      </c>
      <c r="H895" s="8">
        <v>25000</v>
      </c>
      <c r="I895" s="30">
        <f t="shared" si="875"/>
        <v>5000</v>
      </c>
      <c r="J895" s="187">
        <v>40000</v>
      </c>
      <c r="K895" s="30">
        <f t="shared" si="927"/>
        <v>5000</v>
      </c>
      <c r="L895" s="187">
        <v>40000</v>
      </c>
      <c r="M895" s="110">
        <v>9.5</v>
      </c>
      <c r="N895" s="9">
        <f>VLOOKUP(DATE(YEAR(A895),MONTH(A895),DAY(A895)),FY24_Temp[],3,FALSE)</f>
        <v>13.7</v>
      </c>
      <c r="O895" s="110">
        <f t="shared" si="870"/>
        <v>11.5</v>
      </c>
      <c r="P895" s="110">
        <f t="shared" si="871"/>
        <v>19.5</v>
      </c>
      <c r="Q895" s="79">
        <f>VLOOKUP(VLOOKUP(DATEVALUE(TEXT(A895,"m/d/yyyy")),FY24_Temp[],5,FALSE)&amp;TEXT(A895,"-h"),TempDelta[],4,FALSE)</f>
        <v>2.7731428486960277</v>
      </c>
      <c r="R895">
        <v>10</v>
      </c>
      <c r="S895" s="112">
        <v>1500</v>
      </c>
      <c r="T895" s="5">
        <f>VLOOKUP(TEXT(A895,"yy-mm")&amp;"-"&amp;IF(AND(WEEKDAY(A895)&gt;1,WEEKDAY(A895)&lt;7),"Wkd",TEXT(A895,"Ddd"))&amp;"-"&amp;TEXT(A895,"hh"),LoadTable[],3,FALSE)*0.92</f>
        <v>363.06235999999996</v>
      </c>
      <c r="U895" s="113">
        <f t="shared" si="872"/>
        <v>36.306235999999998</v>
      </c>
      <c r="V895">
        <f t="shared" si="928"/>
        <v>3</v>
      </c>
      <c r="W895">
        <f t="shared" si="928"/>
        <v>3.1</v>
      </c>
      <c r="X895" s="9">
        <v>3.0793051999999999</v>
      </c>
      <c r="Y895" s="39"/>
    </row>
    <row r="896" spans="1:25" ht="15" thickBot="1">
      <c r="A896" s="29">
        <f t="shared" si="918"/>
        <v>45873.208333333147</v>
      </c>
      <c r="B896" s="30">
        <f t="shared" si="925"/>
        <v>5000</v>
      </c>
      <c r="C896" s="8">
        <v>25000</v>
      </c>
      <c r="D896" s="187">
        <v>0</v>
      </c>
      <c r="E896" s="187">
        <v>700</v>
      </c>
      <c r="F896" s="187">
        <v>15000</v>
      </c>
      <c r="G896" s="30">
        <f t="shared" si="926"/>
        <v>2400</v>
      </c>
      <c r="H896" s="8">
        <v>25000</v>
      </c>
      <c r="I896" s="30">
        <f t="shared" si="875"/>
        <v>5000</v>
      </c>
      <c r="J896" s="187">
        <v>40000</v>
      </c>
      <c r="K896" s="30">
        <f t="shared" si="927"/>
        <v>5000</v>
      </c>
      <c r="L896" s="187">
        <v>40000</v>
      </c>
      <c r="M896" s="110">
        <v>9.5</v>
      </c>
      <c r="N896" s="9">
        <f>VLOOKUP(DATE(YEAR(A896),MONTH(A896),DAY(A896)),FY24_Temp[],3,FALSE)</f>
        <v>13.7</v>
      </c>
      <c r="O896" s="110">
        <f t="shared" si="870"/>
        <v>11.5</v>
      </c>
      <c r="P896" s="110">
        <f t="shared" si="871"/>
        <v>19.5</v>
      </c>
      <c r="Q896" s="79">
        <f>VLOOKUP(VLOOKUP(DATEVALUE(TEXT(A896,"m/d/yyyy")),FY24_Temp[],5,FALSE)&amp;TEXT(A896,"-h"),TempDelta[],4,FALSE)</f>
        <v>2.8117143426622664</v>
      </c>
      <c r="R896">
        <v>10</v>
      </c>
      <c r="S896" s="112">
        <v>1500</v>
      </c>
      <c r="T896" s="5">
        <f>VLOOKUP(TEXT(A896,"yy-mm")&amp;"-"&amp;IF(AND(WEEKDAY(A896)&gt;1,WEEKDAY(A896)&lt;7),"Wkd",TEXT(A896,"Ddd"))&amp;"-"&amp;TEXT(A896,"hh"),LoadTable[],3,FALSE)*0.92</f>
        <v>363.06235999999996</v>
      </c>
      <c r="U896" s="113">
        <f t="shared" si="872"/>
        <v>36.306235999999998</v>
      </c>
      <c r="V896">
        <f t="shared" si="928"/>
        <v>2.9</v>
      </c>
      <c r="W896">
        <f t="shared" si="928"/>
        <v>3.1</v>
      </c>
      <c r="X896" s="9">
        <v>3.1517681999999998</v>
      </c>
      <c r="Y896" s="39"/>
    </row>
    <row r="897" spans="1:25" ht="15" thickBot="1">
      <c r="A897" s="29">
        <f t="shared" si="918"/>
        <v>45873.249999999811</v>
      </c>
      <c r="B897" s="30">
        <f t="shared" si="925"/>
        <v>8000</v>
      </c>
      <c r="C897" s="8">
        <v>25000</v>
      </c>
      <c r="D897" s="187">
        <v>0</v>
      </c>
      <c r="E897" s="187">
        <v>700</v>
      </c>
      <c r="F897" s="187">
        <v>15000</v>
      </c>
      <c r="G897" s="30">
        <f t="shared" si="926"/>
        <v>2400</v>
      </c>
      <c r="H897" s="8">
        <v>25000</v>
      </c>
      <c r="I897" s="30">
        <f t="shared" si="875"/>
        <v>8000</v>
      </c>
      <c r="J897" s="187">
        <v>40000</v>
      </c>
      <c r="K897" s="30">
        <f t="shared" si="927"/>
        <v>8000</v>
      </c>
      <c r="L897" s="187">
        <v>40000</v>
      </c>
      <c r="M897" s="110">
        <v>9.5</v>
      </c>
      <c r="N897" s="9">
        <f>VLOOKUP(DATE(YEAR(A897),MONTH(A897),DAY(A897)),FY24_Temp[],3,FALSE)</f>
        <v>13.7</v>
      </c>
      <c r="O897" s="110">
        <f t="shared" si="870"/>
        <v>11.5</v>
      </c>
      <c r="P897" s="110">
        <f t="shared" si="871"/>
        <v>19.5</v>
      </c>
      <c r="Q897" s="79">
        <f>VLOOKUP(VLOOKUP(DATEVALUE(TEXT(A897,"m/d/yyyy")),FY24_Temp[],5,FALSE)&amp;TEXT(A897,"-h"),TempDelta[],4,FALSE)</f>
        <v>2.8184285845075334</v>
      </c>
      <c r="R897">
        <v>10</v>
      </c>
      <c r="S897" s="112">
        <v>1500</v>
      </c>
      <c r="T897" s="5">
        <f>VLOOKUP(TEXT(A897,"yy-mm")&amp;"-"&amp;IF(AND(WEEKDAY(A897)&gt;1,WEEKDAY(A897)&lt;7),"Wkd",TEXT(A897,"Ddd"))&amp;"-"&amp;TEXT(A897,"hh"),LoadTable[],3,FALSE)*0.92</f>
        <v>363.06235999999996</v>
      </c>
      <c r="U897" s="113">
        <f t="shared" si="872"/>
        <v>36.306235999999998</v>
      </c>
      <c r="V897">
        <f t="shared" si="928"/>
        <v>2.5</v>
      </c>
      <c r="W897">
        <f t="shared" si="928"/>
        <v>3.1</v>
      </c>
      <c r="X897" s="9">
        <v>3.2295308</v>
      </c>
      <c r="Y897" s="39"/>
    </row>
    <row r="898" spans="1:25" ht="15" thickBot="1">
      <c r="A898" s="29">
        <f t="shared" si="918"/>
        <v>45873.291666666475</v>
      </c>
      <c r="B898" s="30">
        <f t="shared" si="925"/>
        <v>8000</v>
      </c>
      <c r="C898" s="8">
        <v>25000</v>
      </c>
      <c r="D898" s="187">
        <v>0</v>
      </c>
      <c r="E898" s="187">
        <v>700</v>
      </c>
      <c r="F898" s="187">
        <v>15000</v>
      </c>
      <c r="G898" s="30">
        <f t="shared" si="926"/>
        <v>2400</v>
      </c>
      <c r="H898" s="8">
        <v>25000</v>
      </c>
      <c r="I898" s="30">
        <f t="shared" si="875"/>
        <v>8000</v>
      </c>
      <c r="J898" s="187">
        <v>40000</v>
      </c>
      <c r="K898" s="30">
        <f t="shared" si="927"/>
        <v>8000</v>
      </c>
      <c r="L898" s="187">
        <v>40000</v>
      </c>
      <c r="M898" s="110">
        <v>9.5</v>
      </c>
      <c r="N898" s="9">
        <f>VLOOKUP(DATE(YEAR(A898),MONTH(A898),DAY(A898)),FY24_Temp[],3,FALSE)</f>
        <v>13.7</v>
      </c>
      <c r="O898" s="110">
        <f t="shared" si="870"/>
        <v>11.5</v>
      </c>
      <c r="P898" s="110">
        <f t="shared" si="871"/>
        <v>19.5</v>
      </c>
      <c r="Q898" s="79">
        <f>VLOOKUP(VLOOKUP(DATEVALUE(TEXT(A898,"m/d/yyyy")),FY24_Temp[],5,FALSE)&amp;TEXT(A898,"-h"),TempDelta[],4,FALSE)</f>
        <v>2.7782857418060303</v>
      </c>
      <c r="R898">
        <v>10</v>
      </c>
      <c r="S898" s="112">
        <v>1500</v>
      </c>
      <c r="T898" s="5">
        <f>VLOOKUP(TEXT(A898,"yy-mm")&amp;"-"&amp;IF(AND(WEEKDAY(A898)&gt;1,WEEKDAY(A898)&lt;7),"Wkd",TEXT(A898,"Ddd"))&amp;"-"&amp;TEXT(A898,"hh"),LoadTable[],3,FALSE)*0.92</f>
        <v>352.2091200000001</v>
      </c>
      <c r="U898" s="113">
        <f t="shared" si="872"/>
        <v>35.220912000000013</v>
      </c>
      <c r="V898">
        <f t="shared" si="928"/>
        <v>2.5</v>
      </c>
      <c r="W898">
        <f t="shared" si="928"/>
        <v>3.1</v>
      </c>
      <c r="X898" s="9">
        <v>3.2418556000000001</v>
      </c>
      <c r="Y898" s="39"/>
    </row>
    <row r="899" spans="1:25" ht="15" thickBot="1">
      <c r="A899" s="29">
        <f t="shared" si="918"/>
        <v>45873.333333333139</v>
      </c>
      <c r="B899" s="30">
        <f t="shared" si="925"/>
        <v>8000</v>
      </c>
      <c r="C899" s="8">
        <v>25000</v>
      </c>
      <c r="D899" s="187">
        <v>0</v>
      </c>
      <c r="E899" s="187">
        <v>700</v>
      </c>
      <c r="F899" s="187">
        <v>15000</v>
      </c>
      <c r="G899" s="30">
        <f t="shared" si="926"/>
        <v>2400</v>
      </c>
      <c r="H899" s="8">
        <v>25000</v>
      </c>
      <c r="I899" s="30">
        <f t="shared" si="875"/>
        <v>8000</v>
      </c>
      <c r="J899" s="187">
        <v>40000</v>
      </c>
      <c r="K899" s="30">
        <f t="shared" si="927"/>
        <v>8000</v>
      </c>
      <c r="L899" s="187">
        <v>40000</v>
      </c>
      <c r="M899" s="110">
        <v>9.5</v>
      </c>
      <c r="N899" s="9">
        <f>VLOOKUP(DATE(YEAR(A899),MONTH(A899),DAY(A899)),FY24_Temp[],3,FALSE)</f>
        <v>13.7</v>
      </c>
      <c r="O899" s="110">
        <f t="shared" si="870"/>
        <v>11.5</v>
      </c>
      <c r="P899" s="110">
        <f t="shared" si="871"/>
        <v>19.5</v>
      </c>
      <c r="Q899" s="79">
        <f>VLOOKUP(VLOOKUP(DATEVALUE(TEXT(A899,"m/d/yyyy")),FY24_Temp[],5,FALSE)&amp;TEXT(A899,"-h"),TempDelta[],4,FALSE)</f>
        <v>2.6682857104710171</v>
      </c>
      <c r="R899">
        <v>10</v>
      </c>
      <c r="S899" s="112">
        <v>1500</v>
      </c>
      <c r="T899" s="5">
        <f>VLOOKUP(TEXT(A899,"yy-mm")&amp;"-"&amp;IF(AND(WEEKDAY(A899)&gt;1,WEEKDAY(A899)&lt;7),"Wkd",TEXT(A899,"Ddd"))&amp;"-"&amp;TEXT(A899,"hh"),LoadTable[],3,FALSE)*0.92</f>
        <v>352.2091200000001</v>
      </c>
      <c r="U899" s="113">
        <f t="shared" si="872"/>
        <v>35.220912000000013</v>
      </c>
      <c r="V899">
        <f t="shared" si="928"/>
        <v>3.2</v>
      </c>
      <c r="W899">
        <f t="shared" si="928"/>
        <v>3</v>
      </c>
      <c r="X899" s="9">
        <v>3.2957519999999998</v>
      </c>
      <c r="Y899" s="39"/>
    </row>
    <row r="900" spans="1:25" ht="15" thickBot="1">
      <c r="A900" s="29">
        <f t="shared" si="918"/>
        <v>45873.374999999804</v>
      </c>
      <c r="B900" s="30">
        <f t="shared" si="925"/>
        <v>8000</v>
      </c>
      <c r="C900" s="8">
        <v>25000</v>
      </c>
      <c r="D900" s="187">
        <v>0</v>
      </c>
      <c r="E900" s="187">
        <v>700</v>
      </c>
      <c r="F900" s="187">
        <v>15000</v>
      </c>
      <c r="G900" s="30">
        <f t="shared" si="926"/>
        <v>2400</v>
      </c>
      <c r="H900" s="8">
        <v>25000</v>
      </c>
      <c r="I900" s="30">
        <f t="shared" si="875"/>
        <v>8000</v>
      </c>
      <c r="J900" s="187">
        <v>40000</v>
      </c>
      <c r="K900" s="30">
        <f t="shared" si="927"/>
        <v>8000</v>
      </c>
      <c r="L900" s="187">
        <v>40000</v>
      </c>
      <c r="M900" s="110">
        <v>9.5</v>
      </c>
      <c r="N900" s="9">
        <f>VLOOKUP(DATE(YEAR(A900),MONTH(A900),DAY(A900)),FY24_Temp[],3,FALSE)</f>
        <v>13.7</v>
      </c>
      <c r="O900" s="110">
        <f t="shared" ref="O900:O963" si="929">15.5-4</f>
        <v>11.5</v>
      </c>
      <c r="P900" s="110">
        <f t="shared" ref="P900:P963" si="930">15.5+4</f>
        <v>19.5</v>
      </c>
      <c r="Q900" s="79">
        <f>VLOOKUP(VLOOKUP(DATEVALUE(TEXT(A900,"m/d/yyyy")),FY24_Temp[],5,FALSE)&amp;TEXT(A900,"-h"),TempDelta[],4,FALSE)</f>
        <v>2.4805714062282016</v>
      </c>
      <c r="R900">
        <v>10</v>
      </c>
      <c r="S900" s="112">
        <v>1500</v>
      </c>
      <c r="T900" s="5">
        <f>VLOOKUP(TEXT(A900,"yy-mm")&amp;"-"&amp;IF(AND(WEEKDAY(A900)&gt;1,WEEKDAY(A900)&lt;7),"Wkd",TEXT(A900,"Ddd"))&amp;"-"&amp;TEXT(A900,"hh"),LoadTable[],3,FALSE)*0.92</f>
        <v>340.60949077857163</v>
      </c>
      <c r="U900" s="113">
        <f t="shared" ref="U900:U963" si="931">T900/10</f>
        <v>34.06094907785716</v>
      </c>
      <c r="V900">
        <f t="shared" si="928"/>
        <v>2.9</v>
      </c>
      <c r="W900">
        <f t="shared" si="928"/>
        <v>3</v>
      </c>
      <c r="X900" s="9">
        <v>3.3775605999999998</v>
      </c>
      <c r="Y900" s="39"/>
    </row>
    <row r="901" spans="1:25" ht="15" thickBot="1">
      <c r="A901" s="29">
        <f t="shared" si="918"/>
        <v>45873.416666666468</v>
      </c>
      <c r="B901" s="30">
        <f t="shared" si="925"/>
        <v>8000</v>
      </c>
      <c r="C901" s="8">
        <v>25000</v>
      </c>
      <c r="D901" s="187">
        <v>0</v>
      </c>
      <c r="E901" s="187">
        <v>700</v>
      </c>
      <c r="F901" s="187">
        <v>15000</v>
      </c>
      <c r="G901" s="30">
        <f t="shared" si="926"/>
        <v>2400</v>
      </c>
      <c r="H901" s="8">
        <v>25000</v>
      </c>
      <c r="I901" s="30">
        <f t="shared" si="875"/>
        <v>8000</v>
      </c>
      <c r="J901" s="187">
        <v>40000</v>
      </c>
      <c r="K901" s="30">
        <f t="shared" si="927"/>
        <v>8000</v>
      </c>
      <c r="L901" s="187">
        <v>40000</v>
      </c>
      <c r="M901" s="110">
        <v>9.5</v>
      </c>
      <c r="N901" s="9">
        <f>VLOOKUP(DATE(YEAR(A901),MONTH(A901),DAY(A901)),FY24_Temp[],3,FALSE)</f>
        <v>13.7</v>
      </c>
      <c r="O901" s="110">
        <f t="shared" si="929"/>
        <v>11.5</v>
      </c>
      <c r="P901" s="110">
        <f t="shared" si="930"/>
        <v>19.5</v>
      </c>
      <c r="Q901" s="79">
        <f>VLOOKUP(VLOOKUP(DATEVALUE(TEXT(A901,"m/d/yyyy")),FY24_Temp[],5,FALSE)&amp;TEXT(A901,"-h"),TempDelta[],4,FALSE)</f>
        <v>2.2650000027247836</v>
      </c>
      <c r="R901">
        <v>10</v>
      </c>
      <c r="S901" s="112">
        <v>1500</v>
      </c>
      <c r="T901" s="5">
        <f>VLOOKUP(TEXT(A901,"yy-mm")&amp;"-"&amp;IF(AND(WEEKDAY(A901)&gt;1,WEEKDAY(A901)&lt;7),"Wkd",TEXT(A901,"Ddd"))&amp;"-"&amp;TEXT(A901,"hh"),LoadTable[],3,FALSE)*0.92</f>
        <v>338.44093501457746</v>
      </c>
      <c r="U901" s="113">
        <f t="shared" si="931"/>
        <v>33.844093501457749</v>
      </c>
      <c r="V901">
        <f t="shared" si="928"/>
        <v>2.9</v>
      </c>
      <c r="W901">
        <f t="shared" si="928"/>
        <v>3</v>
      </c>
      <c r="X901" s="9">
        <v>3.3921852000000001</v>
      </c>
      <c r="Y901" s="39"/>
    </row>
    <row r="902" spans="1:25" ht="15" thickBot="1">
      <c r="A902" s="29">
        <f t="shared" si="918"/>
        <v>45873.458333333132</v>
      </c>
      <c r="B902" s="30">
        <f t="shared" si="925"/>
        <v>8000</v>
      </c>
      <c r="C902" s="8">
        <v>25000</v>
      </c>
      <c r="D902" s="187">
        <v>0</v>
      </c>
      <c r="E902" s="187">
        <v>700</v>
      </c>
      <c r="F902" s="187">
        <v>15000</v>
      </c>
      <c r="G902" s="30">
        <f t="shared" si="926"/>
        <v>2400</v>
      </c>
      <c r="H902" s="8">
        <v>25000</v>
      </c>
      <c r="I902" s="30">
        <f t="shared" si="875"/>
        <v>8000</v>
      </c>
      <c r="J902" s="187">
        <v>40000</v>
      </c>
      <c r="K902" s="30">
        <f t="shared" si="927"/>
        <v>8000</v>
      </c>
      <c r="L902" s="187">
        <v>40000</v>
      </c>
      <c r="M902" s="110">
        <v>9.5</v>
      </c>
      <c r="N902" s="9">
        <f>VLOOKUP(DATE(YEAR(A902),MONTH(A902),DAY(A902)),FY24_Temp[],3,FALSE)</f>
        <v>13.7</v>
      </c>
      <c r="O902" s="110">
        <f t="shared" si="929"/>
        <v>11.5</v>
      </c>
      <c r="P902" s="110">
        <f t="shared" si="930"/>
        <v>19.5</v>
      </c>
      <c r="Q902" s="79">
        <f>VLOOKUP(VLOOKUP(DATEVALUE(TEXT(A902,"m/d/yyyy")),FY24_Temp[],5,FALSE)&amp;TEXT(A902,"-h"),TempDelta[],4,FALSE)</f>
        <v>2.0114285605294362</v>
      </c>
      <c r="R902">
        <v>10</v>
      </c>
      <c r="S902" s="112">
        <v>1500</v>
      </c>
      <c r="T902" s="5">
        <f>VLOOKUP(TEXT(A902,"yy-mm")&amp;"-"&amp;IF(AND(WEEKDAY(A902)&gt;1,WEEKDAY(A902)&lt;7),"Wkd",TEXT(A902,"Ddd"))&amp;"-"&amp;TEXT(A902,"hh"),LoadTable[],3,FALSE)*0.92</f>
        <v>338.44093501457746</v>
      </c>
      <c r="U902" s="113">
        <f t="shared" si="931"/>
        <v>33.844093501457749</v>
      </c>
      <c r="V902">
        <f t="shared" si="928"/>
        <v>3.4</v>
      </c>
      <c r="W902">
        <f t="shared" si="928"/>
        <v>3</v>
      </c>
      <c r="X902" s="9">
        <v>3.2445099000000002</v>
      </c>
      <c r="Y902" s="39"/>
    </row>
    <row r="903" spans="1:25" ht="15" thickBot="1">
      <c r="A903" s="29">
        <f t="shared" si="918"/>
        <v>45873.499999999796</v>
      </c>
      <c r="B903" s="30">
        <f t="shared" si="925"/>
        <v>8000</v>
      </c>
      <c r="C903" s="8">
        <v>25000</v>
      </c>
      <c r="D903" s="187">
        <v>0</v>
      </c>
      <c r="E903" s="187">
        <v>700</v>
      </c>
      <c r="F903" s="187">
        <v>15000</v>
      </c>
      <c r="G903" s="30">
        <f t="shared" si="926"/>
        <v>2400</v>
      </c>
      <c r="H903" s="8">
        <v>25000</v>
      </c>
      <c r="I903" s="30">
        <f t="shared" si="875"/>
        <v>8000</v>
      </c>
      <c r="J903" s="187">
        <v>40000</v>
      </c>
      <c r="K903" s="30">
        <f t="shared" si="927"/>
        <v>8000</v>
      </c>
      <c r="L903" s="187">
        <v>40000</v>
      </c>
      <c r="M903" s="110">
        <v>9.5</v>
      </c>
      <c r="N903" s="9">
        <f>VLOOKUP(DATE(YEAR(A903),MONTH(A903),DAY(A903)),FY24_Temp[],3,FALSE)</f>
        <v>13.7</v>
      </c>
      <c r="O903" s="110">
        <f t="shared" si="929"/>
        <v>11.5</v>
      </c>
      <c r="P903" s="110">
        <f t="shared" si="930"/>
        <v>19.5</v>
      </c>
      <c r="Q903" s="79">
        <f>VLOOKUP(VLOOKUP(DATEVALUE(TEXT(A903,"m/d/yyyy")),FY24_Temp[],5,FALSE)&amp;TEXT(A903,"-h"),TempDelta[],4,FALSE)</f>
        <v>1.7541428463799613</v>
      </c>
      <c r="R903">
        <v>10</v>
      </c>
      <c r="S903" s="112">
        <v>1500</v>
      </c>
      <c r="T903" s="5">
        <f>VLOOKUP(TEXT(A903,"yy-mm")&amp;"-"&amp;IF(AND(WEEKDAY(A903)&gt;1,WEEKDAY(A903)&lt;7),"Wkd",TEXT(A903,"Ddd"))&amp;"-"&amp;TEXT(A903,"hh"),LoadTable[],3,FALSE)*0.92</f>
        <v>338.44093501457746</v>
      </c>
      <c r="U903" s="113">
        <f t="shared" si="931"/>
        <v>33.844093501457749</v>
      </c>
      <c r="V903">
        <f t="shared" si="928"/>
        <v>3.1</v>
      </c>
      <c r="W903">
        <f t="shared" si="928"/>
        <v>2.9</v>
      </c>
      <c r="X903" s="9">
        <v>3.0543528000000002</v>
      </c>
      <c r="Y903" s="39"/>
    </row>
    <row r="904" spans="1:25" ht="15" thickBot="1">
      <c r="A904" s="29">
        <f t="shared" si="918"/>
        <v>45873.541666666461</v>
      </c>
      <c r="B904" s="30">
        <f t="shared" si="925"/>
        <v>8000</v>
      </c>
      <c r="C904" s="8">
        <v>25000</v>
      </c>
      <c r="D904" s="187">
        <v>0</v>
      </c>
      <c r="E904" s="187">
        <v>700</v>
      </c>
      <c r="F904" s="187">
        <v>15000</v>
      </c>
      <c r="G904" s="30">
        <f t="shared" si="926"/>
        <v>2400</v>
      </c>
      <c r="H904" s="8">
        <v>25000</v>
      </c>
      <c r="I904" s="30">
        <f t="shared" si="875"/>
        <v>8000</v>
      </c>
      <c r="J904" s="187">
        <v>40000</v>
      </c>
      <c r="K904" s="30">
        <f t="shared" si="927"/>
        <v>8000</v>
      </c>
      <c r="L904" s="187">
        <v>40000</v>
      </c>
      <c r="M904" s="110">
        <v>9.5</v>
      </c>
      <c r="N904" s="9">
        <f>VLOOKUP(DATE(YEAR(A904),MONTH(A904),DAY(A904)),FY24_Temp[],3,FALSE)</f>
        <v>13.7</v>
      </c>
      <c r="O904" s="110">
        <f t="shared" si="929"/>
        <v>11.5</v>
      </c>
      <c r="P904" s="110">
        <f t="shared" si="930"/>
        <v>19.5</v>
      </c>
      <c r="Q904" s="79">
        <f>VLOOKUP(VLOOKUP(DATEVALUE(TEXT(A904,"m/d/yyyy")),FY24_Temp[],5,FALSE)&amp;TEXT(A904,"-h"),TempDelta[],4,FALSE)</f>
        <v>1.4955714430127824</v>
      </c>
      <c r="R904">
        <v>10</v>
      </c>
      <c r="S904" s="112">
        <v>1500</v>
      </c>
      <c r="T904" s="5">
        <f>VLOOKUP(TEXT(A904,"yy-mm")&amp;"-"&amp;IF(AND(WEEKDAY(A904)&gt;1,WEEKDAY(A904)&lt;7),"Wkd",TEXT(A904,"Ddd"))&amp;"-"&amp;TEXT(A904,"hh"),LoadTable[],3,FALSE)*0.92</f>
        <v>389.90980000000025</v>
      </c>
      <c r="U904" s="113">
        <f t="shared" si="931"/>
        <v>38.990980000000022</v>
      </c>
      <c r="V904">
        <f t="shared" si="928"/>
        <v>3.2</v>
      </c>
      <c r="W904">
        <f t="shared" si="928"/>
        <v>2.9</v>
      </c>
      <c r="X904" s="9">
        <v>2.8603538999999998</v>
      </c>
      <c r="Y904" s="39"/>
    </row>
    <row r="905" spans="1:25" ht="15" thickBot="1">
      <c r="A905" s="29">
        <f t="shared" si="918"/>
        <v>45873.583333333125</v>
      </c>
      <c r="B905" s="30">
        <f t="shared" si="925"/>
        <v>8000</v>
      </c>
      <c r="C905" s="8">
        <v>25000</v>
      </c>
      <c r="D905" s="187">
        <v>0</v>
      </c>
      <c r="E905" s="187">
        <v>700</v>
      </c>
      <c r="F905" s="187">
        <v>15000</v>
      </c>
      <c r="G905" s="30">
        <f t="shared" si="926"/>
        <v>2400</v>
      </c>
      <c r="H905" s="8">
        <v>25000</v>
      </c>
      <c r="I905" s="30">
        <f t="shared" si="875"/>
        <v>8000</v>
      </c>
      <c r="J905" s="187">
        <v>40000</v>
      </c>
      <c r="K905" s="30">
        <f t="shared" si="927"/>
        <v>8000</v>
      </c>
      <c r="L905" s="187">
        <v>40000</v>
      </c>
      <c r="M905" s="110">
        <v>9.5</v>
      </c>
      <c r="N905" s="9">
        <f>VLOOKUP(DATE(YEAR(A905),MONTH(A905),DAY(A905)),FY24_Temp[],3,FALSE)</f>
        <v>13.7</v>
      </c>
      <c r="O905" s="110">
        <f t="shared" si="929"/>
        <v>11.5</v>
      </c>
      <c r="P905" s="110">
        <f t="shared" si="930"/>
        <v>19.5</v>
      </c>
      <c r="Q905" s="79">
        <f>VLOOKUP(VLOOKUP(DATEVALUE(TEXT(A905,"m/d/yyyy")),FY24_Temp[],5,FALSE)&amp;TEXT(A905,"-h"),TempDelta[],4,FALSE)</f>
        <v>1.0822857235159193</v>
      </c>
      <c r="R905">
        <v>10</v>
      </c>
      <c r="S905" s="112">
        <v>1500</v>
      </c>
      <c r="T905" s="5">
        <f>VLOOKUP(TEXT(A905,"yy-mm")&amp;"-"&amp;IF(AND(WEEKDAY(A905)&gt;1,WEEKDAY(A905)&lt;7),"Wkd",TEXT(A905,"Ddd"))&amp;"-"&amp;TEXT(A905,"hh"),LoadTable[],3,FALSE)*0.92</f>
        <v>625.53652000000022</v>
      </c>
      <c r="U905" s="113">
        <f t="shared" si="931"/>
        <v>62.553652000000021</v>
      </c>
      <c r="V905">
        <f t="shared" si="928"/>
        <v>3.5</v>
      </c>
      <c r="W905">
        <f t="shared" si="928"/>
        <v>2.9</v>
      </c>
      <c r="X905" s="9">
        <v>2.8694513000000001</v>
      </c>
      <c r="Y905" s="39"/>
    </row>
    <row r="906" spans="1:25" ht="15" thickBot="1">
      <c r="A906" s="29">
        <f t="shared" si="918"/>
        <v>45873.624999999789</v>
      </c>
      <c r="B906" s="30">
        <f t="shared" si="925"/>
        <v>8000</v>
      </c>
      <c r="C906" s="8">
        <v>25000</v>
      </c>
      <c r="D906" s="187">
        <v>0</v>
      </c>
      <c r="E906" s="187">
        <v>700</v>
      </c>
      <c r="F906" s="187">
        <v>15000</v>
      </c>
      <c r="G906" s="30">
        <f t="shared" si="926"/>
        <v>2400</v>
      </c>
      <c r="H906" s="8">
        <v>25000</v>
      </c>
      <c r="I906" s="30">
        <f t="shared" si="875"/>
        <v>8000</v>
      </c>
      <c r="J906" s="187">
        <v>40000</v>
      </c>
      <c r="K906" s="30">
        <f t="shared" si="927"/>
        <v>8000</v>
      </c>
      <c r="L906" s="187">
        <v>40000</v>
      </c>
      <c r="M906" s="110">
        <v>9.5</v>
      </c>
      <c r="N906" s="9">
        <f>VLOOKUP(DATE(YEAR(A906),MONTH(A906),DAY(A906)),FY24_Temp[],3,FALSE)</f>
        <v>13.7</v>
      </c>
      <c r="O906" s="110">
        <f t="shared" si="929"/>
        <v>11.5</v>
      </c>
      <c r="P906" s="110">
        <f t="shared" si="930"/>
        <v>19.5</v>
      </c>
      <c r="Q906" s="79">
        <f>VLOOKUP(VLOOKUP(DATEVALUE(TEXT(A906,"m/d/yyyy")),FY24_Temp[],5,FALSE)&amp;TEXT(A906,"-h"),TempDelta[],4,FALSE)</f>
        <v>0.86314284375735695</v>
      </c>
      <c r="R906">
        <v>10</v>
      </c>
      <c r="S906" s="112">
        <v>1500</v>
      </c>
      <c r="T906" s="5">
        <f>VLOOKUP(TEXT(A906,"yy-mm")&amp;"-"&amp;IF(AND(WEEKDAY(A906)&gt;1,WEEKDAY(A906)&lt;7),"Wkd",TEXT(A906,"Ddd"))&amp;"-"&amp;TEXT(A906,"hh"),LoadTable[],3,FALSE)*0.92</f>
        <v>699.79524000000038</v>
      </c>
      <c r="U906" s="113">
        <f t="shared" si="931"/>
        <v>69.97952400000004</v>
      </c>
      <c r="V906">
        <f t="shared" si="928"/>
        <v>3.2</v>
      </c>
      <c r="W906">
        <f t="shared" si="928"/>
        <v>2.9</v>
      </c>
      <c r="X906" s="9">
        <v>3.1699421000000001</v>
      </c>
      <c r="Y906" s="39"/>
    </row>
    <row r="907" spans="1:25" ht="15" thickBot="1">
      <c r="A907" s="29">
        <f t="shared" si="918"/>
        <v>45873.666666666453</v>
      </c>
      <c r="B907" s="30">
        <f t="shared" si="925"/>
        <v>8000</v>
      </c>
      <c r="C907" s="8">
        <v>25000</v>
      </c>
      <c r="D907" s="187">
        <v>0</v>
      </c>
      <c r="E907" s="187">
        <v>700</v>
      </c>
      <c r="F907" s="187">
        <v>15000</v>
      </c>
      <c r="G907" s="30">
        <f t="shared" si="926"/>
        <v>2400</v>
      </c>
      <c r="H907" s="8">
        <v>25000</v>
      </c>
      <c r="I907" s="30">
        <f t="shared" si="875"/>
        <v>8000</v>
      </c>
      <c r="J907" s="187">
        <v>40000</v>
      </c>
      <c r="K907" s="30">
        <f t="shared" si="927"/>
        <v>8000</v>
      </c>
      <c r="L907" s="187">
        <v>40000</v>
      </c>
      <c r="M907" s="110">
        <v>9.5</v>
      </c>
      <c r="N907" s="9">
        <f>VLOOKUP(DATE(YEAR(A907),MONTH(A907),DAY(A907)),FY24_Temp[],3,FALSE)</f>
        <v>13.7</v>
      </c>
      <c r="O907" s="110">
        <f t="shared" si="929"/>
        <v>11.5</v>
      </c>
      <c r="P907" s="110">
        <f t="shared" si="930"/>
        <v>19.5</v>
      </c>
      <c r="Q907" s="79">
        <f>VLOOKUP(VLOOKUP(DATEVALUE(TEXT(A907,"m/d/yyyy")),FY24_Temp[],5,FALSE)&amp;TEXT(A907,"-h"),TempDelta[],4,FALSE)</f>
        <v>0.71478571849209926</v>
      </c>
      <c r="R907">
        <v>10</v>
      </c>
      <c r="S907" s="112">
        <v>1500</v>
      </c>
      <c r="T907" s="5">
        <f>VLOOKUP(TEXT(A907,"yy-mm")&amp;"-"&amp;IF(AND(WEEKDAY(A907)&gt;1,WEEKDAY(A907)&lt;7),"Wkd",TEXT(A907,"Ddd"))&amp;"-"&amp;TEXT(A907,"hh"),LoadTable[],3,FALSE)*0.92</f>
        <v>786.27137399656624</v>
      </c>
      <c r="U907" s="113">
        <f t="shared" si="931"/>
        <v>78.627137399656618</v>
      </c>
      <c r="V907">
        <f t="shared" si="928"/>
        <v>3.5</v>
      </c>
      <c r="W907">
        <f t="shared" si="928"/>
        <v>3</v>
      </c>
      <c r="X907" s="9">
        <v>3.0392420000000002</v>
      </c>
      <c r="Y907" s="39"/>
    </row>
    <row r="908" spans="1:25" ht="15" thickBot="1">
      <c r="A908" s="29">
        <f t="shared" si="918"/>
        <v>45873.708333333117</v>
      </c>
      <c r="B908" s="30">
        <f t="shared" si="925"/>
        <v>8000</v>
      </c>
      <c r="C908" s="8">
        <v>25000</v>
      </c>
      <c r="D908" s="187">
        <v>0</v>
      </c>
      <c r="E908" s="187">
        <v>700</v>
      </c>
      <c r="F908" s="187">
        <v>15000</v>
      </c>
      <c r="G908" s="30">
        <f t="shared" si="926"/>
        <v>2400</v>
      </c>
      <c r="H908" s="8">
        <v>25000</v>
      </c>
      <c r="I908" s="30">
        <f t="shared" ref="I908:I971" si="932">I884</f>
        <v>8000</v>
      </c>
      <c r="J908" s="187">
        <v>40000</v>
      </c>
      <c r="K908" s="30">
        <f t="shared" si="927"/>
        <v>8000</v>
      </c>
      <c r="L908" s="187">
        <v>40000</v>
      </c>
      <c r="M908" s="110">
        <v>9.5</v>
      </c>
      <c r="N908" s="9">
        <f>VLOOKUP(DATE(YEAR(A908),MONTH(A908),DAY(A908)),FY24_Temp[],3,FALSE)</f>
        <v>13.7</v>
      </c>
      <c r="O908" s="110">
        <f t="shared" si="929"/>
        <v>11.5</v>
      </c>
      <c r="P908" s="110">
        <f t="shared" si="930"/>
        <v>19.5</v>
      </c>
      <c r="Q908" s="79">
        <f>VLOOKUP(VLOOKUP(DATEVALUE(TEXT(A908,"m/d/yyyy")),FY24_Temp[],5,FALSE)&amp;TEXT(A908,"-h"),TempDelta[],4,FALSE)</f>
        <v>0.73571428656578064</v>
      </c>
      <c r="R908">
        <v>10</v>
      </c>
      <c r="S908" s="112">
        <v>1500</v>
      </c>
      <c r="T908" s="5">
        <f>VLOOKUP(TEXT(A908,"yy-mm")&amp;"-"&amp;IF(AND(WEEKDAY(A908)&gt;1,WEEKDAY(A908)&lt;7),"Wkd",TEXT(A908,"Ddd"))&amp;"-"&amp;TEXT(A908,"hh"),LoadTable[],3,FALSE)*0.92</f>
        <v>786.27137399656624</v>
      </c>
      <c r="U908" s="113">
        <f t="shared" si="931"/>
        <v>78.627137399656618</v>
      </c>
      <c r="V908">
        <f t="shared" si="928"/>
        <v>3.6</v>
      </c>
      <c r="W908">
        <f t="shared" si="928"/>
        <v>3</v>
      </c>
      <c r="X908" s="9">
        <v>2.9573767000000002</v>
      </c>
      <c r="Y908" s="39"/>
    </row>
    <row r="909" spans="1:25" ht="15" thickBot="1">
      <c r="A909" s="29">
        <f t="shared" si="918"/>
        <v>45873.749999999782</v>
      </c>
      <c r="B909" s="30">
        <f t="shared" si="925"/>
        <v>5000</v>
      </c>
      <c r="C909" s="8">
        <v>25000</v>
      </c>
      <c r="D909" s="187">
        <v>0</v>
      </c>
      <c r="E909" s="187">
        <v>700</v>
      </c>
      <c r="F909" s="187">
        <v>15000</v>
      </c>
      <c r="G909" s="30">
        <f t="shared" si="926"/>
        <v>2400</v>
      </c>
      <c r="H909" s="8">
        <v>25000</v>
      </c>
      <c r="I909" s="30">
        <f t="shared" si="932"/>
        <v>5000</v>
      </c>
      <c r="J909" s="187">
        <v>40000</v>
      </c>
      <c r="K909" s="30">
        <f t="shared" si="927"/>
        <v>5000</v>
      </c>
      <c r="L909" s="187">
        <v>40000</v>
      </c>
      <c r="M909" s="110">
        <v>9.5</v>
      </c>
      <c r="N909" s="9">
        <f>VLOOKUP(DATE(YEAR(A909),MONTH(A909),DAY(A909)),FY24_Temp[],3,FALSE)</f>
        <v>13.7</v>
      </c>
      <c r="O909" s="110">
        <f t="shared" si="929"/>
        <v>11.5</v>
      </c>
      <c r="P909" s="110">
        <f t="shared" si="930"/>
        <v>19.5</v>
      </c>
      <c r="Q909" s="79">
        <f>VLOOKUP(VLOOKUP(DATEVALUE(TEXT(A909,"m/d/yyyy")),FY24_Temp[],5,FALSE)&amp;TEXT(A909,"-h"),TempDelta[],4,FALSE)</f>
        <v>0.95992857217788696</v>
      </c>
      <c r="R909">
        <v>10</v>
      </c>
      <c r="S909" s="112">
        <v>1500</v>
      </c>
      <c r="T909" s="5">
        <f>VLOOKUP(TEXT(A909,"yy-mm")&amp;"-"&amp;IF(AND(WEEKDAY(A909)&gt;1,WEEKDAY(A909)&lt;7),"Wkd",TEXT(A909,"Ddd"))&amp;"-"&amp;TEXT(A909,"hh"),LoadTable[],3,FALSE)*0.92</f>
        <v>786.27137399656647</v>
      </c>
      <c r="U909" s="113">
        <f t="shared" si="931"/>
        <v>78.627137399656647</v>
      </c>
      <c r="V909">
        <f t="shared" si="928"/>
        <v>2.9</v>
      </c>
      <c r="W909">
        <f t="shared" si="928"/>
        <v>3</v>
      </c>
      <c r="X909" s="9">
        <v>2.9339179999999998</v>
      </c>
      <c r="Y909" s="39"/>
    </row>
    <row r="910" spans="1:25" ht="15" thickBot="1">
      <c r="A910" s="29">
        <f t="shared" si="918"/>
        <v>45873.791666666446</v>
      </c>
      <c r="B910" s="30">
        <f t="shared" si="925"/>
        <v>5000</v>
      </c>
      <c r="C910" s="8">
        <v>25000</v>
      </c>
      <c r="D910" s="187">
        <v>0</v>
      </c>
      <c r="E910" s="187">
        <v>700</v>
      </c>
      <c r="F910" s="187">
        <v>15000</v>
      </c>
      <c r="G910" s="30">
        <f t="shared" si="926"/>
        <v>2400</v>
      </c>
      <c r="H910" s="8">
        <v>25000</v>
      </c>
      <c r="I910" s="30">
        <f t="shared" si="932"/>
        <v>5000</v>
      </c>
      <c r="J910" s="187">
        <v>40000</v>
      </c>
      <c r="K910" s="30">
        <f t="shared" si="927"/>
        <v>5000</v>
      </c>
      <c r="L910" s="187">
        <v>40000</v>
      </c>
      <c r="M910" s="110">
        <v>9.5</v>
      </c>
      <c r="N910" s="9">
        <f>VLOOKUP(DATE(YEAR(A910),MONTH(A910),DAY(A910)),FY24_Temp[],3,FALSE)</f>
        <v>13.7</v>
      </c>
      <c r="O910" s="110">
        <f t="shared" si="929"/>
        <v>11.5</v>
      </c>
      <c r="P910" s="110">
        <f t="shared" si="930"/>
        <v>19.5</v>
      </c>
      <c r="Q910" s="79">
        <f>VLOOKUP(VLOOKUP(DATEVALUE(TEXT(A910,"m/d/yyyy")),FY24_Temp[],5,FALSE)&amp;TEXT(A910,"-h"),TempDelta[],4,FALSE)</f>
        <v>1.2718571509633745</v>
      </c>
      <c r="R910">
        <v>10</v>
      </c>
      <c r="S910" s="112">
        <v>1500</v>
      </c>
      <c r="T910" s="5">
        <f>VLOOKUP(TEXT(A910,"yy-mm")&amp;"-"&amp;IF(AND(WEEKDAY(A910)&gt;1,WEEKDAY(A910)&lt;7),"Wkd",TEXT(A910,"Ddd"))&amp;"-"&amp;TEXT(A910,"hh"),LoadTable[],3,FALSE)*0.92</f>
        <v>786.27137399656647</v>
      </c>
      <c r="U910" s="113">
        <f t="shared" si="931"/>
        <v>78.627137399656647</v>
      </c>
      <c r="V910">
        <f t="shared" si="928"/>
        <v>3</v>
      </c>
      <c r="W910">
        <f t="shared" si="928"/>
        <v>3</v>
      </c>
      <c r="X910" s="9">
        <v>2.8894134</v>
      </c>
      <c r="Y910" s="39"/>
    </row>
    <row r="911" spans="1:25" ht="15" thickBot="1">
      <c r="A911" s="29">
        <f t="shared" si="918"/>
        <v>45873.83333333311</v>
      </c>
      <c r="B911" s="30">
        <f t="shared" si="925"/>
        <v>5000</v>
      </c>
      <c r="C911" s="8">
        <v>25000</v>
      </c>
      <c r="D911" s="187">
        <v>0</v>
      </c>
      <c r="E911" s="187">
        <v>700</v>
      </c>
      <c r="F911" s="187">
        <v>15000</v>
      </c>
      <c r="G911" s="30">
        <f t="shared" si="926"/>
        <v>2400</v>
      </c>
      <c r="H911" s="8">
        <v>25000</v>
      </c>
      <c r="I911" s="30">
        <f t="shared" si="932"/>
        <v>5000</v>
      </c>
      <c r="J911" s="187">
        <v>40000</v>
      </c>
      <c r="K911" s="30">
        <f t="shared" si="927"/>
        <v>5000</v>
      </c>
      <c r="L911" s="187">
        <v>40000</v>
      </c>
      <c r="M911" s="110">
        <v>9.5</v>
      </c>
      <c r="N911" s="9">
        <f>VLOOKUP(DATE(YEAR(A911),MONTH(A911),DAY(A911)),FY24_Temp[],3,FALSE)</f>
        <v>13.7</v>
      </c>
      <c r="O911" s="110">
        <f t="shared" si="929"/>
        <v>11.5</v>
      </c>
      <c r="P911" s="110">
        <f t="shared" si="930"/>
        <v>19.5</v>
      </c>
      <c r="Q911" s="79">
        <f>VLOOKUP(VLOOKUP(DATEVALUE(TEXT(A911,"m/d/yyyy")),FY24_Temp[],5,FALSE)&amp;TEXT(A911,"-h"),TempDelta[],4,FALSE)</f>
        <v>1.6933571355683463</v>
      </c>
      <c r="R911">
        <v>10</v>
      </c>
      <c r="S911" s="112">
        <v>1500</v>
      </c>
      <c r="T911" s="5">
        <f>VLOOKUP(TEXT(A911,"yy-mm")&amp;"-"&amp;IF(AND(WEEKDAY(A911)&gt;1,WEEKDAY(A911)&lt;7),"Wkd",TEXT(A911,"Ddd"))&amp;"-"&amp;TEXT(A911,"hh"),LoadTable[],3,FALSE)*0.92</f>
        <v>786.27137399656647</v>
      </c>
      <c r="U911" s="113">
        <f t="shared" si="931"/>
        <v>78.627137399656647</v>
      </c>
      <c r="V911">
        <f t="shared" si="928"/>
        <v>2.8</v>
      </c>
      <c r="W911">
        <f t="shared" si="928"/>
        <v>3.1</v>
      </c>
      <c r="X911" s="9">
        <v>2.8498321</v>
      </c>
      <c r="Y911" s="39"/>
    </row>
    <row r="912" spans="1:25" ht="15" thickBot="1">
      <c r="A912" s="29">
        <f t="shared" si="918"/>
        <v>45873.874999999774</v>
      </c>
      <c r="B912" s="30">
        <f t="shared" si="925"/>
        <v>5000</v>
      </c>
      <c r="C912" s="8">
        <v>25000</v>
      </c>
      <c r="D912" s="187">
        <v>0</v>
      </c>
      <c r="E912" s="187">
        <v>700</v>
      </c>
      <c r="F912" s="187">
        <v>15000</v>
      </c>
      <c r="G912" s="30">
        <f t="shared" si="926"/>
        <v>2400</v>
      </c>
      <c r="H912" s="8">
        <v>25000</v>
      </c>
      <c r="I912" s="30">
        <f t="shared" si="932"/>
        <v>5000</v>
      </c>
      <c r="J912" s="187">
        <v>40000</v>
      </c>
      <c r="K912" s="30">
        <f t="shared" si="927"/>
        <v>5000</v>
      </c>
      <c r="L912" s="187">
        <v>40000</v>
      </c>
      <c r="M912" s="110">
        <v>9.5</v>
      </c>
      <c r="N912" s="9">
        <f>VLOOKUP(DATE(YEAR(A912),MONTH(A912),DAY(A912)),FY24_Temp[],3,FALSE)</f>
        <v>13.7</v>
      </c>
      <c r="O912" s="110">
        <f t="shared" si="929"/>
        <v>11.5</v>
      </c>
      <c r="P912" s="110">
        <f t="shared" si="930"/>
        <v>19.5</v>
      </c>
      <c r="Q912" s="79">
        <f>VLOOKUP(VLOOKUP(DATEVALUE(TEXT(A912,"m/d/yyyy")),FY24_Temp[],5,FALSE)&amp;TEXT(A912,"-h"),TempDelta[],4,FALSE)</f>
        <v>2.0325714520045688</v>
      </c>
      <c r="R912">
        <v>10</v>
      </c>
      <c r="S912" s="112">
        <v>1500</v>
      </c>
      <c r="T912" s="5">
        <f>VLOOKUP(TEXT(A912,"yy-mm")&amp;"-"&amp;IF(AND(WEEKDAY(A912)&gt;1,WEEKDAY(A912)&lt;7),"Wkd",TEXT(A912,"Ddd"))&amp;"-"&amp;TEXT(A912,"hh"),LoadTable[],3,FALSE)*0.92</f>
        <v>784.39716226323299</v>
      </c>
      <c r="U912" s="113">
        <f t="shared" si="931"/>
        <v>78.439716226323299</v>
      </c>
      <c r="V912">
        <f t="shared" si="928"/>
        <v>3.5</v>
      </c>
      <c r="W912">
        <f t="shared" si="928"/>
        <v>3.1</v>
      </c>
      <c r="X912" s="9">
        <v>2.8110211000000001</v>
      </c>
      <c r="Y912" s="39"/>
    </row>
    <row r="913" spans="1:25" ht="15" thickBot="1">
      <c r="A913" s="29">
        <f t="shared" si="918"/>
        <v>45873.916666666439</v>
      </c>
      <c r="B913" s="30">
        <f t="shared" si="925"/>
        <v>5000</v>
      </c>
      <c r="C913" s="8">
        <v>25000</v>
      </c>
      <c r="D913" s="187">
        <v>0</v>
      </c>
      <c r="E913" s="187">
        <v>700</v>
      </c>
      <c r="F913" s="187">
        <v>15000</v>
      </c>
      <c r="G913" s="30">
        <f t="shared" si="926"/>
        <v>2400</v>
      </c>
      <c r="H913" s="8">
        <v>25000</v>
      </c>
      <c r="I913" s="30">
        <f t="shared" si="932"/>
        <v>5000</v>
      </c>
      <c r="J913" s="187">
        <v>40000</v>
      </c>
      <c r="K913" s="30">
        <f t="shared" si="927"/>
        <v>5000</v>
      </c>
      <c r="L913" s="187">
        <v>40000</v>
      </c>
      <c r="M913" s="110">
        <v>9.5</v>
      </c>
      <c r="N913" s="9">
        <f>VLOOKUP(DATE(YEAR(A913),MONTH(A913),DAY(A913)),FY24_Temp[],3,FALSE)</f>
        <v>13.7</v>
      </c>
      <c r="O913" s="110">
        <f t="shared" si="929"/>
        <v>11.5</v>
      </c>
      <c r="P913" s="110">
        <f t="shared" si="930"/>
        <v>19.5</v>
      </c>
      <c r="Q913" s="79">
        <f>VLOOKUP(VLOOKUP(DATEVALUE(TEXT(A913,"m/d/yyyy")),FY24_Temp[],5,FALSE)&amp;TEXT(A913,"-h"),TempDelta[],4,FALSE)</f>
        <v>2.3954285553523471</v>
      </c>
      <c r="R913">
        <v>10</v>
      </c>
      <c r="S913" s="112">
        <v>1500</v>
      </c>
      <c r="T913" s="5">
        <f>VLOOKUP(TEXT(A913,"yy-mm")&amp;"-"&amp;IF(AND(WEEKDAY(A913)&gt;1,WEEKDAY(A913)&lt;7),"Wkd",TEXT(A913,"Ddd"))&amp;"-"&amp;TEXT(A913,"hh"),LoadTable[],3,FALSE)*0.92</f>
        <v>600.06900003761973</v>
      </c>
      <c r="U913" s="113">
        <f t="shared" si="931"/>
        <v>60.00690000376197</v>
      </c>
      <c r="V913">
        <f t="shared" si="928"/>
        <v>2.9</v>
      </c>
      <c r="W913">
        <f t="shared" si="928"/>
        <v>3.1</v>
      </c>
      <c r="X913" s="9">
        <v>2.7649466999999999</v>
      </c>
      <c r="Y913" s="39"/>
    </row>
    <row r="914" spans="1:25" ht="15" thickBot="1">
      <c r="A914" s="29">
        <f t="shared" si="918"/>
        <v>45873.958333333103</v>
      </c>
      <c r="B914" s="30">
        <f t="shared" si="925"/>
        <v>5000</v>
      </c>
      <c r="C914" s="8">
        <v>25000</v>
      </c>
      <c r="D914" s="187">
        <v>0</v>
      </c>
      <c r="E914" s="187">
        <v>700</v>
      </c>
      <c r="F914" s="187">
        <v>15000</v>
      </c>
      <c r="G914" s="30">
        <f t="shared" si="926"/>
        <v>2400</v>
      </c>
      <c r="H914" s="8">
        <v>25000</v>
      </c>
      <c r="I914" s="30">
        <f t="shared" si="932"/>
        <v>5000</v>
      </c>
      <c r="J914" s="187">
        <v>40000</v>
      </c>
      <c r="K914" s="30">
        <f t="shared" si="927"/>
        <v>5000</v>
      </c>
      <c r="L914" s="187">
        <v>40000</v>
      </c>
      <c r="M914" s="110">
        <v>9.5</v>
      </c>
      <c r="N914" s="9">
        <f>VLOOKUP(DATE(YEAR(A914),MONTH(A914),DAY(A914)),FY24_Temp[],3,FALSE)</f>
        <v>13.7</v>
      </c>
      <c r="O914" s="110">
        <f t="shared" si="929"/>
        <v>11.5</v>
      </c>
      <c r="P914" s="110">
        <f t="shared" si="930"/>
        <v>19.5</v>
      </c>
      <c r="Q914" s="79">
        <f>VLOOKUP(VLOOKUP(DATEVALUE(TEXT(A914,"m/d/yyyy")),FY24_Temp[],5,FALSE)&amp;TEXT(A914,"-h"),TempDelta[],4,FALSE)</f>
        <v>2.5458571229662215</v>
      </c>
      <c r="R914">
        <v>10</v>
      </c>
      <c r="S914" s="112">
        <v>1500</v>
      </c>
      <c r="T914" s="5">
        <f>VLOOKUP(TEXT(A914,"yy-mm")&amp;"-"&amp;IF(AND(WEEKDAY(A914)&gt;1,WEEKDAY(A914)&lt;7),"Wkd",TEXT(A914,"Ddd"))&amp;"-"&amp;TEXT(A914,"hh"),LoadTable[],3,FALSE)*0.92</f>
        <v>486.44539999999989</v>
      </c>
      <c r="U914" s="113">
        <f t="shared" si="931"/>
        <v>48.644539999999992</v>
      </c>
      <c r="V914">
        <f t="shared" si="928"/>
        <v>3.6</v>
      </c>
      <c r="W914">
        <f t="shared" si="928"/>
        <v>3.1</v>
      </c>
      <c r="X914" s="9">
        <v>2.6774939999999998</v>
      </c>
      <c r="Y914" s="39"/>
    </row>
    <row r="915" spans="1:25" ht="15" thickBot="1">
      <c r="A915" s="29">
        <f t="shared" si="918"/>
        <v>45873.999999999767</v>
      </c>
      <c r="B915" s="30">
        <f t="shared" ref="B915:B971" si="933">B891</f>
        <v>5000</v>
      </c>
      <c r="C915" s="8">
        <v>25000</v>
      </c>
      <c r="D915" s="187">
        <v>0</v>
      </c>
      <c r="E915" s="187">
        <v>700</v>
      </c>
      <c r="F915" s="187">
        <v>15000</v>
      </c>
      <c r="G915" s="30">
        <f t="shared" ref="G915:G971" si="934">G891</f>
        <v>2400</v>
      </c>
      <c r="H915" s="8">
        <v>25000</v>
      </c>
      <c r="I915" s="30">
        <f t="shared" si="932"/>
        <v>5000</v>
      </c>
      <c r="J915" s="187">
        <v>40000</v>
      </c>
      <c r="K915" s="30">
        <f t="shared" ref="K915:K971" si="935">K891</f>
        <v>5000</v>
      </c>
      <c r="L915" s="187">
        <v>40000</v>
      </c>
      <c r="M915" s="110">
        <v>9.5</v>
      </c>
      <c r="N915" s="9">
        <f>VLOOKUP(DATE(YEAR(A915),MONTH(A915),DAY(A915)),FY24_Temp[],3,FALSE)</f>
        <v>13.7</v>
      </c>
      <c r="O915" s="110">
        <f t="shared" si="929"/>
        <v>11.5</v>
      </c>
      <c r="P915" s="110">
        <f t="shared" si="930"/>
        <v>19.5</v>
      </c>
      <c r="Q915" s="79">
        <f>VLOOKUP(VLOOKUP(DATEVALUE(TEXT(A915,"m/d/yyyy")),FY24_Temp[],5,FALSE)&amp;TEXT(A915,"-h"),TempDelta[],4,FALSE)</f>
        <v>2.6947143077850342</v>
      </c>
      <c r="R915">
        <v>10</v>
      </c>
      <c r="S915" s="112">
        <v>1500</v>
      </c>
      <c r="T915" s="5">
        <f>VLOOKUP(TEXT(A915,"yy-mm")&amp;"-"&amp;IF(AND(WEEKDAY(A915)&gt;1,WEEKDAY(A915)&lt;7),"Wkd",TEXT(A915,"Ddd"))&amp;"-"&amp;TEXT(A915,"hh"),LoadTable[],3,FALSE)*0.92</f>
        <v>372.20164</v>
      </c>
      <c r="U915" s="113">
        <f t="shared" si="931"/>
        <v>37.220163999999997</v>
      </c>
      <c r="V915">
        <f t="shared" ref="V915:W915" si="936">V891</f>
        <v>3</v>
      </c>
      <c r="W915">
        <f t="shared" si="936"/>
        <v>3.2</v>
      </c>
      <c r="X915" s="9">
        <v>2.6094290999999998</v>
      </c>
      <c r="Y915" s="39"/>
    </row>
    <row r="916" spans="1:25" ht="15" thickBot="1">
      <c r="A916" s="29">
        <f t="shared" si="918"/>
        <v>45874.041666666431</v>
      </c>
      <c r="B916" s="30">
        <f t="shared" si="933"/>
        <v>5000</v>
      </c>
      <c r="C916" s="8">
        <v>25000</v>
      </c>
      <c r="D916" s="187">
        <v>0</v>
      </c>
      <c r="E916" s="187">
        <v>700</v>
      </c>
      <c r="F916" s="187">
        <v>15000</v>
      </c>
      <c r="G916" s="30">
        <f t="shared" si="934"/>
        <v>2400</v>
      </c>
      <c r="H916" s="8">
        <v>25000</v>
      </c>
      <c r="I916" s="30">
        <f t="shared" si="932"/>
        <v>5000</v>
      </c>
      <c r="J916" s="187">
        <v>40000</v>
      </c>
      <c r="K916" s="30">
        <f t="shared" si="935"/>
        <v>5000</v>
      </c>
      <c r="L916" s="187">
        <v>40000</v>
      </c>
      <c r="M916" s="110">
        <v>9.5</v>
      </c>
      <c r="N916" s="9">
        <f>VLOOKUP(DATE(YEAR(A916),MONTH(A916),DAY(A916)),FY24_Temp[],3,FALSE)</f>
        <v>13.7</v>
      </c>
      <c r="O916" s="110">
        <f t="shared" si="929"/>
        <v>11.5</v>
      </c>
      <c r="P916" s="110">
        <f t="shared" si="930"/>
        <v>19.5</v>
      </c>
      <c r="Q916" s="79">
        <f>VLOOKUP(VLOOKUP(DATEVALUE(TEXT(A916,"m/d/yyyy")),FY24_Temp[],5,FALSE)&amp;TEXT(A916,"-h"),TempDelta[],4,FALSE)</f>
        <v>2.746142796107701</v>
      </c>
      <c r="R916">
        <v>10</v>
      </c>
      <c r="S916" s="112">
        <v>1500</v>
      </c>
      <c r="T916" s="5">
        <f>VLOOKUP(TEXT(A916,"yy-mm")&amp;"-"&amp;IF(AND(WEEKDAY(A916)&gt;1,WEEKDAY(A916)&lt;7),"Wkd",TEXT(A916,"Ddd"))&amp;"-"&amp;TEXT(A916,"hh"),LoadTable[],3,FALSE)*0.92</f>
        <v>363.06235999999996</v>
      </c>
      <c r="U916" s="113">
        <f t="shared" si="931"/>
        <v>36.306235999999998</v>
      </c>
      <c r="V916">
        <f t="shared" ref="V916:W916" si="937">V892</f>
        <v>2.6</v>
      </c>
      <c r="W916">
        <f t="shared" si="937"/>
        <v>3.2</v>
      </c>
      <c r="X916" s="9">
        <v>2.5623564999999999</v>
      </c>
      <c r="Y916" s="39"/>
    </row>
    <row r="917" spans="1:25" ht="15" thickBot="1">
      <c r="A917" s="29">
        <f t="shared" si="918"/>
        <v>45874.083333333096</v>
      </c>
      <c r="B917" s="30">
        <f t="shared" si="933"/>
        <v>5000</v>
      </c>
      <c r="C917" s="8">
        <v>25000</v>
      </c>
      <c r="D917" s="187">
        <v>0</v>
      </c>
      <c r="E917" s="187">
        <v>700</v>
      </c>
      <c r="F917" s="187">
        <v>15000</v>
      </c>
      <c r="G917" s="30">
        <f t="shared" si="934"/>
        <v>2400</v>
      </c>
      <c r="H917" s="8">
        <v>25000</v>
      </c>
      <c r="I917" s="30">
        <f t="shared" si="932"/>
        <v>5000</v>
      </c>
      <c r="J917" s="187">
        <v>40000</v>
      </c>
      <c r="K917" s="30">
        <f t="shared" si="935"/>
        <v>5000</v>
      </c>
      <c r="L917" s="187">
        <v>40000</v>
      </c>
      <c r="M917" s="110">
        <v>9.5</v>
      </c>
      <c r="N917" s="9">
        <f>VLOOKUP(DATE(YEAR(A917),MONTH(A917),DAY(A917)),FY24_Temp[],3,FALSE)</f>
        <v>13.7</v>
      </c>
      <c r="O917" s="110">
        <f t="shared" si="929"/>
        <v>11.5</v>
      </c>
      <c r="P917" s="110">
        <f t="shared" si="930"/>
        <v>19.5</v>
      </c>
      <c r="Q917" s="79">
        <f>VLOOKUP(VLOOKUP(DATEVALUE(TEXT(A917,"m/d/yyyy")),FY24_Temp[],5,FALSE)&amp;TEXT(A917,"-h"),TempDelta[],4,FALSE)</f>
        <v>2.7678571428571428</v>
      </c>
      <c r="R917">
        <v>10</v>
      </c>
      <c r="S917" s="112">
        <v>1500</v>
      </c>
      <c r="T917" s="5">
        <f>VLOOKUP(TEXT(A917,"yy-mm")&amp;"-"&amp;IF(AND(WEEKDAY(A917)&gt;1,WEEKDAY(A917)&lt;7),"Wkd",TEXT(A917,"Ddd"))&amp;"-"&amp;TEXT(A917,"hh"),LoadTable[],3,FALSE)*0.92</f>
        <v>363.06235999999996</v>
      </c>
      <c r="U917" s="113">
        <f t="shared" si="931"/>
        <v>36.306235999999998</v>
      </c>
      <c r="V917">
        <f t="shared" ref="V917:W917" si="938">V893</f>
        <v>2.8</v>
      </c>
      <c r="W917">
        <f t="shared" si="938"/>
        <v>3.2</v>
      </c>
      <c r="X917" s="9">
        <v>2.6493833000000002</v>
      </c>
      <c r="Y917" s="39"/>
    </row>
    <row r="918" spans="1:25" ht="15" thickBot="1">
      <c r="A918" s="29">
        <f t="shared" si="918"/>
        <v>45874.12499999976</v>
      </c>
      <c r="B918" s="30">
        <f t="shared" si="933"/>
        <v>5000</v>
      </c>
      <c r="C918" s="8">
        <v>25000</v>
      </c>
      <c r="D918" s="187">
        <v>0</v>
      </c>
      <c r="E918" s="187">
        <v>700</v>
      </c>
      <c r="F918" s="187">
        <v>15000</v>
      </c>
      <c r="G918" s="30">
        <f t="shared" si="934"/>
        <v>2400</v>
      </c>
      <c r="H918" s="8">
        <v>25000</v>
      </c>
      <c r="I918" s="30">
        <f t="shared" si="932"/>
        <v>5000</v>
      </c>
      <c r="J918" s="187">
        <v>40000</v>
      </c>
      <c r="K918" s="30">
        <f t="shared" si="935"/>
        <v>5000</v>
      </c>
      <c r="L918" s="187">
        <v>40000</v>
      </c>
      <c r="M918" s="110">
        <v>9.5</v>
      </c>
      <c r="N918" s="9">
        <f>VLOOKUP(DATE(YEAR(A918),MONTH(A918),DAY(A918)),FY24_Temp[],3,FALSE)</f>
        <v>13.7</v>
      </c>
      <c r="O918" s="110">
        <f t="shared" si="929"/>
        <v>11.5</v>
      </c>
      <c r="P918" s="110">
        <f t="shared" si="930"/>
        <v>19.5</v>
      </c>
      <c r="Q918" s="79">
        <f>VLOOKUP(VLOOKUP(DATEVALUE(TEXT(A918,"m/d/yyyy")),FY24_Temp[],5,FALSE)&amp;TEXT(A918,"-h"),TempDelta[],4,FALSE)</f>
        <v>2.7691428320748463</v>
      </c>
      <c r="R918">
        <v>10</v>
      </c>
      <c r="S918" s="112">
        <v>1500</v>
      </c>
      <c r="T918" s="5">
        <f>VLOOKUP(TEXT(A918,"yy-mm")&amp;"-"&amp;IF(AND(WEEKDAY(A918)&gt;1,WEEKDAY(A918)&lt;7),"Wkd",TEXT(A918,"Ddd"))&amp;"-"&amp;TEXT(A918,"hh"),LoadTable[],3,FALSE)*0.92</f>
        <v>363.06235999999996</v>
      </c>
      <c r="U918" s="113">
        <f t="shared" si="931"/>
        <v>36.306235999999998</v>
      </c>
      <c r="V918">
        <f t="shared" ref="V918:W918" si="939">V894</f>
        <v>2.7</v>
      </c>
      <c r="W918">
        <f t="shared" si="939"/>
        <v>3.2</v>
      </c>
      <c r="X918" s="9">
        <v>2.7149241000000002</v>
      </c>
      <c r="Y918" s="39"/>
    </row>
    <row r="919" spans="1:25" ht="15" thickBot="1">
      <c r="A919" s="29">
        <f t="shared" si="918"/>
        <v>45874.166666666424</v>
      </c>
      <c r="B919" s="30">
        <f t="shared" si="933"/>
        <v>5000</v>
      </c>
      <c r="C919" s="8">
        <v>25000</v>
      </c>
      <c r="D919" s="187">
        <v>0</v>
      </c>
      <c r="E919" s="187">
        <v>700</v>
      </c>
      <c r="F919" s="187">
        <v>15000</v>
      </c>
      <c r="G919" s="30">
        <f t="shared" si="934"/>
        <v>2400</v>
      </c>
      <c r="H919" s="8">
        <v>25000</v>
      </c>
      <c r="I919" s="30">
        <f t="shared" si="932"/>
        <v>5000</v>
      </c>
      <c r="J919" s="187">
        <v>40000</v>
      </c>
      <c r="K919" s="30">
        <f t="shared" si="935"/>
        <v>5000</v>
      </c>
      <c r="L919" s="187">
        <v>40000</v>
      </c>
      <c r="M919" s="110">
        <v>9.5</v>
      </c>
      <c r="N919" s="9">
        <f>VLOOKUP(DATE(YEAR(A919),MONTH(A919),DAY(A919)),FY24_Temp[],3,FALSE)</f>
        <v>13.7</v>
      </c>
      <c r="O919" s="110">
        <f t="shared" si="929"/>
        <v>11.5</v>
      </c>
      <c r="P919" s="110">
        <f t="shared" si="930"/>
        <v>19.5</v>
      </c>
      <c r="Q919" s="79">
        <f>VLOOKUP(VLOOKUP(DATEVALUE(TEXT(A919,"m/d/yyyy")),FY24_Temp[],5,FALSE)&amp;TEXT(A919,"-h"),TempDelta[],4,FALSE)</f>
        <v>2.7731428486960277</v>
      </c>
      <c r="R919">
        <v>10</v>
      </c>
      <c r="S919" s="112">
        <v>1500</v>
      </c>
      <c r="T919" s="5">
        <f>VLOOKUP(TEXT(A919,"yy-mm")&amp;"-"&amp;IF(AND(WEEKDAY(A919)&gt;1,WEEKDAY(A919)&lt;7),"Wkd",TEXT(A919,"Ddd"))&amp;"-"&amp;TEXT(A919,"hh"),LoadTable[],3,FALSE)*0.92</f>
        <v>363.06235999999996</v>
      </c>
      <c r="U919" s="113">
        <f t="shared" si="931"/>
        <v>36.306235999999998</v>
      </c>
      <c r="V919">
        <f t="shared" ref="V919:W919" si="940">V895</f>
        <v>3</v>
      </c>
      <c r="W919">
        <f t="shared" si="940"/>
        <v>3.1</v>
      </c>
      <c r="X919" s="9">
        <v>2.7563605</v>
      </c>
      <c r="Y919" s="39"/>
    </row>
    <row r="920" spans="1:25" ht="15" thickBot="1">
      <c r="A920" s="29">
        <f t="shared" si="918"/>
        <v>45874.208333333088</v>
      </c>
      <c r="B920" s="30">
        <f t="shared" si="933"/>
        <v>5000</v>
      </c>
      <c r="C920" s="8">
        <v>25000</v>
      </c>
      <c r="D920" s="187">
        <v>0</v>
      </c>
      <c r="E920" s="187">
        <v>700</v>
      </c>
      <c r="F920" s="187">
        <v>15000</v>
      </c>
      <c r="G920" s="30">
        <f t="shared" si="934"/>
        <v>2400</v>
      </c>
      <c r="H920" s="8">
        <v>25000</v>
      </c>
      <c r="I920" s="30">
        <f t="shared" si="932"/>
        <v>5000</v>
      </c>
      <c r="J920" s="187">
        <v>40000</v>
      </c>
      <c r="K920" s="30">
        <f t="shared" si="935"/>
        <v>5000</v>
      </c>
      <c r="L920" s="187">
        <v>40000</v>
      </c>
      <c r="M920" s="110">
        <v>9.5</v>
      </c>
      <c r="N920" s="9">
        <f>VLOOKUP(DATE(YEAR(A920),MONTH(A920),DAY(A920)),FY24_Temp[],3,FALSE)</f>
        <v>13.7</v>
      </c>
      <c r="O920" s="110">
        <f t="shared" si="929"/>
        <v>11.5</v>
      </c>
      <c r="P920" s="110">
        <f t="shared" si="930"/>
        <v>19.5</v>
      </c>
      <c r="Q920" s="79">
        <f>VLOOKUP(VLOOKUP(DATEVALUE(TEXT(A920,"m/d/yyyy")),FY24_Temp[],5,FALSE)&amp;TEXT(A920,"-h"),TempDelta[],4,FALSE)</f>
        <v>2.8117143426622664</v>
      </c>
      <c r="R920">
        <v>10</v>
      </c>
      <c r="S920" s="112">
        <v>1500</v>
      </c>
      <c r="T920" s="5">
        <f>VLOOKUP(TEXT(A920,"yy-mm")&amp;"-"&amp;IF(AND(WEEKDAY(A920)&gt;1,WEEKDAY(A920)&lt;7),"Wkd",TEXT(A920,"Ddd"))&amp;"-"&amp;TEXT(A920,"hh"),LoadTable[],3,FALSE)*0.92</f>
        <v>363.06235999999996</v>
      </c>
      <c r="U920" s="113">
        <f t="shared" si="931"/>
        <v>36.306235999999998</v>
      </c>
      <c r="V920">
        <f t="shared" ref="V920:W920" si="941">V896</f>
        <v>2.9</v>
      </c>
      <c r="W920">
        <f t="shared" si="941"/>
        <v>3.1</v>
      </c>
      <c r="X920" s="9">
        <v>2.8510411000000002</v>
      </c>
      <c r="Y920" s="39"/>
    </row>
    <row r="921" spans="1:25" ht="15" thickBot="1">
      <c r="A921" s="29">
        <f t="shared" si="918"/>
        <v>45874.249999999753</v>
      </c>
      <c r="B921" s="30">
        <f t="shared" si="933"/>
        <v>8000</v>
      </c>
      <c r="C921" s="8">
        <v>25000</v>
      </c>
      <c r="D921" s="187">
        <v>0</v>
      </c>
      <c r="E921" s="187">
        <v>700</v>
      </c>
      <c r="F921" s="187">
        <v>15000</v>
      </c>
      <c r="G921" s="30">
        <f t="shared" si="934"/>
        <v>2400</v>
      </c>
      <c r="H921" s="8">
        <v>25000</v>
      </c>
      <c r="I921" s="30">
        <f t="shared" si="932"/>
        <v>8000</v>
      </c>
      <c r="J921" s="187">
        <v>40000</v>
      </c>
      <c r="K921" s="30">
        <f t="shared" si="935"/>
        <v>8000</v>
      </c>
      <c r="L921" s="187">
        <v>40000</v>
      </c>
      <c r="M921" s="110">
        <v>9.5</v>
      </c>
      <c r="N921" s="9">
        <f>VLOOKUP(DATE(YEAR(A921),MONTH(A921),DAY(A921)),FY24_Temp[],3,FALSE)</f>
        <v>13.7</v>
      </c>
      <c r="O921" s="110">
        <f t="shared" si="929"/>
        <v>11.5</v>
      </c>
      <c r="P921" s="110">
        <f t="shared" si="930"/>
        <v>19.5</v>
      </c>
      <c r="Q921" s="79">
        <f>VLOOKUP(VLOOKUP(DATEVALUE(TEXT(A921,"m/d/yyyy")),FY24_Temp[],5,FALSE)&amp;TEXT(A921,"-h"),TempDelta[],4,FALSE)</f>
        <v>2.8184285845075334</v>
      </c>
      <c r="R921">
        <v>10</v>
      </c>
      <c r="S921" s="112">
        <v>1500</v>
      </c>
      <c r="T921" s="5">
        <f>VLOOKUP(TEXT(A921,"yy-mm")&amp;"-"&amp;IF(AND(WEEKDAY(A921)&gt;1,WEEKDAY(A921)&lt;7),"Wkd",TEXT(A921,"Ddd"))&amp;"-"&amp;TEXT(A921,"hh"),LoadTable[],3,FALSE)*0.92</f>
        <v>363.06235999999996</v>
      </c>
      <c r="U921" s="113">
        <f t="shared" si="931"/>
        <v>36.306235999999998</v>
      </c>
      <c r="V921">
        <f t="shared" ref="V921:W921" si="942">V897</f>
        <v>2.5</v>
      </c>
      <c r="W921">
        <f t="shared" si="942"/>
        <v>3.1</v>
      </c>
      <c r="X921" s="9">
        <v>2.9912312000000001</v>
      </c>
      <c r="Y921" s="39"/>
    </row>
    <row r="922" spans="1:25" ht="15" thickBot="1">
      <c r="A922" s="29">
        <f t="shared" si="918"/>
        <v>45874.291666666417</v>
      </c>
      <c r="B922" s="30">
        <f t="shared" si="933"/>
        <v>8000</v>
      </c>
      <c r="C922" s="8">
        <v>25000</v>
      </c>
      <c r="D922" s="187">
        <v>0</v>
      </c>
      <c r="E922" s="187">
        <v>700</v>
      </c>
      <c r="F922" s="187">
        <v>15000</v>
      </c>
      <c r="G922" s="30">
        <f t="shared" si="934"/>
        <v>2400</v>
      </c>
      <c r="H922" s="8">
        <v>25000</v>
      </c>
      <c r="I922" s="30">
        <f t="shared" si="932"/>
        <v>8000</v>
      </c>
      <c r="J922" s="187">
        <v>40000</v>
      </c>
      <c r="K922" s="30">
        <f t="shared" si="935"/>
        <v>8000</v>
      </c>
      <c r="L922" s="187">
        <v>40000</v>
      </c>
      <c r="M922" s="110">
        <v>9.5</v>
      </c>
      <c r="N922" s="9">
        <f>VLOOKUP(DATE(YEAR(A922),MONTH(A922),DAY(A922)),FY24_Temp[],3,FALSE)</f>
        <v>13.7</v>
      </c>
      <c r="O922" s="110">
        <f t="shared" si="929"/>
        <v>11.5</v>
      </c>
      <c r="P922" s="110">
        <f t="shared" si="930"/>
        <v>19.5</v>
      </c>
      <c r="Q922" s="79">
        <f>VLOOKUP(VLOOKUP(DATEVALUE(TEXT(A922,"m/d/yyyy")),FY24_Temp[],5,FALSE)&amp;TEXT(A922,"-h"),TempDelta[],4,FALSE)</f>
        <v>2.7782857418060303</v>
      </c>
      <c r="R922">
        <v>10</v>
      </c>
      <c r="S922" s="112">
        <v>1500</v>
      </c>
      <c r="T922" s="5">
        <f>VLOOKUP(TEXT(A922,"yy-mm")&amp;"-"&amp;IF(AND(WEEKDAY(A922)&gt;1,WEEKDAY(A922)&lt;7),"Wkd",TEXT(A922,"Ddd"))&amp;"-"&amp;TEXT(A922,"hh"),LoadTable[],3,FALSE)*0.92</f>
        <v>352.2091200000001</v>
      </c>
      <c r="U922" s="113">
        <f t="shared" si="931"/>
        <v>35.220912000000013</v>
      </c>
      <c r="V922">
        <f t="shared" ref="V922:W922" si="943">V898</f>
        <v>2.5</v>
      </c>
      <c r="W922">
        <f t="shared" si="943"/>
        <v>3.1</v>
      </c>
      <c r="X922" s="9">
        <v>3.1457856</v>
      </c>
      <c r="Y922" s="39"/>
    </row>
    <row r="923" spans="1:25" ht="15" thickBot="1">
      <c r="A923" s="29">
        <f t="shared" si="918"/>
        <v>45874.333333333081</v>
      </c>
      <c r="B923" s="30">
        <f t="shared" si="933"/>
        <v>8000</v>
      </c>
      <c r="C923" s="8">
        <v>25000</v>
      </c>
      <c r="D923" s="187">
        <v>0</v>
      </c>
      <c r="E923" s="187">
        <v>700</v>
      </c>
      <c r="F923" s="187">
        <v>15000</v>
      </c>
      <c r="G923" s="30">
        <f t="shared" si="934"/>
        <v>2400</v>
      </c>
      <c r="H923" s="8">
        <v>25000</v>
      </c>
      <c r="I923" s="30">
        <f t="shared" si="932"/>
        <v>8000</v>
      </c>
      <c r="J923" s="187">
        <v>40000</v>
      </c>
      <c r="K923" s="30">
        <f t="shared" si="935"/>
        <v>8000</v>
      </c>
      <c r="L923" s="187">
        <v>40000</v>
      </c>
      <c r="M923" s="110">
        <v>9.5</v>
      </c>
      <c r="N923" s="9">
        <f>VLOOKUP(DATE(YEAR(A923),MONTH(A923),DAY(A923)),FY24_Temp[],3,FALSE)</f>
        <v>13.7</v>
      </c>
      <c r="O923" s="110">
        <f t="shared" si="929"/>
        <v>11.5</v>
      </c>
      <c r="P923" s="110">
        <f t="shared" si="930"/>
        <v>19.5</v>
      </c>
      <c r="Q923" s="79">
        <f>VLOOKUP(VLOOKUP(DATEVALUE(TEXT(A923,"m/d/yyyy")),FY24_Temp[],5,FALSE)&amp;TEXT(A923,"-h"),TempDelta[],4,FALSE)</f>
        <v>2.6682857104710171</v>
      </c>
      <c r="R923">
        <v>10</v>
      </c>
      <c r="S923" s="112">
        <v>1500</v>
      </c>
      <c r="T923" s="5">
        <f>VLOOKUP(TEXT(A923,"yy-mm")&amp;"-"&amp;IF(AND(WEEKDAY(A923)&gt;1,WEEKDAY(A923)&lt;7),"Wkd",TEXT(A923,"Ddd"))&amp;"-"&amp;TEXT(A923,"hh"),LoadTable[],3,FALSE)*0.92</f>
        <v>352.2091200000001</v>
      </c>
      <c r="U923" s="113">
        <f t="shared" si="931"/>
        <v>35.220912000000013</v>
      </c>
      <c r="V923">
        <f t="shared" ref="V923:W923" si="944">V899</f>
        <v>3.2</v>
      </c>
      <c r="W923">
        <f t="shared" si="944"/>
        <v>3</v>
      </c>
      <c r="X923" s="9">
        <v>3.2171774000000002</v>
      </c>
      <c r="Y923" s="39"/>
    </row>
    <row r="924" spans="1:25" ht="15" thickBot="1">
      <c r="A924" s="29">
        <f t="shared" si="918"/>
        <v>45874.374999999745</v>
      </c>
      <c r="B924" s="30">
        <f t="shared" si="933"/>
        <v>8000</v>
      </c>
      <c r="C924" s="8">
        <v>25000</v>
      </c>
      <c r="D924" s="187">
        <v>0</v>
      </c>
      <c r="E924" s="187">
        <v>700</v>
      </c>
      <c r="F924" s="187">
        <v>15000</v>
      </c>
      <c r="G924" s="30">
        <f t="shared" si="934"/>
        <v>2400</v>
      </c>
      <c r="H924" s="8">
        <v>25000</v>
      </c>
      <c r="I924" s="30">
        <f t="shared" si="932"/>
        <v>8000</v>
      </c>
      <c r="J924" s="187">
        <v>40000</v>
      </c>
      <c r="K924" s="30">
        <f t="shared" si="935"/>
        <v>8000</v>
      </c>
      <c r="L924" s="187">
        <v>40000</v>
      </c>
      <c r="M924" s="110">
        <v>9.5</v>
      </c>
      <c r="N924" s="9">
        <f>VLOOKUP(DATE(YEAR(A924),MONTH(A924),DAY(A924)),FY24_Temp[],3,FALSE)</f>
        <v>13.7</v>
      </c>
      <c r="O924" s="110">
        <f t="shared" si="929"/>
        <v>11.5</v>
      </c>
      <c r="P924" s="110">
        <f t="shared" si="930"/>
        <v>19.5</v>
      </c>
      <c r="Q924" s="79">
        <f>VLOOKUP(VLOOKUP(DATEVALUE(TEXT(A924,"m/d/yyyy")),FY24_Temp[],5,FALSE)&amp;TEXT(A924,"-h"),TempDelta[],4,FALSE)</f>
        <v>2.4805714062282016</v>
      </c>
      <c r="R924">
        <v>10</v>
      </c>
      <c r="S924" s="112">
        <v>1500</v>
      </c>
      <c r="T924" s="5">
        <f>VLOOKUP(TEXT(A924,"yy-mm")&amp;"-"&amp;IF(AND(WEEKDAY(A924)&gt;1,WEEKDAY(A924)&lt;7),"Wkd",TEXT(A924,"Ddd"))&amp;"-"&amp;TEXT(A924,"hh"),LoadTable[],3,FALSE)*0.92</f>
        <v>340.60949077857163</v>
      </c>
      <c r="U924" s="113">
        <f t="shared" si="931"/>
        <v>34.06094907785716</v>
      </c>
      <c r="V924">
        <f t="shared" ref="V924:W924" si="945">V900</f>
        <v>2.9</v>
      </c>
      <c r="W924">
        <f t="shared" si="945"/>
        <v>3</v>
      </c>
      <c r="X924" s="9">
        <v>3.2655444</v>
      </c>
      <c r="Y924" s="39"/>
    </row>
    <row r="925" spans="1:25" ht="15" thickBot="1">
      <c r="A925" s="29">
        <f t="shared" si="918"/>
        <v>45874.41666666641</v>
      </c>
      <c r="B925" s="30">
        <f t="shared" si="933"/>
        <v>8000</v>
      </c>
      <c r="C925" s="8">
        <v>25000</v>
      </c>
      <c r="D925" s="187">
        <v>0</v>
      </c>
      <c r="E925" s="187">
        <v>700</v>
      </c>
      <c r="F925" s="187">
        <v>15000</v>
      </c>
      <c r="G925" s="30">
        <f t="shared" si="934"/>
        <v>2400</v>
      </c>
      <c r="H925" s="8">
        <v>25000</v>
      </c>
      <c r="I925" s="30">
        <f t="shared" si="932"/>
        <v>8000</v>
      </c>
      <c r="J925" s="187">
        <v>40000</v>
      </c>
      <c r="K925" s="30">
        <f t="shared" si="935"/>
        <v>8000</v>
      </c>
      <c r="L925" s="187">
        <v>40000</v>
      </c>
      <c r="M925" s="110">
        <v>9.5</v>
      </c>
      <c r="N925" s="9">
        <f>VLOOKUP(DATE(YEAR(A925),MONTH(A925),DAY(A925)),FY24_Temp[],3,FALSE)</f>
        <v>13.7</v>
      </c>
      <c r="O925" s="110">
        <f t="shared" si="929"/>
        <v>11.5</v>
      </c>
      <c r="P925" s="110">
        <f t="shared" si="930"/>
        <v>19.5</v>
      </c>
      <c r="Q925" s="79">
        <f>VLOOKUP(VLOOKUP(DATEVALUE(TEXT(A925,"m/d/yyyy")),FY24_Temp[],5,FALSE)&amp;TEXT(A925,"-h"),TempDelta[],4,FALSE)</f>
        <v>2.2650000027247836</v>
      </c>
      <c r="R925">
        <v>10</v>
      </c>
      <c r="S925" s="112">
        <v>1500</v>
      </c>
      <c r="T925" s="5">
        <f>VLOOKUP(TEXT(A925,"yy-mm")&amp;"-"&amp;IF(AND(WEEKDAY(A925)&gt;1,WEEKDAY(A925)&lt;7),"Wkd",TEXT(A925,"Ddd"))&amp;"-"&amp;TEXT(A925,"hh"),LoadTable[],3,FALSE)*0.92</f>
        <v>338.44093501457746</v>
      </c>
      <c r="U925" s="113">
        <f t="shared" si="931"/>
        <v>33.844093501457749</v>
      </c>
      <c r="V925">
        <f t="shared" ref="V925:W925" si="946">V901</f>
        <v>2.9</v>
      </c>
      <c r="W925">
        <f t="shared" si="946"/>
        <v>3</v>
      </c>
      <c r="X925" s="9">
        <v>3.3397256999999998</v>
      </c>
      <c r="Y925" s="39"/>
    </row>
    <row r="926" spans="1:25" ht="15" thickBot="1">
      <c r="A926" s="29">
        <f t="shared" si="918"/>
        <v>45874.458333333074</v>
      </c>
      <c r="B926" s="30">
        <f t="shared" si="933"/>
        <v>8000</v>
      </c>
      <c r="C926" s="8">
        <v>25000</v>
      </c>
      <c r="D926" s="187">
        <v>0</v>
      </c>
      <c r="E926" s="187">
        <v>700</v>
      </c>
      <c r="F926" s="187">
        <v>15000</v>
      </c>
      <c r="G926" s="30">
        <f t="shared" si="934"/>
        <v>2400</v>
      </c>
      <c r="H926" s="8">
        <v>25000</v>
      </c>
      <c r="I926" s="30">
        <f t="shared" si="932"/>
        <v>8000</v>
      </c>
      <c r="J926" s="187">
        <v>40000</v>
      </c>
      <c r="K926" s="30">
        <f t="shared" si="935"/>
        <v>8000</v>
      </c>
      <c r="L926" s="187">
        <v>40000</v>
      </c>
      <c r="M926" s="110">
        <v>9.5</v>
      </c>
      <c r="N926" s="9">
        <f>VLOOKUP(DATE(YEAR(A926),MONTH(A926),DAY(A926)),FY24_Temp[],3,FALSE)</f>
        <v>13.7</v>
      </c>
      <c r="O926" s="110">
        <f t="shared" si="929"/>
        <v>11.5</v>
      </c>
      <c r="P926" s="110">
        <f t="shared" si="930"/>
        <v>19.5</v>
      </c>
      <c r="Q926" s="79">
        <f>VLOOKUP(VLOOKUP(DATEVALUE(TEXT(A926,"m/d/yyyy")),FY24_Temp[],5,FALSE)&amp;TEXT(A926,"-h"),TempDelta[],4,FALSE)</f>
        <v>2.0114285605294362</v>
      </c>
      <c r="R926">
        <v>10</v>
      </c>
      <c r="S926" s="112">
        <v>1500</v>
      </c>
      <c r="T926" s="5">
        <f>VLOOKUP(TEXT(A926,"yy-mm")&amp;"-"&amp;IF(AND(WEEKDAY(A926)&gt;1,WEEKDAY(A926)&lt;7),"Wkd",TEXT(A926,"Ddd"))&amp;"-"&amp;TEXT(A926,"hh"),LoadTable[],3,FALSE)*0.92</f>
        <v>338.44093501457746</v>
      </c>
      <c r="U926" s="113">
        <f t="shared" si="931"/>
        <v>33.844093501457749</v>
      </c>
      <c r="V926">
        <f t="shared" ref="V926:W926" si="947">V902</f>
        <v>3.4</v>
      </c>
      <c r="W926">
        <f t="shared" si="947"/>
        <v>3</v>
      </c>
      <c r="X926" s="9">
        <v>3.2940686000000001</v>
      </c>
      <c r="Y926" s="39"/>
    </row>
    <row r="927" spans="1:25" ht="15" thickBot="1">
      <c r="A927" s="29">
        <f t="shared" si="918"/>
        <v>45874.499999999738</v>
      </c>
      <c r="B927" s="30">
        <f t="shared" si="933"/>
        <v>8000</v>
      </c>
      <c r="C927" s="8">
        <v>25000</v>
      </c>
      <c r="D927" s="187">
        <v>0</v>
      </c>
      <c r="E927" s="187">
        <v>700</v>
      </c>
      <c r="F927" s="187">
        <v>15000</v>
      </c>
      <c r="G927" s="30">
        <f t="shared" si="934"/>
        <v>2400</v>
      </c>
      <c r="H927" s="8">
        <v>25000</v>
      </c>
      <c r="I927" s="30">
        <f t="shared" si="932"/>
        <v>8000</v>
      </c>
      <c r="J927" s="187">
        <v>40000</v>
      </c>
      <c r="K927" s="30">
        <f t="shared" si="935"/>
        <v>8000</v>
      </c>
      <c r="L927" s="187">
        <v>40000</v>
      </c>
      <c r="M927" s="110">
        <v>9.5</v>
      </c>
      <c r="N927" s="9">
        <f>VLOOKUP(DATE(YEAR(A927),MONTH(A927),DAY(A927)),FY24_Temp[],3,FALSE)</f>
        <v>13.7</v>
      </c>
      <c r="O927" s="110">
        <f t="shared" si="929"/>
        <v>11.5</v>
      </c>
      <c r="P927" s="110">
        <f t="shared" si="930"/>
        <v>19.5</v>
      </c>
      <c r="Q927" s="79">
        <f>VLOOKUP(VLOOKUP(DATEVALUE(TEXT(A927,"m/d/yyyy")),FY24_Temp[],5,FALSE)&amp;TEXT(A927,"-h"),TempDelta[],4,FALSE)</f>
        <v>1.7541428463799613</v>
      </c>
      <c r="R927">
        <v>10</v>
      </c>
      <c r="S927" s="112">
        <v>1500</v>
      </c>
      <c r="T927" s="5">
        <f>VLOOKUP(TEXT(A927,"yy-mm")&amp;"-"&amp;IF(AND(WEEKDAY(A927)&gt;1,WEEKDAY(A927)&lt;7),"Wkd",TEXT(A927,"Ddd"))&amp;"-"&amp;TEXT(A927,"hh"),LoadTable[],3,FALSE)*0.92</f>
        <v>338.44093501457746</v>
      </c>
      <c r="U927" s="113">
        <f t="shared" si="931"/>
        <v>33.844093501457749</v>
      </c>
      <c r="V927">
        <f t="shared" ref="V927:W927" si="948">V903</f>
        <v>3.1</v>
      </c>
      <c r="W927">
        <f t="shared" si="948"/>
        <v>2.9</v>
      </c>
      <c r="X927" s="9">
        <v>3.1533601</v>
      </c>
      <c r="Y927" s="39"/>
    </row>
    <row r="928" spans="1:25" ht="15" thickBot="1">
      <c r="A928" s="29">
        <f t="shared" si="918"/>
        <v>45874.541666666402</v>
      </c>
      <c r="B928" s="30">
        <f t="shared" si="933"/>
        <v>8000</v>
      </c>
      <c r="C928" s="8">
        <v>25000</v>
      </c>
      <c r="D928" s="187">
        <v>0</v>
      </c>
      <c r="E928" s="187">
        <v>700</v>
      </c>
      <c r="F928" s="187">
        <v>15000</v>
      </c>
      <c r="G928" s="30">
        <f t="shared" si="934"/>
        <v>2400</v>
      </c>
      <c r="H928" s="8">
        <v>25000</v>
      </c>
      <c r="I928" s="30">
        <f t="shared" si="932"/>
        <v>8000</v>
      </c>
      <c r="J928" s="187">
        <v>40000</v>
      </c>
      <c r="K928" s="30">
        <f t="shared" si="935"/>
        <v>8000</v>
      </c>
      <c r="L928" s="187">
        <v>40000</v>
      </c>
      <c r="M928" s="110">
        <v>9.5</v>
      </c>
      <c r="N928" s="9">
        <f>VLOOKUP(DATE(YEAR(A928),MONTH(A928),DAY(A928)),FY24_Temp[],3,FALSE)</f>
        <v>13.7</v>
      </c>
      <c r="O928" s="110">
        <f t="shared" si="929"/>
        <v>11.5</v>
      </c>
      <c r="P928" s="110">
        <f t="shared" si="930"/>
        <v>19.5</v>
      </c>
      <c r="Q928" s="79">
        <f>VLOOKUP(VLOOKUP(DATEVALUE(TEXT(A928,"m/d/yyyy")),FY24_Temp[],5,FALSE)&amp;TEXT(A928,"-h"),TempDelta[],4,FALSE)</f>
        <v>1.4955714430127824</v>
      </c>
      <c r="R928">
        <v>10</v>
      </c>
      <c r="S928" s="112">
        <v>1500</v>
      </c>
      <c r="T928" s="5">
        <f>VLOOKUP(TEXT(A928,"yy-mm")&amp;"-"&amp;IF(AND(WEEKDAY(A928)&gt;1,WEEKDAY(A928)&lt;7),"Wkd",TEXT(A928,"Ddd"))&amp;"-"&amp;TEXT(A928,"hh"),LoadTable[],3,FALSE)*0.92</f>
        <v>389.90980000000025</v>
      </c>
      <c r="U928" s="113">
        <f t="shared" si="931"/>
        <v>38.990980000000022</v>
      </c>
      <c r="V928">
        <f t="shared" ref="V928:W928" si="949">V904</f>
        <v>3.2</v>
      </c>
      <c r="W928">
        <f t="shared" si="949"/>
        <v>2.9</v>
      </c>
      <c r="X928" s="9">
        <v>2.9550394999999998</v>
      </c>
      <c r="Y928" s="39"/>
    </row>
    <row r="929" spans="1:25" ht="15" thickBot="1">
      <c r="A929" s="29">
        <f t="shared" si="918"/>
        <v>45874.583333333067</v>
      </c>
      <c r="B929" s="30">
        <f t="shared" si="933"/>
        <v>8000</v>
      </c>
      <c r="C929" s="8">
        <v>25000</v>
      </c>
      <c r="D929" s="187">
        <v>0</v>
      </c>
      <c r="E929" s="187">
        <v>700</v>
      </c>
      <c r="F929" s="187">
        <v>15000</v>
      </c>
      <c r="G929" s="30">
        <f t="shared" si="934"/>
        <v>2400</v>
      </c>
      <c r="H929" s="8">
        <v>25000</v>
      </c>
      <c r="I929" s="30">
        <f t="shared" si="932"/>
        <v>8000</v>
      </c>
      <c r="J929" s="187">
        <v>40000</v>
      </c>
      <c r="K929" s="30">
        <f t="shared" si="935"/>
        <v>8000</v>
      </c>
      <c r="L929" s="187">
        <v>40000</v>
      </c>
      <c r="M929" s="110">
        <v>9.5</v>
      </c>
      <c r="N929" s="9">
        <f>VLOOKUP(DATE(YEAR(A929),MONTH(A929),DAY(A929)),FY24_Temp[],3,FALSE)</f>
        <v>13.7</v>
      </c>
      <c r="O929" s="110">
        <f t="shared" si="929"/>
        <v>11.5</v>
      </c>
      <c r="P929" s="110">
        <f t="shared" si="930"/>
        <v>19.5</v>
      </c>
      <c r="Q929" s="79">
        <f>VLOOKUP(VLOOKUP(DATEVALUE(TEXT(A929,"m/d/yyyy")),FY24_Temp[],5,FALSE)&amp;TEXT(A929,"-h"),TempDelta[],4,FALSE)</f>
        <v>1.0822857235159193</v>
      </c>
      <c r="R929">
        <v>10</v>
      </c>
      <c r="S929" s="112">
        <v>1500</v>
      </c>
      <c r="T929" s="5">
        <f>VLOOKUP(TEXT(A929,"yy-mm")&amp;"-"&amp;IF(AND(WEEKDAY(A929)&gt;1,WEEKDAY(A929)&lt;7),"Wkd",TEXT(A929,"Ddd"))&amp;"-"&amp;TEXT(A929,"hh"),LoadTable[],3,FALSE)*0.92</f>
        <v>625.53652000000022</v>
      </c>
      <c r="U929" s="113">
        <f t="shared" si="931"/>
        <v>62.553652000000021</v>
      </c>
      <c r="V929">
        <f t="shared" ref="V929:W929" si="950">V905</f>
        <v>3.5</v>
      </c>
      <c r="W929">
        <f t="shared" si="950"/>
        <v>2.9</v>
      </c>
      <c r="X929" s="9">
        <v>2.8380632000000001</v>
      </c>
      <c r="Y929" s="39"/>
    </row>
    <row r="930" spans="1:25" ht="15" thickBot="1">
      <c r="A930" s="29">
        <f t="shared" si="918"/>
        <v>45874.624999999731</v>
      </c>
      <c r="B930" s="30">
        <f t="shared" si="933"/>
        <v>8000</v>
      </c>
      <c r="C930" s="8">
        <v>25000</v>
      </c>
      <c r="D930" s="187">
        <v>0</v>
      </c>
      <c r="E930" s="187">
        <v>700</v>
      </c>
      <c r="F930" s="187">
        <v>15000</v>
      </c>
      <c r="G930" s="30">
        <f t="shared" si="934"/>
        <v>2400</v>
      </c>
      <c r="H930" s="8">
        <v>25000</v>
      </c>
      <c r="I930" s="30">
        <f t="shared" si="932"/>
        <v>8000</v>
      </c>
      <c r="J930" s="187">
        <v>40000</v>
      </c>
      <c r="K930" s="30">
        <f t="shared" si="935"/>
        <v>8000</v>
      </c>
      <c r="L930" s="187">
        <v>40000</v>
      </c>
      <c r="M930" s="110">
        <v>9.5</v>
      </c>
      <c r="N930" s="9">
        <f>VLOOKUP(DATE(YEAR(A930),MONTH(A930),DAY(A930)),FY24_Temp[],3,FALSE)</f>
        <v>13.7</v>
      </c>
      <c r="O930" s="110">
        <f t="shared" si="929"/>
        <v>11.5</v>
      </c>
      <c r="P930" s="110">
        <f t="shared" si="930"/>
        <v>19.5</v>
      </c>
      <c r="Q930" s="79">
        <f>VLOOKUP(VLOOKUP(DATEVALUE(TEXT(A930,"m/d/yyyy")),FY24_Temp[],5,FALSE)&amp;TEXT(A930,"-h"),TempDelta[],4,FALSE)</f>
        <v>0.86314284375735695</v>
      </c>
      <c r="R930">
        <v>10</v>
      </c>
      <c r="S930" s="112">
        <v>1500</v>
      </c>
      <c r="T930" s="5">
        <f>VLOOKUP(TEXT(A930,"yy-mm")&amp;"-"&amp;IF(AND(WEEKDAY(A930)&gt;1,WEEKDAY(A930)&lt;7),"Wkd",TEXT(A930,"Ddd"))&amp;"-"&amp;TEXT(A930,"hh"),LoadTable[],3,FALSE)*0.92</f>
        <v>699.79524000000038</v>
      </c>
      <c r="U930" s="113">
        <f t="shared" si="931"/>
        <v>69.97952400000004</v>
      </c>
      <c r="V930">
        <f t="shared" ref="V930:W930" si="951">V906</f>
        <v>3.2</v>
      </c>
      <c r="W930">
        <f t="shared" si="951"/>
        <v>2.9</v>
      </c>
      <c r="X930" s="9">
        <v>2.9475136000000002</v>
      </c>
      <c r="Y930" s="39"/>
    </row>
    <row r="931" spans="1:25" ht="15" thickBot="1">
      <c r="A931" s="29">
        <f t="shared" si="918"/>
        <v>45874.666666666395</v>
      </c>
      <c r="B931" s="30">
        <f t="shared" si="933"/>
        <v>8000</v>
      </c>
      <c r="C931" s="8">
        <v>25000</v>
      </c>
      <c r="D931" s="187">
        <v>0</v>
      </c>
      <c r="E931" s="187">
        <v>700</v>
      </c>
      <c r="F931" s="187">
        <v>15000</v>
      </c>
      <c r="G931" s="30">
        <f t="shared" si="934"/>
        <v>2400</v>
      </c>
      <c r="H931" s="8">
        <v>25000</v>
      </c>
      <c r="I931" s="30">
        <f t="shared" si="932"/>
        <v>8000</v>
      </c>
      <c r="J931" s="187">
        <v>40000</v>
      </c>
      <c r="K931" s="30">
        <f t="shared" si="935"/>
        <v>8000</v>
      </c>
      <c r="L931" s="187">
        <v>40000</v>
      </c>
      <c r="M931" s="110">
        <v>9.5</v>
      </c>
      <c r="N931" s="9">
        <f>VLOOKUP(DATE(YEAR(A931),MONTH(A931),DAY(A931)),FY24_Temp[],3,FALSE)</f>
        <v>13.7</v>
      </c>
      <c r="O931" s="110">
        <f t="shared" si="929"/>
        <v>11.5</v>
      </c>
      <c r="P931" s="110">
        <f t="shared" si="930"/>
        <v>19.5</v>
      </c>
      <c r="Q931" s="79">
        <f>VLOOKUP(VLOOKUP(DATEVALUE(TEXT(A931,"m/d/yyyy")),FY24_Temp[],5,FALSE)&amp;TEXT(A931,"-h"),TempDelta[],4,FALSE)</f>
        <v>0.71478571849209926</v>
      </c>
      <c r="R931">
        <v>10</v>
      </c>
      <c r="S931" s="112">
        <v>1500</v>
      </c>
      <c r="T931" s="5">
        <f>VLOOKUP(TEXT(A931,"yy-mm")&amp;"-"&amp;IF(AND(WEEKDAY(A931)&gt;1,WEEKDAY(A931)&lt;7),"Wkd",TEXT(A931,"Ddd"))&amp;"-"&amp;TEXT(A931,"hh"),LoadTable[],3,FALSE)*0.92</f>
        <v>786.27137399656624</v>
      </c>
      <c r="U931" s="113">
        <f t="shared" si="931"/>
        <v>78.627137399656618</v>
      </c>
      <c r="V931">
        <f t="shared" ref="V931:W931" si="952">V907</f>
        <v>3.5</v>
      </c>
      <c r="W931">
        <f t="shared" si="952"/>
        <v>3</v>
      </c>
      <c r="X931" s="9">
        <v>3.1970005000000001</v>
      </c>
      <c r="Y931" s="39"/>
    </row>
    <row r="932" spans="1:25" ht="15" thickBot="1">
      <c r="A932" s="29">
        <f t="shared" si="918"/>
        <v>45874.708333333059</v>
      </c>
      <c r="B932" s="30">
        <f t="shared" si="933"/>
        <v>8000</v>
      </c>
      <c r="C932" s="8">
        <v>25000</v>
      </c>
      <c r="D932" s="187">
        <v>0</v>
      </c>
      <c r="E932" s="187">
        <v>700</v>
      </c>
      <c r="F932" s="187">
        <v>15000</v>
      </c>
      <c r="G932" s="30">
        <f t="shared" si="934"/>
        <v>2400</v>
      </c>
      <c r="H932" s="8">
        <v>25000</v>
      </c>
      <c r="I932" s="30">
        <f t="shared" si="932"/>
        <v>8000</v>
      </c>
      <c r="J932" s="187">
        <v>40000</v>
      </c>
      <c r="K932" s="30">
        <f t="shared" si="935"/>
        <v>8000</v>
      </c>
      <c r="L932" s="187">
        <v>40000</v>
      </c>
      <c r="M932" s="110">
        <v>9.5</v>
      </c>
      <c r="N932" s="9">
        <f>VLOOKUP(DATE(YEAR(A932),MONTH(A932),DAY(A932)),FY24_Temp[],3,FALSE)</f>
        <v>13.7</v>
      </c>
      <c r="O932" s="110">
        <f t="shared" si="929"/>
        <v>11.5</v>
      </c>
      <c r="P932" s="110">
        <f t="shared" si="930"/>
        <v>19.5</v>
      </c>
      <c r="Q932" s="79">
        <f>VLOOKUP(VLOOKUP(DATEVALUE(TEXT(A932,"m/d/yyyy")),FY24_Temp[],5,FALSE)&amp;TEXT(A932,"-h"),TempDelta[],4,FALSE)</f>
        <v>0.73571428656578064</v>
      </c>
      <c r="R932">
        <v>10</v>
      </c>
      <c r="S932" s="112">
        <v>1500</v>
      </c>
      <c r="T932" s="5">
        <f>VLOOKUP(TEXT(A932,"yy-mm")&amp;"-"&amp;IF(AND(WEEKDAY(A932)&gt;1,WEEKDAY(A932)&lt;7),"Wkd",TEXT(A932,"Ddd"))&amp;"-"&amp;TEXT(A932,"hh"),LoadTable[],3,FALSE)*0.92</f>
        <v>786.27137399656624</v>
      </c>
      <c r="U932" s="113">
        <f t="shared" si="931"/>
        <v>78.627137399656618</v>
      </c>
      <c r="V932">
        <f t="shared" ref="V932:W932" si="953">V908</f>
        <v>3.6</v>
      </c>
      <c r="W932">
        <f t="shared" si="953"/>
        <v>3</v>
      </c>
      <c r="X932" s="9">
        <v>3.0768627999999998</v>
      </c>
      <c r="Y932" s="39"/>
    </row>
    <row r="933" spans="1:25" ht="15" thickBot="1">
      <c r="A933" s="29">
        <f t="shared" si="918"/>
        <v>45874.749999999724</v>
      </c>
      <c r="B933" s="30">
        <f t="shared" si="933"/>
        <v>5000</v>
      </c>
      <c r="C933" s="8">
        <v>25000</v>
      </c>
      <c r="D933" s="187">
        <v>0</v>
      </c>
      <c r="E933" s="187">
        <v>700</v>
      </c>
      <c r="F933" s="187">
        <v>15000</v>
      </c>
      <c r="G933" s="30">
        <f t="shared" si="934"/>
        <v>2400</v>
      </c>
      <c r="H933" s="8">
        <v>25000</v>
      </c>
      <c r="I933" s="30">
        <f t="shared" si="932"/>
        <v>5000</v>
      </c>
      <c r="J933" s="187">
        <v>40000</v>
      </c>
      <c r="K933" s="30">
        <f t="shared" si="935"/>
        <v>5000</v>
      </c>
      <c r="L933" s="187">
        <v>40000</v>
      </c>
      <c r="M933" s="110">
        <v>9.5</v>
      </c>
      <c r="N933" s="9">
        <f>VLOOKUP(DATE(YEAR(A933),MONTH(A933),DAY(A933)),FY24_Temp[],3,FALSE)</f>
        <v>13.7</v>
      </c>
      <c r="O933" s="110">
        <f t="shared" si="929"/>
        <v>11.5</v>
      </c>
      <c r="P933" s="110">
        <f t="shared" si="930"/>
        <v>19.5</v>
      </c>
      <c r="Q933" s="79">
        <f>VLOOKUP(VLOOKUP(DATEVALUE(TEXT(A933,"m/d/yyyy")),FY24_Temp[],5,FALSE)&amp;TEXT(A933,"-h"),TempDelta[],4,FALSE)</f>
        <v>0.95992857217788696</v>
      </c>
      <c r="R933">
        <v>10</v>
      </c>
      <c r="S933" s="112">
        <v>1500</v>
      </c>
      <c r="T933" s="5">
        <f>VLOOKUP(TEXT(A933,"yy-mm")&amp;"-"&amp;IF(AND(WEEKDAY(A933)&gt;1,WEEKDAY(A933)&lt;7),"Wkd",TEXT(A933,"Ddd"))&amp;"-"&amp;TEXT(A933,"hh"),LoadTable[],3,FALSE)*0.92</f>
        <v>786.27137399656647</v>
      </c>
      <c r="U933" s="113">
        <f t="shared" si="931"/>
        <v>78.627137399656647</v>
      </c>
      <c r="V933">
        <f t="shared" ref="V933:W933" si="954">V909</f>
        <v>2.9</v>
      </c>
      <c r="W933">
        <f t="shared" si="954"/>
        <v>3</v>
      </c>
      <c r="X933" s="9">
        <v>3.0157039000000001</v>
      </c>
      <c r="Y933" s="39"/>
    </row>
    <row r="934" spans="1:25" ht="15" thickBot="1">
      <c r="A934" s="29">
        <f t="shared" si="918"/>
        <v>45874.791666666388</v>
      </c>
      <c r="B934" s="30">
        <f t="shared" si="933"/>
        <v>5000</v>
      </c>
      <c r="C934" s="8">
        <v>25000</v>
      </c>
      <c r="D934" s="187">
        <v>0</v>
      </c>
      <c r="E934" s="187">
        <v>700</v>
      </c>
      <c r="F934" s="187">
        <v>15000</v>
      </c>
      <c r="G934" s="30">
        <f t="shared" si="934"/>
        <v>2400</v>
      </c>
      <c r="H934" s="8">
        <v>25000</v>
      </c>
      <c r="I934" s="30">
        <f t="shared" si="932"/>
        <v>5000</v>
      </c>
      <c r="J934" s="187">
        <v>40000</v>
      </c>
      <c r="K934" s="30">
        <f t="shared" si="935"/>
        <v>5000</v>
      </c>
      <c r="L934" s="187">
        <v>40000</v>
      </c>
      <c r="M934" s="110">
        <v>9.5</v>
      </c>
      <c r="N934" s="9">
        <f>VLOOKUP(DATE(YEAR(A934),MONTH(A934),DAY(A934)),FY24_Temp[],3,FALSE)</f>
        <v>13.7</v>
      </c>
      <c r="O934" s="110">
        <f t="shared" si="929"/>
        <v>11.5</v>
      </c>
      <c r="P934" s="110">
        <f t="shared" si="930"/>
        <v>19.5</v>
      </c>
      <c r="Q934" s="79">
        <f>VLOOKUP(VLOOKUP(DATEVALUE(TEXT(A934,"m/d/yyyy")),FY24_Temp[],5,FALSE)&amp;TEXT(A934,"-h"),TempDelta[],4,FALSE)</f>
        <v>1.2718571509633745</v>
      </c>
      <c r="R934">
        <v>10</v>
      </c>
      <c r="S934" s="112">
        <v>1500</v>
      </c>
      <c r="T934" s="5">
        <f>VLOOKUP(TEXT(A934,"yy-mm")&amp;"-"&amp;IF(AND(WEEKDAY(A934)&gt;1,WEEKDAY(A934)&lt;7),"Wkd",TEXT(A934,"Ddd"))&amp;"-"&amp;TEXT(A934,"hh"),LoadTable[],3,FALSE)*0.92</f>
        <v>786.27137399656647</v>
      </c>
      <c r="U934" s="113">
        <f t="shared" si="931"/>
        <v>78.627137399656647</v>
      </c>
      <c r="V934">
        <f t="shared" ref="V934:W934" si="955">V910</f>
        <v>3</v>
      </c>
      <c r="W934">
        <f t="shared" si="955"/>
        <v>3</v>
      </c>
      <c r="X934" s="9">
        <v>3.037318</v>
      </c>
      <c r="Y934" s="39"/>
    </row>
    <row r="935" spans="1:25" ht="15" thickBot="1">
      <c r="A935" s="29">
        <f t="shared" si="918"/>
        <v>45874.833333333052</v>
      </c>
      <c r="B935" s="30">
        <f t="shared" si="933"/>
        <v>5000</v>
      </c>
      <c r="C935" s="8">
        <v>25000</v>
      </c>
      <c r="D935" s="187">
        <v>0</v>
      </c>
      <c r="E935" s="187">
        <v>700</v>
      </c>
      <c r="F935" s="187">
        <v>15000</v>
      </c>
      <c r="G935" s="30">
        <f t="shared" si="934"/>
        <v>2400</v>
      </c>
      <c r="H935" s="8">
        <v>25000</v>
      </c>
      <c r="I935" s="30">
        <f t="shared" si="932"/>
        <v>5000</v>
      </c>
      <c r="J935" s="187">
        <v>40000</v>
      </c>
      <c r="K935" s="30">
        <f t="shared" si="935"/>
        <v>5000</v>
      </c>
      <c r="L935" s="187">
        <v>40000</v>
      </c>
      <c r="M935" s="110">
        <v>9.5</v>
      </c>
      <c r="N935" s="9">
        <f>VLOOKUP(DATE(YEAR(A935),MONTH(A935),DAY(A935)),FY24_Temp[],3,FALSE)</f>
        <v>13.7</v>
      </c>
      <c r="O935" s="110">
        <f t="shared" si="929"/>
        <v>11.5</v>
      </c>
      <c r="P935" s="110">
        <f t="shared" si="930"/>
        <v>19.5</v>
      </c>
      <c r="Q935" s="79">
        <f>VLOOKUP(VLOOKUP(DATEVALUE(TEXT(A935,"m/d/yyyy")),FY24_Temp[],5,FALSE)&amp;TEXT(A935,"-h"),TempDelta[],4,FALSE)</f>
        <v>1.6933571355683463</v>
      </c>
      <c r="R935">
        <v>10</v>
      </c>
      <c r="S935" s="112">
        <v>1500</v>
      </c>
      <c r="T935" s="5">
        <f>VLOOKUP(TEXT(A935,"yy-mm")&amp;"-"&amp;IF(AND(WEEKDAY(A935)&gt;1,WEEKDAY(A935)&lt;7),"Wkd",TEXT(A935,"Ddd"))&amp;"-"&amp;TEXT(A935,"hh"),LoadTable[],3,FALSE)*0.92</f>
        <v>786.27137399656647</v>
      </c>
      <c r="U935" s="113">
        <f t="shared" si="931"/>
        <v>78.627137399656647</v>
      </c>
      <c r="V935">
        <f t="shared" ref="V935:W935" si="956">V911</f>
        <v>2.8</v>
      </c>
      <c r="W935">
        <f t="shared" si="956"/>
        <v>3.1</v>
      </c>
      <c r="X935" s="9">
        <v>3.0483321999999999</v>
      </c>
      <c r="Y935" s="39"/>
    </row>
    <row r="936" spans="1:25" ht="15" thickBot="1">
      <c r="A936" s="29">
        <f t="shared" si="918"/>
        <v>45874.874999999716</v>
      </c>
      <c r="B936" s="30">
        <f t="shared" si="933"/>
        <v>5000</v>
      </c>
      <c r="C936" s="8">
        <v>25000</v>
      </c>
      <c r="D936" s="187">
        <v>0</v>
      </c>
      <c r="E936" s="187">
        <v>700</v>
      </c>
      <c r="F936" s="187">
        <v>15000</v>
      </c>
      <c r="G936" s="30">
        <f t="shared" si="934"/>
        <v>2400</v>
      </c>
      <c r="H936" s="8">
        <v>25000</v>
      </c>
      <c r="I936" s="30">
        <f t="shared" si="932"/>
        <v>5000</v>
      </c>
      <c r="J936" s="187">
        <v>40000</v>
      </c>
      <c r="K936" s="30">
        <f t="shared" si="935"/>
        <v>5000</v>
      </c>
      <c r="L936" s="187">
        <v>40000</v>
      </c>
      <c r="M936" s="110">
        <v>9.5</v>
      </c>
      <c r="N936" s="9">
        <f>VLOOKUP(DATE(YEAR(A936),MONTH(A936),DAY(A936)),FY24_Temp[],3,FALSE)</f>
        <v>13.7</v>
      </c>
      <c r="O936" s="110">
        <f t="shared" si="929"/>
        <v>11.5</v>
      </c>
      <c r="P936" s="110">
        <f t="shared" si="930"/>
        <v>19.5</v>
      </c>
      <c r="Q936" s="79">
        <f>VLOOKUP(VLOOKUP(DATEVALUE(TEXT(A936,"m/d/yyyy")),FY24_Temp[],5,FALSE)&amp;TEXT(A936,"-h"),TempDelta[],4,FALSE)</f>
        <v>2.0325714520045688</v>
      </c>
      <c r="R936">
        <v>10</v>
      </c>
      <c r="S936" s="112">
        <v>1500</v>
      </c>
      <c r="T936" s="5">
        <f>VLOOKUP(TEXT(A936,"yy-mm")&amp;"-"&amp;IF(AND(WEEKDAY(A936)&gt;1,WEEKDAY(A936)&lt;7),"Wkd",TEXT(A936,"Ddd"))&amp;"-"&amp;TEXT(A936,"hh"),LoadTable[],3,FALSE)*0.92</f>
        <v>784.39716226323299</v>
      </c>
      <c r="U936" s="113">
        <f t="shared" si="931"/>
        <v>78.439716226323299</v>
      </c>
      <c r="V936">
        <f t="shared" ref="V936:W936" si="957">V912</f>
        <v>3.5</v>
      </c>
      <c r="W936">
        <f t="shared" si="957"/>
        <v>3.1</v>
      </c>
      <c r="X936" s="9">
        <v>3.0301254000000002</v>
      </c>
      <c r="Y936" s="39"/>
    </row>
    <row r="937" spans="1:25" ht="15" thickBot="1">
      <c r="A937" s="29">
        <f t="shared" si="918"/>
        <v>45874.91666666638</v>
      </c>
      <c r="B937" s="30">
        <f t="shared" si="933"/>
        <v>5000</v>
      </c>
      <c r="C937" s="8">
        <v>25000</v>
      </c>
      <c r="D937" s="187">
        <v>0</v>
      </c>
      <c r="E937" s="187">
        <v>700</v>
      </c>
      <c r="F937" s="187">
        <v>15000</v>
      </c>
      <c r="G937" s="30">
        <f t="shared" si="934"/>
        <v>2400</v>
      </c>
      <c r="H937" s="8">
        <v>25000</v>
      </c>
      <c r="I937" s="30">
        <f t="shared" si="932"/>
        <v>5000</v>
      </c>
      <c r="J937" s="187">
        <v>40000</v>
      </c>
      <c r="K937" s="30">
        <f t="shared" si="935"/>
        <v>5000</v>
      </c>
      <c r="L937" s="187">
        <v>40000</v>
      </c>
      <c r="M937" s="110">
        <v>9.5</v>
      </c>
      <c r="N937" s="9">
        <f>VLOOKUP(DATE(YEAR(A937),MONTH(A937),DAY(A937)),FY24_Temp[],3,FALSE)</f>
        <v>13.7</v>
      </c>
      <c r="O937" s="110">
        <f t="shared" si="929"/>
        <v>11.5</v>
      </c>
      <c r="P937" s="110">
        <f t="shared" si="930"/>
        <v>19.5</v>
      </c>
      <c r="Q937" s="79">
        <f>VLOOKUP(VLOOKUP(DATEVALUE(TEXT(A937,"m/d/yyyy")),FY24_Temp[],5,FALSE)&amp;TEXT(A937,"-h"),TempDelta[],4,FALSE)</f>
        <v>2.3954285553523471</v>
      </c>
      <c r="R937">
        <v>10</v>
      </c>
      <c r="S937" s="112">
        <v>1500</v>
      </c>
      <c r="T937" s="5">
        <f>VLOOKUP(TEXT(A937,"yy-mm")&amp;"-"&amp;IF(AND(WEEKDAY(A937)&gt;1,WEEKDAY(A937)&lt;7),"Wkd",TEXT(A937,"Ddd"))&amp;"-"&amp;TEXT(A937,"hh"),LoadTable[],3,FALSE)*0.92</f>
        <v>600.06900003761973</v>
      </c>
      <c r="U937" s="113">
        <f t="shared" si="931"/>
        <v>60.00690000376197</v>
      </c>
      <c r="V937">
        <f t="shared" ref="V937:W937" si="958">V913</f>
        <v>2.9</v>
      </c>
      <c r="W937">
        <f t="shared" si="958"/>
        <v>3.1</v>
      </c>
      <c r="X937" s="9">
        <v>2.9906788</v>
      </c>
      <c r="Y937" s="39"/>
    </row>
    <row r="938" spans="1:25" ht="15" thickBot="1">
      <c r="A938" s="29">
        <f t="shared" si="918"/>
        <v>45874.958333333045</v>
      </c>
      <c r="B938" s="30">
        <f t="shared" si="933"/>
        <v>5000</v>
      </c>
      <c r="C938" s="8">
        <v>25000</v>
      </c>
      <c r="D938" s="187">
        <v>0</v>
      </c>
      <c r="E938" s="187">
        <v>700</v>
      </c>
      <c r="F938" s="187">
        <v>15000</v>
      </c>
      <c r="G938" s="30">
        <f t="shared" si="934"/>
        <v>2400</v>
      </c>
      <c r="H938" s="8">
        <v>25000</v>
      </c>
      <c r="I938" s="30">
        <f t="shared" si="932"/>
        <v>5000</v>
      </c>
      <c r="J938" s="187">
        <v>40000</v>
      </c>
      <c r="K938" s="30">
        <f t="shared" si="935"/>
        <v>5000</v>
      </c>
      <c r="L938" s="187">
        <v>40000</v>
      </c>
      <c r="M938" s="110">
        <v>9.5</v>
      </c>
      <c r="N938" s="9">
        <f>VLOOKUP(DATE(YEAR(A938),MONTH(A938),DAY(A938)),FY24_Temp[],3,FALSE)</f>
        <v>13.7</v>
      </c>
      <c r="O938" s="110">
        <f t="shared" si="929"/>
        <v>11.5</v>
      </c>
      <c r="P938" s="110">
        <f t="shared" si="930"/>
        <v>19.5</v>
      </c>
      <c r="Q938" s="79">
        <f>VLOOKUP(VLOOKUP(DATEVALUE(TEXT(A938,"m/d/yyyy")),FY24_Temp[],5,FALSE)&amp;TEXT(A938,"-h"),TempDelta[],4,FALSE)</f>
        <v>2.5458571229662215</v>
      </c>
      <c r="R938">
        <v>10</v>
      </c>
      <c r="S938" s="112">
        <v>1500</v>
      </c>
      <c r="T938" s="5">
        <f>VLOOKUP(TEXT(A938,"yy-mm")&amp;"-"&amp;IF(AND(WEEKDAY(A938)&gt;1,WEEKDAY(A938)&lt;7),"Wkd",TEXT(A938,"Ddd"))&amp;"-"&amp;TEXT(A938,"hh"),LoadTable[],3,FALSE)*0.92</f>
        <v>486.44539999999989</v>
      </c>
      <c r="U938" s="113">
        <f t="shared" si="931"/>
        <v>48.644539999999992</v>
      </c>
      <c r="V938">
        <f t="shared" ref="V938:W938" si="959">V914</f>
        <v>3.6</v>
      </c>
      <c r="W938">
        <f t="shared" si="959"/>
        <v>3.1</v>
      </c>
      <c r="X938" s="9">
        <v>2.9216700000000002</v>
      </c>
      <c r="Y938" s="39"/>
    </row>
    <row r="939" spans="1:25" ht="15" thickBot="1">
      <c r="A939" s="29">
        <f t="shared" si="918"/>
        <v>45874.999999999709</v>
      </c>
      <c r="B939" s="30">
        <f t="shared" si="933"/>
        <v>5000</v>
      </c>
      <c r="C939" s="8">
        <v>25000</v>
      </c>
      <c r="D939" s="187">
        <v>0</v>
      </c>
      <c r="E939" s="187">
        <v>700</v>
      </c>
      <c r="F939" s="187">
        <v>15000</v>
      </c>
      <c r="G939" s="30">
        <f t="shared" si="934"/>
        <v>2400</v>
      </c>
      <c r="H939" s="8">
        <v>25000</v>
      </c>
      <c r="I939" s="30">
        <f t="shared" si="932"/>
        <v>5000</v>
      </c>
      <c r="J939" s="187">
        <v>40000</v>
      </c>
      <c r="K939" s="30">
        <f t="shared" si="935"/>
        <v>5000</v>
      </c>
      <c r="L939" s="187">
        <v>40000</v>
      </c>
      <c r="M939" s="110">
        <v>9.5</v>
      </c>
      <c r="N939" s="9">
        <f>VLOOKUP(DATE(YEAR(A939),MONTH(A939),DAY(A939)),FY24_Temp[],3,FALSE)</f>
        <v>13.7</v>
      </c>
      <c r="O939" s="110">
        <f t="shared" si="929"/>
        <v>11.5</v>
      </c>
      <c r="P939" s="110">
        <f t="shared" si="930"/>
        <v>19.5</v>
      </c>
      <c r="Q939" s="79">
        <f>VLOOKUP(VLOOKUP(DATEVALUE(TEXT(A939,"m/d/yyyy")),FY24_Temp[],5,FALSE)&amp;TEXT(A939,"-h"),TempDelta[],4,FALSE)</f>
        <v>2.6947143077850342</v>
      </c>
      <c r="R939">
        <v>10</v>
      </c>
      <c r="S939" s="112">
        <v>1500</v>
      </c>
      <c r="T939" s="5">
        <f>VLOOKUP(TEXT(A939,"yy-mm")&amp;"-"&amp;IF(AND(WEEKDAY(A939)&gt;1,WEEKDAY(A939)&lt;7),"Wkd",TEXT(A939,"Ddd"))&amp;"-"&amp;TEXT(A939,"hh"),LoadTable[],3,FALSE)*0.92</f>
        <v>372.20164</v>
      </c>
      <c r="U939" s="113">
        <f t="shared" si="931"/>
        <v>37.220163999999997</v>
      </c>
      <c r="V939">
        <f t="shared" ref="V939:W939" si="960">V915</f>
        <v>3</v>
      </c>
      <c r="W939">
        <f t="shared" si="960"/>
        <v>3.2</v>
      </c>
      <c r="X939" s="9">
        <v>2.8643165000000002</v>
      </c>
      <c r="Y939" s="39"/>
    </row>
    <row r="940" spans="1:25" ht="15" thickBot="1">
      <c r="A940" s="29">
        <f t="shared" si="918"/>
        <v>45875.041666666373</v>
      </c>
      <c r="B940" s="30">
        <f t="shared" si="933"/>
        <v>5000</v>
      </c>
      <c r="C940" s="8">
        <v>25000</v>
      </c>
      <c r="D940" s="187">
        <v>0</v>
      </c>
      <c r="E940" s="187">
        <v>700</v>
      </c>
      <c r="F940" s="187">
        <v>15000</v>
      </c>
      <c r="G940" s="30">
        <f t="shared" si="934"/>
        <v>2400</v>
      </c>
      <c r="H940" s="8">
        <v>25000</v>
      </c>
      <c r="I940" s="30">
        <f t="shared" si="932"/>
        <v>5000</v>
      </c>
      <c r="J940" s="187">
        <v>40000</v>
      </c>
      <c r="K940" s="30">
        <f t="shared" si="935"/>
        <v>5000</v>
      </c>
      <c r="L940" s="187">
        <v>40000</v>
      </c>
      <c r="M940" s="110">
        <v>9.5</v>
      </c>
      <c r="N940" s="9">
        <f>VLOOKUP(DATE(YEAR(A940),MONTH(A940),DAY(A940)),FY24_Temp[],3,FALSE)</f>
        <v>13.7</v>
      </c>
      <c r="O940" s="110">
        <f t="shared" si="929"/>
        <v>11.5</v>
      </c>
      <c r="P940" s="110">
        <f t="shared" si="930"/>
        <v>19.5</v>
      </c>
      <c r="Q940" s="79">
        <f>VLOOKUP(VLOOKUP(DATEVALUE(TEXT(A940,"m/d/yyyy")),FY24_Temp[],5,FALSE)&amp;TEXT(A940,"-h"),TempDelta[],4,FALSE)</f>
        <v>2.746142796107701</v>
      </c>
      <c r="R940">
        <v>10</v>
      </c>
      <c r="S940" s="112">
        <v>1500</v>
      </c>
      <c r="T940" s="5">
        <f>VLOOKUP(TEXT(A940,"yy-mm")&amp;"-"&amp;IF(AND(WEEKDAY(A940)&gt;1,WEEKDAY(A940)&lt;7),"Wkd",TEXT(A940,"Ddd"))&amp;"-"&amp;TEXT(A940,"hh"),LoadTable[],3,FALSE)*0.92</f>
        <v>363.06235999999996</v>
      </c>
      <c r="U940" s="113">
        <f t="shared" si="931"/>
        <v>36.306235999999998</v>
      </c>
      <c r="V940">
        <f t="shared" ref="V940:W940" si="961">V916</f>
        <v>2.6</v>
      </c>
      <c r="W940">
        <f t="shared" si="961"/>
        <v>3.2</v>
      </c>
      <c r="X940" s="9">
        <v>2.8924701000000002</v>
      </c>
      <c r="Y940" s="39"/>
    </row>
    <row r="941" spans="1:25" ht="15" thickBot="1">
      <c r="A941" s="29">
        <f t="shared" si="918"/>
        <v>45875.083333333037</v>
      </c>
      <c r="B941" s="30">
        <f t="shared" si="933"/>
        <v>5000</v>
      </c>
      <c r="C941" s="8">
        <v>25000</v>
      </c>
      <c r="D941" s="187">
        <v>0</v>
      </c>
      <c r="E941" s="187">
        <v>700</v>
      </c>
      <c r="F941" s="187">
        <v>15000</v>
      </c>
      <c r="G941" s="30">
        <f t="shared" si="934"/>
        <v>2400</v>
      </c>
      <c r="H941" s="8">
        <v>25000</v>
      </c>
      <c r="I941" s="30">
        <f t="shared" si="932"/>
        <v>5000</v>
      </c>
      <c r="J941" s="187">
        <v>40000</v>
      </c>
      <c r="K941" s="30">
        <f t="shared" si="935"/>
        <v>5000</v>
      </c>
      <c r="L941" s="187">
        <v>40000</v>
      </c>
      <c r="M941" s="110">
        <v>9.5</v>
      </c>
      <c r="N941" s="9">
        <f>VLOOKUP(DATE(YEAR(A941),MONTH(A941),DAY(A941)),FY24_Temp[],3,FALSE)</f>
        <v>13.7</v>
      </c>
      <c r="O941" s="110">
        <f t="shared" si="929"/>
        <v>11.5</v>
      </c>
      <c r="P941" s="110">
        <f t="shared" si="930"/>
        <v>19.5</v>
      </c>
      <c r="Q941" s="79">
        <f>VLOOKUP(VLOOKUP(DATEVALUE(TEXT(A941,"m/d/yyyy")),FY24_Temp[],5,FALSE)&amp;TEXT(A941,"-h"),TempDelta[],4,FALSE)</f>
        <v>2.7678571428571428</v>
      </c>
      <c r="R941">
        <v>10</v>
      </c>
      <c r="S941" s="112">
        <v>1500</v>
      </c>
      <c r="T941" s="5">
        <f>VLOOKUP(TEXT(A941,"yy-mm")&amp;"-"&amp;IF(AND(WEEKDAY(A941)&gt;1,WEEKDAY(A941)&lt;7),"Wkd",TEXT(A941,"Ddd"))&amp;"-"&amp;TEXT(A941,"hh"),LoadTable[],3,FALSE)*0.92</f>
        <v>363.06235999999996</v>
      </c>
      <c r="U941" s="113">
        <f t="shared" si="931"/>
        <v>36.306235999999998</v>
      </c>
      <c r="V941">
        <f t="shared" ref="V941:W941" si="962">V917</f>
        <v>2.8</v>
      </c>
      <c r="W941">
        <f t="shared" si="962"/>
        <v>3.2</v>
      </c>
      <c r="X941" s="9">
        <v>2.955308</v>
      </c>
      <c r="Y941" s="39"/>
    </row>
    <row r="942" spans="1:25" ht="15" thickBot="1">
      <c r="A942" s="29">
        <f t="shared" si="918"/>
        <v>45875.124999999702</v>
      </c>
      <c r="B942" s="30">
        <f t="shared" si="933"/>
        <v>5000</v>
      </c>
      <c r="C942" s="8">
        <v>25000</v>
      </c>
      <c r="D942" s="187">
        <v>0</v>
      </c>
      <c r="E942" s="187">
        <v>700</v>
      </c>
      <c r="F942" s="187">
        <v>15000</v>
      </c>
      <c r="G942" s="30">
        <f t="shared" si="934"/>
        <v>2400</v>
      </c>
      <c r="H942" s="8">
        <v>25000</v>
      </c>
      <c r="I942" s="30">
        <f t="shared" si="932"/>
        <v>5000</v>
      </c>
      <c r="J942" s="187">
        <v>40000</v>
      </c>
      <c r="K942" s="30">
        <f t="shared" si="935"/>
        <v>5000</v>
      </c>
      <c r="L942" s="187">
        <v>40000</v>
      </c>
      <c r="M942" s="110">
        <v>9.5</v>
      </c>
      <c r="N942" s="9">
        <f>VLOOKUP(DATE(YEAR(A942),MONTH(A942),DAY(A942)),FY24_Temp[],3,FALSE)</f>
        <v>13.7</v>
      </c>
      <c r="O942" s="110">
        <f t="shared" si="929"/>
        <v>11.5</v>
      </c>
      <c r="P942" s="110">
        <f t="shared" si="930"/>
        <v>19.5</v>
      </c>
      <c r="Q942" s="79">
        <f>VLOOKUP(VLOOKUP(DATEVALUE(TEXT(A942,"m/d/yyyy")),FY24_Temp[],5,FALSE)&amp;TEXT(A942,"-h"),TempDelta[],4,FALSE)</f>
        <v>2.7691428320748463</v>
      </c>
      <c r="R942">
        <v>10</v>
      </c>
      <c r="S942" s="112">
        <v>1500</v>
      </c>
      <c r="T942" s="5">
        <f>VLOOKUP(TEXT(A942,"yy-mm")&amp;"-"&amp;IF(AND(WEEKDAY(A942)&gt;1,WEEKDAY(A942)&lt;7),"Wkd",TEXT(A942,"Ddd"))&amp;"-"&amp;TEXT(A942,"hh"),LoadTable[],3,FALSE)*0.92</f>
        <v>363.06235999999996</v>
      </c>
      <c r="U942" s="113">
        <f t="shared" si="931"/>
        <v>36.306235999999998</v>
      </c>
      <c r="V942">
        <f t="shared" ref="V942:W942" si="963">V918</f>
        <v>2.7</v>
      </c>
      <c r="W942">
        <f t="shared" si="963"/>
        <v>3.2</v>
      </c>
      <c r="X942" s="9">
        <v>3.0358679</v>
      </c>
      <c r="Y942" s="39"/>
    </row>
    <row r="943" spans="1:25" ht="15" thickBot="1">
      <c r="A943" s="29">
        <f t="shared" si="918"/>
        <v>45875.166666666366</v>
      </c>
      <c r="B943" s="30">
        <f t="shared" si="933"/>
        <v>5000</v>
      </c>
      <c r="C943" s="8">
        <v>25000</v>
      </c>
      <c r="D943" s="187">
        <v>0</v>
      </c>
      <c r="E943" s="187">
        <v>700</v>
      </c>
      <c r="F943" s="187">
        <v>15000</v>
      </c>
      <c r="G943" s="30">
        <f t="shared" si="934"/>
        <v>2400</v>
      </c>
      <c r="H943" s="8">
        <v>25000</v>
      </c>
      <c r="I943" s="30">
        <f t="shared" si="932"/>
        <v>5000</v>
      </c>
      <c r="J943" s="187">
        <v>40000</v>
      </c>
      <c r="K943" s="30">
        <f t="shared" si="935"/>
        <v>5000</v>
      </c>
      <c r="L943" s="187">
        <v>40000</v>
      </c>
      <c r="M943" s="110">
        <v>9.5</v>
      </c>
      <c r="N943" s="9">
        <f>VLOOKUP(DATE(YEAR(A943),MONTH(A943),DAY(A943)),FY24_Temp[],3,FALSE)</f>
        <v>13.7</v>
      </c>
      <c r="O943" s="110">
        <f t="shared" si="929"/>
        <v>11.5</v>
      </c>
      <c r="P943" s="110">
        <f t="shared" si="930"/>
        <v>19.5</v>
      </c>
      <c r="Q943" s="79">
        <f>VLOOKUP(VLOOKUP(DATEVALUE(TEXT(A943,"m/d/yyyy")),FY24_Temp[],5,FALSE)&amp;TEXT(A943,"-h"),TempDelta[],4,FALSE)</f>
        <v>2.7731428486960277</v>
      </c>
      <c r="R943">
        <v>10</v>
      </c>
      <c r="S943" s="112">
        <v>1500</v>
      </c>
      <c r="T943" s="5">
        <f>VLOOKUP(TEXT(A943,"yy-mm")&amp;"-"&amp;IF(AND(WEEKDAY(A943)&gt;1,WEEKDAY(A943)&lt;7),"Wkd",TEXT(A943,"Ddd"))&amp;"-"&amp;TEXT(A943,"hh"),LoadTable[],3,FALSE)*0.92</f>
        <v>363.06235999999996</v>
      </c>
      <c r="U943" s="113">
        <f t="shared" si="931"/>
        <v>36.306235999999998</v>
      </c>
      <c r="V943">
        <f t="shared" ref="V943:W943" si="964">V919</f>
        <v>3</v>
      </c>
      <c r="W943">
        <f t="shared" si="964"/>
        <v>3.1</v>
      </c>
      <c r="X943" s="9">
        <v>3.0781846000000002</v>
      </c>
      <c r="Y943" s="39"/>
    </row>
    <row r="944" spans="1:25" ht="15" thickBot="1">
      <c r="A944" s="29">
        <f t="shared" si="918"/>
        <v>45875.20833333303</v>
      </c>
      <c r="B944" s="30">
        <f t="shared" si="933"/>
        <v>5000</v>
      </c>
      <c r="C944" s="8">
        <v>25000</v>
      </c>
      <c r="D944" s="187">
        <v>0</v>
      </c>
      <c r="E944" s="187">
        <v>700</v>
      </c>
      <c r="F944" s="187">
        <v>15000</v>
      </c>
      <c r="G944" s="30">
        <f t="shared" si="934"/>
        <v>2400</v>
      </c>
      <c r="H944" s="8">
        <v>25000</v>
      </c>
      <c r="I944" s="30">
        <f t="shared" si="932"/>
        <v>5000</v>
      </c>
      <c r="J944" s="187">
        <v>40000</v>
      </c>
      <c r="K944" s="30">
        <f t="shared" si="935"/>
        <v>5000</v>
      </c>
      <c r="L944" s="187">
        <v>40000</v>
      </c>
      <c r="M944" s="110">
        <v>9.5</v>
      </c>
      <c r="N944" s="9">
        <f>VLOOKUP(DATE(YEAR(A944),MONTH(A944),DAY(A944)),FY24_Temp[],3,FALSE)</f>
        <v>13.7</v>
      </c>
      <c r="O944" s="110">
        <f t="shared" si="929"/>
        <v>11.5</v>
      </c>
      <c r="P944" s="110">
        <f t="shared" si="930"/>
        <v>19.5</v>
      </c>
      <c r="Q944" s="79">
        <f>VLOOKUP(VLOOKUP(DATEVALUE(TEXT(A944,"m/d/yyyy")),FY24_Temp[],5,FALSE)&amp;TEXT(A944,"-h"),TempDelta[],4,FALSE)</f>
        <v>2.8117143426622664</v>
      </c>
      <c r="R944">
        <v>10</v>
      </c>
      <c r="S944" s="112">
        <v>1500</v>
      </c>
      <c r="T944" s="5">
        <f>VLOOKUP(TEXT(A944,"yy-mm")&amp;"-"&amp;IF(AND(WEEKDAY(A944)&gt;1,WEEKDAY(A944)&lt;7),"Wkd",TEXT(A944,"Ddd"))&amp;"-"&amp;TEXT(A944,"hh"),LoadTable[],3,FALSE)*0.92</f>
        <v>363.06235999999996</v>
      </c>
      <c r="U944" s="113">
        <f t="shared" si="931"/>
        <v>36.306235999999998</v>
      </c>
      <c r="V944">
        <f t="shared" ref="V944:W944" si="965">V920</f>
        <v>2.9</v>
      </c>
      <c r="W944">
        <f t="shared" si="965"/>
        <v>3.1</v>
      </c>
      <c r="X944" s="9">
        <v>3.1533878</v>
      </c>
      <c r="Y944" s="39"/>
    </row>
    <row r="945" spans="1:25" ht="15" thickBot="1">
      <c r="A945" s="29">
        <f t="shared" si="918"/>
        <v>45875.249999999694</v>
      </c>
      <c r="B945" s="30">
        <f t="shared" si="933"/>
        <v>8000</v>
      </c>
      <c r="C945" s="8">
        <v>25000</v>
      </c>
      <c r="D945" s="187">
        <v>0</v>
      </c>
      <c r="E945" s="187">
        <v>700</v>
      </c>
      <c r="F945" s="187">
        <v>15000</v>
      </c>
      <c r="G945" s="30">
        <f t="shared" si="934"/>
        <v>2400</v>
      </c>
      <c r="H945" s="8">
        <v>25000</v>
      </c>
      <c r="I945" s="30">
        <f t="shared" si="932"/>
        <v>8000</v>
      </c>
      <c r="J945" s="187">
        <v>40000</v>
      </c>
      <c r="K945" s="30">
        <f t="shared" si="935"/>
        <v>8000</v>
      </c>
      <c r="L945" s="187">
        <v>40000</v>
      </c>
      <c r="M945" s="110">
        <v>9.5</v>
      </c>
      <c r="N945" s="9">
        <f>VLOOKUP(DATE(YEAR(A945),MONTH(A945),DAY(A945)),FY24_Temp[],3,FALSE)</f>
        <v>13.7</v>
      </c>
      <c r="O945" s="110">
        <f t="shared" si="929"/>
        <v>11.5</v>
      </c>
      <c r="P945" s="110">
        <f t="shared" si="930"/>
        <v>19.5</v>
      </c>
      <c r="Q945" s="79">
        <f>VLOOKUP(VLOOKUP(DATEVALUE(TEXT(A945,"m/d/yyyy")),FY24_Temp[],5,FALSE)&amp;TEXT(A945,"-h"),TempDelta[],4,FALSE)</f>
        <v>2.8184285845075334</v>
      </c>
      <c r="R945">
        <v>10</v>
      </c>
      <c r="S945" s="112">
        <v>1500</v>
      </c>
      <c r="T945" s="5">
        <f>VLOOKUP(TEXT(A945,"yy-mm")&amp;"-"&amp;IF(AND(WEEKDAY(A945)&gt;1,WEEKDAY(A945)&lt;7),"Wkd",TEXT(A945,"Ddd"))&amp;"-"&amp;TEXT(A945,"hh"),LoadTable[],3,FALSE)*0.92</f>
        <v>363.06235999999996</v>
      </c>
      <c r="U945" s="113">
        <f t="shared" si="931"/>
        <v>36.306235999999998</v>
      </c>
      <c r="V945">
        <f t="shared" ref="V945:W945" si="966">V921</f>
        <v>2.5</v>
      </c>
      <c r="W945">
        <f t="shared" si="966"/>
        <v>3.1</v>
      </c>
      <c r="X945" s="9">
        <v>3.249409</v>
      </c>
      <c r="Y945" s="39"/>
    </row>
    <row r="946" spans="1:25" ht="15" thickBot="1">
      <c r="A946" s="29">
        <f t="shared" si="918"/>
        <v>45875.291666666359</v>
      </c>
      <c r="B946" s="30">
        <f t="shared" si="933"/>
        <v>8000</v>
      </c>
      <c r="C946" s="8">
        <v>25000</v>
      </c>
      <c r="D946" s="187">
        <v>0</v>
      </c>
      <c r="E946" s="187">
        <v>700</v>
      </c>
      <c r="F946" s="187">
        <v>15000</v>
      </c>
      <c r="G946" s="30">
        <f t="shared" si="934"/>
        <v>2400</v>
      </c>
      <c r="H946" s="8">
        <v>25000</v>
      </c>
      <c r="I946" s="30">
        <f t="shared" si="932"/>
        <v>8000</v>
      </c>
      <c r="J946" s="187">
        <v>40000</v>
      </c>
      <c r="K946" s="30">
        <f t="shared" si="935"/>
        <v>8000</v>
      </c>
      <c r="L946" s="187">
        <v>40000</v>
      </c>
      <c r="M946" s="110">
        <v>9.5</v>
      </c>
      <c r="N946" s="9">
        <f>VLOOKUP(DATE(YEAR(A946),MONTH(A946),DAY(A946)),FY24_Temp[],3,FALSE)</f>
        <v>13.7</v>
      </c>
      <c r="O946" s="110">
        <f t="shared" si="929"/>
        <v>11.5</v>
      </c>
      <c r="P946" s="110">
        <f t="shared" si="930"/>
        <v>19.5</v>
      </c>
      <c r="Q946" s="79">
        <f>VLOOKUP(VLOOKUP(DATEVALUE(TEXT(A946,"m/d/yyyy")),FY24_Temp[],5,FALSE)&amp;TEXT(A946,"-h"),TempDelta[],4,FALSE)</f>
        <v>2.7782857418060303</v>
      </c>
      <c r="R946">
        <v>10</v>
      </c>
      <c r="S946" s="112">
        <v>1500</v>
      </c>
      <c r="T946" s="5">
        <f>VLOOKUP(TEXT(A946,"yy-mm")&amp;"-"&amp;IF(AND(WEEKDAY(A946)&gt;1,WEEKDAY(A946)&lt;7),"Wkd",TEXT(A946,"Ddd"))&amp;"-"&amp;TEXT(A946,"hh"),LoadTable[],3,FALSE)*0.92</f>
        <v>352.2091200000001</v>
      </c>
      <c r="U946" s="113">
        <f t="shared" si="931"/>
        <v>35.220912000000013</v>
      </c>
      <c r="V946">
        <f t="shared" ref="V946:W946" si="967">V922</f>
        <v>2.5</v>
      </c>
      <c r="W946">
        <f t="shared" si="967"/>
        <v>3.1</v>
      </c>
      <c r="X946" s="9">
        <v>3.2506149</v>
      </c>
      <c r="Y946" s="39"/>
    </row>
    <row r="947" spans="1:25" ht="15" thickBot="1">
      <c r="A947" s="29">
        <f t="shared" si="918"/>
        <v>45875.333333333023</v>
      </c>
      <c r="B947" s="30">
        <f t="shared" si="933"/>
        <v>8000</v>
      </c>
      <c r="C947" s="8">
        <v>25000</v>
      </c>
      <c r="D947" s="187">
        <v>0</v>
      </c>
      <c r="E947" s="187">
        <v>700</v>
      </c>
      <c r="F947" s="187">
        <v>15000</v>
      </c>
      <c r="G947" s="30">
        <f t="shared" si="934"/>
        <v>2400</v>
      </c>
      <c r="H947" s="8">
        <v>25000</v>
      </c>
      <c r="I947" s="30">
        <f t="shared" si="932"/>
        <v>8000</v>
      </c>
      <c r="J947" s="187">
        <v>40000</v>
      </c>
      <c r="K947" s="30">
        <f t="shared" si="935"/>
        <v>8000</v>
      </c>
      <c r="L947" s="187">
        <v>40000</v>
      </c>
      <c r="M947" s="110">
        <v>9.5</v>
      </c>
      <c r="N947" s="9">
        <f>VLOOKUP(DATE(YEAR(A947),MONTH(A947),DAY(A947)),FY24_Temp[],3,FALSE)</f>
        <v>13.7</v>
      </c>
      <c r="O947" s="110">
        <f t="shared" si="929"/>
        <v>11.5</v>
      </c>
      <c r="P947" s="110">
        <f t="shared" si="930"/>
        <v>19.5</v>
      </c>
      <c r="Q947" s="79">
        <f>VLOOKUP(VLOOKUP(DATEVALUE(TEXT(A947,"m/d/yyyy")),FY24_Temp[],5,FALSE)&amp;TEXT(A947,"-h"),TempDelta[],4,FALSE)</f>
        <v>2.6682857104710171</v>
      </c>
      <c r="R947">
        <v>10</v>
      </c>
      <c r="S947" s="112">
        <v>1500</v>
      </c>
      <c r="T947" s="5">
        <f>VLOOKUP(TEXT(A947,"yy-mm")&amp;"-"&amp;IF(AND(WEEKDAY(A947)&gt;1,WEEKDAY(A947)&lt;7),"Wkd",TEXT(A947,"Ddd"))&amp;"-"&amp;TEXT(A947,"hh"),LoadTable[],3,FALSE)*0.92</f>
        <v>352.2091200000001</v>
      </c>
      <c r="U947" s="113">
        <f t="shared" si="931"/>
        <v>35.220912000000013</v>
      </c>
      <c r="V947">
        <f t="shared" ref="V947:W947" si="968">V923</f>
        <v>3.2</v>
      </c>
      <c r="W947">
        <f t="shared" si="968"/>
        <v>3</v>
      </c>
      <c r="X947" s="9">
        <v>3.3355350000000001</v>
      </c>
      <c r="Y947" s="39"/>
    </row>
    <row r="948" spans="1:25" ht="15" thickBot="1">
      <c r="A948" s="29">
        <f t="shared" si="918"/>
        <v>45875.374999999687</v>
      </c>
      <c r="B948" s="30">
        <f t="shared" si="933"/>
        <v>8000</v>
      </c>
      <c r="C948" s="8">
        <v>25000</v>
      </c>
      <c r="D948" s="187">
        <v>0</v>
      </c>
      <c r="E948" s="187">
        <v>700</v>
      </c>
      <c r="F948" s="187">
        <v>15000</v>
      </c>
      <c r="G948" s="30">
        <f t="shared" si="934"/>
        <v>2400</v>
      </c>
      <c r="H948" s="8">
        <v>25000</v>
      </c>
      <c r="I948" s="30">
        <f t="shared" si="932"/>
        <v>8000</v>
      </c>
      <c r="J948" s="187">
        <v>40000</v>
      </c>
      <c r="K948" s="30">
        <f t="shared" si="935"/>
        <v>8000</v>
      </c>
      <c r="L948" s="187">
        <v>40000</v>
      </c>
      <c r="M948" s="110">
        <v>9.5</v>
      </c>
      <c r="N948" s="9">
        <f>VLOOKUP(DATE(YEAR(A948),MONTH(A948),DAY(A948)),FY24_Temp[],3,FALSE)</f>
        <v>13.7</v>
      </c>
      <c r="O948" s="110">
        <f t="shared" si="929"/>
        <v>11.5</v>
      </c>
      <c r="P948" s="110">
        <f t="shared" si="930"/>
        <v>19.5</v>
      </c>
      <c r="Q948" s="79">
        <f>VLOOKUP(VLOOKUP(DATEVALUE(TEXT(A948,"m/d/yyyy")),FY24_Temp[],5,FALSE)&amp;TEXT(A948,"-h"),TempDelta[],4,FALSE)</f>
        <v>2.4805714062282016</v>
      </c>
      <c r="R948">
        <v>10</v>
      </c>
      <c r="S948" s="112">
        <v>1500</v>
      </c>
      <c r="T948" s="5">
        <f>VLOOKUP(TEXT(A948,"yy-mm")&amp;"-"&amp;IF(AND(WEEKDAY(A948)&gt;1,WEEKDAY(A948)&lt;7),"Wkd",TEXT(A948,"Ddd"))&amp;"-"&amp;TEXT(A948,"hh"),LoadTable[],3,FALSE)*0.92</f>
        <v>340.60949077857163</v>
      </c>
      <c r="U948" s="113">
        <f t="shared" si="931"/>
        <v>34.06094907785716</v>
      </c>
      <c r="V948">
        <f t="shared" ref="V948:W948" si="969">V924</f>
        <v>2.9</v>
      </c>
      <c r="W948">
        <f t="shared" si="969"/>
        <v>3</v>
      </c>
      <c r="X948" s="9">
        <v>3.4513265999999998</v>
      </c>
      <c r="Y948" s="39"/>
    </row>
    <row r="949" spans="1:25" ht="15" thickBot="1">
      <c r="A949" s="29">
        <f t="shared" ref="A949:A1012" si="970">A948+TIME(1,0,0)</f>
        <v>45875.416666666351</v>
      </c>
      <c r="B949" s="30">
        <f t="shared" si="933"/>
        <v>8000</v>
      </c>
      <c r="C949" s="8">
        <v>25000</v>
      </c>
      <c r="D949" s="187">
        <v>0</v>
      </c>
      <c r="E949" s="187">
        <v>700</v>
      </c>
      <c r="F949" s="187">
        <v>15000</v>
      </c>
      <c r="G949" s="30">
        <f t="shared" si="934"/>
        <v>2400</v>
      </c>
      <c r="H949" s="8">
        <v>25000</v>
      </c>
      <c r="I949" s="30">
        <f t="shared" si="932"/>
        <v>8000</v>
      </c>
      <c r="J949" s="187">
        <v>40000</v>
      </c>
      <c r="K949" s="30">
        <f t="shared" si="935"/>
        <v>8000</v>
      </c>
      <c r="L949" s="187">
        <v>40000</v>
      </c>
      <c r="M949" s="110">
        <v>9.5</v>
      </c>
      <c r="N949" s="9">
        <f>VLOOKUP(DATE(YEAR(A949),MONTH(A949),DAY(A949)),FY24_Temp[],3,FALSE)</f>
        <v>13.7</v>
      </c>
      <c r="O949" s="110">
        <f t="shared" si="929"/>
        <v>11.5</v>
      </c>
      <c r="P949" s="110">
        <f t="shared" si="930"/>
        <v>19.5</v>
      </c>
      <c r="Q949" s="79">
        <f>VLOOKUP(VLOOKUP(DATEVALUE(TEXT(A949,"m/d/yyyy")),FY24_Temp[],5,FALSE)&amp;TEXT(A949,"-h"),TempDelta[],4,FALSE)</f>
        <v>2.2650000027247836</v>
      </c>
      <c r="R949">
        <v>10</v>
      </c>
      <c r="S949" s="112">
        <v>1500</v>
      </c>
      <c r="T949" s="5">
        <f>VLOOKUP(TEXT(A949,"yy-mm")&amp;"-"&amp;IF(AND(WEEKDAY(A949)&gt;1,WEEKDAY(A949)&lt;7),"Wkd",TEXT(A949,"Ddd"))&amp;"-"&amp;TEXT(A949,"hh"),LoadTable[],3,FALSE)*0.92</f>
        <v>338.44093501457746</v>
      </c>
      <c r="U949" s="113">
        <f t="shared" si="931"/>
        <v>33.844093501457749</v>
      </c>
      <c r="V949">
        <f t="shared" ref="V949:W949" si="971">V925</f>
        <v>2.9</v>
      </c>
      <c r="W949">
        <f t="shared" si="971"/>
        <v>3</v>
      </c>
      <c r="X949" s="9">
        <v>3.4450078</v>
      </c>
      <c r="Y949" s="39"/>
    </row>
    <row r="950" spans="1:25" ht="15" thickBot="1">
      <c r="A950" s="29">
        <f t="shared" si="970"/>
        <v>45875.458333333016</v>
      </c>
      <c r="B950" s="30">
        <f t="shared" si="933"/>
        <v>8000</v>
      </c>
      <c r="C950" s="8">
        <v>25000</v>
      </c>
      <c r="D950" s="187">
        <v>0</v>
      </c>
      <c r="E950" s="187">
        <v>700</v>
      </c>
      <c r="F950" s="187">
        <v>15000</v>
      </c>
      <c r="G950" s="30">
        <f t="shared" si="934"/>
        <v>2400</v>
      </c>
      <c r="H950" s="8">
        <v>25000</v>
      </c>
      <c r="I950" s="30">
        <f t="shared" si="932"/>
        <v>8000</v>
      </c>
      <c r="J950" s="187">
        <v>40000</v>
      </c>
      <c r="K950" s="30">
        <f t="shared" si="935"/>
        <v>8000</v>
      </c>
      <c r="L950" s="187">
        <v>40000</v>
      </c>
      <c r="M950" s="110">
        <v>9.5</v>
      </c>
      <c r="N950" s="9">
        <f>VLOOKUP(DATE(YEAR(A950),MONTH(A950),DAY(A950)),FY24_Temp[],3,FALSE)</f>
        <v>13.7</v>
      </c>
      <c r="O950" s="110">
        <f t="shared" si="929"/>
        <v>11.5</v>
      </c>
      <c r="P950" s="110">
        <f t="shared" si="930"/>
        <v>19.5</v>
      </c>
      <c r="Q950" s="79">
        <f>VLOOKUP(VLOOKUP(DATEVALUE(TEXT(A950,"m/d/yyyy")),FY24_Temp[],5,FALSE)&amp;TEXT(A950,"-h"),TempDelta[],4,FALSE)</f>
        <v>2.0114285605294362</v>
      </c>
      <c r="R950">
        <v>10</v>
      </c>
      <c r="S950" s="112">
        <v>1500</v>
      </c>
      <c r="T950" s="5">
        <f>VLOOKUP(TEXT(A950,"yy-mm")&amp;"-"&amp;IF(AND(WEEKDAY(A950)&gt;1,WEEKDAY(A950)&lt;7),"Wkd",TEXT(A950,"Ddd"))&amp;"-"&amp;TEXT(A950,"hh"),LoadTable[],3,FALSE)*0.92</f>
        <v>338.44093501457746</v>
      </c>
      <c r="U950" s="113">
        <f t="shared" si="931"/>
        <v>33.844093501457749</v>
      </c>
      <c r="V950">
        <f t="shared" ref="V950:W950" si="972">V926</f>
        <v>3.4</v>
      </c>
      <c r="W950">
        <f t="shared" si="972"/>
        <v>3</v>
      </c>
      <c r="X950" s="9">
        <v>3.2603295000000001</v>
      </c>
      <c r="Y950" s="39"/>
    </row>
    <row r="951" spans="1:25" ht="15" thickBot="1">
      <c r="A951" s="29">
        <f t="shared" si="970"/>
        <v>45875.49999999968</v>
      </c>
      <c r="B951" s="30">
        <f t="shared" si="933"/>
        <v>8000</v>
      </c>
      <c r="C951" s="8">
        <v>25000</v>
      </c>
      <c r="D951" s="187">
        <v>0</v>
      </c>
      <c r="E951" s="187">
        <v>700</v>
      </c>
      <c r="F951" s="187">
        <v>15000</v>
      </c>
      <c r="G951" s="30">
        <f t="shared" si="934"/>
        <v>2400</v>
      </c>
      <c r="H951" s="8">
        <v>25000</v>
      </c>
      <c r="I951" s="30">
        <f t="shared" si="932"/>
        <v>8000</v>
      </c>
      <c r="J951" s="187">
        <v>40000</v>
      </c>
      <c r="K951" s="30">
        <f t="shared" si="935"/>
        <v>8000</v>
      </c>
      <c r="L951" s="187">
        <v>40000</v>
      </c>
      <c r="M951" s="110">
        <v>9.5</v>
      </c>
      <c r="N951" s="9">
        <f>VLOOKUP(DATE(YEAR(A951),MONTH(A951),DAY(A951)),FY24_Temp[],3,FALSE)</f>
        <v>13.7</v>
      </c>
      <c r="O951" s="110">
        <f t="shared" si="929"/>
        <v>11.5</v>
      </c>
      <c r="P951" s="110">
        <f t="shared" si="930"/>
        <v>19.5</v>
      </c>
      <c r="Q951" s="79">
        <f>VLOOKUP(VLOOKUP(DATEVALUE(TEXT(A951,"m/d/yyyy")),FY24_Temp[],5,FALSE)&amp;TEXT(A951,"-h"),TempDelta[],4,FALSE)</f>
        <v>1.7541428463799613</v>
      </c>
      <c r="R951">
        <v>10</v>
      </c>
      <c r="S951" s="112">
        <v>1500</v>
      </c>
      <c r="T951" s="5">
        <f>VLOOKUP(TEXT(A951,"yy-mm")&amp;"-"&amp;IF(AND(WEEKDAY(A951)&gt;1,WEEKDAY(A951)&lt;7),"Wkd",TEXT(A951,"Ddd"))&amp;"-"&amp;TEXT(A951,"hh"),LoadTable[],3,FALSE)*0.92</f>
        <v>338.44093501457746</v>
      </c>
      <c r="U951" s="113">
        <f t="shared" si="931"/>
        <v>33.844093501457749</v>
      </c>
      <c r="V951">
        <f t="shared" ref="V951:W951" si="973">V927</f>
        <v>3.1</v>
      </c>
      <c r="W951">
        <f t="shared" si="973"/>
        <v>2.9</v>
      </c>
      <c r="X951" s="9">
        <v>3.0558071</v>
      </c>
      <c r="Y951" s="39"/>
    </row>
    <row r="952" spans="1:25" ht="15" thickBot="1">
      <c r="A952" s="29">
        <f t="shared" si="970"/>
        <v>45875.541666666344</v>
      </c>
      <c r="B952" s="30">
        <f t="shared" si="933"/>
        <v>8000</v>
      </c>
      <c r="C952" s="8">
        <v>25000</v>
      </c>
      <c r="D952" s="187">
        <v>0</v>
      </c>
      <c r="E952" s="187">
        <v>700</v>
      </c>
      <c r="F952" s="187">
        <v>15000</v>
      </c>
      <c r="G952" s="30">
        <f t="shared" si="934"/>
        <v>2400</v>
      </c>
      <c r="H952" s="8">
        <v>25000</v>
      </c>
      <c r="I952" s="30">
        <f t="shared" si="932"/>
        <v>8000</v>
      </c>
      <c r="J952" s="187">
        <v>40000</v>
      </c>
      <c r="K952" s="30">
        <f t="shared" si="935"/>
        <v>8000</v>
      </c>
      <c r="L952" s="187">
        <v>40000</v>
      </c>
      <c r="M952" s="110">
        <v>9.5</v>
      </c>
      <c r="N952" s="9">
        <f>VLOOKUP(DATE(YEAR(A952),MONTH(A952),DAY(A952)),FY24_Temp[],3,FALSE)</f>
        <v>13.7</v>
      </c>
      <c r="O952" s="110">
        <f t="shared" si="929"/>
        <v>11.5</v>
      </c>
      <c r="P952" s="110">
        <f t="shared" si="930"/>
        <v>19.5</v>
      </c>
      <c r="Q952" s="79">
        <f>VLOOKUP(VLOOKUP(DATEVALUE(TEXT(A952,"m/d/yyyy")),FY24_Temp[],5,FALSE)&amp;TEXT(A952,"-h"),TempDelta[],4,FALSE)</f>
        <v>1.4955714430127824</v>
      </c>
      <c r="R952">
        <v>10</v>
      </c>
      <c r="S952" s="112">
        <v>1500</v>
      </c>
      <c r="T952" s="5">
        <f>VLOOKUP(TEXT(A952,"yy-mm")&amp;"-"&amp;IF(AND(WEEKDAY(A952)&gt;1,WEEKDAY(A952)&lt;7),"Wkd",TEXT(A952,"Ddd"))&amp;"-"&amp;TEXT(A952,"hh"),LoadTable[],3,FALSE)*0.92</f>
        <v>389.90980000000025</v>
      </c>
      <c r="U952" s="113">
        <f t="shared" si="931"/>
        <v>38.990980000000022</v>
      </c>
      <c r="V952">
        <f t="shared" ref="V952:W952" si="974">V928</f>
        <v>3.2</v>
      </c>
      <c r="W952">
        <f t="shared" si="974"/>
        <v>2.9</v>
      </c>
      <c r="X952" s="9">
        <v>2.9222016000000002</v>
      </c>
      <c r="Y952" s="39"/>
    </row>
    <row r="953" spans="1:25" ht="15" thickBot="1">
      <c r="A953" s="29">
        <f t="shared" si="970"/>
        <v>45875.583333333008</v>
      </c>
      <c r="B953" s="30">
        <f t="shared" si="933"/>
        <v>8000</v>
      </c>
      <c r="C953" s="8">
        <v>25000</v>
      </c>
      <c r="D953" s="187">
        <v>0</v>
      </c>
      <c r="E953" s="187">
        <v>700</v>
      </c>
      <c r="F953" s="187">
        <v>15000</v>
      </c>
      <c r="G953" s="30">
        <f t="shared" si="934"/>
        <v>2400</v>
      </c>
      <c r="H953" s="8">
        <v>25000</v>
      </c>
      <c r="I953" s="30">
        <f t="shared" si="932"/>
        <v>8000</v>
      </c>
      <c r="J953" s="187">
        <v>40000</v>
      </c>
      <c r="K953" s="30">
        <f t="shared" si="935"/>
        <v>8000</v>
      </c>
      <c r="L953" s="187">
        <v>40000</v>
      </c>
      <c r="M953" s="110">
        <v>9.5</v>
      </c>
      <c r="N953" s="9">
        <f>VLOOKUP(DATE(YEAR(A953),MONTH(A953),DAY(A953)),FY24_Temp[],3,FALSE)</f>
        <v>13.7</v>
      </c>
      <c r="O953" s="110">
        <f t="shared" si="929"/>
        <v>11.5</v>
      </c>
      <c r="P953" s="110">
        <f t="shared" si="930"/>
        <v>19.5</v>
      </c>
      <c r="Q953" s="79">
        <f>VLOOKUP(VLOOKUP(DATEVALUE(TEXT(A953,"m/d/yyyy")),FY24_Temp[],5,FALSE)&amp;TEXT(A953,"-h"),TempDelta[],4,FALSE)</f>
        <v>1.0822857235159193</v>
      </c>
      <c r="R953">
        <v>10</v>
      </c>
      <c r="S953" s="112">
        <v>1500</v>
      </c>
      <c r="T953" s="5">
        <f>VLOOKUP(TEXT(A953,"yy-mm")&amp;"-"&amp;IF(AND(WEEKDAY(A953)&gt;1,WEEKDAY(A953)&lt;7),"Wkd",TEXT(A953,"Ddd"))&amp;"-"&amp;TEXT(A953,"hh"),LoadTable[],3,FALSE)*0.92</f>
        <v>625.53652000000022</v>
      </c>
      <c r="U953" s="113">
        <f t="shared" si="931"/>
        <v>62.553652000000021</v>
      </c>
      <c r="V953">
        <f t="shared" ref="V953:W953" si="975">V929</f>
        <v>3.5</v>
      </c>
      <c r="W953">
        <f t="shared" si="975"/>
        <v>2.9</v>
      </c>
      <c r="X953" s="9">
        <v>2.9752865000000002</v>
      </c>
      <c r="Y953" s="39"/>
    </row>
    <row r="954" spans="1:25" ht="15" thickBot="1">
      <c r="A954" s="29">
        <f t="shared" si="970"/>
        <v>45875.624999999673</v>
      </c>
      <c r="B954" s="30">
        <f t="shared" si="933"/>
        <v>8000</v>
      </c>
      <c r="C954" s="8">
        <v>25000</v>
      </c>
      <c r="D954" s="187">
        <v>0</v>
      </c>
      <c r="E954" s="187">
        <v>700</v>
      </c>
      <c r="F954" s="187">
        <v>15000</v>
      </c>
      <c r="G954" s="30">
        <f t="shared" si="934"/>
        <v>2400</v>
      </c>
      <c r="H954" s="8">
        <v>25000</v>
      </c>
      <c r="I954" s="30">
        <f t="shared" si="932"/>
        <v>8000</v>
      </c>
      <c r="J954" s="187">
        <v>40000</v>
      </c>
      <c r="K954" s="30">
        <f t="shared" si="935"/>
        <v>8000</v>
      </c>
      <c r="L954" s="187">
        <v>40000</v>
      </c>
      <c r="M954" s="110">
        <v>9.5</v>
      </c>
      <c r="N954" s="9">
        <f>VLOOKUP(DATE(YEAR(A954),MONTH(A954),DAY(A954)),FY24_Temp[],3,FALSE)</f>
        <v>13.7</v>
      </c>
      <c r="O954" s="110">
        <f t="shared" si="929"/>
        <v>11.5</v>
      </c>
      <c r="P954" s="110">
        <f t="shared" si="930"/>
        <v>19.5</v>
      </c>
      <c r="Q954" s="79">
        <f>VLOOKUP(VLOOKUP(DATEVALUE(TEXT(A954,"m/d/yyyy")),FY24_Temp[],5,FALSE)&amp;TEXT(A954,"-h"),TempDelta[],4,FALSE)</f>
        <v>0.86314284375735695</v>
      </c>
      <c r="R954">
        <v>10</v>
      </c>
      <c r="S954" s="112">
        <v>1500</v>
      </c>
      <c r="T954" s="5">
        <f>VLOOKUP(TEXT(A954,"yy-mm")&amp;"-"&amp;IF(AND(WEEKDAY(A954)&gt;1,WEEKDAY(A954)&lt;7),"Wkd",TEXT(A954,"Ddd"))&amp;"-"&amp;TEXT(A954,"hh"),LoadTable[],3,FALSE)*0.92</f>
        <v>699.79524000000038</v>
      </c>
      <c r="U954" s="113">
        <f t="shared" si="931"/>
        <v>69.97952400000004</v>
      </c>
      <c r="V954">
        <f t="shared" ref="V954:W954" si="976">V930</f>
        <v>3.2</v>
      </c>
      <c r="W954">
        <f t="shared" si="976"/>
        <v>2.9</v>
      </c>
      <c r="X954" s="9">
        <v>3.3345006000000001</v>
      </c>
      <c r="Y954" s="39"/>
    </row>
    <row r="955" spans="1:25" ht="15" thickBot="1">
      <c r="A955" s="29">
        <f t="shared" si="970"/>
        <v>45875.666666666337</v>
      </c>
      <c r="B955" s="30">
        <f t="shared" si="933"/>
        <v>8000</v>
      </c>
      <c r="C955" s="8">
        <v>25000</v>
      </c>
      <c r="D955" s="187">
        <v>0</v>
      </c>
      <c r="E955" s="187">
        <v>700</v>
      </c>
      <c r="F955" s="187">
        <v>15000</v>
      </c>
      <c r="G955" s="30">
        <f t="shared" si="934"/>
        <v>2400</v>
      </c>
      <c r="H955" s="8">
        <v>25000</v>
      </c>
      <c r="I955" s="30">
        <f t="shared" si="932"/>
        <v>8000</v>
      </c>
      <c r="J955" s="187">
        <v>40000</v>
      </c>
      <c r="K955" s="30">
        <f t="shared" si="935"/>
        <v>8000</v>
      </c>
      <c r="L955" s="187">
        <v>40000</v>
      </c>
      <c r="M955" s="110">
        <v>9.5</v>
      </c>
      <c r="N955" s="9">
        <f>VLOOKUP(DATE(YEAR(A955),MONTH(A955),DAY(A955)),FY24_Temp[],3,FALSE)</f>
        <v>13.7</v>
      </c>
      <c r="O955" s="110">
        <f t="shared" si="929"/>
        <v>11.5</v>
      </c>
      <c r="P955" s="110">
        <f t="shared" si="930"/>
        <v>19.5</v>
      </c>
      <c r="Q955" s="79">
        <f>VLOOKUP(VLOOKUP(DATEVALUE(TEXT(A955,"m/d/yyyy")),FY24_Temp[],5,FALSE)&amp;TEXT(A955,"-h"),TempDelta[],4,FALSE)</f>
        <v>0.71478571849209926</v>
      </c>
      <c r="R955">
        <v>10</v>
      </c>
      <c r="S955" s="112">
        <v>1500</v>
      </c>
      <c r="T955" s="5">
        <f>VLOOKUP(TEXT(A955,"yy-mm")&amp;"-"&amp;IF(AND(WEEKDAY(A955)&gt;1,WEEKDAY(A955)&lt;7),"Wkd",TEXT(A955,"Ddd"))&amp;"-"&amp;TEXT(A955,"hh"),LoadTable[],3,FALSE)*0.92</f>
        <v>786.27137399656624</v>
      </c>
      <c r="U955" s="113">
        <f t="shared" si="931"/>
        <v>78.627137399656618</v>
      </c>
      <c r="V955">
        <f t="shared" ref="V955:W955" si="977">V931</f>
        <v>3.5</v>
      </c>
      <c r="W955">
        <f t="shared" si="977"/>
        <v>3</v>
      </c>
      <c r="X955" s="9">
        <v>3.2613257999999998</v>
      </c>
      <c r="Y955" s="39"/>
    </row>
    <row r="956" spans="1:25" ht="15" thickBot="1">
      <c r="A956" s="29">
        <f t="shared" si="970"/>
        <v>45875.708333333001</v>
      </c>
      <c r="B956" s="30">
        <f t="shared" si="933"/>
        <v>8000</v>
      </c>
      <c r="C956" s="8">
        <v>25000</v>
      </c>
      <c r="D956" s="187">
        <v>0</v>
      </c>
      <c r="E956" s="187">
        <v>700</v>
      </c>
      <c r="F956" s="187">
        <v>15000</v>
      </c>
      <c r="G956" s="30">
        <f t="shared" si="934"/>
        <v>2400</v>
      </c>
      <c r="H956" s="8">
        <v>25000</v>
      </c>
      <c r="I956" s="30">
        <f t="shared" si="932"/>
        <v>8000</v>
      </c>
      <c r="J956" s="187">
        <v>40000</v>
      </c>
      <c r="K956" s="30">
        <f t="shared" si="935"/>
        <v>8000</v>
      </c>
      <c r="L956" s="187">
        <v>40000</v>
      </c>
      <c r="M956" s="110">
        <v>9.5</v>
      </c>
      <c r="N956" s="9">
        <f>VLOOKUP(DATE(YEAR(A956),MONTH(A956),DAY(A956)),FY24_Temp[],3,FALSE)</f>
        <v>13.7</v>
      </c>
      <c r="O956" s="110">
        <f t="shared" si="929"/>
        <v>11.5</v>
      </c>
      <c r="P956" s="110">
        <f t="shared" si="930"/>
        <v>19.5</v>
      </c>
      <c r="Q956" s="79">
        <f>VLOOKUP(VLOOKUP(DATEVALUE(TEXT(A956,"m/d/yyyy")),FY24_Temp[],5,FALSE)&amp;TEXT(A956,"-h"),TempDelta[],4,FALSE)</f>
        <v>0.73571428656578064</v>
      </c>
      <c r="R956">
        <v>10</v>
      </c>
      <c r="S956" s="112">
        <v>1500</v>
      </c>
      <c r="T956" s="5">
        <f>VLOOKUP(TEXT(A956,"yy-mm")&amp;"-"&amp;IF(AND(WEEKDAY(A956)&gt;1,WEEKDAY(A956)&lt;7),"Wkd",TEXT(A956,"Ddd"))&amp;"-"&amp;TEXT(A956,"hh"),LoadTable[],3,FALSE)*0.92</f>
        <v>786.27137399656624</v>
      </c>
      <c r="U956" s="113">
        <f t="shared" si="931"/>
        <v>78.627137399656618</v>
      </c>
      <c r="V956">
        <f t="shared" ref="V956:W956" si="978">V932</f>
        <v>3.6</v>
      </c>
      <c r="W956">
        <f t="shared" si="978"/>
        <v>3</v>
      </c>
      <c r="X956" s="9">
        <v>3.1467706999999998</v>
      </c>
      <c r="Y956" s="39"/>
    </row>
    <row r="957" spans="1:25" ht="15" thickBot="1">
      <c r="A957" s="29">
        <f t="shared" si="970"/>
        <v>45875.749999999665</v>
      </c>
      <c r="B957" s="30">
        <f t="shared" si="933"/>
        <v>5000</v>
      </c>
      <c r="C957" s="8">
        <v>25000</v>
      </c>
      <c r="D957" s="187">
        <v>0</v>
      </c>
      <c r="E957" s="187">
        <v>700</v>
      </c>
      <c r="F957" s="187">
        <v>15000</v>
      </c>
      <c r="G957" s="30">
        <f t="shared" si="934"/>
        <v>2400</v>
      </c>
      <c r="H957" s="8">
        <v>25000</v>
      </c>
      <c r="I957" s="30">
        <f t="shared" si="932"/>
        <v>5000</v>
      </c>
      <c r="J957" s="187">
        <v>40000</v>
      </c>
      <c r="K957" s="30">
        <f t="shared" si="935"/>
        <v>5000</v>
      </c>
      <c r="L957" s="187">
        <v>40000</v>
      </c>
      <c r="M957" s="110">
        <v>9.5</v>
      </c>
      <c r="N957" s="9">
        <f>VLOOKUP(DATE(YEAR(A957),MONTH(A957),DAY(A957)),FY24_Temp[],3,FALSE)</f>
        <v>13.7</v>
      </c>
      <c r="O957" s="110">
        <f t="shared" si="929"/>
        <v>11.5</v>
      </c>
      <c r="P957" s="110">
        <f t="shared" si="930"/>
        <v>19.5</v>
      </c>
      <c r="Q957" s="79">
        <f>VLOOKUP(VLOOKUP(DATEVALUE(TEXT(A957,"m/d/yyyy")),FY24_Temp[],5,FALSE)&amp;TEXT(A957,"-h"),TempDelta[],4,FALSE)</f>
        <v>0.95992857217788696</v>
      </c>
      <c r="R957">
        <v>10</v>
      </c>
      <c r="S957" s="112">
        <v>1500</v>
      </c>
      <c r="T957" s="5">
        <f>VLOOKUP(TEXT(A957,"yy-mm")&amp;"-"&amp;IF(AND(WEEKDAY(A957)&gt;1,WEEKDAY(A957)&lt;7),"Wkd",TEXT(A957,"Ddd"))&amp;"-"&amp;TEXT(A957,"hh"),LoadTable[],3,FALSE)*0.92</f>
        <v>786.27137399656647</v>
      </c>
      <c r="U957" s="113">
        <f t="shared" si="931"/>
        <v>78.627137399656647</v>
      </c>
      <c r="V957">
        <f t="shared" ref="V957:W957" si="979">V933</f>
        <v>2.9</v>
      </c>
      <c r="W957">
        <f t="shared" si="979"/>
        <v>3</v>
      </c>
      <c r="X957" s="9">
        <v>3.1188471</v>
      </c>
      <c r="Y957" s="39"/>
    </row>
    <row r="958" spans="1:25" ht="15" thickBot="1">
      <c r="A958" s="29">
        <f t="shared" si="970"/>
        <v>45875.79166666633</v>
      </c>
      <c r="B958" s="30">
        <f t="shared" si="933"/>
        <v>5000</v>
      </c>
      <c r="C958" s="8">
        <v>25000</v>
      </c>
      <c r="D958" s="187">
        <v>0</v>
      </c>
      <c r="E958" s="187">
        <v>700</v>
      </c>
      <c r="F958" s="187">
        <v>15000</v>
      </c>
      <c r="G958" s="30">
        <f t="shared" si="934"/>
        <v>2400</v>
      </c>
      <c r="H958" s="8">
        <v>25000</v>
      </c>
      <c r="I958" s="30">
        <f t="shared" si="932"/>
        <v>5000</v>
      </c>
      <c r="J958" s="187">
        <v>40000</v>
      </c>
      <c r="K958" s="30">
        <f t="shared" si="935"/>
        <v>5000</v>
      </c>
      <c r="L958" s="187">
        <v>40000</v>
      </c>
      <c r="M958" s="110">
        <v>9.5</v>
      </c>
      <c r="N958" s="9">
        <f>VLOOKUP(DATE(YEAR(A958),MONTH(A958),DAY(A958)),FY24_Temp[],3,FALSE)</f>
        <v>13.7</v>
      </c>
      <c r="O958" s="110">
        <f t="shared" si="929"/>
        <v>11.5</v>
      </c>
      <c r="P958" s="110">
        <f t="shared" si="930"/>
        <v>19.5</v>
      </c>
      <c r="Q958" s="79">
        <f>VLOOKUP(VLOOKUP(DATEVALUE(TEXT(A958,"m/d/yyyy")),FY24_Temp[],5,FALSE)&amp;TEXT(A958,"-h"),TempDelta[],4,FALSE)</f>
        <v>1.2718571509633745</v>
      </c>
      <c r="R958">
        <v>10</v>
      </c>
      <c r="S958" s="112">
        <v>1500</v>
      </c>
      <c r="T958" s="5">
        <f>VLOOKUP(TEXT(A958,"yy-mm")&amp;"-"&amp;IF(AND(WEEKDAY(A958)&gt;1,WEEKDAY(A958)&lt;7),"Wkd",TEXT(A958,"Ddd"))&amp;"-"&amp;TEXT(A958,"hh"),LoadTable[],3,FALSE)*0.92</f>
        <v>786.27137399656647</v>
      </c>
      <c r="U958" s="113">
        <f t="shared" si="931"/>
        <v>78.627137399656647</v>
      </c>
      <c r="V958">
        <f t="shared" ref="V958:W958" si="980">V934</f>
        <v>3</v>
      </c>
      <c r="W958">
        <f t="shared" si="980"/>
        <v>3</v>
      </c>
      <c r="X958" s="9">
        <v>3.1332140000000002</v>
      </c>
      <c r="Y958" s="39"/>
    </row>
    <row r="959" spans="1:25" ht="15" thickBot="1">
      <c r="A959" s="29">
        <f t="shared" si="970"/>
        <v>45875.833333332994</v>
      </c>
      <c r="B959" s="30">
        <f t="shared" si="933"/>
        <v>5000</v>
      </c>
      <c r="C959" s="8">
        <v>25000</v>
      </c>
      <c r="D959" s="187">
        <v>0</v>
      </c>
      <c r="E959" s="187">
        <v>700</v>
      </c>
      <c r="F959" s="187">
        <v>15000</v>
      </c>
      <c r="G959" s="30">
        <f t="shared" si="934"/>
        <v>2400</v>
      </c>
      <c r="H959" s="8">
        <v>25000</v>
      </c>
      <c r="I959" s="30">
        <f t="shared" si="932"/>
        <v>5000</v>
      </c>
      <c r="J959" s="187">
        <v>40000</v>
      </c>
      <c r="K959" s="30">
        <f t="shared" si="935"/>
        <v>5000</v>
      </c>
      <c r="L959" s="187">
        <v>40000</v>
      </c>
      <c r="M959" s="110">
        <v>9.5</v>
      </c>
      <c r="N959" s="9">
        <f>VLOOKUP(DATE(YEAR(A959),MONTH(A959),DAY(A959)),FY24_Temp[],3,FALSE)</f>
        <v>13.7</v>
      </c>
      <c r="O959" s="110">
        <f t="shared" si="929"/>
        <v>11.5</v>
      </c>
      <c r="P959" s="110">
        <f t="shared" si="930"/>
        <v>19.5</v>
      </c>
      <c r="Q959" s="79">
        <f>VLOOKUP(VLOOKUP(DATEVALUE(TEXT(A959,"m/d/yyyy")),FY24_Temp[],5,FALSE)&amp;TEXT(A959,"-h"),TempDelta[],4,FALSE)</f>
        <v>1.6933571355683463</v>
      </c>
      <c r="R959">
        <v>10</v>
      </c>
      <c r="S959" s="112">
        <v>1500</v>
      </c>
      <c r="T959" s="5">
        <f>VLOOKUP(TEXT(A959,"yy-mm")&amp;"-"&amp;IF(AND(WEEKDAY(A959)&gt;1,WEEKDAY(A959)&lt;7),"Wkd",TEXT(A959,"Ddd"))&amp;"-"&amp;TEXT(A959,"hh"),LoadTable[],3,FALSE)*0.92</f>
        <v>786.27137399656647</v>
      </c>
      <c r="U959" s="113">
        <f t="shared" si="931"/>
        <v>78.627137399656647</v>
      </c>
      <c r="V959">
        <f t="shared" ref="V959:W959" si="981">V935</f>
        <v>2.8</v>
      </c>
      <c r="W959">
        <f t="shared" si="981"/>
        <v>3.1</v>
      </c>
      <c r="X959" s="9">
        <v>3.1204236000000001</v>
      </c>
      <c r="Y959" s="39"/>
    </row>
    <row r="960" spans="1:25" ht="15" thickBot="1">
      <c r="A960" s="29">
        <f t="shared" si="970"/>
        <v>45875.874999999658</v>
      </c>
      <c r="B960" s="30">
        <f t="shared" si="933"/>
        <v>5000</v>
      </c>
      <c r="C960" s="8">
        <v>25000</v>
      </c>
      <c r="D960" s="187">
        <v>0</v>
      </c>
      <c r="E960" s="187">
        <v>700</v>
      </c>
      <c r="F960" s="187">
        <v>15000</v>
      </c>
      <c r="G960" s="30">
        <f t="shared" si="934"/>
        <v>2400</v>
      </c>
      <c r="H960" s="8">
        <v>25000</v>
      </c>
      <c r="I960" s="30">
        <f t="shared" si="932"/>
        <v>5000</v>
      </c>
      <c r="J960" s="187">
        <v>40000</v>
      </c>
      <c r="K960" s="30">
        <f t="shared" si="935"/>
        <v>5000</v>
      </c>
      <c r="L960" s="187">
        <v>40000</v>
      </c>
      <c r="M960" s="110">
        <v>9.5</v>
      </c>
      <c r="N960" s="9">
        <f>VLOOKUP(DATE(YEAR(A960),MONTH(A960),DAY(A960)),FY24_Temp[],3,FALSE)</f>
        <v>13.7</v>
      </c>
      <c r="O960" s="110">
        <f t="shared" si="929"/>
        <v>11.5</v>
      </c>
      <c r="P960" s="110">
        <f t="shared" si="930"/>
        <v>19.5</v>
      </c>
      <c r="Q960" s="79">
        <f>VLOOKUP(VLOOKUP(DATEVALUE(TEXT(A960,"m/d/yyyy")),FY24_Temp[],5,FALSE)&amp;TEXT(A960,"-h"),TempDelta[],4,FALSE)</f>
        <v>2.0325714520045688</v>
      </c>
      <c r="R960">
        <v>10</v>
      </c>
      <c r="S960" s="112">
        <v>1500</v>
      </c>
      <c r="T960" s="5">
        <f>VLOOKUP(TEXT(A960,"yy-mm")&amp;"-"&amp;IF(AND(WEEKDAY(A960)&gt;1,WEEKDAY(A960)&lt;7),"Wkd",TEXT(A960,"Ddd"))&amp;"-"&amp;TEXT(A960,"hh"),LoadTable[],3,FALSE)*0.92</f>
        <v>784.39716226323299</v>
      </c>
      <c r="U960" s="113">
        <f t="shared" si="931"/>
        <v>78.439716226323299</v>
      </c>
      <c r="V960">
        <f t="shared" ref="V960:W960" si="982">V936</f>
        <v>3.5</v>
      </c>
      <c r="W960">
        <f t="shared" si="982"/>
        <v>3.1</v>
      </c>
      <c r="X960" s="9">
        <v>3.0405536</v>
      </c>
      <c r="Y960" s="39"/>
    </row>
    <row r="961" spans="1:25" ht="15" thickBot="1">
      <c r="A961" s="29">
        <f t="shared" si="970"/>
        <v>45875.916666666322</v>
      </c>
      <c r="B961" s="30">
        <f t="shared" si="933"/>
        <v>5000</v>
      </c>
      <c r="C961" s="8">
        <v>25000</v>
      </c>
      <c r="D961" s="187">
        <v>0</v>
      </c>
      <c r="E961" s="187">
        <v>700</v>
      </c>
      <c r="F961" s="187">
        <v>15000</v>
      </c>
      <c r="G961" s="30">
        <f t="shared" si="934"/>
        <v>2400</v>
      </c>
      <c r="H961" s="8">
        <v>25000</v>
      </c>
      <c r="I961" s="30">
        <f t="shared" si="932"/>
        <v>5000</v>
      </c>
      <c r="J961" s="187">
        <v>40000</v>
      </c>
      <c r="K961" s="30">
        <f t="shared" si="935"/>
        <v>5000</v>
      </c>
      <c r="L961" s="187">
        <v>40000</v>
      </c>
      <c r="M961" s="110">
        <v>9.5</v>
      </c>
      <c r="N961" s="9">
        <f>VLOOKUP(DATE(YEAR(A961),MONTH(A961),DAY(A961)),FY24_Temp[],3,FALSE)</f>
        <v>13.7</v>
      </c>
      <c r="O961" s="110">
        <f t="shared" si="929"/>
        <v>11.5</v>
      </c>
      <c r="P961" s="110">
        <f t="shared" si="930"/>
        <v>19.5</v>
      </c>
      <c r="Q961" s="79">
        <f>VLOOKUP(VLOOKUP(DATEVALUE(TEXT(A961,"m/d/yyyy")),FY24_Temp[],5,FALSE)&amp;TEXT(A961,"-h"),TempDelta[],4,FALSE)</f>
        <v>2.3954285553523471</v>
      </c>
      <c r="R961">
        <v>10</v>
      </c>
      <c r="S961" s="112">
        <v>1500</v>
      </c>
      <c r="T961" s="5">
        <f>VLOOKUP(TEXT(A961,"yy-mm")&amp;"-"&amp;IF(AND(WEEKDAY(A961)&gt;1,WEEKDAY(A961)&lt;7),"Wkd",TEXT(A961,"Ddd"))&amp;"-"&amp;TEXT(A961,"hh"),LoadTable[],3,FALSE)*0.92</f>
        <v>600.06900003761973</v>
      </c>
      <c r="U961" s="113">
        <f t="shared" si="931"/>
        <v>60.00690000376197</v>
      </c>
      <c r="V961">
        <f t="shared" ref="V961:W961" si="983">V937</f>
        <v>2.9</v>
      </c>
      <c r="W961">
        <f t="shared" si="983"/>
        <v>3.1</v>
      </c>
      <c r="X961" s="9">
        <v>2.9656753999999999</v>
      </c>
      <c r="Y961" s="39"/>
    </row>
    <row r="962" spans="1:25" ht="15" thickBot="1">
      <c r="A962" s="29">
        <f t="shared" si="970"/>
        <v>45875.958333332987</v>
      </c>
      <c r="B962" s="30">
        <f t="shared" si="933"/>
        <v>5000</v>
      </c>
      <c r="C962" s="8">
        <v>25000</v>
      </c>
      <c r="D962" s="187">
        <v>0</v>
      </c>
      <c r="E962" s="187">
        <v>700</v>
      </c>
      <c r="F962" s="187">
        <v>15000</v>
      </c>
      <c r="G962" s="30">
        <f t="shared" si="934"/>
        <v>2400</v>
      </c>
      <c r="H962" s="8">
        <v>25000</v>
      </c>
      <c r="I962" s="30">
        <f t="shared" si="932"/>
        <v>5000</v>
      </c>
      <c r="J962" s="187">
        <v>40000</v>
      </c>
      <c r="K962" s="30">
        <f t="shared" si="935"/>
        <v>5000</v>
      </c>
      <c r="L962" s="187">
        <v>40000</v>
      </c>
      <c r="M962" s="110">
        <v>9.5</v>
      </c>
      <c r="N962" s="9">
        <f>VLOOKUP(DATE(YEAR(A962),MONTH(A962),DAY(A962)),FY24_Temp[],3,FALSE)</f>
        <v>13.7</v>
      </c>
      <c r="O962" s="110">
        <f t="shared" si="929"/>
        <v>11.5</v>
      </c>
      <c r="P962" s="110">
        <f t="shared" si="930"/>
        <v>19.5</v>
      </c>
      <c r="Q962" s="79">
        <f>VLOOKUP(VLOOKUP(DATEVALUE(TEXT(A962,"m/d/yyyy")),FY24_Temp[],5,FALSE)&amp;TEXT(A962,"-h"),TempDelta[],4,FALSE)</f>
        <v>2.5458571229662215</v>
      </c>
      <c r="R962">
        <v>10</v>
      </c>
      <c r="S962" s="112">
        <v>1500</v>
      </c>
      <c r="T962" s="5">
        <f>VLOOKUP(TEXT(A962,"yy-mm")&amp;"-"&amp;IF(AND(WEEKDAY(A962)&gt;1,WEEKDAY(A962)&lt;7),"Wkd",TEXT(A962,"Ddd"))&amp;"-"&amp;TEXT(A962,"hh"),LoadTable[],3,FALSE)*0.92</f>
        <v>486.44539999999989</v>
      </c>
      <c r="U962" s="113">
        <f t="shared" si="931"/>
        <v>48.644539999999992</v>
      </c>
      <c r="V962">
        <f t="shared" ref="V962:W962" si="984">V938</f>
        <v>3.6</v>
      </c>
      <c r="W962">
        <f t="shared" si="984"/>
        <v>3.1</v>
      </c>
      <c r="X962" s="9">
        <v>2.9095225</v>
      </c>
      <c r="Y962" s="39"/>
    </row>
    <row r="963" spans="1:25" ht="15" thickBot="1">
      <c r="A963" s="29">
        <f t="shared" si="970"/>
        <v>45875.999999999651</v>
      </c>
      <c r="B963" s="30">
        <f t="shared" si="933"/>
        <v>5000</v>
      </c>
      <c r="C963" s="8">
        <v>25000</v>
      </c>
      <c r="D963" s="187">
        <v>0</v>
      </c>
      <c r="E963" s="187">
        <v>700</v>
      </c>
      <c r="F963" s="187">
        <v>15000</v>
      </c>
      <c r="G963" s="30">
        <f t="shared" si="934"/>
        <v>2400</v>
      </c>
      <c r="H963" s="8">
        <v>25000</v>
      </c>
      <c r="I963" s="30">
        <f t="shared" si="932"/>
        <v>5000</v>
      </c>
      <c r="J963" s="187">
        <v>40000</v>
      </c>
      <c r="K963" s="30">
        <f t="shared" si="935"/>
        <v>5000</v>
      </c>
      <c r="L963" s="187">
        <v>40000</v>
      </c>
      <c r="M963" s="110">
        <v>9.5</v>
      </c>
      <c r="N963" s="9">
        <f>VLOOKUP(DATE(YEAR(A963),MONTH(A963),DAY(A963)),FY24_Temp[],3,FALSE)</f>
        <v>13.7</v>
      </c>
      <c r="O963" s="110">
        <f t="shared" si="929"/>
        <v>11.5</v>
      </c>
      <c r="P963" s="110">
        <f t="shared" si="930"/>
        <v>19.5</v>
      </c>
      <c r="Q963" s="79">
        <f>VLOOKUP(VLOOKUP(DATEVALUE(TEXT(A963,"m/d/yyyy")),FY24_Temp[],5,FALSE)&amp;TEXT(A963,"-h"),TempDelta[],4,FALSE)</f>
        <v>2.6947143077850342</v>
      </c>
      <c r="R963">
        <v>10</v>
      </c>
      <c r="S963" s="112">
        <v>1500</v>
      </c>
      <c r="T963" s="5">
        <f>VLOOKUP(TEXT(A963,"yy-mm")&amp;"-"&amp;IF(AND(WEEKDAY(A963)&gt;1,WEEKDAY(A963)&lt;7),"Wkd",TEXT(A963,"Ddd"))&amp;"-"&amp;TEXT(A963,"hh"),LoadTable[],3,FALSE)*0.92</f>
        <v>372.20164</v>
      </c>
      <c r="U963" s="113">
        <f t="shared" si="931"/>
        <v>37.220163999999997</v>
      </c>
      <c r="V963">
        <f t="shared" ref="V963:W963" si="985">V939</f>
        <v>3</v>
      </c>
      <c r="W963">
        <f t="shared" si="985"/>
        <v>3.2</v>
      </c>
      <c r="X963" s="9">
        <v>2.9282588999999999</v>
      </c>
      <c r="Y963" s="39"/>
    </row>
    <row r="964" spans="1:25" ht="15" thickBot="1">
      <c r="A964" s="29">
        <f t="shared" si="970"/>
        <v>45876.041666666315</v>
      </c>
      <c r="B964" s="30">
        <f t="shared" si="933"/>
        <v>5000</v>
      </c>
      <c r="C964" s="8">
        <v>25000</v>
      </c>
      <c r="D964" s="187">
        <v>0</v>
      </c>
      <c r="E964" s="187">
        <v>700</v>
      </c>
      <c r="F964" s="187">
        <v>15000</v>
      </c>
      <c r="G964" s="30">
        <f t="shared" si="934"/>
        <v>2400</v>
      </c>
      <c r="H964" s="8">
        <v>25000</v>
      </c>
      <c r="I964" s="30">
        <f t="shared" si="932"/>
        <v>5000</v>
      </c>
      <c r="J964" s="187">
        <v>40000</v>
      </c>
      <c r="K964" s="30">
        <f t="shared" si="935"/>
        <v>5000</v>
      </c>
      <c r="L964" s="187">
        <v>40000</v>
      </c>
      <c r="M964" s="110">
        <v>9.5</v>
      </c>
      <c r="N964" s="9">
        <f>VLOOKUP(DATE(YEAR(A964),MONTH(A964),DAY(A964)),FY24_Temp[],3,FALSE)</f>
        <v>13.7</v>
      </c>
      <c r="O964" s="110">
        <f t="shared" ref="O964:O1027" si="986">15.5-4</f>
        <v>11.5</v>
      </c>
      <c r="P964" s="110">
        <f t="shared" ref="P964:P1027" si="987">15.5+4</f>
        <v>19.5</v>
      </c>
      <c r="Q964" s="79">
        <f>VLOOKUP(VLOOKUP(DATEVALUE(TEXT(A964,"m/d/yyyy")),FY24_Temp[],5,FALSE)&amp;TEXT(A964,"-h"),TempDelta[],4,FALSE)</f>
        <v>2.746142796107701</v>
      </c>
      <c r="R964">
        <v>10</v>
      </c>
      <c r="S964" s="112">
        <v>1500</v>
      </c>
      <c r="T964" s="5">
        <f>VLOOKUP(TEXT(A964,"yy-mm")&amp;"-"&amp;IF(AND(WEEKDAY(A964)&gt;1,WEEKDAY(A964)&lt;7),"Wkd",TEXT(A964,"Ddd"))&amp;"-"&amp;TEXT(A964,"hh"),LoadTable[],3,FALSE)*0.92</f>
        <v>363.06235999999996</v>
      </c>
      <c r="U964" s="113">
        <f t="shared" ref="U964:U1027" si="988">T964/10</f>
        <v>36.306235999999998</v>
      </c>
      <c r="V964">
        <f t="shared" ref="V964:W964" si="989">V940</f>
        <v>2.6</v>
      </c>
      <c r="W964">
        <f t="shared" si="989"/>
        <v>3.2</v>
      </c>
      <c r="X964" s="9">
        <v>2.9735668</v>
      </c>
      <c r="Y964" s="39"/>
    </row>
    <row r="965" spans="1:25" ht="15" thickBot="1">
      <c r="A965" s="29">
        <f t="shared" si="970"/>
        <v>45876.083333332979</v>
      </c>
      <c r="B965" s="30">
        <f t="shared" si="933"/>
        <v>5000</v>
      </c>
      <c r="C965" s="8">
        <v>25000</v>
      </c>
      <c r="D965" s="187">
        <v>0</v>
      </c>
      <c r="E965" s="187">
        <v>700</v>
      </c>
      <c r="F965" s="187">
        <v>15000</v>
      </c>
      <c r="G965" s="30">
        <f t="shared" si="934"/>
        <v>2400</v>
      </c>
      <c r="H965" s="8">
        <v>25000</v>
      </c>
      <c r="I965" s="30">
        <f t="shared" si="932"/>
        <v>5000</v>
      </c>
      <c r="J965" s="187">
        <v>40000</v>
      </c>
      <c r="K965" s="30">
        <f t="shared" si="935"/>
        <v>5000</v>
      </c>
      <c r="L965" s="187">
        <v>40000</v>
      </c>
      <c r="M965" s="110">
        <v>9.5</v>
      </c>
      <c r="N965" s="9">
        <f>VLOOKUP(DATE(YEAR(A965),MONTH(A965),DAY(A965)),FY24_Temp[],3,FALSE)</f>
        <v>13.7</v>
      </c>
      <c r="O965" s="110">
        <f t="shared" si="986"/>
        <v>11.5</v>
      </c>
      <c r="P965" s="110">
        <f t="shared" si="987"/>
        <v>19.5</v>
      </c>
      <c r="Q965" s="79">
        <f>VLOOKUP(VLOOKUP(DATEVALUE(TEXT(A965,"m/d/yyyy")),FY24_Temp[],5,FALSE)&amp;TEXT(A965,"-h"),TempDelta[],4,FALSE)</f>
        <v>2.7678571428571428</v>
      </c>
      <c r="R965">
        <v>10</v>
      </c>
      <c r="S965" s="112">
        <v>1500</v>
      </c>
      <c r="T965" s="5">
        <f>VLOOKUP(TEXT(A965,"yy-mm")&amp;"-"&amp;IF(AND(WEEKDAY(A965)&gt;1,WEEKDAY(A965)&lt;7),"Wkd",TEXT(A965,"Ddd"))&amp;"-"&amp;TEXT(A965,"hh"),LoadTable[],3,FALSE)*0.92</f>
        <v>363.06235999999996</v>
      </c>
      <c r="U965" s="113">
        <f t="shared" si="988"/>
        <v>36.306235999999998</v>
      </c>
      <c r="V965">
        <f t="shared" ref="V965:W965" si="990">V941</f>
        <v>2.8</v>
      </c>
      <c r="W965">
        <f t="shared" si="990"/>
        <v>3.2</v>
      </c>
      <c r="X965" s="9">
        <v>3.0231271</v>
      </c>
      <c r="Y965" s="39"/>
    </row>
    <row r="966" spans="1:25" ht="15" thickBot="1">
      <c r="A966" s="29">
        <f t="shared" si="970"/>
        <v>45876.124999999643</v>
      </c>
      <c r="B966" s="30">
        <f t="shared" si="933"/>
        <v>5000</v>
      </c>
      <c r="C966" s="8">
        <v>25000</v>
      </c>
      <c r="D966" s="187">
        <v>0</v>
      </c>
      <c r="E966" s="187">
        <v>700</v>
      </c>
      <c r="F966" s="187">
        <v>15000</v>
      </c>
      <c r="G966" s="30">
        <f t="shared" si="934"/>
        <v>2400</v>
      </c>
      <c r="H966" s="8">
        <v>25000</v>
      </c>
      <c r="I966" s="30">
        <f t="shared" si="932"/>
        <v>5000</v>
      </c>
      <c r="J966" s="187">
        <v>40000</v>
      </c>
      <c r="K966" s="30">
        <f t="shared" si="935"/>
        <v>5000</v>
      </c>
      <c r="L966" s="187">
        <v>40000</v>
      </c>
      <c r="M966" s="110">
        <v>9.5</v>
      </c>
      <c r="N966" s="9">
        <f>VLOOKUP(DATE(YEAR(A966),MONTH(A966),DAY(A966)),FY24_Temp[],3,FALSE)</f>
        <v>13.7</v>
      </c>
      <c r="O966" s="110">
        <f t="shared" si="986"/>
        <v>11.5</v>
      </c>
      <c r="P966" s="110">
        <f t="shared" si="987"/>
        <v>19.5</v>
      </c>
      <c r="Q966" s="79">
        <f>VLOOKUP(VLOOKUP(DATEVALUE(TEXT(A966,"m/d/yyyy")),FY24_Temp[],5,FALSE)&amp;TEXT(A966,"-h"),TempDelta[],4,FALSE)</f>
        <v>2.7691428320748463</v>
      </c>
      <c r="R966">
        <v>10</v>
      </c>
      <c r="S966" s="112">
        <v>1500</v>
      </c>
      <c r="T966" s="5">
        <f>VLOOKUP(TEXT(A966,"yy-mm")&amp;"-"&amp;IF(AND(WEEKDAY(A966)&gt;1,WEEKDAY(A966)&lt;7),"Wkd",TEXT(A966,"Ddd"))&amp;"-"&amp;TEXT(A966,"hh"),LoadTable[],3,FALSE)*0.92</f>
        <v>363.06235999999996</v>
      </c>
      <c r="U966" s="113">
        <f t="shared" si="988"/>
        <v>36.306235999999998</v>
      </c>
      <c r="V966">
        <f t="shared" ref="V966:W966" si="991">V942</f>
        <v>2.7</v>
      </c>
      <c r="W966">
        <f t="shared" si="991"/>
        <v>3.2</v>
      </c>
      <c r="X966" s="9">
        <v>3.0643875999999999</v>
      </c>
      <c r="Y966" s="39"/>
    </row>
    <row r="967" spans="1:25" ht="15" thickBot="1">
      <c r="A967" s="29">
        <f t="shared" si="970"/>
        <v>45876.166666666308</v>
      </c>
      <c r="B967" s="30">
        <f t="shared" si="933"/>
        <v>5000</v>
      </c>
      <c r="C967" s="8">
        <v>25000</v>
      </c>
      <c r="D967" s="187">
        <v>0</v>
      </c>
      <c r="E967" s="187">
        <v>700</v>
      </c>
      <c r="F967" s="187">
        <v>15000</v>
      </c>
      <c r="G967" s="30">
        <f t="shared" si="934"/>
        <v>2400</v>
      </c>
      <c r="H967" s="8">
        <v>25000</v>
      </c>
      <c r="I967" s="30">
        <f t="shared" si="932"/>
        <v>5000</v>
      </c>
      <c r="J967" s="187">
        <v>40000</v>
      </c>
      <c r="K967" s="30">
        <f t="shared" si="935"/>
        <v>5000</v>
      </c>
      <c r="L967" s="187">
        <v>40000</v>
      </c>
      <c r="M967" s="110">
        <v>9.5</v>
      </c>
      <c r="N967" s="9">
        <f>VLOOKUP(DATE(YEAR(A967),MONTH(A967),DAY(A967)),FY24_Temp[],3,FALSE)</f>
        <v>13.7</v>
      </c>
      <c r="O967" s="110">
        <f t="shared" si="986"/>
        <v>11.5</v>
      </c>
      <c r="P967" s="110">
        <f t="shared" si="987"/>
        <v>19.5</v>
      </c>
      <c r="Q967" s="79">
        <f>VLOOKUP(VLOOKUP(DATEVALUE(TEXT(A967,"m/d/yyyy")),FY24_Temp[],5,FALSE)&amp;TEXT(A967,"-h"),TempDelta[],4,FALSE)</f>
        <v>2.7731428486960277</v>
      </c>
      <c r="R967">
        <v>10</v>
      </c>
      <c r="S967" s="112">
        <v>1500</v>
      </c>
      <c r="T967" s="5">
        <f>VLOOKUP(TEXT(A967,"yy-mm")&amp;"-"&amp;IF(AND(WEEKDAY(A967)&gt;1,WEEKDAY(A967)&lt;7),"Wkd",TEXT(A967,"Ddd"))&amp;"-"&amp;TEXT(A967,"hh"),LoadTable[],3,FALSE)*0.92</f>
        <v>363.06235999999996</v>
      </c>
      <c r="U967" s="113">
        <f t="shared" si="988"/>
        <v>36.306235999999998</v>
      </c>
      <c r="V967">
        <f t="shared" ref="V967:W967" si="992">V943</f>
        <v>3</v>
      </c>
      <c r="W967">
        <f t="shared" si="992"/>
        <v>3.1</v>
      </c>
      <c r="X967" s="9">
        <v>3.0913295999999999</v>
      </c>
      <c r="Y967" s="39"/>
    </row>
    <row r="968" spans="1:25" ht="15" thickBot="1">
      <c r="A968" s="29">
        <f t="shared" si="970"/>
        <v>45876.208333332972</v>
      </c>
      <c r="B968" s="30">
        <f t="shared" si="933"/>
        <v>5000</v>
      </c>
      <c r="C968" s="8">
        <v>25000</v>
      </c>
      <c r="D968" s="187">
        <v>0</v>
      </c>
      <c r="E968" s="187">
        <v>700</v>
      </c>
      <c r="F968" s="187">
        <v>15000</v>
      </c>
      <c r="G968" s="30">
        <f t="shared" si="934"/>
        <v>2400</v>
      </c>
      <c r="H968" s="8">
        <v>25000</v>
      </c>
      <c r="I968" s="30">
        <f t="shared" si="932"/>
        <v>5000</v>
      </c>
      <c r="J968" s="187">
        <v>40000</v>
      </c>
      <c r="K968" s="30">
        <f t="shared" si="935"/>
        <v>5000</v>
      </c>
      <c r="L968" s="187">
        <v>40000</v>
      </c>
      <c r="M968" s="110">
        <v>9.5</v>
      </c>
      <c r="N968" s="9">
        <f>VLOOKUP(DATE(YEAR(A968),MONTH(A968),DAY(A968)),FY24_Temp[],3,FALSE)</f>
        <v>13.7</v>
      </c>
      <c r="O968" s="110">
        <f t="shared" si="986"/>
        <v>11.5</v>
      </c>
      <c r="P968" s="110">
        <f t="shared" si="987"/>
        <v>19.5</v>
      </c>
      <c r="Q968" s="79">
        <f>VLOOKUP(VLOOKUP(DATEVALUE(TEXT(A968,"m/d/yyyy")),FY24_Temp[],5,FALSE)&amp;TEXT(A968,"-h"),TempDelta[],4,FALSE)</f>
        <v>2.8117143426622664</v>
      </c>
      <c r="R968">
        <v>10</v>
      </c>
      <c r="S968" s="112">
        <v>1500</v>
      </c>
      <c r="T968" s="5">
        <f>VLOOKUP(TEXT(A968,"yy-mm")&amp;"-"&amp;IF(AND(WEEKDAY(A968)&gt;1,WEEKDAY(A968)&lt;7),"Wkd",TEXT(A968,"Ddd"))&amp;"-"&amp;TEXT(A968,"hh"),LoadTable[],3,FALSE)*0.92</f>
        <v>363.06235999999996</v>
      </c>
      <c r="U968" s="113">
        <f t="shared" si="988"/>
        <v>36.306235999999998</v>
      </c>
      <c r="V968">
        <f t="shared" ref="V968:W968" si="993">V944</f>
        <v>2.9</v>
      </c>
      <c r="W968">
        <f t="shared" si="993"/>
        <v>3.1</v>
      </c>
      <c r="X968" s="9">
        <v>3.1555688000000002</v>
      </c>
      <c r="Y968" s="39"/>
    </row>
    <row r="969" spans="1:25" ht="15" thickBot="1">
      <c r="A969" s="29">
        <f t="shared" si="970"/>
        <v>45876.249999999636</v>
      </c>
      <c r="B969" s="30">
        <f t="shared" si="933"/>
        <v>8000</v>
      </c>
      <c r="C969" s="8">
        <v>25000</v>
      </c>
      <c r="D969" s="187">
        <v>0</v>
      </c>
      <c r="E969" s="187">
        <v>700</v>
      </c>
      <c r="F969" s="187">
        <v>15000</v>
      </c>
      <c r="G969" s="30">
        <f t="shared" si="934"/>
        <v>2400</v>
      </c>
      <c r="H969" s="8">
        <v>25000</v>
      </c>
      <c r="I969" s="30">
        <f t="shared" si="932"/>
        <v>8000</v>
      </c>
      <c r="J969" s="187">
        <v>40000</v>
      </c>
      <c r="K969" s="30">
        <f t="shared" si="935"/>
        <v>8000</v>
      </c>
      <c r="L969" s="187">
        <v>40000</v>
      </c>
      <c r="M969" s="110">
        <v>9.5</v>
      </c>
      <c r="N969" s="9">
        <f>VLOOKUP(DATE(YEAR(A969),MONTH(A969),DAY(A969)),FY24_Temp[],3,FALSE)</f>
        <v>13.7</v>
      </c>
      <c r="O969" s="110">
        <f t="shared" si="986"/>
        <v>11.5</v>
      </c>
      <c r="P969" s="110">
        <f t="shared" si="987"/>
        <v>19.5</v>
      </c>
      <c r="Q969" s="79">
        <f>VLOOKUP(VLOOKUP(DATEVALUE(TEXT(A969,"m/d/yyyy")),FY24_Temp[],5,FALSE)&amp;TEXT(A969,"-h"),TempDelta[],4,FALSE)</f>
        <v>2.8184285845075334</v>
      </c>
      <c r="R969">
        <v>10</v>
      </c>
      <c r="S969" s="112">
        <v>1500</v>
      </c>
      <c r="T969" s="5">
        <f>VLOOKUP(TEXT(A969,"yy-mm")&amp;"-"&amp;IF(AND(WEEKDAY(A969)&gt;1,WEEKDAY(A969)&lt;7),"Wkd",TEXT(A969,"Ddd"))&amp;"-"&amp;TEXT(A969,"hh"),LoadTable[],3,FALSE)*0.92</f>
        <v>363.06235999999996</v>
      </c>
      <c r="U969" s="113">
        <f t="shared" si="988"/>
        <v>36.306235999999998</v>
      </c>
      <c r="V969">
        <f t="shared" ref="V969:W969" si="994">V945</f>
        <v>2.5</v>
      </c>
      <c r="W969">
        <f t="shared" si="994"/>
        <v>3.1</v>
      </c>
      <c r="X969" s="9">
        <v>3.2238642999999998</v>
      </c>
      <c r="Y969" s="39"/>
    </row>
    <row r="970" spans="1:25" ht="15" thickBot="1">
      <c r="A970" s="29">
        <f t="shared" si="970"/>
        <v>45876.2916666663</v>
      </c>
      <c r="B970" s="30">
        <f t="shared" si="933"/>
        <v>8000</v>
      </c>
      <c r="C970" s="8">
        <v>25000</v>
      </c>
      <c r="D970" s="187">
        <v>0</v>
      </c>
      <c r="E970" s="187">
        <v>700</v>
      </c>
      <c r="F970" s="187">
        <v>15000</v>
      </c>
      <c r="G970" s="30">
        <f t="shared" si="934"/>
        <v>2400</v>
      </c>
      <c r="H970" s="8">
        <v>25000</v>
      </c>
      <c r="I970" s="30">
        <f t="shared" si="932"/>
        <v>8000</v>
      </c>
      <c r="J970" s="187">
        <v>40000</v>
      </c>
      <c r="K970" s="30">
        <f t="shared" si="935"/>
        <v>8000</v>
      </c>
      <c r="L970" s="187">
        <v>40000</v>
      </c>
      <c r="M970" s="110">
        <v>9.5</v>
      </c>
      <c r="N970" s="9">
        <f>VLOOKUP(DATE(YEAR(A970),MONTH(A970),DAY(A970)),FY24_Temp[],3,FALSE)</f>
        <v>13.7</v>
      </c>
      <c r="O970" s="110">
        <f t="shared" si="986"/>
        <v>11.5</v>
      </c>
      <c r="P970" s="110">
        <f t="shared" si="987"/>
        <v>19.5</v>
      </c>
      <c r="Q970" s="79">
        <f>VLOOKUP(VLOOKUP(DATEVALUE(TEXT(A970,"m/d/yyyy")),FY24_Temp[],5,FALSE)&amp;TEXT(A970,"-h"),TempDelta[],4,FALSE)</f>
        <v>2.7782857418060303</v>
      </c>
      <c r="R970">
        <v>10</v>
      </c>
      <c r="S970" s="112">
        <v>1500</v>
      </c>
      <c r="T970" s="5">
        <f>VLOOKUP(TEXT(A970,"yy-mm")&amp;"-"&amp;IF(AND(WEEKDAY(A970)&gt;1,WEEKDAY(A970)&lt;7),"Wkd",TEXT(A970,"Ddd"))&amp;"-"&amp;TEXT(A970,"hh"),LoadTable[],3,FALSE)*0.92</f>
        <v>352.2091200000001</v>
      </c>
      <c r="U970" s="113">
        <f t="shared" si="988"/>
        <v>35.220912000000013</v>
      </c>
      <c r="V970">
        <f t="shared" ref="V970:W970" si="995">V946</f>
        <v>2.5</v>
      </c>
      <c r="W970">
        <f t="shared" si="995"/>
        <v>3.1</v>
      </c>
      <c r="X970" s="9">
        <v>3.2334928999999999</v>
      </c>
      <c r="Y970" s="39"/>
    </row>
    <row r="971" spans="1:25" ht="15" thickBot="1">
      <c r="A971" s="29">
        <f t="shared" si="970"/>
        <v>45876.333333332965</v>
      </c>
      <c r="B971" s="30">
        <f t="shared" si="933"/>
        <v>8000</v>
      </c>
      <c r="C971" s="8">
        <v>25000</v>
      </c>
      <c r="D971" s="187">
        <v>0</v>
      </c>
      <c r="E971" s="187">
        <v>700</v>
      </c>
      <c r="F971" s="187">
        <v>15000</v>
      </c>
      <c r="G971" s="30">
        <f t="shared" si="934"/>
        <v>2400</v>
      </c>
      <c r="H971" s="8">
        <v>25000</v>
      </c>
      <c r="I971" s="30">
        <f t="shared" si="932"/>
        <v>8000</v>
      </c>
      <c r="J971" s="187">
        <v>40000</v>
      </c>
      <c r="K971" s="30">
        <f t="shared" si="935"/>
        <v>8000</v>
      </c>
      <c r="L971" s="187">
        <v>40000</v>
      </c>
      <c r="M971" s="110">
        <v>9.5</v>
      </c>
      <c r="N971" s="9">
        <f>VLOOKUP(DATE(YEAR(A971),MONTH(A971),DAY(A971)),FY24_Temp[],3,FALSE)</f>
        <v>13.7</v>
      </c>
      <c r="O971" s="110">
        <f t="shared" si="986"/>
        <v>11.5</v>
      </c>
      <c r="P971" s="110">
        <f t="shared" si="987"/>
        <v>19.5</v>
      </c>
      <c r="Q971" s="79">
        <f>VLOOKUP(VLOOKUP(DATEVALUE(TEXT(A971,"m/d/yyyy")),FY24_Temp[],5,FALSE)&amp;TEXT(A971,"-h"),TempDelta[],4,FALSE)</f>
        <v>2.6682857104710171</v>
      </c>
      <c r="R971">
        <v>10</v>
      </c>
      <c r="S971" s="112">
        <v>1500</v>
      </c>
      <c r="T971" s="5">
        <f>VLOOKUP(TEXT(A971,"yy-mm")&amp;"-"&amp;IF(AND(WEEKDAY(A971)&gt;1,WEEKDAY(A971)&lt;7),"Wkd",TEXT(A971,"Ddd"))&amp;"-"&amp;TEXT(A971,"hh"),LoadTable[],3,FALSE)*0.92</f>
        <v>352.2091200000001</v>
      </c>
      <c r="U971" s="113">
        <f t="shared" si="988"/>
        <v>35.220912000000013</v>
      </c>
      <c r="V971">
        <f t="shared" ref="V971:W971" si="996">V947</f>
        <v>3.2</v>
      </c>
      <c r="W971">
        <f t="shared" si="996"/>
        <v>3</v>
      </c>
      <c r="X971" s="9">
        <v>3.2846641999999999</v>
      </c>
      <c r="Y971" s="39"/>
    </row>
    <row r="972" spans="1:25" ht="15" thickBot="1">
      <c r="A972" s="29">
        <f t="shared" si="970"/>
        <v>45876.374999999629</v>
      </c>
      <c r="B972" s="30">
        <f t="shared" ref="B972:B1035" si="997">B948</f>
        <v>8000</v>
      </c>
      <c r="C972" s="8">
        <v>25000</v>
      </c>
      <c r="D972" s="187">
        <v>0</v>
      </c>
      <c r="E972" s="187">
        <v>700</v>
      </c>
      <c r="F972" s="187">
        <v>15000</v>
      </c>
      <c r="G972" s="30">
        <f t="shared" ref="G972:G1035" si="998">G948</f>
        <v>2400</v>
      </c>
      <c r="H972" s="8">
        <v>25000</v>
      </c>
      <c r="I972" s="30">
        <f t="shared" ref="I972:I1035" si="999">I948</f>
        <v>8000</v>
      </c>
      <c r="J972" s="187">
        <v>40000</v>
      </c>
      <c r="K972" s="30">
        <f t="shared" ref="K972:K1035" si="1000">K948</f>
        <v>8000</v>
      </c>
      <c r="L972" s="187">
        <v>40000</v>
      </c>
      <c r="M972" s="110">
        <v>9.5</v>
      </c>
      <c r="N972" s="9">
        <f>VLOOKUP(DATE(YEAR(A972),MONTH(A972),DAY(A972)),FY24_Temp[],3,FALSE)</f>
        <v>13.7</v>
      </c>
      <c r="O972" s="110">
        <f t="shared" si="986"/>
        <v>11.5</v>
      </c>
      <c r="P972" s="110">
        <f t="shared" si="987"/>
        <v>19.5</v>
      </c>
      <c r="Q972" s="79">
        <f>VLOOKUP(VLOOKUP(DATEVALUE(TEXT(A972,"m/d/yyyy")),FY24_Temp[],5,FALSE)&amp;TEXT(A972,"-h"),TempDelta[],4,FALSE)</f>
        <v>2.4805714062282016</v>
      </c>
      <c r="R972">
        <v>10</v>
      </c>
      <c r="S972" s="112">
        <v>1500</v>
      </c>
      <c r="T972" s="5">
        <f>VLOOKUP(TEXT(A972,"yy-mm")&amp;"-"&amp;IF(AND(WEEKDAY(A972)&gt;1,WEEKDAY(A972)&lt;7),"Wkd",TEXT(A972,"Ddd"))&amp;"-"&amp;TEXT(A972,"hh"),LoadTable[],3,FALSE)*0.92</f>
        <v>340.60949077857163</v>
      </c>
      <c r="U972" s="113">
        <f t="shared" si="988"/>
        <v>34.06094907785716</v>
      </c>
      <c r="V972">
        <f t="shared" ref="V972:W972" si="1001">V948</f>
        <v>2.9</v>
      </c>
      <c r="W972">
        <f t="shared" si="1001"/>
        <v>3</v>
      </c>
      <c r="X972" s="9">
        <v>3.3645716000000001</v>
      </c>
      <c r="Y972" s="39"/>
    </row>
    <row r="973" spans="1:25" ht="15" thickBot="1">
      <c r="A973" s="29">
        <f t="shared" si="970"/>
        <v>45876.416666666293</v>
      </c>
      <c r="B973" s="30">
        <f t="shared" si="997"/>
        <v>8000</v>
      </c>
      <c r="C973" s="8">
        <v>25000</v>
      </c>
      <c r="D973" s="187">
        <v>0</v>
      </c>
      <c r="E973" s="187">
        <v>700</v>
      </c>
      <c r="F973" s="187">
        <v>15000</v>
      </c>
      <c r="G973" s="30">
        <f t="shared" si="998"/>
        <v>2400</v>
      </c>
      <c r="H973" s="8">
        <v>25000</v>
      </c>
      <c r="I973" s="30">
        <f t="shared" si="999"/>
        <v>8000</v>
      </c>
      <c r="J973" s="187">
        <v>40000</v>
      </c>
      <c r="K973" s="30">
        <f t="shared" si="1000"/>
        <v>8000</v>
      </c>
      <c r="L973" s="187">
        <v>40000</v>
      </c>
      <c r="M973" s="110">
        <v>9.5</v>
      </c>
      <c r="N973" s="9">
        <f>VLOOKUP(DATE(YEAR(A973),MONTH(A973),DAY(A973)),FY24_Temp[],3,FALSE)</f>
        <v>13.7</v>
      </c>
      <c r="O973" s="110">
        <f t="shared" si="986"/>
        <v>11.5</v>
      </c>
      <c r="P973" s="110">
        <f t="shared" si="987"/>
        <v>19.5</v>
      </c>
      <c r="Q973" s="79">
        <f>VLOOKUP(VLOOKUP(DATEVALUE(TEXT(A973,"m/d/yyyy")),FY24_Temp[],5,FALSE)&amp;TEXT(A973,"-h"),TempDelta[],4,FALSE)</f>
        <v>2.2650000027247836</v>
      </c>
      <c r="R973">
        <v>10</v>
      </c>
      <c r="S973" s="112">
        <v>1500</v>
      </c>
      <c r="T973" s="5">
        <f>VLOOKUP(TEXT(A973,"yy-mm")&amp;"-"&amp;IF(AND(WEEKDAY(A973)&gt;1,WEEKDAY(A973)&lt;7),"Wkd",TEXT(A973,"Ddd"))&amp;"-"&amp;TEXT(A973,"hh"),LoadTable[],3,FALSE)*0.92</f>
        <v>338.44093501457746</v>
      </c>
      <c r="U973" s="113">
        <f t="shared" si="988"/>
        <v>33.844093501457749</v>
      </c>
      <c r="V973">
        <f t="shared" ref="V973:W973" si="1002">V949</f>
        <v>2.9</v>
      </c>
      <c r="W973">
        <f t="shared" si="1002"/>
        <v>3</v>
      </c>
      <c r="X973" s="9">
        <v>3.377564</v>
      </c>
      <c r="Y973" s="39"/>
    </row>
    <row r="974" spans="1:25" ht="15" thickBot="1">
      <c r="A974" s="29">
        <f t="shared" si="970"/>
        <v>45876.458333332957</v>
      </c>
      <c r="B974" s="30">
        <f t="shared" si="997"/>
        <v>8000</v>
      </c>
      <c r="C974" s="8">
        <v>25000</v>
      </c>
      <c r="D974" s="187">
        <v>0</v>
      </c>
      <c r="E974" s="187">
        <v>700</v>
      </c>
      <c r="F974" s="187">
        <v>15000</v>
      </c>
      <c r="G974" s="30">
        <f t="shared" si="998"/>
        <v>2400</v>
      </c>
      <c r="H974" s="8">
        <v>25000</v>
      </c>
      <c r="I974" s="30">
        <f t="shared" si="999"/>
        <v>8000</v>
      </c>
      <c r="J974" s="187">
        <v>40000</v>
      </c>
      <c r="K974" s="30">
        <f t="shared" si="1000"/>
        <v>8000</v>
      </c>
      <c r="L974" s="187">
        <v>40000</v>
      </c>
      <c r="M974" s="110">
        <v>9.5</v>
      </c>
      <c r="N974" s="9">
        <f>VLOOKUP(DATE(YEAR(A974),MONTH(A974),DAY(A974)),FY24_Temp[],3,FALSE)</f>
        <v>13.7</v>
      </c>
      <c r="O974" s="110">
        <f t="shared" si="986"/>
        <v>11.5</v>
      </c>
      <c r="P974" s="110">
        <f t="shared" si="987"/>
        <v>19.5</v>
      </c>
      <c r="Q974" s="79">
        <f>VLOOKUP(VLOOKUP(DATEVALUE(TEXT(A974,"m/d/yyyy")),FY24_Temp[],5,FALSE)&amp;TEXT(A974,"-h"),TempDelta[],4,FALSE)</f>
        <v>2.0114285605294362</v>
      </c>
      <c r="R974">
        <v>10</v>
      </c>
      <c r="S974" s="112">
        <v>1500</v>
      </c>
      <c r="T974" s="5">
        <f>VLOOKUP(TEXT(A974,"yy-mm")&amp;"-"&amp;IF(AND(WEEKDAY(A974)&gt;1,WEEKDAY(A974)&lt;7),"Wkd",TEXT(A974,"Ddd"))&amp;"-"&amp;TEXT(A974,"hh"),LoadTable[],3,FALSE)*0.92</f>
        <v>338.44093501457746</v>
      </c>
      <c r="U974" s="113">
        <f t="shared" si="988"/>
        <v>33.844093501457749</v>
      </c>
      <c r="V974">
        <f t="shared" ref="V974:W974" si="1003">V950</f>
        <v>3.4</v>
      </c>
      <c r="W974">
        <f t="shared" si="1003"/>
        <v>3</v>
      </c>
      <c r="X974" s="9">
        <v>3.2318737999999998</v>
      </c>
      <c r="Y974" s="39"/>
    </row>
    <row r="975" spans="1:25" ht="15" thickBot="1">
      <c r="A975" s="29">
        <f t="shared" si="970"/>
        <v>45876.499999999622</v>
      </c>
      <c r="B975" s="30">
        <f t="shared" si="997"/>
        <v>8000</v>
      </c>
      <c r="C975" s="8">
        <v>25000</v>
      </c>
      <c r="D975" s="187">
        <v>0</v>
      </c>
      <c r="E975" s="187">
        <v>700</v>
      </c>
      <c r="F975" s="187">
        <v>15000</v>
      </c>
      <c r="G975" s="30">
        <f t="shared" si="998"/>
        <v>2400</v>
      </c>
      <c r="H975" s="8">
        <v>25000</v>
      </c>
      <c r="I975" s="30">
        <f t="shared" si="999"/>
        <v>8000</v>
      </c>
      <c r="J975" s="187">
        <v>40000</v>
      </c>
      <c r="K975" s="30">
        <f t="shared" si="1000"/>
        <v>8000</v>
      </c>
      <c r="L975" s="187">
        <v>40000</v>
      </c>
      <c r="M975" s="110">
        <v>9.5</v>
      </c>
      <c r="N975" s="9">
        <f>VLOOKUP(DATE(YEAR(A975),MONTH(A975),DAY(A975)),FY24_Temp[],3,FALSE)</f>
        <v>13.7</v>
      </c>
      <c r="O975" s="110">
        <f t="shared" si="986"/>
        <v>11.5</v>
      </c>
      <c r="P975" s="110">
        <f t="shared" si="987"/>
        <v>19.5</v>
      </c>
      <c r="Q975" s="79">
        <f>VLOOKUP(VLOOKUP(DATEVALUE(TEXT(A975,"m/d/yyyy")),FY24_Temp[],5,FALSE)&amp;TEXT(A975,"-h"),TempDelta[],4,FALSE)</f>
        <v>1.7541428463799613</v>
      </c>
      <c r="R975">
        <v>10</v>
      </c>
      <c r="S975" s="112">
        <v>1500</v>
      </c>
      <c r="T975" s="5">
        <f>VLOOKUP(TEXT(A975,"yy-mm")&amp;"-"&amp;IF(AND(WEEKDAY(A975)&gt;1,WEEKDAY(A975)&lt;7),"Wkd",TEXT(A975,"Ddd"))&amp;"-"&amp;TEXT(A975,"hh"),LoadTable[],3,FALSE)*0.92</f>
        <v>338.44093501457746</v>
      </c>
      <c r="U975" s="113">
        <f t="shared" si="988"/>
        <v>33.844093501457749</v>
      </c>
      <c r="V975">
        <f t="shared" ref="V975:W975" si="1004">V951</f>
        <v>3.1</v>
      </c>
      <c r="W975">
        <f t="shared" si="1004"/>
        <v>2.9</v>
      </c>
      <c r="X975" s="9">
        <v>3.0485338999999998</v>
      </c>
      <c r="Y975" s="39"/>
    </row>
    <row r="976" spans="1:25" ht="15" thickBot="1">
      <c r="A976" s="29">
        <f t="shared" si="970"/>
        <v>45876.541666666286</v>
      </c>
      <c r="B976" s="30">
        <f t="shared" si="997"/>
        <v>8000</v>
      </c>
      <c r="C976" s="8">
        <v>25000</v>
      </c>
      <c r="D976" s="187">
        <v>0</v>
      </c>
      <c r="E976" s="187">
        <v>700</v>
      </c>
      <c r="F976" s="187">
        <v>15000</v>
      </c>
      <c r="G976" s="30">
        <f t="shared" si="998"/>
        <v>2400</v>
      </c>
      <c r="H976" s="8">
        <v>25000</v>
      </c>
      <c r="I976" s="30">
        <f t="shared" si="999"/>
        <v>8000</v>
      </c>
      <c r="J976" s="187">
        <v>40000</v>
      </c>
      <c r="K976" s="30">
        <f t="shared" si="1000"/>
        <v>8000</v>
      </c>
      <c r="L976" s="187">
        <v>40000</v>
      </c>
      <c r="M976" s="110">
        <v>9.5</v>
      </c>
      <c r="N976" s="9">
        <f>VLOOKUP(DATE(YEAR(A976),MONTH(A976),DAY(A976)),FY24_Temp[],3,FALSE)</f>
        <v>13.7</v>
      </c>
      <c r="O976" s="110">
        <f t="shared" si="986"/>
        <v>11.5</v>
      </c>
      <c r="P976" s="110">
        <f t="shared" si="987"/>
        <v>19.5</v>
      </c>
      <c r="Q976" s="79">
        <f>VLOOKUP(VLOOKUP(DATEVALUE(TEXT(A976,"m/d/yyyy")),FY24_Temp[],5,FALSE)&amp;TEXT(A976,"-h"),TempDelta[],4,FALSE)</f>
        <v>1.4955714430127824</v>
      </c>
      <c r="R976">
        <v>10</v>
      </c>
      <c r="S976" s="112">
        <v>1500</v>
      </c>
      <c r="T976" s="5">
        <f>VLOOKUP(TEXT(A976,"yy-mm")&amp;"-"&amp;IF(AND(WEEKDAY(A976)&gt;1,WEEKDAY(A976)&lt;7),"Wkd",TEXT(A976,"Ddd"))&amp;"-"&amp;TEXT(A976,"hh"),LoadTable[],3,FALSE)*0.92</f>
        <v>389.90980000000025</v>
      </c>
      <c r="U976" s="113">
        <f t="shared" si="988"/>
        <v>38.990980000000022</v>
      </c>
      <c r="V976">
        <f t="shared" ref="V976:W976" si="1005">V952</f>
        <v>3.2</v>
      </c>
      <c r="W976">
        <f t="shared" si="1005"/>
        <v>2.9</v>
      </c>
      <c r="X976" s="9">
        <v>2.8661113</v>
      </c>
      <c r="Y976" s="39"/>
    </row>
    <row r="977" spans="1:25" ht="15" thickBot="1">
      <c r="A977" s="29">
        <f t="shared" si="970"/>
        <v>45876.58333333295</v>
      </c>
      <c r="B977" s="30">
        <f t="shared" si="997"/>
        <v>8000</v>
      </c>
      <c r="C977" s="8">
        <v>25000</v>
      </c>
      <c r="D977" s="187">
        <v>0</v>
      </c>
      <c r="E977" s="187">
        <v>700</v>
      </c>
      <c r="F977" s="187">
        <v>15000</v>
      </c>
      <c r="G977" s="30">
        <f t="shared" si="998"/>
        <v>2400</v>
      </c>
      <c r="H977" s="8">
        <v>25000</v>
      </c>
      <c r="I977" s="30">
        <f t="shared" si="999"/>
        <v>8000</v>
      </c>
      <c r="J977" s="187">
        <v>40000</v>
      </c>
      <c r="K977" s="30">
        <f t="shared" si="1000"/>
        <v>8000</v>
      </c>
      <c r="L977" s="187">
        <v>40000</v>
      </c>
      <c r="M977" s="110">
        <v>9.5</v>
      </c>
      <c r="N977" s="9">
        <f>VLOOKUP(DATE(YEAR(A977),MONTH(A977),DAY(A977)),FY24_Temp[],3,FALSE)</f>
        <v>13.7</v>
      </c>
      <c r="O977" s="110">
        <f t="shared" si="986"/>
        <v>11.5</v>
      </c>
      <c r="P977" s="110">
        <f t="shared" si="987"/>
        <v>19.5</v>
      </c>
      <c r="Q977" s="79">
        <f>VLOOKUP(VLOOKUP(DATEVALUE(TEXT(A977,"m/d/yyyy")),FY24_Temp[],5,FALSE)&amp;TEXT(A977,"-h"),TempDelta[],4,FALSE)</f>
        <v>1.0822857235159193</v>
      </c>
      <c r="R977">
        <v>10</v>
      </c>
      <c r="S977" s="112">
        <v>1500</v>
      </c>
      <c r="T977" s="5">
        <f>VLOOKUP(TEXT(A977,"yy-mm")&amp;"-"&amp;IF(AND(WEEKDAY(A977)&gt;1,WEEKDAY(A977)&lt;7),"Wkd",TEXT(A977,"Ddd"))&amp;"-"&amp;TEXT(A977,"hh"),LoadTable[],3,FALSE)*0.92</f>
        <v>625.53652000000022</v>
      </c>
      <c r="U977" s="113">
        <f t="shared" si="988"/>
        <v>62.553652000000021</v>
      </c>
      <c r="V977">
        <f t="shared" ref="V977:W977" si="1006">V953</f>
        <v>3.5</v>
      </c>
      <c r="W977">
        <f t="shared" si="1006"/>
        <v>2.9</v>
      </c>
      <c r="X977" s="9">
        <v>2.9089700999999999</v>
      </c>
      <c r="Y977" s="39"/>
    </row>
    <row r="978" spans="1:25" ht="15" thickBot="1">
      <c r="A978" s="29">
        <f t="shared" si="970"/>
        <v>45876.624999999614</v>
      </c>
      <c r="B978" s="30">
        <f t="shared" si="997"/>
        <v>8000</v>
      </c>
      <c r="C978" s="8">
        <v>25000</v>
      </c>
      <c r="D978" s="187">
        <v>0</v>
      </c>
      <c r="E978" s="187">
        <v>700</v>
      </c>
      <c r="F978" s="187">
        <v>15000</v>
      </c>
      <c r="G978" s="30">
        <f t="shared" si="998"/>
        <v>2400</v>
      </c>
      <c r="H978" s="8">
        <v>25000</v>
      </c>
      <c r="I978" s="30">
        <f t="shared" si="999"/>
        <v>8000</v>
      </c>
      <c r="J978" s="187">
        <v>40000</v>
      </c>
      <c r="K978" s="30">
        <f t="shared" si="1000"/>
        <v>8000</v>
      </c>
      <c r="L978" s="187">
        <v>40000</v>
      </c>
      <c r="M978" s="110">
        <v>9.5</v>
      </c>
      <c r="N978" s="9">
        <f>VLOOKUP(DATE(YEAR(A978),MONTH(A978),DAY(A978)),FY24_Temp[],3,FALSE)</f>
        <v>13.7</v>
      </c>
      <c r="O978" s="110">
        <f t="shared" si="986"/>
        <v>11.5</v>
      </c>
      <c r="P978" s="110">
        <f t="shared" si="987"/>
        <v>19.5</v>
      </c>
      <c r="Q978" s="79">
        <f>VLOOKUP(VLOOKUP(DATEVALUE(TEXT(A978,"m/d/yyyy")),FY24_Temp[],5,FALSE)&amp;TEXT(A978,"-h"),TempDelta[],4,FALSE)</f>
        <v>0.86314284375735695</v>
      </c>
      <c r="R978">
        <v>10</v>
      </c>
      <c r="S978" s="112">
        <v>1500</v>
      </c>
      <c r="T978" s="5">
        <f>VLOOKUP(TEXT(A978,"yy-mm")&amp;"-"&amp;IF(AND(WEEKDAY(A978)&gt;1,WEEKDAY(A978)&lt;7),"Wkd",TEXT(A978,"Ddd"))&amp;"-"&amp;TEXT(A978,"hh"),LoadTable[],3,FALSE)*0.92</f>
        <v>699.79524000000038</v>
      </c>
      <c r="U978" s="113">
        <f t="shared" si="988"/>
        <v>69.97952400000004</v>
      </c>
      <c r="V978">
        <f t="shared" ref="V978:W978" si="1007">V954</f>
        <v>3.2</v>
      </c>
      <c r="W978">
        <f t="shared" si="1007"/>
        <v>2.9</v>
      </c>
      <c r="X978" s="9">
        <v>3.2169219999999998</v>
      </c>
      <c r="Y978" s="39"/>
    </row>
    <row r="979" spans="1:25" ht="15" thickBot="1">
      <c r="A979" s="29">
        <f t="shared" si="970"/>
        <v>45876.666666666279</v>
      </c>
      <c r="B979" s="30">
        <f t="shared" si="997"/>
        <v>8000</v>
      </c>
      <c r="C979" s="8">
        <v>25000</v>
      </c>
      <c r="D979" s="187">
        <v>0</v>
      </c>
      <c r="E979" s="187">
        <v>700</v>
      </c>
      <c r="F979" s="187">
        <v>15000</v>
      </c>
      <c r="G979" s="30">
        <f t="shared" si="998"/>
        <v>2400</v>
      </c>
      <c r="H979" s="8">
        <v>25000</v>
      </c>
      <c r="I979" s="30">
        <f t="shared" si="999"/>
        <v>8000</v>
      </c>
      <c r="J979" s="187">
        <v>40000</v>
      </c>
      <c r="K979" s="30">
        <f t="shared" si="1000"/>
        <v>8000</v>
      </c>
      <c r="L979" s="187">
        <v>40000</v>
      </c>
      <c r="M979" s="110">
        <v>9.5</v>
      </c>
      <c r="N979" s="9">
        <f>VLOOKUP(DATE(YEAR(A979),MONTH(A979),DAY(A979)),FY24_Temp[],3,FALSE)</f>
        <v>13.7</v>
      </c>
      <c r="O979" s="110">
        <f t="shared" si="986"/>
        <v>11.5</v>
      </c>
      <c r="P979" s="110">
        <f t="shared" si="987"/>
        <v>19.5</v>
      </c>
      <c r="Q979" s="79">
        <f>VLOOKUP(VLOOKUP(DATEVALUE(TEXT(A979,"m/d/yyyy")),FY24_Temp[],5,FALSE)&amp;TEXT(A979,"-h"),TempDelta[],4,FALSE)</f>
        <v>0.71478571849209926</v>
      </c>
      <c r="R979">
        <v>10</v>
      </c>
      <c r="S979" s="112">
        <v>1500</v>
      </c>
      <c r="T979" s="5">
        <f>VLOOKUP(TEXT(A979,"yy-mm")&amp;"-"&amp;IF(AND(WEEKDAY(A979)&gt;1,WEEKDAY(A979)&lt;7),"Wkd",TEXT(A979,"Ddd"))&amp;"-"&amp;TEXT(A979,"hh"),LoadTable[],3,FALSE)*0.92</f>
        <v>786.27137399656624</v>
      </c>
      <c r="U979" s="113">
        <f t="shared" si="988"/>
        <v>78.627137399656618</v>
      </c>
      <c r="V979">
        <f t="shared" ref="V979:W979" si="1008">V955</f>
        <v>3.5</v>
      </c>
      <c r="W979">
        <f t="shared" si="1008"/>
        <v>3</v>
      </c>
      <c r="X979" s="9">
        <v>3.0791873999999999</v>
      </c>
      <c r="Y979" s="39"/>
    </row>
    <row r="980" spans="1:25" ht="15" thickBot="1">
      <c r="A980" s="29">
        <f t="shared" si="970"/>
        <v>45876.708333332943</v>
      </c>
      <c r="B980" s="30">
        <f t="shared" si="997"/>
        <v>8000</v>
      </c>
      <c r="C980" s="8">
        <v>25000</v>
      </c>
      <c r="D980" s="187">
        <v>0</v>
      </c>
      <c r="E980" s="187">
        <v>700</v>
      </c>
      <c r="F980" s="187">
        <v>15000</v>
      </c>
      <c r="G980" s="30">
        <f t="shared" si="998"/>
        <v>2400</v>
      </c>
      <c r="H980" s="8">
        <v>25000</v>
      </c>
      <c r="I980" s="30">
        <f t="shared" si="999"/>
        <v>8000</v>
      </c>
      <c r="J980" s="187">
        <v>40000</v>
      </c>
      <c r="K980" s="30">
        <f t="shared" si="1000"/>
        <v>8000</v>
      </c>
      <c r="L980" s="187">
        <v>40000</v>
      </c>
      <c r="M980" s="110">
        <v>9.5</v>
      </c>
      <c r="N980" s="9">
        <f>VLOOKUP(DATE(YEAR(A980),MONTH(A980),DAY(A980)),FY24_Temp[],3,FALSE)</f>
        <v>13.7</v>
      </c>
      <c r="O980" s="110">
        <f t="shared" si="986"/>
        <v>11.5</v>
      </c>
      <c r="P980" s="110">
        <f t="shared" si="987"/>
        <v>19.5</v>
      </c>
      <c r="Q980" s="79">
        <f>VLOOKUP(VLOOKUP(DATEVALUE(TEXT(A980,"m/d/yyyy")),FY24_Temp[],5,FALSE)&amp;TEXT(A980,"-h"),TempDelta[],4,FALSE)</f>
        <v>0.73571428656578064</v>
      </c>
      <c r="R980">
        <v>10</v>
      </c>
      <c r="S980" s="112">
        <v>1500</v>
      </c>
      <c r="T980" s="5">
        <f>VLOOKUP(TEXT(A980,"yy-mm")&amp;"-"&amp;IF(AND(WEEKDAY(A980)&gt;1,WEEKDAY(A980)&lt;7),"Wkd",TEXT(A980,"Ddd"))&amp;"-"&amp;TEXT(A980,"hh"),LoadTable[],3,FALSE)*0.92</f>
        <v>786.27137399656624</v>
      </c>
      <c r="U980" s="113">
        <f t="shared" si="988"/>
        <v>78.627137399656618</v>
      </c>
      <c r="V980">
        <f t="shared" ref="V980:W980" si="1009">V956</f>
        <v>3.6</v>
      </c>
      <c r="W980">
        <f t="shared" si="1009"/>
        <v>3</v>
      </c>
      <c r="X980" s="9">
        <v>3.0040752999999998</v>
      </c>
      <c r="Y980" s="39"/>
    </row>
    <row r="981" spans="1:25" ht="15" thickBot="1">
      <c r="A981" s="29">
        <f t="shared" si="970"/>
        <v>45876.749999999607</v>
      </c>
      <c r="B981" s="30">
        <f t="shared" si="997"/>
        <v>5000</v>
      </c>
      <c r="C981" s="8">
        <v>25000</v>
      </c>
      <c r="D981" s="187">
        <v>0</v>
      </c>
      <c r="E981" s="187">
        <v>700</v>
      </c>
      <c r="F981" s="187">
        <v>15000</v>
      </c>
      <c r="G981" s="30">
        <f t="shared" si="998"/>
        <v>2400</v>
      </c>
      <c r="H981" s="8">
        <v>25000</v>
      </c>
      <c r="I981" s="30">
        <f t="shared" si="999"/>
        <v>5000</v>
      </c>
      <c r="J981" s="187">
        <v>40000</v>
      </c>
      <c r="K981" s="30">
        <f t="shared" si="1000"/>
        <v>5000</v>
      </c>
      <c r="L981" s="187">
        <v>40000</v>
      </c>
      <c r="M981" s="110">
        <v>9.5</v>
      </c>
      <c r="N981" s="9">
        <f>VLOOKUP(DATE(YEAR(A981),MONTH(A981),DAY(A981)),FY24_Temp[],3,FALSE)</f>
        <v>13.7</v>
      </c>
      <c r="O981" s="110">
        <f t="shared" si="986"/>
        <v>11.5</v>
      </c>
      <c r="P981" s="110">
        <f t="shared" si="987"/>
        <v>19.5</v>
      </c>
      <c r="Q981" s="79">
        <f>VLOOKUP(VLOOKUP(DATEVALUE(TEXT(A981,"m/d/yyyy")),FY24_Temp[],5,FALSE)&amp;TEXT(A981,"-h"),TempDelta[],4,FALSE)</f>
        <v>0.95992857217788696</v>
      </c>
      <c r="R981">
        <v>10</v>
      </c>
      <c r="S981" s="112">
        <v>1500</v>
      </c>
      <c r="T981" s="5">
        <f>VLOOKUP(TEXT(A981,"yy-mm")&amp;"-"&amp;IF(AND(WEEKDAY(A981)&gt;1,WEEKDAY(A981)&lt;7),"Wkd",TEXT(A981,"Ddd"))&amp;"-"&amp;TEXT(A981,"hh"),LoadTable[],3,FALSE)*0.92</f>
        <v>786.27137399656647</v>
      </c>
      <c r="U981" s="113">
        <f t="shared" si="988"/>
        <v>78.627137399656647</v>
      </c>
      <c r="V981">
        <f t="shared" ref="V981:W981" si="1010">V957</f>
        <v>2.9</v>
      </c>
      <c r="W981">
        <f t="shared" si="1010"/>
        <v>3</v>
      </c>
      <c r="X981" s="9">
        <v>2.9862986</v>
      </c>
      <c r="Y981" s="39"/>
    </row>
    <row r="982" spans="1:25" ht="15" thickBot="1">
      <c r="A982" s="29">
        <f t="shared" si="970"/>
        <v>45876.791666666271</v>
      </c>
      <c r="B982" s="30">
        <f t="shared" si="997"/>
        <v>5000</v>
      </c>
      <c r="C982" s="8">
        <v>25000</v>
      </c>
      <c r="D982" s="187">
        <v>0</v>
      </c>
      <c r="E982" s="187">
        <v>700</v>
      </c>
      <c r="F982" s="187">
        <v>15000</v>
      </c>
      <c r="G982" s="30">
        <f t="shared" si="998"/>
        <v>2400</v>
      </c>
      <c r="H982" s="8">
        <v>25000</v>
      </c>
      <c r="I982" s="30">
        <f t="shared" si="999"/>
        <v>5000</v>
      </c>
      <c r="J982" s="187">
        <v>40000</v>
      </c>
      <c r="K982" s="30">
        <f t="shared" si="1000"/>
        <v>5000</v>
      </c>
      <c r="L982" s="187">
        <v>40000</v>
      </c>
      <c r="M982" s="110">
        <v>9.5</v>
      </c>
      <c r="N982" s="9">
        <f>VLOOKUP(DATE(YEAR(A982),MONTH(A982),DAY(A982)),FY24_Temp[],3,FALSE)</f>
        <v>13.7</v>
      </c>
      <c r="O982" s="110">
        <f t="shared" si="986"/>
        <v>11.5</v>
      </c>
      <c r="P982" s="110">
        <f t="shared" si="987"/>
        <v>19.5</v>
      </c>
      <c r="Q982" s="79">
        <f>VLOOKUP(VLOOKUP(DATEVALUE(TEXT(A982,"m/d/yyyy")),FY24_Temp[],5,FALSE)&amp;TEXT(A982,"-h"),TempDelta[],4,FALSE)</f>
        <v>1.2718571509633745</v>
      </c>
      <c r="R982">
        <v>10</v>
      </c>
      <c r="S982" s="112">
        <v>1500</v>
      </c>
      <c r="T982" s="5">
        <f>VLOOKUP(TEXT(A982,"yy-mm")&amp;"-"&amp;IF(AND(WEEKDAY(A982)&gt;1,WEEKDAY(A982)&lt;7),"Wkd",TEXT(A982,"Ddd"))&amp;"-"&amp;TEXT(A982,"hh"),LoadTable[],3,FALSE)*0.92</f>
        <v>786.27137399656647</v>
      </c>
      <c r="U982" s="113">
        <f t="shared" si="988"/>
        <v>78.627137399656647</v>
      </c>
      <c r="V982">
        <f t="shared" ref="V982:W982" si="1011">V958</f>
        <v>3</v>
      </c>
      <c r="W982">
        <f t="shared" si="1011"/>
        <v>3</v>
      </c>
      <c r="X982" s="9">
        <v>2.9415716999999999</v>
      </c>
      <c r="Y982" s="39"/>
    </row>
    <row r="983" spans="1:25" ht="15" thickBot="1">
      <c r="A983" s="29">
        <f t="shared" si="970"/>
        <v>45876.833333332936</v>
      </c>
      <c r="B983" s="30">
        <f t="shared" si="997"/>
        <v>5000</v>
      </c>
      <c r="C983" s="8">
        <v>25000</v>
      </c>
      <c r="D983" s="187">
        <v>0</v>
      </c>
      <c r="E983" s="187">
        <v>700</v>
      </c>
      <c r="F983" s="187">
        <v>15000</v>
      </c>
      <c r="G983" s="30">
        <f t="shared" si="998"/>
        <v>2400</v>
      </c>
      <c r="H983" s="8">
        <v>25000</v>
      </c>
      <c r="I983" s="30">
        <f t="shared" si="999"/>
        <v>5000</v>
      </c>
      <c r="J983" s="187">
        <v>40000</v>
      </c>
      <c r="K983" s="30">
        <f t="shared" si="1000"/>
        <v>5000</v>
      </c>
      <c r="L983" s="187">
        <v>40000</v>
      </c>
      <c r="M983" s="110">
        <v>9.5</v>
      </c>
      <c r="N983" s="9">
        <f>VLOOKUP(DATE(YEAR(A983),MONTH(A983),DAY(A983)),FY24_Temp[],3,FALSE)</f>
        <v>13.7</v>
      </c>
      <c r="O983" s="110">
        <f t="shared" si="986"/>
        <v>11.5</v>
      </c>
      <c r="P983" s="110">
        <f t="shared" si="987"/>
        <v>19.5</v>
      </c>
      <c r="Q983" s="79">
        <f>VLOOKUP(VLOOKUP(DATEVALUE(TEXT(A983,"m/d/yyyy")),FY24_Temp[],5,FALSE)&amp;TEXT(A983,"-h"),TempDelta[],4,FALSE)</f>
        <v>1.6933571355683463</v>
      </c>
      <c r="R983">
        <v>10</v>
      </c>
      <c r="S983" s="112">
        <v>1500</v>
      </c>
      <c r="T983" s="5">
        <f>VLOOKUP(TEXT(A983,"yy-mm")&amp;"-"&amp;IF(AND(WEEKDAY(A983)&gt;1,WEEKDAY(A983)&lt;7),"Wkd",TEXT(A983,"Ddd"))&amp;"-"&amp;TEXT(A983,"hh"),LoadTable[],3,FALSE)*0.92</f>
        <v>786.27137399656647</v>
      </c>
      <c r="U983" s="113">
        <f t="shared" si="988"/>
        <v>78.627137399656647</v>
      </c>
      <c r="V983">
        <f t="shared" ref="V983:W983" si="1012">V959</f>
        <v>2.8</v>
      </c>
      <c r="W983">
        <f t="shared" si="1012"/>
        <v>3.1</v>
      </c>
      <c r="X983" s="9">
        <v>2.9021363</v>
      </c>
      <c r="Y983" s="39"/>
    </row>
    <row r="984" spans="1:25" ht="15" thickBot="1">
      <c r="A984" s="29">
        <f t="shared" si="970"/>
        <v>45876.8749999996</v>
      </c>
      <c r="B984" s="30">
        <f t="shared" si="997"/>
        <v>5000</v>
      </c>
      <c r="C984" s="8">
        <v>25000</v>
      </c>
      <c r="D984" s="187">
        <v>0</v>
      </c>
      <c r="E984" s="187">
        <v>700</v>
      </c>
      <c r="F984" s="187">
        <v>15000</v>
      </c>
      <c r="G984" s="30">
        <f t="shared" si="998"/>
        <v>2400</v>
      </c>
      <c r="H984" s="8">
        <v>25000</v>
      </c>
      <c r="I984" s="30">
        <f t="shared" si="999"/>
        <v>5000</v>
      </c>
      <c r="J984" s="187">
        <v>40000</v>
      </c>
      <c r="K984" s="30">
        <f t="shared" si="1000"/>
        <v>5000</v>
      </c>
      <c r="L984" s="187">
        <v>40000</v>
      </c>
      <c r="M984" s="110">
        <v>9.5</v>
      </c>
      <c r="N984" s="9">
        <f>VLOOKUP(DATE(YEAR(A984),MONTH(A984),DAY(A984)),FY24_Temp[],3,FALSE)</f>
        <v>13.7</v>
      </c>
      <c r="O984" s="110">
        <f t="shared" si="986"/>
        <v>11.5</v>
      </c>
      <c r="P984" s="110">
        <f t="shared" si="987"/>
        <v>19.5</v>
      </c>
      <c r="Q984" s="79">
        <f>VLOOKUP(VLOOKUP(DATEVALUE(TEXT(A984,"m/d/yyyy")),FY24_Temp[],5,FALSE)&amp;TEXT(A984,"-h"),TempDelta[],4,FALSE)</f>
        <v>2.0325714520045688</v>
      </c>
      <c r="R984">
        <v>10</v>
      </c>
      <c r="S984" s="112">
        <v>1500</v>
      </c>
      <c r="T984" s="5">
        <f>VLOOKUP(TEXT(A984,"yy-mm")&amp;"-"&amp;IF(AND(WEEKDAY(A984)&gt;1,WEEKDAY(A984)&lt;7),"Wkd",TEXT(A984,"Ddd"))&amp;"-"&amp;TEXT(A984,"hh"),LoadTable[],3,FALSE)*0.92</f>
        <v>784.39716226323299</v>
      </c>
      <c r="U984" s="113">
        <f t="shared" si="988"/>
        <v>78.439716226323299</v>
      </c>
      <c r="V984">
        <f t="shared" ref="V984:W984" si="1013">V960</f>
        <v>3.5</v>
      </c>
      <c r="W984">
        <f t="shared" si="1013"/>
        <v>3.1</v>
      </c>
      <c r="X984" s="9">
        <v>2.8622622</v>
      </c>
      <c r="Y984" s="39"/>
    </row>
    <row r="985" spans="1:25" ht="15" thickBot="1">
      <c r="A985" s="29">
        <f t="shared" si="970"/>
        <v>45876.916666666264</v>
      </c>
      <c r="B985" s="30">
        <f t="shared" si="997"/>
        <v>5000</v>
      </c>
      <c r="C985" s="8">
        <v>25000</v>
      </c>
      <c r="D985" s="187">
        <v>0</v>
      </c>
      <c r="E985" s="187">
        <v>700</v>
      </c>
      <c r="F985" s="187">
        <v>15000</v>
      </c>
      <c r="G985" s="30">
        <f t="shared" si="998"/>
        <v>2400</v>
      </c>
      <c r="H985" s="8">
        <v>25000</v>
      </c>
      <c r="I985" s="30">
        <f t="shared" si="999"/>
        <v>5000</v>
      </c>
      <c r="J985" s="187">
        <v>40000</v>
      </c>
      <c r="K985" s="30">
        <f t="shared" si="1000"/>
        <v>5000</v>
      </c>
      <c r="L985" s="187">
        <v>40000</v>
      </c>
      <c r="M985" s="110">
        <v>9.5</v>
      </c>
      <c r="N985" s="9">
        <f>VLOOKUP(DATE(YEAR(A985),MONTH(A985),DAY(A985)),FY24_Temp[],3,FALSE)</f>
        <v>13.7</v>
      </c>
      <c r="O985" s="110">
        <f t="shared" si="986"/>
        <v>11.5</v>
      </c>
      <c r="P985" s="110">
        <f t="shared" si="987"/>
        <v>19.5</v>
      </c>
      <c r="Q985" s="79">
        <f>VLOOKUP(VLOOKUP(DATEVALUE(TEXT(A985,"m/d/yyyy")),FY24_Temp[],5,FALSE)&amp;TEXT(A985,"-h"),TempDelta[],4,FALSE)</f>
        <v>2.3954285553523471</v>
      </c>
      <c r="R985">
        <v>10</v>
      </c>
      <c r="S985" s="112">
        <v>1500</v>
      </c>
      <c r="T985" s="5">
        <f>VLOOKUP(TEXT(A985,"yy-mm")&amp;"-"&amp;IF(AND(WEEKDAY(A985)&gt;1,WEEKDAY(A985)&lt;7),"Wkd",TEXT(A985,"Ddd"))&amp;"-"&amp;TEXT(A985,"hh"),LoadTable[],3,FALSE)*0.92</f>
        <v>600.06900003761973</v>
      </c>
      <c r="U985" s="113">
        <f t="shared" si="988"/>
        <v>60.00690000376197</v>
      </c>
      <c r="V985">
        <f t="shared" ref="V985:W985" si="1014">V961</f>
        <v>2.9</v>
      </c>
      <c r="W985">
        <f t="shared" si="1014"/>
        <v>3.1</v>
      </c>
      <c r="X985" s="9">
        <v>2.8155912999999999</v>
      </c>
      <c r="Y985" s="39"/>
    </row>
    <row r="986" spans="1:25" ht="15" thickBot="1">
      <c r="A986" s="29">
        <f t="shared" si="970"/>
        <v>45876.958333332928</v>
      </c>
      <c r="B986" s="30">
        <f t="shared" si="997"/>
        <v>5000</v>
      </c>
      <c r="C986" s="41">
        <v>25000</v>
      </c>
      <c r="D986" s="187">
        <v>0</v>
      </c>
      <c r="E986" s="187">
        <v>700</v>
      </c>
      <c r="F986" s="187">
        <v>15000</v>
      </c>
      <c r="G986" s="30">
        <f t="shared" si="998"/>
        <v>2400</v>
      </c>
      <c r="H986" s="8">
        <v>25000</v>
      </c>
      <c r="I986" s="30">
        <f t="shared" si="999"/>
        <v>5000</v>
      </c>
      <c r="J986" s="187">
        <v>40000</v>
      </c>
      <c r="K986" s="30">
        <f t="shared" si="1000"/>
        <v>5000</v>
      </c>
      <c r="L986" s="187">
        <v>40000</v>
      </c>
      <c r="M986" s="110">
        <v>9.5</v>
      </c>
      <c r="N986" s="9">
        <f>VLOOKUP(DATE(YEAR(A986),MONTH(A986),DAY(A986)),FY24_Temp[],3,FALSE)</f>
        <v>13.7</v>
      </c>
      <c r="O986" s="110">
        <f t="shared" si="986"/>
        <v>11.5</v>
      </c>
      <c r="P986" s="110">
        <f t="shared" si="987"/>
        <v>19.5</v>
      </c>
      <c r="Q986" s="79">
        <f>VLOOKUP(VLOOKUP(DATEVALUE(TEXT(A986,"m/d/yyyy")),FY24_Temp[],5,FALSE)&amp;TEXT(A986,"-h"),TempDelta[],4,FALSE)</f>
        <v>2.5458571229662215</v>
      </c>
      <c r="R986">
        <v>10</v>
      </c>
      <c r="S986" s="112">
        <v>1500</v>
      </c>
      <c r="T986" s="5">
        <f>VLOOKUP(TEXT(A986,"yy-mm")&amp;"-"&amp;IF(AND(WEEKDAY(A986)&gt;1,WEEKDAY(A986)&lt;7),"Wkd",TEXT(A986,"Ddd"))&amp;"-"&amp;TEXT(A986,"hh"),LoadTable[],3,FALSE)*0.92</f>
        <v>486.44539999999989</v>
      </c>
      <c r="U986" s="113">
        <f t="shared" si="988"/>
        <v>48.644539999999992</v>
      </c>
      <c r="V986">
        <f t="shared" ref="V986:W986" si="1015">V962</f>
        <v>3.6</v>
      </c>
      <c r="W986">
        <f t="shared" si="1015"/>
        <v>3.1</v>
      </c>
      <c r="X986" s="9">
        <v>2.7097294000000001</v>
      </c>
      <c r="Y986" s="39"/>
    </row>
    <row r="987" spans="1:25" ht="15" thickBot="1">
      <c r="A987" s="29">
        <f t="shared" si="970"/>
        <v>45876.999999999593</v>
      </c>
      <c r="B987" s="30">
        <f t="shared" si="997"/>
        <v>5000</v>
      </c>
      <c r="C987" s="8">
        <v>25000</v>
      </c>
      <c r="D987" s="187">
        <v>0</v>
      </c>
      <c r="E987" s="187">
        <v>700</v>
      </c>
      <c r="F987" s="187">
        <v>15000</v>
      </c>
      <c r="G987" s="30">
        <f t="shared" si="998"/>
        <v>2400</v>
      </c>
      <c r="H987" s="8">
        <v>25000</v>
      </c>
      <c r="I987" s="30">
        <f t="shared" si="999"/>
        <v>5000</v>
      </c>
      <c r="J987" s="187">
        <v>40000</v>
      </c>
      <c r="K987" s="30">
        <f t="shared" si="1000"/>
        <v>5000</v>
      </c>
      <c r="L987" s="187">
        <v>40000</v>
      </c>
      <c r="M987" s="110">
        <v>9.5</v>
      </c>
      <c r="N987" s="9">
        <f>VLOOKUP(DATE(YEAR(A987),MONTH(A987),DAY(A987)),FY24_Temp[],3,FALSE)</f>
        <v>13.7</v>
      </c>
      <c r="O987" s="110">
        <f t="shared" si="986"/>
        <v>11.5</v>
      </c>
      <c r="P987" s="110">
        <f t="shared" si="987"/>
        <v>19.5</v>
      </c>
      <c r="Q987" s="79">
        <f>VLOOKUP(VLOOKUP(DATEVALUE(TEXT(A987,"m/d/yyyy")),FY24_Temp[],5,FALSE)&amp;TEXT(A987,"-h"),TempDelta[],4,FALSE)</f>
        <v>2.6947143077850342</v>
      </c>
      <c r="R987">
        <v>10</v>
      </c>
      <c r="S987" s="112">
        <v>1500</v>
      </c>
      <c r="T987" s="5">
        <f>VLOOKUP(TEXT(A987,"yy-mm")&amp;"-"&amp;IF(AND(WEEKDAY(A987)&gt;1,WEEKDAY(A987)&lt;7),"Wkd",TEXT(A987,"Ddd"))&amp;"-"&amp;TEXT(A987,"hh"),LoadTable[],3,FALSE)*0.92</f>
        <v>372.20164</v>
      </c>
      <c r="U987" s="113">
        <f t="shared" si="988"/>
        <v>37.220163999999997</v>
      </c>
      <c r="V987">
        <f t="shared" ref="V987:W987" si="1016">V963</f>
        <v>3</v>
      </c>
      <c r="W987">
        <f t="shared" si="1016"/>
        <v>3.2</v>
      </c>
      <c r="X987" s="9">
        <v>2.6478817000000001</v>
      </c>
      <c r="Y987" s="39"/>
    </row>
    <row r="988" spans="1:25" ht="15" thickBot="1">
      <c r="A988" s="29">
        <f t="shared" si="970"/>
        <v>45877.041666666257</v>
      </c>
      <c r="B988" s="30">
        <f t="shared" si="997"/>
        <v>5000</v>
      </c>
      <c r="C988" s="42">
        <v>25000</v>
      </c>
      <c r="D988" s="187">
        <v>0</v>
      </c>
      <c r="E988" s="187">
        <v>700</v>
      </c>
      <c r="F988" s="187">
        <v>15000</v>
      </c>
      <c r="G988" s="30">
        <f t="shared" si="998"/>
        <v>2400</v>
      </c>
      <c r="H988" s="8">
        <v>25000</v>
      </c>
      <c r="I988" s="30">
        <f t="shared" si="999"/>
        <v>5000</v>
      </c>
      <c r="J988" s="187">
        <v>40000</v>
      </c>
      <c r="K988" s="30">
        <f t="shared" si="1000"/>
        <v>5000</v>
      </c>
      <c r="L988" s="187">
        <v>40000</v>
      </c>
      <c r="M988" s="110">
        <v>9.5</v>
      </c>
      <c r="N988" s="9">
        <f>VLOOKUP(DATE(YEAR(A988),MONTH(A988),DAY(A988)),FY24_Temp[],3,FALSE)</f>
        <v>13.7</v>
      </c>
      <c r="O988" s="110">
        <f t="shared" si="986"/>
        <v>11.5</v>
      </c>
      <c r="P988" s="110">
        <f t="shared" si="987"/>
        <v>19.5</v>
      </c>
      <c r="Q988" s="79">
        <f>VLOOKUP(VLOOKUP(DATEVALUE(TEXT(A988,"m/d/yyyy")),FY24_Temp[],5,FALSE)&amp;TEXT(A988,"-h"),TempDelta[],4,FALSE)</f>
        <v>2.746142796107701</v>
      </c>
      <c r="R988">
        <v>10</v>
      </c>
      <c r="S988" s="112">
        <v>1500</v>
      </c>
      <c r="T988" s="5">
        <f>VLOOKUP(TEXT(A988,"yy-mm")&amp;"-"&amp;IF(AND(WEEKDAY(A988)&gt;1,WEEKDAY(A988)&lt;7),"Wkd",TEXT(A988,"Ddd"))&amp;"-"&amp;TEXT(A988,"hh"),LoadTable[],3,FALSE)*0.92</f>
        <v>363.06235999999996</v>
      </c>
      <c r="U988" s="113">
        <f t="shared" si="988"/>
        <v>36.306235999999998</v>
      </c>
      <c r="V988">
        <f t="shared" ref="V988:W988" si="1017">V964</f>
        <v>2.6</v>
      </c>
      <c r="W988">
        <f t="shared" si="1017"/>
        <v>3.2</v>
      </c>
      <c r="X988" s="9">
        <v>2.6271624999999998</v>
      </c>
      <c r="Y988" s="39"/>
    </row>
    <row r="989" spans="1:25" ht="15" thickBot="1">
      <c r="A989" s="29">
        <f t="shared" si="970"/>
        <v>45877.083333332921</v>
      </c>
      <c r="B989" s="30">
        <f t="shared" si="997"/>
        <v>5000</v>
      </c>
      <c r="C989" s="8">
        <v>25000</v>
      </c>
      <c r="D989" s="187">
        <v>0</v>
      </c>
      <c r="E989" s="187">
        <v>700</v>
      </c>
      <c r="F989" s="187">
        <v>15000</v>
      </c>
      <c r="G989" s="30">
        <f t="shared" si="998"/>
        <v>2400</v>
      </c>
      <c r="H989" s="8">
        <v>25000</v>
      </c>
      <c r="I989" s="30">
        <f t="shared" si="999"/>
        <v>5000</v>
      </c>
      <c r="J989" s="187">
        <v>40000</v>
      </c>
      <c r="K989" s="30">
        <f t="shared" si="1000"/>
        <v>5000</v>
      </c>
      <c r="L989" s="187">
        <v>40000</v>
      </c>
      <c r="M989" s="110">
        <v>9.5</v>
      </c>
      <c r="N989" s="9">
        <f>VLOOKUP(DATE(YEAR(A989),MONTH(A989),DAY(A989)),FY24_Temp[],3,FALSE)</f>
        <v>13.7</v>
      </c>
      <c r="O989" s="110">
        <f t="shared" si="986"/>
        <v>11.5</v>
      </c>
      <c r="P989" s="110">
        <f t="shared" si="987"/>
        <v>19.5</v>
      </c>
      <c r="Q989" s="79">
        <f>VLOOKUP(VLOOKUP(DATEVALUE(TEXT(A989,"m/d/yyyy")),FY24_Temp[],5,FALSE)&amp;TEXT(A989,"-h"),TempDelta[],4,FALSE)</f>
        <v>2.7678571428571428</v>
      </c>
      <c r="R989">
        <v>10</v>
      </c>
      <c r="S989" s="112">
        <v>1500</v>
      </c>
      <c r="T989" s="5">
        <f>VLOOKUP(TEXT(A989,"yy-mm")&amp;"-"&amp;IF(AND(WEEKDAY(A989)&gt;1,WEEKDAY(A989)&lt;7),"Wkd",TEXT(A989,"Ddd"))&amp;"-"&amp;TEXT(A989,"hh"),LoadTable[],3,FALSE)*0.92</f>
        <v>363.06235999999996</v>
      </c>
      <c r="U989" s="113">
        <f t="shared" si="988"/>
        <v>36.306235999999998</v>
      </c>
      <c r="V989">
        <f t="shared" ref="V989:W989" si="1018">V965</f>
        <v>2.8</v>
      </c>
      <c r="W989">
        <f t="shared" si="1018"/>
        <v>3.2</v>
      </c>
      <c r="X989" s="9">
        <v>2.6882806000000001</v>
      </c>
      <c r="Y989" s="39"/>
    </row>
    <row r="990" spans="1:25" ht="15" thickBot="1">
      <c r="A990" s="29">
        <f t="shared" si="970"/>
        <v>45877.124999999585</v>
      </c>
      <c r="B990" s="30">
        <f t="shared" si="997"/>
        <v>5000</v>
      </c>
      <c r="C990" s="8">
        <v>25000</v>
      </c>
      <c r="D990" s="187">
        <v>0</v>
      </c>
      <c r="E990" s="187">
        <v>700</v>
      </c>
      <c r="F990" s="187">
        <v>15000</v>
      </c>
      <c r="G990" s="30">
        <f t="shared" si="998"/>
        <v>2400</v>
      </c>
      <c r="H990" s="8">
        <v>25000</v>
      </c>
      <c r="I990" s="30">
        <f t="shared" si="999"/>
        <v>5000</v>
      </c>
      <c r="J990" s="187">
        <v>40000</v>
      </c>
      <c r="K990" s="30">
        <f t="shared" si="1000"/>
        <v>5000</v>
      </c>
      <c r="L990" s="187">
        <v>40000</v>
      </c>
      <c r="M990" s="110">
        <v>9.5</v>
      </c>
      <c r="N990" s="9">
        <f>VLOOKUP(DATE(YEAR(A990),MONTH(A990),DAY(A990)),FY24_Temp[],3,FALSE)</f>
        <v>13.7</v>
      </c>
      <c r="O990" s="110">
        <f t="shared" si="986"/>
        <v>11.5</v>
      </c>
      <c r="P990" s="110">
        <f t="shared" si="987"/>
        <v>19.5</v>
      </c>
      <c r="Q990" s="79">
        <f>VLOOKUP(VLOOKUP(DATEVALUE(TEXT(A990,"m/d/yyyy")),FY24_Temp[],5,FALSE)&amp;TEXT(A990,"-h"),TempDelta[],4,FALSE)</f>
        <v>2.7691428320748463</v>
      </c>
      <c r="R990">
        <v>10</v>
      </c>
      <c r="S990" s="112">
        <v>1500</v>
      </c>
      <c r="T990" s="5">
        <f>VLOOKUP(TEXT(A990,"yy-mm")&amp;"-"&amp;IF(AND(WEEKDAY(A990)&gt;1,WEEKDAY(A990)&lt;7),"Wkd",TEXT(A990,"Ddd"))&amp;"-"&amp;TEXT(A990,"hh"),LoadTable[],3,FALSE)*0.92</f>
        <v>363.06235999999996</v>
      </c>
      <c r="U990" s="113">
        <f t="shared" si="988"/>
        <v>36.306235999999998</v>
      </c>
      <c r="V990">
        <f t="shared" ref="V990:W990" si="1019">V966</f>
        <v>2.7</v>
      </c>
      <c r="W990">
        <f t="shared" si="1019"/>
        <v>3.2</v>
      </c>
      <c r="X990" s="9">
        <v>2.736243</v>
      </c>
      <c r="Y990" s="39"/>
    </row>
    <row r="991" spans="1:25" ht="15" thickBot="1">
      <c r="A991" s="29">
        <f t="shared" si="970"/>
        <v>45877.16666666625</v>
      </c>
      <c r="B991" s="30">
        <f t="shared" si="997"/>
        <v>5000</v>
      </c>
      <c r="C991" s="8">
        <v>25000</v>
      </c>
      <c r="D991" s="187">
        <v>0</v>
      </c>
      <c r="E991" s="187">
        <v>700</v>
      </c>
      <c r="F991" s="187">
        <v>15000</v>
      </c>
      <c r="G991" s="30">
        <f t="shared" si="998"/>
        <v>2400</v>
      </c>
      <c r="H991" s="8">
        <v>25000</v>
      </c>
      <c r="I991" s="30">
        <f t="shared" si="999"/>
        <v>5000</v>
      </c>
      <c r="J991" s="187">
        <v>40000</v>
      </c>
      <c r="K991" s="30">
        <f t="shared" si="1000"/>
        <v>5000</v>
      </c>
      <c r="L991" s="187">
        <v>40000</v>
      </c>
      <c r="M991" s="110">
        <v>9.5</v>
      </c>
      <c r="N991" s="9">
        <f>VLOOKUP(DATE(YEAR(A991),MONTH(A991),DAY(A991)),FY24_Temp[],3,FALSE)</f>
        <v>13.7</v>
      </c>
      <c r="O991" s="110">
        <f t="shared" si="986"/>
        <v>11.5</v>
      </c>
      <c r="P991" s="110">
        <f t="shared" si="987"/>
        <v>19.5</v>
      </c>
      <c r="Q991" s="79">
        <f>VLOOKUP(VLOOKUP(DATEVALUE(TEXT(A991,"m/d/yyyy")),FY24_Temp[],5,FALSE)&amp;TEXT(A991,"-h"),TempDelta[],4,FALSE)</f>
        <v>2.7731428486960277</v>
      </c>
      <c r="R991">
        <v>10</v>
      </c>
      <c r="S991" s="112">
        <v>1500</v>
      </c>
      <c r="T991" s="5">
        <f>VLOOKUP(TEXT(A991,"yy-mm")&amp;"-"&amp;IF(AND(WEEKDAY(A991)&gt;1,WEEKDAY(A991)&lt;7),"Wkd",TEXT(A991,"Ddd"))&amp;"-"&amp;TEXT(A991,"hh"),LoadTable[],3,FALSE)*0.92</f>
        <v>363.06235999999996</v>
      </c>
      <c r="U991" s="113">
        <f t="shared" si="988"/>
        <v>36.306235999999998</v>
      </c>
      <c r="V991">
        <f t="shared" ref="V991:W991" si="1020">V967</f>
        <v>3</v>
      </c>
      <c r="W991">
        <f t="shared" si="1020"/>
        <v>3.1</v>
      </c>
      <c r="X991" s="9">
        <v>2.7699392</v>
      </c>
      <c r="Y991" s="39"/>
    </row>
    <row r="992" spans="1:25" ht="15" thickBot="1">
      <c r="A992" s="29">
        <f t="shared" si="970"/>
        <v>45877.208333332914</v>
      </c>
      <c r="B992" s="30">
        <f t="shared" si="997"/>
        <v>5000</v>
      </c>
      <c r="C992" s="8">
        <v>25000</v>
      </c>
      <c r="D992" s="187">
        <v>0</v>
      </c>
      <c r="E992" s="187">
        <v>700</v>
      </c>
      <c r="F992" s="187">
        <v>15000</v>
      </c>
      <c r="G992" s="30">
        <f t="shared" si="998"/>
        <v>2400</v>
      </c>
      <c r="H992" s="8">
        <v>25000</v>
      </c>
      <c r="I992" s="30">
        <f t="shared" si="999"/>
        <v>5000</v>
      </c>
      <c r="J992" s="187">
        <v>40000</v>
      </c>
      <c r="K992" s="30">
        <f t="shared" si="1000"/>
        <v>5000</v>
      </c>
      <c r="L992" s="187">
        <v>40000</v>
      </c>
      <c r="M992" s="110">
        <v>9.5</v>
      </c>
      <c r="N992" s="9">
        <f>VLOOKUP(DATE(YEAR(A992),MONTH(A992),DAY(A992)),FY24_Temp[],3,FALSE)</f>
        <v>13.7</v>
      </c>
      <c r="O992" s="110">
        <f t="shared" si="986"/>
        <v>11.5</v>
      </c>
      <c r="P992" s="110">
        <f t="shared" si="987"/>
        <v>19.5</v>
      </c>
      <c r="Q992" s="79">
        <f>VLOOKUP(VLOOKUP(DATEVALUE(TEXT(A992,"m/d/yyyy")),FY24_Temp[],5,FALSE)&amp;TEXT(A992,"-h"),TempDelta[],4,FALSE)</f>
        <v>2.8117143426622664</v>
      </c>
      <c r="R992">
        <v>10</v>
      </c>
      <c r="S992" s="112">
        <v>1500</v>
      </c>
      <c r="T992" s="5">
        <f>VLOOKUP(TEXT(A992,"yy-mm")&amp;"-"&amp;IF(AND(WEEKDAY(A992)&gt;1,WEEKDAY(A992)&lt;7),"Wkd",TEXT(A992,"Ddd"))&amp;"-"&amp;TEXT(A992,"hh"),LoadTable[],3,FALSE)*0.92</f>
        <v>363.06235999999996</v>
      </c>
      <c r="U992" s="113">
        <f t="shared" si="988"/>
        <v>36.306235999999998</v>
      </c>
      <c r="V992">
        <f t="shared" ref="V992:W992" si="1021">V968</f>
        <v>2.9</v>
      </c>
      <c r="W992">
        <f t="shared" si="1021"/>
        <v>3.1</v>
      </c>
      <c r="X992" s="9">
        <v>2.8546931999999998</v>
      </c>
      <c r="Y992" s="39"/>
    </row>
    <row r="993" spans="1:25" ht="15" thickBot="1">
      <c r="A993" s="29">
        <f t="shared" si="970"/>
        <v>45877.249999999578</v>
      </c>
      <c r="B993" s="30">
        <f t="shared" si="997"/>
        <v>8000</v>
      </c>
      <c r="C993" s="8">
        <v>25000</v>
      </c>
      <c r="D993" s="187">
        <v>0</v>
      </c>
      <c r="E993" s="187">
        <v>700</v>
      </c>
      <c r="F993" s="187">
        <v>15000</v>
      </c>
      <c r="G993" s="30">
        <f t="shared" si="998"/>
        <v>2400</v>
      </c>
      <c r="H993" s="8">
        <v>25000</v>
      </c>
      <c r="I993" s="30">
        <f t="shared" si="999"/>
        <v>8000</v>
      </c>
      <c r="J993" s="187">
        <v>40000</v>
      </c>
      <c r="K993" s="30">
        <f t="shared" si="1000"/>
        <v>8000</v>
      </c>
      <c r="L993" s="187">
        <v>40000</v>
      </c>
      <c r="M993" s="110">
        <v>9.5</v>
      </c>
      <c r="N993" s="9">
        <f>VLOOKUP(DATE(YEAR(A993),MONTH(A993),DAY(A993)),FY24_Temp[],3,FALSE)</f>
        <v>13.7</v>
      </c>
      <c r="O993" s="110">
        <f t="shared" si="986"/>
        <v>11.5</v>
      </c>
      <c r="P993" s="110">
        <f t="shared" si="987"/>
        <v>19.5</v>
      </c>
      <c r="Q993" s="79">
        <f>VLOOKUP(VLOOKUP(DATEVALUE(TEXT(A993,"m/d/yyyy")),FY24_Temp[],5,FALSE)&amp;TEXT(A993,"-h"),TempDelta[],4,FALSE)</f>
        <v>2.8184285845075334</v>
      </c>
      <c r="R993">
        <v>10</v>
      </c>
      <c r="S993" s="112">
        <v>1500</v>
      </c>
      <c r="T993" s="5">
        <f>VLOOKUP(TEXT(A993,"yy-mm")&amp;"-"&amp;IF(AND(WEEKDAY(A993)&gt;1,WEEKDAY(A993)&lt;7),"Wkd",TEXT(A993,"Ddd"))&amp;"-"&amp;TEXT(A993,"hh"),LoadTable[],3,FALSE)*0.92</f>
        <v>363.06235999999996</v>
      </c>
      <c r="U993" s="113">
        <f t="shared" si="988"/>
        <v>36.306235999999998</v>
      </c>
      <c r="V993">
        <f t="shared" ref="V993:W993" si="1022">V969</f>
        <v>2.5</v>
      </c>
      <c r="W993">
        <f t="shared" si="1022"/>
        <v>3.1</v>
      </c>
      <c r="X993" s="9">
        <v>2.9852995999999998</v>
      </c>
      <c r="Y993" s="39"/>
    </row>
    <row r="994" spans="1:25" ht="15" thickBot="1">
      <c r="A994" s="29">
        <f t="shared" si="970"/>
        <v>45877.291666666242</v>
      </c>
      <c r="B994" s="30">
        <f t="shared" si="997"/>
        <v>8000</v>
      </c>
      <c r="C994" s="8">
        <v>25000</v>
      </c>
      <c r="D994" s="187">
        <v>0</v>
      </c>
      <c r="E994" s="187">
        <v>700</v>
      </c>
      <c r="F994" s="187">
        <v>15000</v>
      </c>
      <c r="G994" s="30">
        <f t="shared" si="998"/>
        <v>2400</v>
      </c>
      <c r="H994" s="8">
        <v>25000</v>
      </c>
      <c r="I994" s="30">
        <f t="shared" si="999"/>
        <v>8000</v>
      </c>
      <c r="J994" s="187">
        <v>40000</v>
      </c>
      <c r="K994" s="30">
        <f t="shared" si="1000"/>
        <v>8000</v>
      </c>
      <c r="L994" s="187">
        <v>40000</v>
      </c>
      <c r="M994" s="110">
        <v>9.5</v>
      </c>
      <c r="N994" s="9">
        <f>VLOOKUP(DATE(YEAR(A994),MONTH(A994),DAY(A994)),FY24_Temp[],3,FALSE)</f>
        <v>13.7</v>
      </c>
      <c r="O994" s="110">
        <f t="shared" si="986"/>
        <v>11.5</v>
      </c>
      <c r="P994" s="110">
        <f t="shared" si="987"/>
        <v>19.5</v>
      </c>
      <c r="Q994" s="79">
        <f>VLOOKUP(VLOOKUP(DATEVALUE(TEXT(A994,"m/d/yyyy")),FY24_Temp[],5,FALSE)&amp;TEXT(A994,"-h"),TempDelta[],4,FALSE)</f>
        <v>2.7782857418060303</v>
      </c>
      <c r="R994">
        <v>10</v>
      </c>
      <c r="S994" s="112">
        <v>1500</v>
      </c>
      <c r="T994" s="5">
        <f>VLOOKUP(TEXT(A994,"yy-mm")&amp;"-"&amp;IF(AND(WEEKDAY(A994)&gt;1,WEEKDAY(A994)&lt;7),"Wkd",TEXT(A994,"Ddd"))&amp;"-"&amp;TEXT(A994,"hh"),LoadTable[],3,FALSE)*0.92</f>
        <v>352.2091200000001</v>
      </c>
      <c r="U994" s="113">
        <f t="shared" si="988"/>
        <v>35.220912000000013</v>
      </c>
      <c r="V994">
        <f t="shared" ref="V994:W994" si="1023">V970</f>
        <v>2.5</v>
      </c>
      <c r="W994">
        <f t="shared" si="1023"/>
        <v>3.1</v>
      </c>
      <c r="X994" s="9">
        <v>3.1313431</v>
      </c>
      <c r="Y994" s="39"/>
    </row>
    <row r="995" spans="1:25" ht="15" thickBot="1">
      <c r="A995" s="29">
        <f t="shared" si="970"/>
        <v>45877.333333332906</v>
      </c>
      <c r="B995" s="30">
        <f t="shared" si="997"/>
        <v>8000</v>
      </c>
      <c r="C995" s="8">
        <v>25000</v>
      </c>
      <c r="D995" s="187">
        <v>0</v>
      </c>
      <c r="E995" s="187">
        <v>700</v>
      </c>
      <c r="F995" s="187">
        <v>15000</v>
      </c>
      <c r="G995" s="30">
        <f t="shared" si="998"/>
        <v>2400</v>
      </c>
      <c r="H995" s="8">
        <v>25000</v>
      </c>
      <c r="I995" s="30">
        <f t="shared" si="999"/>
        <v>8000</v>
      </c>
      <c r="J995" s="187">
        <v>40000</v>
      </c>
      <c r="K995" s="30">
        <f t="shared" si="1000"/>
        <v>8000</v>
      </c>
      <c r="L995" s="187">
        <v>40000</v>
      </c>
      <c r="M995" s="110">
        <v>9.5</v>
      </c>
      <c r="N995" s="9">
        <f>VLOOKUP(DATE(YEAR(A995),MONTH(A995),DAY(A995)),FY24_Temp[],3,FALSE)</f>
        <v>13.7</v>
      </c>
      <c r="O995" s="110">
        <f t="shared" si="986"/>
        <v>11.5</v>
      </c>
      <c r="P995" s="110">
        <f t="shared" si="987"/>
        <v>19.5</v>
      </c>
      <c r="Q995" s="79">
        <f>VLOOKUP(VLOOKUP(DATEVALUE(TEXT(A995,"m/d/yyyy")),FY24_Temp[],5,FALSE)&amp;TEXT(A995,"-h"),TempDelta[],4,FALSE)</f>
        <v>2.6682857104710171</v>
      </c>
      <c r="R995">
        <v>10</v>
      </c>
      <c r="S995" s="112">
        <v>1500</v>
      </c>
      <c r="T995" s="5">
        <f>VLOOKUP(TEXT(A995,"yy-mm")&amp;"-"&amp;IF(AND(WEEKDAY(A995)&gt;1,WEEKDAY(A995)&lt;7),"Wkd",TEXT(A995,"Ddd"))&amp;"-"&amp;TEXT(A995,"hh"),LoadTable[],3,FALSE)*0.92</f>
        <v>352.2091200000001</v>
      </c>
      <c r="U995" s="113">
        <f t="shared" si="988"/>
        <v>35.220912000000013</v>
      </c>
      <c r="V995">
        <f t="shared" ref="V995:W995" si="1024">V971</f>
        <v>3.2</v>
      </c>
      <c r="W995">
        <f t="shared" si="1024"/>
        <v>3</v>
      </c>
      <c r="X995" s="9">
        <v>3.1928477000000002</v>
      </c>
      <c r="Y995" s="39"/>
    </row>
    <row r="996" spans="1:25" ht="15" thickBot="1">
      <c r="A996" s="29">
        <f t="shared" si="970"/>
        <v>45877.374999999571</v>
      </c>
      <c r="B996" s="30">
        <f t="shared" si="997"/>
        <v>8000</v>
      </c>
      <c r="C996" s="8">
        <v>25000</v>
      </c>
      <c r="D996" s="187">
        <v>0</v>
      </c>
      <c r="E996" s="187">
        <v>700</v>
      </c>
      <c r="F996" s="187">
        <v>15000</v>
      </c>
      <c r="G996" s="30">
        <f t="shared" si="998"/>
        <v>2400</v>
      </c>
      <c r="H996" s="8">
        <v>25000</v>
      </c>
      <c r="I996" s="30">
        <f t="shared" si="999"/>
        <v>8000</v>
      </c>
      <c r="J996" s="187">
        <v>40000</v>
      </c>
      <c r="K996" s="30">
        <f t="shared" si="1000"/>
        <v>8000</v>
      </c>
      <c r="L996" s="187">
        <v>40000</v>
      </c>
      <c r="M996" s="110">
        <v>9.5</v>
      </c>
      <c r="N996" s="9">
        <f>VLOOKUP(DATE(YEAR(A996),MONTH(A996),DAY(A996)),FY24_Temp[],3,FALSE)</f>
        <v>13.7</v>
      </c>
      <c r="O996" s="110">
        <f t="shared" si="986"/>
        <v>11.5</v>
      </c>
      <c r="P996" s="110">
        <f t="shared" si="987"/>
        <v>19.5</v>
      </c>
      <c r="Q996" s="79">
        <f>VLOOKUP(VLOOKUP(DATEVALUE(TEXT(A996,"m/d/yyyy")),FY24_Temp[],5,FALSE)&amp;TEXT(A996,"-h"),TempDelta[],4,FALSE)</f>
        <v>2.4805714062282016</v>
      </c>
      <c r="R996">
        <v>10</v>
      </c>
      <c r="S996" s="112">
        <v>1500</v>
      </c>
      <c r="T996" s="5">
        <f>VLOOKUP(TEXT(A996,"yy-mm")&amp;"-"&amp;IF(AND(WEEKDAY(A996)&gt;1,WEEKDAY(A996)&lt;7),"Wkd",TEXT(A996,"Ddd"))&amp;"-"&amp;TEXT(A996,"hh"),LoadTable[],3,FALSE)*0.92</f>
        <v>340.60949077857163</v>
      </c>
      <c r="U996" s="113">
        <f t="shared" si="988"/>
        <v>34.06094907785716</v>
      </c>
      <c r="V996">
        <f t="shared" ref="V996:W996" si="1025">V972</f>
        <v>2.9</v>
      </c>
      <c r="W996">
        <f t="shared" si="1025"/>
        <v>3</v>
      </c>
      <c r="X996" s="9">
        <v>3.2407048000000001</v>
      </c>
      <c r="Y996" s="39"/>
    </row>
    <row r="997" spans="1:25" ht="15" thickBot="1">
      <c r="A997" s="29">
        <f t="shared" si="970"/>
        <v>45877.416666666235</v>
      </c>
      <c r="B997" s="30">
        <f t="shared" si="997"/>
        <v>8000</v>
      </c>
      <c r="C997" s="8">
        <v>25000</v>
      </c>
      <c r="D997" s="187">
        <v>0</v>
      </c>
      <c r="E997" s="187">
        <v>700</v>
      </c>
      <c r="F997" s="187">
        <v>15000</v>
      </c>
      <c r="G997" s="30">
        <f t="shared" si="998"/>
        <v>2400</v>
      </c>
      <c r="H997" s="8">
        <v>25000</v>
      </c>
      <c r="I997" s="30">
        <f t="shared" si="999"/>
        <v>8000</v>
      </c>
      <c r="J997" s="187">
        <v>40000</v>
      </c>
      <c r="K997" s="30">
        <f t="shared" si="1000"/>
        <v>8000</v>
      </c>
      <c r="L997" s="187">
        <v>40000</v>
      </c>
      <c r="M997" s="110">
        <v>9.5</v>
      </c>
      <c r="N997" s="9">
        <f>VLOOKUP(DATE(YEAR(A997),MONTH(A997),DAY(A997)),FY24_Temp[],3,FALSE)</f>
        <v>13.7</v>
      </c>
      <c r="O997" s="110">
        <f t="shared" si="986"/>
        <v>11.5</v>
      </c>
      <c r="P997" s="110">
        <f t="shared" si="987"/>
        <v>19.5</v>
      </c>
      <c r="Q997" s="79">
        <f>VLOOKUP(VLOOKUP(DATEVALUE(TEXT(A997,"m/d/yyyy")),FY24_Temp[],5,FALSE)&amp;TEXT(A997,"-h"),TempDelta[],4,FALSE)</f>
        <v>2.2650000027247836</v>
      </c>
      <c r="R997">
        <v>10</v>
      </c>
      <c r="S997" s="112">
        <v>1500</v>
      </c>
      <c r="T997" s="5">
        <f>VLOOKUP(TEXT(A997,"yy-mm")&amp;"-"&amp;IF(AND(WEEKDAY(A997)&gt;1,WEEKDAY(A997)&lt;7),"Wkd",TEXT(A997,"Ddd"))&amp;"-"&amp;TEXT(A997,"hh"),LoadTable[],3,FALSE)*0.92</f>
        <v>338.44093501457746</v>
      </c>
      <c r="U997" s="113">
        <f t="shared" si="988"/>
        <v>33.844093501457749</v>
      </c>
      <c r="V997">
        <f t="shared" ref="V997:W997" si="1026">V973</f>
        <v>2.9</v>
      </c>
      <c r="W997">
        <f t="shared" si="1026"/>
        <v>3</v>
      </c>
      <c r="X997" s="9">
        <v>3.3089184999999999</v>
      </c>
      <c r="Y997" s="39"/>
    </row>
    <row r="998" spans="1:25" ht="15" thickBot="1">
      <c r="A998" s="29">
        <f t="shared" si="970"/>
        <v>45877.458333332899</v>
      </c>
      <c r="B998" s="30">
        <f t="shared" si="997"/>
        <v>8000</v>
      </c>
      <c r="C998" s="8">
        <v>25000</v>
      </c>
      <c r="D998" s="187">
        <v>0</v>
      </c>
      <c r="E998" s="187">
        <v>700</v>
      </c>
      <c r="F998" s="187">
        <v>15000</v>
      </c>
      <c r="G998" s="30">
        <f t="shared" si="998"/>
        <v>2400</v>
      </c>
      <c r="H998" s="8">
        <v>25000</v>
      </c>
      <c r="I998" s="30">
        <f t="shared" si="999"/>
        <v>8000</v>
      </c>
      <c r="J998" s="187">
        <v>40000</v>
      </c>
      <c r="K998" s="30">
        <f t="shared" si="1000"/>
        <v>8000</v>
      </c>
      <c r="L998" s="187">
        <v>40000</v>
      </c>
      <c r="M998" s="110">
        <v>9.5</v>
      </c>
      <c r="N998" s="9">
        <f>VLOOKUP(DATE(YEAR(A998),MONTH(A998),DAY(A998)),FY24_Temp[],3,FALSE)</f>
        <v>13.7</v>
      </c>
      <c r="O998" s="110">
        <f t="shared" si="986"/>
        <v>11.5</v>
      </c>
      <c r="P998" s="110">
        <f t="shared" si="987"/>
        <v>19.5</v>
      </c>
      <c r="Q998" s="79">
        <f>VLOOKUP(VLOOKUP(DATEVALUE(TEXT(A998,"m/d/yyyy")),FY24_Temp[],5,FALSE)&amp;TEXT(A998,"-h"),TempDelta[],4,FALSE)</f>
        <v>2.0114285605294362</v>
      </c>
      <c r="R998">
        <v>10</v>
      </c>
      <c r="S998" s="112">
        <v>1500</v>
      </c>
      <c r="T998" s="5">
        <f>VLOOKUP(TEXT(A998,"yy-mm")&amp;"-"&amp;IF(AND(WEEKDAY(A998)&gt;1,WEEKDAY(A998)&lt;7),"Wkd",TEXT(A998,"Ddd"))&amp;"-"&amp;TEXT(A998,"hh"),LoadTable[],3,FALSE)*0.92</f>
        <v>338.44093501457746</v>
      </c>
      <c r="U998" s="113">
        <f t="shared" si="988"/>
        <v>33.844093501457749</v>
      </c>
      <c r="V998">
        <f t="shared" ref="V998:W998" si="1027">V974</f>
        <v>3.4</v>
      </c>
      <c r="W998">
        <f t="shared" si="1027"/>
        <v>3</v>
      </c>
      <c r="X998" s="9">
        <v>3.2608134999999998</v>
      </c>
      <c r="Y998" s="39"/>
    </row>
    <row r="999" spans="1:25" ht="15" thickBot="1">
      <c r="A999" s="29">
        <f t="shared" si="970"/>
        <v>45877.499999999563</v>
      </c>
      <c r="B999" s="30">
        <f t="shared" si="997"/>
        <v>8000</v>
      </c>
      <c r="C999" s="8">
        <v>25000</v>
      </c>
      <c r="D999" s="187">
        <v>0</v>
      </c>
      <c r="E999" s="187">
        <v>700</v>
      </c>
      <c r="F999" s="187">
        <v>15000</v>
      </c>
      <c r="G999" s="30">
        <f t="shared" si="998"/>
        <v>2400</v>
      </c>
      <c r="H999" s="8">
        <v>25000</v>
      </c>
      <c r="I999" s="30">
        <f t="shared" si="999"/>
        <v>8000</v>
      </c>
      <c r="J999" s="187">
        <v>40000</v>
      </c>
      <c r="K999" s="30">
        <f t="shared" si="1000"/>
        <v>8000</v>
      </c>
      <c r="L999" s="187">
        <v>40000</v>
      </c>
      <c r="M999" s="110">
        <v>9.5</v>
      </c>
      <c r="N999" s="9">
        <f>VLOOKUP(DATE(YEAR(A999),MONTH(A999),DAY(A999)),FY24_Temp[],3,FALSE)</f>
        <v>13.7</v>
      </c>
      <c r="O999" s="110">
        <f t="shared" si="986"/>
        <v>11.5</v>
      </c>
      <c r="P999" s="110">
        <f t="shared" si="987"/>
        <v>19.5</v>
      </c>
      <c r="Q999" s="79">
        <f>VLOOKUP(VLOOKUP(DATEVALUE(TEXT(A999,"m/d/yyyy")),FY24_Temp[],5,FALSE)&amp;TEXT(A999,"-h"),TempDelta[],4,FALSE)</f>
        <v>1.7541428463799613</v>
      </c>
      <c r="R999">
        <v>10</v>
      </c>
      <c r="S999" s="112">
        <v>1500</v>
      </c>
      <c r="T999" s="5">
        <f>VLOOKUP(TEXT(A999,"yy-mm")&amp;"-"&amp;IF(AND(WEEKDAY(A999)&gt;1,WEEKDAY(A999)&lt;7),"Wkd",TEXT(A999,"Ddd"))&amp;"-"&amp;TEXT(A999,"hh"),LoadTable[],3,FALSE)*0.92</f>
        <v>338.44093501457746</v>
      </c>
      <c r="U999" s="113">
        <f t="shared" si="988"/>
        <v>33.844093501457749</v>
      </c>
      <c r="V999">
        <f t="shared" ref="V999:W999" si="1028">V975</f>
        <v>3.1</v>
      </c>
      <c r="W999">
        <f t="shared" si="1028"/>
        <v>2.9</v>
      </c>
      <c r="X999" s="9">
        <v>3.1289069999999999</v>
      </c>
      <c r="Y999" s="39"/>
    </row>
    <row r="1000" spans="1:25" ht="15" thickBot="1">
      <c r="A1000" s="29">
        <f t="shared" si="970"/>
        <v>45877.541666666228</v>
      </c>
      <c r="B1000" s="30">
        <f t="shared" si="997"/>
        <v>8000</v>
      </c>
      <c r="C1000" s="8">
        <v>25000</v>
      </c>
      <c r="D1000" s="187">
        <v>0</v>
      </c>
      <c r="E1000" s="187">
        <v>700</v>
      </c>
      <c r="F1000" s="187">
        <v>15000</v>
      </c>
      <c r="G1000" s="30">
        <f t="shared" si="998"/>
        <v>2400</v>
      </c>
      <c r="H1000" s="8">
        <v>25000</v>
      </c>
      <c r="I1000" s="30">
        <f t="shared" si="999"/>
        <v>8000</v>
      </c>
      <c r="J1000" s="187">
        <v>40000</v>
      </c>
      <c r="K1000" s="30">
        <f t="shared" si="1000"/>
        <v>8000</v>
      </c>
      <c r="L1000" s="187">
        <v>40000</v>
      </c>
      <c r="M1000" s="110">
        <v>9.5</v>
      </c>
      <c r="N1000" s="9">
        <f>VLOOKUP(DATE(YEAR(A1000),MONTH(A1000),DAY(A1000)),FY24_Temp[],3,FALSE)</f>
        <v>13.7</v>
      </c>
      <c r="O1000" s="110">
        <f t="shared" si="986"/>
        <v>11.5</v>
      </c>
      <c r="P1000" s="110">
        <f t="shared" si="987"/>
        <v>19.5</v>
      </c>
      <c r="Q1000" s="79">
        <f>VLOOKUP(VLOOKUP(DATEVALUE(TEXT(A1000,"m/d/yyyy")),FY24_Temp[],5,FALSE)&amp;TEXT(A1000,"-h"),TempDelta[],4,FALSE)</f>
        <v>1.4955714430127824</v>
      </c>
      <c r="R1000">
        <v>10</v>
      </c>
      <c r="S1000" s="112">
        <v>1500</v>
      </c>
      <c r="T1000" s="5">
        <f>VLOOKUP(TEXT(A1000,"yy-mm")&amp;"-"&amp;IF(AND(WEEKDAY(A1000)&gt;1,WEEKDAY(A1000)&lt;7),"Wkd",TEXT(A1000,"Ddd"))&amp;"-"&amp;TEXT(A1000,"hh"),LoadTable[],3,FALSE)*0.92</f>
        <v>389.90980000000025</v>
      </c>
      <c r="U1000" s="113">
        <f t="shared" si="988"/>
        <v>38.990980000000022</v>
      </c>
      <c r="V1000">
        <f t="shared" ref="V1000:W1000" si="1029">V976</f>
        <v>3.2</v>
      </c>
      <c r="W1000">
        <f t="shared" si="1029"/>
        <v>2.9</v>
      </c>
      <c r="X1000" s="9">
        <v>2.95085</v>
      </c>
      <c r="Y1000" s="39"/>
    </row>
    <row r="1001" spans="1:25" ht="15" thickBot="1">
      <c r="A1001" s="29">
        <f t="shared" si="970"/>
        <v>45877.583333332892</v>
      </c>
      <c r="B1001" s="30">
        <f t="shared" si="997"/>
        <v>8000</v>
      </c>
      <c r="C1001" s="8">
        <v>25000</v>
      </c>
      <c r="D1001" s="187">
        <v>0</v>
      </c>
      <c r="E1001" s="187">
        <v>700</v>
      </c>
      <c r="F1001" s="187">
        <v>15000</v>
      </c>
      <c r="G1001" s="30">
        <f t="shared" si="998"/>
        <v>2400</v>
      </c>
      <c r="H1001" s="8">
        <v>25000</v>
      </c>
      <c r="I1001" s="30">
        <f t="shared" si="999"/>
        <v>8000</v>
      </c>
      <c r="J1001" s="187">
        <v>40000</v>
      </c>
      <c r="K1001" s="30">
        <f t="shared" si="1000"/>
        <v>8000</v>
      </c>
      <c r="L1001" s="187">
        <v>40000</v>
      </c>
      <c r="M1001" s="110">
        <v>9.5</v>
      </c>
      <c r="N1001" s="9">
        <f>VLOOKUP(DATE(YEAR(A1001),MONTH(A1001),DAY(A1001)),FY24_Temp[],3,FALSE)</f>
        <v>13.7</v>
      </c>
      <c r="O1001" s="110">
        <f t="shared" si="986"/>
        <v>11.5</v>
      </c>
      <c r="P1001" s="110">
        <f t="shared" si="987"/>
        <v>19.5</v>
      </c>
      <c r="Q1001" s="79">
        <f>VLOOKUP(VLOOKUP(DATEVALUE(TEXT(A1001,"m/d/yyyy")),FY24_Temp[],5,FALSE)&amp;TEXT(A1001,"-h"),TempDelta[],4,FALSE)</f>
        <v>1.0822857235159193</v>
      </c>
      <c r="R1001">
        <v>10</v>
      </c>
      <c r="S1001" s="112">
        <v>1500</v>
      </c>
      <c r="T1001" s="5">
        <f>VLOOKUP(TEXT(A1001,"yy-mm")&amp;"-"&amp;IF(AND(WEEKDAY(A1001)&gt;1,WEEKDAY(A1001)&lt;7),"Wkd",TEXT(A1001,"Ddd"))&amp;"-"&amp;TEXT(A1001,"hh"),LoadTable[],3,FALSE)*0.92</f>
        <v>625.53652000000022</v>
      </c>
      <c r="U1001" s="113">
        <f t="shared" si="988"/>
        <v>62.553652000000021</v>
      </c>
      <c r="V1001">
        <f t="shared" ref="V1001:W1001" si="1030">V977</f>
        <v>3.5</v>
      </c>
      <c r="W1001">
        <f t="shared" si="1030"/>
        <v>2.9</v>
      </c>
      <c r="X1001" s="9">
        <v>2.8886243999999999</v>
      </c>
      <c r="Y1001" s="39"/>
    </row>
    <row r="1002" spans="1:25" ht="15" thickBot="1">
      <c r="A1002" s="29">
        <f t="shared" si="970"/>
        <v>45877.624999999556</v>
      </c>
      <c r="B1002" s="30">
        <f t="shared" si="997"/>
        <v>8000</v>
      </c>
      <c r="C1002" s="8">
        <v>25000</v>
      </c>
      <c r="D1002" s="187">
        <v>0</v>
      </c>
      <c r="E1002" s="187">
        <v>700</v>
      </c>
      <c r="F1002" s="187">
        <v>15000</v>
      </c>
      <c r="G1002" s="30">
        <f t="shared" si="998"/>
        <v>2400</v>
      </c>
      <c r="H1002" s="8">
        <v>25000</v>
      </c>
      <c r="I1002" s="30">
        <f t="shared" si="999"/>
        <v>8000</v>
      </c>
      <c r="J1002" s="187">
        <v>40000</v>
      </c>
      <c r="K1002" s="30">
        <f t="shared" si="1000"/>
        <v>8000</v>
      </c>
      <c r="L1002" s="187">
        <v>40000</v>
      </c>
      <c r="M1002" s="110">
        <v>9.5</v>
      </c>
      <c r="N1002" s="9">
        <f>VLOOKUP(DATE(YEAR(A1002),MONTH(A1002),DAY(A1002)),FY24_Temp[],3,FALSE)</f>
        <v>13.7</v>
      </c>
      <c r="O1002" s="110">
        <f t="shared" si="986"/>
        <v>11.5</v>
      </c>
      <c r="P1002" s="110">
        <f t="shared" si="987"/>
        <v>19.5</v>
      </c>
      <c r="Q1002" s="79">
        <f>VLOOKUP(VLOOKUP(DATEVALUE(TEXT(A1002,"m/d/yyyy")),FY24_Temp[],5,FALSE)&amp;TEXT(A1002,"-h"),TempDelta[],4,FALSE)</f>
        <v>0.86314284375735695</v>
      </c>
      <c r="R1002">
        <v>10</v>
      </c>
      <c r="S1002" s="112">
        <v>1500</v>
      </c>
      <c r="T1002" s="5">
        <f>VLOOKUP(TEXT(A1002,"yy-mm")&amp;"-"&amp;IF(AND(WEEKDAY(A1002)&gt;1,WEEKDAY(A1002)&lt;7),"Wkd",TEXT(A1002,"Ddd"))&amp;"-"&amp;TEXT(A1002,"hh"),LoadTable[],3,FALSE)*0.92</f>
        <v>699.79524000000038</v>
      </c>
      <c r="U1002" s="113">
        <f t="shared" si="988"/>
        <v>69.97952400000004</v>
      </c>
      <c r="V1002">
        <f t="shared" ref="V1002:W1002" si="1031">V978</f>
        <v>3.2</v>
      </c>
      <c r="W1002">
        <f t="shared" si="1031"/>
        <v>2.9</v>
      </c>
      <c r="X1002" s="9">
        <v>3.1779613000000002</v>
      </c>
      <c r="Y1002" s="39"/>
    </row>
    <row r="1003" spans="1:25" ht="15" thickBot="1">
      <c r="A1003" s="29">
        <f t="shared" si="970"/>
        <v>45877.66666666622</v>
      </c>
      <c r="B1003" s="30">
        <f t="shared" si="997"/>
        <v>8000</v>
      </c>
      <c r="C1003" s="8">
        <v>25000</v>
      </c>
      <c r="D1003" s="187">
        <v>0</v>
      </c>
      <c r="E1003" s="187">
        <v>700</v>
      </c>
      <c r="F1003" s="187">
        <v>15000</v>
      </c>
      <c r="G1003" s="30">
        <f t="shared" si="998"/>
        <v>2400</v>
      </c>
      <c r="H1003" s="8">
        <v>25000</v>
      </c>
      <c r="I1003" s="30">
        <f t="shared" si="999"/>
        <v>8000</v>
      </c>
      <c r="J1003" s="187">
        <v>40000</v>
      </c>
      <c r="K1003" s="30">
        <f t="shared" si="1000"/>
        <v>8000</v>
      </c>
      <c r="L1003" s="187">
        <v>40000</v>
      </c>
      <c r="M1003" s="110">
        <v>9.5</v>
      </c>
      <c r="N1003" s="9">
        <f>VLOOKUP(DATE(YEAR(A1003),MONTH(A1003),DAY(A1003)),FY24_Temp[],3,FALSE)</f>
        <v>13.7</v>
      </c>
      <c r="O1003" s="110">
        <f t="shared" si="986"/>
        <v>11.5</v>
      </c>
      <c r="P1003" s="110">
        <f t="shared" si="987"/>
        <v>19.5</v>
      </c>
      <c r="Q1003" s="79">
        <f>VLOOKUP(VLOOKUP(DATEVALUE(TEXT(A1003,"m/d/yyyy")),FY24_Temp[],5,FALSE)&amp;TEXT(A1003,"-h"),TempDelta[],4,FALSE)</f>
        <v>0.71478571849209926</v>
      </c>
      <c r="R1003">
        <v>10</v>
      </c>
      <c r="S1003" s="112">
        <v>1500</v>
      </c>
      <c r="T1003" s="5">
        <f>VLOOKUP(TEXT(A1003,"yy-mm")&amp;"-"&amp;IF(AND(WEEKDAY(A1003)&gt;1,WEEKDAY(A1003)&lt;7),"Wkd",TEXT(A1003,"Ddd"))&amp;"-"&amp;TEXT(A1003,"hh"),LoadTable[],3,FALSE)*0.92</f>
        <v>786.27137399656624</v>
      </c>
      <c r="U1003" s="113">
        <f t="shared" si="988"/>
        <v>78.627137399656618</v>
      </c>
      <c r="V1003">
        <f t="shared" ref="V1003:W1003" si="1032">V979</f>
        <v>3.5</v>
      </c>
      <c r="W1003">
        <f t="shared" si="1032"/>
        <v>3</v>
      </c>
      <c r="X1003" s="9">
        <v>3.0961227</v>
      </c>
      <c r="Y1003" s="39"/>
    </row>
    <row r="1004" spans="1:25" ht="15" thickBot="1">
      <c r="A1004" s="29">
        <f t="shared" si="970"/>
        <v>45877.708333332885</v>
      </c>
      <c r="B1004" s="30">
        <f t="shared" si="997"/>
        <v>8000</v>
      </c>
      <c r="C1004" s="8">
        <v>25000</v>
      </c>
      <c r="D1004" s="187">
        <v>0</v>
      </c>
      <c r="E1004" s="187">
        <v>700</v>
      </c>
      <c r="F1004" s="187">
        <v>15000</v>
      </c>
      <c r="G1004" s="30">
        <f t="shared" si="998"/>
        <v>2400</v>
      </c>
      <c r="H1004" s="8">
        <v>25000</v>
      </c>
      <c r="I1004" s="30">
        <f t="shared" si="999"/>
        <v>8000</v>
      </c>
      <c r="J1004" s="187">
        <v>40000</v>
      </c>
      <c r="K1004" s="30">
        <f t="shared" si="1000"/>
        <v>8000</v>
      </c>
      <c r="L1004" s="187">
        <v>40000</v>
      </c>
      <c r="M1004" s="110">
        <v>9.5</v>
      </c>
      <c r="N1004" s="9">
        <f>VLOOKUP(DATE(YEAR(A1004),MONTH(A1004),DAY(A1004)),FY24_Temp[],3,FALSE)</f>
        <v>13.7</v>
      </c>
      <c r="O1004" s="110">
        <f t="shared" si="986"/>
        <v>11.5</v>
      </c>
      <c r="P1004" s="110">
        <f t="shared" si="987"/>
        <v>19.5</v>
      </c>
      <c r="Q1004" s="79">
        <f>VLOOKUP(VLOOKUP(DATEVALUE(TEXT(A1004,"m/d/yyyy")),FY24_Temp[],5,FALSE)&amp;TEXT(A1004,"-h"),TempDelta[],4,FALSE)</f>
        <v>0.73571428656578064</v>
      </c>
      <c r="R1004">
        <v>10</v>
      </c>
      <c r="S1004" s="112">
        <v>1500</v>
      </c>
      <c r="T1004" s="5">
        <f>VLOOKUP(TEXT(A1004,"yy-mm")&amp;"-"&amp;IF(AND(WEEKDAY(A1004)&gt;1,WEEKDAY(A1004)&lt;7),"Wkd",TEXT(A1004,"Ddd"))&amp;"-"&amp;TEXT(A1004,"hh"),LoadTable[],3,FALSE)*0.92</f>
        <v>786.27137399656624</v>
      </c>
      <c r="U1004" s="113">
        <f t="shared" si="988"/>
        <v>78.627137399656618</v>
      </c>
      <c r="V1004">
        <f t="shared" ref="V1004:W1004" si="1033">V980</f>
        <v>3.6</v>
      </c>
      <c r="W1004">
        <f t="shared" si="1033"/>
        <v>3</v>
      </c>
      <c r="X1004" s="9">
        <v>3.0073378000000002</v>
      </c>
      <c r="Y1004" s="39"/>
    </row>
    <row r="1005" spans="1:25" ht="15" thickBot="1">
      <c r="A1005" s="29">
        <f t="shared" si="970"/>
        <v>45877.749999999549</v>
      </c>
      <c r="B1005" s="30">
        <f t="shared" si="997"/>
        <v>5000</v>
      </c>
      <c r="C1005" s="8">
        <v>25000</v>
      </c>
      <c r="D1005" s="187">
        <v>0</v>
      </c>
      <c r="E1005" s="187">
        <v>700</v>
      </c>
      <c r="F1005" s="187">
        <v>15000</v>
      </c>
      <c r="G1005" s="30">
        <f t="shared" si="998"/>
        <v>2400</v>
      </c>
      <c r="H1005" s="8">
        <v>25000</v>
      </c>
      <c r="I1005" s="30">
        <f t="shared" si="999"/>
        <v>5000</v>
      </c>
      <c r="J1005" s="187">
        <v>40000</v>
      </c>
      <c r="K1005" s="30">
        <f t="shared" si="1000"/>
        <v>5000</v>
      </c>
      <c r="L1005" s="187">
        <v>40000</v>
      </c>
      <c r="M1005" s="110">
        <v>9.5</v>
      </c>
      <c r="N1005" s="9">
        <f>VLOOKUP(DATE(YEAR(A1005),MONTH(A1005),DAY(A1005)),FY24_Temp[],3,FALSE)</f>
        <v>13.7</v>
      </c>
      <c r="O1005" s="110">
        <f t="shared" si="986"/>
        <v>11.5</v>
      </c>
      <c r="P1005" s="110">
        <f t="shared" si="987"/>
        <v>19.5</v>
      </c>
      <c r="Q1005" s="79">
        <f>VLOOKUP(VLOOKUP(DATEVALUE(TEXT(A1005,"m/d/yyyy")),FY24_Temp[],5,FALSE)&amp;TEXT(A1005,"-h"),TempDelta[],4,FALSE)</f>
        <v>0.95992857217788696</v>
      </c>
      <c r="R1005">
        <v>10</v>
      </c>
      <c r="S1005" s="112">
        <v>1500</v>
      </c>
      <c r="T1005" s="5">
        <f>VLOOKUP(TEXT(A1005,"yy-mm")&amp;"-"&amp;IF(AND(WEEKDAY(A1005)&gt;1,WEEKDAY(A1005)&lt;7),"Wkd",TEXT(A1005,"Ddd"))&amp;"-"&amp;TEXT(A1005,"hh"),LoadTable[],3,FALSE)*0.92</f>
        <v>786.27137399656647</v>
      </c>
      <c r="U1005" s="113">
        <f t="shared" si="988"/>
        <v>78.627137399656647</v>
      </c>
      <c r="V1005">
        <f t="shared" ref="V1005:W1005" si="1034">V981</f>
        <v>2.9</v>
      </c>
      <c r="W1005">
        <f t="shared" si="1034"/>
        <v>3</v>
      </c>
      <c r="X1005" s="9">
        <v>2.9814544000000001</v>
      </c>
      <c r="Y1005" s="39"/>
    </row>
    <row r="1006" spans="1:25" ht="15" thickBot="1">
      <c r="A1006" s="29">
        <f t="shared" si="970"/>
        <v>45877.791666666213</v>
      </c>
      <c r="B1006" s="30">
        <f t="shared" si="997"/>
        <v>5000</v>
      </c>
      <c r="C1006" s="8">
        <v>25000</v>
      </c>
      <c r="D1006" s="187">
        <v>0</v>
      </c>
      <c r="E1006" s="187">
        <v>700</v>
      </c>
      <c r="F1006" s="187">
        <v>15000</v>
      </c>
      <c r="G1006" s="30">
        <f t="shared" si="998"/>
        <v>2400</v>
      </c>
      <c r="H1006" s="8">
        <v>25000</v>
      </c>
      <c r="I1006" s="30">
        <f t="shared" si="999"/>
        <v>5000</v>
      </c>
      <c r="J1006" s="187">
        <v>40000</v>
      </c>
      <c r="K1006" s="30">
        <f t="shared" si="1000"/>
        <v>5000</v>
      </c>
      <c r="L1006" s="187">
        <v>40000</v>
      </c>
      <c r="M1006" s="110">
        <v>9.5</v>
      </c>
      <c r="N1006" s="9">
        <f>VLOOKUP(DATE(YEAR(A1006),MONTH(A1006),DAY(A1006)),FY24_Temp[],3,FALSE)</f>
        <v>13.7</v>
      </c>
      <c r="O1006" s="110">
        <f t="shared" si="986"/>
        <v>11.5</v>
      </c>
      <c r="P1006" s="110">
        <f t="shared" si="987"/>
        <v>19.5</v>
      </c>
      <c r="Q1006" s="79">
        <f>VLOOKUP(VLOOKUP(DATEVALUE(TEXT(A1006,"m/d/yyyy")),FY24_Temp[],5,FALSE)&amp;TEXT(A1006,"-h"),TempDelta[],4,FALSE)</f>
        <v>1.2718571509633745</v>
      </c>
      <c r="R1006">
        <v>10</v>
      </c>
      <c r="S1006" s="112">
        <v>1500</v>
      </c>
      <c r="T1006" s="5">
        <f>VLOOKUP(TEXT(A1006,"yy-mm")&amp;"-"&amp;IF(AND(WEEKDAY(A1006)&gt;1,WEEKDAY(A1006)&lt;7),"Wkd",TEXT(A1006,"Ddd"))&amp;"-"&amp;TEXT(A1006,"hh"),LoadTable[],3,FALSE)*0.92</f>
        <v>786.27137399656647</v>
      </c>
      <c r="U1006" s="113">
        <f t="shared" si="988"/>
        <v>78.627137399656647</v>
      </c>
      <c r="V1006">
        <f t="shared" ref="V1006:W1006" si="1035">V982</f>
        <v>3</v>
      </c>
      <c r="W1006">
        <f t="shared" si="1035"/>
        <v>3</v>
      </c>
      <c r="X1006" s="9">
        <v>2.9464549999999998</v>
      </c>
      <c r="Y1006" s="39"/>
    </row>
    <row r="1007" spans="1:25" ht="15" thickBot="1">
      <c r="A1007" s="29">
        <f t="shared" si="970"/>
        <v>45877.833333332877</v>
      </c>
      <c r="B1007" s="30">
        <f t="shared" si="997"/>
        <v>5000</v>
      </c>
      <c r="C1007" s="8">
        <v>25000</v>
      </c>
      <c r="D1007" s="187">
        <v>0</v>
      </c>
      <c r="E1007" s="187">
        <v>700</v>
      </c>
      <c r="F1007" s="187">
        <v>15000</v>
      </c>
      <c r="G1007" s="30">
        <f t="shared" si="998"/>
        <v>2400</v>
      </c>
      <c r="H1007" s="8">
        <v>25000</v>
      </c>
      <c r="I1007" s="30">
        <f t="shared" si="999"/>
        <v>5000</v>
      </c>
      <c r="J1007" s="187">
        <v>40000</v>
      </c>
      <c r="K1007" s="30">
        <f t="shared" si="1000"/>
        <v>5000</v>
      </c>
      <c r="L1007" s="187">
        <v>40000</v>
      </c>
      <c r="M1007" s="110">
        <v>9.5</v>
      </c>
      <c r="N1007" s="9">
        <f>VLOOKUP(DATE(YEAR(A1007),MONTH(A1007),DAY(A1007)),FY24_Temp[],3,FALSE)</f>
        <v>13.7</v>
      </c>
      <c r="O1007" s="110">
        <f t="shared" si="986"/>
        <v>11.5</v>
      </c>
      <c r="P1007" s="110">
        <f t="shared" si="987"/>
        <v>19.5</v>
      </c>
      <c r="Q1007" s="79">
        <f>VLOOKUP(VLOOKUP(DATEVALUE(TEXT(A1007,"m/d/yyyy")),FY24_Temp[],5,FALSE)&amp;TEXT(A1007,"-h"),TempDelta[],4,FALSE)</f>
        <v>1.6933571355683463</v>
      </c>
      <c r="R1007">
        <v>10</v>
      </c>
      <c r="S1007" s="112">
        <v>1500</v>
      </c>
      <c r="T1007" s="5">
        <f>VLOOKUP(TEXT(A1007,"yy-mm")&amp;"-"&amp;IF(AND(WEEKDAY(A1007)&gt;1,WEEKDAY(A1007)&lt;7),"Wkd",TEXT(A1007,"Ddd"))&amp;"-"&amp;TEXT(A1007,"hh"),LoadTable[],3,FALSE)*0.92</f>
        <v>786.27137399656647</v>
      </c>
      <c r="U1007" s="113">
        <f t="shared" si="988"/>
        <v>78.627137399656647</v>
      </c>
      <c r="V1007">
        <f t="shared" ref="V1007:W1007" si="1036">V983</f>
        <v>2.8</v>
      </c>
      <c r="W1007">
        <f t="shared" si="1036"/>
        <v>3.1</v>
      </c>
      <c r="X1007" s="9">
        <v>2.9102185</v>
      </c>
      <c r="Y1007" s="39"/>
    </row>
    <row r="1008" spans="1:25" ht="15" thickBot="1">
      <c r="A1008" s="29">
        <f t="shared" si="970"/>
        <v>45877.874999999542</v>
      </c>
      <c r="B1008" s="30">
        <f t="shared" si="997"/>
        <v>5000</v>
      </c>
      <c r="C1008" s="8">
        <v>25000</v>
      </c>
      <c r="D1008" s="187">
        <v>0</v>
      </c>
      <c r="E1008" s="187">
        <v>700</v>
      </c>
      <c r="F1008" s="187">
        <v>15000</v>
      </c>
      <c r="G1008" s="30">
        <f t="shared" si="998"/>
        <v>2400</v>
      </c>
      <c r="H1008" s="8">
        <v>25000</v>
      </c>
      <c r="I1008" s="30">
        <f t="shared" si="999"/>
        <v>5000</v>
      </c>
      <c r="J1008" s="187">
        <v>40000</v>
      </c>
      <c r="K1008" s="30">
        <f t="shared" si="1000"/>
        <v>5000</v>
      </c>
      <c r="L1008" s="187">
        <v>40000</v>
      </c>
      <c r="M1008" s="110">
        <v>9.5</v>
      </c>
      <c r="N1008" s="9">
        <f>VLOOKUP(DATE(YEAR(A1008),MONTH(A1008),DAY(A1008)),FY24_Temp[],3,FALSE)</f>
        <v>13.7</v>
      </c>
      <c r="O1008" s="110">
        <f t="shared" si="986"/>
        <v>11.5</v>
      </c>
      <c r="P1008" s="110">
        <f t="shared" si="987"/>
        <v>19.5</v>
      </c>
      <c r="Q1008" s="79">
        <f>VLOOKUP(VLOOKUP(DATEVALUE(TEXT(A1008,"m/d/yyyy")),FY24_Temp[],5,FALSE)&amp;TEXT(A1008,"-h"),TempDelta[],4,FALSE)</f>
        <v>2.0325714520045688</v>
      </c>
      <c r="R1008">
        <v>10</v>
      </c>
      <c r="S1008" s="112">
        <v>1500</v>
      </c>
      <c r="T1008" s="5">
        <f>VLOOKUP(TEXT(A1008,"yy-mm")&amp;"-"&amp;IF(AND(WEEKDAY(A1008)&gt;1,WEEKDAY(A1008)&lt;7),"Wkd",TEXT(A1008,"Ddd"))&amp;"-"&amp;TEXT(A1008,"hh"),LoadTable[],3,FALSE)*0.92</f>
        <v>784.39716226323299</v>
      </c>
      <c r="U1008" s="113">
        <f t="shared" si="988"/>
        <v>78.439716226323299</v>
      </c>
      <c r="V1008">
        <f t="shared" ref="V1008:W1008" si="1037">V984</f>
        <v>3.5</v>
      </c>
      <c r="W1008">
        <f t="shared" si="1037"/>
        <v>3.1</v>
      </c>
      <c r="X1008" s="9">
        <v>2.8822842</v>
      </c>
      <c r="Y1008" s="39"/>
    </row>
    <row r="1009" spans="1:25" ht="15" thickBot="1">
      <c r="A1009" s="29">
        <f t="shared" si="970"/>
        <v>45877.916666666206</v>
      </c>
      <c r="B1009" s="30">
        <f t="shared" si="997"/>
        <v>5000</v>
      </c>
      <c r="C1009" s="8">
        <v>25000</v>
      </c>
      <c r="D1009" s="187">
        <v>0</v>
      </c>
      <c r="E1009" s="187">
        <v>700</v>
      </c>
      <c r="F1009" s="187">
        <v>15000</v>
      </c>
      <c r="G1009" s="30">
        <f t="shared" si="998"/>
        <v>2400</v>
      </c>
      <c r="H1009" s="8">
        <v>25000</v>
      </c>
      <c r="I1009" s="30">
        <f t="shared" si="999"/>
        <v>5000</v>
      </c>
      <c r="J1009" s="187">
        <v>40000</v>
      </c>
      <c r="K1009" s="30">
        <f t="shared" si="1000"/>
        <v>5000</v>
      </c>
      <c r="L1009" s="187">
        <v>40000</v>
      </c>
      <c r="M1009" s="110">
        <v>9.5</v>
      </c>
      <c r="N1009" s="9">
        <f>VLOOKUP(DATE(YEAR(A1009),MONTH(A1009),DAY(A1009)),FY24_Temp[],3,FALSE)</f>
        <v>13.7</v>
      </c>
      <c r="O1009" s="110">
        <f t="shared" si="986"/>
        <v>11.5</v>
      </c>
      <c r="P1009" s="110">
        <f t="shared" si="987"/>
        <v>19.5</v>
      </c>
      <c r="Q1009" s="79">
        <f>VLOOKUP(VLOOKUP(DATEVALUE(TEXT(A1009,"m/d/yyyy")),FY24_Temp[],5,FALSE)&amp;TEXT(A1009,"-h"),TempDelta[],4,FALSE)</f>
        <v>2.3954285553523471</v>
      </c>
      <c r="R1009">
        <v>10</v>
      </c>
      <c r="S1009" s="112">
        <v>1500</v>
      </c>
      <c r="T1009" s="5">
        <f>VLOOKUP(TEXT(A1009,"yy-mm")&amp;"-"&amp;IF(AND(WEEKDAY(A1009)&gt;1,WEEKDAY(A1009)&lt;7),"Wkd",TEXT(A1009,"Ddd"))&amp;"-"&amp;TEXT(A1009,"hh"),LoadTable[],3,FALSE)*0.92</f>
        <v>600.06900003761973</v>
      </c>
      <c r="U1009" s="113">
        <f t="shared" si="988"/>
        <v>60.00690000376197</v>
      </c>
      <c r="V1009">
        <f t="shared" ref="V1009:W1009" si="1038">V985</f>
        <v>2.9</v>
      </c>
      <c r="W1009">
        <f t="shared" si="1038"/>
        <v>3.1</v>
      </c>
      <c r="X1009" s="9">
        <v>2.8557990000000002</v>
      </c>
      <c r="Y1009" s="39"/>
    </row>
    <row r="1010" spans="1:25" ht="15" thickBot="1">
      <c r="A1010" s="29">
        <f t="shared" si="970"/>
        <v>45877.95833333287</v>
      </c>
      <c r="B1010" s="30">
        <f t="shared" si="997"/>
        <v>5000</v>
      </c>
      <c r="C1010" s="8">
        <v>25000</v>
      </c>
      <c r="D1010" s="187">
        <v>0</v>
      </c>
      <c r="E1010" s="187">
        <v>700</v>
      </c>
      <c r="F1010" s="187">
        <v>15000</v>
      </c>
      <c r="G1010" s="30">
        <f t="shared" si="998"/>
        <v>2400</v>
      </c>
      <c r="H1010" s="8">
        <v>25000</v>
      </c>
      <c r="I1010" s="30">
        <f t="shared" si="999"/>
        <v>5000</v>
      </c>
      <c r="J1010" s="187">
        <v>40000</v>
      </c>
      <c r="K1010" s="30">
        <f t="shared" si="1000"/>
        <v>5000</v>
      </c>
      <c r="L1010" s="187">
        <v>40000</v>
      </c>
      <c r="M1010" s="110">
        <v>9.5</v>
      </c>
      <c r="N1010" s="9">
        <f>VLOOKUP(DATE(YEAR(A1010),MONTH(A1010),DAY(A1010)),FY24_Temp[],3,FALSE)</f>
        <v>13.7</v>
      </c>
      <c r="O1010" s="110">
        <f t="shared" si="986"/>
        <v>11.5</v>
      </c>
      <c r="P1010" s="110">
        <f t="shared" si="987"/>
        <v>19.5</v>
      </c>
      <c r="Q1010" s="79">
        <f>VLOOKUP(VLOOKUP(DATEVALUE(TEXT(A1010,"m/d/yyyy")),FY24_Temp[],5,FALSE)&amp;TEXT(A1010,"-h"),TempDelta[],4,FALSE)</f>
        <v>2.5458571229662215</v>
      </c>
      <c r="R1010">
        <v>10</v>
      </c>
      <c r="S1010" s="112">
        <v>1500</v>
      </c>
      <c r="T1010" s="5">
        <f>VLOOKUP(TEXT(A1010,"yy-mm")&amp;"-"&amp;IF(AND(WEEKDAY(A1010)&gt;1,WEEKDAY(A1010)&lt;7),"Wkd",TEXT(A1010,"Ddd"))&amp;"-"&amp;TEXT(A1010,"hh"),LoadTable[],3,FALSE)*0.92</f>
        <v>486.44539999999989</v>
      </c>
      <c r="U1010" s="113">
        <f t="shared" si="988"/>
        <v>48.644539999999992</v>
      </c>
      <c r="V1010">
        <f t="shared" ref="V1010:W1010" si="1039">V986</f>
        <v>3.6</v>
      </c>
      <c r="W1010">
        <f t="shared" si="1039"/>
        <v>3.1</v>
      </c>
      <c r="X1010" s="9">
        <v>2.7654953</v>
      </c>
      <c r="Y1010" s="39"/>
    </row>
    <row r="1011" spans="1:25" ht="15" thickBot="1">
      <c r="A1011" s="115">
        <f t="shared" si="970"/>
        <v>45877.999999999534</v>
      </c>
      <c r="B1011" s="151">
        <f t="shared" si="997"/>
        <v>5000</v>
      </c>
      <c r="C1011" s="109">
        <v>25000</v>
      </c>
      <c r="D1011" s="187">
        <v>0</v>
      </c>
      <c r="E1011" s="187">
        <v>700</v>
      </c>
      <c r="F1011" s="187">
        <v>15000</v>
      </c>
      <c r="G1011" s="151">
        <f t="shared" si="998"/>
        <v>2400</v>
      </c>
      <c r="H1011" s="109">
        <v>25000</v>
      </c>
      <c r="I1011" s="30">
        <f t="shared" si="999"/>
        <v>5000</v>
      </c>
      <c r="J1011" s="187">
        <v>40000</v>
      </c>
      <c r="K1011" s="151">
        <f t="shared" si="1000"/>
        <v>5000</v>
      </c>
      <c r="L1011" s="187">
        <v>40000</v>
      </c>
      <c r="M1011" s="110">
        <v>9.5</v>
      </c>
      <c r="N1011" s="110">
        <f>VLOOKUP(DATE(YEAR(A1011),MONTH(A1011),DAY(A1011)),FY24_Temp[],3,FALSE)</f>
        <v>14.4</v>
      </c>
      <c r="O1011" s="110">
        <f t="shared" si="986"/>
        <v>11.5</v>
      </c>
      <c r="P1011" s="110">
        <f t="shared" si="987"/>
        <v>19.5</v>
      </c>
      <c r="Q1011" s="111">
        <f>VLOOKUP(VLOOKUP(DATEVALUE(TEXT(A1011,"m/d/yyyy")),FY24_Temp[],5,FALSE)&amp;TEXT(A1011,"-h"),TempDelta[],4,FALSE)</f>
        <v>2.4882856777736118</v>
      </c>
      <c r="R1011" s="112">
        <v>10</v>
      </c>
      <c r="S1011" s="112">
        <v>1500</v>
      </c>
      <c r="T1011" s="99">
        <f>VLOOKUP(TEXT(A1011,"yy-mm")&amp;"-"&amp;IF(AND(WEEKDAY(A1011)&gt;1,WEEKDAY(A1011)&lt;7),"Wkd",TEXT(A1011,"Ddd"))&amp;"-"&amp;TEXT(A1011,"hh"),LoadTable[],3,FALSE)*0.92</f>
        <v>371.37732000000005</v>
      </c>
      <c r="U1011" s="113">
        <f t="shared" si="988"/>
        <v>37.137732000000007</v>
      </c>
      <c r="V1011" s="112">
        <f t="shared" ref="V1011:W1011" si="1040">V987</f>
        <v>3</v>
      </c>
      <c r="W1011" s="112">
        <f t="shared" si="1040"/>
        <v>3.2</v>
      </c>
      <c r="X1011" s="114">
        <v>2.6782086000000001</v>
      </c>
      <c r="Y1011" s="39"/>
    </row>
    <row r="1012" spans="1:25" ht="15" thickBot="1">
      <c r="A1012" s="29">
        <f t="shared" si="970"/>
        <v>45878.041666666199</v>
      </c>
      <c r="B1012" s="30">
        <f t="shared" si="997"/>
        <v>5000</v>
      </c>
      <c r="C1012" s="8">
        <v>25000</v>
      </c>
      <c r="D1012" s="187">
        <v>0</v>
      </c>
      <c r="E1012" s="187">
        <v>700</v>
      </c>
      <c r="F1012" s="187">
        <v>15000</v>
      </c>
      <c r="G1012" s="30">
        <f t="shared" si="998"/>
        <v>2400</v>
      </c>
      <c r="H1012" s="8">
        <v>25000</v>
      </c>
      <c r="I1012" s="30">
        <f t="shared" si="999"/>
        <v>5000</v>
      </c>
      <c r="J1012" s="187">
        <v>40000</v>
      </c>
      <c r="K1012" s="30">
        <f t="shared" si="1000"/>
        <v>5000</v>
      </c>
      <c r="L1012" s="187">
        <v>40000</v>
      </c>
      <c r="M1012" s="110">
        <v>9.5</v>
      </c>
      <c r="N1012" s="9">
        <f>VLOOKUP(DATE(YEAR(A1012),MONTH(A1012),DAY(A1012)),FY24_Temp[],3,FALSE)</f>
        <v>14.4</v>
      </c>
      <c r="O1012" s="110">
        <f t="shared" si="986"/>
        <v>11.5</v>
      </c>
      <c r="P1012" s="110">
        <f t="shared" si="987"/>
        <v>19.5</v>
      </c>
      <c r="Q1012" s="79">
        <f>VLOOKUP(VLOOKUP(DATEVALUE(TEXT(A1012,"m/d/yyyy")),FY24_Temp[],5,FALSE)&amp;TEXT(A1012,"-h"),TempDelta[],4,FALSE)</f>
        <v>2.5384285790579662</v>
      </c>
      <c r="R1012">
        <v>10</v>
      </c>
      <c r="S1012" s="112">
        <v>1500</v>
      </c>
      <c r="T1012" s="5">
        <f>VLOOKUP(TEXT(A1012,"yy-mm")&amp;"-"&amp;IF(AND(WEEKDAY(A1012)&gt;1,WEEKDAY(A1012)&lt;7),"Wkd",TEXT(A1012,"Ddd"))&amp;"-"&amp;TEXT(A1012,"hh"),LoadTable[],3,FALSE)*0.92</f>
        <v>362.43308000000007</v>
      </c>
      <c r="U1012" s="113">
        <f t="shared" si="988"/>
        <v>36.243308000000006</v>
      </c>
      <c r="V1012">
        <f t="shared" ref="V1012:W1012" si="1041">V988</f>
        <v>2.6</v>
      </c>
      <c r="W1012">
        <f t="shared" si="1041"/>
        <v>3.2</v>
      </c>
      <c r="X1012" s="9">
        <v>2.6112449</v>
      </c>
      <c r="Y1012" s="39"/>
    </row>
    <row r="1013" spans="1:25" ht="15" thickBot="1">
      <c r="A1013" s="29">
        <f t="shared" ref="A1013:A1076" si="1042">A1012+TIME(1,0,0)</f>
        <v>45878.083333332863</v>
      </c>
      <c r="B1013" s="30">
        <f t="shared" si="997"/>
        <v>5000</v>
      </c>
      <c r="C1013" s="8">
        <v>25000</v>
      </c>
      <c r="D1013" s="187">
        <v>0</v>
      </c>
      <c r="E1013" s="187">
        <v>700</v>
      </c>
      <c r="F1013" s="187">
        <v>15000</v>
      </c>
      <c r="G1013" s="30">
        <f t="shared" si="998"/>
        <v>2400</v>
      </c>
      <c r="H1013" s="8">
        <v>25000</v>
      </c>
      <c r="I1013" s="30">
        <f t="shared" si="999"/>
        <v>5000</v>
      </c>
      <c r="J1013" s="187">
        <v>40000</v>
      </c>
      <c r="K1013" s="30">
        <f t="shared" si="1000"/>
        <v>5000</v>
      </c>
      <c r="L1013" s="187">
        <v>40000</v>
      </c>
      <c r="M1013" s="110">
        <v>9.5</v>
      </c>
      <c r="N1013" s="9">
        <f>VLOOKUP(DATE(YEAR(A1013),MONTH(A1013),DAY(A1013)),FY24_Temp[],3,FALSE)</f>
        <v>14.4</v>
      </c>
      <c r="O1013" s="110">
        <f t="shared" si="986"/>
        <v>11.5</v>
      </c>
      <c r="P1013" s="110">
        <f t="shared" si="987"/>
        <v>19.5</v>
      </c>
      <c r="Q1013" s="79">
        <f>VLOOKUP(VLOOKUP(DATEVALUE(TEXT(A1013,"m/d/yyyy")),FY24_Temp[],5,FALSE)&amp;TEXT(A1013,"-h"),TempDelta[],4,FALSE)</f>
        <v>2.5558571474892751</v>
      </c>
      <c r="R1013">
        <v>10</v>
      </c>
      <c r="S1013" s="112">
        <v>1500</v>
      </c>
      <c r="T1013" s="5">
        <f>VLOOKUP(TEXT(A1013,"yy-mm")&amp;"-"&amp;IF(AND(WEEKDAY(A1013)&gt;1,WEEKDAY(A1013)&lt;7),"Wkd",TEXT(A1013,"Ddd"))&amp;"-"&amp;TEXT(A1013,"hh"),LoadTable[],3,FALSE)*0.92</f>
        <v>362.43308000000007</v>
      </c>
      <c r="U1013" s="113">
        <f t="shared" si="988"/>
        <v>36.243308000000006</v>
      </c>
      <c r="V1013">
        <f t="shared" ref="V1013:W1013" si="1043">V989</f>
        <v>2.8</v>
      </c>
      <c r="W1013">
        <f t="shared" si="1043"/>
        <v>3.2</v>
      </c>
      <c r="X1013" s="9">
        <v>2.7065324999999998</v>
      </c>
      <c r="Y1013" s="39"/>
    </row>
    <row r="1014" spans="1:25" ht="15" thickBot="1">
      <c r="A1014" s="29">
        <f t="shared" si="1042"/>
        <v>45878.124999999527</v>
      </c>
      <c r="B1014" s="30">
        <f t="shared" si="997"/>
        <v>5000</v>
      </c>
      <c r="C1014" s="8">
        <v>25000</v>
      </c>
      <c r="D1014" s="187">
        <v>0</v>
      </c>
      <c r="E1014" s="187">
        <v>700</v>
      </c>
      <c r="F1014" s="187">
        <v>15000</v>
      </c>
      <c r="G1014" s="30">
        <f t="shared" si="998"/>
        <v>2400</v>
      </c>
      <c r="H1014" s="8">
        <v>25000</v>
      </c>
      <c r="I1014" s="30">
        <f t="shared" si="999"/>
        <v>5000</v>
      </c>
      <c r="J1014" s="187">
        <v>40000</v>
      </c>
      <c r="K1014" s="30">
        <f t="shared" si="1000"/>
        <v>5000</v>
      </c>
      <c r="L1014" s="187">
        <v>40000</v>
      </c>
      <c r="M1014" s="110">
        <v>9.5</v>
      </c>
      <c r="N1014" s="9">
        <f>VLOOKUP(DATE(YEAR(A1014),MONTH(A1014),DAY(A1014)),FY24_Temp[],3,FALSE)</f>
        <v>14.4</v>
      </c>
      <c r="O1014" s="110">
        <f t="shared" si="986"/>
        <v>11.5</v>
      </c>
      <c r="P1014" s="110">
        <f t="shared" si="987"/>
        <v>19.5</v>
      </c>
      <c r="Q1014" s="79">
        <f>VLOOKUP(VLOOKUP(DATEVALUE(TEXT(A1014,"m/d/yyyy")),FY24_Temp[],5,FALSE)&amp;TEXT(A1014,"-h"),TempDelta[],4,FALSE)</f>
        <v>2.5525713988712857</v>
      </c>
      <c r="R1014">
        <v>10</v>
      </c>
      <c r="S1014" s="112">
        <v>1500</v>
      </c>
      <c r="T1014" s="5">
        <f>VLOOKUP(TEXT(A1014,"yy-mm")&amp;"-"&amp;IF(AND(WEEKDAY(A1014)&gt;1,WEEKDAY(A1014)&lt;7),"Wkd",TEXT(A1014,"Ddd"))&amp;"-"&amp;TEXT(A1014,"hh"),LoadTable[],3,FALSE)*0.92</f>
        <v>362.43308000000007</v>
      </c>
      <c r="U1014" s="113">
        <f t="shared" si="988"/>
        <v>36.243308000000006</v>
      </c>
      <c r="V1014">
        <f t="shared" ref="V1014:W1014" si="1044">V990</f>
        <v>2.7</v>
      </c>
      <c r="W1014">
        <f t="shared" si="1044"/>
        <v>3.2</v>
      </c>
      <c r="X1014" s="9">
        <v>2.7837849000000001</v>
      </c>
      <c r="Y1014" s="39"/>
    </row>
    <row r="1015" spans="1:25" ht="15" thickBot="1">
      <c r="A1015" s="29">
        <f t="shared" si="1042"/>
        <v>45878.166666666191</v>
      </c>
      <c r="B1015" s="30">
        <f t="shared" si="997"/>
        <v>5000</v>
      </c>
      <c r="C1015" s="8">
        <v>25000</v>
      </c>
      <c r="D1015" s="187">
        <v>0</v>
      </c>
      <c r="E1015" s="187">
        <v>700</v>
      </c>
      <c r="F1015" s="187">
        <v>15000</v>
      </c>
      <c r="G1015" s="30">
        <f t="shared" si="998"/>
        <v>2400</v>
      </c>
      <c r="H1015" s="8">
        <v>25000</v>
      </c>
      <c r="I1015" s="30">
        <f t="shared" si="999"/>
        <v>5000</v>
      </c>
      <c r="J1015" s="187">
        <v>40000</v>
      </c>
      <c r="K1015" s="30">
        <f t="shared" si="1000"/>
        <v>5000</v>
      </c>
      <c r="L1015" s="187">
        <v>40000</v>
      </c>
      <c r="M1015" s="110">
        <v>9.5</v>
      </c>
      <c r="N1015" s="9">
        <f>VLOOKUP(DATE(YEAR(A1015),MONTH(A1015),DAY(A1015)),FY24_Temp[],3,FALSE)</f>
        <v>14.4</v>
      </c>
      <c r="O1015" s="110">
        <f t="shared" si="986"/>
        <v>11.5</v>
      </c>
      <c r="P1015" s="110">
        <f t="shared" si="987"/>
        <v>19.5</v>
      </c>
      <c r="Q1015" s="79">
        <f>VLOOKUP(VLOOKUP(DATEVALUE(TEXT(A1015,"m/d/yyyy")),FY24_Temp[],5,FALSE)&amp;TEXT(A1015,"-h"),TempDelta[],4,FALSE)</f>
        <v>2.5564285346439908</v>
      </c>
      <c r="R1015">
        <v>10</v>
      </c>
      <c r="S1015" s="112">
        <v>1500</v>
      </c>
      <c r="T1015" s="5">
        <f>VLOOKUP(TEXT(A1015,"yy-mm")&amp;"-"&amp;IF(AND(WEEKDAY(A1015)&gt;1,WEEKDAY(A1015)&lt;7),"Wkd",TEXT(A1015,"Ddd"))&amp;"-"&amp;TEXT(A1015,"hh"),LoadTable[],3,FALSE)*0.92</f>
        <v>362.43308000000007</v>
      </c>
      <c r="U1015" s="113">
        <f t="shared" si="988"/>
        <v>36.243308000000006</v>
      </c>
      <c r="V1015">
        <f t="shared" ref="V1015:W1015" si="1045">V991</f>
        <v>3</v>
      </c>
      <c r="W1015">
        <f t="shared" si="1045"/>
        <v>3.1</v>
      </c>
      <c r="X1015" s="9">
        <v>2.8246565000000001</v>
      </c>
      <c r="Y1015" s="39"/>
    </row>
    <row r="1016" spans="1:25" ht="15" thickBot="1">
      <c r="A1016" s="29">
        <f t="shared" si="1042"/>
        <v>45878.208333332856</v>
      </c>
      <c r="B1016" s="30">
        <f t="shared" si="997"/>
        <v>5000</v>
      </c>
      <c r="C1016" s="8">
        <v>25000</v>
      </c>
      <c r="D1016" s="187">
        <v>0</v>
      </c>
      <c r="E1016" s="187">
        <v>700</v>
      </c>
      <c r="F1016" s="187">
        <v>15000</v>
      </c>
      <c r="G1016" s="30">
        <f t="shared" si="998"/>
        <v>2400</v>
      </c>
      <c r="H1016" s="8">
        <v>25000</v>
      </c>
      <c r="I1016" s="30">
        <f t="shared" si="999"/>
        <v>5000</v>
      </c>
      <c r="J1016" s="187">
        <v>40000</v>
      </c>
      <c r="K1016" s="30">
        <f t="shared" si="1000"/>
        <v>5000</v>
      </c>
      <c r="L1016" s="187">
        <v>40000</v>
      </c>
      <c r="M1016" s="110">
        <v>9.5</v>
      </c>
      <c r="N1016" s="9">
        <f>VLOOKUP(DATE(YEAR(A1016),MONTH(A1016),DAY(A1016)),FY24_Temp[],3,FALSE)</f>
        <v>14.4</v>
      </c>
      <c r="O1016" s="110">
        <f t="shared" si="986"/>
        <v>11.5</v>
      </c>
      <c r="P1016" s="110">
        <f t="shared" si="987"/>
        <v>19.5</v>
      </c>
      <c r="Q1016" s="79">
        <f>VLOOKUP(VLOOKUP(DATEVALUE(TEXT(A1016,"m/d/yyyy")),FY24_Temp[],5,FALSE)&amp;TEXT(A1016,"-h"),TempDelta[],4,FALSE)</f>
        <v>2.6032857554299489</v>
      </c>
      <c r="R1016">
        <v>10</v>
      </c>
      <c r="S1016" s="112">
        <v>1500</v>
      </c>
      <c r="T1016" s="5">
        <f>VLOOKUP(TEXT(A1016,"yy-mm")&amp;"-"&amp;IF(AND(WEEKDAY(A1016)&gt;1,WEEKDAY(A1016)&lt;7),"Wkd",TEXT(A1016,"Ddd"))&amp;"-"&amp;TEXT(A1016,"hh"),LoadTable[],3,FALSE)*0.92</f>
        <v>362.43308000000007</v>
      </c>
      <c r="U1016" s="113">
        <f t="shared" si="988"/>
        <v>36.243308000000006</v>
      </c>
      <c r="V1016">
        <f t="shared" ref="V1016:W1016" si="1046">V992</f>
        <v>2.9</v>
      </c>
      <c r="W1016">
        <f t="shared" si="1046"/>
        <v>3.1</v>
      </c>
      <c r="X1016" s="9">
        <v>2.9119837</v>
      </c>
      <c r="Y1016" s="39"/>
    </row>
    <row r="1017" spans="1:25" ht="15" thickBot="1">
      <c r="A1017" s="29">
        <f t="shared" si="1042"/>
        <v>45878.24999999952</v>
      </c>
      <c r="B1017" s="30">
        <f t="shared" si="997"/>
        <v>8000</v>
      </c>
      <c r="C1017" s="8">
        <v>25000</v>
      </c>
      <c r="D1017" s="187">
        <v>0</v>
      </c>
      <c r="E1017" s="187">
        <v>700</v>
      </c>
      <c r="F1017" s="187">
        <v>15000</v>
      </c>
      <c r="G1017" s="30">
        <f t="shared" si="998"/>
        <v>2400</v>
      </c>
      <c r="H1017" s="8">
        <v>25000</v>
      </c>
      <c r="I1017" s="30">
        <f t="shared" si="999"/>
        <v>8000</v>
      </c>
      <c r="J1017" s="187">
        <v>40000</v>
      </c>
      <c r="K1017" s="30">
        <f t="shared" si="1000"/>
        <v>8000</v>
      </c>
      <c r="L1017" s="187">
        <v>40000</v>
      </c>
      <c r="M1017" s="110">
        <v>9.5</v>
      </c>
      <c r="N1017" s="9">
        <f>VLOOKUP(DATE(YEAR(A1017),MONTH(A1017),DAY(A1017)),FY24_Temp[],3,FALSE)</f>
        <v>14.4</v>
      </c>
      <c r="O1017" s="110">
        <f t="shared" si="986"/>
        <v>11.5</v>
      </c>
      <c r="P1017" s="110">
        <f t="shared" si="987"/>
        <v>19.5</v>
      </c>
      <c r="Q1017" s="79">
        <f>VLOOKUP(VLOOKUP(DATEVALUE(TEXT(A1017,"m/d/yyyy")),FY24_Temp[],5,FALSE)&amp;TEXT(A1017,"-h"),TempDelta[],4,FALSE)</f>
        <v>2.6161428519657681</v>
      </c>
      <c r="R1017">
        <v>10</v>
      </c>
      <c r="S1017" s="112">
        <v>1500</v>
      </c>
      <c r="T1017" s="5">
        <f>VLOOKUP(TEXT(A1017,"yy-mm")&amp;"-"&amp;IF(AND(WEEKDAY(A1017)&gt;1,WEEKDAY(A1017)&lt;7),"Wkd",TEXT(A1017,"Ddd"))&amp;"-"&amp;TEXT(A1017,"hh"),LoadTable[],3,FALSE)*0.92</f>
        <v>362.43308000000007</v>
      </c>
      <c r="U1017" s="113">
        <f t="shared" si="988"/>
        <v>36.243308000000006</v>
      </c>
      <c r="V1017">
        <f t="shared" ref="V1017:W1017" si="1047">V993</f>
        <v>2.5</v>
      </c>
      <c r="W1017">
        <f t="shared" si="1047"/>
        <v>3.1</v>
      </c>
      <c r="X1017" s="9">
        <v>3.0456333</v>
      </c>
      <c r="Y1017" s="39"/>
    </row>
    <row r="1018" spans="1:25" ht="15" thickBot="1">
      <c r="A1018" s="29">
        <f t="shared" si="1042"/>
        <v>45878.291666666184</v>
      </c>
      <c r="B1018" s="30">
        <f t="shared" si="997"/>
        <v>8000</v>
      </c>
      <c r="C1018" s="8">
        <v>25000</v>
      </c>
      <c r="D1018" s="187">
        <v>0</v>
      </c>
      <c r="E1018" s="187">
        <v>700</v>
      </c>
      <c r="F1018" s="187">
        <v>15000</v>
      </c>
      <c r="G1018" s="30">
        <f t="shared" si="998"/>
        <v>2400</v>
      </c>
      <c r="H1018" s="8">
        <v>25000</v>
      </c>
      <c r="I1018" s="30">
        <f t="shared" si="999"/>
        <v>8000</v>
      </c>
      <c r="J1018" s="187">
        <v>40000</v>
      </c>
      <c r="K1018" s="30">
        <f t="shared" si="1000"/>
        <v>8000</v>
      </c>
      <c r="L1018" s="187">
        <v>40000</v>
      </c>
      <c r="M1018" s="110">
        <v>9.5</v>
      </c>
      <c r="N1018" s="9">
        <f>VLOOKUP(DATE(YEAR(A1018),MONTH(A1018),DAY(A1018)),FY24_Temp[],3,FALSE)</f>
        <v>14.4</v>
      </c>
      <c r="O1018" s="110">
        <f t="shared" si="986"/>
        <v>11.5</v>
      </c>
      <c r="P1018" s="110">
        <f t="shared" si="987"/>
        <v>19.5</v>
      </c>
      <c r="Q1018" s="79">
        <f>VLOOKUP(VLOOKUP(DATEVALUE(TEXT(A1018,"m/d/yyyy")),FY24_Temp[],5,FALSE)&amp;TEXT(A1018,"-h"),TempDelta[],4,FALSE)</f>
        <v>2.582714251109532</v>
      </c>
      <c r="R1018">
        <v>10</v>
      </c>
      <c r="S1018" s="112">
        <v>1500</v>
      </c>
      <c r="T1018" s="5">
        <f>VLOOKUP(TEXT(A1018,"yy-mm")&amp;"-"&amp;IF(AND(WEEKDAY(A1018)&gt;1,WEEKDAY(A1018)&lt;7),"Wkd",TEXT(A1018,"Ddd"))&amp;"-"&amp;TEXT(A1018,"hh"),LoadTable[],3,FALSE)*0.92</f>
        <v>339.23343999999997</v>
      </c>
      <c r="U1018" s="113">
        <f t="shared" si="988"/>
        <v>33.923344</v>
      </c>
      <c r="V1018">
        <f t="shared" ref="V1018:W1018" si="1048">V994</f>
        <v>2.5</v>
      </c>
      <c r="W1018">
        <f t="shared" si="1048"/>
        <v>3.1</v>
      </c>
      <c r="X1018" s="9">
        <v>3.1962609</v>
      </c>
      <c r="Y1018" s="39"/>
    </row>
    <row r="1019" spans="1:25" ht="15" thickBot="1">
      <c r="A1019" s="29">
        <f t="shared" si="1042"/>
        <v>45878.333333332848</v>
      </c>
      <c r="B1019" s="30">
        <f t="shared" si="997"/>
        <v>8000</v>
      </c>
      <c r="C1019" s="8">
        <v>25000</v>
      </c>
      <c r="D1019" s="187">
        <v>0</v>
      </c>
      <c r="E1019" s="187">
        <v>700</v>
      </c>
      <c r="F1019" s="187">
        <v>15000</v>
      </c>
      <c r="G1019" s="30">
        <f t="shared" si="998"/>
        <v>2400</v>
      </c>
      <c r="H1019" s="8">
        <v>25000</v>
      </c>
      <c r="I1019" s="30">
        <f t="shared" si="999"/>
        <v>8000</v>
      </c>
      <c r="J1019" s="187">
        <v>40000</v>
      </c>
      <c r="K1019" s="30">
        <f t="shared" si="1000"/>
        <v>8000</v>
      </c>
      <c r="L1019" s="187">
        <v>40000</v>
      </c>
      <c r="M1019" s="110">
        <v>9.5</v>
      </c>
      <c r="N1019" s="9">
        <f>VLOOKUP(DATE(YEAR(A1019),MONTH(A1019),DAY(A1019)),FY24_Temp[],3,FALSE)</f>
        <v>14.4</v>
      </c>
      <c r="O1019" s="110">
        <f t="shared" si="986"/>
        <v>11.5</v>
      </c>
      <c r="P1019" s="110">
        <f t="shared" si="987"/>
        <v>19.5</v>
      </c>
      <c r="Q1019" s="79">
        <f>VLOOKUP(VLOOKUP(DATEVALUE(TEXT(A1019,"m/d/yyyy")),FY24_Temp[],5,FALSE)&amp;TEXT(A1019,"-h"),TempDelta[],4,FALSE)</f>
        <v>2.4768571172441756</v>
      </c>
      <c r="R1019">
        <v>10</v>
      </c>
      <c r="S1019" s="112">
        <v>1500</v>
      </c>
      <c r="T1019" s="5">
        <f>VLOOKUP(TEXT(A1019,"yy-mm")&amp;"-"&amp;IF(AND(WEEKDAY(A1019)&gt;1,WEEKDAY(A1019)&lt;7),"Wkd",TEXT(A1019,"Ddd"))&amp;"-"&amp;TEXT(A1019,"hh"),LoadTable[],3,FALSE)*0.92</f>
        <v>339.23343999999997</v>
      </c>
      <c r="U1019" s="113">
        <f t="shared" si="988"/>
        <v>33.923344</v>
      </c>
      <c r="V1019">
        <f t="shared" ref="V1019:W1019" si="1049">V995</f>
        <v>3.2</v>
      </c>
      <c r="W1019">
        <f t="shared" si="1049"/>
        <v>3</v>
      </c>
      <c r="X1019" s="9">
        <v>3.2649168999999998</v>
      </c>
      <c r="Y1019" s="39"/>
    </row>
    <row r="1020" spans="1:25" ht="15" thickBot="1">
      <c r="A1020" s="29">
        <f t="shared" si="1042"/>
        <v>45878.374999999513</v>
      </c>
      <c r="B1020" s="30">
        <f t="shared" si="997"/>
        <v>8000</v>
      </c>
      <c r="C1020" s="8">
        <v>25000</v>
      </c>
      <c r="D1020" s="187">
        <v>0</v>
      </c>
      <c r="E1020" s="187">
        <v>700</v>
      </c>
      <c r="F1020" s="187">
        <v>15000</v>
      </c>
      <c r="G1020" s="30">
        <f t="shared" si="998"/>
        <v>2400</v>
      </c>
      <c r="H1020" s="8">
        <v>25000</v>
      </c>
      <c r="I1020" s="30">
        <f t="shared" si="999"/>
        <v>8000</v>
      </c>
      <c r="J1020" s="187">
        <v>40000</v>
      </c>
      <c r="K1020" s="30">
        <f t="shared" si="1000"/>
        <v>8000</v>
      </c>
      <c r="L1020" s="187">
        <v>40000</v>
      </c>
      <c r="M1020" s="110">
        <v>9.5</v>
      </c>
      <c r="N1020" s="9">
        <f>VLOOKUP(DATE(YEAR(A1020),MONTH(A1020),DAY(A1020)),FY24_Temp[],3,FALSE)</f>
        <v>14.4</v>
      </c>
      <c r="O1020" s="110">
        <f t="shared" si="986"/>
        <v>11.5</v>
      </c>
      <c r="P1020" s="110">
        <f t="shared" si="987"/>
        <v>19.5</v>
      </c>
      <c r="Q1020" s="79">
        <f>VLOOKUP(VLOOKUP(DATEVALUE(TEXT(A1020,"m/d/yyyy")),FY24_Temp[],5,FALSE)&amp;TEXT(A1020,"-h"),TempDelta[],4,FALSE)</f>
        <v>2.293428523199899</v>
      </c>
      <c r="R1020">
        <v>10</v>
      </c>
      <c r="S1020" s="112">
        <v>1500</v>
      </c>
      <c r="T1020" s="5">
        <f>VLOOKUP(TEXT(A1020,"yy-mm")&amp;"-"&amp;IF(AND(WEEKDAY(A1020)&gt;1,WEEKDAY(A1020)&lt;7),"Wkd",TEXT(A1020,"Ddd"))&amp;"-"&amp;TEXT(A1020,"hh"),LoadTable[],3,FALSE)*0.92</f>
        <v>338.44093501457735</v>
      </c>
      <c r="U1020" s="113">
        <f t="shared" si="988"/>
        <v>33.844093501457735</v>
      </c>
      <c r="V1020">
        <f t="shared" ref="V1020:W1020" si="1050">V996</f>
        <v>2.9</v>
      </c>
      <c r="W1020">
        <f t="shared" si="1050"/>
        <v>3</v>
      </c>
      <c r="X1020" s="9">
        <v>3.3073359</v>
      </c>
      <c r="Y1020" s="39"/>
    </row>
    <row r="1021" spans="1:25" ht="15" thickBot="1">
      <c r="A1021" s="29">
        <f t="shared" si="1042"/>
        <v>45878.416666666177</v>
      </c>
      <c r="B1021" s="30">
        <f t="shared" si="997"/>
        <v>8000</v>
      </c>
      <c r="C1021" s="8">
        <v>25000</v>
      </c>
      <c r="D1021" s="187">
        <v>0</v>
      </c>
      <c r="E1021" s="187">
        <v>700</v>
      </c>
      <c r="F1021" s="187">
        <v>15000</v>
      </c>
      <c r="G1021" s="30">
        <f t="shared" si="998"/>
        <v>2400</v>
      </c>
      <c r="H1021" s="8">
        <v>25000</v>
      </c>
      <c r="I1021" s="30">
        <f t="shared" si="999"/>
        <v>8000</v>
      </c>
      <c r="J1021" s="187">
        <v>40000</v>
      </c>
      <c r="K1021" s="30">
        <f t="shared" si="1000"/>
        <v>8000</v>
      </c>
      <c r="L1021" s="187">
        <v>40000</v>
      </c>
      <c r="M1021" s="110">
        <v>9.5</v>
      </c>
      <c r="N1021" s="9">
        <f>VLOOKUP(DATE(YEAR(A1021),MONTH(A1021),DAY(A1021)),FY24_Temp[],3,FALSE)</f>
        <v>14.4</v>
      </c>
      <c r="O1021" s="110">
        <f t="shared" si="986"/>
        <v>11.5</v>
      </c>
      <c r="P1021" s="110">
        <f t="shared" si="987"/>
        <v>19.5</v>
      </c>
      <c r="Q1021" s="79">
        <f>VLOOKUP(VLOOKUP(DATEVALUE(TEXT(A1021,"m/d/yyyy")),FY24_Temp[],5,FALSE)&amp;TEXT(A1021,"-h"),TempDelta[],4,FALSE)</f>
        <v>2.0822856766836986</v>
      </c>
      <c r="R1021">
        <v>10</v>
      </c>
      <c r="S1021" s="112">
        <v>1500</v>
      </c>
      <c r="T1021" s="5">
        <f>VLOOKUP(TEXT(A1021,"yy-mm")&amp;"-"&amp;IF(AND(WEEKDAY(A1021)&gt;1,WEEKDAY(A1021)&lt;7),"Wkd",TEXT(A1021,"Ddd"))&amp;"-"&amp;TEXT(A1021,"hh"),LoadTable[],3,FALSE)*0.92</f>
        <v>338.44093501457741</v>
      </c>
      <c r="U1021" s="113">
        <f t="shared" si="988"/>
        <v>33.844093501457742</v>
      </c>
      <c r="V1021">
        <f t="shared" ref="V1021:W1021" si="1051">V997</f>
        <v>2.9</v>
      </c>
      <c r="W1021">
        <f t="shared" si="1051"/>
        <v>3</v>
      </c>
      <c r="X1021" s="9">
        <v>3.3827093000000001</v>
      </c>
      <c r="Y1021" s="39"/>
    </row>
    <row r="1022" spans="1:25" ht="15" thickBot="1">
      <c r="A1022" s="29">
        <f t="shared" si="1042"/>
        <v>45878.458333332841</v>
      </c>
      <c r="B1022" s="30">
        <f t="shared" si="997"/>
        <v>8000</v>
      </c>
      <c r="C1022" s="8">
        <v>25000</v>
      </c>
      <c r="D1022" s="187">
        <v>0</v>
      </c>
      <c r="E1022" s="187">
        <v>700</v>
      </c>
      <c r="F1022" s="187">
        <v>15000</v>
      </c>
      <c r="G1022" s="30">
        <f t="shared" si="998"/>
        <v>2400</v>
      </c>
      <c r="H1022" s="8">
        <v>25000</v>
      </c>
      <c r="I1022" s="30">
        <f t="shared" si="999"/>
        <v>8000</v>
      </c>
      <c r="J1022" s="187">
        <v>40000</v>
      </c>
      <c r="K1022" s="30">
        <f t="shared" si="1000"/>
        <v>8000</v>
      </c>
      <c r="L1022" s="187">
        <v>40000</v>
      </c>
      <c r="M1022" s="110">
        <v>9.5</v>
      </c>
      <c r="N1022" s="9">
        <f>VLOOKUP(DATE(YEAR(A1022),MONTH(A1022),DAY(A1022)),FY24_Temp[],3,FALSE)</f>
        <v>14.4</v>
      </c>
      <c r="O1022" s="110">
        <f t="shared" si="986"/>
        <v>11.5</v>
      </c>
      <c r="P1022" s="110">
        <f t="shared" si="987"/>
        <v>19.5</v>
      </c>
      <c r="Q1022" s="79">
        <f>VLOOKUP(VLOOKUP(DATEVALUE(TEXT(A1022,"m/d/yyyy")),FY24_Temp[],5,FALSE)&amp;TEXT(A1022,"-h"),TempDelta[],4,FALSE)</f>
        <v>1.8338571105684554</v>
      </c>
      <c r="R1022">
        <v>10</v>
      </c>
      <c r="S1022" s="112">
        <v>1500</v>
      </c>
      <c r="T1022" s="5">
        <f>VLOOKUP(TEXT(A1022,"yy-mm")&amp;"-"&amp;IF(AND(WEEKDAY(A1022)&gt;1,WEEKDAY(A1022)&lt;7),"Wkd",TEXT(A1022,"Ddd"))&amp;"-"&amp;TEXT(A1022,"hh"),LoadTable[],3,FALSE)*0.92</f>
        <v>338.44093501457741</v>
      </c>
      <c r="U1022" s="113">
        <f t="shared" si="988"/>
        <v>33.844093501457742</v>
      </c>
      <c r="V1022">
        <f t="shared" ref="V1022:W1022" si="1052">V998</f>
        <v>3.4</v>
      </c>
      <c r="W1022">
        <f t="shared" si="1052"/>
        <v>3</v>
      </c>
      <c r="X1022" s="9">
        <v>3.3338575000000001</v>
      </c>
      <c r="Y1022" s="39"/>
    </row>
    <row r="1023" spans="1:25" ht="15" thickBot="1">
      <c r="A1023" s="29">
        <f t="shared" si="1042"/>
        <v>45878.499999999505</v>
      </c>
      <c r="B1023" s="30">
        <f t="shared" si="997"/>
        <v>8000</v>
      </c>
      <c r="C1023" s="8">
        <v>25000</v>
      </c>
      <c r="D1023" s="187">
        <v>0</v>
      </c>
      <c r="E1023" s="187">
        <v>700</v>
      </c>
      <c r="F1023" s="187">
        <v>15000</v>
      </c>
      <c r="G1023" s="30">
        <f t="shared" si="998"/>
        <v>2400</v>
      </c>
      <c r="H1023" s="8">
        <v>25000</v>
      </c>
      <c r="I1023" s="30">
        <f t="shared" si="999"/>
        <v>8000</v>
      </c>
      <c r="J1023" s="187">
        <v>40000</v>
      </c>
      <c r="K1023" s="30">
        <f t="shared" si="1000"/>
        <v>8000</v>
      </c>
      <c r="L1023" s="187">
        <v>40000</v>
      </c>
      <c r="M1023" s="110">
        <v>9.5</v>
      </c>
      <c r="N1023" s="9">
        <f>VLOOKUP(DATE(YEAR(A1023),MONTH(A1023),DAY(A1023)),FY24_Temp[],3,FALSE)</f>
        <v>14.4</v>
      </c>
      <c r="O1023" s="110">
        <f t="shared" si="986"/>
        <v>11.5</v>
      </c>
      <c r="P1023" s="110">
        <f t="shared" si="987"/>
        <v>19.5</v>
      </c>
      <c r="Q1023" s="79">
        <f>VLOOKUP(VLOOKUP(DATEVALUE(TEXT(A1023,"m/d/yyyy")),FY24_Temp[],5,FALSE)&amp;TEXT(A1023,"-h"),TempDelta[],4,FALSE)</f>
        <v>1.5831428595951624</v>
      </c>
      <c r="R1023">
        <v>10</v>
      </c>
      <c r="S1023" s="112">
        <v>1500</v>
      </c>
      <c r="T1023" s="5">
        <f>VLOOKUP(TEXT(A1023,"yy-mm")&amp;"-"&amp;IF(AND(WEEKDAY(A1023)&gt;1,WEEKDAY(A1023)&lt;7),"Wkd",TEXT(A1023,"Ddd"))&amp;"-"&amp;TEXT(A1023,"hh"),LoadTable[],3,FALSE)*0.92</f>
        <v>338.44093501457752</v>
      </c>
      <c r="U1023" s="113">
        <f t="shared" si="988"/>
        <v>33.844093501457749</v>
      </c>
      <c r="V1023">
        <f t="shared" ref="V1023:W1023" si="1053">V999</f>
        <v>3.1</v>
      </c>
      <c r="W1023">
        <f t="shared" si="1053"/>
        <v>2.9</v>
      </c>
      <c r="X1023" s="9">
        <v>3.2054119000000001</v>
      </c>
      <c r="Y1023" s="39"/>
    </row>
    <row r="1024" spans="1:25" ht="15" thickBot="1">
      <c r="A1024" s="29">
        <f t="shared" si="1042"/>
        <v>45878.541666666169</v>
      </c>
      <c r="B1024" s="30">
        <f t="shared" si="997"/>
        <v>8000</v>
      </c>
      <c r="C1024" s="8">
        <v>25000</v>
      </c>
      <c r="D1024" s="187">
        <v>0</v>
      </c>
      <c r="E1024" s="187">
        <v>700</v>
      </c>
      <c r="F1024" s="187">
        <v>15000</v>
      </c>
      <c r="G1024" s="30">
        <f t="shared" si="998"/>
        <v>2400</v>
      </c>
      <c r="H1024" s="8">
        <v>25000</v>
      </c>
      <c r="I1024" s="30">
        <f t="shared" si="999"/>
        <v>8000</v>
      </c>
      <c r="J1024" s="187">
        <v>40000</v>
      </c>
      <c r="K1024" s="30">
        <f t="shared" si="1000"/>
        <v>8000</v>
      </c>
      <c r="L1024" s="187">
        <v>40000</v>
      </c>
      <c r="M1024" s="110">
        <v>9.5</v>
      </c>
      <c r="N1024" s="9">
        <f>VLOOKUP(DATE(YEAR(A1024),MONTH(A1024),DAY(A1024)),FY24_Temp[],3,FALSE)</f>
        <v>14.4</v>
      </c>
      <c r="O1024" s="110">
        <f t="shared" si="986"/>
        <v>11.5</v>
      </c>
      <c r="P1024" s="110">
        <f t="shared" si="987"/>
        <v>19.5</v>
      </c>
      <c r="Q1024" s="79">
        <f>VLOOKUP(VLOOKUP(DATEVALUE(TEXT(A1024,"m/d/yyyy")),FY24_Temp[],5,FALSE)&amp;TEXT(A1024,"-h"),TempDelta[],4,FALSE)</f>
        <v>1.3324285575321742</v>
      </c>
      <c r="R1024">
        <v>10</v>
      </c>
      <c r="S1024" s="112">
        <v>1500</v>
      </c>
      <c r="T1024" s="5">
        <f>VLOOKUP(TEXT(A1024,"yy-mm")&amp;"-"&amp;IF(AND(WEEKDAY(A1024)&gt;1,WEEKDAY(A1024)&lt;7),"Wkd",TEXT(A1024,"Ddd"))&amp;"-"&amp;TEXT(A1024,"hh"),LoadTable[],3,FALSE)*0.92</f>
        <v>419.45560000000012</v>
      </c>
      <c r="U1024" s="113">
        <f t="shared" si="988"/>
        <v>41.945560000000015</v>
      </c>
      <c r="V1024">
        <f t="shared" ref="V1024:W1024" si="1054">V1000</f>
        <v>3.2</v>
      </c>
      <c r="W1024">
        <f t="shared" si="1054"/>
        <v>2.9</v>
      </c>
      <c r="X1024" s="9">
        <v>3.0184039999999999</v>
      </c>
      <c r="Y1024" s="39"/>
    </row>
    <row r="1025" spans="1:25" ht="15" thickBot="1">
      <c r="A1025" s="29">
        <f t="shared" si="1042"/>
        <v>45878.583333332834</v>
      </c>
      <c r="B1025" s="30">
        <f t="shared" si="997"/>
        <v>8000</v>
      </c>
      <c r="C1025" s="8">
        <v>25000</v>
      </c>
      <c r="D1025" s="187">
        <v>0</v>
      </c>
      <c r="E1025" s="187">
        <v>700</v>
      </c>
      <c r="F1025" s="187">
        <v>15000</v>
      </c>
      <c r="G1025" s="30">
        <f t="shared" si="998"/>
        <v>2400</v>
      </c>
      <c r="H1025" s="8">
        <v>25000</v>
      </c>
      <c r="I1025" s="30">
        <f t="shared" si="999"/>
        <v>8000</v>
      </c>
      <c r="J1025" s="187">
        <v>40000</v>
      </c>
      <c r="K1025" s="30">
        <f t="shared" si="1000"/>
        <v>8000</v>
      </c>
      <c r="L1025" s="187">
        <v>40000</v>
      </c>
      <c r="M1025" s="110">
        <v>9.5</v>
      </c>
      <c r="N1025" s="9">
        <f>VLOOKUP(DATE(YEAR(A1025),MONTH(A1025),DAY(A1025)),FY24_Temp[],3,FALSE)</f>
        <v>14.4</v>
      </c>
      <c r="O1025" s="110">
        <f t="shared" si="986"/>
        <v>11.5</v>
      </c>
      <c r="P1025" s="110">
        <f t="shared" si="987"/>
        <v>19.5</v>
      </c>
      <c r="Q1025" s="79">
        <f>VLOOKUP(VLOOKUP(DATEVALUE(TEXT(A1025,"m/d/yyyy")),FY24_Temp[],5,FALSE)&amp;TEXT(A1025,"-h"),TempDelta[],4,FALSE)</f>
        <v>1.096000007220677</v>
      </c>
      <c r="R1025">
        <v>10</v>
      </c>
      <c r="S1025" s="112">
        <v>1500</v>
      </c>
      <c r="T1025" s="5">
        <f>VLOOKUP(TEXT(A1025,"yy-mm")&amp;"-"&amp;IF(AND(WEEKDAY(A1025)&gt;1,WEEKDAY(A1025)&lt;7),"Wkd",TEXT(A1025,"Ddd"))&amp;"-"&amp;TEXT(A1025,"hh"),LoadTable[],3,FALSE)*0.92</f>
        <v>602.53744000000006</v>
      </c>
      <c r="U1025" s="113">
        <f t="shared" si="988"/>
        <v>60.253744000000005</v>
      </c>
      <c r="V1025">
        <f t="shared" ref="V1025:W1025" si="1055">V1001</f>
        <v>3.5</v>
      </c>
      <c r="W1025">
        <f t="shared" si="1055"/>
        <v>2.9</v>
      </c>
      <c r="X1025" s="9">
        <v>2.9870279000000002</v>
      </c>
      <c r="Y1025" s="39"/>
    </row>
    <row r="1026" spans="1:25" ht="15" thickBot="1">
      <c r="A1026" s="29">
        <f t="shared" si="1042"/>
        <v>45878.624999999498</v>
      </c>
      <c r="B1026" s="30">
        <f t="shared" si="997"/>
        <v>8000</v>
      </c>
      <c r="C1026" s="8">
        <v>25000</v>
      </c>
      <c r="D1026" s="187">
        <v>0</v>
      </c>
      <c r="E1026" s="187">
        <v>700</v>
      </c>
      <c r="F1026" s="187">
        <v>15000</v>
      </c>
      <c r="G1026" s="30">
        <f t="shared" si="998"/>
        <v>2400</v>
      </c>
      <c r="H1026" s="8">
        <v>25000</v>
      </c>
      <c r="I1026" s="30">
        <f t="shared" si="999"/>
        <v>8000</v>
      </c>
      <c r="J1026" s="187">
        <v>40000</v>
      </c>
      <c r="K1026" s="30">
        <f t="shared" si="1000"/>
        <v>8000</v>
      </c>
      <c r="L1026" s="187">
        <v>40000</v>
      </c>
      <c r="M1026" s="110">
        <v>9.5</v>
      </c>
      <c r="N1026" s="9">
        <f>VLOOKUP(DATE(YEAR(A1026),MONTH(A1026),DAY(A1026)),FY24_Temp[],3,FALSE)</f>
        <v>14.4</v>
      </c>
      <c r="O1026" s="110">
        <f t="shared" si="986"/>
        <v>11.5</v>
      </c>
      <c r="P1026" s="110">
        <f t="shared" si="987"/>
        <v>19.5</v>
      </c>
      <c r="Q1026" s="79">
        <f>VLOOKUP(VLOOKUP(DATEVALUE(TEXT(A1026,"m/d/yyyy")),FY24_Temp[],5,FALSE)&amp;TEXT(A1026,"-h"),TempDelta[],4,FALSE)</f>
        <v>0.78178571377481731</v>
      </c>
      <c r="R1026">
        <v>10</v>
      </c>
      <c r="S1026" s="112">
        <v>1500</v>
      </c>
      <c r="T1026" s="5">
        <f>VLOOKUP(TEXT(A1026,"yy-mm")&amp;"-"&amp;IF(AND(WEEKDAY(A1026)&gt;1,WEEKDAY(A1026)&lt;7),"Wkd",TEXT(A1026,"Ddd"))&amp;"-"&amp;TEXT(A1026,"hh"),LoadTable[],3,FALSE)*0.92</f>
        <v>718.53656000000001</v>
      </c>
      <c r="U1026" s="113">
        <f t="shared" si="988"/>
        <v>71.853656000000001</v>
      </c>
      <c r="V1026">
        <f t="shared" ref="V1026:W1026" si="1056">V1002</f>
        <v>3.2</v>
      </c>
      <c r="W1026">
        <f t="shared" si="1056"/>
        <v>2.9</v>
      </c>
      <c r="X1026" s="9">
        <v>3.3114333</v>
      </c>
      <c r="Y1026" s="39"/>
    </row>
    <row r="1027" spans="1:25" ht="15" thickBot="1">
      <c r="A1027" s="29">
        <f t="shared" si="1042"/>
        <v>45878.666666666162</v>
      </c>
      <c r="B1027" s="30">
        <f t="shared" si="997"/>
        <v>8000</v>
      </c>
      <c r="C1027" s="8">
        <v>25000</v>
      </c>
      <c r="D1027" s="187">
        <v>0</v>
      </c>
      <c r="E1027" s="187">
        <v>700</v>
      </c>
      <c r="F1027" s="187">
        <v>15000</v>
      </c>
      <c r="G1027" s="30">
        <f t="shared" si="998"/>
        <v>2400</v>
      </c>
      <c r="H1027" s="8">
        <v>25000</v>
      </c>
      <c r="I1027" s="30">
        <f t="shared" si="999"/>
        <v>8000</v>
      </c>
      <c r="J1027" s="187">
        <v>40000</v>
      </c>
      <c r="K1027" s="30">
        <f t="shared" si="1000"/>
        <v>8000</v>
      </c>
      <c r="L1027" s="187">
        <v>40000</v>
      </c>
      <c r="M1027" s="110">
        <v>9.5</v>
      </c>
      <c r="N1027" s="9">
        <f>VLOOKUP(DATE(YEAR(A1027),MONTH(A1027),DAY(A1027)),FY24_Temp[],3,FALSE)</f>
        <v>14.4</v>
      </c>
      <c r="O1027" s="110">
        <f t="shared" si="986"/>
        <v>11.5</v>
      </c>
      <c r="P1027" s="110">
        <f t="shared" si="987"/>
        <v>19.5</v>
      </c>
      <c r="Q1027" s="79">
        <f>VLOOKUP(VLOOKUP(DATEVALUE(TEXT(A1027,"m/d/yyyy")),FY24_Temp[],5,FALSE)&amp;TEXT(A1027,"-h"),TempDelta[],4,FALSE)</f>
        <v>0.64235714290823254</v>
      </c>
      <c r="R1027">
        <v>10</v>
      </c>
      <c r="S1027" s="112">
        <v>1500</v>
      </c>
      <c r="T1027" s="5">
        <f>VLOOKUP(TEXT(A1027,"yy-mm")&amp;"-"&amp;IF(AND(WEEKDAY(A1027)&gt;1,WEEKDAY(A1027)&lt;7),"Wkd",TEXT(A1027,"Ddd"))&amp;"-"&amp;TEXT(A1027,"hh"),LoadTable[],3,FALSE)*0.92</f>
        <v>786.27137399656624</v>
      </c>
      <c r="U1027" s="113">
        <f t="shared" si="988"/>
        <v>78.627137399656618</v>
      </c>
      <c r="V1027">
        <f t="shared" ref="V1027:W1027" si="1057">V1003</f>
        <v>3.5</v>
      </c>
      <c r="W1027">
        <f t="shared" si="1057"/>
        <v>3</v>
      </c>
      <c r="X1027" s="9">
        <v>3.1992010999999998</v>
      </c>
      <c r="Y1027" s="39"/>
    </row>
    <row r="1028" spans="1:25" ht="15" thickBot="1">
      <c r="A1028" s="29">
        <f t="shared" si="1042"/>
        <v>45878.708333332826</v>
      </c>
      <c r="B1028" s="30">
        <f t="shared" si="997"/>
        <v>8000</v>
      </c>
      <c r="C1028" s="8">
        <v>25000</v>
      </c>
      <c r="D1028" s="187">
        <v>0</v>
      </c>
      <c r="E1028" s="187">
        <v>700</v>
      </c>
      <c r="F1028" s="187">
        <v>15000</v>
      </c>
      <c r="G1028" s="30">
        <f t="shared" si="998"/>
        <v>2400</v>
      </c>
      <c r="H1028" s="8">
        <v>25000</v>
      </c>
      <c r="I1028" s="30">
        <f t="shared" si="999"/>
        <v>8000</v>
      </c>
      <c r="J1028" s="187">
        <v>40000</v>
      </c>
      <c r="K1028" s="30">
        <f t="shared" si="1000"/>
        <v>8000</v>
      </c>
      <c r="L1028" s="187">
        <v>40000</v>
      </c>
      <c r="M1028" s="110">
        <v>9.5</v>
      </c>
      <c r="N1028" s="9">
        <f>VLOOKUP(DATE(YEAR(A1028),MONTH(A1028),DAY(A1028)),FY24_Temp[],3,FALSE)</f>
        <v>14.4</v>
      </c>
      <c r="O1028" s="110">
        <f t="shared" ref="O1028:O1091" si="1058">15.5-4</f>
        <v>11.5</v>
      </c>
      <c r="P1028" s="110">
        <f t="shared" ref="P1028:P1091" si="1059">15.5+4</f>
        <v>19.5</v>
      </c>
      <c r="Q1028" s="79">
        <f>VLOOKUP(VLOOKUP(DATEVALUE(TEXT(A1028,"m/d/yyyy")),FY24_Temp[],5,FALSE)&amp;TEXT(A1028,"-h"),TempDelta[],4,FALSE)</f>
        <v>0.66985713158335003</v>
      </c>
      <c r="R1028">
        <v>10</v>
      </c>
      <c r="S1028" s="112">
        <v>1500</v>
      </c>
      <c r="T1028" s="5">
        <f>VLOOKUP(TEXT(A1028,"yy-mm")&amp;"-"&amp;IF(AND(WEEKDAY(A1028)&gt;1,WEEKDAY(A1028)&lt;7),"Wkd",TEXT(A1028,"Ddd"))&amp;"-"&amp;TEXT(A1028,"hh"),LoadTable[],3,FALSE)*0.92</f>
        <v>786.27137399656624</v>
      </c>
      <c r="U1028" s="113">
        <f t="shared" ref="U1028:U1091" si="1060">T1028/10</f>
        <v>78.627137399656618</v>
      </c>
      <c r="V1028">
        <f t="shared" ref="V1028:W1028" si="1061">V1004</f>
        <v>3.6</v>
      </c>
      <c r="W1028">
        <f t="shared" si="1061"/>
        <v>3</v>
      </c>
      <c r="X1028" s="9">
        <v>3.1127064</v>
      </c>
      <c r="Y1028" s="39"/>
    </row>
    <row r="1029" spans="1:25" ht="15" thickBot="1">
      <c r="A1029" s="29">
        <f t="shared" si="1042"/>
        <v>45878.749999999491</v>
      </c>
      <c r="B1029" s="30">
        <f t="shared" si="997"/>
        <v>5000</v>
      </c>
      <c r="C1029" s="8">
        <v>25000</v>
      </c>
      <c r="D1029" s="187">
        <v>0</v>
      </c>
      <c r="E1029" s="187">
        <v>700</v>
      </c>
      <c r="F1029" s="187">
        <v>15000</v>
      </c>
      <c r="G1029" s="30">
        <f t="shared" si="998"/>
        <v>2400</v>
      </c>
      <c r="H1029" s="8">
        <v>25000</v>
      </c>
      <c r="I1029" s="30">
        <f t="shared" si="999"/>
        <v>5000</v>
      </c>
      <c r="J1029" s="187">
        <v>40000</v>
      </c>
      <c r="K1029" s="30">
        <f t="shared" si="1000"/>
        <v>5000</v>
      </c>
      <c r="L1029" s="187">
        <v>40000</v>
      </c>
      <c r="M1029" s="110">
        <v>9.5</v>
      </c>
      <c r="N1029" s="9">
        <f>VLOOKUP(DATE(YEAR(A1029),MONTH(A1029),DAY(A1029)),FY24_Temp[],3,FALSE)</f>
        <v>14.4</v>
      </c>
      <c r="O1029" s="110">
        <f t="shared" si="1058"/>
        <v>11.5</v>
      </c>
      <c r="P1029" s="110">
        <f t="shared" si="1059"/>
        <v>19.5</v>
      </c>
      <c r="Q1029" s="79">
        <f>VLOOKUP(VLOOKUP(DATEVALUE(TEXT(A1029,"m/d/yyyy")),FY24_Temp[],5,FALSE)&amp;TEXT(A1029,"-h"),TempDelta[],4,FALSE)</f>
        <v>0.88785713485309059</v>
      </c>
      <c r="R1029">
        <v>10</v>
      </c>
      <c r="S1029" s="112">
        <v>1500</v>
      </c>
      <c r="T1029" s="5">
        <f>VLOOKUP(TEXT(A1029,"yy-mm")&amp;"-"&amp;IF(AND(WEEKDAY(A1029)&gt;1,WEEKDAY(A1029)&lt;7),"Wkd",TEXT(A1029,"Ddd"))&amp;"-"&amp;TEXT(A1029,"hh"),LoadTable[],3,FALSE)*0.92</f>
        <v>786.27137399656647</v>
      </c>
      <c r="U1029" s="113">
        <f t="shared" si="1060"/>
        <v>78.627137399656647</v>
      </c>
      <c r="V1029">
        <f t="shared" ref="V1029:W1029" si="1062">V1005</f>
        <v>2.9</v>
      </c>
      <c r="W1029">
        <f t="shared" si="1062"/>
        <v>3</v>
      </c>
      <c r="X1029" s="9">
        <v>3.0936666000000002</v>
      </c>
      <c r="Y1029" s="39"/>
    </row>
    <row r="1030" spans="1:25" ht="15" thickBot="1">
      <c r="A1030" s="29">
        <f t="shared" si="1042"/>
        <v>45878.791666666155</v>
      </c>
      <c r="B1030" s="30">
        <f t="shared" si="997"/>
        <v>5000</v>
      </c>
      <c r="C1030" s="8">
        <v>25000</v>
      </c>
      <c r="D1030" s="187">
        <v>0</v>
      </c>
      <c r="E1030" s="187">
        <v>700</v>
      </c>
      <c r="F1030" s="187">
        <v>15000</v>
      </c>
      <c r="G1030" s="30">
        <f t="shared" si="998"/>
        <v>2400</v>
      </c>
      <c r="H1030" s="8">
        <v>25000</v>
      </c>
      <c r="I1030" s="30">
        <f t="shared" si="999"/>
        <v>5000</v>
      </c>
      <c r="J1030" s="187">
        <v>40000</v>
      </c>
      <c r="K1030" s="30">
        <f t="shared" si="1000"/>
        <v>5000</v>
      </c>
      <c r="L1030" s="187">
        <v>40000</v>
      </c>
      <c r="M1030" s="110">
        <v>9.5</v>
      </c>
      <c r="N1030" s="9">
        <f>VLOOKUP(DATE(YEAR(A1030),MONTH(A1030),DAY(A1030)),FY24_Temp[],3,FALSE)</f>
        <v>14.4</v>
      </c>
      <c r="O1030" s="110">
        <f t="shared" si="1058"/>
        <v>11.5</v>
      </c>
      <c r="P1030" s="110">
        <f t="shared" si="1059"/>
        <v>19.5</v>
      </c>
      <c r="Q1030" s="79">
        <f>VLOOKUP(VLOOKUP(DATEVALUE(TEXT(A1030,"m/d/yyyy")),FY24_Temp[],5,FALSE)&amp;TEXT(A1030,"-h"),TempDelta[],4,FALSE)</f>
        <v>1.1961428693362646</v>
      </c>
      <c r="R1030">
        <v>10</v>
      </c>
      <c r="S1030" s="112">
        <v>1500</v>
      </c>
      <c r="T1030" s="5">
        <f>VLOOKUP(TEXT(A1030,"yy-mm")&amp;"-"&amp;IF(AND(WEEKDAY(A1030)&gt;1,WEEKDAY(A1030)&lt;7),"Wkd",TEXT(A1030,"Ddd"))&amp;"-"&amp;TEXT(A1030,"hh"),LoadTable[],3,FALSE)*0.92</f>
        <v>786.27137399656624</v>
      </c>
      <c r="U1030" s="113">
        <f t="shared" si="1060"/>
        <v>78.627137399656618</v>
      </c>
      <c r="V1030">
        <f t="shared" ref="V1030:W1030" si="1063">V1006</f>
        <v>3</v>
      </c>
      <c r="W1030">
        <f t="shared" si="1063"/>
        <v>3</v>
      </c>
      <c r="X1030" s="9">
        <v>3.0556473999999998</v>
      </c>
      <c r="Y1030" s="39"/>
    </row>
    <row r="1031" spans="1:25" ht="15" thickBot="1">
      <c r="A1031" s="29">
        <f t="shared" si="1042"/>
        <v>45878.833333332819</v>
      </c>
      <c r="B1031" s="30">
        <f t="shared" si="997"/>
        <v>5000</v>
      </c>
      <c r="C1031" s="8">
        <v>25000</v>
      </c>
      <c r="D1031" s="187">
        <v>0</v>
      </c>
      <c r="E1031" s="187">
        <v>700</v>
      </c>
      <c r="F1031" s="187">
        <v>15000</v>
      </c>
      <c r="G1031" s="30">
        <f t="shared" si="998"/>
        <v>2400</v>
      </c>
      <c r="H1031" s="8">
        <v>25000</v>
      </c>
      <c r="I1031" s="30">
        <f t="shared" si="999"/>
        <v>5000</v>
      </c>
      <c r="J1031" s="187">
        <v>40000</v>
      </c>
      <c r="K1031" s="30">
        <f t="shared" si="1000"/>
        <v>5000</v>
      </c>
      <c r="L1031" s="187">
        <v>40000</v>
      </c>
      <c r="M1031" s="110">
        <v>9.5</v>
      </c>
      <c r="N1031" s="9">
        <f>VLOOKUP(DATE(YEAR(A1031),MONTH(A1031),DAY(A1031)),FY24_Temp[],3,FALSE)</f>
        <v>14.4</v>
      </c>
      <c r="O1031" s="110">
        <f t="shared" si="1058"/>
        <v>11.5</v>
      </c>
      <c r="P1031" s="110">
        <f t="shared" si="1059"/>
        <v>19.5</v>
      </c>
      <c r="Q1031" s="79">
        <f>VLOOKUP(VLOOKUP(DATEVALUE(TEXT(A1031,"m/d/yyyy")),FY24_Temp[],5,FALSE)&amp;TEXT(A1031,"-h"),TempDelta[],4,FALSE)</f>
        <v>1.6075714315686906</v>
      </c>
      <c r="R1031">
        <v>10</v>
      </c>
      <c r="S1031" s="112">
        <v>1500</v>
      </c>
      <c r="T1031" s="5">
        <f>VLOOKUP(TEXT(A1031,"yy-mm")&amp;"-"&amp;IF(AND(WEEKDAY(A1031)&gt;1,WEEKDAY(A1031)&lt;7),"Wkd",TEXT(A1031,"Ddd"))&amp;"-"&amp;TEXT(A1031,"hh"),LoadTable[],3,FALSE)*0.92</f>
        <v>777.64820632864951</v>
      </c>
      <c r="U1031" s="113">
        <f t="shared" si="1060"/>
        <v>77.764820632864954</v>
      </c>
      <c r="V1031">
        <f t="shared" ref="V1031:W1031" si="1064">V1007</f>
        <v>2.8</v>
      </c>
      <c r="W1031">
        <f t="shared" si="1064"/>
        <v>3.1</v>
      </c>
      <c r="X1031" s="9">
        <v>3.0189952999999998</v>
      </c>
      <c r="Y1031" s="39"/>
    </row>
    <row r="1032" spans="1:25" ht="15" thickBot="1">
      <c r="A1032" s="29">
        <f t="shared" si="1042"/>
        <v>45878.874999999483</v>
      </c>
      <c r="B1032" s="30">
        <f t="shared" si="997"/>
        <v>5000</v>
      </c>
      <c r="C1032" s="8">
        <v>25000</v>
      </c>
      <c r="D1032" s="187">
        <v>0</v>
      </c>
      <c r="E1032" s="187">
        <v>700</v>
      </c>
      <c r="F1032" s="187">
        <v>15000</v>
      </c>
      <c r="G1032" s="30">
        <f t="shared" si="998"/>
        <v>2400</v>
      </c>
      <c r="H1032" s="8">
        <v>25000</v>
      </c>
      <c r="I1032" s="30">
        <f t="shared" si="999"/>
        <v>5000</v>
      </c>
      <c r="J1032" s="187">
        <v>40000</v>
      </c>
      <c r="K1032" s="30">
        <f t="shared" si="1000"/>
        <v>5000</v>
      </c>
      <c r="L1032" s="187">
        <v>40000</v>
      </c>
      <c r="M1032" s="110">
        <v>9.5</v>
      </c>
      <c r="N1032" s="9">
        <f>VLOOKUP(DATE(YEAR(A1032),MONTH(A1032),DAY(A1032)),FY24_Temp[],3,FALSE)</f>
        <v>14.4</v>
      </c>
      <c r="O1032" s="110">
        <f t="shared" si="1058"/>
        <v>11.5</v>
      </c>
      <c r="P1032" s="110">
        <f t="shared" si="1059"/>
        <v>19.5</v>
      </c>
      <c r="Q1032" s="79">
        <f>VLOOKUP(VLOOKUP(DATEVALUE(TEXT(A1032,"m/d/yyyy")),FY24_Temp[],5,FALSE)&amp;TEXT(A1032,"-h"),TempDelta[],4,FALSE)</f>
        <v>1.9315714410373144</v>
      </c>
      <c r="R1032">
        <v>10</v>
      </c>
      <c r="S1032" s="112">
        <v>1500</v>
      </c>
      <c r="T1032" s="5">
        <f>VLOOKUP(TEXT(A1032,"yy-mm")&amp;"-"&amp;IF(AND(WEEKDAY(A1032)&gt;1,WEEKDAY(A1032)&lt;7),"Wkd",TEXT(A1032,"Ddd"))&amp;"-"&amp;TEXT(A1032,"hh"),LoadTable[],3,FALSE)*0.92</f>
        <v>646.6971562116064</v>
      </c>
      <c r="U1032" s="113">
        <f t="shared" si="1060"/>
        <v>64.669715621160634</v>
      </c>
      <c r="V1032">
        <f t="shared" ref="V1032:W1032" si="1065">V1008</f>
        <v>3.5</v>
      </c>
      <c r="W1032">
        <f t="shared" si="1065"/>
        <v>3.1</v>
      </c>
      <c r="X1032" s="9">
        <v>2.9855119999999999</v>
      </c>
      <c r="Y1032" s="39"/>
    </row>
    <row r="1033" spans="1:25" ht="15" thickBot="1">
      <c r="A1033" s="29">
        <f t="shared" si="1042"/>
        <v>45878.916666666148</v>
      </c>
      <c r="B1033" s="30">
        <f t="shared" si="997"/>
        <v>5000</v>
      </c>
      <c r="C1033" s="8">
        <v>25000</v>
      </c>
      <c r="D1033" s="187">
        <v>0</v>
      </c>
      <c r="E1033" s="187">
        <v>700</v>
      </c>
      <c r="F1033" s="187">
        <v>15000</v>
      </c>
      <c r="G1033" s="30">
        <f t="shared" si="998"/>
        <v>2400</v>
      </c>
      <c r="H1033" s="8">
        <v>25000</v>
      </c>
      <c r="I1033" s="30">
        <f t="shared" si="999"/>
        <v>5000</v>
      </c>
      <c r="J1033" s="187">
        <v>40000</v>
      </c>
      <c r="K1033" s="30">
        <f t="shared" si="1000"/>
        <v>5000</v>
      </c>
      <c r="L1033" s="187">
        <v>40000</v>
      </c>
      <c r="M1033" s="110">
        <v>9.5</v>
      </c>
      <c r="N1033" s="9">
        <f>VLOOKUP(DATE(YEAR(A1033),MONTH(A1033),DAY(A1033)),FY24_Temp[],3,FALSE)</f>
        <v>14.4</v>
      </c>
      <c r="O1033" s="110">
        <f t="shared" si="1058"/>
        <v>11.5</v>
      </c>
      <c r="P1033" s="110">
        <f t="shared" si="1059"/>
        <v>19.5</v>
      </c>
      <c r="Q1033" s="79">
        <f>VLOOKUP(VLOOKUP(DATEVALUE(TEXT(A1033,"m/d/yyyy")),FY24_Temp[],5,FALSE)&amp;TEXT(A1033,"-h"),TempDelta[],4,FALSE)</f>
        <v>2.2258571556636264</v>
      </c>
      <c r="R1033">
        <v>10</v>
      </c>
      <c r="S1033" s="112">
        <v>1500</v>
      </c>
      <c r="T1033" s="5">
        <f>VLOOKUP(TEXT(A1033,"yy-mm")&amp;"-"&amp;IF(AND(WEEKDAY(A1033)&gt;1,WEEKDAY(A1033)&lt;7),"Wkd",TEXT(A1033,"Ddd"))&amp;"-"&amp;TEXT(A1033,"hh"),LoadTable[],3,FALSE)*0.92</f>
        <v>584.81792964989802</v>
      </c>
      <c r="U1033" s="113">
        <f t="shared" si="1060"/>
        <v>58.481792964989801</v>
      </c>
      <c r="V1033">
        <f t="shared" ref="V1033:W1033" si="1066">V1009</f>
        <v>2.9</v>
      </c>
      <c r="W1033">
        <f t="shared" si="1066"/>
        <v>3.1</v>
      </c>
      <c r="X1033" s="9">
        <v>2.9519297999999998</v>
      </c>
      <c r="Y1033" s="39"/>
    </row>
    <row r="1034" spans="1:25" ht="15" thickBot="1">
      <c r="A1034" s="29">
        <f t="shared" si="1042"/>
        <v>45878.958333332812</v>
      </c>
      <c r="B1034" s="30">
        <f t="shared" si="997"/>
        <v>5000</v>
      </c>
      <c r="C1034" s="8">
        <v>25000</v>
      </c>
      <c r="D1034" s="187">
        <v>0</v>
      </c>
      <c r="E1034" s="187">
        <v>700</v>
      </c>
      <c r="F1034" s="187">
        <v>15000</v>
      </c>
      <c r="G1034" s="30">
        <f t="shared" si="998"/>
        <v>2400</v>
      </c>
      <c r="H1034" s="8">
        <v>25000</v>
      </c>
      <c r="I1034" s="30">
        <f t="shared" si="999"/>
        <v>5000</v>
      </c>
      <c r="J1034" s="187">
        <v>40000</v>
      </c>
      <c r="K1034" s="30">
        <f t="shared" si="1000"/>
        <v>5000</v>
      </c>
      <c r="L1034" s="187">
        <v>40000</v>
      </c>
      <c r="M1034" s="110">
        <v>9.5</v>
      </c>
      <c r="N1034" s="9">
        <f>VLOOKUP(DATE(YEAR(A1034),MONTH(A1034),DAY(A1034)),FY24_Temp[],3,FALSE)</f>
        <v>14.4</v>
      </c>
      <c r="O1034" s="110">
        <f t="shared" si="1058"/>
        <v>11.5</v>
      </c>
      <c r="P1034" s="110">
        <f t="shared" si="1059"/>
        <v>19.5</v>
      </c>
      <c r="Q1034" s="79">
        <f>VLOOKUP(VLOOKUP(DATEVALUE(TEXT(A1034,"m/d/yyyy")),FY24_Temp[],5,FALSE)&amp;TEXT(A1034,"-h"),TempDelta[],4,FALSE)</f>
        <v>2.3604285717010498</v>
      </c>
      <c r="R1034">
        <v>10</v>
      </c>
      <c r="S1034" s="112">
        <v>1500</v>
      </c>
      <c r="T1034" s="5">
        <f>VLOOKUP(TEXT(A1034,"yy-mm")&amp;"-"&amp;IF(AND(WEEKDAY(A1034)&gt;1,WEEKDAY(A1034)&lt;7),"Wkd",TEXT(A1034,"Ddd"))&amp;"-"&amp;TEXT(A1034,"hh"),LoadTable[],3,FALSE)*0.92</f>
        <v>476.19660000000005</v>
      </c>
      <c r="U1034" s="113">
        <f t="shared" si="1060"/>
        <v>47.619660000000003</v>
      </c>
      <c r="V1034">
        <f t="shared" ref="V1034:W1034" si="1067">V1010</f>
        <v>3.6</v>
      </c>
      <c r="W1034">
        <f t="shared" si="1067"/>
        <v>3.1</v>
      </c>
      <c r="X1034" s="9">
        <v>2.8495512000000001</v>
      </c>
      <c r="Y1034" s="39"/>
    </row>
    <row r="1035" spans="1:25" ht="15" thickBot="1">
      <c r="A1035" s="29">
        <f t="shared" si="1042"/>
        <v>45878.999999999476</v>
      </c>
      <c r="B1035" s="30">
        <f t="shared" si="997"/>
        <v>5000</v>
      </c>
      <c r="C1035" s="8">
        <v>25000</v>
      </c>
      <c r="D1035" s="187">
        <v>0</v>
      </c>
      <c r="E1035" s="187">
        <v>700</v>
      </c>
      <c r="F1035" s="187">
        <v>15000</v>
      </c>
      <c r="G1035" s="30">
        <f t="shared" si="998"/>
        <v>2400</v>
      </c>
      <c r="H1035" s="8">
        <v>25000</v>
      </c>
      <c r="I1035" s="30">
        <f t="shared" si="999"/>
        <v>5000</v>
      </c>
      <c r="J1035" s="187">
        <v>40000</v>
      </c>
      <c r="K1035" s="30">
        <f t="shared" si="1000"/>
        <v>5000</v>
      </c>
      <c r="L1035" s="187">
        <v>40000</v>
      </c>
      <c r="M1035" s="110">
        <v>9.5</v>
      </c>
      <c r="N1035" s="9">
        <f>VLOOKUP(DATE(YEAR(A1035),MONTH(A1035),DAY(A1035)),FY24_Temp[],3,FALSE)</f>
        <v>14.4</v>
      </c>
      <c r="O1035" s="110">
        <f t="shared" si="1058"/>
        <v>11.5</v>
      </c>
      <c r="P1035" s="110">
        <f t="shared" si="1059"/>
        <v>19.5</v>
      </c>
      <c r="Q1035" s="79">
        <f>VLOOKUP(VLOOKUP(DATEVALUE(TEXT(A1035,"m/d/yyyy")),FY24_Temp[],5,FALSE)&amp;TEXT(A1035,"-h"),TempDelta[],4,FALSE)</f>
        <v>2.4882856777736118</v>
      </c>
      <c r="R1035">
        <v>10</v>
      </c>
      <c r="S1035" s="112">
        <v>1500</v>
      </c>
      <c r="T1035" s="5">
        <f>VLOOKUP(TEXT(A1035,"yy-mm")&amp;"-"&amp;IF(AND(WEEKDAY(A1035)&gt;1,WEEKDAY(A1035)&lt;7),"Wkd",TEXT(A1035,"Ddd"))&amp;"-"&amp;TEXT(A1035,"hh"),LoadTable[],3,FALSE)*0.92</f>
        <v>356.57820000000004</v>
      </c>
      <c r="U1035" s="113">
        <f t="shared" si="1060"/>
        <v>35.657820000000001</v>
      </c>
      <c r="V1035">
        <f t="shared" ref="V1035:W1035" si="1068">V1011</f>
        <v>3</v>
      </c>
      <c r="W1035">
        <f t="shared" si="1068"/>
        <v>3.2</v>
      </c>
      <c r="X1035" s="9">
        <v>2.7738941000000001</v>
      </c>
      <c r="Y1035" s="39"/>
    </row>
    <row r="1036" spans="1:25" ht="15" thickBot="1">
      <c r="A1036" s="29">
        <f t="shared" si="1042"/>
        <v>45879.04166666614</v>
      </c>
      <c r="B1036" s="30">
        <f t="shared" ref="B1036:B1099" si="1069">B1012</f>
        <v>5000</v>
      </c>
      <c r="C1036" s="8">
        <v>25000</v>
      </c>
      <c r="D1036" s="187">
        <v>0</v>
      </c>
      <c r="E1036" s="187">
        <v>700</v>
      </c>
      <c r="F1036" s="187">
        <v>15000</v>
      </c>
      <c r="G1036" s="30">
        <f t="shared" ref="G1036:G1099" si="1070">G1012</f>
        <v>2400</v>
      </c>
      <c r="H1036" s="8">
        <v>25000</v>
      </c>
      <c r="I1036" s="30">
        <f t="shared" ref="I1036:I1099" si="1071">I1012</f>
        <v>5000</v>
      </c>
      <c r="J1036" s="187">
        <v>40000</v>
      </c>
      <c r="K1036" s="30">
        <f t="shared" ref="K1036:K1099" si="1072">K1012</f>
        <v>5000</v>
      </c>
      <c r="L1036" s="187">
        <v>40000</v>
      </c>
      <c r="M1036" s="110">
        <v>9.5</v>
      </c>
      <c r="N1036" s="9">
        <f>VLOOKUP(DATE(YEAR(A1036),MONTH(A1036),DAY(A1036)),FY24_Temp[],3,FALSE)</f>
        <v>14.4</v>
      </c>
      <c r="O1036" s="110">
        <f t="shared" si="1058"/>
        <v>11.5</v>
      </c>
      <c r="P1036" s="110">
        <f t="shared" si="1059"/>
        <v>19.5</v>
      </c>
      <c r="Q1036" s="79">
        <f>VLOOKUP(VLOOKUP(DATEVALUE(TEXT(A1036,"m/d/yyyy")),FY24_Temp[],5,FALSE)&amp;TEXT(A1036,"-h"),TempDelta[],4,FALSE)</f>
        <v>2.5384285790579662</v>
      </c>
      <c r="R1036">
        <v>10</v>
      </c>
      <c r="S1036" s="112">
        <v>1500</v>
      </c>
      <c r="T1036" s="5">
        <f>VLOOKUP(TEXT(A1036,"yy-mm")&amp;"-"&amp;IF(AND(WEEKDAY(A1036)&gt;1,WEEKDAY(A1036)&lt;7),"Wkd",TEXT(A1036,"Ddd"))&amp;"-"&amp;TEXT(A1036,"hh"),LoadTable[],3,FALSE)*0.92</f>
        <v>347.99644000000006</v>
      </c>
      <c r="U1036" s="113">
        <f t="shared" si="1060"/>
        <v>34.799644000000008</v>
      </c>
      <c r="V1036">
        <f t="shared" ref="V1036:W1036" si="1073">V1012</f>
        <v>2.6</v>
      </c>
      <c r="W1036">
        <f t="shared" si="1073"/>
        <v>3.2</v>
      </c>
      <c r="X1036" s="9">
        <v>2.7284918</v>
      </c>
      <c r="Y1036" s="39"/>
    </row>
    <row r="1037" spans="1:25" ht="15" thickBot="1">
      <c r="A1037" s="29">
        <f t="shared" si="1042"/>
        <v>45879.083333332805</v>
      </c>
      <c r="B1037" s="30">
        <f t="shared" si="1069"/>
        <v>5000</v>
      </c>
      <c r="C1037" s="8">
        <v>25000</v>
      </c>
      <c r="D1037" s="187">
        <v>0</v>
      </c>
      <c r="E1037" s="187">
        <v>700</v>
      </c>
      <c r="F1037" s="187">
        <v>15000</v>
      </c>
      <c r="G1037" s="30">
        <f t="shared" si="1070"/>
        <v>2400</v>
      </c>
      <c r="H1037" s="8">
        <v>25000</v>
      </c>
      <c r="I1037" s="30">
        <f t="shared" si="1071"/>
        <v>5000</v>
      </c>
      <c r="J1037" s="187">
        <v>40000</v>
      </c>
      <c r="K1037" s="30">
        <f t="shared" si="1072"/>
        <v>5000</v>
      </c>
      <c r="L1037" s="187">
        <v>40000</v>
      </c>
      <c r="M1037" s="110">
        <v>9.5</v>
      </c>
      <c r="N1037" s="9">
        <f>VLOOKUP(DATE(YEAR(A1037),MONTH(A1037),DAY(A1037)),FY24_Temp[],3,FALSE)</f>
        <v>14.4</v>
      </c>
      <c r="O1037" s="110">
        <f t="shared" si="1058"/>
        <v>11.5</v>
      </c>
      <c r="P1037" s="110">
        <f t="shared" si="1059"/>
        <v>19.5</v>
      </c>
      <c r="Q1037" s="79">
        <f>VLOOKUP(VLOOKUP(DATEVALUE(TEXT(A1037,"m/d/yyyy")),FY24_Temp[],5,FALSE)&amp;TEXT(A1037,"-h"),TempDelta[],4,FALSE)</f>
        <v>2.5558571474892751</v>
      </c>
      <c r="R1037">
        <v>10</v>
      </c>
      <c r="S1037" s="112">
        <v>1500</v>
      </c>
      <c r="T1037" s="5">
        <f>VLOOKUP(TEXT(A1037,"yy-mm")&amp;"-"&amp;IF(AND(WEEKDAY(A1037)&gt;1,WEEKDAY(A1037)&lt;7),"Wkd",TEXT(A1037,"Ddd"))&amp;"-"&amp;TEXT(A1037,"hh"),LoadTable[],3,FALSE)*0.92</f>
        <v>341.29148000000004</v>
      </c>
      <c r="U1037" s="113">
        <f t="shared" si="1060"/>
        <v>34.129148000000001</v>
      </c>
      <c r="V1037">
        <f t="shared" ref="V1037:W1037" si="1074">V1013</f>
        <v>2.8</v>
      </c>
      <c r="W1037">
        <f t="shared" si="1074"/>
        <v>3.2</v>
      </c>
      <c r="X1037" s="9">
        <v>2.8093944</v>
      </c>
      <c r="Y1037" s="39"/>
    </row>
    <row r="1038" spans="1:25" ht="15" thickBot="1">
      <c r="A1038" s="29">
        <f t="shared" si="1042"/>
        <v>45879.124999999469</v>
      </c>
      <c r="B1038" s="30">
        <f t="shared" si="1069"/>
        <v>5000</v>
      </c>
      <c r="C1038" s="8">
        <v>25000</v>
      </c>
      <c r="D1038" s="187">
        <v>0</v>
      </c>
      <c r="E1038" s="187">
        <v>700</v>
      </c>
      <c r="F1038" s="187">
        <v>15000</v>
      </c>
      <c r="G1038" s="30">
        <f t="shared" si="1070"/>
        <v>2400</v>
      </c>
      <c r="H1038" s="8">
        <v>25000</v>
      </c>
      <c r="I1038" s="30">
        <f t="shared" si="1071"/>
        <v>5000</v>
      </c>
      <c r="J1038" s="187">
        <v>40000</v>
      </c>
      <c r="K1038" s="30">
        <f t="shared" si="1072"/>
        <v>5000</v>
      </c>
      <c r="L1038" s="187">
        <v>40000</v>
      </c>
      <c r="M1038" s="110">
        <v>9.5</v>
      </c>
      <c r="N1038" s="9">
        <f>VLOOKUP(DATE(YEAR(A1038),MONTH(A1038),DAY(A1038)),FY24_Temp[],3,FALSE)</f>
        <v>14.4</v>
      </c>
      <c r="O1038" s="110">
        <f t="shared" si="1058"/>
        <v>11.5</v>
      </c>
      <c r="P1038" s="110">
        <f t="shared" si="1059"/>
        <v>19.5</v>
      </c>
      <c r="Q1038" s="79">
        <f>VLOOKUP(VLOOKUP(DATEVALUE(TEXT(A1038,"m/d/yyyy")),FY24_Temp[],5,FALSE)&amp;TEXT(A1038,"-h"),TempDelta[],4,FALSE)</f>
        <v>2.5525713988712857</v>
      </c>
      <c r="R1038">
        <v>10</v>
      </c>
      <c r="S1038" s="112">
        <v>1500</v>
      </c>
      <c r="T1038" s="5">
        <f>VLOOKUP(TEXT(A1038,"yy-mm")&amp;"-"&amp;IF(AND(WEEKDAY(A1038)&gt;1,WEEKDAY(A1038)&lt;7),"Wkd",TEXT(A1038,"Ddd"))&amp;"-"&amp;TEXT(A1038,"hh"),LoadTable[],3,FALSE)*0.92</f>
        <v>341.29148000000004</v>
      </c>
      <c r="U1038" s="113">
        <f t="shared" si="1060"/>
        <v>34.129148000000001</v>
      </c>
      <c r="V1038">
        <f t="shared" ref="V1038:W1038" si="1075">V1014</f>
        <v>2.7</v>
      </c>
      <c r="W1038">
        <f t="shared" si="1075"/>
        <v>3.2</v>
      </c>
      <c r="X1038" s="9">
        <v>2.8659735</v>
      </c>
      <c r="Y1038" s="39"/>
    </row>
    <row r="1039" spans="1:25" ht="15" thickBot="1">
      <c r="A1039" s="29">
        <f t="shared" si="1042"/>
        <v>45879.166666666133</v>
      </c>
      <c r="B1039" s="30">
        <f t="shared" si="1069"/>
        <v>5000</v>
      </c>
      <c r="C1039" s="8">
        <v>25000</v>
      </c>
      <c r="D1039" s="187">
        <v>0</v>
      </c>
      <c r="E1039" s="187">
        <v>700</v>
      </c>
      <c r="F1039" s="187">
        <v>15000</v>
      </c>
      <c r="G1039" s="30">
        <f t="shared" si="1070"/>
        <v>2400</v>
      </c>
      <c r="H1039" s="8">
        <v>25000</v>
      </c>
      <c r="I1039" s="30">
        <f t="shared" si="1071"/>
        <v>5000</v>
      </c>
      <c r="J1039" s="187">
        <v>40000</v>
      </c>
      <c r="K1039" s="30">
        <f t="shared" si="1072"/>
        <v>5000</v>
      </c>
      <c r="L1039" s="187">
        <v>40000</v>
      </c>
      <c r="M1039" s="110">
        <v>9.5</v>
      </c>
      <c r="N1039" s="9">
        <f>VLOOKUP(DATE(YEAR(A1039),MONTH(A1039),DAY(A1039)),FY24_Temp[],3,FALSE)</f>
        <v>14.4</v>
      </c>
      <c r="O1039" s="110">
        <f t="shared" si="1058"/>
        <v>11.5</v>
      </c>
      <c r="P1039" s="110">
        <f t="shared" si="1059"/>
        <v>19.5</v>
      </c>
      <c r="Q1039" s="79">
        <f>VLOOKUP(VLOOKUP(DATEVALUE(TEXT(A1039,"m/d/yyyy")),FY24_Temp[],5,FALSE)&amp;TEXT(A1039,"-h"),TempDelta[],4,FALSE)</f>
        <v>2.5564285346439908</v>
      </c>
      <c r="R1039">
        <v>10</v>
      </c>
      <c r="S1039" s="112">
        <v>1500</v>
      </c>
      <c r="T1039" s="5">
        <f>VLOOKUP(TEXT(A1039,"yy-mm")&amp;"-"&amp;IF(AND(WEEKDAY(A1039)&gt;1,WEEKDAY(A1039)&lt;7),"Wkd",TEXT(A1039,"Ddd"))&amp;"-"&amp;TEXT(A1039,"hh"),LoadTable[],3,FALSE)*0.92</f>
        <v>341.29148000000004</v>
      </c>
      <c r="U1039" s="113">
        <f t="shared" si="1060"/>
        <v>34.129148000000001</v>
      </c>
      <c r="V1039">
        <f t="shared" ref="V1039:W1039" si="1076">V1015</f>
        <v>3</v>
      </c>
      <c r="W1039">
        <f t="shared" si="1076"/>
        <v>3.1</v>
      </c>
      <c r="X1039" s="9">
        <v>2.8984714</v>
      </c>
      <c r="Y1039" s="39"/>
    </row>
    <row r="1040" spans="1:25" ht="15" thickBot="1">
      <c r="A1040" s="29">
        <f t="shared" si="1042"/>
        <v>45879.208333332797</v>
      </c>
      <c r="B1040" s="30">
        <f t="shared" si="1069"/>
        <v>5000</v>
      </c>
      <c r="C1040" s="8">
        <v>25000</v>
      </c>
      <c r="D1040" s="187">
        <v>0</v>
      </c>
      <c r="E1040" s="187">
        <v>700</v>
      </c>
      <c r="F1040" s="187">
        <v>15000</v>
      </c>
      <c r="G1040" s="30">
        <f t="shared" si="1070"/>
        <v>2400</v>
      </c>
      <c r="H1040" s="8">
        <v>25000</v>
      </c>
      <c r="I1040" s="30">
        <f t="shared" si="1071"/>
        <v>5000</v>
      </c>
      <c r="J1040" s="187">
        <v>40000</v>
      </c>
      <c r="K1040" s="30">
        <f t="shared" si="1072"/>
        <v>5000</v>
      </c>
      <c r="L1040" s="187">
        <v>40000</v>
      </c>
      <c r="M1040" s="110">
        <v>9.5</v>
      </c>
      <c r="N1040" s="9">
        <f>VLOOKUP(DATE(YEAR(A1040),MONTH(A1040),DAY(A1040)),FY24_Temp[],3,FALSE)</f>
        <v>14.4</v>
      </c>
      <c r="O1040" s="110">
        <f t="shared" si="1058"/>
        <v>11.5</v>
      </c>
      <c r="P1040" s="110">
        <f t="shared" si="1059"/>
        <v>19.5</v>
      </c>
      <c r="Q1040" s="79">
        <f>VLOOKUP(VLOOKUP(DATEVALUE(TEXT(A1040,"m/d/yyyy")),FY24_Temp[],5,FALSE)&amp;TEXT(A1040,"-h"),TempDelta[],4,FALSE)</f>
        <v>2.6032857554299489</v>
      </c>
      <c r="R1040">
        <v>10</v>
      </c>
      <c r="S1040" s="112">
        <v>1500</v>
      </c>
      <c r="T1040" s="5">
        <f>VLOOKUP(TEXT(A1040,"yy-mm")&amp;"-"&amp;IF(AND(WEEKDAY(A1040)&gt;1,WEEKDAY(A1040)&lt;7),"Wkd",TEXT(A1040,"Ddd"))&amp;"-"&amp;TEXT(A1040,"hh"),LoadTable[],3,FALSE)*0.92</f>
        <v>341.29148000000004</v>
      </c>
      <c r="U1040" s="113">
        <f t="shared" si="1060"/>
        <v>34.129148000000001</v>
      </c>
      <c r="V1040">
        <f t="shared" ref="V1040:W1040" si="1077">V1016</f>
        <v>2.9</v>
      </c>
      <c r="W1040">
        <f t="shared" si="1077"/>
        <v>3.1</v>
      </c>
      <c r="X1040" s="9">
        <v>2.9780566999999998</v>
      </c>
      <c r="Y1040" s="39"/>
    </row>
    <row r="1041" spans="1:25" ht="15" thickBot="1">
      <c r="A1041" s="29">
        <f t="shared" si="1042"/>
        <v>45879.249999999462</v>
      </c>
      <c r="B1041" s="30">
        <f t="shared" si="1069"/>
        <v>8000</v>
      </c>
      <c r="C1041" s="8">
        <v>25000</v>
      </c>
      <c r="D1041" s="187">
        <v>0</v>
      </c>
      <c r="E1041" s="187">
        <v>700</v>
      </c>
      <c r="F1041" s="187">
        <v>15000</v>
      </c>
      <c r="G1041" s="30">
        <f t="shared" si="1070"/>
        <v>2400</v>
      </c>
      <c r="H1041" s="8">
        <v>25000</v>
      </c>
      <c r="I1041" s="30">
        <f t="shared" si="1071"/>
        <v>8000</v>
      </c>
      <c r="J1041" s="187">
        <v>40000</v>
      </c>
      <c r="K1041" s="30">
        <f t="shared" si="1072"/>
        <v>8000</v>
      </c>
      <c r="L1041" s="187">
        <v>40000</v>
      </c>
      <c r="M1041" s="110">
        <v>9.5</v>
      </c>
      <c r="N1041" s="9">
        <f>VLOOKUP(DATE(YEAR(A1041),MONTH(A1041),DAY(A1041)),FY24_Temp[],3,FALSE)</f>
        <v>14.4</v>
      </c>
      <c r="O1041" s="110">
        <f t="shared" si="1058"/>
        <v>11.5</v>
      </c>
      <c r="P1041" s="110">
        <f t="shared" si="1059"/>
        <v>19.5</v>
      </c>
      <c r="Q1041" s="79">
        <f>VLOOKUP(VLOOKUP(DATEVALUE(TEXT(A1041,"m/d/yyyy")),FY24_Temp[],5,FALSE)&amp;TEXT(A1041,"-h"),TempDelta[],4,FALSE)</f>
        <v>2.6161428519657681</v>
      </c>
      <c r="R1041">
        <v>10</v>
      </c>
      <c r="S1041" s="112">
        <v>1500</v>
      </c>
      <c r="T1041" s="5">
        <f>VLOOKUP(TEXT(A1041,"yy-mm")&amp;"-"&amp;IF(AND(WEEKDAY(A1041)&gt;1,WEEKDAY(A1041)&lt;7),"Wkd",TEXT(A1041,"Ddd"))&amp;"-"&amp;TEXT(A1041,"hh"),LoadTable[],3,FALSE)*0.92</f>
        <v>338.44328695210856</v>
      </c>
      <c r="U1041" s="113">
        <f t="shared" si="1060"/>
        <v>33.844328695210855</v>
      </c>
      <c r="V1041">
        <f t="shared" ref="V1041:W1041" si="1078">V1017</f>
        <v>2.5</v>
      </c>
      <c r="W1041">
        <f t="shared" si="1078"/>
        <v>3.1</v>
      </c>
      <c r="X1041" s="9">
        <v>3.0996250999999999</v>
      </c>
      <c r="Y1041" s="39"/>
    </row>
    <row r="1042" spans="1:25" ht="15" thickBot="1">
      <c r="A1042" s="29">
        <f t="shared" si="1042"/>
        <v>45879.291666666126</v>
      </c>
      <c r="B1042" s="30">
        <f t="shared" si="1069"/>
        <v>8000</v>
      </c>
      <c r="C1042" s="8">
        <v>25000</v>
      </c>
      <c r="D1042" s="187">
        <v>0</v>
      </c>
      <c r="E1042" s="187">
        <v>700</v>
      </c>
      <c r="F1042" s="187">
        <v>15000</v>
      </c>
      <c r="G1042" s="30">
        <f t="shared" si="1070"/>
        <v>2400</v>
      </c>
      <c r="H1042" s="8">
        <v>25000</v>
      </c>
      <c r="I1042" s="30">
        <f t="shared" si="1071"/>
        <v>8000</v>
      </c>
      <c r="J1042" s="187">
        <v>40000</v>
      </c>
      <c r="K1042" s="30">
        <f t="shared" si="1072"/>
        <v>8000</v>
      </c>
      <c r="L1042" s="187">
        <v>40000</v>
      </c>
      <c r="M1042" s="110">
        <v>9.5</v>
      </c>
      <c r="N1042" s="9">
        <f>VLOOKUP(DATE(YEAR(A1042),MONTH(A1042),DAY(A1042)),FY24_Temp[],3,FALSE)</f>
        <v>14.4</v>
      </c>
      <c r="O1042" s="110">
        <f t="shared" si="1058"/>
        <v>11.5</v>
      </c>
      <c r="P1042" s="110">
        <f t="shared" si="1059"/>
        <v>19.5</v>
      </c>
      <c r="Q1042" s="79">
        <f>VLOOKUP(VLOOKUP(DATEVALUE(TEXT(A1042,"m/d/yyyy")),FY24_Temp[],5,FALSE)&amp;TEXT(A1042,"-h"),TempDelta[],4,FALSE)</f>
        <v>2.582714251109532</v>
      </c>
      <c r="R1042">
        <v>10</v>
      </c>
      <c r="S1042" s="112">
        <v>1500</v>
      </c>
      <c r="T1042" s="5">
        <f>VLOOKUP(TEXT(A1042,"yy-mm")&amp;"-"&amp;IF(AND(WEEKDAY(A1042)&gt;1,WEEKDAY(A1042)&lt;7),"Wkd",TEXT(A1042,"Ddd"))&amp;"-"&amp;TEXT(A1042,"hh"),LoadTable[],3,FALSE)*0.92</f>
        <v>338.44328695210856</v>
      </c>
      <c r="U1042" s="113">
        <f t="shared" si="1060"/>
        <v>33.844328695210855</v>
      </c>
      <c r="V1042">
        <f t="shared" ref="V1042:W1042" si="1079">V1018</f>
        <v>2.5</v>
      </c>
      <c r="W1042">
        <f t="shared" si="1079"/>
        <v>3.1</v>
      </c>
      <c r="X1042" s="9">
        <v>3.2352257</v>
      </c>
      <c r="Y1042" s="39"/>
    </row>
    <row r="1043" spans="1:25" ht="15" thickBot="1">
      <c r="A1043" s="29">
        <f t="shared" si="1042"/>
        <v>45879.33333333279</v>
      </c>
      <c r="B1043" s="30">
        <f t="shared" si="1069"/>
        <v>8000</v>
      </c>
      <c r="C1043" s="8">
        <v>25000</v>
      </c>
      <c r="D1043" s="187">
        <v>0</v>
      </c>
      <c r="E1043" s="187">
        <v>700</v>
      </c>
      <c r="F1043" s="187">
        <v>15000</v>
      </c>
      <c r="G1043" s="30">
        <f t="shared" si="1070"/>
        <v>2400</v>
      </c>
      <c r="H1043" s="8">
        <v>25000</v>
      </c>
      <c r="I1043" s="30">
        <f t="shared" si="1071"/>
        <v>8000</v>
      </c>
      <c r="J1043" s="187">
        <v>40000</v>
      </c>
      <c r="K1043" s="30">
        <f t="shared" si="1072"/>
        <v>8000</v>
      </c>
      <c r="L1043" s="187">
        <v>40000</v>
      </c>
      <c r="M1043" s="110">
        <v>9.5</v>
      </c>
      <c r="N1043" s="9">
        <f>VLOOKUP(DATE(YEAR(A1043),MONTH(A1043),DAY(A1043)),FY24_Temp[],3,FALSE)</f>
        <v>14.4</v>
      </c>
      <c r="O1043" s="110">
        <f t="shared" si="1058"/>
        <v>11.5</v>
      </c>
      <c r="P1043" s="110">
        <f t="shared" si="1059"/>
        <v>19.5</v>
      </c>
      <c r="Q1043" s="79">
        <f>VLOOKUP(VLOOKUP(DATEVALUE(TEXT(A1043,"m/d/yyyy")),FY24_Temp[],5,FALSE)&amp;TEXT(A1043,"-h"),TempDelta[],4,FALSE)</f>
        <v>2.4768571172441756</v>
      </c>
      <c r="R1043">
        <v>10</v>
      </c>
      <c r="S1043" s="112">
        <v>1500</v>
      </c>
      <c r="T1043" s="5">
        <f>VLOOKUP(TEXT(A1043,"yy-mm")&amp;"-"&amp;IF(AND(WEEKDAY(A1043)&gt;1,WEEKDAY(A1043)&lt;7),"Wkd",TEXT(A1043,"Ddd"))&amp;"-"&amp;TEXT(A1043,"hh"),LoadTable[],3,FALSE)*0.92</f>
        <v>338.44328695210851</v>
      </c>
      <c r="U1043" s="113">
        <f t="shared" si="1060"/>
        <v>33.844328695210848</v>
      </c>
      <c r="V1043">
        <f t="shared" ref="V1043:W1043" si="1080">V1019</f>
        <v>3.2</v>
      </c>
      <c r="W1043">
        <f t="shared" si="1080"/>
        <v>3</v>
      </c>
      <c r="X1043" s="9">
        <v>3.3067875</v>
      </c>
      <c r="Y1043" s="39"/>
    </row>
    <row r="1044" spans="1:25" ht="15" thickBot="1">
      <c r="A1044" s="29">
        <f t="shared" si="1042"/>
        <v>45879.374999999454</v>
      </c>
      <c r="B1044" s="30">
        <f t="shared" si="1069"/>
        <v>8000</v>
      </c>
      <c r="C1044" s="8">
        <v>25000</v>
      </c>
      <c r="D1044" s="187">
        <v>0</v>
      </c>
      <c r="E1044" s="187">
        <v>700</v>
      </c>
      <c r="F1044" s="187">
        <v>15000</v>
      </c>
      <c r="G1044" s="30">
        <f t="shared" si="1070"/>
        <v>2400</v>
      </c>
      <c r="H1044" s="8">
        <v>25000</v>
      </c>
      <c r="I1044" s="30">
        <f t="shared" si="1071"/>
        <v>8000</v>
      </c>
      <c r="J1044" s="187">
        <v>40000</v>
      </c>
      <c r="K1044" s="30">
        <f t="shared" si="1072"/>
        <v>8000</v>
      </c>
      <c r="L1044" s="187">
        <v>40000</v>
      </c>
      <c r="M1044" s="110">
        <v>9.5</v>
      </c>
      <c r="N1044" s="9">
        <f>VLOOKUP(DATE(YEAR(A1044),MONTH(A1044),DAY(A1044)),FY24_Temp[],3,FALSE)</f>
        <v>14.4</v>
      </c>
      <c r="O1044" s="110">
        <f t="shared" si="1058"/>
        <v>11.5</v>
      </c>
      <c r="P1044" s="110">
        <f t="shared" si="1059"/>
        <v>19.5</v>
      </c>
      <c r="Q1044" s="79">
        <f>VLOOKUP(VLOOKUP(DATEVALUE(TEXT(A1044,"m/d/yyyy")),FY24_Temp[],5,FALSE)&amp;TEXT(A1044,"-h"),TempDelta[],4,FALSE)</f>
        <v>2.293428523199899</v>
      </c>
      <c r="R1044">
        <v>10</v>
      </c>
      <c r="S1044" s="112">
        <v>1500</v>
      </c>
      <c r="T1044" s="5">
        <f>VLOOKUP(TEXT(A1044,"yy-mm")&amp;"-"&amp;IF(AND(WEEKDAY(A1044)&gt;1,WEEKDAY(A1044)&lt;7),"Wkd",TEXT(A1044,"Ddd"))&amp;"-"&amp;TEXT(A1044,"hh"),LoadTable[],3,FALSE)*0.92</f>
        <v>338.44093501457735</v>
      </c>
      <c r="U1044" s="113">
        <f t="shared" si="1060"/>
        <v>33.844093501457735</v>
      </c>
      <c r="V1044">
        <f t="shared" ref="V1044:W1044" si="1081">V1020</f>
        <v>2.9</v>
      </c>
      <c r="W1044">
        <f t="shared" si="1081"/>
        <v>3</v>
      </c>
      <c r="X1044" s="9">
        <v>3.3325128999999998</v>
      </c>
      <c r="Y1044" s="39"/>
    </row>
    <row r="1045" spans="1:25" ht="15" thickBot="1">
      <c r="A1045" s="29">
        <f t="shared" si="1042"/>
        <v>45879.416666666119</v>
      </c>
      <c r="B1045" s="30">
        <f t="shared" si="1069"/>
        <v>8000</v>
      </c>
      <c r="C1045" s="8">
        <v>25000</v>
      </c>
      <c r="D1045" s="187">
        <v>0</v>
      </c>
      <c r="E1045" s="187">
        <v>700</v>
      </c>
      <c r="F1045" s="187">
        <v>15000</v>
      </c>
      <c r="G1045" s="30">
        <f t="shared" si="1070"/>
        <v>2400</v>
      </c>
      <c r="H1045" s="8">
        <v>25000</v>
      </c>
      <c r="I1045" s="30">
        <f t="shared" si="1071"/>
        <v>8000</v>
      </c>
      <c r="J1045" s="187">
        <v>40000</v>
      </c>
      <c r="K1045" s="30">
        <f t="shared" si="1072"/>
        <v>8000</v>
      </c>
      <c r="L1045" s="187">
        <v>40000</v>
      </c>
      <c r="M1045" s="110">
        <v>9.5</v>
      </c>
      <c r="N1045" s="9">
        <f>VLOOKUP(DATE(YEAR(A1045),MONTH(A1045),DAY(A1045)),FY24_Temp[],3,FALSE)</f>
        <v>14.4</v>
      </c>
      <c r="O1045" s="110">
        <f t="shared" si="1058"/>
        <v>11.5</v>
      </c>
      <c r="P1045" s="110">
        <f t="shared" si="1059"/>
        <v>19.5</v>
      </c>
      <c r="Q1045" s="79">
        <f>VLOOKUP(VLOOKUP(DATEVALUE(TEXT(A1045,"m/d/yyyy")),FY24_Temp[],5,FALSE)&amp;TEXT(A1045,"-h"),TempDelta[],4,FALSE)</f>
        <v>2.0822856766836986</v>
      </c>
      <c r="R1045">
        <v>10</v>
      </c>
      <c r="S1045" s="112">
        <v>1500</v>
      </c>
      <c r="T1045" s="5">
        <f>VLOOKUP(TEXT(A1045,"yy-mm")&amp;"-"&amp;IF(AND(WEEKDAY(A1045)&gt;1,WEEKDAY(A1045)&lt;7),"Wkd",TEXT(A1045,"Ddd"))&amp;"-"&amp;TEXT(A1045,"hh"),LoadTable[],3,FALSE)*0.92</f>
        <v>338.44093501457741</v>
      </c>
      <c r="U1045" s="113">
        <f t="shared" si="1060"/>
        <v>33.844093501457742</v>
      </c>
      <c r="V1045">
        <f t="shared" ref="V1045:W1045" si="1082">V1021</f>
        <v>2.9</v>
      </c>
      <c r="W1045">
        <f t="shared" si="1082"/>
        <v>3</v>
      </c>
      <c r="X1045" s="9">
        <v>3.3907573000000002</v>
      </c>
      <c r="Y1045" s="39"/>
    </row>
    <row r="1046" spans="1:25" ht="15" thickBot="1">
      <c r="A1046" s="29">
        <f t="shared" si="1042"/>
        <v>45879.458333332783</v>
      </c>
      <c r="B1046" s="30">
        <f t="shared" si="1069"/>
        <v>8000</v>
      </c>
      <c r="C1046" s="8">
        <v>25000</v>
      </c>
      <c r="D1046" s="187">
        <v>0</v>
      </c>
      <c r="E1046" s="187">
        <v>700</v>
      </c>
      <c r="F1046" s="187">
        <v>15000</v>
      </c>
      <c r="G1046" s="30">
        <f t="shared" si="1070"/>
        <v>2400</v>
      </c>
      <c r="H1046" s="8">
        <v>25000</v>
      </c>
      <c r="I1046" s="30">
        <f t="shared" si="1071"/>
        <v>8000</v>
      </c>
      <c r="J1046" s="187">
        <v>40000</v>
      </c>
      <c r="K1046" s="30">
        <f t="shared" si="1072"/>
        <v>8000</v>
      </c>
      <c r="L1046" s="187">
        <v>40000</v>
      </c>
      <c r="M1046" s="110">
        <v>9.5</v>
      </c>
      <c r="N1046" s="9">
        <f>VLOOKUP(DATE(YEAR(A1046),MONTH(A1046),DAY(A1046)),FY24_Temp[],3,FALSE)</f>
        <v>14.4</v>
      </c>
      <c r="O1046" s="110">
        <f t="shared" si="1058"/>
        <v>11.5</v>
      </c>
      <c r="P1046" s="110">
        <f t="shared" si="1059"/>
        <v>19.5</v>
      </c>
      <c r="Q1046" s="79">
        <f>VLOOKUP(VLOOKUP(DATEVALUE(TEXT(A1046,"m/d/yyyy")),FY24_Temp[],5,FALSE)&amp;TEXT(A1046,"-h"),TempDelta[],4,FALSE)</f>
        <v>1.8338571105684554</v>
      </c>
      <c r="R1046">
        <v>10</v>
      </c>
      <c r="S1046" s="112">
        <v>1500</v>
      </c>
      <c r="T1046" s="5">
        <f>VLOOKUP(TEXT(A1046,"yy-mm")&amp;"-"&amp;IF(AND(WEEKDAY(A1046)&gt;1,WEEKDAY(A1046)&lt;7),"Wkd",TEXT(A1046,"Ddd"))&amp;"-"&amp;TEXT(A1046,"hh"),LoadTable[],3,FALSE)*0.92</f>
        <v>338.44093501457741</v>
      </c>
      <c r="U1046" s="113">
        <f t="shared" si="1060"/>
        <v>33.844093501457742</v>
      </c>
      <c r="V1046">
        <f t="shared" ref="V1046:W1046" si="1083">V1022</f>
        <v>3.4</v>
      </c>
      <c r="W1046">
        <f t="shared" si="1083"/>
        <v>3</v>
      </c>
      <c r="X1046" s="9">
        <v>3.3392776999999998</v>
      </c>
      <c r="Y1046" s="39"/>
    </row>
    <row r="1047" spans="1:25" ht="15" thickBot="1">
      <c r="A1047" s="29">
        <f t="shared" si="1042"/>
        <v>45879.499999999447</v>
      </c>
      <c r="B1047" s="30">
        <f t="shared" si="1069"/>
        <v>8000</v>
      </c>
      <c r="C1047" s="8">
        <v>25000</v>
      </c>
      <c r="D1047" s="187">
        <v>0</v>
      </c>
      <c r="E1047" s="187">
        <v>700</v>
      </c>
      <c r="F1047" s="187">
        <v>15000</v>
      </c>
      <c r="G1047" s="30">
        <f t="shared" si="1070"/>
        <v>2400</v>
      </c>
      <c r="H1047" s="8">
        <v>25000</v>
      </c>
      <c r="I1047" s="30">
        <f t="shared" si="1071"/>
        <v>8000</v>
      </c>
      <c r="J1047" s="187">
        <v>40000</v>
      </c>
      <c r="K1047" s="30">
        <f t="shared" si="1072"/>
        <v>8000</v>
      </c>
      <c r="L1047" s="187">
        <v>40000</v>
      </c>
      <c r="M1047" s="110">
        <v>9.5</v>
      </c>
      <c r="N1047" s="9">
        <f>VLOOKUP(DATE(YEAR(A1047),MONTH(A1047),DAY(A1047)),FY24_Temp[],3,FALSE)</f>
        <v>14.4</v>
      </c>
      <c r="O1047" s="110">
        <f t="shared" si="1058"/>
        <v>11.5</v>
      </c>
      <c r="P1047" s="110">
        <f t="shared" si="1059"/>
        <v>19.5</v>
      </c>
      <c r="Q1047" s="79">
        <f>VLOOKUP(VLOOKUP(DATEVALUE(TEXT(A1047,"m/d/yyyy")),FY24_Temp[],5,FALSE)&amp;TEXT(A1047,"-h"),TempDelta[],4,FALSE)</f>
        <v>1.5831428595951624</v>
      </c>
      <c r="R1047">
        <v>10</v>
      </c>
      <c r="S1047" s="112">
        <v>1500</v>
      </c>
      <c r="T1047" s="5">
        <f>VLOOKUP(TEXT(A1047,"yy-mm")&amp;"-"&amp;IF(AND(WEEKDAY(A1047)&gt;1,WEEKDAY(A1047)&lt;7),"Wkd",TEXT(A1047,"Ddd"))&amp;"-"&amp;TEXT(A1047,"hh"),LoadTable[],3,FALSE)*0.92</f>
        <v>338.44093501457741</v>
      </c>
      <c r="U1047" s="113">
        <f t="shared" si="1060"/>
        <v>33.844093501457742</v>
      </c>
      <c r="V1047">
        <f t="shared" ref="V1047:W1047" si="1084">V1023</f>
        <v>3.1</v>
      </c>
      <c r="W1047">
        <f t="shared" si="1084"/>
        <v>2.9</v>
      </c>
      <c r="X1047" s="9">
        <v>3.2109475000000001</v>
      </c>
      <c r="Y1047" s="39"/>
    </row>
    <row r="1048" spans="1:25" ht="15" thickBot="1">
      <c r="A1048" s="29">
        <f t="shared" si="1042"/>
        <v>45879.541666666111</v>
      </c>
      <c r="B1048" s="30">
        <f t="shared" si="1069"/>
        <v>8000</v>
      </c>
      <c r="C1048" s="8">
        <v>25000</v>
      </c>
      <c r="D1048" s="187">
        <v>0</v>
      </c>
      <c r="E1048" s="187">
        <v>700</v>
      </c>
      <c r="F1048" s="187">
        <v>15000</v>
      </c>
      <c r="G1048" s="30">
        <f t="shared" si="1070"/>
        <v>2400</v>
      </c>
      <c r="H1048" s="8">
        <v>25000</v>
      </c>
      <c r="I1048" s="30">
        <f t="shared" si="1071"/>
        <v>8000</v>
      </c>
      <c r="J1048" s="187">
        <v>40000</v>
      </c>
      <c r="K1048" s="30">
        <f t="shared" si="1072"/>
        <v>8000</v>
      </c>
      <c r="L1048" s="187">
        <v>40000</v>
      </c>
      <c r="M1048" s="110">
        <v>9.5</v>
      </c>
      <c r="N1048" s="9">
        <f>VLOOKUP(DATE(YEAR(A1048),MONTH(A1048),DAY(A1048)),FY24_Temp[],3,FALSE)</f>
        <v>14.4</v>
      </c>
      <c r="O1048" s="110">
        <f t="shared" si="1058"/>
        <v>11.5</v>
      </c>
      <c r="P1048" s="110">
        <f t="shared" si="1059"/>
        <v>19.5</v>
      </c>
      <c r="Q1048" s="79">
        <f>VLOOKUP(VLOOKUP(DATEVALUE(TEXT(A1048,"m/d/yyyy")),FY24_Temp[],5,FALSE)&amp;TEXT(A1048,"-h"),TempDelta[],4,FALSE)</f>
        <v>1.3324285575321742</v>
      </c>
      <c r="R1048">
        <v>10</v>
      </c>
      <c r="S1048" s="112">
        <v>1500</v>
      </c>
      <c r="T1048" s="5">
        <f>VLOOKUP(TEXT(A1048,"yy-mm")&amp;"-"&amp;IF(AND(WEEKDAY(A1048)&gt;1,WEEKDAY(A1048)&lt;7),"Wkd",TEXT(A1048,"Ddd"))&amp;"-"&amp;TEXT(A1048,"hh"),LoadTable[],3,FALSE)*0.92</f>
        <v>353.09232000000009</v>
      </c>
      <c r="U1048" s="113">
        <f t="shared" si="1060"/>
        <v>35.309232000000009</v>
      </c>
      <c r="V1048">
        <f t="shared" ref="V1048:W1048" si="1085">V1024</f>
        <v>3.2</v>
      </c>
      <c r="W1048">
        <f t="shared" si="1085"/>
        <v>2.9</v>
      </c>
      <c r="X1048" s="9">
        <v>3.0370046999999998</v>
      </c>
      <c r="Y1048" s="39"/>
    </row>
    <row r="1049" spans="1:25" ht="15" thickBot="1">
      <c r="A1049" s="29">
        <f t="shared" si="1042"/>
        <v>45879.583333332776</v>
      </c>
      <c r="B1049" s="30">
        <f t="shared" si="1069"/>
        <v>8000</v>
      </c>
      <c r="C1049" s="8">
        <v>25000</v>
      </c>
      <c r="D1049" s="187">
        <v>0</v>
      </c>
      <c r="E1049" s="187">
        <v>700</v>
      </c>
      <c r="F1049" s="187">
        <v>15000</v>
      </c>
      <c r="G1049" s="30">
        <f t="shared" si="1070"/>
        <v>2400</v>
      </c>
      <c r="H1049" s="8">
        <v>25000</v>
      </c>
      <c r="I1049" s="30">
        <f t="shared" si="1071"/>
        <v>8000</v>
      </c>
      <c r="J1049" s="187">
        <v>40000</v>
      </c>
      <c r="K1049" s="30">
        <f t="shared" si="1072"/>
        <v>8000</v>
      </c>
      <c r="L1049" s="187">
        <v>40000</v>
      </c>
      <c r="M1049" s="110">
        <v>9.5</v>
      </c>
      <c r="N1049" s="9">
        <f>VLOOKUP(DATE(YEAR(A1049),MONTH(A1049),DAY(A1049)),FY24_Temp[],3,FALSE)</f>
        <v>14.4</v>
      </c>
      <c r="O1049" s="110">
        <f t="shared" si="1058"/>
        <v>11.5</v>
      </c>
      <c r="P1049" s="110">
        <f t="shared" si="1059"/>
        <v>19.5</v>
      </c>
      <c r="Q1049" s="79">
        <f>VLOOKUP(VLOOKUP(DATEVALUE(TEXT(A1049,"m/d/yyyy")),FY24_Temp[],5,FALSE)&amp;TEXT(A1049,"-h"),TempDelta[],4,FALSE)</f>
        <v>1.096000007220677</v>
      </c>
      <c r="R1049">
        <v>10</v>
      </c>
      <c r="S1049" s="112">
        <v>1500</v>
      </c>
      <c r="T1049" s="5">
        <f>VLOOKUP(TEXT(A1049,"yy-mm")&amp;"-"&amp;IF(AND(WEEKDAY(A1049)&gt;1,WEEKDAY(A1049)&lt;7),"Wkd",TEXT(A1049,"Ddd"))&amp;"-"&amp;TEXT(A1049,"hh"),LoadTable[],3,FALSE)*0.92</f>
        <v>553.46715198762581</v>
      </c>
      <c r="U1049" s="113">
        <f t="shared" si="1060"/>
        <v>55.346715198762581</v>
      </c>
      <c r="V1049">
        <f t="shared" ref="V1049:W1049" si="1086">V1025</f>
        <v>3.5</v>
      </c>
      <c r="W1049">
        <f t="shared" si="1086"/>
        <v>2.9</v>
      </c>
      <c r="X1049" s="9">
        <v>2.9776163000000002</v>
      </c>
      <c r="Y1049" s="39"/>
    </row>
    <row r="1050" spans="1:25" ht="15" thickBot="1">
      <c r="A1050" s="29">
        <f t="shared" si="1042"/>
        <v>45879.62499999944</v>
      </c>
      <c r="B1050" s="30">
        <f t="shared" si="1069"/>
        <v>8000</v>
      </c>
      <c r="C1050" s="8">
        <v>25000</v>
      </c>
      <c r="D1050" s="187">
        <v>0</v>
      </c>
      <c r="E1050" s="187">
        <v>700</v>
      </c>
      <c r="F1050" s="187">
        <v>15000</v>
      </c>
      <c r="G1050" s="30">
        <f t="shared" si="1070"/>
        <v>2400</v>
      </c>
      <c r="H1050" s="8">
        <v>25000</v>
      </c>
      <c r="I1050" s="30">
        <f t="shared" si="1071"/>
        <v>8000</v>
      </c>
      <c r="J1050" s="187">
        <v>40000</v>
      </c>
      <c r="K1050" s="30">
        <f t="shared" si="1072"/>
        <v>8000</v>
      </c>
      <c r="L1050" s="187">
        <v>40000</v>
      </c>
      <c r="M1050" s="110">
        <v>9.5</v>
      </c>
      <c r="N1050" s="9">
        <f>VLOOKUP(DATE(YEAR(A1050),MONTH(A1050),DAY(A1050)),FY24_Temp[],3,FALSE)</f>
        <v>14.4</v>
      </c>
      <c r="O1050" s="110">
        <f t="shared" si="1058"/>
        <v>11.5</v>
      </c>
      <c r="P1050" s="110">
        <f t="shared" si="1059"/>
        <v>19.5</v>
      </c>
      <c r="Q1050" s="79">
        <f>VLOOKUP(VLOOKUP(DATEVALUE(TEXT(A1050,"m/d/yyyy")),FY24_Temp[],5,FALSE)&amp;TEXT(A1050,"-h"),TempDelta[],4,FALSE)</f>
        <v>0.78178571377481731</v>
      </c>
      <c r="R1050">
        <v>10</v>
      </c>
      <c r="S1050" s="112">
        <v>1500</v>
      </c>
      <c r="T1050" s="5">
        <f>VLOOKUP(TEXT(A1050,"yy-mm")&amp;"-"&amp;IF(AND(WEEKDAY(A1050)&gt;1,WEEKDAY(A1050)&lt;7),"Wkd",TEXT(A1050,"Ddd"))&amp;"-"&amp;TEXT(A1050,"hh"),LoadTable[],3,FALSE)*0.92</f>
        <v>645.42416000000014</v>
      </c>
      <c r="U1050" s="113">
        <f t="shared" si="1060"/>
        <v>64.542416000000017</v>
      </c>
      <c r="V1050">
        <f t="shared" ref="V1050:W1050" si="1087">V1026</f>
        <v>3.2</v>
      </c>
      <c r="W1050">
        <f t="shared" si="1087"/>
        <v>2.9</v>
      </c>
      <c r="X1050" s="9">
        <v>3.2706523000000001</v>
      </c>
      <c r="Y1050" s="39"/>
    </row>
    <row r="1051" spans="1:25" ht="15" thickBot="1">
      <c r="A1051" s="29">
        <f t="shared" si="1042"/>
        <v>45879.666666666104</v>
      </c>
      <c r="B1051" s="30">
        <f t="shared" si="1069"/>
        <v>8000</v>
      </c>
      <c r="C1051" s="8">
        <v>25000</v>
      </c>
      <c r="D1051" s="187">
        <v>0</v>
      </c>
      <c r="E1051" s="187">
        <v>700</v>
      </c>
      <c r="F1051" s="187">
        <v>15000</v>
      </c>
      <c r="G1051" s="30">
        <f t="shared" si="1070"/>
        <v>2400</v>
      </c>
      <c r="H1051" s="8">
        <v>25000</v>
      </c>
      <c r="I1051" s="30">
        <f t="shared" si="1071"/>
        <v>8000</v>
      </c>
      <c r="J1051" s="187">
        <v>40000</v>
      </c>
      <c r="K1051" s="30">
        <f t="shared" si="1072"/>
        <v>8000</v>
      </c>
      <c r="L1051" s="187">
        <v>40000</v>
      </c>
      <c r="M1051" s="110">
        <v>9.5</v>
      </c>
      <c r="N1051" s="9">
        <f>VLOOKUP(DATE(YEAR(A1051),MONTH(A1051),DAY(A1051)),FY24_Temp[],3,FALSE)</f>
        <v>14.4</v>
      </c>
      <c r="O1051" s="110">
        <f t="shared" si="1058"/>
        <v>11.5</v>
      </c>
      <c r="P1051" s="110">
        <f t="shared" si="1059"/>
        <v>19.5</v>
      </c>
      <c r="Q1051" s="79">
        <f>VLOOKUP(VLOOKUP(DATEVALUE(TEXT(A1051,"m/d/yyyy")),FY24_Temp[],5,FALSE)&amp;TEXT(A1051,"-h"),TempDelta[],4,FALSE)</f>
        <v>0.64235714290823254</v>
      </c>
      <c r="R1051">
        <v>10</v>
      </c>
      <c r="S1051" s="112">
        <v>1500</v>
      </c>
      <c r="T1051" s="5">
        <f>VLOOKUP(TEXT(A1051,"yy-mm")&amp;"-"&amp;IF(AND(WEEKDAY(A1051)&gt;1,WEEKDAY(A1051)&lt;7),"Wkd",TEXT(A1051,"Ddd"))&amp;"-"&amp;TEXT(A1051,"hh"),LoadTable[],3,FALSE)*0.92</f>
        <v>786.27137399656624</v>
      </c>
      <c r="U1051" s="113">
        <f t="shared" si="1060"/>
        <v>78.627137399656618</v>
      </c>
      <c r="V1051">
        <f t="shared" ref="V1051:W1051" si="1088">V1027</f>
        <v>3.5</v>
      </c>
      <c r="W1051">
        <f t="shared" si="1088"/>
        <v>3</v>
      </c>
      <c r="X1051" s="9">
        <v>3.1909177</v>
      </c>
      <c r="Y1051" s="39"/>
    </row>
    <row r="1052" spans="1:25" ht="15" thickBot="1">
      <c r="A1052" s="29">
        <f t="shared" si="1042"/>
        <v>45879.708333332768</v>
      </c>
      <c r="B1052" s="30">
        <f t="shared" si="1069"/>
        <v>8000</v>
      </c>
      <c r="C1052" s="8">
        <v>25000</v>
      </c>
      <c r="D1052" s="187">
        <v>0</v>
      </c>
      <c r="E1052" s="187">
        <v>700</v>
      </c>
      <c r="F1052" s="187">
        <v>15000</v>
      </c>
      <c r="G1052" s="30">
        <f t="shared" si="1070"/>
        <v>2400</v>
      </c>
      <c r="H1052" s="8">
        <v>25000</v>
      </c>
      <c r="I1052" s="30">
        <f t="shared" si="1071"/>
        <v>8000</v>
      </c>
      <c r="J1052" s="187">
        <v>40000</v>
      </c>
      <c r="K1052" s="30">
        <f t="shared" si="1072"/>
        <v>8000</v>
      </c>
      <c r="L1052" s="187">
        <v>40000</v>
      </c>
      <c r="M1052" s="110">
        <v>9.5</v>
      </c>
      <c r="N1052" s="9">
        <f>VLOOKUP(DATE(YEAR(A1052),MONTH(A1052),DAY(A1052)),FY24_Temp[],3,FALSE)</f>
        <v>14.4</v>
      </c>
      <c r="O1052" s="110">
        <f t="shared" si="1058"/>
        <v>11.5</v>
      </c>
      <c r="P1052" s="110">
        <f t="shared" si="1059"/>
        <v>19.5</v>
      </c>
      <c r="Q1052" s="79">
        <f>VLOOKUP(VLOOKUP(DATEVALUE(TEXT(A1052,"m/d/yyyy")),FY24_Temp[],5,FALSE)&amp;TEXT(A1052,"-h"),TempDelta[],4,FALSE)</f>
        <v>0.66985713158335003</v>
      </c>
      <c r="R1052">
        <v>10</v>
      </c>
      <c r="S1052" s="112">
        <v>1500</v>
      </c>
      <c r="T1052" s="5">
        <f>VLOOKUP(TEXT(A1052,"yy-mm")&amp;"-"&amp;IF(AND(WEEKDAY(A1052)&gt;1,WEEKDAY(A1052)&lt;7),"Wkd",TEXT(A1052,"Ddd"))&amp;"-"&amp;TEXT(A1052,"hh"),LoadTable[],3,FALSE)*0.92</f>
        <v>786.27137399656624</v>
      </c>
      <c r="U1052" s="113">
        <f t="shared" si="1060"/>
        <v>78.627137399656618</v>
      </c>
      <c r="V1052">
        <f t="shared" ref="V1052:W1052" si="1089">V1028</f>
        <v>3.6</v>
      </c>
      <c r="W1052">
        <f t="shared" si="1089"/>
        <v>3</v>
      </c>
      <c r="X1052" s="9">
        <v>3.1023567000000001</v>
      </c>
      <c r="Y1052" s="39"/>
    </row>
    <row r="1053" spans="1:25" ht="15" thickBot="1">
      <c r="A1053" s="29">
        <f t="shared" si="1042"/>
        <v>45879.749999999432</v>
      </c>
      <c r="B1053" s="30">
        <f t="shared" si="1069"/>
        <v>5000</v>
      </c>
      <c r="C1053" s="8">
        <v>25000</v>
      </c>
      <c r="D1053" s="187">
        <v>0</v>
      </c>
      <c r="E1053" s="187">
        <v>700</v>
      </c>
      <c r="F1053" s="187">
        <v>15000</v>
      </c>
      <c r="G1053" s="30">
        <f t="shared" si="1070"/>
        <v>2400</v>
      </c>
      <c r="H1053" s="8">
        <v>25000</v>
      </c>
      <c r="I1053" s="30">
        <f t="shared" si="1071"/>
        <v>5000</v>
      </c>
      <c r="J1053" s="187">
        <v>40000</v>
      </c>
      <c r="K1053" s="30">
        <f t="shared" si="1072"/>
        <v>5000</v>
      </c>
      <c r="L1053" s="187">
        <v>40000</v>
      </c>
      <c r="M1053" s="110">
        <v>9.5</v>
      </c>
      <c r="N1053" s="9">
        <f>VLOOKUP(DATE(YEAR(A1053),MONTH(A1053),DAY(A1053)),FY24_Temp[],3,FALSE)</f>
        <v>14.4</v>
      </c>
      <c r="O1053" s="110">
        <f t="shared" si="1058"/>
        <v>11.5</v>
      </c>
      <c r="P1053" s="110">
        <f t="shared" si="1059"/>
        <v>19.5</v>
      </c>
      <c r="Q1053" s="79">
        <f>VLOOKUP(VLOOKUP(DATEVALUE(TEXT(A1053,"m/d/yyyy")),FY24_Temp[],5,FALSE)&amp;TEXT(A1053,"-h"),TempDelta[],4,FALSE)</f>
        <v>0.88785713485309059</v>
      </c>
      <c r="R1053">
        <v>10</v>
      </c>
      <c r="S1053" s="112">
        <v>1500</v>
      </c>
      <c r="T1053" s="5">
        <f>VLOOKUP(TEXT(A1053,"yy-mm")&amp;"-"&amp;IF(AND(WEEKDAY(A1053)&gt;1,WEEKDAY(A1053)&lt;7),"Wkd",TEXT(A1053,"Ddd"))&amp;"-"&amp;TEXT(A1053,"hh"),LoadTable[],3,FALSE)*0.92</f>
        <v>786.27137399656647</v>
      </c>
      <c r="U1053" s="113">
        <f t="shared" si="1060"/>
        <v>78.627137399656647</v>
      </c>
      <c r="V1053">
        <f t="shared" ref="V1053:W1053" si="1090">V1029</f>
        <v>2.9</v>
      </c>
      <c r="W1053">
        <f t="shared" si="1090"/>
        <v>3</v>
      </c>
      <c r="X1053" s="9">
        <v>3.0752313</v>
      </c>
      <c r="Y1053" s="39"/>
    </row>
    <row r="1054" spans="1:25" ht="15" thickBot="1">
      <c r="A1054" s="29">
        <f t="shared" si="1042"/>
        <v>45879.791666666097</v>
      </c>
      <c r="B1054" s="30">
        <f t="shared" si="1069"/>
        <v>5000</v>
      </c>
      <c r="C1054" s="8">
        <v>25000</v>
      </c>
      <c r="D1054" s="187">
        <v>0</v>
      </c>
      <c r="E1054" s="187">
        <v>700</v>
      </c>
      <c r="F1054" s="187">
        <v>15000</v>
      </c>
      <c r="G1054" s="30">
        <f t="shared" si="1070"/>
        <v>2400</v>
      </c>
      <c r="H1054" s="8">
        <v>25000</v>
      </c>
      <c r="I1054" s="30">
        <f t="shared" si="1071"/>
        <v>5000</v>
      </c>
      <c r="J1054" s="187">
        <v>40000</v>
      </c>
      <c r="K1054" s="30">
        <f t="shared" si="1072"/>
        <v>5000</v>
      </c>
      <c r="L1054" s="187">
        <v>40000</v>
      </c>
      <c r="M1054" s="110">
        <v>9.5</v>
      </c>
      <c r="N1054" s="9">
        <f>VLOOKUP(DATE(YEAR(A1054),MONTH(A1054),DAY(A1054)),FY24_Temp[],3,FALSE)</f>
        <v>14.4</v>
      </c>
      <c r="O1054" s="110">
        <f t="shared" si="1058"/>
        <v>11.5</v>
      </c>
      <c r="P1054" s="110">
        <f t="shared" si="1059"/>
        <v>19.5</v>
      </c>
      <c r="Q1054" s="79">
        <f>VLOOKUP(VLOOKUP(DATEVALUE(TEXT(A1054,"m/d/yyyy")),FY24_Temp[],5,FALSE)&amp;TEXT(A1054,"-h"),TempDelta[],4,FALSE)</f>
        <v>1.1961428693362646</v>
      </c>
      <c r="R1054">
        <v>10</v>
      </c>
      <c r="S1054" s="112">
        <v>1500</v>
      </c>
      <c r="T1054" s="5">
        <f>VLOOKUP(TEXT(A1054,"yy-mm")&amp;"-"&amp;IF(AND(WEEKDAY(A1054)&gt;1,WEEKDAY(A1054)&lt;7),"Wkd",TEXT(A1054,"Ddd"))&amp;"-"&amp;TEXT(A1054,"hh"),LoadTable[],3,FALSE)*0.92</f>
        <v>786.27137399656624</v>
      </c>
      <c r="U1054" s="113">
        <f t="shared" si="1060"/>
        <v>78.627137399656618</v>
      </c>
      <c r="V1054">
        <f t="shared" ref="V1054:W1054" si="1091">V1030</f>
        <v>3</v>
      </c>
      <c r="W1054">
        <f t="shared" si="1091"/>
        <v>3</v>
      </c>
      <c r="X1054" s="9">
        <v>3.0378926000000002</v>
      </c>
      <c r="Y1054" s="39"/>
    </row>
    <row r="1055" spans="1:25" ht="15" thickBot="1">
      <c r="A1055" s="29">
        <f t="shared" si="1042"/>
        <v>45879.833333332761</v>
      </c>
      <c r="B1055" s="30">
        <f t="shared" si="1069"/>
        <v>5000</v>
      </c>
      <c r="C1055" s="8">
        <v>25000</v>
      </c>
      <c r="D1055" s="187">
        <v>0</v>
      </c>
      <c r="E1055" s="187">
        <v>700</v>
      </c>
      <c r="F1055" s="187">
        <v>15000</v>
      </c>
      <c r="G1055" s="30">
        <f t="shared" si="1070"/>
        <v>2400</v>
      </c>
      <c r="H1055" s="8">
        <v>25000</v>
      </c>
      <c r="I1055" s="30">
        <f t="shared" si="1071"/>
        <v>5000</v>
      </c>
      <c r="J1055" s="187">
        <v>40000</v>
      </c>
      <c r="K1055" s="30">
        <f t="shared" si="1072"/>
        <v>5000</v>
      </c>
      <c r="L1055" s="187">
        <v>40000</v>
      </c>
      <c r="M1055" s="110">
        <v>9.5</v>
      </c>
      <c r="N1055" s="9">
        <f>VLOOKUP(DATE(YEAR(A1055),MONTH(A1055),DAY(A1055)),FY24_Temp[],3,FALSE)</f>
        <v>14.4</v>
      </c>
      <c r="O1055" s="110">
        <f t="shared" si="1058"/>
        <v>11.5</v>
      </c>
      <c r="P1055" s="110">
        <f t="shared" si="1059"/>
        <v>19.5</v>
      </c>
      <c r="Q1055" s="79">
        <f>VLOOKUP(VLOOKUP(DATEVALUE(TEXT(A1055,"m/d/yyyy")),FY24_Temp[],5,FALSE)&amp;TEXT(A1055,"-h"),TempDelta[],4,FALSE)</f>
        <v>1.6075714315686906</v>
      </c>
      <c r="R1055">
        <v>10</v>
      </c>
      <c r="S1055" s="112">
        <v>1500</v>
      </c>
      <c r="T1055" s="5">
        <f>VLOOKUP(TEXT(A1055,"yy-mm")&amp;"-"&amp;IF(AND(WEEKDAY(A1055)&gt;1,WEEKDAY(A1055)&lt;7),"Wkd",TEXT(A1055,"Ddd"))&amp;"-"&amp;TEXT(A1055,"hh"),LoadTable[],3,FALSE)*0.92</f>
        <v>786.27137399656647</v>
      </c>
      <c r="U1055" s="113">
        <f t="shared" si="1060"/>
        <v>78.627137399656647</v>
      </c>
      <c r="V1055">
        <f t="shared" ref="V1055:W1055" si="1092">V1031</f>
        <v>2.8</v>
      </c>
      <c r="W1055">
        <f t="shared" si="1092"/>
        <v>3.1</v>
      </c>
      <c r="X1055" s="9">
        <v>2.9987271</v>
      </c>
      <c r="Y1055" s="39"/>
    </row>
    <row r="1056" spans="1:25" ht="15" thickBot="1">
      <c r="A1056" s="29">
        <f t="shared" si="1042"/>
        <v>45879.874999999425</v>
      </c>
      <c r="B1056" s="30">
        <f t="shared" si="1069"/>
        <v>5000</v>
      </c>
      <c r="C1056" s="8">
        <v>25000</v>
      </c>
      <c r="D1056" s="187">
        <v>0</v>
      </c>
      <c r="E1056" s="187">
        <v>700</v>
      </c>
      <c r="F1056" s="187">
        <v>15000</v>
      </c>
      <c r="G1056" s="30">
        <f t="shared" si="1070"/>
        <v>2400</v>
      </c>
      <c r="H1056" s="8">
        <v>25000</v>
      </c>
      <c r="I1056" s="30">
        <f t="shared" si="1071"/>
        <v>5000</v>
      </c>
      <c r="J1056" s="187">
        <v>40000</v>
      </c>
      <c r="K1056" s="30">
        <f t="shared" si="1072"/>
        <v>5000</v>
      </c>
      <c r="L1056" s="187">
        <v>40000</v>
      </c>
      <c r="M1056" s="110">
        <v>9.5</v>
      </c>
      <c r="N1056" s="9">
        <f>VLOOKUP(DATE(YEAR(A1056),MONTH(A1056),DAY(A1056)),FY24_Temp[],3,FALSE)</f>
        <v>14.4</v>
      </c>
      <c r="O1056" s="110">
        <f t="shared" si="1058"/>
        <v>11.5</v>
      </c>
      <c r="P1056" s="110">
        <f t="shared" si="1059"/>
        <v>19.5</v>
      </c>
      <c r="Q1056" s="79">
        <f>VLOOKUP(VLOOKUP(DATEVALUE(TEXT(A1056,"m/d/yyyy")),FY24_Temp[],5,FALSE)&amp;TEXT(A1056,"-h"),TempDelta[],4,FALSE)</f>
        <v>1.9315714410373144</v>
      </c>
      <c r="R1056">
        <v>10</v>
      </c>
      <c r="S1056" s="112">
        <v>1500</v>
      </c>
      <c r="T1056" s="5">
        <f>VLOOKUP(TEXT(A1056,"yy-mm")&amp;"-"&amp;IF(AND(WEEKDAY(A1056)&gt;1,WEEKDAY(A1056)&lt;7),"Wkd",TEXT(A1056,"Ddd"))&amp;"-"&amp;TEXT(A1056,"hh"),LoadTable[],3,FALSE)*0.92</f>
        <v>659.17515115813114</v>
      </c>
      <c r="U1056" s="113">
        <f t="shared" si="1060"/>
        <v>65.917515115813117</v>
      </c>
      <c r="V1056">
        <f t="shared" ref="V1056:W1056" si="1093">V1032</f>
        <v>3.5</v>
      </c>
      <c r="W1056">
        <f t="shared" si="1093"/>
        <v>3.1</v>
      </c>
      <c r="X1056" s="9">
        <v>2.9675555</v>
      </c>
      <c r="Y1056" s="39"/>
    </row>
    <row r="1057" spans="1:25" ht="15" thickBot="1">
      <c r="A1057" s="29">
        <f t="shared" si="1042"/>
        <v>45879.916666666089</v>
      </c>
      <c r="B1057" s="30">
        <f t="shared" si="1069"/>
        <v>5000</v>
      </c>
      <c r="C1057" s="8">
        <v>25000</v>
      </c>
      <c r="D1057" s="187">
        <v>0</v>
      </c>
      <c r="E1057" s="187">
        <v>700</v>
      </c>
      <c r="F1057" s="187">
        <v>15000</v>
      </c>
      <c r="G1057" s="30">
        <f t="shared" si="1070"/>
        <v>2400</v>
      </c>
      <c r="H1057" s="8">
        <v>25000</v>
      </c>
      <c r="I1057" s="30">
        <f t="shared" si="1071"/>
        <v>5000</v>
      </c>
      <c r="J1057" s="187">
        <v>40000</v>
      </c>
      <c r="K1057" s="30">
        <f t="shared" si="1072"/>
        <v>5000</v>
      </c>
      <c r="L1057" s="187">
        <v>40000</v>
      </c>
      <c r="M1057" s="110">
        <v>9.5</v>
      </c>
      <c r="N1057" s="9">
        <f>VLOOKUP(DATE(YEAR(A1057),MONTH(A1057),DAY(A1057)),FY24_Temp[],3,FALSE)</f>
        <v>14.4</v>
      </c>
      <c r="O1057" s="110">
        <f t="shared" si="1058"/>
        <v>11.5</v>
      </c>
      <c r="P1057" s="110">
        <f t="shared" si="1059"/>
        <v>19.5</v>
      </c>
      <c r="Q1057" s="79">
        <f>VLOOKUP(VLOOKUP(DATEVALUE(TEXT(A1057,"m/d/yyyy")),FY24_Temp[],5,FALSE)&amp;TEXT(A1057,"-h"),TempDelta[],4,FALSE)</f>
        <v>2.2258571556636264</v>
      </c>
      <c r="R1057">
        <v>10</v>
      </c>
      <c r="S1057" s="112">
        <v>1500</v>
      </c>
      <c r="T1057" s="5">
        <f>VLOOKUP(TEXT(A1057,"yy-mm")&amp;"-"&amp;IF(AND(WEEKDAY(A1057)&gt;1,WEEKDAY(A1057)&lt;7),"Wkd",TEXT(A1057,"Ddd"))&amp;"-"&amp;TEXT(A1057,"hh"),LoadTable[],3,FALSE)*0.92</f>
        <v>598.79212957269056</v>
      </c>
      <c r="U1057" s="113">
        <f t="shared" si="1060"/>
        <v>59.879212957269054</v>
      </c>
      <c r="V1057">
        <f t="shared" ref="V1057:W1057" si="1094">V1033</f>
        <v>2.9</v>
      </c>
      <c r="W1057">
        <f t="shared" si="1094"/>
        <v>3.1</v>
      </c>
      <c r="X1057" s="9">
        <v>2.9375157000000001</v>
      </c>
      <c r="Y1057" s="39"/>
    </row>
    <row r="1058" spans="1:25" ht="15" thickBot="1">
      <c r="A1058" s="29">
        <f t="shared" si="1042"/>
        <v>45879.958333332754</v>
      </c>
      <c r="B1058" s="30">
        <f t="shared" si="1069"/>
        <v>5000</v>
      </c>
      <c r="C1058" s="8">
        <v>25000</v>
      </c>
      <c r="D1058" s="187">
        <v>0</v>
      </c>
      <c r="E1058" s="187">
        <v>700</v>
      </c>
      <c r="F1058" s="187">
        <v>15000</v>
      </c>
      <c r="G1058" s="30">
        <f t="shared" si="1070"/>
        <v>2400</v>
      </c>
      <c r="H1058" s="8">
        <v>25000</v>
      </c>
      <c r="I1058" s="30">
        <f t="shared" si="1071"/>
        <v>5000</v>
      </c>
      <c r="J1058" s="187">
        <v>40000</v>
      </c>
      <c r="K1058" s="30">
        <f t="shared" si="1072"/>
        <v>5000</v>
      </c>
      <c r="L1058" s="187">
        <v>40000</v>
      </c>
      <c r="M1058" s="110">
        <v>9.5</v>
      </c>
      <c r="N1058" s="9">
        <f>VLOOKUP(DATE(YEAR(A1058),MONTH(A1058),DAY(A1058)),FY24_Temp[],3,FALSE)</f>
        <v>14.4</v>
      </c>
      <c r="O1058" s="110">
        <f t="shared" si="1058"/>
        <v>11.5</v>
      </c>
      <c r="P1058" s="110">
        <f t="shared" si="1059"/>
        <v>19.5</v>
      </c>
      <c r="Q1058" s="79">
        <f>VLOOKUP(VLOOKUP(DATEVALUE(TEXT(A1058,"m/d/yyyy")),FY24_Temp[],5,FALSE)&amp;TEXT(A1058,"-h"),TempDelta[],4,FALSE)</f>
        <v>2.3604285717010498</v>
      </c>
      <c r="R1058">
        <v>10</v>
      </c>
      <c r="S1058" s="112">
        <v>1500</v>
      </c>
      <c r="T1058" s="5">
        <f>VLOOKUP(TEXT(A1058,"yy-mm")&amp;"-"&amp;IF(AND(WEEKDAY(A1058)&gt;1,WEEKDAY(A1058)&lt;7),"Wkd",TEXT(A1058,"Ddd"))&amp;"-"&amp;TEXT(A1058,"hh"),LoadTable[],3,FALSE)*0.92</f>
        <v>457.15168</v>
      </c>
      <c r="U1058" s="113">
        <f t="shared" si="1060"/>
        <v>45.715167999999998</v>
      </c>
      <c r="V1058">
        <f t="shared" ref="V1058:W1058" si="1095">V1034</f>
        <v>3.6</v>
      </c>
      <c r="W1058">
        <f t="shared" si="1095"/>
        <v>3.1</v>
      </c>
      <c r="X1058" s="9">
        <v>2.8434271999999998</v>
      </c>
      <c r="Y1058" s="39"/>
    </row>
    <row r="1059" spans="1:25" ht="15" thickBot="1">
      <c r="A1059" s="29">
        <f t="shared" si="1042"/>
        <v>45879.999999999418</v>
      </c>
      <c r="B1059" s="30">
        <f t="shared" si="1069"/>
        <v>5000</v>
      </c>
      <c r="C1059" s="8">
        <v>25000</v>
      </c>
      <c r="D1059" s="187">
        <v>0</v>
      </c>
      <c r="E1059" s="187">
        <v>700</v>
      </c>
      <c r="F1059" s="187">
        <v>15000</v>
      </c>
      <c r="G1059" s="30">
        <f t="shared" si="1070"/>
        <v>2400</v>
      </c>
      <c r="H1059" s="8">
        <v>25000</v>
      </c>
      <c r="I1059" s="30">
        <f t="shared" si="1071"/>
        <v>5000</v>
      </c>
      <c r="J1059" s="187">
        <v>40000</v>
      </c>
      <c r="K1059" s="30">
        <f t="shared" si="1072"/>
        <v>5000</v>
      </c>
      <c r="L1059" s="187">
        <v>40000</v>
      </c>
      <c r="M1059" s="110">
        <v>9.5</v>
      </c>
      <c r="N1059" s="9">
        <f>VLOOKUP(DATE(YEAR(A1059),MONTH(A1059),DAY(A1059)),FY24_Temp[],3,FALSE)</f>
        <v>14.4</v>
      </c>
      <c r="O1059" s="110">
        <f t="shared" si="1058"/>
        <v>11.5</v>
      </c>
      <c r="P1059" s="110">
        <f t="shared" si="1059"/>
        <v>19.5</v>
      </c>
      <c r="Q1059" s="79">
        <f>VLOOKUP(VLOOKUP(DATEVALUE(TEXT(A1059,"m/d/yyyy")),FY24_Temp[],5,FALSE)&amp;TEXT(A1059,"-h"),TempDelta[],4,FALSE)</f>
        <v>2.4882856777736118</v>
      </c>
      <c r="R1059">
        <v>10</v>
      </c>
      <c r="S1059" s="112">
        <v>1500</v>
      </c>
      <c r="T1059" s="5">
        <f>VLOOKUP(TEXT(A1059,"yy-mm")&amp;"-"&amp;IF(AND(WEEKDAY(A1059)&gt;1,WEEKDAY(A1059)&lt;7),"Wkd",TEXT(A1059,"Ddd"))&amp;"-"&amp;TEXT(A1059,"hh"),LoadTable[],3,FALSE)*0.92</f>
        <v>372.20164</v>
      </c>
      <c r="U1059" s="113">
        <f t="shared" si="1060"/>
        <v>37.220163999999997</v>
      </c>
      <c r="V1059">
        <f t="shared" ref="V1059:W1059" si="1096">V1035</f>
        <v>3</v>
      </c>
      <c r="W1059">
        <f t="shared" si="1096"/>
        <v>3.2</v>
      </c>
      <c r="X1059" s="9">
        <v>2.7516291000000002</v>
      </c>
      <c r="Y1059" s="39"/>
    </row>
    <row r="1060" spans="1:25" ht="15" thickBot="1">
      <c r="A1060" s="29">
        <f t="shared" si="1042"/>
        <v>45880.041666666082</v>
      </c>
      <c r="B1060" s="30">
        <f t="shared" si="1069"/>
        <v>5000</v>
      </c>
      <c r="C1060" s="8">
        <v>25000</v>
      </c>
      <c r="D1060" s="187">
        <v>0</v>
      </c>
      <c r="E1060" s="187">
        <v>700</v>
      </c>
      <c r="F1060" s="187">
        <v>15000</v>
      </c>
      <c r="G1060" s="30">
        <f t="shared" si="1070"/>
        <v>2400</v>
      </c>
      <c r="H1060" s="8">
        <v>25000</v>
      </c>
      <c r="I1060" s="30">
        <f t="shared" si="1071"/>
        <v>5000</v>
      </c>
      <c r="J1060" s="187">
        <v>40000</v>
      </c>
      <c r="K1060" s="30">
        <f t="shared" si="1072"/>
        <v>5000</v>
      </c>
      <c r="L1060" s="187">
        <v>40000</v>
      </c>
      <c r="M1060" s="110">
        <v>9.5</v>
      </c>
      <c r="N1060" s="9">
        <f>VLOOKUP(DATE(YEAR(A1060),MONTH(A1060),DAY(A1060)),FY24_Temp[],3,FALSE)</f>
        <v>14.4</v>
      </c>
      <c r="O1060" s="110">
        <f t="shared" si="1058"/>
        <v>11.5</v>
      </c>
      <c r="P1060" s="110">
        <f t="shared" si="1059"/>
        <v>19.5</v>
      </c>
      <c r="Q1060" s="79">
        <f>VLOOKUP(VLOOKUP(DATEVALUE(TEXT(A1060,"m/d/yyyy")),FY24_Temp[],5,FALSE)&amp;TEXT(A1060,"-h"),TempDelta[],4,FALSE)</f>
        <v>2.5384285790579662</v>
      </c>
      <c r="R1060">
        <v>10</v>
      </c>
      <c r="S1060" s="112">
        <v>1500</v>
      </c>
      <c r="T1060" s="5">
        <f>VLOOKUP(TEXT(A1060,"yy-mm")&amp;"-"&amp;IF(AND(WEEKDAY(A1060)&gt;1,WEEKDAY(A1060)&lt;7),"Wkd",TEXT(A1060,"Ddd"))&amp;"-"&amp;TEXT(A1060,"hh"),LoadTable[],3,FALSE)*0.92</f>
        <v>363.06235999999996</v>
      </c>
      <c r="U1060" s="113">
        <f t="shared" si="1060"/>
        <v>36.306235999999998</v>
      </c>
      <c r="V1060">
        <f t="shared" ref="V1060:W1060" si="1097">V1036</f>
        <v>2.6</v>
      </c>
      <c r="W1060">
        <f t="shared" si="1097"/>
        <v>3.2</v>
      </c>
      <c r="X1060" s="9">
        <v>2.6794856</v>
      </c>
      <c r="Y1060" s="39"/>
    </row>
    <row r="1061" spans="1:25" ht="15" thickBot="1">
      <c r="A1061" s="29">
        <f t="shared" si="1042"/>
        <v>45880.083333332746</v>
      </c>
      <c r="B1061" s="30">
        <f t="shared" si="1069"/>
        <v>5000</v>
      </c>
      <c r="C1061" s="8">
        <v>25000</v>
      </c>
      <c r="D1061" s="187">
        <v>0</v>
      </c>
      <c r="E1061" s="187">
        <v>700</v>
      </c>
      <c r="F1061" s="187">
        <v>15000</v>
      </c>
      <c r="G1061" s="30">
        <f t="shared" si="1070"/>
        <v>2400</v>
      </c>
      <c r="H1061" s="8">
        <v>25000</v>
      </c>
      <c r="I1061" s="30">
        <f t="shared" si="1071"/>
        <v>5000</v>
      </c>
      <c r="J1061" s="187">
        <v>40000</v>
      </c>
      <c r="K1061" s="30">
        <f t="shared" si="1072"/>
        <v>5000</v>
      </c>
      <c r="L1061" s="187">
        <v>40000</v>
      </c>
      <c r="M1061" s="110">
        <v>9.5</v>
      </c>
      <c r="N1061" s="9">
        <f>VLOOKUP(DATE(YEAR(A1061),MONTH(A1061),DAY(A1061)),FY24_Temp[],3,FALSE)</f>
        <v>14.4</v>
      </c>
      <c r="O1061" s="110">
        <f t="shared" si="1058"/>
        <v>11.5</v>
      </c>
      <c r="P1061" s="110">
        <f t="shared" si="1059"/>
        <v>19.5</v>
      </c>
      <c r="Q1061" s="79">
        <f>VLOOKUP(VLOOKUP(DATEVALUE(TEXT(A1061,"m/d/yyyy")),FY24_Temp[],5,FALSE)&amp;TEXT(A1061,"-h"),TempDelta[],4,FALSE)</f>
        <v>2.5558571474892751</v>
      </c>
      <c r="R1061">
        <v>10</v>
      </c>
      <c r="S1061" s="112">
        <v>1500</v>
      </c>
      <c r="T1061" s="5">
        <f>VLOOKUP(TEXT(A1061,"yy-mm")&amp;"-"&amp;IF(AND(WEEKDAY(A1061)&gt;1,WEEKDAY(A1061)&lt;7),"Wkd",TEXT(A1061,"Ddd"))&amp;"-"&amp;TEXT(A1061,"hh"),LoadTable[],3,FALSE)*0.92</f>
        <v>363.06235999999996</v>
      </c>
      <c r="U1061" s="113">
        <f t="shared" si="1060"/>
        <v>36.306235999999998</v>
      </c>
      <c r="V1061">
        <f t="shared" ref="V1061:W1061" si="1098">V1037</f>
        <v>2.8</v>
      </c>
      <c r="W1061">
        <f t="shared" si="1098"/>
        <v>3.2</v>
      </c>
      <c r="X1061" s="9">
        <v>2.7662244</v>
      </c>
      <c r="Y1061" s="39"/>
    </row>
    <row r="1062" spans="1:25" ht="15" thickBot="1">
      <c r="A1062" s="29">
        <f t="shared" si="1042"/>
        <v>45880.124999999411</v>
      </c>
      <c r="B1062" s="30">
        <f t="shared" si="1069"/>
        <v>5000</v>
      </c>
      <c r="C1062" s="8">
        <v>25000</v>
      </c>
      <c r="D1062" s="187">
        <v>0</v>
      </c>
      <c r="E1062" s="187">
        <v>700</v>
      </c>
      <c r="F1062" s="187">
        <v>15000</v>
      </c>
      <c r="G1062" s="30">
        <f t="shared" si="1070"/>
        <v>2400</v>
      </c>
      <c r="H1062" s="8">
        <v>25000</v>
      </c>
      <c r="I1062" s="30">
        <f t="shared" si="1071"/>
        <v>5000</v>
      </c>
      <c r="J1062" s="187">
        <v>40000</v>
      </c>
      <c r="K1062" s="30">
        <f t="shared" si="1072"/>
        <v>5000</v>
      </c>
      <c r="L1062" s="187">
        <v>40000</v>
      </c>
      <c r="M1062" s="110">
        <v>9.5</v>
      </c>
      <c r="N1062" s="9">
        <f>VLOOKUP(DATE(YEAR(A1062),MONTH(A1062),DAY(A1062)),FY24_Temp[],3,FALSE)</f>
        <v>14.4</v>
      </c>
      <c r="O1062" s="110">
        <f t="shared" si="1058"/>
        <v>11.5</v>
      </c>
      <c r="P1062" s="110">
        <f t="shared" si="1059"/>
        <v>19.5</v>
      </c>
      <c r="Q1062" s="79">
        <f>VLOOKUP(VLOOKUP(DATEVALUE(TEXT(A1062,"m/d/yyyy")),FY24_Temp[],5,FALSE)&amp;TEXT(A1062,"-h"),TempDelta[],4,FALSE)</f>
        <v>2.5525713988712857</v>
      </c>
      <c r="R1062">
        <v>10</v>
      </c>
      <c r="S1062" s="112">
        <v>1500</v>
      </c>
      <c r="T1062" s="5">
        <f>VLOOKUP(TEXT(A1062,"yy-mm")&amp;"-"&amp;IF(AND(WEEKDAY(A1062)&gt;1,WEEKDAY(A1062)&lt;7),"Wkd",TEXT(A1062,"Ddd"))&amp;"-"&amp;TEXT(A1062,"hh"),LoadTable[],3,FALSE)*0.92</f>
        <v>363.06235999999996</v>
      </c>
      <c r="U1062" s="113">
        <f t="shared" si="1060"/>
        <v>36.306235999999998</v>
      </c>
      <c r="V1062">
        <f t="shared" ref="V1062:W1062" si="1099">V1038</f>
        <v>2.7</v>
      </c>
      <c r="W1062">
        <f t="shared" si="1099"/>
        <v>3.2</v>
      </c>
      <c r="X1062" s="9">
        <v>2.8359562999999999</v>
      </c>
      <c r="Y1062" s="39"/>
    </row>
    <row r="1063" spans="1:25" ht="15" thickBot="1">
      <c r="A1063" s="29">
        <f t="shared" si="1042"/>
        <v>45880.166666666075</v>
      </c>
      <c r="B1063" s="30">
        <f t="shared" si="1069"/>
        <v>5000</v>
      </c>
      <c r="C1063" s="8">
        <v>25000</v>
      </c>
      <c r="D1063" s="187">
        <v>0</v>
      </c>
      <c r="E1063" s="187">
        <v>700</v>
      </c>
      <c r="F1063" s="187">
        <v>15000</v>
      </c>
      <c r="G1063" s="30">
        <f t="shared" si="1070"/>
        <v>2400</v>
      </c>
      <c r="H1063" s="8">
        <v>25000</v>
      </c>
      <c r="I1063" s="30">
        <f t="shared" si="1071"/>
        <v>5000</v>
      </c>
      <c r="J1063" s="187">
        <v>40000</v>
      </c>
      <c r="K1063" s="30">
        <f t="shared" si="1072"/>
        <v>5000</v>
      </c>
      <c r="L1063" s="187">
        <v>40000</v>
      </c>
      <c r="M1063" s="110">
        <v>9.5</v>
      </c>
      <c r="N1063" s="9">
        <f>VLOOKUP(DATE(YEAR(A1063),MONTH(A1063),DAY(A1063)),FY24_Temp[],3,FALSE)</f>
        <v>14.4</v>
      </c>
      <c r="O1063" s="110">
        <f t="shared" si="1058"/>
        <v>11.5</v>
      </c>
      <c r="P1063" s="110">
        <f t="shared" si="1059"/>
        <v>19.5</v>
      </c>
      <c r="Q1063" s="79">
        <f>VLOOKUP(VLOOKUP(DATEVALUE(TEXT(A1063,"m/d/yyyy")),FY24_Temp[],5,FALSE)&amp;TEXT(A1063,"-h"),TempDelta[],4,FALSE)</f>
        <v>2.5564285346439908</v>
      </c>
      <c r="R1063">
        <v>10</v>
      </c>
      <c r="S1063" s="112">
        <v>1500</v>
      </c>
      <c r="T1063" s="5">
        <f>VLOOKUP(TEXT(A1063,"yy-mm")&amp;"-"&amp;IF(AND(WEEKDAY(A1063)&gt;1,WEEKDAY(A1063)&lt;7),"Wkd",TEXT(A1063,"Ddd"))&amp;"-"&amp;TEXT(A1063,"hh"),LoadTable[],3,FALSE)*0.92</f>
        <v>363.06235999999996</v>
      </c>
      <c r="U1063" s="113">
        <f t="shared" si="1060"/>
        <v>36.306235999999998</v>
      </c>
      <c r="V1063">
        <f t="shared" ref="V1063:W1063" si="1100">V1039</f>
        <v>3</v>
      </c>
      <c r="W1063">
        <f t="shared" si="1100"/>
        <v>3.1</v>
      </c>
      <c r="X1063" s="9">
        <v>2.8705478000000002</v>
      </c>
      <c r="Y1063" s="39"/>
    </row>
    <row r="1064" spans="1:25" ht="15" thickBot="1">
      <c r="A1064" s="29">
        <f t="shared" si="1042"/>
        <v>45880.208333332739</v>
      </c>
      <c r="B1064" s="30">
        <f t="shared" si="1069"/>
        <v>5000</v>
      </c>
      <c r="C1064" s="8">
        <v>25000</v>
      </c>
      <c r="D1064" s="187">
        <v>0</v>
      </c>
      <c r="E1064" s="187">
        <v>700</v>
      </c>
      <c r="F1064" s="187">
        <v>15000</v>
      </c>
      <c r="G1064" s="30">
        <f t="shared" si="1070"/>
        <v>2400</v>
      </c>
      <c r="H1064" s="8">
        <v>25000</v>
      </c>
      <c r="I1064" s="30">
        <f t="shared" si="1071"/>
        <v>5000</v>
      </c>
      <c r="J1064" s="187">
        <v>40000</v>
      </c>
      <c r="K1064" s="30">
        <f t="shared" si="1072"/>
        <v>5000</v>
      </c>
      <c r="L1064" s="187">
        <v>40000</v>
      </c>
      <c r="M1064" s="110">
        <v>9.5</v>
      </c>
      <c r="N1064" s="9">
        <f>VLOOKUP(DATE(YEAR(A1064),MONTH(A1064),DAY(A1064)),FY24_Temp[],3,FALSE)</f>
        <v>14.4</v>
      </c>
      <c r="O1064" s="110">
        <f t="shared" si="1058"/>
        <v>11.5</v>
      </c>
      <c r="P1064" s="110">
        <f t="shared" si="1059"/>
        <v>19.5</v>
      </c>
      <c r="Q1064" s="79">
        <f>VLOOKUP(VLOOKUP(DATEVALUE(TEXT(A1064,"m/d/yyyy")),FY24_Temp[],5,FALSE)&amp;TEXT(A1064,"-h"),TempDelta[],4,FALSE)</f>
        <v>2.6032857554299489</v>
      </c>
      <c r="R1064">
        <v>10</v>
      </c>
      <c r="S1064" s="112">
        <v>1500</v>
      </c>
      <c r="T1064" s="5">
        <f>VLOOKUP(TEXT(A1064,"yy-mm")&amp;"-"&amp;IF(AND(WEEKDAY(A1064)&gt;1,WEEKDAY(A1064)&lt;7),"Wkd",TEXT(A1064,"Ddd"))&amp;"-"&amp;TEXT(A1064,"hh"),LoadTable[],3,FALSE)*0.92</f>
        <v>363.06235999999996</v>
      </c>
      <c r="U1064" s="113">
        <f t="shared" si="1060"/>
        <v>36.306235999999998</v>
      </c>
      <c r="V1064">
        <f t="shared" ref="V1064:W1064" si="1101">V1040</f>
        <v>2.9</v>
      </c>
      <c r="W1064">
        <f t="shared" si="1101"/>
        <v>3.1</v>
      </c>
      <c r="X1064" s="9">
        <v>2.9514463000000002</v>
      </c>
      <c r="Y1064" s="39"/>
    </row>
    <row r="1065" spans="1:25" ht="15" thickBot="1">
      <c r="A1065" s="29">
        <f t="shared" si="1042"/>
        <v>45880.249999999403</v>
      </c>
      <c r="B1065" s="30">
        <f t="shared" si="1069"/>
        <v>8000</v>
      </c>
      <c r="C1065" s="8">
        <v>25000</v>
      </c>
      <c r="D1065" s="187">
        <v>0</v>
      </c>
      <c r="E1065" s="187">
        <v>700</v>
      </c>
      <c r="F1065" s="187">
        <v>15000</v>
      </c>
      <c r="G1065" s="30">
        <f t="shared" si="1070"/>
        <v>2400</v>
      </c>
      <c r="H1065" s="8">
        <v>25000</v>
      </c>
      <c r="I1065" s="30">
        <f t="shared" si="1071"/>
        <v>8000</v>
      </c>
      <c r="J1065" s="187">
        <v>40000</v>
      </c>
      <c r="K1065" s="30">
        <f t="shared" si="1072"/>
        <v>8000</v>
      </c>
      <c r="L1065" s="187">
        <v>40000</v>
      </c>
      <c r="M1065" s="110">
        <v>9.5</v>
      </c>
      <c r="N1065" s="9">
        <f>VLOOKUP(DATE(YEAR(A1065),MONTH(A1065),DAY(A1065)),FY24_Temp[],3,FALSE)</f>
        <v>14.4</v>
      </c>
      <c r="O1065" s="110">
        <f t="shared" si="1058"/>
        <v>11.5</v>
      </c>
      <c r="P1065" s="110">
        <f t="shared" si="1059"/>
        <v>19.5</v>
      </c>
      <c r="Q1065" s="79">
        <f>VLOOKUP(VLOOKUP(DATEVALUE(TEXT(A1065,"m/d/yyyy")),FY24_Temp[],5,FALSE)&amp;TEXT(A1065,"-h"),TempDelta[],4,FALSE)</f>
        <v>2.6161428519657681</v>
      </c>
      <c r="R1065">
        <v>10</v>
      </c>
      <c r="S1065" s="112">
        <v>1500</v>
      </c>
      <c r="T1065" s="5">
        <f>VLOOKUP(TEXT(A1065,"yy-mm")&amp;"-"&amp;IF(AND(WEEKDAY(A1065)&gt;1,WEEKDAY(A1065)&lt;7),"Wkd",TEXT(A1065,"Ddd"))&amp;"-"&amp;TEXT(A1065,"hh"),LoadTable[],3,FALSE)*0.92</f>
        <v>363.06235999999996</v>
      </c>
      <c r="U1065" s="113">
        <f t="shared" si="1060"/>
        <v>36.306235999999998</v>
      </c>
      <c r="V1065">
        <f t="shared" ref="V1065:W1065" si="1102">V1041</f>
        <v>2.5</v>
      </c>
      <c r="W1065">
        <f t="shared" si="1102"/>
        <v>3.1</v>
      </c>
      <c r="X1065" s="9">
        <v>3.0794852000000001</v>
      </c>
      <c r="Y1065" s="39"/>
    </row>
    <row r="1066" spans="1:25" ht="15" thickBot="1">
      <c r="A1066" s="29">
        <f t="shared" si="1042"/>
        <v>45880.291666666068</v>
      </c>
      <c r="B1066" s="30">
        <f t="shared" si="1069"/>
        <v>8000</v>
      </c>
      <c r="C1066" s="8">
        <v>25000</v>
      </c>
      <c r="D1066" s="187">
        <v>0</v>
      </c>
      <c r="E1066" s="187">
        <v>700</v>
      </c>
      <c r="F1066" s="187">
        <v>15000</v>
      </c>
      <c r="G1066" s="30">
        <f t="shared" si="1070"/>
        <v>2400</v>
      </c>
      <c r="H1066" s="8">
        <v>25000</v>
      </c>
      <c r="I1066" s="30">
        <f t="shared" si="1071"/>
        <v>8000</v>
      </c>
      <c r="J1066" s="187">
        <v>40000</v>
      </c>
      <c r="K1066" s="30">
        <f t="shared" si="1072"/>
        <v>8000</v>
      </c>
      <c r="L1066" s="187">
        <v>40000</v>
      </c>
      <c r="M1066" s="110">
        <v>9.5</v>
      </c>
      <c r="N1066" s="9">
        <f>VLOOKUP(DATE(YEAR(A1066),MONTH(A1066),DAY(A1066)),FY24_Temp[],3,FALSE)</f>
        <v>14.4</v>
      </c>
      <c r="O1066" s="110">
        <f t="shared" si="1058"/>
        <v>11.5</v>
      </c>
      <c r="P1066" s="110">
        <f t="shared" si="1059"/>
        <v>19.5</v>
      </c>
      <c r="Q1066" s="79">
        <f>VLOOKUP(VLOOKUP(DATEVALUE(TEXT(A1066,"m/d/yyyy")),FY24_Temp[],5,FALSE)&amp;TEXT(A1066,"-h"),TempDelta[],4,FALSE)</f>
        <v>2.582714251109532</v>
      </c>
      <c r="R1066">
        <v>10</v>
      </c>
      <c r="S1066" s="112">
        <v>1500</v>
      </c>
      <c r="T1066" s="5">
        <f>VLOOKUP(TEXT(A1066,"yy-mm")&amp;"-"&amp;IF(AND(WEEKDAY(A1066)&gt;1,WEEKDAY(A1066)&lt;7),"Wkd",TEXT(A1066,"Ddd"))&amp;"-"&amp;TEXT(A1066,"hh"),LoadTable[],3,FALSE)*0.92</f>
        <v>352.2091200000001</v>
      </c>
      <c r="U1066" s="113">
        <f t="shared" si="1060"/>
        <v>35.220912000000013</v>
      </c>
      <c r="V1066">
        <f t="shared" ref="V1066:W1066" si="1103">V1042</f>
        <v>2.5</v>
      </c>
      <c r="W1066">
        <f t="shared" si="1103"/>
        <v>3.1</v>
      </c>
      <c r="X1066" s="9">
        <v>3.2254269</v>
      </c>
      <c r="Y1066" s="39"/>
    </row>
    <row r="1067" spans="1:25" ht="15" thickBot="1">
      <c r="A1067" s="29">
        <f t="shared" si="1042"/>
        <v>45880.333333332732</v>
      </c>
      <c r="B1067" s="30">
        <f t="shared" si="1069"/>
        <v>8000</v>
      </c>
      <c r="C1067" s="8">
        <v>25000</v>
      </c>
      <c r="D1067" s="187">
        <v>0</v>
      </c>
      <c r="E1067" s="187">
        <v>700</v>
      </c>
      <c r="F1067" s="187">
        <v>15000</v>
      </c>
      <c r="G1067" s="30">
        <f t="shared" si="1070"/>
        <v>2400</v>
      </c>
      <c r="H1067" s="8">
        <v>25000</v>
      </c>
      <c r="I1067" s="30">
        <f t="shared" si="1071"/>
        <v>8000</v>
      </c>
      <c r="J1067" s="187">
        <v>40000</v>
      </c>
      <c r="K1067" s="30">
        <f t="shared" si="1072"/>
        <v>8000</v>
      </c>
      <c r="L1067" s="187">
        <v>40000</v>
      </c>
      <c r="M1067" s="110">
        <v>9.5</v>
      </c>
      <c r="N1067" s="9">
        <f>VLOOKUP(DATE(YEAR(A1067),MONTH(A1067),DAY(A1067)),FY24_Temp[],3,FALSE)</f>
        <v>14.4</v>
      </c>
      <c r="O1067" s="110">
        <f t="shared" si="1058"/>
        <v>11.5</v>
      </c>
      <c r="P1067" s="110">
        <f t="shared" si="1059"/>
        <v>19.5</v>
      </c>
      <c r="Q1067" s="79">
        <f>VLOOKUP(VLOOKUP(DATEVALUE(TEXT(A1067,"m/d/yyyy")),FY24_Temp[],5,FALSE)&amp;TEXT(A1067,"-h"),TempDelta[],4,FALSE)</f>
        <v>2.4768571172441756</v>
      </c>
      <c r="R1067">
        <v>10</v>
      </c>
      <c r="S1067" s="112">
        <v>1500</v>
      </c>
      <c r="T1067" s="5">
        <f>VLOOKUP(TEXT(A1067,"yy-mm")&amp;"-"&amp;IF(AND(WEEKDAY(A1067)&gt;1,WEEKDAY(A1067)&lt;7),"Wkd",TEXT(A1067,"Ddd"))&amp;"-"&amp;TEXT(A1067,"hh"),LoadTable[],3,FALSE)*0.92</f>
        <v>352.2091200000001</v>
      </c>
      <c r="U1067" s="113">
        <f t="shared" si="1060"/>
        <v>35.220912000000013</v>
      </c>
      <c r="V1067">
        <f t="shared" ref="V1067:W1067" si="1104">V1043</f>
        <v>3.2</v>
      </c>
      <c r="W1067">
        <f t="shared" si="1104"/>
        <v>3</v>
      </c>
      <c r="X1067" s="9">
        <v>3.2895110000000001</v>
      </c>
      <c r="Y1067" s="39"/>
    </row>
    <row r="1068" spans="1:25" ht="15" thickBot="1">
      <c r="A1068" s="29">
        <f t="shared" si="1042"/>
        <v>45880.374999999396</v>
      </c>
      <c r="B1068" s="30">
        <f t="shared" si="1069"/>
        <v>8000</v>
      </c>
      <c r="C1068" s="8">
        <v>25000</v>
      </c>
      <c r="D1068" s="187">
        <v>0</v>
      </c>
      <c r="E1068" s="187">
        <v>700</v>
      </c>
      <c r="F1068" s="187">
        <v>15000</v>
      </c>
      <c r="G1068" s="30">
        <f t="shared" si="1070"/>
        <v>2400</v>
      </c>
      <c r="H1068" s="8">
        <v>25000</v>
      </c>
      <c r="I1068" s="30">
        <f t="shared" si="1071"/>
        <v>8000</v>
      </c>
      <c r="J1068" s="187">
        <v>40000</v>
      </c>
      <c r="K1068" s="30">
        <f t="shared" si="1072"/>
        <v>8000</v>
      </c>
      <c r="L1068" s="187">
        <v>40000</v>
      </c>
      <c r="M1068" s="110">
        <v>9.5</v>
      </c>
      <c r="N1068" s="9">
        <f>VLOOKUP(DATE(YEAR(A1068),MONTH(A1068),DAY(A1068)),FY24_Temp[],3,FALSE)</f>
        <v>14.4</v>
      </c>
      <c r="O1068" s="110">
        <f t="shared" si="1058"/>
        <v>11.5</v>
      </c>
      <c r="P1068" s="110">
        <f t="shared" si="1059"/>
        <v>19.5</v>
      </c>
      <c r="Q1068" s="79">
        <f>VLOOKUP(VLOOKUP(DATEVALUE(TEXT(A1068,"m/d/yyyy")),FY24_Temp[],5,FALSE)&amp;TEXT(A1068,"-h"),TempDelta[],4,FALSE)</f>
        <v>2.293428523199899</v>
      </c>
      <c r="R1068">
        <v>10</v>
      </c>
      <c r="S1068" s="112">
        <v>1500</v>
      </c>
      <c r="T1068" s="5">
        <f>VLOOKUP(TEXT(A1068,"yy-mm")&amp;"-"&amp;IF(AND(WEEKDAY(A1068)&gt;1,WEEKDAY(A1068)&lt;7),"Wkd",TEXT(A1068,"Ddd"))&amp;"-"&amp;TEXT(A1068,"hh"),LoadTable[],3,FALSE)*0.92</f>
        <v>340.60949077857163</v>
      </c>
      <c r="U1068" s="113">
        <f t="shared" si="1060"/>
        <v>34.06094907785716</v>
      </c>
      <c r="V1068">
        <f t="shared" ref="V1068:W1068" si="1105">V1044</f>
        <v>2.9</v>
      </c>
      <c r="W1068">
        <f t="shared" si="1105"/>
        <v>3</v>
      </c>
      <c r="X1068" s="9">
        <v>3.3267321999999999</v>
      </c>
      <c r="Y1068" s="39"/>
    </row>
    <row r="1069" spans="1:25" ht="15" thickBot="1">
      <c r="A1069" s="29">
        <f t="shared" si="1042"/>
        <v>45880.41666666606</v>
      </c>
      <c r="B1069" s="30">
        <f t="shared" si="1069"/>
        <v>8000</v>
      </c>
      <c r="C1069" s="8">
        <v>25000</v>
      </c>
      <c r="D1069" s="187">
        <v>0</v>
      </c>
      <c r="E1069" s="187">
        <v>700</v>
      </c>
      <c r="F1069" s="187">
        <v>15000</v>
      </c>
      <c r="G1069" s="30">
        <f t="shared" si="1070"/>
        <v>2400</v>
      </c>
      <c r="H1069" s="8">
        <v>25000</v>
      </c>
      <c r="I1069" s="30">
        <f t="shared" si="1071"/>
        <v>8000</v>
      </c>
      <c r="J1069" s="187">
        <v>40000</v>
      </c>
      <c r="K1069" s="30">
        <f t="shared" si="1072"/>
        <v>8000</v>
      </c>
      <c r="L1069" s="187">
        <v>40000</v>
      </c>
      <c r="M1069" s="110">
        <v>9.5</v>
      </c>
      <c r="N1069" s="9">
        <f>VLOOKUP(DATE(YEAR(A1069),MONTH(A1069),DAY(A1069)),FY24_Temp[],3,FALSE)</f>
        <v>14.4</v>
      </c>
      <c r="O1069" s="110">
        <f t="shared" si="1058"/>
        <v>11.5</v>
      </c>
      <c r="P1069" s="110">
        <f t="shared" si="1059"/>
        <v>19.5</v>
      </c>
      <c r="Q1069" s="79">
        <f>VLOOKUP(VLOOKUP(DATEVALUE(TEXT(A1069,"m/d/yyyy")),FY24_Temp[],5,FALSE)&amp;TEXT(A1069,"-h"),TempDelta[],4,FALSE)</f>
        <v>2.0822856766836986</v>
      </c>
      <c r="R1069">
        <v>10</v>
      </c>
      <c r="S1069" s="112">
        <v>1500</v>
      </c>
      <c r="T1069" s="5">
        <f>VLOOKUP(TEXT(A1069,"yy-mm")&amp;"-"&amp;IF(AND(WEEKDAY(A1069)&gt;1,WEEKDAY(A1069)&lt;7),"Wkd",TEXT(A1069,"Ddd"))&amp;"-"&amp;TEXT(A1069,"hh"),LoadTable[],3,FALSE)*0.92</f>
        <v>338.44093501457746</v>
      </c>
      <c r="U1069" s="113">
        <f t="shared" si="1060"/>
        <v>33.844093501457749</v>
      </c>
      <c r="V1069">
        <f t="shared" ref="V1069:W1069" si="1106">V1045</f>
        <v>2.9</v>
      </c>
      <c r="W1069">
        <f t="shared" si="1106"/>
        <v>3</v>
      </c>
      <c r="X1069" s="9">
        <v>3.3964669999999999</v>
      </c>
      <c r="Y1069" s="39"/>
    </row>
    <row r="1070" spans="1:25" ht="15" thickBot="1">
      <c r="A1070" s="29">
        <f t="shared" si="1042"/>
        <v>45880.458333332725</v>
      </c>
      <c r="B1070" s="30">
        <f t="shared" si="1069"/>
        <v>8000</v>
      </c>
      <c r="C1070" s="8">
        <v>25000</v>
      </c>
      <c r="D1070" s="187">
        <v>0</v>
      </c>
      <c r="E1070" s="187">
        <v>700</v>
      </c>
      <c r="F1070" s="187">
        <v>15000</v>
      </c>
      <c r="G1070" s="30">
        <f t="shared" si="1070"/>
        <v>2400</v>
      </c>
      <c r="H1070" s="8">
        <v>25000</v>
      </c>
      <c r="I1070" s="30">
        <f t="shared" si="1071"/>
        <v>8000</v>
      </c>
      <c r="J1070" s="187">
        <v>40000</v>
      </c>
      <c r="K1070" s="30">
        <f t="shared" si="1072"/>
        <v>8000</v>
      </c>
      <c r="L1070" s="187">
        <v>40000</v>
      </c>
      <c r="M1070" s="110">
        <v>9.5</v>
      </c>
      <c r="N1070" s="9">
        <f>VLOOKUP(DATE(YEAR(A1070),MONTH(A1070),DAY(A1070)),FY24_Temp[],3,FALSE)</f>
        <v>14.4</v>
      </c>
      <c r="O1070" s="110">
        <f t="shared" si="1058"/>
        <v>11.5</v>
      </c>
      <c r="P1070" s="110">
        <f t="shared" si="1059"/>
        <v>19.5</v>
      </c>
      <c r="Q1070" s="79">
        <f>VLOOKUP(VLOOKUP(DATEVALUE(TEXT(A1070,"m/d/yyyy")),FY24_Temp[],5,FALSE)&amp;TEXT(A1070,"-h"),TempDelta[],4,FALSE)</f>
        <v>1.8338571105684554</v>
      </c>
      <c r="R1070">
        <v>10</v>
      </c>
      <c r="S1070" s="112">
        <v>1500</v>
      </c>
      <c r="T1070" s="5">
        <f>VLOOKUP(TEXT(A1070,"yy-mm")&amp;"-"&amp;IF(AND(WEEKDAY(A1070)&gt;1,WEEKDAY(A1070)&lt;7),"Wkd",TEXT(A1070,"Ddd"))&amp;"-"&amp;TEXT(A1070,"hh"),LoadTable[],3,FALSE)*0.92</f>
        <v>338.44093501457746</v>
      </c>
      <c r="U1070" s="113">
        <f t="shared" si="1060"/>
        <v>33.844093501457749</v>
      </c>
      <c r="V1070">
        <f t="shared" ref="V1070:W1070" si="1107">V1046</f>
        <v>3.4</v>
      </c>
      <c r="W1070">
        <f t="shared" si="1107"/>
        <v>3</v>
      </c>
      <c r="X1070" s="9">
        <v>3.3461916</v>
      </c>
      <c r="Y1070" s="39"/>
    </row>
    <row r="1071" spans="1:25" ht="15" thickBot="1">
      <c r="A1071" s="29">
        <f t="shared" si="1042"/>
        <v>45880.499999999389</v>
      </c>
      <c r="B1071" s="30">
        <f t="shared" si="1069"/>
        <v>8000</v>
      </c>
      <c r="C1071" s="8">
        <v>25000</v>
      </c>
      <c r="D1071" s="187">
        <v>0</v>
      </c>
      <c r="E1071" s="187">
        <v>700</v>
      </c>
      <c r="F1071" s="187">
        <v>15000</v>
      </c>
      <c r="G1071" s="30">
        <f t="shared" si="1070"/>
        <v>2400</v>
      </c>
      <c r="H1071" s="8">
        <v>25000</v>
      </c>
      <c r="I1071" s="30">
        <f t="shared" si="1071"/>
        <v>8000</v>
      </c>
      <c r="J1071" s="187">
        <v>40000</v>
      </c>
      <c r="K1071" s="30">
        <f t="shared" si="1072"/>
        <v>8000</v>
      </c>
      <c r="L1071" s="187">
        <v>40000</v>
      </c>
      <c r="M1071" s="110">
        <v>9.5</v>
      </c>
      <c r="N1071" s="9">
        <f>VLOOKUP(DATE(YEAR(A1071),MONTH(A1071),DAY(A1071)),FY24_Temp[],3,FALSE)</f>
        <v>14.4</v>
      </c>
      <c r="O1071" s="110">
        <f t="shared" si="1058"/>
        <v>11.5</v>
      </c>
      <c r="P1071" s="110">
        <f t="shared" si="1059"/>
        <v>19.5</v>
      </c>
      <c r="Q1071" s="79">
        <f>VLOOKUP(VLOOKUP(DATEVALUE(TEXT(A1071,"m/d/yyyy")),FY24_Temp[],5,FALSE)&amp;TEXT(A1071,"-h"),TempDelta[],4,FALSE)</f>
        <v>1.5831428595951624</v>
      </c>
      <c r="R1071">
        <v>10</v>
      </c>
      <c r="S1071" s="112">
        <v>1500</v>
      </c>
      <c r="T1071" s="5">
        <f>VLOOKUP(TEXT(A1071,"yy-mm")&amp;"-"&amp;IF(AND(WEEKDAY(A1071)&gt;1,WEEKDAY(A1071)&lt;7),"Wkd",TEXT(A1071,"Ddd"))&amp;"-"&amp;TEXT(A1071,"hh"),LoadTable[],3,FALSE)*0.92</f>
        <v>338.44093501457746</v>
      </c>
      <c r="U1071" s="113">
        <f t="shared" si="1060"/>
        <v>33.844093501457749</v>
      </c>
      <c r="V1071">
        <f t="shared" ref="V1071:W1071" si="1108">V1047</f>
        <v>3.1</v>
      </c>
      <c r="W1071">
        <f t="shared" si="1108"/>
        <v>2.9</v>
      </c>
      <c r="X1071" s="9">
        <v>3.2189212</v>
      </c>
      <c r="Y1071" s="39"/>
    </row>
    <row r="1072" spans="1:25" ht="15" thickBot="1">
      <c r="A1072" s="29">
        <f t="shared" si="1042"/>
        <v>45880.541666666053</v>
      </c>
      <c r="B1072" s="30">
        <f t="shared" si="1069"/>
        <v>8000</v>
      </c>
      <c r="C1072" s="8">
        <v>25000</v>
      </c>
      <c r="D1072" s="187">
        <v>0</v>
      </c>
      <c r="E1072" s="187">
        <v>700</v>
      </c>
      <c r="F1072" s="187">
        <v>15000</v>
      </c>
      <c r="G1072" s="30">
        <f t="shared" si="1070"/>
        <v>2400</v>
      </c>
      <c r="H1072" s="8">
        <v>25000</v>
      </c>
      <c r="I1072" s="30">
        <f t="shared" si="1071"/>
        <v>8000</v>
      </c>
      <c r="J1072" s="187">
        <v>40000</v>
      </c>
      <c r="K1072" s="30">
        <f t="shared" si="1072"/>
        <v>8000</v>
      </c>
      <c r="L1072" s="187">
        <v>40000</v>
      </c>
      <c r="M1072" s="110">
        <v>9.5</v>
      </c>
      <c r="N1072" s="9">
        <f>VLOOKUP(DATE(YEAR(A1072),MONTH(A1072),DAY(A1072)),FY24_Temp[],3,FALSE)</f>
        <v>14.4</v>
      </c>
      <c r="O1072" s="110">
        <f t="shared" si="1058"/>
        <v>11.5</v>
      </c>
      <c r="P1072" s="110">
        <f t="shared" si="1059"/>
        <v>19.5</v>
      </c>
      <c r="Q1072" s="79">
        <f>VLOOKUP(VLOOKUP(DATEVALUE(TEXT(A1072,"m/d/yyyy")),FY24_Temp[],5,FALSE)&amp;TEXT(A1072,"-h"),TempDelta[],4,FALSE)</f>
        <v>1.3324285575321742</v>
      </c>
      <c r="R1072">
        <v>10</v>
      </c>
      <c r="S1072" s="112">
        <v>1500</v>
      </c>
      <c r="T1072" s="5">
        <f>VLOOKUP(TEXT(A1072,"yy-mm")&amp;"-"&amp;IF(AND(WEEKDAY(A1072)&gt;1,WEEKDAY(A1072)&lt;7),"Wkd",TEXT(A1072,"Ddd"))&amp;"-"&amp;TEXT(A1072,"hh"),LoadTable[],3,FALSE)*0.92</f>
        <v>389.90980000000025</v>
      </c>
      <c r="U1072" s="113">
        <f t="shared" si="1060"/>
        <v>38.990980000000022</v>
      </c>
      <c r="V1072">
        <f t="shared" ref="V1072:W1072" si="1109">V1048</f>
        <v>3.2</v>
      </c>
      <c r="W1072">
        <f t="shared" si="1109"/>
        <v>2.9</v>
      </c>
      <c r="X1072" s="9">
        <v>3.0349246999999999</v>
      </c>
      <c r="Y1072" s="39"/>
    </row>
    <row r="1073" spans="1:25" ht="15" thickBot="1">
      <c r="A1073" s="29">
        <f t="shared" si="1042"/>
        <v>45880.583333332717</v>
      </c>
      <c r="B1073" s="30">
        <f t="shared" si="1069"/>
        <v>8000</v>
      </c>
      <c r="C1073" s="8">
        <v>25000</v>
      </c>
      <c r="D1073" s="187">
        <v>0</v>
      </c>
      <c r="E1073" s="187">
        <v>700</v>
      </c>
      <c r="F1073" s="187">
        <v>15000</v>
      </c>
      <c r="G1073" s="30">
        <f t="shared" si="1070"/>
        <v>2400</v>
      </c>
      <c r="H1073" s="8">
        <v>25000</v>
      </c>
      <c r="I1073" s="30">
        <f t="shared" si="1071"/>
        <v>8000</v>
      </c>
      <c r="J1073" s="187">
        <v>40000</v>
      </c>
      <c r="K1073" s="30">
        <f t="shared" si="1072"/>
        <v>8000</v>
      </c>
      <c r="L1073" s="187">
        <v>40000</v>
      </c>
      <c r="M1073" s="110">
        <v>9.5</v>
      </c>
      <c r="N1073" s="9">
        <f>VLOOKUP(DATE(YEAR(A1073),MONTH(A1073),DAY(A1073)),FY24_Temp[],3,FALSE)</f>
        <v>14.4</v>
      </c>
      <c r="O1073" s="110">
        <f t="shared" si="1058"/>
        <v>11.5</v>
      </c>
      <c r="P1073" s="110">
        <f t="shared" si="1059"/>
        <v>19.5</v>
      </c>
      <c r="Q1073" s="79">
        <f>VLOOKUP(VLOOKUP(DATEVALUE(TEXT(A1073,"m/d/yyyy")),FY24_Temp[],5,FALSE)&amp;TEXT(A1073,"-h"),TempDelta[],4,FALSE)</f>
        <v>1.096000007220677</v>
      </c>
      <c r="R1073">
        <v>10</v>
      </c>
      <c r="S1073" s="112">
        <v>1500</v>
      </c>
      <c r="T1073" s="5">
        <f>VLOOKUP(TEXT(A1073,"yy-mm")&amp;"-"&amp;IF(AND(WEEKDAY(A1073)&gt;1,WEEKDAY(A1073)&lt;7),"Wkd",TEXT(A1073,"Ddd"))&amp;"-"&amp;TEXT(A1073,"hh"),LoadTable[],3,FALSE)*0.92</f>
        <v>625.53652000000022</v>
      </c>
      <c r="U1073" s="113">
        <f t="shared" si="1060"/>
        <v>62.553652000000021</v>
      </c>
      <c r="V1073">
        <f t="shared" ref="V1073:W1073" si="1110">V1049</f>
        <v>3.5</v>
      </c>
      <c r="W1073">
        <f t="shared" si="1110"/>
        <v>2.9</v>
      </c>
      <c r="X1073" s="9">
        <v>3.0114291</v>
      </c>
      <c r="Y1073" s="39"/>
    </row>
    <row r="1074" spans="1:25" ht="15" thickBot="1">
      <c r="A1074" s="29">
        <f t="shared" si="1042"/>
        <v>45880.624999999382</v>
      </c>
      <c r="B1074" s="30">
        <f t="shared" si="1069"/>
        <v>8000</v>
      </c>
      <c r="C1074" s="8">
        <v>25000</v>
      </c>
      <c r="D1074" s="187">
        <v>0</v>
      </c>
      <c r="E1074" s="187">
        <v>700</v>
      </c>
      <c r="F1074" s="187">
        <v>15000</v>
      </c>
      <c r="G1074" s="30">
        <f t="shared" si="1070"/>
        <v>2400</v>
      </c>
      <c r="H1074" s="8">
        <v>25000</v>
      </c>
      <c r="I1074" s="30">
        <f t="shared" si="1071"/>
        <v>8000</v>
      </c>
      <c r="J1074" s="187">
        <v>40000</v>
      </c>
      <c r="K1074" s="30">
        <f t="shared" si="1072"/>
        <v>8000</v>
      </c>
      <c r="L1074" s="187">
        <v>40000</v>
      </c>
      <c r="M1074" s="110">
        <v>9.5</v>
      </c>
      <c r="N1074" s="9">
        <f>VLOOKUP(DATE(YEAR(A1074),MONTH(A1074),DAY(A1074)),FY24_Temp[],3,FALSE)</f>
        <v>14.4</v>
      </c>
      <c r="O1074" s="110">
        <f t="shared" si="1058"/>
        <v>11.5</v>
      </c>
      <c r="P1074" s="110">
        <f t="shared" si="1059"/>
        <v>19.5</v>
      </c>
      <c r="Q1074" s="79">
        <f>VLOOKUP(VLOOKUP(DATEVALUE(TEXT(A1074,"m/d/yyyy")),FY24_Temp[],5,FALSE)&amp;TEXT(A1074,"-h"),TempDelta[],4,FALSE)</f>
        <v>0.78178571377481731</v>
      </c>
      <c r="R1074">
        <v>10</v>
      </c>
      <c r="S1074" s="112">
        <v>1500</v>
      </c>
      <c r="T1074" s="5">
        <f>VLOOKUP(TEXT(A1074,"yy-mm")&amp;"-"&amp;IF(AND(WEEKDAY(A1074)&gt;1,WEEKDAY(A1074)&lt;7),"Wkd",TEXT(A1074,"Ddd"))&amp;"-"&amp;TEXT(A1074,"hh"),LoadTable[],3,FALSE)*0.92</f>
        <v>699.79524000000038</v>
      </c>
      <c r="U1074" s="113">
        <f t="shared" si="1060"/>
        <v>69.97952400000004</v>
      </c>
      <c r="V1074">
        <f t="shared" ref="V1074:W1074" si="1111">V1050</f>
        <v>3.2</v>
      </c>
      <c r="W1074">
        <f t="shared" si="1111"/>
        <v>2.9</v>
      </c>
      <c r="X1074" s="9">
        <v>3.3230886000000002</v>
      </c>
      <c r="Y1074" s="39"/>
    </row>
    <row r="1075" spans="1:25" ht="15" thickBot="1">
      <c r="A1075" s="29">
        <f t="shared" si="1042"/>
        <v>45880.666666666046</v>
      </c>
      <c r="B1075" s="30">
        <f t="shared" si="1069"/>
        <v>8000</v>
      </c>
      <c r="C1075" s="8">
        <v>25000</v>
      </c>
      <c r="D1075" s="187">
        <v>0</v>
      </c>
      <c r="E1075" s="187">
        <v>700</v>
      </c>
      <c r="F1075" s="187">
        <v>15000</v>
      </c>
      <c r="G1075" s="30">
        <f t="shared" si="1070"/>
        <v>2400</v>
      </c>
      <c r="H1075" s="8">
        <v>25000</v>
      </c>
      <c r="I1075" s="30">
        <f t="shared" si="1071"/>
        <v>8000</v>
      </c>
      <c r="J1075" s="187">
        <v>40000</v>
      </c>
      <c r="K1075" s="30">
        <f t="shared" si="1072"/>
        <v>8000</v>
      </c>
      <c r="L1075" s="187">
        <v>40000</v>
      </c>
      <c r="M1075" s="110">
        <v>9.5</v>
      </c>
      <c r="N1075" s="9">
        <f>VLOOKUP(DATE(YEAR(A1075),MONTH(A1075),DAY(A1075)),FY24_Temp[],3,FALSE)</f>
        <v>14.4</v>
      </c>
      <c r="O1075" s="110">
        <f t="shared" si="1058"/>
        <v>11.5</v>
      </c>
      <c r="P1075" s="110">
        <f t="shared" si="1059"/>
        <v>19.5</v>
      </c>
      <c r="Q1075" s="79">
        <f>VLOOKUP(VLOOKUP(DATEVALUE(TEXT(A1075,"m/d/yyyy")),FY24_Temp[],5,FALSE)&amp;TEXT(A1075,"-h"),TempDelta[],4,FALSE)</f>
        <v>0.64235714290823254</v>
      </c>
      <c r="R1075">
        <v>10</v>
      </c>
      <c r="S1075" s="112">
        <v>1500</v>
      </c>
      <c r="T1075" s="5">
        <f>VLOOKUP(TEXT(A1075,"yy-mm")&amp;"-"&amp;IF(AND(WEEKDAY(A1075)&gt;1,WEEKDAY(A1075)&lt;7),"Wkd",TEXT(A1075,"Ddd"))&amp;"-"&amp;TEXT(A1075,"hh"),LoadTable[],3,FALSE)*0.92</f>
        <v>786.27137399656624</v>
      </c>
      <c r="U1075" s="113">
        <f t="shared" si="1060"/>
        <v>78.627137399656618</v>
      </c>
      <c r="V1075">
        <f t="shared" ref="V1075:W1075" si="1112">V1051</f>
        <v>3.5</v>
      </c>
      <c r="W1075">
        <f t="shared" si="1112"/>
        <v>3</v>
      </c>
      <c r="X1075" s="9">
        <v>3.2168329</v>
      </c>
      <c r="Y1075" s="39"/>
    </row>
    <row r="1076" spans="1:25" ht="15" thickBot="1">
      <c r="A1076" s="29">
        <f t="shared" si="1042"/>
        <v>45880.70833333271</v>
      </c>
      <c r="B1076" s="30">
        <f t="shared" si="1069"/>
        <v>8000</v>
      </c>
      <c r="C1076" s="8">
        <v>25000</v>
      </c>
      <c r="D1076" s="187">
        <v>0</v>
      </c>
      <c r="E1076" s="187">
        <v>700</v>
      </c>
      <c r="F1076" s="187">
        <v>15000</v>
      </c>
      <c r="G1076" s="30">
        <f t="shared" si="1070"/>
        <v>2400</v>
      </c>
      <c r="H1076" s="8">
        <v>25000</v>
      </c>
      <c r="I1076" s="30">
        <f t="shared" si="1071"/>
        <v>8000</v>
      </c>
      <c r="J1076" s="187">
        <v>40000</v>
      </c>
      <c r="K1076" s="30">
        <f t="shared" si="1072"/>
        <v>8000</v>
      </c>
      <c r="L1076" s="187">
        <v>40000</v>
      </c>
      <c r="M1076" s="110">
        <v>9.5</v>
      </c>
      <c r="N1076" s="9">
        <f>VLOOKUP(DATE(YEAR(A1076),MONTH(A1076),DAY(A1076)),FY24_Temp[],3,FALSE)</f>
        <v>14.4</v>
      </c>
      <c r="O1076" s="110">
        <f t="shared" si="1058"/>
        <v>11.5</v>
      </c>
      <c r="P1076" s="110">
        <f t="shared" si="1059"/>
        <v>19.5</v>
      </c>
      <c r="Q1076" s="79">
        <f>VLOOKUP(VLOOKUP(DATEVALUE(TEXT(A1076,"m/d/yyyy")),FY24_Temp[],5,FALSE)&amp;TEXT(A1076,"-h"),TempDelta[],4,FALSE)</f>
        <v>0.66985713158335003</v>
      </c>
      <c r="R1076">
        <v>10</v>
      </c>
      <c r="S1076" s="112">
        <v>1500</v>
      </c>
      <c r="T1076" s="5">
        <f>VLOOKUP(TEXT(A1076,"yy-mm")&amp;"-"&amp;IF(AND(WEEKDAY(A1076)&gt;1,WEEKDAY(A1076)&lt;7),"Wkd",TEXT(A1076,"Ddd"))&amp;"-"&amp;TEXT(A1076,"hh"),LoadTable[],3,FALSE)*0.92</f>
        <v>786.27137399656624</v>
      </c>
      <c r="U1076" s="113">
        <f t="shared" si="1060"/>
        <v>78.627137399656618</v>
      </c>
      <c r="V1076">
        <f t="shared" ref="V1076:W1076" si="1113">V1052</f>
        <v>3.6</v>
      </c>
      <c r="W1076">
        <f t="shared" si="1113"/>
        <v>3</v>
      </c>
      <c r="X1076" s="9">
        <v>3.1348509999999998</v>
      </c>
      <c r="Y1076" s="39"/>
    </row>
    <row r="1077" spans="1:25" ht="15" thickBot="1">
      <c r="A1077" s="29">
        <f t="shared" ref="A1077:A1140" si="1114">A1076+TIME(1,0,0)</f>
        <v>45880.749999999374</v>
      </c>
      <c r="B1077" s="30">
        <f t="shared" si="1069"/>
        <v>5000</v>
      </c>
      <c r="C1077" s="8">
        <v>25000</v>
      </c>
      <c r="D1077" s="187">
        <v>0</v>
      </c>
      <c r="E1077" s="187">
        <v>700</v>
      </c>
      <c r="F1077" s="187">
        <v>15000</v>
      </c>
      <c r="G1077" s="30">
        <f t="shared" si="1070"/>
        <v>2400</v>
      </c>
      <c r="H1077" s="8">
        <v>25000</v>
      </c>
      <c r="I1077" s="30">
        <f t="shared" si="1071"/>
        <v>5000</v>
      </c>
      <c r="J1077" s="187">
        <v>40000</v>
      </c>
      <c r="K1077" s="30">
        <f t="shared" si="1072"/>
        <v>5000</v>
      </c>
      <c r="L1077" s="187">
        <v>40000</v>
      </c>
      <c r="M1077" s="110">
        <v>9.5</v>
      </c>
      <c r="N1077" s="9">
        <f>VLOOKUP(DATE(YEAR(A1077),MONTH(A1077),DAY(A1077)),FY24_Temp[],3,FALSE)</f>
        <v>14.4</v>
      </c>
      <c r="O1077" s="110">
        <f t="shared" si="1058"/>
        <v>11.5</v>
      </c>
      <c r="P1077" s="110">
        <f t="shared" si="1059"/>
        <v>19.5</v>
      </c>
      <c r="Q1077" s="79">
        <f>VLOOKUP(VLOOKUP(DATEVALUE(TEXT(A1077,"m/d/yyyy")),FY24_Temp[],5,FALSE)&amp;TEXT(A1077,"-h"),TempDelta[],4,FALSE)</f>
        <v>0.88785713485309059</v>
      </c>
      <c r="R1077">
        <v>10</v>
      </c>
      <c r="S1077" s="112">
        <v>1500</v>
      </c>
      <c r="T1077" s="5">
        <f>VLOOKUP(TEXT(A1077,"yy-mm")&amp;"-"&amp;IF(AND(WEEKDAY(A1077)&gt;1,WEEKDAY(A1077)&lt;7),"Wkd",TEXT(A1077,"Ddd"))&amp;"-"&amp;TEXT(A1077,"hh"),LoadTable[],3,FALSE)*0.92</f>
        <v>786.27137399656647</v>
      </c>
      <c r="U1077" s="113">
        <f t="shared" si="1060"/>
        <v>78.627137399656647</v>
      </c>
      <c r="V1077">
        <f t="shared" ref="V1077:W1077" si="1115">V1053</f>
        <v>2.9</v>
      </c>
      <c r="W1077">
        <f t="shared" si="1115"/>
        <v>3</v>
      </c>
      <c r="X1077" s="9">
        <v>3.1115615000000001</v>
      </c>
      <c r="Y1077" s="39"/>
    </row>
    <row r="1078" spans="1:25" ht="15" thickBot="1">
      <c r="A1078" s="29">
        <f t="shared" si="1114"/>
        <v>45880.791666666039</v>
      </c>
      <c r="B1078" s="30">
        <f t="shared" si="1069"/>
        <v>5000</v>
      </c>
      <c r="C1078" s="8">
        <v>25000</v>
      </c>
      <c r="D1078" s="187">
        <v>0</v>
      </c>
      <c r="E1078" s="187">
        <v>700</v>
      </c>
      <c r="F1078" s="187">
        <v>15000</v>
      </c>
      <c r="G1078" s="30">
        <f t="shared" si="1070"/>
        <v>2400</v>
      </c>
      <c r="H1078" s="8">
        <v>25000</v>
      </c>
      <c r="I1078" s="30">
        <f t="shared" si="1071"/>
        <v>5000</v>
      </c>
      <c r="J1078" s="187">
        <v>40000</v>
      </c>
      <c r="K1078" s="30">
        <f t="shared" si="1072"/>
        <v>5000</v>
      </c>
      <c r="L1078" s="187">
        <v>40000</v>
      </c>
      <c r="M1078" s="110">
        <v>9.5</v>
      </c>
      <c r="N1078" s="9">
        <f>VLOOKUP(DATE(YEAR(A1078),MONTH(A1078),DAY(A1078)),FY24_Temp[],3,FALSE)</f>
        <v>14.4</v>
      </c>
      <c r="O1078" s="110">
        <f t="shared" si="1058"/>
        <v>11.5</v>
      </c>
      <c r="P1078" s="110">
        <f t="shared" si="1059"/>
        <v>19.5</v>
      </c>
      <c r="Q1078" s="79">
        <f>VLOOKUP(VLOOKUP(DATEVALUE(TEXT(A1078,"m/d/yyyy")),FY24_Temp[],5,FALSE)&amp;TEXT(A1078,"-h"),TempDelta[],4,FALSE)</f>
        <v>1.1961428693362646</v>
      </c>
      <c r="R1078">
        <v>10</v>
      </c>
      <c r="S1078" s="112">
        <v>1500</v>
      </c>
      <c r="T1078" s="5">
        <f>VLOOKUP(TEXT(A1078,"yy-mm")&amp;"-"&amp;IF(AND(WEEKDAY(A1078)&gt;1,WEEKDAY(A1078)&lt;7),"Wkd",TEXT(A1078,"Ddd"))&amp;"-"&amp;TEXT(A1078,"hh"),LoadTable[],3,FALSE)*0.92</f>
        <v>786.27137399656647</v>
      </c>
      <c r="U1078" s="113">
        <f t="shared" si="1060"/>
        <v>78.627137399656647</v>
      </c>
      <c r="V1078">
        <f t="shared" ref="V1078:W1078" si="1116">V1054</f>
        <v>3</v>
      </c>
      <c r="W1078">
        <f t="shared" si="1116"/>
        <v>3</v>
      </c>
      <c r="X1078" s="9">
        <v>3.0701896999999998</v>
      </c>
      <c r="Y1078" s="39"/>
    </row>
    <row r="1079" spans="1:25" ht="15" thickBot="1">
      <c r="A1079" s="29">
        <f t="shared" si="1114"/>
        <v>45880.833333332703</v>
      </c>
      <c r="B1079" s="30">
        <f t="shared" si="1069"/>
        <v>5000</v>
      </c>
      <c r="C1079" s="8">
        <v>25000</v>
      </c>
      <c r="D1079" s="187">
        <v>0</v>
      </c>
      <c r="E1079" s="187">
        <v>700</v>
      </c>
      <c r="F1079" s="187">
        <v>15000</v>
      </c>
      <c r="G1079" s="30">
        <f t="shared" si="1070"/>
        <v>2400</v>
      </c>
      <c r="H1079" s="8">
        <v>25000</v>
      </c>
      <c r="I1079" s="30">
        <f t="shared" si="1071"/>
        <v>5000</v>
      </c>
      <c r="J1079" s="187">
        <v>40000</v>
      </c>
      <c r="K1079" s="30">
        <f t="shared" si="1072"/>
        <v>5000</v>
      </c>
      <c r="L1079" s="187">
        <v>40000</v>
      </c>
      <c r="M1079" s="110">
        <v>9.5</v>
      </c>
      <c r="N1079" s="9">
        <f>VLOOKUP(DATE(YEAR(A1079),MONTH(A1079),DAY(A1079)),FY24_Temp[],3,FALSE)</f>
        <v>14.4</v>
      </c>
      <c r="O1079" s="110">
        <f t="shared" si="1058"/>
        <v>11.5</v>
      </c>
      <c r="P1079" s="110">
        <f t="shared" si="1059"/>
        <v>19.5</v>
      </c>
      <c r="Q1079" s="79">
        <f>VLOOKUP(VLOOKUP(DATEVALUE(TEXT(A1079,"m/d/yyyy")),FY24_Temp[],5,FALSE)&amp;TEXT(A1079,"-h"),TempDelta[],4,FALSE)</f>
        <v>1.6075714315686906</v>
      </c>
      <c r="R1079">
        <v>10</v>
      </c>
      <c r="S1079" s="112">
        <v>1500</v>
      </c>
      <c r="T1079" s="5">
        <f>VLOOKUP(TEXT(A1079,"yy-mm")&amp;"-"&amp;IF(AND(WEEKDAY(A1079)&gt;1,WEEKDAY(A1079)&lt;7),"Wkd",TEXT(A1079,"Ddd"))&amp;"-"&amp;TEXT(A1079,"hh"),LoadTable[],3,FALSE)*0.92</f>
        <v>786.27137399656647</v>
      </c>
      <c r="U1079" s="113">
        <f t="shared" si="1060"/>
        <v>78.627137399656647</v>
      </c>
      <c r="V1079">
        <f t="shared" ref="V1079:W1079" si="1117">V1055</f>
        <v>2.8</v>
      </c>
      <c r="W1079">
        <f t="shared" si="1117"/>
        <v>3.1</v>
      </c>
      <c r="X1079" s="9">
        <v>3.0306313</v>
      </c>
      <c r="Y1079" s="39"/>
    </row>
    <row r="1080" spans="1:25" ht="15" thickBot="1">
      <c r="A1080" s="29">
        <f t="shared" si="1114"/>
        <v>45880.874999999367</v>
      </c>
      <c r="B1080" s="30">
        <f t="shared" si="1069"/>
        <v>5000</v>
      </c>
      <c r="C1080" s="8">
        <v>25000</v>
      </c>
      <c r="D1080" s="187">
        <v>0</v>
      </c>
      <c r="E1080" s="187">
        <v>700</v>
      </c>
      <c r="F1080" s="187">
        <v>15000</v>
      </c>
      <c r="G1080" s="30">
        <f t="shared" si="1070"/>
        <v>2400</v>
      </c>
      <c r="H1080" s="8">
        <v>25000</v>
      </c>
      <c r="I1080" s="30">
        <f t="shared" si="1071"/>
        <v>5000</v>
      </c>
      <c r="J1080" s="187">
        <v>40000</v>
      </c>
      <c r="K1080" s="30">
        <f t="shared" si="1072"/>
        <v>5000</v>
      </c>
      <c r="L1080" s="187">
        <v>40000</v>
      </c>
      <c r="M1080" s="110">
        <v>9.5</v>
      </c>
      <c r="N1080" s="9">
        <f>VLOOKUP(DATE(YEAR(A1080),MONTH(A1080),DAY(A1080)),FY24_Temp[],3,FALSE)</f>
        <v>14.4</v>
      </c>
      <c r="O1080" s="110">
        <f t="shared" si="1058"/>
        <v>11.5</v>
      </c>
      <c r="P1080" s="110">
        <f t="shared" si="1059"/>
        <v>19.5</v>
      </c>
      <c r="Q1080" s="79">
        <f>VLOOKUP(VLOOKUP(DATEVALUE(TEXT(A1080,"m/d/yyyy")),FY24_Temp[],5,FALSE)&amp;TEXT(A1080,"-h"),TempDelta[],4,FALSE)</f>
        <v>1.9315714410373144</v>
      </c>
      <c r="R1080">
        <v>10</v>
      </c>
      <c r="S1080" s="112">
        <v>1500</v>
      </c>
      <c r="T1080" s="5">
        <f>VLOOKUP(TEXT(A1080,"yy-mm")&amp;"-"&amp;IF(AND(WEEKDAY(A1080)&gt;1,WEEKDAY(A1080)&lt;7),"Wkd",TEXT(A1080,"Ddd"))&amp;"-"&amp;TEXT(A1080,"hh"),LoadTable[],3,FALSE)*0.92</f>
        <v>784.39716226323299</v>
      </c>
      <c r="U1080" s="113">
        <f t="shared" si="1060"/>
        <v>78.439716226323299</v>
      </c>
      <c r="V1080">
        <f t="shared" ref="V1080:W1080" si="1118">V1056</f>
        <v>3.5</v>
      </c>
      <c r="W1080">
        <f t="shared" si="1118"/>
        <v>3.1</v>
      </c>
      <c r="X1080" s="9">
        <v>2.9950855000000001</v>
      </c>
      <c r="Y1080" s="39"/>
    </row>
    <row r="1081" spans="1:25" ht="15" thickBot="1">
      <c r="A1081" s="29">
        <f t="shared" si="1114"/>
        <v>45880.916666666031</v>
      </c>
      <c r="B1081" s="30">
        <f t="shared" si="1069"/>
        <v>5000</v>
      </c>
      <c r="C1081" s="8">
        <v>25000</v>
      </c>
      <c r="D1081" s="187">
        <v>0</v>
      </c>
      <c r="E1081" s="187">
        <v>700</v>
      </c>
      <c r="F1081" s="187">
        <v>15000</v>
      </c>
      <c r="G1081" s="30">
        <f t="shared" si="1070"/>
        <v>2400</v>
      </c>
      <c r="H1081" s="8">
        <v>25000</v>
      </c>
      <c r="I1081" s="30">
        <f t="shared" si="1071"/>
        <v>5000</v>
      </c>
      <c r="J1081" s="187">
        <v>40000</v>
      </c>
      <c r="K1081" s="30">
        <f t="shared" si="1072"/>
        <v>5000</v>
      </c>
      <c r="L1081" s="187">
        <v>40000</v>
      </c>
      <c r="M1081" s="110">
        <v>9.5</v>
      </c>
      <c r="N1081" s="9">
        <f>VLOOKUP(DATE(YEAR(A1081),MONTH(A1081),DAY(A1081)),FY24_Temp[],3,FALSE)</f>
        <v>14.4</v>
      </c>
      <c r="O1081" s="110">
        <f t="shared" si="1058"/>
        <v>11.5</v>
      </c>
      <c r="P1081" s="110">
        <f t="shared" si="1059"/>
        <v>19.5</v>
      </c>
      <c r="Q1081" s="79">
        <f>VLOOKUP(VLOOKUP(DATEVALUE(TEXT(A1081,"m/d/yyyy")),FY24_Temp[],5,FALSE)&amp;TEXT(A1081,"-h"),TempDelta[],4,FALSE)</f>
        <v>2.2258571556636264</v>
      </c>
      <c r="R1081">
        <v>10</v>
      </c>
      <c r="S1081" s="112">
        <v>1500</v>
      </c>
      <c r="T1081" s="5">
        <f>VLOOKUP(TEXT(A1081,"yy-mm")&amp;"-"&amp;IF(AND(WEEKDAY(A1081)&gt;1,WEEKDAY(A1081)&lt;7),"Wkd",TEXT(A1081,"Ddd"))&amp;"-"&amp;TEXT(A1081,"hh"),LoadTable[],3,FALSE)*0.92</f>
        <v>600.06900003761973</v>
      </c>
      <c r="U1081" s="113">
        <f t="shared" si="1060"/>
        <v>60.00690000376197</v>
      </c>
      <c r="V1081">
        <f t="shared" ref="V1081:W1081" si="1119">V1057</f>
        <v>2.9</v>
      </c>
      <c r="W1081">
        <f t="shared" si="1119"/>
        <v>3.1</v>
      </c>
      <c r="X1081" s="9">
        <v>2.9554318999999998</v>
      </c>
      <c r="Y1081" s="39"/>
    </row>
    <row r="1082" spans="1:25" ht="15" thickBot="1">
      <c r="A1082" s="29">
        <f t="shared" si="1114"/>
        <v>45880.958333332695</v>
      </c>
      <c r="B1082" s="30">
        <f t="shared" si="1069"/>
        <v>5000</v>
      </c>
      <c r="C1082" s="8">
        <v>25000</v>
      </c>
      <c r="D1082" s="187">
        <v>0</v>
      </c>
      <c r="E1082" s="187">
        <v>700</v>
      </c>
      <c r="F1082" s="187">
        <v>15000</v>
      </c>
      <c r="G1082" s="30">
        <f t="shared" si="1070"/>
        <v>2400</v>
      </c>
      <c r="H1082" s="8">
        <v>25000</v>
      </c>
      <c r="I1082" s="30">
        <f t="shared" si="1071"/>
        <v>5000</v>
      </c>
      <c r="J1082" s="187">
        <v>40000</v>
      </c>
      <c r="K1082" s="30">
        <f t="shared" si="1072"/>
        <v>5000</v>
      </c>
      <c r="L1082" s="187">
        <v>40000</v>
      </c>
      <c r="M1082" s="110">
        <v>9.5</v>
      </c>
      <c r="N1082" s="9">
        <f>VLOOKUP(DATE(YEAR(A1082),MONTH(A1082),DAY(A1082)),FY24_Temp[],3,FALSE)</f>
        <v>14.4</v>
      </c>
      <c r="O1082" s="110">
        <f t="shared" si="1058"/>
        <v>11.5</v>
      </c>
      <c r="P1082" s="110">
        <f t="shared" si="1059"/>
        <v>19.5</v>
      </c>
      <c r="Q1082" s="79">
        <f>VLOOKUP(VLOOKUP(DATEVALUE(TEXT(A1082,"m/d/yyyy")),FY24_Temp[],5,FALSE)&amp;TEXT(A1082,"-h"),TempDelta[],4,FALSE)</f>
        <v>2.3604285717010498</v>
      </c>
      <c r="R1082">
        <v>10</v>
      </c>
      <c r="S1082" s="112">
        <v>1500</v>
      </c>
      <c r="T1082" s="5">
        <f>VLOOKUP(TEXT(A1082,"yy-mm")&amp;"-"&amp;IF(AND(WEEKDAY(A1082)&gt;1,WEEKDAY(A1082)&lt;7),"Wkd",TEXT(A1082,"Ddd"))&amp;"-"&amp;TEXT(A1082,"hh"),LoadTable[],3,FALSE)*0.92</f>
        <v>486.44539999999989</v>
      </c>
      <c r="U1082" s="113">
        <f t="shared" si="1060"/>
        <v>48.644539999999992</v>
      </c>
      <c r="V1082">
        <f t="shared" ref="V1082:W1082" si="1120">V1058</f>
        <v>3.6</v>
      </c>
      <c r="W1082">
        <f t="shared" si="1120"/>
        <v>3.1</v>
      </c>
      <c r="X1082" s="9">
        <v>2.8544234999999998</v>
      </c>
      <c r="Y1082" s="39"/>
    </row>
    <row r="1083" spans="1:25" ht="15" thickBot="1">
      <c r="A1083" s="29">
        <f t="shared" si="1114"/>
        <v>45880.99999999936</v>
      </c>
      <c r="B1083" s="30">
        <f t="shared" si="1069"/>
        <v>5000</v>
      </c>
      <c r="C1083" s="8">
        <v>25000</v>
      </c>
      <c r="D1083" s="187">
        <v>0</v>
      </c>
      <c r="E1083" s="187">
        <v>700</v>
      </c>
      <c r="F1083" s="187">
        <v>15000</v>
      </c>
      <c r="G1083" s="30">
        <f t="shared" si="1070"/>
        <v>2400</v>
      </c>
      <c r="H1083" s="8">
        <v>25000</v>
      </c>
      <c r="I1083" s="30">
        <f t="shared" si="1071"/>
        <v>5000</v>
      </c>
      <c r="J1083" s="187">
        <v>40000</v>
      </c>
      <c r="K1083" s="30">
        <f t="shared" si="1072"/>
        <v>5000</v>
      </c>
      <c r="L1083" s="187">
        <v>40000</v>
      </c>
      <c r="M1083" s="110">
        <v>9.5</v>
      </c>
      <c r="N1083" s="9">
        <f>VLOOKUP(DATE(YEAR(A1083),MONTH(A1083),DAY(A1083)),FY24_Temp[],3,FALSE)</f>
        <v>14.4</v>
      </c>
      <c r="O1083" s="110">
        <f t="shared" si="1058"/>
        <v>11.5</v>
      </c>
      <c r="P1083" s="110">
        <f t="shared" si="1059"/>
        <v>19.5</v>
      </c>
      <c r="Q1083" s="79">
        <f>VLOOKUP(VLOOKUP(DATEVALUE(TEXT(A1083,"m/d/yyyy")),FY24_Temp[],5,FALSE)&amp;TEXT(A1083,"-h"),TempDelta[],4,FALSE)</f>
        <v>2.4882856777736118</v>
      </c>
      <c r="R1083">
        <v>10</v>
      </c>
      <c r="S1083" s="112">
        <v>1500</v>
      </c>
      <c r="T1083" s="5">
        <f>VLOOKUP(TEXT(A1083,"yy-mm")&amp;"-"&amp;IF(AND(WEEKDAY(A1083)&gt;1,WEEKDAY(A1083)&lt;7),"Wkd",TEXT(A1083,"Ddd"))&amp;"-"&amp;TEXT(A1083,"hh"),LoadTable[],3,FALSE)*0.92</f>
        <v>372.20164</v>
      </c>
      <c r="U1083" s="113">
        <f t="shared" si="1060"/>
        <v>37.220163999999997</v>
      </c>
      <c r="V1083">
        <f t="shared" ref="V1083:W1083" si="1121">V1059</f>
        <v>3</v>
      </c>
      <c r="W1083">
        <f t="shared" si="1121"/>
        <v>3.2</v>
      </c>
      <c r="X1083" s="9">
        <v>2.7743682999999999</v>
      </c>
      <c r="Y1083" s="39"/>
    </row>
    <row r="1084" spans="1:25" ht="15" thickBot="1">
      <c r="A1084" s="29">
        <f t="shared" si="1114"/>
        <v>45881.041666666024</v>
      </c>
      <c r="B1084" s="30">
        <f t="shared" si="1069"/>
        <v>5000</v>
      </c>
      <c r="C1084" s="8">
        <v>25000</v>
      </c>
      <c r="D1084" s="187">
        <v>0</v>
      </c>
      <c r="E1084" s="187">
        <v>700</v>
      </c>
      <c r="F1084" s="187">
        <v>15000</v>
      </c>
      <c r="G1084" s="30">
        <f t="shared" si="1070"/>
        <v>2400</v>
      </c>
      <c r="H1084" s="8">
        <v>25000</v>
      </c>
      <c r="I1084" s="30">
        <f t="shared" si="1071"/>
        <v>5000</v>
      </c>
      <c r="J1084" s="187">
        <v>40000</v>
      </c>
      <c r="K1084" s="30">
        <f t="shared" si="1072"/>
        <v>5000</v>
      </c>
      <c r="L1084" s="187">
        <v>40000</v>
      </c>
      <c r="M1084" s="110">
        <v>9.5</v>
      </c>
      <c r="N1084" s="9">
        <f>VLOOKUP(DATE(YEAR(A1084),MONTH(A1084),DAY(A1084)),FY24_Temp[],3,FALSE)</f>
        <v>14.4</v>
      </c>
      <c r="O1084" s="110">
        <f t="shared" si="1058"/>
        <v>11.5</v>
      </c>
      <c r="P1084" s="110">
        <f t="shared" si="1059"/>
        <v>19.5</v>
      </c>
      <c r="Q1084" s="79">
        <f>VLOOKUP(VLOOKUP(DATEVALUE(TEXT(A1084,"m/d/yyyy")),FY24_Temp[],5,FALSE)&amp;TEXT(A1084,"-h"),TempDelta[],4,FALSE)</f>
        <v>2.5384285790579662</v>
      </c>
      <c r="R1084">
        <v>10</v>
      </c>
      <c r="S1084" s="112">
        <v>1500</v>
      </c>
      <c r="T1084" s="5">
        <f>VLOOKUP(TEXT(A1084,"yy-mm")&amp;"-"&amp;IF(AND(WEEKDAY(A1084)&gt;1,WEEKDAY(A1084)&lt;7),"Wkd",TEXT(A1084,"Ddd"))&amp;"-"&amp;TEXT(A1084,"hh"),LoadTable[],3,FALSE)*0.92</f>
        <v>363.06235999999996</v>
      </c>
      <c r="U1084" s="113">
        <f t="shared" si="1060"/>
        <v>36.306235999999998</v>
      </c>
      <c r="V1084">
        <f t="shared" ref="V1084:W1084" si="1122">V1060</f>
        <v>2.6</v>
      </c>
      <c r="W1084">
        <f t="shared" si="1122"/>
        <v>3.2</v>
      </c>
      <c r="X1084" s="9">
        <v>2.7243881000000001</v>
      </c>
      <c r="Y1084" s="39"/>
    </row>
    <row r="1085" spans="1:25" ht="15" thickBot="1">
      <c r="A1085" s="29">
        <f t="shared" si="1114"/>
        <v>45881.083333332688</v>
      </c>
      <c r="B1085" s="30">
        <f t="shared" si="1069"/>
        <v>5000</v>
      </c>
      <c r="C1085" s="8">
        <v>25000</v>
      </c>
      <c r="D1085" s="187">
        <v>0</v>
      </c>
      <c r="E1085" s="187">
        <v>700</v>
      </c>
      <c r="F1085" s="187">
        <v>15000</v>
      </c>
      <c r="G1085" s="30">
        <f t="shared" si="1070"/>
        <v>2400</v>
      </c>
      <c r="H1085" s="8">
        <v>25000</v>
      </c>
      <c r="I1085" s="30">
        <f t="shared" si="1071"/>
        <v>5000</v>
      </c>
      <c r="J1085" s="187">
        <v>40000</v>
      </c>
      <c r="K1085" s="30">
        <f t="shared" si="1072"/>
        <v>5000</v>
      </c>
      <c r="L1085" s="187">
        <v>40000</v>
      </c>
      <c r="M1085" s="110">
        <v>9.5</v>
      </c>
      <c r="N1085" s="9">
        <f>VLOOKUP(DATE(YEAR(A1085),MONTH(A1085),DAY(A1085)),FY24_Temp[],3,FALSE)</f>
        <v>14.4</v>
      </c>
      <c r="O1085" s="110">
        <f t="shared" si="1058"/>
        <v>11.5</v>
      </c>
      <c r="P1085" s="110">
        <f t="shared" si="1059"/>
        <v>19.5</v>
      </c>
      <c r="Q1085" s="79">
        <f>VLOOKUP(VLOOKUP(DATEVALUE(TEXT(A1085,"m/d/yyyy")),FY24_Temp[],5,FALSE)&amp;TEXT(A1085,"-h"),TempDelta[],4,FALSE)</f>
        <v>2.5558571474892751</v>
      </c>
      <c r="R1085">
        <v>10</v>
      </c>
      <c r="S1085" s="112">
        <v>1500</v>
      </c>
      <c r="T1085" s="5">
        <f>VLOOKUP(TEXT(A1085,"yy-mm")&amp;"-"&amp;IF(AND(WEEKDAY(A1085)&gt;1,WEEKDAY(A1085)&lt;7),"Wkd",TEXT(A1085,"Ddd"))&amp;"-"&amp;TEXT(A1085,"hh"),LoadTable[],3,FALSE)*0.92</f>
        <v>363.06235999999996</v>
      </c>
      <c r="U1085" s="113">
        <f t="shared" si="1060"/>
        <v>36.306235999999998</v>
      </c>
      <c r="V1085">
        <f t="shared" ref="V1085:W1085" si="1123">V1061</f>
        <v>2.8</v>
      </c>
      <c r="W1085">
        <f t="shared" si="1123"/>
        <v>3.2</v>
      </c>
      <c r="X1085" s="9">
        <v>2.7982368000000002</v>
      </c>
      <c r="Y1085" s="39"/>
    </row>
    <row r="1086" spans="1:25" ht="15" thickBot="1">
      <c r="A1086" s="29">
        <f t="shared" si="1114"/>
        <v>45881.124999999352</v>
      </c>
      <c r="B1086" s="30">
        <f t="shared" si="1069"/>
        <v>5000</v>
      </c>
      <c r="C1086" s="8">
        <v>25000</v>
      </c>
      <c r="D1086" s="187">
        <v>0</v>
      </c>
      <c r="E1086" s="187">
        <v>700</v>
      </c>
      <c r="F1086" s="187">
        <v>15000</v>
      </c>
      <c r="G1086" s="30">
        <f t="shared" si="1070"/>
        <v>2400</v>
      </c>
      <c r="H1086" s="8">
        <v>25000</v>
      </c>
      <c r="I1086" s="30">
        <f t="shared" si="1071"/>
        <v>5000</v>
      </c>
      <c r="J1086" s="187">
        <v>40000</v>
      </c>
      <c r="K1086" s="30">
        <f t="shared" si="1072"/>
        <v>5000</v>
      </c>
      <c r="L1086" s="187">
        <v>40000</v>
      </c>
      <c r="M1086" s="110">
        <v>9.5</v>
      </c>
      <c r="N1086" s="9">
        <f>VLOOKUP(DATE(YEAR(A1086),MONTH(A1086),DAY(A1086)),FY24_Temp[],3,FALSE)</f>
        <v>14.4</v>
      </c>
      <c r="O1086" s="110">
        <f t="shared" si="1058"/>
        <v>11.5</v>
      </c>
      <c r="P1086" s="110">
        <f t="shared" si="1059"/>
        <v>19.5</v>
      </c>
      <c r="Q1086" s="79">
        <f>VLOOKUP(VLOOKUP(DATEVALUE(TEXT(A1086,"m/d/yyyy")),FY24_Temp[],5,FALSE)&amp;TEXT(A1086,"-h"),TempDelta[],4,FALSE)</f>
        <v>2.5525713988712857</v>
      </c>
      <c r="R1086">
        <v>10</v>
      </c>
      <c r="S1086" s="112">
        <v>1500</v>
      </c>
      <c r="T1086" s="5">
        <f>VLOOKUP(TEXT(A1086,"yy-mm")&amp;"-"&amp;IF(AND(WEEKDAY(A1086)&gt;1,WEEKDAY(A1086)&lt;7),"Wkd",TEXT(A1086,"Ddd"))&amp;"-"&amp;TEXT(A1086,"hh"),LoadTable[],3,FALSE)*0.92</f>
        <v>363.06235999999996</v>
      </c>
      <c r="U1086" s="113">
        <f t="shared" si="1060"/>
        <v>36.306235999999998</v>
      </c>
      <c r="V1086">
        <f t="shared" ref="V1086:W1086" si="1124">V1062</f>
        <v>2.7</v>
      </c>
      <c r="W1086">
        <f t="shared" si="1124"/>
        <v>3.2</v>
      </c>
      <c r="X1086" s="9">
        <v>2.8541786999999998</v>
      </c>
      <c r="Y1086" s="39"/>
    </row>
    <row r="1087" spans="1:25" ht="15" thickBot="1">
      <c r="A1087" s="29">
        <f t="shared" si="1114"/>
        <v>45881.166666666017</v>
      </c>
      <c r="B1087" s="30">
        <f t="shared" si="1069"/>
        <v>5000</v>
      </c>
      <c r="C1087" s="8">
        <v>25000</v>
      </c>
      <c r="D1087" s="187">
        <v>0</v>
      </c>
      <c r="E1087" s="187">
        <v>700</v>
      </c>
      <c r="F1087" s="187">
        <v>15000</v>
      </c>
      <c r="G1087" s="30">
        <f t="shared" si="1070"/>
        <v>2400</v>
      </c>
      <c r="H1087" s="8">
        <v>25000</v>
      </c>
      <c r="I1087" s="30">
        <f t="shared" si="1071"/>
        <v>5000</v>
      </c>
      <c r="J1087" s="187">
        <v>40000</v>
      </c>
      <c r="K1087" s="30">
        <f t="shared" si="1072"/>
        <v>5000</v>
      </c>
      <c r="L1087" s="187">
        <v>40000</v>
      </c>
      <c r="M1087" s="110">
        <v>9.5</v>
      </c>
      <c r="N1087" s="9">
        <f>VLOOKUP(DATE(YEAR(A1087),MONTH(A1087),DAY(A1087)),FY24_Temp[],3,FALSE)</f>
        <v>14.4</v>
      </c>
      <c r="O1087" s="110">
        <f t="shared" si="1058"/>
        <v>11.5</v>
      </c>
      <c r="P1087" s="110">
        <f t="shared" si="1059"/>
        <v>19.5</v>
      </c>
      <c r="Q1087" s="79">
        <f>VLOOKUP(VLOOKUP(DATEVALUE(TEXT(A1087,"m/d/yyyy")),FY24_Temp[],5,FALSE)&amp;TEXT(A1087,"-h"),TempDelta[],4,FALSE)</f>
        <v>2.5564285346439908</v>
      </c>
      <c r="R1087">
        <v>10</v>
      </c>
      <c r="S1087" s="112">
        <v>1500</v>
      </c>
      <c r="T1087" s="5">
        <f>VLOOKUP(TEXT(A1087,"yy-mm")&amp;"-"&amp;IF(AND(WEEKDAY(A1087)&gt;1,WEEKDAY(A1087)&lt;7),"Wkd",TEXT(A1087,"Ddd"))&amp;"-"&amp;TEXT(A1087,"hh"),LoadTable[],3,FALSE)*0.92</f>
        <v>363.06235999999996</v>
      </c>
      <c r="U1087" s="113">
        <f t="shared" si="1060"/>
        <v>36.306235999999998</v>
      </c>
      <c r="V1087">
        <f t="shared" ref="V1087:W1087" si="1125">V1063</f>
        <v>3</v>
      </c>
      <c r="W1087">
        <f t="shared" si="1125"/>
        <v>3.1</v>
      </c>
      <c r="X1087" s="9">
        <v>2.8852183999999998</v>
      </c>
      <c r="Y1087" s="39"/>
    </row>
    <row r="1088" spans="1:25" ht="15" thickBot="1">
      <c r="A1088" s="29">
        <f t="shared" si="1114"/>
        <v>45881.208333332681</v>
      </c>
      <c r="B1088" s="30">
        <f t="shared" si="1069"/>
        <v>5000</v>
      </c>
      <c r="C1088" s="8">
        <v>25000</v>
      </c>
      <c r="D1088" s="187">
        <v>0</v>
      </c>
      <c r="E1088" s="187">
        <v>700</v>
      </c>
      <c r="F1088" s="187">
        <v>15000</v>
      </c>
      <c r="G1088" s="30">
        <f t="shared" si="1070"/>
        <v>2400</v>
      </c>
      <c r="H1088" s="8">
        <v>25000</v>
      </c>
      <c r="I1088" s="30">
        <f t="shared" si="1071"/>
        <v>5000</v>
      </c>
      <c r="J1088" s="187">
        <v>40000</v>
      </c>
      <c r="K1088" s="30">
        <f t="shared" si="1072"/>
        <v>5000</v>
      </c>
      <c r="L1088" s="187">
        <v>40000</v>
      </c>
      <c r="M1088" s="110">
        <v>9.5</v>
      </c>
      <c r="N1088" s="9">
        <f>VLOOKUP(DATE(YEAR(A1088),MONTH(A1088),DAY(A1088)),FY24_Temp[],3,FALSE)</f>
        <v>14.4</v>
      </c>
      <c r="O1088" s="110">
        <f t="shared" si="1058"/>
        <v>11.5</v>
      </c>
      <c r="P1088" s="110">
        <f t="shared" si="1059"/>
        <v>19.5</v>
      </c>
      <c r="Q1088" s="79">
        <f>VLOOKUP(VLOOKUP(DATEVALUE(TEXT(A1088,"m/d/yyyy")),FY24_Temp[],5,FALSE)&amp;TEXT(A1088,"-h"),TempDelta[],4,FALSE)</f>
        <v>2.6032857554299489</v>
      </c>
      <c r="R1088">
        <v>10</v>
      </c>
      <c r="S1088" s="112">
        <v>1500</v>
      </c>
      <c r="T1088" s="5">
        <f>VLOOKUP(TEXT(A1088,"yy-mm")&amp;"-"&amp;IF(AND(WEEKDAY(A1088)&gt;1,WEEKDAY(A1088)&lt;7),"Wkd",TEXT(A1088,"Ddd"))&amp;"-"&amp;TEXT(A1088,"hh"),LoadTable[],3,FALSE)*0.92</f>
        <v>363.06235999999996</v>
      </c>
      <c r="U1088" s="113">
        <f t="shared" si="1060"/>
        <v>36.306235999999998</v>
      </c>
      <c r="V1088">
        <f t="shared" ref="V1088:W1088" si="1126">V1064</f>
        <v>2.9</v>
      </c>
      <c r="W1088">
        <f t="shared" si="1126"/>
        <v>3.1</v>
      </c>
      <c r="X1088" s="9">
        <v>2.9639698999999999</v>
      </c>
      <c r="Y1088" s="39"/>
    </row>
    <row r="1089" spans="1:25" ht="15" thickBot="1">
      <c r="A1089" s="29">
        <f t="shared" si="1114"/>
        <v>45881.249999999345</v>
      </c>
      <c r="B1089" s="30">
        <f t="shared" si="1069"/>
        <v>8000</v>
      </c>
      <c r="C1089" s="8">
        <v>25000</v>
      </c>
      <c r="D1089" s="187">
        <v>0</v>
      </c>
      <c r="E1089" s="187">
        <v>700</v>
      </c>
      <c r="F1089" s="187">
        <v>15000</v>
      </c>
      <c r="G1089" s="30">
        <f t="shared" si="1070"/>
        <v>2400</v>
      </c>
      <c r="H1089" s="8">
        <v>25000</v>
      </c>
      <c r="I1089" s="30">
        <f t="shared" si="1071"/>
        <v>8000</v>
      </c>
      <c r="J1089" s="187">
        <v>40000</v>
      </c>
      <c r="K1089" s="30">
        <f t="shared" si="1072"/>
        <v>8000</v>
      </c>
      <c r="L1089" s="187">
        <v>40000</v>
      </c>
      <c r="M1089" s="110">
        <v>9.5</v>
      </c>
      <c r="N1089" s="9">
        <f>VLOOKUP(DATE(YEAR(A1089),MONTH(A1089),DAY(A1089)),FY24_Temp[],3,FALSE)</f>
        <v>14.4</v>
      </c>
      <c r="O1089" s="110">
        <f t="shared" si="1058"/>
        <v>11.5</v>
      </c>
      <c r="P1089" s="110">
        <f t="shared" si="1059"/>
        <v>19.5</v>
      </c>
      <c r="Q1089" s="79">
        <f>VLOOKUP(VLOOKUP(DATEVALUE(TEXT(A1089,"m/d/yyyy")),FY24_Temp[],5,FALSE)&amp;TEXT(A1089,"-h"),TempDelta[],4,FALSE)</f>
        <v>2.6161428519657681</v>
      </c>
      <c r="R1089">
        <v>10</v>
      </c>
      <c r="S1089" s="112">
        <v>1500</v>
      </c>
      <c r="T1089" s="5">
        <f>VLOOKUP(TEXT(A1089,"yy-mm")&amp;"-"&amp;IF(AND(WEEKDAY(A1089)&gt;1,WEEKDAY(A1089)&lt;7),"Wkd",TEXT(A1089,"Ddd"))&amp;"-"&amp;TEXT(A1089,"hh"),LoadTable[],3,FALSE)*0.92</f>
        <v>363.06235999999996</v>
      </c>
      <c r="U1089" s="113">
        <f t="shared" si="1060"/>
        <v>36.306235999999998</v>
      </c>
      <c r="V1089">
        <f t="shared" ref="V1089:W1089" si="1127">V1065</f>
        <v>2.5</v>
      </c>
      <c r="W1089">
        <f t="shared" si="1127"/>
        <v>3.1</v>
      </c>
      <c r="X1089" s="9">
        <v>3.0895195000000002</v>
      </c>
      <c r="Y1089" s="39"/>
    </row>
    <row r="1090" spans="1:25" ht="15" thickBot="1">
      <c r="A1090" s="29">
        <f t="shared" si="1114"/>
        <v>45881.291666666009</v>
      </c>
      <c r="B1090" s="30">
        <f t="shared" si="1069"/>
        <v>8000</v>
      </c>
      <c r="C1090" s="8">
        <v>25000</v>
      </c>
      <c r="D1090" s="187">
        <v>0</v>
      </c>
      <c r="E1090" s="187">
        <v>700</v>
      </c>
      <c r="F1090" s="187">
        <v>15000</v>
      </c>
      <c r="G1090" s="30">
        <f t="shared" si="1070"/>
        <v>2400</v>
      </c>
      <c r="H1090" s="8">
        <v>25000</v>
      </c>
      <c r="I1090" s="30">
        <f t="shared" si="1071"/>
        <v>8000</v>
      </c>
      <c r="J1090" s="187">
        <v>40000</v>
      </c>
      <c r="K1090" s="30">
        <f t="shared" si="1072"/>
        <v>8000</v>
      </c>
      <c r="L1090" s="187">
        <v>40000</v>
      </c>
      <c r="M1090" s="110">
        <v>9.5</v>
      </c>
      <c r="N1090" s="9">
        <f>VLOOKUP(DATE(YEAR(A1090),MONTH(A1090),DAY(A1090)),FY24_Temp[],3,FALSE)</f>
        <v>14.4</v>
      </c>
      <c r="O1090" s="110">
        <f t="shared" si="1058"/>
        <v>11.5</v>
      </c>
      <c r="P1090" s="110">
        <f t="shared" si="1059"/>
        <v>19.5</v>
      </c>
      <c r="Q1090" s="79">
        <f>VLOOKUP(VLOOKUP(DATEVALUE(TEXT(A1090,"m/d/yyyy")),FY24_Temp[],5,FALSE)&amp;TEXT(A1090,"-h"),TempDelta[],4,FALSE)</f>
        <v>2.582714251109532</v>
      </c>
      <c r="R1090">
        <v>10</v>
      </c>
      <c r="S1090" s="112">
        <v>1500</v>
      </c>
      <c r="T1090" s="5">
        <f>VLOOKUP(TEXT(A1090,"yy-mm")&amp;"-"&amp;IF(AND(WEEKDAY(A1090)&gt;1,WEEKDAY(A1090)&lt;7),"Wkd",TEXT(A1090,"Ddd"))&amp;"-"&amp;TEXT(A1090,"hh"),LoadTable[],3,FALSE)*0.92</f>
        <v>352.2091200000001</v>
      </c>
      <c r="U1090" s="113">
        <f t="shared" si="1060"/>
        <v>35.220912000000013</v>
      </c>
      <c r="V1090">
        <f t="shared" ref="V1090:W1090" si="1128">V1066</f>
        <v>2.5</v>
      </c>
      <c r="W1090">
        <f t="shared" si="1128"/>
        <v>3.1</v>
      </c>
      <c r="X1090" s="9">
        <v>3.2322595000000001</v>
      </c>
      <c r="Y1090" s="39"/>
    </row>
    <row r="1091" spans="1:25" ht="15" thickBot="1">
      <c r="A1091" s="29">
        <f t="shared" si="1114"/>
        <v>45881.333333332674</v>
      </c>
      <c r="B1091" s="30">
        <f t="shared" si="1069"/>
        <v>8000</v>
      </c>
      <c r="C1091" s="8">
        <v>25000</v>
      </c>
      <c r="D1091" s="187">
        <v>0</v>
      </c>
      <c r="E1091" s="187">
        <v>700</v>
      </c>
      <c r="F1091" s="187">
        <v>15000</v>
      </c>
      <c r="G1091" s="30">
        <f t="shared" si="1070"/>
        <v>2400</v>
      </c>
      <c r="H1091" s="8">
        <v>25000</v>
      </c>
      <c r="I1091" s="30">
        <f t="shared" si="1071"/>
        <v>8000</v>
      </c>
      <c r="J1091" s="187">
        <v>40000</v>
      </c>
      <c r="K1091" s="30">
        <f t="shared" si="1072"/>
        <v>8000</v>
      </c>
      <c r="L1091" s="187">
        <v>40000</v>
      </c>
      <c r="M1091" s="110">
        <v>9.5</v>
      </c>
      <c r="N1091" s="9">
        <f>VLOOKUP(DATE(YEAR(A1091),MONTH(A1091),DAY(A1091)),FY24_Temp[],3,FALSE)</f>
        <v>14.4</v>
      </c>
      <c r="O1091" s="110">
        <f t="shared" si="1058"/>
        <v>11.5</v>
      </c>
      <c r="P1091" s="110">
        <f t="shared" si="1059"/>
        <v>19.5</v>
      </c>
      <c r="Q1091" s="79">
        <f>VLOOKUP(VLOOKUP(DATEVALUE(TEXT(A1091,"m/d/yyyy")),FY24_Temp[],5,FALSE)&amp;TEXT(A1091,"-h"),TempDelta[],4,FALSE)</f>
        <v>2.4768571172441756</v>
      </c>
      <c r="R1091">
        <v>10</v>
      </c>
      <c r="S1091" s="112">
        <v>1500</v>
      </c>
      <c r="T1091" s="5">
        <f>VLOOKUP(TEXT(A1091,"yy-mm")&amp;"-"&amp;IF(AND(WEEKDAY(A1091)&gt;1,WEEKDAY(A1091)&lt;7),"Wkd",TEXT(A1091,"Ddd"))&amp;"-"&amp;TEXT(A1091,"hh"),LoadTable[],3,FALSE)*0.92</f>
        <v>352.2091200000001</v>
      </c>
      <c r="U1091" s="113">
        <f t="shared" si="1060"/>
        <v>35.220912000000013</v>
      </c>
      <c r="V1091">
        <f t="shared" ref="V1091:W1091" si="1129">V1067</f>
        <v>3.2</v>
      </c>
      <c r="W1091">
        <f t="shared" si="1129"/>
        <v>3</v>
      </c>
      <c r="X1091" s="9">
        <v>3.2918707999999999</v>
      </c>
      <c r="Y1091" s="39"/>
    </row>
    <row r="1092" spans="1:25" ht="15" thickBot="1">
      <c r="A1092" s="29">
        <f t="shared" si="1114"/>
        <v>45881.374999999338</v>
      </c>
      <c r="B1092" s="30">
        <f t="shared" si="1069"/>
        <v>8000</v>
      </c>
      <c r="C1092" s="8">
        <v>25000</v>
      </c>
      <c r="D1092" s="187">
        <v>0</v>
      </c>
      <c r="E1092" s="187">
        <v>700</v>
      </c>
      <c r="F1092" s="187">
        <v>15000</v>
      </c>
      <c r="G1092" s="30">
        <f t="shared" si="1070"/>
        <v>2400</v>
      </c>
      <c r="H1092" s="8">
        <v>25000</v>
      </c>
      <c r="I1092" s="30">
        <f t="shared" si="1071"/>
        <v>8000</v>
      </c>
      <c r="J1092" s="187">
        <v>40000</v>
      </c>
      <c r="K1092" s="30">
        <f t="shared" si="1072"/>
        <v>8000</v>
      </c>
      <c r="L1092" s="187">
        <v>40000</v>
      </c>
      <c r="M1092" s="110">
        <v>9.5</v>
      </c>
      <c r="N1092" s="9">
        <f>VLOOKUP(DATE(YEAR(A1092),MONTH(A1092),DAY(A1092)),FY24_Temp[],3,FALSE)</f>
        <v>14.4</v>
      </c>
      <c r="O1092" s="110">
        <f t="shared" ref="O1092:O1155" si="1130">15.5-4</f>
        <v>11.5</v>
      </c>
      <c r="P1092" s="110">
        <f t="shared" ref="P1092:P1155" si="1131">15.5+4</f>
        <v>19.5</v>
      </c>
      <c r="Q1092" s="79">
        <f>VLOOKUP(VLOOKUP(DATEVALUE(TEXT(A1092,"m/d/yyyy")),FY24_Temp[],5,FALSE)&amp;TEXT(A1092,"-h"),TempDelta[],4,FALSE)</f>
        <v>2.293428523199899</v>
      </c>
      <c r="R1092">
        <v>10</v>
      </c>
      <c r="S1092" s="112">
        <v>1500</v>
      </c>
      <c r="T1092" s="5">
        <f>VLOOKUP(TEXT(A1092,"yy-mm")&amp;"-"&amp;IF(AND(WEEKDAY(A1092)&gt;1,WEEKDAY(A1092)&lt;7),"Wkd",TEXT(A1092,"Ddd"))&amp;"-"&amp;TEXT(A1092,"hh"),LoadTable[],3,FALSE)*0.92</f>
        <v>340.60949077857163</v>
      </c>
      <c r="U1092" s="113">
        <f t="shared" ref="U1092:U1155" si="1132">T1092/10</f>
        <v>34.06094907785716</v>
      </c>
      <c r="V1092">
        <f t="shared" ref="V1092:W1092" si="1133">V1068</f>
        <v>2.9</v>
      </c>
      <c r="W1092">
        <f t="shared" si="1133"/>
        <v>3</v>
      </c>
      <c r="X1092" s="9">
        <v>3.3311231000000001</v>
      </c>
      <c r="Y1092" s="39"/>
    </row>
    <row r="1093" spans="1:25" ht="15" thickBot="1">
      <c r="A1093" s="29">
        <f t="shared" si="1114"/>
        <v>45881.416666666002</v>
      </c>
      <c r="B1093" s="30">
        <f t="shared" si="1069"/>
        <v>8000</v>
      </c>
      <c r="C1093" s="8">
        <v>25000</v>
      </c>
      <c r="D1093" s="187">
        <v>0</v>
      </c>
      <c r="E1093" s="187">
        <v>700</v>
      </c>
      <c r="F1093" s="187">
        <v>15000</v>
      </c>
      <c r="G1093" s="30">
        <f t="shared" si="1070"/>
        <v>2400</v>
      </c>
      <c r="H1093" s="8">
        <v>25000</v>
      </c>
      <c r="I1093" s="30">
        <f t="shared" si="1071"/>
        <v>8000</v>
      </c>
      <c r="J1093" s="187">
        <v>40000</v>
      </c>
      <c r="K1093" s="30">
        <f t="shared" si="1072"/>
        <v>8000</v>
      </c>
      <c r="L1093" s="187">
        <v>40000</v>
      </c>
      <c r="M1093" s="110">
        <v>9.5</v>
      </c>
      <c r="N1093" s="9">
        <f>VLOOKUP(DATE(YEAR(A1093),MONTH(A1093),DAY(A1093)),FY24_Temp[],3,FALSE)</f>
        <v>14.4</v>
      </c>
      <c r="O1093" s="110">
        <f t="shared" si="1130"/>
        <v>11.5</v>
      </c>
      <c r="P1093" s="110">
        <f t="shared" si="1131"/>
        <v>19.5</v>
      </c>
      <c r="Q1093" s="79">
        <f>VLOOKUP(VLOOKUP(DATEVALUE(TEXT(A1093,"m/d/yyyy")),FY24_Temp[],5,FALSE)&amp;TEXT(A1093,"-h"),TempDelta[],4,FALSE)</f>
        <v>2.0822856766836986</v>
      </c>
      <c r="R1093">
        <v>10</v>
      </c>
      <c r="S1093" s="112">
        <v>1500</v>
      </c>
      <c r="T1093" s="5">
        <f>VLOOKUP(TEXT(A1093,"yy-mm")&amp;"-"&amp;IF(AND(WEEKDAY(A1093)&gt;1,WEEKDAY(A1093)&lt;7),"Wkd",TEXT(A1093,"Ddd"))&amp;"-"&amp;TEXT(A1093,"hh"),LoadTable[],3,FALSE)*0.92</f>
        <v>338.44093501457746</v>
      </c>
      <c r="U1093" s="113">
        <f t="shared" si="1132"/>
        <v>33.844093501457749</v>
      </c>
      <c r="V1093">
        <f t="shared" ref="V1093:W1093" si="1134">V1069</f>
        <v>2.9</v>
      </c>
      <c r="W1093">
        <f t="shared" si="1134"/>
        <v>3</v>
      </c>
      <c r="X1093" s="9">
        <v>3.3978062000000002</v>
      </c>
      <c r="Y1093" s="39"/>
    </row>
    <row r="1094" spans="1:25" ht="15" thickBot="1">
      <c r="A1094" s="29">
        <f t="shared" si="1114"/>
        <v>45881.458333332666</v>
      </c>
      <c r="B1094" s="30">
        <f t="shared" si="1069"/>
        <v>8000</v>
      </c>
      <c r="C1094" s="8">
        <v>25000</v>
      </c>
      <c r="D1094" s="187">
        <v>0</v>
      </c>
      <c r="E1094" s="187">
        <v>700</v>
      </c>
      <c r="F1094" s="187">
        <v>15000</v>
      </c>
      <c r="G1094" s="30">
        <f t="shared" si="1070"/>
        <v>2400</v>
      </c>
      <c r="H1094" s="8">
        <v>25000</v>
      </c>
      <c r="I1094" s="30">
        <f t="shared" si="1071"/>
        <v>8000</v>
      </c>
      <c r="J1094" s="187">
        <v>40000</v>
      </c>
      <c r="K1094" s="30">
        <f t="shared" si="1072"/>
        <v>8000</v>
      </c>
      <c r="L1094" s="187">
        <v>40000</v>
      </c>
      <c r="M1094" s="110">
        <v>9.5</v>
      </c>
      <c r="N1094" s="9">
        <f>VLOOKUP(DATE(YEAR(A1094),MONTH(A1094),DAY(A1094)),FY24_Temp[],3,FALSE)</f>
        <v>14.4</v>
      </c>
      <c r="O1094" s="110">
        <f t="shared" si="1130"/>
        <v>11.5</v>
      </c>
      <c r="P1094" s="110">
        <f t="shared" si="1131"/>
        <v>19.5</v>
      </c>
      <c r="Q1094" s="79">
        <f>VLOOKUP(VLOOKUP(DATEVALUE(TEXT(A1094,"m/d/yyyy")),FY24_Temp[],5,FALSE)&amp;TEXT(A1094,"-h"),TempDelta[],4,FALSE)</f>
        <v>1.8338571105684554</v>
      </c>
      <c r="R1094">
        <v>10</v>
      </c>
      <c r="S1094" s="112">
        <v>1500</v>
      </c>
      <c r="T1094" s="5">
        <f>VLOOKUP(TEXT(A1094,"yy-mm")&amp;"-"&amp;IF(AND(WEEKDAY(A1094)&gt;1,WEEKDAY(A1094)&lt;7),"Wkd",TEXT(A1094,"Ddd"))&amp;"-"&amp;TEXT(A1094,"hh"),LoadTable[],3,FALSE)*0.92</f>
        <v>338.44093501457746</v>
      </c>
      <c r="U1094" s="113">
        <f t="shared" si="1132"/>
        <v>33.844093501457749</v>
      </c>
      <c r="V1094">
        <f t="shared" ref="V1094:W1094" si="1135">V1070</f>
        <v>3.4</v>
      </c>
      <c r="W1094">
        <f t="shared" si="1135"/>
        <v>3</v>
      </c>
      <c r="X1094" s="9">
        <v>3.3477643000000001</v>
      </c>
      <c r="Y1094" s="39"/>
    </row>
    <row r="1095" spans="1:25" ht="15" thickBot="1">
      <c r="A1095" s="29">
        <f t="shared" si="1114"/>
        <v>45881.499999999331</v>
      </c>
      <c r="B1095" s="30">
        <f t="shared" si="1069"/>
        <v>8000</v>
      </c>
      <c r="C1095" s="8">
        <v>25000</v>
      </c>
      <c r="D1095" s="187">
        <v>0</v>
      </c>
      <c r="E1095" s="187">
        <v>700</v>
      </c>
      <c r="F1095" s="187">
        <v>15000</v>
      </c>
      <c r="G1095" s="30">
        <f t="shared" si="1070"/>
        <v>2400</v>
      </c>
      <c r="H1095" s="8">
        <v>25000</v>
      </c>
      <c r="I1095" s="30">
        <f t="shared" si="1071"/>
        <v>8000</v>
      </c>
      <c r="J1095" s="187">
        <v>40000</v>
      </c>
      <c r="K1095" s="30">
        <f t="shared" si="1072"/>
        <v>8000</v>
      </c>
      <c r="L1095" s="187">
        <v>40000</v>
      </c>
      <c r="M1095" s="110">
        <v>9.5</v>
      </c>
      <c r="N1095" s="9">
        <f>VLOOKUP(DATE(YEAR(A1095),MONTH(A1095),DAY(A1095)),FY24_Temp[],3,FALSE)</f>
        <v>14.4</v>
      </c>
      <c r="O1095" s="110">
        <f t="shared" si="1130"/>
        <v>11.5</v>
      </c>
      <c r="P1095" s="110">
        <f t="shared" si="1131"/>
        <v>19.5</v>
      </c>
      <c r="Q1095" s="79">
        <f>VLOOKUP(VLOOKUP(DATEVALUE(TEXT(A1095,"m/d/yyyy")),FY24_Temp[],5,FALSE)&amp;TEXT(A1095,"-h"),TempDelta[],4,FALSE)</f>
        <v>1.5831428595951624</v>
      </c>
      <c r="R1095">
        <v>10</v>
      </c>
      <c r="S1095" s="112">
        <v>1500</v>
      </c>
      <c r="T1095" s="5">
        <f>VLOOKUP(TEXT(A1095,"yy-mm")&amp;"-"&amp;IF(AND(WEEKDAY(A1095)&gt;1,WEEKDAY(A1095)&lt;7),"Wkd",TEXT(A1095,"Ddd"))&amp;"-"&amp;TEXT(A1095,"hh"),LoadTable[],3,FALSE)*0.92</f>
        <v>338.44093501457746</v>
      </c>
      <c r="U1095" s="113">
        <f t="shared" si="1132"/>
        <v>33.844093501457749</v>
      </c>
      <c r="V1095">
        <f t="shared" ref="V1095:W1095" si="1136">V1071</f>
        <v>3.1</v>
      </c>
      <c r="W1095">
        <f t="shared" si="1136"/>
        <v>2.9</v>
      </c>
      <c r="X1095" s="9">
        <v>3.2187998000000002</v>
      </c>
      <c r="Y1095" s="39"/>
    </row>
    <row r="1096" spans="1:25" ht="15" thickBot="1">
      <c r="A1096" s="29">
        <f t="shared" si="1114"/>
        <v>45881.541666665995</v>
      </c>
      <c r="B1096" s="30">
        <f t="shared" si="1069"/>
        <v>8000</v>
      </c>
      <c r="C1096" s="8">
        <v>25000</v>
      </c>
      <c r="D1096" s="187">
        <v>0</v>
      </c>
      <c r="E1096" s="187">
        <v>700</v>
      </c>
      <c r="F1096" s="187">
        <v>15000</v>
      </c>
      <c r="G1096" s="30">
        <f t="shared" si="1070"/>
        <v>2400</v>
      </c>
      <c r="H1096" s="8">
        <v>25000</v>
      </c>
      <c r="I1096" s="30">
        <f t="shared" si="1071"/>
        <v>8000</v>
      </c>
      <c r="J1096" s="187">
        <v>40000</v>
      </c>
      <c r="K1096" s="30">
        <f t="shared" si="1072"/>
        <v>8000</v>
      </c>
      <c r="L1096" s="187">
        <v>40000</v>
      </c>
      <c r="M1096" s="110">
        <v>9.5</v>
      </c>
      <c r="N1096" s="9">
        <f>VLOOKUP(DATE(YEAR(A1096),MONTH(A1096),DAY(A1096)),FY24_Temp[],3,FALSE)</f>
        <v>14.4</v>
      </c>
      <c r="O1096" s="110">
        <f t="shared" si="1130"/>
        <v>11.5</v>
      </c>
      <c r="P1096" s="110">
        <f t="shared" si="1131"/>
        <v>19.5</v>
      </c>
      <c r="Q1096" s="79">
        <f>VLOOKUP(VLOOKUP(DATEVALUE(TEXT(A1096,"m/d/yyyy")),FY24_Temp[],5,FALSE)&amp;TEXT(A1096,"-h"),TempDelta[],4,FALSE)</f>
        <v>1.3324285575321742</v>
      </c>
      <c r="R1096">
        <v>10</v>
      </c>
      <c r="S1096" s="112">
        <v>1500</v>
      </c>
      <c r="T1096" s="5">
        <f>VLOOKUP(TEXT(A1096,"yy-mm")&amp;"-"&amp;IF(AND(WEEKDAY(A1096)&gt;1,WEEKDAY(A1096)&lt;7),"Wkd",TEXT(A1096,"Ddd"))&amp;"-"&amp;TEXT(A1096,"hh"),LoadTable[],3,FALSE)*0.92</f>
        <v>389.90980000000025</v>
      </c>
      <c r="U1096" s="113">
        <f t="shared" si="1132"/>
        <v>38.990980000000022</v>
      </c>
      <c r="V1096">
        <f t="shared" ref="V1096:W1096" si="1137">V1072</f>
        <v>3.2</v>
      </c>
      <c r="W1096">
        <f t="shared" si="1137"/>
        <v>2.9</v>
      </c>
      <c r="X1096" s="9">
        <v>3.0315371</v>
      </c>
      <c r="Y1096" s="39"/>
    </row>
    <row r="1097" spans="1:25" ht="15" thickBot="1">
      <c r="A1097" s="29">
        <f t="shared" si="1114"/>
        <v>45881.583333332659</v>
      </c>
      <c r="B1097" s="30">
        <f t="shared" si="1069"/>
        <v>8000</v>
      </c>
      <c r="C1097" s="8">
        <v>25000</v>
      </c>
      <c r="D1097" s="187">
        <v>0</v>
      </c>
      <c r="E1097" s="187">
        <v>700</v>
      </c>
      <c r="F1097" s="187">
        <v>15000</v>
      </c>
      <c r="G1097" s="30">
        <f t="shared" si="1070"/>
        <v>2400</v>
      </c>
      <c r="H1097" s="8">
        <v>25000</v>
      </c>
      <c r="I1097" s="30">
        <f t="shared" si="1071"/>
        <v>8000</v>
      </c>
      <c r="J1097" s="187">
        <v>40000</v>
      </c>
      <c r="K1097" s="30">
        <f t="shared" si="1072"/>
        <v>8000</v>
      </c>
      <c r="L1097" s="187">
        <v>40000</v>
      </c>
      <c r="M1097" s="110">
        <v>9.5</v>
      </c>
      <c r="N1097" s="9">
        <f>VLOOKUP(DATE(YEAR(A1097),MONTH(A1097),DAY(A1097)),FY24_Temp[],3,FALSE)</f>
        <v>14.4</v>
      </c>
      <c r="O1097" s="110">
        <f t="shared" si="1130"/>
        <v>11.5</v>
      </c>
      <c r="P1097" s="110">
        <f t="shared" si="1131"/>
        <v>19.5</v>
      </c>
      <c r="Q1097" s="79">
        <f>VLOOKUP(VLOOKUP(DATEVALUE(TEXT(A1097,"m/d/yyyy")),FY24_Temp[],5,FALSE)&amp;TEXT(A1097,"-h"),TempDelta[],4,FALSE)</f>
        <v>1.096000007220677</v>
      </c>
      <c r="R1097">
        <v>10</v>
      </c>
      <c r="S1097" s="112">
        <v>1500</v>
      </c>
      <c r="T1097" s="5">
        <f>VLOOKUP(TEXT(A1097,"yy-mm")&amp;"-"&amp;IF(AND(WEEKDAY(A1097)&gt;1,WEEKDAY(A1097)&lt;7),"Wkd",TEXT(A1097,"Ddd"))&amp;"-"&amp;TEXT(A1097,"hh"),LoadTable[],3,FALSE)*0.92</f>
        <v>625.53652000000022</v>
      </c>
      <c r="U1097" s="113">
        <f t="shared" si="1132"/>
        <v>62.553652000000021</v>
      </c>
      <c r="V1097">
        <f t="shared" ref="V1097:W1097" si="1138">V1073</f>
        <v>3.5</v>
      </c>
      <c r="W1097">
        <f t="shared" si="1138"/>
        <v>2.9</v>
      </c>
      <c r="X1097" s="9">
        <v>2.9215453</v>
      </c>
      <c r="Y1097" s="39"/>
    </row>
    <row r="1098" spans="1:25" ht="15" thickBot="1">
      <c r="A1098" s="29">
        <f t="shared" si="1114"/>
        <v>45881.624999999323</v>
      </c>
      <c r="B1098" s="30">
        <f t="shared" si="1069"/>
        <v>8000</v>
      </c>
      <c r="C1098" s="8">
        <v>25000</v>
      </c>
      <c r="D1098" s="187">
        <v>0</v>
      </c>
      <c r="E1098" s="187">
        <v>700</v>
      </c>
      <c r="F1098" s="187">
        <v>15000</v>
      </c>
      <c r="G1098" s="30">
        <f t="shared" si="1070"/>
        <v>2400</v>
      </c>
      <c r="H1098" s="8">
        <v>25000</v>
      </c>
      <c r="I1098" s="30">
        <f t="shared" si="1071"/>
        <v>8000</v>
      </c>
      <c r="J1098" s="187">
        <v>40000</v>
      </c>
      <c r="K1098" s="30">
        <f t="shared" si="1072"/>
        <v>8000</v>
      </c>
      <c r="L1098" s="187">
        <v>40000</v>
      </c>
      <c r="M1098" s="110">
        <v>9.5</v>
      </c>
      <c r="N1098" s="9">
        <f>VLOOKUP(DATE(YEAR(A1098),MONTH(A1098),DAY(A1098)),FY24_Temp[],3,FALSE)</f>
        <v>14.4</v>
      </c>
      <c r="O1098" s="110">
        <f t="shared" si="1130"/>
        <v>11.5</v>
      </c>
      <c r="P1098" s="110">
        <f t="shared" si="1131"/>
        <v>19.5</v>
      </c>
      <c r="Q1098" s="79">
        <f>VLOOKUP(VLOOKUP(DATEVALUE(TEXT(A1098,"m/d/yyyy")),FY24_Temp[],5,FALSE)&amp;TEXT(A1098,"-h"),TempDelta[],4,FALSE)</f>
        <v>0.78178571377481731</v>
      </c>
      <c r="R1098">
        <v>10</v>
      </c>
      <c r="S1098" s="112">
        <v>1500</v>
      </c>
      <c r="T1098" s="5">
        <f>VLOOKUP(TEXT(A1098,"yy-mm")&amp;"-"&amp;IF(AND(WEEKDAY(A1098)&gt;1,WEEKDAY(A1098)&lt;7),"Wkd",TEXT(A1098,"Ddd"))&amp;"-"&amp;TEXT(A1098,"hh"),LoadTable[],3,FALSE)*0.92</f>
        <v>699.79524000000038</v>
      </c>
      <c r="U1098" s="113">
        <f t="shared" si="1132"/>
        <v>69.97952400000004</v>
      </c>
      <c r="V1098">
        <f t="shared" ref="V1098:W1098" si="1139">V1074</f>
        <v>3.2</v>
      </c>
      <c r="W1098">
        <f t="shared" si="1139"/>
        <v>2.9</v>
      </c>
      <c r="X1098" s="9">
        <v>3.0448556</v>
      </c>
      <c r="Y1098" s="39"/>
    </row>
    <row r="1099" spans="1:25" ht="15" thickBot="1">
      <c r="A1099" s="29">
        <f t="shared" si="1114"/>
        <v>45881.666666665988</v>
      </c>
      <c r="B1099" s="30">
        <f t="shared" si="1069"/>
        <v>8000</v>
      </c>
      <c r="C1099" s="8">
        <v>25000</v>
      </c>
      <c r="D1099" s="187">
        <v>0</v>
      </c>
      <c r="E1099" s="187">
        <v>700</v>
      </c>
      <c r="F1099" s="187">
        <v>15000</v>
      </c>
      <c r="G1099" s="30">
        <f t="shared" si="1070"/>
        <v>2400</v>
      </c>
      <c r="H1099" s="8">
        <v>25000</v>
      </c>
      <c r="I1099" s="30">
        <f t="shared" si="1071"/>
        <v>8000</v>
      </c>
      <c r="J1099" s="187">
        <v>40000</v>
      </c>
      <c r="K1099" s="30">
        <f t="shared" si="1072"/>
        <v>8000</v>
      </c>
      <c r="L1099" s="187">
        <v>40000</v>
      </c>
      <c r="M1099" s="110">
        <v>9.5</v>
      </c>
      <c r="N1099" s="9">
        <f>VLOOKUP(DATE(YEAR(A1099),MONTH(A1099),DAY(A1099)),FY24_Temp[],3,FALSE)</f>
        <v>14.4</v>
      </c>
      <c r="O1099" s="110">
        <f t="shared" si="1130"/>
        <v>11.5</v>
      </c>
      <c r="P1099" s="110">
        <f t="shared" si="1131"/>
        <v>19.5</v>
      </c>
      <c r="Q1099" s="79">
        <f>VLOOKUP(VLOOKUP(DATEVALUE(TEXT(A1099,"m/d/yyyy")),FY24_Temp[],5,FALSE)&amp;TEXT(A1099,"-h"),TempDelta[],4,FALSE)</f>
        <v>0.64235714290823254</v>
      </c>
      <c r="R1099">
        <v>10</v>
      </c>
      <c r="S1099" s="112">
        <v>1500</v>
      </c>
      <c r="T1099" s="5">
        <f>VLOOKUP(TEXT(A1099,"yy-mm")&amp;"-"&amp;IF(AND(WEEKDAY(A1099)&gt;1,WEEKDAY(A1099)&lt;7),"Wkd",TEXT(A1099,"Ddd"))&amp;"-"&amp;TEXT(A1099,"hh"),LoadTable[],3,FALSE)*0.92</f>
        <v>786.27137399656624</v>
      </c>
      <c r="U1099" s="113">
        <f t="shared" si="1132"/>
        <v>78.627137399656618</v>
      </c>
      <c r="V1099">
        <f t="shared" ref="V1099:W1099" si="1140">V1075</f>
        <v>3.5</v>
      </c>
      <c r="W1099">
        <f t="shared" si="1140"/>
        <v>3</v>
      </c>
      <c r="X1099" s="9">
        <v>3.3181381000000001</v>
      </c>
      <c r="Y1099" s="39"/>
    </row>
    <row r="1100" spans="1:25" ht="15" thickBot="1">
      <c r="A1100" s="29">
        <f t="shared" si="1114"/>
        <v>45881.708333332652</v>
      </c>
      <c r="B1100" s="30">
        <f t="shared" ref="B1100:B1163" si="1141">B1076</f>
        <v>8000</v>
      </c>
      <c r="C1100" s="8">
        <v>25000</v>
      </c>
      <c r="D1100" s="187">
        <v>0</v>
      </c>
      <c r="E1100" s="187">
        <v>700</v>
      </c>
      <c r="F1100" s="187">
        <v>15000</v>
      </c>
      <c r="G1100" s="30">
        <f t="shared" ref="G1100:G1163" si="1142">G1076</f>
        <v>2400</v>
      </c>
      <c r="H1100" s="8">
        <v>25000</v>
      </c>
      <c r="I1100" s="30">
        <f t="shared" ref="I1100:I1163" si="1143">I1076</f>
        <v>8000</v>
      </c>
      <c r="J1100" s="187">
        <v>40000</v>
      </c>
      <c r="K1100" s="30">
        <f t="shared" ref="K1100:K1163" si="1144">K1076</f>
        <v>8000</v>
      </c>
      <c r="L1100" s="187">
        <v>40000</v>
      </c>
      <c r="M1100" s="110">
        <v>9.5</v>
      </c>
      <c r="N1100" s="9">
        <f>VLOOKUP(DATE(YEAR(A1100),MONTH(A1100),DAY(A1100)),FY24_Temp[],3,FALSE)</f>
        <v>14.4</v>
      </c>
      <c r="O1100" s="110">
        <f t="shared" si="1130"/>
        <v>11.5</v>
      </c>
      <c r="P1100" s="110">
        <f t="shared" si="1131"/>
        <v>19.5</v>
      </c>
      <c r="Q1100" s="79">
        <f>VLOOKUP(VLOOKUP(DATEVALUE(TEXT(A1100,"m/d/yyyy")),FY24_Temp[],5,FALSE)&amp;TEXT(A1100,"-h"),TempDelta[],4,FALSE)</f>
        <v>0.66985713158335003</v>
      </c>
      <c r="R1100">
        <v>10</v>
      </c>
      <c r="S1100" s="112">
        <v>1500</v>
      </c>
      <c r="T1100" s="5">
        <f>VLOOKUP(TEXT(A1100,"yy-mm")&amp;"-"&amp;IF(AND(WEEKDAY(A1100)&gt;1,WEEKDAY(A1100)&lt;7),"Wkd",TEXT(A1100,"Ddd"))&amp;"-"&amp;TEXT(A1100,"hh"),LoadTable[],3,FALSE)*0.92</f>
        <v>786.27137399656624</v>
      </c>
      <c r="U1100" s="113">
        <f t="shared" si="1132"/>
        <v>78.627137399656618</v>
      </c>
      <c r="V1100">
        <f t="shared" ref="V1100:W1100" si="1145">V1076</f>
        <v>3.6</v>
      </c>
      <c r="W1100">
        <f t="shared" si="1145"/>
        <v>3</v>
      </c>
      <c r="X1100" s="9">
        <v>3.2049278999999999</v>
      </c>
      <c r="Y1100" s="39"/>
    </row>
    <row r="1101" spans="1:25" ht="15" thickBot="1">
      <c r="A1101" s="29">
        <f t="shared" si="1114"/>
        <v>45881.749999999316</v>
      </c>
      <c r="B1101" s="30">
        <f t="shared" si="1141"/>
        <v>5000</v>
      </c>
      <c r="C1101" s="8">
        <v>25000</v>
      </c>
      <c r="D1101" s="187">
        <v>0</v>
      </c>
      <c r="E1101" s="187">
        <v>700</v>
      </c>
      <c r="F1101" s="187">
        <v>15000</v>
      </c>
      <c r="G1101" s="30">
        <f t="shared" si="1142"/>
        <v>2400</v>
      </c>
      <c r="H1101" s="8">
        <v>25000</v>
      </c>
      <c r="I1101" s="30">
        <f t="shared" si="1143"/>
        <v>5000</v>
      </c>
      <c r="J1101" s="187">
        <v>40000</v>
      </c>
      <c r="K1101" s="30">
        <f t="shared" si="1144"/>
        <v>5000</v>
      </c>
      <c r="L1101" s="187">
        <v>40000</v>
      </c>
      <c r="M1101" s="110">
        <v>9.5</v>
      </c>
      <c r="N1101" s="9">
        <f>VLOOKUP(DATE(YEAR(A1101),MONTH(A1101),DAY(A1101)),FY24_Temp[],3,FALSE)</f>
        <v>14.4</v>
      </c>
      <c r="O1101" s="110">
        <f t="shared" si="1130"/>
        <v>11.5</v>
      </c>
      <c r="P1101" s="110">
        <f t="shared" si="1131"/>
        <v>19.5</v>
      </c>
      <c r="Q1101" s="79">
        <f>VLOOKUP(VLOOKUP(DATEVALUE(TEXT(A1101,"m/d/yyyy")),FY24_Temp[],5,FALSE)&amp;TEXT(A1101,"-h"),TempDelta[],4,FALSE)</f>
        <v>0.88785713485309059</v>
      </c>
      <c r="R1101">
        <v>10</v>
      </c>
      <c r="S1101" s="112">
        <v>1500</v>
      </c>
      <c r="T1101" s="5">
        <f>VLOOKUP(TEXT(A1101,"yy-mm")&amp;"-"&amp;IF(AND(WEEKDAY(A1101)&gt;1,WEEKDAY(A1101)&lt;7),"Wkd",TEXT(A1101,"Ddd"))&amp;"-"&amp;TEXT(A1101,"hh"),LoadTable[],3,FALSE)*0.92</f>
        <v>786.27137399656647</v>
      </c>
      <c r="U1101" s="113">
        <f t="shared" si="1132"/>
        <v>78.627137399656647</v>
      </c>
      <c r="V1101">
        <f t="shared" ref="V1101:W1101" si="1146">V1077</f>
        <v>2.9</v>
      </c>
      <c r="W1101">
        <f t="shared" si="1146"/>
        <v>3</v>
      </c>
      <c r="X1101" s="9">
        <v>3.1469518999999999</v>
      </c>
      <c r="Y1101" s="39"/>
    </row>
    <row r="1102" spans="1:25" ht="15" thickBot="1">
      <c r="A1102" s="29">
        <f t="shared" si="1114"/>
        <v>45881.79166666598</v>
      </c>
      <c r="B1102" s="30">
        <f t="shared" si="1141"/>
        <v>5000</v>
      </c>
      <c r="C1102" s="8">
        <v>25000</v>
      </c>
      <c r="D1102" s="187">
        <v>0</v>
      </c>
      <c r="E1102" s="187">
        <v>700</v>
      </c>
      <c r="F1102" s="187">
        <v>15000</v>
      </c>
      <c r="G1102" s="30">
        <f t="shared" si="1142"/>
        <v>2400</v>
      </c>
      <c r="H1102" s="8">
        <v>25000</v>
      </c>
      <c r="I1102" s="30">
        <f t="shared" si="1143"/>
        <v>5000</v>
      </c>
      <c r="J1102" s="187">
        <v>40000</v>
      </c>
      <c r="K1102" s="30">
        <f t="shared" si="1144"/>
        <v>5000</v>
      </c>
      <c r="L1102" s="187">
        <v>40000</v>
      </c>
      <c r="M1102" s="110">
        <v>9.5</v>
      </c>
      <c r="N1102" s="9">
        <f>VLOOKUP(DATE(YEAR(A1102),MONTH(A1102),DAY(A1102)),FY24_Temp[],3,FALSE)</f>
        <v>14.4</v>
      </c>
      <c r="O1102" s="110">
        <f t="shared" si="1130"/>
        <v>11.5</v>
      </c>
      <c r="P1102" s="110">
        <f t="shared" si="1131"/>
        <v>19.5</v>
      </c>
      <c r="Q1102" s="79">
        <f>VLOOKUP(VLOOKUP(DATEVALUE(TEXT(A1102,"m/d/yyyy")),FY24_Temp[],5,FALSE)&amp;TEXT(A1102,"-h"),TempDelta[],4,FALSE)</f>
        <v>1.1961428693362646</v>
      </c>
      <c r="R1102">
        <v>10</v>
      </c>
      <c r="S1102" s="112">
        <v>1500</v>
      </c>
      <c r="T1102" s="5">
        <f>VLOOKUP(TEXT(A1102,"yy-mm")&amp;"-"&amp;IF(AND(WEEKDAY(A1102)&gt;1,WEEKDAY(A1102)&lt;7),"Wkd",TEXT(A1102,"Ddd"))&amp;"-"&amp;TEXT(A1102,"hh"),LoadTable[],3,FALSE)*0.92</f>
        <v>786.27137399656647</v>
      </c>
      <c r="U1102" s="113">
        <f t="shared" si="1132"/>
        <v>78.627137399656647</v>
      </c>
      <c r="V1102">
        <f t="shared" ref="V1102:W1102" si="1147">V1078</f>
        <v>3</v>
      </c>
      <c r="W1102">
        <f t="shared" si="1147"/>
        <v>3</v>
      </c>
      <c r="X1102" s="9">
        <v>3.1699370999999998</v>
      </c>
      <c r="Y1102" s="39"/>
    </row>
    <row r="1103" spans="1:25" ht="15" thickBot="1">
      <c r="A1103" s="29">
        <f t="shared" si="1114"/>
        <v>45881.833333332645</v>
      </c>
      <c r="B1103" s="30">
        <f t="shared" si="1141"/>
        <v>5000</v>
      </c>
      <c r="C1103" s="8">
        <v>25000</v>
      </c>
      <c r="D1103" s="187">
        <v>0</v>
      </c>
      <c r="E1103" s="187">
        <v>700</v>
      </c>
      <c r="F1103" s="187">
        <v>15000</v>
      </c>
      <c r="G1103" s="30">
        <f t="shared" si="1142"/>
        <v>2400</v>
      </c>
      <c r="H1103" s="8">
        <v>25000</v>
      </c>
      <c r="I1103" s="30">
        <f t="shared" si="1143"/>
        <v>5000</v>
      </c>
      <c r="J1103" s="187">
        <v>40000</v>
      </c>
      <c r="K1103" s="30">
        <f t="shared" si="1144"/>
        <v>5000</v>
      </c>
      <c r="L1103" s="187">
        <v>40000</v>
      </c>
      <c r="M1103" s="110">
        <v>9.5</v>
      </c>
      <c r="N1103" s="9">
        <f>VLOOKUP(DATE(YEAR(A1103),MONTH(A1103),DAY(A1103)),FY24_Temp[],3,FALSE)</f>
        <v>14.4</v>
      </c>
      <c r="O1103" s="110">
        <f t="shared" si="1130"/>
        <v>11.5</v>
      </c>
      <c r="P1103" s="110">
        <f t="shared" si="1131"/>
        <v>19.5</v>
      </c>
      <c r="Q1103" s="79">
        <f>VLOOKUP(VLOOKUP(DATEVALUE(TEXT(A1103,"m/d/yyyy")),FY24_Temp[],5,FALSE)&amp;TEXT(A1103,"-h"),TempDelta[],4,FALSE)</f>
        <v>1.6075714315686906</v>
      </c>
      <c r="R1103">
        <v>10</v>
      </c>
      <c r="S1103" s="112">
        <v>1500</v>
      </c>
      <c r="T1103" s="5">
        <f>VLOOKUP(TEXT(A1103,"yy-mm")&amp;"-"&amp;IF(AND(WEEKDAY(A1103)&gt;1,WEEKDAY(A1103)&lt;7),"Wkd",TEXT(A1103,"Ddd"))&amp;"-"&amp;TEXT(A1103,"hh"),LoadTable[],3,FALSE)*0.92</f>
        <v>786.27137399656647</v>
      </c>
      <c r="U1103" s="113">
        <f t="shared" si="1132"/>
        <v>78.627137399656647</v>
      </c>
      <c r="V1103">
        <f t="shared" ref="V1103:W1103" si="1148">V1079</f>
        <v>2.8</v>
      </c>
      <c r="W1103">
        <f t="shared" si="1148"/>
        <v>3.1</v>
      </c>
      <c r="X1103" s="9">
        <v>3.1801414000000001</v>
      </c>
      <c r="Y1103" s="39"/>
    </row>
    <row r="1104" spans="1:25" ht="15" thickBot="1">
      <c r="A1104" s="29">
        <f t="shared" si="1114"/>
        <v>45881.874999999309</v>
      </c>
      <c r="B1104" s="30">
        <f t="shared" si="1141"/>
        <v>5000</v>
      </c>
      <c r="C1104" s="8">
        <v>25000</v>
      </c>
      <c r="D1104" s="187">
        <v>0</v>
      </c>
      <c r="E1104" s="187">
        <v>700</v>
      </c>
      <c r="F1104" s="187">
        <v>15000</v>
      </c>
      <c r="G1104" s="30">
        <f t="shared" si="1142"/>
        <v>2400</v>
      </c>
      <c r="H1104" s="8">
        <v>25000</v>
      </c>
      <c r="I1104" s="30">
        <f t="shared" si="1143"/>
        <v>5000</v>
      </c>
      <c r="J1104" s="187">
        <v>40000</v>
      </c>
      <c r="K1104" s="30">
        <f t="shared" si="1144"/>
        <v>5000</v>
      </c>
      <c r="L1104" s="187">
        <v>40000</v>
      </c>
      <c r="M1104" s="110">
        <v>9.5</v>
      </c>
      <c r="N1104" s="9">
        <f>VLOOKUP(DATE(YEAR(A1104),MONTH(A1104),DAY(A1104)),FY24_Temp[],3,FALSE)</f>
        <v>14.4</v>
      </c>
      <c r="O1104" s="110">
        <f t="shared" si="1130"/>
        <v>11.5</v>
      </c>
      <c r="P1104" s="110">
        <f t="shared" si="1131"/>
        <v>19.5</v>
      </c>
      <c r="Q1104" s="79">
        <f>VLOOKUP(VLOOKUP(DATEVALUE(TEXT(A1104,"m/d/yyyy")),FY24_Temp[],5,FALSE)&amp;TEXT(A1104,"-h"),TempDelta[],4,FALSE)</f>
        <v>1.9315714410373144</v>
      </c>
      <c r="R1104">
        <v>10</v>
      </c>
      <c r="S1104" s="112">
        <v>1500</v>
      </c>
      <c r="T1104" s="5">
        <f>VLOOKUP(TEXT(A1104,"yy-mm")&amp;"-"&amp;IF(AND(WEEKDAY(A1104)&gt;1,WEEKDAY(A1104)&lt;7),"Wkd",TEXT(A1104,"Ddd"))&amp;"-"&amp;TEXT(A1104,"hh"),LoadTable[],3,FALSE)*0.92</f>
        <v>784.39716226323299</v>
      </c>
      <c r="U1104" s="113">
        <f t="shared" si="1132"/>
        <v>78.439716226323299</v>
      </c>
      <c r="V1104">
        <f t="shared" ref="V1104:W1104" si="1149">V1080</f>
        <v>3.5</v>
      </c>
      <c r="W1104">
        <f t="shared" si="1149"/>
        <v>3.1</v>
      </c>
      <c r="X1104" s="9">
        <v>3.1592965</v>
      </c>
      <c r="Y1104" s="39"/>
    </row>
    <row r="1105" spans="1:25" ht="15" thickBot="1">
      <c r="A1105" s="29">
        <f t="shared" si="1114"/>
        <v>45881.916666665973</v>
      </c>
      <c r="B1105" s="30">
        <f t="shared" si="1141"/>
        <v>5000</v>
      </c>
      <c r="C1105" s="8">
        <v>25000</v>
      </c>
      <c r="D1105" s="187">
        <v>0</v>
      </c>
      <c r="E1105" s="187">
        <v>700</v>
      </c>
      <c r="F1105" s="187">
        <v>15000</v>
      </c>
      <c r="G1105" s="30">
        <f t="shared" si="1142"/>
        <v>2400</v>
      </c>
      <c r="H1105" s="8">
        <v>25000</v>
      </c>
      <c r="I1105" s="30">
        <f t="shared" si="1143"/>
        <v>5000</v>
      </c>
      <c r="J1105" s="187">
        <v>40000</v>
      </c>
      <c r="K1105" s="30">
        <f t="shared" si="1144"/>
        <v>5000</v>
      </c>
      <c r="L1105" s="187">
        <v>40000</v>
      </c>
      <c r="M1105" s="110">
        <v>9.5</v>
      </c>
      <c r="N1105" s="9">
        <f>VLOOKUP(DATE(YEAR(A1105),MONTH(A1105),DAY(A1105)),FY24_Temp[],3,FALSE)</f>
        <v>14.4</v>
      </c>
      <c r="O1105" s="110">
        <f t="shared" si="1130"/>
        <v>11.5</v>
      </c>
      <c r="P1105" s="110">
        <f t="shared" si="1131"/>
        <v>19.5</v>
      </c>
      <c r="Q1105" s="79">
        <f>VLOOKUP(VLOOKUP(DATEVALUE(TEXT(A1105,"m/d/yyyy")),FY24_Temp[],5,FALSE)&amp;TEXT(A1105,"-h"),TempDelta[],4,FALSE)</f>
        <v>2.2258571556636264</v>
      </c>
      <c r="R1105">
        <v>10</v>
      </c>
      <c r="S1105" s="112">
        <v>1500</v>
      </c>
      <c r="T1105" s="5">
        <f>VLOOKUP(TEXT(A1105,"yy-mm")&amp;"-"&amp;IF(AND(WEEKDAY(A1105)&gt;1,WEEKDAY(A1105)&lt;7),"Wkd",TEXT(A1105,"Ddd"))&amp;"-"&amp;TEXT(A1105,"hh"),LoadTable[],3,FALSE)*0.92</f>
        <v>600.06900003761973</v>
      </c>
      <c r="U1105" s="113">
        <f t="shared" si="1132"/>
        <v>60.00690000376197</v>
      </c>
      <c r="V1105">
        <f t="shared" ref="V1105:W1105" si="1150">V1081</f>
        <v>2.9</v>
      </c>
      <c r="W1105">
        <f t="shared" si="1150"/>
        <v>3.1</v>
      </c>
      <c r="X1105" s="9">
        <v>3.1159954000000001</v>
      </c>
      <c r="Y1105" s="39"/>
    </row>
    <row r="1106" spans="1:25" ht="15" thickBot="1">
      <c r="A1106" s="29">
        <f t="shared" si="1114"/>
        <v>45881.958333332637</v>
      </c>
      <c r="B1106" s="30">
        <f t="shared" si="1141"/>
        <v>5000</v>
      </c>
      <c r="C1106" s="8">
        <v>25000</v>
      </c>
      <c r="D1106" s="187">
        <v>0</v>
      </c>
      <c r="E1106" s="187">
        <v>700</v>
      </c>
      <c r="F1106" s="187">
        <v>15000</v>
      </c>
      <c r="G1106" s="30">
        <f t="shared" si="1142"/>
        <v>2400</v>
      </c>
      <c r="H1106" s="8">
        <v>25000</v>
      </c>
      <c r="I1106" s="30">
        <f t="shared" si="1143"/>
        <v>5000</v>
      </c>
      <c r="J1106" s="187">
        <v>40000</v>
      </c>
      <c r="K1106" s="30">
        <f t="shared" si="1144"/>
        <v>5000</v>
      </c>
      <c r="L1106" s="187">
        <v>40000</v>
      </c>
      <c r="M1106" s="110">
        <v>9.5</v>
      </c>
      <c r="N1106" s="9">
        <f>VLOOKUP(DATE(YEAR(A1106),MONTH(A1106),DAY(A1106)),FY24_Temp[],3,FALSE)</f>
        <v>14.4</v>
      </c>
      <c r="O1106" s="110">
        <f t="shared" si="1130"/>
        <v>11.5</v>
      </c>
      <c r="P1106" s="110">
        <f t="shared" si="1131"/>
        <v>19.5</v>
      </c>
      <c r="Q1106" s="79">
        <f>VLOOKUP(VLOOKUP(DATEVALUE(TEXT(A1106,"m/d/yyyy")),FY24_Temp[],5,FALSE)&amp;TEXT(A1106,"-h"),TempDelta[],4,FALSE)</f>
        <v>2.3604285717010498</v>
      </c>
      <c r="R1106">
        <v>10</v>
      </c>
      <c r="S1106" s="112">
        <v>1500</v>
      </c>
      <c r="T1106" s="5">
        <f>VLOOKUP(TEXT(A1106,"yy-mm")&amp;"-"&amp;IF(AND(WEEKDAY(A1106)&gt;1,WEEKDAY(A1106)&lt;7),"Wkd",TEXT(A1106,"Ddd"))&amp;"-"&amp;TEXT(A1106,"hh"),LoadTable[],3,FALSE)*0.92</f>
        <v>486.44539999999989</v>
      </c>
      <c r="U1106" s="113">
        <f t="shared" si="1132"/>
        <v>48.644539999999992</v>
      </c>
      <c r="V1106">
        <f t="shared" ref="V1106:W1106" si="1151">V1082</f>
        <v>3.6</v>
      </c>
      <c r="W1106">
        <f t="shared" si="1151"/>
        <v>3.1</v>
      </c>
      <c r="X1106" s="9">
        <v>3.0428242999999999</v>
      </c>
      <c r="Y1106" s="39"/>
    </row>
    <row r="1107" spans="1:25" ht="15" thickBot="1">
      <c r="A1107" s="29">
        <f t="shared" si="1114"/>
        <v>45881.999999999302</v>
      </c>
      <c r="B1107" s="30">
        <f t="shared" si="1141"/>
        <v>5000</v>
      </c>
      <c r="C1107" s="8">
        <v>25000</v>
      </c>
      <c r="D1107" s="187">
        <v>0</v>
      </c>
      <c r="E1107" s="187">
        <v>700</v>
      </c>
      <c r="F1107" s="187">
        <v>15000</v>
      </c>
      <c r="G1107" s="30">
        <f t="shared" si="1142"/>
        <v>2400</v>
      </c>
      <c r="H1107" s="8">
        <v>25000</v>
      </c>
      <c r="I1107" s="30">
        <f t="shared" si="1143"/>
        <v>5000</v>
      </c>
      <c r="J1107" s="187">
        <v>40000</v>
      </c>
      <c r="K1107" s="30">
        <f t="shared" si="1144"/>
        <v>5000</v>
      </c>
      <c r="L1107" s="187">
        <v>40000</v>
      </c>
      <c r="M1107" s="110">
        <v>9.5</v>
      </c>
      <c r="N1107" s="9">
        <f>VLOOKUP(DATE(YEAR(A1107),MONTH(A1107),DAY(A1107)),FY24_Temp[],3,FALSE)</f>
        <v>14.4</v>
      </c>
      <c r="O1107" s="110">
        <f t="shared" si="1130"/>
        <v>11.5</v>
      </c>
      <c r="P1107" s="110">
        <f t="shared" si="1131"/>
        <v>19.5</v>
      </c>
      <c r="Q1107" s="79">
        <f>VLOOKUP(VLOOKUP(DATEVALUE(TEXT(A1107,"m/d/yyyy")),FY24_Temp[],5,FALSE)&amp;TEXT(A1107,"-h"),TempDelta[],4,FALSE)</f>
        <v>2.4882856777736118</v>
      </c>
      <c r="R1107">
        <v>10</v>
      </c>
      <c r="S1107" s="112">
        <v>1500</v>
      </c>
      <c r="T1107" s="5">
        <f>VLOOKUP(TEXT(A1107,"yy-mm")&amp;"-"&amp;IF(AND(WEEKDAY(A1107)&gt;1,WEEKDAY(A1107)&lt;7),"Wkd",TEXT(A1107,"Ddd"))&amp;"-"&amp;TEXT(A1107,"hh"),LoadTable[],3,FALSE)*0.92</f>
        <v>372.20164</v>
      </c>
      <c r="U1107" s="113">
        <f t="shared" si="1132"/>
        <v>37.220163999999997</v>
      </c>
      <c r="V1107">
        <f t="shared" ref="V1107:W1107" si="1152">V1083</f>
        <v>3</v>
      </c>
      <c r="W1107">
        <f t="shared" si="1152"/>
        <v>3.2</v>
      </c>
      <c r="X1107" s="9">
        <v>2.9793097999999998</v>
      </c>
      <c r="Y1107" s="39"/>
    </row>
    <row r="1108" spans="1:25" ht="15" thickBot="1">
      <c r="A1108" s="29">
        <f t="shared" si="1114"/>
        <v>45882.041666665966</v>
      </c>
      <c r="B1108" s="30">
        <f t="shared" si="1141"/>
        <v>5000</v>
      </c>
      <c r="C1108" s="8">
        <v>25000</v>
      </c>
      <c r="D1108" s="187">
        <v>0</v>
      </c>
      <c r="E1108" s="187">
        <v>700</v>
      </c>
      <c r="F1108" s="187">
        <v>15000</v>
      </c>
      <c r="G1108" s="30">
        <f t="shared" si="1142"/>
        <v>2400</v>
      </c>
      <c r="H1108" s="8">
        <v>25000</v>
      </c>
      <c r="I1108" s="30">
        <f t="shared" si="1143"/>
        <v>5000</v>
      </c>
      <c r="J1108" s="187">
        <v>40000</v>
      </c>
      <c r="K1108" s="30">
        <f t="shared" si="1144"/>
        <v>5000</v>
      </c>
      <c r="L1108" s="187">
        <v>40000</v>
      </c>
      <c r="M1108" s="110">
        <v>9.5</v>
      </c>
      <c r="N1108" s="9">
        <f>VLOOKUP(DATE(YEAR(A1108),MONTH(A1108),DAY(A1108)),FY24_Temp[],3,FALSE)</f>
        <v>14.4</v>
      </c>
      <c r="O1108" s="110">
        <f t="shared" si="1130"/>
        <v>11.5</v>
      </c>
      <c r="P1108" s="110">
        <f t="shared" si="1131"/>
        <v>19.5</v>
      </c>
      <c r="Q1108" s="79">
        <f>VLOOKUP(VLOOKUP(DATEVALUE(TEXT(A1108,"m/d/yyyy")),FY24_Temp[],5,FALSE)&amp;TEXT(A1108,"-h"),TempDelta[],4,FALSE)</f>
        <v>2.5384285790579662</v>
      </c>
      <c r="R1108">
        <v>10</v>
      </c>
      <c r="S1108" s="112">
        <v>1500</v>
      </c>
      <c r="T1108" s="5">
        <f>VLOOKUP(TEXT(A1108,"yy-mm")&amp;"-"&amp;IF(AND(WEEKDAY(A1108)&gt;1,WEEKDAY(A1108)&lt;7),"Wkd",TEXT(A1108,"Ddd"))&amp;"-"&amp;TEXT(A1108,"hh"),LoadTable[],3,FALSE)*0.92</f>
        <v>363.06235999999996</v>
      </c>
      <c r="U1108" s="113">
        <f t="shared" si="1132"/>
        <v>36.306235999999998</v>
      </c>
      <c r="V1108">
        <f t="shared" ref="V1108:W1108" si="1153">V1084</f>
        <v>2.6</v>
      </c>
      <c r="W1108">
        <f t="shared" si="1153"/>
        <v>3.2</v>
      </c>
      <c r="X1108" s="9">
        <v>3.0009489</v>
      </c>
      <c r="Y1108" s="39"/>
    </row>
    <row r="1109" spans="1:25" ht="15" thickBot="1">
      <c r="A1109" s="29">
        <f t="shared" si="1114"/>
        <v>45882.08333333263</v>
      </c>
      <c r="B1109" s="30">
        <f t="shared" si="1141"/>
        <v>5000</v>
      </c>
      <c r="C1109" s="8">
        <v>25000</v>
      </c>
      <c r="D1109" s="187">
        <v>0</v>
      </c>
      <c r="E1109" s="187">
        <v>700</v>
      </c>
      <c r="F1109" s="187">
        <v>15000</v>
      </c>
      <c r="G1109" s="30">
        <f t="shared" si="1142"/>
        <v>2400</v>
      </c>
      <c r="H1109" s="8">
        <v>25000</v>
      </c>
      <c r="I1109" s="30">
        <f t="shared" si="1143"/>
        <v>5000</v>
      </c>
      <c r="J1109" s="187">
        <v>40000</v>
      </c>
      <c r="K1109" s="30">
        <f t="shared" si="1144"/>
        <v>5000</v>
      </c>
      <c r="L1109" s="187">
        <v>40000</v>
      </c>
      <c r="M1109" s="110">
        <v>9.5</v>
      </c>
      <c r="N1109" s="9">
        <f>VLOOKUP(DATE(YEAR(A1109),MONTH(A1109),DAY(A1109)),FY24_Temp[],3,FALSE)</f>
        <v>14.4</v>
      </c>
      <c r="O1109" s="110">
        <f t="shared" si="1130"/>
        <v>11.5</v>
      </c>
      <c r="P1109" s="110">
        <f t="shared" si="1131"/>
        <v>19.5</v>
      </c>
      <c r="Q1109" s="79">
        <f>VLOOKUP(VLOOKUP(DATEVALUE(TEXT(A1109,"m/d/yyyy")),FY24_Temp[],5,FALSE)&amp;TEXT(A1109,"-h"),TempDelta[],4,FALSE)</f>
        <v>2.5558571474892751</v>
      </c>
      <c r="R1109">
        <v>10</v>
      </c>
      <c r="S1109" s="112">
        <v>1500</v>
      </c>
      <c r="T1109" s="5">
        <f>VLOOKUP(TEXT(A1109,"yy-mm")&amp;"-"&amp;IF(AND(WEEKDAY(A1109)&gt;1,WEEKDAY(A1109)&lt;7),"Wkd",TEXT(A1109,"Ddd"))&amp;"-"&amp;TEXT(A1109,"hh"),LoadTable[],3,FALSE)*0.92</f>
        <v>363.06235999999996</v>
      </c>
      <c r="U1109" s="113">
        <f t="shared" si="1132"/>
        <v>36.306235999999998</v>
      </c>
      <c r="V1109">
        <f t="shared" ref="V1109:W1109" si="1154">V1085</f>
        <v>2.8</v>
      </c>
      <c r="W1109">
        <f t="shared" si="1154"/>
        <v>3.2</v>
      </c>
      <c r="X1109" s="9">
        <v>3.0577922000000002</v>
      </c>
      <c r="Y1109" s="39"/>
    </row>
    <row r="1110" spans="1:25" ht="15" thickBot="1">
      <c r="A1110" s="29">
        <f t="shared" si="1114"/>
        <v>45882.124999999294</v>
      </c>
      <c r="B1110" s="30">
        <f t="shared" si="1141"/>
        <v>5000</v>
      </c>
      <c r="C1110" s="8">
        <v>25000</v>
      </c>
      <c r="D1110" s="187">
        <v>0</v>
      </c>
      <c r="E1110" s="187">
        <v>700</v>
      </c>
      <c r="F1110" s="187">
        <v>15000</v>
      </c>
      <c r="G1110" s="30">
        <f t="shared" si="1142"/>
        <v>2400</v>
      </c>
      <c r="H1110" s="8">
        <v>25000</v>
      </c>
      <c r="I1110" s="30">
        <f t="shared" si="1143"/>
        <v>5000</v>
      </c>
      <c r="J1110" s="187">
        <v>40000</v>
      </c>
      <c r="K1110" s="30">
        <f t="shared" si="1144"/>
        <v>5000</v>
      </c>
      <c r="L1110" s="187">
        <v>40000</v>
      </c>
      <c r="M1110" s="110">
        <v>9.5</v>
      </c>
      <c r="N1110" s="9">
        <f>VLOOKUP(DATE(YEAR(A1110),MONTH(A1110),DAY(A1110)),FY24_Temp[],3,FALSE)</f>
        <v>14.4</v>
      </c>
      <c r="O1110" s="110">
        <f t="shared" si="1130"/>
        <v>11.5</v>
      </c>
      <c r="P1110" s="110">
        <f t="shared" si="1131"/>
        <v>19.5</v>
      </c>
      <c r="Q1110" s="79">
        <f>VLOOKUP(VLOOKUP(DATEVALUE(TEXT(A1110,"m/d/yyyy")),FY24_Temp[],5,FALSE)&amp;TEXT(A1110,"-h"),TempDelta[],4,FALSE)</f>
        <v>2.5525713988712857</v>
      </c>
      <c r="R1110">
        <v>10</v>
      </c>
      <c r="S1110" s="112">
        <v>1500</v>
      </c>
      <c r="T1110" s="5">
        <f>VLOOKUP(TEXT(A1110,"yy-mm")&amp;"-"&amp;IF(AND(WEEKDAY(A1110)&gt;1,WEEKDAY(A1110)&lt;7),"Wkd",TEXT(A1110,"Ddd"))&amp;"-"&amp;TEXT(A1110,"hh"),LoadTable[],3,FALSE)*0.92</f>
        <v>363.06235999999996</v>
      </c>
      <c r="U1110" s="113">
        <f t="shared" si="1132"/>
        <v>36.306235999999998</v>
      </c>
      <c r="V1110">
        <f t="shared" ref="V1110:W1110" si="1155">V1086</f>
        <v>2.7</v>
      </c>
      <c r="W1110">
        <f t="shared" si="1155"/>
        <v>3.2</v>
      </c>
      <c r="X1110" s="9">
        <v>3.1338026999999999</v>
      </c>
      <c r="Y1110" s="39"/>
    </row>
    <row r="1111" spans="1:25" ht="15" thickBot="1">
      <c r="A1111" s="29">
        <f t="shared" si="1114"/>
        <v>45882.166666665958</v>
      </c>
      <c r="B1111" s="30">
        <f t="shared" si="1141"/>
        <v>5000</v>
      </c>
      <c r="C1111" s="8">
        <v>25000</v>
      </c>
      <c r="D1111" s="187">
        <v>0</v>
      </c>
      <c r="E1111" s="187">
        <v>700</v>
      </c>
      <c r="F1111" s="187">
        <v>15000</v>
      </c>
      <c r="G1111" s="30">
        <f t="shared" si="1142"/>
        <v>2400</v>
      </c>
      <c r="H1111" s="8">
        <v>25000</v>
      </c>
      <c r="I1111" s="30">
        <f t="shared" si="1143"/>
        <v>5000</v>
      </c>
      <c r="J1111" s="187">
        <v>40000</v>
      </c>
      <c r="K1111" s="30">
        <f t="shared" si="1144"/>
        <v>5000</v>
      </c>
      <c r="L1111" s="187">
        <v>40000</v>
      </c>
      <c r="M1111" s="110">
        <v>9.5</v>
      </c>
      <c r="N1111" s="9">
        <f>VLOOKUP(DATE(YEAR(A1111),MONTH(A1111),DAY(A1111)),FY24_Temp[],3,FALSE)</f>
        <v>14.4</v>
      </c>
      <c r="O1111" s="110">
        <f t="shared" si="1130"/>
        <v>11.5</v>
      </c>
      <c r="P1111" s="110">
        <f t="shared" si="1131"/>
        <v>19.5</v>
      </c>
      <c r="Q1111" s="79">
        <f>VLOOKUP(VLOOKUP(DATEVALUE(TEXT(A1111,"m/d/yyyy")),FY24_Temp[],5,FALSE)&amp;TEXT(A1111,"-h"),TempDelta[],4,FALSE)</f>
        <v>2.5564285346439908</v>
      </c>
      <c r="R1111">
        <v>10</v>
      </c>
      <c r="S1111" s="112">
        <v>1500</v>
      </c>
      <c r="T1111" s="5">
        <f>VLOOKUP(TEXT(A1111,"yy-mm")&amp;"-"&amp;IF(AND(WEEKDAY(A1111)&gt;1,WEEKDAY(A1111)&lt;7),"Wkd",TEXT(A1111,"Ddd"))&amp;"-"&amp;TEXT(A1111,"hh"),LoadTable[],3,FALSE)*0.92</f>
        <v>363.06235999999996</v>
      </c>
      <c r="U1111" s="113">
        <f t="shared" si="1132"/>
        <v>36.306235999999998</v>
      </c>
      <c r="V1111">
        <f t="shared" ref="V1111:W1111" si="1156">V1087</f>
        <v>3</v>
      </c>
      <c r="W1111">
        <f t="shared" si="1156"/>
        <v>3.1</v>
      </c>
      <c r="X1111" s="9">
        <v>3.1713555000000002</v>
      </c>
      <c r="Y1111" s="39"/>
    </row>
    <row r="1112" spans="1:25" ht="15" thickBot="1">
      <c r="A1112" s="29">
        <f t="shared" si="1114"/>
        <v>45882.208333332623</v>
      </c>
      <c r="B1112" s="30">
        <f t="shared" si="1141"/>
        <v>5000</v>
      </c>
      <c r="C1112" s="8">
        <v>25000</v>
      </c>
      <c r="D1112" s="187">
        <v>0</v>
      </c>
      <c r="E1112" s="187">
        <v>700</v>
      </c>
      <c r="F1112" s="187">
        <v>15000</v>
      </c>
      <c r="G1112" s="30">
        <f t="shared" si="1142"/>
        <v>2400</v>
      </c>
      <c r="H1112" s="8">
        <v>25000</v>
      </c>
      <c r="I1112" s="30">
        <f t="shared" si="1143"/>
        <v>5000</v>
      </c>
      <c r="J1112" s="187">
        <v>40000</v>
      </c>
      <c r="K1112" s="30">
        <f t="shared" si="1144"/>
        <v>5000</v>
      </c>
      <c r="L1112" s="187">
        <v>40000</v>
      </c>
      <c r="M1112" s="110">
        <v>9.5</v>
      </c>
      <c r="N1112" s="9">
        <f>VLOOKUP(DATE(YEAR(A1112),MONTH(A1112),DAY(A1112)),FY24_Temp[],3,FALSE)</f>
        <v>14.4</v>
      </c>
      <c r="O1112" s="110">
        <f t="shared" si="1130"/>
        <v>11.5</v>
      </c>
      <c r="P1112" s="110">
        <f t="shared" si="1131"/>
        <v>19.5</v>
      </c>
      <c r="Q1112" s="79">
        <f>VLOOKUP(VLOOKUP(DATEVALUE(TEXT(A1112,"m/d/yyyy")),FY24_Temp[],5,FALSE)&amp;TEXT(A1112,"-h"),TempDelta[],4,FALSE)</f>
        <v>2.6032857554299489</v>
      </c>
      <c r="R1112">
        <v>10</v>
      </c>
      <c r="S1112" s="112">
        <v>1500</v>
      </c>
      <c r="T1112" s="5">
        <f>VLOOKUP(TEXT(A1112,"yy-mm")&amp;"-"&amp;IF(AND(WEEKDAY(A1112)&gt;1,WEEKDAY(A1112)&lt;7),"Wkd",TEXT(A1112,"Ddd"))&amp;"-"&amp;TEXT(A1112,"hh"),LoadTable[],3,FALSE)*0.92</f>
        <v>363.06235999999996</v>
      </c>
      <c r="U1112" s="113">
        <f t="shared" si="1132"/>
        <v>36.306235999999998</v>
      </c>
      <c r="V1112">
        <f t="shared" ref="V1112:W1112" si="1157">V1088</f>
        <v>2.9</v>
      </c>
      <c r="W1112">
        <f t="shared" si="1157"/>
        <v>3.1</v>
      </c>
      <c r="X1112" s="9">
        <v>3.2439000999999998</v>
      </c>
      <c r="Y1112" s="39"/>
    </row>
    <row r="1113" spans="1:25" ht="15" thickBot="1">
      <c r="A1113" s="29">
        <f t="shared" si="1114"/>
        <v>45882.249999999287</v>
      </c>
      <c r="B1113" s="30">
        <f t="shared" si="1141"/>
        <v>8000</v>
      </c>
      <c r="C1113" s="8">
        <v>25000</v>
      </c>
      <c r="D1113" s="187">
        <v>0</v>
      </c>
      <c r="E1113" s="187">
        <v>700</v>
      </c>
      <c r="F1113" s="187">
        <v>15000</v>
      </c>
      <c r="G1113" s="30">
        <f t="shared" si="1142"/>
        <v>2400</v>
      </c>
      <c r="H1113" s="8">
        <v>25000</v>
      </c>
      <c r="I1113" s="30">
        <f t="shared" si="1143"/>
        <v>8000</v>
      </c>
      <c r="J1113" s="187">
        <v>40000</v>
      </c>
      <c r="K1113" s="30">
        <f t="shared" si="1144"/>
        <v>8000</v>
      </c>
      <c r="L1113" s="187">
        <v>40000</v>
      </c>
      <c r="M1113" s="110">
        <v>9.5</v>
      </c>
      <c r="N1113" s="9">
        <f>VLOOKUP(DATE(YEAR(A1113),MONTH(A1113),DAY(A1113)),FY24_Temp[],3,FALSE)</f>
        <v>14.4</v>
      </c>
      <c r="O1113" s="110">
        <f t="shared" si="1130"/>
        <v>11.5</v>
      </c>
      <c r="P1113" s="110">
        <f t="shared" si="1131"/>
        <v>19.5</v>
      </c>
      <c r="Q1113" s="79">
        <f>VLOOKUP(VLOOKUP(DATEVALUE(TEXT(A1113,"m/d/yyyy")),FY24_Temp[],5,FALSE)&amp;TEXT(A1113,"-h"),TempDelta[],4,FALSE)</f>
        <v>2.6161428519657681</v>
      </c>
      <c r="R1113">
        <v>10</v>
      </c>
      <c r="S1113" s="112">
        <v>1500</v>
      </c>
      <c r="T1113" s="5">
        <f>VLOOKUP(TEXT(A1113,"yy-mm")&amp;"-"&amp;IF(AND(WEEKDAY(A1113)&gt;1,WEEKDAY(A1113)&lt;7),"Wkd",TEXT(A1113,"Ddd"))&amp;"-"&amp;TEXT(A1113,"hh"),LoadTable[],3,FALSE)*0.92</f>
        <v>363.06235999999996</v>
      </c>
      <c r="U1113" s="113">
        <f t="shared" si="1132"/>
        <v>36.306235999999998</v>
      </c>
      <c r="V1113">
        <f t="shared" ref="V1113:W1113" si="1158">V1089</f>
        <v>2.5</v>
      </c>
      <c r="W1113">
        <f t="shared" si="1158"/>
        <v>3.1</v>
      </c>
      <c r="X1113" s="9">
        <v>3.3412061</v>
      </c>
      <c r="Y1113" s="39"/>
    </row>
    <row r="1114" spans="1:25" ht="15" thickBot="1">
      <c r="A1114" s="29">
        <f t="shared" si="1114"/>
        <v>45882.291666665951</v>
      </c>
      <c r="B1114" s="30">
        <f t="shared" si="1141"/>
        <v>8000</v>
      </c>
      <c r="C1114" s="8">
        <v>25000</v>
      </c>
      <c r="D1114" s="187">
        <v>0</v>
      </c>
      <c r="E1114" s="187">
        <v>700</v>
      </c>
      <c r="F1114" s="187">
        <v>15000</v>
      </c>
      <c r="G1114" s="30">
        <f t="shared" si="1142"/>
        <v>2400</v>
      </c>
      <c r="H1114" s="8">
        <v>25000</v>
      </c>
      <c r="I1114" s="30">
        <f t="shared" si="1143"/>
        <v>8000</v>
      </c>
      <c r="J1114" s="187">
        <v>40000</v>
      </c>
      <c r="K1114" s="30">
        <f t="shared" si="1144"/>
        <v>8000</v>
      </c>
      <c r="L1114" s="187">
        <v>40000</v>
      </c>
      <c r="M1114" s="110">
        <v>9.5</v>
      </c>
      <c r="N1114" s="9">
        <f>VLOOKUP(DATE(YEAR(A1114),MONTH(A1114),DAY(A1114)),FY24_Temp[],3,FALSE)</f>
        <v>14.4</v>
      </c>
      <c r="O1114" s="110">
        <f t="shared" si="1130"/>
        <v>11.5</v>
      </c>
      <c r="P1114" s="110">
        <f t="shared" si="1131"/>
        <v>19.5</v>
      </c>
      <c r="Q1114" s="79">
        <f>VLOOKUP(VLOOKUP(DATEVALUE(TEXT(A1114,"m/d/yyyy")),FY24_Temp[],5,FALSE)&amp;TEXT(A1114,"-h"),TempDelta[],4,FALSE)</f>
        <v>2.582714251109532</v>
      </c>
      <c r="R1114">
        <v>10</v>
      </c>
      <c r="S1114" s="112">
        <v>1500</v>
      </c>
      <c r="T1114" s="5">
        <f>VLOOKUP(TEXT(A1114,"yy-mm")&amp;"-"&amp;IF(AND(WEEKDAY(A1114)&gt;1,WEEKDAY(A1114)&lt;7),"Wkd",TEXT(A1114,"Ddd"))&amp;"-"&amp;TEXT(A1114,"hh"),LoadTable[],3,FALSE)*0.92</f>
        <v>352.2091200000001</v>
      </c>
      <c r="U1114" s="113">
        <f t="shared" si="1132"/>
        <v>35.220912000000013</v>
      </c>
      <c r="V1114">
        <f t="shared" ref="V1114:W1114" si="1159">V1090</f>
        <v>2.5</v>
      </c>
      <c r="W1114">
        <f t="shared" si="1159"/>
        <v>3.1</v>
      </c>
      <c r="X1114" s="9">
        <v>3.3431375000000001</v>
      </c>
      <c r="Y1114" s="39"/>
    </row>
    <row r="1115" spans="1:25" ht="15" thickBot="1">
      <c r="A1115" s="29">
        <f t="shared" si="1114"/>
        <v>45882.333333332615</v>
      </c>
      <c r="B1115" s="30">
        <f t="shared" si="1141"/>
        <v>8000</v>
      </c>
      <c r="C1115" s="8">
        <v>25000</v>
      </c>
      <c r="D1115" s="187">
        <v>0</v>
      </c>
      <c r="E1115" s="187">
        <v>700</v>
      </c>
      <c r="F1115" s="187">
        <v>15000</v>
      </c>
      <c r="G1115" s="30">
        <f t="shared" si="1142"/>
        <v>2400</v>
      </c>
      <c r="H1115" s="8">
        <v>25000</v>
      </c>
      <c r="I1115" s="30">
        <f t="shared" si="1143"/>
        <v>8000</v>
      </c>
      <c r="J1115" s="187">
        <v>40000</v>
      </c>
      <c r="K1115" s="30">
        <f t="shared" si="1144"/>
        <v>8000</v>
      </c>
      <c r="L1115" s="187">
        <v>40000</v>
      </c>
      <c r="M1115" s="110">
        <v>9.5</v>
      </c>
      <c r="N1115" s="9">
        <f>VLOOKUP(DATE(YEAR(A1115),MONTH(A1115),DAY(A1115)),FY24_Temp[],3,FALSE)</f>
        <v>14.4</v>
      </c>
      <c r="O1115" s="110">
        <f t="shared" si="1130"/>
        <v>11.5</v>
      </c>
      <c r="P1115" s="110">
        <f t="shared" si="1131"/>
        <v>19.5</v>
      </c>
      <c r="Q1115" s="79">
        <f>VLOOKUP(VLOOKUP(DATEVALUE(TEXT(A1115,"m/d/yyyy")),FY24_Temp[],5,FALSE)&amp;TEXT(A1115,"-h"),TempDelta[],4,FALSE)</f>
        <v>2.4768571172441756</v>
      </c>
      <c r="R1115">
        <v>10</v>
      </c>
      <c r="S1115" s="112">
        <v>1500</v>
      </c>
      <c r="T1115" s="5">
        <f>VLOOKUP(TEXT(A1115,"yy-mm")&amp;"-"&amp;IF(AND(WEEKDAY(A1115)&gt;1,WEEKDAY(A1115)&lt;7),"Wkd",TEXT(A1115,"Ddd"))&amp;"-"&amp;TEXT(A1115,"hh"),LoadTable[],3,FALSE)*0.92</f>
        <v>352.2091200000001</v>
      </c>
      <c r="U1115" s="113">
        <f t="shared" si="1132"/>
        <v>35.220912000000013</v>
      </c>
      <c r="V1115">
        <f t="shared" ref="V1115:W1115" si="1160">V1091</f>
        <v>3.2</v>
      </c>
      <c r="W1115">
        <f t="shared" si="1160"/>
        <v>3</v>
      </c>
      <c r="X1115" s="9">
        <v>3.4276195</v>
      </c>
      <c r="Y1115" s="39"/>
    </row>
    <row r="1116" spans="1:25" ht="15" thickBot="1">
      <c r="A1116" s="29">
        <f t="shared" si="1114"/>
        <v>45882.37499999928</v>
      </c>
      <c r="B1116" s="30">
        <f t="shared" si="1141"/>
        <v>8000</v>
      </c>
      <c r="C1116" s="8">
        <v>25000</v>
      </c>
      <c r="D1116" s="187">
        <v>0</v>
      </c>
      <c r="E1116" s="187">
        <v>700</v>
      </c>
      <c r="F1116" s="187">
        <v>15000</v>
      </c>
      <c r="G1116" s="30">
        <f t="shared" si="1142"/>
        <v>2400</v>
      </c>
      <c r="H1116" s="8">
        <v>25000</v>
      </c>
      <c r="I1116" s="30">
        <f t="shared" si="1143"/>
        <v>8000</v>
      </c>
      <c r="J1116" s="187">
        <v>40000</v>
      </c>
      <c r="K1116" s="30">
        <f t="shared" si="1144"/>
        <v>8000</v>
      </c>
      <c r="L1116" s="187">
        <v>40000</v>
      </c>
      <c r="M1116" s="110">
        <v>9.5</v>
      </c>
      <c r="N1116" s="9">
        <f>VLOOKUP(DATE(YEAR(A1116),MONTH(A1116),DAY(A1116)),FY24_Temp[],3,FALSE)</f>
        <v>14.4</v>
      </c>
      <c r="O1116" s="110">
        <f t="shared" si="1130"/>
        <v>11.5</v>
      </c>
      <c r="P1116" s="110">
        <f t="shared" si="1131"/>
        <v>19.5</v>
      </c>
      <c r="Q1116" s="79">
        <f>VLOOKUP(VLOOKUP(DATEVALUE(TEXT(A1116,"m/d/yyyy")),FY24_Temp[],5,FALSE)&amp;TEXT(A1116,"-h"),TempDelta[],4,FALSE)</f>
        <v>2.293428523199899</v>
      </c>
      <c r="R1116">
        <v>10</v>
      </c>
      <c r="S1116" s="112">
        <v>1500</v>
      </c>
      <c r="T1116" s="5">
        <f>VLOOKUP(TEXT(A1116,"yy-mm")&amp;"-"&amp;IF(AND(WEEKDAY(A1116)&gt;1,WEEKDAY(A1116)&lt;7),"Wkd",TEXT(A1116,"Ddd"))&amp;"-"&amp;TEXT(A1116,"hh"),LoadTable[],3,FALSE)*0.92</f>
        <v>340.60949077857163</v>
      </c>
      <c r="U1116" s="113">
        <f t="shared" si="1132"/>
        <v>34.06094907785716</v>
      </c>
      <c r="V1116">
        <f t="shared" ref="V1116:W1116" si="1161">V1092</f>
        <v>2.9</v>
      </c>
      <c r="W1116">
        <f t="shared" si="1161"/>
        <v>3</v>
      </c>
      <c r="X1116" s="9">
        <v>3.5394589999999999</v>
      </c>
      <c r="Y1116" s="39"/>
    </row>
    <row r="1117" spans="1:25" ht="15" thickBot="1">
      <c r="A1117" s="29">
        <f t="shared" si="1114"/>
        <v>45882.416666665944</v>
      </c>
      <c r="B1117" s="30">
        <f t="shared" si="1141"/>
        <v>8000</v>
      </c>
      <c r="C1117" s="8">
        <v>25000</v>
      </c>
      <c r="D1117" s="187">
        <v>0</v>
      </c>
      <c r="E1117" s="187">
        <v>700</v>
      </c>
      <c r="F1117" s="187">
        <v>15000</v>
      </c>
      <c r="G1117" s="30">
        <f t="shared" si="1142"/>
        <v>2400</v>
      </c>
      <c r="H1117" s="8">
        <v>25000</v>
      </c>
      <c r="I1117" s="30">
        <f t="shared" si="1143"/>
        <v>8000</v>
      </c>
      <c r="J1117" s="187">
        <v>40000</v>
      </c>
      <c r="K1117" s="30">
        <f t="shared" si="1144"/>
        <v>8000</v>
      </c>
      <c r="L1117" s="187">
        <v>40000</v>
      </c>
      <c r="M1117" s="110">
        <v>9.5</v>
      </c>
      <c r="N1117" s="9">
        <f>VLOOKUP(DATE(YEAR(A1117),MONTH(A1117),DAY(A1117)),FY24_Temp[],3,FALSE)</f>
        <v>14.4</v>
      </c>
      <c r="O1117" s="110">
        <f t="shared" si="1130"/>
        <v>11.5</v>
      </c>
      <c r="P1117" s="110">
        <f t="shared" si="1131"/>
        <v>19.5</v>
      </c>
      <c r="Q1117" s="79">
        <f>VLOOKUP(VLOOKUP(DATEVALUE(TEXT(A1117,"m/d/yyyy")),FY24_Temp[],5,FALSE)&amp;TEXT(A1117,"-h"),TempDelta[],4,FALSE)</f>
        <v>2.0822856766836986</v>
      </c>
      <c r="R1117">
        <v>10</v>
      </c>
      <c r="S1117" s="112">
        <v>1500</v>
      </c>
      <c r="T1117" s="5">
        <f>VLOOKUP(TEXT(A1117,"yy-mm")&amp;"-"&amp;IF(AND(WEEKDAY(A1117)&gt;1,WEEKDAY(A1117)&lt;7),"Wkd",TEXT(A1117,"Ddd"))&amp;"-"&amp;TEXT(A1117,"hh"),LoadTable[],3,FALSE)*0.92</f>
        <v>338.44093501457746</v>
      </c>
      <c r="U1117" s="113">
        <f t="shared" si="1132"/>
        <v>33.844093501457749</v>
      </c>
      <c r="V1117">
        <f t="shared" ref="V1117:W1117" si="1162">V1093</f>
        <v>2.9</v>
      </c>
      <c r="W1117">
        <f t="shared" si="1162"/>
        <v>3</v>
      </c>
      <c r="X1117" s="9">
        <v>3.5276109999999998</v>
      </c>
      <c r="Y1117" s="39"/>
    </row>
    <row r="1118" spans="1:25" ht="15" thickBot="1">
      <c r="A1118" s="29">
        <f t="shared" si="1114"/>
        <v>45882.458333332608</v>
      </c>
      <c r="B1118" s="30">
        <f t="shared" si="1141"/>
        <v>8000</v>
      </c>
      <c r="C1118" s="8">
        <v>25000</v>
      </c>
      <c r="D1118" s="187">
        <v>0</v>
      </c>
      <c r="E1118" s="187">
        <v>700</v>
      </c>
      <c r="F1118" s="187">
        <v>15000</v>
      </c>
      <c r="G1118" s="30">
        <f t="shared" si="1142"/>
        <v>2400</v>
      </c>
      <c r="H1118" s="8">
        <v>25000</v>
      </c>
      <c r="I1118" s="30">
        <f t="shared" si="1143"/>
        <v>8000</v>
      </c>
      <c r="J1118" s="187">
        <v>40000</v>
      </c>
      <c r="K1118" s="30">
        <f t="shared" si="1144"/>
        <v>8000</v>
      </c>
      <c r="L1118" s="187">
        <v>40000</v>
      </c>
      <c r="M1118" s="110">
        <v>9.5</v>
      </c>
      <c r="N1118" s="9">
        <f>VLOOKUP(DATE(YEAR(A1118),MONTH(A1118),DAY(A1118)),FY24_Temp[],3,FALSE)</f>
        <v>14.4</v>
      </c>
      <c r="O1118" s="110">
        <f t="shared" si="1130"/>
        <v>11.5</v>
      </c>
      <c r="P1118" s="110">
        <f t="shared" si="1131"/>
        <v>19.5</v>
      </c>
      <c r="Q1118" s="79">
        <f>VLOOKUP(VLOOKUP(DATEVALUE(TEXT(A1118,"m/d/yyyy")),FY24_Temp[],5,FALSE)&amp;TEXT(A1118,"-h"),TempDelta[],4,FALSE)</f>
        <v>1.8338571105684554</v>
      </c>
      <c r="R1118">
        <v>10</v>
      </c>
      <c r="S1118" s="112">
        <v>1500</v>
      </c>
      <c r="T1118" s="5">
        <f>VLOOKUP(TEXT(A1118,"yy-mm")&amp;"-"&amp;IF(AND(WEEKDAY(A1118)&gt;1,WEEKDAY(A1118)&lt;7),"Wkd",TEXT(A1118,"Ddd"))&amp;"-"&amp;TEXT(A1118,"hh"),LoadTable[],3,FALSE)*0.92</f>
        <v>338.44093501457746</v>
      </c>
      <c r="U1118" s="113">
        <f t="shared" si="1132"/>
        <v>33.844093501457749</v>
      </c>
      <c r="V1118">
        <f t="shared" ref="V1118:W1118" si="1163">V1094</f>
        <v>3.4</v>
      </c>
      <c r="W1118">
        <f t="shared" si="1163"/>
        <v>3</v>
      </c>
      <c r="X1118" s="9">
        <v>3.3490825000000002</v>
      </c>
      <c r="Y1118" s="39"/>
    </row>
    <row r="1119" spans="1:25" ht="15" thickBot="1">
      <c r="A1119" s="29">
        <f t="shared" si="1114"/>
        <v>45882.499999999272</v>
      </c>
      <c r="B1119" s="30">
        <f t="shared" si="1141"/>
        <v>8000</v>
      </c>
      <c r="C1119" s="8">
        <v>25000</v>
      </c>
      <c r="D1119" s="187">
        <v>0</v>
      </c>
      <c r="E1119" s="187">
        <v>700</v>
      </c>
      <c r="F1119" s="187">
        <v>15000</v>
      </c>
      <c r="G1119" s="30">
        <f t="shared" si="1142"/>
        <v>2400</v>
      </c>
      <c r="H1119" s="8">
        <v>25000</v>
      </c>
      <c r="I1119" s="30">
        <f t="shared" si="1143"/>
        <v>8000</v>
      </c>
      <c r="J1119" s="187">
        <v>40000</v>
      </c>
      <c r="K1119" s="30">
        <f t="shared" si="1144"/>
        <v>8000</v>
      </c>
      <c r="L1119" s="187">
        <v>40000</v>
      </c>
      <c r="M1119" s="110">
        <v>9.5</v>
      </c>
      <c r="N1119" s="9">
        <f>VLOOKUP(DATE(YEAR(A1119),MONTH(A1119),DAY(A1119)),FY24_Temp[],3,FALSE)</f>
        <v>14.4</v>
      </c>
      <c r="O1119" s="110">
        <f t="shared" si="1130"/>
        <v>11.5</v>
      </c>
      <c r="P1119" s="110">
        <f t="shared" si="1131"/>
        <v>19.5</v>
      </c>
      <c r="Q1119" s="79">
        <f>VLOOKUP(VLOOKUP(DATEVALUE(TEXT(A1119,"m/d/yyyy")),FY24_Temp[],5,FALSE)&amp;TEXT(A1119,"-h"),TempDelta[],4,FALSE)</f>
        <v>1.5831428595951624</v>
      </c>
      <c r="R1119">
        <v>10</v>
      </c>
      <c r="S1119" s="112">
        <v>1500</v>
      </c>
      <c r="T1119" s="5">
        <f>VLOOKUP(TEXT(A1119,"yy-mm")&amp;"-"&amp;IF(AND(WEEKDAY(A1119)&gt;1,WEEKDAY(A1119)&lt;7),"Wkd",TEXT(A1119,"Ddd"))&amp;"-"&amp;TEXT(A1119,"hh"),LoadTable[],3,FALSE)*0.92</f>
        <v>338.44093501457746</v>
      </c>
      <c r="U1119" s="113">
        <f t="shared" si="1132"/>
        <v>33.844093501457749</v>
      </c>
      <c r="V1119">
        <f t="shared" ref="V1119:W1119" si="1164">V1095</f>
        <v>3.1</v>
      </c>
      <c r="W1119">
        <f t="shared" si="1164"/>
        <v>2.9</v>
      </c>
      <c r="X1119" s="9">
        <v>3.1523023000000001</v>
      </c>
      <c r="Y1119" s="39"/>
    </row>
    <row r="1120" spans="1:25" ht="15" thickBot="1">
      <c r="A1120" s="29">
        <f t="shared" si="1114"/>
        <v>45882.541666665937</v>
      </c>
      <c r="B1120" s="30">
        <f t="shared" si="1141"/>
        <v>8000</v>
      </c>
      <c r="C1120" s="8">
        <v>25000</v>
      </c>
      <c r="D1120" s="187">
        <v>0</v>
      </c>
      <c r="E1120" s="187">
        <v>700</v>
      </c>
      <c r="F1120" s="187">
        <v>15000</v>
      </c>
      <c r="G1120" s="30">
        <f t="shared" si="1142"/>
        <v>2400</v>
      </c>
      <c r="H1120" s="8">
        <v>25000</v>
      </c>
      <c r="I1120" s="30">
        <f t="shared" si="1143"/>
        <v>8000</v>
      </c>
      <c r="J1120" s="187">
        <v>40000</v>
      </c>
      <c r="K1120" s="30">
        <f t="shared" si="1144"/>
        <v>8000</v>
      </c>
      <c r="L1120" s="187">
        <v>40000</v>
      </c>
      <c r="M1120" s="110">
        <v>9.5</v>
      </c>
      <c r="N1120" s="9">
        <f>VLOOKUP(DATE(YEAR(A1120),MONTH(A1120),DAY(A1120)),FY24_Temp[],3,FALSE)</f>
        <v>14.4</v>
      </c>
      <c r="O1120" s="110">
        <f t="shared" si="1130"/>
        <v>11.5</v>
      </c>
      <c r="P1120" s="110">
        <f t="shared" si="1131"/>
        <v>19.5</v>
      </c>
      <c r="Q1120" s="79">
        <f>VLOOKUP(VLOOKUP(DATEVALUE(TEXT(A1120,"m/d/yyyy")),FY24_Temp[],5,FALSE)&amp;TEXT(A1120,"-h"),TempDelta[],4,FALSE)</f>
        <v>1.3324285575321742</v>
      </c>
      <c r="R1120">
        <v>10</v>
      </c>
      <c r="S1120" s="112">
        <v>1500</v>
      </c>
      <c r="T1120" s="5">
        <f>VLOOKUP(TEXT(A1120,"yy-mm")&amp;"-"&amp;IF(AND(WEEKDAY(A1120)&gt;1,WEEKDAY(A1120)&lt;7),"Wkd",TEXT(A1120,"Ddd"))&amp;"-"&amp;TEXT(A1120,"hh"),LoadTable[],3,FALSE)*0.92</f>
        <v>389.90980000000025</v>
      </c>
      <c r="U1120" s="113">
        <f t="shared" si="1132"/>
        <v>38.990980000000022</v>
      </c>
      <c r="V1120">
        <f t="shared" ref="V1120:W1120" si="1165">V1096</f>
        <v>3.2</v>
      </c>
      <c r="W1120">
        <f t="shared" si="1165"/>
        <v>2.9</v>
      </c>
      <c r="X1120" s="9">
        <v>3.0271238999999999</v>
      </c>
      <c r="Y1120" s="39"/>
    </row>
    <row r="1121" spans="1:25" ht="15" thickBot="1">
      <c r="A1121" s="29">
        <f t="shared" si="1114"/>
        <v>45882.583333332601</v>
      </c>
      <c r="B1121" s="30">
        <f t="shared" si="1141"/>
        <v>8000</v>
      </c>
      <c r="C1121" s="8">
        <v>25000</v>
      </c>
      <c r="D1121" s="187">
        <v>0</v>
      </c>
      <c r="E1121" s="187">
        <v>700</v>
      </c>
      <c r="F1121" s="187">
        <v>15000</v>
      </c>
      <c r="G1121" s="30">
        <f t="shared" si="1142"/>
        <v>2400</v>
      </c>
      <c r="H1121" s="8">
        <v>25000</v>
      </c>
      <c r="I1121" s="30">
        <f t="shared" si="1143"/>
        <v>8000</v>
      </c>
      <c r="J1121" s="187">
        <v>40000</v>
      </c>
      <c r="K1121" s="30">
        <f t="shared" si="1144"/>
        <v>8000</v>
      </c>
      <c r="L1121" s="187">
        <v>40000</v>
      </c>
      <c r="M1121" s="110">
        <v>9.5</v>
      </c>
      <c r="N1121" s="9">
        <f>VLOOKUP(DATE(YEAR(A1121),MONTH(A1121),DAY(A1121)),FY24_Temp[],3,FALSE)</f>
        <v>14.4</v>
      </c>
      <c r="O1121" s="110">
        <f t="shared" si="1130"/>
        <v>11.5</v>
      </c>
      <c r="P1121" s="110">
        <f t="shared" si="1131"/>
        <v>19.5</v>
      </c>
      <c r="Q1121" s="79">
        <f>VLOOKUP(VLOOKUP(DATEVALUE(TEXT(A1121,"m/d/yyyy")),FY24_Temp[],5,FALSE)&amp;TEXT(A1121,"-h"),TempDelta[],4,FALSE)</f>
        <v>1.096000007220677</v>
      </c>
      <c r="R1121">
        <v>10</v>
      </c>
      <c r="S1121" s="112">
        <v>1500</v>
      </c>
      <c r="T1121" s="5">
        <f>VLOOKUP(TEXT(A1121,"yy-mm")&amp;"-"&amp;IF(AND(WEEKDAY(A1121)&gt;1,WEEKDAY(A1121)&lt;7),"Wkd",TEXT(A1121,"Ddd"))&amp;"-"&amp;TEXT(A1121,"hh"),LoadTable[],3,FALSE)*0.92</f>
        <v>625.53652000000022</v>
      </c>
      <c r="U1121" s="113">
        <f t="shared" si="1132"/>
        <v>62.553652000000021</v>
      </c>
      <c r="V1121">
        <f t="shared" ref="V1121:W1121" si="1166">V1097</f>
        <v>3.5</v>
      </c>
      <c r="W1121">
        <f t="shared" si="1166"/>
        <v>2.9</v>
      </c>
      <c r="X1121" s="9">
        <v>3.0941228999999999</v>
      </c>
      <c r="Y1121" s="39"/>
    </row>
    <row r="1122" spans="1:25" ht="15" thickBot="1">
      <c r="A1122" s="29">
        <f t="shared" si="1114"/>
        <v>45882.624999999265</v>
      </c>
      <c r="B1122" s="30">
        <f t="shared" si="1141"/>
        <v>8000</v>
      </c>
      <c r="C1122" s="8">
        <v>25000</v>
      </c>
      <c r="D1122" s="187">
        <v>0</v>
      </c>
      <c r="E1122" s="187">
        <v>700</v>
      </c>
      <c r="F1122" s="187">
        <v>15000</v>
      </c>
      <c r="G1122" s="30">
        <f t="shared" si="1142"/>
        <v>2400</v>
      </c>
      <c r="H1122" s="8">
        <v>25000</v>
      </c>
      <c r="I1122" s="30">
        <f t="shared" si="1143"/>
        <v>8000</v>
      </c>
      <c r="J1122" s="187">
        <v>40000</v>
      </c>
      <c r="K1122" s="30">
        <f t="shared" si="1144"/>
        <v>8000</v>
      </c>
      <c r="L1122" s="187">
        <v>40000</v>
      </c>
      <c r="M1122" s="110">
        <v>9.5</v>
      </c>
      <c r="N1122" s="9">
        <f>VLOOKUP(DATE(YEAR(A1122),MONTH(A1122),DAY(A1122)),FY24_Temp[],3,FALSE)</f>
        <v>14.4</v>
      </c>
      <c r="O1122" s="110">
        <f t="shared" si="1130"/>
        <v>11.5</v>
      </c>
      <c r="P1122" s="110">
        <f t="shared" si="1131"/>
        <v>19.5</v>
      </c>
      <c r="Q1122" s="79">
        <f>VLOOKUP(VLOOKUP(DATEVALUE(TEXT(A1122,"m/d/yyyy")),FY24_Temp[],5,FALSE)&amp;TEXT(A1122,"-h"),TempDelta[],4,FALSE)</f>
        <v>0.78178571377481731</v>
      </c>
      <c r="R1122">
        <v>10</v>
      </c>
      <c r="S1122" s="112">
        <v>1500</v>
      </c>
      <c r="T1122" s="5">
        <f>VLOOKUP(TEXT(A1122,"yy-mm")&amp;"-"&amp;IF(AND(WEEKDAY(A1122)&gt;1,WEEKDAY(A1122)&lt;7),"Wkd",TEXT(A1122,"Ddd"))&amp;"-"&amp;TEXT(A1122,"hh"),LoadTable[],3,FALSE)*0.92</f>
        <v>699.79524000000038</v>
      </c>
      <c r="U1122" s="113">
        <f t="shared" si="1132"/>
        <v>69.97952400000004</v>
      </c>
      <c r="V1122">
        <f t="shared" ref="V1122:W1122" si="1167">V1098</f>
        <v>3.2</v>
      </c>
      <c r="W1122">
        <f t="shared" si="1167"/>
        <v>2.9</v>
      </c>
      <c r="X1122" s="9">
        <v>3.4793935</v>
      </c>
      <c r="Y1122" s="39"/>
    </row>
    <row r="1123" spans="1:25" ht="15" thickBot="1">
      <c r="A1123" s="29">
        <f t="shared" si="1114"/>
        <v>45882.666666665929</v>
      </c>
      <c r="B1123" s="30">
        <f t="shared" si="1141"/>
        <v>8000</v>
      </c>
      <c r="C1123" s="8">
        <v>25000</v>
      </c>
      <c r="D1123" s="187">
        <v>0</v>
      </c>
      <c r="E1123" s="187">
        <v>700</v>
      </c>
      <c r="F1123" s="187">
        <v>15000</v>
      </c>
      <c r="G1123" s="30">
        <f t="shared" si="1142"/>
        <v>2400</v>
      </c>
      <c r="H1123" s="8">
        <v>25000</v>
      </c>
      <c r="I1123" s="30">
        <f t="shared" si="1143"/>
        <v>8000</v>
      </c>
      <c r="J1123" s="187">
        <v>40000</v>
      </c>
      <c r="K1123" s="30">
        <f t="shared" si="1144"/>
        <v>8000</v>
      </c>
      <c r="L1123" s="187">
        <v>40000</v>
      </c>
      <c r="M1123" s="110">
        <v>9.5</v>
      </c>
      <c r="N1123" s="9">
        <f>VLOOKUP(DATE(YEAR(A1123),MONTH(A1123),DAY(A1123)),FY24_Temp[],3,FALSE)</f>
        <v>14.4</v>
      </c>
      <c r="O1123" s="110">
        <f t="shared" si="1130"/>
        <v>11.5</v>
      </c>
      <c r="P1123" s="110">
        <f t="shared" si="1131"/>
        <v>19.5</v>
      </c>
      <c r="Q1123" s="79">
        <f>VLOOKUP(VLOOKUP(DATEVALUE(TEXT(A1123,"m/d/yyyy")),FY24_Temp[],5,FALSE)&amp;TEXT(A1123,"-h"),TempDelta[],4,FALSE)</f>
        <v>0.64235714290823254</v>
      </c>
      <c r="R1123">
        <v>10</v>
      </c>
      <c r="S1123" s="112">
        <v>1500</v>
      </c>
      <c r="T1123" s="5">
        <f>VLOOKUP(TEXT(A1123,"yy-mm")&amp;"-"&amp;IF(AND(WEEKDAY(A1123)&gt;1,WEEKDAY(A1123)&lt;7),"Wkd",TEXT(A1123,"Ddd"))&amp;"-"&amp;TEXT(A1123,"hh"),LoadTable[],3,FALSE)*0.92</f>
        <v>786.27137399656624</v>
      </c>
      <c r="U1123" s="113">
        <f t="shared" si="1132"/>
        <v>78.627137399656618</v>
      </c>
      <c r="V1123">
        <f t="shared" ref="V1123:W1123" si="1168">V1099</f>
        <v>3.5</v>
      </c>
      <c r="W1123">
        <f t="shared" si="1168"/>
        <v>3</v>
      </c>
      <c r="X1123" s="9">
        <v>3.4132712000000001</v>
      </c>
      <c r="Y1123" s="39"/>
    </row>
    <row r="1124" spans="1:25" ht="15" thickBot="1">
      <c r="A1124" s="29">
        <f t="shared" si="1114"/>
        <v>45882.708333332594</v>
      </c>
      <c r="B1124" s="30">
        <f t="shared" si="1141"/>
        <v>8000</v>
      </c>
      <c r="C1124" s="8">
        <v>25000</v>
      </c>
      <c r="D1124" s="187">
        <v>0</v>
      </c>
      <c r="E1124" s="187">
        <v>700</v>
      </c>
      <c r="F1124" s="187">
        <v>15000</v>
      </c>
      <c r="G1124" s="30">
        <f t="shared" si="1142"/>
        <v>2400</v>
      </c>
      <c r="H1124" s="8">
        <v>25000</v>
      </c>
      <c r="I1124" s="30">
        <f t="shared" si="1143"/>
        <v>8000</v>
      </c>
      <c r="J1124" s="187">
        <v>40000</v>
      </c>
      <c r="K1124" s="30">
        <f t="shared" si="1144"/>
        <v>8000</v>
      </c>
      <c r="L1124" s="187">
        <v>40000</v>
      </c>
      <c r="M1124" s="110">
        <v>9.5</v>
      </c>
      <c r="N1124" s="9">
        <f>VLOOKUP(DATE(YEAR(A1124),MONTH(A1124),DAY(A1124)),FY24_Temp[],3,FALSE)</f>
        <v>14.4</v>
      </c>
      <c r="O1124" s="110">
        <f t="shared" si="1130"/>
        <v>11.5</v>
      </c>
      <c r="P1124" s="110">
        <f t="shared" si="1131"/>
        <v>19.5</v>
      </c>
      <c r="Q1124" s="79">
        <f>VLOOKUP(VLOOKUP(DATEVALUE(TEXT(A1124,"m/d/yyyy")),FY24_Temp[],5,FALSE)&amp;TEXT(A1124,"-h"),TempDelta[],4,FALSE)</f>
        <v>0.66985713158335003</v>
      </c>
      <c r="R1124">
        <v>10</v>
      </c>
      <c r="S1124" s="112">
        <v>1500</v>
      </c>
      <c r="T1124" s="5">
        <f>VLOOKUP(TEXT(A1124,"yy-mm")&amp;"-"&amp;IF(AND(WEEKDAY(A1124)&gt;1,WEEKDAY(A1124)&lt;7),"Wkd",TEXT(A1124,"Ddd"))&amp;"-"&amp;TEXT(A1124,"hh"),LoadTable[],3,FALSE)*0.92</f>
        <v>786.27137399656624</v>
      </c>
      <c r="U1124" s="113">
        <f t="shared" si="1132"/>
        <v>78.627137399656618</v>
      </c>
      <c r="V1124">
        <f t="shared" ref="V1124:W1124" si="1169">V1100</f>
        <v>3.6</v>
      </c>
      <c r="W1124">
        <f t="shared" si="1169"/>
        <v>3</v>
      </c>
      <c r="X1124" s="9">
        <v>3.2989286999999998</v>
      </c>
      <c r="Y1124" s="39"/>
    </row>
    <row r="1125" spans="1:25" ht="15" thickBot="1">
      <c r="A1125" s="29">
        <f t="shared" si="1114"/>
        <v>45882.749999999258</v>
      </c>
      <c r="B1125" s="30">
        <f t="shared" si="1141"/>
        <v>5000</v>
      </c>
      <c r="C1125" s="8">
        <v>25000</v>
      </c>
      <c r="D1125" s="187">
        <v>0</v>
      </c>
      <c r="E1125" s="187">
        <v>700</v>
      </c>
      <c r="F1125" s="187">
        <v>15000</v>
      </c>
      <c r="G1125" s="30">
        <f t="shared" si="1142"/>
        <v>2400</v>
      </c>
      <c r="H1125" s="8">
        <v>25000</v>
      </c>
      <c r="I1125" s="30">
        <f t="shared" si="1143"/>
        <v>5000</v>
      </c>
      <c r="J1125" s="187">
        <v>40000</v>
      </c>
      <c r="K1125" s="30">
        <f t="shared" si="1144"/>
        <v>5000</v>
      </c>
      <c r="L1125" s="187">
        <v>40000</v>
      </c>
      <c r="M1125" s="110">
        <v>9.5</v>
      </c>
      <c r="N1125" s="9">
        <f>VLOOKUP(DATE(YEAR(A1125),MONTH(A1125),DAY(A1125)),FY24_Temp[],3,FALSE)</f>
        <v>14.4</v>
      </c>
      <c r="O1125" s="110">
        <f t="shared" si="1130"/>
        <v>11.5</v>
      </c>
      <c r="P1125" s="110">
        <f t="shared" si="1131"/>
        <v>19.5</v>
      </c>
      <c r="Q1125" s="79">
        <f>VLOOKUP(VLOOKUP(DATEVALUE(TEXT(A1125,"m/d/yyyy")),FY24_Temp[],5,FALSE)&amp;TEXT(A1125,"-h"),TempDelta[],4,FALSE)</f>
        <v>0.88785713485309059</v>
      </c>
      <c r="R1125">
        <v>10</v>
      </c>
      <c r="S1125" s="112">
        <v>1500</v>
      </c>
      <c r="T1125" s="5">
        <f>VLOOKUP(TEXT(A1125,"yy-mm")&amp;"-"&amp;IF(AND(WEEKDAY(A1125)&gt;1,WEEKDAY(A1125)&lt;7),"Wkd",TEXT(A1125,"Ddd"))&amp;"-"&amp;TEXT(A1125,"hh"),LoadTable[],3,FALSE)*0.92</f>
        <v>786.27137399656647</v>
      </c>
      <c r="U1125" s="113">
        <f t="shared" si="1132"/>
        <v>78.627137399656647</v>
      </c>
      <c r="V1125">
        <f t="shared" ref="V1125:W1125" si="1170">V1101</f>
        <v>2.9</v>
      </c>
      <c r="W1125">
        <f t="shared" si="1170"/>
        <v>3</v>
      </c>
      <c r="X1125" s="9">
        <v>3.2721518999999999</v>
      </c>
      <c r="Y1125" s="39"/>
    </row>
    <row r="1126" spans="1:25" ht="15" thickBot="1">
      <c r="A1126" s="29">
        <f t="shared" si="1114"/>
        <v>45882.791666665922</v>
      </c>
      <c r="B1126" s="30">
        <f t="shared" si="1141"/>
        <v>5000</v>
      </c>
      <c r="C1126" s="8">
        <v>25000</v>
      </c>
      <c r="D1126" s="187">
        <v>0</v>
      </c>
      <c r="E1126" s="187">
        <v>700</v>
      </c>
      <c r="F1126" s="187">
        <v>15000</v>
      </c>
      <c r="G1126" s="30">
        <f t="shared" si="1142"/>
        <v>2400</v>
      </c>
      <c r="H1126" s="8">
        <v>25000</v>
      </c>
      <c r="I1126" s="30">
        <f t="shared" si="1143"/>
        <v>5000</v>
      </c>
      <c r="J1126" s="187">
        <v>40000</v>
      </c>
      <c r="K1126" s="30">
        <f t="shared" si="1144"/>
        <v>5000</v>
      </c>
      <c r="L1126" s="187">
        <v>40000</v>
      </c>
      <c r="M1126" s="110">
        <v>9.5</v>
      </c>
      <c r="N1126" s="9">
        <f>VLOOKUP(DATE(YEAR(A1126),MONTH(A1126),DAY(A1126)),FY24_Temp[],3,FALSE)</f>
        <v>14.4</v>
      </c>
      <c r="O1126" s="110">
        <f t="shared" si="1130"/>
        <v>11.5</v>
      </c>
      <c r="P1126" s="110">
        <f t="shared" si="1131"/>
        <v>19.5</v>
      </c>
      <c r="Q1126" s="79">
        <f>VLOOKUP(VLOOKUP(DATEVALUE(TEXT(A1126,"m/d/yyyy")),FY24_Temp[],5,FALSE)&amp;TEXT(A1126,"-h"),TempDelta[],4,FALSE)</f>
        <v>1.1961428693362646</v>
      </c>
      <c r="R1126">
        <v>10</v>
      </c>
      <c r="S1126" s="112">
        <v>1500</v>
      </c>
      <c r="T1126" s="5">
        <f>VLOOKUP(TEXT(A1126,"yy-mm")&amp;"-"&amp;IF(AND(WEEKDAY(A1126)&gt;1,WEEKDAY(A1126)&lt;7),"Wkd",TEXT(A1126,"Ddd"))&amp;"-"&amp;TEXT(A1126,"hh"),LoadTable[],3,FALSE)*0.92</f>
        <v>786.27137399656647</v>
      </c>
      <c r="U1126" s="113">
        <f t="shared" si="1132"/>
        <v>78.627137399656647</v>
      </c>
      <c r="V1126">
        <f t="shared" ref="V1126:W1126" si="1171">V1102</f>
        <v>3</v>
      </c>
      <c r="W1126">
        <f t="shared" si="1171"/>
        <v>3</v>
      </c>
      <c r="X1126" s="9">
        <v>3.2928169</v>
      </c>
      <c r="Y1126" s="39"/>
    </row>
    <row r="1127" spans="1:25" ht="15" thickBot="1">
      <c r="A1127" s="29">
        <f t="shared" si="1114"/>
        <v>45882.833333332586</v>
      </c>
      <c r="B1127" s="30">
        <f t="shared" si="1141"/>
        <v>5000</v>
      </c>
      <c r="C1127" s="8">
        <v>25000</v>
      </c>
      <c r="D1127" s="187">
        <v>0</v>
      </c>
      <c r="E1127" s="187">
        <v>700</v>
      </c>
      <c r="F1127" s="187">
        <v>15000</v>
      </c>
      <c r="G1127" s="30">
        <f t="shared" si="1142"/>
        <v>2400</v>
      </c>
      <c r="H1127" s="8">
        <v>25000</v>
      </c>
      <c r="I1127" s="30">
        <f t="shared" si="1143"/>
        <v>5000</v>
      </c>
      <c r="J1127" s="187">
        <v>40000</v>
      </c>
      <c r="K1127" s="30">
        <f t="shared" si="1144"/>
        <v>5000</v>
      </c>
      <c r="L1127" s="187">
        <v>40000</v>
      </c>
      <c r="M1127" s="110">
        <v>9.5</v>
      </c>
      <c r="N1127" s="9">
        <f>VLOOKUP(DATE(YEAR(A1127),MONTH(A1127),DAY(A1127)),FY24_Temp[],3,FALSE)</f>
        <v>14.4</v>
      </c>
      <c r="O1127" s="110">
        <f t="shared" si="1130"/>
        <v>11.5</v>
      </c>
      <c r="P1127" s="110">
        <f t="shared" si="1131"/>
        <v>19.5</v>
      </c>
      <c r="Q1127" s="79">
        <f>VLOOKUP(VLOOKUP(DATEVALUE(TEXT(A1127,"m/d/yyyy")),FY24_Temp[],5,FALSE)&amp;TEXT(A1127,"-h"),TempDelta[],4,FALSE)</f>
        <v>1.6075714315686906</v>
      </c>
      <c r="R1127">
        <v>10</v>
      </c>
      <c r="S1127" s="112">
        <v>1500</v>
      </c>
      <c r="T1127" s="5">
        <f>VLOOKUP(TEXT(A1127,"yy-mm")&amp;"-"&amp;IF(AND(WEEKDAY(A1127)&gt;1,WEEKDAY(A1127)&lt;7),"Wkd",TEXT(A1127,"Ddd"))&amp;"-"&amp;TEXT(A1127,"hh"),LoadTable[],3,FALSE)*0.92</f>
        <v>786.27137399656647</v>
      </c>
      <c r="U1127" s="113">
        <f t="shared" si="1132"/>
        <v>78.627137399656647</v>
      </c>
      <c r="V1127">
        <f t="shared" ref="V1127:W1127" si="1172">V1103</f>
        <v>2.8</v>
      </c>
      <c r="W1127">
        <f t="shared" si="1172"/>
        <v>3.1</v>
      </c>
      <c r="X1127" s="9">
        <v>3.278883</v>
      </c>
      <c r="Y1127" s="39"/>
    </row>
    <row r="1128" spans="1:25" ht="15" thickBot="1">
      <c r="A1128" s="29">
        <f t="shared" si="1114"/>
        <v>45882.874999999251</v>
      </c>
      <c r="B1128" s="30">
        <f t="shared" si="1141"/>
        <v>5000</v>
      </c>
      <c r="C1128" s="8">
        <v>25000</v>
      </c>
      <c r="D1128" s="187">
        <v>0</v>
      </c>
      <c r="E1128" s="187">
        <v>700</v>
      </c>
      <c r="F1128" s="187">
        <v>15000</v>
      </c>
      <c r="G1128" s="30">
        <f t="shared" si="1142"/>
        <v>2400</v>
      </c>
      <c r="H1128" s="8">
        <v>25000</v>
      </c>
      <c r="I1128" s="30">
        <f t="shared" si="1143"/>
        <v>5000</v>
      </c>
      <c r="J1128" s="187">
        <v>40000</v>
      </c>
      <c r="K1128" s="30">
        <f t="shared" si="1144"/>
        <v>5000</v>
      </c>
      <c r="L1128" s="187">
        <v>40000</v>
      </c>
      <c r="M1128" s="110">
        <v>9.5</v>
      </c>
      <c r="N1128" s="9">
        <f>VLOOKUP(DATE(YEAR(A1128),MONTH(A1128),DAY(A1128)),FY24_Temp[],3,FALSE)</f>
        <v>14.4</v>
      </c>
      <c r="O1128" s="110">
        <f t="shared" si="1130"/>
        <v>11.5</v>
      </c>
      <c r="P1128" s="110">
        <f t="shared" si="1131"/>
        <v>19.5</v>
      </c>
      <c r="Q1128" s="79">
        <f>VLOOKUP(VLOOKUP(DATEVALUE(TEXT(A1128,"m/d/yyyy")),FY24_Temp[],5,FALSE)&amp;TEXT(A1128,"-h"),TempDelta[],4,FALSE)</f>
        <v>1.9315714410373144</v>
      </c>
      <c r="R1128">
        <v>10</v>
      </c>
      <c r="S1128" s="112">
        <v>1500</v>
      </c>
      <c r="T1128" s="5">
        <f>VLOOKUP(TEXT(A1128,"yy-mm")&amp;"-"&amp;IF(AND(WEEKDAY(A1128)&gt;1,WEEKDAY(A1128)&lt;7),"Wkd",TEXT(A1128,"Ddd"))&amp;"-"&amp;TEXT(A1128,"hh"),LoadTable[],3,FALSE)*0.92</f>
        <v>784.39716226323299</v>
      </c>
      <c r="U1128" s="113">
        <f t="shared" si="1132"/>
        <v>78.439716226323299</v>
      </c>
      <c r="V1128">
        <f t="shared" ref="V1128:W1128" si="1173">V1104</f>
        <v>3.5</v>
      </c>
      <c r="W1128">
        <f t="shared" si="1173"/>
        <v>3.1</v>
      </c>
      <c r="X1128" s="9">
        <v>3.1985253999999999</v>
      </c>
      <c r="Y1128" s="39"/>
    </row>
    <row r="1129" spans="1:25" ht="15" thickBot="1">
      <c r="A1129" s="29">
        <f t="shared" si="1114"/>
        <v>45882.916666665915</v>
      </c>
      <c r="B1129" s="30">
        <f t="shared" si="1141"/>
        <v>5000</v>
      </c>
      <c r="C1129" s="8">
        <v>25000</v>
      </c>
      <c r="D1129" s="187">
        <v>0</v>
      </c>
      <c r="E1129" s="187">
        <v>700</v>
      </c>
      <c r="F1129" s="187">
        <v>15000</v>
      </c>
      <c r="G1129" s="30">
        <f t="shared" si="1142"/>
        <v>2400</v>
      </c>
      <c r="H1129" s="8">
        <v>25000</v>
      </c>
      <c r="I1129" s="30">
        <f t="shared" si="1143"/>
        <v>5000</v>
      </c>
      <c r="J1129" s="187">
        <v>40000</v>
      </c>
      <c r="K1129" s="30">
        <f t="shared" si="1144"/>
        <v>5000</v>
      </c>
      <c r="L1129" s="187">
        <v>40000</v>
      </c>
      <c r="M1129" s="110">
        <v>9.5</v>
      </c>
      <c r="N1129" s="9">
        <f>VLOOKUP(DATE(YEAR(A1129),MONTH(A1129),DAY(A1129)),FY24_Temp[],3,FALSE)</f>
        <v>14.4</v>
      </c>
      <c r="O1129" s="110">
        <f t="shared" si="1130"/>
        <v>11.5</v>
      </c>
      <c r="P1129" s="110">
        <f t="shared" si="1131"/>
        <v>19.5</v>
      </c>
      <c r="Q1129" s="79">
        <f>VLOOKUP(VLOOKUP(DATEVALUE(TEXT(A1129,"m/d/yyyy")),FY24_Temp[],5,FALSE)&amp;TEXT(A1129,"-h"),TempDelta[],4,FALSE)</f>
        <v>2.2258571556636264</v>
      </c>
      <c r="R1129">
        <v>10</v>
      </c>
      <c r="S1129" s="112">
        <v>1500</v>
      </c>
      <c r="T1129" s="5">
        <f>VLOOKUP(TEXT(A1129,"yy-mm")&amp;"-"&amp;IF(AND(WEEKDAY(A1129)&gt;1,WEEKDAY(A1129)&lt;7),"Wkd",TEXT(A1129,"Ddd"))&amp;"-"&amp;TEXT(A1129,"hh"),LoadTable[],3,FALSE)*0.92</f>
        <v>600.06900003761973</v>
      </c>
      <c r="U1129" s="113">
        <f t="shared" si="1132"/>
        <v>60.00690000376197</v>
      </c>
      <c r="V1129">
        <f t="shared" ref="V1129:W1129" si="1174">V1105</f>
        <v>2.9</v>
      </c>
      <c r="W1129">
        <f t="shared" si="1174"/>
        <v>3.1</v>
      </c>
      <c r="X1129" s="9">
        <v>3.1214426</v>
      </c>
      <c r="Y1129" s="39"/>
    </row>
    <row r="1130" spans="1:25" ht="15" thickBot="1">
      <c r="A1130" s="29">
        <f t="shared" si="1114"/>
        <v>45882.958333332579</v>
      </c>
      <c r="B1130" s="30">
        <f t="shared" si="1141"/>
        <v>5000</v>
      </c>
      <c r="C1130" s="8">
        <v>25000</v>
      </c>
      <c r="D1130" s="187">
        <v>0</v>
      </c>
      <c r="E1130" s="187">
        <v>700</v>
      </c>
      <c r="F1130" s="187">
        <v>15000</v>
      </c>
      <c r="G1130" s="30">
        <f t="shared" si="1142"/>
        <v>2400</v>
      </c>
      <c r="H1130" s="41">
        <v>25000</v>
      </c>
      <c r="I1130" s="30">
        <f t="shared" si="1143"/>
        <v>5000</v>
      </c>
      <c r="J1130" s="187">
        <v>40000</v>
      </c>
      <c r="K1130" s="30">
        <f t="shared" si="1144"/>
        <v>5000</v>
      </c>
      <c r="L1130" s="187">
        <v>40000</v>
      </c>
      <c r="M1130" s="110">
        <v>9.5</v>
      </c>
      <c r="N1130" s="9">
        <f>VLOOKUP(DATE(YEAR(A1130),MONTH(A1130),DAY(A1130)),FY24_Temp[],3,FALSE)</f>
        <v>14.4</v>
      </c>
      <c r="O1130" s="110">
        <f t="shared" si="1130"/>
        <v>11.5</v>
      </c>
      <c r="P1130" s="110">
        <f t="shared" si="1131"/>
        <v>19.5</v>
      </c>
      <c r="Q1130" s="85">
        <f>VLOOKUP(VLOOKUP(DATEVALUE(TEXT(A1130,"m/d/yyyy")),FY24_Temp[],5,FALSE)&amp;TEXT(A1130,"-h"),TempDelta[],4,FALSE)</f>
        <v>2.3604285717010498</v>
      </c>
      <c r="R1130">
        <v>10</v>
      </c>
      <c r="S1130" s="112">
        <v>1500</v>
      </c>
      <c r="T1130" s="97">
        <f>VLOOKUP(TEXT(A1130,"yy-mm")&amp;"-"&amp;IF(AND(WEEKDAY(A1130)&gt;1,WEEKDAY(A1130)&lt;7),"Wkd",TEXT(A1130,"Ddd"))&amp;"-"&amp;TEXT(A1130,"hh"),LoadTable[],3,FALSE)*0.92</f>
        <v>486.44539999999989</v>
      </c>
      <c r="U1130" s="113">
        <f t="shared" si="1132"/>
        <v>48.644539999999992</v>
      </c>
      <c r="V1130">
        <f t="shared" ref="V1130:W1130" si="1175">V1106</f>
        <v>3.6</v>
      </c>
      <c r="W1130">
        <f t="shared" si="1175"/>
        <v>3.1</v>
      </c>
      <c r="X1130" s="84">
        <v>3.0629621</v>
      </c>
      <c r="Y1130" s="39"/>
    </row>
    <row r="1131" spans="1:25" ht="15" thickBot="1">
      <c r="A1131" s="29">
        <f t="shared" si="1114"/>
        <v>45882.999999999243</v>
      </c>
      <c r="B1131" s="30">
        <f t="shared" si="1141"/>
        <v>5000</v>
      </c>
      <c r="C1131" s="8">
        <v>25000</v>
      </c>
      <c r="D1131" s="187">
        <v>0</v>
      </c>
      <c r="E1131" s="187">
        <v>700</v>
      </c>
      <c r="F1131" s="187">
        <v>15000</v>
      </c>
      <c r="G1131" s="30">
        <f t="shared" si="1142"/>
        <v>2400</v>
      </c>
      <c r="H1131" s="8">
        <v>25000</v>
      </c>
      <c r="I1131" s="30">
        <f t="shared" si="1143"/>
        <v>5000</v>
      </c>
      <c r="J1131" s="187">
        <v>40000</v>
      </c>
      <c r="K1131" s="30">
        <f t="shared" si="1144"/>
        <v>5000</v>
      </c>
      <c r="L1131" s="187">
        <v>40000</v>
      </c>
      <c r="M1131" s="110">
        <v>9.5</v>
      </c>
      <c r="N1131" s="9">
        <f>VLOOKUP(DATE(YEAR(A1131),MONTH(A1131),DAY(A1131)),FY24_Temp[],3,FALSE)</f>
        <v>14.4</v>
      </c>
      <c r="O1131" s="110">
        <f t="shared" si="1130"/>
        <v>11.5</v>
      </c>
      <c r="P1131" s="110">
        <f t="shared" si="1131"/>
        <v>19.5</v>
      </c>
      <c r="Q1131" s="79">
        <f>VLOOKUP(VLOOKUP(DATEVALUE(TEXT(A1131,"m/d/yyyy")),FY24_Temp[],5,FALSE)&amp;TEXT(A1131,"-h"),TempDelta[],4,FALSE)</f>
        <v>2.4882856777736118</v>
      </c>
      <c r="R1131">
        <v>10</v>
      </c>
      <c r="S1131" s="112">
        <v>1500</v>
      </c>
      <c r="T1131" s="5">
        <f>VLOOKUP(TEXT(A1131,"yy-mm")&amp;"-"&amp;IF(AND(WEEKDAY(A1131)&gt;1,WEEKDAY(A1131)&lt;7),"Wkd",TEXT(A1131,"Ddd"))&amp;"-"&amp;TEXT(A1131,"hh"),LoadTable[],3,FALSE)*0.92</f>
        <v>372.20164</v>
      </c>
      <c r="U1131" s="113">
        <f t="shared" si="1132"/>
        <v>37.220163999999997</v>
      </c>
      <c r="V1131">
        <f t="shared" ref="V1131:W1131" si="1176">V1107</f>
        <v>3</v>
      </c>
      <c r="W1131">
        <f t="shared" si="1176"/>
        <v>3.2</v>
      </c>
      <c r="X1131" s="9">
        <v>3.0725033000000002</v>
      </c>
      <c r="Y1131" s="39"/>
    </row>
    <row r="1132" spans="1:25" ht="15" thickBot="1">
      <c r="A1132" s="29">
        <f t="shared" si="1114"/>
        <v>45883.041666665908</v>
      </c>
      <c r="B1132" s="30">
        <f t="shared" si="1141"/>
        <v>5000</v>
      </c>
      <c r="C1132" s="8">
        <v>25000</v>
      </c>
      <c r="D1132" s="187">
        <v>0</v>
      </c>
      <c r="E1132" s="187">
        <v>700</v>
      </c>
      <c r="F1132" s="187">
        <v>15000</v>
      </c>
      <c r="G1132" s="30">
        <f t="shared" si="1142"/>
        <v>2400</v>
      </c>
      <c r="H1132" s="42">
        <v>25000</v>
      </c>
      <c r="I1132" s="30">
        <f t="shared" si="1143"/>
        <v>5000</v>
      </c>
      <c r="J1132" s="187">
        <v>40000</v>
      </c>
      <c r="K1132" s="30">
        <f t="shared" si="1144"/>
        <v>5000</v>
      </c>
      <c r="L1132" s="187">
        <v>40000</v>
      </c>
      <c r="M1132" s="110">
        <v>9.5</v>
      </c>
      <c r="N1132" s="9">
        <f>VLOOKUP(DATE(YEAR(A1132),MONTH(A1132),DAY(A1132)),FY24_Temp[],3,FALSE)</f>
        <v>14.4</v>
      </c>
      <c r="O1132" s="110">
        <f t="shared" si="1130"/>
        <v>11.5</v>
      </c>
      <c r="P1132" s="110">
        <f t="shared" si="1131"/>
        <v>19.5</v>
      </c>
      <c r="Q1132" s="87">
        <f>VLOOKUP(VLOOKUP(DATEVALUE(TEXT(A1132,"m/d/yyyy")),FY24_Temp[],5,FALSE)&amp;TEXT(A1132,"-h"),TempDelta[],4,FALSE)</f>
        <v>2.5384285790579662</v>
      </c>
      <c r="R1132">
        <v>10</v>
      </c>
      <c r="S1132" s="112">
        <v>1500</v>
      </c>
      <c r="T1132" s="98">
        <f>VLOOKUP(TEXT(A1132,"yy-mm")&amp;"-"&amp;IF(AND(WEEKDAY(A1132)&gt;1,WEEKDAY(A1132)&lt;7),"Wkd",TEXT(A1132,"Ddd"))&amp;"-"&amp;TEXT(A1132,"hh"),LoadTable[],3,FALSE)*0.92</f>
        <v>363.06235999999996</v>
      </c>
      <c r="U1132" s="113">
        <f t="shared" si="1132"/>
        <v>36.306235999999998</v>
      </c>
      <c r="V1132">
        <f t="shared" ref="V1132:W1132" si="1177">V1108</f>
        <v>2.6</v>
      </c>
      <c r="W1132">
        <f t="shared" si="1177"/>
        <v>3.2</v>
      </c>
      <c r="X1132" s="86">
        <v>3.1082033999999998</v>
      </c>
      <c r="Y1132" s="39"/>
    </row>
    <row r="1133" spans="1:25" ht="15" thickBot="1">
      <c r="A1133" s="29">
        <f t="shared" si="1114"/>
        <v>45883.083333332572</v>
      </c>
      <c r="B1133" s="30">
        <f t="shared" si="1141"/>
        <v>5000</v>
      </c>
      <c r="C1133" s="8">
        <v>25000</v>
      </c>
      <c r="D1133" s="187">
        <v>0</v>
      </c>
      <c r="E1133" s="187">
        <v>700</v>
      </c>
      <c r="F1133" s="187">
        <v>15000</v>
      </c>
      <c r="G1133" s="30">
        <f t="shared" si="1142"/>
        <v>2400</v>
      </c>
      <c r="H1133" s="8">
        <v>25000</v>
      </c>
      <c r="I1133" s="30">
        <f t="shared" si="1143"/>
        <v>5000</v>
      </c>
      <c r="J1133" s="187">
        <v>40000</v>
      </c>
      <c r="K1133" s="30">
        <f t="shared" si="1144"/>
        <v>5000</v>
      </c>
      <c r="L1133" s="187">
        <v>40000</v>
      </c>
      <c r="M1133" s="110">
        <v>9.5</v>
      </c>
      <c r="N1133" s="9">
        <f>VLOOKUP(DATE(YEAR(A1133),MONTH(A1133),DAY(A1133)),FY24_Temp[],3,FALSE)</f>
        <v>14.4</v>
      </c>
      <c r="O1133" s="110">
        <f t="shared" si="1130"/>
        <v>11.5</v>
      </c>
      <c r="P1133" s="110">
        <f t="shared" si="1131"/>
        <v>19.5</v>
      </c>
      <c r="Q1133" s="79">
        <f>VLOOKUP(VLOOKUP(DATEVALUE(TEXT(A1133,"m/d/yyyy")),FY24_Temp[],5,FALSE)&amp;TEXT(A1133,"-h"),TempDelta[],4,FALSE)</f>
        <v>2.5558571474892751</v>
      </c>
      <c r="R1133">
        <v>10</v>
      </c>
      <c r="S1133" s="112">
        <v>1500</v>
      </c>
      <c r="T1133" s="5">
        <f>VLOOKUP(TEXT(A1133,"yy-mm")&amp;"-"&amp;IF(AND(WEEKDAY(A1133)&gt;1,WEEKDAY(A1133)&lt;7),"Wkd",TEXT(A1133,"Ddd"))&amp;"-"&amp;TEXT(A1133,"hh"),LoadTable[],3,FALSE)*0.92</f>
        <v>363.06235999999996</v>
      </c>
      <c r="U1133" s="113">
        <f t="shared" si="1132"/>
        <v>36.306235999999998</v>
      </c>
      <c r="V1133">
        <f t="shared" ref="V1133:W1133" si="1178">V1109</f>
        <v>2.8</v>
      </c>
      <c r="W1133">
        <f t="shared" si="1178"/>
        <v>3.2</v>
      </c>
      <c r="X1133" s="9">
        <v>3.1520370999999998</v>
      </c>
      <c r="Y1133" s="39"/>
    </row>
    <row r="1134" spans="1:25" ht="15" thickBot="1">
      <c r="A1134" s="29">
        <f t="shared" si="1114"/>
        <v>45883.124999999236</v>
      </c>
      <c r="B1134" s="30">
        <f t="shared" si="1141"/>
        <v>5000</v>
      </c>
      <c r="C1134" s="8">
        <v>25000</v>
      </c>
      <c r="D1134" s="187">
        <v>0</v>
      </c>
      <c r="E1134" s="187">
        <v>700</v>
      </c>
      <c r="F1134" s="187">
        <v>15000</v>
      </c>
      <c r="G1134" s="30">
        <f t="shared" si="1142"/>
        <v>2400</v>
      </c>
      <c r="H1134" s="8">
        <v>25000</v>
      </c>
      <c r="I1134" s="30">
        <f t="shared" si="1143"/>
        <v>5000</v>
      </c>
      <c r="J1134" s="187">
        <v>40000</v>
      </c>
      <c r="K1134" s="30">
        <f t="shared" si="1144"/>
        <v>5000</v>
      </c>
      <c r="L1134" s="187">
        <v>40000</v>
      </c>
      <c r="M1134" s="110">
        <v>9.5</v>
      </c>
      <c r="N1134" s="9">
        <f>VLOOKUP(DATE(YEAR(A1134),MONTH(A1134),DAY(A1134)),FY24_Temp[],3,FALSE)</f>
        <v>14.4</v>
      </c>
      <c r="O1134" s="110">
        <f t="shared" si="1130"/>
        <v>11.5</v>
      </c>
      <c r="P1134" s="110">
        <f t="shared" si="1131"/>
        <v>19.5</v>
      </c>
      <c r="Q1134" s="79">
        <f>VLOOKUP(VLOOKUP(DATEVALUE(TEXT(A1134,"m/d/yyyy")),FY24_Temp[],5,FALSE)&amp;TEXT(A1134,"-h"),TempDelta[],4,FALSE)</f>
        <v>2.5525713988712857</v>
      </c>
      <c r="R1134">
        <v>10</v>
      </c>
      <c r="S1134" s="112">
        <v>1500</v>
      </c>
      <c r="T1134" s="5">
        <f>VLOOKUP(TEXT(A1134,"yy-mm")&amp;"-"&amp;IF(AND(WEEKDAY(A1134)&gt;1,WEEKDAY(A1134)&lt;7),"Wkd",TEXT(A1134,"Ddd"))&amp;"-"&amp;TEXT(A1134,"hh"),LoadTable[],3,FALSE)*0.92</f>
        <v>363.06235999999996</v>
      </c>
      <c r="U1134" s="113">
        <f t="shared" si="1132"/>
        <v>36.306235999999998</v>
      </c>
      <c r="V1134">
        <f t="shared" ref="V1134:W1134" si="1179">V1110</f>
        <v>2.7</v>
      </c>
      <c r="W1134">
        <f t="shared" si="1179"/>
        <v>3.2</v>
      </c>
      <c r="X1134" s="9">
        <v>3.1877488999999999</v>
      </c>
      <c r="Y1134" s="39"/>
    </row>
    <row r="1135" spans="1:25" ht="15" thickBot="1">
      <c r="A1135" s="29">
        <f t="shared" si="1114"/>
        <v>45883.1666666659</v>
      </c>
      <c r="B1135" s="30">
        <f t="shared" si="1141"/>
        <v>5000</v>
      </c>
      <c r="C1135" s="8">
        <v>25000</v>
      </c>
      <c r="D1135" s="187">
        <v>0</v>
      </c>
      <c r="E1135" s="187">
        <v>700</v>
      </c>
      <c r="F1135" s="187">
        <v>15000</v>
      </c>
      <c r="G1135" s="30">
        <f t="shared" si="1142"/>
        <v>2400</v>
      </c>
      <c r="H1135" s="8">
        <v>25000</v>
      </c>
      <c r="I1135" s="30">
        <f t="shared" si="1143"/>
        <v>5000</v>
      </c>
      <c r="J1135" s="187">
        <v>40000</v>
      </c>
      <c r="K1135" s="30">
        <f t="shared" si="1144"/>
        <v>5000</v>
      </c>
      <c r="L1135" s="187">
        <v>40000</v>
      </c>
      <c r="M1135" s="110">
        <v>9.5</v>
      </c>
      <c r="N1135" s="9">
        <f>VLOOKUP(DATE(YEAR(A1135),MONTH(A1135),DAY(A1135)),FY24_Temp[],3,FALSE)</f>
        <v>14.4</v>
      </c>
      <c r="O1135" s="110">
        <f t="shared" si="1130"/>
        <v>11.5</v>
      </c>
      <c r="P1135" s="110">
        <f t="shared" si="1131"/>
        <v>19.5</v>
      </c>
      <c r="Q1135" s="79">
        <f>VLOOKUP(VLOOKUP(DATEVALUE(TEXT(A1135,"m/d/yyyy")),FY24_Temp[],5,FALSE)&amp;TEXT(A1135,"-h"),TempDelta[],4,FALSE)</f>
        <v>2.5564285346439908</v>
      </c>
      <c r="R1135">
        <v>10</v>
      </c>
      <c r="S1135" s="112">
        <v>1500</v>
      </c>
      <c r="T1135" s="5">
        <f>VLOOKUP(TEXT(A1135,"yy-mm")&amp;"-"&amp;IF(AND(WEEKDAY(A1135)&gt;1,WEEKDAY(A1135)&lt;7),"Wkd",TEXT(A1135,"Ddd"))&amp;"-"&amp;TEXT(A1135,"hh"),LoadTable[],3,FALSE)*0.92</f>
        <v>363.06235999999996</v>
      </c>
      <c r="U1135" s="113">
        <f t="shared" si="1132"/>
        <v>36.306235999999998</v>
      </c>
      <c r="V1135">
        <f t="shared" ref="V1135:W1135" si="1180">V1111</f>
        <v>3</v>
      </c>
      <c r="W1135">
        <f t="shared" si="1180"/>
        <v>3.1</v>
      </c>
      <c r="X1135" s="9">
        <v>3.2085164000000002</v>
      </c>
      <c r="Y1135" s="39"/>
    </row>
    <row r="1136" spans="1:25" ht="15" thickBot="1">
      <c r="A1136" s="29">
        <f t="shared" si="1114"/>
        <v>45883.208333332565</v>
      </c>
      <c r="B1136" s="30">
        <f t="shared" si="1141"/>
        <v>5000</v>
      </c>
      <c r="C1136" s="8">
        <v>25000</v>
      </c>
      <c r="D1136" s="187">
        <v>0</v>
      </c>
      <c r="E1136" s="187">
        <v>700</v>
      </c>
      <c r="F1136" s="187">
        <v>15000</v>
      </c>
      <c r="G1136" s="30">
        <f t="shared" si="1142"/>
        <v>2400</v>
      </c>
      <c r="H1136" s="8">
        <v>25000</v>
      </c>
      <c r="I1136" s="30">
        <f t="shared" si="1143"/>
        <v>5000</v>
      </c>
      <c r="J1136" s="187">
        <v>40000</v>
      </c>
      <c r="K1136" s="30">
        <f t="shared" si="1144"/>
        <v>5000</v>
      </c>
      <c r="L1136" s="187">
        <v>40000</v>
      </c>
      <c r="M1136" s="110">
        <v>9.5</v>
      </c>
      <c r="N1136" s="9">
        <f>VLOOKUP(DATE(YEAR(A1136),MONTH(A1136),DAY(A1136)),FY24_Temp[],3,FALSE)</f>
        <v>14.4</v>
      </c>
      <c r="O1136" s="110">
        <f t="shared" si="1130"/>
        <v>11.5</v>
      </c>
      <c r="P1136" s="110">
        <f t="shared" si="1131"/>
        <v>19.5</v>
      </c>
      <c r="Q1136" s="79">
        <f>VLOOKUP(VLOOKUP(DATEVALUE(TEXT(A1136,"m/d/yyyy")),FY24_Temp[],5,FALSE)&amp;TEXT(A1136,"-h"),TempDelta[],4,FALSE)</f>
        <v>2.6032857554299489</v>
      </c>
      <c r="R1136">
        <v>10</v>
      </c>
      <c r="S1136" s="112">
        <v>1500</v>
      </c>
      <c r="T1136" s="5">
        <f>VLOOKUP(TEXT(A1136,"yy-mm")&amp;"-"&amp;IF(AND(WEEKDAY(A1136)&gt;1,WEEKDAY(A1136)&lt;7),"Wkd",TEXT(A1136,"Ddd"))&amp;"-"&amp;TEXT(A1136,"hh"),LoadTable[],3,FALSE)*0.92</f>
        <v>363.06235999999996</v>
      </c>
      <c r="U1136" s="113">
        <f t="shared" si="1132"/>
        <v>36.306235999999998</v>
      </c>
      <c r="V1136">
        <f t="shared" ref="V1136:W1136" si="1181">V1112</f>
        <v>2.9</v>
      </c>
      <c r="W1136">
        <f t="shared" si="1181"/>
        <v>3.1</v>
      </c>
      <c r="X1136" s="9">
        <v>3.2694032000000002</v>
      </c>
      <c r="Y1136" s="39"/>
    </row>
    <row r="1137" spans="1:25" ht="15" thickBot="1">
      <c r="A1137" s="29">
        <f t="shared" si="1114"/>
        <v>45883.249999999229</v>
      </c>
      <c r="B1137" s="30">
        <f t="shared" si="1141"/>
        <v>8000</v>
      </c>
      <c r="C1137" s="8">
        <v>25000</v>
      </c>
      <c r="D1137" s="187">
        <v>0</v>
      </c>
      <c r="E1137" s="187">
        <v>700</v>
      </c>
      <c r="F1137" s="187">
        <v>15000</v>
      </c>
      <c r="G1137" s="30">
        <f t="shared" si="1142"/>
        <v>2400</v>
      </c>
      <c r="H1137" s="8">
        <v>25000</v>
      </c>
      <c r="I1137" s="30">
        <f t="shared" si="1143"/>
        <v>8000</v>
      </c>
      <c r="J1137" s="187">
        <v>40000</v>
      </c>
      <c r="K1137" s="30">
        <f t="shared" si="1144"/>
        <v>8000</v>
      </c>
      <c r="L1137" s="187">
        <v>40000</v>
      </c>
      <c r="M1137" s="110">
        <v>9.5</v>
      </c>
      <c r="N1137" s="9">
        <f>VLOOKUP(DATE(YEAR(A1137),MONTH(A1137),DAY(A1137)),FY24_Temp[],3,FALSE)</f>
        <v>14.4</v>
      </c>
      <c r="O1137" s="110">
        <f t="shared" si="1130"/>
        <v>11.5</v>
      </c>
      <c r="P1137" s="110">
        <f t="shared" si="1131"/>
        <v>19.5</v>
      </c>
      <c r="Q1137" s="79">
        <f>VLOOKUP(VLOOKUP(DATEVALUE(TEXT(A1137,"m/d/yyyy")),FY24_Temp[],5,FALSE)&amp;TEXT(A1137,"-h"),TempDelta[],4,FALSE)</f>
        <v>2.6161428519657681</v>
      </c>
      <c r="R1137">
        <v>10</v>
      </c>
      <c r="S1137" s="112">
        <v>1500</v>
      </c>
      <c r="T1137" s="5">
        <f>VLOOKUP(TEXT(A1137,"yy-mm")&amp;"-"&amp;IF(AND(WEEKDAY(A1137)&gt;1,WEEKDAY(A1137)&lt;7),"Wkd",TEXT(A1137,"Ddd"))&amp;"-"&amp;TEXT(A1137,"hh"),LoadTable[],3,FALSE)*0.92</f>
        <v>363.06235999999996</v>
      </c>
      <c r="U1137" s="113">
        <f t="shared" si="1132"/>
        <v>36.306235999999998</v>
      </c>
      <c r="V1137">
        <f t="shared" ref="V1137:W1137" si="1182">V1113</f>
        <v>2.5</v>
      </c>
      <c r="W1137">
        <f t="shared" si="1182"/>
        <v>3.1</v>
      </c>
      <c r="X1137" s="9">
        <v>3.3373686999999999</v>
      </c>
      <c r="Y1137" s="39"/>
    </row>
    <row r="1138" spans="1:25" ht="15" thickBot="1">
      <c r="A1138" s="29">
        <f t="shared" si="1114"/>
        <v>45883.291666665893</v>
      </c>
      <c r="B1138" s="30">
        <f t="shared" si="1141"/>
        <v>8000</v>
      </c>
      <c r="C1138" s="8">
        <v>25000</v>
      </c>
      <c r="D1138" s="187">
        <v>0</v>
      </c>
      <c r="E1138" s="187">
        <v>700</v>
      </c>
      <c r="F1138" s="187">
        <v>15000</v>
      </c>
      <c r="G1138" s="30">
        <f t="shared" si="1142"/>
        <v>2400</v>
      </c>
      <c r="H1138" s="8">
        <v>25000</v>
      </c>
      <c r="I1138" s="30">
        <f t="shared" si="1143"/>
        <v>8000</v>
      </c>
      <c r="J1138" s="187">
        <v>40000</v>
      </c>
      <c r="K1138" s="30">
        <f t="shared" si="1144"/>
        <v>8000</v>
      </c>
      <c r="L1138" s="187">
        <v>40000</v>
      </c>
      <c r="M1138" s="110">
        <v>9.5</v>
      </c>
      <c r="N1138" s="9">
        <f>VLOOKUP(DATE(YEAR(A1138),MONTH(A1138),DAY(A1138)),FY24_Temp[],3,FALSE)</f>
        <v>14.4</v>
      </c>
      <c r="O1138" s="110">
        <f t="shared" si="1130"/>
        <v>11.5</v>
      </c>
      <c r="P1138" s="110">
        <f t="shared" si="1131"/>
        <v>19.5</v>
      </c>
      <c r="Q1138" s="79">
        <f>VLOOKUP(VLOOKUP(DATEVALUE(TEXT(A1138,"m/d/yyyy")),FY24_Temp[],5,FALSE)&amp;TEXT(A1138,"-h"),TempDelta[],4,FALSE)</f>
        <v>2.582714251109532</v>
      </c>
      <c r="R1138">
        <v>10</v>
      </c>
      <c r="S1138" s="112">
        <v>1500</v>
      </c>
      <c r="T1138" s="5">
        <f>VLOOKUP(TEXT(A1138,"yy-mm")&amp;"-"&amp;IF(AND(WEEKDAY(A1138)&gt;1,WEEKDAY(A1138)&lt;7),"Wkd",TEXT(A1138,"Ddd"))&amp;"-"&amp;TEXT(A1138,"hh"),LoadTable[],3,FALSE)*0.92</f>
        <v>352.2091200000001</v>
      </c>
      <c r="U1138" s="113">
        <f t="shared" si="1132"/>
        <v>35.220912000000013</v>
      </c>
      <c r="V1138">
        <f t="shared" ref="V1138:W1138" si="1183">V1114</f>
        <v>2.5</v>
      </c>
      <c r="W1138">
        <f t="shared" si="1183"/>
        <v>3.1</v>
      </c>
      <c r="X1138" s="9">
        <v>3.3441931999999999</v>
      </c>
      <c r="Y1138" s="39"/>
    </row>
    <row r="1139" spans="1:25" ht="15" thickBot="1">
      <c r="A1139" s="29">
        <f t="shared" si="1114"/>
        <v>45883.333333332557</v>
      </c>
      <c r="B1139" s="30">
        <f t="shared" si="1141"/>
        <v>8000</v>
      </c>
      <c r="C1139" s="8">
        <v>25000</v>
      </c>
      <c r="D1139" s="187">
        <v>0</v>
      </c>
      <c r="E1139" s="187">
        <v>700</v>
      </c>
      <c r="F1139" s="187">
        <v>15000</v>
      </c>
      <c r="G1139" s="30">
        <f t="shared" si="1142"/>
        <v>2400</v>
      </c>
      <c r="H1139" s="8">
        <v>25000</v>
      </c>
      <c r="I1139" s="30">
        <f t="shared" si="1143"/>
        <v>8000</v>
      </c>
      <c r="J1139" s="187">
        <v>40000</v>
      </c>
      <c r="K1139" s="30">
        <f t="shared" si="1144"/>
        <v>8000</v>
      </c>
      <c r="L1139" s="187">
        <v>40000</v>
      </c>
      <c r="M1139" s="110">
        <v>9.5</v>
      </c>
      <c r="N1139" s="9">
        <f>VLOOKUP(DATE(YEAR(A1139),MONTH(A1139),DAY(A1139)),FY24_Temp[],3,FALSE)</f>
        <v>14.4</v>
      </c>
      <c r="O1139" s="110">
        <f t="shared" si="1130"/>
        <v>11.5</v>
      </c>
      <c r="P1139" s="110">
        <f t="shared" si="1131"/>
        <v>19.5</v>
      </c>
      <c r="Q1139" s="79">
        <f>VLOOKUP(VLOOKUP(DATEVALUE(TEXT(A1139,"m/d/yyyy")),FY24_Temp[],5,FALSE)&amp;TEXT(A1139,"-h"),TempDelta[],4,FALSE)</f>
        <v>2.4768571172441756</v>
      </c>
      <c r="R1139">
        <v>10</v>
      </c>
      <c r="S1139" s="112">
        <v>1500</v>
      </c>
      <c r="T1139" s="5">
        <f>VLOOKUP(TEXT(A1139,"yy-mm")&amp;"-"&amp;IF(AND(WEEKDAY(A1139)&gt;1,WEEKDAY(A1139)&lt;7),"Wkd",TEXT(A1139,"Ddd"))&amp;"-"&amp;TEXT(A1139,"hh"),LoadTable[],3,FALSE)*0.92</f>
        <v>352.2091200000001</v>
      </c>
      <c r="U1139" s="113">
        <f t="shared" si="1132"/>
        <v>35.220912000000013</v>
      </c>
      <c r="V1139">
        <f t="shared" ref="V1139:W1139" si="1184">V1115</f>
        <v>3.2</v>
      </c>
      <c r="W1139">
        <f t="shared" si="1184"/>
        <v>3</v>
      </c>
      <c r="X1139" s="9">
        <v>3.3921986</v>
      </c>
      <c r="Y1139" s="39"/>
    </row>
    <row r="1140" spans="1:25" ht="15" thickBot="1">
      <c r="A1140" s="29">
        <f t="shared" si="1114"/>
        <v>45883.374999999221</v>
      </c>
      <c r="B1140" s="30">
        <f t="shared" si="1141"/>
        <v>8000</v>
      </c>
      <c r="C1140" s="8">
        <v>25000</v>
      </c>
      <c r="D1140" s="187">
        <v>0</v>
      </c>
      <c r="E1140" s="187">
        <v>700</v>
      </c>
      <c r="F1140" s="187">
        <v>15000</v>
      </c>
      <c r="G1140" s="30">
        <f t="shared" si="1142"/>
        <v>2400</v>
      </c>
      <c r="H1140" s="8">
        <v>25000</v>
      </c>
      <c r="I1140" s="30">
        <f t="shared" si="1143"/>
        <v>8000</v>
      </c>
      <c r="J1140" s="187">
        <v>40000</v>
      </c>
      <c r="K1140" s="30">
        <f t="shared" si="1144"/>
        <v>8000</v>
      </c>
      <c r="L1140" s="187">
        <v>40000</v>
      </c>
      <c r="M1140" s="110">
        <v>9.5</v>
      </c>
      <c r="N1140" s="9">
        <f>VLOOKUP(DATE(YEAR(A1140),MONTH(A1140),DAY(A1140)),FY24_Temp[],3,FALSE)</f>
        <v>14.4</v>
      </c>
      <c r="O1140" s="110">
        <f t="shared" si="1130"/>
        <v>11.5</v>
      </c>
      <c r="P1140" s="110">
        <f t="shared" si="1131"/>
        <v>19.5</v>
      </c>
      <c r="Q1140" s="79">
        <f>VLOOKUP(VLOOKUP(DATEVALUE(TEXT(A1140,"m/d/yyyy")),FY24_Temp[],5,FALSE)&amp;TEXT(A1140,"-h"),TempDelta[],4,FALSE)</f>
        <v>2.293428523199899</v>
      </c>
      <c r="R1140">
        <v>10</v>
      </c>
      <c r="S1140" s="112">
        <v>1500</v>
      </c>
      <c r="T1140" s="5">
        <f>VLOOKUP(TEXT(A1140,"yy-mm")&amp;"-"&amp;IF(AND(WEEKDAY(A1140)&gt;1,WEEKDAY(A1140)&lt;7),"Wkd",TEXT(A1140,"Ddd"))&amp;"-"&amp;TEXT(A1140,"hh"),LoadTable[],3,FALSE)*0.92</f>
        <v>340.60949077857163</v>
      </c>
      <c r="U1140" s="113">
        <f t="shared" si="1132"/>
        <v>34.06094907785716</v>
      </c>
      <c r="V1140">
        <f t="shared" ref="V1140:W1140" si="1185">V1116</f>
        <v>2.9</v>
      </c>
      <c r="W1140">
        <f t="shared" si="1185"/>
        <v>3</v>
      </c>
      <c r="X1140" s="9">
        <v>3.4679739000000001</v>
      </c>
      <c r="Y1140" s="39"/>
    </row>
    <row r="1141" spans="1:25" ht="15" thickBot="1">
      <c r="A1141" s="29">
        <f t="shared" ref="A1141:A1204" si="1186">A1140+TIME(1,0,0)</f>
        <v>45883.416666665886</v>
      </c>
      <c r="B1141" s="30">
        <f t="shared" si="1141"/>
        <v>8000</v>
      </c>
      <c r="C1141" s="8">
        <v>25000</v>
      </c>
      <c r="D1141" s="187">
        <v>0</v>
      </c>
      <c r="E1141" s="187">
        <v>700</v>
      </c>
      <c r="F1141" s="187">
        <v>15000</v>
      </c>
      <c r="G1141" s="30">
        <f t="shared" si="1142"/>
        <v>2400</v>
      </c>
      <c r="H1141" s="8">
        <v>25000</v>
      </c>
      <c r="I1141" s="30">
        <f t="shared" si="1143"/>
        <v>8000</v>
      </c>
      <c r="J1141" s="187">
        <v>40000</v>
      </c>
      <c r="K1141" s="30">
        <f t="shared" si="1144"/>
        <v>8000</v>
      </c>
      <c r="L1141" s="187">
        <v>40000</v>
      </c>
      <c r="M1141" s="110">
        <v>9.5</v>
      </c>
      <c r="N1141" s="9">
        <f>VLOOKUP(DATE(YEAR(A1141),MONTH(A1141),DAY(A1141)),FY24_Temp[],3,FALSE)</f>
        <v>14.4</v>
      </c>
      <c r="O1141" s="110">
        <f t="shared" si="1130"/>
        <v>11.5</v>
      </c>
      <c r="P1141" s="110">
        <f t="shared" si="1131"/>
        <v>19.5</v>
      </c>
      <c r="Q1141" s="79">
        <f>VLOOKUP(VLOOKUP(DATEVALUE(TEXT(A1141,"m/d/yyyy")),FY24_Temp[],5,FALSE)&amp;TEXT(A1141,"-h"),TempDelta[],4,FALSE)</f>
        <v>2.0822856766836986</v>
      </c>
      <c r="R1141">
        <v>10</v>
      </c>
      <c r="S1141" s="112">
        <v>1500</v>
      </c>
      <c r="T1141" s="5">
        <f>VLOOKUP(TEXT(A1141,"yy-mm")&amp;"-"&amp;IF(AND(WEEKDAY(A1141)&gt;1,WEEKDAY(A1141)&lt;7),"Wkd",TEXT(A1141,"Ddd"))&amp;"-"&amp;TEXT(A1141,"hh"),LoadTable[],3,FALSE)*0.92</f>
        <v>338.44093501457746</v>
      </c>
      <c r="U1141" s="113">
        <f t="shared" si="1132"/>
        <v>33.844093501457749</v>
      </c>
      <c r="V1141">
        <f t="shared" ref="V1141:W1141" si="1187">V1117</f>
        <v>2.9</v>
      </c>
      <c r="W1141">
        <f t="shared" si="1187"/>
        <v>3</v>
      </c>
      <c r="X1141" s="9">
        <v>3.4776688</v>
      </c>
      <c r="Y1141" s="39"/>
    </row>
    <row r="1142" spans="1:25" ht="15" thickBot="1">
      <c r="A1142" s="29">
        <f t="shared" si="1186"/>
        <v>45883.45833333255</v>
      </c>
      <c r="B1142" s="30">
        <f t="shared" si="1141"/>
        <v>8000</v>
      </c>
      <c r="C1142" s="8">
        <v>25000</v>
      </c>
      <c r="D1142" s="187">
        <v>0</v>
      </c>
      <c r="E1142" s="187">
        <v>700</v>
      </c>
      <c r="F1142" s="187">
        <v>15000</v>
      </c>
      <c r="G1142" s="30">
        <f t="shared" si="1142"/>
        <v>2400</v>
      </c>
      <c r="H1142" s="8">
        <v>25000</v>
      </c>
      <c r="I1142" s="30">
        <f t="shared" si="1143"/>
        <v>8000</v>
      </c>
      <c r="J1142" s="187">
        <v>40000</v>
      </c>
      <c r="K1142" s="30">
        <f t="shared" si="1144"/>
        <v>8000</v>
      </c>
      <c r="L1142" s="187">
        <v>40000</v>
      </c>
      <c r="M1142" s="110">
        <v>9.5</v>
      </c>
      <c r="N1142" s="9">
        <f>VLOOKUP(DATE(YEAR(A1142),MONTH(A1142),DAY(A1142)),FY24_Temp[],3,FALSE)</f>
        <v>14.4</v>
      </c>
      <c r="O1142" s="110">
        <f t="shared" si="1130"/>
        <v>11.5</v>
      </c>
      <c r="P1142" s="110">
        <f t="shared" si="1131"/>
        <v>19.5</v>
      </c>
      <c r="Q1142" s="79">
        <f>VLOOKUP(VLOOKUP(DATEVALUE(TEXT(A1142,"m/d/yyyy")),FY24_Temp[],5,FALSE)&amp;TEXT(A1142,"-h"),TempDelta[],4,FALSE)</f>
        <v>1.8338571105684554</v>
      </c>
      <c r="R1142">
        <v>10</v>
      </c>
      <c r="S1142" s="112">
        <v>1500</v>
      </c>
      <c r="T1142" s="5">
        <f>VLOOKUP(TEXT(A1142,"yy-mm")&amp;"-"&amp;IF(AND(WEEKDAY(A1142)&gt;1,WEEKDAY(A1142)&lt;7),"Wkd",TEXT(A1142,"Ddd"))&amp;"-"&amp;TEXT(A1142,"hh"),LoadTable[],3,FALSE)*0.92</f>
        <v>338.44093501457746</v>
      </c>
      <c r="U1142" s="113">
        <f t="shared" si="1132"/>
        <v>33.844093501457749</v>
      </c>
      <c r="V1142">
        <f t="shared" ref="V1142:W1142" si="1188">V1118</f>
        <v>3.4</v>
      </c>
      <c r="W1142">
        <f t="shared" si="1188"/>
        <v>3</v>
      </c>
      <c r="X1142" s="9">
        <v>3.3313291</v>
      </c>
      <c r="Y1142" s="39"/>
    </row>
    <row r="1143" spans="1:25" ht="15" thickBot="1">
      <c r="A1143" s="29">
        <f t="shared" si="1186"/>
        <v>45883.499999999214</v>
      </c>
      <c r="B1143" s="30">
        <f t="shared" si="1141"/>
        <v>8000</v>
      </c>
      <c r="C1143" s="8">
        <v>25000</v>
      </c>
      <c r="D1143" s="187">
        <v>0</v>
      </c>
      <c r="E1143" s="187">
        <v>700</v>
      </c>
      <c r="F1143" s="187">
        <v>15000</v>
      </c>
      <c r="G1143" s="30">
        <f t="shared" si="1142"/>
        <v>2400</v>
      </c>
      <c r="H1143" s="8">
        <v>25000</v>
      </c>
      <c r="I1143" s="30">
        <f t="shared" si="1143"/>
        <v>8000</v>
      </c>
      <c r="J1143" s="187">
        <v>40000</v>
      </c>
      <c r="K1143" s="30">
        <f t="shared" si="1144"/>
        <v>8000</v>
      </c>
      <c r="L1143" s="187">
        <v>40000</v>
      </c>
      <c r="M1143" s="110">
        <v>9.5</v>
      </c>
      <c r="N1143" s="9">
        <f>VLOOKUP(DATE(YEAR(A1143),MONTH(A1143),DAY(A1143)),FY24_Temp[],3,FALSE)</f>
        <v>14.4</v>
      </c>
      <c r="O1143" s="110">
        <f t="shared" si="1130"/>
        <v>11.5</v>
      </c>
      <c r="P1143" s="110">
        <f t="shared" si="1131"/>
        <v>19.5</v>
      </c>
      <c r="Q1143" s="79">
        <f>VLOOKUP(VLOOKUP(DATEVALUE(TEXT(A1143,"m/d/yyyy")),FY24_Temp[],5,FALSE)&amp;TEXT(A1143,"-h"),TempDelta[],4,FALSE)</f>
        <v>1.5831428595951624</v>
      </c>
      <c r="R1143">
        <v>10</v>
      </c>
      <c r="S1143" s="112">
        <v>1500</v>
      </c>
      <c r="T1143" s="5">
        <f>VLOOKUP(TEXT(A1143,"yy-mm")&amp;"-"&amp;IF(AND(WEEKDAY(A1143)&gt;1,WEEKDAY(A1143)&lt;7),"Wkd",TEXT(A1143,"Ddd"))&amp;"-"&amp;TEXT(A1143,"hh"),LoadTable[],3,FALSE)*0.92</f>
        <v>338.44093501457746</v>
      </c>
      <c r="U1143" s="113">
        <f t="shared" si="1132"/>
        <v>33.844093501457749</v>
      </c>
      <c r="V1143">
        <f t="shared" ref="V1143:W1143" si="1189">V1119</f>
        <v>3.1</v>
      </c>
      <c r="W1143">
        <f t="shared" si="1189"/>
        <v>2.9</v>
      </c>
      <c r="X1143" s="9">
        <v>3.1521602</v>
      </c>
      <c r="Y1143" s="39"/>
    </row>
    <row r="1144" spans="1:25" ht="15" thickBot="1">
      <c r="A1144" s="29">
        <f t="shared" si="1186"/>
        <v>45883.541666665878</v>
      </c>
      <c r="B1144" s="30">
        <f t="shared" si="1141"/>
        <v>8000</v>
      </c>
      <c r="C1144" s="8">
        <v>25000</v>
      </c>
      <c r="D1144" s="187">
        <v>0</v>
      </c>
      <c r="E1144" s="187">
        <v>700</v>
      </c>
      <c r="F1144" s="187">
        <v>15000</v>
      </c>
      <c r="G1144" s="30">
        <f t="shared" si="1142"/>
        <v>2400</v>
      </c>
      <c r="H1144" s="8">
        <v>25000</v>
      </c>
      <c r="I1144" s="30">
        <f t="shared" si="1143"/>
        <v>8000</v>
      </c>
      <c r="J1144" s="187">
        <v>40000</v>
      </c>
      <c r="K1144" s="30">
        <f t="shared" si="1144"/>
        <v>8000</v>
      </c>
      <c r="L1144" s="187">
        <v>40000</v>
      </c>
      <c r="M1144" s="110">
        <v>9.5</v>
      </c>
      <c r="N1144" s="9">
        <f>VLOOKUP(DATE(YEAR(A1144),MONTH(A1144),DAY(A1144)),FY24_Temp[],3,FALSE)</f>
        <v>14.4</v>
      </c>
      <c r="O1144" s="110">
        <f t="shared" si="1130"/>
        <v>11.5</v>
      </c>
      <c r="P1144" s="110">
        <f t="shared" si="1131"/>
        <v>19.5</v>
      </c>
      <c r="Q1144" s="79">
        <f>VLOOKUP(VLOOKUP(DATEVALUE(TEXT(A1144,"m/d/yyyy")),FY24_Temp[],5,FALSE)&amp;TEXT(A1144,"-h"),TempDelta[],4,FALSE)</f>
        <v>1.3324285575321742</v>
      </c>
      <c r="R1144">
        <v>10</v>
      </c>
      <c r="S1144" s="112">
        <v>1500</v>
      </c>
      <c r="T1144" s="5">
        <f>VLOOKUP(TEXT(A1144,"yy-mm")&amp;"-"&amp;IF(AND(WEEKDAY(A1144)&gt;1,WEEKDAY(A1144)&lt;7),"Wkd",TEXT(A1144,"Ddd"))&amp;"-"&amp;TEXT(A1144,"hh"),LoadTable[],3,FALSE)*0.92</f>
        <v>389.90980000000025</v>
      </c>
      <c r="U1144" s="113">
        <f t="shared" si="1132"/>
        <v>38.990980000000022</v>
      </c>
      <c r="V1144">
        <f t="shared" ref="V1144:W1144" si="1190">V1120</f>
        <v>3.2</v>
      </c>
      <c r="W1144">
        <f t="shared" si="1190"/>
        <v>2.9</v>
      </c>
      <c r="X1144" s="9">
        <v>2.9717932</v>
      </c>
      <c r="Y1144" s="39"/>
    </row>
    <row r="1145" spans="1:25" ht="15" thickBot="1">
      <c r="A1145" s="29">
        <f t="shared" si="1186"/>
        <v>45883.583333332543</v>
      </c>
      <c r="B1145" s="30">
        <f t="shared" si="1141"/>
        <v>8000</v>
      </c>
      <c r="C1145" s="8">
        <v>25000</v>
      </c>
      <c r="D1145" s="187">
        <v>0</v>
      </c>
      <c r="E1145" s="187">
        <v>700</v>
      </c>
      <c r="F1145" s="187">
        <v>15000</v>
      </c>
      <c r="G1145" s="30">
        <f t="shared" si="1142"/>
        <v>2400</v>
      </c>
      <c r="H1145" s="8">
        <v>25000</v>
      </c>
      <c r="I1145" s="30">
        <f t="shared" si="1143"/>
        <v>8000</v>
      </c>
      <c r="J1145" s="187">
        <v>40000</v>
      </c>
      <c r="K1145" s="30">
        <f t="shared" si="1144"/>
        <v>8000</v>
      </c>
      <c r="L1145" s="187">
        <v>40000</v>
      </c>
      <c r="M1145" s="110">
        <v>9.5</v>
      </c>
      <c r="N1145" s="9">
        <f>VLOOKUP(DATE(YEAR(A1145),MONTH(A1145),DAY(A1145)),FY24_Temp[],3,FALSE)</f>
        <v>14.4</v>
      </c>
      <c r="O1145" s="110">
        <f t="shared" si="1130"/>
        <v>11.5</v>
      </c>
      <c r="P1145" s="110">
        <f t="shared" si="1131"/>
        <v>19.5</v>
      </c>
      <c r="Q1145" s="79">
        <f>VLOOKUP(VLOOKUP(DATEVALUE(TEXT(A1145,"m/d/yyyy")),FY24_Temp[],5,FALSE)&amp;TEXT(A1145,"-h"),TempDelta[],4,FALSE)</f>
        <v>1.096000007220677</v>
      </c>
      <c r="R1145">
        <v>10</v>
      </c>
      <c r="S1145" s="112">
        <v>1500</v>
      </c>
      <c r="T1145" s="5">
        <f>VLOOKUP(TEXT(A1145,"yy-mm")&amp;"-"&amp;IF(AND(WEEKDAY(A1145)&gt;1,WEEKDAY(A1145)&lt;7),"Wkd",TEXT(A1145,"Ddd"))&amp;"-"&amp;TEXT(A1145,"hh"),LoadTable[],3,FALSE)*0.92</f>
        <v>625.53652000000022</v>
      </c>
      <c r="U1145" s="113">
        <f t="shared" si="1132"/>
        <v>62.553652000000021</v>
      </c>
      <c r="V1145">
        <f t="shared" ref="V1145:W1145" si="1191">V1121</f>
        <v>3.5</v>
      </c>
      <c r="W1145">
        <f t="shared" si="1191"/>
        <v>2.9</v>
      </c>
      <c r="X1145" s="9">
        <v>3.0162488999999999</v>
      </c>
      <c r="Y1145" s="39"/>
    </row>
    <row r="1146" spans="1:25" ht="15" thickBot="1">
      <c r="A1146" s="29">
        <f t="shared" si="1186"/>
        <v>45883.624999999207</v>
      </c>
      <c r="B1146" s="30">
        <f t="shared" si="1141"/>
        <v>8000</v>
      </c>
      <c r="C1146" s="8">
        <v>25000</v>
      </c>
      <c r="D1146" s="187">
        <v>0</v>
      </c>
      <c r="E1146" s="187">
        <v>700</v>
      </c>
      <c r="F1146" s="187">
        <v>15000</v>
      </c>
      <c r="G1146" s="30">
        <f t="shared" si="1142"/>
        <v>2400</v>
      </c>
      <c r="H1146" s="8">
        <v>25000</v>
      </c>
      <c r="I1146" s="30">
        <f t="shared" si="1143"/>
        <v>8000</v>
      </c>
      <c r="J1146" s="187">
        <v>40000</v>
      </c>
      <c r="K1146" s="30">
        <f t="shared" si="1144"/>
        <v>8000</v>
      </c>
      <c r="L1146" s="187">
        <v>40000</v>
      </c>
      <c r="M1146" s="110">
        <v>9.5</v>
      </c>
      <c r="N1146" s="9">
        <f>VLOOKUP(DATE(YEAR(A1146),MONTH(A1146),DAY(A1146)),FY24_Temp[],3,FALSE)</f>
        <v>14.4</v>
      </c>
      <c r="O1146" s="110">
        <f t="shared" si="1130"/>
        <v>11.5</v>
      </c>
      <c r="P1146" s="110">
        <f t="shared" si="1131"/>
        <v>19.5</v>
      </c>
      <c r="Q1146" s="79">
        <f>VLOOKUP(VLOOKUP(DATEVALUE(TEXT(A1146,"m/d/yyyy")),FY24_Temp[],5,FALSE)&amp;TEXT(A1146,"-h"),TempDelta[],4,FALSE)</f>
        <v>0.78178571377481731</v>
      </c>
      <c r="R1146">
        <v>10</v>
      </c>
      <c r="S1146" s="112">
        <v>1500</v>
      </c>
      <c r="T1146" s="5">
        <f>VLOOKUP(TEXT(A1146,"yy-mm")&amp;"-"&amp;IF(AND(WEEKDAY(A1146)&gt;1,WEEKDAY(A1146)&lt;7),"Wkd",TEXT(A1146,"Ddd"))&amp;"-"&amp;TEXT(A1146,"hh"),LoadTable[],3,FALSE)*0.92</f>
        <v>699.79524000000038</v>
      </c>
      <c r="U1146" s="113">
        <f t="shared" si="1132"/>
        <v>69.97952400000004</v>
      </c>
      <c r="V1146">
        <f t="shared" ref="V1146:W1146" si="1192">V1122</f>
        <v>3.2</v>
      </c>
      <c r="W1146">
        <f t="shared" si="1192"/>
        <v>2.9</v>
      </c>
      <c r="X1146" s="9">
        <v>3.3406085999999999</v>
      </c>
      <c r="Y1146" s="39"/>
    </row>
    <row r="1147" spans="1:25" ht="15" thickBot="1">
      <c r="A1147" s="29">
        <f t="shared" si="1186"/>
        <v>45883.666666665871</v>
      </c>
      <c r="B1147" s="30">
        <f t="shared" si="1141"/>
        <v>8000</v>
      </c>
      <c r="C1147" s="8">
        <v>25000</v>
      </c>
      <c r="D1147" s="187">
        <v>0</v>
      </c>
      <c r="E1147" s="187">
        <v>700</v>
      </c>
      <c r="F1147" s="187">
        <v>15000</v>
      </c>
      <c r="G1147" s="30">
        <f t="shared" si="1142"/>
        <v>2400</v>
      </c>
      <c r="H1147" s="8">
        <v>25000</v>
      </c>
      <c r="I1147" s="30">
        <f t="shared" si="1143"/>
        <v>8000</v>
      </c>
      <c r="J1147" s="187">
        <v>40000</v>
      </c>
      <c r="K1147" s="30">
        <f t="shared" si="1144"/>
        <v>8000</v>
      </c>
      <c r="L1147" s="187">
        <v>40000</v>
      </c>
      <c r="M1147" s="110">
        <v>9.5</v>
      </c>
      <c r="N1147" s="9">
        <f>VLOOKUP(DATE(YEAR(A1147),MONTH(A1147),DAY(A1147)),FY24_Temp[],3,FALSE)</f>
        <v>14.4</v>
      </c>
      <c r="O1147" s="110">
        <f t="shared" si="1130"/>
        <v>11.5</v>
      </c>
      <c r="P1147" s="110">
        <f t="shared" si="1131"/>
        <v>19.5</v>
      </c>
      <c r="Q1147" s="79">
        <f>VLOOKUP(VLOOKUP(DATEVALUE(TEXT(A1147,"m/d/yyyy")),FY24_Temp[],5,FALSE)&amp;TEXT(A1147,"-h"),TempDelta[],4,FALSE)</f>
        <v>0.64235714290823254</v>
      </c>
      <c r="R1147">
        <v>10</v>
      </c>
      <c r="S1147" s="112">
        <v>1500</v>
      </c>
      <c r="T1147" s="5">
        <f>VLOOKUP(TEXT(A1147,"yy-mm")&amp;"-"&amp;IF(AND(WEEKDAY(A1147)&gt;1,WEEKDAY(A1147)&lt;7),"Wkd",TEXT(A1147,"Ddd"))&amp;"-"&amp;TEXT(A1147,"hh"),LoadTable[],3,FALSE)*0.92</f>
        <v>786.27137399656624</v>
      </c>
      <c r="U1147" s="113">
        <f t="shared" si="1132"/>
        <v>78.627137399656618</v>
      </c>
      <c r="V1147">
        <f t="shared" ref="V1147:W1147" si="1193">V1123</f>
        <v>3.5</v>
      </c>
      <c r="W1147">
        <f t="shared" si="1193"/>
        <v>3</v>
      </c>
      <c r="X1147" s="9">
        <v>3.2092195000000001</v>
      </c>
      <c r="Y1147" s="39"/>
    </row>
    <row r="1148" spans="1:25" ht="15" thickBot="1">
      <c r="A1148" s="29">
        <f t="shared" si="1186"/>
        <v>45883.708333332535</v>
      </c>
      <c r="B1148" s="30">
        <f t="shared" si="1141"/>
        <v>8000</v>
      </c>
      <c r="C1148" s="8">
        <v>25000</v>
      </c>
      <c r="D1148" s="187">
        <v>0</v>
      </c>
      <c r="E1148" s="187">
        <v>700</v>
      </c>
      <c r="F1148" s="187">
        <v>15000</v>
      </c>
      <c r="G1148" s="30">
        <f t="shared" si="1142"/>
        <v>2400</v>
      </c>
      <c r="H1148" s="8">
        <v>25000</v>
      </c>
      <c r="I1148" s="30">
        <f t="shared" si="1143"/>
        <v>8000</v>
      </c>
      <c r="J1148" s="187">
        <v>40000</v>
      </c>
      <c r="K1148" s="30">
        <f t="shared" si="1144"/>
        <v>8000</v>
      </c>
      <c r="L1148" s="187">
        <v>40000</v>
      </c>
      <c r="M1148" s="110">
        <v>9.5</v>
      </c>
      <c r="N1148" s="9">
        <f>VLOOKUP(DATE(YEAR(A1148),MONTH(A1148),DAY(A1148)),FY24_Temp[],3,FALSE)</f>
        <v>14.4</v>
      </c>
      <c r="O1148" s="110">
        <f t="shared" si="1130"/>
        <v>11.5</v>
      </c>
      <c r="P1148" s="110">
        <f t="shared" si="1131"/>
        <v>19.5</v>
      </c>
      <c r="Q1148" s="79">
        <f>VLOOKUP(VLOOKUP(DATEVALUE(TEXT(A1148,"m/d/yyyy")),FY24_Temp[],5,FALSE)&amp;TEXT(A1148,"-h"),TempDelta[],4,FALSE)</f>
        <v>0.66985713158335003</v>
      </c>
      <c r="R1148">
        <v>10</v>
      </c>
      <c r="S1148" s="112">
        <v>1500</v>
      </c>
      <c r="T1148" s="5">
        <f>VLOOKUP(TEXT(A1148,"yy-mm")&amp;"-"&amp;IF(AND(WEEKDAY(A1148)&gt;1,WEEKDAY(A1148)&lt;7),"Wkd",TEXT(A1148,"Ddd"))&amp;"-"&amp;TEXT(A1148,"hh"),LoadTable[],3,FALSE)*0.92</f>
        <v>786.27137399656624</v>
      </c>
      <c r="U1148" s="113">
        <f t="shared" si="1132"/>
        <v>78.627137399656618</v>
      </c>
      <c r="V1148">
        <f t="shared" ref="V1148:W1148" si="1194">V1124</f>
        <v>3.6</v>
      </c>
      <c r="W1148">
        <f t="shared" si="1194"/>
        <v>3</v>
      </c>
      <c r="X1148" s="9">
        <v>3.1362424</v>
      </c>
      <c r="Y1148" s="39"/>
    </row>
    <row r="1149" spans="1:25" ht="15" thickBot="1">
      <c r="A1149" s="29">
        <f t="shared" si="1186"/>
        <v>45883.7499999992</v>
      </c>
      <c r="B1149" s="30">
        <f t="shared" si="1141"/>
        <v>5000</v>
      </c>
      <c r="C1149" s="8">
        <v>25000</v>
      </c>
      <c r="D1149" s="187">
        <v>0</v>
      </c>
      <c r="E1149" s="187">
        <v>700</v>
      </c>
      <c r="F1149" s="187">
        <v>15000</v>
      </c>
      <c r="G1149" s="30">
        <f t="shared" si="1142"/>
        <v>2400</v>
      </c>
      <c r="H1149" s="8">
        <v>25000</v>
      </c>
      <c r="I1149" s="30">
        <f t="shared" si="1143"/>
        <v>5000</v>
      </c>
      <c r="J1149" s="187">
        <v>40000</v>
      </c>
      <c r="K1149" s="30">
        <f t="shared" si="1144"/>
        <v>5000</v>
      </c>
      <c r="L1149" s="187">
        <v>40000</v>
      </c>
      <c r="M1149" s="110">
        <v>9.5</v>
      </c>
      <c r="N1149" s="9">
        <f>VLOOKUP(DATE(YEAR(A1149),MONTH(A1149),DAY(A1149)),FY24_Temp[],3,FALSE)</f>
        <v>14.4</v>
      </c>
      <c r="O1149" s="110">
        <f t="shared" si="1130"/>
        <v>11.5</v>
      </c>
      <c r="P1149" s="110">
        <f t="shared" si="1131"/>
        <v>19.5</v>
      </c>
      <c r="Q1149" s="79">
        <f>VLOOKUP(VLOOKUP(DATEVALUE(TEXT(A1149,"m/d/yyyy")),FY24_Temp[],5,FALSE)&amp;TEXT(A1149,"-h"),TempDelta[],4,FALSE)</f>
        <v>0.88785713485309059</v>
      </c>
      <c r="R1149">
        <v>10</v>
      </c>
      <c r="S1149" s="112">
        <v>1500</v>
      </c>
      <c r="T1149" s="5">
        <f>VLOOKUP(TEXT(A1149,"yy-mm")&amp;"-"&amp;IF(AND(WEEKDAY(A1149)&gt;1,WEEKDAY(A1149)&lt;7),"Wkd",TEXT(A1149,"Ddd"))&amp;"-"&amp;TEXT(A1149,"hh"),LoadTable[],3,FALSE)*0.92</f>
        <v>786.27137399656647</v>
      </c>
      <c r="U1149" s="113">
        <f t="shared" si="1132"/>
        <v>78.627137399656647</v>
      </c>
      <c r="V1149">
        <f t="shared" ref="V1149:W1149" si="1195">V1125</f>
        <v>2.9</v>
      </c>
      <c r="W1149">
        <f t="shared" si="1195"/>
        <v>3</v>
      </c>
      <c r="X1149" s="9">
        <v>3.1206634000000002</v>
      </c>
      <c r="Y1149" s="39"/>
    </row>
    <row r="1150" spans="1:25" ht="15" thickBot="1">
      <c r="A1150" s="29">
        <f t="shared" si="1186"/>
        <v>45883.791666665864</v>
      </c>
      <c r="B1150" s="30">
        <f t="shared" si="1141"/>
        <v>5000</v>
      </c>
      <c r="C1150" s="8">
        <v>25000</v>
      </c>
      <c r="D1150" s="187">
        <v>0</v>
      </c>
      <c r="E1150" s="187">
        <v>700</v>
      </c>
      <c r="F1150" s="187">
        <v>15000</v>
      </c>
      <c r="G1150" s="30">
        <f t="shared" si="1142"/>
        <v>2400</v>
      </c>
      <c r="H1150" s="8">
        <v>25000</v>
      </c>
      <c r="I1150" s="30">
        <f t="shared" si="1143"/>
        <v>5000</v>
      </c>
      <c r="J1150" s="187">
        <v>40000</v>
      </c>
      <c r="K1150" s="30">
        <f t="shared" si="1144"/>
        <v>5000</v>
      </c>
      <c r="L1150" s="187">
        <v>40000</v>
      </c>
      <c r="M1150" s="110">
        <v>9.5</v>
      </c>
      <c r="N1150" s="9">
        <f>VLOOKUP(DATE(YEAR(A1150),MONTH(A1150),DAY(A1150)),FY24_Temp[],3,FALSE)</f>
        <v>14.4</v>
      </c>
      <c r="O1150" s="110">
        <f t="shared" si="1130"/>
        <v>11.5</v>
      </c>
      <c r="P1150" s="110">
        <f t="shared" si="1131"/>
        <v>19.5</v>
      </c>
      <c r="Q1150" s="79">
        <f>VLOOKUP(VLOOKUP(DATEVALUE(TEXT(A1150,"m/d/yyyy")),FY24_Temp[],5,FALSE)&amp;TEXT(A1150,"-h"),TempDelta[],4,FALSE)</f>
        <v>1.1961428693362646</v>
      </c>
      <c r="R1150">
        <v>10</v>
      </c>
      <c r="S1150" s="112">
        <v>1500</v>
      </c>
      <c r="T1150" s="5">
        <f>VLOOKUP(TEXT(A1150,"yy-mm")&amp;"-"&amp;IF(AND(WEEKDAY(A1150)&gt;1,WEEKDAY(A1150)&lt;7),"Wkd",TEXT(A1150,"Ddd"))&amp;"-"&amp;TEXT(A1150,"hh"),LoadTable[],3,FALSE)*0.92</f>
        <v>786.27137399656647</v>
      </c>
      <c r="U1150" s="113">
        <f t="shared" si="1132"/>
        <v>78.627137399656647</v>
      </c>
      <c r="V1150">
        <f t="shared" ref="V1150:W1150" si="1196">V1126</f>
        <v>3</v>
      </c>
      <c r="W1150">
        <f t="shared" si="1196"/>
        <v>3</v>
      </c>
      <c r="X1150" s="9">
        <v>3.0767430999999998</v>
      </c>
      <c r="Y1150" s="39"/>
    </row>
    <row r="1151" spans="1:25" ht="15" thickBot="1">
      <c r="A1151" s="29">
        <f t="shared" si="1186"/>
        <v>45883.833333332528</v>
      </c>
      <c r="B1151" s="30">
        <f t="shared" si="1141"/>
        <v>5000</v>
      </c>
      <c r="C1151" s="8">
        <v>25000</v>
      </c>
      <c r="D1151" s="187">
        <v>0</v>
      </c>
      <c r="E1151" s="187">
        <v>700</v>
      </c>
      <c r="F1151" s="187">
        <v>15000</v>
      </c>
      <c r="G1151" s="30">
        <f t="shared" si="1142"/>
        <v>2400</v>
      </c>
      <c r="H1151" s="8">
        <v>25000</v>
      </c>
      <c r="I1151" s="30">
        <f t="shared" si="1143"/>
        <v>5000</v>
      </c>
      <c r="J1151" s="187">
        <v>40000</v>
      </c>
      <c r="K1151" s="30">
        <f t="shared" si="1144"/>
        <v>5000</v>
      </c>
      <c r="L1151" s="187">
        <v>40000</v>
      </c>
      <c r="M1151" s="110">
        <v>9.5</v>
      </c>
      <c r="N1151" s="9">
        <f>VLOOKUP(DATE(YEAR(A1151),MONTH(A1151),DAY(A1151)),FY24_Temp[],3,FALSE)</f>
        <v>14.4</v>
      </c>
      <c r="O1151" s="110">
        <f t="shared" si="1130"/>
        <v>11.5</v>
      </c>
      <c r="P1151" s="110">
        <f t="shared" si="1131"/>
        <v>19.5</v>
      </c>
      <c r="Q1151" s="79">
        <f>VLOOKUP(VLOOKUP(DATEVALUE(TEXT(A1151,"m/d/yyyy")),FY24_Temp[],5,FALSE)&amp;TEXT(A1151,"-h"),TempDelta[],4,FALSE)</f>
        <v>1.6075714315686906</v>
      </c>
      <c r="R1151">
        <v>10</v>
      </c>
      <c r="S1151" s="112">
        <v>1500</v>
      </c>
      <c r="T1151" s="5">
        <f>VLOOKUP(TEXT(A1151,"yy-mm")&amp;"-"&amp;IF(AND(WEEKDAY(A1151)&gt;1,WEEKDAY(A1151)&lt;7),"Wkd",TEXT(A1151,"Ddd"))&amp;"-"&amp;TEXT(A1151,"hh"),LoadTable[],3,FALSE)*0.92</f>
        <v>786.27137399656647</v>
      </c>
      <c r="U1151" s="113">
        <f t="shared" si="1132"/>
        <v>78.627137399656647</v>
      </c>
      <c r="V1151">
        <f t="shared" ref="V1151:W1151" si="1197">V1127</f>
        <v>2.8</v>
      </c>
      <c r="W1151">
        <f t="shared" si="1197"/>
        <v>3.1</v>
      </c>
      <c r="X1151" s="9">
        <v>3.0372484000000002</v>
      </c>
      <c r="Y1151" s="39"/>
    </row>
    <row r="1152" spans="1:25" ht="15" thickBot="1">
      <c r="A1152" s="29">
        <f t="shared" si="1186"/>
        <v>45883.874999999192</v>
      </c>
      <c r="B1152" s="30">
        <f t="shared" si="1141"/>
        <v>5000</v>
      </c>
      <c r="C1152" s="8">
        <v>25000</v>
      </c>
      <c r="D1152" s="187">
        <v>0</v>
      </c>
      <c r="E1152" s="187">
        <v>700</v>
      </c>
      <c r="F1152" s="187">
        <v>15000</v>
      </c>
      <c r="G1152" s="30">
        <f t="shared" si="1142"/>
        <v>2400</v>
      </c>
      <c r="H1152" s="8">
        <v>25000</v>
      </c>
      <c r="I1152" s="30">
        <f t="shared" si="1143"/>
        <v>5000</v>
      </c>
      <c r="J1152" s="187">
        <v>40000</v>
      </c>
      <c r="K1152" s="30">
        <f t="shared" si="1144"/>
        <v>5000</v>
      </c>
      <c r="L1152" s="187">
        <v>40000</v>
      </c>
      <c r="M1152" s="110">
        <v>9.5</v>
      </c>
      <c r="N1152" s="9">
        <f>VLOOKUP(DATE(YEAR(A1152),MONTH(A1152),DAY(A1152)),FY24_Temp[],3,FALSE)</f>
        <v>14.4</v>
      </c>
      <c r="O1152" s="110">
        <f t="shared" si="1130"/>
        <v>11.5</v>
      </c>
      <c r="P1152" s="110">
        <f t="shared" si="1131"/>
        <v>19.5</v>
      </c>
      <c r="Q1152" s="79">
        <f>VLOOKUP(VLOOKUP(DATEVALUE(TEXT(A1152,"m/d/yyyy")),FY24_Temp[],5,FALSE)&amp;TEXT(A1152,"-h"),TempDelta[],4,FALSE)</f>
        <v>1.9315714410373144</v>
      </c>
      <c r="R1152">
        <v>10</v>
      </c>
      <c r="S1152" s="112">
        <v>1500</v>
      </c>
      <c r="T1152" s="5">
        <f>VLOOKUP(TEXT(A1152,"yy-mm")&amp;"-"&amp;IF(AND(WEEKDAY(A1152)&gt;1,WEEKDAY(A1152)&lt;7),"Wkd",TEXT(A1152,"Ddd"))&amp;"-"&amp;TEXT(A1152,"hh"),LoadTable[],3,FALSE)*0.92</f>
        <v>784.39716226323299</v>
      </c>
      <c r="U1152" s="113">
        <f t="shared" si="1132"/>
        <v>78.439716226323299</v>
      </c>
      <c r="V1152">
        <f t="shared" ref="V1152:W1152" si="1198">V1128</f>
        <v>3.5</v>
      </c>
      <c r="W1152">
        <f t="shared" si="1198"/>
        <v>3.1</v>
      </c>
      <c r="X1152" s="9">
        <v>2.9969695000000001</v>
      </c>
      <c r="Y1152" s="39"/>
    </row>
    <row r="1153" spans="1:25" ht="15" thickBot="1">
      <c r="A1153" s="29">
        <f t="shared" si="1186"/>
        <v>45883.916666665857</v>
      </c>
      <c r="B1153" s="30">
        <f t="shared" si="1141"/>
        <v>5000</v>
      </c>
      <c r="C1153" s="8">
        <v>25000</v>
      </c>
      <c r="D1153" s="187">
        <v>0</v>
      </c>
      <c r="E1153" s="187">
        <v>700</v>
      </c>
      <c r="F1153" s="187">
        <v>15000</v>
      </c>
      <c r="G1153" s="30">
        <f t="shared" si="1142"/>
        <v>2400</v>
      </c>
      <c r="H1153" s="8">
        <v>25000</v>
      </c>
      <c r="I1153" s="30">
        <f t="shared" si="1143"/>
        <v>5000</v>
      </c>
      <c r="J1153" s="187">
        <v>40000</v>
      </c>
      <c r="K1153" s="30">
        <f t="shared" si="1144"/>
        <v>5000</v>
      </c>
      <c r="L1153" s="187">
        <v>40000</v>
      </c>
      <c r="M1153" s="110">
        <v>9.5</v>
      </c>
      <c r="N1153" s="9">
        <f>VLOOKUP(DATE(YEAR(A1153),MONTH(A1153),DAY(A1153)),FY24_Temp[],3,FALSE)</f>
        <v>14.4</v>
      </c>
      <c r="O1153" s="110">
        <f t="shared" si="1130"/>
        <v>11.5</v>
      </c>
      <c r="P1153" s="110">
        <f t="shared" si="1131"/>
        <v>19.5</v>
      </c>
      <c r="Q1153" s="79">
        <f>VLOOKUP(VLOOKUP(DATEVALUE(TEXT(A1153,"m/d/yyyy")),FY24_Temp[],5,FALSE)&amp;TEXT(A1153,"-h"),TempDelta[],4,FALSE)</f>
        <v>2.2258571556636264</v>
      </c>
      <c r="R1153">
        <v>10</v>
      </c>
      <c r="S1153" s="112">
        <v>1500</v>
      </c>
      <c r="T1153" s="5">
        <f>VLOOKUP(TEXT(A1153,"yy-mm")&amp;"-"&amp;IF(AND(WEEKDAY(A1153)&gt;1,WEEKDAY(A1153)&lt;7),"Wkd",TEXT(A1153,"Ddd"))&amp;"-"&amp;TEXT(A1153,"hh"),LoadTable[],3,FALSE)*0.92</f>
        <v>600.06900003761973</v>
      </c>
      <c r="U1153" s="113">
        <f t="shared" si="1132"/>
        <v>60.00690000376197</v>
      </c>
      <c r="V1153">
        <f t="shared" ref="V1153:W1153" si="1199">V1129</f>
        <v>2.9</v>
      </c>
      <c r="W1153">
        <f t="shared" si="1199"/>
        <v>3.1</v>
      </c>
      <c r="X1153" s="9">
        <v>2.9482148000000001</v>
      </c>
      <c r="Y1153" s="39"/>
    </row>
    <row r="1154" spans="1:25" ht="15" thickBot="1">
      <c r="A1154" s="29">
        <f t="shared" si="1186"/>
        <v>45883.958333332521</v>
      </c>
      <c r="B1154" s="30">
        <f t="shared" si="1141"/>
        <v>5000</v>
      </c>
      <c r="C1154" s="41">
        <v>25000</v>
      </c>
      <c r="D1154" s="187">
        <v>0</v>
      </c>
      <c r="E1154" s="187">
        <v>700</v>
      </c>
      <c r="F1154" s="187">
        <v>15000</v>
      </c>
      <c r="G1154" s="30">
        <f t="shared" si="1142"/>
        <v>2400</v>
      </c>
      <c r="H1154" s="8">
        <v>25000</v>
      </c>
      <c r="I1154" s="30">
        <f t="shared" si="1143"/>
        <v>5000</v>
      </c>
      <c r="J1154" s="187">
        <v>40000</v>
      </c>
      <c r="K1154" s="30">
        <f t="shared" si="1144"/>
        <v>5000</v>
      </c>
      <c r="L1154" s="187">
        <v>40000</v>
      </c>
      <c r="M1154" s="110">
        <v>9.5</v>
      </c>
      <c r="N1154" s="9">
        <f>VLOOKUP(DATE(YEAR(A1154),MONTH(A1154),DAY(A1154)),FY24_Temp[],3,FALSE)</f>
        <v>14.4</v>
      </c>
      <c r="O1154" s="110">
        <f t="shared" si="1130"/>
        <v>11.5</v>
      </c>
      <c r="P1154" s="110">
        <f t="shared" si="1131"/>
        <v>19.5</v>
      </c>
      <c r="Q1154" s="79">
        <f>VLOOKUP(VLOOKUP(DATEVALUE(TEXT(A1154,"m/d/yyyy")),FY24_Temp[],5,FALSE)&amp;TEXT(A1154,"-h"),TempDelta[],4,FALSE)</f>
        <v>2.3604285717010498</v>
      </c>
      <c r="R1154">
        <v>10</v>
      </c>
      <c r="S1154" s="112">
        <v>1500</v>
      </c>
      <c r="T1154" s="5">
        <f>VLOOKUP(TEXT(A1154,"yy-mm")&amp;"-"&amp;IF(AND(WEEKDAY(A1154)&gt;1,WEEKDAY(A1154)&lt;7),"Wkd",TEXT(A1154,"Ddd"))&amp;"-"&amp;TEXT(A1154,"hh"),LoadTable[],3,FALSE)*0.92</f>
        <v>486.44539999999989</v>
      </c>
      <c r="U1154" s="113">
        <f t="shared" si="1132"/>
        <v>48.644539999999992</v>
      </c>
      <c r="V1154">
        <f t="shared" ref="V1154:W1154" si="1200">V1130</f>
        <v>3.6</v>
      </c>
      <c r="W1154">
        <f t="shared" si="1200"/>
        <v>3.1</v>
      </c>
      <c r="X1154" s="9">
        <v>2.8418713000000002</v>
      </c>
      <c r="Y1154" s="39"/>
    </row>
    <row r="1155" spans="1:25" ht="15" thickBot="1">
      <c r="A1155" s="29">
        <f t="shared" si="1186"/>
        <v>45883.999999999185</v>
      </c>
      <c r="B1155" s="30">
        <f t="shared" si="1141"/>
        <v>5000</v>
      </c>
      <c r="C1155" s="8">
        <v>25000</v>
      </c>
      <c r="D1155" s="187">
        <v>0</v>
      </c>
      <c r="E1155" s="187">
        <v>700</v>
      </c>
      <c r="F1155" s="187">
        <v>15000</v>
      </c>
      <c r="G1155" s="30">
        <f t="shared" si="1142"/>
        <v>2400</v>
      </c>
      <c r="H1155" s="8">
        <v>25000</v>
      </c>
      <c r="I1155" s="30">
        <f t="shared" si="1143"/>
        <v>5000</v>
      </c>
      <c r="J1155" s="187">
        <v>40000</v>
      </c>
      <c r="K1155" s="30">
        <f t="shared" si="1144"/>
        <v>5000</v>
      </c>
      <c r="L1155" s="187">
        <v>40000</v>
      </c>
      <c r="M1155" s="110">
        <v>9.5</v>
      </c>
      <c r="N1155" s="9">
        <f>VLOOKUP(DATE(YEAR(A1155),MONTH(A1155),DAY(A1155)),FY24_Temp[],3,FALSE)</f>
        <v>14.4</v>
      </c>
      <c r="O1155" s="110">
        <f t="shared" si="1130"/>
        <v>11.5</v>
      </c>
      <c r="P1155" s="110">
        <f t="shared" si="1131"/>
        <v>19.5</v>
      </c>
      <c r="Q1155" s="79">
        <f>VLOOKUP(VLOOKUP(DATEVALUE(TEXT(A1155,"m/d/yyyy")),FY24_Temp[],5,FALSE)&amp;TEXT(A1155,"-h"),TempDelta[],4,FALSE)</f>
        <v>2.4882856777736118</v>
      </c>
      <c r="R1155">
        <v>10</v>
      </c>
      <c r="S1155" s="112">
        <v>1500</v>
      </c>
      <c r="T1155" s="5">
        <f>VLOOKUP(TEXT(A1155,"yy-mm")&amp;"-"&amp;IF(AND(WEEKDAY(A1155)&gt;1,WEEKDAY(A1155)&lt;7),"Wkd",TEXT(A1155,"Ddd"))&amp;"-"&amp;TEXT(A1155,"hh"),LoadTable[],3,FALSE)*0.92</f>
        <v>372.20164</v>
      </c>
      <c r="U1155" s="113">
        <f t="shared" si="1132"/>
        <v>37.220163999999997</v>
      </c>
      <c r="V1155">
        <f t="shared" ref="V1155:W1155" si="1201">V1131</f>
        <v>3</v>
      </c>
      <c r="W1155">
        <f t="shared" si="1201"/>
        <v>3.2</v>
      </c>
      <c r="X1155" s="9">
        <v>2.7763301999999999</v>
      </c>
      <c r="Y1155" s="39"/>
    </row>
    <row r="1156" spans="1:25" ht="15" thickBot="1">
      <c r="A1156" s="29">
        <f t="shared" si="1186"/>
        <v>45884.041666665849</v>
      </c>
      <c r="B1156" s="30">
        <f t="shared" si="1141"/>
        <v>5000</v>
      </c>
      <c r="C1156" s="42">
        <v>25000</v>
      </c>
      <c r="D1156" s="187">
        <v>0</v>
      </c>
      <c r="E1156" s="187">
        <v>700</v>
      </c>
      <c r="F1156" s="187">
        <v>15000</v>
      </c>
      <c r="G1156" s="30">
        <f t="shared" si="1142"/>
        <v>2400</v>
      </c>
      <c r="H1156" s="8">
        <v>25000</v>
      </c>
      <c r="I1156" s="30">
        <f t="shared" si="1143"/>
        <v>5000</v>
      </c>
      <c r="J1156" s="187">
        <v>40000</v>
      </c>
      <c r="K1156" s="30">
        <f t="shared" si="1144"/>
        <v>5000</v>
      </c>
      <c r="L1156" s="187">
        <v>40000</v>
      </c>
      <c r="M1156" s="110">
        <v>9.5</v>
      </c>
      <c r="N1156" s="9">
        <f>VLOOKUP(DATE(YEAR(A1156),MONTH(A1156),DAY(A1156)),FY24_Temp[],3,FALSE)</f>
        <v>14.4</v>
      </c>
      <c r="O1156" s="110">
        <f t="shared" ref="O1156:O1219" si="1202">15.5-4</f>
        <v>11.5</v>
      </c>
      <c r="P1156" s="110">
        <f t="shared" ref="P1156:P1219" si="1203">15.5+4</f>
        <v>19.5</v>
      </c>
      <c r="Q1156" s="79">
        <f>VLOOKUP(VLOOKUP(DATEVALUE(TEXT(A1156,"m/d/yyyy")),FY24_Temp[],5,FALSE)&amp;TEXT(A1156,"-h"),TempDelta[],4,FALSE)</f>
        <v>2.5384285790579662</v>
      </c>
      <c r="R1156">
        <v>10</v>
      </c>
      <c r="S1156" s="112">
        <v>1500</v>
      </c>
      <c r="T1156" s="5">
        <f>VLOOKUP(TEXT(A1156,"yy-mm")&amp;"-"&amp;IF(AND(WEEKDAY(A1156)&gt;1,WEEKDAY(A1156)&lt;7),"Wkd",TEXT(A1156,"Ddd"))&amp;"-"&amp;TEXT(A1156,"hh"),LoadTable[],3,FALSE)*0.92</f>
        <v>363.06235999999996</v>
      </c>
      <c r="U1156" s="113">
        <f t="shared" ref="U1156:U1219" si="1204">T1156/10</f>
        <v>36.306235999999998</v>
      </c>
      <c r="V1156">
        <f t="shared" ref="V1156:W1156" si="1205">V1132</f>
        <v>2.6</v>
      </c>
      <c r="W1156">
        <f t="shared" si="1205"/>
        <v>3.2</v>
      </c>
      <c r="X1156" s="9">
        <v>2.7514932000000001</v>
      </c>
      <c r="Y1156" s="39"/>
    </row>
    <row r="1157" spans="1:25" ht="15" thickBot="1">
      <c r="A1157" s="29">
        <f t="shared" si="1186"/>
        <v>45884.083333332514</v>
      </c>
      <c r="B1157" s="30">
        <f t="shared" si="1141"/>
        <v>5000</v>
      </c>
      <c r="C1157" s="8">
        <v>25000</v>
      </c>
      <c r="D1157" s="187">
        <v>0</v>
      </c>
      <c r="E1157" s="187">
        <v>700</v>
      </c>
      <c r="F1157" s="187">
        <v>15000</v>
      </c>
      <c r="G1157" s="30">
        <f t="shared" si="1142"/>
        <v>2400</v>
      </c>
      <c r="H1157" s="8">
        <v>25000</v>
      </c>
      <c r="I1157" s="30">
        <f t="shared" si="1143"/>
        <v>5000</v>
      </c>
      <c r="J1157" s="187">
        <v>40000</v>
      </c>
      <c r="K1157" s="30">
        <f t="shared" si="1144"/>
        <v>5000</v>
      </c>
      <c r="L1157" s="187">
        <v>40000</v>
      </c>
      <c r="M1157" s="110">
        <v>9.5</v>
      </c>
      <c r="N1157" s="9">
        <f>VLOOKUP(DATE(YEAR(A1157),MONTH(A1157),DAY(A1157)),FY24_Temp[],3,FALSE)</f>
        <v>14.4</v>
      </c>
      <c r="O1157" s="110">
        <f t="shared" si="1202"/>
        <v>11.5</v>
      </c>
      <c r="P1157" s="110">
        <f t="shared" si="1203"/>
        <v>19.5</v>
      </c>
      <c r="Q1157" s="79">
        <f>VLOOKUP(VLOOKUP(DATEVALUE(TEXT(A1157,"m/d/yyyy")),FY24_Temp[],5,FALSE)&amp;TEXT(A1157,"-h"),TempDelta[],4,FALSE)</f>
        <v>2.5558571474892751</v>
      </c>
      <c r="R1157">
        <v>10</v>
      </c>
      <c r="S1157" s="112">
        <v>1500</v>
      </c>
      <c r="T1157" s="5">
        <f>VLOOKUP(TEXT(A1157,"yy-mm")&amp;"-"&amp;IF(AND(WEEKDAY(A1157)&gt;1,WEEKDAY(A1157)&lt;7),"Wkd",TEXT(A1157,"Ddd"))&amp;"-"&amp;TEXT(A1157,"hh"),LoadTable[],3,FALSE)*0.92</f>
        <v>363.06235999999996</v>
      </c>
      <c r="U1157" s="113">
        <f t="shared" si="1204"/>
        <v>36.306235999999998</v>
      </c>
      <c r="V1157">
        <f t="shared" ref="V1157:W1157" si="1206">V1133</f>
        <v>2.8</v>
      </c>
      <c r="W1157">
        <f t="shared" si="1206"/>
        <v>3.2</v>
      </c>
      <c r="X1157" s="9">
        <v>2.8041955999999999</v>
      </c>
      <c r="Y1157" s="39"/>
    </row>
    <row r="1158" spans="1:25" ht="15" thickBot="1">
      <c r="A1158" s="29">
        <f t="shared" si="1186"/>
        <v>45884.124999999178</v>
      </c>
      <c r="B1158" s="30">
        <f t="shared" si="1141"/>
        <v>5000</v>
      </c>
      <c r="C1158" s="8">
        <v>25000</v>
      </c>
      <c r="D1158" s="187">
        <v>0</v>
      </c>
      <c r="E1158" s="187">
        <v>700</v>
      </c>
      <c r="F1158" s="187">
        <v>15000</v>
      </c>
      <c r="G1158" s="30">
        <f t="shared" si="1142"/>
        <v>2400</v>
      </c>
      <c r="H1158" s="8">
        <v>25000</v>
      </c>
      <c r="I1158" s="30">
        <f t="shared" si="1143"/>
        <v>5000</v>
      </c>
      <c r="J1158" s="187">
        <v>40000</v>
      </c>
      <c r="K1158" s="30">
        <f t="shared" si="1144"/>
        <v>5000</v>
      </c>
      <c r="L1158" s="187">
        <v>40000</v>
      </c>
      <c r="M1158" s="110">
        <v>9.5</v>
      </c>
      <c r="N1158" s="9">
        <f>VLOOKUP(DATE(YEAR(A1158),MONTH(A1158),DAY(A1158)),FY24_Temp[],3,FALSE)</f>
        <v>14.4</v>
      </c>
      <c r="O1158" s="110">
        <f t="shared" si="1202"/>
        <v>11.5</v>
      </c>
      <c r="P1158" s="110">
        <f t="shared" si="1203"/>
        <v>19.5</v>
      </c>
      <c r="Q1158" s="79">
        <f>VLOOKUP(VLOOKUP(DATEVALUE(TEXT(A1158,"m/d/yyyy")),FY24_Temp[],5,FALSE)&amp;TEXT(A1158,"-h"),TempDelta[],4,FALSE)</f>
        <v>2.5525713988712857</v>
      </c>
      <c r="R1158">
        <v>10</v>
      </c>
      <c r="S1158" s="112">
        <v>1500</v>
      </c>
      <c r="T1158" s="5">
        <f>VLOOKUP(TEXT(A1158,"yy-mm")&amp;"-"&amp;IF(AND(WEEKDAY(A1158)&gt;1,WEEKDAY(A1158)&lt;7),"Wkd",TEXT(A1158,"Ddd"))&amp;"-"&amp;TEXT(A1158,"hh"),LoadTable[],3,FALSE)*0.92</f>
        <v>363.06235999999996</v>
      </c>
      <c r="U1158" s="113">
        <f t="shared" si="1204"/>
        <v>36.306235999999998</v>
      </c>
      <c r="V1158">
        <f t="shared" ref="V1158:W1158" si="1207">V1134</f>
        <v>2.7</v>
      </c>
      <c r="W1158">
        <f t="shared" si="1207"/>
        <v>3.2</v>
      </c>
      <c r="X1158" s="9">
        <v>2.8453822</v>
      </c>
      <c r="Y1158" s="39"/>
    </row>
    <row r="1159" spans="1:25" ht="15" thickBot="1">
      <c r="A1159" s="29">
        <f t="shared" si="1186"/>
        <v>45884.166666665842</v>
      </c>
      <c r="B1159" s="30">
        <f t="shared" si="1141"/>
        <v>5000</v>
      </c>
      <c r="C1159" s="8">
        <v>25000</v>
      </c>
      <c r="D1159" s="187">
        <v>0</v>
      </c>
      <c r="E1159" s="187">
        <v>700</v>
      </c>
      <c r="F1159" s="187">
        <v>15000</v>
      </c>
      <c r="G1159" s="30">
        <f t="shared" si="1142"/>
        <v>2400</v>
      </c>
      <c r="H1159" s="8">
        <v>25000</v>
      </c>
      <c r="I1159" s="30">
        <f t="shared" si="1143"/>
        <v>5000</v>
      </c>
      <c r="J1159" s="187">
        <v>40000</v>
      </c>
      <c r="K1159" s="30">
        <f t="shared" si="1144"/>
        <v>5000</v>
      </c>
      <c r="L1159" s="187">
        <v>40000</v>
      </c>
      <c r="M1159" s="110">
        <v>9.5</v>
      </c>
      <c r="N1159" s="9">
        <f>VLOOKUP(DATE(YEAR(A1159),MONTH(A1159),DAY(A1159)),FY24_Temp[],3,FALSE)</f>
        <v>14.4</v>
      </c>
      <c r="O1159" s="110">
        <f t="shared" si="1202"/>
        <v>11.5</v>
      </c>
      <c r="P1159" s="110">
        <f t="shared" si="1203"/>
        <v>19.5</v>
      </c>
      <c r="Q1159" s="79">
        <f>VLOOKUP(VLOOKUP(DATEVALUE(TEXT(A1159,"m/d/yyyy")),FY24_Temp[],5,FALSE)&amp;TEXT(A1159,"-h"),TempDelta[],4,FALSE)</f>
        <v>2.5564285346439908</v>
      </c>
      <c r="R1159">
        <v>10</v>
      </c>
      <c r="S1159" s="112">
        <v>1500</v>
      </c>
      <c r="T1159" s="5">
        <f>VLOOKUP(TEXT(A1159,"yy-mm")&amp;"-"&amp;IF(AND(WEEKDAY(A1159)&gt;1,WEEKDAY(A1159)&lt;7),"Wkd",TEXT(A1159,"Ddd"))&amp;"-"&amp;TEXT(A1159,"hh"),LoadTable[],3,FALSE)*0.92</f>
        <v>363.06235999999996</v>
      </c>
      <c r="U1159" s="113">
        <f t="shared" si="1204"/>
        <v>36.306235999999998</v>
      </c>
      <c r="V1159">
        <f t="shared" ref="V1159:W1159" si="1208">V1135</f>
        <v>3</v>
      </c>
      <c r="W1159">
        <f t="shared" si="1208"/>
        <v>3.1</v>
      </c>
      <c r="X1159" s="9">
        <v>2.8731703999999998</v>
      </c>
      <c r="Y1159" s="39"/>
    </row>
    <row r="1160" spans="1:25" ht="15" thickBot="1">
      <c r="A1160" s="29">
        <f t="shared" si="1186"/>
        <v>45884.208333332506</v>
      </c>
      <c r="B1160" s="30">
        <f t="shared" si="1141"/>
        <v>5000</v>
      </c>
      <c r="C1160" s="8">
        <v>25000</v>
      </c>
      <c r="D1160" s="187">
        <v>0</v>
      </c>
      <c r="E1160" s="187">
        <v>700</v>
      </c>
      <c r="F1160" s="187">
        <v>15000</v>
      </c>
      <c r="G1160" s="30">
        <f t="shared" si="1142"/>
        <v>2400</v>
      </c>
      <c r="H1160" s="8">
        <v>25000</v>
      </c>
      <c r="I1160" s="30">
        <f t="shared" si="1143"/>
        <v>5000</v>
      </c>
      <c r="J1160" s="187">
        <v>40000</v>
      </c>
      <c r="K1160" s="30">
        <f t="shared" si="1144"/>
        <v>5000</v>
      </c>
      <c r="L1160" s="187">
        <v>40000</v>
      </c>
      <c r="M1160" s="110">
        <v>9.5</v>
      </c>
      <c r="N1160" s="9">
        <f>VLOOKUP(DATE(YEAR(A1160),MONTH(A1160),DAY(A1160)),FY24_Temp[],3,FALSE)</f>
        <v>14.4</v>
      </c>
      <c r="O1160" s="110">
        <f t="shared" si="1202"/>
        <v>11.5</v>
      </c>
      <c r="P1160" s="110">
        <f t="shared" si="1203"/>
        <v>19.5</v>
      </c>
      <c r="Q1160" s="79">
        <f>VLOOKUP(VLOOKUP(DATEVALUE(TEXT(A1160,"m/d/yyyy")),FY24_Temp[],5,FALSE)&amp;TEXT(A1160,"-h"),TempDelta[],4,FALSE)</f>
        <v>2.6032857554299489</v>
      </c>
      <c r="R1160">
        <v>10</v>
      </c>
      <c r="S1160" s="112">
        <v>1500</v>
      </c>
      <c r="T1160" s="5">
        <f>VLOOKUP(TEXT(A1160,"yy-mm")&amp;"-"&amp;IF(AND(WEEKDAY(A1160)&gt;1,WEEKDAY(A1160)&lt;7),"Wkd",TEXT(A1160,"Ddd"))&amp;"-"&amp;TEXT(A1160,"hh"),LoadTable[],3,FALSE)*0.92</f>
        <v>363.06235999999996</v>
      </c>
      <c r="U1160" s="113">
        <f t="shared" si="1204"/>
        <v>36.306235999999998</v>
      </c>
      <c r="V1160">
        <f t="shared" ref="V1160:W1160" si="1209">V1136</f>
        <v>2.9</v>
      </c>
      <c r="W1160">
        <f t="shared" si="1209"/>
        <v>3.1</v>
      </c>
      <c r="X1160" s="9">
        <v>2.951308</v>
      </c>
      <c r="Y1160" s="39"/>
    </row>
    <row r="1161" spans="1:25" ht="15" thickBot="1">
      <c r="A1161" s="29">
        <f t="shared" si="1186"/>
        <v>45884.249999999171</v>
      </c>
      <c r="B1161" s="30">
        <f t="shared" si="1141"/>
        <v>8000</v>
      </c>
      <c r="C1161" s="8">
        <v>25000</v>
      </c>
      <c r="D1161" s="187">
        <v>0</v>
      </c>
      <c r="E1161" s="187">
        <v>700</v>
      </c>
      <c r="F1161" s="187">
        <v>15000</v>
      </c>
      <c r="G1161" s="30">
        <f t="shared" si="1142"/>
        <v>2400</v>
      </c>
      <c r="H1161" s="8">
        <v>25000</v>
      </c>
      <c r="I1161" s="30">
        <f t="shared" si="1143"/>
        <v>8000</v>
      </c>
      <c r="J1161" s="187">
        <v>40000</v>
      </c>
      <c r="K1161" s="30">
        <f t="shared" si="1144"/>
        <v>8000</v>
      </c>
      <c r="L1161" s="187">
        <v>40000</v>
      </c>
      <c r="M1161" s="110">
        <v>9.5</v>
      </c>
      <c r="N1161" s="9">
        <f>VLOOKUP(DATE(YEAR(A1161),MONTH(A1161),DAY(A1161)),FY24_Temp[],3,FALSE)</f>
        <v>14.4</v>
      </c>
      <c r="O1161" s="110">
        <f t="shared" si="1202"/>
        <v>11.5</v>
      </c>
      <c r="P1161" s="110">
        <f t="shared" si="1203"/>
        <v>19.5</v>
      </c>
      <c r="Q1161" s="79">
        <f>VLOOKUP(VLOOKUP(DATEVALUE(TEXT(A1161,"m/d/yyyy")),FY24_Temp[],5,FALSE)&amp;TEXT(A1161,"-h"),TempDelta[],4,FALSE)</f>
        <v>2.6161428519657681</v>
      </c>
      <c r="R1161">
        <v>10</v>
      </c>
      <c r="S1161" s="112">
        <v>1500</v>
      </c>
      <c r="T1161" s="5">
        <f>VLOOKUP(TEXT(A1161,"yy-mm")&amp;"-"&amp;IF(AND(WEEKDAY(A1161)&gt;1,WEEKDAY(A1161)&lt;7),"Wkd",TEXT(A1161,"Ddd"))&amp;"-"&amp;TEXT(A1161,"hh"),LoadTable[],3,FALSE)*0.92</f>
        <v>363.06235999999996</v>
      </c>
      <c r="U1161" s="113">
        <f t="shared" si="1204"/>
        <v>36.306235999999998</v>
      </c>
      <c r="V1161">
        <f t="shared" ref="V1161:W1161" si="1210">V1137</f>
        <v>2.5</v>
      </c>
      <c r="W1161">
        <f t="shared" si="1210"/>
        <v>3.1</v>
      </c>
      <c r="X1161" s="9">
        <v>3.0756201999999999</v>
      </c>
      <c r="Y1161" s="39"/>
    </row>
    <row r="1162" spans="1:25" ht="15" thickBot="1">
      <c r="A1162" s="29">
        <f t="shared" si="1186"/>
        <v>45884.291666665835</v>
      </c>
      <c r="B1162" s="30">
        <f t="shared" si="1141"/>
        <v>8000</v>
      </c>
      <c r="C1162" s="8">
        <v>25000</v>
      </c>
      <c r="D1162" s="187">
        <v>0</v>
      </c>
      <c r="E1162" s="187">
        <v>700</v>
      </c>
      <c r="F1162" s="187">
        <v>15000</v>
      </c>
      <c r="G1162" s="30">
        <f t="shared" si="1142"/>
        <v>2400</v>
      </c>
      <c r="H1162" s="8">
        <v>25000</v>
      </c>
      <c r="I1162" s="30">
        <f t="shared" si="1143"/>
        <v>8000</v>
      </c>
      <c r="J1162" s="187">
        <v>40000</v>
      </c>
      <c r="K1162" s="30">
        <f t="shared" si="1144"/>
        <v>8000</v>
      </c>
      <c r="L1162" s="187">
        <v>40000</v>
      </c>
      <c r="M1162" s="110">
        <v>9.5</v>
      </c>
      <c r="N1162" s="9">
        <f>VLOOKUP(DATE(YEAR(A1162),MONTH(A1162),DAY(A1162)),FY24_Temp[],3,FALSE)</f>
        <v>14.4</v>
      </c>
      <c r="O1162" s="110">
        <f t="shared" si="1202"/>
        <v>11.5</v>
      </c>
      <c r="P1162" s="110">
        <f t="shared" si="1203"/>
        <v>19.5</v>
      </c>
      <c r="Q1162" s="79">
        <f>VLOOKUP(VLOOKUP(DATEVALUE(TEXT(A1162,"m/d/yyyy")),FY24_Temp[],5,FALSE)&amp;TEXT(A1162,"-h"),TempDelta[],4,FALSE)</f>
        <v>2.582714251109532</v>
      </c>
      <c r="R1162">
        <v>10</v>
      </c>
      <c r="S1162" s="112">
        <v>1500</v>
      </c>
      <c r="T1162" s="5">
        <f>VLOOKUP(TEXT(A1162,"yy-mm")&amp;"-"&amp;IF(AND(WEEKDAY(A1162)&gt;1,WEEKDAY(A1162)&lt;7),"Wkd",TEXT(A1162,"Ddd"))&amp;"-"&amp;TEXT(A1162,"hh"),LoadTable[],3,FALSE)*0.92</f>
        <v>352.2091200000001</v>
      </c>
      <c r="U1162" s="113">
        <f t="shared" si="1204"/>
        <v>35.220912000000013</v>
      </c>
      <c r="V1162">
        <f t="shared" ref="V1162:W1162" si="1211">V1138</f>
        <v>2.5</v>
      </c>
      <c r="W1162">
        <f t="shared" si="1211"/>
        <v>3.1</v>
      </c>
      <c r="X1162" s="9">
        <v>3.2184951000000002</v>
      </c>
      <c r="Y1162" s="39"/>
    </row>
    <row r="1163" spans="1:25" ht="15" thickBot="1">
      <c r="A1163" s="29">
        <f t="shared" si="1186"/>
        <v>45884.333333332499</v>
      </c>
      <c r="B1163" s="30">
        <f t="shared" si="1141"/>
        <v>8000</v>
      </c>
      <c r="C1163" s="8">
        <v>25000</v>
      </c>
      <c r="D1163" s="187">
        <v>0</v>
      </c>
      <c r="E1163" s="187">
        <v>700</v>
      </c>
      <c r="F1163" s="187">
        <v>15000</v>
      </c>
      <c r="G1163" s="30">
        <f t="shared" si="1142"/>
        <v>2400</v>
      </c>
      <c r="H1163" s="8">
        <v>25000</v>
      </c>
      <c r="I1163" s="30">
        <f t="shared" si="1143"/>
        <v>8000</v>
      </c>
      <c r="J1163" s="187">
        <v>40000</v>
      </c>
      <c r="K1163" s="30">
        <f t="shared" si="1144"/>
        <v>8000</v>
      </c>
      <c r="L1163" s="187">
        <v>40000</v>
      </c>
      <c r="M1163" s="110">
        <v>9.5</v>
      </c>
      <c r="N1163" s="9">
        <f>VLOOKUP(DATE(YEAR(A1163),MONTH(A1163),DAY(A1163)),FY24_Temp[],3,FALSE)</f>
        <v>14.4</v>
      </c>
      <c r="O1163" s="110">
        <f t="shared" si="1202"/>
        <v>11.5</v>
      </c>
      <c r="P1163" s="110">
        <f t="shared" si="1203"/>
        <v>19.5</v>
      </c>
      <c r="Q1163" s="79">
        <f>VLOOKUP(VLOOKUP(DATEVALUE(TEXT(A1163,"m/d/yyyy")),FY24_Temp[],5,FALSE)&amp;TEXT(A1163,"-h"),TempDelta[],4,FALSE)</f>
        <v>2.4768571172441756</v>
      </c>
      <c r="R1163">
        <v>10</v>
      </c>
      <c r="S1163" s="112">
        <v>1500</v>
      </c>
      <c r="T1163" s="5">
        <f>VLOOKUP(TEXT(A1163,"yy-mm")&amp;"-"&amp;IF(AND(WEEKDAY(A1163)&gt;1,WEEKDAY(A1163)&lt;7),"Wkd",TEXT(A1163,"Ddd"))&amp;"-"&amp;TEXT(A1163,"hh"),LoadTable[],3,FALSE)*0.92</f>
        <v>352.2091200000001</v>
      </c>
      <c r="U1163" s="113">
        <f t="shared" si="1204"/>
        <v>35.220912000000013</v>
      </c>
      <c r="V1163">
        <f t="shared" ref="V1163:W1163" si="1212">V1139</f>
        <v>3.2</v>
      </c>
      <c r="W1163">
        <f t="shared" si="1212"/>
        <v>3</v>
      </c>
      <c r="X1163" s="9">
        <v>3.2753575000000001</v>
      </c>
      <c r="Y1163" s="39"/>
    </row>
    <row r="1164" spans="1:25" ht="15" thickBot="1">
      <c r="A1164" s="29">
        <f t="shared" si="1186"/>
        <v>45884.374999999163</v>
      </c>
      <c r="B1164" s="30">
        <f t="shared" ref="B1164:B1227" si="1213">B1140</f>
        <v>8000</v>
      </c>
      <c r="C1164" s="8">
        <v>25000</v>
      </c>
      <c r="D1164" s="187">
        <v>0</v>
      </c>
      <c r="E1164" s="187">
        <v>700</v>
      </c>
      <c r="F1164" s="187">
        <v>15000</v>
      </c>
      <c r="G1164" s="30">
        <f t="shared" ref="G1164:G1227" si="1214">G1140</f>
        <v>2400</v>
      </c>
      <c r="H1164" s="8">
        <v>25000</v>
      </c>
      <c r="I1164" s="30">
        <f t="shared" ref="I1164:I1227" si="1215">I1140</f>
        <v>8000</v>
      </c>
      <c r="J1164" s="187">
        <v>40000</v>
      </c>
      <c r="K1164" s="30">
        <f t="shared" ref="K1164:K1227" si="1216">K1140</f>
        <v>8000</v>
      </c>
      <c r="L1164" s="187">
        <v>40000</v>
      </c>
      <c r="M1164" s="110">
        <v>9.5</v>
      </c>
      <c r="N1164" s="9">
        <f>VLOOKUP(DATE(YEAR(A1164),MONTH(A1164),DAY(A1164)),FY24_Temp[],3,FALSE)</f>
        <v>14.4</v>
      </c>
      <c r="O1164" s="110">
        <f t="shared" si="1202"/>
        <v>11.5</v>
      </c>
      <c r="P1164" s="110">
        <f t="shared" si="1203"/>
        <v>19.5</v>
      </c>
      <c r="Q1164" s="79">
        <f>VLOOKUP(VLOOKUP(DATEVALUE(TEXT(A1164,"m/d/yyyy")),FY24_Temp[],5,FALSE)&amp;TEXT(A1164,"-h"),TempDelta[],4,FALSE)</f>
        <v>2.293428523199899</v>
      </c>
      <c r="R1164">
        <v>10</v>
      </c>
      <c r="S1164" s="112">
        <v>1500</v>
      </c>
      <c r="T1164" s="5">
        <f>VLOOKUP(TEXT(A1164,"yy-mm")&amp;"-"&amp;IF(AND(WEEKDAY(A1164)&gt;1,WEEKDAY(A1164)&lt;7),"Wkd",TEXT(A1164,"Ddd"))&amp;"-"&amp;TEXT(A1164,"hh"),LoadTable[],3,FALSE)*0.92</f>
        <v>340.60949077857163</v>
      </c>
      <c r="U1164" s="113">
        <f t="shared" si="1204"/>
        <v>34.06094907785716</v>
      </c>
      <c r="V1164">
        <f t="shared" ref="V1164:W1164" si="1217">V1140</f>
        <v>2.9</v>
      </c>
      <c r="W1164">
        <f t="shared" si="1217"/>
        <v>3</v>
      </c>
      <c r="X1164" s="9">
        <v>3.3213987</v>
      </c>
      <c r="Y1164" s="39"/>
    </row>
    <row r="1165" spans="1:25" ht="15" thickBot="1">
      <c r="A1165" s="29">
        <f t="shared" si="1186"/>
        <v>45884.416666665828</v>
      </c>
      <c r="B1165" s="30">
        <f t="shared" si="1213"/>
        <v>8000</v>
      </c>
      <c r="C1165" s="8">
        <v>25000</v>
      </c>
      <c r="D1165" s="187">
        <v>0</v>
      </c>
      <c r="E1165" s="187">
        <v>700</v>
      </c>
      <c r="F1165" s="187">
        <v>15000</v>
      </c>
      <c r="G1165" s="30">
        <f t="shared" si="1214"/>
        <v>2400</v>
      </c>
      <c r="H1165" s="8">
        <v>25000</v>
      </c>
      <c r="I1165" s="30">
        <f t="shared" si="1215"/>
        <v>8000</v>
      </c>
      <c r="J1165" s="187">
        <v>40000</v>
      </c>
      <c r="K1165" s="30">
        <f t="shared" si="1216"/>
        <v>8000</v>
      </c>
      <c r="L1165" s="187">
        <v>40000</v>
      </c>
      <c r="M1165" s="110">
        <v>9.5</v>
      </c>
      <c r="N1165" s="9">
        <f>VLOOKUP(DATE(YEAR(A1165),MONTH(A1165),DAY(A1165)),FY24_Temp[],3,FALSE)</f>
        <v>14.4</v>
      </c>
      <c r="O1165" s="110">
        <f t="shared" si="1202"/>
        <v>11.5</v>
      </c>
      <c r="P1165" s="110">
        <f t="shared" si="1203"/>
        <v>19.5</v>
      </c>
      <c r="Q1165" s="79">
        <f>VLOOKUP(VLOOKUP(DATEVALUE(TEXT(A1165,"m/d/yyyy")),FY24_Temp[],5,FALSE)&amp;TEXT(A1165,"-h"),TempDelta[],4,FALSE)</f>
        <v>2.0822856766836986</v>
      </c>
      <c r="R1165">
        <v>10</v>
      </c>
      <c r="S1165" s="112">
        <v>1500</v>
      </c>
      <c r="T1165" s="5">
        <f>VLOOKUP(TEXT(A1165,"yy-mm")&amp;"-"&amp;IF(AND(WEEKDAY(A1165)&gt;1,WEEKDAY(A1165)&lt;7),"Wkd",TEXT(A1165,"Ddd"))&amp;"-"&amp;TEXT(A1165,"hh"),LoadTable[],3,FALSE)*0.92</f>
        <v>338.44093501457746</v>
      </c>
      <c r="U1165" s="113">
        <f t="shared" si="1204"/>
        <v>33.844093501457749</v>
      </c>
      <c r="V1165">
        <f t="shared" ref="V1165:W1165" si="1218">V1141</f>
        <v>2.9</v>
      </c>
      <c r="W1165">
        <f t="shared" si="1218"/>
        <v>3</v>
      </c>
      <c r="X1165" s="9">
        <v>3.3834605</v>
      </c>
      <c r="Y1165" s="39"/>
    </row>
    <row r="1166" spans="1:25" ht="15" thickBot="1">
      <c r="A1166" s="29">
        <f t="shared" si="1186"/>
        <v>45884.458333332492</v>
      </c>
      <c r="B1166" s="30">
        <f t="shared" si="1213"/>
        <v>8000</v>
      </c>
      <c r="C1166" s="8">
        <v>25000</v>
      </c>
      <c r="D1166" s="187">
        <v>0</v>
      </c>
      <c r="E1166" s="187">
        <v>700</v>
      </c>
      <c r="F1166" s="187">
        <v>15000</v>
      </c>
      <c r="G1166" s="30">
        <f t="shared" si="1214"/>
        <v>2400</v>
      </c>
      <c r="H1166" s="8">
        <v>25000</v>
      </c>
      <c r="I1166" s="30">
        <f t="shared" si="1215"/>
        <v>8000</v>
      </c>
      <c r="J1166" s="187">
        <v>40000</v>
      </c>
      <c r="K1166" s="30">
        <f t="shared" si="1216"/>
        <v>8000</v>
      </c>
      <c r="L1166" s="187">
        <v>40000</v>
      </c>
      <c r="M1166" s="110">
        <v>9.5</v>
      </c>
      <c r="N1166" s="9">
        <f>VLOOKUP(DATE(YEAR(A1166),MONTH(A1166),DAY(A1166)),FY24_Temp[],3,FALSE)</f>
        <v>14.4</v>
      </c>
      <c r="O1166" s="110">
        <f t="shared" si="1202"/>
        <v>11.5</v>
      </c>
      <c r="P1166" s="110">
        <f t="shared" si="1203"/>
        <v>19.5</v>
      </c>
      <c r="Q1166" s="79">
        <f>VLOOKUP(VLOOKUP(DATEVALUE(TEXT(A1166,"m/d/yyyy")),FY24_Temp[],5,FALSE)&amp;TEXT(A1166,"-h"),TempDelta[],4,FALSE)</f>
        <v>1.8338571105684554</v>
      </c>
      <c r="R1166">
        <v>10</v>
      </c>
      <c r="S1166" s="112">
        <v>1500</v>
      </c>
      <c r="T1166" s="5">
        <f>VLOOKUP(TEXT(A1166,"yy-mm")&amp;"-"&amp;IF(AND(WEEKDAY(A1166)&gt;1,WEEKDAY(A1166)&lt;7),"Wkd",TEXT(A1166,"Ddd"))&amp;"-"&amp;TEXT(A1166,"hh"),LoadTable[],3,FALSE)*0.92</f>
        <v>338.44093501457746</v>
      </c>
      <c r="U1166" s="113">
        <f t="shared" si="1204"/>
        <v>33.844093501457749</v>
      </c>
      <c r="V1166">
        <f t="shared" ref="V1166:W1166" si="1219">V1142</f>
        <v>3.4</v>
      </c>
      <c r="W1166">
        <f t="shared" si="1219"/>
        <v>3</v>
      </c>
      <c r="X1166" s="9">
        <v>3.3357329</v>
      </c>
      <c r="Y1166" s="39"/>
    </row>
    <row r="1167" spans="1:25" ht="15" thickBot="1">
      <c r="A1167" s="29">
        <f t="shared" si="1186"/>
        <v>45884.499999999156</v>
      </c>
      <c r="B1167" s="30">
        <f t="shared" si="1213"/>
        <v>8000</v>
      </c>
      <c r="C1167" s="8">
        <v>25000</v>
      </c>
      <c r="D1167" s="187">
        <v>0</v>
      </c>
      <c r="E1167" s="187">
        <v>700</v>
      </c>
      <c r="F1167" s="187">
        <v>15000</v>
      </c>
      <c r="G1167" s="30">
        <f t="shared" si="1214"/>
        <v>2400</v>
      </c>
      <c r="H1167" s="8">
        <v>25000</v>
      </c>
      <c r="I1167" s="30">
        <f t="shared" si="1215"/>
        <v>8000</v>
      </c>
      <c r="J1167" s="187">
        <v>40000</v>
      </c>
      <c r="K1167" s="30">
        <f t="shared" si="1216"/>
        <v>8000</v>
      </c>
      <c r="L1167" s="187">
        <v>40000</v>
      </c>
      <c r="M1167" s="110">
        <v>9.5</v>
      </c>
      <c r="N1167" s="9">
        <f>VLOOKUP(DATE(YEAR(A1167),MONTH(A1167),DAY(A1167)),FY24_Temp[],3,FALSE)</f>
        <v>14.4</v>
      </c>
      <c r="O1167" s="110">
        <f t="shared" si="1202"/>
        <v>11.5</v>
      </c>
      <c r="P1167" s="110">
        <f t="shared" si="1203"/>
        <v>19.5</v>
      </c>
      <c r="Q1167" s="79">
        <f>VLOOKUP(VLOOKUP(DATEVALUE(TEXT(A1167,"m/d/yyyy")),FY24_Temp[],5,FALSE)&amp;TEXT(A1167,"-h"),TempDelta[],4,FALSE)</f>
        <v>1.5831428595951624</v>
      </c>
      <c r="R1167">
        <v>10</v>
      </c>
      <c r="S1167" s="112">
        <v>1500</v>
      </c>
      <c r="T1167" s="5">
        <f>VLOOKUP(TEXT(A1167,"yy-mm")&amp;"-"&amp;IF(AND(WEEKDAY(A1167)&gt;1,WEEKDAY(A1167)&lt;7),"Wkd",TEXT(A1167,"Ddd"))&amp;"-"&amp;TEXT(A1167,"hh"),LoadTable[],3,FALSE)*0.92</f>
        <v>338.44093501457746</v>
      </c>
      <c r="U1167" s="113">
        <f t="shared" si="1204"/>
        <v>33.844093501457749</v>
      </c>
      <c r="V1167">
        <f t="shared" ref="V1167:W1167" si="1220">V1143</f>
        <v>3.1</v>
      </c>
      <c r="W1167">
        <f t="shared" si="1220"/>
        <v>2.9</v>
      </c>
      <c r="X1167" s="9">
        <v>3.2028327000000001</v>
      </c>
      <c r="Y1167" s="39"/>
    </row>
    <row r="1168" spans="1:25" ht="15" thickBot="1">
      <c r="A1168" s="29">
        <f t="shared" si="1186"/>
        <v>45884.54166666582</v>
      </c>
      <c r="B1168" s="30">
        <f t="shared" si="1213"/>
        <v>8000</v>
      </c>
      <c r="C1168" s="8">
        <v>25000</v>
      </c>
      <c r="D1168" s="187">
        <v>0</v>
      </c>
      <c r="E1168" s="187">
        <v>700</v>
      </c>
      <c r="F1168" s="187">
        <v>15000</v>
      </c>
      <c r="G1168" s="30">
        <f t="shared" si="1214"/>
        <v>2400</v>
      </c>
      <c r="H1168" s="8">
        <v>25000</v>
      </c>
      <c r="I1168" s="30">
        <f t="shared" si="1215"/>
        <v>8000</v>
      </c>
      <c r="J1168" s="187">
        <v>40000</v>
      </c>
      <c r="K1168" s="30">
        <f t="shared" si="1216"/>
        <v>8000</v>
      </c>
      <c r="L1168" s="187">
        <v>40000</v>
      </c>
      <c r="M1168" s="110">
        <v>9.5</v>
      </c>
      <c r="N1168" s="9">
        <f>VLOOKUP(DATE(YEAR(A1168),MONTH(A1168),DAY(A1168)),FY24_Temp[],3,FALSE)</f>
        <v>14.4</v>
      </c>
      <c r="O1168" s="110">
        <f t="shared" si="1202"/>
        <v>11.5</v>
      </c>
      <c r="P1168" s="110">
        <f t="shared" si="1203"/>
        <v>19.5</v>
      </c>
      <c r="Q1168" s="79">
        <f>VLOOKUP(VLOOKUP(DATEVALUE(TEXT(A1168,"m/d/yyyy")),FY24_Temp[],5,FALSE)&amp;TEXT(A1168,"-h"),TempDelta[],4,FALSE)</f>
        <v>1.3324285575321742</v>
      </c>
      <c r="R1168">
        <v>10</v>
      </c>
      <c r="S1168" s="112">
        <v>1500</v>
      </c>
      <c r="T1168" s="5">
        <f>VLOOKUP(TEXT(A1168,"yy-mm")&amp;"-"&amp;IF(AND(WEEKDAY(A1168)&gt;1,WEEKDAY(A1168)&lt;7),"Wkd",TEXT(A1168,"Ddd"))&amp;"-"&amp;TEXT(A1168,"hh"),LoadTable[],3,FALSE)*0.92</f>
        <v>389.90980000000025</v>
      </c>
      <c r="U1168" s="113">
        <f t="shared" si="1204"/>
        <v>38.990980000000022</v>
      </c>
      <c r="V1168">
        <f t="shared" ref="V1168:W1168" si="1221">V1144</f>
        <v>3.2</v>
      </c>
      <c r="W1168">
        <f t="shared" si="1221"/>
        <v>2.9</v>
      </c>
      <c r="X1168" s="9">
        <v>3.0298736000000002</v>
      </c>
      <c r="Y1168" s="39"/>
    </row>
    <row r="1169" spans="1:25" ht="15" thickBot="1">
      <c r="A1169" s="29">
        <f t="shared" si="1186"/>
        <v>45884.583333332484</v>
      </c>
      <c r="B1169" s="30">
        <f t="shared" si="1213"/>
        <v>8000</v>
      </c>
      <c r="C1169" s="8">
        <v>25000</v>
      </c>
      <c r="D1169" s="187">
        <v>0</v>
      </c>
      <c r="E1169" s="187">
        <v>700</v>
      </c>
      <c r="F1169" s="187">
        <v>15000</v>
      </c>
      <c r="G1169" s="30">
        <f t="shared" si="1214"/>
        <v>2400</v>
      </c>
      <c r="H1169" s="8">
        <v>25000</v>
      </c>
      <c r="I1169" s="30">
        <f t="shared" si="1215"/>
        <v>8000</v>
      </c>
      <c r="J1169" s="187">
        <v>40000</v>
      </c>
      <c r="K1169" s="30">
        <f t="shared" si="1216"/>
        <v>8000</v>
      </c>
      <c r="L1169" s="187">
        <v>40000</v>
      </c>
      <c r="M1169" s="110">
        <v>9.5</v>
      </c>
      <c r="N1169" s="9">
        <f>VLOOKUP(DATE(YEAR(A1169),MONTH(A1169),DAY(A1169)),FY24_Temp[],3,FALSE)</f>
        <v>14.4</v>
      </c>
      <c r="O1169" s="110">
        <f t="shared" si="1202"/>
        <v>11.5</v>
      </c>
      <c r="P1169" s="110">
        <f t="shared" si="1203"/>
        <v>19.5</v>
      </c>
      <c r="Q1169" s="79">
        <f>VLOOKUP(VLOOKUP(DATEVALUE(TEXT(A1169,"m/d/yyyy")),FY24_Temp[],5,FALSE)&amp;TEXT(A1169,"-h"),TempDelta[],4,FALSE)</f>
        <v>1.096000007220677</v>
      </c>
      <c r="R1169">
        <v>10</v>
      </c>
      <c r="S1169" s="112">
        <v>1500</v>
      </c>
      <c r="T1169" s="5">
        <f>VLOOKUP(TEXT(A1169,"yy-mm")&amp;"-"&amp;IF(AND(WEEKDAY(A1169)&gt;1,WEEKDAY(A1169)&lt;7),"Wkd",TEXT(A1169,"Ddd"))&amp;"-"&amp;TEXT(A1169,"hh"),LoadTable[],3,FALSE)*0.92</f>
        <v>625.53652000000022</v>
      </c>
      <c r="U1169" s="113">
        <f t="shared" si="1204"/>
        <v>62.553652000000021</v>
      </c>
      <c r="V1169">
        <f t="shared" ref="V1169:W1169" si="1222">V1145</f>
        <v>3.5</v>
      </c>
      <c r="W1169">
        <f t="shared" si="1222"/>
        <v>2.9</v>
      </c>
      <c r="X1169" s="9">
        <v>2.9732742000000001</v>
      </c>
      <c r="Y1169" s="39"/>
    </row>
    <row r="1170" spans="1:25" ht="15" thickBot="1">
      <c r="A1170" s="29">
        <f t="shared" si="1186"/>
        <v>45884.624999999149</v>
      </c>
      <c r="B1170" s="30">
        <f t="shared" si="1213"/>
        <v>8000</v>
      </c>
      <c r="C1170" s="8">
        <v>25000</v>
      </c>
      <c r="D1170" s="187">
        <v>0</v>
      </c>
      <c r="E1170" s="187">
        <v>700</v>
      </c>
      <c r="F1170" s="187">
        <v>15000</v>
      </c>
      <c r="G1170" s="30">
        <f t="shared" si="1214"/>
        <v>2400</v>
      </c>
      <c r="H1170" s="8">
        <v>25000</v>
      </c>
      <c r="I1170" s="30">
        <f t="shared" si="1215"/>
        <v>8000</v>
      </c>
      <c r="J1170" s="187">
        <v>40000</v>
      </c>
      <c r="K1170" s="30">
        <f t="shared" si="1216"/>
        <v>8000</v>
      </c>
      <c r="L1170" s="187">
        <v>40000</v>
      </c>
      <c r="M1170" s="110">
        <v>9.5</v>
      </c>
      <c r="N1170" s="9">
        <f>VLOOKUP(DATE(YEAR(A1170),MONTH(A1170),DAY(A1170)),FY24_Temp[],3,FALSE)</f>
        <v>14.4</v>
      </c>
      <c r="O1170" s="110">
        <f t="shared" si="1202"/>
        <v>11.5</v>
      </c>
      <c r="P1170" s="110">
        <f t="shared" si="1203"/>
        <v>19.5</v>
      </c>
      <c r="Q1170" s="79">
        <f>VLOOKUP(VLOOKUP(DATEVALUE(TEXT(A1170,"m/d/yyyy")),FY24_Temp[],5,FALSE)&amp;TEXT(A1170,"-h"),TempDelta[],4,FALSE)</f>
        <v>0.78178571377481731</v>
      </c>
      <c r="R1170">
        <v>10</v>
      </c>
      <c r="S1170" s="112">
        <v>1500</v>
      </c>
      <c r="T1170" s="5">
        <f>VLOOKUP(TEXT(A1170,"yy-mm")&amp;"-"&amp;IF(AND(WEEKDAY(A1170)&gt;1,WEEKDAY(A1170)&lt;7),"Wkd",TEXT(A1170,"Ddd"))&amp;"-"&amp;TEXT(A1170,"hh"),LoadTable[],3,FALSE)*0.92</f>
        <v>699.79524000000038</v>
      </c>
      <c r="U1170" s="113">
        <f t="shared" si="1204"/>
        <v>69.97952400000004</v>
      </c>
      <c r="V1170">
        <f t="shared" ref="V1170:W1170" si="1223">V1146</f>
        <v>3.2</v>
      </c>
      <c r="W1170">
        <f t="shared" si="1223"/>
        <v>2.9</v>
      </c>
      <c r="X1170" s="9">
        <v>3.2738404000000001</v>
      </c>
      <c r="Y1170" s="39"/>
    </row>
    <row r="1171" spans="1:25" ht="15" thickBot="1">
      <c r="A1171" s="29">
        <f t="shared" si="1186"/>
        <v>45884.666666665813</v>
      </c>
      <c r="B1171" s="30">
        <f t="shared" si="1213"/>
        <v>8000</v>
      </c>
      <c r="C1171" s="8">
        <v>25000</v>
      </c>
      <c r="D1171" s="187">
        <v>0</v>
      </c>
      <c r="E1171" s="187">
        <v>700</v>
      </c>
      <c r="F1171" s="187">
        <v>15000</v>
      </c>
      <c r="G1171" s="30">
        <f t="shared" si="1214"/>
        <v>2400</v>
      </c>
      <c r="H1171" s="8">
        <v>25000</v>
      </c>
      <c r="I1171" s="30">
        <f t="shared" si="1215"/>
        <v>8000</v>
      </c>
      <c r="J1171" s="187">
        <v>40000</v>
      </c>
      <c r="K1171" s="30">
        <f t="shared" si="1216"/>
        <v>8000</v>
      </c>
      <c r="L1171" s="187">
        <v>40000</v>
      </c>
      <c r="M1171" s="110">
        <v>9.5</v>
      </c>
      <c r="N1171" s="9">
        <f>VLOOKUP(DATE(YEAR(A1171),MONTH(A1171),DAY(A1171)),FY24_Temp[],3,FALSE)</f>
        <v>14.4</v>
      </c>
      <c r="O1171" s="110">
        <f t="shared" si="1202"/>
        <v>11.5</v>
      </c>
      <c r="P1171" s="110">
        <f t="shared" si="1203"/>
        <v>19.5</v>
      </c>
      <c r="Q1171" s="79">
        <f>VLOOKUP(VLOOKUP(DATEVALUE(TEXT(A1171,"m/d/yyyy")),FY24_Temp[],5,FALSE)&amp;TEXT(A1171,"-h"),TempDelta[],4,FALSE)</f>
        <v>0.64235714290823254</v>
      </c>
      <c r="R1171">
        <v>10</v>
      </c>
      <c r="S1171" s="112">
        <v>1500</v>
      </c>
      <c r="T1171" s="5">
        <f>VLOOKUP(TEXT(A1171,"yy-mm")&amp;"-"&amp;IF(AND(WEEKDAY(A1171)&gt;1,WEEKDAY(A1171)&lt;7),"Wkd",TEXT(A1171,"Ddd"))&amp;"-"&amp;TEXT(A1171,"hh"),LoadTable[],3,FALSE)*0.92</f>
        <v>786.27137399656624</v>
      </c>
      <c r="U1171" s="113">
        <f t="shared" si="1204"/>
        <v>78.627137399656618</v>
      </c>
      <c r="V1171">
        <f t="shared" ref="V1171:W1171" si="1224">V1147</f>
        <v>3.5</v>
      </c>
      <c r="W1171">
        <f t="shared" si="1224"/>
        <v>3</v>
      </c>
      <c r="X1171" s="9">
        <v>3.1982032999999999</v>
      </c>
      <c r="Y1171" s="39"/>
    </row>
    <row r="1172" spans="1:25" ht="15" thickBot="1">
      <c r="A1172" s="29">
        <f t="shared" si="1186"/>
        <v>45884.708333332477</v>
      </c>
      <c r="B1172" s="30">
        <f t="shared" si="1213"/>
        <v>8000</v>
      </c>
      <c r="C1172" s="8">
        <v>25000</v>
      </c>
      <c r="D1172" s="187">
        <v>0</v>
      </c>
      <c r="E1172" s="187">
        <v>700</v>
      </c>
      <c r="F1172" s="187">
        <v>15000</v>
      </c>
      <c r="G1172" s="30">
        <f t="shared" si="1214"/>
        <v>2400</v>
      </c>
      <c r="H1172" s="8">
        <v>25000</v>
      </c>
      <c r="I1172" s="30">
        <f t="shared" si="1215"/>
        <v>8000</v>
      </c>
      <c r="J1172" s="187">
        <v>40000</v>
      </c>
      <c r="K1172" s="30">
        <f t="shared" si="1216"/>
        <v>8000</v>
      </c>
      <c r="L1172" s="187">
        <v>40000</v>
      </c>
      <c r="M1172" s="110">
        <v>9.5</v>
      </c>
      <c r="N1172" s="9">
        <f>VLOOKUP(DATE(YEAR(A1172),MONTH(A1172),DAY(A1172)),FY24_Temp[],3,FALSE)</f>
        <v>14.4</v>
      </c>
      <c r="O1172" s="110">
        <f t="shared" si="1202"/>
        <v>11.5</v>
      </c>
      <c r="P1172" s="110">
        <f t="shared" si="1203"/>
        <v>19.5</v>
      </c>
      <c r="Q1172" s="79">
        <f>VLOOKUP(VLOOKUP(DATEVALUE(TEXT(A1172,"m/d/yyyy")),FY24_Temp[],5,FALSE)&amp;TEXT(A1172,"-h"),TempDelta[],4,FALSE)</f>
        <v>0.66985713158335003</v>
      </c>
      <c r="R1172">
        <v>10</v>
      </c>
      <c r="S1172" s="112">
        <v>1500</v>
      </c>
      <c r="T1172" s="5">
        <f>VLOOKUP(TEXT(A1172,"yy-mm")&amp;"-"&amp;IF(AND(WEEKDAY(A1172)&gt;1,WEEKDAY(A1172)&lt;7),"Wkd",TEXT(A1172,"Ddd"))&amp;"-"&amp;TEXT(A1172,"hh"),LoadTable[],3,FALSE)*0.92</f>
        <v>786.27137399656624</v>
      </c>
      <c r="U1172" s="113">
        <f t="shared" si="1204"/>
        <v>78.627137399656618</v>
      </c>
      <c r="V1172">
        <f t="shared" ref="V1172:W1172" si="1225">V1148</f>
        <v>3.6</v>
      </c>
      <c r="W1172">
        <f t="shared" si="1225"/>
        <v>3</v>
      </c>
      <c r="X1172" s="9">
        <v>3.1111456999999998</v>
      </c>
      <c r="Y1172" s="39"/>
    </row>
    <row r="1173" spans="1:25" ht="15" thickBot="1">
      <c r="A1173" s="29">
        <f t="shared" si="1186"/>
        <v>45884.749999999141</v>
      </c>
      <c r="B1173" s="30">
        <f t="shared" si="1213"/>
        <v>5000</v>
      </c>
      <c r="C1173" s="8">
        <v>25000</v>
      </c>
      <c r="D1173" s="187">
        <v>0</v>
      </c>
      <c r="E1173" s="187">
        <v>700</v>
      </c>
      <c r="F1173" s="187">
        <v>15000</v>
      </c>
      <c r="G1173" s="30">
        <f t="shared" si="1214"/>
        <v>2400</v>
      </c>
      <c r="H1173" s="8">
        <v>25000</v>
      </c>
      <c r="I1173" s="30">
        <f t="shared" si="1215"/>
        <v>5000</v>
      </c>
      <c r="J1173" s="187">
        <v>40000</v>
      </c>
      <c r="K1173" s="30">
        <f t="shared" si="1216"/>
        <v>5000</v>
      </c>
      <c r="L1173" s="187">
        <v>40000</v>
      </c>
      <c r="M1173" s="110">
        <v>9.5</v>
      </c>
      <c r="N1173" s="9">
        <f>VLOOKUP(DATE(YEAR(A1173),MONTH(A1173),DAY(A1173)),FY24_Temp[],3,FALSE)</f>
        <v>14.4</v>
      </c>
      <c r="O1173" s="110">
        <f t="shared" si="1202"/>
        <v>11.5</v>
      </c>
      <c r="P1173" s="110">
        <f t="shared" si="1203"/>
        <v>19.5</v>
      </c>
      <c r="Q1173" s="79">
        <f>VLOOKUP(VLOOKUP(DATEVALUE(TEXT(A1173,"m/d/yyyy")),FY24_Temp[],5,FALSE)&amp;TEXT(A1173,"-h"),TempDelta[],4,FALSE)</f>
        <v>0.88785713485309059</v>
      </c>
      <c r="R1173">
        <v>10</v>
      </c>
      <c r="S1173" s="112">
        <v>1500</v>
      </c>
      <c r="T1173" s="5">
        <f>VLOOKUP(TEXT(A1173,"yy-mm")&amp;"-"&amp;IF(AND(WEEKDAY(A1173)&gt;1,WEEKDAY(A1173)&lt;7),"Wkd",TEXT(A1173,"Ddd"))&amp;"-"&amp;TEXT(A1173,"hh"),LoadTable[],3,FALSE)*0.92</f>
        <v>786.27137399656647</v>
      </c>
      <c r="U1173" s="113">
        <f t="shared" si="1204"/>
        <v>78.627137399656647</v>
      </c>
      <c r="V1173">
        <f t="shared" ref="V1173:W1173" si="1226">V1149</f>
        <v>2.9</v>
      </c>
      <c r="W1173">
        <f t="shared" si="1226"/>
        <v>3</v>
      </c>
      <c r="X1173" s="9">
        <v>3.0862927</v>
      </c>
      <c r="Y1173" s="39"/>
    </row>
    <row r="1174" spans="1:25" ht="15" thickBot="1">
      <c r="A1174" s="29">
        <f t="shared" si="1186"/>
        <v>45884.791666665806</v>
      </c>
      <c r="B1174" s="30">
        <f t="shared" si="1213"/>
        <v>5000</v>
      </c>
      <c r="C1174" s="8">
        <v>25000</v>
      </c>
      <c r="D1174" s="187">
        <v>0</v>
      </c>
      <c r="E1174" s="187">
        <v>700</v>
      </c>
      <c r="F1174" s="187">
        <v>15000</v>
      </c>
      <c r="G1174" s="30">
        <f t="shared" si="1214"/>
        <v>2400</v>
      </c>
      <c r="H1174" s="8">
        <v>25000</v>
      </c>
      <c r="I1174" s="30">
        <f t="shared" si="1215"/>
        <v>5000</v>
      </c>
      <c r="J1174" s="187">
        <v>40000</v>
      </c>
      <c r="K1174" s="30">
        <f t="shared" si="1216"/>
        <v>5000</v>
      </c>
      <c r="L1174" s="187">
        <v>40000</v>
      </c>
      <c r="M1174" s="110">
        <v>9.5</v>
      </c>
      <c r="N1174" s="9">
        <f>VLOOKUP(DATE(YEAR(A1174),MONTH(A1174),DAY(A1174)),FY24_Temp[],3,FALSE)</f>
        <v>14.4</v>
      </c>
      <c r="O1174" s="110">
        <f t="shared" si="1202"/>
        <v>11.5</v>
      </c>
      <c r="P1174" s="110">
        <f t="shared" si="1203"/>
        <v>19.5</v>
      </c>
      <c r="Q1174" s="79">
        <f>VLOOKUP(VLOOKUP(DATEVALUE(TEXT(A1174,"m/d/yyyy")),FY24_Temp[],5,FALSE)&amp;TEXT(A1174,"-h"),TempDelta[],4,FALSE)</f>
        <v>1.1961428693362646</v>
      </c>
      <c r="R1174">
        <v>10</v>
      </c>
      <c r="S1174" s="112">
        <v>1500</v>
      </c>
      <c r="T1174" s="5">
        <f>VLOOKUP(TEXT(A1174,"yy-mm")&amp;"-"&amp;IF(AND(WEEKDAY(A1174)&gt;1,WEEKDAY(A1174)&lt;7),"Wkd",TEXT(A1174,"Ddd"))&amp;"-"&amp;TEXT(A1174,"hh"),LoadTable[],3,FALSE)*0.92</f>
        <v>786.27137399656647</v>
      </c>
      <c r="U1174" s="113">
        <f t="shared" si="1204"/>
        <v>78.627137399656647</v>
      </c>
      <c r="V1174">
        <f t="shared" ref="V1174:W1174" si="1227">V1150</f>
        <v>3</v>
      </c>
      <c r="W1174">
        <f t="shared" si="1227"/>
        <v>3</v>
      </c>
      <c r="X1174" s="9">
        <v>3.0510640000000002</v>
      </c>
      <c r="Y1174" s="39"/>
    </row>
    <row r="1175" spans="1:25" ht="15" thickBot="1">
      <c r="A1175" s="29">
        <f t="shared" si="1186"/>
        <v>45884.83333333247</v>
      </c>
      <c r="B1175" s="30">
        <f t="shared" si="1213"/>
        <v>5000</v>
      </c>
      <c r="C1175" s="8">
        <v>25000</v>
      </c>
      <c r="D1175" s="187">
        <v>0</v>
      </c>
      <c r="E1175" s="187">
        <v>700</v>
      </c>
      <c r="F1175" s="187">
        <v>15000</v>
      </c>
      <c r="G1175" s="30">
        <f t="shared" si="1214"/>
        <v>2400</v>
      </c>
      <c r="H1175" s="8">
        <v>25000</v>
      </c>
      <c r="I1175" s="30">
        <f t="shared" si="1215"/>
        <v>5000</v>
      </c>
      <c r="J1175" s="187">
        <v>40000</v>
      </c>
      <c r="K1175" s="30">
        <f t="shared" si="1216"/>
        <v>5000</v>
      </c>
      <c r="L1175" s="187">
        <v>40000</v>
      </c>
      <c r="M1175" s="110">
        <v>9.5</v>
      </c>
      <c r="N1175" s="9">
        <f>VLOOKUP(DATE(YEAR(A1175),MONTH(A1175),DAY(A1175)),FY24_Temp[],3,FALSE)</f>
        <v>14.4</v>
      </c>
      <c r="O1175" s="110">
        <f t="shared" si="1202"/>
        <v>11.5</v>
      </c>
      <c r="P1175" s="110">
        <f t="shared" si="1203"/>
        <v>19.5</v>
      </c>
      <c r="Q1175" s="79">
        <f>VLOOKUP(VLOOKUP(DATEVALUE(TEXT(A1175,"m/d/yyyy")),FY24_Temp[],5,FALSE)&amp;TEXT(A1175,"-h"),TempDelta[],4,FALSE)</f>
        <v>1.6075714315686906</v>
      </c>
      <c r="R1175">
        <v>10</v>
      </c>
      <c r="S1175" s="112">
        <v>1500</v>
      </c>
      <c r="T1175" s="5">
        <f>VLOOKUP(TEXT(A1175,"yy-mm")&amp;"-"&amp;IF(AND(WEEKDAY(A1175)&gt;1,WEEKDAY(A1175)&lt;7),"Wkd",TEXT(A1175,"Ddd"))&amp;"-"&amp;TEXT(A1175,"hh"),LoadTable[],3,FALSE)*0.92</f>
        <v>786.27137399656647</v>
      </c>
      <c r="U1175" s="113">
        <f t="shared" si="1204"/>
        <v>78.627137399656647</v>
      </c>
      <c r="V1175">
        <f t="shared" ref="V1175:W1175" si="1228">V1151</f>
        <v>2.8</v>
      </c>
      <c r="W1175">
        <f t="shared" si="1228"/>
        <v>3.1</v>
      </c>
      <c r="X1175" s="9">
        <v>3.0132154999999998</v>
      </c>
      <c r="Y1175" s="39"/>
    </row>
    <row r="1176" spans="1:25" ht="15" thickBot="1">
      <c r="A1176" s="29">
        <f t="shared" si="1186"/>
        <v>45884.874999999134</v>
      </c>
      <c r="B1176" s="30">
        <f t="shared" si="1213"/>
        <v>5000</v>
      </c>
      <c r="C1176" s="8">
        <v>25000</v>
      </c>
      <c r="D1176" s="187">
        <v>0</v>
      </c>
      <c r="E1176" s="187">
        <v>700</v>
      </c>
      <c r="F1176" s="187">
        <v>15000</v>
      </c>
      <c r="G1176" s="30">
        <f t="shared" si="1214"/>
        <v>2400</v>
      </c>
      <c r="H1176" s="8">
        <v>25000</v>
      </c>
      <c r="I1176" s="30">
        <f t="shared" si="1215"/>
        <v>5000</v>
      </c>
      <c r="J1176" s="187">
        <v>40000</v>
      </c>
      <c r="K1176" s="30">
        <f t="shared" si="1216"/>
        <v>5000</v>
      </c>
      <c r="L1176" s="187">
        <v>40000</v>
      </c>
      <c r="M1176" s="110">
        <v>9.5</v>
      </c>
      <c r="N1176" s="9">
        <f>VLOOKUP(DATE(YEAR(A1176),MONTH(A1176),DAY(A1176)),FY24_Temp[],3,FALSE)</f>
        <v>14.4</v>
      </c>
      <c r="O1176" s="110">
        <f t="shared" si="1202"/>
        <v>11.5</v>
      </c>
      <c r="P1176" s="110">
        <f t="shared" si="1203"/>
        <v>19.5</v>
      </c>
      <c r="Q1176" s="79">
        <f>VLOOKUP(VLOOKUP(DATEVALUE(TEXT(A1176,"m/d/yyyy")),FY24_Temp[],5,FALSE)&amp;TEXT(A1176,"-h"),TempDelta[],4,FALSE)</f>
        <v>1.9315714410373144</v>
      </c>
      <c r="R1176">
        <v>10</v>
      </c>
      <c r="S1176" s="112">
        <v>1500</v>
      </c>
      <c r="T1176" s="5">
        <f>VLOOKUP(TEXT(A1176,"yy-mm")&amp;"-"&amp;IF(AND(WEEKDAY(A1176)&gt;1,WEEKDAY(A1176)&lt;7),"Wkd",TEXT(A1176,"Ddd"))&amp;"-"&amp;TEXT(A1176,"hh"),LoadTable[],3,FALSE)*0.92</f>
        <v>784.39716226323299</v>
      </c>
      <c r="U1176" s="113">
        <f t="shared" si="1204"/>
        <v>78.439716226323299</v>
      </c>
      <c r="V1176">
        <f t="shared" ref="V1176:W1176" si="1229">V1152</f>
        <v>3.5</v>
      </c>
      <c r="W1176">
        <f t="shared" si="1229"/>
        <v>3.1</v>
      </c>
      <c r="X1176" s="9">
        <v>2.9836257000000002</v>
      </c>
      <c r="Y1176" s="39"/>
    </row>
    <row r="1177" spans="1:25" ht="15" thickBot="1">
      <c r="A1177" s="29">
        <f t="shared" si="1186"/>
        <v>45884.916666665798</v>
      </c>
      <c r="B1177" s="30">
        <f t="shared" si="1213"/>
        <v>5000</v>
      </c>
      <c r="C1177" s="8">
        <v>25000</v>
      </c>
      <c r="D1177" s="187">
        <v>0</v>
      </c>
      <c r="E1177" s="187">
        <v>700</v>
      </c>
      <c r="F1177" s="187">
        <v>15000</v>
      </c>
      <c r="G1177" s="30">
        <f t="shared" si="1214"/>
        <v>2400</v>
      </c>
      <c r="H1177" s="8">
        <v>25000</v>
      </c>
      <c r="I1177" s="30">
        <f t="shared" si="1215"/>
        <v>5000</v>
      </c>
      <c r="J1177" s="187">
        <v>40000</v>
      </c>
      <c r="K1177" s="30">
        <f t="shared" si="1216"/>
        <v>5000</v>
      </c>
      <c r="L1177" s="187">
        <v>40000</v>
      </c>
      <c r="M1177" s="110">
        <v>9.5</v>
      </c>
      <c r="N1177" s="9">
        <f>VLOOKUP(DATE(YEAR(A1177),MONTH(A1177),DAY(A1177)),FY24_Temp[],3,FALSE)</f>
        <v>14.4</v>
      </c>
      <c r="O1177" s="110">
        <f t="shared" si="1202"/>
        <v>11.5</v>
      </c>
      <c r="P1177" s="110">
        <f t="shared" si="1203"/>
        <v>19.5</v>
      </c>
      <c r="Q1177" s="79">
        <f>VLOOKUP(VLOOKUP(DATEVALUE(TEXT(A1177,"m/d/yyyy")),FY24_Temp[],5,FALSE)&amp;TEXT(A1177,"-h"),TempDelta[],4,FALSE)</f>
        <v>2.2258571556636264</v>
      </c>
      <c r="R1177">
        <v>10</v>
      </c>
      <c r="S1177" s="112">
        <v>1500</v>
      </c>
      <c r="T1177" s="5">
        <f>VLOOKUP(TEXT(A1177,"yy-mm")&amp;"-"&amp;IF(AND(WEEKDAY(A1177)&gt;1,WEEKDAY(A1177)&lt;7),"Wkd",TEXT(A1177,"Ddd"))&amp;"-"&amp;TEXT(A1177,"hh"),LoadTable[],3,FALSE)*0.92</f>
        <v>600.06900003761973</v>
      </c>
      <c r="U1177" s="113">
        <f t="shared" si="1204"/>
        <v>60.00690000376197</v>
      </c>
      <c r="V1177">
        <f t="shared" ref="V1177:W1177" si="1230">V1153</f>
        <v>2.9</v>
      </c>
      <c r="W1177">
        <f t="shared" si="1230"/>
        <v>3.1</v>
      </c>
      <c r="X1177" s="9">
        <v>2.9536166000000001</v>
      </c>
      <c r="Y1177" s="39"/>
    </row>
    <row r="1178" spans="1:25" ht="15" thickBot="1">
      <c r="A1178" s="29">
        <f t="shared" si="1186"/>
        <v>45884.958333332463</v>
      </c>
      <c r="B1178" s="30">
        <f t="shared" si="1213"/>
        <v>5000</v>
      </c>
      <c r="C1178" s="8">
        <v>25000</v>
      </c>
      <c r="D1178" s="187">
        <v>0</v>
      </c>
      <c r="E1178" s="187">
        <v>700</v>
      </c>
      <c r="F1178" s="187">
        <v>15000</v>
      </c>
      <c r="G1178" s="30">
        <f t="shared" si="1214"/>
        <v>2400</v>
      </c>
      <c r="H1178" s="8">
        <v>25000</v>
      </c>
      <c r="I1178" s="30">
        <f t="shared" si="1215"/>
        <v>5000</v>
      </c>
      <c r="J1178" s="187">
        <v>40000</v>
      </c>
      <c r="K1178" s="30">
        <f t="shared" si="1216"/>
        <v>5000</v>
      </c>
      <c r="L1178" s="187">
        <v>40000</v>
      </c>
      <c r="M1178" s="110">
        <v>9.5</v>
      </c>
      <c r="N1178" s="9">
        <f>VLOOKUP(DATE(YEAR(A1178),MONTH(A1178),DAY(A1178)),FY24_Temp[],3,FALSE)</f>
        <v>14.4</v>
      </c>
      <c r="O1178" s="110">
        <f t="shared" si="1202"/>
        <v>11.5</v>
      </c>
      <c r="P1178" s="110">
        <f t="shared" si="1203"/>
        <v>19.5</v>
      </c>
      <c r="Q1178" s="79">
        <f>VLOOKUP(VLOOKUP(DATEVALUE(TEXT(A1178,"m/d/yyyy")),FY24_Temp[],5,FALSE)&amp;TEXT(A1178,"-h"),TempDelta[],4,FALSE)</f>
        <v>2.3604285717010498</v>
      </c>
      <c r="R1178">
        <v>10</v>
      </c>
      <c r="S1178" s="112">
        <v>1500</v>
      </c>
      <c r="T1178" s="5">
        <f>VLOOKUP(TEXT(A1178,"yy-mm")&amp;"-"&amp;IF(AND(WEEKDAY(A1178)&gt;1,WEEKDAY(A1178)&lt;7),"Wkd",TEXT(A1178,"Ddd"))&amp;"-"&amp;TEXT(A1178,"hh"),LoadTable[],3,FALSE)*0.92</f>
        <v>486.44539999999989</v>
      </c>
      <c r="U1178" s="113">
        <f t="shared" si="1204"/>
        <v>48.644539999999992</v>
      </c>
      <c r="V1178">
        <f t="shared" ref="V1178:W1178" si="1231">V1154</f>
        <v>3.6</v>
      </c>
      <c r="W1178">
        <f t="shared" si="1231"/>
        <v>3.1</v>
      </c>
      <c r="X1178" s="9">
        <v>2.8617743999999998</v>
      </c>
      <c r="Y1178" s="39"/>
    </row>
    <row r="1179" spans="1:25" ht="15" thickBot="1">
      <c r="A1179" s="115">
        <f t="shared" si="1186"/>
        <v>45884.999999999127</v>
      </c>
      <c r="B1179" s="151">
        <f t="shared" si="1213"/>
        <v>5000</v>
      </c>
      <c r="C1179" s="109">
        <v>25000</v>
      </c>
      <c r="D1179" s="187">
        <v>0</v>
      </c>
      <c r="E1179" s="187">
        <v>700</v>
      </c>
      <c r="F1179" s="187">
        <v>15000</v>
      </c>
      <c r="G1179" s="151">
        <f t="shared" si="1214"/>
        <v>2400</v>
      </c>
      <c r="H1179" s="109">
        <v>25000</v>
      </c>
      <c r="I1179" s="30">
        <f t="shared" si="1215"/>
        <v>5000</v>
      </c>
      <c r="J1179" s="187">
        <v>40000</v>
      </c>
      <c r="K1179" s="151">
        <f t="shared" si="1216"/>
        <v>5000</v>
      </c>
      <c r="L1179" s="187">
        <v>40000</v>
      </c>
      <c r="M1179" s="110">
        <v>9.5</v>
      </c>
      <c r="N1179" s="110">
        <f>VLOOKUP(DATE(YEAR(A1179),MONTH(A1179),DAY(A1179)),FY24_Temp[],3,FALSE)</f>
        <v>14.5</v>
      </c>
      <c r="O1179" s="110">
        <f t="shared" si="1202"/>
        <v>11.5</v>
      </c>
      <c r="P1179" s="110">
        <f t="shared" si="1203"/>
        <v>19.5</v>
      </c>
      <c r="Q1179" s="111">
        <f>VLOOKUP(VLOOKUP(DATEVALUE(TEXT(A1179,"m/d/yyyy")),FY24_Temp[],5,FALSE)&amp;TEXT(A1179,"-h"),TempDelta[],4,FALSE)</f>
        <v>2.4531428813934326</v>
      </c>
      <c r="R1179" s="112">
        <v>10</v>
      </c>
      <c r="S1179" s="112">
        <v>1500</v>
      </c>
      <c r="T1179" s="99">
        <f>VLOOKUP(TEXT(A1179,"yy-mm")&amp;"-"&amp;IF(AND(WEEKDAY(A1179)&gt;1,WEEKDAY(A1179)&lt;7),"Wkd",TEXT(A1179,"Ddd"))&amp;"-"&amp;TEXT(A1179,"hh"),LoadTable[],3,FALSE)*0.92</f>
        <v>371.37732000000005</v>
      </c>
      <c r="U1179" s="113">
        <f t="shared" si="1204"/>
        <v>37.137732000000007</v>
      </c>
      <c r="V1179" s="112">
        <f t="shared" ref="V1179:W1179" si="1232">V1155</f>
        <v>3</v>
      </c>
      <c r="W1179" s="112">
        <f t="shared" si="1232"/>
        <v>3.2</v>
      </c>
      <c r="X1179" s="114">
        <v>2.7708216000000001</v>
      </c>
      <c r="Y1179" s="39"/>
    </row>
    <row r="1180" spans="1:25" ht="15" thickBot="1">
      <c r="A1180" s="29">
        <f t="shared" si="1186"/>
        <v>45885.041666665791</v>
      </c>
      <c r="B1180" s="30">
        <f t="shared" si="1213"/>
        <v>5000</v>
      </c>
      <c r="C1180" s="8">
        <v>25000</v>
      </c>
      <c r="D1180" s="187">
        <v>0</v>
      </c>
      <c r="E1180" s="187">
        <v>700</v>
      </c>
      <c r="F1180" s="187">
        <v>15000</v>
      </c>
      <c r="G1180" s="30">
        <f t="shared" si="1214"/>
        <v>2400</v>
      </c>
      <c r="H1180" s="8">
        <v>25000</v>
      </c>
      <c r="I1180" s="30">
        <f t="shared" si="1215"/>
        <v>5000</v>
      </c>
      <c r="J1180" s="187">
        <v>40000</v>
      </c>
      <c r="K1180" s="30">
        <f t="shared" si="1216"/>
        <v>5000</v>
      </c>
      <c r="L1180" s="187">
        <v>40000</v>
      </c>
      <c r="M1180" s="110">
        <v>9.5</v>
      </c>
      <c r="N1180" s="9">
        <f>VLOOKUP(DATE(YEAR(A1180),MONTH(A1180),DAY(A1180)),FY24_Temp[],3,FALSE)</f>
        <v>14.5</v>
      </c>
      <c r="O1180" s="110">
        <f t="shared" si="1202"/>
        <v>11.5</v>
      </c>
      <c r="P1180" s="110">
        <f t="shared" si="1203"/>
        <v>19.5</v>
      </c>
      <c r="Q1180" s="79">
        <f>VLOOKUP(VLOOKUP(DATEVALUE(TEXT(A1180,"m/d/yyyy")),FY24_Temp[],5,FALSE)&amp;TEXT(A1180,"-h"),TempDelta[],4,FALSE)</f>
        <v>2.5072856971195767</v>
      </c>
      <c r="R1180">
        <v>10</v>
      </c>
      <c r="S1180" s="112">
        <v>1500</v>
      </c>
      <c r="T1180" s="5">
        <f>VLOOKUP(TEXT(A1180,"yy-mm")&amp;"-"&amp;IF(AND(WEEKDAY(A1180)&gt;1,WEEKDAY(A1180)&lt;7),"Wkd",TEXT(A1180,"Ddd"))&amp;"-"&amp;TEXT(A1180,"hh"),LoadTable[],3,FALSE)*0.92</f>
        <v>362.43308000000007</v>
      </c>
      <c r="U1180" s="113">
        <f t="shared" si="1204"/>
        <v>36.243308000000006</v>
      </c>
      <c r="V1180">
        <f t="shared" ref="V1180:W1180" si="1233">V1156</f>
        <v>2.6</v>
      </c>
      <c r="W1180">
        <f t="shared" si="1233"/>
        <v>3.2</v>
      </c>
      <c r="X1180" s="9">
        <v>2.7003746</v>
      </c>
      <c r="Y1180" s="39"/>
    </row>
    <row r="1181" spans="1:25" ht="15" thickBot="1">
      <c r="A1181" s="29">
        <f t="shared" si="1186"/>
        <v>45885.083333332455</v>
      </c>
      <c r="B1181" s="30">
        <f t="shared" si="1213"/>
        <v>5000</v>
      </c>
      <c r="C1181" s="8">
        <v>25000</v>
      </c>
      <c r="D1181" s="187">
        <v>0</v>
      </c>
      <c r="E1181" s="187">
        <v>700</v>
      </c>
      <c r="F1181" s="187">
        <v>15000</v>
      </c>
      <c r="G1181" s="30">
        <f t="shared" si="1214"/>
        <v>2400</v>
      </c>
      <c r="H1181" s="8">
        <v>25000</v>
      </c>
      <c r="I1181" s="30">
        <f t="shared" si="1215"/>
        <v>5000</v>
      </c>
      <c r="J1181" s="187">
        <v>40000</v>
      </c>
      <c r="K1181" s="30">
        <f t="shared" si="1216"/>
        <v>5000</v>
      </c>
      <c r="L1181" s="187">
        <v>40000</v>
      </c>
      <c r="M1181" s="110">
        <v>9.5</v>
      </c>
      <c r="N1181" s="9">
        <f>VLOOKUP(DATE(YEAR(A1181),MONTH(A1181),DAY(A1181)),FY24_Temp[],3,FALSE)</f>
        <v>14.5</v>
      </c>
      <c r="O1181" s="110">
        <f t="shared" si="1202"/>
        <v>11.5</v>
      </c>
      <c r="P1181" s="110">
        <f t="shared" si="1203"/>
        <v>19.5</v>
      </c>
      <c r="Q1181" s="79">
        <f>VLOOKUP(VLOOKUP(DATEVALUE(TEXT(A1181,"m/d/yyyy")),FY24_Temp[],5,FALSE)&amp;TEXT(A1181,"-h"),TempDelta[],4,FALSE)</f>
        <v>2.5261428356170654</v>
      </c>
      <c r="R1181">
        <v>10</v>
      </c>
      <c r="S1181" s="112">
        <v>1500</v>
      </c>
      <c r="T1181" s="5">
        <f>VLOOKUP(TEXT(A1181,"yy-mm")&amp;"-"&amp;IF(AND(WEEKDAY(A1181)&gt;1,WEEKDAY(A1181)&lt;7),"Wkd",TEXT(A1181,"Ddd"))&amp;"-"&amp;TEXT(A1181,"hh"),LoadTable[],3,FALSE)*0.92</f>
        <v>362.43308000000007</v>
      </c>
      <c r="U1181" s="113">
        <f t="shared" si="1204"/>
        <v>36.243308000000006</v>
      </c>
      <c r="V1181">
        <f t="shared" ref="V1181:W1181" si="1234">V1157</f>
        <v>2.8</v>
      </c>
      <c r="W1181">
        <f t="shared" si="1234"/>
        <v>3.2</v>
      </c>
      <c r="X1181" s="9">
        <v>2.7808714000000001</v>
      </c>
      <c r="Y1181" s="39"/>
    </row>
    <row r="1182" spans="1:25" ht="15" thickBot="1">
      <c r="A1182" s="29">
        <f t="shared" si="1186"/>
        <v>45885.12499999912</v>
      </c>
      <c r="B1182" s="30">
        <f t="shared" si="1213"/>
        <v>5000</v>
      </c>
      <c r="C1182" s="8">
        <v>25000</v>
      </c>
      <c r="D1182" s="187">
        <v>0</v>
      </c>
      <c r="E1182" s="187">
        <v>700</v>
      </c>
      <c r="F1182" s="187">
        <v>15000</v>
      </c>
      <c r="G1182" s="30">
        <f t="shared" si="1214"/>
        <v>2400</v>
      </c>
      <c r="H1182" s="8">
        <v>25000</v>
      </c>
      <c r="I1182" s="30">
        <f t="shared" si="1215"/>
        <v>5000</v>
      </c>
      <c r="J1182" s="187">
        <v>40000</v>
      </c>
      <c r="K1182" s="30">
        <f t="shared" si="1216"/>
        <v>5000</v>
      </c>
      <c r="L1182" s="187">
        <v>40000</v>
      </c>
      <c r="M1182" s="110">
        <v>9.5</v>
      </c>
      <c r="N1182" s="9">
        <f>VLOOKUP(DATE(YEAR(A1182),MONTH(A1182),DAY(A1182)),FY24_Temp[],3,FALSE)</f>
        <v>14.5</v>
      </c>
      <c r="O1182" s="110">
        <f t="shared" si="1202"/>
        <v>11.5</v>
      </c>
      <c r="P1182" s="110">
        <f t="shared" si="1203"/>
        <v>19.5</v>
      </c>
      <c r="Q1182" s="79">
        <f>VLOOKUP(VLOOKUP(DATEVALUE(TEXT(A1182,"m/d/yyyy")),FY24_Temp[],5,FALSE)&amp;TEXT(A1182,"-h"),TempDelta[],4,FALSE)</f>
        <v>2.521428550992693</v>
      </c>
      <c r="R1182">
        <v>10</v>
      </c>
      <c r="S1182" s="112">
        <v>1500</v>
      </c>
      <c r="T1182" s="5">
        <f>VLOOKUP(TEXT(A1182,"yy-mm")&amp;"-"&amp;IF(AND(WEEKDAY(A1182)&gt;1,WEEKDAY(A1182)&lt;7),"Wkd",TEXT(A1182,"Ddd"))&amp;"-"&amp;TEXT(A1182,"hh"),LoadTable[],3,FALSE)*0.92</f>
        <v>362.43308000000007</v>
      </c>
      <c r="U1182" s="113">
        <f t="shared" si="1204"/>
        <v>36.243308000000006</v>
      </c>
      <c r="V1182">
        <f t="shared" ref="V1182:W1182" si="1235">V1158</f>
        <v>2.7</v>
      </c>
      <c r="W1182">
        <f t="shared" si="1235"/>
        <v>3.2</v>
      </c>
      <c r="X1182" s="9">
        <v>2.8494921</v>
      </c>
      <c r="Y1182" s="39"/>
    </row>
    <row r="1183" spans="1:25" ht="15" thickBot="1">
      <c r="A1183" s="29">
        <f t="shared" si="1186"/>
        <v>45885.166666665784</v>
      </c>
      <c r="B1183" s="30">
        <f t="shared" si="1213"/>
        <v>5000</v>
      </c>
      <c r="C1183" s="8">
        <v>25000</v>
      </c>
      <c r="D1183" s="187">
        <v>0</v>
      </c>
      <c r="E1183" s="187">
        <v>700</v>
      </c>
      <c r="F1183" s="187">
        <v>15000</v>
      </c>
      <c r="G1183" s="30">
        <f t="shared" si="1214"/>
        <v>2400</v>
      </c>
      <c r="H1183" s="8">
        <v>25000</v>
      </c>
      <c r="I1183" s="30">
        <f t="shared" si="1215"/>
        <v>5000</v>
      </c>
      <c r="J1183" s="187">
        <v>40000</v>
      </c>
      <c r="K1183" s="30">
        <f t="shared" si="1216"/>
        <v>5000</v>
      </c>
      <c r="L1183" s="187">
        <v>40000</v>
      </c>
      <c r="M1183" s="110">
        <v>9.5</v>
      </c>
      <c r="N1183" s="9">
        <f>VLOOKUP(DATE(YEAR(A1183),MONTH(A1183),DAY(A1183)),FY24_Temp[],3,FALSE)</f>
        <v>14.5</v>
      </c>
      <c r="O1183" s="110">
        <f t="shared" si="1202"/>
        <v>11.5</v>
      </c>
      <c r="P1183" s="110">
        <f t="shared" si="1203"/>
        <v>19.5</v>
      </c>
      <c r="Q1183" s="79">
        <f>VLOOKUP(VLOOKUP(DATEVALUE(TEXT(A1183,"m/d/yyyy")),FY24_Temp[],5,FALSE)&amp;TEXT(A1183,"-h"),TempDelta[],4,FALSE)</f>
        <v>2.5227143423897878</v>
      </c>
      <c r="R1183">
        <v>10</v>
      </c>
      <c r="S1183" s="112">
        <v>1500</v>
      </c>
      <c r="T1183" s="5">
        <f>VLOOKUP(TEXT(A1183,"yy-mm")&amp;"-"&amp;IF(AND(WEEKDAY(A1183)&gt;1,WEEKDAY(A1183)&lt;7),"Wkd",TEXT(A1183,"Ddd"))&amp;"-"&amp;TEXT(A1183,"hh"),LoadTable[],3,FALSE)*0.92</f>
        <v>362.43308000000007</v>
      </c>
      <c r="U1183" s="113">
        <f t="shared" si="1204"/>
        <v>36.243308000000006</v>
      </c>
      <c r="V1183">
        <f t="shared" ref="V1183:W1183" si="1236">V1159</f>
        <v>3</v>
      </c>
      <c r="W1183">
        <f t="shared" si="1236"/>
        <v>3.1</v>
      </c>
      <c r="X1183" s="9">
        <v>2.8845282000000001</v>
      </c>
      <c r="Y1183" s="39"/>
    </row>
    <row r="1184" spans="1:25" ht="15" thickBot="1">
      <c r="A1184" s="29">
        <f t="shared" si="1186"/>
        <v>45885.208333332448</v>
      </c>
      <c r="B1184" s="30">
        <f t="shared" si="1213"/>
        <v>5000</v>
      </c>
      <c r="C1184" s="8">
        <v>25000</v>
      </c>
      <c r="D1184" s="187">
        <v>0</v>
      </c>
      <c r="E1184" s="187">
        <v>700</v>
      </c>
      <c r="F1184" s="187">
        <v>15000</v>
      </c>
      <c r="G1184" s="30">
        <f t="shared" si="1214"/>
        <v>2400</v>
      </c>
      <c r="H1184" s="8">
        <v>25000</v>
      </c>
      <c r="I1184" s="30">
        <f t="shared" si="1215"/>
        <v>5000</v>
      </c>
      <c r="J1184" s="187">
        <v>40000</v>
      </c>
      <c r="K1184" s="30">
        <f t="shared" si="1216"/>
        <v>5000</v>
      </c>
      <c r="L1184" s="187">
        <v>40000</v>
      </c>
      <c r="M1184" s="110">
        <v>9.5</v>
      </c>
      <c r="N1184" s="9">
        <f>VLOOKUP(DATE(YEAR(A1184),MONTH(A1184),DAY(A1184)),FY24_Temp[],3,FALSE)</f>
        <v>14.5</v>
      </c>
      <c r="O1184" s="110">
        <f t="shared" si="1202"/>
        <v>11.5</v>
      </c>
      <c r="P1184" s="110">
        <f t="shared" si="1203"/>
        <v>19.5</v>
      </c>
      <c r="Q1184" s="79">
        <f>VLOOKUP(VLOOKUP(DATEVALUE(TEXT(A1184,"m/d/yyyy")),FY24_Temp[],5,FALSE)&amp;TEXT(A1184,"-h"),TempDelta[],4,FALSE)</f>
        <v>2.5675714015960693</v>
      </c>
      <c r="R1184">
        <v>10</v>
      </c>
      <c r="S1184" s="112">
        <v>1500</v>
      </c>
      <c r="T1184" s="5">
        <f>VLOOKUP(TEXT(A1184,"yy-mm")&amp;"-"&amp;IF(AND(WEEKDAY(A1184)&gt;1,WEEKDAY(A1184)&lt;7),"Wkd",TEXT(A1184,"Ddd"))&amp;"-"&amp;TEXT(A1184,"hh"),LoadTable[],3,FALSE)*0.92</f>
        <v>362.43308000000007</v>
      </c>
      <c r="U1184" s="113">
        <f t="shared" si="1204"/>
        <v>36.243308000000006</v>
      </c>
      <c r="V1184">
        <f t="shared" ref="V1184:W1184" si="1237">V1160</f>
        <v>2.9</v>
      </c>
      <c r="W1184">
        <f t="shared" si="1237"/>
        <v>3.1</v>
      </c>
      <c r="X1184" s="9">
        <v>2.9651892000000002</v>
      </c>
      <c r="Y1184" s="39"/>
    </row>
    <row r="1185" spans="1:25" ht="15" thickBot="1">
      <c r="A1185" s="29">
        <f t="shared" si="1186"/>
        <v>45885.249999999112</v>
      </c>
      <c r="B1185" s="30">
        <f t="shared" si="1213"/>
        <v>8000</v>
      </c>
      <c r="C1185" s="8">
        <v>25000</v>
      </c>
      <c r="D1185" s="187">
        <v>0</v>
      </c>
      <c r="E1185" s="187">
        <v>700</v>
      </c>
      <c r="F1185" s="187">
        <v>15000</v>
      </c>
      <c r="G1185" s="30">
        <f t="shared" si="1214"/>
        <v>2400</v>
      </c>
      <c r="H1185" s="8">
        <v>25000</v>
      </c>
      <c r="I1185" s="30">
        <f t="shared" si="1215"/>
        <v>8000</v>
      </c>
      <c r="J1185" s="187">
        <v>40000</v>
      </c>
      <c r="K1185" s="30">
        <f t="shared" si="1216"/>
        <v>8000</v>
      </c>
      <c r="L1185" s="187">
        <v>40000</v>
      </c>
      <c r="M1185" s="110">
        <v>9.5</v>
      </c>
      <c r="N1185" s="9">
        <f>VLOOKUP(DATE(YEAR(A1185),MONTH(A1185),DAY(A1185)),FY24_Temp[],3,FALSE)</f>
        <v>14.5</v>
      </c>
      <c r="O1185" s="110">
        <f t="shared" si="1202"/>
        <v>11.5</v>
      </c>
      <c r="P1185" s="110">
        <f t="shared" si="1203"/>
        <v>19.5</v>
      </c>
      <c r="Q1185" s="79">
        <f>VLOOKUP(VLOOKUP(DATEVALUE(TEXT(A1185,"m/d/yyyy")),FY24_Temp[],5,FALSE)&amp;TEXT(A1185,"-h"),TempDelta[],4,FALSE)</f>
        <v>2.5785714558192661</v>
      </c>
      <c r="R1185">
        <v>10</v>
      </c>
      <c r="S1185" s="112">
        <v>1500</v>
      </c>
      <c r="T1185" s="5">
        <f>VLOOKUP(TEXT(A1185,"yy-mm")&amp;"-"&amp;IF(AND(WEEKDAY(A1185)&gt;1,WEEKDAY(A1185)&lt;7),"Wkd",TEXT(A1185,"Ddd"))&amp;"-"&amp;TEXT(A1185,"hh"),LoadTable[],3,FALSE)*0.92</f>
        <v>362.43308000000007</v>
      </c>
      <c r="U1185" s="113">
        <f t="shared" si="1204"/>
        <v>36.243308000000006</v>
      </c>
      <c r="V1185">
        <f t="shared" ref="V1185:W1185" si="1238">V1161</f>
        <v>2.5</v>
      </c>
      <c r="W1185">
        <f t="shared" si="1238"/>
        <v>3.1</v>
      </c>
      <c r="X1185" s="9">
        <v>3.0924415999999999</v>
      </c>
      <c r="Y1185" s="39"/>
    </row>
    <row r="1186" spans="1:25" ht="15" thickBot="1">
      <c r="A1186" s="29">
        <f t="shared" si="1186"/>
        <v>45885.291666665777</v>
      </c>
      <c r="B1186" s="30">
        <f t="shared" si="1213"/>
        <v>8000</v>
      </c>
      <c r="C1186" s="8">
        <v>25000</v>
      </c>
      <c r="D1186" s="187">
        <v>0</v>
      </c>
      <c r="E1186" s="187">
        <v>700</v>
      </c>
      <c r="F1186" s="187">
        <v>15000</v>
      </c>
      <c r="G1186" s="30">
        <f t="shared" si="1214"/>
        <v>2400</v>
      </c>
      <c r="H1186" s="8">
        <v>25000</v>
      </c>
      <c r="I1186" s="30">
        <f t="shared" si="1215"/>
        <v>8000</v>
      </c>
      <c r="J1186" s="187">
        <v>40000</v>
      </c>
      <c r="K1186" s="30">
        <f t="shared" si="1216"/>
        <v>8000</v>
      </c>
      <c r="L1186" s="187">
        <v>40000</v>
      </c>
      <c r="M1186" s="110">
        <v>9.5</v>
      </c>
      <c r="N1186" s="9">
        <f>VLOOKUP(DATE(YEAR(A1186),MONTH(A1186),DAY(A1186)),FY24_Temp[],3,FALSE)</f>
        <v>14.5</v>
      </c>
      <c r="O1186" s="110">
        <f t="shared" si="1202"/>
        <v>11.5</v>
      </c>
      <c r="P1186" s="110">
        <f t="shared" si="1203"/>
        <v>19.5</v>
      </c>
      <c r="Q1186" s="79">
        <f>VLOOKUP(VLOOKUP(DATEVALUE(TEXT(A1186,"m/d/yyyy")),FY24_Temp[],5,FALSE)&amp;TEXT(A1186,"-h"),TempDelta[],4,FALSE)</f>
        <v>2.5442857401711598</v>
      </c>
      <c r="R1186">
        <v>10</v>
      </c>
      <c r="S1186" s="112">
        <v>1500</v>
      </c>
      <c r="T1186" s="5">
        <f>VLOOKUP(TEXT(A1186,"yy-mm")&amp;"-"&amp;IF(AND(WEEKDAY(A1186)&gt;1,WEEKDAY(A1186)&lt;7),"Wkd",TEXT(A1186,"Ddd"))&amp;"-"&amp;TEXT(A1186,"hh"),LoadTable[],3,FALSE)*0.92</f>
        <v>339.23343999999997</v>
      </c>
      <c r="U1186" s="113">
        <f t="shared" si="1204"/>
        <v>33.923344</v>
      </c>
      <c r="V1186">
        <f t="shared" ref="V1186:W1186" si="1239">V1162</f>
        <v>2.5</v>
      </c>
      <c r="W1186">
        <f t="shared" si="1239"/>
        <v>3.1</v>
      </c>
      <c r="X1186" s="9">
        <v>3.2397567999999999</v>
      </c>
      <c r="Y1186" s="39"/>
    </row>
    <row r="1187" spans="1:25" ht="15" thickBot="1">
      <c r="A1187" s="29">
        <f t="shared" si="1186"/>
        <v>45885.333333332441</v>
      </c>
      <c r="B1187" s="30">
        <f t="shared" si="1213"/>
        <v>8000</v>
      </c>
      <c r="C1187" s="8">
        <v>25000</v>
      </c>
      <c r="D1187" s="187">
        <v>0</v>
      </c>
      <c r="E1187" s="187">
        <v>700</v>
      </c>
      <c r="F1187" s="187">
        <v>15000</v>
      </c>
      <c r="G1187" s="30">
        <f t="shared" si="1214"/>
        <v>2400</v>
      </c>
      <c r="H1187" s="8">
        <v>25000</v>
      </c>
      <c r="I1187" s="30">
        <f t="shared" si="1215"/>
        <v>8000</v>
      </c>
      <c r="J1187" s="187">
        <v>40000</v>
      </c>
      <c r="K1187" s="30">
        <f t="shared" si="1216"/>
        <v>8000</v>
      </c>
      <c r="L1187" s="187">
        <v>40000</v>
      </c>
      <c r="M1187" s="110">
        <v>9.5</v>
      </c>
      <c r="N1187" s="9">
        <f>VLOOKUP(DATE(YEAR(A1187),MONTH(A1187),DAY(A1187)),FY24_Temp[],3,FALSE)</f>
        <v>14.5</v>
      </c>
      <c r="O1187" s="110">
        <f t="shared" si="1202"/>
        <v>11.5</v>
      </c>
      <c r="P1187" s="110">
        <f t="shared" si="1203"/>
        <v>19.5</v>
      </c>
      <c r="Q1187" s="79">
        <f>VLOOKUP(VLOOKUP(DATEVALUE(TEXT(A1187,"m/d/yyyy")),FY24_Temp[],5,FALSE)&amp;TEXT(A1187,"-h"),TempDelta[],4,FALSE)</f>
        <v>2.4372856957571849</v>
      </c>
      <c r="R1187">
        <v>10</v>
      </c>
      <c r="S1187" s="112">
        <v>1500</v>
      </c>
      <c r="T1187" s="5">
        <f>VLOOKUP(TEXT(A1187,"yy-mm")&amp;"-"&amp;IF(AND(WEEKDAY(A1187)&gt;1,WEEKDAY(A1187)&lt;7),"Wkd",TEXT(A1187,"Ddd"))&amp;"-"&amp;TEXT(A1187,"hh"),LoadTable[],3,FALSE)*0.92</f>
        <v>339.23343999999997</v>
      </c>
      <c r="U1187" s="113">
        <f t="shared" si="1204"/>
        <v>33.923344</v>
      </c>
      <c r="V1187">
        <f t="shared" ref="V1187:W1187" si="1240">V1163</f>
        <v>3.2</v>
      </c>
      <c r="W1187">
        <f t="shared" si="1240"/>
        <v>3</v>
      </c>
      <c r="X1187" s="9">
        <v>3.3043485000000001</v>
      </c>
      <c r="Y1187" s="39"/>
    </row>
    <row r="1188" spans="1:25" ht="15" thickBot="1">
      <c r="A1188" s="29">
        <f t="shared" si="1186"/>
        <v>45885.374999999105</v>
      </c>
      <c r="B1188" s="30">
        <f t="shared" si="1213"/>
        <v>8000</v>
      </c>
      <c r="C1188" s="8">
        <v>25000</v>
      </c>
      <c r="D1188" s="187">
        <v>0</v>
      </c>
      <c r="E1188" s="187">
        <v>700</v>
      </c>
      <c r="F1188" s="187">
        <v>15000</v>
      </c>
      <c r="G1188" s="30">
        <f t="shared" si="1214"/>
        <v>2400</v>
      </c>
      <c r="H1188" s="8">
        <v>25000</v>
      </c>
      <c r="I1188" s="30">
        <f t="shared" si="1215"/>
        <v>8000</v>
      </c>
      <c r="J1188" s="187">
        <v>40000</v>
      </c>
      <c r="K1188" s="30">
        <f t="shared" si="1216"/>
        <v>8000</v>
      </c>
      <c r="L1188" s="187">
        <v>40000</v>
      </c>
      <c r="M1188" s="110">
        <v>9.5</v>
      </c>
      <c r="N1188" s="9">
        <f>VLOOKUP(DATE(YEAR(A1188),MONTH(A1188),DAY(A1188)),FY24_Temp[],3,FALSE)</f>
        <v>14.5</v>
      </c>
      <c r="O1188" s="110">
        <f t="shared" si="1202"/>
        <v>11.5</v>
      </c>
      <c r="P1188" s="110">
        <f t="shared" si="1203"/>
        <v>19.5</v>
      </c>
      <c r="Q1188" s="79">
        <f>VLOOKUP(VLOOKUP(DATEVALUE(TEXT(A1188,"m/d/yyyy")),FY24_Temp[],5,FALSE)&amp;TEXT(A1188,"-h"),TempDelta[],4,FALSE)</f>
        <v>2.254857131413051</v>
      </c>
      <c r="R1188">
        <v>10</v>
      </c>
      <c r="S1188" s="112">
        <v>1500</v>
      </c>
      <c r="T1188" s="5">
        <f>VLOOKUP(TEXT(A1188,"yy-mm")&amp;"-"&amp;IF(AND(WEEKDAY(A1188)&gt;1,WEEKDAY(A1188)&lt;7),"Wkd",TEXT(A1188,"Ddd"))&amp;"-"&amp;TEXT(A1188,"hh"),LoadTable[],3,FALSE)*0.92</f>
        <v>338.44093501457735</v>
      </c>
      <c r="U1188" s="113">
        <f t="shared" si="1204"/>
        <v>33.844093501457735</v>
      </c>
      <c r="V1188">
        <f t="shared" ref="V1188:W1188" si="1241">V1164</f>
        <v>2.9</v>
      </c>
      <c r="W1188">
        <f t="shared" si="1241"/>
        <v>3</v>
      </c>
      <c r="X1188" s="9">
        <v>3.3452565999999999</v>
      </c>
      <c r="Y1188" s="39"/>
    </row>
    <row r="1189" spans="1:25" ht="15" thickBot="1">
      <c r="A1189" s="29">
        <f t="shared" si="1186"/>
        <v>45885.416666665769</v>
      </c>
      <c r="B1189" s="30">
        <f t="shared" si="1213"/>
        <v>8000</v>
      </c>
      <c r="C1189" s="8">
        <v>25000</v>
      </c>
      <c r="D1189" s="187">
        <v>0</v>
      </c>
      <c r="E1189" s="187">
        <v>700</v>
      </c>
      <c r="F1189" s="187">
        <v>15000</v>
      </c>
      <c r="G1189" s="30">
        <f t="shared" si="1214"/>
        <v>2400</v>
      </c>
      <c r="H1189" s="8">
        <v>25000</v>
      </c>
      <c r="I1189" s="30">
        <f t="shared" si="1215"/>
        <v>8000</v>
      </c>
      <c r="J1189" s="187">
        <v>40000</v>
      </c>
      <c r="K1189" s="30">
        <f t="shared" si="1216"/>
        <v>8000</v>
      </c>
      <c r="L1189" s="187">
        <v>40000</v>
      </c>
      <c r="M1189" s="110">
        <v>9.5</v>
      </c>
      <c r="N1189" s="9">
        <f>VLOOKUP(DATE(YEAR(A1189),MONTH(A1189),DAY(A1189)),FY24_Temp[],3,FALSE)</f>
        <v>14.5</v>
      </c>
      <c r="O1189" s="110">
        <f t="shared" si="1202"/>
        <v>11.5</v>
      </c>
      <c r="P1189" s="110">
        <f t="shared" si="1203"/>
        <v>19.5</v>
      </c>
      <c r="Q1189" s="79">
        <f>VLOOKUP(VLOOKUP(DATEVALUE(TEXT(A1189,"m/d/yyyy")),FY24_Temp[],5,FALSE)&amp;TEXT(A1189,"-h"),TempDelta[],4,FALSE)</f>
        <v>2.044999991144453</v>
      </c>
      <c r="R1189">
        <v>10</v>
      </c>
      <c r="S1189" s="112">
        <v>1500</v>
      </c>
      <c r="T1189" s="5">
        <f>VLOOKUP(TEXT(A1189,"yy-mm")&amp;"-"&amp;IF(AND(WEEKDAY(A1189)&gt;1,WEEKDAY(A1189)&lt;7),"Wkd",TEXT(A1189,"Ddd"))&amp;"-"&amp;TEXT(A1189,"hh"),LoadTable[],3,FALSE)*0.92</f>
        <v>338.44093501457741</v>
      </c>
      <c r="U1189" s="113">
        <f t="shared" si="1204"/>
        <v>33.844093501457742</v>
      </c>
      <c r="V1189">
        <f t="shared" ref="V1189:W1189" si="1242">V1165</f>
        <v>2.9</v>
      </c>
      <c r="W1189">
        <f t="shared" si="1242"/>
        <v>3</v>
      </c>
      <c r="X1189" s="9">
        <v>3.4172028999999999</v>
      </c>
      <c r="Y1189" s="39"/>
    </row>
    <row r="1190" spans="1:25" ht="15" thickBot="1">
      <c r="A1190" s="29">
        <f t="shared" si="1186"/>
        <v>45885.458333332434</v>
      </c>
      <c r="B1190" s="30">
        <f t="shared" si="1213"/>
        <v>8000</v>
      </c>
      <c r="C1190" s="8">
        <v>25000</v>
      </c>
      <c r="D1190" s="187">
        <v>0</v>
      </c>
      <c r="E1190" s="187">
        <v>700</v>
      </c>
      <c r="F1190" s="187">
        <v>15000</v>
      </c>
      <c r="G1190" s="30">
        <f t="shared" si="1214"/>
        <v>2400</v>
      </c>
      <c r="H1190" s="8">
        <v>25000</v>
      </c>
      <c r="I1190" s="30">
        <f t="shared" si="1215"/>
        <v>8000</v>
      </c>
      <c r="J1190" s="187">
        <v>40000</v>
      </c>
      <c r="K1190" s="30">
        <f t="shared" si="1216"/>
        <v>8000</v>
      </c>
      <c r="L1190" s="187">
        <v>40000</v>
      </c>
      <c r="M1190" s="110">
        <v>9.5</v>
      </c>
      <c r="N1190" s="9">
        <f>VLOOKUP(DATE(YEAR(A1190),MONTH(A1190),DAY(A1190)),FY24_Temp[],3,FALSE)</f>
        <v>14.5</v>
      </c>
      <c r="O1190" s="110">
        <f t="shared" si="1202"/>
        <v>11.5</v>
      </c>
      <c r="P1190" s="110">
        <f t="shared" si="1203"/>
        <v>19.5</v>
      </c>
      <c r="Q1190" s="79">
        <f>VLOOKUP(VLOOKUP(DATEVALUE(TEXT(A1190,"m/d/yyyy")),FY24_Temp[],5,FALSE)&amp;TEXT(A1190,"-h"),TempDelta[],4,FALSE)</f>
        <v>1.7985714163099016</v>
      </c>
      <c r="R1190">
        <v>10</v>
      </c>
      <c r="S1190" s="112">
        <v>1500</v>
      </c>
      <c r="T1190" s="5">
        <f>VLOOKUP(TEXT(A1190,"yy-mm")&amp;"-"&amp;IF(AND(WEEKDAY(A1190)&gt;1,WEEKDAY(A1190)&lt;7),"Wkd",TEXT(A1190,"Ddd"))&amp;"-"&amp;TEXT(A1190,"hh"),LoadTable[],3,FALSE)*0.92</f>
        <v>338.44093501457741</v>
      </c>
      <c r="U1190" s="113">
        <f t="shared" si="1204"/>
        <v>33.844093501457742</v>
      </c>
      <c r="V1190">
        <f t="shared" ref="V1190:W1190" si="1243">V1166</f>
        <v>3.4</v>
      </c>
      <c r="W1190">
        <f t="shared" si="1243"/>
        <v>3</v>
      </c>
      <c r="X1190" s="9">
        <v>3.3668075000000002</v>
      </c>
      <c r="Y1190" s="39"/>
    </row>
    <row r="1191" spans="1:25" ht="15" thickBot="1">
      <c r="A1191" s="29">
        <f t="shared" si="1186"/>
        <v>45885.499999999098</v>
      </c>
      <c r="B1191" s="30">
        <f t="shared" si="1213"/>
        <v>8000</v>
      </c>
      <c r="C1191" s="8">
        <v>25000</v>
      </c>
      <c r="D1191" s="187">
        <v>0</v>
      </c>
      <c r="E1191" s="187">
        <v>700</v>
      </c>
      <c r="F1191" s="187">
        <v>15000</v>
      </c>
      <c r="G1191" s="30">
        <f t="shared" si="1214"/>
        <v>2400</v>
      </c>
      <c r="H1191" s="8">
        <v>25000</v>
      </c>
      <c r="I1191" s="30">
        <f t="shared" si="1215"/>
        <v>8000</v>
      </c>
      <c r="J1191" s="187">
        <v>40000</v>
      </c>
      <c r="K1191" s="30">
        <f t="shared" si="1216"/>
        <v>8000</v>
      </c>
      <c r="L1191" s="187">
        <v>40000</v>
      </c>
      <c r="M1191" s="110">
        <v>9.5</v>
      </c>
      <c r="N1191" s="9">
        <f>VLOOKUP(DATE(YEAR(A1191),MONTH(A1191),DAY(A1191)),FY24_Temp[],3,FALSE)</f>
        <v>14.5</v>
      </c>
      <c r="O1191" s="110">
        <f t="shared" si="1202"/>
        <v>11.5</v>
      </c>
      <c r="P1191" s="110">
        <f t="shared" si="1203"/>
        <v>19.5</v>
      </c>
      <c r="Q1191" s="79">
        <f>VLOOKUP(VLOOKUP(DATEVALUE(TEXT(A1191,"m/d/yyyy")),FY24_Temp[],5,FALSE)&amp;TEXT(A1191,"-h"),TempDelta[],4,FALSE)</f>
        <v>1.5495714289801461</v>
      </c>
      <c r="R1191">
        <v>10</v>
      </c>
      <c r="S1191" s="112">
        <v>1500</v>
      </c>
      <c r="T1191" s="5">
        <f>VLOOKUP(TEXT(A1191,"yy-mm")&amp;"-"&amp;IF(AND(WEEKDAY(A1191)&gt;1,WEEKDAY(A1191)&lt;7),"Wkd",TEXT(A1191,"Ddd"))&amp;"-"&amp;TEXT(A1191,"hh"),LoadTable[],3,FALSE)*0.92</f>
        <v>338.44093501457752</v>
      </c>
      <c r="U1191" s="113">
        <f t="shared" si="1204"/>
        <v>33.844093501457749</v>
      </c>
      <c r="V1191">
        <f t="shared" ref="V1191:W1191" si="1244">V1167</f>
        <v>3.1</v>
      </c>
      <c r="W1191">
        <f t="shared" si="1244"/>
        <v>2.9</v>
      </c>
      <c r="X1191" s="9">
        <v>3.2368073000000002</v>
      </c>
      <c r="Y1191" s="39"/>
    </row>
    <row r="1192" spans="1:25" ht="15" thickBot="1">
      <c r="A1192" s="29">
        <f t="shared" si="1186"/>
        <v>45885.541666665762</v>
      </c>
      <c r="B1192" s="30">
        <f t="shared" si="1213"/>
        <v>8000</v>
      </c>
      <c r="C1192" s="8">
        <v>25000</v>
      </c>
      <c r="D1192" s="187">
        <v>0</v>
      </c>
      <c r="E1192" s="187">
        <v>700</v>
      </c>
      <c r="F1192" s="187">
        <v>15000</v>
      </c>
      <c r="G1192" s="30">
        <f t="shared" si="1214"/>
        <v>2400</v>
      </c>
      <c r="H1192" s="8">
        <v>25000</v>
      </c>
      <c r="I1192" s="30">
        <f t="shared" si="1215"/>
        <v>8000</v>
      </c>
      <c r="J1192" s="187">
        <v>40000</v>
      </c>
      <c r="K1192" s="30">
        <f t="shared" si="1216"/>
        <v>8000</v>
      </c>
      <c r="L1192" s="187">
        <v>40000</v>
      </c>
      <c r="M1192" s="110">
        <v>9.5</v>
      </c>
      <c r="N1192" s="9">
        <f>VLOOKUP(DATE(YEAR(A1192),MONTH(A1192),DAY(A1192)),FY24_Temp[],3,FALSE)</f>
        <v>14.5</v>
      </c>
      <c r="O1192" s="110">
        <f t="shared" si="1202"/>
        <v>11.5</v>
      </c>
      <c r="P1192" s="110">
        <f t="shared" si="1203"/>
        <v>19.5</v>
      </c>
      <c r="Q1192" s="79">
        <f>VLOOKUP(VLOOKUP(DATEVALUE(TEXT(A1192,"m/d/yyyy")),FY24_Temp[],5,FALSE)&amp;TEXT(A1192,"-h"),TempDelta[],4,FALSE)</f>
        <v>1.3002856969833374</v>
      </c>
      <c r="R1192">
        <v>10</v>
      </c>
      <c r="S1192" s="112">
        <v>1500</v>
      </c>
      <c r="T1192" s="5">
        <f>VLOOKUP(TEXT(A1192,"yy-mm")&amp;"-"&amp;IF(AND(WEEKDAY(A1192)&gt;1,WEEKDAY(A1192)&lt;7),"Wkd",TEXT(A1192,"Ddd"))&amp;"-"&amp;TEXT(A1192,"hh"),LoadTable[],3,FALSE)*0.92</f>
        <v>419.45560000000012</v>
      </c>
      <c r="U1192" s="113">
        <f t="shared" si="1204"/>
        <v>41.945560000000015</v>
      </c>
      <c r="V1192">
        <f t="shared" ref="V1192:W1192" si="1245">V1168</f>
        <v>3.2</v>
      </c>
      <c r="W1192">
        <f t="shared" si="1245"/>
        <v>2.9</v>
      </c>
      <c r="X1192" s="9">
        <v>3.0514443</v>
      </c>
      <c r="Y1192" s="39"/>
    </row>
    <row r="1193" spans="1:25" ht="15" thickBot="1">
      <c r="A1193" s="29">
        <f t="shared" si="1186"/>
        <v>45885.583333332426</v>
      </c>
      <c r="B1193" s="30">
        <f t="shared" si="1213"/>
        <v>8000</v>
      </c>
      <c r="C1193" s="8">
        <v>25000</v>
      </c>
      <c r="D1193" s="187">
        <v>0</v>
      </c>
      <c r="E1193" s="187">
        <v>700</v>
      </c>
      <c r="F1193" s="187">
        <v>15000</v>
      </c>
      <c r="G1193" s="30">
        <f t="shared" si="1214"/>
        <v>2400</v>
      </c>
      <c r="H1193" s="8">
        <v>25000</v>
      </c>
      <c r="I1193" s="30">
        <f t="shared" si="1215"/>
        <v>8000</v>
      </c>
      <c r="J1193" s="187">
        <v>40000</v>
      </c>
      <c r="K1193" s="30">
        <f t="shared" si="1216"/>
        <v>8000</v>
      </c>
      <c r="L1193" s="187">
        <v>40000</v>
      </c>
      <c r="M1193" s="110">
        <v>9.5</v>
      </c>
      <c r="N1193" s="9">
        <f>VLOOKUP(DATE(YEAR(A1193),MONTH(A1193),DAY(A1193)),FY24_Temp[],3,FALSE)</f>
        <v>14.5</v>
      </c>
      <c r="O1193" s="110">
        <f t="shared" si="1202"/>
        <v>11.5</v>
      </c>
      <c r="P1193" s="110">
        <f t="shared" si="1203"/>
        <v>19.5</v>
      </c>
      <c r="Q1193" s="79">
        <f>VLOOKUP(VLOOKUP(DATEVALUE(TEXT(A1193,"m/d/yyyy")),FY24_Temp[],5,FALSE)&amp;TEXT(A1193,"-h"),TempDelta[],4,FALSE)</f>
        <v>1.065142844404493</v>
      </c>
      <c r="R1193">
        <v>10</v>
      </c>
      <c r="S1193" s="112">
        <v>1500</v>
      </c>
      <c r="T1193" s="5">
        <f>VLOOKUP(TEXT(A1193,"yy-mm")&amp;"-"&amp;IF(AND(WEEKDAY(A1193)&gt;1,WEEKDAY(A1193)&lt;7),"Wkd",TEXT(A1193,"Ddd"))&amp;"-"&amp;TEXT(A1193,"hh"),LoadTable[],3,FALSE)*0.92</f>
        <v>602.53744000000006</v>
      </c>
      <c r="U1193" s="113">
        <f t="shared" si="1204"/>
        <v>60.253744000000005</v>
      </c>
      <c r="V1193">
        <f t="shared" ref="V1193:W1193" si="1246">V1169</f>
        <v>3.5</v>
      </c>
      <c r="W1193">
        <f t="shared" si="1246"/>
        <v>2.9</v>
      </c>
      <c r="X1193" s="9">
        <v>3.0247153999999998</v>
      </c>
      <c r="Y1193" s="39"/>
    </row>
    <row r="1194" spans="1:25" ht="15" thickBot="1">
      <c r="A1194" s="29">
        <f t="shared" si="1186"/>
        <v>45885.624999999091</v>
      </c>
      <c r="B1194" s="30">
        <f t="shared" si="1213"/>
        <v>8000</v>
      </c>
      <c r="C1194" s="8">
        <v>25000</v>
      </c>
      <c r="D1194" s="187">
        <v>0</v>
      </c>
      <c r="E1194" s="187">
        <v>700</v>
      </c>
      <c r="F1194" s="187">
        <v>15000</v>
      </c>
      <c r="G1194" s="30">
        <f t="shared" si="1214"/>
        <v>2400</v>
      </c>
      <c r="H1194" s="8">
        <v>25000</v>
      </c>
      <c r="I1194" s="30">
        <f t="shared" si="1215"/>
        <v>8000</v>
      </c>
      <c r="J1194" s="187">
        <v>40000</v>
      </c>
      <c r="K1194" s="30">
        <f t="shared" si="1216"/>
        <v>8000</v>
      </c>
      <c r="L1194" s="187">
        <v>40000</v>
      </c>
      <c r="M1194" s="110">
        <v>9.5</v>
      </c>
      <c r="N1194" s="9">
        <f>VLOOKUP(DATE(YEAR(A1194),MONTH(A1194),DAY(A1194)),FY24_Temp[],3,FALSE)</f>
        <v>14.5</v>
      </c>
      <c r="O1194" s="110">
        <f t="shared" si="1202"/>
        <v>11.5</v>
      </c>
      <c r="P1194" s="110">
        <f t="shared" si="1203"/>
        <v>19.5</v>
      </c>
      <c r="Q1194" s="79">
        <f>VLOOKUP(VLOOKUP(DATEVALUE(TEXT(A1194,"m/d/yyyy")),FY24_Temp[],5,FALSE)&amp;TEXT(A1194,"-h"),TempDelta[],4,FALSE)</f>
        <v>0.74900000010217938</v>
      </c>
      <c r="R1194">
        <v>10</v>
      </c>
      <c r="S1194" s="112">
        <v>1500</v>
      </c>
      <c r="T1194" s="5">
        <f>VLOOKUP(TEXT(A1194,"yy-mm")&amp;"-"&amp;IF(AND(WEEKDAY(A1194)&gt;1,WEEKDAY(A1194)&lt;7),"Wkd",TEXT(A1194,"Ddd"))&amp;"-"&amp;TEXT(A1194,"hh"),LoadTable[],3,FALSE)*0.92</f>
        <v>718.53656000000001</v>
      </c>
      <c r="U1194" s="113">
        <f t="shared" si="1204"/>
        <v>71.853656000000001</v>
      </c>
      <c r="V1194">
        <f t="shared" ref="V1194:W1194" si="1247">V1170</f>
        <v>3.2</v>
      </c>
      <c r="W1194">
        <f t="shared" si="1247"/>
        <v>2.9</v>
      </c>
      <c r="X1194" s="9">
        <v>3.3615200999999999</v>
      </c>
      <c r="Y1194" s="39"/>
    </row>
    <row r="1195" spans="1:25" ht="15" thickBot="1">
      <c r="A1195" s="29">
        <f t="shared" si="1186"/>
        <v>45885.666666665755</v>
      </c>
      <c r="B1195" s="30">
        <f t="shared" si="1213"/>
        <v>8000</v>
      </c>
      <c r="C1195" s="8">
        <v>25000</v>
      </c>
      <c r="D1195" s="187">
        <v>0</v>
      </c>
      <c r="E1195" s="187">
        <v>700</v>
      </c>
      <c r="F1195" s="187">
        <v>15000</v>
      </c>
      <c r="G1195" s="30">
        <f t="shared" si="1214"/>
        <v>2400</v>
      </c>
      <c r="H1195" s="8">
        <v>25000</v>
      </c>
      <c r="I1195" s="30">
        <f t="shared" si="1215"/>
        <v>8000</v>
      </c>
      <c r="J1195" s="187">
        <v>40000</v>
      </c>
      <c r="K1195" s="30">
        <f t="shared" si="1216"/>
        <v>8000</v>
      </c>
      <c r="L1195" s="187">
        <v>40000</v>
      </c>
      <c r="M1195" s="110">
        <v>9.5</v>
      </c>
      <c r="N1195" s="9">
        <f>VLOOKUP(DATE(YEAR(A1195),MONTH(A1195),DAY(A1195)),FY24_Temp[],3,FALSE)</f>
        <v>14.5</v>
      </c>
      <c r="O1195" s="110">
        <f t="shared" si="1202"/>
        <v>11.5</v>
      </c>
      <c r="P1195" s="110">
        <f t="shared" si="1203"/>
        <v>19.5</v>
      </c>
      <c r="Q1195" s="79">
        <f>VLOOKUP(VLOOKUP(DATEVALUE(TEXT(A1195,"m/d/yyyy")),FY24_Temp[],5,FALSE)&amp;TEXT(A1195,"-h"),TempDelta[],4,FALSE)</f>
        <v>0.60964286114488331</v>
      </c>
      <c r="R1195">
        <v>10</v>
      </c>
      <c r="S1195" s="112">
        <v>1500</v>
      </c>
      <c r="T1195" s="5">
        <f>VLOOKUP(TEXT(A1195,"yy-mm")&amp;"-"&amp;IF(AND(WEEKDAY(A1195)&gt;1,WEEKDAY(A1195)&lt;7),"Wkd",TEXT(A1195,"Ddd"))&amp;"-"&amp;TEXT(A1195,"hh"),LoadTable[],3,FALSE)*0.92</f>
        <v>786.27137399656624</v>
      </c>
      <c r="U1195" s="113">
        <f t="shared" si="1204"/>
        <v>78.627137399656618</v>
      </c>
      <c r="V1195">
        <f t="shared" ref="V1195:W1195" si="1248">V1171</f>
        <v>3.5</v>
      </c>
      <c r="W1195">
        <f t="shared" si="1248"/>
        <v>3</v>
      </c>
      <c r="X1195" s="9">
        <v>3.2561054</v>
      </c>
      <c r="Y1195" s="39"/>
    </row>
    <row r="1196" spans="1:25" ht="15" thickBot="1">
      <c r="A1196" s="29">
        <f t="shared" si="1186"/>
        <v>45885.708333332419</v>
      </c>
      <c r="B1196" s="30">
        <f t="shared" si="1213"/>
        <v>8000</v>
      </c>
      <c r="C1196" s="8">
        <v>25000</v>
      </c>
      <c r="D1196" s="187">
        <v>0</v>
      </c>
      <c r="E1196" s="187">
        <v>700</v>
      </c>
      <c r="F1196" s="187">
        <v>15000</v>
      </c>
      <c r="G1196" s="30">
        <f t="shared" si="1214"/>
        <v>2400</v>
      </c>
      <c r="H1196" s="8">
        <v>25000</v>
      </c>
      <c r="I1196" s="30">
        <f t="shared" si="1215"/>
        <v>8000</v>
      </c>
      <c r="J1196" s="187">
        <v>40000</v>
      </c>
      <c r="K1196" s="30">
        <f t="shared" si="1216"/>
        <v>8000</v>
      </c>
      <c r="L1196" s="187">
        <v>40000</v>
      </c>
      <c r="M1196" s="110">
        <v>9.5</v>
      </c>
      <c r="N1196" s="9">
        <f>VLOOKUP(DATE(YEAR(A1196),MONTH(A1196),DAY(A1196)),FY24_Temp[],3,FALSE)</f>
        <v>14.5</v>
      </c>
      <c r="O1196" s="110">
        <f t="shared" si="1202"/>
        <v>11.5</v>
      </c>
      <c r="P1196" s="110">
        <f t="shared" si="1203"/>
        <v>19.5</v>
      </c>
      <c r="Q1196" s="79">
        <f>VLOOKUP(VLOOKUP(DATEVALUE(TEXT(A1196,"m/d/yyyy")),FY24_Temp[],5,FALSE)&amp;TEXT(A1196,"-h"),TempDelta[],4,FALSE)</f>
        <v>0.63592857335294994</v>
      </c>
      <c r="R1196">
        <v>10</v>
      </c>
      <c r="S1196" s="112">
        <v>1500</v>
      </c>
      <c r="T1196" s="5">
        <f>VLOOKUP(TEXT(A1196,"yy-mm")&amp;"-"&amp;IF(AND(WEEKDAY(A1196)&gt;1,WEEKDAY(A1196)&lt;7),"Wkd",TEXT(A1196,"Ddd"))&amp;"-"&amp;TEXT(A1196,"hh"),LoadTable[],3,FALSE)*0.92</f>
        <v>786.27137399656624</v>
      </c>
      <c r="U1196" s="113">
        <f t="shared" si="1204"/>
        <v>78.627137399656618</v>
      </c>
      <c r="V1196">
        <f t="shared" ref="V1196:W1196" si="1249">V1172</f>
        <v>3.6</v>
      </c>
      <c r="W1196">
        <f t="shared" si="1249"/>
        <v>3</v>
      </c>
      <c r="X1196" s="9">
        <v>3.1714692000000002</v>
      </c>
      <c r="Y1196" s="39"/>
    </row>
    <row r="1197" spans="1:25" ht="15" thickBot="1">
      <c r="A1197" s="29">
        <f t="shared" si="1186"/>
        <v>45885.749999999083</v>
      </c>
      <c r="B1197" s="30">
        <f t="shared" si="1213"/>
        <v>5000</v>
      </c>
      <c r="C1197" s="8">
        <v>25000</v>
      </c>
      <c r="D1197" s="187">
        <v>0</v>
      </c>
      <c r="E1197" s="187">
        <v>700</v>
      </c>
      <c r="F1197" s="187">
        <v>15000</v>
      </c>
      <c r="G1197" s="30">
        <f t="shared" si="1214"/>
        <v>2400</v>
      </c>
      <c r="H1197" s="8">
        <v>25000</v>
      </c>
      <c r="I1197" s="30">
        <f t="shared" si="1215"/>
        <v>5000</v>
      </c>
      <c r="J1197" s="187">
        <v>40000</v>
      </c>
      <c r="K1197" s="30">
        <f t="shared" si="1216"/>
        <v>5000</v>
      </c>
      <c r="L1197" s="187">
        <v>40000</v>
      </c>
      <c r="M1197" s="110">
        <v>9.5</v>
      </c>
      <c r="N1197" s="9">
        <f>VLOOKUP(DATE(YEAR(A1197),MONTH(A1197),DAY(A1197)),FY24_Temp[],3,FALSE)</f>
        <v>14.5</v>
      </c>
      <c r="O1197" s="110">
        <f t="shared" si="1202"/>
        <v>11.5</v>
      </c>
      <c r="P1197" s="110">
        <f t="shared" si="1203"/>
        <v>19.5</v>
      </c>
      <c r="Q1197" s="79">
        <f>VLOOKUP(VLOOKUP(DATEVALUE(TEXT(A1197,"m/d/yyyy")),FY24_Temp[],5,FALSE)&amp;TEXT(A1197,"-h"),TempDelta[],4,FALSE)</f>
        <v>0.84400000316756107</v>
      </c>
      <c r="R1197">
        <v>10</v>
      </c>
      <c r="S1197" s="112">
        <v>1500</v>
      </c>
      <c r="T1197" s="5">
        <f>VLOOKUP(TEXT(A1197,"yy-mm")&amp;"-"&amp;IF(AND(WEEKDAY(A1197)&gt;1,WEEKDAY(A1197)&lt;7),"Wkd",TEXT(A1197,"Ddd"))&amp;"-"&amp;TEXT(A1197,"hh"),LoadTable[],3,FALSE)*0.92</f>
        <v>786.27137399656647</v>
      </c>
      <c r="U1197" s="113">
        <f t="shared" si="1204"/>
        <v>78.627137399656647</v>
      </c>
      <c r="V1197">
        <f t="shared" ref="V1197:W1197" si="1250">V1173</f>
        <v>2.9</v>
      </c>
      <c r="W1197">
        <f t="shared" si="1250"/>
        <v>3</v>
      </c>
      <c r="X1197" s="9">
        <v>3.1544614000000002</v>
      </c>
      <c r="Y1197" s="39"/>
    </row>
    <row r="1198" spans="1:25" ht="15" thickBot="1">
      <c r="A1198" s="29">
        <f t="shared" si="1186"/>
        <v>45885.791666665747</v>
      </c>
      <c r="B1198" s="30">
        <f t="shared" si="1213"/>
        <v>5000</v>
      </c>
      <c r="C1198" s="8">
        <v>25000</v>
      </c>
      <c r="D1198" s="187">
        <v>0</v>
      </c>
      <c r="E1198" s="187">
        <v>700</v>
      </c>
      <c r="F1198" s="187">
        <v>15000</v>
      </c>
      <c r="G1198" s="30">
        <f t="shared" si="1214"/>
        <v>2400</v>
      </c>
      <c r="H1198" s="8">
        <v>25000</v>
      </c>
      <c r="I1198" s="30">
        <f t="shared" si="1215"/>
        <v>5000</v>
      </c>
      <c r="J1198" s="187">
        <v>40000</v>
      </c>
      <c r="K1198" s="30">
        <f t="shared" si="1216"/>
        <v>5000</v>
      </c>
      <c r="L1198" s="187">
        <v>40000</v>
      </c>
      <c r="M1198" s="110">
        <v>9.5</v>
      </c>
      <c r="N1198" s="9">
        <f>VLOOKUP(DATE(YEAR(A1198),MONTH(A1198),DAY(A1198)),FY24_Temp[],3,FALSE)</f>
        <v>14.5</v>
      </c>
      <c r="O1198" s="110">
        <f t="shared" si="1202"/>
        <v>11.5</v>
      </c>
      <c r="P1198" s="110">
        <f t="shared" si="1203"/>
        <v>19.5</v>
      </c>
      <c r="Q1198" s="79">
        <f>VLOOKUP(VLOOKUP(DATEVALUE(TEXT(A1198,"m/d/yyyy")),FY24_Temp[],5,FALSE)&amp;TEXT(A1198,"-h"),TempDelta[],4,FALSE)</f>
        <v>1.1514999994209834</v>
      </c>
      <c r="R1198">
        <v>10</v>
      </c>
      <c r="S1198" s="112">
        <v>1500</v>
      </c>
      <c r="T1198" s="5">
        <f>VLOOKUP(TEXT(A1198,"yy-mm")&amp;"-"&amp;IF(AND(WEEKDAY(A1198)&gt;1,WEEKDAY(A1198)&lt;7),"Wkd",TEXT(A1198,"Ddd"))&amp;"-"&amp;TEXT(A1198,"hh"),LoadTable[],3,FALSE)*0.92</f>
        <v>786.27137399656624</v>
      </c>
      <c r="U1198" s="113">
        <f t="shared" si="1204"/>
        <v>78.627137399656618</v>
      </c>
      <c r="V1198">
        <f t="shared" ref="V1198:W1198" si="1251">V1174</f>
        <v>3</v>
      </c>
      <c r="W1198">
        <f t="shared" si="1251"/>
        <v>3</v>
      </c>
      <c r="X1198" s="9">
        <v>3.1169446000000001</v>
      </c>
      <c r="Y1198" s="39"/>
    </row>
    <row r="1199" spans="1:25" ht="15" thickBot="1">
      <c r="A1199" s="29">
        <f t="shared" si="1186"/>
        <v>45885.833333332412</v>
      </c>
      <c r="B1199" s="30">
        <f t="shared" si="1213"/>
        <v>5000</v>
      </c>
      <c r="C1199" s="8">
        <v>25000</v>
      </c>
      <c r="D1199" s="187">
        <v>0</v>
      </c>
      <c r="E1199" s="187">
        <v>700</v>
      </c>
      <c r="F1199" s="187">
        <v>15000</v>
      </c>
      <c r="G1199" s="30">
        <f t="shared" si="1214"/>
        <v>2400</v>
      </c>
      <c r="H1199" s="8">
        <v>25000</v>
      </c>
      <c r="I1199" s="30">
        <f t="shared" si="1215"/>
        <v>5000</v>
      </c>
      <c r="J1199" s="187">
        <v>40000</v>
      </c>
      <c r="K1199" s="30">
        <f t="shared" si="1216"/>
        <v>5000</v>
      </c>
      <c r="L1199" s="187">
        <v>40000</v>
      </c>
      <c r="M1199" s="110">
        <v>9.5</v>
      </c>
      <c r="N1199" s="9">
        <f>VLOOKUP(DATE(YEAR(A1199),MONTH(A1199),DAY(A1199)),FY24_Temp[],3,FALSE)</f>
        <v>14.5</v>
      </c>
      <c r="O1199" s="110">
        <f t="shared" si="1202"/>
        <v>11.5</v>
      </c>
      <c r="P1199" s="110">
        <f t="shared" si="1203"/>
        <v>19.5</v>
      </c>
      <c r="Q1199" s="79">
        <f>VLOOKUP(VLOOKUP(DATEVALUE(TEXT(A1199,"m/d/yyyy")),FY24_Temp[],5,FALSE)&amp;TEXT(A1199,"-h"),TempDelta[],4,FALSE)</f>
        <v>1.5629285573959351</v>
      </c>
      <c r="R1199">
        <v>10</v>
      </c>
      <c r="S1199" s="112">
        <v>1500</v>
      </c>
      <c r="T1199" s="5">
        <f>VLOOKUP(TEXT(A1199,"yy-mm")&amp;"-"&amp;IF(AND(WEEKDAY(A1199)&gt;1,WEEKDAY(A1199)&lt;7),"Wkd",TEXT(A1199,"Ddd"))&amp;"-"&amp;TEXT(A1199,"hh"),LoadTable[],3,FALSE)*0.92</f>
        <v>777.64820632864951</v>
      </c>
      <c r="U1199" s="113">
        <f t="shared" si="1204"/>
        <v>77.764820632864954</v>
      </c>
      <c r="V1199">
        <f t="shared" ref="V1199:W1199" si="1252">V1175</f>
        <v>2.8</v>
      </c>
      <c r="W1199">
        <f t="shared" si="1252"/>
        <v>3.1</v>
      </c>
      <c r="X1199" s="9">
        <v>3.0799096000000001</v>
      </c>
      <c r="Y1199" s="39"/>
    </row>
    <row r="1200" spans="1:25" ht="15" thickBot="1">
      <c r="A1200" s="29">
        <f t="shared" si="1186"/>
        <v>45885.874999999076</v>
      </c>
      <c r="B1200" s="30">
        <f t="shared" si="1213"/>
        <v>5000</v>
      </c>
      <c r="C1200" s="8">
        <v>25000</v>
      </c>
      <c r="D1200" s="187">
        <v>0</v>
      </c>
      <c r="E1200" s="187">
        <v>700</v>
      </c>
      <c r="F1200" s="187">
        <v>15000</v>
      </c>
      <c r="G1200" s="30">
        <f t="shared" si="1214"/>
        <v>2400</v>
      </c>
      <c r="H1200" s="8">
        <v>25000</v>
      </c>
      <c r="I1200" s="30">
        <f t="shared" si="1215"/>
        <v>5000</v>
      </c>
      <c r="J1200" s="187">
        <v>40000</v>
      </c>
      <c r="K1200" s="30">
        <f t="shared" si="1216"/>
        <v>5000</v>
      </c>
      <c r="L1200" s="187">
        <v>40000</v>
      </c>
      <c r="M1200" s="110">
        <v>9.5</v>
      </c>
      <c r="N1200" s="9">
        <f>VLOOKUP(DATE(YEAR(A1200),MONTH(A1200),DAY(A1200)),FY24_Temp[],3,FALSE)</f>
        <v>14.5</v>
      </c>
      <c r="O1200" s="110">
        <f t="shared" si="1202"/>
        <v>11.5</v>
      </c>
      <c r="P1200" s="110">
        <f t="shared" si="1203"/>
        <v>19.5</v>
      </c>
      <c r="Q1200" s="79">
        <f>VLOOKUP(VLOOKUP(DATEVALUE(TEXT(A1200,"m/d/yyyy")),FY24_Temp[],5,FALSE)&amp;TEXT(A1200,"-h"),TempDelta[],4,FALSE)</f>
        <v>1.8850000074931554</v>
      </c>
      <c r="R1200">
        <v>10</v>
      </c>
      <c r="S1200" s="112">
        <v>1500</v>
      </c>
      <c r="T1200" s="5">
        <f>VLOOKUP(TEXT(A1200,"yy-mm")&amp;"-"&amp;IF(AND(WEEKDAY(A1200)&gt;1,WEEKDAY(A1200)&lt;7),"Wkd",TEXT(A1200,"Ddd"))&amp;"-"&amp;TEXT(A1200,"hh"),LoadTable[],3,FALSE)*0.92</f>
        <v>646.6971562116064</v>
      </c>
      <c r="U1200" s="113">
        <f t="shared" si="1204"/>
        <v>64.669715621160634</v>
      </c>
      <c r="V1200">
        <f t="shared" ref="V1200:W1200" si="1253">V1176</f>
        <v>3.5</v>
      </c>
      <c r="W1200">
        <f t="shared" si="1253"/>
        <v>3.1</v>
      </c>
      <c r="X1200" s="9">
        <v>3.0456197</v>
      </c>
      <c r="Y1200" s="39"/>
    </row>
    <row r="1201" spans="1:25" ht="15" thickBot="1">
      <c r="A1201" s="29">
        <f t="shared" si="1186"/>
        <v>45885.91666666574</v>
      </c>
      <c r="B1201" s="30">
        <f t="shared" si="1213"/>
        <v>5000</v>
      </c>
      <c r="C1201" s="8">
        <v>25000</v>
      </c>
      <c r="D1201" s="187">
        <v>0</v>
      </c>
      <c r="E1201" s="187">
        <v>700</v>
      </c>
      <c r="F1201" s="187">
        <v>15000</v>
      </c>
      <c r="G1201" s="30">
        <f t="shared" si="1214"/>
        <v>2400</v>
      </c>
      <c r="H1201" s="8">
        <v>25000</v>
      </c>
      <c r="I1201" s="30">
        <f t="shared" si="1215"/>
        <v>5000</v>
      </c>
      <c r="J1201" s="187">
        <v>40000</v>
      </c>
      <c r="K1201" s="30">
        <f t="shared" si="1216"/>
        <v>5000</v>
      </c>
      <c r="L1201" s="187">
        <v>40000</v>
      </c>
      <c r="M1201" s="110">
        <v>9.5</v>
      </c>
      <c r="N1201" s="9">
        <f>VLOOKUP(DATE(YEAR(A1201),MONTH(A1201),DAY(A1201)),FY24_Temp[],3,FALSE)</f>
        <v>14.5</v>
      </c>
      <c r="O1201" s="110">
        <f t="shared" si="1202"/>
        <v>11.5</v>
      </c>
      <c r="P1201" s="110">
        <f t="shared" si="1203"/>
        <v>19.5</v>
      </c>
      <c r="Q1201" s="79">
        <f>VLOOKUP(VLOOKUP(DATEVALUE(TEXT(A1201,"m/d/yyyy")),FY24_Temp[],5,FALSE)&amp;TEXT(A1201,"-h"),TempDelta[],4,FALSE)</f>
        <v>2.1824284962245395</v>
      </c>
      <c r="R1201">
        <v>10</v>
      </c>
      <c r="S1201" s="112">
        <v>1500</v>
      </c>
      <c r="T1201" s="5">
        <f>VLOOKUP(TEXT(A1201,"yy-mm")&amp;"-"&amp;IF(AND(WEEKDAY(A1201)&gt;1,WEEKDAY(A1201)&lt;7),"Wkd",TEXT(A1201,"Ddd"))&amp;"-"&amp;TEXT(A1201,"hh"),LoadTable[],3,FALSE)*0.92</f>
        <v>584.81792964989802</v>
      </c>
      <c r="U1201" s="113">
        <f t="shared" si="1204"/>
        <v>58.481792964989801</v>
      </c>
      <c r="V1201">
        <f t="shared" ref="V1201:W1201" si="1254">V1177</f>
        <v>2.9</v>
      </c>
      <c r="W1201">
        <f t="shared" si="1254"/>
        <v>3.1</v>
      </c>
      <c r="X1201" s="9">
        <v>3.0097027000000001</v>
      </c>
      <c r="Y1201" s="39"/>
    </row>
    <row r="1202" spans="1:25" ht="15" thickBot="1">
      <c r="A1202" s="29">
        <f t="shared" si="1186"/>
        <v>45885.958333332404</v>
      </c>
      <c r="B1202" s="30">
        <f t="shared" si="1213"/>
        <v>5000</v>
      </c>
      <c r="C1202" s="8">
        <v>25000</v>
      </c>
      <c r="D1202" s="187">
        <v>0</v>
      </c>
      <c r="E1202" s="187">
        <v>700</v>
      </c>
      <c r="F1202" s="187">
        <v>15000</v>
      </c>
      <c r="G1202" s="30">
        <f t="shared" si="1214"/>
        <v>2400</v>
      </c>
      <c r="H1202" s="8">
        <v>25000</v>
      </c>
      <c r="I1202" s="30">
        <f t="shared" si="1215"/>
        <v>5000</v>
      </c>
      <c r="J1202" s="187">
        <v>40000</v>
      </c>
      <c r="K1202" s="30">
        <f t="shared" si="1216"/>
        <v>5000</v>
      </c>
      <c r="L1202" s="187">
        <v>40000</v>
      </c>
      <c r="M1202" s="110">
        <v>9.5</v>
      </c>
      <c r="N1202" s="9">
        <f>VLOOKUP(DATE(YEAR(A1202),MONTH(A1202),DAY(A1202)),FY24_Temp[],3,FALSE)</f>
        <v>14.5</v>
      </c>
      <c r="O1202" s="110">
        <f t="shared" si="1202"/>
        <v>11.5</v>
      </c>
      <c r="P1202" s="110">
        <f t="shared" si="1203"/>
        <v>19.5</v>
      </c>
      <c r="Q1202" s="79">
        <f>VLOOKUP(VLOOKUP(DATEVALUE(TEXT(A1202,"m/d/yyyy")),FY24_Temp[],5,FALSE)&amp;TEXT(A1202,"-h"),TempDelta[],4,FALSE)</f>
        <v>2.3112857682364329</v>
      </c>
      <c r="R1202">
        <v>10</v>
      </c>
      <c r="S1202" s="112">
        <v>1500</v>
      </c>
      <c r="T1202" s="5">
        <f>VLOOKUP(TEXT(A1202,"yy-mm")&amp;"-"&amp;IF(AND(WEEKDAY(A1202)&gt;1,WEEKDAY(A1202)&lt;7),"Wkd",TEXT(A1202,"Ddd"))&amp;"-"&amp;TEXT(A1202,"hh"),LoadTable[],3,FALSE)*0.92</f>
        <v>476.19660000000005</v>
      </c>
      <c r="U1202" s="113">
        <f t="shared" si="1204"/>
        <v>47.619660000000003</v>
      </c>
      <c r="V1202">
        <f t="shared" ref="V1202:W1202" si="1255">V1178</f>
        <v>3.6</v>
      </c>
      <c r="W1202">
        <f t="shared" si="1255"/>
        <v>3.1</v>
      </c>
      <c r="X1202" s="9">
        <v>2.9064643000000001</v>
      </c>
      <c r="Y1202" s="39"/>
    </row>
    <row r="1203" spans="1:25" ht="15" thickBot="1">
      <c r="A1203" s="29">
        <f t="shared" si="1186"/>
        <v>45885.999999999069</v>
      </c>
      <c r="B1203" s="30">
        <f t="shared" si="1213"/>
        <v>5000</v>
      </c>
      <c r="C1203" s="8">
        <v>25000</v>
      </c>
      <c r="D1203" s="187">
        <v>0</v>
      </c>
      <c r="E1203" s="187">
        <v>700</v>
      </c>
      <c r="F1203" s="187">
        <v>15000</v>
      </c>
      <c r="G1203" s="30">
        <f t="shared" si="1214"/>
        <v>2400</v>
      </c>
      <c r="H1203" s="8">
        <v>25000</v>
      </c>
      <c r="I1203" s="30">
        <f t="shared" si="1215"/>
        <v>5000</v>
      </c>
      <c r="J1203" s="187">
        <v>40000</v>
      </c>
      <c r="K1203" s="30">
        <f t="shared" si="1216"/>
        <v>5000</v>
      </c>
      <c r="L1203" s="187">
        <v>40000</v>
      </c>
      <c r="M1203" s="110">
        <v>9.5</v>
      </c>
      <c r="N1203" s="9">
        <f>VLOOKUP(DATE(YEAR(A1203),MONTH(A1203),DAY(A1203)),FY24_Temp[],3,FALSE)</f>
        <v>14.5</v>
      </c>
      <c r="O1203" s="110">
        <f t="shared" si="1202"/>
        <v>11.5</v>
      </c>
      <c r="P1203" s="110">
        <f t="shared" si="1203"/>
        <v>19.5</v>
      </c>
      <c r="Q1203" s="79">
        <f>VLOOKUP(VLOOKUP(DATEVALUE(TEXT(A1203,"m/d/yyyy")),FY24_Temp[],5,FALSE)&amp;TEXT(A1203,"-h"),TempDelta[],4,FALSE)</f>
        <v>2.4531428813934326</v>
      </c>
      <c r="R1203">
        <v>10</v>
      </c>
      <c r="S1203" s="112">
        <v>1500</v>
      </c>
      <c r="T1203" s="5">
        <f>VLOOKUP(TEXT(A1203,"yy-mm")&amp;"-"&amp;IF(AND(WEEKDAY(A1203)&gt;1,WEEKDAY(A1203)&lt;7),"Wkd",TEXT(A1203,"Ddd"))&amp;"-"&amp;TEXT(A1203,"hh"),LoadTable[],3,FALSE)*0.92</f>
        <v>356.57820000000004</v>
      </c>
      <c r="U1203" s="113">
        <f t="shared" si="1204"/>
        <v>35.657820000000001</v>
      </c>
      <c r="V1203">
        <f t="shared" ref="V1203:W1203" si="1256">V1179</f>
        <v>3</v>
      </c>
      <c r="W1203">
        <f t="shared" si="1256"/>
        <v>3.2</v>
      </c>
      <c r="X1203" s="9">
        <v>2.8267083</v>
      </c>
      <c r="Y1203" s="39"/>
    </row>
    <row r="1204" spans="1:25" ht="15" thickBot="1">
      <c r="A1204" s="29">
        <f t="shared" si="1186"/>
        <v>45886.041666665733</v>
      </c>
      <c r="B1204" s="30">
        <f t="shared" si="1213"/>
        <v>5000</v>
      </c>
      <c r="C1204" s="8">
        <v>25000</v>
      </c>
      <c r="D1204" s="187">
        <v>0</v>
      </c>
      <c r="E1204" s="187">
        <v>700</v>
      </c>
      <c r="F1204" s="187">
        <v>15000</v>
      </c>
      <c r="G1204" s="30">
        <f t="shared" si="1214"/>
        <v>2400</v>
      </c>
      <c r="H1204" s="8">
        <v>25000</v>
      </c>
      <c r="I1204" s="30">
        <f t="shared" si="1215"/>
        <v>5000</v>
      </c>
      <c r="J1204" s="187">
        <v>40000</v>
      </c>
      <c r="K1204" s="30">
        <f t="shared" si="1216"/>
        <v>5000</v>
      </c>
      <c r="L1204" s="187">
        <v>40000</v>
      </c>
      <c r="M1204" s="110">
        <v>9.5</v>
      </c>
      <c r="N1204" s="9">
        <f>VLOOKUP(DATE(YEAR(A1204),MONTH(A1204),DAY(A1204)),FY24_Temp[],3,FALSE)</f>
        <v>14.5</v>
      </c>
      <c r="O1204" s="110">
        <f t="shared" si="1202"/>
        <v>11.5</v>
      </c>
      <c r="P1204" s="110">
        <f t="shared" si="1203"/>
        <v>19.5</v>
      </c>
      <c r="Q1204" s="79">
        <f>VLOOKUP(VLOOKUP(DATEVALUE(TEXT(A1204,"m/d/yyyy")),FY24_Temp[],5,FALSE)&amp;TEXT(A1204,"-h"),TempDelta[],4,FALSE)</f>
        <v>2.5072856971195767</v>
      </c>
      <c r="R1204">
        <v>10</v>
      </c>
      <c r="S1204" s="112">
        <v>1500</v>
      </c>
      <c r="T1204" s="5">
        <f>VLOOKUP(TEXT(A1204,"yy-mm")&amp;"-"&amp;IF(AND(WEEKDAY(A1204)&gt;1,WEEKDAY(A1204)&lt;7),"Wkd",TEXT(A1204,"Ddd"))&amp;"-"&amp;TEXT(A1204,"hh"),LoadTable[],3,FALSE)*0.92</f>
        <v>347.99644000000006</v>
      </c>
      <c r="U1204" s="113">
        <f t="shared" si="1204"/>
        <v>34.799644000000008</v>
      </c>
      <c r="V1204">
        <f t="shared" ref="V1204:W1204" si="1257">V1180</f>
        <v>2.6</v>
      </c>
      <c r="W1204">
        <f t="shared" si="1257"/>
        <v>3.2</v>
      </c>
      <c r="X1204" s="9">
        <v>2.7748713</v>
      </c>
      <c r="Y1204" s="39"/>
    </row>
    <row r="1205" spans="1:25" ht="15" thickBot="1">
      <c r="A1205" s="29">
        <f t="shared" ref="A1205:A1268" si="1258">A1204+TIME(1,0,0)</f>
        <v>45886.083333332397</v>
      </c>
      <c r="B1205" s="30">
        <f t="shared" si="1213"/>
        <v>5000</v>
      </c>
      <c r="C1205" s="8">
        <v>25000</v>
      </c>
      <c r="D1205" s="187">
        <v>0</v>
      </c>
      <c r="E1205" s="187">
        <v>700</v>
      </c>
      <c r="F1205" s="187">
        <v>15000</v>
      </c>
      <c r="G1205" s="30">
        <f t="shared" si="1214"/>
        <v>2400</v>
      </c>
      <c r="H1205" s="8">
        <v>25000</v>
      </c>
      <c r="I1205" s="30">
        <f t="shared" si="1215"/>
        <v>5000</v>
      </c>
      <c r="J1205" s="187">
        <v>40000</v>
      </c>
      <c r="K1205" s="30">
        <f t="shared" si="1216"/>
        <v>5000</v>
      </c>
      <c r="L1205" s="187">
        <v>40000</v>
      </c>
      <c r="M1205" s="110">
        <v>9.5</v>
      </c>
      <c r="N1205" s="9">
        <f>VLOOKUP(DATE(YEAR(A1205),MONTH(A1205),DAY(A1205)),FY24_Temp[],3,FALSE)</f>
        <v>14.5</v>
      </c>
      <c r="O1205" s="110">
        <f t="shared" si="1202"/>
        <v>11.5</v>
      </c>
      <c r="P1205" s="110">
        <f t="shared" si="1203"/>
        <v>19.5</v>
      </c>
      <c r="Q1205" s="79">
        <f>VLOOKUP(VLOOKUP(DATEVALUE(TEXT(A1205,"m/d/yyyy")),FY24_Temp[],5,FALSE)&amp;TEXT(A1205,"-h"),TempDelta[],4,FALSE)</f>
        <v>2.5261428356170654</v>
      </c>
      <c r="R1205">
        <v>10</v>
      </c>
      <c r="S1205" s="112">
        <v>1500</v>
      </c>
      <c r="T1205" s="5">
        <f>VLOOKUP(TEXT(A1205,"yy-mm")&amp;"-"&amp;IF(AND(WEEKDAY(A1205)&gt;1,WEEKDAY(A1205)&lt;7),"Wkd",TEXT(A1205,"Ddd"))&amp;"-"&amp;TEXT(A1205,"hh"),LoadTable[],3,FALSE)*0.92</f>
        <v>341.29148000000004</v>
      </c>
      <c r="U1205" s="113">
        <f t="shared" si="1204"/>
        <v>34.129148000000001</v>
      </c>
      <c r="V1205">
        <f t="shared" ref="V1205:W1205" si="1259">V1181</f>
        <v>2.8</v>
      </c>
      <c r="W1205">
        <f t="shared" si="1259"/>
        <v>3.2</v>
      </c>
      <c r="X1205" s="9">
        <v>2.8488425999999998</v>
      </c>
      <c r="Y1205" s="39"/>
    </row>
    <row r="1206" spans="1:25" ht="15" thickBot="1">
      <c r="A1206" s="29">
        <f t="shared" si="1258"/>
        <v>45886.124999999061</v>
      </c>
      <c r="B1206" s="30">
        <f t="shared" si="1213"/>
        <v>5000</v>
      </c>
      <c r="C1206" s="8">
        <v>25000</v>
      </c>
      <c r="D1206" s="187">
        <v>0</v>
      </c>
      <c r="E1206" s="187">
        <v>700</v>
      </c>
      <c r="F1206" s="187">
        <v>15000</v>
      </c>
      <c r="G1206" s="30">
        <f t="shared" si="1214"/>
        <v>2400</v>
      </c>
      <c r="H1206" s="8">
        <v>25000</v>
      </c>
      <c r="I1206" s="30">
        <f t="shared" si="1215"/>
        <v>5000</v>
      </c>
      <c r="J1206" s="187">
        <v>40000</v>
      </c>
      <c r="K1206" s="30">
        <f t="shared" si="1216"/>
        <v>5000</v>
      </c>
      <c r="L1206" s="187">
        <v>40000</v>
      </c>
      <c r="M1206" s="110">
        <v>9.5</v>
      </c>
      <c r="N1206" s="9">
        <f>VLOOKUP(DATE(YEAR(A1206),MONTH(A1206),DAY(A1206)),FY24_Temp[],3,FALSE)</f>
        <v>14.5</v>
      </c>
      <c r="O1206" s="110">
        <f t="shared" si="1202"/>
        <v>11.5</v>
      </c>
      <c r="P1206" s="110">
        <f t="shared" si="1203"/>
        <v>19.5</v>
      </c>
      <c r="Q1206" s="79">
        <f>VLOOKUP(VLOOKUP(DATEVALUE(TEXT(A1206,"m/d/yyyy")),FY24_Temp[],5,FALSE)&amp;TEXT(A1206,"-h"),TempDelta[],4,FALSE)</f>
        <v>2.521428550992693</v>
      </c>
      <c r="R1206">
        <v>10</v>
      </c>
      <c r="S1206" s="112">
        <v>1500</v>
      </c>
      <c r="T1206" s="5">
        <f>VLOOKUP(TEXT(A1206,"yy-mm")&amp;"-"&amp;IF(AND(WEEKDAY(A1206)&gt;1,WEEKDAY(A1206)&lt;7),"Wkd",TEXT(A1206,"Ddd"))&amp;"-"&amp;TEXT(A1206,"hh"),LoadTable[],3,FALSE)*0.92</f>
        <v>341.29148000000004</v>
      </c>
      <c r="U1206" s="113">
        <f t="shared" si="1204"/>
        <v>34.129148000000001</v>
      </c>
      <c r="V1206">
        <f t="shared" ref="V1206:W1206" si="1260">V1182</f>
        <v>2.7</v>
      </c>
      <c r="W1206">
        <f t="shared" si="1260"/>
        <v>3.2</v>
      </c>
      <c r="X1206" s="9">
        <v>2.9007998000000002</v>
      </c>
      <c r="Y1206" s="39"/>
    </row>
    <row r="1207" spans="1:25" ht="15" thickBot="1">
      <c r="A1207" s="29">
        <f t="shared" si="1258"/>
        <v>45886.166666665726</v>
      </c>
      <c r="B1207" s="30">
        <f t="shared" si="1213"/>
        <v>5000</v>
      </c>
      <c r="C1207" s="8">
        <v>25000</v>
      </c>
      <c r="D1207" s="187">
        <v>0</v>
      </c>
      <c r="E1207" s="187">
        <v>700</v>
      </c>
      <c r="F1207" s="187">
        <v>15000</v>
      </c>
      <c r="G1207" s="30">
        <f t="shared" si="1214"/>
        <v>2400</v>
      </c>
      <c r="H1207" s="8">
        <v>25000</v>
      </c>
      <c r="I1207" s="30">
        <f t="shared" si="1215"/>
        <v>5000</v>
      </c>
      <c r="J1207" s="187">
        <v>40000</v>
      </c>
      <c r="K1207" s="30">
        <f t="shared" si="1216"/>
        <v>5000</v>
      </c>
      <c r="L1207" s="187">
        <v>40000</v>
      </c>
      <c r="M1207" s="110">
        <v>9.5</v>
      </c>
      <c r="N1207" s="9">
        <f>VLOOKUP(DATE(YEAR(A1207),MONTH(A1207),DAY(A1207)),FY24_Temp[],3,FALSE)</f>
        <v>14.5</v>
      </c>
      <c r="O1207" s="110">
        <f t="shared" si="1202"/>
        <v>11.5</v>
      </c>
      <c r="P1207" s="110">
        <f t="shared" si="1203"/>
        <v>19.5</v>
      </c>
      <c r="Q1207" s="79">
        <f>VLOOKUP(VLOOKUP(DATEVALUE(TEXT(A1207,"m/d/yyyy")),FY24_Temp[],5,FALSE)&amp;TEXT(A1207,"-h"),TempDelta[],4,FALSE)</f>
        <v>2.5227143423897878</v>
      </c>
      <c r="R1207">
        <v>10</v>
      </c>
      <c r="S1207" s="112">
        <v>1500</v>
      </c>
      <c r="T1207" s="5">
        <f>VLOOKUP(TEXT(A1207,"yy-mm")&amp;"-"&amp;IF(AND(WEEKDAY(A1207)&gt;1,WEEKDAY(A1207)&lt;7),"Wkd",TEXT(A1207,"Ddd"))&amp;"-"&amp;TEXT(A1207,"hh"),LoadTable[],3,FALSE)*0.92</f>
        <v>341.29148000000004</v>
      </c>
      <c r="U1207" s="113">
        <f t="shared" si="1204"/>
        <v>34.129148000000001</v>
      </c>
      <c r="V1207">
        <f t="shared" ref="V1207:W1207" si="1261">V1183</f>
        <v>3</v>
      </c>
      <c r="W1207">
        <f t="shared" si="1261"/>
        <v>3.1</v>
      </c>
      <c r="X1207" s="9">
        <v>2.9294829</v>
      </c>
      <c r="Y1207" s="39"/>
    </row>
    <row r="1208" spans="1:25" ht="15" thickBot="1">
      <c r="A1208" s="29">
        <f t="shared" si="1258"/>
        <v>45886.20833333239</v>
      </c>
      <c r="B1208" s="30">
        <f t="shared" si="1213"/>
        <v>5000</v>
      </c>
      <c r="C1208" s="8">
        <v>25000</v>
      </c>
      <c r="D1208" s="187">
        <v>0</v>
      </c>
      <c r="E1208" s="187">
        <v>700</v>
      </c>
      <c r="F1208" s="187">
        <v>15000</v>
      </c>
      <c r="G1208" s="30">
        <f t="shared" si="1214"/>
        <v>2400</v>
      </c>
      <c r="H1208" s="8">
        <v>25000</v>
      </c>
      <c r="I1208" s="30">
        <f t="shared" si="1215"/>
        <v>5000</v>
      </c>
      <c r="J1208" s="187">
        <v>40000</v>
      </c>
      <c r="K1208" s="30">
        <f t="shared" si="1216"/>
        <v>5000</v>
      </c>
      <c r="L1208" s="187">
        <v>40000</v>
      </c>
      <c r="M1208" s="110">
        <v>9.5</v>
      </c>
      <c r="N1208" s="9">
        <f>VLOOKUP(DATE(YEAR(A1208),MONTH(A1208),DAY(A1208)),FY24_Temp[],3,FALSE)</f>
        <v>14.5</v>
      </c>
      <c r="O1208" s="110">
        <f t="shared" si="1202"/>
        <v>11.5</v>
      </c>
      <c r="P1208" s="110">
        <f t="shared" si="1203"/>
        <v>19.5</v>
      </c>
      <c r="Q1208" s="79">
        <f>VLOOKUP(VLOOKUP(DATEVALUE(TEXT(A1208,"m/d/yyyy")),FY24_Temp[],5,FALSE)&amp;TEXT(A1208,"-h"),TempDelta[],4,FALSE)</f>
        <v>2.5675714015960693</v>
      </c>
      <c r="R1208">
        <v>10</v>
      </c>
      <c r="S1208" s="112">
        <v>1500</v>
      </c>
      <c r="T1208" s="5">
        <f>VLOOKUP(TEXT(A1208,"yy-mm")&amp;"-"&amp;IF(AND(WEEKDAY(A1208)&gt;1,WEEKDAY(A1208)&lt;7),"Wkd",TEXT(A1208,"Ddd"))&amp;"-"&amp;TEXT(A1208,"hh"),LoadTable[],3,FALSE)*0.92</f>
        <v>341.29148000000004</v>
      </c>
      <c r="U1208" s="113">
        <f t="shared" si="1204"/>
        <v>34.129148000000001</v>
      </c>
      <c r="V1208">
        <f t="shared" ref="V1208:W1208" si="1262">V1184</f>
        <v>2.9</v>
      </c>
      <c r="W1208">
        <f t="shared" si="1262"/>
        <v>3.1</v>
      </c>
      <c r="X1208" s="9">
        <v>3.0074700999999999</v>
      </c>
      <c r="Y1208" s="39"/>
    </row>
    <row r="1209" spans="1:25" ht="15" thickBot="1">
      <c r="A1209" s="29">
        <f t="shared" si="1258"/>
        <v>45886.249999999054</v>
      </c>
      <c r="B1209" s="30">
        <f t="shared" si="1213"/>
        <v>8000</v>
      </c>
      <c r="C1209" s="8">
        <v>25000</v>
      </c>
      <c r="D1209" s="187">
        <v>0</v>
      </c>
      <c r="E1209" s="187">
        <v>700</v>
      </c>
      <c r="F1209" s="187">
        <v>15000</v>
      </c>
      <c r="G1209" s="30">
        <f t="shared" si="1214"/>
        <v>2400</v>
      </c>
      <c r="H1209" s="8">
        <v>25000</v>
      </c>
      <c r="I1209" s="30">
        <f t="shared" si="1215"/>
        <v>8000</v>
      </c>
      <c r="J1209" s="187">
        <v>40000</v>
      </c>
      <c r="K1209" s="30">
        <f t="shared" si="1216"/>
        <v>8000</v>
      </c>
      <c r="L1209" s="187">
        <v>40000</v>
      </c>
      <c r="M1209" s="110">
        <v>9.5</v>
      </c>
      <c r="N1209" s="9">
        <f>VLOOKUP(DATE(YEAR(A1209),MONTH(A1209),DAY(A1209)),FY24_Temp[],3,FALSE)</f>
        <v>14.5</v>
      </c>
      <c r="O1209" s="110">
        <f t="shared" si="1202"/>
        <v>11.5</v>
      </c>
      <c r="P1209" s="110">
        <f t="shared" si="1203"/>
        <v>19.5</v>
      </c>
      <c r="Q1209" s="79">
        <f>VLOOKUP(VLOOKUP(DATEVALUE(TEXT(A1209,"m/d/yyyy")),FY24_Temp[],5,FALSE)&amp;TEXT(A1209,"-h"),TempDelta[],4,FALSE)</f>
        <v>2.5785714558192661</v>
      </c>
      <c r="R1209">
        <v>10</v>
      </c>
      <c r="S1209" s="112">
        <v>1500</v>
      </c>
      <c r="T1209" s="5">
        <f>VLOOKUP(TEXT(A1209,"yy-mm")&amp;"-"&amp;IF(AND(WEEKDAY(A1209)&gt;1,WEEKDAY(A1209)&lt;7),"Wkd",TEXT(A1209,"Ddd"))&amp;"-"&amp;TEXT(A1209,"hh"),LoadTable[],3,FALSE)*0.92</f>
        <v>338.44328695210856</v>
      </c>
      <c r="U1209" s="113">
        <f t="shared" si="1204"/>
        <v>33.844328695210855</v>
      </c>
      <c r="V1209">
        <f t="shared" ref="V1209:W1209" si="1263">V1185</f>
        <v>2.5</v>
      </c>
      <c r="W1209">
        <f t="shared" si="1263"/>
        <v>3.1</v>
      </c>
      <c r="X1209" s="9">
        <v>3.1285221999999999</v>
      </c>
      <c r="Y1209" s="39"/>
    </row>
    <row r="1210" spans="1:25" ht="15" thickBot="1">
      <c r="A1210" s="29">
        <f t="shared" si="1258"/>
        <v>45886.291666665718</v>
      </c>
      <c r="B1210" s="30">
        <f t="shared" si="1213"/>
        <v>8000</v>
      </c>
      <c r="C1210" s="8">
        <v>25000</v>
      </c>
      <c r="D1210" s="187">
        <v>0</v>
      </c>
      <c r="E1210" s="187">
        <v>700</v>
      </c>
      <c r="F1210" s="187">
        <v>15000</v>
      </c>
      <c r="G1210" s="30">
        <f t="shared" si="1214"/>
        <v>2400</v>
      </c>
      <c r="H1210" s="8">
        <v>25000</v>
      </c>
      <c r="I1210" s="30">
        <f t="shared" si="1215"/>
        <v>8000</v>
      </c>
      <c r="J1210" s="187">
        <v>40000</v>
      </c>
      <c r="K1210" s="30">
        <f t="shared" si="1216"/>
        <v>8000</v>
      </c>
      <c r="L1210" s="187">
        <v>40000</v>
      </c>
      <c r="M1210" s="110">
        <v>9.5</v>
      </c>
      <c r="N1210" s="9">
        <f>VLOOKUP(DATE(YEAR(A1210),MONTH(A1210),DAY(A1210)),FY24_Temp[],3,FALSE)</f>
        <v>14.5</v>
      </c>
      <c r="O1210" s="110">
        <f t="shared" si="1202"/>
        <v>11.5</v>
      </c>
      <c r="P1210" s="110">
        <f t="shared" si="1203"/>
        <v>19.5</v>
      </c>
      <c r="Q1210" s="79">
        <f>VLOOKUP(VLOOKUP(DATEVALUE(TEXT(A1210,"m/d/yyyy")),FY24_Temp[],5,FALSE)&amp;TEXT(A1210,"-h"),TempDelta[],4,FALSE)</f>
        <v>2.5442857401711598</v>
      </c>
      <c r="R1210">
        <v>10</v>
      </c>
      <c r="S1210" s="112">
        <v>1500</v>
      </c>
      <c r="T1210" s="5">
        <f>VLOOKUP(TEXT(A1210,"yy-mm")&amp;"-"&amp;IF(AND(WEEKDAY(A1210)&gt;1,WEEKDAY(A1210)&lt;7),"Wkd",TEXT(A1210,"Ddd"))&amp;"-"&amp;TEXT(A1210,"hh"),LoadTable[],3,FALSE)*0.92</f>
        <v>338.44328695210856</v>
      </c>
      <c r="U1210" s="113">
        <f t="shared" si="1204"/>
        <v>33.844328695210855</v>
      </c>
      <c r="V1210">
        <f t="shared" ref="V1210:W1210" si="1264">V1186</f>
        <v>2.5</v>
      </c>
      <c r="W1210">
        <f t="shared" si="1264"/>
        <v>3.1</v>
      </c>
      <c r="X1210" s="9">
        <v>3.2666010999999999</v>
      </c>
      <c r="Y1210" s="39"/>
    </row>
    <row r="1211" spans="1:25" ht="15" thickBot="1">
      <c r="A1211" s="29">
        <f t="shared" si="1258"/>
        <v>45886.333333332383</v>
      </c>
      <c r="B1211" s="30">
        <f t="shared" si="1213"/>
        <v>8000</v>
      </c>
      <c r="C1211" s="8">
        <v>25000</v>
      </c>
      <c r="D1211" s="187">
        <v>0</v>
      </c>
      <c r="E1211" s="187">
        <v>700</v>
      </c>
      <c r="F1211" s="187">
        <v>15000</v>
      </c>
      <c r="G1211" s="30">
        <f t="shared" si="1214"/>
        <v>2400</v>
      </c>
      <c r="H1211" s="8">
        <v>25000</v>
      </c>
      <c r="I1211" s="30">
        <f t="shared" si="1215"/>
        <v>8000</v>
      </c>
      <c r="J1211" s="187">
        <v>40000</v>
      </c>
      <c r="K1211" s="30">
        <f t="shared" si="1216"/>
        <v>8000</v>
      </c>
      <c r="L1211" s="187">
        <v>40000</v>
      </c>
      <c r="M1211" s="110">
        <v>9.5</v>
      </c>
      <c r="N1211" s="9">
        <f>VLOOKUP(DATE(YEAR(A1211),MONTH(A1211),DAY(A1211)),FY24_Temp[],3,FALSE)</f>
        <v>14.5</v>
      </c>
      <c r="O1211" s="110">
        <f t="shared" si="1202"/>
        <v>11.5</v>
      </c>
      <c r="P1211" s="110">
        <f t="shared" si="1203"/>
        <v>19.5</v>
      </c>
      <c r="Q1211" s="79">
        <f>VLOOKUP(VLOOKUP(DATEVALUE(TEXT(A1211,"m/d/yyyy")),FY24_Temp[],5,FALSE)&amp;TEXT(A1211,"-h"),TempDelta[],4,FALSE)</f>
        <v>2.4372856957571849</v>
      </c>
      <c r="R1211">
        <v>10</v>
      </c>
      <c r="S1211" s="112">
        <v>1500</v>
      </c>
      <c r="T1211" s="5">
        <f>VLOOKUP(TEXT(A1211,"yy-mm")&amp;"-"&amp;IF(AND(WEEKDAY(A1211)&gt;1,WEEKDAY(A1211)&lt;7),"Wkd",TEXT(A1211,"Ddd"))&amp;"-"&amp;TEXT(A1211,"hh"),LoadTable[],3,FALSE)*0.92</f>
        <v>338.44328695210851</v>
      </c>
      <c r="U1211" s="113">
        <f t="shared" si="1204"/>
        <v>33.844328695210848</v>
      </c>
      <c r="V1211">
        <f t="shared" ref="V1211:W1211" si="1265">V1187</f>
        <v>3.2</v>
      </c>
      <c r="W1211">
        <f t="shared" si="1265"/>
        <v>3</v>
      </c>
      <c r="X1211" s="9">
        <v>3.3398736000000002</v>
      </c>
      <c r="Y1211" s="39"/>
    </row>
    <row r="1212" spans="1:25" ht="15" thickBot="1">
      <c r="A1212" s="29">
        <f t="shared" si="1258"/>
        <v>45886.374999999047</v>
      </c>
      <c r="B1212" s="30">
        <f t="shared" si="1213"/>
        <v>8000</v>
      </c>
      <c r="C1212" s="8">
        <v>25000</v>
      </c>
      <c r="D1212" s="187">
        <v>0</v>
      </c>
      <c r="E1212" s="187">
        <v>700</v>
      </c>
      <c r="F1212" s="187">
        <v>15000</v>
      </c>
      <c r="G1212" s="30">
        <f t="shared" si="1214"/>
        <v>2400</v>
      </c>
      <c r="H1212" s="8">
        <v>25000</v>
      </c>
      <c r="I1212" s="30">
        <f t="shared" si="1215"/>
        <v>8000</v>
      </c>
      <c r="J1212" s="187">
        <v>40000</v>
      </c>
      <c r="K1212" s="30">
        <f t="shared" si="1216"/>
        <v>8000</v>
      </c>
      <c r="L1212" s="187">
        <v>40000</v>
      </c>
      <c r="M1212" s="110">
        <v>9.5</v>
      </c>
      <c r="N1212" s="9">
        <f>VLOOKUP(DATE(YEAR(A1212),MONTH(A1212),DAY(A1212)),FY24_Temp[],3,FALSE)</f>
        <v>14.5</v>
      </c>
      <c r="O1212" s="110">
        <f t="shared" si="1202"/>
        <v>11.5</v>
      </c>
      <c r="P1212" s="110">
        <f t="shared" si="1203"/>
        <v>19.5</v>
      </c>
      <c r="Q1212" s="79">
        <f>VLOOKUP(VLOOKUP(DATEVALUE(TEXT(A1212,"m/d/yyyy")),FY24_Temp[],5,FALSE)&amp;TEXT(A1212,"-h"),TempDelta[],4,FALSE)</f>
        <v>2.254857131413051</v>
      </c>
      <c r="R1212">
        <v>10</v>
      </c>
      <c r="S1212" s="112">
        <v>1500</v>
      </c>
      <c r="T1212" s="5">
        <f>VLOOKUP(TEXT(A1212,"yy-mm")&amp;"-"&amp;IF(AND(WEEKDAY(A1212)&gt;1,WEEKDAY(A1212)&lt;7),"Wkd",TEXT(A1212,"Ddd"))&amp;"-"&amp;TEXT(A1212,"hh"),LoadTable[],3,FALSE)*0.92</f>
        <v>338.44093501457735</v>
      </c>
      <c r="U1212" s="113">
        <f t="shared" si="1204"/>
        <v>33.844093501457735</v>
      </c>
      <c r="V1212">
        <f t="shared" ref="V1212:W1212" si="1266">V1188</f>
        <v>2.9</v>
      </c>
      <c r="W1212">
        <f t="shared" si="1266"/>
        <v>3</v>
      </c>
      <c r="X1212" s="9">
        <v>3.3662000000000001</v>
      </c>
      <c r="Y1212" s="39"/>
    </row>
    <row r="1213" spans="1:25" ht="15" thickBot="1">
      <c r="A1213" s="29">
        <f t="shared" si="1258"/>
        <v>45886.416666665711</v>
      </c>
      <c r="B1213" s="30">
        <f t="shared" si="1213"/>
        <v>8000</v>
      </c>
      <c r="C1213" s="8">
        <v>25000</v>
      </c>
      <c r="D1213" s="187">
        <v>0</v>
      </c>
      <c r="E1213" s="187">
        <v>700</v>
      </c>
      <c r="F1213" s="187">
        <v>15000</v>
      </c>
      <c r="G1213" s="30">
        <f t="shared" si="1214"/>
        <v>2400</v>
      </c>
      <c r="H1213" s="8">
        <v>25000</v>
      </c>
      <c r="I1213" s="30">
        <f t="shared" si="1215"/>
        <v>8000</v>
      </c>
      <c r="J1213" s="187">
        <v>40000</v>
      </c>
      <c r="K1213" s="30">
        <f t="shared" si="1216"/>
        <v>8000</v>
      </c>
      <c r="L1213" s="187">
        <v>40000</v>
      </c>
      <c r="M1213" s="110">
        <v>9.5</v>
      </c>
      <c r="N1213" s="9">
        <f>VLOOKUP(DATE(YEAR(A1213),MONTH(A1213),DAY(A1213)),FY24_Temp[],3,FALSE)</f>
        <v>14.5</v>
      </c>
      <c r="O1213" s="110">
        <f t="shared" si="1202"/>
        <v>11.5</v>
      </c>
      <c r="P1213" s="110">
        <f t="shared" si="1203"/>
        <v>19.5</v>
      </c>
      <c r="Q1213" s="79">
        <f>VLOOKUP(VLOOKUP(DATEVALUE(TEXT(A1213,"m/d/yyyy")),FY24_Temp[],5,FALSE)&amp;TEXT(A1213,"-h"),TempDelta[],4,FALSE)</f>
        <v>2.044999991144453</v>
      </c>
      <c r="R1213">
        <v>10</v>
      </c>
      <c r="S1213" s="112">
        <v>1500</v>
      </c>
      <c r="T1213" s="5">
        <f>VLOOKUP(TEXT(A1213,"yy-mm")&amp;"-"&amp;IF(AND(WEEKDAY(A1213)&gt;1,WEEKDAY(A1213)&lt;7),"Wkd",TEXT(A1213,"Ddd"))&amp;"-"&amp;TEXT(A1213,"hh"),LoadTable[],3,FALSE)*0.92</f>
        <v>338.44093501457741</v>
      </c>
      <c r="U1213" s="113">
        <f t="shared" si="1204"/>
        <v>33.844093501457742</v>
      </c>
      <c r="V1213">
        <f t="shared" ref="V1213:W1213" si="1267">V1189</f>
        <v>2.9</v>
      </c>
      <c r="W1213">
        <f t="shared" si="1267"/>
        <v>3</v>
      </c>
      <c r="X1213" s="9">
        <v>3.4190966999999999</v>
      </c>
      <c r="Y1213" s="39"/>
    </row>
    <row r="1214" spans="1:25" ht="15" thickBot="1">
      <c r="A1214" s="29">
        <f t="shared" si="1258"/>
        <v>45886.458333332375</v>
      </c>
      <c r="B1214" s="30">
        <f t="shared" si="1213"/>
        <v>8000</v>
      </c>
      <c r="C1214" s="8">
        <v>25000</v>
      </c>
      <c r="D1214" s="187">
        <v>0</v>
      </c>
      <c r="E1214" s="187">
        <v>700</v>
      </c>
      <c r="F1214" s="187">
        <v>15000</v>
      </c>
      <c r="G1214" s="30">
        <f t="shared" si="1214"/>
        <v>2400</v>
      </c>
      <c r="H1214" s="8">
        <v>25000</v>
      </c>
      <c r="I1214" s="30">
        <f t="shared" si="1215"/>
        <v>8000</v>
      </c>
      <c r="J1214" s="187">
        <v>40000</v>
      </c>
      <c r="K1214" s="30">
        <f t="shared" si="1216"/>
        <v>8000</v>
      </c>
      <c r="L1214" s="187">
        <v>40000</v>
      </c>
      <c r="M1214" s="110">
        <v>9.5</v>
      </c>
      <c r="N1214" s="9">
        <f>VLOOKUP(DATE(YEAR(A1214),MONTH(A1214),DAY(A1214)),FY24_Temp[],3,FALSE)</f>
        <v>14.5</v>
      </c>
      <c r="O1214" s="110">
        <f t="shared" si="1202"/>
        <v>11.5</v>
      </c>
      <c r="P1214" s="110">
        <f t="shared" si="1203"/>
        <v>19.5</v>
      </c>
      <c r="Q1214" s="79">
        <f>VLOOKUP(VLOOKUP(DATEVALUE(TEXT(A1214,"m/d/yyyy")),FY24_Temp[],5,FALSE)&amp;TEXT(A1214,"-h"),TempDelta[],4,FALSE)</f>
        <v>1.7985714163099016</v>
      </c>
      <c r="R1214">
        <v>10</v>
      </c>
      <c r="S1214" s="112">
        <v>1500</v>
      </c>
      <c r="T1214" s="5">
        <f>VLOOKUP(TEXT(A1214,"yy-mm")&amp;"-"&amp;IF(AND(WEEKDAY(A1214)&gt;1,WEEKDAY(A1214)&lt;7),"Wkd",TEXT(A1214,"Ddd"))&amp;"-"&amp;TEXT(A1214,"hh"),LoadTable[],3,FALSE)*0.92</f>
        <v>338.44093501457741</v>
      </c>
      <c r="U1214" s="113">
        <f t="shared" si="1204"/>
        <v>33.844093501457742</v>
      </c>
      <c r="V1214">
        <f t="shared" ref="V1214:W1214" si="1268">V1190</f>
        <v>3.4</v>
      </c>
      <c r="W1214">
        <f t="shared" si="1268"/>
        <v>3</v>
      </c>
      <c r="X1214" s="9">
        <v>3.3652639</v>
      </c>
      <c r="Y1214" s="39"/>
    </row>
    <row r="1215" spans="1:25" ht="15" thickBot="1">
      <c r="A1215" s="29">
        <f t="shared" si="1258"/>
        <v>45886.49999999904</v>
      </c>
      <c r="B1215" s="30">
        <f t="shared" si="1213"/>
        <v>8000</v>
      </c>
      <c r="C1215" s="8">
        <v>25000</v>
      </c>
      <c r="D1215" s="187">
        <v>0</v>
      </c>
      <c r="E1215" s="187">
        <v>700</v>
      </c>
      <c r="F1215" s="187">
        <v>15000</v>
      </c>
      <c r="G1215" s="30">
        <f t="shared" si="1214"/>
        <v>2400</v>
      </c>
      <c r="H1215" s="8">
        <v>25000</v>
      </c>
      <c r="I1215" s="30">
        <f t="shared" si="1215"/>
        <v>8000</v>
      </c>
      <c r="J1215" s="187">
        <v>40000</v>
      </c>
      <c r="K1215" s="30">
        <f t="shared" si="1216"/>
        <v>8000</v>
      </c>
      <c r="L1215" s="187">
        <v>40000</v>
      </c>
      <c r="M1215" s="110">
        <v>9.5</v>
      </c>
      <c r="N1215" s="9">
        <f>VLOOKUP(DATE(YEAR(A1215),MONTH(A1215),DAY(A1215)),FY24_Temp[],3,FALSE)</f>
        <v>14.5</v>
      </c>
      <c r="O1215" s="110">
        <f t="shared" si="1202"/>
        <v>11.5</v>
      </c>
      <c r="P1215" s="110">
        <f t="shared" si="1203"/>
        <v>19.5</v>
      </c>
      <c r="Q1215" s="79">
        <f>VLOOKUP(VLOOKUP(DATEVALUE(TEXT(A1215,"m/d/yyyy")),FY24_Temp[],5,FALSE)&amp;TEXT(A1215,"-h"),TempDelta[],4,FALSE)</f>
        <v>1.5495714289801461</v>
      </c>
      <c r="R1215">
        <v>10</v>
      </c>
      <c r="S1215" s="112">
        <v>1500</v>
      </c>
      <c r="T1215" s="5">
        <f>VLOOKUP(TEXT(A1215,"yy-mm")&amp;"-"&amp;IF(AND(WEEKDAY(A1215)&gt;1,WEEKDAY(A1215)&lt;7),"Wkd",TEXT(A1215,"Ddd"))&amp;"-"&amp;TEXT(A1215,"hh"),LoadTable[],3,FALSE)*0.92</f>
        <v>338.44093501457741</v>
      </c>
      <c r="U1215" s="113">
        <f t="shared" si="1204"/>
        <v>33.844093501457742</v>
      </c>
      <c r="V1215">
        <f t="shared" ref="V1215:W1215" si="1269">V1191</f>
        <v>3.1</v>
      </c>
      <c r="W1215">
        <f t="shared" si="1269"/>
        <v>2.9</v>
      </c>
      <c r="X1215" s="9">
        <v>3.2290022</v>
      </c>
      <c r="Y1215" s="39"/>
    </row>
    <row r="1216" spans="1:25" ht="15" thickBot="1">
      <c r="A1216" s="29">
        <f t="shared" si="1258"/>
        <v>45886.541666665704</v>
      </c>
      <c r="B1216" s="30">
        <f t="shared" si="1213"/>
        <v>8000</v>
      </c>
      <c r="C1216" s="8">
        <v>25000</v>
      </c>
      <c r="D1216" s="187">
        <v>0</v>
      </c>
      <c r="E1216" s="187">
        <v>700</v>
      </c>
      <c r="F1216" s="187">
        <v>15000</v>
      </c>
      <c r="G1216" s="30">
        <f t="shared" si="1214"/>
        <v>2400</v>
      </c>
      <c r="H1216" s="8">
        <v>25000</v>
      </c>
      <c r="I1216" s="30">
        <f t="shared" si="1215"/>
        <v>8000</v>
      </c>
      <c r="J1216" s="187">
        <v>40000</v>
      </c>
      <c r="K1216" s="30">
        <f t="shared" si="1216"/>
        <v>8000</v>
      </c>
      <c r="L1216" s="187">
        <v>40000</v>
      </c>
      <c r="M1216" s="110">
        <v>9.5</v>
      </c>
      <c r="N1216" s="9">
        <f>VLOOKUP(DATE(YEAR(A1216),MONTH(A1216),DAY(A1216)),FY24_Temp[],3,FALSE)</f>
        <v>14.5</v>
      </c>
      <c r="O1216" s="110">
        <f t="shared" si="1202"/>
        <v>11.5</v>
      </c>
      <c r="P1216" s="110">
        <f t="shared" si="1203"/>
        <v>19.5</v>
      </c>
      <c r="Q1216" s="79">
        <f>VLOOKUP(VLOOKUP(DATEVALUE(TEXT(A1216,"m/d/yyyy")),FY24_Temp[],5,FALSE)&amp;TEXT(A1216,"-h"),TempDelta[],4,FALSE)</f>
        <v>1.3002856969833374</v>
      </c>
      <c r="R1216">
        <v>10</v>
      </c>
      <c r="S1216" s="112">
        <v>1500</v>
      </c>
      <c r="T1216" s="5">
        <f>VLOOKUP(TEXT(A1216,"yy-mm")&amp;"-"&amp;IF(AND(WEEKDAY(A1216)&gt;1,WEEKDAY(A1216)&lt;7),"Wkd",TEXT(A1216,"Ddd"))&amp;"-"&amp;TEXT(A1216,"hh"),LoadTable[],3,FALSE)*0.92</f>
        <v>353.09232000000009</v>
      </c>
      <c r="U1216" s="113">
        <f t="shared" si="1204"/>
        <v>35.309232000000009</v>
      </c>
      <c r="V1216">
        <f t="shared" ref="V1216:W1216" si="1270">V1192</f>
        <v>3.2</v>
      </c>
      <c r="W1216">
        <f t="shared" si="1270"/>
        <v>2.9</v>
      </c>
      <c r="X1216" s="9">
        <v>3.0566325000000001</v>
      </c>
      <c r="Y1216" s="39"/>
    </row>
    <row r="1217" spans="1:25" ht="15" thickBot="1">
      <c r="A1217" s="29">
        <f t="shared" si="1258"/>
        <v>45886.583333332368</v>
      </c>
      <c r="B1217" s="30">
        <f t="shared" si="1213"/>
        <v>8000</v>
      </c>
      <c r="C1217" s="8">
        <v>25000</v>
      </c>
      <c r="D1217" s="187">
        <v>0</v>
      </c>
      <c r="E1217" s="187">
        <v>700</v>
      </c>
      <c r="F1217" s="187">
        <v>15000</v>
      </c>
      <c r="G1217" s="30">
        <f t="shared" si="1214"/>
        <v>2400</v>
      </c>
      <c r="H1217" s="8">
        <v>25000</v>
      </c>
      <c r="I1217" s="30">
        <f t="shared" si="1215"/>
        <v>8000</v>
      </c>
      <c r="J1217" s="187">
        <v>40000</v>
      </c>
      <c r="K1217" s="30">
        <f t="shared" si="1216"/>
        <v>8000</v>
      </c>
      <c r="L1217" s="187">
        <v>40000</v>
      </c>
      <c r="M1217" s="110">
        <v>9.5</v>
      </c>
      <c r="N1217" s="9">
        <f>VLOOKUP(DATE(YEAR(A1217),MONTH(A1217),DAY(A1217)),FY24_Temp[],3,FALSE)</f>
        <v>14.5</v>
      </c>
      <c r="O1217" s="110">
        <f t="shared" si="1202"/>
        <v>11.5</v>
      </c>
      <c r="P1217" s="110">
        <f t="shared" si="1203"/>
        <v>19.5</v>
      </c>
      <c r="Q1217" s="79">
        <f>VLOOKUP(VLOOKUP(DATEVALUE(TEXT(A1217,"m/d/yyyy")),FY24_Temp[],5,FALSE)&amp;TEXT(A1217,"-h"),TempDelta[],4,FALSE)</f>
        <v>1.065142844404493</v>
      </c>
      <c r="R1217">
        <v>10</v>
      </c>
      <c r="S1217" s="112">
        <v>1500</v>
      </c>
      <c r="T1217" s="5">
        <f>VLOOKUP(TEXT(A1217,"yy-mm")&amp;"-"&amp;IF(AND(WEEKDAY(A1217)&gt;1,WEEKDAY(A1217)&lt;7),"Wkd",TEXT(A1217,"Ddd"))&amp;"-"&amp;TEXT(A1217,"hh"),LoadTable[],3,FALSE)*0.92</f>
        <v>553.46715198762581</v>
      </c>
      <c r="U1217" s="113">
        <f t="shared" si="1204"/>
        <v>55.346715198762581</v>
      </c>
      <c r="V1217">
        <f t="shared" ref="V1217:W1217" si="1271">V1193</f>
        <v>3.5</v>
      </c>
      <c r="W1217">
        <f t="shared" si="1271"/>
        <v>2.9</v>
      </c>
      <c r="X1217" s="9">
        <v>3.0047432999999999</v>
      </c>
      <c r="Y1217" s="39"/>
    </row>
    <row r="1218" spans="1:25" ht="15" thickBot="1">
      <c r="A1218" s="29">
        <f t="shared" si="1258"/>
        <v>45886.624999999032</v>
      </c>
      <c r="B1218" s="30">
        <f t="shared" si="1213"/>
        <v>8000</v>
      </c>
      <c r="C1218" s="8">
        <v>25000</v>
      </c>
      <c r="D1218" s="187">
        <v>0</v>
      </c>
      <c r="E1218" s="187">
        <v>700</v>
      </c>
      <c r="F1218" s="187">
        <v>15000</v>
      </c>
      <c r="G1218" s="30">
        <f t="shared" si="1214"/>
        <v>2400</v>
      </c>
      <c r="H1218" s="8">
        <v>25000</v>
      </c>
      <c r="I1218" s="30">
        <f t="shared" si="1215"/>
        <v>8000</v>
      </c>
      <c r="J1218" s="187">
        <v>40000</v>
      </c>
      <c r="K1218" s="30">
        <f t="shared" si="1216"/>
        <v>8000</v>
      </c>
      <c r="L1218" s="187">
        <v>40000</v>
      </c>
      <c r="M1218" s="110">
        <v>9.5</v>
      </c>
      <c r="N1218" s="9">
        <f>VLOOKUP(DATE(YEAR(A1218),MONTH(A1218),DAY(A1218)),FY24_Temp[],3,FALSE)</f>
        <v>14.5</v>
      </c>
      <c r="O1218" s="110">
        <f t="shared" si="1202"/>
        <v>11.5</v>
      </c>
      <c r="P1218" s="110">
        <f t="shared" si="1203"/>
        <v>19.5</v>
      </c>
      <c r="Q1218" s="79">
        <f>VLOOKUP(VLOOKUP(DATEVALUE(TEXT(A1218,"m/d/yyyy")),FY24_Temp[],5,FALSE)&amp;TEXT(A1218,"-h"),TempDelta[],4,FALSE)</f>
        <v>0.74900000010217938</v>
      </c>
      <c r="R1218">
        <v>10</v>
      </c>
      <c r="S1218" s="112">
        <v>1500</v>
      </c>
      <c r="T1218" s="5">
        <f>VLOOKUP(TEXT(A1218,"yy-mm")&amp;"-"&amp;IF(AND(WEEKDAY(A1218)&gt;1,WEEKDAY(A1218)&lt;7),"Wkd",TEXT(A1218,"Ddd"))&amp;"-"&amp;TEXT(A1218,"hh"),LoadTable[],3,FALSE)*0.92</f>
        <v>645.42416000000014</v>
      </c>
      <c r="U1218" s="113">
        <f t="shared" si="1204"/>
        <v>64.542416000000017</v>
      </c>
      <c r="V1218">
        <f t="shared" ref="V1218:W1218" si="1272">V1194</f>
        <v>3.2</v>
      </c>
      <c r="W1218">
        <f t="shared" si="1272"/>
        <v>2.9</v>
      </c>
      <c r="X1218" s="9">
        <v>3.3104586999999999</v>
      </c>
      <c r="Y1218" s="39"/>
    </row>
    <row r="1219" spans="1:25" ht="15" thickBot="1">
      <c r="A1219" s="29">
        <f t="shared" si="1258"/>
        <v>45886.666666665697</v>
      </c>
      <c r="B1219" s="30">
        <f t="shared" si="1213"/>
        <v>8000</v>
      </c>
      <c r="C1219" s="8">
        <v>25000</v>
      </c>
      <c r="D1219" s="187">
        <v>0</v>
      </c>
      <c r="E1219" s="187">
        <v>700</v>
      </c>
      <c r="F1219" s="187">
        <v>15000</v>
      </c>
      <c r="G1219" s="30">
        <f t="shared" si="1214"/>
        <v>2400</v>
      </c>
      <c r="H1219" s="8">
        <v>25000</v>
      </c>
      <c r="I1219" s="30">
        <f t="shared" si="1215"/>
        <v>8000</v>
      </c>
      <c r="J1219" s="187">
        <v>40000</v>
      </c>
      <c r="K1219" s="30">
        <f t="shared" si="1216"/>
        <v>8000</v>
      </c>
      <c r="L1219" s="187">
        <v>40000</v>
      </c>
      <c r="M1219" s="110">
        <v>9.5</v>
      </c>
      <c r="N1219" s="9">
        <f>VLOOKUP(DATE(YEAR(A1219),MONTH(A1219),DAY(A1219)),FY24_Temp[],3,FALSE)</f>
        <v>14.5</v>
      </c>
      <c r="O1219" s="110">
        <f t="shared" si="1202"/>
        <v>11.5</v>
      </c>
      <c r="P1219" s="110">
        <f t="shared" si="1203"/>
        <v>19.5</v>
      </c>
      <c r="Q1219" s="79">
        <f>VLOOKUP(VLOOKUP(DATEVALUE(TEXT(A1219,"m/d/yyyy")),FY24_Temp[],5,FALSE)&amp;TEXT(A1219,"-h"),TempDelta[],4,FALSE)</f>
        <v>0.60964286114488331</v>
      </c>
      <c r="R1219">
        <v>10</v>
      </c>
      <c r="S1219" s="112">
        <v>1500</v>
      </c>
      <c r="T1219" s="5">
        <f>VLOOKUP(TEXT(A1219,"yy-mm")&amp;"-"&amp;IF(AND(WEEKDAY(A1219)&gt;1,WEEKDAY(A1219)&lt;7),"Wkd",TEXT(A1219,"Ddd"))&amp;"-"&amp;TEXT(A1219,"hh"),LoadTable[],3,FALSE)*0.92</f>
        <v>786.27137399656624</v>
      </c>
      <c r="U1219" s="113">
        <f t="shared" si="1204"/>
        <v>78.627137399656618</v>
      </c>
      <c r="V1219">
        <f t="shared" ref="V1219:W1219" si="1273">V1195</f>
        <v>3.5</v>
      </c>
      <c r="W1219">
        <f t="shared" si="1273"/>
        <v>3</v>
      </c>
      <c r="X1219" s="9">
        <v>3.2360806000000002</v>
      </c>
      <c r="Y1219" s="39"/>
    </row>
    <row r="1220" spans="1:25" ht="15" thickBot="1">
      <c r="A1220" s="29">
        <f t="shared" si="1258"/>
        <v>45886.708333332361</v>
      </c>
      <c r="B1220" s="30">
        <f t="shared" si="1213"/>
        <v>8000</v>
      </c>
      <c r="C1220" s="8">
        <v>25000</v>
      </c>
      <c r="D1220" s="187">
        <v>0</v>
      </c>
      <c r="E1220" s="187">
        <v>700</v>
      </c>
      <c r="F1220" s="187">
        <v>15000</v>
      </c>
      <c r="G1220" s="30">
        <f t="shared" si="1214"/>
        <v>2400</v>
      </c>
      <c r="H1220" s="8">
        <v>25000</v>
      </c>
      <c r="I1220" s="30">
        <f t="shared" si="1215"/>
        <v>8000</v>
      </c>
      <c r="J1220" s="187">
        <v>40000</v>
      </c>
      <c r="K1220" s="30">
        <f t="shared" si="1216"/>
        <v>8000</v>
      </c>
      <c r="L1220" s="187">
        <v>40000</v>
      </c>
      <c r="M1220" s="110">
        <v>9.5</v>
      </c>
      <c r="N1220" s="9">
        <f>VLOOKUP(DATE(YEAR(A1220),MONTH(A1220),DAY(A1220)),FY24_Temp[],3,FALSE)</f>
        <v>14.5</v>
      </c>
      <c r="O1220" s="110">
        <f t="shared" ref="O1220:O1283" si="1274">15.5-4</f>
        <v>11.5</v>
      </c>
      <c r="P1220" s="110">
        <f t="shared" ref="P1220:P1283" si="1275">15.5+4</f>
        <v>19.5</v>
      </c>
      <c r="Q1220" s="79">
        <f>VLOOKUP(VLOOKUP(DATEVALUE(TEXT(A1220,"m/d/yyyy")),FY24_Temp[],5,FALSE)&amp;TEXT(A1220,"-h"),TempDelta[],4,FALSE)</f>
        <v>0.63592857335294994</v>
      </c>
      <c r="R1220">
        <v>10</v>
      </c>
      <c r="S1220" s="112">
        <v>1500</v>
      </c>
      <c r="T1220" s="5">
        <f>VLOOKUP(TEXT(A1220,"yy-mm")&amp;"-"&amp;IF(AND(WEEKDAY(A1220)&gt;1,WEEKDAY(A1220)&lt;7),"Wkd",TEXT(A1220,"Ddd"))&amp;"-"&amp;TEXT(A1220,"hh"),LoadTable[],3,FALSE)*0.92</f>
        <v>786.27137399656624</v>
      </c>
      <c r="U1220" s="113">
        <f t="shared" ref="U1220:U1283" si="1276">T1220/10</f>
        <v>78.627137399656618</v>
      </c>
      <c r="V1220">
        <f t="shared" ref="V1220:W1220" si="1277">V1196</f>
        <v>3.6</v>
      </c>
      <c r="W1220">
        <f t="shared" si="1277"/>
        <v>3</v>
      </c>
      <c r="X1220" s="9">
        <v>3.1497853</v>
      </c>
      <c r="Y1220" s="39"/>
    </row>
    <row r="1221" spans="1:25" ht="15" thickBot="1">
      <c r="A1221" s="29">
        <f t="shared" si="1258"/>
        <v>45886.749999999025</v>
      </c>
      <c r="B1221" s="30">
        <f t="shared" si="1213"/>
        <v>5000</v>
      </c>
      <c r="C1221" s="8">
        <v>25000</v>
      </c>
      <c r="D1221" s="187">
        <v>0</v>
      </c>
      <c r="E1221" s="187">
        <v>700</v>
      </c>
      <c r="F1221" s="187">
        <v>15000</v>
      </c>
      <c r="G1221" s="30">
        <f t="shared" si="1214"/>
        <v>2400</v>
      </c>
      <c r="H1221" s="8">
        <v>25000</v>
      </c>
      <c r="I1221" s="30">
        <f t="shared" si="1215"/>
        <v>5000</v>
      </c>
      <c r="J1221" s="187">
        <v>40000</v>
      </c>
      <c r="K1221" s="30">
        <f t="shared" si="1216"/>
        <v>5000</v>
      </c>
      <c r="L1221" s="187">
        <v>40000</v>
      </c>
      <c r="M1221" s="110">
        <v>9.5</v>
      </c>
      <c r="N1221" s="9">
        <f>VLOOKUP(DATE(YEAR(A1221),MONTH(A1221),DAY(A1221)),FY24_Temp[],3,FALSE)</f>
        <v>14.5</v>
      </c>
      <c r="O1221" s="110">
        <f t="shared" si="1274"/>
        <v>11.5</v>
      </c>
      <c r="P1221" s="110">
        <f t="shared" si="1275"/>
        <v>19.5</v>
      </c>
      <c r="Q1221" s="79">
        <f>VLOOKUP(VLOOKUP(DATEVALUE(TEXT(A1221,"m/d/yyyy")),FY24_Temp[],5,FALSE)&amp;TEXT(A1221,"-h"),TempDelta[],4,FALSE)</f>
        <v>0.84400000316756107</v>
      </c>
      <c r="R1221">
        <v>10</v>
      </c>
      <c r="S1221" s="112">
        <v>1500</v>
      </c>
      <c r="T1221" s="5">
        <f>VLOOKUP(TEXT(A1221,"yy-mm")&amp;"-"&amp;IF(AND(WEEKDAY(A1221)&gt;1,WEEKDAY(A1221)&lt;7),"Wkd",TEXT(A1221,"Ddd"))&amp;"-"&amp;TEXT(A1221,"hh"),LoadTable[],3,FALSE)*0.92</f>
        <v>786.27137399656647</v>
      </c>
      <c r="U1221" s="113">
        <f t="shared" si="1276"/>
        <v>78.627137399656647</v>
      </c>
      <c r="V1221">
        <f t="shared" ref="V1221:W1221" si="1278">V1197</f>
        <v>2.9</v>
      </c>
      <c r="W1221">
        <f t="shared" si="1278"/>
        <v>3</v>
      </c>
      <c r="X1221" s="9">
        <v>3.1255590999999998</v>
      </c>
      <c r="Y1221" s="39"/>
    </row>
    <row r="1222" spans="1:25" ht="15" thickBot="1">
      <c r="A1222" s="29">
        <f t="shared" si="1258"/>
        <v>45886.791666665689</v>
      </c>
      <c r="B1222" s="30">
        <f t="shared" si="1213"/>
        <v>5000</v>
      </c>
      <c r="C1222" s="8">
        <v>25000</v>
      </c>
      <c r="D1222" s="187">
        <v>0</v>
      </c>
      <c r="E1222" s="187">
        <v>700</v>
      </c>
      <c r="F1222" s="187">
        <v>15000</v>
      </c>
      <c r="G1222" s="30">
        <f t="shared" si="1214"/>
        <v>2400</v>
      </c>
      <c r="H1222" s="8">
        <v>25000</v>
      </c>
      <c r="I1222" s="30">
        <f t="shared" si="1215"/>
        <v>5000</v>
      </c>
      <c r="J1222" s="187">
        <v>40000</v>
      </c>
      <c r="K1222" s="30">
        <f t="shared" si="1216"/>
        <v>5000</v>
      </c>
      <c r="L1222" s="187">
        <v>40000</v>
      </c>
      <c r="M1222" s="110">
        <v>9.5</v>
      </c>
      <c r="N1222" s="9">
        <f>VLOOKUP(DATE(YEAR(A1222),MONTH(A1222),DAY(A1222)),FY24_Temp[],3,FALSE)</f>
        <v>14.5</v>
      </c>
      <c r="O1222" s="110">
        <f t="shared" si="1274"/>
        <v>11.5</v>
      </c>
      <c r="P1222" s="110">
        <f t="shared" si="1275"/>
        <v>19.5</v>
      </c>
      <c r="Q1222" s="79">
        <f>VLOOKUP(VLOOKUP(DATEVALUE(TEXT(A1222,"m/d/yyyy")),FY24_Temp[],5,FALSE)&amp;TEXT(A1222,"-h"),TempDelta[],4,FALSE)</f>
        <v>1.1514999994209834</v>
      </c>
      <c r="R1222">
        <v>10</v>
      </c>
      <c r="S1222" s="112">
        <v>1500</v>
      </c>
      <c r="T1222" s="5">
        <f>VLOOKUP(TEXT(A1222,"yy-mm")&amp;"-"&amp;IF(AND(WEEKDAY(A1222)&gt;1,WEEKDAY(A1222)&lt;7),"Wkd",TEXT(A1222,"Ddd"))&amp;"-"&amp;TEXT(A1222,"hh"),LoadTable[],3,FALSE)*0.92</f>
        <v>786.27137399656624</v>
      </c>
      <c r="U1222" s="113">
        <f t="shared" si="1276"/>
        <v>78.627137399656618</v>
      </c>
      <c r="V1222">
        <f t="shared" ref="V1222:W1222" si="1279">V1198</f>
        <v>3</v>
      </c>
      <c r="W1222">
        <f t="shared" si="1279"/>
        <v>3</v>
      </c>
      <c r="X1222" s="9">
        <v>3.0902758000000001</v>
      </c>
      <c r="Y1222" s="39"/>
    </row>
    <row r="1223" spans="1:25" ht="15" thickBot="1">
      <c r="A1223" s="29">
        <f t="shared" si="1258"/>
        <v>45886.833333332354</v>
      </c>
      <c r="B1223" s="30">
        <f t="shared" si="1213"/>
        <v>5000</v>
      </c>
      <c r="C1223" s="8">
        <v>25000</v>
      </c>
      <c r="D1223" s="187">
        <v>0</v>
      </c>
      <c r="E1223" s="187">
        <v>700</v>
      </c>
      <c r="F1223" s="187">
        <v>15000</v>
      </c>
      <c r="G1223" s="30">
        <f t="shared" si="1214"/>
        <v>2400</v>
      </c>
      <c r="H1223" s="8">
        <v>25000</v>
      </c>
      <c r="I1223" s="30">
        <f t="shared" si="1215"/>
        <v>5000</v>
      </c>
      <c r="J1223" s="187">
        <v>40000</v>
      </c>
      <c r="K1223" s="30">
        <f t="shared" si="1216"/>
        <v>5000</v>
      </c>
      <c r="L1223" s="187">
        <v>40000</v>
      </c>
      <c r="M1223" s="110">
        <v>9.5</v>
      </c>
      <c r="N1223" s="9">
        <f>VLOOKUP(DATE(YEAR(A1223),MONTH(A1223),DAY(A1223)),FY24_Temp[],3,FALSE)</f>
        <v>14.5</v>
      </c>
      <c r="O1223" s="110">
        <f t="shared" si="1274"/>
        <v>11.5</v>
      </c>
      <c r="P1223" s="110">
        <f t="shared" si="1275"/>
        <v>19.5</v>
      </c>
      <c r="Q1223" s="79">
        <f>VLOOKUP(VLOOKUP(DATEVALUE(TEXT(A1223,"m/d/yyyy")),FY24_Temp[],5,FALSE)&amp;TEXT(A1223,"-h"),TempDelta[],4,FALSE)</f>
        <v>1.5629285573959351</v>
      </c>
      <c r="R1223">
        <v>10</v>
      </c>
      <c r="S1223" s="112">
        <v>1500</v>
      </c>
      <c r="T1223" s="5">
        <f>VLOOKUP(TEXT(A1223,"yy-mm")&amp;"-"&amp;IF(AND(WEEKDAY(A1223)&gt;1,WEEKDAY(A1223)&lt;7),"Wkd",TEXT(A1223,"Ddd"))&amp;"-"&amp;TEXT(A1223,"hh"),LoadTable[],3,FALSE)*0.92</f>
        <v>786.27137399656647</v>
      </c>
      <c r="U1223" s="113">
        <f t="shared" si="1276"/>
        <v>78.627137399656647</v>
      </c>
      <c r="V1223">
        <f t="shared" ref="V1223:W1223" si="1280">V1199</f>
        <v>2.8</v>
      </c>
      <c r="W1223">
        <f t="shared" si="1280"/>
        <v>3.1</v>
      </c>
      <c r="X1223" s="9">
        <v>3.0518586999999999</v>
      </c>
      <c r="Y1223" s="39"/>
    </row>
    <row r="1224" spans="1:25" ht="15" thickBot="1">
      <c r="A1224" s="29">
        <f t="shared" si="1258"/>
        <v>45886.874999999018</v>
      </c>
      <c r="B1224" s="30">
        <f t="shared" si="1213"/>
        <v>5000</v>
      </c>
      <c r="C1224" s="8">
        <v>25000</v>
      </c>
      <c r="D1224" s="187">
        <v>0</v>
      </c>
      <c r="E1224" s="187">
        <v>700</v>
      </c>
      <c r="F1224" s="187">
        <v>15000</v>
      </c>
      <c r="G1224" s="30">
        <f t="shared" si="1214"/>
        <v>2400</v>
      </c>
      <c r="H1224" s="8">
        <v>25000</v>
      </c>
      <c r="I1224" s="30">
        <f t="shared" si="1215"/>
        <v>5000</v>
      </c>
      <c r="J1224" s="187">
        <v>40000</v>
      </c>
      <c r="K1224" s="30">
        <f t="shared" si="1216"/>
        <v>5000</v>
      </c>
      <c r="L1224" s="187">
        <v>40000</v>
      </c>
      <c r="M1224" s="110">
        <v>9.5</v>
      </c>
      <c r="N1224" s="9">
        <f>VLOOKUP(DATE(YEAR(A1224),MONTH(A1224),DAY(A1224)),FY24_Temp[],3,FALSE)</f>
        <v>14.5</v>
      </c>
      <c r="O1224" s="110">
        <f t="shared" si="1274"/>
        <v>11.5</v>
      </c>
      <c r="P1224" s="110">
        <f t="shared" si="1275"/>
        <v>19.5</v>
      </c>
      <c r="Q1224" s="79">
        <f>VLOOKUP(VLOOKUP(DATEVALUE(TEXT(A1224,"m/d/yyyy")),FY24_Temp[],5,FALSE)&amp;TEXT(A1224,"-h"),TempDelta[],4,FALSE)</f>
        <v>1.8850000074931554</v>
      </c>
      <c r="R1224">
        <v>10</v>
      </c>
      <c r="S1224" s="112">
        <v>1500</v>
      </c>
      <c r="T1224" s="5">
        <f>VLOOKUP(TEXT(A1224,"yy-mm")&amp;"-"&amp;IF(AND(WEEKDAY(A1224)&gt;1,WEEKDAY(A1224)&lt;7),"Wkd",TEXT(A1224,"Ddd"))&amp;"-"&amp;TEXT(A1224,"hh"),LoadTable[],3,FALSE)*0.92</f>
        <v>659.17515115813114</v>
      </c>
      <c r="U1224" s="113">
        <f t="shared" si="1276"/>
        <v>65.917515115813117</v>
      </c>
      <c r="V1224">
        <f t="shared" ref="V1224:W1224" si="1281">V1200</f>
        <v>3.5</v>
      </c>
      <c r="W1224">
        <f t="shared" si="1281"/>
        <v>3.1</v>
      </c>
      <c r="X1224" s="9">
        <v>3.0212998</v>
      </c>
      <c r="Y1224" s="39"/>
    </row>
    <row r="1225" spans="1:25" ht="15" thickBot="1">
      <c r="A1225" s="29">
        <f t="shared" si="1258"/>
        <v>45886.916666665682</v>
      </c>
      <c r="B1225" s="30">
        <f t="shared" si="1213"/>
        <v>5000</v>
      </c>
      <c r="C1225" s="8">
        <v>25000</v>
      </c>
      <c r="D1225" s="187">
        <v>0</v>
      </c>
      <c r="E1225" s="187">
        <v>700</v>
      </c>
      <c r="F1225" s="187">
        <v>15000</v>
      </c>
      <c r="G1225" s="30">
        <f t="shared" si="1214"/>
        <v>2400</v>
      </c>
      <c r="H1225" s="8">
        <v>25000</v>
      </c>
      <c r="I1225" s="30">
        <f t="shared" si="1215"/>
        <v>5000</v>
      </c>
      <c r="J1225" s="187">
        <v>40000</v>
      </c>
      <c r="K1225" s="30">
        <f t="shared" si="1216"/>
        <v>5000</v>
      </c>
      <c r="L1225" s="187">
        <v>40000</v>
      </c>
      <c r="M1225" s="110">
        <v>9.5</v>
      </c>
      <c r="N1225" s="9">
        <f>VLOOKUP(DATE(YEAR(A1225),MONTH(A1225),DAY(A1225)),FY24_Temp[],3,FALSE)</f>
        <v>14.5</v>
      </c>
      <c r="O1225" s="110">
        <f t="shared" si="1274"/>
        <v>11.5</v>
      </c>
      <c r="P1225" s="110">
        <f t="shared" si="1275"/>
        <v>19.5</v>
      </c>
      <c r="Q1225" s="79">
        <f>VLOOKUP(VLOOKUP(DATEVALUE(TEXT(A1225,"m/d/yyyy")),FY24_Temp[],5,FALSE)&amp;TEXT(A1225,"-h"),TempDelta[],4,FALSE)</f>
        <v>2.1824284962245395</v>
      </c>
      <c r="R1225">
        <v>10</v>
      </c>
      <c r="S1225" s="112">
        <v>1500</v>
      </c>
      <c r="T1225" s="5">
        <f>VLOOKUP(TEXT(A1225,"yy-mm")&amp;"-"&amp;IF(AND(WEEKDAY(A1225)&gt;1,WEEKDAY(A1225)&lt;7),"Wkd",TEXT(A1225,"Ddd"))&amp;"-"&amp;TEXT(A1225,"hh"),LoadTable[],3,FALSE)*0.92</f>
        <v>598.79212957269056</v>
      </c>
      <c r="U1225" s="113">
        <f t="shared" si="1276"/>
        <v>59.879212957269054</v>
      </c>
      <c r="V1225">
        <f t="shared" ref="V1225:W1225" si="1282">V1201</f>
        <v>2.9</v>
      </c>
      <c r="W1225">
        <f t="shared" si="1282"/>
        <v>3.1</v>
      </c>
      <c r="X1225" s="9">
        <v>2.989697</v>
      </c>
      <c r="Y1225" s="39"/>
    </row>
    <row r="1226" spans="1:25" ht="15" thickBot="1">
      <c r="A1226" s="29">
        <f t="shared" si="1258"/>
        <v>45886.958333332346</v>
      </c>
      <c r="B1226" s="30">
        <f t="shared" si="1213"/>
        <v>5000</v>
      </c>
      <c r="C1226" s="8">
        <v>25000</v>
      </c>
      <c r="D1226" s="187">
        <v>0</v>
      </c>
      <c r="E1226" s="187">
        <v>700</v>
      </c>
      <c r="F1226" s="187">
        <v>15000</v>
      </c>
      <c r="G1226" s="30">
        <f t="shared" si="1214"/>
        <v>2400</v>
      </c>
      <c r="H1226" s="8">
        <v>25000</v>
      </c>
      <c r="I1226" s="30">
        <f t="shared" si="1215"/>
        <v>5000</v>
      </c>
      <c r="J1226" s="187">
        <v>40000</v>
      </c>
      <c r="K1226" s="30">
        <f t="shared" si="1216"/>
        <v>5000</v>
      </c>
      <c r="L1226" s="187">
        <v>40000</v>
      </c>
      <c r="M1226" s="110">
        <v>9.5</v>
      </c>
      <c r="N1226" s="9">
        <f>VLOOKUP(DATE(YEAR(A1226),MONTH(A1226),DAY(A1226)),FY24_Temp[],3,FALSE)</f>
        <v>14.5</v>
      </c>
      <c r="O1226" s="110">
        <f t="shared" si="1274"/>
        <v>11.5</v>
      </c>
      <c r="P1226" s="110">
        <f t="shared" si="1275"/>
        <v>19.5</v>
      </c>
      <c r="Q1226" s="79">
        <f>VLOOKUP(VLOOKUP(DATEVALUE(TEXT(A1226,"m/d/yyyy")),FY24_Temp[],5,FALSE)&amp;TEXT(A1226,"-h"),TempDelta[],4,FALSE)</f>
        <v>2.3112857682364329</v>
      </c>
      <c r="R1226">
        <v>10</v>
      </c>
      <c r="S1226" s="112">
        <v>1500</v>
      </c>
      <c r="T1226" s="5">
        <f>VLOOKUP(TEXT(A1226,"yy-mm")&amp;"-"&amp;IF(AND(WEEKDAY(A1226)&gt;1,WEEKDAY(A1226)&lt;7),"Wkd",TEXT(A1226,"Ddd"))&amp;"-"&amp;TEXT(A1226,"hh"),LoadTable[],3,FALSE)*0.92</f>
        <v>457.15168</v>
      </c>
      <c r="U1226" s="113">
        <f t="shared" si="1276"/>
        <v>45.715167999999998</v>
      </c>
      <c r="V1226">
        <f t="shared" ref="V1226:W1226" si="1283">V1202</f>
        <v>3.6</v>
      </c>
      <c r="W1226">
        <f t="shared" si="1283"/>
        <v>3.1</v>
      </c>
      <c r="X1226" s="9">
        <v>2.8955831999999999</v>
      </c>
      <c r="Y1226" s="39"/>
    </row>
    <row r="1227" spans="1:25" ht="15" thickBot="1">
      <c r="A1227" s="29">
        <f t="shared" si="1258"/>
        <v>45886.99999999901</v>
      </c>
      <c r="B1227" s="30">
        <f t="shared" si="1213"/>
        <v>5000</v>
      </c>
      <c r="C1227" s="8">
        <v>25000</v>
      </c>
      <c r="D1227" s="187">
        <v>0</v>
      </c>
      <c r="E1227" s="187">
        <v>700</v>
      </c>
      <c r="F1227" s="187">
        <v>15000</v>
      </c>
      <c r="G1227" s="30">
        <f t="shared" si="1214"/>
        <v>2400</v>
      </c>
      <c r="H1227" s="8">
        <v>25000</v>
      </c>
      <c r="I1227" s="30">
        <f t="shared" si="1215"/>
        <v>5000</v>
      </c>
      <c r="J1227" s="187">
        <v>40000</v>
      </c>
      <c r="K1227" s="30">
        <f t="shared" si="1216"/>
        <v>5000</v>
      </c>
      <c r="L1227" s="187">
        <v>40000</v>
      </c>
      <c r="M1227" s="110">
        <v>9.5</v>
      </c>
      <c r="N1227" s="9">
        <f>VLOOKUP(DATE(YEAR(A1227),MONTH(A1227),DAY(A1227)),FY24_Temp[],3,FALSE)</f>
        <v>14.5</v>
      </c>
      <c r="O1227" s="110">
        <f t="shared" si="1274"/>
        <v>11.5</v>
      </c>
      <c r="P1227" s="110">
        <f t="shared" si="1275"/>
        <v>19.5</v>
      </c>
      <c r="Q1227" s="79">
        <f>VLOOKUP(VLOOKUP(DATEVALUE(TEXT(A1227,"m/d/yyyy")),FY24_Temp[],5,FALSE)&amp;TEXT(A1227,"-h"),TempDelta[],4,FALSE)</f>
        <v>2.4531428813934326</v>
      </c>
      <c r="R1227">
        <v>10</v>
      </c>
      <c r="S1227" s="112">
        <v>1500</v>
      </c>
      <c r="T1227" s="5">
        <f>VLOOKUP(TEXT(A1227,"yy-mm")&amp;"-"&amp;IF(AND(WEEKDAY(A1227)&gt;1,WEEKDAY(A1227)&lt;7),"Wkd",TEXT(A1227,"Ddd"))&amp;"-"&amp;TEXT(A1227,"hh"),LoadTable[],3,FALSE)*0.92</f>
        <v>372.20164</v>
      </c>
      <c r="U1227" s="113">
        <f t="shared" si="1276"/>
        <v>37.220163999999997</v>
      </c>
      <c r="V1227">
        <f t="shared" ref="V1227:W1227" si="1284">V1203</f>
        <v>3</v>
      </c>
      <c r="W1227">
        <f t="shared" si="1284"/>
        <v>3.2</v>
      </c>
      <c r="X1227" s="9">
        <v>2.8014898000000001</v>
      </c>
      <c r="Y1227" s="39"/>
    </row>
    <row r="1228" spans="1:25" ht="15" thickBot="1">
      <c r="A1228" s="29">
        <f t="shared" si="1258"/>
        <v>45887.041666665675</v>
      </c>
      <c r="B1228" s="30">
        <f t="shared" ref="B1228:B1291" si="1285">B1204</f>
        <v>5000</v>
      </c>
      <c r="C1228" s="8">
        <v>25000</v>
      </c>
      <c r="D1228" s="187">
        <v>0</v>
      </c>
      <c r="E1228" s="187">
        <v>700</v>
      </c>
      <c r="F1228" s="187">
        <v>15000</v>
      </c>
      <c r="G1228" s="30">
        <f t="shared" ref="G1228:G1291" si="1286">G1204</f>
        <v>2400</v>
      </c>
      <c r="H1228" s="8">
        <v>25000</v>
      </c>
      <c r="I1228" s="30">
        <f t="shared" ref="I1228:I1291" si="1287">I1204</f>
        <v>5000</v>
      </c>
      <c r="J1228" s="187">
        <v>40000</v>
      </c>
      <c r="K1228" s="30">
        <f t="shared" ref="K1228:K1291" si="1288">K1204</f>
        <v>5000</v>
      </c>
      <c r="L1228" s="187">
        <v>40000</v>
      </c>
      <c r="M1228" s="110">
        <v>9.5</v>
      </c>
      <c r="N1228" s="9">
        <f>VLOOKUP(DATE(YEAR(A1228),MONTH(A1228),DAY(A1228)),FY24_Temp[],3,FALSE)</f>
        <v>14.5</v>
      </c>
      <c r="O1228" s="110">
        <f t="shared" si="1274"/>
        <v>11.5</v>
      </c>
      <c r="P1228" s="110">
        <f t="shared" si="1275"/>
        <v>19.5</v>
      </c>
      <c r="Q1228" s="79">
        <f>VLOOKUP(VLOOKUP(DATEVALUE(TEXT(A1228,"m/d/yyyy")),FY24_Temp[],5,FALSE)&amp;TEXT(A1228,"-h"),TempDelta[],4,FALSE)</f>
        <v>2.5072856971195767</v>
      </c>
      <c r="R1228">
        <v>10</v>
      </c>
      <c r="S1228" s="112">
        <v>1500</v>
      </c>
      <c r="T1228" s="5">
        <f>VLOOKUP(TEXT(A1228,"yy-mm")&amp;"-"&amp;IF(AND(WEEKDAY(A1228)&gt;1,WEEKDAY(A1228)&lt;7),"Wkd",TEXT(A1228,"Ddd"))&amp;"-"&amp;TEXT(A1228,"hh"),LoadTable[],3,FALSE)*0.92</f>
        <v>363.06235999999996</v>
      </c>
      <c r="U1228" s="113">
        <f t="shared" si="1276"/>
        <v>36.306235999999998</v>
      </c>
      <c r="V1228">
        <f t="shared" ref="V1228:W1228" si="1289">V1204</f>
        <v>2.6</v>
      </c>
      <c r="W1228">
        <f t="shared" si="1289"/>
        <v>3.2</v>
      </c>
      <c r="X1228" s="9">
        <v>2.7269306000000002</v>
      </c>
      <c r="Y1228" s="39"/>
    </row>
    <row r="1229" spans="1:25" ht="15" thickBot="1">
      <c r="A1229" s="29">
        <f t="shared" si="1258"/>
        <v>45887.083333332339</v>
      </c>
      <c r="B1229" s="30">
        <f t="shared" si="1285"/>
        <v>5000</v>
      </c>
      <c r="C1229" s="8">
        <v>25000</v>
      </c>
      <c r="D1229" s="187">
        <v>0</v>
      </c>
      <c r="E1229" s="187">
        <v>700</v>
      </c>
      <c r="F1229" s="187">
        <v>15000</v>
      </c>
      <c r="G1229" s="30">
        <f t="shared" si="1286"/>
        <v>2400</v>
      </c>
      <c r="H1229" s="8">
        <v>25000</v>
      </c>
      <c r="I1229" s="30">
        <f t="shared" si="1287"/>
        <v>5000</v>
      </c>
      <c r="J1229" s="187">
        <v>40000</v>
      </c>
      <c r="K1229" s="30">
        <f t="shared" si="1288"/>
        <v>5000</v>
      </c>
      <c r="L1229" s="187">
        <v>40000</v>
      </c>
      <c r="M1229" s="110">
        <v>9.5</v>
      </c>
      <c r="N1229" s="9">
        <f>VLOOKUP(DATE(YEAR(A1229),MONTH(A1229),DAY(A1229)),FY24_Temp[],3,FALSE)</f>
        <v>14.5</v>
      </c>
      <c r="O1229" s="110">
        <f t="shared" si="1274"/>
        <v>11.5</v>
      </c>
      <c r="P1229" s="110">
        <f t="shared" si="1275"/>
        <v>19.5</v>
      </c>
      <c r="Q1229" s="79">
        <f>VLOOKUP(VLOOKUP(DATEVALUE(TEXT(A1229,"m/d/yyyy")),FY24_Temp[],5,FALSE)&amp;TEXT(A1229,"-h"),TempDelta[],4,FALSE)</f>
        <v>2.5261428356170654</v>
      </c>
      <c r="R1229">
        <v>10</v>
      </c>
      <c r="S1229" s="112">
        <v>1500</v>
      </c>
      <c r="T1229" s="5">
        <f>VLOOKUP(TEXT(A1229,"yy-mm")&amp;"-"&amp;IF(AND(WEEKDAY(A1229)&gt;1,WEEKDAY(A1229)&lt;7),"Wkd",TEXT(A1229,"Ddd"))&amp;"-"&amp;TEXT(A1229,"hh"),LoadTable[],3,FALSE)*0.92</f>
        <v>363.06235999999996</v>
      </c>
      <c r="U1229" s="113">
        <f t="shared" si="1276"/>
        <v>36.306235999999998</v>
      </c>
      <c r="V1229">
        <f t="shared" ref="V1229:W1229" si="1290">V1205</f>
        <v>2.8</v>
      </c>
      <c r="W1229">
        <f t="shared" si="1290"/>
        <v>3.2</v>
      </c>
      <c r="X1229" s="9">
        <v>2.8019254</v>
      </c>
      <c r="Y1229" s="39"/>
    </row>
    <row r="1230" spans="1:25" ht="15" thickBot="1">
      <c r="A1230" s="29">
        <f t="shared" si="1258"/>
        <v>45887.124999999003</v>
      </c>
      <c r="B1230" s="30">
        <f t="shared" si="1285"/>
        <v>5000</v>
      </c>
      <c r="C1230" s="8">
        <v>25000</v>
      </c>
      <c r="D1230" s="187">
        <v>0</v>
      </c>
      <c r="E1230" s="187">
        <v>700</v>
      </c>
      <c r="F1230" s="187">
        <v>15000</v>
      </c>
      <c r="G1230" s="30">
        <f t="shared" si="1286"/>
        <v>2400</v>
      </c>
      <c r="H1230" s="8">
        <v>25000</v>
      </c>
      <c r="I1230" s="30">
        <f t="shared" si="1287"/>
        <v>5000</v>
      </c>
      <c r="J1230" s="187">
        <v>40000</v>
      </c>
      <c r="K1230" s="30">
        <f t="shared" si="1288"/>
        <v>5000</v>
      </c>
      <c r="L1230" s="187">
        <v>40000</v>
      </c>
      <c r="M1230" s="110">
        <v>9.5</v>
      </c>
      <c r="N1230" s="9">
        <f>VLOOKUP(DATE(YEAR(A1230),MONTH(A1230),DAY(A1230)),FY24_Temp[],3,FALSE)</f>
        <v>14.5</v>
      </c>
      <c r="O1230" s="110">
        <f t="shared" si="1274"/>
        <v>11.5</v>
      </c>
      <c r="P1230" s="110">
        <f t="shared" si="1275"/>
        <v>19.5</v>
      </c>
      <c r="Q1230" s="79">
        <f>VLOOKUP(VLOOKUP(DATEVALUE(TEXT(A1230,"m/d/yyyy")),FY24_Temp[],5,FALSE)&amp;TEXT(A1230,"-h"),TempDelta[],4,FALSE)</f>
        <v>2.521428550992693</v>
      </c>
      <c r="R1230">
        <v>10</v>
      </c>
      <c r="S1230" s="112">
        <v>1500</v>
      </c>
      <c r="T1230" s="5">
        <f>VLOOKUP(TEXT(A1230,"yy-mm")&amp;"-"&amp;IF(AND(WEEKDAY(A1230)&gt;1,WEEKDAY(A1230)&lt;7),"Wkd",TEXT(A1230,"Ddd"))&amp;"-"&amp;TEXT(A1230,"hh"),LoadTable[],3,FALSE)*0.92</f>
        <v>363.06235999999996</v>
      </c>
      <c r="U1230" s="113">
        <f t="shared" si="1276"/>
        <v>36.306235999999998</v>
      </c>
      <c r="V1230">
        <f t="shared" ref="V1230:W1230" si="1291">V1206</f>
        <v>2.7</v>
      </c>
      <c r="W1230">
        <f t="shared" si="1291"/>
        <v>3.2</v>
      </c>
      <c r="X1230" s="9">
        <v>2.8642986000000001</v>
      </c>
      <c r="Y1230" s="39"/>
    </row>
    <row r="1231" spans="1:25" ht="15" thickBot="1">
      <c r="A1231" s="29">
        <f t="shared" si="1258"/>
        <v>45887.166666665667</v>
      </c>
      <c r="B1231" s="30">
        <f t="shared" si="1285"/>
        <v>5000</v>
      </c>
      <c r="C1231" s="8">
        <v>25000</v>
      </c>
      <c r="D1231" s="187">
        <v>0</v>
      </c>
      <c r="E1231" s="187">
        <v>700</v>
      </c>
      <c r="F1231" s="187">
        <v>15000</v>
      </c>
      <c r="G1231" s="30">
        <f t="shared" si="1286"/>
        <v>2400</v>
      </c>
      <c r="H1231" s="8">
        <v>25000</v>
      </c>
      <c r="I1231" s="30">
        <f t="shared" si="1287"/>
        <v>5000</v>
      </c>
      <c r="J1231" s="187">
        <v>40000</v>
      </c>
      <c r="K1231" s="30">
        <f t="shared" si="1288"/>
        <v>5000</v>
      </c>
      <c r="L1231" s="187">
        <v>40000</v>
      </c>
      <c r="M1231" s="110">
        <v>9.5</v>
      </c>
      <c r="N1231" s="9">
        <f>VLOOKUP(DATE(YEAR(A1231),MONTH(A1231),DAY(A1231)),FY24_Temp[],3,FALSE)</f>
        <v>14.5</v>
      </c>
      <c r="O1231" s="110">
        <f t="shared" si="1274"/>
        <v>11.5</v>
      </c>
      <c r="P1231" s="110">
        <f t="shared" si="1275"/>
        <v>19.5</v>
      </c>
      <c r="Q1231" s="79">
        <f>VLOOKUP(VLOOKUP(DATEVALUE(TEXT(A1231,"m/d/yyyy")),FY24_Temp[],5,FALSE)&amp;TEXT(A1231,"-h"),TempDelta[],4,FALSE)</f>
        <v>2.5227143423897878</v>
      </c>
      <c r="R1231">
        <v>10</v>
      </c>
      <c r="S1231" s="112">
        <v>1500</v>
      </c>
      <c r="T1231" s="5">
        <f>VLOOKUP(TEXT(A1231,"yy-mm")&amp;"-"&amp;IF(AND(WEEKDAY(A1231)&gt;1,WEEKDAY(A1231)&lt;7),"Wkd",TEXT(A1231,"Ddd"))&amp;"-"&amp;TEXT(A1231,"hh"),LoadTable[],3,FALSE)*0.92</f>
        <v>363.06235999999996</v>
      </c>
      <c r="U1231" s="113">
        <f t="shared" si="1276"/>
        <v>36.306235999999998</v>
      </c>
      <c r="V1231">
        <f t="shared" ref="V1231:W1231" si="1292">V1207</f>
        <v>3</v>
      </c>
      <c r="W1231">
        <f t="shared" si="1292"/>
        <v>3.1</v>
      </c>
      <c r="X1231" s="9">
        <v>2.8921006</v>
      </c>
      <c r="Y1231" s="39"/>
    </row>
    <row r="1232" spans="1:25" ht="15" thickBot="1">
      <c r="A1232" s="29">
        <f t="shared" si="1258"/>
        <v>45887.208333332332</v>
      </c>
      <c r="B1232" s="30">
        <f t="shared" si="1285"/>
        <v>5000</v>
      </c>
      <c r="C1232" s="8">
        <v>25000</v>
      </c>
      <c r="D1232" s="187">
        <v>0</v>
      </c>
      <c r="E1232" s="187">
        <v>700</v>
      </c>
      <c r="F1232" s="187">
        <v>15000</v>
      </c>
      <c r="G1232" s="30">
        <f t="shared" si="1286"/>
        <v>2400</v>
      </c>
      <c r="H1232" s="8">
        <v>25000</v>
      </c>
      <c r="I1232" s="30">
        <f t="shared" si="1287"/>
        <v>5000</v>
      </c>
      <c r="J1232" s="187">
        <v>40000</v>
      </c>
      <c r="K1232" s="30">
        <f t="shared" si="1288"/>
        <v>5000</v>
      </c>
      <c r="L1232" s="187">
        <v>40000</v>
      </c>
      <c r="M1232" s="110">
        <v>9.5</v>
      </c>
      <c r="N1232" s="9">
        <f>VLOOKUP(DATE(YEAR(A1232),MONTH(A1232),DAY(A1232)),FY24_Temp[],3,FALSE)</f>
        <v>14.5</v>
      </c>
      <c r="O1232" s="110">
        <f t="shared" si="1274"/>
        <v>11.5</v>
      </c>
      <c r="P1232" s="110">
        <f t="shared" si="1275"/>
        <v>19.5</v>
      </c>
      <c r="Q1232" s="79">
        <f>VLOOKUP(VLOOKUP(DATEVALUE(TEXT(A1232,"m/d/yyyy")),FY24_Temp[],5,FALSE)&amp;TEXT(A1232,"-h"),TempDelta[],4,FALSE)</f>
        <v>2.5675714015960693</v>
      </c>
      <c r="R1232">
        <v>10</v>
      </c>
      <c r="S1232" s="112">
        <v>1500</v>
      </c>
      <c r="T1232" s="5">
        <f>VLOOKUP(TEXT(A1232,"yy-mm")&amp;"-"&amp;IF(AND(WEEKDAY(A1232)&gt;1,WEEKDAY(A1232)&lt;7),"Wkd",TEXT(A1232,"Ddd"))&amp;"-"&amp;TEXT(A1232,"hh"),LoadTable[],3,FALSE)*0.92</f>
        <v>363.06235999999996</v>
      </c>
      <c r="U1232" s="113">
        <f t="shared" si="1276"/>
        <v>36.306235999999998</v>
      </c>
      <c r="V1232">
        <f t="shared" ref="V1232:W1232" si="1293">V1208</f>
        <v>2.9</v>
      </c>
      <c r="W1232">
        <f t="shared" si="1293"/>
        <v>3.1</v>
      </c>
      <c r="X1232" s="9">
        <v>2.9666727000000002</v>
      </c>
      <c r="Y1232" s="39"/>
    </row>
    <row r="1233" spans="1:25" ht="15" thickBot="1">
      <c r="A1233" s="29">
        <f t="shared" si="1258"/>
        <v>45887.249999998996</v>
      </c>
      <c r="B1233" s="30">
        <f t="shared" si="1285"/>
        <v>8000</v>
      </c>
      <c r="C1233" s="8">
        <v>25000</v>
      </c>
      <c r="D1233" s="187">
        <v>0</v>
      </c>
      <c r="E1233" s="187">
        <v>700</v>
      </c>
      <c r="F1233" s="187">
        <v>15000</v>
      </c>
      <c r="G1233" s="30">
        <f t="shared" si="1286"/>
        <v>2400</v>
      </c>
      <c r="H1233" s="8">
        <v>25000</v>
      </c>
      <c r="I1233" s="30">
        <f t="shared" si="1287"/>
        <v>8000</v>
      </c>
      <c r="J1233" s="187">
        <v>40000</v>
      </c>
      <c r="K1233" s="30">
        <f t="shared" si="1288"/>
        <v>8000</v>
      </c>
      <c r="L1233" s="187">
        <v>40000</v>
      </c>
      <c r="M1233" s="110">
        <v>9.5</v>
      </c>
      <c r="N1233" s="9">
        <f>VLOOKUP(DATE(YEAR(A1233),MONTH(A1233),DAY(A1233)),FY24_Temp[],3,FALSE)</f>
        <v>14.5</v>
      </c>
      <c r="O1233" s="110">
        <f t="shared" si="1274"/>
        <v>11.5</v>
      </c>
      <c r="P1233" s="110">
        <f t="shared" si="1275"/>
        <v>19.5</v>
      </c>
      <c r="Q1233" s="79">
        <f>VLOOKUP(VLOOKUP(DATEVALUE(TEXT(A1233,"m/d/yyyy")),FY24_Temp[],5,FALSE)&amp;TEXT(A1233,"-h"),TempDelta[],4,FALSE)</f>
        <v>2.5785714558192661</v>
      </c>
      <c r="R1233">
        <v>10</v>
      </c>
      <c r="S1233" s="112">
        <v>1500</v>
      </c>
      <c r="T1233" s="5">
        <f>VLOOKUP(TEXT(A1233,"yy-mm")&amp;"-"&amp;IF(AND(WEEKDAY(A1233)&gt;1,WEEKDAY(A1233)&lt;7),"Wkd",TEXT(A1233,"Ddd"))&amp;"-"&amp;TEXT(A1233,"hh"),LoadTable[],3,FALSE)*0.92</f>
        <v>363.06235999999996</v>
      </c>
      <c r="U1233" s="113">
        <f t="shared" si="1276"/>
        <v>36.306235999999998</v>
      </c>
      <c r="V1233">
        <f t="shared" ref="V1233:W1233" si="1294">V1209</f>
        <v>2.5</v>
      </c>
      <c r="W1233">
        <f t="shared" si="1294"/>
        <v>3.1</v>
      </c>
      <c r="X1233" s="9">
        <v>3.0892305000000002</v>
      </c>
      <c r="Y1233" s="39"/>
    </row>
    <row r="1234" spans="1:25" ht="15" thickBot="1">
      <c r="A1234" s="29">
        <f t="shared" si="1258"/>
        <v>45887.29166666566</v>
      </c>
      <c r="B1234" s="30">
        <f t="shared" si="1285"/>
        <v>8000</v>
      </c>
      <c r="C1234" s="8">
        <v>25000</v>
      </c>
      <c r="D1234" s="187">
        <v>0</v>
      </c>
      <c r="E1234" s="187">
        <v>700</v>
      </c>
      <c r="F1234" s="187">
        <v>15000</v>
      </c>
      <c r="G1234" s="30">
        <f t="shared" si="1286"/>
        <v>2400</v>
      </c>
      <c r="H1234" s="8">
        <v>25000</v>
      </c>
      <c r="I1234" s="30">
        <f t="shared" si="1287"/>
        <v>8000</v>
      </c>
      <c r="J1234" s="187">
        <v>40000</v>
      </c>
      <c r="K1234" s="30">
        <f t="shared" si="1288"/>
        <v>8000</v>
      </c>
      <c r="L1234" s="187">
        <v>40000</v>
      </c>
      <c r="M1234" s="110">
        <v>9.5</v>
      </c>
      <c r="N1234" s="9">
        <f>VLOOKUP(DATE(YEAR(A1234),MONTH(A1234),DAY(A1234)),FY24_Temp[],3,FALSE)</f>
        <v>14.5</v>
      </c>
      <c r="O1234" s="110">
        <f t="shared" si="1274"/>
        <v>11.5</v>
      </c>
      <c r="P1234" s="110">
        <f t="shared" si="1275"/>
        <v>19.5</v>
      </c>
      <c r="Q1234" s="79">
        <f>VLOOKUP(VLOOKUP(DATEVALUE(TEXT(A1234,"m/d/yyyy")),FY24_Temp[],5,FALSE)&amp;TEXT(A1234,"-h"),TempDelta[],4,FALSE)</f>
        <v>2.5442857401711598</v>
      </c>
      <c r="R1234">
        <v>10</v>
      </c>
      <c r="S1234" s="112">
        <v>1500</v>
      </c>
      <c r="T1234" s="5">
        <f>VLOOKUP(TEXT(A1234,"yy-mm")&amp;"-"&amp;IF(AND(WEEKDAY(A1234)&gt;1,WEEKDAY(A1234)&lt;7),"Wkd",TEXT(A1234,"Ddd"))&amp;"-"&amp;TEXT(A1234,"hh"),LoadTable[],3,FALSE)*0.92</f>
        <v>352.2091200000001</v>
      </c>
      <c r="U1234" s="113">
        <f t="shared" si="1276"/>
        <v>35.220912000000013</v>
      </c>
      <c r="V1234">
        <f t="shared" ref="V1234:W1234" si="1295">V1210</f>
        <v>2.5</v>
      </c>
      <c r="W1234">
        <f t="shared" si="1295"/>
        <v>3.1</v>
      </c>
      <c r="X1234" s="9">
        <v>3.2333927</v>
      </c>
      <c r="Y1234" s="39"/>
    </row>
    <row r="1235" spans="1:25" ht="15" thickBot="1">
      <c r="A1235" s="29">
        <f t="shared" si="1258"/>
        <v>45887.333333332324</v>
      </c>
      <c r="B1235" s="30">
        <f t="shared" si="1285"/>
        <v>8000</v>
      </c>
      <c r="C1235" s="8">
        <v>25000</v>
      </c>
      <c r="D1235" s="187">
        <v>0</v>
      </c>
      <c r="E1235" s="187">
        <v>700</v>
      </c>
      <c r="F1235" s="187">
        <v>15000</v>
      </c>
      <c r="G1235" s="30">
        <f t="shared" si="1286"/>
        <v>2400</v>
      </c>
      <c r="H1235" s="8">
        <v>25000</v>
      </c>
      <c r="I1235" s="30">
        <f t="shared" si="1287"/>
        <v>8000</v>
      </c>
      <c r="J1235" s="187">
        <v>40000</v>
      </c>
      <c r="K1235" s="30">
        <f t="shared" si="1288"/>
        <v>8000</v>
      </c>
      <c r="L1235" s="187">
        <v>40000</v>
      </c>
      <c r="M1235" s="110">
        <v>9.5</v>
      </c>
      <c r="N1235" s="9">
        <f>VLOOKUP(DATE(YEAR(A1235),MONTH(A1235),DAY(A1235)),FY24_Temp[],3,FALSE)</f>
        <v>14.5</v>
      </c>
      <c r="O1235" s="110">
        <f t="shared" si="1274"/>
        <v>11.5</v>
      </c>
      <c r="P1235" s="110">
        <f t="shared" si="1275"/>
        <v>19.5</v>
      </c>
      <c r="Q1235" s="79">
        <f>VLOOKUP(VLOOKUP(DATEVALUE(TEXT(A1235,"m/d/yyyy")),FY24_Temp[],5,FALSE)&amp;TEXT(A1235,"-h"),TempDelta[],4,FALSE)</f>
        <v>2.4372856957571849</v>
      </c>
      <c r="R1235">
        <v>10</v>
      </c>
      <c r="S1235" s="112">
        <v>1500</v>
      </c>
      <c r="T1235" s="5">
        <f>VLOOKUP(TEXT(A1235,"yy-mm")&amp;"-"&amp;IF(AND(WEEKDAY(A1235)&gt;1,WEEKDAY(A1235)&lt;7),"Wkd",TEXT(A1235,"Ddd"))&amp;"-"&amp;TEXT(A1235,"hh"),LoadTable[],3,FALSE)*0.92</f>
        <v>352.2091200000001</v>
      </c>
      <c r="U1235" s="113">
        <f t="shared" si="1276"/>
        <v>35.220912000000013</v>
      </c>
      <c r="V1235">
        <f t="shared" ref="V1235:W1235" si="1296">V1211</f>
        <v>3.2</v>
      </c>
      <c r="W1235">
        <f t="shared" si="1296"/>
        <v>3</v>
      </c>
      <c r="X1235" s="9">
        <v>3.2958759999999998</v>
      </c>
      <c r="Y1235" s="39"/>
    </row>
    <row r="1236" spans="1:25" ht="15" thickBot="1">
      <c r="A1236" s="29">
        <f t="shared" si="1258"/>
        <v>45887.374999998989</v>
      </c>
      <c r="B1236" s="30">
        <f t="shared" si="1285"/>
        <v>8000</v>
      </c>
      <c r="C1236" s="8">
        <v>25000</v>
      </c>
      <c r="D1236" s="187">
        <v>0</v>
      </c>
      <c r="E1236" s="187">
        <v>700</v>
      </c>
      <c r="F1236" s="187">
        <v>15000</v>
      </c>
      <c r="G1236" s="30">
        <f t="shared" si="1286"/>
        <v>2400</v>
      </c>
      <c r="H1236" s="8">
        <v>25000</v>
      </c>
      <c r="I1236" s="30">
        <f t="shared" si="1287"/>
        <v>8000</v>
      </c>
      <c r="J1236" s="187">
        <v>40000</v>
      </c>
      <c r="K1236" s="30">
        <f t="shared" si="1288"/>
        <v>8000</v>
      </c>
      <c r="L1236" s="187">
        <v>40000</v>
      </c>
      <c r="M1236" s="110">
        <v>9.5</v>
      </c>
      <c r="N1236" s="9">
        <f>VLOOKUP(DATE(YEAR(A1236),MONTH(A1236),DAY(A1236)),FY24_Temp[],3,FALSE)</f>
        <v>14.5</v>
      </c>
      <c r="O1236" s="110">
        <f t="shared" si="1274"/>
        <v>11.5</v>
      </c>
      <c r="P1236" s="110">
        <f t="shared" si="1275"/>
        <v>19.5</v>
      </c>
      <c r="Q1236" s="79">
        <f>VLOOKUP(VLOOKUP(DATEVALUE(TEXT(A1236,"m/d/yyyy")),FY24_Temp[],5,FALSE)&amp;TEXT(A1236,"-h"),TempDelta[],4,FALSE)</f>
        <v>2.254857131413051</v>
      </c>
      <c r="R1236">
        <v>10</v>
      </c>
      <c r="S1236" s="112">
        <v>1500</v>
      </c>
      <c r="T1236" s="5">
        <f>VLOOKUP(TEXT(A1236,"yy-mm")&amp;"-"&amp;IF(AND(WEEKDAY(A1236)&gt;1,WEEKDAY(A1236)&lt;7),"Wkd",TEXT(A1236,"Ddd"))&amp;"-"&amp;TEXT(A1236,"hh"),LoadTable[],3,FALSE)*0.92</f>
        <v>340.60949077857163</v>
      </c>
      <c r="U1236" s="113">
        <f t="shared" si="1276"/>
        <v>34.06094907785716</v>
      </c>
      <c r="V1236">
        <f t="shared" ref="V1236:W1236" si="1297">V1212</f>
        <v>2.9</v>
      </c>
      <c r="W1236">
        <f t="shared" si="1297"/>
        <v>3</v>
      </c>
      <c r="X1236" s="9">
        <v>3.3353233000000002</v>
      </c>
      <c r="Y1236" s="39"/>
    </row>
    <row r="1237" spans="1:25" ht="15" thickBot="1">
      <c r="A1237" s="29">
        <f t="shared" si="1258"/>
        <v>45887.416666665653</v>
      </c>
      <c r="B1237" s="30">
        <f t="shared" si="1285"/>
        <v>8000</v>
      </c>
      <c r="C1237" s="8">
        <v>25000</v>
      </c>
      <c r="D1237" s="187">
        <v>0</v>
      </c>
      <c r="E1237" s="187">
        <v>700</v>
      </c>
      <c r="F1237" s="187">
        <v>15000</v>
      </c>
      <c r="G1237" s="30">
        <f t="shared" si="1286"/>
        <v>2400</v>
      </c>
      <c r="H1237" s="8">
        <v>25000</v>
      </c>
      <c r="I1237" s="30">
        <f t="shared" si="1287"/>
        <v>8000</v>
      </c>
      <c r="J1237" s="187">
        <v>40000</v>
      </c>
      <c r="K1237" s="30">
        <f t="shared" si="1288"/>
        <v>8000</v>
      </c>
      <c r="L1237" s="187">
        <v>40000</v>
      </c>
      <c r="M1237" s="110">
        <v>9.5</v>
      </c>
      <c r="N1237" s="9">
        <f>VLOOKUP(DATE(YEAR(A1237),MONTH(A1237),DAY(A1237)),FY24_Temp[],3,FALSE)</f>
        <v>14.5</v>
      </c>
      <c r="O1237" s="110">
        <f t="shared" si="1274"/>
        <v>11.5</v>
      </c>
      <c r="P1237" s="110">
        <f t="shared" si="1275"/>
        <v>19.5</v>
      </c>
      <c r="Q1237" s="79">
        <f>VLOOKUP(VLOOKUP(DATEVALUE(TEXT(A1237,"m/d/yyyy")),FY24_Temp[],5,FALSE)&amp;TEXT(A1237,"-h"),TempDelta[],4,FALSE)</f>
        <v>2.044999991144453</v>
      </c>
      <c r="R1237">
        <v>10</v>
      </c>
      <c r="S1237" s="112">
        <v>1500</v>
      </c>
      <c r="T1237" s="5">
        <f>VLOOKUP(TEXT(A1237,"yy-mm")&amp;"-"&amp;IF(AND(WEEKDAY(A1237)&gt;1,WEEKDAY(A1237)&lt;7),"Wkd",TEXT(A1237,"Ddd"))&amp;"-"&amp;TEXT(A1237,"hh"),LoadTable[],3,FALSE)*0.92</f>
        <v>338.44093501457746</v>
      </c>
      <c r="U1237" s="113">
        <f t="shared" si="1276"/>
        <v>33.844093501457749</v>
      </c>
      <c r="V1237">
        <f t="shared" ref="V1237:W1237" si="1298">V1213</f>
        <v>2.9</v>
      </c>
      <c r="W1237">
        <f t="shared" si="1298"/>
        <v>3</v>
      </c>
      <c r="X1237" s="9">
        <v>3.4043614999999998</v>
      </c>
      <c r="Y1237" s="39"/>
    </row>
    <row r="1238" spans="1:25" ht="15" thickBot="1">
      <c r="A1238" s="29">
        <f t="shared" si="1258"/>
        <v>45887.458333332317</v>
      </c>
      <c r="B1238" s="30">
        <f t="shared" si="1285"/>
        <v>8000</v>
      </c>
      <c r="C1238" s="8">
        <v>25000</v>
      </c>
      <c r="D1238" s="187">
        <v>0</v>
      </c>
      <c r="E1238" s="187">
        <v>700</v>
      </c>
      <c r="F1238" s="187">
        <v>15000</v>
      </c>
      <c r="G1238" s="30">
        <f t="shared" si="1286"/>
        <v>2400</v>
      </c>
      <c r="H1238" s="8">
        <v>25000</v>
      </c>
      <c r="I1238" s="30">
        <f t="shared" si="1287"/>
        <v>8000</v>
      </c>
      <c r="J1238" s="187">
        <v>40000</v>
      </c>
      <c r="K1238" s="30">
        <f t="shared" si="1288"/>
        <v>8000</v>
      </c>
      <c r="L1238" s="187">
        <v>40000</v>
      </c>
      <c r="M1238" s="110">
        <v>9.5</v>
      </c>
      <c r="N1238" s="9">
        <f>VLOOKUP(DATE(YEAR(A1238),MONTH(A1238),DAY(A1238)),FY24_Temp[],3,FALSE)</f>
        <v>14.5</v>
      </c>
      <c r="O1238" s="110">
        <f t="shared" si="1274"/>
        <v>11.5</v>
      </c>
      <c r="P1238" s="110">
        <f t="shared" si="1275"/>
        <v>19.5</v>
      </c>
      <c r="Q1238" s="79">
        <f>VLOOKUP(VLOOKUP(DATEVALUE(TEXT(A1238,"m/d/yyyy")),FY24_Temp[],5,FALSE)&amp;TEXT(A1238,"-h"),TempDelta[],4,FALSE)</f>
        <v>1.7985714163099016</v>
      </c>
      <c r="R1238">
        <v>10</v>
      </c>
      <c r="S1238" s="112">
        <v>1500</v>
      </c>
      <c r="T1238" s="5">
        <f>VLOOKUP(TEXT(A1238,"yy-mm")&amp;"-"&amp;IF(AND(WEEKDAY(A1238)&gt;1,WEEKDAY(A1238)&lt;7),"Wkd",TEXT(A1238,"Ddd"))&amp;"-"&amp;TEXT(A1238,"hh"),LoadTable[],3,FALSE)*0.92</f>
        <v>338.44093501457746</v>
      </c>
      <c r="U1238" s="113">
        <f t="shared" si="1276"/>
        <v>33.844093501457749</v>
      </c>
      <c r="V1238">
        <f t="shared" ref="V1238:W1238" si="1299">V1214</f>
        <v>3.4</v>
      </c>
      <c r="W1238">
        <f t="shared" si="1299"/>
        <v>3</v>
      </c>
      <c r="X1238" s="9">
        <v>3.3494524999999999</v>
      </c>
      <c r="Y1238" s="39"/>
    </row>
    <row r="1239" spans="1:25" ht="15" thickBot="1">
      <c r="A1239" s="29">
        <f t="shared" si="1258"/>
        <v>45887.499999998981</v>
      </c>
      <c r="B1239" s="30">
        <f t="shared" si="1285"/>
        <v>8000</v>
      </c>
      <c r="C1239" s="8">
        <v>25000</v>
      </c>
      <c r="D1239" s="187">
        <v>0</v>
      </c>
      <c r="E1239" s="187">
        <v>700</v>
      </c>
      <c r="F1239" s="187">
        <v>15000</v>
      </c>
      <c r="G1239" s="30">
        <f t="shared" si="1286"/>
        <v>2400</v>
      </c>
      <c r="H1239" s="8">
        <v>25000</v>
      </c>
      <c r="I1239" s="30">
        <f t="shared" si="1287"/>
        <v>8000</v>
      </c>
      <c r="J1239" s="187">
        <v>40000</v>
      </c>
      <c r="K1239" s="30">
        <f t="shared" si="1288"/>
        <v>8000</v>
      </c>
      <c r="L1239" s="187">
        <v>40000</v>
      </c>
      <c r="M1239" s="110">
        <v>9.5</v>
      </c>
      <c r="N1239" s="9">
        <f>VLOOKUP(DATE(YEAR(A1239),MONTH(A1239),DAY(A1239)),FY24_Temp[],3,FALSE)</f>
        <v>14.5</v>
      </c>
      <c r="O1239" s="110">
        <f t="shared" si="1274"/>
        <v>11.5</v>
      </c>
      <c r="P1239" s="110">
        <f t="shared" si="1275"/>
        <v>19.5</v>
      </c>
      <c r="Q1239" s="79">
        <f>VLOOKUP(VLOOKUP(DATEVALUE(TEXT(A1239,"m/d/yyyy")),FY24_Temp[],5,FALSE)&amp;TEXT(A1239,"-h"),TempDelta[],4,FALSE)</f>
        <v>1.5495714289801461</v>
      </c>
      <c r="R1239">
        <v>10</v>
      </c>
      <c r="S1239" s="112">
        <v>1500</v>
      </c>
      <c r="T1239" s="5">
        <f>VLOOKUP(TEXT(A1239,"yy-mm")&amp;"-"&amp;IF(AND(WEEKDAY(A1239)&gt;1,WEEKDAY(A1239)&lt;7),"Wkd",TEXT(A1239,"Ddd"))&amp;"-"&amp;TEXT(A1239,"hh"),LoadTable[],3,FALSE)*0.92</f>
        <v>338.44093501457746</v>
      </c>
      <c r="U1239" s="113">
        <f t="shared" si="1276"/>
        <v>33.844093501457749</v>
      </c>
      <c r="V1239">
        <f t="shared" ref="V1239:W1239" si="1300">V1215</f>
        <v>3.1</v>
      </c>
      <c r="W1239">
        <f t="shared" si="1300"/>
        <v>2.9</v>
      </c>
      <c r="X1239" s="9">
        <v>3.2146881</v>
      </c>
      <c r="Y1239" s="39"/>
    </row>
    <row r="1240" spans="1:25" ht="15" thickBot="1">
      <c r="A1240" s="29">
        <f t="shared" si="1258"/>
        <v>45887.541666665646</v>
      </c>
      <c r="B1240" s="30">
        <f t="shared" si="1285"/>
        <v>8000</v>
      </c>
      <c r="C1240" s="8">
        <v>25000</v>
      </c>
      <c r="D1240" s="187">
        <v>0</v>
      </c>
      <c r="E1240" s="187">
        <v>700</v>
      </c>
      <c r="F1240" s="187">
        <v>15000</v>
      </c>
      <c r="G1240" s="30">
        <f t="shared" si="1286"/>
        <v>2400</v>
      </c>
      <c r="H1240" s="8">
        <v>25000</v>
      </c>
      <c r="I1240" s="30">
        <f t="shared" si="1287"/>
        <v>8000</v>
      </c>
      <c r="J1240" s="187">
        <v>40000</v>
      </c>
      <c r="K1240" s="30">
        <f t="shared" si="1288"/>
        <v>8000</v>
      </c>
      <c r="L1240" s="187">
        <v>40000</v>
      </c>
      <c r="M1240" s="110">
        <v>9.5</v>
      </c>
      <c r="N1240" s="9">
        <f>VLOOKUP(DATE(YEAR(A1240),MONTH(A1240),DAY(A1240)),FY24_Temp[],3,FALSE)</f>
        <v>14.5</v>
      </c>
      <c r="O1240" s="110">
        <f t="shared" si="1274"/>
        <v>11.5</v>
      </c>
      <c r="P1240" s="110">
        <f t="shared" si="1275"/>
        <v>19.5</v>
      </c>
      <c r="Q1240" s="79">
        <f>VLOOKUP(VLOOKUP(DATEVALUE(TEXT(A1240,"m/d/yyyy")),FY24_Temp[],5,FALSE)&amp;TEXT(A1240,"-h"),TempDelta[],4,FALSE)</f>
        <v>1.3002856969833374</v>
      </c>
      <c r="R1240">
        <v>10</v>
      </c>
      <c r="S1240" s="112">
        <v>1500</v>
      </c>
      <c r="T1240" s="5">
        <f>VLOOKUP(TEXT(A1240,"yy-mm")&amp;"-"&amp;IF(AND(WEEKDAY(A1240)&gt;1,WEEKDAY(A1240)&lt;7),"Wkd",TEXT(A1240,"Ddd"))&amp;"-"&amp;TEXT(A1240,"hh"),LoadTable[],3,FALSE)*0.92</f>
        <v>389.90980000000025</v>
      </c>
      <c r="U1240" s="113">
        <f t="shared" si="1276"/>
        <v>38.990980000000022</v>
      </c>
      <c r="V1240">
        <f t="shared" ref="V1240:W1240" si="1301">V1216</f>
        <v>3.2</v>
      </c>
      <c r="W1240">
        <f t="shared" si="1301"/>
        <v>2.9</v>
      </c>
      <c r="X1240" s="9">
        <v>3.0306571</v>
      </c>
      <c r="Y1240" s="39"/>
    </row>
    <row r="1241" spans="1:25" ht="15" thickBot="1">
      <c r="A1241" s="29">
        <f t="shared" si="1258"/>
        <v>45887.58333333231</v>
      </c>
      <c r="B1241" s="30">
        <f t="shared" si="1285"/>
        <v>8000</v>
      </c>
      <c r="C1241" s="8">
        <v>25000</v>
      </c>
      <c r="D1241" s="187">
        <v>0</v>
      </c>
      <c r="E1241" s="187">
        <v>700</v>
      </c>
      <c r="F1241" s="187">
        <v>15000</v>
      </c>
      <c r="G1241" s="30">
        <f t="shared" si="1286"/>
        <v>2400</v>
      </c>
      <c r="H1241" s="8">
        <v>25000</v>
      </c>
      <c r="I1241" s="30">
        <f t="shared" si="1287"/>
        <v>8000</v>
      </c>
      <c r="J1241" s="187">
        <v>40000</v>
      </c>
      <c r="K1241" s="30">
        <f t="shared" si="1288"/>
        <v>8000</v>
      </c>
      <c r="L1241" s="187">
        <v>40000</v>
      </c>
      <c r="M1241" s="110">
        <v>9.5</v>
      </c>
      <c r="N1241" s="9">
        <f>VLOOKUP(DATE(YEAR(A1241),MONTH(A1241),DAY(A1241)),FY24_Temp[],3,FALSE)</f>
        <v>14.5</v>
      </c>
      <c r="O1241" s="110">
        <f t="shared" si="1274"/>
        <v>11.5</v>
      </c>
      <c r="P1241" s="110">
        <f t="shared" si="1275"/>
        <v>19.5</v>
      </c>
      <c r="Q1241" s="79">
        <f>VLOOKUP(VLOOKUP(DATEVALUE(TEXT(A1241,"m/d/yyyy")),FY24_Temp[],5,FALSE)&amp;TEXT(A1241,"-h"),TempDelta[],4,FALSE)</f>
        <v>1.065142844404493</v>
      </c>
      <c r="R1241">
        <v>10</v>
      </c>
      <c r="S1241" s="112">
        <v>1500</v>
      </c>
      <c r="T1241" s="5">
        <f>VLOOKUP(TEXT(A1241,"yy-mm")&amp;"-"&amp;IF(AND(WEEKDAY(A1241)&gt;1,WEEKDAY(A1241)&lt;7),"Wkd",TEXT(A1241,"Ddd"))&amp;"-"&amp;TEXT(A1241,"hh"),LoadTable[],3,FALSE)*0.92</f>
        <v>625.53652000000022</v>
      </c>
      <c r="U1241" s="113">
        <f t="shared" si="1276"/>
        <v>62.553652000000021</v>
      </c>
      <c r="V1241">
        <f t="shared" ref="V1241:W1241" si="1302">V1217</f>
        <v>3.5</v>
      </c>
      <c r="W1241">
        <f t="shared" si="1302"/>
        <v>2.9</v>
      </c>
      <c r="X1241" s="9">
        <v>3.0173942999999999</v>
      </c>
      <c r="Y1241" s="39"/>
    </row>
    <row r="1242" spans="1:25" ht="15" thickBot="1">
      <c r="A1242" s="29">
        <f t="shared" si="1258"/>
        <v>45887.624999998974</v>
      </c>
      <c r="B1242" s="30">
        <f t="shared" si="1285"/>
        <v>8000</v>
      </c>
      <c r="C1242" s="8">
        <v>25000</v>
      </c>
      <c r="D1242" s="187">
        <v>0</v>
      </c>
      <c r="E1242" s="187">
        <v>700</v>
      </c>
      <c r="F1242" s="187">
        <v>15000</v>
      </c>
      <c r="G1242" s="30">
        <f t="shared" si="1286"/>
        <v>2400</v>
      </c>
      <c r="H1242" s="8">
        <v>25000</v>
      </c>
      <c r="I1242" s="30">
        <f t="shared" si="1287"/>
        <v>8000</v>
      </c>
      <c r="J1242" s="187">
        <v>40000</v>
      </c>
      <c r="K1242" s="30">
        <f t="shared" si="1288"/>
        <v>8000</v>
      </c>
      <c r="L1242" s="187">
        <v>40000</v>
      </c>
      <c r="M1242" s="110">
        <v>9.5</v>
      </c>
      <c r="N1242" s="9">
        <f>VLOOKUP(DATE(YEAR(A1242),MONTH(A1242),DAY(A1242)),FY24_Temp[],3,FALSE)</f>
        <v>14.5</v>
      </c>
      <c r="O1242" s="110">
        <f t="shared" si="1274"/>
        <v>11.5</v>
      </c>
      <c r="P1242" s="110">
        <f t="shared" si="1275"/>
        <v>19.5</v>
      </c>
      <c r="Q1242" s="79">
        <f>VLOOKUP(VLOOKUP(DATEVALUE(TEXT(A1242,"m/d/yyyy")),FY24_Temp[],5,FALSE)&amp;TEXT(A1242,"-h"),TempDelta[],4,FALSE)</f>
        <v>0.74900000010217938</v>
      </c>
      <c r="R1242">
        <v>10</v>
      </c>
      <c r="S1242" s="112">
        <v>1500</v>
      </c>
      <c r="T1242" s="5">
        <f>VLOOKUP(TEXT(A1242,"yy-mm")&amp;"-"&amp;IF(AND(WEEKDAY(A1242)&gt;1,WEEKDAY(A1242)&lt;7),"Wkd",TEXT(A1242,"Ddd"))&amp;"-"&amp;TEXT(A1242,"hh"),LoadTable[],3,FALSE)*0.92</f>
        <v>699.79524000000038</v>
      </c>
      <c r="U1242" s="113">
        <f t="shared" si="1276"/>
        <v>69.97952400000004</v>
      </c>
      <c r="V1242">
        <f t="shared" ref="V1242:W1242" si="1303">V1218</f>
        <v>3.2</v>
      </c>
      <c r="W1242">
        <f t="shared" si="1303"/>
        <v>2.9</v>
      </c>
      <c r="X1242" s="9">
        <v>3.3398889999999999</v>
      </c>
      <c r="Y1242" s="39"/>
    </row>
    <row r="1243" spans="1:25" ht="15" thickBot="1">
      <c r="A1243" s="29">
        <f t="shared" si="1258"/>
        <v>45887.666666665638</v>
      </c>
      <c r="B1243" s="30">
        <f t="shared" si="1285"/>
        <v>8000</v>
      </c>
      <c r="C1243" s="8">
        <v>25000</v>
      </c>
      <c r="D1243" s="187">
        <v>0</v>
      </c>
      <c r="E1243" s="187">
        <v>700</v>
      </c>
      <c r="F1243" s="187">
        <v>15000</v>
      </c>
      <c r="G1243" s="30">
        <f t="shared" si="1286"/>
        <v>2400</v>
      </c>
      <c r="H1243" s="8">
        <v>25000</v>
      </c>
      <c r="I1243" s="30">
        <f t="shared" si="1287"/>
        <v>8000</v>
      </c>
      <c r="J1243" s="187">
        <v>40000</v>
      </c>
      <c r="K1243" s="30">
        <f t="shared" si="1288"/>
        <v>8000</v>
      </c>
      <c r="L1243" s="187">
        <v>40000</v>
      </c>
      <c r="M1243" s="110">
        <v>9.5</v>
      </c>
      <c r="N1243" s="9">
        <f>VLOOKUP(DATE(YEAR(A1243),MONTH(A1243),DAY(A1243)),FY24_Temp[],3,FALSE)</f>
        <v>14.5</v>
      </c>
      <c r="O1243" s="110">
        <f t="shared" si="1274"/>
        <v>11.5</v>
      </c>
      <c r="P1243" s="110">
        <f t="shared" si="1275"/>
        <v>19.5</v>
      </c>
      <c r="Q1243" s="79">
        <f>VLOOKUP(VLOOKUP(DATEVALUE(TEXT(A1243,"m/d/yyyy")),FY24_Temp[],5,FALSE)&amp;TEXT(A1243,"-h"),TempDelta[],4,FALSE)</f>
        <v>0.60964286114488331</v>
      </c>
      <c r="R1243">
        <v>10</v>
      </c>
      <c r="S1243" s="112">
        <v>1500</v>
      </c>
      <c r="T1243" s="5">
        <f>VLOOKUP(TEXT(A1243,"yy-mm")&amp;"-"&amp;IF(AND(WEEKDAY(A1243)&gt;1,WEEKDAY(A1243)&lt;7),"Wkd",TEXT(A1243,"Ddd"))&amp;"-"&amp;TEXT(A1243,"hh"),LoadTable[],3,FALSE)*0.92</f>
        <v>786.27137399656624</v>
      </c>
      <c r="U1243" s="113">
        <f t="shared" si="1276"/>
        <v>78.627137399656618</v>
      </c>
      <c r="V1243">
        <f t="shared" ref="V1243:W1243" si="1304">V1219</f>
        <v>3.5</v>
      </c>
      <c r="W1243">
        <f t="shared" si="1304"/>
        <v>3</v>
      </c>
      <c r="X1243" s="9">
        <v>3.2384881999999999</v>
      </c>
      <c r="Y1243" s="39"/>
    </row>
    <row r="1244" spans="1:25" ht="15" thickBot="1">
      <c r="A1244" s="29">
        <f t="shared" si="1258"/>
        <v>45887.708333332303</v>
      </c>
      <c r="B1244" s="30">
        <f t="shared" si="1285"/>
        <v>8000</v>
      </c>
      <c r="C1244" s="8">
        <v>25000</v>
      </c>
      <c r="D1244" s="187">
        <v>0</v>
      </c>
      <c r="E1244" s="187">
        <v>700</v>
      </c>
      <c r="F1244" s="187">
        <v>15000</v>
      </c>
      <c r="G1244" s="30">
        <f t="shared" si="1286"/>
        <v>2400</v>
      </c>
      <c r="H1244" s="8">
        <v>25000</v>
      </c>
      <c r="I1244" s="30">
        <f t="shared" si="1287"/>
        <v>8000</v>
      </c>
      <c r="J1244" s="187">
        <v>40000</v>
      </c>
      <c r="K1244" s="30">
        <f t="shared" si="1288"/>
        <v>8000</v>
      </c>
      <c r="L1244" s="187">
        <v>40000</v>
      </c>
      <c r="M1244" s="110">
        <v>9.5</v>
      </c>
      <c r="N1244" s="9">
        <f>VLOOKUP(DATE(YEAR(A1244),MONTH(A1244),DAY(A1244)),FY24_Temp[],3,FALSE)</f>
        <v>14.5</v>
      </c>
      <c r="O1244" s="110">
        <f t="shared" si="1274"/>
        <v>11.5</v>
      </c>
      <c r="P1244" s="110">
        <f t="shared" si="1275"/>
        <v>19.5</v>
      </c>
      <c r="Q1244" s="79">
        <f>VLOOKUP(VLOOKUP(DATEVALUE(TEXT(A1244,"m/d/yyyy")),FY24_Temp[],5,FALSE)&amp;TEXT(A1244,"-h"),TempDelta[],4,FALSE)</f>
        <v>0.63592857335294994</v>
      </c>
      <c r="R1244">
        <v>10</v>
      </c>
      <c r="S1244" s="112">
        <v>1500</v>
      </c>
      <c r="T1244" s="5">
        <f>VLOOKUP(TEXT(A1244,"yy-mm")&amp;"-"&amp;IF(AND(WEEKDAY(A1244)&gt;1,WEEKDAY(A1244)&lt;7),"Wkd",TEXT(A1244,"Ddd"))&amp;"-"&amp;TEXT(A1244,"hh"),LoadTable[],3,FALSE)*0.92</f>
        <v>786.27137399656624</v>
      </c>
      <c r="U1244" s="113">
        <f t="shared" si="1276"/>
        <v>78.627137399656618</v>
      </c>
      <c r="V1244">
        <f t="shared" ref="V1244:W1244" si="1305">V1220</f>
        <v>3.6</v>
      </c>
      <c r="W1244">
        <f t="shared" si="1305"/>
        <v>3</v>
      </c>
      <c r="X1244" s="9">
        <v>3.1583163999999999</v>
      </c>
      <c r="Y1244" s="39"/>
    </row>
    <row r="1245" spans="1:25" ht="15" thickBot="1">
      <c r="A1245" s="29">
        <f t="shared" si="1258"/>
        <v>45887.749999998967</v>
      </c>
      <c r="B1245" s="30">
        <f t="shared" si="1285"/>
        <v>5000</v>
      </c>
      <c r="C1245" s="8">
        <v>25000</v>
      </c>
      <c r="D1245" s="187">
        <v>0</v>
      </c>
      <c r="E1245" s="187">
        <v>700</v>
      </c>
      <c r="F1245" s="187">
        <v>15000</v>
      </c>
      <c r="G1245" s="30">
        <f t="shared" si="1286"/>
        <v>2400</v>
      </c>
      <c r="H1245" s="8">
        <v>25000</v>
      </c>
      <c r="I1245" s="30">
        <f t="shared" si="1287"/>
        <v>5000</v>
      </c>
      <c r="J1245" s="187">
        <v>40000</v>
      </c>
      <c r="K1245" s="30">
        <f t="shared" si="1288"/>
        <v>5000</v>
      </c>
      <c r="L1245" s="187">
        <v>40000</v>
      </c>
      <c r="M1245" s="110">
        <v>9.5</v>
      </c>
      <c r="N1245" s="9">
        <f>VLOOKUP(DATE(YEAR(A1245),MONTH(A1245),DAY(A1245)),FY24_Temp[],3,FALSE)</f>
        <v>14.5</v>
      </c>
      <c r="O1245" s="110">
        <f t="shared" si="1274"/>
        <v>11.5</v>
      </c>
      <c r="P1245" s="110">
        <f t="shared" si="1275"/>
        <v>19.5</v>
      </c>
      <c r="Q1245" s="79">
        <f>VLOOKUP(VLOOKUP(DATEVALUE(TEXT(A1245,"m/d/yyyy")),FY24_Temp[],5,FALSE)&amp;TEXT(A1245,"-h"),TempDelta[],4,FALSE)</f>
        <v>0.84400000316756107</v>
      </c>
      <c r="R1245">
        <v>10</v>
      </c>
      <c r="S1245" s="112">
        <v>1500</v>
      </c>
      <c r="T1245" s="5">
        <f>VLOOKUP(TEXT(A1245,"yy-mm")&amp;"-"&amp;IF(AND(WEEKDAY(A1245)&gt;1,WEEKDAY(A1245)&lt;7),"Wkd",TEXT(A1245,"Ddd"))&amp;"-"&amp;TEXT(A1245,"hh"),LoadTable[],3,FALSE)*0.92</f>
        <v>786.27137399656647</v>
      </c>
      <c r="U1245" s="113">
        <f t="shared" si="1276"/>
        <v>78.627137399656647</v>
      </c>
      <c r="V1245">
        <f t="shared" ref="V1245:W1245" si="1306">V1221</f>
        <v>2.9</v>
      </c>
      <c r="W1245">
        <f t="shared" si="1306"/>
        <v>3</v>
      </c>
      <c r="X1245" s="9">
        <v>3.1374946000000001</v>
      </c>
      <c r="Y1245" s="39"/>
    </row>
    <row r="1246" spans="1:25" ht="15" thickBot="1">
      <c r="A1246" s="29">
        <f t="shared" si="1258"/>
        <v>45887.791666665631</v>
      </c>
      <c r="B1246" s="30">
        <f t="shared" si="1285"/>
        <v>5000</v>
      </c>
      <c r="C1246" s="8">
        <v>25000</v>
      </c>
      <c r="D1246" s="187">
        <v>0</v>
      </c>
      <c r="E1246" s="187">
        <v>700</v>
      </c>
      <c r="F1246" s="187">
        <v>15000</v>
      </c>
      <c r="G1246" s="30">
        <f t="shared" si="1286"/>
        <v>2400</v>
      </c>
      <c r="H1246" s="8">
        <v>25000</v>
      </c>
      <c r="I1246" s="30">
        <f t="shared" si="1287"/>
        <v>5000</v>
      </c>
      <c r="J1246" s="187">
        <v>40000</v>
      </c>
      <c r="K1246" s="30">
        <f t="shared" si="1288"/>
        <v>5000</v>
      </c>
      <c r="L1246" s="187">
        <v>40000</v>
      </c>
      <c r="M1246" s="110">
        <v>9.5</v>
      </c>
      <c r="N1246" s="9">
        <f>VLOOKUP(DATE(YEAR(A1246),MONTH(A1246),DAY(A1246)),FY24_Temp[],3,FALSE)</f>
        <v>14.5</v>
      </c>
      <c r="O1246" s="110">
        <f t="shared" si="1274"/>
        <v>11.5</v>
      </c>
      <c r="P1246" s="110">
        <f t="shared" si="1275"/>
        <v>19.5</v>
      </c>
      <c r="Q1246" s="79">
        <f>VLOOKUP(VLOOKUP(DATEVALUE(TEXT(A1246,"m/d/yyyy")),FY24_Temp[],5,FALSE)&amp;TEXT(A1246,"-h"),TempDelta[],4,FALSE)</f>
        <v>1.1514999994209834</v>
      </c>
      <c r="R1246">
        <v>10</v>
      </c>
      <c r="S1246" s="112">
        <v>1500</v>
      </c>
      <c r="T1246" s="5">
        <f>VLOOKUP(TEXT(A1246,"yy-mm")&amp;"-"&amp;IF(AND(WEEKDAY(A1246)&gt;1,WEEKDAY(A1246)&lt;7),"Wkd",TEXT(A1246,"Ddd"))&amp;"-"&amp;TEXT(A1246,"hh"),LoadTable[],3,FALSE)*0.92</f>
        <v>786.27137399656647</v>
      </c>
      <c r="U1246" s="113">
        <f t="shared" si="1276"/>
        <v>78.627137399656647</v>
      </c>
      <c r="V1246">
        <f t="shared" ref="V1246:W1246" si="1307">V1222</f>
        <v>3</v>
      </c>
      <c r="W1246">
        <f t="shared" si="1307"/>
        <v>3</v>
      </c>
      <c r="X1246" s="9">
        <v>3.0977394999999999</v>
      </c>
      <c r="Y1246" s="39"/>
    </row>
    <row r="1247" spans="1:25" ht="15" thickBot="1">
      <c r="A1247" s="29">
        <f t="shared" si="1258"/>
        <v>45887.833333332295</v>
      </c>
      <c r="B1247" s="30">
        <f t="shared" si="1285"/>
        <v>5000</v>
      </c>
      <c r="C1247" s="8">
        <v>25000</v>
      </c>
      <c r="D1247" s="187">
        <v>0</v>
      </c>
      <c r="E1247" s="187">
        <v>700</v>
      </c>
      <c r="F1247" s="187">
        <v>15000</v>
      </c>
      <c r="G1247" s="30">
        <f t="shared" si="1286"/>
        <v>2400</v>
      </c>
      <c r="H1247" s="8">
        <v>25000</v>
      </c>
      <c r="I1247" s="30">
        <f t="shared" si="1287"/>
        <v>5000</v>
      </c>
      <c r="J1247" s="187">
        <v>40000</v>
      </c>
      <c r="K1247" s="30">
        <f t="shared" si="1288"/>
        <v>5000</v>
      </c>
      <c r="L1247" s="187">
        <v>40000</v>
      </c>
      <c r="M1247" s="110">
        <v>9.5</v>
      </c>
      <c r="N1247" s="9">
        <f>VLOOKUP(DATE(YEAR(A1247),MONTH(A1247),DAY(A1247)),FY24_Temp[],3,FALSE)</f>
        <v>14.5</v>
      </c>
      <c r="O1247" s="110">
        <f t="shared" si="1274"/>
        <v>11.5</v>
      </c>
      <c r="P1247" s="110">
        <f t="shared" si="1275"/>
        <v>19.5</v>
      </c>
      <c r="Q1247" s="79">
        <f>VLOOKUP(VLOOKUP(DATEVALUE(TEXT(A1247,"m/d/yyyy")),FY24_Temp[],5,FALSE)&amp;TEXT(A1247,"-h"),TempDelta[],4,FALSE)</f>
        <v>1.5629285573959351</v>
      </c>
      <c r="R1247">
        <v>10</v>
      </c>
      <c r="S1247" s="112">
        <v>1500</v>
      </c>
      <c r="T1247" s="5">
        <f>VLOOKUP(TEXT(A1247,"yy-mm")&amp;"-"&amp;IF(AND(WEEKDAY(A1247)&gt;1,WEEKDAY(A1247)&lt;7),"Wkd",TEXT(A1247,"Ddd"))&amp;"-"&amp;TEXT(A1247,"hh"),LoadTable[],3,FALSE)*0.92</f>
        <v>786.27137399656647</v>
      </c>
      <c r="U1247" s="113">
        <f t="shared" si="1276"/>
        <v>78.627137399656647</v>
      </c>
      <c r="V1247">
        <f t="shared" ref="V1247:W1247" si="1308">V1223</f>
        <v>2.8</v>
      </c>
      <c r="W1247">
        <f t="shared" si="1308"/>
        <v>3.1</v>
      </c>
      <c r="X1247" s="9">
        <v>3.0590174000000001</v>
      </c>
      <c r="Y1247" s="39"/>
    </row>
    <row r="1248" spans="1:25" ht="15" thickBot="1">
      <c r="A1248" s="29">
        <f t="shared" si="1258"/>
        <v>45887.87499999896</v>
      </c>
      <c r="B1248" s="30">
        <f t="shared" si="1285"/>
        <v>5000</v>
      </c>
      <c r="C1248" s="8">
        <v>25000</v>
      </c>
      <c r="D1248" s="187">
        <v>0</v>
      </c>
      <c r="E1248" s="187">
        <v>700</v>
      </c>
      <c r="F1248" s="187">
        <v>15000</v>
      </c>
      <c r="G1248" s="30">
        <f t="shared" si="1286"/>
        <v>2400</v>
      </c>
      <c r="H1248" s="8">
        <v>25000</v>
      </c>
      <c r="I1248" s="30">
        <f t="shared" si="1287"/>
        <v>5000</v>
      </c>
      <c r="J1248" s="187">
        <v>40000</v>
      </c>
      <c r="K1248" s="30">
        <f t="shared" si="1288"/>
        <v>5000</v>
      </c>
      <c r="L1248" s="187">
        <v>40000</v>
      </c>
      <c r="M1248" s="110">
        <v>9.5</v>
      </c>
      <c r="N1248" s="9">
        <f>VLOOKUP(DATE(YEAR(A1248),MONTH(A1248),DAY(A1248)),FY24_Temp[],3,FALSE)</f>
        <v>14.5</v>
      </c>
      <c r="O1248" s="110">
        <f t="shared" si="1274"/>
        <v>11.5</v>
      </c>
      <c r="P1248" s="110">
        <f t="shared" si="1275"/>
        <v>19.5</v>
      </c>
      <c r="Q1248" s="79">
        <f>VLOOKUP(VLOOKUP(DATEVALUE(TEXT(A1248,"m/d/yyyy")),FY24_Temp[],5,FALSE)&amp;TEXT(A1248,"-h"),TempDelta[],4,FALSE)</f>
        <v>1.8850000074931554</v>
      </c>
      <c r="R1248">
        <v>10</v>
      </c>
      <c r="S1248" s="112">
        <v>1500</v>
      </c>
      <c r="T1248" s="5">
        <f>VLOOKUP(TEXT(A1248,"yy-mm")&amp;"-"&amp;IF(AND(WEEKDAY(A1248)&gt;1,WEEKDAY(A1248)&lt;7),"Wkd",TEXT(A1248,"Ddd"))&amp;"-"&amp;TEXT(A1248,"hh"),LoadTable[],3,FALSE)*0.92</f>
        <v>784.39716226323299</v>
      </c>
      <c r="U1248" s="113">
        <f t="shared" si="1276"/>
        <v>78.439716226323299</v>
      </c>
      <c r="V1248">
        <f t="shared" ref="V1248:W1248" si="1309">V1224</f>
        <v>3.5</v>
      </c>
      <c r="W1248">
        <f t="shared" si="1309"/>
        <v>3.1</v>
      </c>
      <c r="X1248" s="9">
        <v>3.0243745</v>
      </c>
      <c r="Y1248" s="39"/>
    </row>
    <row r="1249" spans="1:25" ht="15" thickBot="1">
      <c r="A1249" s="29">
        <f t="shared" si="1258"/>
        <v>45887.916666665624</v>
      </c>
      <c r="B1249" s="30">
        <f t="shared" si="1285"/>
        <v>5000</v>
      </c>
      <c r="C1249" s="8">
        <v>25000</v>
      </c>
      <c r="D1249" s="187">
        <v>0</v>
      </c>
      <c r="E1249" s="187">
        <v>700</v>
      </c>
      <c r="F1249" s="187">
        <v>15000</v>
      </c>
      <c r="G1249" s="30">
        <f t="shared" si="1286"/>
        <v>2400</v>
      </c>
      <c r="H1249" s="8">
        <v>25000</v>
      </c>
      <c r="I1249" s="30">
        <f t="shared" si="1287"/>
        <v>5000</v>
      </c>
      <c r="J1249" s="187">
        <v>40000</v>
      </c>
      <c r="K1249" s="30">
        <f t="shared" si="1288"/>
        <v>5000</v>
      </c>
      <c r="L1249" s="187">
        <v>40000</v>
      </c>
      <c r="M1249" s="110">
        <v>9.5</v>
      </c>
      <c r="N1249" s="9">
        <f>VLOOKUP(DATE(YEAR(A1249),MONTH(A1249),DAY(A1249)),FY24_Temp[],3,FALSE)</f>
        <v>14.5</v>
      </c>
      <c r="O1249" s="110">
        <f t="shared" si="1274"/>
        <v>11.5</v>
      </c>
      <c r="P1249" s="110">
        <f t="shared" si="1275"/>
        <v>19.5</v>
      </c>
      <c r="Q1249" s="79">
        <f>VLOOKUP(VLOOKUP(DATEVALUE(TEXT(A1249,"m/d/yyyy")),FY24_Temp[],5,FALSE)&amp;TEXT(A1249,"-h"),TempDelta[],4,FALSE)</f>
        <v>2.1824284962245395</v>
      </c>
      <c r="R1249">
        <v>10</v>
      </c>
      <c r="S1249" s="112">
        <v>1500</v>
      </c>
      <c r="T1249" s="5">
        <f>VLOOKUP(TEXT(A1249,"yy-mm")&amp;"-"&amp;IF(AND(WEEKDAY(A1249)&gt;1,WEEKDAY(A1249)&lt;7),"Wkd",TEXT(A1249,"Ddd"))&amp;"-"&amp;TEXT(A1249,"hh"),LoadTable[],3,FALSE)*0.92</f>
        <v>600.06900003761973</v>
      </c>
      <c r="U1249" s="113">
        <f t="shared" si="1276"/>
        <v>60.00690000376197</v>
      </c>
      <c r="V1249">
        <f t="shared" ref="V1249:W1249" si="1310">V1225</f>
        <v>2.9</v>
      </c>
      <c r="W1249">
        <f t="shared" si="1310"/>
        <v>3.1</v>
      </c>
      <c r="X1249" s="9">
        <v>2.9841011000000002</v>
      </c>
      <c r="Y1249" s="39"/>
    </row>
    <row r="1250" spans="1:25" ht="15" thickBot="1">
      <c r="A1250" s="29">
        <f t="shared" si="1258"/>
        <v>45887.958333332288</v>
      </c>
      <c r="B1250" s="30">
        <f t="shared" si="1285"/>
        <v>5000</v>
      </c>
      <c r="C1250" s="8">
        <v>25000</v>
      </c>
      <c r="D1250" s="187">
        <v>0</v>
      </c>
      <c r="E1250" s="187">
        <v>700</v>
      </c>
      <c r="F1250" s="187">
        <v>15000</v>
      </c>
      <c r="G1250" s="30">
        <f t="shared" si="1286"/>
        <v>2400</v>
      </c>
      <c r="H1250" s="8">
        <v>25000</v>
      </c>
      <c r="I1250" s="30">
        <f t="shared" si="1287"/>
        <v>5000</v>
      </c>
      <c r="J1250" s="187">
        <v>40000</v>
      </c>
      <c r="K1250" s="30">
        <f t="shared" si="1288"/>
        <v>5000</v>
      </c>
      <c r="L1250" s="187">
        <v>40000</v>
      </c>
      <c r="M1250" s="110">
        <v>9.5</v>
      </c>
      <c r="N1250" s="9">
        <f>VLOOKUP(DATE(YEAR(A1250),MONTH(A1250),DAY(A1250)),FY24_Temp[],3,FALSE)</f>
        <v>14.5</v>
      </c>
      <c r="O1250" s="110">
        <f t="shared" si="1274"/>
        <v>11.5</v>
      </c>
      <c r="P1250" s="110">
        <f t="shared" si="1275"/>
        <v>19.5</v>
      </c>
      <c r="Q1250" s="79">
        <f>VLOOKUP(VLOOKUP(DATEVALUE(TEXT(A1250,"m/d/yyyy")),FY24_Temp[],5,FALSE)&amp;TEXT(A1250,"-h"),TempDelta[],4,FALSE)</f>
        <v>2.3112857682364329</v>
      </c>
      <c r="R1250">
        <v>10</v>
      </c>
      <c r="S1250" s="112">
        <v>1500</v>
      </c>
      <c r="T1250" s="5">
        <f>VLOOKUP(TEXT(A1250,"yy-mm")&amp;"-"&amp;IF(AND(WEEKDAY(A1250)&gt;1,WEEKDAY(A1250)&lt;7),"Wkd",TEXT(A1250,"Ddd"))&amp;"-"&amp;TEXT(A1250,"hh"),LoadTable[],3,FALSE)*0.92</f>
        <v>486.44539999999989</v>
      </c>
      <c r="U1250" s="113">
        <f t="shared" si="1276"/>
        <v>48.644539999999992</v>
      </c>
      <c r="V1250">
        <f t="shared" ref="V1250:W1250" si="1311">V1226</f>
        <v>3.6</v>
      </c>
      <c r="W1250">
        <f t="shared" si="1311"/>
        <v>3.1</v>
      </c>
      <c r="X1250" s="9">
        <v>2.884042</v>
      </c>
      <c r="Y1250" s="39"/>
    </row>
    <row r="1251" spans="1:25" ht="15" thickBot="1">
      <c r="A1251" s="29">
        <f t="shared" si="1258"/>
        <v>45887.999999998952</v>
      </c>
      <c r="B1251" s="30">
        <f t="shared" si="1285"/>
        <v>5000</v>
      </c>
      <c r="C1251" s="8">
        <v>25000</v>
      </c>
      <c r="D1251" s="187">
        <v>0</v>
      </c>
      <c r="E1251" s="187">
        <v>700</v>
      </c>
      <c r="F1251" s="187">
        <v>15000</v>
      </c>
      <c r="G1251" s="30">
        <f t="shared" si="1286"/>
        <v>2400</v>
      </c>
      <c r="H1251" s="8">
        <v>25000</v>
      </c>
      <c r="I1251" s="30">
        <f t="shared" si="1287"/>
        <v>5000</v>
      </c>
      <c r="J1251" s="187">
        <v>40000</v>
      </c>
      <c r="K1251" s="30">
        <f t="shared" si="1288"/>
        <v>5000</v>
      </c>
      <c r="L1251" s="187">
        <v>40000</v>
      </c>
      <c r="M1251" s="110">
        <v>9.5</v>
      </c>
      <c r="N1251" s="9">
        <f>VLOOKUP(DATE(YEAR(A1251),MONTH(A1251),DAY(A1251)),FY24_Temp[],3,FALSE)</f>
        <v>14.5</v>
      </c>
      <c r="O1251" s="110">
        <f t="shared" si="1274"/>
        <v>11.5</v>
      </c>
      <c r="P1251" s="110">
        <f t="shared" si="1275"/>
        <v>19.5</v>
      </c>
      <c r="Q1251" s="79">
        <f>VLOOKUP(VLOOKUP(DATEVALUE(TEXT(A1251,"m/d/yyyy")),FY24_Temp[],5,FALSE)&amp;TEXT(A1251,"-h"),TempDelta[],4,FALSE)</f>
        <v>2.4531428813934326</v>
      </c>
      <c r="R1251">
        <v>10</v>
      </c>
      <c r="S1251" s="112">
        <v>1500</v>
      </c>
      <c r="T1251" s="5">
        <f>VLOOKUP(TEXT(A1251,"yy-mm")&amp;"-"&amp;IF(AND(WEEKDAY(A1251)&gt;1,WEEKDAY(A1251)&lt;7),"Wkd",TEXT(A1251,"Ddd"))&amp;"-"&amp;TEXT(A1251,"hh"),LoadTable[],3,FALSE)*0.92</f>
        <v>372.20164</v>
      </c>
      <c r="U1251" s="113">
        <f t="shared" si="1276"/>
        <v>37.220163999999997</v>
      </c>
      <c r="V1251">
        <f t="shared" ref="V1251:W1251" si="1312">V1227</f>
        <v>3</v>
      </c>
      <c r="W1251">
        <f t="shared" si="1312"/>
        <v>3.2</v>
      </c>
      <c r="X1251" s="9">
        <v>2.8029150999999999</v>
      </c>
      <c r="Y1251" s="39"/>
    </row>
    <row r="1252" spans="1:25" ht="15" thickBot="1">
      <c r="A1252" s="29">
        <f t="shared" si="1258"/>
        <v>45888.041666665617</v>
      </c>
      <c r="B1252" s="30">
        <f t="shared" si="1285"/>
        <v>5000</v>
      </c>
      <c r="C1252" s="8">
        <v>25000</v>
      </c>
      <c r="D1252" s="187">
        <v>0</v>
      </c>
      <c r="E1252" s="187">
        <v>700</v>
      </c>
      <c r="F1252" s="187">
        <v>15000</v>
      </c>
      <c r="G1252" s="30">
        <f t="shared" si="1286"/>
        <v>2400</v>
      </c>
      <c r="H1252" s="8">
        <v>25000</v>
      </c>
      <c r="I1252" s="30">
        <f t="shared" si="1287"/>
        <v>5000</v>
      </c>
      <c r="J1252" s="187">
        <v>40000</v>
      </c>
      <c r="K1252" s="30">
        <f t="shared" si="1288"/>
        <v>5000</v>
      </c>
      <c r="L1252" s="187">
        <v>40000</v>
      </c>
      <c r="M1252" s="110">
        <v>9.5</v>
      </c>
      <c r="N1252" s="9">
        <f>VLOOKUP(DATE(YEAR(A1252),MONTH(A1252),DAY(A1252)),FY24_Temp[],3,FALSE)</f>
        <v>14.5</v>
      </c>
      <c r="O1252" s="110">
        <f t="shared" si="1274"/>
        <v>11.5</v>
      </c>
      <c r="P1252" s="110">
        <f t="shared" si="1275"/>
        <v>19.5</v>
      </c>
      <c r="Q1252" s="79">
        <f>VLOOKUP(VLOOKUP(DATEVALUE(TEXT(A1252,"m/d/yyyy")),FY24_Temp[],5,FALSE)&amp;TEXT(A1252,"-h"),TempDelta[],4,FALSE)</f>
        <v>2.5072856971195767</v>
      </c>
      <c r="R1252">
        <v>10</v>
      </c>
      <c r="S1252" s="112">
        <v>1500</v>
      </c>
      <c r="T1252" s="5">
        <f>VLOOKUP(TEXT(A1252,"yy-mm")&amp;"-"&amp;IF(AND(WEEKDAY(A1252)&gt;1,WEEKDAY(A1252)&lt;7),"Wkd",TEXT(A1252,"Ddd"))&amp;"-"&amp;TEXT(A1252,"hh"),LoadTable[],3,FALSE)*0.92</f>
        <v>363.06235999999996</v>
      </c>
      <c r="U1252" s="113">
        <f t="shared" si="1276"/>
        <v>36.306235999999998</v>
      </c>
      <c r="V1252">
        <f t="shared" ref="V1252:W1252" si="1313">V1228</f>
        <v>2.6</v>
      </c>
      <c r="W1252">
        <f t="shared" si="1313"/>
        <v>3.2</v>
      </c>
      <c r="X1252" s="9">
        <v>2.7528806000000001</v>
      </c>
      <c r="Y1252" s="39"/>
    </row>
    <row r="1253" spans="1:25" ht="15" thickBot="1">
      <c r="A1253" s="29">
        <f t="shared" si="1258"/>
        <v>45888.083333332281</v>
      </c>
      <c r="B1253" s="30">
        <f t="shared" si="1285"/>
        <v>5000</v>
      </c>
      <c r="C1253" s="8">
        <v>25000</v>
      </c>
      <c r="D1253" s="187">
        <v>0</v>
      </c>
      <c r="E1253" s="187">
        <v>700</v>
      </c>
      <c r="F1253" s="187">
        <v>15000</v>
      </c>
      <c r="G1253" s="30">
        <f t="shared" si="1286"/>
        <v>2400</v>
      </c>
      <c r="H1253" s="8">
        <v>25000</v>
      </c>
      <c r="I1253" s="30">
        <f t="shared" si="1287"/>
        <v>5000</v>
      </c>
      <c r="J1253" s="187">
        <v>40000</v>
      </c>
      <c r="K1253" s="30">
        <f t="shared" si="1288"/>
        <v>5000</v>
      </c>
      <c r="L1253" s="187">
        <v>40000</v>
      </c>
      <c r="M1253" s="110">
        <v>9.5</v>
      </c>
      <c r="N1253" s="9">
        <f>VLOOKUP(DATE(YEAR(A1253),MONTH(A1253),DAY(A1253)),FY24_Temp[],3,FALSE)</f>
        <v>14.5</v>
      </c>
      <c r="O1253" s="110">
        <f t="shared" si="1274"/>
        <v>11.5</v>
      </c>
      <c r="P1253" s="110">
        <f t="shared" si="1275"/>
        <v>19.5</v>
      </c>
      <c r="Q1253" s="79">
        <f>VLOOKUP(VLOOKUP(DATEVALUE(TEXT(A1253,"m/d/yyyy")),FY24_Temp[],5,FALSE)&amp;TEXT(A1253,"-h"),TempDelta[],4,FALSE)</f>
        <v>2.5261428356170654</v>
      </c>
      <c r="R1253">
        <v>10</v>
      </c>
      <c r="S1253" s="112">
        <v>1500</v>
      </c>
      <c r="T1253" s="5">
        <f>VLOOKUP(TEXT(A1253,"yy-mm")&amp;"-"&amp;IF(AND(WEEKDAY(A1253)&gt;1,WEEKDAY(A1253)&lt;7),"Wkd",TEXT(A1253,"Ddd"))&amp;"-"&amp;TEXT(A1253,"hh"),LoadTable[],3,FALSE)*0.92</f>
        <v>363.06235999999996</v>
      </c>
      <c r="U1253" s="113">
        <f t="shared" si="1276"/>
        <v>36.306235999999998</v>
      </c>
      <c r="V1253">
        <f t="shared" ref="V1253:W1253" si="1314">V1229</f>
        <v>2.8</v>
      </c>
      <c r="W1253">
        <f t="shared" si="1314"/>
        <v>3.2</v>
      </c>
      <c r="X1253" s="9">
        <v>2.8183205</v>
      </c>
      <c r="Y1253" s="39"/>
    </row>
    <row r="1254" spans="1:25" ht="15" thickBot="1">
      <c r="A1254" s="29">
        <f t="shared" si="1258"/>
        <v>45888.124999998945</v>
      </c>
      <c r="B1254" s="30">
        <f t="shared" si="1285"/>
        <v>5000</v>
      </c>
      <c r="C1254" s="8">
        <v>25000</v>
      </c>
      <c r="D1254" s="187">
        <v>0</v>
      </c>
      <c r="E1254" s="187">
        <v>700</v>
      </c>
      <c r="F1254" s="187">
        <v>15000</v>
      </c>
      <c r="G1254" s="30">
        <f t="shared" si="1286"/>
        <v>2400</v>
      </c>
      <c r="H1254" s="8">
        <v>25000</v>
      </c>
      <c r="I1254" s="30">
        <f t="shared" si="1287"/>
        <v>5000</v>
      </c>
      <c r="J1254" s="187">
        <v>40000</v>
      </c>
      <c r="K1254" s="30">
        <f t="shared" si="1288"/>
        <v>5000</v>
      </c>
      <c r="L1254" s="187">
        <v>40000</v>
      </c>
      <c r="M1254" s="110">
        <v>9.5</v>
      </c>
      <c r="N1254" s="9">
        <f>VLOOKUP(DATE(YEAR(A1254),MONTH(A1254),DAY(A1254)),FY24_Temp[],3,FALSE)</f>
        <v>14.5</v>
      </c>
      <c r="O1254" s="110">
        <f t="shared" si="1274"/>
        <v>11.5</v>
      </c>
      <c r="P1254" s="110">
        <f t="shared" si="1275"/>
        <v>19.5</v>
      </c>
      <c r="Q1254" s="79">
        <f>VLOOKUP(VLOOKUP(DATEVALUE(TEXT(A1254,"m/d/yyyy")),FY24_Temp[],5,FALSE)&amp;TEXT(A1254,"-h"),TempDelta[],4,FALSE)</f>
        <v>2.521428550992693</v>
      </c>
      <c r="R1254">
        <v>10</v>
      </c>
      <c r="S1254" s="112">
        <v>1500</v>
      </c>
      <c r="T1254" s="5">
        <f>VLOOKUP(TEXT(A1254,"yy-mm")&amp;"-"&amp;IF(AND(WEEKDAY(A1254)&gt;1,WEEKDAY(A1254)&lt;7),"Wkd",TEXT(A1254,"Ddd"))&amp;"-"&amp;TEXT(A1254,"hh"),LoadTable[],3,FALSE)*0.92</f>
        <v>363.06235999999996</v>
      </c>
      <c r="U1254" s="113">
        <f t="shared" si="1276"/>
        <v>36.306235999999998</v>
      </c>
      <c r="V1254">
        <f t="shared" ref="V1254:W1254" si="1315">V1230</f>
        <v>2.7</v>
      </c>
      <c r="W1254">
        <f t="shared" si="1315"/>
        <v>3.2</v>
      </c>
      <c r="X1254" s="9">
        <v>2.8701300999999999</v>
      </c>
      <c r="Y1254" s="39"/>
    </row>
    <row r="1255" spans="1:25" ht="15" thickBot="1">
      <c r="A1255" s="29">
        <f t="shared" si="1258"/>
        <v>45888.166666665609</v>
      </c>
      <c r="B1255" s="30">
        <f t="shared" si="1285"/>
        <v>5000</v>
      </c>
      <c r="C1255" s="8">
        <v>25000</v>
      </c>
      <c r="D1255" s="187">
        <v>0</v>
      </c>
      <c r="E1255" s="187">
        <v>700</v>
      </c>
      <c r="F1255" s="187">
        <v>15000</v>
      </c>
      <c r="G1255" s="30">
        <f t="shared" si="1286"/>
        <v>2400</v>
      </c>
      <c r="H1255" s="8">
        <v>25000</v>
      </c>
      <c r="I1255" s="30">
        <f t="shared" si="1287"/>
        <v>5000</v>
      </c>
      <c r="J1255" s="187">
        <v>40000</v>
      </c>
      <c r="K1255" s="30">
        <f t="shared" si="1288"/>
        <v>5000</v>
      </c>
      <c r="L1255" s="187">
        <v>40000</v>
      </c>
      <c r="M1255" s="110">
        <v>9.5</v>
      </c>
      <c r="N1255" s="9">
        <f>VLOOKUP(DATE(YEAR(A1255),MONTH(A1255),DAY(A1255)),FY24_Temp[],3,FALSE)</f>
        <v>14.5</v>
      </c>
      <c r="O1255" s="110">
        <f t="shared" si="1274"/>
        <v>11.5</v>
      </c>
      <c r="P1255" s="110">
        <f t="shared" si="1275"/>
        <v>19.5</v>
      </c>
      <c r="Q1255" s="79">
        <f>VLOOKUP(VLOOKUP(DATEVALUE(TEXT(A1255,"m/d/yyyy")),FY24_Temp[],5,FALSE)&amp;TEXT(A1255,"-h"),TempDelta[],4,FALSE)</f>
        <v>2.5227143423897878</v>
      </c>
      <c r="R1255">
        <v>10</v>
      </c>
      <c r="S1255" s="112">
        <v>1500</v>
      </c>
      <c r="T1255" s="5">
        <f>VLOOKUP(TEXT(A1255,"yy-mm")&amp;"-"&amp;IF(AND(WEEKDAY(A1255)&gt;1,WEEKDAY(A1255)&lt;7),"Wkd",TEXT(A1255,"Ddd"))&amp;"-"&amp;TEXT(A1255,"hh"),LoadTable[],3,FALSE)*0.92</f>
        <v>363.06235999999996</v>
      </c>
      <c r="U1255" s="113">
        <f t="shared" si="1276"/>
        <v>36.306235999999998</v>
      </c>
      <c r="V1255">
        <f t="shared" ref="V1255:W1255" si="1316">V1231</f>
        <v>3</v>
      </c>
      <c r="W1255">
        <f t="shared" si="1316"/>
        <v>3.1</v>
      </c>
      <c r="X1255" s="9">
        <v>2.8984519999999998</v>
      </c>
      <c r="Y1255" s="39"/>
    </row>
    <row r="1256" spans="1:25" ht="15" thickBot="1">
      <c r="A1256" s="29">
        <f t="shared" si="1258"/>
        <v>45888.208333332273</v>
      </c>
      <c r="B1256" s="30">
        <f t="shared" si="1285"/>
        <v>5000</v>
      </c>
      <c r="C1256" s="8">
        <v>25000</v>
      </c>
      <c r="D1256" s="187">
        <v>0</v>
      </c>
      <c r="E1256" s="187">
        <v>700</v>
      </c>
      <c r="F1256" s="187">
        <v>15000</v>
      </c>
      <c r="G1256" s="30">
        <f t="shared" si="1286"/>
        <v>2400</v>
      </c>
      <c r="H1256" s="8">
        <v>25000</v>
      </c>
      <c r="I1256" s="30">
        <f t="shared" si="1287"/>
        <v>5000</v>
      </c>
      <c r="J1256" s="187">
        <v>40000</v>
      </c>
      <c r="K1256" s="30">
        <f t="shared" si="1288"/>
        <v>5000</v>
      </c>
      <c r="L1256" s="187">
        <v>40000</v>
      </c>
      <c r="M1256" s="110">
        <v>9.5</v>
      </c>
      <c r="N1256" s="9">
        <f>VLOOKUP(DATE(YEAR(A1256),MONTH(A1256),DAY(A1256)),FY24_Temp[],3,FALSE)</f>
        <v>14.5</v>
      </c>
      <c r="O1256" s="110">
        <f t="shared" si="1274"/>
        <v>11.5</v>
      </c>
      <c r="P1256" s="110">
        <f t="shared" si="1275"/>
        <v>19.5</v>
      </c>
      <c r="Q1256" s="79">
        <f>VLOOKUP(VLOOKUP(DATEVALUE(TEXT(A1256,"m/d/yyyy")),FY24_Temp[],5,FALSE)&amp;TEXT(A1256,"-h"),TempDelta[],4,FALSE)</f>
        <v>2.5675714015960693</v>
      </c>
      <c r="R1256">
        <v>10</v>
      </c>
      <c r="S1256" s="112">
        <v>1500</v>
      </c>
      <c r="T1256" s="5">
        <f>VLOOKUP(TEXT(A1256,"yy-mm")&amp;"-"&amp;IF(AND(WEEKDAY(A1256)&gt;1,WEEKDAY(A1256)&lt;7),"Wkd",TEXT(A1256,"Ddd"))&amp;"-"&amp;TEXT(A1256,"hh"),LoadTable[],3,FALSE)*0.92</f>
        <v>363.06235999999996</v>
      </c>
      <c r="U1256" s="113">
        <f t="shared" si="1276"/>
        <v>36.306235999999998</v>
      </c>
      <c r="V1256">
        <f t="shared" ref="V1256:W1256" si="1317">V1232</f>
        <v>2.9</v>
      </c>
      <c r="W1256">
        <f t="shared" si="1317"/>
        <v>3.1</v>
      </c>
      <c r="X1256" s="9">
        <v>2.9750345</v>
      </c>
      <c r="Y1256" s="39"/>
    </row>
    <row r="1257" spans="1:25" ht="15" thickBot="1">
      <c r="A1257" s="29">
        <f t="shared" si="1258"/>
        <v>45888.249999998938</v>
      </c>
      <c r="B1257" s="30">
        <f t="shared" si="1285"/>
        <v>8000</v>
      </c>
      <c r="C1257" s="8">
        <v>25000</v>
      </c>
      <c r="D1257" s="187">
        <v>0</v>
      </c>
      <c r="E1257" s="187">
        <v>700</v>
      </c>
      <c r="F1257" s="187">
        <v>15000</v>
      </c>
      <c r="G1257" s="30">
        <f t="shared" si="1286"/>
        <v>2400</v>
      </c>
      <c r="H1257" s="8">
        <v>25000</v>
      </c>
      <c r="I1257" s="30">
        <f t="shared" si="1287"/>
        <v>8000</v>
      </c>
      <c r="J1257" s="187">
        <v>40000</v>
      </c>
      <c r="K1257" s="30">
        <f t="shared" si="1288"/>
        <v>8000</v>
      </c>
      <c r="L1257" s="187">
        <v>40000</v>
      </c>
      <c r="M1257" s="110">
        <v>9.5</v>
      </c>
      <c r="N1257" s="9">
        <f>VLOOKUP(DATE(YEAR(A1257),MONTH(A1257),DAY(A1257)),FY24_Temp[],3,FALSE)</f>
        <v>14.5</v>
      </c>
      <c r="O1257" s="110">
        <f t="shared" si="1274"/>
        <v>11.5</v>
      </c>
      <c r="P1257" s="110">
        <f t="shared" si="1275"/>
        <v>19.5</v>
      </c>
      <c r="Q1257" s="79">
        <f>VLOOKUP(VLOOKUP(DATEVALUE(TEXT(A1257,"m/d/yyyy")),FY24_Temp[],5,FALSE)&amp;TEXT(A1257,"-h"),TempDelta[],4,FALSE)</f>
        <v>2.5785714558192661</v>
      </c>
      <c r="R1257">
        <v>10</v>
      </c>
      <c r="S1257" s="112">
        <v>1500</v>
      </c>
      <c r="T1257" s="5">
        <f>VLOOKUP(TEXT(A1257,"yy-mm")&amp;"-"&amp;IF(AND(WEEKDAY(A1257)&gt;1,WEEKDAY(A1257)&lt;7),"Wkd",TEXT(A1257,"Ddd"))&amp;"-"&amp;TEXT(A1257,"hh"),LoadTable[],3,FALSE)*0.92</f>
        <v>363.06235999999996</v>
      </c>
      <c r="U1257" s="113">
        <f t="shared" si="1276"/>
        <v>36.306235999999998</v>
      </c>
      <c r="V1257">
        <f t="shared" ref="V1257:W1257" si="1318">V1233</f>
        <v>2.5</v>
      </c>
      <c r="W1257">
        <f t="shared" si="1318"/>
        <v>3.1</v>
      </c>
      <c r="X1257" s="9">
        <v>3.0984048999999998</v>
      </c>
      <c r="Y1257" s="39"/>
    </row>
    <row r="1258" spans="1:25" ht="15" thickBot="1">
      <c r="A1258" s="29">
        <f t="shared" si="1258"/>
        <v>45888.291666665602</v>
      </c>
      <c r="B1258" s="30">
        <f t="shared" si="1285"/>
        <v>8000</v>
      </c>
      <c r="C1258" s="8">
        <v>25000</v>
      </c>
      <c r="D1258" s="187">
        <v>0</v>
      </c>
      <c r="E1258" s="187">
        <v>700</v>
      </c>
      <c r="F1258" s="187">
        <v>15000</v>
      </c>
      <c r="G1258" s="30">
        <f t="shared" si="1286"/>
        <v>2400</v>
      </c>
      <c r="H1258" s="8">
        <v>25000</v>
      </c>
      <c r="I1258" s="30">
        <f t="shared" si="1287"/>
        <v>8000</v>
      </c>
      <c r="J1258" s="187">
        <v>40000</v>
      </c>
      <c r="K1258" s="30">
        <f t="shared" si="1288"/>
        <v>8000</v>
      </c>
      <c r="L1258" s="187">
        <v>40000</v>
      </c>
      <c r="M1258" s="110">
        <v>9.5</v>
      </c>
      <c r="N1258" s="9">
        <f>VLOOKUP(DATE(YEAR(A1258),MONTH(A1258),DAY(A1258)),FY24_Temp[],3,FALSE)</f>
        <v>14.5</v>
      </c>
      <c r="O1258" s="110">
        <f t="shared" si="1274"/>
        <v>11.5</v>
      </c>
      <c r="P1258" s="110">
        <f t="shared" si="1275"/>
        <v>19.5</v>
      </c>
      <c r="Q1258" s="79">
        <f>VLOOKUP(VLOOKUP(DATEVALUE(TEXT(A1258,"m/d/yyyy")),FY24_Temp[],5,FALSE)&amp;TEXT(A1258,"-h"),TempDelta[],4,FALSE)</f>
        <v>2.5442857401711598</v>
      </c>
      <c r="R1258">
        <v>10</v>
      </c>
      <c r="S1258" s="112">
        <v>1500</v>
      </c>
      <c r="T1258" s="5">
        <f>VLOOKUP(TEXT(A1258,"yy-mm")&amp;"-"&amp;IF(AND(WEEKDAY(A1258)&gt;1,WEEKDAY(A1258)&lt;7),"Wkd",TEXT(A1258,"Ddd"))&amp;"-"&amp;TEXT(A1258,"hh"),LoadTable[],3,FALSE)*0.92</f>
        <v>352.2091200000001</v>
      </c>
      <c r="U1258" s="113">
        <f t="shared" si="1276"/>
        <v>35.220912000000013</v>
      </c>
      <c r="V1258">
        <f t="shared" ref="V1258:W1258" si="1319">V1234</f>
        <v>2.5</v>
      </c>
      <c r="W1258">
        <f t="shared" si="1319"/>
        <v>3.1</v>
      </c>
      <c r="X1258" s="9">
        <v>3.2419690999999999</v>
      </c>
      <c r="Y1258" s="39"/>
    </row>
    <row r="1259" spans="1:25" ht="15" thickBot="1">
      <c r="A1259" s="29">
        <f t="shared" si="1258"/>
        <v>45888.333333332266</v>
      </c>
      <c r="B1259" s="30">
        <f t="shared" si="1285"/>
        <v>8000</v>
      </c>
      <c r="C1259" s="8">
        <v>25000</v>
      </c>
      <c r="D1259" s="187">
        <v>0</v>
      </c>
      <c r="E1259" s="187">
        <v>700</v>
      </c>
      <c r="F1259" s="187">
        <v>15000</v>
      </c>
      <c r="G1259" s="30">
        <f t="shared" si="1286"/>
        <v>2400</v>
      </c>
      <c r="H1259" s="8">
        <v>25000</v>
      </c>
      <c r="I1259" s="30">
        <f t="shared" si="1287"/>
        <v>8000</v>
      </c>
      <c r="J1259" s="187">
        <v>40000</v>
      </c>
      <c r="K1259" s="30">
        <f t="shared" si="1288"/>
        <v>8000</v>
      </c>
      <c r="L1259" s="187">
        <v>40000</v>
      </c>
      <c r="M1259" s="110">
        <v>9.5</v>
      </c>
      <c r="N1259" s="9">
        <f>VLOOKUP(DATE(YEAR(A1259),MONTH(A1259),DAY(A1259)),FY24_Temp[],3,FALSE)</f>
        <v>14.5</v>
      </c>
      <c r="O1259" s="110">
        <f t="shared" si="1274"/>
        <v>11.5</v>
      </c>
      <c r="P1259" s="110">
        <f t="shared" si="1275"/>
        <v>19.5</v>
      </c>
      <c r="Q1259" s="79">
        <f>VLOOKUP(VLOOKUP(DATEVALUE(TEXT(A1259,"m/d/yyyy")),FY24_Temp[],5,FALSE)&amp;TEXT(A1259,"-h"),TempDelta[],4,FALSE)</f>
        <v>2.4372856957571849</v>
      </c>
      <c r="R1259">
        <v>10</v>
      </c>
      <c r="S1259" s="112">
        <v>1500</v>
      </c>
      <c r="T1259" s="5">
        <f>VLOOKUP(TEXT(A1259,"yy-mm")&amp;"-"&amp;IF(AND(WEEKDAY(A1259)&gt;1,WEEKDAY(A1259)&lt;7),"Wkd",TEXT(A1259,"Ddd"))&amp;"-"&amp;TEXT(A1259,"hh"),LoadTable[],3,FALSE)*0.92</f>
        <v>352.2091200000001</v>
      </c>
      <c r="U1259" s="113">
        <f t="shared" si="1276"/>
        <v>35.220912000000013</v>
      </c>
      <c r="V1259">
        <f t="shared" ref="V1259:W1259" si="1320">V1235</f>
        <v>3.2</v>
      </c>
      <c r="W1259">
        <f t="shared" si="1320"/>
        <v>3</v>
      </c>
      <c r="X1259" s="9">
        <v>3.3028612000000002</v>
      </c>
      <c r="Y1259" s="39"/>
    </row>
    <row r="1260" spans="1:25" ht="15" thickBot="1">
      <c r="A1260" s="29">
        <f t="shared" si="1258"/>
        <v>45888.37499999893</v>
      </c>
      <c r="B1260" s="30">
        <f t="shared" si="1285"/>
        <v>8000</v>
      </c>
      <c r="C1260" s="8">
        <v>25000</v>
      </c>
      <c r="D1260" s="187">
        <v>0</v>
      </c>
      <c r="E1260" s="187">
        <v>700</v>
      </c>
      <c r="F1260" s="187">
        <v>15000</v>
      </c>
      <c r="G1260" s="30">
        <f t="shared" si="1286"/>
        <v>2400</v>
      </c>
      <c r="H1260" s="8">
        <v>25000</v>
      </c>
      <c r="I1260" s="30">
        <f t="shared" si="1287"/>
        <v>8000</v>
      </c>
      <c r="J1260" s="187">
        <v>40000</v>
      </c>
      <c r="K1260" s="30">
        <f t="shared" si="1288"/>
        <v>8000</v>
      </c>
      <c r="L1260" s="187">
        <v>40000</v>
      </c>
      <c r="M1260" s="110">
        <v>9.5</v>
      </c>
      <c r="N1260" s="9">
        <f>VLOOKUP(DATE(YEAR(A1260),MONTH(A1260),DAY(A1260)),FY24_Temp[],3,FALSE)</f>
        <v>14.5</v>
      </c>
      <c r="O1260" s="110">
        <f t="shared" si="1274"/>
        <v>11.5</v>
      </c>
      <c r="P1260" s="110">
        <f t="shared" si="1275"/>
        <v>19.5</v>
      </c>
      <c r="Q1260" s="79">
        <f>VLOOKUP(VLOOKUP(DATEVALUE(TEXT(A1260,"m/d/yyyy")),FY24_Temp[],5,FALSE)&amp;TEXT(A1260,"-h"),TempDelta[],4,FALSE)</f>
        <v>2.254857131413051</v>
      </c>
      <c r="R1260">
        <v>10</v>
      </c>
      <c r="S1260" s="112">
        <v>1500</v>
      </c>
      <c r="T1260" s="5">
        <f>VLOOKUP(TEXT(A1260,"yy-mm")&amp;"-"&amp;IF(AND(WEEKDAY(A1260)&gt;1,WEEKDAY(A1260)&lt;7),"Wkd",TEXT(A1260,"Ddd"))&amp;"-"&amp;TEXT(A1260,"hh"),LoadTable[],3,FALSE)*0.92</f>
        <v>340.60949077857163</v>
      </c>
      <c r="U1260" s="113">
        <f t="shared" si="1276"/>
        <v>34.06094907785716</v>
      </c>
      <c r="V1260">
        <f t="shared" ref="V1260:W1260" si="1321">V1236</f>
        <v>2.9</v>
      </c>
      <c r="W1260">
        <f t="shared" si="1321"/>
        <v>3</v>
      </c>
      <c r="X1260" s="9">
        <v>3.3453672000000001</v>
      </c>
      <c r="Y1260" s="39"/>
    </row>
    <row r="1261" spans="1:25" ht="15" thickBot="1">
      <c r="A1261" s="29">
        <f t="shared" si="1258"/>
        <v>45888.416666665595</v>
      </c>
      <c r="B1261" s="30">
        <f t="shared" si="1285"/>
        <v>8000</v>
      </c>
      <c r="C1261" s="8">
        <v>25000</v>
      </c>
      <c r="D1261" s="187">
        <v>0</v>
      </c>
      <c r="E1261" s="187">
        <v>700</v>
      </c>
      <c r="F1261" s="187">
        <v>15000</v>
      </c>
      <c r="G1261" s="30">
        <f t="shared" si="1286"/>
        <v>2400</v>
      </c>
      <c r="H1261" s="8">
        <v>25000</v>
      </c>
      <c r="I1261" s="30">
        <f t="shared" si="1287"/>
        <v>8000</v>
      </c>
      <c r="J1261" s="187">
        <v>40000</v>
      </c>
      <c r="K1261" s="30">
        <f t="shared" si="1288"/>
        <v>8000</v>
      </c>
      <c r="L1261" s="187">
        <v>40000</v>
      </c>
      <c r="M1261" s="110">
        <v>9.5</v>
      </c>
      <c r="N1261" s="9">
        <f>VLOOKUP(DATE(YEAR(A1261),MONTH(A1261),DAY(A1261)),FY24_Temp[],3,FALSE)</f>
        <v>14.5</v>
      </c>
      <c r="O1261" s="110">
        <f t="shared" si="1274"/>
        <v>11.5</v>
      </c>
      <c r="P1261" s="110">
        <f t="shared" si="1275"/>
        <v>19.5</v>
      </c>
      <c r="Q1261" s="79">
        <f>VLOOKUP(VLOOKUP(DATEVALUE(TEXT(A1261,"m/d/yyyy")),FY24_Temp[],5,FALSE)&amp;TEXT(A1261,"-h"),TempDelta[],4,FALSE)</f>
        <v>2.044999991144453</v>
      </c>
      <c r="R1261">
        <v>10</v>
      </c>
      <c r="S1261" s="112">
        <v>1500</v>
      </c>
      <c r="T1261" s="5">
        <f>VLOOKUP(TEXT(A1261,"yy-mm")&amp;"-"&amp;IF(AND(WEEKDAY(A1261)&gt;1,WEEKDAY(A1261)&lt;7),"Wkd",TEXT(A1261,"Ddd"))&amp;"-"&amp;TEXT(A1261,"hh"),LoadTable[],3,FALSE)*0.92</f>
        <v>338.44093501457746</v>
      </c>
      <c r="U1261" s="113">
        <f t="shared" si="1276"/>
        <v>33.844093501457749</v>
      </c>
      <c r="V1261">
        <f t="shared" ref="V1261:W1261" si="1322">V1237</f>
        <v>2.9</v>
      </c>
      <c r="W1261">
        <f t="shared" si="1322"/>
        <v>3</v>
      </c>
      <c r="X1261" s="9">
        <v>3.4101639000000001</v>
      </c>
      <c r="Y1261" s="39"/>
    </row>
    <row r="1262" spans="1:25" ht="15" thickBot="1">
      <c r="A1262" s="29">
        <f t="shared" si="1258"/>
        <v>45888.458333332259</v>
      </c>
      <c r="B1262" s="30">
        <f t="shared" si="1285"/>
        <v>8000</v>
      </c>
      <c r="C1262" s="8">
        <v>25000</v>
      </c>
      <c r="D1262" s="187">
        <v>0</v>
      </c>
      <c r="E1262" s="187">
        <v>700</v>
      </c>
      <c r="F1262" s="187">
        <v>15000</v>
      </c>
      <c r="G1262" s="30">
        <f t="shared" si="1286"/>
        <v>2400</v>
      </c>
      <c r="H1262" s="8">
        <v>25000</v>
      </c>
      <c r="I1262" s="30">
        <f t="shared" si="1287"/>
        <v>8000</v>
      </c>
      <c r="J1262" s="187">
        <v>40000</v>
      </c>
      <c r="K1262" s="30">
        <f t="shared" si="1288"/>
        <v>8000</v>
      </c>
      <c r="L1262" s="187">
        <v>40000</v>
      </c>
      <c r="M1262" s="110">
        <v>9.5</v>
      </c>
      <c r="N1262" s="9">
        <f>VLOOKUP(DATE(YEAR(A1262),MONTH(A1262),DAY(A1262)),FY24_Temp[],3,FALSE)</f>
        <v>14.5</v>
      </c>
      <c r="O1262" s="110">
        <f t="shared" si="1274"/>
        <v>11.5</v>
      </c>
      <c r="P1262" s="110">
        <f t="shared" si="1275"/>
        <v>19.5</v>
      </c>
      <c r="Q1262" s="79">
        <f>VLOOKUP(VLOOKUP(DATEVALUE(TEXT(A1262,"m/d/yyyy")),FY24_Temp[],5,FALSE)&amp;TEXT(A1262,"-h"),TempDelta[],4,FALSE)</f>
        <v>1.7985714163099016</v>
      </c>
      <c r="R1262">
        <v>10</v>
      </c>
      <c r="S1262" s="112">
        <v>1500</v>
      </c>
      <c r="T1262" s="5">
        <f>VLOOKUP(TEXT(A1262,"yy-mm")&amp;"-"&amp;IF(AND(WEEKDAY(A1262)&gt;1,WEEKDAY(A1262)&lt;7),"Wkd",TEXT(A1262,"Ddd"))&amp;"-"&amp;TEXT(A1262,"hh"),LoadTable[],3,FALSE)*0.92</f>
        <v>338.44093501457746</v>
      </c>
      <c r="U1262" s="113">
        <f t="shared" si="1276"/>
        <v>33.844093501457749</v>
      </c>
      <c r="V1262">
        <f t="shared" ref="V1262:W1262" si="1323">V1238</f>
        <v>3.4</v>
      </c>
      <c r="W1262">
        <f t="shared" si="1323"/>
        <v>3</v>
      </c>
      <c r="X1262" s="9">
        <v>3.3558118000000001</v>
      </c>
      <c r="Y1262" s="39"/>
    </row>
    <row r="1263" spans="1:25" ht="15" thickBot="1">
      <c r="A1263" s="29">
        <f t="shared" si="1258"/>
        <v>45888.499999998923</v>
      </c>
      <c r="B1263" s="30">
        <f t="shared" si="1285"/>
        <v>8000</v>
      </c>
      <c r="C1263" s="8">
        <v>25000</v>
      </c>
      <c r="D1263" s="187">
        <v>0</v>
      </c>
      <c r="E1263" s="187">
        <v>700</v>
      </c>
      <c r="F1263" s="187">
        <v>15000</v>
      </c>
      <c r="G1263" s="30">
        <f t="shared" si="1286"/>
        <v>2400</v>
      </c>
      <c r="H1263" s="8">
        <v>25000</v>
      </c>
      <c r="I1263" s="30">
        <f t="shared" si="1287"/>
        <v>8000</v>
      </c>
      <c r="J1263" s="187">
        <v>40000</v>
      </c>
      <c r="K1263" s="30">
        <f t="shared" si="1288"/>
        <v>8000</v>
      </c>
      <c r="L1263" s="187">
        <v>40000</v>
      </c>
      <c r="M1263" s="110">
        <v>9.5</v>
      </c>
      <c r="N1263" s="9">
        <f>VLOOKUP(DATE(YEAR(A1263),MONTH(A1263),DAY(A1263)),FY24_Temp[],3,FALSE)</f>
        <v>14.5</v>
      </c>
      <c r="O1263" s="110">
        <f t="shared" si="1274"/>
        <v>11.5</v>
      </c>
      <c r="P1263" s="110">
        <f t="shared" si="1275"/>
        <v>19.5</v>
      </c>
      <c r="Q1263" s="79">
        <f>VLOOKUP(VLOOKUP(DATEVALUE(TEXT(A1263,"m/d/yyyy")),FY24_Temp[],5,FALSE)&amp;TEXT(A1263,"-h"),TempDelta[],4,FALSE)</f>
        <v>1.5495714289801461</v>
      </c>
      <c r="R1263">
        <v>10</v>
      </c>
      <c r="S1263" s="112">
        <v>1500</v>
      </c>
      <c r="T1263" s="5">
        <f>VLOOKUP(TEXT(A1263,"yy-mm")&amp;"-"&amp;IF(AND(WEEKDAY(A1263)&gt;1,WEEKDAY(A1263)&lt;7),"Wkd",TEXT(A1263,"Ddd"))&amp;"-"&amp;TEXT(A1263,"hh"),LoadTable[],3,FALSE)*0.92</f>
        <v>338.44093501457746</v>
      </c>
      <c r="U1263" s="113">
        <f t="shared" si="1276"/>
        <v>33.844093501457749</v>
      </c>
      <c r="V1263">
        <f t="shared" ref="V1263:W1263" si="1324">V1239</f>
        <v>3.1</v>
      </c>
      <c r="W1263">
        <f t="shared" si="1324"/>
        <v>2.9</v>
      </c>
      <c r="X1263" s="9">
        <v>3.2249721999999998</v>
      </c>
      <c r="Y1263" s="39"/>
    </row>
    <row r="1264" spans="1:25" ht="15" thickBot="1">
      <c r="A1264" s="29">
        <f t="shared" si="1258"/>
        <v>45888.541666665587</v>
      </c>
      <c r="B1264" s="30">
        <f t="shared" si="1285"/>
        <v>8000</v>
      </c>
      <c r="C1264" s="8">
        <v>25000</v>
      </c>
      <c r="D1264" s="187">
        <v>0</v>
      </c>
      <c r="E1264" s="187">
        <v>700</v>
      </c>
      <c r="F1264" s="187">
        <v>15000</v>
      </c>
      <c r="G1264" s="30">
        <f t="shared" si="1286"/>
        <v>2400</v>
      </c>
      <c r="H1264" s="8">
        <v>25000</v>
      </c>
      <c r="I1264" s="30">
        <f t="shared" si="1287"/>
        <v>8000</v>
      </c>
      <c r="J1264" s="187">
        <v>40000</v>
      </c>
      <c r="K1264" s="30">
        <f t="shared" si="1288"/>
        <v>8000</v>
      </c>
      <c r="L1264" s="187">
        <v>40000</v>
      </c>
      <c r="M1264" s="110">
        <v>9.5</v>
      </c>
      <c r="N1264" s="9">
        <f>VLOOKUP(DATE(YEAR(A1264),MONTH(A1264),DAY(A1264)),FY24_Temp[],3,FALSE)</f>
        <v>14.5</v>
      </c>
      <c r="O1264" s="110">
        <f t="shared" si="1274"/>
        <v>11.5</v>
      </c>
      <c r="P1264" s="110">
        <f t="shared" si="1275"/>
        <v>19.5</v>
      </c>
      <c r="Q1264" s="79">
        <f>VLOOKUP(VLOOKUP(DATEVALUE(TEXT(A1264,"m/d/yyyy")),FY24_Temp[],5,FALSE)&amp;TEXT(A1264,"-h"),TempDelta[],4,FALSE)</f>
        <v>1.3002856969833374</v>
      </c>
      <c r="R1264">
        <v>10</v>
      </c>
      <c r="S1264" s="112">
        <v>1500</v>
      </c>
      <c r="T1264" s="5">
        <f>VLOOKUP(TEXT(A1264,"yy-mm")&amp;"-"&amp;IF(AND(WEEKDAY(A1264)&gt;1,WEEKDAY(A1264)&lt;7),"Wkd",TEXT(A1264,"Ddd"))&amp;"-"&amp;TEXT(A1264,"hh"),LoadTable[],3,FALSE)*0.92</f>
        <v>389.90980000000025</v>
      </c>
      <c r="U1264" s="113">
        <f t="shared" si="1276"/>
        <v>38.990980000000022</v>
      </c>
      <c r="V1264">
        <f t="shared" ref="V1264:W1264" si="1325">V1240</f>
        <v>3.2</v>
      </c>
      <c r="W1264">
        <f t="shared" si="1325"/>
        <v>2.9</v>
      </c>
      <c r="X1264" s="9">
        <v>3.0427005</v>
      </c>
      <c r="Y1264" s="39"/>
    </row>
    <row r="1265" spans="1:25" ht="15" thickBot="1">
      <c r="A1265" s="29">
        <f t="shared" si="1258"/>
        <v>45888.583333332252</v>
      </c>
      <c r="B1265" s="30">
        <f t="shared" si="1285"/>
        <v>8000</v>
      </c>
      <c r="C1265" s="8">
        <v>25000</v>
      </c>
      <c r="D1265" s="187">
        <v>0</v>
      </c>
      <c r="E1265" s="187">
        <v>700</v>
      </c>
      <c r="F1265" s="187">
        <v>15000</v>
      </c>
      <c r="G1265" s="30">
        <f t="shared" si="1286"/>
        <v>2400</v>
      </c>
      <c r="H1265" s="8">
        <v>25000</v>
      </c>
      <c r="I1265" s="30">
        <f t="shared" si="1287"/>
        <v>8000</v>
      </c>
      <c r="J1265" s="187">
        <v>40000</v>
      </c>
      <c r="K1265" s="30">
        <f t="shared" si="1288"/>
        <v>8000</v>
      </c>
      <c r="L1265" s="187">
        <v>40000</v>
      </c>
      <c r="M1265" s="110">
        <v>9.5</v>
      </c>
      <c r="N1265" s="9">
        <f>VLOOKUP(DATE(YEAR(A1265),MONTH(A1265),DAY(A1265)),FY24_Temp[],3,FALSE)</f>
        <v>14.5</v>
      </c>
      <c r="O1265" s="110">
        <f t="shared" si="1274"/>
        <v>11.5</v>
      </c>
      <c r="P1265" s="110">
        <f t="shared" si="1275"/>
        <v>19.5</v>
      </c>
      <c r="Q1265" s="79">
        <f>VLOOKUP(VLOOKUP(DATEVALUE(TEXT(A1265,"m/d/yyyy")),FY24_Temp[],5,FALSE)&amp;TEXT(A1265,"-h"),TempDelta[],4,FALSE)</f>
        <v>1.065142844404493</v>
      </c>
      <c r="R1265">
        <v>10</v>
      </c>
      <c r="S1265" s="112">
        <v>1500</v>
      </c>
      <c r="T1265" s="5">
        <f>VLOOKUP(TEXT(A1265,"yy-mm")&amp;"-"&amp;IF(AND(WEEKDAY(A1265)&gt;1,WEEKDAY(A1265)&lt;7),"Wkd",TEXT(A1265,"Ddd"))&amp;"-"&amp;TEXT(A1265,"hh"),LoadTable[],3,FALSE)*0.92</f>
        <v>625.53652000000022</v>
      </c>
      <c r="U1265" s="113">
        <f t="shared" si="1276"/>
        <v>62.553652000000021</v>
      </c>
      <c r="V1265">
        <f t="shared" ref="V1265:W1265" si="1326">V1241</f>
        <v>3.5</v>
      </c>
      <c r="W1265">
        <f t="shared" si="1326"/>
        <v>2.9</v>
      </c>
      <c r="X1265" s="9">
        <v>2.944293</v>
      </c>
      <c r="Y1265" s="39"/>
    </row>
    <row r="1266" spans="1:25" ht="15" thickBot="1">
      <c r="A1266" s="29">
        <f t="shared" si="1258"/>
        <v>45888.624999998916</v>
      </c>
      <c r="B1266" s="30">
        <f t="shared" si="1285"/>
        <v>8000</v>
      </c>
      <c r="C1266" s="8">
        <v>25000</v>
      </c>
      <c r="D1266" s="187">
        <v>0</v>
      </c>
      <c r="E1266" s="187">
        <v>700</v>
      </c>
      <c r="F1266" s="187">
        <v>15000</v>
      </c>
      <c r="G1266" s="30">
        <f t="shared" si="1286"/>
        <v>2400</v>
      </c>
      <c r="H1266" s="8">
        <v>25000</v>
      </c>
      <c r="I1266" s="30">
        <f t="shared" si="1287"/>
        <v>8000</v>
      </c>
      <c r="J1266" s="187">
        <v>40000</v>
      </c>
      <c r="K1266" s="30">
        <f t="shared" si="1288"/>
        <v>8000</v>
      </c>
      <c r="L1266" s="187">
        <v>40000</v>
      </c>
      <c r="M1266" s="110">
        <v>9.5</v>
      </c>
      <c r="N1266" s="9">
        <f>VLOOKUP(DATE(YEAR(A1266),MONTH(A1266),DAY(A1266)),FY24_Temp[],3,FALSE)</f>
        <v>14.5</v>
      </c>
      <c r="O1266" s="110">
        <f t="shared" si="1274"/>
        <v>11.5</v>
      </c>
      <c r="P1266" s="110">
        <f t="shared" si="1275"/>
        <v>19.5</v>
      </c>
      <c r="Q1266" s="79">
        <f>VLOOKUP(VLOOKUP(DATEVALUE(TEXT(A1266,"m/d/yyyy")),FY24_Temp[],5,FALSE)&amp;TEXT(A1266,"-h"),TempDelta[],4,FALSE)</f>
        <v>0.74900000010217938</v>
      </c>
      <c r="R1266">
        <v>10</v>
      </c>
      <c r="S1266" s="112">
        <v>1500</v>
      </c>
      <c r="T1266" s="5">
        <f>VLOOKUP(TEXT(A1266,"yy-mm")&amp;"-"&amp;IF(AND(WEEKDAY(A1266)&gt;1,WEEKDAY(A1266)&lt;7),"Wkd",TEXT(A1266,"Ddd"))&amp;"-"&amp;TEXT(A1266,"hh"),LoadTable[],3,FALSE)*0.92</f>
        <v>699.79524000000038</v>
      </c>
      <c r="U1266" s="113">
        <f t="shared" si="1276"/>
        <v>69.97952400000004</v>
      </c>
      <c r="V1266">
        <f t="shared" ref="V1266:W1266" si="1327">V1242</f>
        <v>3.2</v>
      </c>
      <c r="W1266">
        <f t="shared" si="1327"/>
        <v>2.9</v>
      </c>
      <c r="X1266" s="9">
        <v>3.0806775000000002</v>
      </c>
      <c r="Y1266" s="39"/>
    </row>
    <row r="1267" spans="1:25" ht="15" thickBot="1">
      <c r="A1267" s="29">
        <f t="shared" si="1258"/>
        <v>45888.66666666558</v>
      </c>
      <c r="B1267" s="30">
        <f t="shared" si="1285"/>
        <v>8000</v>
      </c>
      <c r="C1267" s="8">
        <v>25000</v>
      </c>
      <c r="D1267" s="187">
        <v>0</v>
      </c>
      <c r="E1267" s="187">
        <v>700</v>
      </c>
      <c r="F1267" s="187">
        <v>15000</v>
      </c>
      <c r="G1267" s="30">
        <f t="shared" si="1286"/>
        <v>2400</v>
      </c>
      <c r="H1267" s="8">
        <v>25000</v>
      </c>
      <c r="I1267" s="30">
        <f t="shared" si="1287"/>
        <v>8000</v>
      </c>
      <c r="J1267" s="187">
        <v>40000</v>
      </c>
      <c r="K1267" s="30">
        <f t="shared" si="1288"/>
        <v>8000</v>
      </c>
      <c r="L1267" s="187">
        <v>40000</v>
      </c>
      <c r="M1267" s="110">
        <v>9.5</v>
      </c>
      <c r="N1267" s="9">
        <f>VLOOKUP(DATE(YEAR(A1267),MONTH(A1267),DAY(A1267)),FY24_Temp[],3,FALSE)</f>
        <v>14.5</v>
      </c>
      <c r="O1267" s="110">
        <f t="shared" si="1274"/>
        <v>11.5</v>
      </c>
      <c r="P1267" s="110">
        <f t="shared" si="1275"/>
        <v>19.5</v>
      </c>
      <c r="Q1267" s="79">
        <f>VLOOKUP(VLOOKUP(DATEVALUE(TEXT(A1267,"m/d/yyyy")),FY24_Temp[],5,FALSE)&amp;TEXT(A1267,"-h"),TempDelta[],4,FALSE)</f>
        <v>0.60964286114488331</v>
      </c>
      <c r="R1267">
        <v>10</v>
      </c>
      <c r="S1267" s="112">
        <v>1500</v>
      </c>
      <c r="T1267" s="5">
        <f>VLOOKUP(TEXT(A1267,"yy-mm")&amp;"-"&amp;IF(AND(WEEKDAY(A1267)&gt;1,WEEKDAY(A1267)&lt;7),"Wkd",TEXT(A1267,"Ddd"))&amp;"-"&amp;TEXT(A1267,"hh"),LoadTable[],3,FALSE)*0.92</f>
        <v>786.27137399656624</v>
      </c>
      <c r="U1267" s="113">
        <f t="shared" si="1276"/>
        <v>78.627137399656618</v>
      </c>
      <c r="V1267">
        <f t="shared" ref="V1267:W1267" si="1328">V1243</f>
        <v>3.5</v>
      </c>
      <c r="W1267">
        <f t="shared" si="1328"/>
        <v>3</v>
      </c>
      <c r="X1267" s="9">
        <v>3.3692913</v>
      </c>
      <c r="Y1267" s="39"/>
    </row>
    <row r="1268" spans="1:25" ht="15" thickBot="1">
      <c r="A1268" s="29">
        <f t="shared" si="1258"/>
        <v>45888.708333332244</v>
      </c>
      <c r="B1268" s="30">
        <f t="shared" si="1285"/>
        <v>8000</v>
      </c>
      <c r="C1268" s="8">
        <v>25000</v>
      </c>
      <c r="D1268" s="187">
        <v>0</v>
      </c>
      <c r="E1268" s="187">
        <v>700</v>
      </c>
      <c r="F1268" s="187">
        <v>15000</v>
      </c>
      <c r="G1268" s="30">
        <f t="shared" si="1286"/>
        <v>2400</v>
      </c>
      <c r="H1268" s="8">
        <v>25000</v>
      </c>
      <c r="I1268" s="30">
        <f t="shared" si="1287"/>
        <v>8000</v>
      </c>
      <c r="J1268" s="187">
        <v>40000</v>
      </c>
      <c r="K1268" s="30">
        <f t="shared" si="1288"/>
        <v>8000</v>
      </c>
      <c r="L1268" s="187">
        <v>40000</v>
      </c>
      <c r="M1268" s="110">
        <v>9.5</v>
      </c>
      <c r="N1268" s="9">
        <f>VLOOKUP(DATE(YEAR(A1268),MONTH(A1268),DAY(A1268)),FY24_Temp[],3,FALSE)</f>
        <v>14.5</v>
      </c>
      <c r="O1268" s="110">
        <f t="shared" si="1274"/>
        <v>11.5</v>
      </c>
      <c r="P1268" s="110">
        <f t="shared" si="1275"/>
        <v>19.5</v>
      </c>
      <c r="Q1268" s="79">
        <f>VLOOKUP(VLOOKUP(DATEVALUE(TEXT(A1268,"m/d/yyyy")),FY24_Temp[],5,FALSE)&amp;TEXT(A1268,"-h"),TempDelta[],4,FALSE)</f>
        <v>0.63592857335294994</v>
      </c>
      <c r="R1268">
        <v>10</v>
      </c>
      <c r="S1268" s="112">
        <v>1500</v>
      </c>
      <c r="T1268" s="5">
        <f>VLOOKUP(TEXT(A1268,"yy-mm")&amp;"-"&amp;IF(AND(WEEKDAY(A1268)&gt;1,WEEKDAY(A1268)&lt;7),"Wkd",TEXT(A1268,"Ddd"))&amp;"-"&amp;TEXT(A1268,"hh"),LoadTable[],3,FALSE)*0.92</f>
        <v>786.27137399656624</v>
      </c>
      <c r="U1268" s="113">
        <f t="shared" si="1276"/>
        <v>78.627137399656618</v>
      </c>
      <c r="V1268">
        <f t="shared" ref="V1268:W1268" si="1329">V1244</f>
        <v>3.6</v>
      </c>
      <c r="W1268">
        <f t="shared" si="1329"/>
        <v>3</v>
      </c>
      <c r="X1268" s="9">
        <v>3.2623432000000001</v>
      </c>
      <c r="Y1268" s="39"/>
    </row>
    <row r="1269" spans="1:25" ht="15" thickBot="1">
      <c r="A1269" s="29">
        <f t="shared" ref="A1269:A1332" si="1330">A1268+TIME(1,0,0)</f>
        <v>45888.749999998909</v>
      </c>
      <c r="B1269" s="30">
        <f t="shared" si="1285"/>
        <v>5000</v>
      </c>
      <c r="C1269" s="8">
        <v>25000</v>
      </c>
      <c r="D1269" s="187">
        <v>0</v>
      </c>
      <c r="E1269" s="187">
        <v>700</v>
      </c>
      <c r="F1269" s="187">
        <v>15000</v>
      </c>
      <c r="G1269" s="30">
        <f t="shared" si="1286"/>
        <v>2400</v>
      </c>
      <c r="H1269" s="8">
        <v>25000</v>
      </c>
      <c r="I1269" s="30">
        <f t="shared" si="1287"/>
        <v>5000</v>
      </c>
      <c r="J1269" s="187">
        <v>40000</v>
      </c>
      <c r="K1269" s="30">
        <f t="shared" si="1288"/>
        <v>5000</v>
      </c>
      <c r="L1269" s="187">
        <v>40000</v>
      </c>
      <c r="M1269" s="110">
        <v>9.5</v>
      </c>
      <c r="N1269" s="9">
        <f>VLOOKUP(DATE(YEAR(A1269),MONTH(A1269),DAY(A1269)),FY24_Temp[],3,FALSE)</f>
        <v>14.5</v>
      </c>
      <c r="O1269" s="110">
        <f t="shared" si="1274"/>
        <v>11.5</v>
      </c>
      <c r="P1269" s="110">
        <f t="shared" si="1275"/>
        <v>19.5</v>
      </c>
      <c r="Q1269" s="79">
        <f>VLOOKUP(VLOOKUP(DATEVALUE(TEXT(A1269,"m/d/yyyy")),FY24_Temp[],5,FALSE)&amp;TEXT(A1269,"-h"),TempDelta[],4,FALSE)</f>
        <v>0.84400000316756107</v>
      </c>
      <c r="R1269">
        <v>10</v>
      </c>
      <c r="S1269" s="112">
        <v>1500</v>
      </c>
      <c r="T1269" s="5">
        <f>VLOOKUP(TEXT(A1269,"yy-mm")&amp;"-"&amp;IF(AND(WEEKDAY(A1269)&gt;1,WEEKDAY(A1269)&lt;7),"Wkd",TEXT(A1269,"Ddd"))&amp;"-"&amp;TEXT(A1269,"hh"),LoadTable[],3,FALSE)*0.92</f>
        <v>786.27137399656647</v>
      </c>
      <c r="U1269" s="113">
        <f t="shared" si="1276"/>
        <v>78.627137399656647</v>
      </c>
      <c r="V1269">
        <f t="shared" ref="V1269:W1269" si="1331">V1245</f>
        <v>2.9</v>
      </c>
      <c r="W1269">
        <f t="shared" si="1331"/>
        <v>3</v>
      </c>
      <c r="X1269" s="9">
        <v>3.2066696000000001</v>
      </c>
      <c r="Y1269" s="39"/>
    </row>
    <row r="1270" spans="1:25" ht="15" thickBot="1">
      <c r="A1270" s="29">
        <f t="shared" si="1330"/>
        <v>45888.791666665573</v>
      </c>
      <c r="B1270" s="30">
        <f t="shared" si="1285"/>
        <v>5000</v>
      </c>
      <c r="C1270" s="8">
        <v>25000</v>
      </c>
      <c r="D1270" s="187">
        <v>0</v>
      </c>
      <c r="E1270" s="187">
        <v>700</v>
      </c>
      <c r="F1270" s="187">
        <v>15000</v>
      </c>
      <c r="G1270" s="30">
        <f t="shared" si="1286"/>
        <v>2400</v>
      </c>
      <c r="H1270" s="8">
        <v>25000</v>
      </c>
      <c r="I1270" s="30">
        <f t="shared" si="1287"/>
        <v>5000</v>
      </c>
      <c r="J1270" s="187">
        <v>40000</v>
      </c>
      <c r="K1270" s="30">
        <f t="shared" si="1288"/>
        <v>5000</v>
      </c>
      <c r="L1270" s="187">
        <v>40000</v>
      </c>
      <c r="M1270" s="110">
        <v>9.5</v>
      </c>
      <c r="N1270" s="9">
        <f>VLOOKUP(DATE(YEAR(A1270),MONTH(A1270),DAY(A1270)),FY24_Temp[],3,FALSE)</f>
        <v>14.5</v>
      </c>
      <c r="O1270" s="110">
        <f t="shared" si="1274"/>
        <v>11.5</v>
      </c>
      <c r="P1270" s="110">
        <f t="shared" si="1275"/>
        <v>19.5</v>
      </c>
      <c r="Q1270" s="79">
        <f>VLOOKUP(VLOOKUP(DATEVALUE(TEXT(A1270,"m/d/yyyy")),FY24_Temp[],5,FALSE)&amp;TEXT(A1270,"-h"),TempDelta[],4,FALSE)</f>
        <v>1.1514999994209834</v>
      </c>
      <c r="R1270">
        <v>10</v>
      </c>
      <c r="S1270" s="112">
        <v>1500</v>
      </c>
      <c r="T1270" s="5">
        <f>VLOOKUP(TEXT(A1270,"yy-mm")&amp;"-"&amp;IF(AND(WEEKDAY(A1270)&gt;1,WEEKDAY(A1270)&lt;7),"Wkd",TEXT(A1270,"Ddd"))&amp;"-"&amp;TEXT(A1270,"hh"),LoadTable[],3,FALSE)*0.92</f>
        <v>786.27137399656647</v>
      </c>
      <c r="U1270" s="113">
        <f t="shared" si="1276"/>
        <v>78.627137399656647</v>
      </c>
      <c r="V1270">
        <f t="shared" ref="V1270:W1270" si="1332">V1246</f>
        <v>3</v>
      </c>
      <c r="W1270">
        <f t="shared" si="1332"/>
        <v>3</v>
      </c>
      <c r="X1270" s="9">
        <v>3.2320395</v>
      </c>
      <c r="Y1270" s="39"/>
    </row>
    <row r="1271" spans="1:25" ht="15" thickBot="1">
      <c r="A1271" s="29">
        <f t="shared" si="1330"/>
        <v>45888.833333332237</v>
      </c>
      <c r="B1271" s="30">
        <f t="shared" si="1285"/>
        <v>5000</v>
      </c>
      <c r="C1271" s="8">
        <v>25000</v>
      </c>
      <c r="D1271" s="187">
        <v>0</v>
      </c>
      <c r="E1271" s="187">
        <v>700</v>
      </c>
      <c r="F1271" s="187">
        <v>15000</v>
      </c>
      <c r="G1271" s="30">
        <f t="shared" si="1286"/>
        <v>2400</v>
      </c>
      <c r="H1271" s="8">
        <v>25000</v>
      </c>
      <c r="I1271" s="30">
        <f t="shared" si="1287"/>
        <v>5000</v>
      </c>
      <c r="J1271" s="187">
        <v>40000</v>
      </c>
      <c r="K1271" s="30">
        <f t="shared" si="1288"/>
        <v>5000</v>
      </c>
      <c r="L1271" s="187">
        <v>40000</v>
      </c>
      <c r="M1271" s="110">
        <v>9.5</v>
      </c>
      <c r="N1271" s="9">
        <f>VLOOKUP(DATE(YEAR(A1271),MONTH(A1271),DAY(A1271)),FY24_Temp[],3,FALSE)</f>
        <v>14.5</v>
      </c>
      <c r="O1271" s="110">
        <f t="shared" si="1274"/>
        <v>11.5</v>
      </c>
      <c r="P1271" s="110">
        <f t="shared" si="1275"/>
        <v>19.5</v>
      </c>
      <c r="Q1271" s="79">
        <f>VLOOKUP(VLOOKUP(DATEVALUE(TEXT(A1271,"m/d/yyyy")),FY24_Temp[],5,FALSE)&amp;TEXT(A1271,"-h"),TempDelta[],4,FALSE)</f>
        <v>1.5629285573959351</v>
      </c>
      <c r="R1271">
        <v>10</v>
      </c>
      <c r="S1271" s="112">
        <v>1500</v>
      </c>
      <c r="T1271" s="5">
        <f>VLOOKUP(TEXT(A1271,"yy-mm")&amp;"-"&amp;IF(AND(WEEKDAY(A1271)&gt;1,WEEKDAY(A1271)&lt;7),"Wkd",TEXT(A1271,"Ddd"))&amp;"-"&amp;TEXT(A1271,"hh"),LoadTable[],3,FALSE)*0.92</f>
        <v>786.27137399656647</v>
      </c>
      <c r="U1271" s="113">
        <f t="shared" si="1276"/>
        <v>78.627137399656647</v>
      </c>
      <c r="V1271">
        <f t="shared" ref="V1271:W1271" si="1333">V1247</f>
        <v>2.8</v>
      </c>
      <c r="W1271">
        <f t="shared" si="1333"/>
        <v>3.1</v>
      </c>
      <c r="X1271" s="9">
        <v>3.2442055000000001</v>
      </c>
      <c r="Y1271" s="39"/>
    </row>
    <row r="1272" spans="1:25" ht="15" thickBot="1">
      <c r="A1272" s="29">
        <f t="shared" si="1330"/>
        <v>45888.874999998901</v>
      </c>
      <c r="B1272" s="30">
        <f t="shared" si="1285"/>
        <v>5000</v>
      </c>
      <c r="C1272" s="8">
        <v>25000</v>
      </c>
      <c r="D1272" s="187">
        <v>0</v>
      </c>
      <c r="E1272" s="187">
        <v>700</v>
      </c>
      <c r="F1272" s="187">
        <v>15000</v>
      </c>
      <c r="G1272" s="30">
        <f t="shared" si="1286"/>
        <v>2400</v>
      </c>
      <c r="H1272" s="8">
        <v>25000</v>
      </c>
      <c r="I1272" s="30">
        <f t="shared" si="1287"/>
        <v>5000</v>
      </c>
      <c r="J1272" s="187">
        <v>40000</v>
      </c>
      <c r="K1272" s="30">
        <f t="shared" si="1288"/>
        <v>5000</v>
      </c>
      <c r="L1272" s="187">
        <v>40000</v>
      </c>
      <c r="M1272" s="110">
        <v>9.5</v>
      </c>
      <c r="N1272" s="9">
        <f>VLOOKUP(DATE(YEAR(A1272),MONTH(A1272),DAY(A1272)),FY24_Temp[],3,FALSE)</f>
        <v>14.5</v>
      </c>
      <c r="O1272" s="110">
        <f t="shared" si="1274"/>
        <v>11.5</v>
      </c>
      <c r="P1272" s="110">
        <f t="shared" si="1275"/>
        <v>19.5</v>
      </c>
      <c r="Q1272" s="79">
        <f>VLOOKUP(VLOOKUP(DATEVALUE(TEXT(A1272,"m/d/yyyy")),FY24_Temp[],5,FALSE)&amp;TEXT(A1272,"-h"),TempDelta[],4,FALSE)</f>
        <v>1.8850000074931554</v>
      </c>
      <c r="R1272">
        <v>10</v>
      </c>
      <c r="S1272" s="112">
        <v>1500</v>
      </c>
      <c r="T1272" s="5">
        <f>VLOOKUP(TEXT(A1272,"yy-mm")&amp;"-"&amp;IF(AND(WEEKDAY(A1272)&gt;1,WEEKDAY(A1272)&lt;7),"Wkd",TEXT(A1272,"Ddd"))&amp;"-"&amp;TEXT(A1272,"hh"),LoadTable[],3,FALSE)*0.92</f>
        <v>784.39716226323299</v>
      </c>
      <c r="U1272" s="113">
        <f t="shared" si="1276"/>
        <v>78.439716226323299</v>
      </c>
      <c r="V1272">
        <f t="shared" ref="V1272:W1272" si="1334">V1248</f>
        <v>3.5</v>
      </c>
      <c r="W1272">
        <f t="shared" si="1334"/>
        <v>3.1</v>
      </c>
      <c r="X1272" s="9">
        <v>3.2236273</v>
      </c>
      <c r="Y1272" s="39"/>
    </row>
    <row r="1273" spans="1:25" ht="15" thickBot="1">
      <c r="A1273" s="29">
        <f t="shared" si="1330"/>
        <v>45888.916666665566</v>
      </c>
      <c r="B1273" s="30">
        <f t="shared" si="1285"/>
        <v>5000</v>
      </c>
      <c r="C1273" s="8">
        <v>25000</v>
      </c>
      <c r="D1273" s="187">
        <v>0</v>
      </c>
      <c r="E1273" s="187">
        <v>700</v>
      </c>
      <c r="F1273" s="187">
        <v>15000</v>
      </c>
      <c r="G1273" s="30">
        <f t="shared" si="1286"/>
        <v>2400</v>
      </c>
      <c r="H1273" s="8">
        <v>25000</v>
      </c>
      <c r="I1273" s="30">
        <f t="shared" si="1287"/>
        <v>5000</v>
      </c>
      <c r="J1273" s="187">
        <v>40000</v>
      </c>
      <c r="K1273" s="30">
        <f t="shared" si="1288"/>
        <v>5000</v>
      </c>
      <c r="L1273" s="187">
        <v>40000</v>
      </c>
      <c r="M1273" s="110">
        <v>9.5</v>
      </c>
      <c r="N1273" s="9">
        <f>VLOOKUP(DATE(YEAR(A1273),MONTH(A1273),DAY(A1273)),FY24_Temp[],3,FALSE)</f>
        <v>14.5</v>
      </c>
      <c r="O1273" s="110">
        <f t="shared" si="1274"/>
        <v>11.5</v>
      </c>
      <c r="P1273" s="110">
        <f t="shared" si="1275"/>
        <v>19.5</v>
      </c>
      <c r="Q1273" s="79">
        <f>VLOOKUP(VLOOKUP(DATEVALUE(TEXT(A1273,"m/d/yyyy")),FY24_Temp[],5,FALSE)&amp;TEXT(A1273,"-h"),TempDelta[],4,FALSE)</f>
        <v>2.1824284962245395</v>
      </c>
      <c r="R1273">
        <v>10</v>
      </c>
      <c r="S1273" s="112">
        <v>1500</v>
      </c>
      <c r="T1273" s="5">
        <f>VLOOKUP(TEXT(A1273,"yy-mm")&amp;"-"&amp;IF(AND(WEEKDAY(A1273)&gt;1,WEEKDAY(A1273)&lt;7),"Wkd",TEXT(A1273,"Ddd"))&amp;"-"&amp;TEXT(A1273,"hh"),LoadTable[],3,FALSE)*0.92</f>
        <v>600.06900003761973</v>
      </c>
      <c r="U1273" s="113">
        <f t="shared" si="1276"/>
        <v>60.00690000376197</v>
      </c>
      <c r="V1273">
        <f t="shared" ref="V1273:W1273" si="1335">V1249</f>
        <v>2.9</v>
      </c>
      <c r="W1273">
        <f t="shared" si="1335"/>
        <v>3.1</v>
      </c>
      <c r="X1273" s="9">
        <v>3.1790802</v>
      </c>
      <c r="Y1273" s="39"/>
    </row>
    <row r="1274" spans="1:25" ht="15" thickBot="1">
      <c r="A1274" s="29">
        <f t="shared" si="1330"/>
        <v>45888.95833333223</v>
      </c>
      <c r="B1274" s="30">
        <f t="shared" si="1285"/>
        <v>5000</v>
      </c>
      <c r="C1274" s="8">
        <v>25000</v>
      </c>
      <c r="D1274" s="187">
        <v>0</v>
      </c>
      <c r="E1274" s="187">
        <v>700</v>
      </c>
      <c r="F1274" s="187">
        <v>15000</v>
      </c>
      <c r="G1274" s="30">
        <f t="shared" si="1286"/>
        <v>2400</v>
      </c>
      <c r="H1274" s="8">
        <v>25000</v>
      </c>
      <c r="I1274" s="30">
        <f t="shared" si="1287"/>
        <v>5000</v>
      </c>
      <c r="J1274" s="187">
        <v>40000</v>
      </c>
      <c r="K1274" s="30">
        <f t="shared" si="1288"/>
        <v>5000</v>
      </c>
      <c r="L1274" s="187">
        <v>40000</v>
      </c>
      <c r="M1274" s="110">
        <v>9.5</v>
      </c>
      <c r="N1274" s="9">
        <f>VLOOKUP(DATE(YEAR(A1274),MONTH(A1274),DAY(A1274)),FY24_Temp[],3,FALSE)</f>
        <v>14.5</v>
      </c>
      <c r="O1274" s="110">
        <f t="shared" si="1274"/>
        <v>11.5</v>
      </c>
      <c r="P1274" s="110">
        <f t="shared" si="1275"/>
        <v>19.5</v>
      </c>
      <c r="Q1274" s="79">
        <f>VLOOKUP(VLOOKUP(DATEVALUE(TEXT(A1274,"m/d/yyyy")),FY24_Temp[],5,FALSE)&amp;TEXT(A1274,"-h"),TempDelta[],4,FALSE)</f>
        <v>2.3112857682364329</v>
      </c>
      <c r="R1274">
        <v>10</v>
      </c>
      <c r="S1274" s="112">
        <v>1500</v>
      </c>
      <c r="T1274" s="5">
        <f>VLOOKUP(TEXT(A1274,"yy-mm")&amp;"-"&amp;IF(AND(WEEKDAY(A1274)&gt;1,WEEKDAY(A1274)&lt;7),"Wkd",TEXT(A1274,"Ddd"))&amp;"-"&amp;TEXT(A1274,"hh"),LoadTable[],3,FALSE)*0.92</f>
        <v>486.44539999999989</v>
      </c>
      <c r="U1274" s="113">
        <f t="shared" si="1276"/>
        <v>48.644539999999992</v>
      </c>
      <c r="V1274">
        <f t="shared" ref="V1274:W1274" si="1336">V1250</f>
        <v>3.6</v>
      </c>
      <c r="W1274">
        <f t="shared" si="1336"/>
        <v>3.1</v>
      </c>
      <c r="X1274" s="9">
        <v>3.1051481000000001</v>
      </c>
      <c r="Y1274" s="39"/>
    </row>
    <row r="1275" spans="1:25" ht="15" thickBot="1">
      <c r="A1275" s="29">
        <f t="shared" si="1330"/>
        <v>45888.999999998894</v>
      </c>
      <c r="B1275" s="30">
        <f t="shared" si="1285"/>
        <v>5000</v>
      </c>
      <c r="C1275" s="8">
        <v>25000</v>
      </c>
      <c r="D1275" s="187">
        <v>0</v>
      </c>
      <c r="E1275" s="187">
        <v>700</v>
      </c>
      <c r="F1275" s="187">
        <v>15000</v>
      </c>
      <c r="G1275" s="30">
        <f t="shared" si="1286"/>
        <v>2400</v>
      </c>
      <c r="H1275" s="8">
        <v>25000</v>
      </c>
      <c r="I1275" s="30">
        <f t="shared" si="1287"/>
        <v>5000</v>
      </c>
      <c r="J1275" s="187">
        <v>40000</v>
      </c>
      <c r="K1275" s="30">
        <f t="shared" si="1288"/>
        <v>5000</v>
      </c>
      <c r="L1275" s="187">
        <v>40000</v>
      </c>
      <c r="M1275" s="110">
        <v>9.5</v>
      </c>
      <c r="N1275" s="9">
        <f>VLOOKUP(DATE(YEAR(A1275),MONTH(A1275),DAY(A1275)),FY24_Temp[],3,FALSE)</f>
        <v>14.5</v>
      </c>
      <c r="O1275" s="110">
        <f t="shared" si="1274"/>
        <v>11.5</v>
      </c>
      <c r="P1275" s="110">
        <f t="shared" si="1275"/>
        <v>19.5</v>
      </c>
      <c r="Q1275" s="79">
        <f>VLOOKUP(VLOOKUP(DATEVALUE(TEXT(A1275,"m/d/yyyy")),FY24_Temp[],5,FALSE)&amp;TEXT(A1275,"-h"),TempDelta[],4,FALSE)</f>
        <v>2.4531428813934326</v>
      </c>
      <c r="R1275">
        <v>10</v>
      </c>
      <c r="S1275" s="112">
        <v>1500</v>
      </c>
      <c r="T1275" s="5">
        <f>VLOOKUP(TEXT(A1275,"yy-mm")&amp;"-"&amp;IF(AND(WEEKDAY(A1275)&gt;1,WEEKDAY(A1275)&lt;7),"Wkd",TEXT(A1275,"Ddd"))&amp;"-"&amp;TEXT(A1275,"hh"),LoadTable[],3,FALSE)*0.92</f>
        <v>372.20164</v>
      </c>
      <c r="U1275" s="113">
        <f t="shared" si="1276"/>
        <v>37.220163999999997</v>
      </c>
      <c r="V1275">
        <f t="shared" ref="V1275:W1275" si="1337">V1251</f>
        <v>3</v>
      </c>
      <c r="W1275">
        <f t="shared" si="1337"/>
        <v>3.2</v>
      </c>
      <c r="X1275" s="9">
        <v>3.0375257000000002</v>
      </c>
      <c r="Y1275" s="39"/>
    </row>
    <row r="1276" spans="1:25" ht="15" thickBot="1">
      <c r="A1276" s="29">
        <f t="shared" si="1330"/>
        <v>45889.041666665558</v>
      </c>
      <c r="B1276" s="30">
        <f t="shared" si="1285"/>
        <v>5000</v>
      </c>
      <c r="C1276" s="8">
        <v>25000</v>
      </c>
      <c r="D1276" s="187">
        <v>0</v>
      </c>
      <c r="E1276" s="187">
        <v>700</v>
      </c>
      <c r="F1276" s="187">
        <v>15000</v>
      </c>
      <c r="G1276" s="30">
        <f t="shared" si="1286"/>
        <v>2400</v>
      </c>
      <c r="H1276" s="8">
        <v>25000</v>
      </c>
      <c r="I1276" s="30">
        <f t="shared" si="1287"/>
        <v>5000</v>
      </c>
      <c r="J1276" s="187">
        <v>40000</v>
      </c>
      <c r="K1276" s="30">
        <f t="shared" si="1288"/>
        <v>5000</v>
      </c>
      <c r="L1276" s="187">
        <v>40000</v>
      </c>
      <c r="M1276" s="110">
        <v>9.5</v>
      </c>
      <c r="N1276" s="9">
        <f>VLOOKUP(DATE(YEAR(A1276),MONTH(A1276),DAY(A1276)),FY24_Temp[],3,FALSE)</f>
        <v>14.5</v>
      </c>
      <c r="O1276" s="110">
        <f t="shared" si="1274"/>
        <v>11.5</v>
      </c>
      <c r="P1276" s="110">
        <f t="shared" si="1275"/>
        <v>19.5</v>
      </c>
      <c r="Q1276" s="79">
        <f>VLOOKUP(VLOOKUP(DATEVALUE(TEXT(A1276,"m/d/yyyy")),FY24_Temp[],5,FALSE)&amp;TEXT(A1276,"-h"),TempDelta[],4,FALSE)</f>
        <v>2.5072856971195767</v>
      </c>
      <c r="R1276">
        <v>10</v>
      </c>
      <c r="S1276" s="112">
        <v>1500</v>
      </c>
      <c r="T1276" s="5">
        <f>VLOOKUP(TEXT(A1276,"yy-mm")&amp;"-"&amp;IF(AND(WEEKDAY(A1276)&gt;1,WEEKDAY(A1276)&lt;7),"Wkd",TEXT(A1276,"Ddd"))&amp;"-"&amp;TEXT(A1276,"hh"),LoadTable[],3,FALSE)*0.92</f>
        <v>363.06235999999996</v>
      </c>
      <c r="U1276" s="113">
        <f t="shared" si="1276"/>
        <v>36.306235999999998</v>
      </c>
      <c r="V1276">
        <f t="shared" ref="V1276:W1276" si="1338">V1252</f>
        <v>2.6</v>
      </c>
      <c r="W1276">
        <f t="shared" si="1338"/>
        <v>3.2</v>
      </c>
      <c r="X1276" s="9">
        <v>3.0554587999999998</v>
      </c>
      <c r="Y1276" s="39"/>
    </row>
    <row r="1277" spans="1:25" ht="15" thickBot="1">
      <c r="A1277" s="29">
        <f t="shared" si="1330"/>
        <v>45889.083333332223</v>
      </c>
      <c r="B1277" s="30">
        <f t="shared" si="1285"/>
        <v>5000</v>
      </c>
      <c r="C1277" s="8">
        <v>25000</v>
      </c>
      <c r="D1277" s="187">
        <v>0</v>
      </c>
      <c r="E1277" s="187">
        <v>700</v>
      </c>
      <c r="F1277" s="187">
        <v>15000</v>
      </c>
      <c r="G1277" s="30">
        <f t="shared" si="1286"/>
        <v>2400</v>
      </c>
      <c r="H1277" s="8">
        <v>25000</v>
      </c>
      <c r="I1277" s="30">
        <f t="shared" si="1287"/>
        <v>5000</v>
      </c>
      <c r="J1277" s="187">
        <v>40000</v>
      </c>
      <c r="K1277" s="30">
        <f t="shared" si="1288"/>
        <v>5000</v>
      </c>
      <c r="L1277" s="187">
        <v>40000</v>
      </c>
      <c r="M1277" s="110">
        <v>9.5</v>
      </c>
      <c r="N1277" s="9">
        <f>VLOOKUP(DATE(YEAR(A1277),MONTH(A1277),DAY(A1277)),FY24_Temp[],3,FALSE)</f>
        <v>14.5</v>
      </c>
      <c r="O1277" s="110">
        <f t="shared" si="1274"/>
        <v>11.5</v>
      </c>
      <c r="P1277" s="110">
        <f t="shared" si="1275"/>
        <v>19.5</v>
      </c>
      <c r="Q1277" s="79">
        <f>VLOOKUP(VLOOKUP(DATEVALUE(TEXT(A1277,"m/d/yyyy")),FY24_Temp[],5,FALSE)&amp;TEXT(A1277,"-h"),TempDelta[],4,FALSE)</f>
        <v>2.5261428356170654</v>
      </c>
      <c r="R1277">
        <v>10</v>
      </c>
      <c r="S1277" s="112">
        <v>1500</v>
      </c>
      <c r="T1277" s="5">
        <f>VLOOKUP(TEXT(A1277,"yy-mm")&amp;"-"&amp;IF(AND(WEEKDAY(A1277)&gt;1,WEEKDAY(A1277)&lt;7),"Wkd",TEXT(A1277,"Ddd"))&amp;"-"&amp;TEXT(A1277,"hh"),LoadTable[],3,FALSE)*0.92</f>
        <v>363.06235999999996</v>
      </c>
      <c r="U1277" s="113">
        <f t="shared" si="1276"/>
        <v>36.306235999999998</v>
      </c>
      <c r="V1277">
        <f t="shared" ref="V1277:W1277" si="1339">V1253</f>
        <v>2.8</v>
      </c>
      <c r="W1277">
        <f t="shared" si="1339"/>
        <v>3.2</v>
      </c>
      <c r="X1277" s="9">
        <v>3.1061673000000001</v>
      </c>
      <c r="Y1277" s="39"/>
    </row>
    <row r="1278" spans="1:25" ht="15" thickBot="1">
      <c r="A1278" s="29">
        <f t="shared" si="1330"/>
        <v>45889.124999998887</v>
      </c>
      <c r="B1278" s="30">
        <f t="shared" si="1285"/>
        <v>5000</v>
      </c>
      <c r="C1278" s="8">
        <v>25000</v>
      </c>
      <c r="D1278" s="187">
        <v>0</v>
      </c>
      <c r="E1278" s="187">
        <v>700</v>
      </c>
      <c r="F1278" s="187">
        <v>15000</v>
      </c>
      <c r="G1278" s="30">
        <f t="shared" si="1286"/>
        <v>2400</v>
      </c>
      <c r="H1278" s="8">
        <v>25000</v>
      </c>
      <c r="I1278" s="30">
        <f t="shared" si="1287"/>
        <v>5000</v>
      </c>
      <c r="J1278" s="187">
        <v>40000</v>
      </c>
      <c r="K1278" s="30">
        <f t="shared" si="1288"/>
        <v>5000</v>
      </c>
      <c r="L1278" s="187">
        <v>40000</v>
      </c>
      <c r="M1278" s="110">
        <v>9.5</v>
      </c>
      <c r="N1278" s="9">
        <f>VLOOKUP(DATE(YEAR(A1278),MONTH(A1278),DAY(A1278)),FY24_Temp[],3,FALSE)</f>
        <v>14.5</v>
      </c>
      <c r="O1278" s="110">
        <f t="shared" si="1274"/>
        <v>11.5</v>
      </c>
      <c r="P1278" s="110">
        <f t="shared" si="1275"/>
        <v>19.5</v>
      </c>
      <c r="Q1278" s="79">
        <f>VLOOKUP(VLOOKUP(DATEVALUE(TEXT(A1278,"m/d/yyyy")),FY24_Temp[],5,FALSE)&amp;TEXT(A1278,"-h"),TempDelta[],4,FALSE)</f>
        <v>2.521428550992693</v>
      </c>
      <c r="R1278">
        <v>10</v>
      </c>
      <c r="S1278" s="112">
        <v>1500</v>
      </c>
      <c r="T1278" s="5">
        <f>VLOOKUP(TEXT(A1278,"yy-mm")&amp;"-"&amp;IF(AND(WEEKDAY(A1278)&gt;1,WEEKDAY(A1278)&lt;7),"Wkd",TEXT(A1278,"Ddd"))&amp;"-"&amp;TEXT(A1278,"hh"),LoadTable[],3,FALSE)*0.92</f>
        <v>363.06235999999996</v>
      </c>
      <c r="U1278" s="113">
        <f t="shared" si="1276"/>
        <v>36.306235999999998</v>
      </c>
      <c r="V1278">
        <f t="shared" ref="V1278:W1278" si="1340">V1254</f>
        <v>2.7</v>
      </c>
      <c r="W1278">
        <f t="shared" si="1340"/>
        <v>3.2</v>
      </c>
      <c r="X1278" s="9">
        <v>3.1769303999999998</v>
      </c>
      <c r="Y1278" s="39"/>
    </row>
    <row r="1279" spans="1:25" ht="15" thickBot="1">
      <c r="A1279" s="29">
        <f t="shared" si="1330"/>
        <v>45889.166666665551</v>
      </c>
      <c r="B1279" s="30">
        <f t="shared" si="1285"/>
        <v>5000</v>
      </c>
      <c r="C1279" s="8">
        <v>25000</v>
      </c>
      <c r="D1279" s="187">
        <v>0</v>
      </c>
      <c r="E1279" s="187">
        <v>700</v>
      </c>
      <c r="F1279" s="187">
        <v>15000</v>
      </c>
      <c r="G1279" s="30">
        <f t="shared" si="1286"/>
        <v>2400</v>
      </c>
      <c r="H1279" s="8">
        <v>25000</v>
      </c>
      <c r="I1279" s="30">
        <f t="shared" si="1287"/>
        <v>5000</v>
      </c>
      <c r="J1279" s="187">
        <v>40000</v>
      </c>
      <c r="K1279" s="30">
        <f t="shared" si="1288"/>
        <v>5000</v>
      </c>
      <c r="L1279" s="187">
        <v>40000</v>
      </c>
      <c r="M1279" s="110">
        <v>9.5</v>
      </c>
      <c r="N1279" s="9">
        <f>VLOOKUP(DATE(YEAR(A1279),MONTH(A1279),DAY(A1279)),FY24_Temp[],3,FALSE)</f>
        <v>14.5</v>
      </c>
      <c r="O1279" s="110">
        <f t="shared" si="1274"/>
        <v>11.5</v>
      </c>
      <c r="P1279" s="110">
        <f t="shared" si="1275"/>
        <v>19.5</v>
      </c>
      <c r="Q1279" s="79">
        <f>VLOOKUP(VLOOKUP(DATEVALUE(TEXT(A1279,"m/d/yyyy")),FY24_Temp[],5,FALSE)&amp;TEXT(A1279,"-h"),TempDelta[],4,FALSE)</f>
        <v>2.5227143423897878</v>
      </c>
      <c r="R1279">
        <v>10</v>
      </c>
      <c r="S1279" s="112">
        <v>1500</v>
      </c>
      <c r="T1279" s="5">
        <f>VLOOKUP(TEXT(A1279,"yy-mm")&amp;"-"&amp;IF(AND(WEEKDAY(A1279)&gt;1,WEEKDAY(A1279)&lt;7),"Wkd",TEXT(A1279,"Ddd"))&amp;"-"&amp;TEXT(A1279,"hh"),LoadTable[],3,FALSE)*0.92</f>
        <v>363.06235999999996</v>
      </c>
      <c r="U1279" s="113">
        <f t="shared" si="1276"/>
        <v>36.306235999999998</v>
      </c>
      <c r="V1279">
        <f t="shared" ref="V1279:W1279" si="1341">V1255</f>
        <v>3</v>
      </c>
      <c r="W1279">
        <f t="shared" si="1341"/>
        <v>3.1</v>
      </c>
      <c r="X1279" s="9">
        <v>3.2080454999999999</v>
      </c>
      <c r="Y1279" s="39"/>
    </row>
    <row r="1280" spans="1:25" ht="15" thickBot="1">
      <c r="A1280" s="29">
        <f t="shared" si="1330"/>
        <v>45889.208333332215</v>
      </c>
      <c r="B1280" s="30">
        <f t="shared" si="1285"/>
        <v>5000</v>
      </c>
      <c r="C1280" s="8">
        <v>25000</v>
      </c>
      <c r="D1280" s="187">
        <v>0</v>
      </c>
      <c r="E1280" s="187">
        <v>700</v>
      </c>
      <c r="F1280" s="187">
        <v>15000</v>
      </c>
      <c r="G1280" s="30">
        <f t="shared" si="1286"/>
        <v>2400</v>
      </c>
      <c r="H1280" s="8">
        <v>25000</v>
      </c>
      <c r="I1280" s="30">
        <f t="shared" si="1287"/>
        <v>5000</v>
      </c>
      <c r="J1280" s="187">
        <v>40000</v>
      </c>
      <c r="K1280" s="30">
        <f t="shared" si="1288"/>
        <v>5000</v>
      </c>
      <c r="L1280" s="187">
        <v>40000</v>
      </c>
      <c r="M1280" s="110">
        <v>9.5</v>
      </c>
      <c r="N1280" s="9">
        <f>VLOOKUP(DATE(YEAR(A1280),MONTH(A1280),DAY(A1280)),FY24_Temp[],3,FALSE)</f>
        <v>14.5</v>
      </c>
      <c r="O1280" s="110">
        <f t="shared" si="1274"/>
        <v>11.5</v>
      </c>
      <c r="P1280" s="110">
        <f t="shared" si="1275"/>
        <v>19.5</v>
      </c>
      <c r="Q1280" s="79">
        <f>VLOOKUP(VLOOKUP(DATEVALUE(TEXT(A1280,"m/d/yyyy")),FY24_Temp[],5,FALSE)&amp;TEXT(A1280,"-h"),TempDelta[],4,FALSE)</f>
        <v>2.5675714015960693</v>
      </c>
      <c r="R1280">
        <v>10</v>
      </c>
      <c r="S1280" s="112">
        <v>1500</v>
      </c>
      <c r="T1280" s="5">
        <f>VLOOKUP(TEXT(A1280,"yy-mm")&amp;"-"&amp;IF(AND(WEEKDAY(A1280)&gt;1,WEEKDAY(A1280)&lt;7),"Wkd",TEXT(A1280,"Ddd"))&amp;"-"&amp;TEXT(A1280,"hh"),LoadTable[],3,FALSE)*0.92</f>
        <v>363.06235999999996</v>
      </c>
      <c r="U1280" s="113">
        <f t="shared" si="1276"/>
        <v>36.306235999999998</v>
      </c>
      <c r="V1280">
        <f t="shared" ref="V1280:W1280" si="1342">V1256</f>
        <v>2.9</v>
      </c>
      <c r="W1280">
        <f t="shared" si="1342"/>
        <v>3.1</v>
      </c>
      <c r="X1280" s="9">
        <v>3.2739530000000001</v>
      </c>
      <c r="Y1280" s="39"/>
    </row>
    <row r="1281" spans="1:25" ht="15" thickBot="1">
      <c r="A1281" s="29">
        <f t="shared" si="1330"/>
        <v>45889.24999999888</v>
      </c>
      <c r="B1281" s="30">
        <f t="shared" si="1285"/>
        <v>8000</v>
      </c>
      <c r="C1281" s="8">
        <v>25000</v>
      </c>
      <c r="D1281" s="187">
        <v>0</v>
      </c>
      <c r="E1281" s="187">
        <v>700</v>
      </c>
      <c r="F1281" s="187">
        <v>15000</v>
      </c>
      <c r="G1281" s="30">
        <f t="shared" si="1286"/>
        <v>2400</v>
      </c>
      <c r="H1281" s="8">
        <v>25000</v>
      </c>
      <c r="I1281" s="30">
        <f t="shared" si="1287"/>
        <v>8000</v>
      </c>
      <c r="J1281" s="187">
        <v>40000</v>
      </c>
      <c r="K1281" s="30">
        <f t="shared" si="1288"/>
        <v>8000</v>
      </c>
      <c r="L1281" s="187">
        <v>40000</v>
      </c>
      <c r="M1281" s="110">
        <v>9.5</v>
      </c>
      <c r="N1281" s="9">
        <f>VLOOKUP(DATE(YEAR(A1281),MONTH(A1281),DAY(A1281)),FY24_Temp[],3,FALSE)</f>
        <v>14.5</v>
      </c>
      <c r="O1281" s="110">
        <f t="shared" si="1274"/>
        <v>11.5</v>
      </c>
      <c r="P1281" s="110">
        <f t="shared" si="1275"/>
        <v>19.5</v>
      </c>
      <c r="Q1281" s="79">
        <f>VLOOKUP(VLOOKUP(DATEVALUE(TEXT(A1281,"m/d/yyyy")),FY24_Temp[],5,FALSE)&amp;TEXT(A1281,"-h"),TempDelta[],4,FALSE)</f>
        <v>2.5785714558192661</v>
      </c>
      <c r="R1281">
        <v>10</v>
      </c>
      <c r="S1281" s="112">
        <v>1500</v>
      </c>
      <c r="T1281" s="5">
        <f>VLOOKUP(TEXT(A1281,"yy-mm")&amp;"-"&amp;IF(AND(WEEKDAY(A1281)&gt;1,WEEKDAY(A1281)&lt;7),"Wkd",TEXT(A1281,"Ddd"))&amp;"-"&amp;TEXT(A1281,"hh"),LoadTable[],3,FALSE)*0.92</f>
        <v>363.06235999999996</v>
      </c>
      <c r="U1281" s="113">
        <f t="shared" si="1276"/>
        <v>36.306235999999998</v>
      </c>
      <c r="V1281">
        <f t="shared" ref="V1281:W1281" si="1343">V1257</f>
        <v>2.5</v>
      </c>
      <c r="W1281">
        <f t="shared" si="1343"/>
        <v>3.1</v>
      </c>
      <c r="X1281" s="9">
        <v>3.3684506000000001</v>
      </c>
      <c r="Y1281" s="39"/>
    </row>
    <row r="1282" spans="1:25" ht="15" thickBot="1">
      <c r="A1282" s="29">
        <f t="shared" si="1330"/>
        <v>45889.291666665544</v>
      </c>
      <c r="B1282" s="30">
        <f t="shared" si="1285"/>
        <v>8000</v>
      </c>
      <c r="C1282" s="8">
        <v>25000</v>
      </c>
      <c r="D1282" s="187">
        <v>0</v>
      </c>
      <c r="E1282" s="187">
        <v>700</v>
      </c>
      <c r="F1282" s="187">
        <v>15000</v>
      </c>
      <c r="G1282" s="30">
        <f t="shared" si="1286"/>
        <v>2400</v>
      </c>
      <c r="H1282" s="8">
        <v>25000</v>
      </c>
      <c r="I1282" s="30">
        <f t="shared" si="1287"/>
        <v>8000</v>
      </c>
      <c r="J1282" s="187">
        <v>40000</v>
      </c>
      <c r="K1282" s="30">
        <f t="shared" si="1288"/>
        <v>8000</v>
      </c>
      <c r="L1282" s="187">
        <v>40000</v>
      </c>
      <c r="M1282" s="110">
        <v>9.5</v>
      </c>
      <c r="N1282" s="9">
        <f>VLOOKUP(DATE(YEAR(A1282),MONTH(A1282),DAY(A1282)),FY24_Temp[],3,FALSE)</f>
        <v>14.5</v>
      </c>
      <c r="O1282" s="110">
        <f t="shared" si="1274"/>
        <v>11.5</v>
      </c>
      <c r="P1282" s="110">
        <f t="shared" si="1275"/>
        <v>19.5</v>
      </c>
      <c r="Q1282" s="79">
        <f>VLOOKUP(VLOOKUP(DATEVALUE(TEXT(A1282,"m/d/yyyy")),FY24_Temp[],5,FALSE)&amp;TEXT(A1282,"-h"),TempDelta[],4,FALSE)</f>
        <v>2.5442857401711598</v>
      </c>
      <c r="R1282">
        <v>10</v>
      </c>
      <c r="S1282" s="112">
        <v>1500</v>
      </c>
      <c r="T1282" s="5">
        <f>VLOOKUP(TEXT(A1282,"yy-mm")&amp;"-"&amp;IF(AND(WEEKDAY(A1282)&gt;1,WEEKDAY(A1282)&lt;7),"Wkd",TEXT(A1282,"Ddd"))&amp;"-"&amp;TEXT(A1282,"hh"),LoadTable[],3,FALSE)*0.92</f>
        <v>352.2091200000001</v>
      </c>
      <c r="U1282" s="113">
        <f t="shared" si="1276"/>
        <v>35.220912000000013</v>
      </c>
      <c r="V1282">
        <f t="shared" ref="V1282:W1282" si="1344">V1258</f>
        <v>2.5</v>
      </c>
      <c r="W1282">
        <f t="shared" si="1344"/>
        <v>3.1</v>
      </c>
      <c r="X1282" s="9">
        <v>3.3659408000000002</v>
      </c>
      <c r="Y1282" s="39"/>
    </row>
    <row r="1283" spans="1:25" ht="15" thickBot="1">
      <c r="A1283" s="29">
        <f t="shared" si="1330"/>
        <v>45889.333333332208</v>
      </c>
      <c r="B1283" s="30">
        <f t="shared" si="1285"/>
        <v>8000</v>
      </c>
      <c r="C1283" s="8">
        <v>25000</v>
      </c>
      <c r="D1283" s="187">
        <v>0</v>
      </c>
      <c r="E1283" s="187">
        <v>700</v>
      </c>
      <c r="F1283" s="187">
        <v>15000</v>
      </c>
      <c r="G1283" s="30">
        <f t="shared" si="1286"/>
        <v>2400</v>
      </c>
      <c r="H1283" s="8">
        <v>25000</v>
      </c>
      <c r="I1283" s="30">
        <f t="shared" si="1287"/>
        <v>8000</v>
      </c>
      <c r="J1283" s="187">
        <v>40000</v>
      </c>
      <c r="K1283" s="30">
        <f t="shared" si="1288"/>
        <v>8000</v>
      </c>
      <c r="L1283" s="187">
        <v>40000</v>
      </c>
      <c r="M1283" s="110">
        <v>9.5</v>
      </c>
      <c r="N1283" s="9">
        <f>VLOOKUP(DATE(YEAR(A1283),MONTH(A1283),DAY(A1283)),FY24_Temp[],3,FALSE)</f>
        <v>14.5</v>
      </c>
      <c r="O1283" s="110">
        <f t="shared" si="1274"/>
        <v>11.5</v>
      </c>
      <c r="P1283" s="110">
        <f t="shared" si="1275"/>
        <v>19.5</v>
      </c>
      <c r="Q1283" s="79">
        <f>VLOOKUP(VLOOKUP(DATEVALUE(TEXT(A1283,"m/d/yyyy")),FY24_Temp[],5,FALSE)&amp;TEXT(A1283,"-h"),TempDelta[],4,FALSE)</f>
        <v>2.4372856957571849</v>
      </c>
      <c r="R1283">
        <v>10</v>
      </c>
      <c r="S1283" s="112">
        <v>1500</v>
      </c>
      <c r="T1283" s="5">
        <f>VLOOKUP(TEXT(A1283,"yy-mm")&amp;"-"&amp;IF(AND(WEEKDAY(A1283)&gt;1,WEEKDAY(A1283)&lt;7),"Wkd",TEXT(A1283,"Ddd"))&amp;"-"&amp;TEXT(A1283,"hh"),LoadTable[],3,FALSE)*0.92</f>
        <v>352.2091200000001</v>
      </c>
      <c r="U1283" s="113">
        <f t="shared" si="1276"/>
        <v>35.220912000000013</v>
      </c>
      <c r="V1283">
        <f t="shared" ref="V1283:W1283" si="1345">V1259</f>
        <v>3.2</v>
      </c>
      <c r="W1283">
        <f t="shared" si="1345"/>
        <v>3</v>
      </c>
      <c r="X1283" s="9">
        <v>3.4476060999999998</v>
      </c>
      <c r="Y1283" s="39"/>
    </row>
    <row r="1284" spans="1:25" ht="15" thickBot="1">
      <c r="A1284" s="29">
        <f t="shared" si="1330"/>
        <v>45889.374999998872</v>
      </c>
      <c r="B1284" s="30">
        <f t="shared" si="1285"/>
        <v>8000</v>
      </c>
      <c r="C1284" s="8">
        <v>25000</v>
      </c>
      <c r="D1284" s="187">
        <v>0</v>
      </c>
      <c r="E1284" s="187">
        <v>700</v>
      </c>
      <c r="F1284" s="187">
        <v>15000</v>
      </c>
      <c r="G1284" s="30">
        <f t="shared" si="1286"/>
        <v>2400</v>
      </c>
      <c r="H1284" s="8">
        <v>25000</v>
      </c>
      <c r="I1284" s="30">
        <f t="shared" si="1287"/>
        <v>8000</v>
      </c>
      <c r="J1284" s="187">
        <v>40000</v>
      </c>
      <c r="K1284" s="30">
        <f t="shared" si="1288"/>
        <v>8000</v>
      </c>
      <c r="L1284" s="187">
        <v>40000</v>
      </c>
      <c r="M1284" s="110">
        <v>9.5</v>
      </c>
      <c r="N1284" s="9">
        <f>VLOOKUP(DATE(YEAR(A1284),MONTH(A1284),DAY(A1284)),FY24_Temp[],3,FALSE)</f>
        <v>14.5</v>
      </c>
      <c r="O1284" s="110">
        <f t="shared" ref="O1284:O1347" si="1346">15.5-4</f>
        <v>11.5</v>
      </c>
      <c r="P1284" s="110">
        <f t="shared" ref="P1284:P1347" si="1347">15.5+4</f>
        <v>19.5</v>
      </c>
      <c r="Q1284" s="79">
        <f>VLOOKUP(VLOOKUP(DATEVALUE(TEXT(A1284,"m/d/yyyy")),FY24_Temp[],5,FALSE)&amp;TEXT(A1284,"-h"),TempDelta[],4,FALSE)</f>
        <v>2.254857131413051</v>
      </c>
      <c r="R1284">
        <v>10</v>
      </c>
      <c r="S1284" s="112">
        <v>1500</v>
      </c>
      <c r="T1284" s="5">
        <f>VLOOKUP(TEXT(A1284,"yy-mm")&amp;"-"&amp;IF(AND(WEEKDAY(A1284)&gt;1,WEEKDAY(A1284)&lt;7),"Wkd",TEXT(A1284,"Ddd"))&amp;"-"&amp;TEXT(A1284,"hh"),LoadTable[],3,FALSE)*0.92</f>
        <v>340.60949077857163</v>
      </c>
      <c r="U1284" s="113">
        <f t="shared" ref="U1284:U1347" si="1348">T1284/10</f>
        <v>34.06094907785716</v>
      </c>
      <c r="V1284">
        <f t="shared" ref="V1284:W1284" si="1349">V1260</f>
        <v>2.9</v>
      </c>
      <c r="W1284">
        <f t="shared" si="1349"/>
        <v>3</v>
      </c>
      <c r="X1284" s="9">
        <v>3.5583656000000001</v>
      </c>
      <c r="Y1284" s="39"/>
    </row>
    <row r="1285" spans="1:25" ht="15" thickBot="1">
      <c r="A1285" s="29">
        <f t="shared" si="1330"/>
        <v>45889.416666665536</v>
      </c>
      <c r="B1285" s="30">
        <f t="shared" si="1285"/>
        <v>8000</v>
      </c>
      <c r="C1285" s="8">
        <v>25000</v>
      </c>
      <c r="D1285" s="187">
        <v>0</v>
      </c>
      <c r="E1285" s="187">
        <v>700</v>
      </c>
      <c r="F1285" s="187">
        <v>15000</v>
      </c>
      <c r="G1285" s="30">
        <f t="shared" si="1286"/>
        <v>2400</v>
      </c>
      <c r="H1285" s="8">
        <v>25000</v>
      </c>
      <c r="I1285" s="30">
        <f t="shared" si="1287"/>
        <v>8000</v>
      </c>
      <c r="J1285" s="187">
        <v>40000</v>
      </c>
      <c r="K1285" s="30">
        <f t="shared" si="1288"/>
        <v>8000</v>
      </c>
      <c r="L1285" s="187">
        <v>40000</v>
      </c>
      <c r="M1285" s="110">
        <v>9.5</v>
      </c>
      <c r="N1285" s="9">
        <f>VLOOKUP(DATE(YEAR(A1285),MONTH(A1285),DAY(A1285)),FY24_Temp[],3,FALSE)</f>
        <v>14.5</v>
      </c>
      <c r="O1285" s="110">
        <f t="shared" si="1346"/>
        <v>11.5</v>
      </c>
      <c r="P1285" s="110">
        <f t="shared" si="1347"/>
        <v>19.5</v>
      </c>
      <c r="Q1285" s="79">
        <f>VLOOKUP(VLOOKUP(DATEVALUE(TEXT(A1285,"m/d/yyyy")),FY24_Temp[],5,FALSE)&amp;TEXT(A1285,"-h"),TempDelta[],4,FALSE)</f>
        <v>2.044999991144453</v>
      </c>
      <c r="R1285">
        <v>10</v>
      </c>
      <c r="S1285" s="112">
        <v>1500</v>
      </c>
      <c r="T1285" s="5">
        <f>VLOOKUP(TEXT(A1285,"yy-mm")&amp;"-"&amp;IF(AND(WEEKDAY(A1285)&gt;1,WEEKDAY(A1285)&lt;7),"Wkd",TEXT(A1285,"Ddd"))&amp;"-"&amp;TEXT(A1285,"hh"),LoadTable[],3,FALSE)*0.92</f>
        <v>338.44093501457746</v>
      </c>
      <c r="U1285" s="113">
        <f t="shared" si="1348"/>
        <v>33.844093501457749</v>
      </c>
      <c r="V1285">
        <f t="shared" ref="V1285:W1285" si="1350">V1261</f>
        <v>2.9</v>
      </c>
      <c r="W1285">
        <f t="shared" si="1350"/>
        <v>3</v>
      </c>
      <c r="X1285" s="9">
        <v>3.5452615999999999</v>
      </c>
      <c r="Y1285" s="39"/>
    </row>
    <row r="1286" spans="1:25" ht="15" thickBot="1">
      <c r="A1286" s="29">
        <f t="shared" si="1330"/>
        <v>45889.458333332201</v>
      </c>
      <c r="B1286" s="30">
        <f t="shared" si="1285"/>
        <v>8000</v>
      </c>
      <c r="C1286" s="8">
        <v>25000</v>
      </c>
      <c r="D1286" s="187">
        <v>0</v>
      </c>
      <c r="E1286" s="187">
        <v>700</v>
      </c>
      <c r="F1286" s="187">
        <v>15000</v>
      </c>
      <c r="G1286" s="30">
        <f t="shared" si="1286"/>
        <v>2400</v>
      </c>
      <c r="H1286" s="8">
        <v>25000</v>
      </c>
      <c r="I1286" s="30">
        <f t="shared" si="1287"/>
        <v>8000</v>
      </c>
      <c r="J1286" s="187">
        <v>40000</v>
      </c>
      <c r="K1286" s="30">
        <f t="shared" si="1288"/>
        <v>8000</v>
      </c>
      <c r="L1286" s="187">
        <v>40000</v>
      </c>
      <c r="M1286" s="110">
        <v>9.5</v>
      </c>
      <c r="N1286" s="9">
        <f>VLOOKUP(DATE(YEAR(A1286),MONTH(A1286),DAY(A1286)),FY24_Temp[],3,FALSE)</f>
        <v>14.5</v>
      </c>
      <c r="O1286" s="110">
        <f t="shared" si="1346"/>
        <v>11.5</v>
      </c>
      <c r="P1286" s="110">
        <f t="shared" si="1347"/>
        <v>19.5</v>
      </c>
      <c r="Q1286" s="79">
        <f>VLOOKUP(VLOOKUP(DATEVALUE(TEXT(A1286,"m/d/yyyy")),FY24_Temp[],5,FALSE)&amp;TEXT(A1286,"-h"),TempDelta[],4,FALSE)</f>
        <v>1.7985714163099016</v>
      </c>
      <c r="R1286">
        <v>10</v>
      </c>
      <c r="S1286" s="112">
        <v>1500</v>
      </c>
      <c r="T1286" s="5">
        <f>VLOOKUP(TEXT(A1286,"yy-mm")&amp;"-"&amp;IF(AND(WEEKDAY(A1286)&gt;1,WEEKDAY(A1286)&lt;7),"Wkd",TEXT(A1286,"Ddd"))&amp;"-"&amp;TEXT(A1286,"hh"),LoadTable[],3,FALSE)*0.92</f>
        <v>338.44093501457746</v>
      </c>
      <c r="U1286" s="113">
        <f t="shared" si="1348"/>
        <v>33.844093501457749</v>
      </c>
      <c r="V1286">
        <f t="shared" ref="V1286:W1286" si="1351">V1262</f>
        <v>3.4</v>
      </c>
      <c r="W1286">
        <f t="shared" si="1351"/>
        <v>3</v>
      </c>
      <c r="X1286" s="9">
        <v>3.3669042999999999</v>
      </c>
      <c r="Y1286" s="39"/>
    </row>
    <row r="1287" spans="1:25" ht="15" thickBot="1">
      <c r="A1287" s="29">
        <f t="shared" si="1330"/>
        <v>45889.499999998865</v>
      </c>
      <c r="B1287" s="30">
        <f t="shared" si="1285"/>
        <v>8000</v>
      </c>
      <c r="C1287" s="8">
        <v>25000</v>
      </c>
      <c r="D1287" s="187">
        <v>0</v>
      </c>
      <c r="E1287" s="187">
        <v>700</v>
      </c>
      <c r="F1287" s="187">
        <v>15000</v>
      </c>
      <c r="G1287" s="30">
        <f t="shared" si="1286"/>
        <v>2400</v>
      </c>
      <c r="H1287" s="8">
        <v>25000</v>
      </c>
      <c r="I1287" s="30">
        <f t="shared" si="1287"/>
        <v>8000</v>
      </c>
      <c r="J1287" s="187">
        <v>40000</v>
      </c>
      <c r="K1287" s="30">
        <f t="shared" si="1288"/>
        <v>8000</v>
      </c>
      <c r="L1287" s="187">
        <v>40000</v>
      </c>
      <c r="M1287" s="110">
        <v>9.5</v>
      </c>
      <c r="N1287" s="9">
        <f>VLOOKUP(DATE(YEAR(A1287),MONTH(A1287),DAY(A1287)),FY24_Temp[],3,FALSE)</f>
        <v>14.5</v>
      </c>
      <c r="O1287" s="110">
        <f t="shared" si="1346"/>
        <v>11.5</v>
      </c>
      <c r="P1287" s="110">
        <f t="shared" si="1347"/>
        <v>19.5</v>
      </c>
      <c r="Q1287" s="79">
        <f>VLOOKUP(VLOOKUP(DATEVALUE(TEXT(A1287,"m/d/yyyy")),FY24_Temp[],5,FALSE)&amp;TEXT(A1287,"-h"),TempDelta[],4,FALSE)</f>
        <v>1.5495714289801461</v>
      </c>
      <c r="R1287">
        <v>10</v>
      </c>
      <c r="S1287" s="112">
        <v>1500</v>
      </c>
      <c r="T1287" s="5">
        <f>VLOOKUP(TEXT(A1287,"yy-mm")&amp;"-"&amp;IF(AND(WEEKDAY(A1287)&gt;1,WEEKDAY(A1287)&lt;7),"Wkd",TEXT(A1287,"Ddd"))&amp;"-"&amp;TEXT(A1287,"hh"),LoadTable[],3,FALSE)*0.92</f>
        <v>338.44093501457746</v>
      </c>
      <c r="U1287" s="113">
        <f t="shared" si="1348"/>
        <v>33.844093501457749</v>
      </c>
      <c r="V1287">
        <f t="shared" ref="V1287:W1287" si="1352">V1263</f>
        <v>3.1</v>
      </c>
      <c r="W1287">
        <f t="shared" si="1352"/>
        <v>2.9</v>
      </c>
      <c r="X1287" s="9">
        <v>3.1643815000000002</v>
      </c>
      <c r="Y1287" s="39"/>
    </row>
    <row r="1288" spans="1:25" ht="15" thickBot="1">
      <c r="A1288" s="29">
        <f t="shared" si="1330"/>
        <v>45889.541666665529</v>
      </c>
      <c r="B1288" s="30">
        <f t="shared" si="1285"/>
        <v>8000</v>
      </c>
      <c r="C1288" s="8">
        <v>25000</v>
      </c>
      <c r="D1288" s="187">
        <v>0</v>
      </c>
      <c r="E1288" s="187">
        <v>700</v>
      </c>
      <c r="F1288" s="187">
        <v>15000</v>
      </c>
      <c r="G1288" s="30">
        <f t="shared" si="1286"/>
        <v>2400</v>
      </c>
      <c r="H1288" s="8">
        <v>25000</v>
      </c>
      <c r="I1288" s="30">
        <f t="shared" si="1287"/>
        <v>8000</v>
      </c>
      <c r="J1288" s="187">
        <v>40000</v>
      </c>
      <c r="K1288" s="30">
        <f t="shared" si="1288"/>
        <v>8000</v>
      </c>
      <c r="L1288" s="187">
        <v>40000</v>
      </c>
      <c r="M1288" s="110">
        <v>9.5</v>
      </c>
      <c r="N1288" s="9">
        <f>VLOOKUP(DATE(YEAR(A1288),MONTH(A1288),DAY(A1288)),FY24_Temp[],3,FALSE)</f>
        <v>14.5</v>
      </c>
      <c r="O1288" s="110">
        <f t="shared" si="1346"/>
        <v>11.5</v>
      </c>
      <c r="P1288" s="110">
        <f t="shared" si="1347"/>
        <v>19.5</v>
      </c>
      <c r="Q1288" s="79">
        <f>VLOOKUP(VLOOKUP(DATEVALUE(TEXT(A1288,"m/d/yyyy")),FY24_Temp[],5,FALSE)&amp;TEXT(A1288,"-h"),TempDelta[],4,FALSE)</f>
        <v>1.3002856969833374</v>
      </c>
      <c r="R1288">
        <v>10</v>
      </c>
      <c r="S1288" s="112">
        <v>1500</v>
      </c>
      <c r="T1288" s="5">
        <f>VLOOKUP(TEXT(A1288,"yy-mm")&amp;"-"&amp;IF(AND(WEEKDAY(A1288)&gt;1,WEEKDAY(A1288)&lt;7),"Wkd",TEXT(A1288,"Ddd"))&amp;"-"&amp;TEXT(A1288,"hh"),LoadTable[],3,FALSE)*0.92</f>
        <v>389.90980000000025</v>
      </c>
      <c r="U1288" s="113">
        <f t="shared" si="1348"/>
        <v>38.990980000000022</v>
      </c>
      <c r="V1288">
        <f t="shared" ref="V1288:W1288" si="1353">V1264</f>
        <v>3.2</v>
      </c>
      <c r="W1288">
        <f t="shared" si="1353"/>
        <v>2.9</v>
      </c>
      <c r="X1288" s="9">
        <v>3.0468031999999998</v>
      </c>
      <c r="Y1288" s="39"/>
    </row>
    <row r="1289" spans="1:25" ht="15" thickBot="1">
      <c r="A1289" s="29">
        <f t="shared" si="1330"/>
        <v>45889.583333332193</v>
      </c>
      <c r="B1289" s="30">
        <f t="shared" si="1285"/>
        <v>8000</v>
      </c>
      <c r="C1289" s="8">
        <v>25000</v>
      </c>
      <c r="D1289" s="187">
        <v>0</v>
      </c>
      <c r="E1289" s="187">
        <v>700</v>
      </c>
      <c r="F1289" s="187">
        <v>15000</v>
      </c>
      <c r="G1289" s="30">
        <f t="shared" si="1286"/>
        <v>2400</v>
      </c>
      <c r="H1289" s="8">
        <v>25000</v>
      </c>
      <c r="I1289" s="30">
        <f t="shared" si="1287"/>
        <v>8000</v>
      </c>
      <c r="J1289" s="187">
        <v>40000</v>
      </c>
      <c r="K1289" s="30">
        <f t="shared" si="1288"/>
        <v>8000</v>
      </c>
      <c r="L1289" s="187">
        <v>40000</v>
      </c>
      <c r="M1289" s="110">
        <v>9.5</v>
      </c>
      <c r="N1289" s="9">
        <f>VLOOKUP(DATE(YEAR(A1289),MONTH(A1289),DAY(A1289)),FY24_Temp[],3,FALSE)</f>
        <v>14.5</v>
      </c>
      <c r="O1289" s="110">
        <f t="shared" si="1346"/>
        <v>11.5</v>
      </c>
      <c r="P1289" s="110">
        <f t="shared" si="1347"/>
        <v>19.5</v>
      </c>
      <c r="Q1289" s="79">
        <f>VLOOKUP(VLOOKUP(DATEVALUE(TEXT(A1289,"m/d/yyyy")),FY24_Temp[],5,FALSE)&amp;TEXT(A1289,"-h"),TempDelta[],4,FALSE)</f>
        <v>1.065142844404493</v>
      </c>
      <c r="R1289">
        <v>10</v>
      </c>
      <c r="S1289" s="112">
        <v>1500</v>
      </c>
      <c r="T1289" s="5">
        <f>VLOOKUP(TEXT(A1289,"yy-mm")&amp;"-"&amp;IF(AND(WEEKDAY(A1289)&gt;1,WEEKDAY(A1289)&lt;7),"Wkd",TEXT(A1289,"Ddd"))&amp;"-"&amp;TEXT(A1289,"hh"),LoadTable[],3,FALSE)*0.92</f>
        <v>625.53652000000022</v>
      </c>
      <c r="U1289" s="113">
        <f t="shared" si="1348"/>
        <v>62.553652000000021</v>
      </c>
      <c r="V1289">
        <f t="shared" ref="V1289:W1289" si="1354">V1265</f>
        <v>3.5</v>
      </c>
      <c r="W1289">
        <f t="shared" si="1354"/>
        <v>2.9</v>
      </c>
      <c r="X1289" s="9">
        <v>3.1284627999999999</v>
      </c>
      <c r="Y1289" s="39"/>
    </row>
    <row r="1290" spans="1:25" ht="15" thickBot="1">
      <c r="A1290" s="29">
        <f t="shared" si="1330"/>
        <v>45889.624999998858</v>
      </c>
      <c r="B1290" s="30">
        <f t="shared" si="1285"/>
        <v>8000</v>
      </c>
      <c r="C1290" s="8">
        <v>25000</v>
      </c>
      <c r="D1290" s="187">
        <v>0</v>
      </c>
      <c r="E1290" s="187">
        <v>700</v>
      </c>
      <c r="F1290" s="187">
        <v>15000</v>
      </c>
      <c r="G1290" s="30">
        <f t="shared" si="1286"/>
        <v>2400</v>
      </c>
      <c r="H1290" s="8">
        <v>25000</v>
      </c>
      <c r="I1290" s="30">
        <f t="shared" si="1287"/>
        <v>8000</v>
      </c>
      <c r="J1290" s="187">
        <v>40000</v>
      </c>
      <c r="K1290" s="30">
        <f t="shared" si="1288"/>
        <v>8000</v>
      </c>
      <c r="L1290" s="187">
        <v>40000</v>
      </c>
      <c r="M1290" s="110">
        <v>9.5</v>
      </c>
      <c r="N1290" s="9">
        <f>VLOOKUP(DATE(YEAR(A1290),MONTH(A1290),DAY(A1290)),FY24_Temp[],3,FALSE)</f>
        <v>14.5</v>
      </c>
      <c r="O1290" s="110">
        <f t="shared" si="1346"/>
        <v>11.5</v>
      </c>
      <c r="P1290" s="110">
        <f t="shared" si="1347"/>
        <v>19.5</v>
      </c>
      <c r="Q1290" s="79">
        <f>VLOOKUP(VLOOKUP(DATEVALUE(TEXT(A1290,"m/d/yyyy")),FY24_Temp[],5,FALSE)&amp;TEXT(A1290,"-h"),TempDelta[],4,FALSE)</f>
        <v>0.74900000010217938</v>
      </c>
      <c r="R1290">
        <v>10</v>
      </c>
      <c r="S1290" s="112">
        <v>1500</v>
      </c>
      <c r="T1290" s="5">
        <f>VLOOKUP(TEXT(A1290,"yy-mm")&amp;"-"&amp;IF(AND(WEEKDAY(A1290)&gt;1,WEEKDAY(A1290)&lt;7),"Wkd",TEXT(A1290,"Ddd"))&amp;"-"&amp;TEXT(A1290,"hh"),LoadTable[],3,FALSE)*0.92</f>
        <v>699.79524000000038</v>
      </c>
      <c r="U1290" s="113">
        <f t="shared" si="1348"/>
        <v>69.97952400000004</v>
      </c>
      <c r="V1290">
        <f t="shared" ref="V1290:W1290" si="1355">V1266</f>
        <v>3.2</v>
      </c>
      <c r="W1290">
        <f t="shared" si="1355"/>
        <v>2.9</v>
      </c>
      <c r="X1290" s="9">
        <v>3.5330187999999998</v>
      </c>
      <c r="Y1290" s="39"/>
    </row>
    <row r="1291" spans="1:25" ht="15" thickBot="1">
      <c r="A1291" s="29">
        <f t="shared" si="1330"/>
        <v>45889.666666665522</v>
      </c>
      <c r="B1291" s="30">
        <f t="shared" si="1285"/>
        <v>8000</v>
      </c>
      <c r="C1291" s="8">
        <v>25000</v>
      </c>
      <c r="D1291" s="187">
        <v>0</v>
      </c>
      <c r="E1291" s="187">
        <v>700</v>
      </c>
      <c r="F1291" s="187">
        <v>15000</v>
      </c>
      <c r="G1291" s="30">
        <f t="shared" si="1286"/>
        <v>2400</v>
      </c>
      <c r="H1291" s="8">
        <v>25000</v>
      </c>
      <c r="I1291" s="30">
        <f t="shared" si="1287"/>
        <v>8000</v>
      </c>
      <c r="J1291" s="187">
        <v>40000</v>
      </c>
      <c r="K1291" s="30">
        <f t="shared" si="1288"/>
        <v>8000</v>
      </c>
      <c r="L1291" s="187">
        <v>40000</v>
      </c>
      <c r="M1291" s="110">
        <v>9.5</v>
      </c>
      <c r="N1291" s="9">
        <f>VLOOKUP(DATE(YEAR(A1291),MONTH(A1291),DAY(A1291)),FY24_Temp[],3,FALSE)</f>
        <v>14.5</v>
      </c>
      <c r="O1291" s="110">
        <f t="shared" si="1346"/>
        <v>11.5</v>
      </c>
      <c r="P1291" s="110">
        <f t="shared" si="1347"/>
        <v>19.5</v>
      </c>
      <c r="Q1291" s="79">
        <f>VLOOKUP(VLOOKUP(DATEVALUE(TEXT(A1291,"m/d/yyyy")),FY24_Temp[],5,FALSE)&amp;TEXT(A1291,"-h"),TempDelta[],4,FALSE)</f>
        <v>0.60964286114488331</v>
      </c>
      <c r="R1291">
        <v>10</v>
      </c>
      <c r="S1291" s="112">
        <v>1500</v>
      </c>
      <c r="T1291" s="5">
        <f>VLOOKUP(TEXT(A1291,"yy-mm")&amp;"-"&amp;IF(AND(WEEKDAY(A1291)&gt;1,WEEKDAY(A1291)&lt;7),"Wkd",TEXT(A1291,"Ddd"))&amp;"-"&amp;TEXT(A1291,"hh"),LoadTable[],3,FALSE)*0.92</f>
        <v>786.27137399656624</v>
      </c>
      <c r="U1291" s="113">
        <f t="shared" si="1348"/>
        <v>78.627137399656618</v>
      </c>
      <c r="V1291">
        <f t="shared" ref="V1291:W1291" si="1356">V1267</f>
        <v>3.5</v>
      </c>
      <c r="W1291">
        <f t="shared" si="1356"/>
        <v>3</v>
      </c>
      <c r="X1291" s="9">
        <v>3.4744754000000002</v>
      </c>
      <c r="Y1291" s="39"/>
    </row>
    <row r="1292" spans="1:25" ht="15" thickBot="1">
      <c r="A1292" s="29">
        <f t="shared" si="1330"/>
        <v>45889.708333332186</v>
      </c>
      <c r="B1292" s="30">
        <f t="shared" ref="B1292:B1355" si="1357">B1268</f>
        <v>8000</v>
      </c>
      <c r="C1292" s="8">
        <v>25000</v>
      </c>
      <c r="D1292" s="187">
        <v>0</v>
      </c>
      <c r="E1292" s="187">
        <v>700</v>
      </c>
      <c r="F1292" s="187">
        <v>15000</v>
      </c>
      <c r="G1292" s="30">
        <f t="shared" ref="G1292:G1355" si="1358">G1268</f>
        <v>2400</v>
      </c>
      <c r="H1292" s="8">
        <v>25000</v>
      </c>
      <c r="I1292" s="30">
        <f t="shared" ref="I1292:I1355" si="1359">I1268</f>
        <v>8000</v>
      </c>
      <c r="J1292" s="187">
        <v>40000</v>
      </c>
      <c r="K1292" s="30">
        <f t="shared" ref="K1292:K1355" si="1360">K1268</f>
        <v>8000</v>
      </c>
      <c r="L1292" s="187">
        <v>40000</v>
      </c>
      <c r="M1292" s="110">
        <v>9.5</v>
      </c>
      <c r="N1292" s="9">
        <f>VLOOKUP(DATE(YEAR(A1292),MONTH(A1292),DAY(A1292)),FY24_Temp[],3,FALSE)</f>
        <v>14.5</v>
      </c>
      <c r="O1292" s="110">
        <f t="shared" si="1346"/>
        <v>11.5</v>
      </c>
      <c r="P1292" s="110">
        <f t="shared" si="1347"/>
        <v>19.5</v>
      </c>
      <c r="Q1292" s="79">
        <f>VLOOKUP(VLOOKUP(DATEVALUE(TEXT(A1292,"m/d/yyyy")),FY24_Temp[],5,FALSE)&amp;TEXT(A1292,"-h"),TempDelta[],4,FALSE)</f>
        <v>0.63592857335294994</v>
      </c>
      <c r="R1292">
        <v>10</v>
      </c>
      <c r="S1292" s="112">
        <v>1500</v>
      </c>
      <c r="T1292" s="5">
        <f>VLOOKUP(TEXT(A1292,"yy-mm")&amp;"-"&amp;IF(AND(WEEKDAY(A1292)&gt;1,WEEKDAY(A1292)&lt;7),"Wkd",TEXT(A1292,"Ddd"))&amp;"-"&amp;TEXT(A1292,"hh"),LoadTable[],3,FALSE)*0.92</f>
        <v>786.27137399656624</v>
      </c>
      <c r="U1292" s="113">
        <f t="shared" si="1348"/>
        <v>78.627137399656618</v>
      </c>
      <c r="V1292">
        <f t="shared" ref="V1292:W1292" si="1361">V1268</f>
        <v>3.6</v>
      </c>
      <c r="W1292">
        <f t="shared" si="1361"/>
        <v>3</v>
      </c>
      <c r="X1292" s="9">
        <v>3.3599141000000001</v>
      </c>
      <c r="Y1292" s="39"/>
    </row>
    <row r="1293" spans="1:25" ht="15" thickBot="1">
      <c r="A1293" s="29">
        <f t="shared" si="1330"/>
        <v>45889.74999999885</v>
      </c>
      <c r="B1293" s="30">
        <f t="shared" si="1357"/>
        <v>5000</v>
      </c>
      <c r="C1293" s="8">
        <v>25000</v>
      </c>
      <c r="D1293" s="187">
        <v>0</v>
      </c>
      <c r="E1293" s="187">
        <v>700</v>
      </c>
      <c r="F1293" s="187">
        <v>15000</v>
      </c>
      <c r="G1293" s="30">
        <f t="shared" si="1358"/>
        <v>2400</v>
      </c>
      <c r="H1293" s="8">
        <v>25000</v>
      </c>
      <c r="I1293" s="30">
        <f t="shared" si="1359"/>
        <v>5000</v>
      </c>
      <c r="J1293" s="187">
        <v>40000</v>
      </c>
      <c r="K1293" s="30">
        <f t="shared" si="1360"/>
        <v>5000</v>
      </c>
      <c r="L1293" s="187">
        <v>40000</v>
      </c>
      <c r="M1293" s="110">
        <v>9.5</v>
      </c>
      <c r="N1293" s="9">
        <f>VLOOKUP(DATE(YEAR(A1293),MONTH(A1293),DAY(A1293)),FY24_Temp[],3,FALSE)</f>
        <v>14.5</v>
      </c>
      <c r="O1293" s="110">
        <f t="shared" si="1346"/>
        <v>11.5</v>
      </c>
      <c r="P1293" s="110">
        <f t="shared" si="1347"/>
        <v>19.5</v>
      </c>
      <c r="Q1293" s="79">
        <f>VLOOKUP(VLOOKUP(DATEVALUE(TEXT(A1293,"m/d/yyyy")),FY24_Temp[],5,FALSE)&amp;TEXT(A1293,"-h"),TempDelta[],4,FALSE)</f>
        <v>0.84400000316756107</v>
      </c>
      <c r="R1293">
        <v>10</v>
      </c>
      <c r="S1293" s="112">
        <v>1500</v>
      </c>
      <c r="T1293" s="5">
        <f>VLOOKUP(TEXT(A1293,"yy-mm")&amp;"-"&amp;IF(AND(WEEKDAY(A1293)&gt;1,WEEKDAY(A1293)&lt;7),"Wkd",TEXT(A1293,"Ddd"))&amp;"-"&amp;TEXT(A1293,"hh"),LoadTable[],3,FALSE)*0.92</f>
        <v>786.27137399656647</v>
      </c>
      <c r="U1293" s="113">
        <f t="shared" si="1348"/>
        <v>78.627137399656647</v>
      </c>
      <c r="V1293">
        <f t="shared" ref="V1293:W1293" si="1362">V1269</f>
        <v>2.9</v>
      </c>
      <c r="W1293">
        <f t="shared" si="1362"/>
        <v>3</v>
      </c>
      <c r="X1293" s="9">
        <v>3.3320875000000001</v>
      </c>
      <c r="Y1293" s="39"/>
    </row>
    <row r="1294" spans="1:25" ht="15" thickBot="1">
      <c r="A1294" s="29">
        <f t="shared" si="1330"/>
        <v>45889.791666665515</v>
      </c>
      <c r="B1294" s="30">
        <f t="shared" si="1357"/>
        <v>5000</v>
      </c>
      <c r="C1294" s="8">
        <v>25000</v>
      </c>
      <c r="D1294" s="187">
        <v>0</v>
      </c>
      <c r="E1294" s="187">
        <v>700</v>
      </c>
      <c r="F1294" s="187">
        <v>15000</v>
      </c>
      <c r="G1294" s="30">
        <f t="shared" si="1358"/>
        <v>2400</v>
      </c>
      <c r="H1294" s="8">
        <v>25000</v>
      </c>
      <c r="I1294" s="30">
        <f t="shared" si="1359"/>
        <v>5000</v>
      </c>
      <c r="J1294" s="187">
        <v>40000</v>
      </c>
      <c r="K1294" s="30">
        <f t="shared" si="1360"/>
        <v>5000</v>
      </c>
      <c r="L1294" s="187">
        <v>40000</v>
      </c>
      <c r="M1294" s="110">
        <v>9.5</v>
      </c>
      <c r="N1294" s="9">
        <f>VLOOKUP(DATE(YEAR(A1294),MONTH(A1294),DAY(A1294)),FY24_Temp[],3,FALSE)</f>
        <v>14.5</v>
      </c>
      <c r="O1294" s="110">
        <f t="shared" si="1346"/>
        <v>11.5</v>
      </c>
      <c r="P1294" s="110">
        <f t="shared" si="1347"/>
        <v>19.5</v>
      </c>
      <c r="Q1294" s="79">
        <f>VLOOKUP(VLOOKUP(DATEVALUE(TEXT(A1294,"m/d/yyyy")),FY24_Temp[],5,FALSE)&amp;TEXT(A1294,"-h"),TempDelta[],4,FALSE)</f>
        <v>1.1514999994209834</v>
      </c>
      <c r="R1294">
        <v>10</v>
      </c>
      <c r="S1294" s="112">
        <v>1500</v>
      </c>
      <c r="T1294" s="5">
        <f>VLOOKUP(TEXT(A1294,"yy-mm")&amp;"-"&amp;IF(AND(WEEKDAY(A1294)&gt;1,WEEKDAY(A1294)&lt;7),"Wkd",TEXT(A1294,"Ddd"))&amp;"-"&amp;TEXT(A1294,"hh"),LoadTable[],3,FALSE)*0.92</f>
        <v>786.27137399656647</v>
      </c>
      <c r="U1294" s="113">
        <f t="shared" si="1348"/>
        <v>78.627137399656647</v>
      </c>
      <c r="V1294">
        <f t="shared" ref="V1294:W1294" si="1363">V1270</f>
        <v>3</v>
      </c>
      <c r="W1294">
        <f t="shared" si="1363"/>
        <v>3</v>
      </c>
      <c r="X1294" s="9">
        <v>3.3584776000000001</v>
      </c>
      <c r="Y1294" s="39"/>
    </row>
    <row r="1295" spans="1:25" ht="15" thickBot="1">
      <c r="A1295" s="29">
        <f t="shared" si="1330"/>
        <v>45889.833333332179</v>
      </c>
      <c r="B1295" s="30">
        <f t="shared" si="1357"/>
        <v>5000</v>
      </c>
      <c r="C1295" s="8">
        <v>25000</v>
      </c>
      <c r="D1295" s="187">
        <v>0</v>
      </c>
      <c r="E1295" s="187">
        <v>700</v>
      </c>
      <c r="F1295" s="187">
        <v>15000</v>
      </c>
      <c r="G1295" s="30">
        <f t="shared" si="1358"/>
        <v>2400</v>
      </c>
      <c r="H1295" s="8">
        <v>25000</v>
      </c>
      <c r="I1295" s="30">
        <f t="shared" si="1359"/>
        <v>5000</v>
      </c>
      <c r="J1295" s="187">
        <v>40000</v>
      </c>
      <c r="K1295" s="30">
        <f t="shared" si="1360"/>
        <v>5000</v>
      </c>
      <c r="L1295" s="187">
        <v>40000</v>
      </c>
      <c r="M1295" s="110">
        <v>9.5</v>
      </c>
      <c r="N1295" s="9">
        <f>VLOOKUP(DATE(YEAR(A1295),MONTH(A1295),DAY(A1295)),FY24_Temp[],3,FALSE)</f>
        <v>14.5</v>
      </c>
      <c r="O1295" s="110">
        <f t="shared" si="1346"/>
        <v>11.5</v>
      </c>
      <c r="P1295" s="110">
        <f t="shared" si="1347"/>
        <v>19.5</v>
      </c>
      <c r="Q1295" s="79">
        <f>VLOOKUP(VLOOKUP(DATEVALUE(TEXT(A1295,"m/d/yyyy")),FY24_Temp[],5,FALSE)&amp;TEXT(A1295,"-h"),TempDelta[],4,FALSE)</f>
        <v>1.5629285573959351</v>
      </c>
      <c r="R1295">
        <v>10</v>
      </c>
      <c r="S1295" s="112">
        <v>1500</v>
      </c>
      <c r="T1295" s="5">
        <f>VLOOKUP(TEXT(A1295,"yy-mm")&amp;"-"&amp;IF(AND(WEEKDAY(A1295)&gt;1,WEEKDAY(A1295)&lt;7),"Wkd",TEXT(A1295,"Ddd"))&amp;"-"&amp;TEXT(A1295,"hh"),LoadTable[],3,FALSE)*0.92</f>
        <v>786.27137399656647</v>
      </c>
      <c r="U1295" s="113">
        <f t="shared" si="1348"/>
        <v>78.627137399656647</v>
      </c>
      <c r="V1295">
        <f t="shared" ref="V1295:W1295" si="1364">V1271</f>
        <v>2.8</v>
      </c>
      <c r="W1295">
        <f t="shared" si="1364"/>
        <v>3.1</v>
      </c>
      <c r="X1295" s="9">
        <v>3.3422260000000001</v>
      </c>
      <c r="Y1295" s="39"/>
    </row>
    <row r="1296" spans="1:25" ht="15" thickBot="1">
      <c r="A1296" s="29">
        <f t="shared" si="1330"/>
        <v>45889.874999998843</v>
      </c>
      <c r="B1296" s="30">
        <f t="shared" si="1357"/>
        <v>5000</v>
      </c>
      <c r="C1296" s="8">
        <v>25000</v>
      </c>
      <c r="D1296" s="187">
        <v>0</v>
      </c>
      <c r="E1296" s="187">
        <v>700</v>
      </c>
      <c r="F1296" s="187">
        <v>15000</v>
      </c>
      <c r="G1296" s="30">
        <f t="shared" si="1358"/>
        <v>2400</v>
      </c>
      <c r="H1296" s="8">
        <v>25000</v>
      </c>
      <c r="I1296" s="30">
        <f t="shared" si="1359"/>
        <v>5000</v>
      </c>
      <c r="J1296" s="187">
        <v>40000</v>
      </c>
      <c r="K1296" s="30">
        <f t="shared" si="1360"/>
        <v>5000</v>
      </c>
      <c r="L1296" s="187">
        <v>40000</v>
      </c>
      <c r="M1296" s="110">
        <v>9.5</v>
      </c>
      <c r="N1296" s="9">
        <f>VLOOKUP(DATE(YEAR(A1296),MONTH(A1296),DAY(A1296)),FY24_Temp[],3,FALSE)</f>
        <v>14.5</v>
      </c>
      <c r="O1296" s="110">
        <f t="shared" si="1346"/>
        <v>11.5</v>
      </c>
      <c r="P1296" s="110">
        <f t="shared" si="1347"/>
        <v>19.5</v>
      </c>
      <c r="Q1296" s="79">
        <f>VLOOKUP(VLOOKUP(DATEVALUE(TEXT(A1296,"m/d/yyyy")),FY24_Temp[],5,FALSE)&amp;TEXT(A1296,"-h"),TempDelta[],4,FALSE)</f>
        <v>1.8850000074931554</v>
      </c>
      <c r="R1296">
        <v>10</v>
      </c>
      <c r="S1296" s="112">
        <v>1500</v>
      </c>
      <c r="T1296" s="5">
        <f>VLOOKUP(TEXT(A1296,"yy-mm")&amp;"-"&amp;IF(AND(WEEKDAY(A1296)&gt;1,WEEKDAY(A1296)&lt;7),"Wkd",TEXT(A1296,"Ddd"))&amp;"-"&amp;TEXT(A1296,"hh"),LoadTable[],3,FALSE)*0.92</f>
        <v>784.39716226323299</v>
      </c>
      <c r="U1296" s="113">
        <f t="shared" si="1348"/>
        <v>78.439716226323299</v>
      </c>
      <c r="V1296">
        <f t="shared" ref="V1296:W1296" si="1365">V1272</f>
        <v>3.5</v>
      </c>
      <c r="W1296">
        <f t="shared" si="1365"/>
        <v>3.1</v>
      </c>
      <c r="X1296" s="9">
        <v>3.2611921000000001</v>
      </c>
      <c r="Y1296" s="39"/>
    </row>
    <row r="1297" spans="1:25" ht="15" thickBot="1">
      <c r="A1297" s="29">
        <f t="shared" si="1330"/>
        <v>45889.916666665507</v>
      </c>
      <c r="B1297" s="30">
        <f t="shared" si="1357"/>
        <v>5000</v>
      </c>
      <c r="C1297" s="8">
        <v>25000</v>
      </c>
      <c r="D1297" s="187">
        <v>0</v>
      </c>
      <c r="E1297" s="187">
        <v>700</v>
      </c>
      <c r="F1297" s="187">
        <v>15000</v>
      </c>
      <c r="G1297" s="30">
        <f t="shared" si="1358"/>
        <v>2400</v>
      </c>
      <c r="H1297" s="8">
        <v>25000</v>
      </c>
      <c r="I1297" s="30">
        <f t="shared" si="1359"/>
        <v>5000</v>
      </c>
      <c r="J1297" s="187">
        <v>40000</v>
      </c>
      <c r="K1297" s="30">
        <f t="shared" si="1360"/>
        <v>5000</v>
      </c>
      <c r="L1297" s="187">
        <v>40000</v>
      </c>
      <c r="M1297" s="110">
        <v>9.5</v>
      </c>
      <c r="N1297" s="9">
        <f>VLOOKUP(DATE(YEAR(A1297),MONTH(A1297),DAY(A1297)),FY24_Temp[],3,FALSE)</f>
        <v>14.5</v>
      </c>
      <c r="O1297" s="110">
        <f t="shared" si="1346"/>
        <v>11.5</v>
      </c>
      <c r="P1297" s="110">
        <f t="shared" si="1347"/>
        <v>19.5</v>
      </c>
      <c r="Q1297" s="79">
        <f>VLOOKUP(VLOOKUP(DATEVALUE(TEXT(A1297,"m/d/yyyy")),FY24_Temp[],5,FALSE)&amp;TEXT(A1297,"-h"),TempDelta[],4,FALSE)</f>
        <v>2.1824284962245395</v>
      </c>
      <c r="R1297">
        <v>10</v>
      </c>
      <c r="S1297" s="112">
        <v>1500</v>
      </c>
      <c r="T1297" s="5">
        <f>VLOOKUP(TEXT(A1297,"yy-mm")&amp;"-"&amp;IF(AND(WEEKDAY(A1297)&gt;1,WEEKDAY(A1297)&lt;7),"Wkd",TEXT(A1297,"Ddd"))&amp;"-"&amp;TEXT(A1297,"hh"),LoadTable[],3,FALSE)*0.92</f>
        <v>600.06900003761973</v>
      </c>
      <c r="U1297" s="113">
        <f t="shared" si="1348"/>
        <v>60.00690000376197</v>
      </c>
      <c r="V1297">
        <f t="shared" ref="V1297:W1297" si="1366">V1273</f>
        <v>2.9</v>
      </c>
      <c r="W1297">
        <f t="shared" si="1366"/>
        <v>3.1</v>
      </c>
      <c r="X1297" s="9">
        <v>3.1820903</v>
      </c>
      <c r="Y1297" s="39"/>
    </row>
    <row r="1298" spans="1:25" ht="15" thickBot="1">
      <c r="A1298" s="29">
        <f t="shared" si="1330"/>
        <v>45889.958333332172</v>
      </c>
      <c r="B1298" s="30">
        <f t="shared" si="1357"/>
        <v>5000</v>
      </c>
      <c r="C1298" s="8">
        <v>25000</v>
      </c>
      <c r="D1298" s="187">
        <v>0</v>
      </c>
      <c r="E1298" s="187">
        <v>700</v>
      </c>
      <c r="F1298" s="187">
        <v>15000</v>
      </c>
      <c r="G1298" s="30">
        <f t="shared" si="1358"/>
        <v>2400</v>
      </c>
      <c r="H1298" s="41">
        <v>25000</v>
      </c>
      <c r="I1298" s="30">
        <f t="shared" si="1359"/>
        <v>5000</v>
      </c>
      <c r="J1298" s="187">
        <v>40000</v>
      </c>
      <c r="K1298" s="30">
        <f t="shared" si="1360"/>
        <v>5000</v>
      </c>
      <c r="L1298" s="187">
        <v>40000</v>
      </c>
      <c r="M1298" s="110">
        <v>9.5</v>
      </c>
      <c r="N1298" s="9">
        <f>VLOOKUP(DATE(YEAR(A1298),MONTH(A1298),DAY(A1298)),FY24_Temp[],3,FALSE)</f>
        <v>14.5</v>
      </c>
      <c r="O1298" s="110">
        <f t="shared" si="1346"/>
        <v>11.5</v>
      </c>
      <c r="P1298" s="110">
        <f t="shared" si="1347"/>
        <v>19.5</v>
      </c>
      <c r="Q1298" s="85">
        <f>VLOOKUP(VLOOKUP(DATEVALUE(TEXT(A1298,"m/d/yyyy")),FY24_Temp[],5,FALSE)&amp;TEXT(A1298,"-h"),TempDelta[],4,FALSE)</f>
        <v>2.3112857682364329</v>
      </c>
      <c r="R1298">
        <v>10</v>
      </c>
      <c r="S1298" s="112">
        <v>1500</v>
      </c>
      <c r="T1298" s="97">
        <f>VLOOKUP(TEXT(A1298,"yy-mm")&amp;"-"&amp;IF(AND(WEEKDAY(A1298)&gt;1,WEEKDAY(A1298)&lt;7),"Wkd",TEXT(A1298,"Ddd"))&amp;"-"&amp;TEXT(A1298,"hh"),LoadTable[],3,FALSE)*0.92</f>
        <v>486.44539999999989</v>
      </c>
      <c r="U1298" s="113">
        <f t="shared" si="1348"/>
        <v>48.644539999999992</v>
      </c>
      <c r="V1298">
        <f t="shared" ref="V1298:W1298" si="1367">V1274</f>
        <v>3.6</v>
      </c>
      <c r="W1298">
        <f t="shared" si="1367"/>
        <v>3.1</v>
      </c>
      <c r="X1298" s="84">
        <v>3.1228237000000001</v>
      </c>
      <c r="Y1298" s="39"/>
    </row>
    <row r="1299" spans="1:25" ht="15" thickBot="1">
      <c r="A1299" s="29">
        <f t="shared" si="1330"/>
        <v>45889.999999998836</v>
      </c>
      <c r="B1299" s="30">
        <f t="shared" si="1357"/>
        <v>5000</v>
      </c>
      <c r="C1299" s="8">
        <v>25000</v>
      </c>
      <c r="D1299" s="187">
        <v>0</v>
      </c>
      <c r="E1299" s="187">
        <v>700</v>
      </c>
      <c r="F1299" s="187">
        <v>15000</v>
      </c>
      <c r="G1299" s="30">
        <f t="shared" si="1358"/>
        <v>2400</v>
      </c>
      <c r="H1299" s="8">
        <v>25000</v>
      </c>
      <c r="I1299" s="30">
        <f t="shared" si="1359"/>
        <v>5000</v>
      </c>
      <c r="J1299" s="187">
        <v>40000</v>
      </c>
      <c r="K1299" s="30">
        <f t="shared" si="1360"/>
        <v>5000</v>
      </c>
      <c r="L1299" s="187">
        <v>40000</v>
      </c>
      <c r="M1299" s="110">
        <v>9.5</v>
      </c>
      <c r="N1299" s="9">
        <f>VLOOKUP(DATE(YEAR(A1299),MONTH(A1299),DAY(A1299)),FY24_Temp[],3,FALSE)</f>
        <v>14.5</v>
      </c>
      <c r="O1299" s="110">
        <f t="shared" si="1346"/>
        <v>11.5</v>
      </c>
      <c r="P1299" s="110">
        <f t="shared" si="1347"/>
        <v>19.5</v>
      </c>
      <c r="Q1299" s="79">
        <f>VLOOKUP(VLOOKUP(DATEVALUE(TEXT(A1299,"m/d/yyyy")),FY24_Temp[],5,FALSE)&amp;TEXT(A1299,"-h"),TempDelta[],4,FALSE)</f>
        <v>2.4531428813934326</v>
      </c>
      <c r="R1299">
        <v>10</v>
      </c>
      <c r="S1299" s="112">
        <v>1500</v>
      </c>
      <c r="T1299" s="5">
        <f>VLOOKUP(TEXT(A1299,"yy-mm")&amp;"-"&amp;IF(AND(WEEKDAY(A1299)&gt;1,WEEKDAY(A1299)&lt;7),"Wkd",TEXT(A1299,"Ddd"))&amp;"-"&amp;TEXT(A1299,"hh"),LoadTable[],3,FALSE)*0.92</f>
        <v>372.20164</v>
      </c>
      <c r="U1299" s="113">
        <f t="shared" si="1348"/>
        <v>37.220163999999997</v>
      </c>
      <c r="V1299">
        <f t="shared" ref="V1299:W1299" si="1368">V1275</f>
        <v>3</v>
      </c>
      <c r="W1299">
        <f t="shared" si="1368"/>
        <v>3.2</v>
      </c>
      <c r="X1299" s="9">
        <v>3.1251657000000002</v>
      </c>
      <c r="Y1299" s="39"/>
    </row>
    <row r="1300" spans="1:25" ht="15" thickBot="1">
      <c r="A1300" s="29">
        <f t="shared" si="1330"/>
        <v>45890.0416666655</v>
      </c>
      <c r="B1300" s="30">
        <f t="shared" si="1357"/>
        <v>5000</v>
      </c>
      <c r="C1300" s="8">
        <v>25000</v>
      </c>
      <c r="D1300" s="187">
        <v>0</v>
      </c>
      <c r="E1300" s="187">
        <v>700</v>
      </c>
      <c r="F1300" s="187">
        <v>15000</v>
      </c>
      <c r="G1300" s="30">
        <f t="shared" si="1358"/>
        <v>2400</v>
      </c>
      <c r="H1300" s="42">
        <v>25000</v>
      </c>
      <c r="I1300" s="30">
        <f t="shared" si="1359"/>
        <v>5000</v>
      </c>
      <c r="J1300" s="187">
        <v>40000</v>
      </c>
      <c r="K1300" s="30">
        <f t="shared" si="1360"/>
        <v>5000</v>
      </c>
      <c r="L1300" s="187">
        <v>40000</v>
      </c>
      <c r="M1300" s="110">
        <v>9.5</v>
      </c>
      <c r="N1300" s="9">
        <f>VLOOKUP(DATE(YEAR(A1300),MONTH(A1300),DAY(A1300)),FY24_Temp[],3,FALSE)</f>
        <v>14.5</v>
      </c>
      <c r="O1300" s="110">
        <f t="shared" si="1346"/>
        <v>11.5</v>
      </c>
      <c r="P1300" s="110">
        <f t="shared" si="1347"/>
        <v>19.5</v>
      </c>
      <c r="Q1300" s="87">
        <f>VLOOKUP(VLOOKUP(DATEVALUE(TEXT(A1300,"m/d/yyyy")),FY24_Temp[],5,FALSE)&amp;TEXT(A1300,"-h"),TempDelta[],4,FALSE)</f>
        <v>2.5072856971195767</v>
      </c>
      <c r="R1300">
        <v>10</v>
      </c>
      <c r="S1300" s="112">
        <v>1500</v>
      </c>
      <c r="T1300" s="98">
        <f>VLOOKUP(TEXT(A1300,"yy-mm")&amp;"-"&amp;IF(AND(WEEKDAY(A1300)&gt;1,WEEKDAY(A1300)&lt;7),"Wkd",TEXT(A1300,"Ddd"))&amp;"-"&amp;TEXT(A1300,"hh"),LoadTable[],3,FALSE)*0.92</f>
        <v>363.06235999999996</v>
      </c>
      <c r="U1300" s="113">
        <f t="shared" si="1348"/>
        <v>36.306235999999998</v>
      </c>
      <c r="V1300">
        <f t="shared" ref="V1300:W1300" si="1369">V1276</f>
        <v>2.6</v>
      </c>
      <c r="W1300">
        <f t="shared" si="1369"/>
        <v>3.2</v>
      </c>
      <c r="X1300" s="86">
        <v>3.1533169999999999</v>
      </c>
      <c r="Y1300" s="39"/>
    </row>
    <row r="1301" spans="1:25" ht="15" thickBot="1">
      <c r="A1301" s="29">
        <f t="shared" si="1330"/>
        <v>45890.083333332164</v>
      </c>
      <c r="B1301" s="30">
        <f t="shared" si="1357"/>
        <v>5000</v>
      </c>
      <c r="C1301" s="8">
        <v>25000</v>
      </c>
      <c r="D1301" s="187">
        <v>0</v>
      </c>
      <c r="E1301" s="187">
        <v>700</v>
      </c>
      <c r="F1301" s="187">
        <v>15000</v>
      </c>
      <c r="G1301" s="30">
        <f t="shared" si="1358"/>
        <v>2400</v>
      </c>
      <c r="H1301" s="8">
        <v>25000</v>
      </c>
      <c r="I1301" s="30">
        <f t="shared" si="1359"/>
        <v>5000</v>
      </c>
      <c r="J1301" s="187">
        <v>40000</v>
      </c>
      <c r="K1301" s="30">
        <f t="shared" si="1360"/>
        <v>5000</v>
      </c>
      <c r="L1301" s="187">
        <v>40000</v>
      </c>
      <c r="M1301" s="110">
        <v>9.5</v>
      </c>
      <c r="N1301" s="9">
        <f>VLOOKUP(DATE(YEAR(A1301),MONTH(A1301),DAY(A1301)),FY24_Temp[],3,FALSE)</f>
        <v>14.5</v>
      </c>
      <c r="O1301" s="110">
        <f t="shared" si="1346"/>
        <v>11.5</v>
      </c>
      <c r="P1301" s="110">
        <f t="shared" si="1347"/>
        <v>19.5</v>
      </c>
      <c r="Q1301" s="79">
        <f>VLOOKUP(VLOOKUP(DATEVALUE(TEXT(A1301,"m/d/yyyy")),FY24_Temp[],5,FALSE)&amp;TEXT(A1301,"-h"),TempDelta[],4,FALSE)</f>
        <v>2.5261428356170654</v>
      </c>
      <c r="R1301">
        <v>10</v>
      </c>
      <c r="S1301" s="112">
        <v>1500</v>
      </c>
      <c r="T1301" s="5">
        <f>VLOOKUP(TEXT(A1301,"yy-mm")&amp;"-"&amp;IF(AND(WEEKDAY(A1301)&gt;1,WEEKDAY(A1301)&lt;7),"Wkd",TEXT(A1301,"Ddd"))&amp;"-"&amp;TEXT(A1301,"hh"),LoadTable[],3,FALSE)*0.92</f>
        <v>363.06235999999996</v>
      </c>
      <c r="U1301" s="113">
        <f t="shared" si="1348"/>
        <v>36.306235999999998</v>
      </c>
      <c r="V1301">
        <f t="shared" ref="V1301:W1301" si="1370">V1277</f>
        <v>2.8</v>
      </c>
      <c r="W1301">
        <f t="shared" si="1370"/>
        <v>3.2</v>
      </c>
      <c r="X1301" s="9">
        <v>3.1929603000000002</v>
      </c>
      <c r="Y1301" s="39"/>
    </row>
    <row r="1302" spans="1:25" ht="15" thickBot="1">
      <c r="A1302" s="29">
        <f t="shared" si="1330"/>
        <v>45890.124999998829</v>
      </c>
      <c r="B1302" s="30">
        <f t="shared" si="1357"/>
        <v>5000</v>
      </c>
      <c r="C1302" s="8">
        <v>25000</v>
      </c>
      <c r="D1302" s="187">
        <v>0</v>
      </c>
      <c r="E1302" s="187">
        <v>700</v>
      </c>
      <c r="F1302" s="187">
        <v>15000</v>
      </c>
      <c r="G1302" s="30">
        <f t="shared" si="1358"/>
        <v>2400</v>
      </c>
      <c r="H1302" s="8">
        <v>25000</v>
      </c>
      <c r="I1302" s="30">
        <f t="shared" si="1359"/>
        <v>5000</v>
      </c>
      <c r="J1302" s="187">
        <v>40000</v>
      </c>
      <c r="K1302" s="30">
        <f t="shared" si="1360"/>
        <v>5000</v>
      </c>
      <c r="L1302" s="187">
        <v>40000</v>
      </c>
      <c r="M1302" s="110">
        <v>9.5</v>
      </c>
      <c r="N1302" s="9">
        <f>VLOOKUP(DATE(YEAR(A1302),MONTH(A1302),DAY(A1302)),FY24_Temp[],3,FALSE)</f>
        <v>14.5</v>
      </c>
      <c r="O1302" s="110">
        <f t="shared" si="1346"/>
        <v>11.5</v>
      </c>
      <c r="P1302" s="110">
        <f t="shared" si="1347"/>
        <v>19.5</v>
      </c>
      <c r="Q1302" s="79">
        <f>VLOOKUP(VLOOKUP(DATEVALUE(TEXT(A1302,"m/d/yyyy")),FY24_Temp[],5,FALSE)&amp;TEXT(A1302,"-h"),TempDelta[],4,FALSE)</f>
        <v>2.521428550992693</v>
      </c>
      <c r="R1302">
        <v>10</v>
      </c>
      <c r="S1302" s="112">
        <v>1500</v>
      </c>
      <c r="T1302" s="5">
        <f>VLOOKUP(TEXT(A1302,"yy-mm")&amp;"-"&amp;IF(AND(WEEKDAY(A1302)&gt;1,WEEKDAY(A1302)&lt;7),"Wkd",TEXT(A1302,"Ddd"))&amp;"-"&amp;TEXT(A1302,"hh"),LoadTable[],3,FALSE)*0.92</f>
        <v>363.06235999999996</v>
      </c>
      <c r="U1302" s="113">
        <f t="shared" si="1348"/>
        <v>36.306235999999998</v>
      </c>
      <c r="V1302">
        <f t="shared" ref="V1302:W1302" si="1371">V1278</f>
        <v>2.7</v>
      </c>
      <c r="W1302">
        <f t="shared" si="1371"/>
        <v>3.2</v>
      </c>
      <c r="X1302" s="9">
        <v>3.2240991999999999</v>
      </c>
      <c r="Y1302" s="39"/>
    </row>
    <row r="1303" spans="1:25" ht="15" thickBot="1">
      <c r="A1303" s="29">
        <f t="shared" si="1330"/>
        <v>45890.166666665493</v>
      </c>
      <c r="B1303" s="30">
        <f t="shared" si="1357"/>
        <v>5000</v>
      </c>
      <c r="C1303" s="8">
        <v>25000</v>
      </c>
      <c r="D1303" s="187">
        <v>0</v>
      </c>
      <c r="E1303" s="187">
        <v>700</v>
      </c>
      <c r="F1303" s="187">
        <v>15000</v>
      </c>
      <c r="G1303" s="30">
        <f t="shared" si="1358"/>
        <v>2400</v>
      </c>
      <c r="H1303" s="8">
        <v>25000</v>
      </c>
      <c r="I1303" s="30">
        <f t="shared" si="1359"/>
        <v>5000</v>
      </c>
      <c r="J1303" s="187">
        <v>40000</v>
      </c>
      <c r="K1303" s="30">
        <f t="shared" si="1360"/>
        <v>5000</v>
      </c>
      <c r="L1303" s="187">
        <v>40000</v>
      </c>
      <c r="M1303" s="110">
        <v>9.5</v>
      </c>
      <c r="N1303" s="9">
        <f>VLOOKUP(DATE(YEAR(A1303),MONTH(A1303),DAY(A1303)),FY24_Temp[],3,FALSE)</f>
        <v>14.5</v>
      </c>
      <c r="O1303" s="110">
        <f t="shared" si="1346"/>
        <v>11.5</v>
      </c>
      <c r="P1303" s="110">
        <f t="shared" si="1347"/>
        <v>19.5</v>
      </c>
      <c r="Q1303" s="79">
        <f>VLOOKUP(VLOOKUP(DATEVALUE(TEXT(A1303,"m/d/yyyy")),FY24_Temp[],5,FALSE)&amp;TEXT(A1303,"-h"),TempDelta[],4,FALSE)</f>
        <v>2.5227143423897878</v>
      </c>
      <c r="R1303">
        <v>10</v>
      </c>
      <c r="S1303" s="112">
        <v>1500</v>
      </c>
      <c r="T1303" s="5">
        <f>VLOOKUP(TEXT(A1303,"yy-mm")&amp;"-"&amp;IF(AND(WEEKDAY(A1303)&gt;1,WEEKDAY(A1303)&lt;7),"Wkd",TEXT(A1303,"Ddd"))&amp;"-"&amp;TEXT(A1303,"hh"),LoadTable[],3,FALSE)*0.92</f>
        <v>363.06235999999996</v>
      </c>
      <c r="U1303" s="113">
        <f t="shared" si="1348"/>
        <v>36.306235999999998</v>
      </c>
      <c r="V1303">
        <f t="shared" ref="V1303:W1303" si="1372">V1279</f>
        <v>3</v>
      </c>
      <c r="W1303">
        <f t="shared" si="1372"/>
        <v>3.1</v>
      </c>
      <c r="X1303" s="9">
        <v>3.2385006000000001</v>
      </c>
      <c r="Y1303" s="39"/>
    </row>
    <row r="1304" spans="1:25" ht="15" thickBot="1">
      <c r="A1304" s="29">
        <f t="shared" si="1330"/>
        <v>45890.208333332157</v>
      </c>
      <c r="B1304" s="30">
        <f t="shared" si="1357"/>
        <v>5000</v>
      </c>
      <c r="C1304" s="8">
        <v>25000</v>
      </c>
      <c r="D1304" s="187">
        <v>0</v>
      </c>
      <c r="E1304" s="187">
        <v>700</v>
      </c>
      <c r="F1304" s="187">
        <v>15000</v>
      </c>
      <c r="G1304" s="30">
        <f t="shared" si="1358"/>
        <v>2400</v>
      </c>
      <c r="H1304" s="8">
        <v>25000</v>
      </c>
      <c r="I1304" s="30">
        <f t="shared" si="1359"/>
        <v>5000</v>
      </c>
      <c r="J1304" s="187">
        <v>40000</v>
      </c>
      <c r="K1304" s="30">
        <f t="shared" si="1360"/>
        <v>5000</v>
      </c>
      <c r="L1304" s="187">
        <v>40000</v>
      </c>
      <c r="M1304" s="110">
        <v>9.5</v>
      </c>
      <c r="N1304" s="9">
        <f>VLOOKUP(DATE(YEAR(A1304),MONTH(A1304),DAY(A1304)),FY24_Temp[],3,FALSE)</f>
        <v>14.5</v>
      </c>
      <c r="O1304" s="110">
        <f t="shared" si="1346"/>
        <v>11.5</v>
      </c>
      <c r="P1304" s="110">
        <f t="shared" si="1347"/>
        <v>19.5</v>
      </c>
      <c r="Q1304" s="79">
        <f>VLOOKUP(VLOOKUP(DATEVALUE(TEXT(A1304,"m/d/yyyy")),FY24_Temp[],5,FALSE)&amp;TEXT(A1304,"-h"),TempDelta[],4,FALSE)</f>
        <v>2.5675714015960693</v>
      </c>
      <c r="R1304">
        <v>10</v>
      </c>
      <c r="S1304" s="112">
        <v>1500</v>
      </c>
      <c r="T1304" s="5">
        <f>VLOOKUP(TEXT(A1304,"yy-mm")&amp;"-"&amp;IF(AND(WEEKDAY(A1304)&gt;1,WEEKDAY(A1304)&lt;7),"Wkd",TEXT(A1304,"Ddd"))&amp;"-"&amp;TEXT(A1304,"hh"),LoadTable[],3,FALSE)*0.92</f>
        <v>363.06235999999996</v>
      </c>
      <c r="U1304" s="113">
        <f t="shared" si="1348"/>
        <v>36.306235999999998</v>
      </c>
      <c r="V1304">
        <f t="shared" ref="V1304:W1304" si="1373">V1280</f>
        <v>2.9</v>
      </c>
      <c r="W1304">
        <f t="shared" si="1373"/>
        <v>3.1</v>
      </c>
      <c r="X1304" s="9">
        <v>3.2921939</v>
      </c>
      <c r="Y1304" s="39"/>
    </row>
    <row r="1305" spans="1:25" ht="15" thickBot="1">
      <c r="A1305" s="29">
        <f t="shared" si="1330"/>
        <v>45890.249999998821</v>
      </c>
      <c r="B1305" s="30">
        <f t="shared" si="1357"/>
        <v>8000</v>
      </c>
      <c r="C1305" s="8">
        <v>25000</v>
      </c>
      <c r="D1305" s="187">
        <v>0</v>
      </c>
      <c r="E1305" s="187">
        <v>700</v>
      </c>
      <c r="F1305" s="187">
        <v>15000</v>
      </c>
      <c r="G1305" s="30">
        <f t="shared" si="1358"/>
        <v>2400</v>
      </c>
      <c r="H1305" s="8">
        <v>25000</v>
      </c>
      <c r="I1305" s="30">
        <f t="shared" si="1359"/>
        <v>8000</v>
      </c>
      <c r="J1305" s="187">
        <v>40000</v>
      </c>
      <c r="K1305" s="30">
        <f t="shared" si="1360"/>
        <v>8000</v>
      </c>
      <c r="L1305" s="187">
        <v>40000</v>
      </c>
      <c r="M1305" s="110">
        <v>9.5</v>
      </c>
      <c r="N1305" s="9">
        <f>VLOOKUP(DATE(YEAR(A1305),MONTH(A1305),DAY(A1305)),FY24_Temp[],3,FALSE)</f>
        <v>14.5</v>
      </c>
      <c r="O1305" s="110">
        <f t="shared" si="1346"/>
        <v>11.5</v>
      </c>
      <c r="P1305" s="110">
        <f t="shared" si="1347"/>
        <v>19.5</v>
      </c>
      <c r="Q1305" s="79">
        <f>VLOOKUP(VLOOKUP(DATEVALUE(TEXT(A1305,"m/d/yyyy")),FY24_Temp[],5,FALSE)&amp;TEXT(A1305,"-h"),TempDelta[],4,FALSE)</f>
        <v>2.5785714558192661</v>
      </c>
      <c r="R1305">
        <v>10</v>
      </c>
      <c r="S1305" s="112">
        <v>1500</v>
      </c>
      <c r="T1305" s="5">
        <f>VLOOKUP(TEXT(A1305,"yy-mm")&amp;"-"&amp;IF(AND(WEEKDAY(A1305)&gt;1,WEEKDAY(A1305)&lt;7),"Wkd",TEXT(A1305,"Ddd"))&amp;"-"&amp;TEXT(A1305,"hh"),LoadTable[],3,FALSE)*0.92</f>
        <v>363.06235999999996</v>
      </c>
      <c r="U1305" s="113">
        <f t="shared" si="1348"/>
        <v>36.306235999999998</v>
      </c>
      <c r="V1305">
        <f t="shared" ref="V1305:W1305" si="1374">V1281</f>
        <v>2.5</v>
      </c>
      <c r="W1305">
        <f t="shared" si="1374"/>
        <v>3.1</v>
      </c>
      <c r="X1305" s="9">
        <v>3.3545598999999999</v>
      </c>
      <c r="Y1305" s="39"/>
    </row>
    <row r="1306" spans="1:25" ht="15" thickBot="1">
      <c r="A1306" s="29">
        <f t="shared" si="1330"/>
        <v>45890.291666665486</v>
      </c>
      <c r="B1306" s="30">
        <f t="shared" si="1357"/>
        <v>8000</v>
      </c>
      <c r="C1306" s="8">
        <v>25000</v>
      </c>
      <c r="D1306" s="187">
        <v>0</v>
      </c>
      <c r="E1306" s="187">
        <v>700</v>
      </c>
      <c r="F1306" s="187">
        <v>15000</v>
      </c>
      <c r="G1306" s="30">
        <f t="shared" si="1358"/>
        <v>2400</v>
      </c>
      <c r="H1306" s="8">
        <v>25000</v>
      </c>
      <c r="I1306" s="30">
        <f t="shared" si="1359"/>
        <v>8000</v>
      </c>
      <c r="J1306" s="187">
        <v>40000</v>
      </c>
      <c r="K1306" s="30">
        <f t="shared" si="1360"/>
        <v>8000</v>
      </c>
      <c r="L1306" s="187">
        <v>40000</v>
      </c>
      <c r="M1306" s="110">
        <v>9.5</v>
      </c>
      <c r="N1306" s="9">
        <f>VLOOKUP(DATE(YEAR(A1306),MONTH(A1306),DAY(A1306)),FY24_Temp[],3,FALSE)</f>
        <v>14.5</v>
      </c>
      <c r="O1306" s="110">
        <f t="shared" si="1346"/>
        <v>11.5</v>
      </c>
      <c r="P1306" s="110">
        <f t="shared" si="1347"/>
        <v>19.5</v>
      </c>
      <c r="Q1306" s="79">
        <f>VLOOKUP(VLOOKUP(DATEVALUE(TEXT(A1306,"m/d/yyyy")),FY24_Temp[],5,FALSE)&amp;TEXT(A1306,"-h"),TempDelta[],4,FALSE)</f>
        <v>2.5442857401711598</v>
      </c>
      <c r="R1306">
        <v>10</v>
      </c>
      <c r="S1306" s="112">
        <v>1500</v>
      </c>
      <c r="T1306" s="5">
        <f>VLOOKUP(TEXT(A1306,"yy-mm")&amp;"-"&amp;IF(AND(WEEKDAY(A1306)&gt;1,WEEKDAY(A1306)&lt;7),"Wkd",TEXT(A1306,"Ddd"))&amp;"-"&amp;TEXT(A1306,"hh"),LoadTable[],3,FALSE)*0.92</f>
        <v>352.2091200000001</v>
      </c>
      <c r="U1306" s="113">
        <f t="shared" si="1348"/>
        <v>35.220912000000013</v>
      </c>
      <c r="V1306">
        <f t="shared" ref="V1306:W1306" si="1375">V1282</f>
        <v>2.5</v>
      </c>
      <c r="W1306">
        <f t="shared" si="1375"/>
        <v>3.1</v>
      </c>
      <c r="X1306" s="9">
        <v>3.3548030999999998</v>
      </c>
      <c r="Y1306" s="39"/>
    </row>
    <row r="1307" spans="1:25" ht="15" thickBot="1">
      <c r="A1307" s="29">
        <f t="shared" si="1330"/>
        <v>45890.33333333215</v>
      </c>
      <c r="B1307" s="30">
        <f t="shared" si="1357"/>
        <v>8000</v>
      </c>
      <c r="C1307" s="8">
        <v>25000</v>
      </c>
      <c r="D1307" s="187">
        <v>0</v>
      </c>
      <c r="E1307" s="187">
        <v>700</v>
      </c>
      <c r="F1307" s="187">
        <v>15000</v>
      </c>
      <c r="G1307" s="30">
        <f t="shared" si="1358"/>
        <v>2400</v>
      </c>
      <c r="H1307" s="8">
        <v>25000</v>
      </c>
      <c r="I1307" s="30">
        <f t="shared" si="1359"/>
        <v>8000</v>
      </c>
      <c r="J1307" s="187">
        <v>40000</v>
      </c>
      <c r="K1307" s="30">
        <f t="shared" si="1360"/>
        <v>8000</v>
      </c>
      <c r="L1307" s="187">
        <v>40000</v>
      </c>
      <c r="M1307" s="110">
        <v>9.5</v>
      </c>
      <c r="N1307" s="9">
        <f>VLOOKUP(DATE(YEAR(A1307),MONTH(A1307),DAY(A1307)),FY24_Temp[],3,FALSE)</f>
        <v>14.5</v>
      </c>
      <c r="O1307" s="110">
        <f t="shared" si="1346"/>
        <v>11.5</v>
      </c>
      <c r="P1307" s="110">
        <f t="shared" si="1347"/>
        <v>19.5</v>
      </c>
      <c r="Q1307" s="79">
        <f>VLOOKUP(VLOOKUP(DATEVALUE(TEXT(A1307,"m/d/yyyy")),FY24_Temp[],5,FALSE)&amp;TEXT(A1307,"-h"),TempDelta[],4,FALSE)</f>
        <v>2.4372856957571849</v>
      </c>
      <c r="R1307">
        <v>10</v>
      </c>
      <c r="S1307" s="112">
        <v>1500</v>
      </c>
      <c r="T1307" s="5">
        <f>VLOOKUP(TEXT(A1307,"yy-mm")&amp;"-"&amp;IF(AND(WEEKDAY(A1307)&gt;1,WEEKDAY(A1307)&lt;7),"Wkd",TEXT(A1307,"Ddd"))&amp;"-"&amp;TEXT(A1307,"hh"),LoadTable[],3,FALSE)*0.92</f>
        <v>352.2091200000001</v>
      </c>
      <c r="U1307" s="113">
        <f t="shared" si="1348"/>
        <v>35.220912000000013</v>
      </c>
      <c r="V1307">
        <f t="shared" ref="V1307:W1307" si="1376">V1283</f>
        <v>3.2</v>
      </c>
      <c r="W1307">
        <f t="shared" si="1376"/>
        <v>3</v>
      </c>
      <c r="X1307" s="9">
        <v>3.3969695999999998</v>
      </c>
      <c r="Y1307" s="39"/>
    </row>
    <row r="1308" spans="1:25" ht="15" thickBot="1">
      <c r="A1308" s="29">
        <f t="shared" si="1330"/>
        <v>45890.374999998814</v>
      </c>
      <c r="B1308" s="30">
        <f t="shared" si="1357"/>
        <v>8000</v>
      </c>
      <c r="C1308" s="8">
        <v>25000</v>
      </c>
      <c r="D1308" s="187">
        <v>0</v>
      </c>
      <c r="E1308" s="187">
        <v>700</v>
      </c>
      <c r="F1308" s="187">
        <v>15000</v>
      </c>
      <c r="G1308" s="30">
        <f t="shared" si="1358"/>
        <v>2400</v>
      </c>
      <c r="H1308" s="8">
        <v>25000</v>
      </c>
      <c r="I1308" s="30">
        <f t="shared" si="1359"/>
        <v>8000</v>
      </c>
      <c r="J1308" s="187">
        <v>40000</v>
      </c>
      <c r="K1308" s="30">
        <f t="shared" si="1360"/>
        <v>8000</v>
      </c>
      <c r="L1308" s="187">
        <v>40000</v>
      </c>
      <c r="M1308" s="110">
        <v>9.5</v>
      </c>
      <c r="N1308" s="9">
        <f>VLOOKUP(DATE(YEAR(A1308),MONTH(A1308),DAY(A1308)),FY24_Temp[],3,FALSE)</f>
        <v>14.5</v>
      </c>
      <c r="O1308" s="110">
        <f t="shared" si="1346"/>
        <v>11.5</v>
      </c>
      <c r="P1308" s="110">
        <f t="shared" si="1347"/>
        <v>19.5</v>
      </c>
      <c r="Q1308" s="79">
        <f>VLOOKUP(VLOOKUP(DATEVALUE(TEXT(A1308,"m/d/yyyy")),FY24_Temp[],5,FALSE)&amp;TEXT(A1308,"-h"),TempDelta[],4,FALSE)</f>
        <v>2.254857131413051</v>
      </c>
      <c r="R1308">
        <v>10</v>
      </c>
      <c r="S1308" s="112">
        <v>1500</v>
      </c>
      <c r="T1308" s="5">
        <f>VLOOKUP(TEXT(A1308,"yy-mm")&amp;"-"&amp;IF(AND(WEEKDAY(A1308)&gt;1,WEEKDAY(A1308)&lt;7),"Wkd",TEXT(A1308,"Ddd"))&amp;"-"&amp;TEXT(A1308,"hh"),LoadTable[],3,FALSE)*0.92</f>
        <v>340.60949077857163</v>
      </c>
      <c r="U1308" s="113">
        <f t="shared" si="1348"/>
        <v>34.06094907785716</v>
      </c>
      <c r="V1308">
        <f t="shared" ref="V1308:W1308" si="1377">V1284</f>
        <v>2.9</v>
      </c>
      <c r="W1308">
        <f t="shared" si="1377"/>
        <v>3</v>
      </c>
      <c r="X1308" s="9">
        <v>3.4665666000000002</v>
      </c>
      <c r="Y1308" s="39"/>
    </row>
    <row r="1309" spans="1:25" ht="15" thickBot="1">
      <c r="A1309" s="29">
        <f t="shared" si="1330"/>
        <v>45890.416666665478</v>
      </c>
      <c r="B1309" s="30">
        <f t="shared" si="1357"/>
        <v>8000</v>
      </c>
      <c r="C1309" s="8">
        <v>25000</v>
      </c>
      <c r="D1309" s="187">
        <v>0</v>
      </c>
      <c r="E1309" s="187">
        <v>700</v>
      </c>
      <c r="F1309" s="187">
        <v>15000</v>
      </c>
      <c r="G1309" s="30">
        <f t="shared" si="1358"/>
        <v>2400</v>
      </c>
      <c r="H1309" s="8">
        <v>25000</v>
      </c>
      <c r="I1309" s="30">
        <f t="shared" si="1359"/>
        <v>8000</v>
      </c>
      <c r="J1309" s="187">
        <v>40000</v>
      </c>
      <c r="K1309" s="30">
        <f t="shared" si="1360"/>
        <v>8000</v>
      </c>
      <c r="L1309" s="187">
        <v>40000</v>
      </c>
      <c r="M1309" s="110">
        <v>9.5</v>
      </c>
      <c r="N1309" s="9">
        <f>VLOOKUP(DATE(YEAR(A1309),MONTH(A1309),DAY(A1309)),FY24_Temp[],3,FALSE)</f>
        <v>14.5</v>
      </c>
      <c r="O1309" s="110">
        <f t="shared" si="1346"/>
        <v>11.5</v>
      </c>
      <c r="P1309" s="110">
        <f t="shared" si="1347"/>
        <v>19.5</v>
      </c>
      <c r="Q1309" s="79">
        <f>VLOOKUP(VLOOKUP(DATEVALUE(TEXT(A1309,"m/d/yyyy")),FY24_Temp[],5,FALSE)&amp;TEXT(A1309,"-h"),TempDelta[],4,FALSE)</f>
        <v>2.044999991144453</v>
      </c>
      <c r="R1309">
        <v>10</v>
      </c>
      <c r="S1309" s="112">
        <v>1500</v>
      </c>
      <c r="T1309" s="5">
        <f>VLOOKUP(TEXT(A1309,"yy-mm")&amp;"-"&amp;IF(AND(WEEKDAY(A1309)&gt;1,WEEKDAY(A1309)&lt;7),"Wkd",TEXT(A1309,"Ddd"))&amp;"-"&amp;TEXT(A1309,"hh"),LoadTable[],3,FALSE)*0.92</f>
        <v>338.44093501457746</v>
      </c>
      <c r="U1309" s="113">
        <f t="shared" si="1348"/>
        <v>33.844093501457749</v>
      </c>
      <c r="V1309">
        <f t="shared" ref="V1309:W1309" si="1378">V1285</f>
        <v>2.9</v>
      </c>
      <c r="W1309">
        <f t="shared" si="1378"/>
        <v>3</v>
      </c>
      <c r="X1309" s="9">
        <v>3.4711069999999999</v>
      </c>
      <c r="Y1309" s="39"/>
    </row>
    <row r="1310" spans="1:25" ht="15" thickBot="1">
      <c r="A1310" s="29">
        <f t="shared" si="1330"/>
        <v>45890.458333332143</v>
      </c>
      <c r="B1310" s="30">
        <f t="shared" si="1357"/>
        <v>8000</v>
      </c>
      <c r="C1310" s="8">
        <v>25000</v>
      </c>
      <c r="D1310" s="187">
        <v>0</v>
      </c>
      <c r="E1310" s="187">
        <v>700</v>
      </c>
      <c r="F1310" s="187">
        <v>15000</v>
      </c>
      <c r="G1310" s="30">
        <f t="shared" si="1358"/>
        <v>2400</v>
      </c>
      <c r="H1310" s="8">
        <v>25000</v>
      </c>
      <c r="I1310" s="30">
        <f t="shared" si="1359"/>
        <v>8000</v>
      </c>
      <c r="J1310" s="187">
        <v>40000</v>
      </c>
      <c r="K1310" s="30">
        <f t="shared" si="1360"/>
        <v>8000</v>
      </c>
      <c r="L1310" s="187">
        <v>40000</v>
      </c>
      <c r="M1310" s="110">
        <v>9.5</v>
      </c>
      <c r="N1310" s="9">
        <f>VLOOKUP(DATE(YEAR(A1310),MONTH(A1310),DAY(A1310)),FY24_Temp[],3,FALSE)</f>
        <v>14.5</v>
      </c>
      <c r="O1310" s="110">
        <f t="shared" si="1346"/>
        <v>11.5</v>
      </c>
      <c r="P1310" s="110">
        <f t="shared" si="1347"/>
        <v>19.5</v>
      </c>
      <c r="Q1310" s="79">
        <f>VLOOKUP(VLOOKUP(DATEVALUE(TEXT(A1310,"m/d/yyyy")),FY24_Temp[],5,FALSE)&amp;TEXT(A1310,"-h"),TempDelta[],4,FALSE)</f>
        <v>1.7985714163099016</v>
      </c>
      <c r="R1310">
        <v>10</v>
      </c>
      <c r="S1310" s="112">
        <v>1500</v>
      </c>
      <c r="T1310" s="5">
        <f>VLOOKUP(TEXT(A1310,"yy-mm")&amp;"-"&amp;IF(AND(WEEKDAY(A1310)&gt;1,WEEKDAY(A1310)&lt;7),"Wkd",TEXT(A1310,"Ddd"))&amp;"-"&amp;TEXT(A1310,"hh"),LoadTable[],3,FALSE)*0.92</f>
        <v>338.44093501457746</v>
      </c>
      <c r="U1310" s="113">
        <f t="shared" si="1348"/>
        <v>33.844093501457749</v>
      </c>
      <c r="V1310">
        <f t="shared" ref="V1310:W1310" si="1379">V1286</f>
        <v>3.4</v>
      </c>
      <c r="W1310">
        <f t="shared" si="1379"/>
        <v>3</v>
      </c>
      <c r="X1310" s="9">
        <v>3.3187902</v>
      </c>
      <c r="Y1310" s="39"/>
    </row>
    <row r="1311" spans="1:25" ht="15" thickBot="1">
      <c r="A1311" s="29">
        <f t="shared" si="1330"/>
        <v>45890.499999998807</v>
      </c>
      <c r="B1311" s="30">
        <f t="shared" si="1357"/>
        <v>8000</v>
      </c>
      <c r="C1311" s="8">
        <v>25000</v>
      </c>
      <c r="D1311" s="187">
        <v>0</v>
      </c>
      <c r="E1311" s="187">
        <v>700</v>
      </c>
      <c r="F1311" s="187">
        <v>15000</v>
      </c>
      <c r="G1311" s="30">
        <f t="shared" si="1358"/>
        <v>2400</v>
      </c>
      <c r="H1311" s="8">
        <v>25000</v>
      </c>
      <c r="I1311" s="30">
        <f t="shared" si="1359"/>
        <v>8000</v>
      </c>
      <c r="J1311" s="187">
        <v>40000</v>
      </c>
      <c r="K1311" s="30">
        <f t="shared" si="1360"/>
        <v>8000</v>
      </c>
      <c r="L1311" s="187">
        <v>40000</v>
      </c>
      <c r="M1311" s="110">
        <v>9.5</v>
      </c>
      <c r="N1311" s="9">
        <f>VLOOKUP(DATE(YEAR(A1311),MONTH(A1311),DAY(A1311)),FY24_Temp[],3,FALSE)</f>
        <v>14.5</v>
      </c>
      <c r="O1311" s="110">
        <f t="shared" si="1346"/>
        <v>11.5</v>
      </c>
      <c r="P1311" s="110">
        <f t="shared" si="1347"/>
        <v>19.5</v>
      </c>
      <c r="Q1311" s="79">
        <f>VLOOKUP(VLOOKUP(DATEVALUE(TEXT(A1311,"m/d/yyyy")),FY24_Temp[],5,FALSE)&amp;TEXT(A1311,"-h"),TempDelta[],4,FALSE)</f>
        <v>1.5495714289801461</v>
      </c>
      <c r="R1311">
        <v>10</v>
      </c>
      <c r="S1311" s="112">
        <v>1500</v>
      </c>
      <c r="T1311" s="5">
        <f>VLOOKUP(TEXT(A1311,"yy-mm")&amp;"-"&amp;IF(AND(WEEKDAY(A1311)&gt;1,WEEKDAY(A1311)&lt;7),"Wkd",TEXT(A1311,"Ddd"))&amp;"-"&amp;TEXT(A1311,"hh"),LoadTable[],3,FALSE)*0.92</f>
        <v>338.44093501457746</v>
      </c>
      <c r="U1311" s="113">
        <f t="shared" si="1348"/>
        <v>33.844093501457749</v>
      </c>
      <c r="V1311">
        <f t="shared" ref="V1311:W1311" si="1380">V1287</f>
        <v>3.1</v>
      </c>
      <c r="W1311">
        <f t="shared" si="1380"/>
        <v>2.9</v>
      </c>
      <c r="X1311" s="9">
        <v>3.1329349999999998</v>
      </c>
      <c r="Y1311" s="39"/>
    </row>
    <row r="1312" spans="1:25" ht="15" thickBot="1">
      <c r="A1312" s="29">
        <f t="shared" si="1330"/>
        <v>45890.541666665471</v>
      </c>
      <c r="B1312" s="30">
        <f t="shared" si="1357"/>
        <v>8000</v>
      </c>
      <c r="C1312" s="8">
        <v>25000</v>
      </c>
      <c r="D1312" s="187">
        <v>0</v>
      </c>
      <c r="E1312" s="187">
        <v>700</v>
      </c>
      <c r="F1312" s="187">
        <v>15000</v>
      </c>
      <c r="G1312" s="30">
        <f t="shared" si="1358"/>
        <v>2400</v>
      </c>
      <c r="H1312" s="8">
        <v>25000</v>
      </c>
      <c r="I1312" s="30">
        <f t="shared" si="1359"/>
        <v>8000</v>
      </c>
      <c r="J1312" s="187">
        <v>40000</v>
      </c>
      <c r="K1312" s="30">
        <f t="shared" si="1360"/>
        <v>8000</v>
      </c>
      <c r="L1312" s="187">
        <v>40000</v>
      </c>
      <c r="M1312" s="110">
        <v>9.5</v>
      </c>
      <c r="N1312" s="9">
        <f>VLOOKUP(DATE(YEAR(A1312),MONTH(A1312),DAY(A1312)),FY24_Temp[],3,FALSE)</f>
        <v>14.5</v>
      </c>
      <c r="O1312" s="110">
        <f t="shared" si="1346"/>
        <v>11.5</v>
      </c>
      <c r="P1312" s="110">
        <f t="shared" si="1347"/>
        <v>19.5</v>
      </c>
      <c r="Q1312" s="79">
        <f>VLOOKUP(VLOOKUP(DATEVALUE(TEXT(A1312,"m/d/yyyy")),FY24_Temp[],5,FALSE)&amp;TEXT(A1312,"-h"),TempDelta[],4,FALSE)</f>
        <v>1.3002856969833374</v>
      </c>
      <c r="R1312">
        <v>10</v>
      </c>
      <c r="S1312" s="112">
        <v>1500</v>
      </c>
      <c r="T1312" s="5">
        <f>VLOOKUP(TEXT(A1312,"yy-mm")&amp;"-"&amp;IF(AND(WEEKDAY(A1312)&gt;1,WEEKDAY(A1312)&lt;7),"Wkd",TEXT(A1312,"Ddd"))&amp;"-"&amp;TEXT(A1312,"hh"),LoadTable[],3,FALSE)*0.92</f>
        <v>389.90980000000025</v>
      </c>
      <c r="U1312" s="113">
        <f t="shared" si="1348"/>
        <v>38.990980000000022</v>
      </c>
      <c r="V1312">
        <f t="shared" ref="V1312:W1312" si="1381">V1288</f>
        <v>3.2</v>
      </c>
      <c r="W1312">
        <f t="shared" si="1381"/>
        <v>2.9</v>
      </c>
      <c r="X1312" s="9">
        <v>2.9580188000000001</v>
      </c>
      <c r="Y1312" s="39"/>
    </row>
    <row r="1313" spans="1:25" ht="15" thickBot="1">
      <c r="A1313" s="29">
        <f t="shared" si="1330"/>
        <v>45890.583333332135</v>
      </c>
      <c r="B1313" s="30">
        <f t="shared" si="1357"/>
        <v>8000</v>
      </c>
      <c r="C1313" s="8">
        <v>25000</v>
      </c>
      <c r="D1313" s="187">
        <v>0</v>
      </c>
      <c r="E1313" s="187">
        <v>700</v>
      </c>
      <c r="F1313" s="187">
        <v>15000</v>
      </c>
      <c r="G1313" s="30">
        <f t="shared" si="1358"/>
        <v>2400</v>
      </c>
      <c r="H1313" s="8">
        <v>25000</v>
      </c>
      <c r="I1313" s="30">
        <f t="shared" si="1359"/>
        <v>8000</v>
      </c>
      <c r="J1313" s="187">
        <v>40000</v>
      </c>
      <c r="K1313" s="30">
        <f t="shared" si="1360"/>
        <v>8000</v>
      </c>
      <c r="L1313" s="187">
        <v>40000</v>
      </c>
      <c r="M1313" s="110">
        <v>9.5</v>
      </c>
      <c r="N1313" s="9">
        <f>VLOOKUP(DATE(YEAR(A1313),MONTH(A1313),DAY(A1313)),FY24_Temp[],3,FALSE)</f>
        <v>14.5</v>
      </c>
      <c r="O1313" s="110">
        <f t="shared" si="1346"/>
        <v>11.5</v>
      </c>
      <c r="P1313" s="110">
        <f t="shared" si="1347"/>
        <v>19.5</v>
      </c>
      <c r="Q1313" s="79">
        <f>VLOOKUP(VLOOKUP(DATEVALUE(TEXT(A1313,"m/d/yyyy")),FY24_Temp[],5,FALSE)&amp;TEXT(A1313,"-h"),TempDelta[],4,FALSE)</f>
        <v>1.065142844404493</v>
      </c>
      <c r="R1313">
        <v>10</v>
      </c>
      <c r="S1313" s="112">
        <v>1500</v>
      </c>
      <c r="T1313" s="5">
        <f>VLOOKUP(TEXT(A1313,"yy-mm")&amp;"-"&amp;IF(AND(WEEKDAY(A1313)&gt;1,WEEKDAY(A1313)&lt;7),"Wkd",TEXT(A1313,"Ddd"))&amp;"-"&amp;TEXT(A1313,"hh"),LoadTable[],3,FALSE)*0.92</f>
        <v>625.53652000000022</v>
      </c>
      <c r="U1313" s="113">
        <f t="shared" si="1348"/>
        <v>62.553652000000021</v>
      </c>
      <c r="V1313">
        <f t="shared" ref="V1313:W1313" si="1382">V1289</f>
        <v>3.5</v>
      </c>
      <c r="W1313">
        <f t="shared" si="1382"/>
        <v>2.9</v>
      </c>
      <c r="X1313" s="9">
        <v>3.0202323999999998</v>
      </c>
      <c r="Y1313" s="39"/>
    </row>
    <row r="1314" spans="1:25" ht="15" thickBot="1">
      <c r="A1314" s="29">
        <f t="shared" si="1330"/>
        <v>45890.624999998799</v>
      </c>
      <c r="B1314" s="30">
        <f t="shared" si="1357"/>
        <v>8000</v>
      </c>
      <c r="C1314" s="8">
        <v>25000</v>
      </c>
      <c r="D1314" s="187">
        <v>0</v>
      </c>
      <c r="E1314" s="187">
        <v>700</v>
      </c>
      <c r="F1314" s="187">
        <v>15000</v>
      </c>
      <c r="G1314" s="30">
        <f t="shared" si="1358"/>
        <v>2400</v>
      </c>
      <c r="H1314" s="8">
        <v>25000</v>
      </c>
      <c r="I1314" s="30">
        <f t="shared" si="1359"/>
        <v>8000</v>
      </c>
      <c r="J1314" s="187">
        <v>40000</v>
      </c>
      <c r="K1314" s="30">
        <f t="shared" si="1360"/>
        <v>8000</v>
      </c>
      <c r="L1314" s="187">
        <v>40000</v>
      </c>
      <c r="M1314" s="110">
        <v>9.5</v>
      </c>
      <c r="N1314" s="9">
        <f>VLOOKUP(DATE(YEAR(A1314),MONTH(A1314),DAY(A1314)),FY24_Temp[],3,FALSE)</f>
        <v>14.5</v>
      </c>
      <c r="O1314" s="110">
        <f t="shared" si="1346"/>
        <v>11.5</v>
      </c>
      <c r="P1314" s="110">
        <f t="shared" si="1347"/>
        <v>19.5</v>
      </c>
      <c r="Q1314" s="79">
        <f>VLOOKUP(VLOOKUP(DATEVALUE(TEXT(A1314,"m/d/yyyy")),FY24_Temp[],5,FALSE)&amp;TEXT(A1314,"-h"),TempDelta[],4,FALSE)</f>
        <v>0.74900000010217938</v>
      </c>
      <c r="R1314">
        <v>10</v>
      </c>
      <c r="S1314" s="112">
        <v>1500</v>
      </c>
      <c r="T1314" s="5">
        <f>VLOOKUP(TEXT(A1314,"yy-mm")&amp;"-"&amp;IF(AND(WEEKDAY(A1314)&gt;1,WEEKDAY(A1314)&lt;7),"Wkd",TEXT(A1314,"Ddd"))&amp;"-"&amp;TEXT(A1314,"hh"),LoadTable[],3,FALSE)*0.92</f>
        <v>699.79524000000038</v>
      </c>
      <c r="U1314" s="113">
        <f t="shared" si="1348"/>
        <v>69.97952400000004</v>
      </c>
      <c r="V1314">
        <f t="shared" ref="V1314:W1314" si="1383">V1290</f>
        <v>3.2</v>
      </c>
      <c r="W1314">
        <f t="shared" si="1383"/>
        <v>2.9</v>
      </c>
      <c r="X1314" s="9">
        <v>3.3654788</v>
      </c>
      <c r="Y1314" s="39"/>
    </row>
    <row r="1315" spans="1:25" ht="15" thickBot="1">
      <c r="A1315" s="29">
        <f t="shared" si="1330"/>
        <v>45890.666666665464</v>
      </c>
      <c r="B1315" s="30">
        <f t="shared" si="1357"/>
        <v>8000</v>
      </c>
      <c r="C1315" s="8">
        <v>25000</v>
      </c>
      <c r="D1315" s="187">
        <v>0</v>
      </c>
      <c r="E1315" s="187">
        <v>700</v>
      </c>
      <c r="F1315" s="187">
        <v>15000</v>
      </c>
      <c r="G1315" s="30">
        <f t="shared" si="1358"/>
        <v>2400</v>
      </c>
      <c r="H1315" s="8">
        <v>25000</v>
      </c>
      <c r="I1315" s="30">
        <f t="shared" si="1359"/>
        <v>8000</v>
      </c>
      <c r="J1315" s="187">
        <v>40000</v>
      </c>
      <c r="K1315" s="30">
        <f t="shared" si="1360"/>
        <v>8000</v>
      </c>
      <c r="L1315" s="187">
        <v>40000</v>
      </c>
      <c r="M1315" s="110">
        <v>9.5</v>
      </c>
      <c r="N1315" s="9">
        <f>VLOOKUP(DATE(YEAR(A1315),MONTH(A1315),DAY(A1315)),FY24_Temp[],3,FALSE)</f>
        <v>14.5</v>
      </c>
      <c r="O1315" s="110">
        <f t="shared" si="1346"/>
        <v>11.5</v>
      </c>
      <c r="P1315" s="110">
        <f t="shared" si="1347"/>
        <v>19.5</v>
      </c>
      <c r="Q1315" s="79">
        <f>VLOOKUP(VLOOKUP(DATEVALUE(TEXT(A1315,"m/d/yyyy")),FY24_Temp[],5,FALSE)&amp;TEXT(A1315,"-h"),TempDelta[],4,FALSE)</f>
        <v>0.60964286114488331</v>
      </c>
      <c r="R1315">
        <v>10</v>
      </c>
      <c r="S1315" s="112">
        <v>1500</v>
      </c>
      <c r="T1315" s="5">
        <f>VLOOKUP(TEXT(A1315,"yy-mm")&amp;"-"&amp;IF(AND(WEEKDAY(A1315)&gt;1,WEEKDAY(A1315)&lt;7),"Wkd",TEXT(A1315,"Ddd"))&amp;"-"&amp;TEXT(A1315,"hh"),LoadTable[],3,FALSE)*0.92</f>
        <v>786.27137399656624</v>
      </c>
      <c r="U1315" s="113">
        <f t="shared" si="1348"/>
        <v>78.627137399656618</v>
      </c>
      <c r="V1315">
        <f t="shared" ref="V1315:W1315" si="1384">V1291</f>
        <v>3.5</v>
      </c>
      <c r="W1315">
        <f t="shared" si="1384"/>
        <v>3</v>
      </c>
      <c r="X1315" s="9">
        <v>3.2380209</v>
      </c>
      <c r="Y1315" s="39"/>
    </row>
    <row r="1316" spans="1:25" ht="15" thickBot="1">
      <c r="A1316" s="29">
        <f t="shared" si="1330"/>
        <v>45890.708333332128</v>
      </c>
      <c r="B1316" s="30">
        <f t="shared" si="1357"/>
        <v>8000</v>
      </c>
      <c r="C1316" s="8">
        <v>25000</v>
      </c>
      <c r="D1316" s="187">
        <v>0</v>
      </c>
      <c r="E1316" s="187">
        <v>700</v>
      </c>
      <c r="F1316" s="187">
        <v>15000</v>
      </c>
      <c r="G1316" s="30">
        <f t="shared" si="1358"/>
        <v>2400</v>
      </c>
      <c r="H1316" s="8">
        <v>25000</v>
      </c>
      <c r="I1316" s="30">
        <f t="shared" si="1359"/>
        <v>8000</v>
      </c>
      <c r="J1316" s="187">
        <v>40000</v>
      </c>
      <c r="K1316" s="30">
        <f t="shared" si="1360"/>
        <v>8000</v>
      </c>
      <c r="L1316" s="187">
        <v>40000</v>
      </c>
      <c r="M1316" s="110">
        <v>9.5</v>
      </c>
      <c r="N1316" s="9">
        <f>VLOOKUP(DATE(YEAR(A1316),MONTH(A1316),DAY(A1316)),FY24_Temp[],3,FALSE)</f>
        <v>14.5</v>
      </c>
      <c r="O1316" s="110">
        <f t="shared" si="1346"/>
        <v>11.5</v>
      </c>
      <c r="P1316" s="110">
        <f t="shared" si="1347"/>
        <v>19.5</v>
      </c>
      <c r="Q1316" s="79">
        <f>VLOOKUP(VLOOKUP(DATEVALUE(TEXT(A1316,"m/d/yyyy")),FY24_Temp[],5,FALSE)&amp;TEXT(A1316,"-h"),TempDelta[],4,FALSE)</f>
        <v>0.63592857335294994</v>
      </c>
      <c r="R1316">
        <v>10</v>
      </c>
      <c r="S1316" s="112">
        <v>1500</v>
      </c>
      <c r="T1316" s="5">
        <f>VLOOKUP(TEXT(A1316,"yy-mm")&amp;"-"&amp;IF(AND(WEEKDAY(A1316)&gt;1,WEEKDAY(A1316)&lt;7),"Wkd",TEXT(A1316,"Ddd"))&amp;"-"&amp;TEXT(A1316,"hh"),LoadTable[],3,FALSE)*0.92</f>
        <v>786.27137399656624</v>
      </c>
      <c r="U1316" s="113">
        <f t="shared" si="1348"/>
        <v>78.627137399656618</v>
      </c>
      <c r="V1316">
        <f t="shared" ref="V1316:W1316" si="1385">V1292</f>
        <v>3.6</v>
      </c>
      <c r="W1316">
        <f t="shared" si="1385"/>
        <v>3</v>
      </c>
      <c r="X1316" s="9">
        <v>3.1685851</v>
      </c>
      <c r="Y1316" s="39"/>
    </row>
    <row r="1317" spans="1:25" ht="15" thickBot="1">
      <c r="A1317" s="29">
        <f t="shared" si="1330"/>
        <v>45890.749999998792</v>
      </c>
      <c r="B1317" s="30">
        <f t="shared" si="1357"/>
        <v>5000</v>
      </c>
      <c r="C1317" s="8">
        <v>25000</v>
      </c>
      <c r="D1317" s="187">
        <v>0</v>
      </c>
      <c r="E1317" s="187">
        <v>700</v>
      </c>
      <c r="F1317" s="187">
        <v>15000</v>
      </c>
      <c r="G1317" s="30">
        <f t="shared" si="1358"/>
        <v>2400</v>
      </c>
      <c r="H1317" s="8">
        <v>25000</v>
      </c>
      <c r="I1317" s="30">
        <f t="shared" si="1359"/>
        <v>5000</v>
      </c>
      <c r="J1317" s="187">
        <v>40000</v>
      </c>
      <c r="K1317" s="30">
        <f t="shared" si="1360"/>
        <v>5000</v>
      </c>
      <c r="L1317" s="187">
        <v>40000</v>
      </c>
      <c r="M1317" s="110">
        <v>9.5</v>
      </c>
      <c r="N1317" s="9">
        <f>VLOOKUP(DATE(YEAR(A1317),MONTH(A1317),DAY(A1317)),FY24_Temp[],3,FALSE)</f>
        <v>14.5</v>
      </c>
      <c r="O1317" s="110">
        <f t="shared" si="1346"/>
        <v>11.5</v>
      </c>
      <c r="P1317" s="110">
        <f t="shared" si="1347"/>
        <v>19.5</v>
      </c>
      <c r="Q1317" s="79">
        <f>VLOOKUP(VLOOKUP(DATEVALUE(TEXT(A1317,"m/d/yyyy")),FY24_Temp[],5,FALSE)&amp;TEXT(A1317,"-h"),TempDelta[],4,FALSE)</f>
        <v>0.84400000316756107</v>
      </c>
      <c r="R1317">
        <v>10</v>
      </c>
      <c r="S1317" s="112">
        <v>1500</v>
      </c>
      <c r="T1317" s="5">
        <f>VLOOKUP(TEXT(A1317,"yy-mm")&amp;"-"&amp;IF(AND(WEEKDAY(A1317)&gt;1,WEEKDAY(A1317)&lt;7),"Wkd",TEXT(A1317,"Ddd"))&amp;"-"&amp;TEXT(A1317,"hh"),LoadTable[],3,FALSE)*0.92</f>
        <v>786.27137399656647</v>
      </c>
      <c r="U1317" s="113">
        <f t="shared" si="1348"/>
        <v>78.627137399656647</v>
      </c>
      <c r="V1317">
        <f t="shared" ref="V1317:W1317" si="1386">V1293</f>
        <v>2.9</v>
      </c>
      <c r="W1317">
        <f t="shared" si="1386"/>
        <v>3</v>
      </c>
      <c r="X1317" s="9">
        <v>3.1572616</v>
      </c>
      <c r="Y1317" s="39"/>
    </row>
    <row r="1318" spans="1:25" ht="15" thickBot="1">
      <c r="A1318" s="29">
        <f t="shared" si="1330"/>
        <v>45890.791666665456</v>
      </c>
      <c r="B1318" s="30">
        <f t="shared" si="1357"/>
        <v>5000</v>
      </c>
      <c r="C1318" s="8">
        <v>25000</v>
      </c>
      <c r="D1318" s="187">
        <v>0</v>
      </c>
      <c r="E1318" s="187">
        <v>700</v>
      </c>
      <c r="F1318" s="187">
        <v>15000</v>
      </c>
      <c r="G1318" s="30">
        <f t="shared" si="1358"/>
        <v>2400</v>
      </c>
      <c r="H1318" s="8">
        <v>25000</v>
      </c>
      <c r="I1318" s="30">
        <f t="shared" si="1359"/>
        <v>5000</v>
      </c>
      <c r="J1318" s="187">
        <v>40000</v>
      </c>
      <c r="K1318" s="30">
        <f t="shared" si="1360"/>
        <v>5000</v>
      </c>
      <c r="L1318" s="187">
        <v>40000</v>
      </c>
      <c r="M1318" s="110">
        <v>9.5</v>
      </c>
      <c r="N1318" s="9">
        <f>VLOOKUP(DATE(YEAR(A1318),MONTH(A1318),DAY(A1318)),FY24_Temp[],3,FALSE)</f>
        <v>14.5</v>
      </c>
      <c r="O1318" s="110">
        <f t="shared" si="1346"/>
        <v>11.5</v>
      </c>
      <c r="P1318" s="110">
        <f t="shared" si="1347"/>
        <v>19.5</v>
      </c>
      <c r="Q1318" s="79">
        <f>VLOOKUP(VLOOKUP(DATEVALUE(TEXT(A1318,"m/d/yyyy")),FY24_Temp[],5,FALSE)&amp;TEXT(A1318,"-h"),TempDelta[],4,FALSE)</f>
        <v>1.1514999994209834</v>
      </c>
      <c r="R1318">
        <v>10</v>
      </c>
      <c r="S1318" s="112">
        <v>1500</v>
      </c>
      <c r="T1318" s="5">
        <f>VLOOKUP(TEXT(A1318,"yy-mm")&amp;"-"&amp;IF(AND(WEEKDAY(A1318)&gt;1,WEEKDAY(A1318)&lt;7),"Wkd",TEXT(A1318,"Ddd"))&amp;"-"&amp;TEXT(A1318,"hh"),LoadTable[],3,FALSE)*0.92</f>
        <v>786.27137399656647</v>
      </c>
      <c r="U1318" s="113">
        <f t="shared" si="1348"/>
        <v>78.627137399656647</v>
      </c>
      <c r="V1318">
        <f t="shared" ref="V1318:W1318" si="1387">V1294</f>
        <v>3</v>
      </c>
      <c r="W1318">
        <f t="shared" si="1387"/>
        <v>3</v>
      </c>
      <c r="X1318" s="9">
        <v>3.1153629</v>
      </c>
      <c r="Y1318" s="39"/>
    </row>
    <row r="1319" spans="1:25" ht="15" thickBot="1">
      <c r="A1319" s="29">
        <f t="shared" si="1330"/>
        <v>45890.833333332121</v>
      </c>
      <c r="B1319" s="30">
        <f t="shared" si="1357"/>
        <v>5000</v>
      </c>
      <c r="C1319" s="8">
        <v>25000</v>
      </c>
      <c r="D1319" s="187">
        <v>0</v>
      </c>
      <c r="E1319" s="187">
        <v>700</v>
      </c>
      <c r="F1319" s="187">
        <v>15000</v>
      </c>
      <c r="G1319" s="30">
        <f t="shared" si="1358"/>
        <v>2400</v>
      </c>
      <c r="H1319" s="8">
        <v>25000</v>
      </c>
      <c r="I1319" s="30">
        <f t="shared" si="1359"/>
        <v>5000</v>
      </c>
      <c r="J1319" s="187">
        <v>40000</v>
      </c>
      <c r="K1319" s="30">
        <f t="shared" si="1360"/>
        <v>5000</v>
      </c>
      <c r="L1319" s="187">
        <v>40000</v>
      </c>
      <c r="M1319" s="110">
        <v>9.5</v>
      </c>
      <c r="N1319" s="9">
        <f>VLOOKUP(DATE(YEAR(A1319),MONTH(A1319),DAY(A1319)),FY24_Temp[],3,FALSE)</f>
        <v>14.5</v>
      </c>
      <c r="O1319" s="110">
        <f t="shared" si="1346"/>
        <v>11.5</v>
      </c>
      <c r="P1319" s="110">
        <f t="shared" si="1347"/>
        <v>19.5</v>
      </c>
      <c r="Q1319" s="79">
        <f>VLOOKUP(VLOOKUP(DATEVALUE(TEXT(A1319,"m/d/yyyy")),FY24_Temp[],5,FALSE)&amp;TEXT(A1319,"-h"),TempDelta[],4,FALSE)</f>
        <v>1.5629285573959351</v>
      </c>
      <c r="R1319">
        <v>10</v>
      </c>
      <c r="S1319" s="112">
        <v>1500</v>
      </c>
      <c r="T1319" s="5">
        <f>VLOOKUP(TEXT(A1319,"yy-mm")&amp;"-"&amp;IF(AND(WEEKDAY(A1319)&gt;1,WEEKDAY(A1319)&lt;7),"Wkd",TEXT(A1319,"Ddd"))&amp;"-"&amp;TEXT(A1319,"hh"),LoadTable[],3,FALSE)*0.92</f>
        <v>786.27137399656647</v>
      </c>
      <c r="U1319" s="113">
        <f t="shared" si="1348"/>
        <v>78.627137399656647</v>
      </c>
      <c r="V1319">
        <f t="shared" ref="V1319:W1319" si="1388">V1295</f>
        <v>2.8</v>
      </c>
      <c r="W1319">
        <f t="shared" si="1388"/>
        <v>3.1</v>
      </c>
      <c r="X1319" s="9">
        <v>3.0770534999999999</v>
      </c>
      <c r="Y1319" s="39"/>
    </row>
    <row r="1320" spans="1:25" ht="15" thickBot="1">
      <c r="A1320" s="29">
        <f t="shared" si="1330"/>
        <v>45890.874999998785</v>
      </c>
      <c r="B1320" s="30">
        <f t="shared" si="1357"/>
        <v>5000</v>
      </c>
      <c r="C1320" s="8">
        <v>25000</v>
      </c>
      <c r="D1320" s="187">
        <v>0</v>
      </c>
      <c r="E1320" s="187">
        <v>700</v>
      </c>
      <c r="F1320" s="187">
        <v>15000</v>
      </c>
      <c r="G1320" s="30">
        <f t="shared" si="1358"/>
        <v>2400</v>
      </c>
      <c r="H1320" s="8">
        <v>25000</v>
      </c>
      <c r="I1320" s="30">
        <f t="shared" si="1359"/>
        <v>5000</v>
      </c>
      <c r="J1320" s="187">
        <v>40000</v>
      </c>
      <c r="K1320" s="30">
        <f t="shared" si="1360"/>
        <v>5000</v>
      </c>
      <c r="L1320" s="187">
        <v>40000</v>
      </c>
      <c r="M1320" s="110">
        <v>9.5</v>
      </c>
      <c r="N1320" s="9">
        <f>VLOOKUP(DATE(YEAR(A1320),MONTH(A1320),DAY(A1320)),FY24_Temp[],3,FALSE)</f>
        <v>14.5</v>
      </c>
      <c r="O1320" s="110">
        <f t="shared" si="1346"/>
        <v>11.5</v>
      </c>
      <c r="P1320" s="110">
        <f t="shared" si="1347"/>
        <v>19.5</v>
      </c>
      <c r="Q1320" s="79">
        <f>VLOOKUP(VLOOKUP(DATEVALUE(TEXT(A1320,"m/d/yyyy")),FY24_Temp[],5,FALSE)&amp;TEXT(A1320,"-h"),TempDelta[],4,FALSE)</f>
        <v>1.8850000074931554</v>
      </c>
      <c r="R1320">
        <v>10</v>
      </c>
      <c r="S1320" s="112">
        <v>1500</v>
      </c>
      <c r="T1320" s="5">
        <f>VLOOKUP(TEXT(A1320,"yy-mm")&amp;"-"&amp;IF(AND(WEEKDAY(A1320)&gt;1,WEEKDAY(A1320)&lt;7),"Wkd",TEXT(A1320,"Ddd"))&amp;"-"&amp;TEXT(A1320,"hh"),LoadTable[],3,FALSE)*0.92</f>
        <v>784.39716226323299</v>
      </c>
      <c r="U1320" s="113">
        <f t="shared" si="1348"/>
        <v>78.439716226323299</v>
      </c>
      <c r="V1320">
        <f t="shared" ref="V1320:W1320" si="1389">V1296</f>
        <v>3.5</v>
      </c>
      <c r="W1320">
        <f t="shared" si="1389"/>
        <v>3.1</v>
      </c>
      <c r="X1320" s="9">
        <v>3.0377347000000001</v>
      </c>
      <c r="Y1320" s="39"/>
    </row>
    <row r="1321" spans="1:25" ht="15" thickBot="1">
      <c r="A1321" s="29">
        <f t="shared" si="1330"/>
        <v>45890.916666665449</v>
      </c>
      <c r="B1321" s="30">
        <f t="shared" si="1357"/>
        <v>5000</v>
      </c>
      <c r="C1321" s="8">
        <v>25000</v>
      </c>
      <c r="D1321" s="187">
        <v>0</v>
      </c>
      <c r="E1321" s="187">
        <v>700</v>
      </c>
      <c r="F1321" s="187">
        <v>15000</v>
      </c>
      <c r="G1321" s="30">
        <f t="shared" si="1358"/>
        <v>2400</v>
      </c>
      <c r="H1321" s="8">
        <v>25000</v>
      </c>
      <c r="I1321" s="30">
        <f t="shared" si="1359"/>
        <v>5000</v>
      </c>
      <c r="J1321" s="187">
        <v>40000</v>
      </c>
      <c r="K1321" s="30">
        <f t="shared" si="1360"/>
        <v>5000</v>
      </c>
      <c r="L1321" s="187">
        <v>40000</v>
      </c>
      <c r="M1321" s="110">
        <v>9.5</v>
      </c>
      <c r="N1321" s="9">
        <f>VLOOKUP(DATE(YEAR(A1321),MONTH(A1321),DAY(A1321)),FY24_Temp[],3,FALSE)</f>
        <v>14.5</v>
      </c>
      <c r="O1321" s="110">
        <f t="shared" si="1346"/>
        <v>11.5</v>
      </c>
      <c r="P1321" s="110">
        <f t="shared" si="1347"/>
        <v>19.5</v>
      </c>
      <c r="Q1321" s="79">
        <f>VLOOKUP(VLOOKUP(DATEVALUE(TEXT(A1321,"m/d/yyyy")),FY24_Temp[],5,FALSE)&amp;TEXT(A1321,"-h"),TempDelta[],4,FALSE)</f>
        <v>2.1824284962245395</v>
      </c>
      <c r="R1321">
        <v>10</v>
      </c>
      <c r="S1321" s="112">
        <v>1500</v>
      </c>
      <c r="T1321" s="5">
        <f>VLOOKUP(TEXT(A1321,"yy-mm")&amp;"-"&amp;IF(AND(WEEKDAY(A1321)&gt;1,WEEKDAY(A1321)&lt;7),"Wkd",TEXT(A1321,"Ddd"))&amp;"-"&amp;TEXT(A1321,"hh"),LoadTable[],3,FALSE)*0.92</f>
        <v>600.06900003761973</v>
      </c>
      <c r="U1321" s="113">
        <f t="shared" si="1348"/>
        <v>60.00690000376197</v>
      </c>
      <c r="V1321">
        <f t="shared" ref="V1321:W1321" si="1390">V1297</f>
        <v>2.9</v>
      </c>
      <c r="W1321">
        <f t="shared" si="1390"/>
        <v>3.1</v>
      </c>
      <c r="X1321" s="9">
        <v>2.9893608</v>
      </c>
      <c r="Y1321" s="39"/>
    </row>
    <row r="1322" spans="1:25" ht="15" thickBot="1">
      <c r="A1322" s="29">
        <f t="shared" si="1330"/>
        <v>45890.958333332113</v>
      </c>
      <c r="B1322" s="30">
        <f t="shared" si="1357"/>
        <v>5000</v>
      </c>
      <c r="C1322" s="41">
        <v>25000</v>
      </c>
      <c r="D1322" s="187">
        <v>0</v>
      </c>
      <c r="E1322" s="187">
        <v>700</v>
      </c>
      <c r="F1322" s="187">
        <v>15000</v>
      </c>
      <c r="G1322" s="30">
        <f t="shared" si="1358"/>
        <v>2400</v>
      </c>
      <c r="H1322" s="8">
        <v>25000</v>
      </c>
      <c r="I1322" s="30">
        <f t="shared" si="1359"/>
        <v>5000</v>
      </c>
      <c r="J1322" s="187">
        <v>40000</v>
      </c>
      <c r="K1322" s="30">
        <f t="shared" si="1360"/>
        <v>5000</v>
      </c>
      <c r="L1322" s="187">
        <v>40000</v>
      </c>
      <c r="M1322" s="110">
        <v>9.5</v>
      </c>
      <c r="N1322" s="9">
        <f>VLOOKUP(DATE(YEAR(A1322),MONTH(A1322),DAY(A1322)),FY24_Temp[],3,FALSE)</f>
        <v>14.5</v>
      </c>
      <c r="O1322" s="110">
        <f t="shared" si="1346"/>
        <v>11.5</v>
      </c>
      <c r="P1322" s="110">
        <f t="shared" si="1347"/>
        <v>19.5</v>
      </c>
      <c r="Q1322" s="79">
        <f>VLOOKUP(VLOOKUP(DATEVALUE(TEXT(A1322,"m/d/yyyy")),FY24_Temp[],5,FALSE)&amp;TEXT(A1322,"-h"),TempDelta[],4,FALSE)</f>
        <v>2.3112857682364329</v>
      </c>
      <c r="R1322">
        <v>10</v>
      </c>
      <c r="S1322" s="112">
        <v>1500</v>
      </c>
      <c r="T1322" s="5">
        <f>VLOOKUP(TEXT(A1322,"yy-mm")&amp;"-"&amp;IF(AND(WEEKDAY(A1322)&gt;1,WEEKDAY(A1322)&lt;7),"Wkd",TEXT(A1322,"Ddd"))&amp;"-"&amp;TEXT(A1322,"hh"),LoadTable[],3,FALSE)*0.92</f>
        <v>486.44539999999989</v>
      </c>
      <c r="U1322" s="113">
        <f t="shared" si="1348"/>
        <v>48.644539999999992</v>
      </c>
      <c r="V1322">
        <f t="shared" ref="V1322:W1322" si="1391">V1298</f>
        <v>3.6</v>
      </c>
      <c r="W1322">
        <f t="shared" si="1391"/>
        <v>3.1</v>
      </c>
      <c r="X1322" s="9">
        <v>2.8832080000000002</v>
      </c>
      <c r="Y1322" s="39"/>
    </row>
    <row r="1323" spans="1:25" ht="15" thickBot="1">
      <c r="A1323" s="29">
        <f t="shared" si="1330"/>
        <v>45890.999999998778</v>
      </c>
      <c r="B1323" s="30">
        <f t="shared" si="1357"/>
        <v>5000</v>
      </c>
      <c r="C1323" s="8">
        <v>25000</v>
      </c>
      <c r="D1323" s="187">
        <v>0</v>
      </c>
      <c r="E1323" s="187">
        <v>700</v>
      </c>
      <c r="F1323" s="187">
        <v>15000</v>
      </c>
      <c r="G1323" s="30">
        <f t="shared" si="1358"/>
        <v>2400</v>
      </c>
      <c r="H1323" s="8">
        <v>25000</v>
      </c>
      <c r="I1323" s="30">
        <f t="shared" si="1359"/>
        <v>5000</v>
      </c>
      <c r="J1323" s="187">
        <v>40000</v>
      </c>
      <c r="K1323" s="30">
        <f t="shared" si="1360"/>
        <v>5000</v>
      </c>
      <c r="L1323" s="187">
        <v>40000</v>
      </c>
      <c r="M1323" s="110">
        <v>9.5</v>
      </c>
      <c r="N1323" s="9">
        <f>VLOOKUP(DATE(YEAR(A1323),MONTH(A1323),DAY(A1323)),FY24_Temp[],3,FALSE)</f>
        <v>14.5</v>
      </c>
      <c r="O1323" s="110">
        <f t="shared" si="1346"/>
        <v>11.5</v>
      </c>
      <c r="P1323" s="110">
        <f t="shared" si="1347"/>
        <v>19.5</v>
      </c>
      <c r="Q1323" s="79">
        <f>VLOOKUP(VLOOKUP(DATEVALUE(TEXT(A1323,"m/d/yyyy")),FY24_Temp[],5,FALSE)&amp;TEXT(A1323,"-h"),TempDelta[],4,FALSE)</f>
        <v>2.4531428813934326</v>
      </c>
      <c r="R1323">
        <v>10</v>
      </c>
      <c r="S1323" s="112">
        <v>1500</v>
      </c>
      <c r="T1323" s="5">
        <f>VLOOKUP(TEXT(A1323,"yy-mm")&amp;"-"&amp;IF(AND(WEEKDAY(A1323)&gt;1,WEEKDAY(A1323)&lt;7),"Wkd",TEXT(A1323,"Ddd"))&amp;"-"&amp;TEXT(A1323,"hh"),LoadTable[],3,FALSE)*0.92</f>
        <v>372.20164</v>
      </c>
      <c r="U1323" s="113">
        <f t="shared" si="1348"/>
        <v>37.220163999999997</v>
      </c>
      <c r="V1323">
        <f t="shared" ref="V1323:W1323" si="1392">V1299</f>
        <v>3</v>
      </c>
      <c r="W1323">
        <f t="shared" si="1392"/>
        <v>3.2</v>
      </c>
      <c r="X1323" s="9">
        <v>2.8159010000000002</v>
      </c>
      <c r="Y1323" s="39"/>
    </row>
    <row r="1324" spans="1:25" ht="15" thickBot="1">
      <c r="A1324" s="29">
        <f t="shared" si="1330"/>
        <v>45891.041666665442</v>
      </c>
      <c r="B1324" s="30">
        <f t="shared" si="1357"/>
        <v>5000</v>
      </c>
      <c r="C1324" s="42">
        <v>25000</v>
      </c>
      <c r="D1324" s="187">
        <v>0</v>
      </c>
      <c r="E1324" s="187">
        <v>700</v>
      </c>
      <c r="F1324" s="187">
        <v>15000</v>
      </c>
      <c r="G1324" s="30">
        <f t="shared" si="1358"/>
        <v>2400</v>
      </c>
      <c r="H1324" s="8">
        <v>25000</v>
      </c>
      <c r="I1324" s="30">
        <f t="shared" si="1359"/>
        <v>5000</v>
      </c>
      <c r="J1324" s="187">
        <v>40000</v>
      </c>
      <c r="K1324" s="30">
        <f t="shared" si="1360"/>
        <v>5000</v>
      </c>
      <c r="L1324" s="187">
        <v>40000</v>
      </c>
      <c r="M1324" s="110">
        <v>9.5</v>
      </c>
      <c r="N1324" s="9">
        <f>VLOOKUP(DATE(YEAR(A1324),MONTH(A1324),DAY(A1324)),FY24_Temp[],3,FALSE)</f>
        <v>14.5</v>
      </c>
      <c r="O1324" s="110">
        <f t="shared" si="1346"/>
        <v>11.5</v>
      </c>
      <c r="P1324" s="110">
        <f t="shared" si="1347"/>
        <v>19.5</v>
      </c>
      <c r="Q1324" s="79">
        <f>VLOOKUP(VLOOKUP(DATEVALUE(TEXT(A1324,"m/d/yyyy")),FY24_Temp[],5,FALSE)&amp;TEXT(A1324,"-h"),TempDelta[],4,FALSE)</f>
        <v>2.5072856971195767</v>
      </c>
      <c r="R1324">
        <v>10</v>
      </c>
      <c r="S1324" s="112">
        <v>1500</v>
      </c>
      <c r="T1324" s="5">
        <f>VLOOKUP(TEXT(A1324,"yy-mm")&amp;"-"&amp;IF(AND(WEEKDAY(A1324)&gt;1,WEEKDAY(A1324)&lt;7),"Wkd",TEXT(A1324,"Ddd"))&amp;"-"&amp;TEXT(A1324,"hh"),LoadTable[],3,FALSE)*0.92</f>
        <v>363.06235999999996</v>
      </c>
      <c r="U1324" s="113">
        <f t="shared" si="1348"/>
        <v>36.306235999999998</v>
      </c>
      <c r="V1324">
        <f t="shared" ref="V1324:W1324" si="1393">V1300</f>
        <v>2.6</v>
      </c>
      <c r="W1324">
        <f t="shared" si="1393"/>
        <v>3.2</v>
      </c>
      <c r="X1324" s="9">
        <v>2.7889013</v>
      </c>
      <c r="Y1324" s="39"/>
    </row>
    <row r="1325" spans="1:25" ht="15" thickBot="1">
      <c r="A1325" s="29">
        <f t="shared" si="1330"/>
        <v>45891.083333332106</v>
      </c>
      <c r="B1325" s="30">
        <f t="shared" si="1357"/>
        <v>5000</v>
      </c>
      <c r="C1325" s="8">
        <v>25000</v>
      </c>
      <c r="D1325" s="187">
        <v>0</v>
      </c>
      <c r="E1325" s="187">
        <v>700</v>
      </c>
      <c r="F1325" s="187">
        <v>15000</v>
      </c>
      <c r="G1325" s="30">
        <f t="shared" si="1358"/>
        <v>2400</v>
      </c>
      <c r="H1325" s="8">
        <v>25000</v>
      </c>
      <c r="I1325" s="30">
        <f t="shared" si="1359"/>
        <v>5000</v>
      </c>
      <c r="J1325" s="187">
        <v>40000</v>
      </c>
      <c r="K1325" s="30">
        <f t="shared" si="1360"/>
        <v>5000</v>
      </c>
      <c r="L1325" s="187">
        <v>40000</v>
      </c>
      <c r="M1325" s="110">
        <v>9.5</v>
      </c>
      <c r="N1325" s="9">
        <f>VLOOKUP(DATE(YEAR(A1325),MONTH(A1325),DAY(A1325)),FY24_Temp[],3,FALSE)</f>
        <v>14.5</v>
      </c>
      <c r="O1325" s="110">
        <f t="shared" si="1346"/>
        <v>11.5</v>
      </c>
      <c r="P1325" s="110">
        <f t="shared" si="1347"/>
        <v>19.5</v>
      </c>
      <c r="Q1325" s="79">
        <f>VLOOKUP(VLOOKUP(DATEVALUE(TEXT(A1325,"m/d/yyyy")),FY24_Temp[],5,FALSE)&amp;TEXT(A1325,"-h"),TempDelta[],4,FALSE)</f>
        <v>2.5261428356170654</v>
      </c>
      <c r="R1325">
        <v>10</v>
      </c>
      <c r="S1325" s="112">
        <v>1500</v>
      </c>
      <c r="T1325" s="5">
        <f>VLOOKUP(TEXT(A1325,"yy-mm")&amp;"-"&amp;IF(AND(WEEKDAY(A1325)&gt;1,WEEKDAY(A1325)&lt;7),"Wkd",TEXT(A1325,"Ddd"))&amp;"-"&amp;TEXT(A1325,"hh"),LoadTable[],3,FALSE)*0.92</f>
        <v>363.06235999999996</v>
      </c>
      <c r="U1325" s="113">
        <f t="shared" si="1348"/>
        <v>36.306235999999998</v>
      </c>
      <c r="V1325">
        <f t="shared" ref="V1325:W1325" si="1394">V1301</f>
        <v>2.8</v>
      </c>
      <c r="W1325">
        <f t="shared" si="1394"/>
        <v>3.2</v>
      </c>
      <c r="X1325" s="9">
        <v>2.8349934000000001</v>
      </c>
      <c r="Y1325" s="39"/>
    </row>
    <row r="1326" spans="1:25" ht="15" thickBot="1">
      <c r="A1326" s="29">
        <f t="shared" si="1330"/>
        <v>45891.12499999877</v>
      </c>
      <c r="B1326" s="30">
        <f t="shared" si="1357"/>
        <v>5000</v>
      </c>
      <c r="C1326" s="8">
        <v>25000</v>
      </c>
      <c r="D1326" s="187">
        <v>0</v>
      </c>
      <c r="E1326" s="187">
        <v>700</v>
      </c>
      <c r="F1326" s="187">
        <v>15000</v>
      </c>
      <c r="G1326" s="30">
        <f t="shared" si="1358"/>
        <v>2400</v>
      </c>
      <c r="H1326" s="8">
        <v>25000</v>
      </c>
      <c r="I1326" s="30">
        <f t="shared" si="1359"/>
        <v>5000</v>
      </c>
      <c r="J1326" s="187">
        <v>40000</v>
      </c>
      <c r="K1326" s="30">
        <f t="shared" si="1360"/>
        <v>5000</v>
      </c>
      <c r="L1326" s="187">
        <v>40000</v>
      </c>
      <c r="M1326" s="110">
        <v>9.5</v>
      </c>
      <c r="N1326" s="9">
        <f>VLOOKUP(DATE(YEAR(A1326),MONTH(A1326),DAY(A1326)),FY24_Temp[],3,FALSE)</f>
        <v>14.5</v>
      </c>
      <c r="O1326" s="110">
        <f t="shared" si="1346"/>
        <v>11.5</v>
      </c>
      <c r="P1326" s="110">
        <f t="shared" si="1347"/>
        <v>19.5</v>
      </c>
      <c r="Q1326" s="79">
        <f>VLOOKUP(VLOOKUP(DATEVALUE(TEXT(A1326,"m/d/yyyy")),FY24_Temp[],5,FALSE)&amp;TEXT(A1326,"-h"),TempDelta[],4,FALSE)</f>
        <v>2.521428550992693</v>
      </c>
      <c r="R1326">
        <v>10</v>
      </c>
      <c r="S1326" s="112">
        <v>1500</v>
      </c>
      <c r="T1326" s="5">
        <f>VLOOKUP(TEXT(A1326,"yy-mm")&amp;"-"&amp;IF(AND(WEEKDAY(A1326)&gt;1,WEEKDAY(A1326)&lt;7),"Wkd",TEXT(A1326,"Ddd"))&amp;"-"&amp;TEXT(A1326,"hh"),LoadTable[],3,FALSE)*0.92</f>
        <v>363.06235999999996</v>
      </c>
      <c r="U1326" s="113">
        <f t="shared" si="1348"/>
        <v>36.306235999999998</v>
      </c>
      <c r="V1326">
        <f t="shared" ref="V1326:W1326" si="1395">V1302</f>
        <v>2.7</v>
      </c>
      <c r="W1326">
        <f t="shared" si="1395"/>
        <v>3.2</v>
      </c>
      <c r="X1326" s="9">
        <v>2.8707242000000002</v>
      </c>
      <c r="Y1326" s="39"/>
    </row>
    <row r="1327" spans="1:25" ht="15" thickBot="1">
      <c r="A1327" s="29">
        <f t="shared" si="1330"/>
        <v>45891.166666665435</v>
      </c>
      <c r="B1327" s="30">
        <f t="shared" si="1357"/>
        <v>5000</v>
      </c>
      <c r="C1327" s="8">
        <v>25000</v>
      </c>
      <c r="D1327" s="187">
        <v>0</v>
      </c>
      <c r="E1327" s="187">
        <v>700</v>
      </c>
      <c r="F1327" s="187">
        <v>15000</v>
      </c>
      <c r="G1327" s="30">
        <f t="shared" si="1358"/>
        <v>2400</v>
      </c>
      <c r="H1327" s="8">
        <v>25000</v>
      </c>
      <c r="I1327" s="30">
        <f t="shared" si="1359"/>
        <v>5000</v>
      </c>
      <c r="J1327" s="187">
        <v>40000</v>
      </c>
      <c r="K1327" s="30">
        <f t="shared" si="1360"/>
        <v>5000</v>
      </c>
      <c r="L1327" s="187">
        <v>40000</v>
      </c>
      <c r="M1327" s="110">
        <v>9.5</v>
      </c>
      <c r="N1327" s="9">
        <f>VLOOKUP(DATE(YEAR(A1327),MONTH(A1327),DAY(A1327)),FY24_Temp[],3,FALSE)</f>
        <v>14.5</v>
      </c>
      <c r="O1327" s="110">
        <f t="shared" si="1346"/>
        <v>11.5</v>
      </c>
      <c r="P1327" s="110">
        <f t="shared" si="1347"/>
        <v>19.5</v>
      </c>
      <c r="Q1327" s="79">
        <f>VLOOKUP(VLOOKUP(DATEVALUE(TEXT(A1327,"m/d/yyyy")),FY24_Temp[],5,FALSE)&amp;TEXT(A1327,"-h"),TempDelta[],4,FALSE)</f>
        <v>2.5227143423897878</v>
      </c>
      <c r="R1327">
        <v>10</v>
      </c>
      <c r="S1327" s="112">
        <v>1500</v>
      </c>
      <c r="T1327" s="5">
        <f>VLOOKUP(TEXT(A1327,"yy-mm")&amp;"-"&amp;IF(AND(WEEKDAY(A1327)&gt;1,WEEKDAY(A1327)&lt;7),"Wkd",TEXT(A1327,"Ddd"))&amp;"-"&amp;TEXT(A1327,"hh"),LoadTable[],3,FALSE)*0.92</f>
        <v>363.06235999999996</v>
      </c>
      <c r="U1327" s="113">
        <f t="shared" si="1348"/>
        <v>36.306235999999998</v>
      </c>
      <c r="V1327">
        <f t="shared" ref="V1327:W1327" si="1396">V1303</f>
        <v>3</v>
      </c>
      <c r="W1327">
        <f t="shared" si="1396"/>
        <v>3.1</v>
      </c>
      <c r="X1327" s="9">
        <v>2.8936185999999999</v>
      </c>
      <c r="Y1327" s="39"/>
    </row>
    <row r="1328" spans="1:25" ht="15" thickBot="1">
      <c r="A1328" s="29">
        <f t="shared" si="1330"/>
        <v>45891.208333332099</v>
      </c>
      <c r="B1328" s="30">
        <f t="shared" si="1357"/>
        <v>5000</v>
      </c>
      <c r="C1328" s="8">
        <v>25000</v>
      </c>
      <c r="D1328" s="187">
        <v>0</v>
      </c>
      <c r="E1328" s="187">
        <v>700</v>
      </c>
      <c r="F1328" s="187">
        <v>15000</v>
      </c>
      <c r="G1328" s="30">
        <f t="shared" si="1358"/>
        <v>2400</v>
      </c>
      <c r="H1328" s="8">
        <v>25000</v>
      </c>
      <c r="I1328" s="30">
        <f t="shared" si="1359"/>
        <v>5000</v>
      </c>
      <c r="J1328" s="187">
        <v>40000</v>
      </c>
      <c r="K1328" s="30">
        <f t="shared" si="1360"/>
        <v>5000</v>
      </c>
      <c r="L1328" s="187">
        <v>40000</v>
      </c>
      <c r="M1328" s="110">
        <v>9.5</v>
      </c>
      <c r="N1328" s="9">
        <f>VLOOKUP(DATE(YEAR(A1328),MONTH(A1328),DAY(A1328)),FY24_Temp[],3,FALSE)</f>
        <v>14.5</v>
      </c>
      <c r="O1328" s="110">
        <f t="shared" si="1346"/>
        <v>11.5</v>
      </c>
      <c r="P1328" s="110">
        <f t="shared" si="1347"/>
        <v>19.5</v>
      </c>
      <c r="Q1328" s="79">
        <f>VLOOKUP(VLOOKUP(DATEVALUE(TEXT(A1328,"m/d/yyyy")),FY24_Temp[],5,FALSE)&amp;TEXT(A1328,"-h"),TempDelta[],4,FALSE)</f>
        <v>2.5675714015960693</v>
      </c>
      <c r="R1328">
        <v>10</v>
      </c>
      <c r="S1328" s="112">
        <v>1500</v>
      </c>
      <c r="T1328" s="5">
        <f>VLOOKUP(TEXT(A1328,"yy-mm")&amp;"-"&amp;IF(AND(WEEKDAY(A1328)&gt;1,WEEKDAY(A1328)&lt;7),"Wkd",TEXT(A1328,"Ddd"))&amp;"-"&amp;TEXT(A1328,"hh"),LoadTable[],3,FALSE)*0.92</f>
        <v>363.06235999999996</v>
      </c>
      <c r="U1328" s="113">
        <f t="shared" si="1348"/>
        <v>36.306235999999998</v>
      </c>
      <c r="V1328">
        <f t="shared" ref="V1328:W1328" si="1397">V1304</f>
        <v>2.9</v>
      </c>
      <c r="W1328">
        <f t="shared" si="1397"/>
        <v>3.1</v>
      </c>
      <c r="X1328" s="9">
        <v>2.9660606</v>
      </c>
      <c r="Y1328" s="39"/>
    </row>
    <row r="1329" spans="1:25" ht="15" thickBot="1">
      <c r="A1329" s="29">
        <f t="shared" si="1330"/>
        <v>45891.249999998763</v>
      </c>
      <c r="B1329" s="30">
        <f t="shared" si="1357"/>
        <v>8000</v>
      </c>
      <c r="C1329" s="8">
        <v>25000</v>
      </c>
      <c r="D1329" s="187">
        <v>0</v>
      </c>
      <c r="E1329" s="187">
        <v>700</v>
      </c>
      <c r="F1329" s="187">
        <v>15000</v>
      </c>
      <c r="G1329" s="30">
        <f t="shared" si="1358"/>
        <v>2400</v>
      </c>
      <c r="H1329" s="8">
        <v>25000</v>
      </c>
      <c r="I1329" s="30">
        <f t="shared" si="1359"/>
        <v>8000</v>
      </c>
      <c r="J1329" s="187">
        <v>40000</v>
      </c>
      <c r="K1329" s="30">
        <f t="shared" si="1360"/>
        <v>8000</v>
      </c>
      <c r="L1329" s="187">
        <v>40000</v>
      </c>
      <c r="M1329" s="110">
        <v>9.5</v>
      </c>
      <c r="N1329" s="9">
        <f>VLOOKUP(DATE(YEAR(A1329),MONTH(A1329),DAY(A1329)),FY24_Temp[],3,FALSE)</f>
        <v>14.5</v>
      </c>
      <c r="O1329" s="110">
        <f t="shared" si="1346"/>
        <v>11.5</v>
      </c>
      <c r="P1329" s="110">
        <f t="shared" si="1347"/>
        <v>19.5</v>
      </c>
      <c r="Q1329" s="79">
        <f>VLOOKUP(VLOOKUP(DATEVALUE(TEXT(A1329,"m/d/yyyy")),FY24_Temp[],5,FALSE)&amp;TEXT(A1329,"-h"),TempDelta[],4,FALSE)</f>
        <v>2.5785714558192661</v>
      </c>
      <c r="R1329">
        <v>10</v>
      </c>
      <c r="S1329" s="112">
        <v>1500</v>
      </c>
      <c r="T1329" s="5">
        <f>VLOOKUP(TEXT(A1329,"yy-mm")&amp;"-"&amp;IF(AND(WEEKDAY(A1329)&gt;1,WEEKDAY(A1329)&lt;7),"Wkd",TEXT(A1329,"Ddd"))&amp;"-"&amp;TEXT(A1329,"hh"),LoadTable[],3,FALSE)*0.92</f>
        <v>363.06235999999996</v>
      </c>
      <c r="U1329" s="113">
        <f t="shared" si="1348"/>
        <v>36.306235999999998</v>
      </c>
      <c r="V1329">
        <f t="shared" ref="V1329:W1329" si="1398">V1305</f>
        <v>2.5</v>
      </c>
      <c r="W1329">
        <f t="shared" si="1398"/>
        <v>3.1</v>
      </c>
      <c r="X1329" s="9">
        <v>3.0844893</v>
      </c>
      <c r="Y1329" s="39"/>
    </row>
    <row r="1330" spans="1:25" ht="15" thickBot="1">
      <c r="A1330" s="29">
        <f t="shared" si="1330"/>
        <v>45891.291666665427</v>
      </c>
      <c r="B1330" s="30">
        <f t="shared" si="1357"/>
        <v>8000</v>
      </c>
      <c r="C1330" s="8">
        <v>25000</v>
      </c>
      <c r="D1330" s="187">
        <v>0</v>
      </c>
      <c r="E1330" s="187">
        <v>700</v>
      </c>
      <c r="F1330" s="187">
        <v>15000</v>
      </c>
      <c r="G1330" s="30">
        <f t="shared" si="1358"/>
        <v>2400</v>
      </c>
      <c r="H1330" s="8">
        <v>25000</v>
      </c>
      <c r="I1330" s="30">
        <f t="shared" si="1359"/>
        <v>8000</v>
      </c>
      <c r="J1330" s="187">
        <v>40000</v>
      </c>
      <c r="K1330" s="30">
        <f t="shared" si="1360"/>
        <v>8000</v>
      </c>
      <c r="L1330" s="187">
        <v>40000</v>
      </c>
      <c r="M1330" s="110">
        <v>9.5</v>
      </c>
      <c r="N1330" s="9">
        <f>VLOOKUP(DATE(YEAR(A1330),MONTH(A1330),DAY(A1330)),FY24_Temp[],3,FALSE)</f>
        <v>14.5</v>
      </c>
      <c r="O1330" s="110">
        <f t="shared" si="1346"/>
        <v>11.5</v>
      </c>
      <c r="P1330" s="110">
        <f t="shared" si="1347"/>
        <v>19.5</v>
      </c>
      <c r="Q1330" s="79">
        <f>VLOOKUP(VLOOKUP(DATEVALUE(TEXT(A1330,"m/d/yyyy")),FY24_Temp[],5,FALSE)&amp;TEXT(A1330,"-h"),TempDelta[],4,FALSE)</f>
        <v>2.5442857401711598</v>
      </c>
      <c r="R1330">
        <v>10</v>
      </c>
      <c r="S1330" s="112">
        <v>1500</v>
      </c>
      <c r="T1330" s="5">
        <f>VLOOKUP(TEXT(A1330,"yy-mm")&amp;"-"&amp;IF(AND(WEEKDAY(A1330)&gt;1,WEEKDAY(A1330)&lt;7),"Wkd",TEXT(A1330,"Ddd"))&amp;"-"&amp;TEXT(A1330,"hh"),LoadTable[],3,FALSE)*0.92</f>
        <v>352.2091200000001</v>
      </c>
      <c r="U1330" s="113">
        <f t="shared" si="1348"/>
        <v>35.220912000000013</v>
      </c>
      <c r="V1330">
        <f t="shared" ref="V1330:W1330" si="1399">V1306</f>
        <v>2.5</v>
      </c>
      <c r="W1330">
        <f t="shared" si="1399"/>
        <v>3.1</v>
      </c>
      <c r="X1330" s="9">
        <v>3.2220724000000001</v>
      </c>
      <c r="Y1330" s="39"/>
    </row>
    <row r="1331" spans="1:25" ht="15" thickBot="1">
      <c r="A1331" s="29">
        <f t="shared" si="1330"/>
        <v>45891.333333332092</v>
      </c>
      <c r="B1331" s="30">
        <f t="shared" si="1357"/>
        <v>8000</v>
      </c>
      <c r="C1331" s="8">
        <v>25000</v>
      </c>
      <c r="D1331" s="187">
        <v>0</v>
      </c>
      <c r="E1331" s="187">
        <v>700</v>
      </c>
      <c r="F1331" s="187">
        <v>15000</v>
      </c>
      <c r="G1331" s="30">
        <f t="shared" si="1358"/>
        <v>2400</v>
      </c>
      <c r="H1331" s="8">
        <v>25000</v>
      </c>
      <c r="I1331" s="30">
        <f t="shared" si="1359"/>
        <v>8000</v>
      </c>
      <c r="J1331" s="187">
        <v>40000</v>
      </c>
      <c r="K1331" s="30">
        <f t="shared" si="1360"/>
        <v>8000</v>
      </c>
      <c r="L1331" s="187">
        <v>40000</v>
      </c>
      <c r="M1331" s="110">
        <v>9.5</v>
      </c>
      <c r="N1331" s="9">
        <f>VLOOKUP(DATE(YEAR(A1331),MONTH(A1331),DAY(A1331)),FY24_Temp[],3,FALSE)</f>
        <v>14.5</v>
      </c>
      <c r="O1331" s="110">
        <f t="shared" si="1346"/>
        <v>11.5</v>
      </c>
      <c r="P1331" s="110">
        <f t="shared" si="1347"/>
        <v>19.5</v>
      </c>
      <c r="Q1331" s="79">
        <f>VLOOKUP(VLOOKUP(DATEVALUE(TEXT(A1331,"m/d/yyyy")),FY24_Temp[],5,FALSE)&amp;TEXT(A1331,"-h"),TempDelta[],4,FALSE)</f>
        <v>2.4372856957571849</v>
      </c>
      <c r="R1331">
        <v>10</v>
      </c>
      <c r="S1331" s="112">
        <v>1500</v>
      </c>
      <c r="T1331" s="5">
        <f>VLOOKUP(TEXT(A1331,"yy-mm")&amp;"-"&amp;IF(AND(WEEKDAY(A1331)&gt;1,WEEKDAY(A1331)&lt;7),"Wkd",TEXT(A1331,"Ddd"))&amp;"-"&amp;TEXT(A1331,"hh"),LoadTable[],3,FALSE)*0.92</f>
        <v>352.2091200000001</v>
      </c>
      <c r="U1331" s="113">
        <f t="shared" si="1348"/>
        <v>35.220912000000013</v>
      </c>
      <c r="V1331">
        <f t="shared" ref="V1331:W1331" si="1400">V1307</f>
        <v>3.2</v>
      </c>
      <c r="W1331">
        <f t="shared" si="1400"/>
        <v>3</v>
      </c>
      <c r="X1331" s="9">
        <v>3.2723078999999999</v>
      </c>
      <c r="Y1331" s="39"/>
    </row>
    <row r="1332" spans="1:25" ht="15" thickBot="1">
      <c r="A1332" s="29">
        <f t="shared" si="1330"/>
        <v>45891.374999998756</v>
      </c>
      <c r="B1332" s="30">
        <f t="shared" si="1357"/>
        <v>8000</v>
      </c>
      <c r="C1332" s="8">
        <v>25000</v>
      </c>
      <c r="D1332" s="187">
        <v>0</v>
      </c>
      <c r="E1332" s="187">
        <v>700</v>
      </c>
      <c r="F1332" s="187">
        <v>15000</v>
      </c>
      <c r="G1332" s="30">
        <f t="shared" si="1358"/>
        <v>2400</v>
      </c>
      <c r="H1332" s="8">
        <v>25000</v>
      </c>
      <c r="I1332" s="30">
        <f t="shared" si="1359"/>
        <v>8000</v>
      </c>
      <c r="J1332" s="187">
        <v>40000</v>
      </c>
      <c r="K1332" s="30">
        <f t="shared" si="1360"/>
        <v>8000</v>
      </c>
      <c r="L1332" s="187">
        <v>40000</v>
      </c>
      <c r="M1332" s="110">
        <v>9.5</v>
      </c>
      <c r="N1332" s="9">
        <f>VLOOKUP(DATE(YEAR(A1332),MONTH(A1332),DAY(A1332)),FY24_Temp[],3,FALSE)</f>
        <v>14.5</v>
      </c>
      <c r="O1332" s="110">
        <f t="shared" si="1346"/>
        <v>11.5</v>
      </c>
      <c r="P1332" s="110">
        <f t="shared" si="1347"/>
        <v>19.5</v>
      </c>
      <c r="Q1332" s="79">
        <f>VLOOKUP(VLOOKUP(DATEVALUE(TEXT(A1332,"m/d/yyyy")),FY24_Temp[],5,FALSE)&amp;TEXT(A1332,"-h"),TempDelta[],4,FALSE)</f>
        <v>2.254857131413051</v>
      </c>
      <c r="R1332">
        <v>10</v>
      </c>
      <c r="S1332" s="112">
        <v>1500</v>
      </c>
      <c r="T1332" s="5">
        <f>VLOOKUP(TEXT(A1332,"yy-mm")&amp;"-"&amp;IF(AND(WEEKDAY(A1332)&gt;1,WEEKDAY(A1332)&lt;7),"Wkd",TEXT(A1332,"Ddd"))&amp;"-"&amp;TEXT(A1332,"hh"),LoadTable[],3,FALSE)*0.92</f>
        <v>340.60949077857163</v>
      </c>
      <c r="U1332" s="113">
        <f t="shared" si="1348"/>
        <v>34.06094907785716</v>
      </c>
      <c r="V1332">
        <f t="shared" ref="V1332:W1332" si="1401">V1308</f>
        <v>2.9</v>
      </c>
      <c r="W1332">
        <f t="shared" si="1401"/>
        <v>3</v>
      </c>
      <c r="X1332" s="9">
        <v>3.3121296999999998</v>
      </c>
      <c r="Y1332" s="39"/>
    </row>
    <row r="1333" spans="1:25" ht="15" thickBot="1">
      <c r="A1333" s="29">
        <f t="shared" ref="A1333:A1396" si="1402">A1332+TIME(1,0,0)</f>
        <v>45891.41666666542</v>
      </c>
      <c r="B1333" s="30">
        <f t="shared" si="1357"/>
        <v>8000</v>
      </c>
      <c r="C1333" s="8">
        <v>25000</v>
      </c>
      <c r="D1333" s="187">
        <v>0</v>
      </c>
      <c r="E1333" s="187">
        <v>700</v>
      </c>
      <c r="F1333" s="187">
        <v>15000</v>
      </c>
      <c r="G1333" s="30">
        <f t="shared" si="1358"/>
        <v>2400</v>
      </c>
      <c r="H1333" s="8">
        <v>25000</v>
      </c>
      <c r="I1333" s="30">
        <f t="shared" si="1359"/>
        <v>8000</v>
      </c>
      <c r="J1333" s="187">
        <v>40000</v>
      </c>
      <c r="K1333" s="30">
        <f t="shared" si="1360"/>
        <v>8000</v>
      </c>
      <c r="L1333" s="187">
        <v>40000</v>
      </c>
      <c r="M1333" s="110">
        <v>9.5</v>
      </c>
      <c r="N1333" s="9">
        <f>VLOOKUP(DATE(YEAR(A1333),MONTH(A1333),DAY(A1333)),FY24_Temp[],3,FALSE)</f>
        <v>14.5</v>
      </c>
      <c r="O1333" s="110">
        <f t="shared" si="1346"/>
        <v>11.5</v>
      </c>
      <c r="P1333" s="110">
        <f t="shared" si="1347"/>
        <v>19.5</v>
      </c>
      <c r="Q1333" s="79">
        <f>VLOOKUP(VLOOKUP(DATEVALUE(TEXT(A1333,"m/d/yyyy")),FY24_Temp[],5,FALSE)&amp;TEXT(A1333,"-h"),TempDelta[],4,FALSE)</f>
        <v>2.044999991144453</v>
      </c>
      <c r="R1333">
        <v>10</v>
      </c>
      <c r="S1333" s="112">
        <v>1500</v>
      </c>
      <c r="T1333" s="5">
        <f>VLOOKUP(TEXT(A1333,"yy-mm")&amp;"-"&amp;IF(AND(WEEKDAY(A1333)&gt;1,WEEKDAY(A1333)&lt;7),"Wkd",TEXT(A1333,"Ddd"))&amp;"-"&amp;TEXT(A1333,"hh"),LoadTable[],3,FALSE)*0.92</f>
        <v>338.44093501457746</v>
      </c>
      <c r="U1333" s="113">
        <f t="shared" si="1348"/>
        <v>33.844093501457749</v>
      </c>
      <c r="V1333">
        <f t="shared" ref="V1333:W1333" si="1403">V1309</f>
        <v>2.9</v>
      </c>
      <c r="W1333">
        <f t="shared" si="1403"/>
        <v>3</v>
      </c>
      <c r="X1333" s="9">
        <v>3.3689580000000001</v>
      </c>
      <c r="Y1333" s="39"/>
    </row>
    <row r="1334" spans="1:25" ht="15" thickBot="1">
      <c r="A1334" s="29">
        <f t="shared" si="1402"/>
        <v>45891.458333332084</v>
      </c>
      <c r="B1334" s="30">
        <f t="shared" si="1357"/>
        <v>8000</v>
      </c>
      <c r="C1334" s="8">
        <v>25000</v>
      </c>
      <c r="D1334" s="187">
        <v>0</v>
      </c>
      <c r="E1334" s="187">
        <v>700</v>
      </c>
      <c r="F1334" s="187">
        <v>15000</v>
      </c>
      <c r="G1334" s="30">
        <f t="shared" si="1358"/>
        <v>2400</v>
      </c>
      <c r="H1334" s="8">
        <v>25000</v>
      </c>
      <c r="I1334" s="30">
        <f t="shared" si="1359"/>
        <v>8000</v>
      </c>
      <c r="J1334" s="187">
        <v>40000</v>
      </c>
      <c r="K1334" s="30">
        <f t="shared" si="1360"/>
        <v>8000</v>
      </c>
      <c r="L1334" s="187">
        <v>40000</v>
      </c>
      <c r="M1334" s="110">
        <v>9.5</v>
      </c>
      <c r="N1334" s="9">
        <f>VLOOKUP(DATE(YEAR(A1334),MONTH(A1334),DAY(A1334)),FY24_Temp[],3,FALSE)</f>
        <v>14.5</v>
      </c>
      <c r="O1334" s="110">
        <f t="shared" si="1346"/>
        <v>11.5</v>
      </c>
      <c r="P1334" s="110">
        <f t="shared" si="1347"/>
        <v>19.5</v>
      </c>
      <c r="Q1334" s="79">
        <f>VLOOKUP(VLOOKUP(DATEVALUE(TEXT(A1334,"m/d/yyyy")),FY24_Temp[],5,FALSE)&amp;TEXT(A1334,"-h"),TempDelta[],4,FALSE)</f>
        <v>1.7985714163099016</v>
      </c>
      <c r="R1334">
        <v>10</v>
      </c>
      <c r="S1334" s="112">
        <v>1500</v>
      </c>
      <c r="T1334" s="5">
        <f>VLOOKUP(TEXT(A1334,"yy-mm")&amp;"-"&amp;IF(AND(WEEKDAY(A1334)&gt;1,WEEKDAY(A1334)&lt;7),"Wkd",TEXT(A1334,"Ddd"))&amp;"-"&amp;TEXT(A1334,"hh"),LoadTable[],3,FALSE)*0.92</f>
        <v>338.44093501457746</v>
      </c>
      <c r="U1334" s="113">
        <f t="shared" si="1348"/>
        <v>33.844093501457749</v>
      </c>
      <c r="V1334">
        <f t="shared" ref="V1334:W1334" si="1404">V1310</f>
        <v>3.4</v>
      </c>
      <c r="W1334">
        <f t="shared" si="1404"/>
        <v>3</v>
      </c>
      <c r="X1334" s="9">
        <v>3.3216116000000002</v>
      </c>
      <c r="Y1334" s="39"/>
    </row>
    <row r="1335" spans="1:25" ht="15" thickBot="1">
      <c r="A1335" s="29">
        <f t="shared" si="1402"/>
        <v>45891.499999998749</v>
      </c>
      <c r="B1335" s="30">
        <f t="shared" si="1357"/>
        <v>8000</v>
      </c>
      <c r="C1335" s="8">
        <v>25000</v>
      </c>
      <c r="D1335" s="187">
        <v>0</v>
      </c>
      <c r="E1335" s="187">
        <v>700</v>
      </c>
      <c r="F1335" s="187">
        <v>15000</v>
      </c>
      <c r="G1335" s="30">
        <f t="shared" si="1358"/>
        <v>2400</v>
      </c>
      <c r="H1335" s="8">
        <v>25000</v>
      </c>
      <c r="I1335" s="30">
        <f t="shared" si="1359"/>
        <v>8000</v>
      </c>
      <c r="J1335" s="187">
        <v>40000</v>
      </c>
      <c r="K1335" s="30">
        <f t="shared" si="1360"/>
        <v>8000</v>
      </c>
      <c r="L1335" s="187">
        <v>40000</v>
      </c>
      <c r="M1335" s="110">
        <v>9.5</v>
      </c>
      <c r="N1335" s="9">
        <f>VLOOKUP(DATE(YEAR(A1335),MONTH(A1335),DAY(A1335)),FY24_Temp[],3,FALSE)</f>
        <v>14.5</v>
      </c>
      <c r="O1335" s="110">
        <f t="shared" si="1346"/>
        <v>11.5</v>
      </c>
      <c r="P1335" s="110">
        <f t="shared" si="1347"/>
        <v>19.5</v>
      </c>
      <c r="Q1335" s="79">
        <f>VLOOKUP(VLOOKUP(DATEVALUE(TEXT(A1335,"m/d/yyyy")),FY24_Temp[],5,FALSE)&amp;TEXT(A1335,"-h"),TempDelta[],4,FALSE)</f>
        <v>1.5495714289801461</v>
      </c>
      <c r="R1335">
        <v>10</v>
      </c>
      <c r="S1335" s="112">
        <v>1500</v>
      </c>
      <c r="T1335" s="5">
        <f>VLOOKUP(TEXT(A1335,"yy-mm")&amp;"-"&amp;IF(AND(WEEKDAY(A1335)&gt;1,WEEKDAY(A1335)&lt;7),"Wkd",TEXT(A1335,"Ddd"))&amp;"-"&amp;TEXT(A1335,"hh"),LoadTable[],3,FALSE)*0.92</f>
        <v>338.44093501457746</v>
      </c>
      <c r="U1335" s="113">
        <f t="shared" si="1348"/>
        <v>33.844093501457749</v>
      </c>
      <c r="V1335">
        <f t="shared" ref="V1335:W1335" si="1405">V1311</f>
        <v>3.1</v>
      </c>
      <c r="W1335">
        <f t="shared" si="1405"/>
        <v>2.9</v>
      </c>
      <c r="X1335" s="9">
        <v>3.1836430999999998</v>
      </c>
      <c r="Y1335" s="39"/>
    </row>
    <row r="1336" spans="1:25" ht="15" thickBot="1">
      <c r="A1336" s="29">
        <f t="shared" si="1402"/>
        <v>45891.541666665413</v>
      </c>
      <c r="B1336" s="30">
        <f t="shared" si="1357"/>
        <v>8000</v>
      </c>
      <c r="C1336" s="8">
        <v>25000</v>
      </c>
      <c r="D1336" s="187">
        <v>0</v>
      </c>
      <c r="E1336" s="187">
        <v>700</v>
      </c>
      <c r="F1336" s="187">
        <v>15000</v>
      </c>
      <c r="G1336" s="30">
        <f t="shared" si="1358"/>
        <v>2400</v>
      </c>
      <c r="H1336" s="8">
        <v>25000</v>
      </c>
      <c r="I1336" s="30">
        <f t="shared" si="1359"/>
        <v>8000</v>
      </c>
      <c r="J1336" s="187">
        <v>40000</v>
      </c>
      <c r="K1336" s="30">
        <f t="shared" si="1360"/>
        <v>8000</v>
      </c>
      <c r="L1336" s="187">
        <v>40000</v>
      </c>
      <c r="M1336" s="110">
        <v>9.5</v>
      </c>
      <c r="N1336" s="9">
        <f>VLOOKUP(DATE(YEAR(A1336),MONTH(A1336),DAY(A1336)),FY24_Temp[],3,FALSE)</f>
        <v>14.5</v>
      </c>
      <c r="O1336" s="110">
        <f t="shared" si="1346"/>
        <v>11.5</v>
      </c>
      <c r="P1336" s="110">
        <f t="shared" si="1347"/>
        <v>19.5</v>
      </c>
      <c r="Q1336" s="79">
        <f>VLOOKUP(VLOOKUP(DATEVALUE(TEXT(A1336,"m/d/yyyy")),FY24_Temp[],5,FALSE)&amp;TEXT(A1336,"-h"),TempDelta[],4,FALSE)</f>
        <v>1.3002856969833374</v>
      </c>
      <c r="R1336">
        <v>10</v>
      </c>
      <c r="S1336" s="112">
        <v>1500</v>
      </c>
      <c r="T1336" s="5">
        <f>VLOOKUP(TEXT(A1336,"yy-mm")&amp;"-"&amp;IF(AND(WEEKDAY(A1336)&gt;1,WEEKDAY(A1336)&lt;7),"Wkd",TEXT(A1336,"Ddd"))&amp;"-"&amp;TEXT(A1336,"hh"),LoadTable[],3,FALSE)*0.92</f>
        <v>389.90980000000025</v>
      </c>
      <c r="U1336" s="113">
        <f t="shared" si="1348"/>
        <v>38.990980000000022</v>
      </c>
      <c r="V1336">
        <f t="shared" ref="V1336:W1336" si="1406">V1312</f>
        <v>3.2</v>
      </c>
      <c r="W1336">
        <f t="shared" si="1406"/>
        <v>2.9</v>
      </c>
      <c r="X1336" s="9">
        <v>3.0148758999999998</v>
      </c>
      <c r="Y1336" s="39"/>
    </row>
    <row r="1337" spans="1:25" ht="15" thickBot="1">
      <c r="A1337" s="29">
        <f t="shared" si="1402"/>
        <v>45891.583333332077</v>
      </c>
      <c r="B1337" s="30">
        <f t="shared" si="1357"/>
        <v>8000</v>
      </c>
      <c r="C1337" s="8">
        <v>25000</v>
      </c>
      <c r="D1337" s="187">
        <v>0</v>
      </c>
      <c r="E1337" s="187">
        <v>700</v>
      </c>
      <c r="F1337" s="187">
        <v>15000</v>
      </c>
      <c r="G1337" s="30">
        <f t="shared" si="1358"/>
        <v>2400</v>
      </c>
      <c r="H1337" s="8">
        <v>25000</v>
      </c>
      <c r="I1337" s="30">
        <f t="shared" si="1359"/>
        <v>8000</v>
      </c>
      <c r="J1337" s="187">
        <v>40000</v>
      </c>
      <c r="K1337" s="30">
        <f t="shared" si="1360"/>
        <v>8000</v>
      </c>
      <c r="L1337" s="187">
        <v>40000</v>
      </c>
      <c r="M1337" s="110">
        <v>9.5</v>
      </c>
      <c r="N1337" s="9">
        <f>VLOOKUP(DATE(YEAR(A1337),MONTH(A1337),DAY(A1337)),FY24_Temp[],3,FALSE)</f>
        <v>14.5</v>
      </c>
      <c r="O1337" s="110">
        <f t="shared" si="1346"/>
        <v>11.5</v>
      </c>
      <c r="P1337" s="110">
        <f t="shared" si="1347"/>
        <v>19.5</v>
      </c>
      <c r="Q1337" s="79">
        <f>VLOOKUP(VLOOKUP(DATEVALUE(TEXT(A1337,"m/d/yyyy")),FY24_Temp[],5,FALSE)&amp;TEXT(A1337,"-h"),TempDelta[],4,FALSE)</f>
        <v>1.065142844404493</v>
      </c>
      <c r="R1337">
        <v>10</v>
      </c>
      <c r="S1337" s="112">
        <v>1500</v>
      </c>
      <c r="T1337" s="5">
        <f>VLOOKUP(TEXT(A1337,"yy-mm")&amp;"-"&amp;IF(AND(WEEKDAY(A1337)&gt;1,WEEKDAY(A1337)&lt;7),"Wkd",TEXT(A1337,"Ddd"))&amp;"-"&amp;TEXT(A1337,"hh"),LoadTable[],3,FALSE)*0.92</f>
        <v>625.53652000000022</v>
      </c>
      <c r="U1337" s="113">
        <f t="shared" si="1348"/>
        <v>62.553652000000021</v>
      </c>
      <c r="V1337">
        <f t="shared" ref="V1337:W1337" si="1407">V1313</f>
        <v>3.5</v>
      </c>
      <c r="W1337">
        <f t="shared" si="1407"/>
        <v>2.9</v>
      </c>
      <c r="X1337" s="9">
        <v>2.9732566</v>
      </c>
      <c r="Y1337" s="39"/>
    </row>
    <row r="1338" spans="1:25" ht="15" thickBot="1">
      <c r="A1338" s="29">
        <f t="shared" si="1402"/>
        <v>45891.624999998741</v>
      </c>
      <c r="B1338" s="30">
        <f t="shared" si="1357"/>
        <v>8000</v>
      </c>
      <c r="C1338" s="8">
        <v>25000</v>
      </c>
      <c r="D1338" s="187">
        <v>0</v>
      </c>
      <c r="E1338" s="187">
        <v>700</v>
      </c>
      <c r="F1338" s="187">
        <v>15000</v>
      </c>
      <c r="G1338" s="30">
        <f t="shared" si="1358"/>
        <v>2400</v>
      </c>
      <c r="H1338" s="8">
        <v>25000</v>
      </c>
      <c r="I1338" s="30">
        <f t="shared" si="1359"/>
        <v>8000</v>
      </c>
      <c r="J1338" s="187">
        <v>40000</v>
      </c>
      <c r="K1338" s="30">
        <f t="shared" si="1360"/>
        <v>8000</v>
      </c>
      <c r="L1338" s="187">
        <v>40000</v>
      </c>
      <c r="M1338" s="110">
        <v>9.5</v>
      </c>
      <c r="N1338" s="9">
        <f>VLOOKUP(DATE(YEAR(A1338),MONTH(A1338),DAY(A1338)),FY24_Temp[],3,FALSE)</f>
        <v>14.5</v>
      </c>
      <c r="O1338" s="110">
        <f t="shared" si="1346"/>
        <v>11.5</v>
      </c>
      <c r="P1338" s="110">
        <f t="shared" si="1347"/>
        <v>19.5</v>
      </c>
      <c r="Q1338" s="79">
        <f>VLOOKUP(VLOOKUP(DATEVALUE(TEXT(A1338,"m/d/yyyy")),FY24_Temp[],5,FALSE)&amp;TEXT(A1338,"-h"),TempDelta[],4,FALSE)</f>
        <v>0.74900000010217938</v>
      </c>
      <c r="R1338">
        <v>10</v>
      </c>
      <c r="S1338" s="112">
        <v>1500</v>
      </c>
      <c r="T1338" s="5">
        <f>VLOOKUP(TEXT(A1338,"yy-mm")&amp;"-"&amp;IF(AND(WEEKDAY(A1338)&gt;1,WEEKDAY(A1338)&lt;7),"Wkd",TEXT(A1338,"Ddd"))&amp;"-"&amp;TEXT(A1338,"hh"),LoadTable[],3,FALSE)*0.92</f>
        <v>699.79524000000038</v>
      </c>
      <c r="U1338" s="113">
        <f t="shared" si="1348"/>
        <v>69.97952400000004</v>
      </c>
      <c r="V1338">
        <f t="shared" ref="V1338:W1338" si="1408">V1314</f>
        <v>3.2</v>
      </c>
      <c r="W1338">
        <f t="shared" si="1408"/>
        <v>2.9</v>
      </c>
      <c r="X1338" s="9">
        <v>3.2984241999999999</v>
      </c>
      <c r="Y1338" s="39"/>
    </row>
    <row r="1339" spans="1:25" ht="15" thickBot="1">
      <c r="A1339" s="29">
        <f t="shared" si="1402"/>
        <v>45891.666666665406</v>
      </c>
      <c r="B1339" s="30">
        <f t="shared" si="1357"/>
        <v>8000</v>
      </c>
      <c r="C1339" s="8">
        <v>25000</v>
      </c>
      <c r="D1339" s="187">
        <v>0</v>
      </c>
      <c r="E1339" s="187">
        <v>700</v>
      </c>
      <c r="F1339" s="187">
        <v>15000</v>
      </c>
      <c r="G1339" s="30">
        <f t="shared" si="1358"/>
        <v>2400</v>
      </c>
      <c r="H1339" s="8">
        <v>25000</v>
      </c>
      <c r="I1339" s="30">
        <f t="shared" si="1359"/>
        <v>8000</v>
      </c>
      <c r="J1339" s="187">
        <v>40000</v>
      </c>
      <c r="K1339" s="30">
        <f t="shared" si="1360"/>
        <v>8000</v>
      </c>
      <c r="L1339" s="187">
        <v>40000</v>
      </c>
      <c r="M1339" s="110">
        <v>9.5</v>
      </c>
      <c r="N1339" s="9">
        <f>VLOOKUP(DATE(YEAR(A1339),MONTH(A1339),DAY(A1339)),FY24_Temp[],3,FALSE)</f>
        <v>14.5</v>
      </c>
      <c r="O1339" s="110">
        <f t="shared" si="1346"/>
        <v>11.5</v>
      </c>
      <c r="P1339" s="110">
        <f t="shared" si="1347"/>
        <v>19.5</v>
      </c>
      <c r="Q1339" s="79">
        <f>VLOOKUP(VLOOKUP(DATEVALUE(TEXT(A1339,"m/d/yyyy")),FY24_Temp[],5,FALSE)&amp;TEXT(A1339,"-h"),TempDelta[],4,FALSE)</f>
        <v>0.60964286114488331</v>
      </c>
      <c r="R1339">
        <v>10</v>
      </c>
      <c r="S1339" s="112">
        <v>1500</v>
      </c>
      <c r="T1339" s="5">
        <f>VLOOKUP(TEXT(A1339,"yy-mm")&amp;"-"&amp;IF(AND(WEEKDAY(A1339)&gt;1,WEEKDAY(A1339)&lt;7),"Wkd",TEXT(A1339,"Ddd"))&amp;"-"&amp;TEXT(A1339,"hh"),LoadTable[],3,FALSE)*0.92</f>
        <v>786.27137399656624</v>
      </c>
      <c r="U1339" s="113">
        <f t="shared" si="1348"/>
        <v>78.627137399656618</v>
      </c>
      <c r="V1339">
        <f t="shared" ref="V1339:W1339" si="1409">V1315</f>
        <v>3.5</v>
      </c>
      <c r="W1339">
        <f t="shared" si="1409"/>
        <v>3</v>
      </c>
      <c r="X1339" s="9">
        <v>3.2315499999999999</v>
      </c>
      <c r="Y1339" s="39"/>
    </row>
    <row r="1340" spans="1:25" ht="15" thickBot="1">
      <c r="A1340" s="29">
        <f t="shared" si="1402"/>
        <v>45891.70833333207</v>
      </c>
      <c r="B1340" s="30">
        <f t="shared" si="1357"/>
        <v>8000</v>
      </c>
      <c r="C1340" s="8">
        <v>25000</v>
      </c>
      <c r="D1340" s="187">
        <v>0</v>
      </c>
      <c r="E1340" s="187">
        <v>700</v>
      </c>
      <c r="F1340" s="187">
        <v>15000</v>
      </c>
      <c r="G1340" s="30">
        <f t="shared" si="1358"/>
        <v>2400</v>
      </c>
      <c r="H1340" s="8">
        <v>25000</v>
      </c>
      <c r="I1340" s="30">
        <f t="shared" si="1359"/>
        <v>8000</v>
      </c>
      <c r="J1340" s="187">
        <v>40000</v>
      </c>
      <c r="K1340" s="30">
        <f t="shared" si="1360"/>
        <v>8000</v>
      </c>
      <c r="L1340" s="187">
        <v>40000</v>
      </c>
      <c r="M1340" s="110">
        <v>9.5</v>
      </c>
      <c r="N1340" s="9">
        <f>VLOOKUP(DATE(YEAR(A1340),MONTH(A1340),DAY(A1340)),FY24_Temp[],3,FALSE)</f>
        <v>14.5</v>
      </c>
      <c r="O1340" s="110">
        <f t="shared" si="1346"/>
        <v>11.5</v>
      </c>
      <c r="P1340" s="110">
        <f t="shared" si="1347"/>
        <v>19.5</v>
      </c>
      <c r="Q1340" s="79">
        <f>VLOOKUP(VLOOKUP(DATEVALUE(TEXT(A1340,"m/d/yyyy")),FY24_Temp[],5,FALSE)&amp;TEXT(A1340,"-h"),TempDelta[],4,FALSE)</f>
        <v>0.63592857335294994</v>
      </c>
      <c r="R1340">
        <v>10</v>
      </c>
      <c r="S1340" s="112">
        <v>1500</v>
      </c>
      <c r="T1340" s="5">
        <f>VLOOKUP(TEXT(A1340,"yy-mm")&amp;"-"&amp;IF(AND(WEEKDAY(A1340)&gt;1,WEEKDAY(A1340)&lt;7),"Wkd",TEXT(A1340,"Ddd"))&amp;"-"&amp;TEXT(A1340,"hh"),LoadTable[],3,FALSE)*0.92</f>
        <v>786.27137399656624</v>
      </c>
      <c r="U1340" s="113">
        <f t="shared" si="1348"/>
        <v>78.627137399656618</v>
      </c>
      <c r="V1340">
        <f t="shared" ref="V1340:W1340" si="1410">V1316</f>
        <v>3.6</v>
      </c>
      <c r="W1340">
        <f t="shared" si="1410"/>
        <v>3</v>
      </c>
      <c r="X1340" s="9">
        <v>3.1511233000000001</v>
      </c>
      <c r="Y1340" s="39"/>
    </row>
    <row r="1341" spans="1:25" ht="15" thickBot="1">
      <c r="A1341" s="29">
        <f t="shared" si="1402"/>
        <v>45891.749999998734</v>
      </c>
      <c r="B1341" s="30">
        <f t="shared" si="1357"/>
        <v>5000</v>
      </c>
      <c r="C1341" s="8">
        <v>25000</v>
      </c>
      <c r="D1341" s="187">
        <v>0</v>
      </c>
      <c r="E1341" s="187">
        <v>700</v>
      </c>
      <c r="F1341" s="187">
        <v>15000</v>
      </c>
      <c r="G1341" s="30">
        <f t="shared" si="1358"/>
        <v>2400</v>
      </c>
      <c r="H1341" s="8">
        <v>25000</v>
      </c>
      <c r="I1341" s="30">
        <f t="shared" si="1359"/>
        <v>5000</v>
      </c>
      <c r="J1341" s="187">
        <v>40000</v>
      </c>
      <c r="K1341" s="30">
        <f t="shared" si="1360"/>
        <v>5000</v>
      </c>
      <c r="L1341" s="187">
        <v>40000</v>
      </c>
      <c r="M1341" s="110">
        <v>9.5</v>
      </c>
      <c r="N1341" s="9">
        <f>VLOOKUP(DATE(YEAR(A1341),MONTH(A1341),DAY(A1341)),FY24_Temp[],3,FALSE)</f>
        <v>14.5</v>
      </c>
      <c r="O1341" s="110">
        <f t="shared" si="1346"/>
        <v>11.5</v>
      </c>
      <c r="P1341" s="110">
        <f t="shared" si="1347"/>
        <v>19.5</v>
      </c>
      <c r="Q1341" s="79">
        <f>VLOOKUP(VLOOKUP(DATEVALUE(TEXT(A1341,"m/d/yyyy")),FY24_Temp[],5,FALSE)&amp;TEXT(A1341,"-h"),TempDelta[],4,FALSE)</f>
        <v>0.84400000316756107</v>
      </c>
      <c r="R1341">
        <v>10</v>
      </c>
      <c r="S1341" s="112">
        <v>1500</v>
      </c>
      <c r="T1341" s="5">
        <f>VLOOKUP(TEXT(A1341,"yy-mm")&amp;"-"&amp;IF(AND(WEEKDAY(A1341)&gt;1,WEEKDAY(A1341)&lt;7),"Wkd",TEXT(A1341,"Ddd"))&amp;"-"&amp;TEXT(A1341,"hh"),LoadTable[],3,FALSE)*0.92</f>
        <v>786.27137399656647</v>
      </c>
      <c r="U1341" s="113">
        <f t="shared" si="1348"/>
        <v>78.627137399656647</v>
      </c>
      <c r="V1341">
        <f t="shared" ref="V1341:W1341" si="1411">V1317</f>
        <v>2.9</v>
      </c>
      <c r="W1341">
        <f t="shared" si="1411"/>
        <v>3</v>
      </c>
      <c r="X1341" s="9">
        <v>3.1322350999999999</v>
      </c>
      <c r="Y1341" s="39"/>
    </row>
    <row r="1342" spans="1:25" ht="15" thickBot="1">
      <c r="A1342" s="29">
        <f t="shared" si="1402"/>
        <v>45891.791666665398</v>
      </c>
      <c r="B1342" s="30">
        <f t="shared" si="1357"/>
        <v>5000</v>
      </c>
      <c r="C1342" s="8">
        <v>25000</v>
      </c>
      <c r="D1342" s="187">
        <v>0</v>
      </c>
      <c r="E1342" s="187">
        <v>700</v>
      </c>
      <c r="F1342" s="187">
        <v>15000</v>
      </c>
      <c r="G1342" s="30">
        <f t="shared" si="1358"/>
        <v>2400</v>
      </c>
      <c r="H1342" s="8">
        <v>25000</v>
      </c>
      <c r="I1342" s="30">
        <f t="shared" si="1359"/>
        <v>5000</v>
      </c>
      <c r="J1342" s="187">
        <v>40000</v>
      </c>
      <c r="K1342" s="30">
        <f t="shared" si="1360"/>
        <v>5000</v>
      </c>
      <c r="L1342" s="187">
        <v>40000</v>
      </c>
      <c r="M1342" s="110">
        <v>9.5</v>
      </c>
      <c r="N1342" s="9">
        <f>VLOOKUP(DATE(YEAR(A1342),MONTH(A1342),DAY(A1342)),FY24_Temp[],3,FALSE)</f>
        <v>14.5</v>
      </c>
      <c r="O1342" s="110">
        <f t="shared" si="1346"/>
        <v>11.5</v>
      </c>
      <c r="P1342" s="110">
        <f t="shared" si="1347"/>
        <v>19.5</v>
      </c>
      <c r="Q1342" s="79">
        <f>VLOOKUP(VLOOKUP(DATEVALUE(TEXT(A1342,"m/d/yyyy")),FY24_Temp[],5,FALSE)&amp;TEXT(A1342,"-h"),TempDelta[],4,FALSE)</f>
        <v>1.1514999994209834</v>
      </c>
      <c r="R1342">
        <v>10</v>
      </c>
      <c r="S1342" s="112">
        <v>1500</v>
      </c>
      <c r="T1342" s="5">
        <f>VLOOKUP(TEXT(A1342,"yy-mm")&amp;"-"&amp;IF(AND(WEEKDAY(A1342)&gt;1,WEEKDAY(A1342)&lt;7),"Wkd",TEXT(A1342,"Ddd"))&amp;"-"&amp;TEXT(A1342,"hh"),LoadTable[],3,FALSE)*0.92</f>
        <v>786.27137399656647</v>
      </c>
      <c r="U1342" s="113">
        <f t="shared" si="1348"/>
        <v>78.627137399656647</v>
      </c>
      <c r="V1342">
        <f t="shared" ref="V1342:W1342" si="1412">V1318</f>
        <v>3</v>
      </c>
      <c r="W1342">
        <f t="shared" si="1412"/>
        <v>3</v>
      </c>
      <c r="X1342" s="9">
        <v>3.1002128</v>
      </c>
      <c r="Y1342" s="39"/>
    </row>
    <row r="1343" spans="1:25" ht="15" thickBot="1">
      <c r="A1343" s="29">
        <f t="shared" si="1402"/>
        <v>45891.833333332062</v>
      </c>
      <c r="B1343" s="30">
        <f t="shared" si="1357"/>
        <v>5000</v>
      </c>
      <c r="C1343" s="8">
        <v>25000</v>
      </c>
      <c r="D1343" s="187">
        <v>0</v>
      </c>
      <c r="E1343" s="187">
        <v>700</v>
      </c>
      <c r="F1343" s="187">
        <v>15000</v>
      </c>
      <c r="G1343" s="30">
        <f t="shared" si="1358"/>
        <v>2400</v>
      </c>
      <c r="H1343" s="8">
        <v>25000</v>
      </c>
      <c r="I1343" s="30">
        <f t="shared" si="1359"/>
        <v>5000</v>
      </c>
      <c r="J1343" s="187">
        <v>40000</v>
      </c>
      <c r="K1343" s="30">
        <f t="shared" si="1360"/>
        <v>5000</v>
      </c>
      <c r="L1343" s="187">
        <v>40000</v>
      </c>
      <c r="M1343" s="110">
        <v>9.5</v>
      </c>
      <c r="N1343" s="9">
        <f>VLOOKUP(DATE(YEAR(A1343),MONTH(A1343),DAY(A1343)),FY24_Temp[],3,FALSE)</f>
        <v>14.5</v>
      </c>
      <c r="O1343" s="110">
        <f t="shared" si="1346"/>
        <v>11.5</v>
      </c>
      <c r="P1343" s="110">
        <f t="shared" si="1347"/>
        <v>19.5</v>
      </c>
      <c r="Q1343" s="79">
        <f>VLOOKUP(VLOOKUP(DATEVALUE(TEXT(A1343,"m/d/yyyy")),FY24_Temp[],5,FALSE)&amp;TEXT(A1343,"-h"),TempDelta[],4,FALSE)</f>
        <v>1.5629285573959351</v>
      </c>
      <c r="R1343">
        <v>10</v>
      </c>
      <c r="S1343" s="112">
        <v>1500</v>
      </c>
      <c r="T1343" s="5">
        <f>VLOOKUP(TEXT(A1343,"yy-mm")&amp;"-"&amp;IF(AND(WEEKDAY(A1343)&gt;1,WEEKDAY(A1343)&lt;7),"Wkd",TEXT(A1343,"Ddd"))&amp;"-"&amp;TEXT(A1343,"hh"),LoadTable[],3,FALSE)*0.92</f>
        <v>786.27137399656647</v>
      </c>
      <c r="U1343" s="113">
        <f t="shared" si="1348"/>
        <v>78.627137399656647</v>
      </c>
      <c r="V1343">
        <f t="shared" ref="V1343:W1343" si="1413">V1319</f>
        <v>2.8</v>
      </c>
      <c r="W1343">
        <f t="shared" si="1413"/>
        <v>3.1</v>
      </c>
      <c r="X1343" s="9">
        <v>3.0641251</v>
      </c>
      <c r="Y1343" s="39"/>
    </row>
    <row r="1344" spans="1:25" ht="15" thickBot="1">
      <c r="A1344" s="29">
        <f t="shared" si="1402"/>
        <v>45891.874999998727</v>
      </c>
      <c r="B1344" s="30">
        <f t="shared" si="1357"/>
        <v>5000</v>
      </c>
      <c r="C1344" s="8">
        <v>25000</v>
      </c>
      <c r="D1344" s="187">
        <v>0</v>
      </c>
      <c r="E1344" s="187">
        <v>700</v>
      </c>
      <c r="F1344" s="187">
        <v>15000</v>
      </c>
      <c r="G1344" s="30">
        <f t="shared" si="1358"/>
        <v>2400</v>
      </c>
      <c r="H1344" s="8">
        <v>25000</v>
      </c>
      <c r="I1344" s="30">
        <f t="shared" si="1359"/>
        <v>5000</v>
      </c>
      <c r="J1344" s="187">
        <v>40000</v>
      </c>
      <c r="K1344" s="30">
        <f t="shared" si="1360"/>
        <v>5000</v>
      </c>
      <c r="L1344" s="187">
        <v>40000</v>
      </c>
      <c r="M1344" s="110">
        <v>9.5</v>
      </c>
      <c r="N1344" s="9">
        <f>VLOOKUP(DATE(YEAR(A1344),MONTH(A1344),DAY(A1344)),FY24_Temp[],3,FALSE)</f>
        <v>14.5</v>
      </c>
      <c r="O1344" s="110">
        <f t="shared" si="1346"/>
        <v>11.5</v>
      </c>
      <c r="P1344" s="110">
        <f t="shared" si="1347"/>
        <v>19.5</v>
      </c>
      <c r="Q1344" s="79">
        <f>VLOOKUP(VLOOKUP(DATEVALUE(TEXT(A1344,"m/d/yyyy")),FY24_Temp[],5,FALSE)&amp;TEXT(A1344,"-h"),TempDelta[],4,FALSE)</f>
        <v>1.8850000074931554</v>
      </c>
      <c r="R1344">
        <v>10</v>
      </c>
      <c r="S1344" s="112">
        <v>1500</v>
      </c>
      <c r="T1344" s="5">
        <f>VLOOKUP(TEXT(A1344,"yy-mm")&amp;"-"&amp;IF(AND(WEEKDAY(A1344)&gt;1,WEEKDAY(A1344)&lt;7),"Wkd",TEXT(A1344,"Ddd"))&amp;"-"&amp;TEXT(A1344,"hh"),LoadTable[],3,FALSE)*0.92</f>
        <v>784.39716226323299</v>
      </c>
      <c r="U1344" s="113">
        <f t="shared" si="1348"/>
        <v>78.439716226323299</v>
      </c>
      <c r="V1344">
        <f t="shared" ref="V1344:W1344" si="1414">V1320</f>
        <v>3.5</v>
      </c>
      <c r="W1344">
        <f t="shared" si="1414"/>
        <v>3.1</v>
      </c>
      <c r="X1344" s="9">
        <v>3.0357854</v>
      </c>
      <c r="Y1344" s="39"/>
    </row>
    <row r="1345" spans="1:25" ht="15" thickBot="1">
      <c r="A1345" s="29">
        <f t="shared" si="1402"/>
        <v>45891.916666665391</v>
      </c>
      <c r="B1345" s="30">
        <f t="shared" si="1357"/>
        <v>5000</v>
      </c>
      <c r="C1345" s="8">
        <v>25000</v>
      </c>
      <c r="D1345" s="187">
        <v>0</v>
      </c>
      <c r="E1345" s="187">
        <v>700</v>
      </c>
      <c r="F1345" s="187">
        <v>15000</v>
      </c>
      <c r="G1345" s="30">
        <f t="shared" si="1358"/>
        <v>2400</v>
      </c>
      <c r="H1345" s="8">
        <v>25000</v>
      </c>
      <c r="I1345" s="30">
        <f t="shared" si="1359"/>
        <v>5000</v>
      </c>
      <c r="J1345" s="187">
        <v>40000</v>
      </c>
      <c r="K1345" s="30">
        <f t="shared" si="1360"/>
        <v>5000</v>
      </c>
      <c r="L1345" s="187">
        <v>40000</v>
      </c>
      <c r="M1345" s="110">
        <v>9.5</v>
      </c>
      <c r="N1345" s="9">
        <f>VLOOKUP(DATE(YEAR(A1345),MONTH(A1345),DAY(A1345)),FY24_Temp[],3,FALSE)</f>
        <v>14.5</v>
      </c>
      <c r="O1345" s="110">
        <f t="shared" si="1346"/>
        <v>11.5</v>
      </c>
      <c r="P1345" s="110">
        <f t="shared" si="1347"/>
        <v>19.5</v>
      </c>
      <c r="Q1345" s="79">
        <f>VLOOKUP(VLOOKUP(DATEVALUE(TEXT(A1345,"m/d/yyyy")),FY24_Temp[],5,FALSE)&amp;TEXT(A1345,"-h"),TempDelta[],4,FALSE)</f>
        <v>2.1824284962245395</v>
      </c>
      <c r="R1345">
        <v>10</v>
      </c>
      <c r="S1345" s="112">
        <v>1500</v>
      </c>
      <c r="T1345" s="5">
        <f>VLOOKUP(TEXT(A1345,"yy-mm")&amp;"-"&amp;IF(AND(WEEKDAY(A1345)&gt;1,WEEKDAY(A1345)&lt;7),"Wkd",TEXT(A1345,"Ddd"))&amp;"-"&amp;TEXT(A1345,"hh"),LoadTable[],3,FALSE)*0.92</f>
        <v>600.06900003761973</v>
      </c>
      <c r="U1345" s="113">
        <f t="shared" si="1348"/>
        <v>60.00690000376197</v>
      </c>
      <c r="V1345">
        <f t="shared" ref="V1345:W1345" si="1415">V1321</f>
        <v>2.9</v>
      </c>
      <c r="W1345">
        <f t="shared" si="1415"/>
        <v>3.1</v>
      </c>
      <c r="X1345" s="9">
        <v>3.0061977</v>
      </c>
      <c r="Y1345" s="39"/>
    </row>
    <row r="1346" spans="1:25" ht="15" thickBot="1">
      <c r="A1346" s="29">
        <f t="shared" si="1402"/>
        <v>45891.958333332055</v>
      </c>
      <c r="B1346" s="30">
        <f t="shared" si="1357"/>
        <v>5000</v>
      </c>
      <c r="C1346" s="8">
        <v>25000</v>
      </c>
      <c r="D1346" s="187">
        <v>0</v>
      </c>
      <c r="E1346" s="187">
        <v>700</v>
      </c>
      <c r="F1346" s="187">
        <v>15000</v>
      </c>
      <c r="G1346" s="30">
        <f t="shared" si="1358"/>
        <v>2400</v>
      </c>
      <c r="H1346" s="8">
        <v>25000</v>
      </c>
      <c r="I1346" s="30">
        <f t="shared" si="1359"/>
        <v>5000</v>
      </c>
      <c r="J1346" s="187">
        <v>40000</v>
      </c>
      <c r="K1346" s="30">
        <f t="shared" si="1360"/>
        <v>5000</v>
      </c>
      <c r="L1346" s="187">
        <v>40000</v>
      </c>
      <c r="M1346" s="110">
        <v>9.5</v>
      </c>
      <c r="N1346" s="9">
        <f>VLOOKUP(DATE(YEAR(A1346),MONTH(A1346),DAY(A1346)),FY24_Temp[],3,FALSE)</f>
        <v>14.5</v>
      </c>
      <c r="O1346" s="110">
        <f t="shared" si="1346"/>
        <v>11.5</v>
      </c>
      <c r="P1346" s="110">
        <f t="shared" si="1347"/>
        <v>19.5</v>
      </c>
      <c r="Q1346" s="79">
        <f>VLOOKUP(VLOOKUP(DATEVALUE(TEXT(A1346,"m/d/yyyy")),FY24_Temp[],5,FALSE)&amp;TEXT(A1346,"-h"),TempDelta[],4,FALSE)</f>
        <v>2.3112857682364329</v>
      </c>
      <c r="R1346">
        <v>10</v>
      </c>
      <c r="S1346" s="112">
        <v>1500</v>
      </c>
      <c r="T1346" s="5">
        <f>VLOOKUP(TEXT(A1346,"yy-mm")&amp;"-"&amp;IF(AND(WEEKDAY(A1346)&gt;1,WEEKDAY(A1346)&lt;7),"Wkd",TEXT(A1346,"Ddd"))&amp;"-"&amp;TEXT(A1346,"hh"),LoadTable[],3,FALSE)*0.92</f>
        <v>486.44539999999989</v>
      </c>
      <c r="U1346" s="113">
        <f t="shared" si="1348"/>
        <v>48.644539999999992</v>
      </c>
      <c r="V1346">
        <f t="shared" ref="V1346:W1346" si="1416">V1322</f>
        <v>3.6</v>
      </c>
      <c r="W1346">
        <f t="shared" si="1416"/>
        <v>3.1</v>
      </c>
      <c r="X1346" s="9">
        <v>2.9136994000000001</v>
      </c>
      <c r="Y1346" s="39"/>
    </row>
    <row r="1347" spans="1:25" ht="15" thickBot="1">
      <c r="A1347" s="115">
        <f t="shared" si="1402"/>
        <v>45891.999999998719</v>
      </c>
      <c r="B1347" s="151">
        <f t="shared" si="1357"/>
        <v>5000</v>
      </c>
      <c r="C1347" s="109">
        <v>25000</v>
      </c>
      <c r="D1347" s="187">
        <v>0</v>
      </c>
      <c r="E1347" s="187">
        <v>700</v>
      </c>
      <c r="F1347" s="187">
        <v>15000</v>
      </c>
      <c r="G1347" s="151">
        <f t="shared" si="1358"/>
        <v>2400</v>
      </c>
      <c r="H1347" s="109">
        <v>25000</v>
      </c>
      <c r="I1347" s="30">
        <f t="shared" si="1359"/>
        <v>5000</v>
      </c>
      <c r="J1347" s="187">
        <v>40000</v>
      </c>
      <c r="K1347" s="151">
        <f t="shared" si="1360"/>
        <v>5000</v>
      </c>
      <c r="L1347" s="187">
        <v>40000</v>
      </c>
      <c r="M1347" s="110">
        <v>9.5</v>
      </c>
      <c r="N1347" s="110">
        <f>VLOOKUP(DATE(YEAR(A1347),MONTH(A1347),DAY(A1347)),FY24_Temp[],3,FALSE)</f>
        <v>14.71</v>
      </c>
      <c r="O1347" s="110">
        <f t="shared" si="1346"/>
        <v>11.5</v>
      </c>
      <c r="P1347" s="110">
        <f t="shared" si="1347"/>
        <v>19.5</v>
      </c>
      <c r="Q1347" s="111">
        <f>VLOOKUP(VLOOKUP(DATEVALUE(TEXT(A1347,"m/d/yyyy")),FY24_Temp[],5,FALSE)&amp;TEXT(A1347,"-h"),TempDelta[],4,FALSE)</f>
        <v>2.2534285613468716</v>
      </c>
      <c r="R1347" s="112">
        <v>10</v>
      </c>
      <c r="S1347" s="112">
        <v>1500</v>
      </c>
      <c r="T1347" s="99">
        <f>VLOOKUP(TEXT(A1347,"yy-mm")&amp;"-"&amp;IF(AND(WEEKDAY(A1347)&gt;1,WEEKDAY(A1347)&lt;7),"Wkd",TEXT(A1347,"Ddd"))&amp;"-"&amp;TEXT(A1347,"hh"),LoadTable[],3,FALSE)*0.92</f>
        <v>371.37732000000005</v>
      </c>
      <c r="U1347" s="113">
        <f t="shared" si="1348"/>
        <v>37.137732000000007</v>
      </c>
      <c r="V1347" s="112">
        <f t="shared" ref="V1347:W1347" si="1417">V1323</f>
        <v>3</v>
      </c>
      <c r="W1347" s="112">
        <f t="shared" si="1417"/>
        <v>3.2</v>
      </c>
      <c r="X1347" s="114">
        <v>2.8204486000000002</v>
      </c>
      <c r="Y1347" s="39"/>
    </row>
    <row r="1348" spans="1:25" ht="15" thickBot="1">
      <c r="A1348" s="29">
        <f t="shared" si="1402"/>
        <v>45892.041666665384</v>
      </c>
      <c r="B1348" s="30">
        <f t="shared" si="1357"/>
        <v>5000</v>
      </c>
      <c r="C1348" s="8">
        <v>25000</v>
      </c>
      <c r="D1348" s="187">
        <v>0</v>
      </c>
      <c r="E1348" s="187">
        <v>700</v>
      </c>
      <c r="F1348" s="187">
        <v>15000</v>
      </c>
      <c r="G1348" s="30">
        <f t="shared" si="1358"/>
        <v>2400</v>
      </c>
      <c r="H1348" s="8">
        <v>25000</v>
      </c>
      <c r="I1348" s="30">
        <f t="shared" si="1359"/>
        <v>5000</v>
      </c>
      <c r="J1348" s="187">
        <v>40000</v>
      </c>
      <c r="K1348" s="30">
        <f t="shared" si="1360"/>
        <v>5000</v>
      </c>
      <c r="L1348" s="187">
        <v>40000</v>
      </c>
      <c r="M1348" s="110">
        <v>9.5</v>
      </c>
      <c r="N1348" s="9">
        <f>VLOOKUP(DATE(YEAR(A1348),MONTH(A1348),DAY(A1348)),FY24_Temp[],3,FALSE)</f>
        <v>14.71</v>
      </c>
      <c r="O1348" s="110">
        <f t="shared" ref="O1348:O1411" si="1418">15.5-4</f>
        <v>11.5</v>
      </c>
      <c r="P1348" s="110">
        <f t="shared" ref="P1348:P1411" si="1419">15.5+4</f>
        <v>19.5</v>
      </c>
      <c r="Q1348" s="79">
        <f>VLOOKUP(VLOOKUP(DATEVALUE(TEXT(A1348,"m/d/yyyy")),FY24_Temp[],5,FALSE)&amp;TEXT(A1348,"-h"),TempDelta[],4,FALSE)</f>
        <v>2.5014285700661794</v>
      </c>
      <c r="R1348">
        <v>10</v>
      </c>
      <c r="S1348" s="112">
        <v>1500</v>
      </c>
      <c r="T1348" s="5">
        <f>VLOOKUP(TEXT(A1348,"yy-mm")&amp;"-"&amp;IF(AND(WEEKDAY(A1348)&gt;1,WEEKDAY(A1348)&lt;7),"Wkd",TEXT(A1348,"Ddd"))&amp;"-"&amp;TEXT(A1348,"hh"),LoadTable[],3,FALSE)*0.92</f>
        <v>362.43308000000007</v>
      </c>
      <c r="U1348" s="113">
        <f t="shared" ref="U1348:U1411" si="1420">T1348/10</f>
        <v>36.243308000000006</v>
      </c>
      <c r="V1348">
        <f t="shared" ref="V1348:W1348" si="1421">V1324</f>
        <v>2.6</v>
      </c>
      <c r="W1348">
        <f t="shared" si="1421"/>
        <v>3.2</v>
      </c>
      <c r="X1348" s="9">
        <v>2.7464726000000002</v>
      </c>
      <c r="Y1348" s="39"/>
    </row>
    <row r="1349" spans="1:25" ht="15" thickBot="1">
      <c r="A1349" s="29">
        <f t="shared" si="1402"/>
        <v>45892.083333332048</v>
      </c>
      <c r="B1349" s="30">
        <f t="shared" si="1357"/>
        <v>5000</v>
      </c>
      <c r="C1349" s="8">
        <v>25000</v>
      </c>
      <c r="D1349" s="187">
        <v>0</v>
      </c>
      <c r="E1349" s="187">
        <v>700</v>
      </c>
      <c r="F1349" s="187">
        <v>15000</v>
      </c>
      <c r="G1349" s="30">
        <f t="shared" si="1358"/>
        <v>2400</v>
      </c>
      <c r="H1349" s="8">
        <v>25000</v>
      </c>
      <c r="I1349" s="30">
        <f t="shared" si="1359"/>
        <v>5000</v>
      </c>
      <c r="J1349" s="187">
        <v>40000</v>
      </c>
      <c r="K1349" s="30">
        <f t="shared" si="1360"/>
        <v>5000</v>
      </c>
      <c r="L1349" s="187">
        <v>40000</v>
      </c>
      <c r="M1349" s="110">
        <v>9.5</v>
      </c>
      <c r="N1349" s="9">
        <f>VLOOKUP(DATE(YEAR(A1349),MONTH(A1349),DAY(A1349)),FY24_Temp[],3,FALSE)</f>
        <v>14.71</v>
      </c>
      <c r="O1349" s="110">
        <f t="shared" si="1418"/>
        <v>11.5</v>
      </c>
      <c r="P1349" s="110">
        <f t="shared" si="1419"/>
        <v>19.5</v>
      </c>
      <c r="Q1349" s="79">
        <f>VLOOKUP(VLOOKUP(DATEVALUE(TEXT(A1349,"m/d/yyyy")),FY24_Temp[],5,FALSE)&amp;TEXT(A1349,"-h"),TempDelta[],4,FALSE)</f>
        <v>2.5255714144025529</v>
      </c>
      <c r="R1349">
        <v>10</v>
      </c>
      <c r="S1349" s="112">
        <v>1500</v>
      </c>
      <c r="T1349" s="5">
        <f>VLOOKUP(TEXT(A1349,"yy-mm")&amp;"-"&amp;IF(AND(WEEKDAY(A1349)&gt;1,WEEKDAY(A1349)&lt;7),"Wkd",TEXT(A1349,"Ddd"))&amp;"-"&amp;TEXT(A1349,"hh"),LoadTable[],3,FALSE)*0.92</f>
        <v>362.43308000000007</v>
      </c>
      <c r="U1349" s="113">
        <f t="shared" si="1420"/>
        <v>36.243308000000006</v>
      </c>
      <c r="V1349">
        <f t="shared" ref="V1349:W1349" si="1422">V1325</f>
        <v>2.8</v>
      </c>
      <c r="W1349">
        <f t="shared" si="1422"/>
        <v>3.2</v>
      </c>
      <c r="X1349" s="9">
        <v>2.8187099</v>
      </c>
      <c r="Y1349" s="39"/>
    </row>
    <row r="1350" spans="1:25" ht="15" thickBot="1">
      <c r="A1350" s="29">
        <f t="shared" si="1402"/>
        <v>45892.124999998712</v>
      </c>
      <c r="B1350" s="30">
        <f t="shared" si="1357"/>
        <v>5000</v>
      </c>
      <c r="C1350" s="8">
        <v>25000</v>
      </c>
      <c r="D1350" s="187">
        <v>0</v>
      </c>
      <c r="E1350" s="187">
        <v>700</v>
      </c>
      <c r="F1350" s="187">
        <v>15000</v>
      </c>
      <c r="G1350" s="30">
        <f t="shared" si="1358"/>
        <v>2400</v>
      </c>
      <c r="H1350" s="8">
        <v>25000</v>
      </c>
      <c r="I1350" s="30">
        <f t="shared" si="1359"/>
        <v>5000</v>
      </c>
      <c r="J1350" s="187">
        <v>40000</v>
      </c>
      <c r="K1350" s="30">
        <f t="shared" si="1360"/>
        <v>5000</v>
      </c>
      <c r="L1350" s="187">
        <v>40000</v>
      </c>
      <c r="M1350" s="110">
        <v>9.5</v>
      </c>
      <c r="N1350" s="9">
        <f>VLOOKUP(DATE(YEAR(A1350),MONTH(A1350),DAY(A1350)),FY24_Temp[],3,FALSE)</f>
        <v>14.71</v>
      </c>
      <c r="O1350" s="110">
        <f t="shared" si="1418"/>
        <v>11.5</v>
      </c>
      <c r="P1350" s="110">
        <f t="shared" si="1419"/>
        <v>19.5</v>
      </c>
      <c r="Q1350" s="79">
        <f>VLOOKUP(VLOOKUP(DATEVALUE(TEXT(A1350,"m/d/yyyy")),FY24_Temp[],5,FALSE)&amp;TEXT(A1350,"-h"),TempDelta[],4,FALSE)</f>
        <v>2.5220000403267995</v>
      </c>
      <c r="R1350">
        <v>10</v>
      </c>
      <c r="S1350" s="112">
        <v>1500</v>
      </c>
      <c r="T1350" s="5">
        <f>VLOOKUP(TEXT(A1350,"yy-mm")&amp;"-"&amp;IF(AND(WEEKDAY(A1350)&gt;1,WEEKDAY(A1350)&lt;7),"Wkd",TEXT(A1350,"Ddd"))&amp;"-"&amp;TEXT(A1350,"hh"),LoadTable[],3,FALSE)*0.92</f>
        <v>362.43308000000007</v>
      </c>
      <c r="U1350" s="113">
        <f t="shared" si="1420"/>
        <v>36.243308000000006</v>
      </c>
      <c r="V1350">
        <f t="shared" ref="V1350:W1350" si="1423">V1326</f>
        <v>2.7</v>
      </c>
      <c r="W1350">
        <f t="shared" si="1423"/>
        <v>3.2</v>
      </c>
      <c r="X1350" s="9">
        <v>2.8785938999999998</v>
      </c>
      <c r="Y1350" s="39"/>
    </row>
    <row r="1351" spans="1:25" ht="15" thickBot="1">
      <c r="A1351" s="29">
        <f t="shared" si="1402"/>
        <v>45892.166666665376</v>
      </c>
      <c r="B1351" s="30">
        <f t="shared" si="1357"/>
        <v>5000</v>
      </c>
      <c r="C1351" s="8">
        <v>25000</v>
      </c>
      <c r="D1351" s="187">
        <v>0</v>
      </c>
      <c r="E1351" s="187">
        <v>700</v>
      </c>
      <c r="F1351" s="187">
        <v>15000</v>
      </c>
      <c r="G1351" s="30">
        <f t="shared" si="1358"/>
        <v>2400</v>
      </c>
      <c r="H1351" s="8">
        <v>25000</v>
      </c>
      <c r="I1351" s="30">
        <f t="shared" si="1359"/>
        <v>5000</v>
      </c>
      <c r="J1351" s="187">
        <v>40000</v>
      </c>
      <c r="K1351" s="30">
        <f t="shared" si="1360"/>
        <v>5000</v>
      </c>
      <c r="L1351" s="187">
        <v>40000</v>
      </c>
      <c r="M1351" s="110">
        <v>9.5</v>
      </c>
      <c r="N1351" s="9">
        <f>VLOOKUP(DATE(YEAR(A1351),MONTH(A1351),DAY(A1351)),FY24_Temp[],3,FALSE)</f>
        <v>14.71</v>
      </c>
      <c r="O1351" s="110">
        <f t="shared" si="1418"/>
        <v>11.5</v>
      </c>
      <c r="P1351" s="110">
        <f t="shared" si="1419"/>
        <v>19.5</v>
      </c>
      <c r="Q1351" s="79">
        <f>VLOOKUP(VLOOKUP(DATEVALUE(TEXT(A1351,"m/d/yyyy")),FY24_Temp[],5,FALSE)&amp;TEXT(A1351,"-h"),TempDelta[],4,FALSE)</f>
        <v>2.5181428364345004</v>
      </c>
      <c r="R1351">
        <v>10</v>
      </c>
      <c r="S1351" s="112">
        <v>1500</v>
      </c>
      <c r="T1351" s="5">
        <f>VLOOKUP(TEXT(A1351,"yy-mm")&amp;"-"&amp;IF(AND(WEEKDAY(A1351)&gt;1,WEEKDAY(A1351)&lt;7),"Wkd",TEXT(A1351,"Ddd"))&amp;"-"&amp;TEXT(A1351,"hh"),LoadTable[],3,FALSE)*0.92</f>
        <v>362.43308000000007</v>
      </c>
      <c r="U1351" s="113">
        <f t="shared" si="1420"/>
        <v>36.243308000000006</v>
      </c>
      <c r="V1351">
        <f t="shared" ref="V1351:W1351" si="1424">V1327</f>
        <v>3</v>
      </c>
      <c r="W1351">
        <f t="shared" si="1424"/>
        <v>3.1</v>
      </c>
      <c r="X1351" s="9">
        <v>2.9032160999999999</v>
      </c>
      <c r="Y1351" s="39"/>
    </row>
    <row r="1352" spans="1:25" ht="15" thickBot="1">
      <c r="A1352" s="29">
        <f t="shared" si="1402"/>
        <v>45892.208333332041</v>
      </c>
      <c r="B1352" s="30">
        <f t="shared" si="1357"/>
        <v>5000</v>
      </c>
      <c r="C1352" s="8">
        <v>25000</v>
      </c>
      <c r="D1352" s="187">
        <v>0</v>
      </c>
      <c r="E1352" s="187">
        <v>700</v>
      </c>
      <c r="F1352" s="187">
        <v>15000</v>
      </c>
      <c r="G1352" s="30">
        <f t="shared" si="1358"/>
        <v>2400</v>
      </c>
      <c r="H1352" s="8">
        <v>25000</v>
      </c>
      <c r="I1352" s="30">
        <f t="shared" si="1359"/>
        <v>5000</v>
      </c>
      <c r="J1352" s="187">
        <v>40000</v>
      </c>
      <c r="K1352" s="30">
        <f t="shared" si="1360"/>
        <v>5000</v>
      </c>
      <c r="L1352" s="187">
        <v>40000</v>
      </c>
      <c r="M1352" s="110">
        <v>9.5</v>
      </c>
      <c r="N1352" s="9">
        <f>VLOOKUP(DATE(YEAR(A1352),MONTH(A1352),DAY(A1352)),FY24_Temp[],3,FALSE)</f>
        <v>14.71</v>
      </c>
      <c r="O1352" s="110">
        <f t="shared" si="1418"/>
        <v>11.5</v>
      </c>
      <c r="P1352" s="110">
        <f t="shared" si="1419"/>
        <v>19.5</v>
      </c>
      <c r="Q1352" s="79">
        <f>VLOOKUP(VLOOKUP(DATEVALUE(TEXT(A1352,"m/d/yyyy")),FY24_Temp[],5,FALSE)&amp;TEXT(A1352,"-h"),TempDelta[],4,FALSE)</f>
        <v>2.5518571649278914</v>
      </c>
      <c r="R1352">
        <v>10</v>
      </c>
      <c r="S1352" s="112">
        <v>1500</v>
      </c>
      <c r="T1352" s="5">
        <f>VLOOKUP(TEXT(A1352,"yy-mm")&amp;"-"&amp;IF(AND(WEEKDAY(A1352)&gt;1,WEEKDAY(A1352)&lt;7),"Wkd",TEXT(A1352,"Ddd"))&amp;"-"&amp;TEXT(A1352,"hh"),LoadTable[],3,FALSE)*0.92</f>
        <v>362.43308000000007</v>
      </c>
      <c r="U1352" s="113">
        <f t="shared" si="1420"/>
        <v>36.243308000000006</v>
      </c>
      <c r="V1352">
        <f t="shared" ref="V1352:W1352" si="1425">V1328</f>
        <v>2.9</v>
      </c>
      <c r="W1352">
        <f t="shared" si="1425"/>
        <v>3.1</v>
      </c>
      <c r="X1352" s="9">
        <v>2.9714581999999998</v>
      </c>
      <c r="Y1352" s="39"/>
    </row>
    <row r="1353" spans="1:25" ht="15" thickBot="1">
      <c r="A1353" s="29">
        <f t="shared" si="1402"/>
        <v>45892.249999998705</v>
      </c>
      <c r="B1353" s="30">
        <f t="shared" si="1357"/>
        <v>8000</v>
      </c>
      <c r="C1353" s="8">
        <v>25000</v>
      </c>
      <c r="D1353" s="187">
        <v>0</v>
      </c>
      <c r="E1353" s="187">
        <v>700</v>
      </c>
      <c r="F1353" s="187">
        <v>15000</v>
      </c>
      <c r="G1353" s="30">
        <f t="shared" si="1358"/>
        <v>2400</v>
      </c>
      <c r="H1353" s="8">
        <v>25000</v>
      </c>
      <c r="I1353" s="30">
        <f t="shared" si="1359"/>
        <v>8000</v>
      </c>
      <c r="J1353" s="187">
        <v>40000</v>
      </c>
      <c r="K1353" s="30">
        <f t="shared" si="1360"/>
        <v>8000</v>
      </c>
      <c r="L1353" s="187">
        <v>40000</v>
      </c>
      <c r="M1353" s="110">
        <v>9.5</v>
      </c>
      <c r="N1353" s="9">
        <f>VLOOKUP(DATE(YEAR(A1353),MONTH(A1353),DAY(A1353)),FY24_Temp[],3,FALSE)</f>
        <v>14.71</v>
      </c>
      <c r="O1353" s="110">
        <f t="shared" si="1418"/>
        <v>11.5</v>
      </c>
      <c r="P1353" s="110">
        <f t="shared" si="1419"/>
        <v>19.5</v>
      </c>
      <c r="Q1353" s="79">
        <f>VLOOKUP(VLOOKUP(DATEVALUE(TEXT(A1353,"m/d/yyyy")),FY24_Temp[],5,FALSE)&amp;TEXT(A1353,"-h"),TempDelta[],4,FALSE)</f>
        <v>2.5557143007005965</v>
      </c>
      <c r="R1353">
        <v>10</v>
      </c>
      <c r="S1353" s="112">
        <v>1500</v>
      </c>
      <c r="T1353" s="5">
        <f>VLOOKUP(TEXT(A1353,"yy-mm")&amp;"-"&amp;IF(AND(WEEKDAY(A1353)&gt;1,WEEKDAY(A1353)&lt;7),"Wkd",TEXT(A1353,"Ddd"))&amp;"-"&amp;TEXT(A1353,"hh"),LoadTable[],3,FALSE)*0.92</f>
        <v>362.43308000000007</v>
      </c>
      <c r="U1353" s="113">
        <f t="shared" si="1420"/>
        <v>36.243308000000006</v>
      </c>
      <c r="V1353">
        <f t="shared" ref="V1353:W1353" si="1426">V1329</f>
        <v>2.5</v>
      </c>
      <c r="W1353">
        <f t="shared" si="1426"/>
        <v>3.1</v>
      </c>
      <c r="X1353" s="9">
        <v>3.0860484000000001</v>
      </c>
      <c r="Y1353" s="39"/>
    </row>
    <row r="1354" spans="1:25" ht="15" thickBot="1">
      <c r="A1354" s="29">
        <f t="shared" si="1402"/>
        <v>45892.291666665369</v>
      </c>
      <c r="B1354" s="30">
        <f t="shared" si="1357"/>
        <v>8000</v>
      </c>
      <c r="C1354" s="8">
        <v>25000</v>
      </c>
      <c r="D1354" s="187">
        <v>0</v>
      </c>
      <c r="E1354" s="187">
        <v>700</v>
      </c>
      <c r="F1354" s="187">
        <v>15000</v>
      </c>
      <c r="G1354" s="30">
        <f t="shared" si="1358"/>
        <v>2400</v>
      </c>
      <c r="H1354" s="8">
        <v>25000</v>
      </c>
      <c r="I1354" s="30">
        <f t="shared" si="1359"/>
        <v>8000</v>
      </c>
      <c r="J1354" s="187">
        <v>40000</v>
      </c>
      <c r="K1354" s="30">
        <f t="shared" si="1360"/>
        <v>8000</v>
      </c>
      <c r="L1354" s="187">
        <v>40000</v>
      </c>
      <c r="M1354" s="110">
        <v>9.5</v>
      </c>
      <c r="N1354" s="9">
        <f>VLOOKUP(DATE(YEAR(A1354),MONTH(A1354),DAY(A1354)),FY24_Temp[],3,FALSE)</f>
        <v>14.71</v>
      </c>
      <c r="O1354" s="110">
        <f t="shared" si="1418"/>
        <v>11.5</v>
      </c>
      <c r="P1354" s="110">
        <f t="shared" si="1419"/>
        <v>19.5</v>
      </c>
      <c r="Q1354" s="79">
        <f>VLOOKUP(VLOOKUP(DATEVALUE(TEXT(A1354,"m/d/yyyy")),FY24_Temp[],5,FALSE)&amp;TEXT(A1354,"-h"),TempDelta[],4,FALSE)</f>
        <v>2.5165714536394392</v>
      </c>
      <c r="R1354">
        <v>10</v>
      </c>
      <c r="S1354" s="112">
        <v>1500</v>
      </c>
      <c r="T1354" s="5">
        <f>VLOOKUP(TEXT(A1354,"yy-mm")&amp;"-"&amp;IF(AND(WEEKDAY(A1354)&gt;1,WEEKDAY(A1354)&lt;7),"Wkd",TEXT(A1354,"Ddd"))&amp;"-"&amp;TEXT(A1354,"hh"),LoadTable[],3,FALSE)*0.92</f>
        <v>339.23343999999997</v>
      </c>
      <c r="U1354" s="113">
        <f t="shared" si="1420"/>
        <v>33.923344</v>
      </c>
      <c r="V1354">
        <f t="shared" ref="V1354:W1354" si="1427">V1330</f>
        <v>2.5</v>
      </c>
      <c r="W1354">
        <f t="shared" si="1427"/>
        <v>3.1</v>
      </c>
      <c r="X1354" s="9">
        <v>3.2215992999999998</v>
      </c>
      <c r="Y1354" s="39"/>
    </row>
    <row r="1355" spans="1:25" ht="15" thickBot="1">
      <c r="A1355" s="29">
        <f t="shared" si="1402"/>
        <v>45892.333333332033</v>
      </c>
      <c r="B1355" s="30">
        <f t="shared" si="1357"/>
        <v>8000</v>
      </c>
      <c r="C1355" s="8">
        <v>25000</v>
      </c>
      <c r="D1355" s="187">
        <v>0</v>
      </c>
      <c r="E1355" s="187">
        <v>700</v>
      </c>
      <c r="F1355" s="187">
        <v>15000</v>
      </c>
      <c r="G1355" s="30">
        <f t="shared" si="1358"/>
        <v>2400</v>
      </c>
      <c r="H1355" s="8">
        <v>25000</v>
      </c>
      <c r="I1355" s="30">
        <f t="shared" si="1359"/>
        <v>8000</v>
      </c>
      <c r="J1355" s="187">
        <v>40000</v>
      </c>
      <c r="K1355" s="30">
        <f t="shared" si="1360"/>
        <v>8000</v>
      </c>
      <c r="L1355" s="187">
        <v>40000</v>
      </c>
      <c r="M1355" s="110">
        <v>9.5</v>
      </c>
      <c r="N1355" s="9">
        <f>VLOOKUP(DATE(YEAR(A1355),MONTH(A1355),DAY(A1355)),FY24_Temp[],3,FALSE)</f>
        <v>14.71</v>
      </c>
      <c r="O1355" s="110">
        <f t="shared" si="1418"/>
        <v>11.5</v>
      </c>
      <c r="P1355" s="110">
        <f t="shared" si="1419"/>
        <v>19.5</v>
      </c>
      <c r="Q1355" s="79">
        <f>VLOOKUP(VLOOKUP(DATEVALUE(TEXT(A1355,"m/d/yyyy")),FY24_Temp[],5,FALSE)&amp;TEXT(A1355,"-h"),TempDelta[],4,FALSE)</f>
        <v>2.410571438925607</v>
      </c>
      <c r="R1355">
        <v>10</v>
      </c>
      <c r="S1355" s="112">
        <v>1500</v>
      </c>
      <c r="T1355" s="5">
        <f>VLOOKUP(TEXT(A1355,"yy-mm")&amp;"-"&amp;IF(AND(WEEKDAY(A1355)&gt;1,WEEKDAY(A1355)&lt;7),"Wkd",TEXT(A1355,"Ddd"))&amp;"-"&amp;TEXT(A1355,"hh"),LoadTable[],3,FALSE)*0.92</f>
        <v>339.23343999999997</v>
      </c>
      <c r="U1355" s="113">
        <f t="shared" si="1420"/>
        <v>33.923344</v>
      </c>
      <c r="V1355">
        <f t="shared" ref="V1355:W1355" si="1428">V1331</f>
        <v>3.2</v>
      </c>
      <c r="W1355">
        <f t="shared" si="1428"/>
        <v>3</v>
      </c>
      <c r="X1355" s="9">
        <v>3.2751283999999998</v>
      </c>
      <c r="Y1355" s="39"/>
    </row>
    <row r="1356" spans="1:25" ht="15" thickBot="1">
      <c r="A1356" s="29">
        <f t="shared" si="1402"/>
        <v>45892.374999998698</v>
      </c>
      <c r="B1356" s="30">
        <f t="shared" ref="B1356:B1419" si="1429">B1332</f>
        <v>8000</v>
      </c>
      <c r="C1356" s="8">
        <v>25000</v>
      </c>
      <c r="D1356" s="187">
        <v>0</v>
      </c>
      <c r="E1356" s="187">
        <v>700</v>
      </c>
      <c r="F1356" s="187">
        <v>15000</v>
      </c>
      <c r="G1356" s="30">
        <f t="shared" ref="G1356:G1419" si="1430">G1332</f>
        <v>2400</v>
      </c>
      <c r="H1356" s="8">
        <v>25000</v>
      </c>
      <c r="I1356" s="30">
        <f t="shared" ref="I1356:I1419" si="1431">I1332</f>
        <v>8000</v>
      </c>
      <c r="J1356" s="187">
        <v>40000</v>
      </c>
      <c r="K1356" s="30">
        <f t="shared" ref="K1356:K1419" si="1432">K1332</f>
        <v>8000</v>
      </c>
      <c r="L1356" s="187">
        <v>40000</v>
      </c>
      <c r="M1356" s="110">
        <v>9.5</v>
      </c>
      <c r="N1356" s="9">
        <f>VLOOKUP(DATE(YEAR(A1356),MONTH(A1356),DAY(A1356)),FY24_Temp[],3,FALSE)</f>
        <v>14.71</v>
      </c>
      <c r="O1356" s="110">
        <f t="shared" si="1418"/>
        <v>11.5</v>
      </c>
      <c r="P1356" s="110">
        <f t="shared" si="1419"/>
        <v>19.5</v>
      </c>
      <c r="Q1356" s="79">
        <f>VLOOKUP(VLOOKUP(DATEVALUE(TEXT(A1356,"m/d/yyyy")),FY24_Temp[],5,FALSE)&amp;TEXT(A1356,"-h"),TempDelta[],4,FALSE)</f>
        <v>2.2332857336316789</v>
      </c>
      <c r="R1356">
        <v>10</v>
      </c>
      <c r="S1356" s="112">
        <v>1500</v>
      </c>
      <c r="T1356" s="5">
        <f>VLOOKUP(TEXT(A1356,"yy-mm")&amp;"-"&amp;IF(AND(WEEKDAY(A1356)&gt;1,WEEKDAY(A1356)&lt;7),"Wkd",TEXT(A1356,"Ddd"))&amp;"-"&amp;TEXT(A1356,"hh"),LoadTable[],3,FALSE)*0.92</f>
        <v>338.44093501457735</v>
      </c>
      <c r="U1356" s="113">
        <f t="shared" si="1420"/>
        <v>33.844093501457735</v>
      </c>
      <c r="V1356">
        <f t="shared" ref="V1356:W1356" si="1433">V1332</f>
        <v>2.9</v>
      </c>
      <c r="W1356">
        <f t="shared" si="1433"/>
        <v>3</v>
      </c>
      <c r="X1356" s="9">
        <v>3.3064859000000002</v>
      </c>
      <c r="Y1356" s="39"/>
    </row>
    <row r="1357" spans="1:25" ht="15" thickBot="1">
      <c r="A1357" s="29">
        <f t="shared" si="1402"/>
        <v>45892.416666665362</v>
      </c>
      <c r="B1357" s="30">
        <f t="shared" si="1429"/>
        <v>8000</v>
      </c>
      <c r="C1357" s="8">
        <v>25000</v>
      </c>
      <c r="D1357" s="187">
        <v>0</v>
      </c>
      <c r="E1357" s="187">
        <v>700</v>
      </c>
      <c r="F1357" s="187">
        <v>15000</v>
      </c>
      <c r="G1357" s="30">
        <f t="shared" si="1430"/>
        <v>2400</v>
      </c>
      <c r="H1357" s="8">
        <v>25000</v>
      </c>
      <c r="I1357" s="30">
        <f t="shared" si="1431"/>
        <v>8000</v>
      </c>
      <c r="J1357" s="187">
        <v>40000</v>
      </c>
      <c r="K1357" s="30">
        <f t="shared" si="1432"/>
        <v>8000</v>
      </c>
      <c r="L1357" s="187">
        <v>40000</v>
      </c>
      <c r="M1357" s="110">
        <v>9.5</v>
      </c>
      <c r="N1357" s="9">
        <f>VLOOKUP(DATE(YEAR(A1357),MONTH(A1357),DAY(A1357)),FY24_Temp[],3,FALSE)</f>
        <v>14.71</v>
      </c>
      <c r="O1357" s="110">
        <f t="shared" si="1418"/>
        <v>11.5</v>
      </c>
      <c r="P1357" s="110">
        <f t="shared" si="1419"/>
        <v>19.5</v>
      </c>
      <c r="Q1357" s="79">
        <f>VLOOKUP(VLOOKUP(DATEVALUE(TEXT(A1357,"m/d/yyyy")),FY24_Temp[],5,FALSE)&amp;TEXT(A1357,"-h"),TempDelta[],4,FALSE)</f>
        <v>2.0304285798754012</v>
      </c>
      <c r="R1357">
        <v>10</v>
      </c>
      <c r="S1357" s="112">
        <v>1500</v>
      </c>
      <c r="T1357" s="5">
        <f>VLOOKUP(TEXT(A1357,"yy-mm")&amp;"-"&amp;IF(AND(WEEKDAY(A1357)&gt;1,WEEKDAY(A1357)&lt;7),"Wkd",TEXT(A1357,"Ddd"))&amp;"-"&amp;TEXT(A1357,"hh"),LoadTable[],3,FALSE)*0.92</f>
        <v>338.44093501457741</v>
      </c>
      <c r="U1357" s="113">
        <f t="shared" si="1420"/>
        <v>33.844093501457742</v>
      </c>
      <c r="V1357">
        <f t="shared" ref="V1357:W1357" si="1434">V1333</f>
        <v>2.9</v>
      </c>
      <c r="W1357">
        <f t="shared" si="1434"/>
        <v>3</v>
      </c>
      <c r="X1357" s="9">
        <v>3.3682430000000001</v>
      </c>
      <c r="Y1357" s="39"/>
    </row>
    <row r="1358" spans="1:25" ht="15" thickBot="1">
      <c r="A1358" s="29">
        <f t="shared" si="1402"/>
        <v>45892.458333332026</v>
      </c>
      <c r="B1358" s="30">
        <f t="shared" si="1429"/>
        <v>8000</v>
      </c>
      <c r="C1358" s="8">
        <v>25000</v>
      </c>
      <c r="D1358" s="187">
        <v>0</v>
      </c>
      <c r="E1358" s="187">
        <v>700</v>
      </c>
      <c r="F1358" s="187">
        <v>15000</v>
      </c>
      <c r="G1358" s="30">
        <f t="shared" si="1430"/>
        <v>2400</v>
      </c>
      <c r="H1358" s="8">
        <v>25000</v>
      </c>
      <c r="I1358" s="30">
        <f t="shared" si="1431"/>
        <v>8000</v>
      </c>
      <c r="J1358" s="187">
        <v>40000</v>
      </c>
      <c r="K1358" s="30">
        <f t="shared" si="1432"/>
        <v>8000</v>
      </c>
      <c r="L1358" s="187">
        <v>40000</v>
      </c>
      <c r="M1358" s="110">
        <v>9.5</v>
      </c>
      <c r="N1358" s="9">
        <f>VLOOKUP(DATE(YEAR(A1358),MONTH(A1358),DAY(A1358)),FY24_Temp[],3,FALSE)</f>
        <v>14.71</v>
      </c>
      <c r="O1358" s="110">
        <f t="shared" si="1418"/>
        <v>11.5</v>
      </c>
      <c r="P1358" s="110">
        <f t="shared" si="1419"/>
        <v>19.5</v>
      </c>
      <c r="Q1358" s="79">
        <f>VLOOKUP(VLOOKUP(DATEVALUE(TEXT(A1358,"m/d/yyyy")),FY24_Temp[],5,FALSE)&amp;TEXT(A1358,"-h"),TempDelta[],4,FALSE)</f>
        <v>1.7931428466524397</v>
      </c>
      <c r="R1358">
        <v>10</v>
      </c>
      <c r="S1358" s="112">
        <v>1500</v>
      </c>
      <c r="T1358" s="5">
        <f>VLOOKUP(TEXT(A1358,"yy-mm")&amp;"-"&amp;IF(AND(WEEKDAY(A1358)&gt;1,WEEKDAY(A1358)&lt;7),"Wkd",TEXT(A1358,"Ddd"))&amp;"-"&amp;TEXT(A1358,"hh"),LoadTable[],3,FALSE)*0.92</f>
        <v>338.44093501457741</v>
      </c>
      <c r="U1358" s="113">
        <f t="shared" si="1420"/>
        <v>33.844093501457742</v>
      </c>
      <c r="V1358">
        <f t="shared" ref="V1358:W1358" si="1435">V1334</f>
        <v>3.4</v>
      </c>
      <c r="W1358">
        <f t="shared" si="1435"/>
        <v>3</v>
      </c>
      <c r="X1358" s="9">
        <v>3.3145058000000001</v>
      </c>
      <c r="Y1358" s="39"/>
    </row>
    <row r="1359" spans="1:25" ht="15" thickBot="1">
      <c r="A1359" s="29">
        <f t="shared" si="1402"/>
        <v>45892.49999999869</v>
      </c>
      <c r="B1359" s="30">
        <f t="shared" si="1429"/>
        <v>8000</v>
      </c>
      <c r="C1359" s="8">
        <v>25000</v>
      </c>
      <c r="D1359" s="187">
        <v>0</v>
      </c>
      <c r="E1359" s="187">
        <v>700</v>
      </c>
      <c r="F1359" s="187">
        <v>15000</v>
      </c>
      <c r="G1359" s="30">
        <f t="shared" si="1430"/>
        <v>2400</v>
      </c>
      <c r="H1359" s="8">
        <v>25000</v>
      </c>
      <c r="I1359" s="30">
        <f t="shared" si="1431"/>
        <v>8000</v>
      </c>
      <c r="J1359" s="187">
        <v>40000</v>
      </c>
      <c r="K1359" s="30">
        <f t="shared" si="1432"/>
        <v>8000</v>
      </c>
      <c r="L1359" s="187">
        <v>40000</v>
      </c>
      <c r="M1359" s="110">
        <v>9.5</v>
      </c>
      <c r="N1359" s="9">
        <f>VLOOKUP(DATE(YEAR(A1359),MONTH(A1359),DAY(A1359)),FY24_Temp[],3,FALSE)</f>
        <v>14.71</v>
      </c>
      <c r="O1359" s="110">
        <f t="shared" si="1418"/>
        <v>11.5</v>
      </c>
      <c r="P1359" s="110">
        <f t="shared" si="1419"/>
        <v>19.5</v>
      </c>
      <c r="Q1359" s="79">
        <f>VLOOKUP(VLOOKUP(DATEVALUE(TEXT(A1359,"m/d/yyyy")),FY24_Temp[],5,FALSE)&amp;TEXT(A1359,"-h"),TempDelta[],4,FALSE)</f>
        <v>1.5527142797197615</v>
      </c>
      <c r="R1359">
        <v>10</v>
      </c>
      <c r="S1359" s="112">
        <v>1500</v>
      </c>
      <c r="T1359" s="5">
        <f>VLOOKUP(TEXT(A1359,"yy-mm")&amp;"-"&amp;IF(AND(WEEKDAY(A1359)&gt;1,WEEKDAY(A1359)&lt;7),"Wkd",TEXT(A1359,"Ddd"))&amp;"-"&amp;TEXT(A1359,"hh"),LoadTable[],3,FALSE)*0.92</f>
        <v>338.44093501457752</v>
      </c>
      <c r="U1359" s="113">
        <f t="shared" si="1420"/>
        <v>33.844093501457749</v>
      </c>
      <c r="V1359">
        <f t="shared" ref="V1359:W1359" si="1436">V1335</f>
        <v>3.1</v>
      </c>
      <c r="W1359">
        <f t="shared" si="1436"/>
        <v>2.9</v>
      </c>
      <c r="X1359" s="9">
        <v>3.1831577000000002</v>
      </c>
      <c r="Y1359" s="39"/>
    </row>
    <row r="1360" spans="1:25" ht="15" thickBot="1">
      <c r="A1360" s="29">
        <f t="shared" si="1402"/>
        <v>45892.541666665355</v>
      </c>
      <c r="B1360" s="30">
        <f t="shared" si="1429"/>
        <v>8000</v>
      </c>
      <c r="C1360" s="8">
        <v>25000</v>
      </c>
      <c r="D1360" s="187">
        <v>0</v>
      </c>
      <c r="E1360" s="187">
        <v>700</v>
      </c>
      <c r="F1360" s="187">
        <v>15000</v>
      </c>
      <c r="G1360" s="30">
        <f t="shared" si="1430"/>
        <v>2400</v>
      </c>
      <c r="H1360" s="8">
        <v>25000</v>
      </c>
      <c r="I1360" s="30">
        <f t="shared" si="1431"/>
        <v>8000</v>
      </c>
      <c r="J1360" s="187">
        <v>40000</v>
      </c>
      <c r="K1360" s="30">
        <f t="shared" si="1432"/>
        <v>8000</v>
      </c>
      <c r="L1360" s="187">
        <v>40000</v>
      </c>
      <c r="M1360" s="110">
        <v>9.5</v>
      </c>
      <c r="N1360" s="9">
        <f>VLOOKUP(DATE(YEAR(A1360),MONTH(A1360),DAY(A1360)),FY24_Temp[],3,FALSE)</f>
        <v>14.71</v>
      </c>
      <c r="O1360" s="110">
        <f t="shared" si="1418"/>
        <v>11.5</v>
      </c>
      <c r="P1360" s="110">
        <f t="shared" si="1419"/>
        <v>19.5</v>
      </c>
      <c r="Q1360" s="79">
        <f>VLOOKUP(VLOOKUP(DATEVALUE(TEXT(A1360,"m/d/yyyy")),FY24_Temp[],5,FALSE)&amp;TEXT(A1360,"-h"),TempDelta[],4,FALSE)</f>
        <v>1.3120000192097254</v>
      </c>
      <c r="R1360">
        <v>10</v>
      </c>
      <c r="S1360" s="112">
        <v>1500</v>
      </c>
      <c r="T1360" s="5">
        <f>VLOOKUP(TEXT(A1360,"yy-mm")&amp;"-"&amp;IF(AND(WEEKDAY(A1360)&gt;1,WEEKDAY(A1360)&lt;7),"Wkd",TEXT(A1360,"Ddd"))&amp;"-"&amp;TEXT(A1360,"hh"),LoadTable[],3,FALSE)*0.92</f>
        <v>419.45560000000012</v>
      </c>
      <c r="U1360" s="113">
        <f t="shared" si="1420"/>
        <v>41.945560000000015</v>
      </c>
      <c r="V1360">
        <f t="shared" ref="V1360:W1360" si="1437">V1336</f>
        <v>3.2</v>
      </c>
      <c r="W1360">
        <f t="shared" si="1437"/>
        <v>2.9</v>
      </c>
      <c r="X1360" s="9">
        <v>3.0070024000000002</v>
      </c>
      <c r="Y1360" s="39"/>
    </row>
    <row r="1361" spans="1:25" ht="15" thickBot="1">
      <c r="A1361" s="29">
        <f t="shared" si="1402"/>
        <v>45892.583333332019</v>
      </c>
      <c r="B1361" s="30">
        <f t="shared" si="1429"/>
        <v>8000</v>
      </c>
      <c r="C1361" s="8">
        <v>25000</v>
      </c>
      <c r="D1361" s="187">
        <v>0</v>
      </c>
      <c r="E1361" s="187">
        <v>700</v>
      </c>
      <c r="F1361" s="187">
        <v>15000</v>
      </c>
      <c r="G1361" s="30">
        <f t="shared" si="1430"/>
        <v>2400</v>
      </c>
      <c r="H1361" s="8">
        <v>25000</v>
      </c>
      <c r="I1361" s="30">
        <f t="shared" si="1431"/>
        <v>8000</v>
      </c>
      <c r="J1361" s="187">
        <v>40000</v>
      </c>
      <c r="K1361" s="30">
        <f t="shared" si="1432"/>
        <v>8000</v>
      </c>
      <c r="L1361" s="187">
        <v>40000</v>
      </c>
      <c r="M1361" s="110">
        <v>9.5</v>
      </c>
      <c r="N1361" s="9">
        <f>VLOOKUP(DATE(YEAR(A1361),MONTH(A1361),DAY(A1361)),FY24_Temp[],3,FALSE)</f>
        <v>14.71</v>
      </c>
      <c r="O1361" s="110">
        <f t="shared" si="1418"/>
        <v>11.5</v>
      </c>
      <c r="P1361" s="110">
        <f t="shared" si="1419"/>
        <v>19.5</v>
      </c>
      <c r="Q1361" s="79">
        <f>VLOOKUP(VLOOKUP(DATEVALUE(TEXT(A1361,"m/d/yyyy")),FY24_Temp[],5,FALSE)&amp;TEXT(A1361,"-h"),TempDelta[],4,FALSE)</f>
        <v>0.87128572378839764</v>
      </c>
      <c r="R1361">
        <v>10</v>
      </c>
      <c r="S1361" s="112">
        <v>1500</v>
      </c>
      <c r="T1361" s="5">
        <f>VLOOKUP(TEXT(A1361,"yy-mm")&amp;"-"&amp;IF(AND(WEEKDAY(A1361)&gt;1,WEEKDAY(A1361)&lt;7),"Wkd",TEXT(A1361,"Ddd"))&amp;"-"&amp;TEXT(A1361,"hh"),LoadTable[],3,FALSE)*0.92</f>
        <v>602.53744000000006</v>
      </c>
      <c r="U1361" s="113">
        <f t="shared" si="1420"/>
        <v>60.253744000000005</v>
      </c>
      <c r="V1361">
        <f t="shared" ref="V1361:W1361" si="1438">V1337</f>
        <v>3.5</v>
      </c>
      <c r="W1361">
        <f t="shared" si="1438"/>
        <v>2.9</v>
      </c>
      <c r="X1361" s="9">
        <v>2.9982924</v>
      </c>
      <c r="Y1361" s="39"/>
    </row>
    <row r="1362" spans="1:25" ht="15" thickBot="1">
      <c r="A1362" s="29">
        <f t="shared" si="1402"/>
        <v>45892.624999998683</v>
      </c>
      <c r="B1362" s="30">
        <f t="shared" si="1429"/>
        <v>8000</v>
      </c>
      <c r="C1362" s="8">
        <v>25000</v>
      </c>
      <c r="D1362" s="187">
        <v>0</v>
      </c>
      <c r="E1362" s="187">
        <v>700</v>
      </c>
      <c r="F1362" s="187">
        <v>15000</v>
      </c>
      <c r="G1362" s="30">
        <f t="shared" si="1430"/>
        <v>2400</v>
      </c>
      <c r="H1362" s="8">
        <v>25000</v>
      </c>
      <c r="I1362" s="30">
        <f t="shared" si="1431"/>
        <v>8000</v>
      </c>
      <c r="J1362" s="187">
        <v>40000</v>
      </c>
      <c r="K1362" s="30">
        <f t="shared" si="1432"/>
        <v>8000</v>
      </c>
      <c r="L1362" s="187">
        <v>40000</v>
      </c>
      <c r="M1362" s="110">
        <v>9.5</v>
      </c>
      <c r="N1362" s="9">
        <f>VLOOKUP(DATE(YEAR(A1362),MONTH(A1362),DAY(A1362)),FY24_Temp[],3,FALSE)</f>
        <v>14.71</v>
      </c>
      <c r="O1362" s="110">
        <f t="shared" si="1418"/>
        <v>11.5</v>
      </c>
      <c r="P1362" s="110">
        <f t="shared" si="1419"/>
        <v>19.5</v>
      </c>
      <c r="Q1362" s="79">
        <f>VLOOKUP(VLOOKUP(DATEVALUE(TEXT(A1362,"m/d/yyyy")),FY24_Temp[],5,FALSE)&amp;TEXT(A1362,"-h"),TempDelta[],4,FALSE)</f>
        <v>0.66957143161978039</v>
      </c>
      <c r="R1362">
        <v>10</v>
      </c>
      <c r="S1362" s="112">
        <v>1500</v>
      </c>
      <c r="T1362" s="5">
        <f>VLOOKUP(TEXT(A1362,"yy-mm")&amp;"-"&amp;IF(AND(WEEKDAY(A1362)&gt;1,WEEKDAY(A1362)&lt;7),"Wkd",TEXT(A1362,"Ddd"))&amp;"-"&amp;TEXT(A1362,"hh"),LoadTable[],3,FALSE)*0.92</f>
        <v>718.53656000000001</v>
      </c>
      <c r="U1362" s="113">
        <f t="shared" si="1420"/>
        <v>71.853656000000001</v>
      </c>
      <c r="V1362">
        <f t="shared" ref="V1362:W1362" si="1439">V1338</f>
        <v>3.2</v>
      </c>
      <c r="W1362">
        <f t="shared" si="1439"/>
        <v>2.9</v>
      </c>
      <c r="X1362" s="9">
        <v>3.3571078999999999</v>
      </c>
      <c r="Y1362" s="39"/>
    </row>
    <row r="1363" spans="1:25" ht="15" thickBot="1">
      <c r="A1363" s="29">
        <f t="shared" si="1402"/>
        <v>45892.666666665347</v>
      </c>
      <c r="B1363" s="30">
        <f t="shared" si="1429"/>
        <v>8000</v>
      </c>
      <c r="C1363" s="8">
        <v>25000</v>
      </c>
      <c r="D1363" s="187">
        <v>0</v>
      </c>
      <c r="E1363" s="187">
        <v>700</v>
      </c>
      <c r="F1363" s="187">
        <v>15000</v>
      </c>
      <c r="G1363" s="30">
        <f t="shared" si="1430"/>
        <v>2400</v>
      </c>
      <c r="H1363" s="8">
        <v>25000</v>
      </c>
      <c r="I1363" s="30">
        <f t="shared" si="1431"/>
        <v>8000</v>
      </c>
      <c r="J1363" s="187">
        <v>40000</v>
      </c>
      <c r="K1363" s="30">
        <f t="shared" si="1432"/>
        <v>8000</v>
      </c>
      <c r="L1363" s="187">
        <v>40000</v>
      </c>
      <c r="M1363" s="110">
        <v>9.5</v>
      </c>
      <c r="N1363" s="9">
        <f>VLOOKUP(DATE(YEAR(A1363),MONTH(A1363),DAY(A1363)),FY24_Temp[],3,FALSE)</f>
        <v>14.71</v>
      </c>
      <c r="O1363" s="110">
        <f t="shared" si="1418"/>
        <v>11.5</v>
      </c>
      <c r="P1363" s="110">
        <f t="shared" si="1419"/>
        <v>19.5</v>
      </c>
      <c r="Q1363" s="79">
        <f>VLOOKUP(VLOOKUP(DATEVALUE(TEXT(A1363,"m/d/yyyy")),FY24_Temp[],5,FALSE)&amp;TEXT(A1363,"-h"),TempDelta[],4,FALSE)</f>
        <v>0.5316428627286639</v>
      </c>
      <c r="R1363">
        <v>10</v>
      </c>
      <c r="S1363" s="112">
        <v>1500</v>
      </c>
      <c r="T1363" s="5">
        <f>VLOOKUP(TEXT(A1363,"yy-mm")&amp;"-"&amp;IF(AND(WEEKDAY(A1363)&gt;1,WEEKDAY(A1363)&lt;7),"Wkd",TEXT(A1363,"Ddd"))&amp;"-"&amp;TEXT(A1363,"hh"),LoadTable[],3,FALSE)*0.92</f>
        <v>786.27137399656624</v>
      </c>
      <c r="U1363" s="113">
        <f t="shared" si="1420"/>
        <v>78.627137399656618</v>
      </c>
      <c r="V1363">
        <f t="shared" ref="V1363:W1363" si="1440">V1339</f>
        <v>3.5</v>
      </c>
      <c r="W1363">
        <f t="shared" si="1440"/>
        <v>3</v>
      </c>
      <c r="X1363" s="9">
        <v>3.2602608000000002</v>
      </c>
      <c r="Y1363" s="39"/>
    </row>
    <row r="1364" spans="1:25" ht="15" thickBot="1">
      <c r="A1364" s="29">
        <f t="shared" si="1402"/>
        <v>45892.708333332012</v>
      </c>
      <c r="B1364" s="30">
        <f t="shared" si="1429"/>
        <v>8000</v>
      </c>
      <c r="C1364" s="8">
        <v>25000</v>
      </c>
      <c r="D1364" s="187">
        <v>0</v>
      </c>
      <c r="E1364" s="187">
        <v>700</v>
      </c>
      <c r="F1364" s="187">
        <v>15000</v>
      </c>
      <c r="G1364" s="30">
        <f t="shared" si="1430"/>
        <v>2400</v>
      </c>
      <c r="H1364" s="8">
        <v>25000</v>
      </c>
      <c r="I1364" s="30">
        <f t="shared" si="1431"/>
        <v>8000</v>
      </c>
      <c r="J1364" s="187">
        <v>40000</v>
      </c>
      <c r="K1364" s="30">
        <f t="shared" si="1432"/>
        <v>8000</v>
      </c>
      <c r="L1364" s="187">
        <v>40000</v>
      </c>
      <c r="M1364" s="110">
        <v>9.5</v>
      </c>
      <c r="N1364" s="9">
        <f>VLOOKUP(DATE(YEAR(A1364),MONTH(A1364),DAY(A1364)),FY24_Temp[],3,FALSE)</f>
        <v>14.71</v>
      </c>
      <c r="O1364" s="110">
        <f t="shared" si="1418"/>
        <v>11.5</v>
      </c>
      <c r="P1364" s="110">
        <f t="shared" si="1419"/>
        <v>19.5</v>
      </c>
      <c r="Q1364" s="79">
        <f>VLOOKUP(VLOOKUP(DATEVALUE(TEXT(A1364,"m/d/yyyy")),FY24_Temp[],5,FALSE)&amp;TEXT(A1364,"-h"),TempDelta[],4,FALSE)</f>
        <v>0.55664285378796718</v>
      </c>
      <c r="R1364">
        <v>10</v>
      </c>
      <c r="S1364" s="112">
        <v>1500</v>
      </c>
      <c r="T1364" s="5">
        <f>VLOOKUP(TEXT(A1364,"yy-mm")&amp;"-"&amp;IF(AND(WEEKDAY(A1364)&gt;1,WEEKDAY(A1364)&lt;7),"Wkd",TEXT(A1364,"Ddd"))&amp;"-"&amp;TEXT(A1364,"hh"),LoadTable[],3,FALSE)*0.92</f>
        <v>786.27137399656624</v>
      </c>
      <c r="U1364" s="113">
        <f t="shared" si="1420"/>
        <v>78.627137399656618</v>
      </c>
      <c r="V1364">
        <f t="shared" ref="V1364:W1364" si="1441">V1340</f>
        <v>3.6</v>
      </c>
      <c r="W1364">
        <f t="shared" si="1441"/>
        <v>3</v>
      </c>
      <c r="X1364" s="9">
        <v>3.1825820999999999</v>
      </c>
      <c r="Y1364" s="39"/>
    </row>
    <row r="1365" spans="1:25" ht="15" thickBot="1">
      <c r="A1365" s="29">
        <f t="shared" si="1402"/>
        <v>45892.749999998676</v>
      </c>
      <c r="B1365" s="30">
        <f t="shared" si="1429"/>
        <v>5000</v>
      </c>
      <c r="C1365" s="8">
        <v>25000</v>
      </c>
      <c r="D1365" s="187">
        <v>0</v>
      </c>
      <c r="E1365" s="187">
        <v>700</v>
      </c>
      <c r="F1365" s="187">
        <v>15000</v>
      </c>
      <c r="G1365" s="30">
        <f t="shared" si="1430"/>
        <v>2400</v>
      </c>
      <c r="H1365" s="8">
        <v>25000</v>
      </c>
      <c r="I1365" s="30">
        <f t="shared" si="1431"/>
        <v>5000</v>
      </c>
      <c r="J1365" s="187">
        <v>40000</v>
      </c>
      <c r="K1365" s="30">
        <f t="shared" si="1432"/>
        <v>5000</v>
      </c>
      <c r="L1365" s="187">
        <v>40000</v>
      </c>
      <c r="M1365" s="110">
        <v>9.5</v>
      </c>
      <c r="N1365" s="9">
        <f>VLOOKUP(DATE(YEAR(A1365),MONTH(A1365),DAY(A1365)),FY24_Temp[],3,FALSE)</f>
        <v>14.71</v>
      </c>
      <c r="O1365" s="110">
        <f t="shared" si="1418"/>
        <v>11.5</v>
      </c>
      <c r="P1365" s="110">
        <f t="shared" si="1419"/>
        <v>19.5</v>
      </c>
      <c r="Q1365" s="79">
        <f>VLOOKUP(VLOOKUP(DATEVALUE(TEXT(A1365,"m/d/yyyy")),FY24_Temp[],5,FALSE)&amp;TEXT(A1365,"-h"),TempDelta[],4,FALSE)</f>
        <v>0.75757142049925663</v>
      </c>
      <c r="R1365">
        <v>10</v>
      </c>
      <c r="S1365" s="112">
        <v>1500</v>
      </c>
      <c r="T1365" s="5">
        <f>VLOOKUP(TEXT(A1365,"yy-mm")&amp;"-"&amp;IF(AND(WEEKDAY(A1365)&gt;1,WEEKDAY(A1365)&lt;7),"Wkd",TEXT(A1365,"Ddd"))&amp;"-"&amp;TEXT(A1365,"hh"),LoadTable[],3,FALSE)*0.92</f>
        <v>786.27137399656647</v>
      </c>
      <c r="U1365" s="113">
        <f t="shared" si="1420"/>
        <v>78.627137399656647</v>
      </c>
      <c r="V1365">
        <f t="shared" ref="V1365:W1365" si="1442">V1341</f>
        <v>2.9</v>
      </c>
      <c r="W1365">
        <f t="shared" si="1442"/>
        <v>3</v>
      </c>
      <c r="X1365" s="9">
        <v>3.1718544999999998</v>
      </c>
      <c r="Y1365" s="39"/>
    </row>
    <row r="1366" spans="1:25" ht="15" thickBot="1">
      <c r="A1366" s="29">
        <f t="shared" si="1402"/>
        <v>45892.79166666534</v>
      </c>
      <c r="B1366" s="30">
        <f t="shared" si="1429"/>
        <v>5000</v>
      </c>
      <c r="C1366" s="8">
        <v>25000</v>
      </c>
      <c r="D1366" s="187">
        <v>0</v>
      </c>
      <c r="E1366" s="187">
        <v>700</v>
      </c>
      <c r="F1366" s="187">
        <v>15000</v>
      </c>
      <c r="G1366" s="30">
        <f t="shared" si="1430"/>
        <v>2400</v>
      </c>
      <c r="H1366" s="8">
        <v>25000</v>
      </c>
      <c r="I1366" s="30">
        <f t="shared" si="1431"/>
        <v>5000</v>
      </c>
      <c r="J1366" s="187">
        <v>40000</v>
      </c>
      <c r="K1366" s="30">
        <f t="shared" si="1432"/>
        <v>5000</v>
      </c>
      <c r="L1366" s="187">
        <v>40000</v>
      </c>
      <c r="M1366" s="110">
        <v>9.5</v>
      </c>
      <c r="N1366" s="9">
        <f>VLOOKUP(DATE(YEAR(A1366),MONTH(A1366),DAY(A1366)),FY24_Temp[],3,FALSE)</f>
        <v>14.71</v>
      </c>
      <c r="O1366" s="110">
        <f t="shared" si="1418"/>
        <v>11.5</v>
      </c>
      <c r="P1366" s="110">
        <f t="shared" si="1419"/>
        <v>19.5</v>
      </c>
      <c r="Q1366" s="79">
        <f>VLOOKUP(VLOOKUP(DATEVALUE(TEXT(A1366,"m/d/yyyy")),FY24_Temp[],5,FALSE)&amp;TEXT(A1366,"-h"),TempDelta[],4,FALSE)</f>
        <v>1.0640714168548584</v>
      </c>
      <c r="R1366">
        <v>10</v>
      </c>
      <c r="S1366" s="112">
        <v>1500</v>
      </c>
      <c r="T1366" s="5">
        <f>VLOOKUP(TEXT(A1366,"yy-mm")&amp;"-"&amp;IF(AND(WEEKDAY(A1366)&gt;1,WEEKDAY(A1366)&lt;7),"Wkd",TEXT(A1366,"Ddd"))&amp;"-"&amp;TEXT(A1366,"hh"),LoadTable[],3,FALSE)*0.92</f>
        <v>786.27137399656624</v>
      </c>
      <c r="U1366" s="113">
        <f t="shared" si="1420"/>
        <v>78.627137399656618</v>
      </c>
      <c r="V1366">
        <f t="shared" ref="V1366:W1366" si="1443">V1342</f>
        <v>3</v>
      </c>
      <c r="W1366">
        <f t="shared" si="1443"/>
        <v>3</v>
      </c>
      <c r="X1366" s="9">
        <v>3.1364779</v>
      </c>
      <c r="Y1366" s="39"/>
    </row>
    <row r="1367" spans="1:25" ht="15" thickBot="1">
      <c r="A1367" s="29">
        <f t="shared" si="1402"/>
        <v>45892.833333332004</v>
      </c>
      <c r="B1367" s="30">
        <f t="shared" si="1429"/>
        <v>5000</v>
      </c>
      <c r="C1367" s="8">
        <v>25000</v>
      </c>
      <c r="D1367" s="187">
        <v>0</v>
      </c>
      <c r="E1367" s="187">
        <v>700</v>
      </c>
      <c r="F1367" s="187">
        <v>15000</v>
      </c>
      <c r="G1367" s="30">
        <f t="shared" si="1430"/>
        <v>2400</v>
      </c>
      <c r="H1367" s="8">
        <v>25000</v>
      </c>
      <c r="I1367" s="30">
        <f t="shared" si="1431"/>
        <v>5000</v>
      </c>
      <c r="J1367" s="187">
        <v>40000</v>
      </c>
      <c r="K1367" s="30">
        <f t="shared" si="1432"/>
        <v>5000</v>
      </c>
      <c r="L1367" s="187">
        <v>40000</v>
      </c>
      <c r="M1367" s="110">
        <v>9.5</v>
      </c>
      <c r="N1367" s="9">
        <f>VLOOKUP(DATE(YEAR(A1367),MONTH(A1367),DAY(A1367)),FY24_Temp[],3,FALSE)</f>
        <v>14.71</v>
      </c>
      <c r="O1367" s="110">
        <f t="shared" si="1418"/>
        <v>11.5</v>
      </c>
      <c r="P1367" s="110">
        <f t="shared" si="1419"/>
        <v>19.5</v>
      </c>
      <c r="Q1367" s="79">
        <f>VLOOKUP(VLOOKUP(DATEVALUE(TEXT(A1367,"m/d/yyyy")),FY24_Temp[],5,FALSE)&amp;TEXT(A1367,"-h"),TempDelta[],4,FALSE)</f>
        <v>1.4742142728396825</v>
      </c>
      <c r="R1367">
        <v>10</v>
      </c>
      <c r="S1367" s="112">
        <v>1500</v>
      </c>
      <c r="T1367" s="5">
        <f>VLOOKUP(TEXT(A1367,"yy-mm")&amp;"-"&amp;IF(AND(WEEKDAY(A1367)&gt;1,WEEKDAY(A1367)&lt;7),"Wkd",TEXT(A1367,"Ddd"))&amp;"-"&amp;TEXT(A1367,"hh"),LoadTable[],3,FALSE)*0.92</f>
        <v>777.64820632864951</v>
      </c>
      <c r="U1367" s="113">
        <f t="shared" si="1420"/>
        <v>77.764820632864954</v>
      </c>
      <c r="V1367">
        <f t="shared" ref="V1367:W1367" si="1444">V1343</f>
        <v>2.8</v>
      </c>
      <c r="W1367">
        <f t="shared" si="1444"/>
        <v>3.1</v>
      </c>
      <c r="X1367" s="9">
        <v>3.0999582000000001</v>
      </c>
      <c r="Y1367" s="39"/>
    </row>
    <row r="1368" spans="1:25" ht="15" thickBot="1">
      <c r="A1368" s="29">
        <f t="shared" si="1402"/>
        <v>45892.874999998668</v>
      </c>
      <c r="B1368" s="30">
        <f t="shared" si="1429"/>
        <v>5000</v>
      </c>
      <c r="C1368" s="8">
        <v>25000</v>
      </c>
      <c r="D1368" s="187">
        <v>0</v>
      </c>
      <c r="E1368" s="187">
        <v>700</v>
      </c>
      <c r="F1368" s="187">
        <v>15000</v>
      </c>
      <c r="G1368" s="30">
        <f t="shared" si="1430"/>
        <v>2400</v>
      </c>
      <c r="H1368" s="8">
        <v>25000</v>
      </c>
      <c r="I1368" s="30">
        <f t="shared" si="1431"/>
        <v>5000</v>
      </c>
      <c r="J1368" s="187">
        <v>40000</v>
      </c>
      <c r="K1368" s="30">
        <f t="shared" si="1432"/>
        <v>5000</v>
      </c>
      <c r="L1368" s="187">
        <v>40000</v>
      </c>
      <c r="M1368" s="110">
        <v>9.5</v>
      </c>
      <c r="N1368" s="9">
        <f>VLOOKUP(DATE(YEAR(A1368),MONTH(A1368),DAY(A1368)),FY24_Temp[],3,FALSE)</f>
        <v>14.71</v>
      </c>
      <c r="O1368" s="110">
        <f t="shared" si="1418"/>
        <v>11.5</v>
      </c>
      <c r="P1368" s="110">
        <f t="shared" si="1419"/>
        <v>19.5</v>
      </c>
      <c r="Q1368" s="79">
        <f>VLOOKUP(VLOOKUP(DATEVALUE(TEXT(A1368,"m/d/yyyy")),FY24_Temp[],5,FALSE)&amp;TEXT(A1368,"-h"),TempDelta[],4,FALSE)</f>
        <v>1.7937857168061393</v>
      </c>
      <c r="R1368">
        <v>10</v>
      </c>
      <c r="S1368" s="112">
        <v>1500</v>
      </c>
      <c r="T1368" s="5">
        <f>VLOOKUP(TEXT(A1368,"yy-mm")&amp;"-"&amp;IF(AND(WEEKDAY(A1368)&gt;1,WEEKDAY(A1368)&lt;7),"Wkd",TEXT(A1368,"Ddd"))&amp;"-"&amp;TEXT(A1368,"hh"),LoadTable[],3,FALSE)*0.92</f>
        <v>646.6971562116064</v>
      </c>
      <c r="U1368" s="113">
        <f t="shared" si="1420"/>
        <v>64.669715621160634</v>
      </c>
      <c r="V1368">
        <f t="shared" ref="V1368:W1368" si="1445">V1344</f>
        <v>3.5</v>
      </c>
      <c r="W1368">
        <f t="shared" si="1445"/>
        <v>3.1</v>
      </c>
      <c r="X1368" s="9">
        <v>3.0655272</v>
      </c>
      <c r="Y1368" s="39"/>
    </row>
    <row r="1369" spans="1:25" ht="15" thickBot="1">
      <c r="A1369" s="29">
        <f t="shared" si="1402"/>
        <v>45892.916666665333</v>
      </c>
      <c r="B1369" s="30">
        <f t="shared" si="1429"/>
        <v>5000</v>
      </c>
      <c r="C1369" s="8">
        <v>25000</v>
      </c>
      <c r="D1369" s="187">
        <v>0</v>
      </c>
      <c r="E1369" s="187">
        <v>700</v>
      </c>
      <c r="F1369" s="187">
        <v>15000</v>
      </c>
      <c r="G1369" s="30">
        <f t="shared" si="1430"/>
        <v>2400</v>
      </c>
      <c r="H1369" s="8">
        <v>25000</v>
      </c>
      <c r="I1369" s="30">
        <f t="shared" si="1431"/>
        <v>5000</v>
      </c>
      <c r="J1369" s="187">
        <v>40000</v>
      </c>
      <c r="K1369" s="30">
        <f t="shared" si="1432"/>
        <v>5000</v>
      </c>
      <c r="L1369" s="187">
        <v>40000</v>
      </c>
      <c r="M1369" s="110">
        <v>9.5</v>
      </c>
      <c r="N1369" s="9">
        <f>VLOOKUP(DATE(YEAR(A1369),MONTH(A1369),DAY(A1369)),FY24_Temp[],3,FALSE)</f>
        <v>14.71</v>
      </c>
      <c r="O1369" s="110">
        <f t="shared" si="1418"/>
        <v>11.5</v>
      </c>
      <c r="P1369" s="110">
        <f t="shared" si="1419"/>
        <v>19.5</v>
      </c>
      <c r="Q1369" s="79">
        <f>VLOOKUP(VLOOKUP(DATEVALUE(TEXT(A1369,"m/d/yyyy")),FY24_Temp[],5,FALSE)&amp;TEXT(A1369,"-h"),TempDelta[],4,FALSE)</f>
        <v>2.1767142840794156</v>
      </c>
      <c r="R1369">
        <v>10</v>
      </c>
      <c r="S1369" s="112">
        <v>1500</v>
      </c>
      <c r="T1369" s="5">
        <f>VLOOKUP(TEXT(A1369,"yy-mm")&amp;"-"&amp;IF(AND(WEEKDAY(A1369)&gt;1,WEEKDAY(A1369)&lt;7),"Wkd",TEXT(A1369,"Ddd"))&amp;"-"&amp;TEXT(A1369,"hh"),LoadTable[],3,FALSE)*0.92</f>
        <v>584.81792964989802</v>
      </c>
      <c r="U1369" s="113">
        <f t="shared" si="1420"/>
        <v>58.481792964989801</v>
      </c>
      <c r="V1369">
        <f t="shared" ref="V1369:W1369" si="1446">V1345</f>
        <v>2.9</v>
      </c>
      <c r="W1369">
        <f t="shared" si="1446"/>
        <v>3.1</v>
      </c>
      <c r="X1369" s="9">
        <v>3.0289983999999999</v>
      </c>
      <c r="Y1369" s="39"/>
    </row>
    <row r="1370" spans="1:25" ht="15" thickBot="1">
      <c r="A1370" s="29">
        <f t="shared" si="1402"/>
        <v>45892.958333331997</v>
      </c>
      <c r="B1370" s="30">
        <f t="shared" si="1429"/>
        <v>5000</v>
      </c>
      <c r="C1370" s="8">
        <v>25000</v>
      </c>
      <c r="D1370" s="187">
        <v>0</v>
      </c>
      <c r="E1370" s="187">
        <v>700</v>
      </c>
      <c r="F1370" s="187">
        <v>15000</v>
      </c>
      <c r="G1370" s="30">
        <f t="shared" si="1430"/>
        <v>2400</v>
      </c>
      <c r="H1370" s="8">
        <v>25000</v>
      </c>
      <c r="I1370" s="30">
        <f t="shared" si="1431"/>
        <v>5000</v>
      </c>
      <c r="J1370" s="187">
        <v>40000</v>
      </c>
      <c r="K1370" s="30">
        <f t="shared" si="1432"/>
        <v>5000</v>
      </c>
      <c r="L1370" s="187">
        <v>40000</v>
      </c>
      <c r="M1370" s="110">
        <v>9.5</v>
      </c>
      <c r="N1370" s="9">
        <f>VLOOKUP(DATE(YEAR(A1370),MONTH(A1370),DAY(A1370)),FY24_Temp[],3,FALSE)</f>
        <v>14.71</v>
      </c>
      <c r="O1370" s="110">
        <f t="shared" si="1418"/>
        <v>11.5</v>
      </c>
      <c r="P1370" s="110">
        <f t="shared" si="1419"/>
        <v>19.5</v>
      </c>
      <c r="Q1370" s="79">
        <f>VLOOKUP(VLOOKUP(DATEVALUE(TEXT(A1370,"m/d/yyyy")),FY24_Temp[],5,FALSE)&amp;TEXT(A1370,"-h"),TempDelta[],4,FALSE)</f>
        <v>2.3071428367069791</v>
      </c>
      <c r="R1370">
        <v>10</v>
      </c>
      <c r="S1370" s="112">
        <v>1500</v>
      </c>
      <c r="T1370" s="5">
        <f>VLOOKUP(TEXT(A1370,"yy-mm")&amp;"-"&amp;IF(AND(WEEKDAY(A1370)&gt;1,WEEKDAY(A1370)&lt;7),"Wkd",TEXT(A1370,"Ddd"))&amp;"-"&amp;TEXT(A1370,"hh"),LoadTable[],3,FALSE)*0.92</f>
        <v>476.19660000000005</v>
      </c>
      <c r="U1370" s="113">
        <f t="shared" si="1420"/>
        <v>47.619660000000003</v>
      </c>
      <c r="V1370">
        <f t="shared" ref="V1370:W1370" si="1447">V1346</f>
        <v>3.6</v>
      </c>
      <c r="W1370">
        <f t="shared" si="1447"/>
        <v>3.1</v>
      </c>
      <c r="X1370" s="9">
        <v>2.9247817999999999</v>
      </c>
      <c r="Y1370" s="39"/>
    </row>
    <row r="1371" spans="1:25" ht="15" thickBot="1">
      <c r="A1371" s="29">
        <f t="shared" si="1402"/>
        <v>45892.999999998661</v>
      </c>
      <c r="B1371" s="30">
        <f t="shared" si="1429"/>
        <v>5000</v>
      </c>
      <c r="C1371" s="8">
        <v>25000</v>
      </c>
      <c r="D1371" s="187">
        <v>0</v>
      </c>
      <c r="E1371" s="187">
        <v>700</v>
      </c>
      <c r="F1371" s="187">
        <v>15000</v>
      </c>
      <c r="G1371" s="30">
        <f t="shared" si="1430"/>
        <v>2400</v>
      </c>
      <c r="H1371" s="8">
        <v>25000</v>
      </c>
      <c r="I1371" s="30">
        <f t="shared" si="1431"/>
        <v>5000</v>
      </c>
      <c r="J1371" s="187">
        <v>40000</v>
      </c>
      <c r="K1371" s="30">
        <f t="shared" si="1432"/>
        <v>5000</v>
      </c>
      <c r="L1371" s="187">
        <v>40000</v>
      </c>
      <c r="M1371" s="110">
        <v>9.5</v>
      </c>
      <c r="N1371" s="9">
        <f>VLOOKUP(DATE(YEAR(A1371),MONTH(A1371),DAY(A1371)),FY24_Temp[],3,FALSE)</f>
        <v>14.71</v>
      </c>
      <c r="O1371" s="110">
        <f t="shared" si="1418"/>
        <v>11.5</v>
      </c>
      <c r="P1371" s="110">
        <f t="shared" si="1419"/>
        <v>19.5</v>
      </c>
      <c r="Q1371" s="79">
        <f>VLOOKUP(VLOOKUP(DATEVALUE(TEXT(A1371,"m/d/yyyy")),FY24_Temp[],5,FALSE)&amp;TEXT(A1371,"-h"),TempDelta[],4,FALSE)</f>
        <v>2.2534285613468716</v>
      </c>
      <c r="R1371">
        <v>10</v>
      </c>
      <c r="S1371" s="112">
        <v>1500</v>
      </c>
      <c r="T1371" s="5">
        <f>VLOOKUP(TEXT(A1371,"yy-mm")&amp;"-"&amp;IF(AND(WEEKDAY(A1371)&gt;1,WEEKDAY(A1371)&lt;7),"Wkd",TEXT(A1371,"Ddd"))&amp;"-"&amp;TEXT(A1371,"hh"),LoadTable[],3,FALSE)*0.92</f>
        <v>356.57820000000004</v>
      </c>
      <c r="U1371" s="113">
        <f t="shared" si="1420"/>
        <v>35.657820000000001</v>
      </c>
      <c r="V1371">
        <f t="shared" ref="V1371:W1371" si="1448">V1347</f>
        <v>3</v>
      </c>
      <c r="W1371">
        <f t="shared" si="1448"/>
        <v>3.2</v>
      </c>
      <c r="X1371" s="9">
        <v>2.8429899000000001</v>
      </c>
      <c r="Y1371" s="39"/>
    </row>
    <row r="1372" spans="1:25" ht="15" thickBot="1">
      <c r="A1372" s="29">
        <f t="shared" si="1402"/>
        <v>45893.041666665325</v>
      </c>
      <c r="B1372" s="30">
        <f t="shared" si="1429"/>
        <v>5000</v>
      </c>
      <c r="C1372" s="8">
        <v>25000</v>
      </c>
      <c r="D1372" s="187">
        <v>0</v>
      </c>
      <c r="E1372" s="187">
        <v>700</v>
      </c>
      <c r="F1372" s="187">
        <v>15000</v>
      </c>
      <c r="G1372" s="30">
        <f t="shared" si="1430"/>
        <v>2400</v>
      </c>
      <c r="H1372" s="8">
        <v>25000</v>
      </c>
      <c r="I1372" s="30">
        <f t="shared" si="1431"/>
        <v>5000</v>
      </c>
      <c r="J1372" s="187">
        <v>40000</v>
      </c>
      <c r="K1372" s="30">
        <f t="shared" si="1432"/>
        <v>5000</v>
      </c>
      <c r="L1372" s="187">
        <v>40000</v>
      </c>
      <c r="M1372" s="110">
        <v>9.5</v>
      </c>
      <c r="N1372" s="9">
        <f>VLOOKUP(DATE(YEAR(A1372),MONTH(A1372),DAY(A1372)),FY24_Temp[],3,FALSE)</f>
        <v>14.71</v>
      </c>
      <c r="O1372" s="110">
        <f t="shared" si="1418"/>
        <v>11.5</v>
      </c>
      <c r="P1372" s="110">
        <f t="shared" si="1419"/>
        <v>19.5</v>
      </c>
      <c r="Q1372" s="79">
        <f>VLOOKUP(VLOOKUP(DATEVALUE(TEXT(A1372,"m/d/yyyy")),FY24_Temp[],5,FALSE)&amp;TEXT(A1372,"-h"),TempDelta[],4,FALSE)</f>
        <v>2.5014285700661794</v>
      </c>
      <c r="R1372">
        <v>10</v>
      </c>
      <c r="S1372" s="112">
        <v>1500</v>
      </c>
      <c r="T1372" s="5">
        <f>VLOOKUP(TEXT(A1372,"yy-mm")&amp;"-"&amp;IF(AND(WEEKDAY(A1372)&gt;1,WEEKDAY(A1372)&lt;7),"Wkd",TEXT(A1372,"Ddd"))&amp;"-"&amp;TEXT(A1372,"hh"),LoadTable[],3,FALSE)*0.92</f>
        <v>347.99644000000006</v>
      </c>
      <c r="U1372" s="113">
        <f t="shared" si="1420"/>
        <v>34.799644000000008</v>
      </c>
      <c r="V1372">
        <f t="shared" ref="V1372:W1372" si="1449">V1348</f>
        <v>2.6</v>
      </c>
      <c r="W1372">
        <f t="shared" si="1449"/>
        <v>3.2</v>
      </c>
      <c r="X1372" s="9">
        <v>2.7882495</v>
      </c>
      <c r="Y1372" s="39"/>
    </row>
    <row r="1373" spans="1:25" ht="15" thickBot="1">
      <c r="A1373" s="29">
        <f t="shared" si="1402"/>
        <v>45893.08333333199</v>
      </c>
      <c r="B1373" s="30">
        <f t="shared" si="1429"/>
        <v>5000</v>
      </c>
      <c r="C1373" s="8">
        <v>25000</v>
      </c>
      <c r="D1373" s="187">
        <v>0</v>
      </c>
      <c r="E1373" s="187">
        <v>700</v>
      </c>
      <c r="F1373" s="187">
        <v>15000</v>
      </c>
      <c r="G1373" s="30">
        <f t="shared" si="1430"/>
        <v>2400</v>
      </c>
      <c r="H1373" s="8">
        <v>25000</v>
      </c>
      <c r="I1373" s="30">
        <f t="shared" si="1431"/>
        <v>5000</v>
      </c>
      <c r="J1373" s="187">
        <v>40000</v>
      </c>
      <c r="K1373" s="30">
        <f t="shared" si="1432"/>
        <v>5000</v>
      </c>
      <c r="L1373" s="187">
        <v>40000</v>
      </c>
      <c r="M1373" s="110">
        <v>9.5</v>
      </c>
      <c r="N1373" s="9">
        <f>VLOOKUP(DATE(YEAR(A1373),MONTH(A1373),DAY(A1373)),FY24_Temp[],3,FALSE)</f>
        <v>14.71</v>
      </c>
      <c r="O1373" s="110">
        <f t="shared" si="1418"/>
        <v>11.5</v>
      </c>
      <c r="P1373" s="110">
        <f t="shared" si="1419"/>
        <v>19.5</v>
      </c>
      <c r="Q1373" s="79">
        <f>VLOOKUP(VLOOKUP(DATEVALUE(TEXT(A1373,"m/d/yyyy")),FY24_Temp[],5,FALSE)&amp;TEXT(A1373,"-h"),TempDelta[],4,FALSE)</f>
        <v>2.5255714144025529</v>
      </c>
      <c r="R1373">
        <v>10</v>
      </c>
      <c r="S1373" s="112">
        <v>1500</v>
      </c>
      <c r="T1373" s="5">
        <f>VLOOKUP(TEXT(A1373,"yy-mm")&amp;"-"&amp;IF(AND(WEEKDAY(A1373)&gt;1,WEEKDAY(A1373)&lt;7),"Wkd",TEXT(A1373,"Ddd"))&amp;"-"&amp;TEXT(A1373,"hh"),LoadTable[],3,FALSE)*0.92</f>
        <v>341.29148000000004</v>
      </c>
      <c r="U1373" s="113">
        <f t="shared" si="1420"/>
        <v>34.129148000000001</v>
      </c>
      <c r="V1373">
        <f t="shared" ref="V1373:W1373" si="1450">V1349</f>
        <v>2.8</v>
      </c>
      <c r="W1373">
        <f t="shared" si="1450"/>
        <v>3.2</v>
      </c>
      <c r="X1373" s="9">
        <v>2.8574746000000002</v>
      </c>
      <c r="Y1373" s="39"/>
    </row>
    <row r="1374" spans="1:25" ht="15" thickBot="1">
      <c r="A1374" s="29">
        <f t="shared" si="1402"/>
        <v>45893.124999998654</v>
      </c>
      <c r="B1374" s="30">
        <f t="shared" si="1429"/>
        <v>5000</v>
      </c>
      <c r="C1374" s="8">
        <v>25000</v>
      </c>
      <c r="D1374" s="187">
        <v>0</v>
      </c>
      <c r="E1374" s="187">
        <v>700</v>
      </c>
      <c r="F1374" s="187">
        <v>15000</v>
      </c>
      <c r="G1374" s="30">
        <f t="shared" si="1430"/>
        <v>2400</v>
      </c>
      <c r="H1374" s="8">
        <v>25000</v>
      </c>
      <c r="I1374" s="30">
        <f t="shared" si="1431"/>
        <v>5000</v>
      </c>
      <c r="J1374" s="187">
        <v>40000</v>
      </c>
      <c r="K1374" s="30">
        <f t="shared" si="1432"/>
        <v>5000</v>
      </c>
      <c r="L1374" s="187">
        <v>40000</v>
      </c>
      <c r="M1374" s="110">
        <v>9.5</v>
      </c>
      <c r="N1374" s="9">
        <f>VLOOKUP(DATE(YEAR(A1374),MONTH(A1374),DAY(A1374)),FY24_Temp[],3,FALSE)</f>
        <v>14.71</v>
      </c>
      <c r="O1374" s="110">
        <f t="shared" si="1418"/>
        <v>11.5</v>
      </c>
      <c r="P1374" s="110">
        <f t="shared" si="1419"/>
        <v>19.5</v>
      </c>
      <c r="Q1374" s="79">
        <f>VLOOKUP(VLOOKUP(DATEVALUE(TEXT(A1374,"m/d/yyyy")),FY24_Temp[],5,FALSE)&amp;TEXT(A1374,"-h"),TempDelta[],4,FALSE)</f>
        <v>2.5220000403267995</v>
      </c>
      <c r="R1374">
        <v>10</v>
      </c>
      <c r="S1374" s="112">
        <v>1500</v>
      </c>
      <c r="T1374" s="5">
        <f>VLOOKUP(TEXT(A1374,"yy-mm")&amp;"-"&amp;IF(AND(WEEKDAY(A1374)&gt;1,WEEKDAY(A1374)&lt;7),"Wkd",TEXT(A1374,"Ddd"))&amp;"-"&amp;TEXT(A1374,"hh"),LoadTable[],3,FALSE)*0.92</f>
        <v>341.29148000000004</v>
      </c>
      <c r="U1374" s="113">
        <f t="shared" si="1420"/>
        <v>34.129148000000001</v>
      </c>
      <c r="V1374">
        <f t="shared" ref="V1374:W1374" si="1451">V1350</f>
        <v>2.7</v>
      </c>
      <c r="W1374">
        <f t="shared" si="1451"/>
        <v>3.2</v>
      </c>
      <c r="X1374" s="9">
        <v>2.9044726000000001</v>
      </c>
      <c r="Y1374" s="39"/>
    </row>
    <row r="1375" spans="1:25" ht="15" thickBot="1">
      <c r="A1375" s="29">
        <f t="shared" si="1402"/>
        <v>45893.166666665318</v>
      </c>
      <c r="B1375" s="30">
        <f t="shared" si="1429"/>
        <v>5000</v>
      </c>
      <c r="C1375" s="8">
        <v>25000</v>
      </c>
      <c r="D1375" s="187">
        <v>0</v>
      </c>
      <c r="E1375" s="187">
        <v>700</v>
      </c>
      <c r="F1375" s="187">
        <v>15000</v>
      </c>
      <c r="G1375" s="30">
        <f t="shared" si="1430"/>
        <v>2400</v>
      </c>
      <c r="H1375" s="8">
        <v>25000</v>
      </c>
      <c r="I1375" s="30">
        <f t="shared" si="1431"/>
        <v>5000</v>
      </c>
      <c r="J1375" s="187">
        <v>40000</v>
      </c>
      <c r="K1375" s="30">
        <f t="shared" si="1432"/>
        <v>5000</v>
      </c>
      <c r="L1375" s="187">
        <v>40000</v>
      </c>
      <c r="M1375" s="110">
        <v>9.5</v>
      </c>
      <c r="N1375" s="9">
        <f>VLOOKUP(DATE(YEAR(A1375),MONTH(A1375),DAY(A1375)),FY24_Temp[],3,FALSE)</f>
        <v>14.71</v>
      </c>
      <c r="O1375" s="110">
        <f t="shared" si="1418"/>
        <v>11.5</v>
      </c>
      <c r="P1375" s="110">
        <f t="shared" si="1419"/>
        <v>19.5</v>
      </c>
      <c r="Q1375" s="79">
        <f>VLOOKUP(VLOOKUP(DATEVALUE(TEXT(A1375,"m/d/yyyy")),FY24_Temp[],5,FALSE)&amp;TEXT(A1375,"-h"),TempDelta[],4,FALSE)</f>
        <v>2.5181428364345004</v>
      </c>
      <c r="R1375">
        <v>10</v>
      </c>
      <c r="S1375" s="112">
        <v>1500</v>
      </c>
      <c r="T1375" s="5">
        <f>VLOOKUP(TEXT(A1375,"yy-mm")&amp;"-"&amp;IF(AND(WEEKDAY(A1375)&gt;1,WEEKDAY(A1375)&lt;7),"Wkd",TEXT(A1375,"Ddd"))&amp;"-"&amp;TEXT(A1375,"hh"),LoadTable[],3,FALSE)*0.92</f>
        <v>341.29148000000004</v>
      </c>
      <c r="U1375" s="113">
        <f t="shared" si="1420"/>
        <v>34.129148000000001</v>
      </c>
      <c r="V1375">
        <f t="shared" ref="V1375:W1375" si="1452">V1351</f>
        <v>3</v>
      </c>
      <c r="W1375">
        <f t="shared" si="1452"/>
        <v>3.1</v>
      </c>
      <c r="X1375" s="9">
        <v>2.9276197000000002</v>
      </c>
      <c r="Y1375" s="39"/>
    </row>
    <row r="1376" spans="1:25" ht="15" thickBot="1">
      <c r="A1376" s="29">
        <f t="shared" si="1402"/>
        <v>45893.208333331982</v>
      </c>
      <c r="B1376" s="30">
        <f t="shared" si="1429"/>
        <v>5000</v>
      </c>
      <c r="C1376" s="8">
        <v>25000</v>
      </c>
      <c r="D1376" s="187">
        <v>0</v>
      </c>
      <c r="E1376" s="187">
        <v>700</v>
      </c>
      <c r="F1376" s="187">
        <v>15000</v>
      </c>
      <c r="G1376" s="30">
        <f t="shared" si="1430"/>
        <v>2400</v>
      </c>
      <c r="H1376" s="8">
        <v>25000</v>
      </c>
      <c r="I1376" s="30">
        <f t="shared" si="1431"/>
        <v>5000</v>
      </c>
      <c r="J1376" s="187">
        <v>40000</v>
      </c>
      <c r="K1376" s="30">
        <f t="shared" si="1432"/>
        <v>5000</v>
      </c>
      <c r="L1376" s="187">
        <v>40000</v>
      </c>
      <c r="M1376" s="110">
        <v>9.5</v>
      </c>
      <c r="N1376" s="9">
        <f>VLOOKUP(DATE(YEAR(A1376),MONTH(A1376),DAY(A1376)),FY24_Temp[],3,FALSE)</f>
        <v>14.71</v>
      </c>
      <c r="O1376" s="110">
        <f t="shared" si="1418"/>
        <v>11.5</v>
      </c>
      <c r="P1376" s="110">
        <f t="shared" si="1419"/>
        <v>19.5</v>
      </c>
      <c r="Q1376" s="79">
        <f>VLOOKUP(VLOOKUP(DATEVALUE(TEXT(A1376,"m/d/yyyy")),FY24_Temp[],5,FALSE)&amp;TEXT(A1376,"-h"),TempDelta[],4,FALSE)</f>
        <v>2.5518571649278914</v>
      </c>
      <c r="R1376">
        <v>10</v>
      </c>
      <c r="S1376" s="112">
        <v>1500</v>
      </c>
      <c r="T1376" s="5">
        <f>VLOOKUP(TEXT(A1376,"yy-mm")&amp;"-"&amp;IF(AND(WEEKDAY(A1376)&gt;1,WEEKDAY(A1376)&lt;7),"Wkd",TEXT(A1376,"Ddd"))&amp;"-"&amp;TEXT(A1376,"hh"),LoadTable[],3,FALSE)*0.92</f>
        <v>341.29148000000004</v>
      </c>
      <c r="U1376" s="113">
        <f t="shared" si="1420"/>
        <v>34.129148000000001</v>
      </c>
      <c r="V1376">
        <f t="shared" ref="V1376:W1376" si="1453">V1352</f>
        <v>2.9</v>
      </c>
      <c r="W1376">
        <f t="shared" si="1453"/>
        <v>3.1</v>
      </c>
      <c r="X1376" s="9">
        <v>2.9956455000000002</v>
      </c>
      <c r="Y1376" s="39"/>
    </row>
    <row r="1377" spans="1:25" ht="15" thickBot="1">
      <c r="A1377" s="29">
        <f t="shared" si="1402"/>
        <v>45893.249999998647</v>
      </c>
      <c r="B1377" s="30">
        <f t="shared" si="1429"/>
        <v>8000</v>
      </c>
      <c r="C1377" s="8">
        <v>25000</v>
      </c>
      <c r="D1377" s="187">
        <v>0</v>
      </c>
      <c r="E1377" s="187">
        <v>700</v>
      </c>
      <c r="F1377" s="187">
        <v>15000</v>
      </c>
      <c r="G1377" s="30">
        <f t="shared" si="1430"/>
        <v>2400</v>
      </c>
      <c r="H1377" s="8">
        <v>25000</v>
      </c>
      <c r="I1377" s="30">
        <f t="shared" si="1431"/>
        <v>8000</v>
      </c>
      <c r="J1377" s="187">
        <v>40000</v>
      </c>
      <c r="K1377" s="30">
        <f t="shared" si="1432"/>
        <v>8000</v>
      </c>
      <c r="L1377" s="187">
        <v>40000</v>
      </c>
      <c r="M1377" s="110">
        <v>9.5</v>
      </c>
      <c r="N1377" s="9">
        <f>VLOOKUP(DATE(YEAR(A1377),MONTH(A1377),DAY(A1377)),FY24_Temp[],3,FALSE)</f>
        <v>14.71</v>
      </c>
      <c r="O1377" s="110">
        <f t="shared" si="1418"/>
        <v>11.5</v>
      </c>
      <c r="P1377" s="110">
        <f t="shared" si="1419"/>
        <v>19.5</v>
      </c>
      <c r="Q1377" s="79">
        <f>VLOOKUP(VLOOKUP(DATEVALUE(TEXT(A1377,"m/d/yyyy")),FY24_Temp[],5,FALSE)&amp;TEXT(A1377,"-h"),TempDelta[],4,FALSE)</f>
        <v>2.5557143007005965</v>
      </c>
      <c r="R1377">
        <v>10</v>
      </c>
      <c r="S1377" s="112">
        <v>1500</v>
      </c>
      <c r="T1377" s="5">
        <f>VLOOKUP(TEXT(A1377,"yy-mm")&amp;"-"&amp;IF(AND(WEEKDAY(A1377)&gt;1,WEEKDAY(A1377)&lt;7),"Wkd",TEXT(A1377,"Ddd"))&amp;"-"&amp;TEXT(A1377,"hh"),LoadTable[],3,FALSE)*0.92</f>
        <v>338.44328695210856</v>
      </c>
      <c r="U1377" s="113">
        <f t="shared" si="1420"/>
        <v>33.844328695210855</v>
      </c>
      <c r="V1377">
        <f t="shared" ref="V1377:W1377" si="1454">V1353</f>
        <v>2.5</v>
      </c>
      <c r="W1377">
        <f t="shared" si="1454"/>
        <v>3.1</v>
      </c>
      <c r="X1377" s="9">
        <v>3.1045457999999999</v>
      </c>
      <c r="Y1377" s="39"/>
    </row>
    <row r="1378" spans="1:25" ht="15" thickBot="1">
      <c r="A1378" s="29">
        <f t="shared" si="1402"/>
        <v>45893.291666665311</v>
      </c>
      <c r="B1378" s="30">
        <f t="shared" si="1429"/>
        <v>8000</v>
      </c>
      <c r="C1378" s="8">
        <v>25000</v>
      </c>
      <c r="D1378" s="187">
        <v>0</v>
      </c>
      <c r="E1378" s="187">
        <v>700</v>
      </c>
      <c r="F1378" s="187">
        <v>15000</v>
      </c>
      <c r="G1378" s="30">
        <f t="shared" si="1430"/>
        <v>2400</v>
      </c>
      <c r="H1378" s="8">
        <v>25000</v>
      </c>
      <c r="I1378" s="30">
        <f t="shared" si="1431"/>
        <v>8000</v>
      </c>
      <c r="J1378" s="187">
        <v>40000</v>
      </c>
      <c r="K1378" s="30">
        <f t="shared" si="1432"/>
        <v>8000</v>
      </c>
      <c r="L1378" s="187">
        <v>40000</v>
      </c>
      <c r="M1378" s="110">
        <v>9.5</v>
      </c>
      <c r="N1378" s="9">
        <f>VLOOKUP(DATE(YEAR(A1378),MONTH(A1378),DAY(A1378)),FY24_Temp[],3,FALSE)</f>
        <v>14.71</v>
      </c>
      <c r="O1378" s="110">
        <f t="shared" si="1418"/>
        <v>11.5</v>
      </c>
      <c r="P1378" s="110">
        <f t="shared" si="1419"/>
        <v>19.5</v>
      </c>
      <c r="Q1378" s="79">
        <f>VLOOKUP(VLOOKUP(DATEVALUE(TEXT(A1378,"m/d/yyyy")),FY24_Temp[],5,FALSE)&amp;TEXT(A1378,"-h"),TempDelta[],4,FALSE)</f>
        <v>2.5165714536394392</v>
      </c>
      <c r="R1378">
        <v>10</v>
      </c>
      <c r="S1378" s="112">
        <v>1500</v>
      </c>
      <c r="T1378" s="5">
        <f>VLOOKUP(TEXT(A1378,"yy-mm")&amp;"-"&amp;IF(AND(WEEKDAY(A1378)&gt;1,WEEKDAY(A1378)&lt;7),"Wkd",TEXT(A1378,"Ddd"))&amp;"-"&amp;TEXT(A1378,"hh"),LoadTable[],3,FALSE)*0.92</f>
        <v>338.44328695210856</v>
      </c>
      <c r="U1378" s="113">
        <f t="shared" si="1420"/>
        <v>33.844328695210855</v>
      </c>
      <c r="V1378">
        <f t="shared" ref="V1378:W1378" si="1455">V1354</f>
        <v>2.5</v>
      </c>
      <c r="W1378">
        <f t="shared" si="1455"/>
        <v>3.1</v>
      </c>
      <c r="X1378" s="9">
        <v>3.2301082999999999</v>
      </c>
      <c r="Y1378" s="39"/>
    </row>
    <row r="1379" spans="1:25" ht="15" thickBot="1">
      <c r="A1379" s="29">
        <f t="shared" si="1402"/>
        <v>45893.333333331975</v>
      </c>
      <c r="B1379" s="30">
        <f t="shared" si="1429"/>
        <v>8000</v>
      </c>
      <c r="C1379" s="8">
        <v>25000</v>
      </c>
      <c r="D1379" s="187">
        <v>0</v>
      </c>
      <c r="E1379" s="187">
        <v>700</v>
      </c>
      <c r="F1379" s="187">
        <v>15000</v>
      </c>
      <c r="G1379" s="30">
        <f t="shared" si="1430"/>
        <v>2400</v>
      </c>
      <c r="H1379" s="8">
        <v>25000</v>
      </c>
      <c r="I1379" s="30">
        <f t="shared" si="1431"/>
        <v>8000</v>
      </c>
      <c r="J1379" s="187">
        <v>40000</v>
      </c>
      <c r="K1379" s="30">
        <f t="shared" si="1432"/>
        <v>8000</v>
      </c>
      <c r="L1379" s="187">
        <v>40000</v>
      </c>
      <c r="M1379" s="110">
        <v>9.5</v>
      </c>
      <c r="N1379" s="9">
        <f>VLOOKUP(DATE(YEAR(A1379),MONTH(A1379),DAY(A1379)),FY24_Temp[],3,FALSE)</f>
        <v>14.71</v>
      </c>
      <c r="O1379" s="110">
        <f t="shared" si="1418"/>
        <v>11.5</v>
      </c>
      <c r="P1379" s="110">
        <f t="shared" si="1419"/>
        <v>19.5</v>
      </c>
      <c r="Q1379" s="79">
        <f>VLOOKUP(VLOOKUP(DATEVALUE(TEXT(A1379,"m/d/yyyy")),FY24_Temp[],5,FALSE)&amp;TEXT(A1379,"-h"),TempDelta[],4,FALSE)</f>
        <v>2.410571438925607</v>
      </c>
      <c r="R1379">
        <v>10</v>
      </c>
      <c r="S1379" s="112">
        <v>1500</v>
      </c>
      <c r="T1379" s="5">
        <f>VLOOKUP(TEXT(A1379,"yy-mm")&amp;"-"&amp;IF(AND(WEEKDAY(A1379)&gt;1,WEEKDAY(A1379)&lt;7),"Wkd",TEXT(A1379,"Ddd"))&amp;"-"&amp;TEXT(A1379,"hh"),LoadTable[],3,FALSE)*0.92</f>
        <v>338.44328695210851</v>
      </c>
      <c r="U1379" s="113">
        <f t="shared" si="1420"/>
        <v>33.844328695210848</v>
      </c>
      <c r="V1379">
        <f t="shared" ref="V1379:W1379" si="1456">V1355</f>
        <v>3.2</v>
      </c>
      <c r="W1379">
        <f t="shared" si="1456"/>
        <v>3</v>
      </c>
      <c r="X1379" s="9">
        <v>3.2939707999999999</v>
      </c>
      <c r="Y1379" s="39"/>
    </row>
    <row r="1380" spans="1:25" ht="15" thickBot="1">
      <c r="A1380" s="29">
        <f t="shared" si="1402"/>
        <v>45893.374999998639</v>
      </c>
      <c r="B1380" s="30">
        <f t="shared" si="1429"/>
        <v>8000</v>
      </c>
      <c r="C1380" s="8">
        <v>25000</v>
      </c>
      <c r="D1380" s="187">
        <v>0</v>
      </c>
      <c r="E1380" s="187">
        <v>700</v>
      </c>
      <c r="F1380" s="187">
        <v>15000</v>
      </c>
      <c r="G1380" s="30">
        <f t="shared" si="1430"/>
        <v>2400</v>
      </c>
      <c r="H1380" s="8">
        <v>25000</v>
      </c>
      <c r="I1380" s="30">
        <f t="shared" si="1431"/>
        <v>8000</v>
      </c>
      <c r="J1380" s="187">
        <v>40000</v>
      </c>
      <c r="K1380" s="30">
        <f t="shared" si="1432"/>
        <v>8000</v>
      </c>
      <c r="L1380" s="187">
        <v>40000</v>
      </c>
      <c r="M1380" s="110">
        <v>9.5</v>
      </c>
      <c r="N1380" s="9">
        <f>VLOOKUP(DATE(YEAR(A1380),MONTH(A1380),DAY(A1380)),FY24_Temp[],3,FALSE)</f>
        <v>14.71</v>
      </c>
      <c r="O1380" s="110">
        <f t="shared" si="1418"/>
        <v>11.5</v>
      </c>
      <c r="P1380" s="110">
        <f t="shared" si="1419"/>
        <v>19.5</v>
      </c>
      <c r="Q1380" s="79">
        <f>VLOOKUP(VLOOKUP(DATEVALUE(TEXT(A1380,"m/d/yyyy")),FY24_Temp[],5,FALSE)&amp;TEXT(A1380,"-h"),TempDelta[],4,FALSE)</f>
        <v>2.2332857336316789</v>
      </c>
      <c r="R1380">
        <v>10</v>
      </c>
      <c r="S1380" s="112">
        <v>1500</v>
      </c>
      <c r="T1380" s="5">
        <f>VLOOKUP(TEXT(A1380,"yy-mm")&amp;"-"&amp;IF(AND(WEEKDAY(A1380)&gt;1,WEEKDAY(A1380)&lt;7),"Wkd",TEXT(A1380,"Ddd"))&amp;"-"&amp;TEXT(A1380,"hh"),LoadTable[],3,FALSE)*0.92</f>
        <v>338.44093501457735</v>
      </c>
      <c r="U1380" s="113">
        <f t="shared" si="1420"/>
        <v>33.844093501457735</v>
      </c>
      <c r="V1380">
        <f t="shared" ref="V1380:W1380" si="1457">V1356</f>
        <v>2.9</v>
      </c>
      <c r="W1380">
        <f t="shared" si="1457"/>
        <v>3</v>
      </c>
      <c r="X1380" s="9">
        <v>3.3186890999999998</v>
      </c>
      <c r="Y1380" s="39"/>
    </row>
    <row r="1381" spans="1:25" ht="15" thickBot="1">
      <c r="A1381" s="29">
        <f t="shared" si="1402"/>
        <v>45893.416666665304</v>
      </c>
      <c r="B1381" s="30">
        <f t="shared" si="1429"/>
        <v>8000</v>
      </c>
      <c r="C1381" s="8">
        <v>25000</v>
      </c>
      <c r="D1381" s="187">
        <v>0</v>
      </c>
      <c r="E1381" s="187">
        <v>700</v>
      </c>
      <c r="F1381" s="187">
        <v>15000</v>
      </c>
      <c r="G1381" s="30">
        <f t="shared" si="1430"/>
        <v>2400</v>
      </c>
      <c r="H1381" s="8">
        <v>25000</v>
      </c>
      <c r="I1381" s="30">
        <f t="shared" si="1431"/>
        <v>8000</v>
      </c>
      <c r="J1381" s="187">
        <v>40000</v>
      </c>
      <c r="K1381" s="30">
        <f t="shared" si="1432"/>
        <v>8000</v>
      </c>
      <c r="L1381" s="187">
        <v>40000</v>
      </c>
      <c r="M1381" s="110">
        <v>9.5</v>
      </c>
      <c r="N1381" s="9">
        <f>VLOOKUP(DATE(YEAR(A1381),MONTH(A1381),DAY(A1381)),FY24_Temp[],3,FALSE)</f>
        <v>14.71</v>
      </c>
      <c r="O1381" s="110">
        <f t="shared" si="1418"/>
        <v>11.5</v>
      </c>
      <c r="P1381" s="110">
        <f t="shared" si="1419"/>
        <v>19.5</v>
      </c>
      <c r="Q1381" s="79">
        <f>VLOOKUP(VLOOKUP(DATEVALUE(TEXT(A1381,"m/d/yyyy")),FY24_Temp[],5,FALSE)&amp;TEXT(A1381,"-h"),TempDelta[],4,FALSE)</f>
        <v>2.0304285798754012</v>
      </c>
      <c r="R1381">
        <v>10</v>
      </c>
      <c r="S1381" s="112">
        <v>1500</v>
      </c>
      <c r="T1381" s="5">
        <f>VLOOKUP(TEXT(A1381,"yy-mm")&amp;"-"&amp;IF(AND(WEEKDAY(A1381)&gt;1,WEEKDAY(A1381)&lt;7),"Wkd",TEXT(A1381,"Ddd"))&amp;"-"&amp;TEXT(A1381,"hh"),LoadTable[],3,FALSE)*0.92</f>
        <v>338.44093501457741</v>
      </c>
      <c r="U1381" s="113">
        <f t="shared" si="1420"/>
        <v>33.844093501457742</v>
      </c>
      <c r="V1381">
        <f t="shared" ref="V1381:W1381" si="1458">V1357</f>
        <v>2.9</v>
      </c>
      <c r="W1381">
        <f t="shared" si="1458"/>
        <v>3</v>
      </c>
      <c r="X1381" s="9">
        <v>3.3738774999999999</v>
      </c>
      <c r="Y1381" s="39"/>
    </row>
    <row r="1382" spans="1:25" ht="15" thickBot="1">
      <c r="A1382" s="29">
        <f t="shared" si="1402"/>
        <v>45893.458333331968</v>
      </c>
      <c r="B1382" s="30">
        <f t="shared" si="1429"/>
        <v>8000</v>
      </c>
      <c r="C1382" s="8">
        <v>25000</v>
      </c>
      <c r="D1382" s="187">
        <v>0</v>
      </c>
      <c r="E1382" s="187">
        <v>700</v>
      </c>
      <c r="F1382" s="187">
        <v>15000</v>
      </c>
      <c r="G1382" s="30">
        <f t="shared" si="1430"/>
        <v>2400</v>
      </c>
      <c r="H1382" s="8">
        <v>25000</v>
      </c>
      <c r="I1382" s="30">
        <f t="shared" si="1431"/>
        <v>8000</v>
      </c>
      <c r="J1382" s="187">
        <v>40000</v>
      </c>
      <c r="K1382" s="30">
        <f t="shared" si="1432"/>
        <v>8000</v>
      </c>
      <c r="L1382" s="187">
        <v>40000</v>
      </c>
      <c r="M1382" s="110">
        <v>9.5</v>
      </c>
      <c r="N1382" s="9">
        <f>VLOOKUP(DATE(YEAR(A1382),MONTH(A1382),DAY(A1382)),FY24_Temp[],3,FALSE)</f>
        <v>14.71</v>
      </c>
      <c r="O1382" s="110">
        <f t="shared" si="1418"/>
        <v>11.5</v>
      </c>
      <c r="P1382" s="110">
        <f t="shared" si="1419"/>
        <v>19.5</v>
      </c>
      <c r="Q1382" s="79">
        <f>VLOOKUP(VLOOKUP(DATEVALUE(TEXT(A1382,"m/d/yyyy")),FY24_Temp[],5,FALSE)&amp;TEXT(A1382,"-h"),TempDelta[],4,FALSE)</f>
        <v>1.7931428466524397</v>
      </c>
      <c r="R1382">
        <v>10</v>
      </c>
      <c r="S1382" s="112">
        <v>1500</v>
      </c>
      <c r="T1382" s="5">
        <f>VLOOKUP(TEXT(A1382,"yy-mm")&amp;"-"&amp;IF(AND(WEEKDAY(A1382)&gt;1,WEEKDAY(A1382)&lt;7),"Wkd",TEXT(A1382,"Ddd"))&amp;"-"&amp;TEXT(A1382,"hh"),LoadTable[],3,FALSE)*0.92</f>
        <v>338.44093501457741</v>
      </c>
      <c r="U1382" s="113">
        <f t="shared" si="1420"/>
        <v>33.844093501457742</v>
      </c>
      <c r="V1382">
        <f t="shared" ref="V1382:W1382" si="1459">V1358</f>
        <v>3.4</v>
      </c>
      <c r="W1382">
        <f t="shared" si="1459"/>
        <v>3</v>
      </c>
      <c r="X1382" s="9">
        <v>3.3245087</v>
      </c>
      <c r="Y1382" s="39"/>
    </row>
    <row r="1383" spans="1:25" ht="15" thickBot="1">
      <c r="A1383" s="29">
        <f t="shared" si="1402"/>
        <v>45893.499999998632</v>
      </c>
      <c r="B1383" s="30">
        <f t="shared" si="1429"/>
        <v>8000</v>
      </c>
      <c r="C1383" s="8">
        <v>25000</v>
      </c>
      <c r="D1383" s="187">
        <v>0</v>
      </c>
      <c r="E1383" s="187">
        <v>700</v>
      </c>
      <c r="F1383" s="187">
        <v>15000</v>
      </c>
      <c r="G1383" s="30">
        <f t="shared" si="1430"/>
        <v>2400</v>
      </c>
      <c r="H1383" s="8">
        <v>25000</v>
      </c>
      <c r="I1383" s="30">
        <f t="shared" si="1431"/>
        <v>8000</v>
      </c>
      <c r="J1383" s="187">
        <v>40000</v>
      </c>
      <c r="K1383" s="30">
        <f t="shared" si="1432"/>
        <v>8000</v>
      </c>
      <c r="L1383" s="187">
        <v>40000</v>
      </c>
      <c r="M1383" s="110">
        <v>9.5</v>
      </c>
      <c r="N1383" s="9">
        <f>VLOOKUP(DATE(YEAR(A1383),MONTH(A1383),DAY(A1383)),FY24_Temp[],3,FALSE)</f>
        <v>14.71</v>
      </c>
      <c r="O1383" s="110">
        <f t="shared" si="1418"/>
        <v>11.5</v>
      </c>
      <c r="P1383" s="110">
        <f t="shared" si="1419"/>
        <v>19.5</v>
      </c>
      <c r="Q1383" s="79">
        <f>VLOOKUP(VLOOKUP(DATEVALUE(TEXT(A1383,"m/d/yyyy")),FY24_Temp[],5,FALSE)&amp;TEXT(A1383,"-h"),TempDelta[],4,FALSE)</f>
        <v>1.5527142797197615</v>
      </c>
      <c r="R1383">
        <v>10</v>
      </c>
      <c r="S1383" s="112">
        <v>1500</v>
      </c>
      <c r="T1383" s="5">
        <f>VLOOKUP(TEXT(A1383,"yy-mm")&amp;"-"&amp;IF(AND(WEEKDAY(A1383)&gt;1,WEEKDAY(A1383)&lt;7),"Wkd",TEXT(A1383,"Ddd"))&amp;"-"&amp;TEXT(A1383,"hh"),LoadTable[],3,FALSE)*0.92</f>
        <v>338.44093501457741</v>
      </c>
      <c r="U1383" s="113">
        <f t="shared" si="1420"/>
        <v>33.844093501457742</v>
      </c>
      <c r="V1383">
        <f t="shared" ref="V1383:W1383" si="1460">V1359</f>
        <v>3.1</v>
      </c>
      <c r="W1383">
        <f t="shared" si="1460"/>
        <v>2.9</v>
      </c>
      <c r="X1383" s="9">
        <v>3.1881216000000001</v>
      </c>
      <c r="Y1383" s="39"/>
    </row>
    <row r="1384" spans="1:25" ht="15" thickBot="1">
      <c r="A1384" s="29">
        <f t="shared" si="1402"/>
        <v>45893.541666665296</v>
      </c>
      <c r="B1384" s="30">
        <f t="shared" si="1429"/>
        <v>8000</v>
      </c>
      <c r="C1384" s="8">
        <v>25000</v>
      </c>
      <c r="D1384" s="187">
        <v>0</v>
      </c>
      <c r="E1384" s="187">
        <v>700</v>
      </c>
      <c r="F1384" s="187">
        <v>15000</v>
      </c>
      <c r="G1384" s="30">
        <f t="shared" si="1430"/>
        <v>2400</v>
      </c>
      <c r="H1384" s="8">
        <v>25000</v>
      </c>
      <c r="I1384" s="30">
        <f t="shared" si="1431"/>
        <v>8000</v>
      </c>
      <c r="J1384" s="187">
        <v>40000</v>
      </c>
      <c r="K1384" s="30">
        <f t="shared" si="1432"/>
        <v>8000</v>
      </c>
      <c r="L1384" s="187">
        <v>40000</v>
      </c>
      <c r="M1384" s="110">
        <v>9.5</v>
      </c>
      <c r="N1384" s="9">
        <f>VLOOKUP(DATE(YEAR(A1384),MONTH(A1384),DAY(A1384)),FY24_Temp[],3,FALSE)</f>
        <v>14.71</v>
      </c>
      <c r="O1384" s="110">
        <f t="shared" si="1418"/>
        <v>11.5</v>
      </c>
      <c r="P1384" s="110">
        <f t="shared" si="1419"/>
        <v>19.5</v>
      </c>
      <c r="Q1384" s="79">
        <f>VLOOKUP(VLOOKUP(DATEVALUE(TEXT(A1384,"m/d/yyyy")),FY24_Temp[],5,FALSE)&amp;TEXT(A1384,"-h"),TempDelta[],4,FALSE)</f>
        <v>1.3120000192097254</v>
      </c>
      <c r="R1384">
        <v>10</v>
      </c>
      <c r="S1384" s="112">
        <v>1500</v>
      </c>
      <c r="T1384" s="5">
        <f>VLOOKUP(TEXT(A1384,"yy-mm")&amp;"-"&amp;IF(AND(WEEKDAY(A1384)&gt;1,WEEKDAY(A1384)&lt;7),"Wkd",TEXT(A1384,"Ddd"))&amp;"-"&amp;TEXT(A1384,"hh"),LoadTable[],3,FALSE)*0.92</f>
        <v>353.09232000000009</v>
      </c>
      <c r="U1384" s="113">
        <f t="shared" si="1420"/>
        <v>35.309232000000009</v>
      </c>
      <c r="V1384">
        <f t="shared" ref="V1384:W1384" si="1461">V1360</f>
        <v>3.2</v>
      </c>
      <c r="W1384">
        <f t="shared" si="1461"/>
        <v>2.9</v>
      </c>
      <c r="X1384" s="9">
        <v>3.0214536000000001</v>
      </c>
      <c r="Y1384" s="39"/>
    </row>
    <row r="1385" spans="1:25" ht="15" thickBot="1">
      <c r="A1385" s="29">
        <f t="shared" si="1402"/>
        <v>45893.583333331961</v>
      </c>
      <c r="B1385" s="30">
        <f t="shared" si="1429"/>
        <v>8000</v>
      </c>
      <c r="C1385" s="8">
        <v>25000</v>
      </c>
      <c r="D1385" s="187">
        <v>0</v>
      </c>
      <c r="E1385" s="187">
        <v>700</v>
      </c>
      <c r="F1385" s="187">
        <v>15000</v>
      </c>
      <c r="G1385" s="30">
        <f t="shared" si="1430"/>
        <v>2400</v>
      </c>
      <c r="H1385" s="8">
        <v>25000</v>
      </c>
      <c r="I1385" s="30">
        <f t="shared" si="1431"/>
        <v>8000</v>
      </c>
      <c r="J1385" s="187">
        <v>40000</v>
      </c>
      <c r="K1385" s="30">
        <f t="shared" si="1432"/>
        <v>8000</v>
      </c>
      <c r="L1385" s="187">
        <v>40000</v>
      </c>
      <c r="M1385" s="110">
        <v>9.5</v>
      </c>
      <c r="N1385" s="9">
        <f>VLOOKUP(DATE(YEAR(A1385),MONTH(A1385),DAY(A1385)),FY24_Temp[],3,FALSE)</f>
        <v>14.71</v>
      </c>
      <c r="O1385" s="110">
        <f t="shared" si="1418"/>
        <v>11.5</v>
      </c>
      <c r="P1385" s="110">
        <f t="shared" si="1419"/>
        <v>19.5</v>
      </c>
      <c r="Q1385" s="79">
        <f>VLOOKUP(VLOOKUP(DATEVALUE(TEXT(A1385,"m/d/yyyy")),FY24_Temp[],5,FALSE)&amp;TEXT(A1385,"-h"),TempDelta[],4,FALSE)</f>
        <v>0.87128572378839764</v>
      </c>
      <c r="R1385">
        <v>10</v>
      </c>
      <c r="S1385" s="112">
        <v>1500</v>
      </c>
      <c r="T1385" s="5">
        <f>VLOOKUP(TEXT(A1385,"yy-mm")&amp;"-"&amp;IF(AND(WEEKDAY(A1385)&gt;1,WEEKDAY(A1385)&lt;7),"Wkd",TEXT(A1385,"Ddd"))&amp;"-"&amp;TEXT(A1385,"hh"),LoadTable[],3,FALSE)*0.92</f>
        <v>553.46715198762581</v>
      </c>
      <c r="U1385" s="113">
        <f t="shared" si="1420"/>
        <v>55.346715198762581</v>
      </c>
      <c r="V1385">
        <f t="shared" ref="V1385:W1385" si="1462">V1361</f>
        <v>3.5</v>
      </c>
      <c r="W1385">
        <f t="shared" si="1462"/>
        <v>2.9</v>
      </c>
      <c r="X1385" s="9">
        <v>2.9830420000000002</v>
      </c>
      <c r="Y1385" s="39"/>
    </row>
    <row r="1386" spans="1:25" ht="15" thickBot="1">
      <c r="A1386" s="29">
        <f t="shared" si="1402"/>
        <v>45893.624999998625</v>
      </c>
      <c r="B1386" s="30">
        <f t="shared" si="1429"/>
        <v>8000</v>
      </c>
      <c r="C1386" s="8">
        <v>25000</v>
      </c>
      <c r="D1386" s="187">
        <v>0</v>
      </c>
      <c r="E1386" s="187">
        <v>700</v>
      </c>
      <c r="F1386" s="187">
        <v>15000</v>
      </c>
      <c r="G1386" s="30">
        <f t="shared" si="1430"/>
        <v>2400</v>
      </c>
      <c r="H1386" s="8">
        <v>25000</v>
      </c>
      <c r="I1386" s="30">
        <f t="shared" si="1431"/>
        <v>8000</v>
      </c>
      <c r="J1386" s="187">
        <v>40000</v>
      </c>
      <c r="K1386" s="30">
        <f t="shared" si="1432"/>
        <v>8000</v>
      </c>
      <c r="L1386" s="187">
        <v>40000</v>
      </c>
      <c r="M1386" s="110">
        <v>9.5</v>
      </c>
      <c r="N1386" s="9">
        <f>VLOOKUP(DATE(YEAR(A1386),MONTH(A1386),DAY(A1386)),FY24_Temp[],3,FALSE)</f>
        <v>14.71</v>
      </c>
      <c r="O1386" s="110">
        <f t="shared" si="1418"/>
        <v>11.5</v>
      </c>
      <c r="P1386" s="110">
        <f t="shared" si="1419"/>
        <v>19.5</v>
      </c>
      <c r="Q1386" s="79">
        <f>VLOOKUP(VLOOKUP(DATEVALUE(TEXT(A1386,"m/d/yyyy")),FY24_Temp[],5,FALSE)&amp;TEXT(A1386,"-h"),TempDelta[],4,FALSE)</f>
        <v>0.66957143161978039</v>
      </c>
      <c r="R1386">
        <v>10</v>
      </c>
      <c r="S1386" s="112">
        <v>1500</v>
      </c>
      <c r="T1386" s="5">
        <f>VLOOKUP(TEXT(A1386,"yy-mm")&amp;"-"&amp;IF(AND(WEEKDAY(A1386)&gt;1,WEEKDAY(A1386)&lt;7),"Wkd",TEXT(A1386,"Ddd"))&amp;"-"&amp;TEXT(A1386,"hh"),LoadTable[],3,FALSE)*0.92</f>
        <v>645.42416000000014</v>
      </c>
      <c r="U1386" s="113">
        <f t="shared" si="1420"/>
        <v>64.542416000000017</v>
      </c>
      <c r="V1386">
        <f t="shared" ref="V1386:W1386" si="1463">V1362</f>
        <v>3.2</v>
      </c>
      <c r="W1386">
        <f t="shared" si="1463"/>
        <v>2.9</v>
      </c>
      <c r="X1386" s="9">
        <v>3.3155792000000002</v>
      </c>
      <c r="Y1386" s="39"/>
    </row>
    <row r="1387" spans="1:25" ht="15" thickBot="1">
      <c r="A1387" s="29">
        <f t="shared" si="1402"/>
        <v>45893.666666665289</v>
      </c>
      <c r="B1387" s="30">
        <f t="shared" si="1429"/>
        <v>8000</v>
      </c>
      <c r="C1387" s="8">
        <v>25000</v>
      </c>
      <c r="D1387" s="187">
        <v>0</v>
      </c>
      <c r="E1387" s="187">
        <v>700</v>
      </c>
      <c r="F1387" s="187">
        <v>15000</v>
      </c>
      <c r="G1387" s="30">
        <f t="shared" si="1430"/>
        <v>2400</v>
      </c>
      <c r="H1387" s="8">
        <v>25000</v>
      </c>
      <c r="I1387" s="30">
        <f t="shared" si="1431"/>
        <v>8000</v>
      </c>
      <c r="J1387" s="187">
        <v>40000</v>
      </c>
      <c r="K1387" s="30">
        <f t="shared" si="1432"/>
        <v>8000</v>
      </c>
      <c r="L1387" s="187">
        <v>40000</v>
      </c>
      <c r="M1387" s="110">
        <v>9.5</v>
      </c>
      <c r="N1387" s="9">
        <f>VLOOKUP(DATE(YEAR(A1387),MONTH(A1387),DAY(A1387)),FY24_Temp[],3,FALSE)</f>
        <v>14.71</v>
      </c>
      <c r="O1387" s="110">
        <f t="shared" si="1418"/>
        <v>11.5</v>
      </c>
      <c r="P1387" s="110">
        <f t="shared" si="1419"/>
        <v>19.5</v>
      </c>
      <c r="Q1387" s="79">
        <f>VLOOKUP(VLOOKUP(DATEVALUE(TEXT(A1387,"m/d/yyyy")),FY24_Temp[],5,FALSE)&amp;TEXT(A1387,"-h"),TempDelta[],4,FALSE)</f>
        <v>0.5316428627286639</v>
      </c>
      <c r="R1387">
        <v>10</v>
      </c>
      <c r="S1387" s="112">
        <v>1500</v>
      </c>
      <c r="T1387" s="5">
        <f>VLOOKUP(TEXT(A1387,"yy-mm")&amp;"-"&amp;IF(AND(WEEKDAY(A1387)&gt;1,WEEKDAY(A1387)&lt;7),"Wkd",TEXT(A1387,"Ddd"))&amp;"-"&amp;TEXT(A1387,"hh"),LoadTable[],3,FALSE)*0.92</f>
        <v>786.27137399656624</v>
      </c>
      <c r="U1387" s="113">
        <f t="shared" si="1420"/>
        <v>78.627137399656618</v>
      </c>
      <c r="V1387">
        <f t="shared" ref="V1387:W1387" si="1464">V1363</f>
        <v>3.5</v>
      </c>
      <c r="W1387">
        <f t="shared" si="1464"/>
        <v>3</v>
      </c>
      <c r="X1387" s="9">
        <v>3.2524986</v>
      </c>
      <c r="Y1387" s="39"/>
    </row>
    <row r="1388" spans="1:25" ht="15" thickBot="1">
      <c r="A1388" s="29">
        <f t="shared" si="1402"/>
        <v>45893.708333331953</v>
      </c>
      <c r="B1388" s="30">
        <f t="shared" si="1429"/>
        <v>8000</v>
      </c>
      <c r="C1388" s="8">
        <v>25000</v>
      </c>
      <c r="D1388" s="187">
        <v>0</v>
      </c>
      <c r="E1388" s="187">
        <v>700</v>
      </c>
      <c r="F1388" s="187">
        <v>15000</v>
      </c>
      <c r="G1388" s="30">
        <f t="shared" si="1430"/>
        <v>2400</v>
      </c>
      <c r="H1388" s="8">
        <v>25000</v>
      </c>
      <c r="I1388" s="30">
        <f t="shared" si="1431"/>
        <v>8000</v>
      </c>
      <c r="J1388" s="187">
        <v>40000</v>
      </c>
      <c r="K1388" s="30">
        <f t="shared" si="1432"/>
        <v>8000</v>
      </c>
      <c r="L1388" s="187">
        <v>40000</v>
      </c>
      <c r="M1388" s="110">
        <v>9.5</v>
      </c>
      <c r="N1388" s="9">
        <f>VLOOKUP(DATE(YEAR(A1388),MONTH(A1388),DAY(A1388)),FY24_Temp[],3,FALSE)</f>
        <v>14.71</v>
      </c>
      <c r="O1388" s="110">
        <f t="shared" si="1418"/>
        <v>11.5</v>
      </c>
      <c r="P1388" s="110">
        <f t="shared" si="1419"/>
        <v>19.5</v>
      </c>
      <c r="Q1388" s="79">
        <f>VLOOKUP(VLOOKUP(DATEVALUE(TEXT(A1388,"m/d/yyyy")),FY24_Temp[],5,FALSE)&amp;TEXT(A1388,"-h"),TempDelta[],4,FALSE)</f>
        <v>0.55664285378796718</v>
      </c>
      <c r="R1388">
        <v>10</v>
      </c>
      <c r="S1388" s="112">
        <v>1500</v>
      </c>
      <c r="T1388" s="5">
        <f>VLOOKUP(TEXT(A1388,"yy-mm")&amp;"-"&amp;IF(AND(WEEKDAY(A1388)&gt;1,WEEKDAY(A1388)&lt;7),"Wkd",TEXT(A1388,"Ddd"))&amp;"-"&amp;TEXT(A1388,"hh"),LoadTable[],3,FALSE)*0.92</f>
        <v>786.27137399656624</v>
      </c>
      <c r="U1388" s="113">
        <f t="shared" si="1420"/>
        <v>78.627137399656618</v>
      </c>
      <c r="V1388">
        <f t="shared" ref="V1388:W1388" si="1465">V1364</f>
        <v>3.6</v>
      </c>
      <c r="W1388">
        <f t="shared" si="1465"/>
        <v>3</v>
      </c>
      <c r="X1388" s="9">
        <v>3.1744667999999998</v>
      </c>
      <c r="Y1388" s="39"/>
    </row>
    <row r="1389" spans="1:25" ht="15" thickBot="1">
      <c r="A1389" s="29">
        <f t="shared" si="1402"/>
        <v>45893.749999998618</v>
      </c>
      <c r="B1389" s="30">
        <f t="shared" si="1429"/>
        <v>5000</v>
      </c>
      <c r="C1389" s="8">
        <v>25000</v>
      </c>
      <c r="D1389" s="187">
        <v>0</v>
      </c>
      <c r="E1389" s="187">
        <v>700</v>
      </c>
      <c r="F1389" s="187">
        <v>15000</v>
      </c>
      <c r="G1389" s="30">
        <f t="shared" si="1430"/>
        <v>2400</v>
      </c>
      <c r="H1389" s="8">
        <v>25000</v>
      </c>
      <c r="I1389" s="30">
        <f t="shared" si="1431"/>
        <v>5000</v>
      </c>
      <c r="J1389" s="187">
        <v>40000</v>
      </c>
      <c r="K1389" s="30">
        <f t="shared" si="1432"/>
        <v>5000</v>
      </c>
      <c r="L1389" s="187">
        <v>40000</v>
      </c>
      <c r="M1389" s="110">
        <v>9.5</v>
      </c>
      <c r="N1389" s="9">
        <f>VLOOKUP(DATE(YEAR(A1389),MONTH(A1389),DAY(A1389)),FY24_Temp[],3,FALSE)</f>
        <v>14.71</v>
      </c>
      <c r="O1389" s="110">
        <f t="shared" si="1418"/>
        <v>11.5</v>
      </c>
      <c r="P1389" s="110">
        <f t="shared" si="1419"/>
        <v>19.5</v>
      </c>
      <c r="Q1389" s="79">
        <f>VLOOKUP(VLOOKUP(DATEVALUE(TEXT(A1389,"m/d/yyyy")),FY24_Temp[],5,FALSE)&amp;TEXT(A1389,"-h"),TempDelta[],4,FALSE)</f>
        <v>0.75757142049925663</v>
      </c>
      <c r="R1389">
        <v>10</v>
      </c>
      <c r="S1389" s="112">
        <v>1500</v>
      </c>
      <c r="T1389" s="5">
        <f>VLOOKUP(TEXT(A1389,"yy-mm")&amp;"-"&amp;IF(AND(WEEKDAY(A1389)&gt;1,WEEKDAY(A1389)&lt;7),"Wkd",TEXT(A1389,"Ddd"))&amp;"-"&amp;TEXT(A1389,"hh"),LoadTable[],3,FALSE)*0.92</f>
        <v>786.27137399656647</v>
      </c>
      <c r="U1389" s="113">
        <f t="shared" si="1420"/>
        <v>78.627137399656647</v>
      </c>
      <c r="V1389">
        <f t="shared" ref="V1389:W1389" si="1466">V1365</f>
        <v>2.9</v>
      </c>
      <c r="W1389">
        <f t="shared" si="1466"/>
        <v>3</v>
      </c>
      <c r="X1389" s="9">
        <v>3.1572087</v>
      </c>
      <c r="Y1389" s="39"/>
    </row>
    <row r="1390" spans="1:25" ht="15" thickBot="1">
      <c r="A1390" s="29">
        <f t="shared" si="1402"/>
        <v>45893.791666665282</v>
      </c>
      <c r="B1390" s="30">
        <f t="shared" si="1429"/>
        <v>5000</v>
      </c>
      <c r="C1390" s="8">
        <v>25000</v>
      </c>
      <c r="D1390" s="187">
        <v>0</v>
      </c>
      <c r="E1390" s="187">
        <v>700</v>
      </c>
      <c r="F1390" s="187">
        <v>15000</v>
      </c>
      <c r="G1390" s="30">
        <f t="shared" si="1430"/>
        <v>2400</v>
      </c>
      <c r="H1390" s="8">
        <v>25000</v>
      </c>
      <c r="I1390" s="30">
        <f t="shared" si="1431"/>
        <v>5000</v>
      </c>
      <c r="J1390" s="187">
        <v>40000</v>
      </c>
      <c r="K1390" s="30">
        <f t="shared" si="1432"/>
        <v>5000</v>
      </c>
      <c r="L1390" s="187">
        <v>40000</v>
      </c>
      <c r="M1390" s="110">
        <v>9.5</v>
      </c>
      <c r="N1390" s="9">
        <f>VLOOKUP(DATE(YEAR(A1390),MONTH(A1390),DAY(A1390)),FY24_Temp[],3,FALSE)</f>
        <v>14.71</v>
      </c>
      <c r="O1390" s="110">
        <f t="shared" si="1418"/>
        <v>11.5</v>
      </c>
      <c r="P1390" s="110">
        <f t="shared" si="1419"/>
        <v>19.5</v>
      </c>
      <c r="Q1390" s="79">
        <f>VLOOKUP(VLOOKUP(DATEVALUE(TEXT(A1390,"m/d/yyyy")),FY24_Temp[],5,FALSE)&amp;TEXT(A1390,"-h"),TempDelta[],4,FALSE)</f>
        <v>1.0640714168548584</v>
      </c>
      <c r="R1390">
        <v>10</v>
      </c>
      <c r="S1390" s="112">
        <v>1500</v>
      </c>
      <c r="T1390" s="5">
        <f>VLOOKUP(TEXT(A1390,"yy-mm")&amp;"-"&amp;IF(AND(WEEKDAY(A1390)&gt;1,WEEKDAY(A1390)&lt;7),"Wkd",TEXT(A1390,"Ddd"))&amp;"-"&amp;TEXT(A1390,"hh"),LoadTable[],3,FALSE)*0.92</f>
        <v>786.27137399656624</v>
      </c>
      <c r="U1390" s="113">
        <f t="shared" si="1420"/>
        <v>78.627137399656618</v>
      </c>
      <c r="V1390">
        <f t="shared" ref="V1390:W1390" si="1467">V1366</f>
        <v>3</v>
      </c>
      <c r="W1390">
        <f t="shared" si="1467"/>
        <v>3</v>
      </c>
      <c r="X1390" s="9">
        <v>3.1256213000000002</v>
      </c>
      <c r="Y1390" s="39"/>
    </row>
    <row r="1391" spans="1:25" ht="15" thickBot="1">
      <c r="A1391" s="29">
        <f t="shared" si="1402"/>
        <v>45893.833333331946</v>
      </c>
      <c r="B1391" s="30">
        <f t="shared" si="1429"/>
        <v>5000</v>
      </c>
      <c r="C1391" s="8">
        <v>25000</v>
      </c>
      <c r="D1391" s="187">
        <v>0</v>
      </c>
      <c r="E1391" s="187">
        <v>700</v>
      </c>
      <c r="F1391" s="187">
        <v>15000</v>
      </c>
      <c r="G1391" s="30">
        <f t="shared" si="1430"/>
        <v>2400</v>
      </c>
      <c r="H1391" s="8">
        <v>25000</v>
      </c>
      <c r="I1391" s="30">
        <f t="shared" si="1431"/>
        <v>5000</v>
      </c>
      <c r="J1391" s="187">
        <v>40000</v>
      </c>
      <c r="K1391" s="30">
        <f t="shared" si="1432"/>
        <v>5000</v>
      </c>
      <c r="L1391" s="187">
        <v>40000</v>
      </c>
      <c r="M1391" s="110">
        <v>9.5</v>
      </c>
      <c r="N1391" s="9">
        <f>VLOOKUP(DATE(YEAR(A1391),MONTH(A1391),DAY(A1391)),FY24_Temp[],3,FALSE)</f>
        <v>14.71</v>
      </c>
      <c r="O1391" s="110">
        <f t="shared" si="1418"/>
        <v>11.5</v>
      </c>
      <c r="P1391" s="110">
        <f t="shared" si="1419"/>
        <v>19.5</v>
      </c>
      <c r="Q1391" s="79">
        <f>VLOOKUP(VLOOKUP(DATEVALUE(TEXT(A1391,"m/d/yyyy")),FY24_Temp[],5,FALSE)&amp;TEXT(A1391,"-h"),TempDelta[],4,FALSE)</f>
        <v>1.4742142728396825</v>
      </c>
      <c r="R1391">
        <v>10</v>
      </c>
      <c r="S1391" s="112">
        <v>1500</v>
      </c>
      <c r="T1391" s="5">
        <f>VLOOKUP(TEXT(A1391,"yy-mm")&amp;"-"&amp;IF(AND(WEEKDAY(A1391)&gt;1,WEEKDAY(A1391)&lt;7),"Wkd",TEXT(A1391,"Ddd"))&amp;"-"&amp;TEXT(A1391,"hh"),LoadTable[],3,FALSE)*0.92</f>
        <v>786.27137399656647</v>
      </c>
      <c r="U1391" s="113">
        <f t="shared" si="1420"/>
        <v>78.627137399656647</v>
      </c>
      <c r="V1391">
        <f t="shared" ref="V1391:W1391" si="1468">V1367</f>
        <v>2.8</v>
      </c>
      <c r="W1391">
        <f t="shared" si="1468"/>
        <v>3.1</v>
      </c>
      <c r="X1391" s="9">
        <v>3.0890228999999998</v>
      </c>
      <c r="Y1391" s="39"/>
    </row>
    <row r="1392" spans="1:25" ht="15" thickBot="1">
      <c r="A1392" s="29">
        <f t="shared" si="1402"/>
        <v>45893.87499999861</v>
      </c>
      <c r="B1392" s="30">
        <f t="shared" si="1429"/>
        <v>5000</v>
      </c>
      <c r="C1392" s="8">
        <v>25000</v>
      </c>
      <c r="D1392" s="187">
        <v>0</v>
      </c>
      <c r="E1392" s="187">
        <v>700</v>
      </c>
      <c r="F1392" s="187">
        <v>15000</v>
      </c>
      <c r="G1392" s="30">
        <f t="shared" si="1430"/>
        <v>2400</v>
      </c>
      <c r="H1392" s="8">
        <v>25000</v>
      </c>
      <c r="I1392" s="30">
        <f t="shared" si="1431"/>
        <v>5000</v>
      </c>
      <c r="J1392" s="187">
        <v>40000</v>
      </c>
      <c r="K1392" s="30">
        <f t="shared" si="1432"/>
        <v>5000</v>
      </c>
      <c r="L1392" s="187">
        <v>40000</v>
      </c>
      <c r="M1392" s="110">
        <v>9.5</v>
      </c>
      <c r="N1392" s="9">
        <f>VLOOKUP(DATE(YEAR(A1392),MONTH(A1392),DAY(A1392)),FY24_Temp[],3,FALSE)</f>
        <v>14.71</v>
      </c>
      <c r="O1392" s="110">
        <f t="shared" si="1418"/>
        <v>11.5</v>
      </c>
      <c r="P1392" s="110">
        <f t="shared" si="1419"/>
        <v>19.5</v>
      </c>
      <c r="Q1392" s="79">
        <f>VLOOKUP(VLOOKUP(DATEVALUE(TEXT(A1392,"m/d/yyyy")),FY24_Temp[],5,FALSE)&amp;TEXT(A1392,"-h"),TempDelta[],4,FALSE)</f>
        <v>1.7937857168061393</v>
      </c>
      <c r="R1392">
        <v>10</v>
      </c>
      <c r="S1392" s="112">
        <v>1500</v>
      </c>
      <c r="T1392" s="5">
        <f>VLOOKUP(TEXT(A1392,"yy-mm")&amp;"-"&amp;IF(AND(WEEKDAY(A1392)&gt;1,WEEKDAY(A1392)&lt;7),"Wkd",TEXT(A1392,"Ddd"))&amp;"-"&amp;TEXT(A1392,"hh"),LoadTable[],3,FALSE)*0.92</f>
        <v>659.17515115813114</v>
      </c>
      <c r="U1392" s="113">
        <f t="shared" si="1420"/>
        <v>65.917515115813117</v>
      </c>
      <c r="V1392">
        <f t="shared" ref="V1392:W1392" si="1469">V1368</f>
        <v>3.5</v>
      </c>
      <c r="W1392">
        <f t="shared" si="1469"/>
        <v>3.1</v>
      </c>
      <c r="X1392" s="9">
        <v>3.0593989000000001</v>
      </c>
      <c r="Y1392" s="39"/>
    </row>
    <row r="1393" spans="1:25" ht="15" thickBot="1">
      <c r="A1393" s="29">
        <f t="shared" si="1402"/>
        <v>45893.916666665275</v>
      </c>
      <c r="B1393" s="30">
        <f t="shared" si="1429"/>
        <v>5000</v>
      </c>
      <c r="C1393" s="8">
        <v>25000</v>
      </c>
      <c r="D1393" s="187">
        <v>0</v>
      </c>
      <c r="E1393" s="187">
        <v>700</v>
      </c>
      <c r="F1393" s="187">
        <v>15000</v>
      </c>
      <c r="G1393" s="30">
        <f t="shared" si="1430"/>
        <v>2400</v>
      </c>
      <c r="H1393" s="8">
        <v>25000</v>
      </c>
      <c r="I1393" s="30">
        <f t="shared" si="1431"/>
        <v>5000</v>
      </c>
      <c r="J1393" s="187">
        <v>40000</v>
      </c>
      <c r="K1393" s="30">
        <f t="shared" si="1432"/>
        <v>5000</v>
      </c>
      <c r="L1393" s="187">
        <v>40000</v>
      </c>
      <c r="M1393" s="110">
        <v>9.5</v>
      </c>
      <c r="N1393" s="9">
        <f>VLOOKUP(DATE(YEAR(A1393),MONTH(A1393),DAY(A1393)),FY24_Temp[],3,FALSE)</f>
        <v>14.71</v>
      </c>
      <c r="O1393" s="110">
        <f t="shared" si="1418"/>
        <v>11.5</v>
      </c>
      <c r="P1393" s="110">
        <f t="shared" si="1419"/>
        <v>19.5</v>
      </c>
      <c r="Q1393" s="79">
        <f>VLOOKUP(VLOOKUP(DATEVALUE(TEXT(A1393,"m/d/yyyy")),FY24_Temp[],5,FALSE)&amp;TEXT(A1393,"-h"),TempDelta[],4,FALSE)</f>
        <v>2.1767142840794156</v>
      </c>
      <c r="R1393">
        <v>10</v>
      </c>
      <c r="S1393" s="112">
        <v>1500</v>
      </c>
      <c r="T1393" s="5">
        <f>VLOOKUP(TEXT(A1393,"yy-mm")&amp;"-"&amp;IF(AND(WEEKDAY(A1393)&gt;1,WEEKDAY(A1393)&lt;7),"Wkd",TEXT(A1393,"Ddd"))&amp;"-"&amp;TEXT(A1393,"hh"),LoadTable[],3,FALSE)*0.92</f>
        <v>598.79212957269056</v>
      </c>
      <c r="U1393" s="113">
        <f t="shared" si="1420"/>
        <v>59.879212957269054</v>
      </c>
      <c r="V1393">
        <f t="shared" ref="V1393:W1393" si="1470">V1369</f>
        <v>2.9</v>
      </c>
      <c r="W1393">
        <f t="shared" si="1470"/>
        <v>3.1</v>
      </c>
      <c r="X1393" s="9">
        <v>3.0277400000000001</v>
      </c>
      <c r="Y1393" s="39"/>
    </row>
    <row r="1394" spans="1:25" ht="15" thickBot="1">
      <c r="A1394" s="29">
        <f t="shared" si="1402"/>
        <v>45893.958333331939</v>
      </c>
      <c r="B1394" s="30">
        <f t="shared" si="1429"/>
        <v>5000</v>
      </c>
      <c r="C1394" s="8">
        <v>25000</v>
      </c>
      <c r="D1394" s="187">
        <v>0</v>
      </c>
      <c r="E1394" s="187">
        <v>700</v>
      </c>
      <c r="F1394" s="187">
        <v>15000</v>
      </c>
      <c r="G1394" s="30">
        <f t="shared" si="1430"/>
        <v>2400</v>
      </c>
      <c r="H1394" s="8">
        <v>25000</v>
      </c>
      <c r="I1394" s="30">
        <f t="shared" si="1431"/>
        <v>5000</v>
      </c>
      <c r="J1394" s="187">
        <v>40000</v>
      </c>
      <c r="K1394" s="30">
        <f t="shared" si="1432"/>
        <v>5000</v>
      </c>
      <c r="L1394" s="187">
        <v>40000</v>
      </c>
      <c r="M1394" s="110">
        <v>9.5</v>
      </c>
      <c r="N1394" s="9">
        <f>VLOOKUP(DATE(YEAR(A1394),MONTH(A1394),DAY(A1394)),FY24_Temp[],3,FALSE)</f>
        <v>14.71</v>
      </c>
      <c r="O1394" s="110">
        <f t="shared" si="1418"/>
        <v>11.5</v>
      </c>
      <c r="P1394" s="110">
        <f t="shared" si="1419"/>
        <v>19.5</v>
      </c>
      <c r="Q1394" s="79">
        <f>VLOOKUP(VLOOKUP(DATEVALUE(TEXT(A1394,"m/d/yyyy")),FY24_Temp[],5,FALSE)&amp;TEXT(A1394,"-h"),TempDelta[],4,FALSE)</f>
        <v>2.3071428367069791</v>
      </c>
      <c r="R1394">
        <v>10</v>
      </c>
      <c r="S1394" s="112">
        <v>1500</v>
      </c>
      <c r="T1394" s="5">
        <f>VLOOKUP(TEXT(A1394,"yy-mm")&amp;"-"&amp;IF(AND(WEEKDAY(A1394)&gt;1,WEEKDAY(A1394)&lt;7),"Wkd",TEXT(A1394,"Ddd"))&amp;"-"&amp;TEXT(A1394,"hh"),LoadTable[],3,FALSE)*0.92</f>
        <v>457.15168</v>
      </c>
      <c r="U1394" s="113">
        <f t="shared" si="1420"/>
        <v>45.715167999999998</v>
      </c>
      <c r="V1394">
        <f t="shared" ref="V1394:W1394" si="1471">V1370</f>
        <v>3.6</v>
      </c>
      <c r="W1394">
        <f t="shared" si="1471"/>
        <v>3.1</v>
      </c>
      <c r="X1394" s="9">
        <v>2.9326799000000001</v>
      </c>
      <c r="Y1394" s="39"/>
    </row>
    <row r="1395" spans="1:25" ht="15" thickBot="1">
      <c r="A1395" s="29">
        <f t="shared" si="1402"/>
        <v>45893.999999998603</v>
      </c>
      <c r="B1395" s="30">
        <f t="shared" si="1429"/>
        <v>5000</v>
      </c>
      <c r="C1395" s="8">
        <v>25000</v>
      </c>
      <c r="D1395" s="187">
        <v>0</v>
      </c>
      <c r="E1395" s="187">
        <v>700</v>
      </c>
      <c r="F1395" s="187">
        <v>15000</v>
      </c>
      <c r="G1395" s="30">
        <f t="shared" si="1430"/>
        <v>2400</v>
      </c>
      <c r="H1395" s="8">
        <v>25000</v>
      </c>
      <c r="I1395" s="30">
        <f t="shared" si="1431"/>
        <v>5000</v>
      </c>
      <c r="J1395" s="187">
        <v>40000</v>
      </c>
      <c r="K1395" s="30">
        <f t="shared" si="1432"/>
        <v>5000</v>
      </c>
      <c r="L1395" s="187">
        <v>40000</v>
      </c>
      <c r="M1395" s="110">
        <v>9.5</v>
      </c>
      <c r="N1395" s="9">
        <f>VLOOKUP(DATE(YEAR(A1395),MONTH(A1395),DAY(A1395)),FY24_Temp[],3,FALSE)</f>
        <v>14.71</v>
      </c>
      <c r="O1395" s="110">
        <f t="shared" si="1418"/>
        <v>11.5</v>
      </c>
      <c r="P1395" s="110">
        <f t="shared" si="1419"/>
        <v>19.5</v>
      </c>
      <c r="Q1395" s="79">
        <f>VLOOKUP(VLOOKUP(DATEVALUE(TEXT(A1395,"m/d/yyyy")),FY24_Temp[],5,FALSE)&amp;TEXT(A1395,"-h"),TempDelta[],4,FALSE)</f>
        <v>2.2534285613468716</v>
      </c>
      <c r="R1395">
        <v>10</v>
      </c>
      <c r="S1395" s="112">
        <v>1500</v>
      </c>
      <c r="T1395" s="5">
        <f>VLOOKUP(TEXT(A1395,"yy-mm")&amp;"-"&amp;IF(AND(WEEKDAY(A1395)&gt;1,WEEKDAY(A1395)&lt;7),"Wkd",TEXT(A1395,"Ddd"))&amp;"-"&amp;TEXT(A1395,"hh"),LoadTable[],3,FALSE)*0.92</f>
        <v>372.20164</v>
      </c>
      <c r="U1395" s="113">
        <f t="shared" si="1420"/>
        <v>37.220163999999997</v>
      </c>
      <c r="V1395">
        <f t="shared" ref="V1395:W1395" si="1472">V1371</f>
        <v>3</v>
      </c>
      <c r="W1395">
        <f t="shared" si="1472"/>
        <v>3.2</v>
      </c>
      <c r="X1395" s="9">
        <v>2.8367070999999999</v>
      </c>
      <c r="Y1395" s="39"/>
    </row>
    <row r="1396" spans="1:25" ht="15" thickBot="1">
      <c r="A1396" s="29">
        <f t="shared" si="1402"/>
        <v>45894.041666665267</v>
      </c>
      <c r="B1396" s="30">
        <f t="shared" si="1429"/>
        <v>5000</v>
      </c>
      <c r="C1396" s="8">
        <v>25000</v>
      </c>
      <c r="D1396" s="187">
        <v>0</v>
      </c>
      <c r="E1396" s="187">
        <v>700</v>
      </c>
      <c r="F1396" s="187">
        <v>15000</v>
      </c>
      <c r="G1396" s="30">
        <f t="shared" si="1430"/>
        <v>2400</v>
      </c>
      <c r="H1396" s="8">
        <v>25000</v>
      </c>
      <c r="I1396" s="30">
        <f t="shared" si="1431"/>
        <v>5000</v>
      </c>
      <c r="J1396" s="187">
        <v>40000</v>
      </c>
      <c r="K1396" s="30">
        <f t="shared" si="1432"/>
        <v>5000</v>
      </c>
      <c r="L1396" s="187">
        <v>40000</v>
      </c>
      <c r="M1396" s="110">
        <v>9.5</v>
      </c>
      <c r="N1396" s="9">
        <f>VLOOKUP(DATE(YEAR(A1396),MONTH(A1396),DAY(A1396)),FY24_Temp[],3,FALSE)</f>
        <v>14.71</v>
      </c>
      <c r="O1396" s="110">
        <f t="shared" si="1418"/>
        <v>11.5</v>
      </c>
      <c r="P1396" s="110">
        <f t="shared" si="1419"/>
        <v>19.5</v>
      </c>
      <c r="Q1396" s="79">
        <f>VLOOKUP(VLOOKUP(DATEVALUE(TEXT(A1396,"m/d/yyyy")),FY24_Temp[],5,FALSE)&amp;TEXT(A1396,"-h"),TempDelta[],4,FALSE)</f>
        <v>2.5014285700661794</v>
      </c>
      <c r="R1396">
        <v>10</v>
      </c>
      <c r="S1396" s="112">
        <v>1500</v>
      </c>
      <c r="T1396" s="5">
        <f>VLOOKUP(TEXT(A1396,"yy-mm")&amp;"-"&amp;IF(AND(WEEKDAY(A1396)&gt;1,WEEKDAY(A1396)&lt;7),"Wkd",TEXT(A1396,"Ddd"))&amp;"-"&amp;TEXT(A1396,"hh"),LoadTable[],3,FALSE)*0.92</f>
        <v>363.06235999999996</v>
      </c>
      <c r="U1396" s="113">
        <f t="shared" si="1420"/>
        <v>36.306235999999998</v>
      </c>
      <c r="V1396">
        <f t="shared" ref="V1396:W1396" si="1473">V1372</f>
        <v>2.6</v>
      </c>
      <c r="W1396">
        <f t="shared" si="1473"/>
        <v>3.2</v>
      </c>
      <c r="X1396" s="9">
        <v>2.7599320000000001</v>
      </c>
      <c r="Y1396" s="39"/>
    </row>
    <row r="1397" spans="1:25" ht="15" thickBot="1">
      <c r="A1397" s="29">
        <f t="shared" ref="A1397:A1460" si="1474">A1396+TIME(1,0,0)</f>
        <v>45894.083333331931</v>
      </c>
      <c r="B1397" s="30">
        <f t="shared" si="1429"/>
        <v>5000</v>
      </c>
      <c r="C1397" s="8">
        <v>25000</v>
      </c>
      <c r="D1397" s="187">
        <v>0</v>
      </c>
      <c r="E1397" s="187">
        <v>700</v>
      </c>
      <c r="F1397" s="187">
        <v>15000</v>
      </c>
      <c r="G1397" s="30">
        <f t="shared" si="1430"/>
        <v>2400</v>
      </c>
      <c r="H1397" s="8">
        <v>25000</v>
      </c>
      <c r="I1397" s="30">
        <f t="shared" si="1431"/>
        <v>5000</v>
      </c>
      <c r="J1397" s="187">
        <v>40000</v>
      </c>
      <c r="K1397" s="30">
        <f t="shared" si="1432"/>
        <v>5000</v>
      </c>
      <c r="L1397" s="187">
        <v>40000</v>
      </c>
      <c r="M1397" s="110">
        <v>9.5</v>
      </c>
      <c r="N1397" s="9">
        <f>VLOOKUP(DATE(YEAR(A1397),MONTH(A1397),DAY(A1397)),FY24_Temp[],3,FALSE)</f>
        <v>14.71</v>
      </c>
      <c r="O1397" s="110">
        <f t="shared" si="1418"/>
        <v>11.5</v>
      </c>
      <c r="P1397" s="110">
        <f t="shared" si="1419"/>
        <v>19.5</v>
      </c>
      <c r="Q1397" s="79">
        <f>VLOOKUP(VLOOKUP(DATEVALUE(TEXT(A1397,"m/d/yyyy")),FY24_Temp[],5,FALSE)&amp;TEXT(A1397,"-h"),TempDelta[],4,FALSE)</f>
        <v>2.5255714144025529</v>
      </c>
      <c r="R1397">
        <v>10</v>
      </c>
      <c r="S1397" s="112">
        <v>1500</v>
      </c>
      <c r="T1397" s="5">
        <f>VLOOKUP(TEXT(A1397,"yy-mm")&amp;"-"&amp;IF(AND(WEEKDAY(A1397)&gt;1,WEEKDAY(A1397)&lt;7),"Wkd",TEXT(A1397,"Ddd"))&amp;"-"&amp;TEXT(A1397,"hh"),LoadTable[],3,FALSE)*0.92</f>
        <v>363.06235999999996</v>
      </c>
      <c r="U1397" s="113">
        <f t="shared" si="1420"/>
        <v>36.306235999999998</v>
      </c>
      <c r="V1397">
        <f t="shared" ref="V1397:W1397" si="1475">V1373</f>
        <v>2.8</v>
      </c>
      <c r="W1397">
        <f t="shared" si="1475"/>
        <v>3.2</v>
      </c>
      <c r="X1397" s="9">
        <v>2.8298844999999999</v>
      </c>
      <c r="Y1397" s="39"/>
    </row>
    <row r="1398" spans="1:25" ht="15" thickBot="1">
      <c r="A1398" s="29">
        <f t="shared" si="1474"/>
        <v>45894.124999998596</v>
      </c>
      <c r="B1398" s="30">
        <f t="shared" si="1429"/>
        <v>5000</v>
      </c>
      <c r="C1398" s="8">
        <v>25000</v>
      </c>
      <c r="D1398" s="187">
        <v>0</v>
      </c>
      <c r="E1398" s="187">
        <v>700</v>
      </c>
      <c r="F1398" s="187">
        <v>15000</v>
      </c>
      <c r="G1398" s="30">
        <f t="shared" si="1430"/>
        <v>2400</v>
      </c>
      <c r="H1398" s="8">
        <v>25000</v>
      </c>
      <c r="I1398" s="30">
        <f t="shared" si="1431"/>
        <v>5000</v>
      </c>
      <c r="J1398" s="187">
        <v>40000</v>
      </c>
      <c r="K1398" s="30">
        <f t="shared" si="1432"/>
        <v>5000</v>
      </c>
      <c r="L1398" s="187">
        <v>40000</v>
      </c>
      <c r="M1398" s="110">
        <v>9.5</v>
      </c>
      <c r="N1398" s="9">
        <f>VLOOKUP(DATE(YEAR(A1398),MONTH(A1398),DAY(A1398)),FY24_Temp[],3,FALSE)</f>
        <v>14.71</v>
      </c>
      <c r="O1398" s="110">
        <f t="shared" si="1418"/>
        <v>11.5</v>
      </c>
      <c r="P1398" s="110">
        <f t="shared" si="1419"/>
        <v>19.5</v>
      </c>
      <c r="Q1398" s="79">
        <f>VLOOKUP(VLOOKUP(DATEVALUE(TEXT(A1398,"m/d/yyyy")),FY24_Temp[],5,FALSE)&amp;TEXT(A1398,"-h"),TempDelta[],4,FALSE)</f>
        <v>2.5220000403267995</v>
      </c>
      <c r="R1398">
        <v>10</v>
      </c>
      <c r="S1398" s="112">
        <v>1500</v>
      </c>
      <c r="T1398" s="5">
        <f>VLOOKUP(TEXT(A1398,"yy-mm")&amp;"-"&amp;IF(AND(WEEKDAY(A1398)&gt;1,WEEKDAY(A1398)&lt;7),"Wkd",TEXT(A1398,"Ddd"))&amp;"-"&amp;TEXT(A1398,"hh"),LoadTable[],3,FALSE)*0.92</f>
        <v>363.06235999999996</v>
      </c>
      <c r="U1398" s="113">
        <f t="shared" si="1420"/>
        <v>36.306235999999998</v>
      </c>
      <c r="V1398">
        <f t="shared" ref="V1398:W1398" si="1476">V1374</f>
        <v>2.7</v>
      </c>
      <c r="W1398">
        <f t="shared" si="1476"/>
        <v>3.2</v>
      </c>
      <c r="X1398" s="9">
        <v>2.8883402</v>
      </c>
      <c r="Y1398" s="39"/>
    </row>
    <row r="1399" spans="1:25" ht="15" thickBot="1">
      <c r="A1399" s="29">
        <f t="shared" si="1474"/>
        <v>45894.16666666526</v>
      </c>
      <c r="B1399" s="30">
        <f t="shared" si="1429"/>
        <v>5000</v>
      </c>
      <c r="C1399" s="8">
        <v>25000</v>
      </c>
      <c r="D1399" s="187">
        <v>0</v>
      </c>
      <c r="E1399" s="187">
        <v>700</v>
      </c>
      <c r="F1399" s="187">
        <v>15000</v>
      </c>
      <c r="G1399" s="30">
        <f t="shared" si="1430"/>
        <v>2400</v>
      </c>
      <c r="H1399" s="8">
        <v>25000</v>
      </c>
      <c r="I1399" s="30">
        <f t="shared" si="1431"/>
        <v>5000</v>
      </c>
      <c r="J1399" s="187">
        <v>40000</v>
      </c>
      <c r="K1399" s="30">
        <f t="shared" si="1432"/>
        <v>5000</v>
      </c>
      <c r="L1399" s="187">
        <v>40000</v>
      </c>
      <c r="M1399" s="110">
        <v>9.5</v>
      </c>
      <c r="N1399" s="9">
        <f>VLOOKUP(DATE(YEAR(A1399),MONTH(A1399),DAY(A1399)),FY24_Temp[],3,FALSE)</f>
        <v>14.71</v>
      </c>
      <c r="O1399" s="110">
        <f t="shared" si="1418"/>
        <v>11.5</v>
      </c>
      <c r="P1399" s="110">
        <f t="shared" si="1419"/>
        <v>19.5</v>
      </c>
      <c r="Q1399" s="79">
        <f>VLOOKUP(VLOOKUP(DATEVALUE(TEXT(A1399,"m/d/yyyy")),FY24_Temp[],5,FALSE)&amp;TEXT(A1399,"-h"),TempDelta[],4,FALSE)</f>
        <v>2.5181428364345004</v>
      </c>
      <c r="R1399">
        <v>10</v>
      </c>
      <c r="S1399" s="112">
        <v>1500</v>
      </c>
      <c r="T1399" s="5">
        <f>VLOOKUP(TEXT(A1399,"yy-mm")&amp;"-"&amp;IF(AND(WEEKDAY(A1399)&gt;1,WEEKDAY(A1399)&lt;7),"Wkd",TEXT(A1399,"Ddd"))&amp;"-"&amp;TEXT(A1399,"hh"),LoadTable[],3,FALSE)*0.92</f>
        <v>363.06235999999996</v>
      </c>
      <c r="U1399" s="113">
        <f t="shared" si="1420"/>
        <v>36.306235999999998</v>
      </c>
      <c r="V1399">
        <f t="shared" ref="V1399:W1399" si="1477">V1375</f>
        <v>3</v>
      </c>
      <c r="W1399">
        <f t="shared" si="1477"/>
        <v>3.1</v>
      </c>
      <c r="X1399" s="9">
        <v>2.9127181000000002</v>
      </c>
      <c r="Y1399" s="39"/>
    </row>
    <row r="1400" spans="1:25" ht="15" thickBot="1">
      <c r="A1400" s="29">
        <f t="shared" si="1474"/>
        <v>45894.208333331924</v>
      </c>
      <c r="B1400" s="30">
        <f t="shared" si="1429"/>
        <v>5000</v>
      </c>
      <c r="C1400" s="8">
        <v>25000</v>
      </c>
      <c r="D1400" s="187">
        <v>0</v>
      </c>
      <c r="E1400" s="187">
        <v>700</v>
      </c>
      <c r="F1400" s="187">
        <v>15000</v>
      </c>
      <c r="G1400" s="30">
        <f t="shared" si="1430"/>
        <v>2400</v>
      </c>
      <c r="H1400" s="8">
        <v>25000</v>
      </c>
      <c r="I1400" s="30">
        <f t="shared" si="1431"/>
        <v>5000</v>
      </c>
      <c r="J1400" s="187">
        <v>40000</v>
      </c>
      <c r="K1400" s="30">
        <f t="shared" si="1432"/>
        <v>5000</v>
      </c>
      <c r="L1400" s="187">
        <v>40000</v>
      </c>
      <c r="M1400" s="110">
        <v>9.5</v>
      </c>
      <c r="N1400" s="9">
        <f>VLOOKUP(DATE(YEAR(A1400),MONTH(A1400),DAY(A1400)),FY24_Temp[],3,FALSE)</f>
        <v>14.71</v>
      </c>
      <c r="O1400" s="110">
        <f t="shared" si="1418"/>
        <v>11.5</v>
      </c>
      <c r="P1400" s="110">
        <f t="shared" si="1419"/>
        <v>19.5</v>
      </c>
      <c r="Q1400" s="79">
        <f>VLOOKUP(VLOOKUP(DATEVALUE(TEXT(A1400,"m/d/yyyy")),FY24_Temp[],5,FALSE)&amp;TEXT(A1400,"-h"),TempDelta[],4,FALSE)</f>
        <v>2.5518571649278914</v>
      </c>
      <c r="R1400">
        <v>10</v>
      </c>
      <c r="S1400" s="112">
        <v>1500</v>
      </c>
      <c r="T1400" s="5">
        <f>VLOOKUP(TEXT(A1400,"yy-mm")&amp;"-"&amp;IF(AND(WEEKDAY(A1400)&gt;1,WEEKDAY(A1400)&lt;7),"Wkd",TEXT(A1400,"Ddd"))&amp;"-"&amp;TEXT(A1400,"hh"),LoadTable[],3,FALSE)*0.92</f>
        <v>363.06235999999996</v>
      </c>
      <c r="U1400" s="113">
        <f t="shared" si="1420"/>
        <v>36.306235999999998</v>
      </c>
      <c r="V1400">
        <f t="shared" ref="V1400:W1400" si="1478">V1376</f>
        <v>2.9</v>
      </c>
      <c r="W1400">
        <f t="shared" si="1478"/>
        <v>3.1</v>
      </c>
      <c r="X1400" s="9">
        <v>2.9824866999999999</v>
      </c>
      <c r="Y1400" s="39"/>
    </row>
    <row r="1401" spans="1:25" ht="15" thickBot="1">
      <c r="A1401" s="29">
        <f t="shared" si="1474"/>
        <v>45894.249999998588</v>
      </c>
      <c r="B1401" s="30">
        <f t="shared" si="1429"/>
        <v>8000</v>
      </c>
      <c r="C1401" s="8">
        <v>25000</v>
      </c>
      <c r="D1401" s="187">
        <v>0</v>
      </c>
      <c r="E1401" s="187">
        <v>700</v>
      </c>
      <c r="F1401" s="187">
        <v>15000</v>
      </c>
      <c r="G1401" s="30">
        <f t="shared" si="1430"/>
        <v>2400</v>
      </c>
      <c r="H1401" s="8">
        <v>25000</v>
      </c>
      <c r="I1401" s="30">
        <f t="shared" si="1431"/>
        <v>8000</v>
      </c>
      <c r="J1401" s="187">
        <v>40000</v>
      </c>
      <c r="K1401" s="30">
        <f t="shared" si="1432"/>
        <v>8000</v>
      </c>
      <c r="L1401" s="187">
        <v>40000</v>
      </c>
      <c r="M1401" s="110">
        <v>9.5</v>
      </c>
      <c r="N1401" s="9">
        <f>VLOOKUP(DATE(YEAR(A1401),MONTH(A1401),DAY(A1401)),FY24_Temp[],3,FALSE)</f>
        <v>14.71</v>
      </c>
      <c r="O1401" s="110">
        <f t="shared" si="1418"/>
        <v>11.5</v>
      </c>
      <c r="P1401" s="110">
        <f t="shared" si="1419"/>
        <v>19.5</v>
      </c>
      <c r="Q1401" s="79">
        <f>VLOOKUP(VLOOKUP(DATEVALUE(TEXT(A1401,"m/d/yyyy")),FY24_Temp[],5,FALSE)&amp;TEXT(A1401,"-h"),TempDelta[],4,FALSE)</f>
        <v>2.5557143007005965</v>
      </c>
      <c r="R1401">
        <v>10</v>
      </c>
      <c r="S1401" s="112">
        <v>1500</v>
      </c>
      <c r="T1401" s="5">
        <f>VLOOKUP(TEXT(A1401,"yy-mm")&amp;"-"&amp;IF(AND(WEEKDAY(A1401)&gt;1,WEEKDAY(A1401)&lt;7),"Wkd",TEXT(A1401,"Ddd"))&amp;"-"&amp;TEXT(A1401,"hh"),LoadTable[],3,FALSE)*0.92</f>
        <v>363.06235999999996</v>
      </c>
      <c r="U1401" s="113">
        <f t="shared" si="1420"/>
        <v>36.306235999999998</v>
      </c>
      <c r="V1401">
        <f t="shared" ref="V1401:W1401" si="1479">V1377</f>
        <v>2.5</v>
      </c>
      <c r="W1401">
        <f t="shared" si="1479"/>
        <v>3.1</v>
      </c>
      <c r="X1401" s="9">
        <v>3.0992891999999999</v>
      </c>
      <c r="Y1401" s="39"/>
    </row>
    <row r="1402" spans="1:25" ht="15" thickBot="1">
      <c r="A1402" s="29">
        <f t="shared" si="1474"/>
        <v>45894.291666665253</v>
      </c>
      <c r="B1402" s="30">
        <f t="shared" si="1429"/>
        <v>8000</v>
      </c>
      <c r="C1402" s="8">
        <v>25000</v>
      </c>
      <c r="D1402" s="187">
        <v>0</v>
      </c>
      <c r="E1402" s="187">
        <v>700</v>
      </c>
      <c r="F1402" s="187">
        <v>15000</v>
      </c>
      <c r="G1402" s="30">
        <f t="shared" si="1430"/>
        <v>2400</v>
      </c>
      <c r="H1402" s="8">
        <v>25000</v>
      </c>
      <c r="I1402" s="30">
        <f t="shared" si="1431"/>
        <v>8000</v>
      </c>
      <c r="J1402" s="187">
        <v>40000</v>
      </c>
      <c r="K1402" s="30">
        <f t="shared" si="1432"/>
        <v>8000</v>
      </c>
      <c r="L1402" s="187">
        <v>40000</v>
      </c>
      <c r="M1402" s="110">
        <v>9.5</v>
      </c>
      <c r="N1402" s="9">
        <f>VLOOKUP(DATE(YEAR(A1402),MONTH(A1402),DAY(A1402)),FY24_Temp[],3,FALSE)</f>
        <v>14.71</v>
      </c>
      <c r="O1402" s="110">
        <f t="shared" si="1418"/>
        <v>11.5</v>
      </c>
      <c r="P1402" s="110">
        <f t="shared" si="1419"/>
        <v>19.5</v>
      </c>
      <c r="Q1402" s="79">
        <f>VLOOKUP(VLOOKUP(DATEVALUE(TEXT(A1402,"m/d/yyyy")),FY24_Temp[],5,FALSE)&amp;TEXT(A1402,"-h"),TempDelta[],4,FALSE)</f>
        <v>2.5165714536394392</v>
      </c>
      <c r="R1402">
        <v>10</v>
      </c>
      <c r="S1402" s="112">
        <v>1500</v>
      </c>
      <c r="T1402" s="5">
        <f>VLOOKUP(TEXT(A1402,"yy-mm")&amp;"-"&amp;IF(AND(WEEKDAY(A1402)&gt;1,WEEKDAY(A1402)&lt;7),"Wkd",TEXT(A1402,"Ddd"))&amp;"-"&amp;TEXT(A1402,"hh"),LoadTable[],3,FALSE)*0.92</f>
        <v>352.2091200000001</v>
      </c>
      <c r="U1402" s="113">
        <f t="shared" si="1420"/>
        <v>35.220912000000013</v>
      </c>
      <c r="V1402">
        <f t="shared" ref="V1402:W1402" si="1480">V1378</f>
        <v>2.5</v>
      </c>
      <c r="W1402">
        <f t="shared" si="1480"/>
        <v>3.1</v>
      </c>
      <c r="X1402" s="9">
        <v>3.2376782999999998</v>
      </c>
      <c r="Y1402" s="39"/>
    </row>
    <row r="1403" spans="1:25" ht="15" thickBot="1">
      <c r="A1403" s="29">
        <f t="shared" si="1474"/>
        <v>45894.333333331917</v>
      </c>
      <c r="B1403" s="30">
        <f t="shared" si="1429"/>
        <v>8000</v>
      </c>
      <c r="C1403" s="8">
        <v>25000</v>
      </c>
      <c r="D1403" s="187">
        <v>0</v>
      </c>
      <c r="E1403" s="187">
        <v>700</v>
      </c>
      <c r="F1403" s="187">
        <v>15000</v>
      </c>
      <c r="G1403" s="30">
        <f t="shared" si="1430"/>
        <v>2400</v>
      </c>
      <c r="H1403" s="8">
        <v>25000</v>
      </c>
      <c r="I1403" s="30">
        <f t="shared" si="1431"/>
        <v>8000</v>
      </c>
      <c r="J1403" s="187">
        <v>40000</v>
      </c>
      <c r="K1403" s="30">
        <f t="shared" si="1432"/>
        <v>8000</v>
      </c>
      <c r="L1403" s="187">
        <v>40000</v>
      </c>
      <c r="M1403" s="110">
        <v>9.5</v>
      </c>
      <c r="N1403" s="9">
        <f>VLOOKUP(DATE(YEAR(A1403),MONTH(A1403),DAY(A1403)),FY24_Temp[],3,FALSE)</f>
        <v>14.71</v>
      </c>
      <c r="O1403" s="110">
        <f t="shared" si="1418"/>
        <v>11.5</v>
      </c>
      <c r="P1403" s="110">
        <f t="shared" si="1419"/>
        <v>19.5</v>
      </c>
      <c r="Q1403" s="79">
        <f>VLOOKUP(VLOOKUP(DATEVALUE(TEXT(A1403,"m/d/yyyy")),FY24_Temp[],5,FALSE)&amp;TEXT(A1403,"-h"),TempDelta[],4,FALSE)</f>
        <v>2.410571438925607</v>
      </c>
      <c r="R1403">
        <v>10</v>
      </c>
      <c r="S1403" s="112">
        <v>1500</v>
      </c>
      <c r="T1403" s="5">
        <f>VLOOKUP(TEXT(A1403,"yy-mm")&amp;"-"&amp;IF(AND(WEEKDAY(A1403)&gt;1,WEEKDAY(A1403)&lt;7),"Wkd",TEXT(A1403,"Ddd"))&amp;"-"&amp;TEXT(A1403,"hh"),LoadTable[],3,FALSE)*0.92</f>
        <v>352.2091200000001</v>
      </c>
      <c r="U1403" s="113">
        <f t="shared" si="1420"/>
        <v>35.220912000000013</v>
      </c>
      <c r="V1403">
        <f t="shared" ref="V1403:W1403" si="1481">V1379</f>
        <v>3.2</v>
      </c>
      <c r="W1403">
        <f t="shared" si="1481"/>
        <v>3</v>
      </c>
      <c r="X1403" s="9">
        <v>3.2945416000000001</v>
      </c>
      <c r="Y1403" s="39"/>
    </row>
    <row r="1404" spans="1:25" ht="15" thickBot="1">
      <c r="A1404" s="29">
        <f t="shared" si="1474"/>
        <v>45894.374999998581</v>
      </c>
      <c r="B1404" s="30">
        <f t="shared" si="1429"/>
        <v>8000</v>
      </c>
      <c r="C1404" s="8">
        <v>25000</v>
      </c>
      <c r="D1404" s="187">
        <v>0</v>
      </c>
      <c r="E1404" s="187">
        <v>700</v>
      </c>
      <c r="F1404" s="187">
        <v>15000</v>
      </c>
      <c r="G1404" s="30">
        <f t="shared" si="1430"/>
        <v>2400</v>
      </c>
      <c r="H1404" s="8">
        <v>25000</v>
      </c>
      <c r="I1404" s="30">
        <f t="shared" si="1431"/>
        <v>8000</v>
      </c>
      <c r="J1404" s="187">
        <v>40000</v>
      </c>
      <c r="K1404" s="30">
        <f t="shared" si="1432"/>
        <v>8000</v>
      </c>
      <c r="L1404" s="187">
        <v>40000</v>
      </c>
      <c r="M1404" s="110">
        <v>9.5</v>
      </c>
      <c r="N1404" s="9">
        <f>VLOOKUP(DATE(YEAR(A1404),MONTH(A1404),DAY(A1404)),FY24_Temp[],3,FALSE)</f>
        <v>14.71</v>
      </c>
      <c r="O1404" s="110">
        <f t="shared" si="1418"/>
        <v>11.5</v>
      </c>
      <c r="P1404" s="110">
        <f t="shared" si="1419"/>
        <v>19.5</v>
      </c>
      <c r="Q1404" s="79">
        <f>VLOOKUP(VLOOKUP(DATEVALUE(TEXT(A1404,"m/d/yyyy")),FY24_Temp[],5,FALSE)&amp;TEXT(A1404,"-h"),TempDelta[],4,FALSE)</f>
        <v>2.2332857336316789</v>
      </c>
      <c r="R1404">
        <v>10</v>
      </c>
      <c r="S1404" s="112">
        <v>1500</v>
      </c>
      <c r="T1404" s="5">
        <f>VLOOKUP(TEXT(A1404,"yy-mm")&amp;"-"&amp;IF(AND(WEEKDAY(A1404)&gt;1,WEEKDAY(A1404)&lt;7),"Wkd",TEXT(A1404,"Ddd"))&amp;"-"&amp;TEXT(A1404,"hh"),LoadTable[],3,FALSE)*0.92</f>
        <v>340.60949077857163</v>
      </c>
      <c r="U1404" s="113">
        <f t="shared" si="1420"/>
        <v>34.06094907785716</v>
      </c>
      <c r="V1404">
        <f t="shared" ref="V1404:W1404" si="1482">V1380</f>
        <v>2.9</v>
      </c>
      <c r="W1404">
        <f t="shared" si="1482"/>
        <v>3</v>
      </c>
      <c r="X1404" s="9">
        <v>3.3307959999999999</v>
      </c>
      <c r="Y1404" s="39"/>
    </row>
    <row r="1405" spans="1:25" ht="15" thickBot="1">
      <c r="A1405" s="29">
        <f t="shared" si="1474"/>
        <v>45894.416666665245</v>
      </c>
      <c r="B1405" s="30">
        <f t="shared" si="1429"/>
        <v>8000</v>
      </c>
      <c r="C1405" s="8">
        <v>25000</v>
      </c>
      <c r="D1405" s="187">
        <v>0</v>
      </c>
      <c r="E1405" s="187">
        <v>700</v>
      </c>
      <c r="F1405" s="187">
        <v>15000</v>
      </c>
      <c r="G1405" s="30">
        <f t="shared" si="1430"/>
        <v>2400</v>
      </c>
      <c r="H1405" s="8">
        <v>25000</v>
      </c>
      <c r="I1405" s="30">
        <f t="shared" si="1431"/>
        <v>8000</v>
      </c>
      <c r="J1405" s="187">
        <v>40000</v>
      </c>
      <c r="K1405" s="30">
        <f t="shared" si="1432"/>
        <v>8000</v>
      </c>
      <c r="L1405" s="187">
        <v>40000</v>
      </c>
      <c r="M1405" s="110">
        <v>9.5</v>
      </c>
      <c r="N1405" s="9">
        <f>VLOOKUP(DATE(YEAR(A1405),MONTH(A1405),DAY(A1405)),FY24_Temp[],3,FALSE)</f>
        <v>14.71</v>
      </c>
      <c r="O1405" s="110">
        <f t="shared" si="1418"/>
        <v>11.5</v>
      </c>
      <c r="P1405" s="110">
        <f t="shared" si="1419"/>
        <v>19.5</v>
      </c>
      <c r="Q1405" s="79">
        <f>VLOOKUP(VLOOKUP(DATEVALUE(TEXT(A1405,"m/d/yyyy")),FY24_Temp[],5,FALSE)&amp;TEXT(A1405,"-h"),TempDelta[],4,FALSE)</f>
        <v>2.0304285798754012</v>
      </c>
      <c r="R1405">
        <v>10</v>
      </c>
      <c r="S1405" s="112">
        <v>1500</v>
      </c>
      <c r="T1405" s="5">
        <f>VLOOKUP(TEXT(A1405,"yy-mm")&amp;"-"&amp;IF(AND(WEEKDAY(A1405)&gt;1,WEEKDAY(A1405)&lt;7),"Wkd",TEXT(A1405,"Ddd"))&amp;"-"&amp;TEXT(A1405,"hh"),LoadTable[],3,FALSE)*0.92</f>
        <v>338.44093501457746</v>
      </c>
      <c r="U1405" s="113">
        <f t="shared" si="1420"/>
        <v>33.844093501457749</v>
      </c>
      <c r="V1405">
        <f t="shared" ref="V1405:W1405" si="1483">V1381</f>
        <v>2.9</v>
      </c>
      <c r="W1405">
        <f t="shared" si="1483"/>
        <v>3</v>
      </c>
      <c r="X1405" s="9">
        <v>3.398927</v>
      </c>
      <c r="Y1405" s="39"/>
    </row>
    <row r="1406" spans="1:25" ht="15" thickBot="1">
      <c r="A1406" s="29">
        <f t="shared" si="1474"/>
        <v>45894.45833333191</v>
      </c>
      <c r="B1406" s="30">
        <f t="shared" si="1429"/>
        <v>8000</v>
      </c>
      <c r="C1406" s="8">
        <v>25000</v>
      </c>
      <c r="D1406" s="187">
        <v>0</v>
      </c>
      <c r="E1406" s="187">
        <v>700</v>
      </c>
      <c r="F1406" s="187">
        <v>15000</v>
      </c>
      <c r="G1406" s="30">
        <f t="shared" si="1430"/>
        <v>2400</v>
      </c>
      <c r="H1406" s="8">
        <v>25000</v>
      </c>
      <c r="I1406" s="30">
        <f t="shared" si="1431"/>
        <v>8000</v>
      </c>
      <c r="J1406" s="187">
        <v>40000</v>
      </c>
      <c r="K1406" s="30">
        <f t="shared" si="1432"/>
        <v>8000</v>
      </c>
      <c r="L1406" s="187">
        <v>40000</v>
      </c>
      <c r="M1406" s="110">
        <v>9.5</v>
      </c>
      <c r="N1406" s="9">
        <f>VLOOKUP(DATE(YEAR(A1406),MONTH(A1406),DAY(A1406)),FY24_Temp[],3,FALSE)</f>
        <v>14.71</v>
      </c>
      <c r="O1406" s="110">
        <f t="shared" si="1418"/>
        <v>11.5</v>
      </c>
      <c r="P1406" s="110">
        <f t="shared" si="1419"/>
        <v>19.5</v>
      </c>
      <c r="Q1406" s="79">
        <f>VLOOKUP(VLOOKUP(DATEVALUE(TEXT(A1406,"m/d/yyyy")),FY24_Temp[],5,FALSE)&amp;TEXT(A1406,"-h"),TempDelta[],4,FALSE)</f>
        <v>1.7931428466524397</v>
      </c>
      <c r="R1406">
        <v>10</v>
      </c>
      <c r="S1406" s="112">
        <v>1500</v>
      </c>
      <c r="T1406" s="5">
        <f>VLOOKUP(TEXT(A1406,"yy-mm")&amp;"-"&amp;IF(AND(WEEKDAY(A1406)&gt;1,WEEKDAY(A1406)&lt;7),"Wkd",TEXT(A1406,"Ddd"))&amp;"-"&amp;TEXT(A1406,"hh"),LoadTable[],3,FALSE)*0.92</f>
        <v>338.44093501457746</v>
      </c>
      <c r="U1406" s="113">
        <f t="shared" si="1420"/>
        <v>33.844093501457749</v>
      </c>
      <c r="V1406">
        <f t="shared" ref="V1406:W1406" si="1484">V1382</f>
        <v>3.4</v>
      </c>
      <c r="W1406">
        <f t="shared" si="1484"/>
        <v>3</v>
      </c>
      <c r="X1406" s="9">
        <v>3.3382580000000002</v>
      </c>
      <c r="Y1406" s="39"/>
    </row>
    <row r="1407" spans="1:25" ht="15" thickBot="1">
      <c r="A1407" s="29">
        <f t="shared" si="1474"/>
        <v>45894.499999998574</v>
      </c>
      <c r="B1407" s="30">
        <f t="shared" si="1429"/>
        <v>8000</v>
      </c>
      <c r="C1407" s="8">
        <v>25000</v>
      </c>
      <c r="D1407" s="187">
        <v>0</v>
      </c>
      <c r="E1407" s="187">
        <v>700</v>
      </c>
      <c r="F1407" s="187">
        <v>15000</v>
      </c>
      <c r="G1407" s="30">
        <f t="shared" si="1430"/>
        <v>2400</v>
      </c>
      <c r="H1407" s="8">
        <v>25000</v>
      </c>
      <c r="I1407" s="30">
        <f t="shared" si="1431"/>
        <v>8000</v>
      </c>
      <c r="J1407" s="187">
        <v>40000</v>
      </c>
      <c r="K1407" s="30">
        <f t="shared" si="1432"/>
        <v>8000</v>
      </c>
      <c r="L1407" s="187">
        <v>40000</v>
      </c>
      <c r="M1407" s="110">
        <v>9.5</v>
      </c>
      <c r="N1407" s="9">
        <f>VLOOKUP(DATE(YEAR(A1407),MONTH(A1407),DAY(A1407)),FY24_Temp[],3,FALSE)</f>
        <v>14.71</v>
      </c>
      <c r="O1407" s="110">
        <f t="shared" si="1418"/>
        <v>11.5</v>
      </c>
      <c r="P1407" s="110">
        <f t="shared" si="1419"/>
        <v>19.5</v>
      </c>
      <c r="Q1407" s="79">
        <f>VLOOKUP(VLOOKUP(DATEVALUE(TEXT(A1407,"m/d/yyyy")),FY24_Temp[],5,FALSE)&amp;TEXT(A1407,"-h"),TempDelta[],4,FALSE)</f>
        <v>1.5527142797197615</v>
      </c>
      <c r="R1407">
        <v>10</v>
      </c>
      <c r="S1407" s="112">
        <v>1500</v>
      </c>
      <c r="T1407" s="5">
        <f>VLOOKUP(TEXT(A1407,"yy-mm")&amp;"-"&amp;IF(AND(WEEKDAY(A1407)&gt;1,WEEKDAY(A1407)&lt;7),"Wkd",TEXT(A1407,"Ddd"))&amp;"-"&amp;TEXT(A1407,"hh"),LoadTable[],3,FALSE)*0.92</f>
        <v>338.44093501457746</v>
      </c>
      <c r="U1407" s="113">
        <f t="shared" si="1420"/>
        <v>33.844093501457749</v>
      </c>
      <c r="V1407">
        <f t="shared" ref="V1407:W1407" si="1485">V1383</f>
        <v>3.1</v>
      </c>
      <c r="W1407">
        <f t="shared" si="1485"/>
        <v>2.9</v>
      </c>
      <c r="X1407" s="9">
        <v>3.2039938000000001</v>
      </c>
      <c r="Y1407" s="39"/>
    </row>
    <row r="1408" spans="1:25" ht="15" thickBot="1">
      <c r="A1408" s="29">
        <f t="shared" si="1474"/>
        <v>45894.541666665238</v>
      </c>
      <c r="B1408" s="30">
        <f t="shared" si="1429"/>
        <v>8000</v>
      </c>
      <c r="C1408" s="8">
        <v>25000</v>
      </c>
      <c r="D1408" s="187">
        <v>0</v>
      </c>
      <c r="E1408" s="187">
        <v>700</v>
      </c>
      <c r="F1408" s="187">
        <v>15000</v>
      </c>
      <c r="G1408" s="30">
        <f t="shared" si="1430"/>
        <v>2400</v>
      </c>
      <c r="H1408" s="8">
        <v>25000</v>
      </c>
      <c r="I1408" s="30">
        <f t="shared" si="1431"/>
        <v>8000</v>
      </c>
      <c r="J1408" s="187">
        <v>40000</v>
      </c>
      <c r="K1408" s="30">
        <f t="shared" si="1432"/>
        <v>8000</v>
      </c>
      <c r="L1408" s="187">
        <v>40000</v>
      </c>
      <c r="M1408" s="110">
        <v>9.5</v>
      </c>
      <c r="N1408" s="9">
        <f>VLOOKUP(DATE(YEAR(A1408),MONTH(A1408),DAY(A1408)),FY24_Temp[],3,FALSE)</f>
        <v>14.71</v>
      </c>
      <c r="O1408" s="110">
        <f t="shared" si="1418"/>
        <v>11.5</v>
      </c>
      <c r="P1408" s="110">
        <f t="shared" si="1419"/>
        <v>19.5</v>
      </c>
      <c r="Q1408" s="79">
        <f>VLOOKUP(VLOOKUP(DATEVALUE(TEXT(A1408,"m/d/yyyy")),FY24_Temp[],5,FALSE)&amp;TEXT(A1408,"-h"),TempDelta[],4,FALSE)</f>
        <v>1.3120000192097254</v>
      </c>
      <c r="R1408">
        <v>10</v>
      </c>
      <c r="S1408" s="112">
        <v>1500</v>
      </c>
      <c r="T1408" s="5">
        <f>VLOOKUP(TEXT(A1408,"yy-mm")&amp;"-"&amp;IF(AND(WEEKDAY(A1408)&gt;1,WEEKDAY(A1408)&lt;7),"Wkd",TEXT(A1408,"Ddd"))&amp;"-"&amp;TEXT(A1408,"hh"),LoadTable[],3,FALSE)*0.92</f>
        <v>389.90980000000025</v>
      </c>
      <c r="U1408" s="113">
        <f t="shared" si="1420"/>
        <v>38.990980000000022</v>
      </c>
      <c r="V1408">
        <f t="shared" ref="V1408:W1408" si="1486">V1384</f>
        <v>3.2</v>
      </c>
      <c r="W1408">
        <f t="shared" si="1486"/>
        <v>2.9</v>
      </c>
      <c r="X1408" s="9">
        <v>3.0252186999999999</v>
      </c>
      <c r="Y1408" s="39"/>
    </row>
    <row r="1409" spans="1:25" ht="15" thickBot="1">
      <c r="A1409" s="29">
        <f t="shared" si="1474"/>
        <v>45894.583333331902</v>
      </c>
      <c r="B1409" s="30">
        <f t="shared" si="1429"/>
        <v>8000</v>
      </c>
      <c r="C1409" s="8">
        <v>25000</v>
      </c>
      <c r="D1409" s="187">
        <v>0</v>
      </c>
      <c r="E1409" s="187">
        <v>700</v>
      </c>
      <c r="F1409" s="187">
        <v>15000</v>
      </c>
      <c r="G1409" s="30">
        <f t="shared" si="1430"/>
        <v>2400</v>
      </c>
      <c r="H1409" s="8">
        <v>25000</v>
      </c>
      <c r="I1409" s="30">
        <f t="shared" si="1431"/>
        <v>8000</v>
      </c>
      <c r="J1409" s="187">
        <v>40000</v>
      </c>
      <c r="K1409" s="30">
        <f t="shared" si="1432"/>
        <v>8000</v>
      </c>
      <c r="L1409" s="187">
        <v>40000</v>
      </c>
      <c r="M1409" s="110">
        <v>9.5</v>
      </c>
      <c r="N1409" s="9">
        <f>VLOOKUP(DATE(YEAR(A1409),MONTH(A1409),DAY(A1409)),FY24_Temp[],3,FALSE)</f>
        <v>14.71</v>
      </c>
      <c r="O1409" s="110">
        <f t="shared" si="1418"/>
        <v>11.5</v>
      </c>
      <c r="P1409" s="110">
        <f t="shared" si="1419"/>
        <v>19.5</v>
      </c>
      <c r="Q1409" s="79">
        <f>VLOOKUP(VLOOKUP(DATEVALUE(TEXT(A1409,"m/d/yyyy")),FY24_Temp[],5,FALSE)&amp;TEXT(A1409,"-h"),TempDelta[],4,FALSE)</f>
        <v>0.87128572378839764</v>
      </c>
      <c r="R1409">
        <v>10</v>
      </c>
      <c r="S1409" s="112">
        <v>1500</v>
      </c>
      <c r="T1409" s="5">
        <f>VLOOKUP(TEXT(A1409,"yy-mm")&amp;"-"&amp;IF(AND(WEEKDAY(A1409)&gt;1,WEEKDAY(A1409)&lt;7),"Wkd",TEXT(A1409,"Ddd"))&amp;"-"&amp;TEXT(A1409,"hh"),LoadTable[],3,FALSE)*0.92</f>
        <v>625.53652000000022</v>
      </c>
      <c r="U1409" s="113">
        <f t="shared" si="1420"/>
        <v>62.553652000000021</v>
      </c>
      <c r="V1409">
        <f t="shared" ref="V1409:W1409" si="1487">V1385</f>
        <v>3.5</v>
      </c>
      <c r="W1409">
        <f t="shared" si="1487"/>
        <v>2.9</v>
      </c>
      <c r="X1409" s="9">
        <v>3.0245110999999998</v>
      </c>
      <c r="Y1409" s="39"/>
    </row>
    <row r="1410" spans="1:25" ht="15" thickBot="1">
      <c r="A1410" s="29">
        <f t="shared" si="1474"/>
        <v>45894.624999998567</v>
      </c>
      <c r="B1410" s="30">
        <f t="shared" si="1429"/>
        <v>8000</v>
      </c>
      <c r="C1410" s="8">
        <v>25000</v>
      </c>
      <c r="D1410" s="187">
        <v>0</v>
      </c>
      <c r="E1410" s="187">
        <v>700</v>
      </c>
      <c r="F1410" s="187">
        <v>15000</v>
      </c>
      <c r="G1410" s="30">
        <f t="shared" si="1430"/>
        <v>2400</v>
      </c>
      <c r="H1410" s="8">
        <v>25000</v>
      </c>
      <c r="I1410" s="30">
        <f t="shared" si="1431"/>
        <v>8000</v>
      </c>
      <c r="J1410" s="187">
        <v>40000</v>
      </c>
      <c r="K1410" s="30">
        <f t="shared" si="1432"/>
        <v>8000</v>
      </c>
      <c r="L1410" s="187">
        <v>40000</v>
      </c>
      <c r="M1410" s="110">
        <v>9.5</v>
      </c>
      <c r="N1410" s="9">
        <f>VLOOKUP(DATE(YEAR(A1410),MONTH(A1410),DAY(A1410)),FY24_Temp[],3,FALSE)</f>
        <v>14.71</v>
      </c>
      <c r="O1410" s="110">
        <f t="shared" si="1418"/>
        <v>11.5</v>
      </c>
      <c r="P1410" s="110">
        <f t="shared" si="1419"/>
        <v>19.5</v>
      </c>
      <c r="Q1410" s="79">
        <f>VLOOKUP(VLOOKUP(DATEVALUE(TEXT(A1410,"m/d/yyyy")),FY24_Temp[],5,FALSE)&amp;TEXT(A1410,"-h"),TempDelta[],4,FALSE)</f>
        <v>0.66957143161978039</v>
      </c>
      <c r="R1410">
        <v>10</v>
      </c>
      <c r="S1410" s="112">
        <v>1500</v>
      </c>
      <c r="T1410" s="5">
        <f>VLOOKUP(TEXT(A1410,"yy-mm")&amp;"-"&amp;IF(AND(WEEKDAY(A1410)&gt;1,WEEKDAY(A1410)&lt;7),"Wkd",TEXT(A1410,"Ddd"))&amp;"-"&amp;TEXT(A1410,"hh"),LoadTable[],3,FALSE)*0.92</f>
        <v>699.79524000000038</v>
      </c>
      <c r="U1410" s="113">
        <f t="shared" si="1420"/>
        <v>69.97952400000004</v>
      </c>
      <c r="V1410">
        <f t="shared" ref="V1410:W1410" si="1488">V1386</f>
        <v>3.2</v>
      </c>
      <c r="W1410">
        <f t="shared" si="1488"/>
        <v>2.9</v>
      </c>
      <c r="X1410" s="9">
        <v>3.3710214999999999</v>
      </c>
      <c r="Y1410" s="39"/>
    </row>
    <row r="1411" spans="1:25" ht="15" thickBot="1">
      <c r="A1411" s="29">
        <f t="shared" si="1474"/>
        <v>45894.666666665231</v>
      </c>
      <c r="B1411" s="30">
        <f t="shared" si="1429"/>
        <v>8000</v>
      </c>
      <c r="C1411" s="8">
        <v>25000</v>
      </c>
      <c r="D1411" s="187">
        <v>0</v>
      </c>
      <c r="E1411" s="187">
        <v>700</v>
      </c>
      <c r="F1411" s="187">
        <v>15000</v>
      </c>
      <c r="G1411" s="30">
        <f t="shared" si="1430"/>
        <v>2400</v>
      </c>
      <c r="H1411" s="8">
        <v>25000</v>
      </c>
      <c r="I1411" s="30">
        <f t="shared" si="1431"/>
        <v>8000</v>
      </c>
      <c r="J1411" s="187">
        <v>40000</v>
      </c>
      <c r="K1411" s="30">
        <f t="shared" si="1432"/>
        <v>8000</v>
      </c>
      <c r="L1411" s="187">
        <v>40000</v>
      </c>
      <c r="M1411" s="110">
        <v>9.5</v>
      </c>
      <c r="N1411" s="9">
        <f>VLOOKUP(DATE(YEAR(A1411),MONTH(A1411),DAY(A1411)),FY24_Temp[],3,FALSE)</f>
        <v>14.71</v>
      </c>
      <c r="O1411" s="110">
        <f t="shared" si="1418"/>
        <v>11.5</v>
      </c>
      <c r="P1411" s="110">
        <f t="shared" si="1419"/>
        <v>19.5</v>
      </c>
      <c r="Q1411" s="79">
        <f>VLOOKUP(VLOOKUP(DATEVALUE(TEXT(A1411,"m/d/yyyy")),FY24_Temp[],5,FALSE)&amp;TEXT(A1411,"-h"),TempDelta[],4,FALSE)</f>
        <v>0.5316428627286639</v>
      </c>
      <c r="R1411">
        <v>10</v>
      </c>
      <c r="S1411" s="112">
        <v>1500</v>
      </c>
      <c r="T1411" s="5">
        <f>VLOOKUP(TEXT(A1411,"yy-mm")&amp;"-"&amp;IF(AND(WEEKDAY(A1411)&gt;1,WEEKDAY(A1411)&lt;7),"Wkd",TEXT(A1411,"Ddd"))&amp;"-"&amp;TEXT(A1411,"hh"),LoadTable[],3,FALSE)*0.92</f>
        <v>786.27137399656624</v>
      </c>
      <c r="U1411" s="113">
        <f t="shared" si="1420"/>
        <v>78.627137399656618</v>
      </c>
      <c r="V1411">
        <f t="shared" ref="V1411:W1411" si="1489">V1387</f>
        <v>3.5</v>
      </c>
      <c r="W1411">
        <f t="shared" si="1489"/>
        <v>3</v>
      </c>
      <c r="X1411" s="9">
        <v>3.2764316</v>
      </c>
      <c r="Y1411" s="39"/>
    </row>
    <row r="1412" spans="1:25" ht="15" thickBot="1">
      <c r="A1412" s="29">
        <f t="shared" si="1474"/>
        <v>45894.708333331895</v>
      </c>
      <c r="B1412" s="30">
        <f t="shared" si="1429"/>
        <v>8000</v>
      </c>
      <c r="C1412" s="8">
        <v>25000</v>
      </c>
      <c r="D1412" s="187">
        <v>0</v>
      </c>
      <c r="E1412" s="187">
        <v>700</v>
      </c>
      <c r="F1412" s="187">
        <v>15000</v>
      </c>
      <c r="G1412" s="30">
        <f t="shared" si="1430"/>
        <v>2400</v>
      </c>
      <c r="H1412" s="8">
        <v>25000</v>
      </c>
      <c r="I1412" s="30">
        <f t="shared" si="1431"/>
        <v>8000</v>
      </c>
      <c r="J1412" s="187">
        <v>40000</v>
      </c>
      <c r="K1412" s="30">
        <f t="shared" si="1432"/>
        <v>8000</v>
      </c>
      <c r="L1412" s="187">
        <v>40000</v>
      </c>
      <c r="M1412" s="110">
        <v>9.5</v>
      </c>
      <c r="N1412" s="9">
        <f>VLOOKUP(DATE(YEAR(A1412),MONTH(A1412),DAY(A1412)),FY24_Temp[],3,FALSE)</f>
        <v>14.71</v>
      </c>
      <c r="O1412" s="110">
        <f t="shared" ref="O1412:O1475" si="1490">15.5-4</f>
        <v>11.5</v>
      </c>
      <c r="P1412" s="110">
        <f t="shared" ref="P1412:P1475" si="1491">15.5+4</f>
        <v>19.5</v>
      </c>
      <c r="Q1412" s="79">
        <f>VLOOKUP(VLOOKUP(DATEVALUE(TEXT(A1412,"m/d/yyyy")),FY24_Temp[],5,FALSE)&amp;TEXT(A1412,"-h"),TempDelta[],4,FALSE)</f>
        <v>0.55664285378796718</v>
      </c>
      <c r="R1412">
        <v>10</v>
      </c>
      <c r="S1412" s="112">
        <v>1500</v>
      </c>
      <c r="T1412" s="5">
        <f>VLOOKUP(TEXT(A1412,"yy-mm")&amp;"-"&amp;IF(AND(WEEKDAY(A1412)&gt;1,WEEKDAY(A1412)&lt;7),"Wkd",TEXT(A1412,"Ddd"))&amp;"-"&amp;TEXT(A1412,"hh"),LoadTable[],3,FALSE)*0.92</f>
        <v>786.27137399656624</v>
      </c>
      <c r="U1412" s="113">
        <f t="shared" ref="U1412:U1475" si="1492">T1412/10</f>
        <v>78.627137399656618</v>
      </c>
      <c r="V1412">
        <f t="shared" ref="V1412:W1412" si="1493">V1388</f>
        <v>3.6</v>
      </c>
      <c r="W1412">
        <f t="shared" si="1493"/>
        <v>3</v>
      </c>
      <c r="X1412" s="9">
        <v>3.2011818999999999</v>
      </c>
      <c r="Y1412" s="39"/>
    </row>
    <row r="1413" spans="1:25" ht="15" thickBot="1">
      <c r="A1413" s="29">
        <f t="shared" si="1474"/>
        <v>45894.749999998559</v>
      </c>
      <c r="B1413" s="30">
        <f t="shared" si="1429"/>
        <v>5000</v>
      </c>
      <c r="C1413" s="8">
        <v>25000</v>
      </c>
      <c r="D1413" s="187">
        <v>0</v>
      </c>
      <c r="E1413" s="187">
        <v>700</v>
      </c>
      <c r="F1413" s="187">
        <v>15000</v>
      </c>
      <c r="G1413" s="30">
        <f t="shared" si="1430"/>
        <v>2400</v>
      </c>
      <c r="H1413" s="8">
        <v>25000</v>
      </c>
      <c r="I1413" s="30">
        <f t="shared" si="1431"/>
        <v>5000</v>
      </c>
      <c r="J1413" s="187">
        <v>40000</v>
      </c>
      <c r="K1413" s="30">
        <f t="shared" si="1432"/>
        <v>5000</v>
      </c>
      <c r="L1413" s="187">
        <v>40000</v>
      </c>
      <c r="M1413" s="110">
        <v>9.5</v>
      </c>
      <c r="N1413" s="9">
        <f>VLOOKUP(DATE(YEAR(A1413),MONTH(A1413),DAY(A1413)),FY24_Temp[],3,FALSE)</f>
        <v>14.71</v>
      </c>
      <c r="O1413" s="110">
        <f t="shared" si="1490"/>
        <v>11.5</v>
      </c>
      <c r="P1413" s="110">
        <f t="shared" si="1491"/>
        <v>19.5</v>
      </c>
      <c r="Q1413" s="79">
        <f>VLOOKUP(VLOOKUP(DATEVALUE(TEXT(A1413,"m/d/yyyy")),FY24_Temp[],5,FALSE)&amp;TEXT(A1413,"-h"),TempDelta[],4,FALSE)</f>
        <v>0.75757142049925663</v>
      </c>
      <c r="R1413">
        <v>10</v>
      </c>
      <c r="S1413" s="112">
        <v>1500</v>
      </c>
      <c r="T1413" s="5">
        <f>VLOOKUP(TEXT(A1413,"yy-mm")&amp;"-"&amp;IF(AND(WEEKDAY(A1413)&gt;1,WEEKDAY(A1413)&lt;7),"Wkd",TEXT(A1413,"Ddd"))&amp;"-"&amp;TEXT(A1413,"hh"),LoadTable[],3,FALSE)*0.92</f>
        <v>786.27137399656647</v>
      </c>
      <c r="U1413" s="113">
        <f t="shared" si="1492"/>
        <v>78.627137399656647</v>
      </c>
      <c r="V1413">
        <f t="shared" ref="V1413:W1413" si="1494">V1389</f>
        <v>2.9</v>
      </c>
      <c r="W1413">
        <f t="shared" si="1494"/>
        <v>3</v>
      </c>
      <c r="X1413" s="9">
        <v>3.1851916</v>
      </c>
      <c r="Y1413" s="39"/>
    </row>
    <row r="1414" spans="1:25" ht="15" thickBot="1">
      <c r="A1414" s="29">
        <f t="shared" si="1474"/>
        <v>45894.791666665224</v>
      </c>
      <c r="B1414" s="30">
        <f t="shared" si="1429"/>
        <v>5000</v>
      </c>
      <c r="C1414" s="8">
        <v>25000</v>
      </c>
      <c r="D1414" s="187">
        <v>0</v>
      </c>
      <c r="E1414" s="187">
        <v>700</v>
      </c>
      <c r="F1414" s="187">
        <v>15000</v>
      </c>
      <c r="G1414" s="30">
        <f t="shared" si="1430"/>
        <v>2400</v>
      </c>
      <c r="H1414" s="8">
        <v>25000</v>
      </c>
      <c r="I1414" s="30">
        <f t="shared" si="1431"/>
        <v>5000</v>
      </c>
      <c r="J1414" s="187">
        <v>40000</v>
      </c>
      <c r="K1414" s="30">
        <f t="shared" si="1432"/>
        <v>5000</v>
      </c>
      <c r="L1414" s="187">
        <v>40000</v>
      </c>
      <c r="M1414" s="110">
        <v>9.5</v>
      </c>
      <c r="N1414" s="9">
        <f>VLOOKUP(DATE(YEAR(A1414),MONTH(A1414),DAY(A1414)),FY24_Temp[],3,FALSE)</f>
        <v>14.71</v>
      </c>
      <c r="O1414" s="110">
        <f t="shared" si="1490"/>
        <v>11.5</v>
      </c>
      <c r="P1414" s="110">
        <f t="shared" si="1491"/>
        <v>19.5</v>
      </c>
      <c r="Q1414" s="79">
        <f>VLOOKUP(VLOOKUP(DATEVALUE(TEXT(A1414,"m/d/yyyy")),FY24_Temp[],5,FALSE)&amp;TEXT(A1414,"-h"),TempDelta[],4,FALSE)</f>
        <v>1.0640714168548584</v>
      </c>
      <c r="R1414">
        <v>10</v>
      </c>
      <c r="S1414" s="112">
        <v>1500</v>
      </c>
      <c r="T1414" s="5">
        <f>VLOOKUP(TEXT(A1414,"yy-mm")&amp;"-"&amp;IF(AND(WEEKDAY(A1414)&gt;1,WEEKDAY(A1414)&lt;7),"Wkd",TEXT(A1414,"Ddd"))&amp;"-"&amp;TEXT(A1414,"hh"),LoadTable[],3,FALSE)*0.92</f>
        <v>786.27137399656647</v>
      </c>
      <c r="U1414" s="113">
        <f t="shared" si="1492"/>
        <v>78.627137399656647</v>
      </c>
      <c r="V1414">
        <f t="shared" ref="V1414:W1414" si="1495">V1390</f>
        <v>3</v>
      </c>
      <c r="W1414">
        <f t="shared" si="1495"/>
        <v>3</v>
      </c>
      <c r="X1414" s="9">
        <v>3.1480915999999999</v>
      </c>
      <c r="Y1414" s="39"/>
    </row>
    <row r="1415" spans="1:25" ht="15" thickBot="1">
      <c r="A1415" s="29">
        <f t="shared" si="1474"/>
        <v>45894.833333331888</v>
      </c>
      <c r="B1415" s="30">
        <f t="shared" si="1429"/>
        <v>5000</v>
      </c>
      <c r="C1415" s="8">
        <v>25000</v>
      </c>
      <c r="D1415" s="187">
        <v>0</v>
      </c>
      <c r="E1415" s="187">
        <v>700</v>
      </c>
      <c r="F1415" s="187">
        <v>15000</v>
      </c>
      <c r="G1415" s="30">
        <f t="shared" si="1430"/>
        <v>2400</v>
      </c>
      <c r="H1415" s="8">
        <v>25000</v>
      </c>
      <c r="I1415" s="30">
        <f t="shared" si="1431"/>
        <v>5000</v>
      </c>
      <c r="J1415" s="187">
        <v>40000</v>
      </c>
      <c r="K1415" s="30">
        <f t="shared" si="1432"/>
        <v>5000</v>
      </c>
      <c r="L1415" s="187">
        <v>40000</v>
      </c>
      <c r="M1415" s="110">
        <v>9.5</v>
      </c>
      <c r="N1415" s="9">
        <f>VLOOKUP(DATE(YEAR(A1415),MONTH(A1415),DAY(A1415)),FY24_Temp[],3,FALSE)</f>
        <v>14.71</v>
      </c>
      <c r="O1415" s="110">
        <f t="shared" si="1490"/>
        <v>11.5</v>
      </c>
      <c r="P1415" s="110">
        <f t="shared" si="1491"/>
        <v>19.5</v>
      </c>
      <c r="Q1415" s="79">
        <f>VLOOKUP(VLOOKUP(DATEVALUE(TEXT(A1415,"m/d/yyyy")),FY24_Temp[],5,FALSE)&amp;TEXT(A1415,"-h"),TempDelta[],4,FALSE)</f>
        <v>1.4742142728396825</v>
      </c>
      <c r="R1415">
        <v>10</v>
      </c>
      <c r="S1415" s="112">
        <v>1500</v>
      </c>
      <c r="T1415" s="5">
        <f>VLOOKUP(TEXT(A1415,"yy-mm")&amp;"-"&amp;IF(AND(WEEKDAY(A1415)&gt;1,WEEKDAY(A1415)&lt;7),"Wkd",TEXT(A1415,"Ddd"))&amp;"-"&amp;TEXT(A1415,"hh"),LoadTable[],3,FALSE)*0.92</f>
        <v>786.27137399656647</v>
      </c>
      <c r="U1415" s="113">
        <f t="shared" si="1492"/>
        <v>78.627137399656647</v>
      </c>
      <c r="V1415">
        <f t="shared" ref="V1415:W1415" si="1496">V1391</f>
        <v>2.8</v>
      </c>
      <c r="W1415">
        <f t="shared" si="1496"/>
        <v>3.1</v>
      </c>
      <c r="X1415" s="9">
        <v>3.1108763000000001</v>
      </c>
      <c r="Y1415" s="39"/>
    </row>
    <row r="1416" spans="1:25" ht="15" thickBot="1">
      <c r="A1416" s="29">
        <f t="shared" si="1474"/>
        <v>45894.874999998552</v>
      </c>
      <c r="B1416" s="30">
        <f t="shared" si="1429"/>
        <v>5000</v>
      </c>
      <c r="C1416" s="8">
        <v>25000</v>
      </c>
      <c r="D1416" s="187">
        <v>0</v>
      </c>
      <c r="E1416" s="187">
        <v>700</v>
      </c>
      <c r="F1416" s="187">
        <v>15000</v>
      </c>
      <c r="G1416" s="30">
        <f t="shared" si="1430"/>
        <v>2400</v>
      </c>
      <c r="H1416" s="8">
        <v>25000</v>
      </c>
      <c r="I1416" s="30">
        <f t="shared" si="1431"/>
        <v>5000</v>
      </c>
      <c r="J1416" s="187">
        <v>40000</v>
      </c>
      <c r="K1416" s="30">
        <f t="shared" si="1432"/>
        <v>5000</v>
      </c>
      <c r="L1416" s="187">
        <v>40000</v>
      </c>
      <c r="M1416" s="110">
        <v>9.5</v>
      </c>
      <c r="N1416" s="9">
        <f>VLOOKUP(DATE(YEAR(A1416),MONTH(A1416),DAY(A1416)),FY24_Temp[],3,FALSE)</f>
        <v>14.71</v>
      </c>
      <c r="O1416" s="110">
        <f t="shared" si="1490"/>
        <v>11.5</v>
      </c>
      <c r="P1416" s="110">
        <f t="shared" si="1491"/>
        <v>19.5</v>
      </c>
      <c r="Q1416" s="79">
        <f>VLOOKUP(VLOOKUP(DATEVALUE(TEXT(A1416,"m/d/yyyy")),FY24_Temp[],5,FALSE)&amp;TEXT(A1416,"-h"),TempDelta[],4,FALSE)</f>
        <v>1.7937857168061393</v>
      </c>
      <c r="R1416">
        <v>10</v>
      </c>
      <c r="S1416" s="112">
        <v>1500</v>
      </c>
      <c r="T1416" s="5">
        <f>VLOOKUP(TEXT(A1416,"yy-mm")&amp;"-"&amp;IF(AND(WEEKDAY(A1416)&gt;1,WEEKDAY(A1416)&lt;7),"Wkd",TEXT(A1416,"Ddd"))&amp;"-"&amp;TEXT(A1416,"hh"),LoadTable[],3,FALSE)*0.92</f>
        <v>784.39716226323299</v>
      </c>
      <c r="U1416" s="113">
        <f t="shared" si="1492"/>
        <v>78.439716226323299</v>
      </c>
      <c r="V1416">
        <f t="shared" ref="V1416:W1416" si="1497">V1392</f>
        <v>3.5</v>
      </c>
      <c r="W1416">
        <f t="shared" si="1497"/>
        <v>3.1</v>
      </c>
      <c r="X1416" s="9">
        <v>3.0770871999999998</v>
      </c>
      <c r="Y1416" s="39"/>
    </row>
    <row r="1417" spans="1:25" ht="15" thickBot="1">
      <c r="A1417" s="29">
        <f t="shared" si="1474"/>
        <v>45894.916666665216</v>
      </c>
      <c r="B1417" s="30">
        <f t="shared" si="1429"/>
        <v>5000</v>
      </c>
      <c r="C1417" s="8">
        <v>25000</v>
      </c>
      <c r="D1417" s="187">
        <v>0</v>
      </c>
      <c r="E1417" s="187">
        <v>700</v>
      </c>
      <c r="F1417" s="187">
        <v>15000</v>
      </c>
      <c r="G1417" s="30">
        <f t="shared" si="1430"/>
        <v>2400</v>
      </c>
      <c r="H1417" s="8">
        <v>25000</v>
      </c>
      <c r="I1417" s="30">
        <f t="shared" si="1431"/>
        <v>5000</v>
      </c>
      <c r="J1417" s="187">
        <v>40000</v>
      </c>
      <c r="K1417" s="30">
        <f t="shared" si="1432"/>
        <v>5000</v>
      </c>
      <c r="L1417" s="187">
        <v>40000</v>
      </c>
      <c r="M1417" s="110">
        <v>9.5</v>
      </c>
      <c r="N1417" s="9">
        <f>VLOOKUP(DATE(YEAR(A1417),MONTH(A1417),DAY(A1417)),FY24_Temp[],3,FALSE)</f>
        <v>14.71</v>
      </c>
      <c r="O1417" s="110">
        <f t="shared" si="1490"/>
        <v>11.5</v>
      </c>
      <c r="P1417" s="110">
        <f t="shared" si="1491"/>
        <v>19.5</v>
      </c>
      <c r="Q1417" s="79">
        <f>VLOOKUP(VLOOKUP(DATEVALUE(TEXT(A1417,"m/d/yyyy")),FY24_Temp[],5,FALSE)&amp;TEXT(A1417,"-h"),TempDelta[],4,FALSE)</f>
        <v>2.1767142840794156</v>
      </c>
      <c r="R1417">
        <v>10</v>
      </c>
      <c r="S1417" s="112">
        <v>1500</v>
      </c>
      <c r="T1417" s="5">
        <f>VLOOKUP(TEXT(A1417,"yy-mm")&amp;"-"&amp;IF(AND(WEEKDAY(A1417)&gt;1,WEEKDAY(A1417)&lt;7),"Wkd",TEXT(A1417,"Ddd"))&amp;"-"&amp;TEXT(A1417,"hh"),LoadTable[],3,FALSE)*0.92</f>
        <v>600.06900003761973</v>
      </c>
      <c r="U1417" s="113">
        <f t="shared" si="1492"/>
        <v>60.00690000376197</v>
      </c>
      <c r="V1417">
        <f t="shared" ref="V1417:W1417" si="1498">V1393</f>
        <v>2.9</v>
      </c>
      <c r="W1417">
        <f t="shared" si="1498"/>
        <v>3.1</v>
      </c>
      <c r="X1417" s="9">
        <v>3.0366825999999998</v>
      </c>
      <c r="Y1417" s="39"/>
    </row>
    <row r="1418" spans="1:25" ht="15" thickBot="1">
      <c r="A1418" s="29">
        <f t="shared" si="1474"/>
        <v>45894.958333331881</v>
      </c>
      <c r="B1418" s="30">
        <f t="shared" si="1429"/>
        <v>5000</v>
      </c>
      <c r="C1418" s="8">
        <v>25000</v>
      </c>
      <c r="D1418" s="187">
        <v>0</v>
      </c>
      <c r="E1418" s="187">
        <v>700</v>
      </c>
      <c r="F1418" s="187">
        <v>15000</v>
      </c>
      <c r="G1418" s="30">
        <f t="shared" si="1430"/>
        <v>2400</v>
      </c>
      <c r="H1418" s="8">
        <v>25000</v>
      </c>
      <c r="I1418" s="30">
        <f t="shared" si="1431"/>
        <v>5000</v>
      </c>
      <c r="J1418" s="187">
        <v>40000</v>
      </c>
      <c r="K1418" s="30">
        <f t="shared" si="1432"/>
        <v>5000</v>
      </c>
      <c r="L1418" s="187">
        <v>40000</v>
      </c>
      <c r="M1418" s="110">
        <v>9.5</v>
      </c>
      <c r="N1418" s="9">
        <f>VLOOKUP(DATE(YEAR(A1418),MONTH(A1418),DAY(A1418)),FY24_Temp[],3,FALSE)</f>
        <v>14.71</v>
      </c>
      <c r="O1418" s="110">
        <f t="shared" si="1490"/>
        <v>11.5</v>
      </c>
      <c r="P1418" s="110">
        <f t="shared" si="1491"/>
        <v>19.5</v>
      </c>
      <c r="Q1418" s="79">
        <f>VLOOKUP(VLOOKUP(DATEVALUE(TEXT(A1418,"m/d/yyyy")),FY24_Temp[],5,FALSE)&amp;TEXT(A1418,"-h"),TempDelta[],4,FALSE)</f>
        <v>2.3071428367069791</v>
      </c>
      <c r="R1418">
        <v>10</v>
      </c>
      <c r="S1418" s="112">
        <v>1500</v>
      </c>
      <c r="T1418" s="5">
        <f>VLOOKUP(TEXT(A1418,"yy-mm")&amp;"-"&amp;IF(AND(WEEKDAY(A1418)&gt;1,WEEKDAY(A1418)&lt;7),"Wkd",TEXT(A1418,"Ddd"))&amp;"-"&amp;TEXT(A1418,"hh"),LoadTable[],3,FALSE)*0.92</f>
        <v>486.44539999999989</v>
      </c>
      <c r="U1418" s="113">
        <f t="shared" si="1492"/>
        <v>48.644539999999992</v>
      </c>
      <c r="V1418">
        <f t="shared" ref="V1418:W1418" si="1499">V1394</f>
        <v>3.6</v>
      </c>
      <c r="W1418">
        <f t="shared" si="1499"/>
        <v>3.1</v>
      </c>
      <c r="X1418" s="9">
        <v>2.9351552000000001</v>
      </c>
      <c r="Y1418" s="39"/>
    </row>
    <row r="1419" spans="1:25" ht="15" thickBot="1">
      <c r="A1419" s="29">
        <f t="shared" si="1474"/>
        <v>45894.999999998545</v>
      </c>
      <c r="B1419" s="30">
        <f t="shared" si="1429"/>
        <v>5000</v>
      </c>
      <c r="C1419" s="8">
        <v>25000</v>
      </c>
      <c r="D1419" s="187">
        <v>0</v>
      </c>
      <c r="E1419" s="187">
        <v>700</v>
      </c>
      <c r="F1419" s="187">
        <v>15000</v>
      </c>
      <c r="G1419" s="30">
        <f t="shared" si="1430"/>
        <v>2400</v>
      </c>
      <c r="H1419" s="8">
        <v>25000</v>
      </c>
      <c r="I1419" s="30">
        <f t="shared" si="1431"/>
        <v>5000</v>
      </c>
      <c r="J1419" s="187">
        <v>40000</v>
      </c>
      <c r="K1419" s="30">
        <f t="shared" si="1432"/>
        <v>5000</v>
      </c>
      <c r="L1419" s="187">
        <v>40000</v>
      </c>
      <c r="M1419" s="110">
        <v>9.5</v>
      </c>
      <c r="N1419" s="9">
        <f>VLOOKUP(DATE(YEAR(A1419),MONTH(A1419),DAY(A1419)),FY24_Temp[],3,FALSE)</f>
        <v>14.71</v>
      </c>
      <c r="O1419" s="110">
        <f t="shared" si="1490"/>
        <v>11.5</v>
      </c>
      <c r="P1419" s="110">
        <f t="shared" si="1491"/>
        <v>19.5</v>
      </c>
      <c r="Q1419" s="79">
        <f>VLOOKUP(VLOOKUP(DATEVALUE(TEXT(A1419,"m/d/yyyy")),FY24_Temp[],5,FALSE)&amp;TEXT(A1419,"-h"),TempDelta[],4,FALSE)</f>
        <v>2.2534285613468716</v>
      </c>
      <c r="R1419">
        <v>10</v>
      </c>
      <c r="S1419" s="112">
        <v>1500</v>
      </c>
      <c r="T1419" s="5">
        <f>VLOOKUP(TEXT(A1419,"yy-mm")&amp;"-"&amp;IF(AND(WEEKDAY(A1419)&gt;1,WEEKDAY(A1419)&lt;7),"Wkd",TEXT(A1419,"Ddd"))&amp;"-"&amp;TEXT(A1419,"hh"),LoadTable[],3,FALSE)*0.92</f>
        <v>372.20164</v>
      </c>
      <c r="U1419" s="113">
        <f t="shared" si="1492"/>
        <v>37.220163999999997</v>
      </c>
      <c r="V1419">
        <f t="shared" ref="V1419:W1419" si="1500">V1395</f>
        <v>3</v>
      </c>
      <c r="W1419">
        <f t="shared" si="1500"/>
        <v>3.2</v>
      </c>
      <c r="X1419" s="9">
        <v>2.8514173</v>
      </c>
      <c r="Y1419" s="39"/>
    </row>
    <row r="1420" spans="1:25" ht="15" thickBot="1">
      <c r="A1420" s="29">
        <f t="shared" si="1474"/>
        <v>45895.041666665209</v>
      </c>
      <c r="B1420" s="30">
        <f t="shared" ref="B1420:B1483" si="1501">B1396</f>
        <v>5000</v>
      </c>
      <c r="C1420" s="8">
        <v>25000</v>
      </c>
      <c r="D1420" s="187">
        <v>0</v>
      </c>
      <c r="E1420" s="187">
        <v>700</v>
      </c>
      <c r="F1420" s="187">
        <v>15000</v>
      </c>
      <c r="G1420" s="30">
        <f t="shared" ref="G1420:G1483" si="1502">G1396</f>
        <v>2400</v>
      </c>
      <c r="H1420" s="8">
        <v>25000</v>
      </c>
      <c r="I1420" s="30">
        <f t="shared" ref="I1420:I1483" si="1503">I1396</f>
        <v>5000</v>
      </c>
      <c r="J1420" s="187">
        <v>40000</v>
      </c>
      <c r="K1420" s="30">
        <f t="shared" ref="K1420:K1483" si="1504">K1396</f>
        <v>5000</v>
      </c>
      <c r="L1420" s="187">
        <v>40000</v>
      </c>
      <c r="M1420" s="110">
        <v>9.5</v>
      </c>
      <c r="N1420" s="9">
        <f>VLOOKUP(DATE(YEAR(A1420),MONTH(A1420),DAY(A1420)),FY24_Temp[],3,FALSE)</f>
        <v>14.71</v>
      </c>
      <c r="O1420" s="110">
        <f t="shared" si="1490"/>
        <v>11.5</v>
      </c>
      <c r="P1420" s="110">
        <f t="shared" si="1491"/>
        <v>19.5</v>
      </c>
      <c r="Q1420" s="79">
        <f>VLOOKUP(VLOOKUP(DATEVALUE(TEXT(A1420,"m/d/yyyy")),FY24_Temp[],5,FALSE)&amp;TEXT(A1420,"-h"),TempDelta[],4,FALSE)</f>
        <v>2.5014285700661794</v>
      </c>
      <c r="R1420">
        <v>10</v>
      </c>
      <c r="S1420" s="112">
        <v>1500</v>
      </c>
      <c r="T1420" s="5">
        <f>VLOOKUP(TEXT(A1420,"yy-mm")&amp;"-"&amp;IF(AND(WEEKDAY(A1420)&gt;1,WEEKDAY(A1420)&lt;7),"Wkd",TEXT(A1420,"Ddd"))&amp;"-"&amp;TEXT(A1420,"hh"),LoadTable[],3,FALSE)*0.92</f>
        <v>363.06235999999996</v>
      </c>
      <c r="U1420" s="113">
        <f t="shared" si="1492"/>
        <v>36.306235999999998</v>
      </c>
      <c r="V1420">
        <f t="shared" ref="V1420:W1420" si="1505">V1396</f>
        <v>2.6</v>
      </c>
      <c r="W1420">
        <f t="shared" si="1505"/>
        <v>3.2</v>
      </c>
      <c r="X1420" s="9">
        <v>2.798362</v>
      </c>
      <c r="Y1420" s="39"/>
    </row>
    <row r="1421" spans="1:25" ht="15" thickBot="1">
      <c r="A1421" s="29">
        <f t="shared" si="1474"/>
        <v>45895.083333331873</v>
      </c>
      <c r="B1421" s="30">
        <f t="shared" si="1501"/>
        <v>5000</v>
      </c>
      <c r="C1421" s="8">
        <v>25000</v>
      </c>
      <c r="D1421" s="187">
        <v>0</v>
      </c>
      <c r="E1421" s="187">
        <v>700</v>
      </c>
      <c r="F1421" s="187">
        <v>15000</v>
      </c>
      <c r="G1421" s="30">
        <f t="shared" si="1502"/>
        <v>2400</v>
      </c>
      <c r="H1421" s="8">
        <v>25000</v>
      </c>
      <c r="I1421" s="30">
        <f t="shared" si="1503"/>
        <v>5000</v>
      </c>
      <c r="J1421" s="187">
        <v>40000</v>
      </c>
      <c r="K1421" s="30">
        <f t="shared" si="1504"/>
        <v>5000</v>
      </c>
      <c r="L1421" s="187">
        <v>40000</v>
      </c>
      <c r="M1421" s="110">
        <v>9.5</v>
      </c>
      <c r="N1421" s="9">
        <f>VLOOKUP(DATE(YEAR(A1421),MONTH(A1421),DAY(A1421)),FY24_Temp[],3,FALSE)</f>
        <v>14.71</v>
      </c>
      <c r="O1421" s="110">
        <f t="shared" si="1490"/>
        <v>11.5</v>
      </c>
      <c r="P1421" s="110">
        <f t="shared" si="1491"/>
        <v>19.5</v>
      </c>
      <c r="Q1421" s="79">
        <f>VLOOKUP(VLOOKUP(DATEVALUE(TEXT(A1421,"m/d/yyyy")),FY24_Temp[],5,FALSE)&amp;TEXT(A1421,"-h"),TempDelta[],4,FALSE)</f>
        <v>2.5255714144025529</v>
      </c>
      <c r="R1421">
        <v>10</v>
      </c>
      <c r="S1421" s="112">
        <v>1500</v>
      </c>
      <c r="T1421" s="5">
        <f>VLOOKUP(TEXT(A1421,"yy-mm")&amp;"-"&amp;IF(AND(WEEKDAY(A1421)&gt;1,WEEKDAY(A1421)&lt;7),"Wkd",TEXT(A1421,"Ddd"))&amp;"-"&amp;TEXT(A1421,"hh"),LoadTable[],3,FALSE)*0.92</f>
        <v>363.06235999999996</v>
      </c>
      <c r="U1421" s="113">
        <f t="shared" si="1492"/>
        <v>36.306235999999998</v>
      </c>
      <c r="V1421">
        <f t="shared" ref="V1421:W1421" si="1506">V1397</f>
        <v>2.8</v>
      </c>
      <c r="W1421">
        <f t="shared" si="1506"/>
        <v>3.2</v>
      </c>
      <c r="X1421" s="9">
        <v>2.8581230999999998</v>
      </c>
      <c r="Y1421" s="39"/>
    </row>
    <row r="1422" spans="1:25" ht="15" thickBot="1">
      <c r="A1422" s="29">
        <f t="shared" si="1474"/>
        <v>45895.124999998538</v>
      </c>
      <c r="B1422" s="30">
        <f t="shared" si="1501"/>
        <v>5000</v>
      </c>
      <c r="C1422" s="8">
        <v>25000</v>
      </c>
      <c r="D1422" s="187">
        <v>0</v>
      </c>
      <c r="E1422" s="187">
        <v>700</v>
      </c>
      <c r="F1422" s="187">
        <v>15000</v>
      </c>
      <c r="G1422" s="30">
        <f t="shared" si="1502"/>
        <v>2400</v>
      </c>
      <c r="H1422" s="8">
        <v>25000</v>
      </c>
      <c r="I1422" s="30">
        <f t="shared" si="1503"/>
        <v>5000</v>
      </c>
      <c r="J1422" s="187">
        <v>40000</v>
      </c>
      <c r="K1422" s="30">
        <f t="shared" si="1504"/>
        <v>5000</v>
      </c>
      <c r="L1422" s="187">
        <v>40000</v>
      </c>
      <c r="M1422" s="110">
        <v>9.5</v>
      </c>
      <c r="N1422" s="9">
        <f>VLOOKUP(DATE(YEAR(A1422),MONTH(A1422),DAY(A1422)),FY24_Temp[],3,FALSE)</f>
        <v>14.71</v>
      </c>
      <c r="O1422" s="110">
        <f t="shared" si="1490"/>
        <v>11.5</v>
      </c>
      <c r="P1422" s="110">
        <f t="shared" si="1491"/>
        <v>19.5</v>
      </c>
      <c r="Q1422" s="79">
        <f>VLOOKUP(VLOOKUP(DATEVALUE(TEXT(A1422,"m/d/yyyy")),FY24_Temp[],5,FALSE)&amp;TEXT(A1422,"-h"),TempDelta[],4,FALSE)</f>
        <v>2.5220000403267995</v>
      </c>
      <c r="R1422">
        <v>10</v>
      </c>
      <c r="S1422" s="112">
        <v>1500</v>
      </c>
      <c r="T1422" s="5">
        <f>VLOOKUP(TEXT(A1422,"yy-mm")&amp;"-"&amp;IF(AND(WEEKDAY(A1422)&gt;1,WEEKDAY(A1422)&lt;7),"Wkd",TEXT(A1422,"Ddd"))&amp;"-"&amp;TEXT(A1422,"hh"),LoadTable[],3,FALSE)*0.92</f>
        <v>363.06235999999996</v>
      </c>
      <c r="U1422" s="113">
        <f t="shared" si="1492"/>
        <v>36.306235999999998</v>
      </c>
      <c r="V1422">
        <f t="shared" ref="V1422:W1422" si="1507">V1398</f>
        <v>2.7</v>
      </c>
      <c r="W1422">
        <f t="shared" si="1507"/>
        <v>3.2</v>
      </c>
      <c r="X1422" s="9">
        <v>2.9050837</v>
      </c>
      <c r="Y1422" s="39"/>
    </row>
    <row r="1423" spans="1:25" ht="15" thickBot="1">
      <c r="A1423" s="29">
        <f t="shared" si="1474"/>
        <v>45895.166666665202</v>
      </c>
      <c r="B1423" s="30">
        <f t="shared" si="1501"/>
        <v>5000</v>
      </c>
      <c r="C1423" s="8">
        <v>25000</v>
      </c>
      <c r="D1423" s="187">
        <v>0</v>
      </c>
      <c r="E1423" s="187">
        <v>700</v>
      </c>
      <c r="F1423" s="187">
        <v>15000</v>
      </c>
      <c r="G1423" s="30">
        <f t="shared" si="1502"/>
        <v>2400</v>
      </c>
      <c r="H1423" s="8">
        <v>25000</v>
      </c>
      <c r="I1423" s="30">
        <f t="shared" si="1503"/>
        <v>5000</v>
      </c>
      <c r="J1423" s="187">
        <v>40000</v>
      </c>
      <c r="K1423" s="30">
        <f t="shared" si="1504"/>
        <v>5000</v>
      </c>
      <c r="L1423" s="187">
        <v>40000</v>
      </c>
      <c r="M1423" s="110">
        <v>9.5</v>
      </c>
      <c r="N1423" s="9">
        <f>VLOOKUP(DATE(YEAR(A1423),MONTH(A1423),DAY(A1423)),FY24_Temp[],3,FALSE)</f>
        <v>14.71</v>
      </c>
      <c r="O1423" s="110">
        <f t="shared" si="1490"/>
        <v>11.5</v>
      </c>
      <c r="P1423" s="110">
        <f t="shared" si="1491"/>
        <v>19.5</v>
      </c>
      <c r="Q1423" s="79">
        <f>VLOOKUP(VLOOKUP(DATEVALUE(TEXT(A1423,"m/d/yyyy")),FY24_Temp[],5,FALSE)&amp;TEXT(A1423,"-h"),TempDelta[],4,FALSE)</f>
        <v>2.5181428364345004</v>
      </c>
      <c r="R1423">
        <v>10</v>
      </c>
      <c r="S1423" s="112">
        <v>1500</v>
      </c>
      <c r="T1423" s="5">
        <f>VLOOKUP(TEXT(A1423,"yy-mm")&amp;"-"&amp;IF(AND(WEEKDAY(A1423)&gt;1,WEEKDAY(A1423)&lt;7),"Wkd",TEXT(A1423,"Ddd"))&amp;"-"&amp;TEXT(A1423,"hh"),LoadTable[],3,FALSE)*0.92</f>
        <v>363.06235999999996</v>
      </c>
      <c r="U1423" s="113">
        <f t="shared" si="1492"/>
        <v>36.306235999999998</v>
      </c>
      <c r="V1423">
        <f t="shared" ref="V1423:W1423" si="1508">V1399</f>
        <v>3</v>
      </c>
      <c r="W1423">
        <f t="shared" si="1508"/>
        <v>3.1</v>
      </c>
      <c r="X1423" s="9">
        <v>2.9288175000000001</v>
      </c>
      <c r="Y1423" s="39"/>
    </row>
    <row r="1424" spans="1:25" ht="15" thickBot="1">
      <c r="A1424" s="29">
        <f t="shared" si="1474"/>
        <v>45895.208333331866</v>
      </c>
      <c r="B1424" s="30">
        <f t="shared" si="1501"/>
        <v>5000</v>
      </c>
      <c r="C1424" s="8">
        <v>25000</v>
      </c>
      <c r="D1424" s="187">
        <v>0</v>
      </c>
      <c r="E1424" s="187">
        <v>700</v>
      </c>
      <c r="F1424" s="187">
        <v>15000</v>
      </c>
      <c r="G1424" s="30">
        <f t="shared" si="1502"/>
        <v>2400</v>
      </c>
      <c r="H1424" s="8">
        <v>25000</v>
      </c>
      <c r="I1424" s="30">
        <f t="shared" si="1503"/>
        <v>5000</v>
      </c>
      <c r="J1424" s="187">
        <v>40000</v>
      </c>
      <c r="K1424" s="30">
        <f t="shared" si="1504"/>
        <v>5000</v>
      </c>
      <c r="L1424" s="187">
        <v>40000</v>
      </c>
      <c r="M1424" s="110">
        <v>9.5</v>
      </c>
      <c r="N1424" s="9">
        <f>VLOOKUP(DATE(YEAR(A1424),MONTH(A1424),DAY(A1424)),FY24_Temp[],3,FALSE)</f>
        <v>14.71</v>
      </c>
      <c r="O1424" s="110">
        <f t="shared" si="1490"/>
        <v>11.5</v>
      </c>
      <c r="P1424" s="110">
        <f t="shared" si="1491"/>
        <v>19.5</v>
      </c>
      <c r="Q1424" s="79">
        <f>VLOOKUP(VLOOKUP(DATEVALUE(TEXT(A1424,"m/d/yyyy")),FY24_Temp[],5,FALSE)&amp;TEXT(A1424,"-h"),TempDelta[],4,FALSE)</f>
        <v>2.5518571649278914</v>
      </c>
      <c r="R1424">
        <v>10</v>
      </c>
      <c r="S1424" s="112">
        <v>1500</v>
      </c>
      <c r="T1424" s="5">
        <f>VLOOKUP(TEXT(A1424,"yy-mm")&amp;"-"&amp;IF(AND(WEEKDAY(A1424)&gt;1,WEEKDAY(A1424)&lt;7),"Wkd",TEXT(A1424,"Ddd"))&amp;"-"&amp;TEXT(A1424,"hh"),LoadTable[],3,FALSE)*0.92</f>
        <v>363.06235999999996</v>
      </c>
      <c r="U1424" s="113">
        <f t="shared" si="1492"/>
        <v>36.306235999999998</v>
      </c>
      <c r="V1424">
        <f t="shared" ref="V1424:W1424" si="1509">V1400</f>
        <v>2.9</v>
      </c>
      <c r="W1424">
        <f t="shared" si="1509"/>
        <v>3.1</v>
      </c>
      <c r="X1424" s="9">
        <v>3.0009432</v>
      </c>
      <c r="Y1424" s="39"/>
    </row>
    <row r="1425" spans="1:25" ht="15" thickBot="1">
      <c r="A1425" s="29">
        <f t="shared" si="1474"/>
        <v>45895.24999999853</v>
      </c>
      <c r="B1425" s="30">
        <f t="shared" si="1501"/>
        <v>8000</v>
      </c>
      <c r="C1425" s="8">
        <v>25000</v>
      </c>
      <c r="D1425" s="187">
        <v>0</v>
      </c>
      <c r="E1425" s="187">
        <v>700</v>
      </c>
      <c r="F1425" s="187">
        <v>15000</v>
      </c>
      <c r="G1425" s="30">
        <f t="shared" si="1502"/>
        <v>2400</v>
      </c>
      <c r="H1425" s="8">
        <v>25000</v>
      </c>
      <c r="I1425" s="30">
        <f t="shared" si="1503"/>
        <v>8000</v>
      </c>
      <c r="J1425" s="187">
        <v>40000</v>
      </c>
      <c r="K1425" s="30">
        <f t="shared" si="1504"/>
        <v>8000</v>
      </c>
      <c r="L1425" s="187">
        <v>40000</v>
      </c>
      <c r="M1425" s="110">
        <v>9.5</v>
      </c>
      <c r="N1425" s="9">
        <f>VLOOKUP(DATE(YEAR(A1425),MONTH(A1425),DAY(A1425)),FY24_Temp[],3,FALSE)</f>
        <v>14.71</v>
      </c>
      <c r="O1425" s="110">
        <f t="shared" si="1490"/>
        <v>11.5</v>
      </c>
      <c r="P1425" s="110">
        <f t="shared" si="1491"/>
        <v>19.5</v>
      </c>
      <c r="Q1425" s="79">
        <f>VLOOKUP(VLOOKUP(DATEVALUE(TEXT(A1425,"m/d/yyyy")),FY24_Temp[],5,FALSE)&amp;TEXT(A1425,"-h"),TempDelta[],4,FALSE)</f>
        <v>2.5557143007005965</v>
      </c>
      <c r="R1425">
        <v>10</v>
      </c>
      <c r="S1425" s="112">
        <v>1500</v>
      </c>
      <c r="T1425" s="5">
        <f>VLOOKUP(TEXT(A1425,"yy-mm")&amp;"-"&amp;IF(AND(WEEKDAY(A1425)&gt;1,WEEKDAY(A1425)&lt;7),"Wkd",TEXT(A1425,"Ddd"))&amp;"-"&amp;TEXT(A1425,"hh"),LoadTable[],3,FALSE)*0.92</f>
        <v>363.06235999999996</v>
      </c>
      <c r="U1425" s="113">
        <f t="shared" si="1492"/>
        <v>36.306235999999998</v>
      </c>
      <c r="V1425">
        <f t="shared" ref="V1425:W1425" si="1510">V1401</f>
        <v>2.5</v>
      </c>
      <c r="W1425">
        <f t="shared" si="1510"/>
        <v>3.1</v>
      </c>
      <c r="X1425" s="9">
        <v>3.1199050000000002</v>
      </c>
      <c r="Y1425" s="39"/>
    </row>
    <row r="1426" spans="1:25" ht="15" thickBot="1">
      <c r="A1426" s="29">
        <f t="shared" si="1474"/>
        <v>45895.291666665194</v>
      </c>
      <c r="B1426" s="30">
        <f t="shared" si="1501"/>
        <v>8000</v>
      </c>
      <c r="C1426" s="8">
        <v>25000</v>
      </c>
      <c r="D1426" s="187">
        <v>0</v>
      </c>
      <c r="E1426" s="187">
        <v>700</v>
      </c>
      <c r="F1426" s="187">
        <v>15000</v>
      </c>
      <c r="G1426" s="30">
        <f t="shared" si="1502"/>
        <v>2400</v>
      </c>
      <c r="H1426" s="8">
        <v>25000</v>
      </c>
      <c r="I1426" s="30">
        <f t="shared" si="1503"/>
        <v>8000</v>
      </c>
      <c r="J1426" s="187">
        <v>40000</v>
      </c>
      <c r="K1426" s="30">
        <f t="shared" si="1504"/>
        <v>8000</v>
      </c>
      <c r="L1426" s="187">
        <v>40000</v>
      </c>
      <c r="M1426" s="110">
        <v>9.5</v>
      </c>
      <c r="N1426" s="9">
        <f>VLOOKUP(DATE(YEAR(A1426),MONTH(A1426),DAY(A1426)),FY24_Temp[],3,FALSE)</f>
        <v>14.71</v>
      </c>
      <c r="O1426" s="110">
        <f t="shared" si="1490"/>
        <v>11.5</v>
      </c>
      <c r="P1426" s="110">
        <f t="shared" si="1491"/>
        <v>19.5</v>
      </c>
      <c r="Q1426" s="79">
        <f>VLOOKUP(VLOOKUP(DATEVALUE(TEXT(A1426,"m/d/yyyy")),FY24_Temp[],5,FALSE)&amp;TEXT(A1426,"-h"),TempDelta[],4,FALSE)</f>
        <v>2.5165714536394392</v>
      </c>
      <c r="R1426">
        <v>10</v>
      </c>
      <c r="S1426" s="112">
        <v>1500</v>
      </c>
      <c r="T1426" s="5">
        <f>VLOOKUP(TEXT(A1426,"yy-mm")&amp;"-"&amp;IF(AND(WEEKDAY(A1426)&gt;1,WEEKDAY(A1426)&lt;7),"Wkd",TEXT(A1426,"Ddd"))&amp;"-"&amp;TEXT(A1426,"hh"),LoadTable[],3,FALSE)*0.92</f>
        <v>352.2091200000001</v>
      </c>
      <c r="U1426" s="113">
        <f t="shared" si="1492"/>
        <v>35.220912000000013</v>
      </c>
      <c r="V1426">
        <f t="shared" ref="V1426:W1426" si="1511">V1402</f>
        <v>2.5</v>
      </c>
      <c r="W1426">
        <f t="shared" si="1511"/>
        <v>3.1</v>
      </c>
      <c r="X1426" s="9">
        <v>3.2598688999999998</v>
      </c>
      <c r="Y1426" s="39"/>
    </row>
    <row r="1427" spans="1:25" ht="15" thickBot="1">
      <c r="A1427" s="29">
        <f t="shared" si="1474"/>
        <v>45895.333333331859</v>
      </c>
      <c r="B1427" s="30">
        <f t="shared" si="1501"/>
        <v>8000</v>
      </c>
      <c r="C1427" s="8">
        <v>25000</v>
      </c>
      <c r="D1427" s="187">
        <v>0</v>
      </c>
      <c r="E1427" s="187">
        <v>700</v>
      </c>
      <c r="F1427" s="187">
        <v>15000</v>
      </c>
      <c r="G1427" s="30">
        <f t="shared" si="1502"/>
        <v>2400</v>
      </c>
      <c r="H1427" s="8">
        <v>25000</v>
      </c>
      <c r="I1427" s="30">
        <f t="shared" si="1503"/>
        <v>8000</v>
      </c>
      <c r="J1427" s="187">
        <v>40000</v>
      </c>
      <c r="K1427" s="30">
        <f t="shared" si="1504"/>
        <v>8000</v>
      </c>
      <c r="L1427" s="187">
        <v>40000</v>
      </c>
      <c r="M1427" s="110">
        <v>9.5</v>
      </c>
      <c r="N1427" s="9">
        <f>VLOOKUP(DATE(YEAR(A1427),MONTH(A1427),DAY(A1427)),FY24_Temp[],3,FALSE)</f>
        <v>14.71</v>
      </c>
      <c r="O1427" s="110">
        <f t="shared" si="1490"/>
        <v>11.5</v>
      </c>
      <c r="P1427" s="110">
        <f t="shared" si="1491"/>
        <v>19.5</v>
      </c>
      <c r="Q1427" s="79">
        <f>VLOOKUP(VLOOKUP(DATEVALUE(TEXT(A1427,"m/d/yyyy")),FY24_Temp[],5,FALSE)&amp;TEXT(A1427,"-h"),TempDelta[],4,FALSE)</f>
        <v>2.410571438925607</v>
      </c>
      <c r="R1427">
        <v>10</v>
      </c>
      <c r="S1427" s="112">
        <v>1500</v>
      </c>
      <c r="T1427" s="5">
        <f>VLOOKUP(TEXT(A1427,"yy-mm")&amp;"-"&amp;IF(AND(WEEKDAY(A1427)&gt;1,WEEKDAY(A1427)&lt;7),"Wkd",TEXT(A1427,"Ddd"))&amp;"-"&amp;TEXT(A1427,"hh"),LoadTable[],3,FALSE)*0.92</f>
        <v>352.2091200000001</v>
      </c>
      <c r="U1427" s="113">
        <f t="shared" si="1492"/>
        <v>35.220912000000013</v>
      </c>
      <c r="V1427">
        <f t="shared" ref="V1427:W1427" si="1512">V1403</f>
        <v>3.2</v>
      </c>
      <c r="W1427">
        <f t="shared" si="1512"/>
        <v>3</v>
      </c>
      <c r="X1427" s="9">
        <v>3.31724</v>
      </c>
      <c r="Y1427" s="39"/>
    </row>
    <row r="1428" spans="1:25" ht="15" thickBot="1">
      <c r="A1428" s="29">
        <f t="shared" si="1474"/>
        <v>45895.374999998523</v>
      </c>
      <c r="B1428" s="30">
        <f t="shared" si="1501"/>
        <v>8000</v>
      </c>
      <c r="C1428" s="8">
        <v>25000</v>
      </c>
      <c r="D1428" s="187">
        <v>0</v>
      </c>
      <c r="E1428" s="187">
        <v>700</v>
      </c>
      <c r="F1428" s="187">
        <v>15000</v>
      </c>
      <c r="G1428" s="30">
        <f t="shared" si="1502"/>
        <v>2400</v>
      </c>
      <c r="H1428" s="8">
        <v>25000</v>
      </c>
      <c r="I1428" s="30">
        <f t="shared" si="1503"/>
        <v>8000</v>
      </c>
      <c r="J1428" s="187">
        <v>40000</v>
      </c>
      <c r="K1428" s="30">
        <f t="shared" si="1504"/>
        <v>8000</v>
      </c>
      <c r="L1428" s="187">
        <v>40000</v>
      </c>
      <c r="M1428" s="110">
        <v>9.5</v>
      </c>
      <c r="N1428" s="9">
        <f>VLOOKUP(DATE(YEAR(A1428),MONTH(A1428),DAY(A1428)),FY24_Temp[],3,FALSE)</f>
        <v>14.71</v>
      </c>
      <c r="O1428" s="110">
        <f t="shared" si="1490"/>
        <v>11.5</v>
      </c>
      <c r="P1428" s="110">
        <f t="shared" si="1491"/>
        <v>19.5</v>
      </c>
      <c r="Q1428" s="79">
        <f>VLOOKUP(VLOOKUP(DATEVALUE(TEXT(A1428,"m/d/yyyy")),FY24_Temp[],5,FALSE)&amp;TEXT(A1428,"-h"),TempDelta[],4,FALSE)</f>
        <v>2.2332857336316789</v>
      </c>
      <c r="R1428">
        <v>10</v>
      </c>
      <c r="S1428" s="112">
        <v>1500</v>
      </c>
      <c r="T1428" s="5">
        <f>VLOOKUP(TEXT(A1428,"yy-mm")&amp;"-"&amp;IF(AND(WEEKDAY(A1428)&gt;1,WEEKDAY(A1428)&lt;7),"Wkd",TEXT(A1428,"Ddd"))&amp;"-"&amp;TEXT(A1428,"hh"),LoadTable[],3,FALSE)*0.92</f>
        <v>340.60949077857163</v>
      </c>
      <c r="U1428" s="113">
        <f t="shared" si="1492"/>
        <v>34.06094907785716</v>
      </c>
      <c r="V1428">
        <f t="shared" ref="V1428:W1428" si="1513">V1404</f>
        <v>2.9</v>
      </c>
      <c r="W1428">
        <f t="shared" si="1513"/>
        <v>3</v>
      </c>
      <c r="X1428" s="9">
        <v>3.3582907</v>
      </c>
      <c r="Y1428" s="39"/>
    </row>
    <row r="1429" spans="1:25" ht="15" thickBot="1">
      <c r="A1429" s="29">
        <f t="shared" si="1474"/>
        <v>45895.416666665187</v>
      </c>
      <c r="B1429" s="30">
        <f t="shared" si="1501"/>
        <v>8000</v>
      </c>
      <c r="C1429" s="8">
        <v>25000</v>
      </c>
      <c r="D1429" s="187">
        <v>0</v>
      </c>
      <c r="E1429" s="187">
        <v>700</v>
      </c>
      <c r="F1429" s="187">
        <v>15000</v>
      </c>
      <c r="G1429" s="30">
        <f t="shared" si="1502"/>
        <v>2400</v>
      </c>
      <c r="H1429" s="8">
        <v>25000</v>
      </c>
      <c r="I1429" s="30">
        <f t="shared" si="1503"/>
        <v>8000</v>
      </c>
      <c r="J1429" s="187">
        <v>40000</v>
      </c>
      <c r="K1429" s="30">
        <f t="shared" si="1504"/>
        <v>8000</v>
      </c>
      <c r="L1429" s="187">
        <v>40000</v>
      </c>
      <c r="M1429" s="110">
        <v>9.5</v>
      </c>
      <c r="N1429" s="9">
        <f>VLOOKUP(DATE(YEAR(A1429),MONTH(A1429),DAY(A1429)),FY24_Temp[],3,FALSE)</f>
        <v>14.71</v>
      </c>
      <c r="O1429" s="110">
        <f t="shared" si="1490"/>
        <v>11.5</v>
      </c>
      <c r="P1429" s="110">
        <f t="shared" si="1491"/>
        <v>19.5</v>
      </c>
      <c r="Q1429" s="79">
        <f>VLOOKUP(VLOOKUP(DATEVALUE(TEXT(A1429,"m/d/yyyy")),FY24_Temp[],5,FALSE)&amp;TEXT(A1429,"-h"),TempDelta[],4,FALSE)</f>
        <v>2.0304285798754012</v>
      </c>
      <c r="R1429">
        <v>10</v>
      </c>
      <c r="S1429" s="112">
        <v>1500</v>
      </c>
      <c r="T1429" s="5">
        <f>VLOOKUP(TEXT(A1429,"yy-mm")&amp;"-"&amp;IF(AND(WEEKDAY(A1429)&gt;1,WEEKDAY(A1429)&lt;7),"Wkd",TEXT(A1429,"Ddd"))&amp;"-"&amp;TEXT(A1429,"hh"),LoadTable[],3,FALSE)*0.92</f>
        <v>338.44093501457746</v>
      </c>
      <c r="U1429" s="113">
        <f t="shared" si="1492"/>
        <v>33.844093501457749</v>
      </c>
      <c r="V1429">
        <f t="shared" ref="V1429:W1429" si="1514">V1405</f>
        <v>2.9</v>
      </c>
      <c r="W1429">
        <f t="shared" si="1514"/>
        <v>3</v>
      </c>
      <c r="X1429" s="9">
        <v>3.4230849999999999</v>
      </c>
      <c r="Y1429" s="39"/>
    </row>
    <row r="1430" spans="1:25" ht="15" thickBot="1">
      <c r="A1430" s="29">
        <f t="shared" si="1474"/>
        <v>45895.458333331851</v>
      </c>
      <c r="B1430" s="30">
        <f t="shared" si="1501"/>
        <v>8000</v>
      </c>
      <c r="C1430" s="8">
        <v>25000</v>
      </c>
      <c r="D1430" s="187">
        <v>0</v>
      </c>
      <c r="E1430" s="187">
        <v>700</v>
      </c>
      <c r="F1430" s="187">
        <v>15000</v>
      </c>
      <c r="G1430" s="30">
        <f t="shared" si="1502"/>
        <v>2400</v>
      </c>
      <c r="H1430" s="8">
        <v>25000</v>
      </c>
      <c r="I1430" s="30">
        <f t="shared" si="1503"/>
        <v>8000</v>
      </c>
      <c r="J1430" s="187">
        <v>40000</v>
      </c>
      <c r="K1430" s="30">
        <f t="shared" si="1504"/>
        <v>8000</v>
      </c>
      <c r="L1430" s="187">
        <v>40000</v>
      </c>
      <c r="M1430" s="110">
        <v>9.5</v>
      </c>
      <c r="N1430" s="9">
        <f>VLOOKUP(DATE(YEAR(A1430),MONTH(A1430),DAY(A1430)),FY24_Temp[],3,FALSE)</f>
        <v>14.71</v>
      </c>
      <c r="O1430" s="110">
        <f t="shared" si="1490"/>
        <v>11.5</v>
      </c>
      <c r="P1430" s="110">
        <f t="shared" si="1491"/>
        <v>19.5</v>
      </c>
      <c r="Q1430" s="79">
        <f>VLOOKUP(VLOOKUP(DATEVALUE(TEXT(A1430,"m/d/yyyy")),FY24_Temp[],5,FALSE)&amp;TEXT(A1430,"-h"),TempDelta[],4,FALSE)</f>
        <v>1.7931428466524397</v>
      </c>
      <c r="R1430">
        <v>10</v>
      </c>
      <c r="S1430" s="112">
        <v>1500</v>
      </c>
      <c r="T1430" s="5">
        <f>VLOOKUP(TEXT(A1430,"yy-mm")&amp;"-"&amp;IF(AND(WEEKDAY(A1430)&gt;1,WEEKDAY(A1430)&lt;7),"Wkd",TEXT(A1430,"Ddd"))&amp;"-"&amp;TEXT(A1430,"hh"),LoadTable[],3,FALSE)*0.92</f>
        <v>338.44093501457746</v>
      </c>
      <c r="U1430" s="113">
        <f t="shared" si="1492"/>
        <v>33.844093501457749</v>
      </c>
      <c r="V1430">
        <f t="shared" ref="V1430:W1430" si="1515">V1406</f>
        <v>3.4</v>
      </c>
      <c r="W1430">
        <f t="shared" si="1515"/>
        <v>3</v>
      </c>
      <c r="X1430" s="9">
        <v>3.3580744</v>
      </c>
      <c r="Y1430" s="39"/>
    </row>
    <row r="1431" spans="1:25" ht="15" thickBot="1">
      <c r="A1431" s="29">
        <f t="shared" si="1474"/>
        <v>45895.499999998516</v>
      </c>
      <c r="B1431" s="30">
        <f t="shared" si="1501"/>
        <v>8000</v>
      </c>
      <c r="C1431" s="8">
        <v>25000</v>
      </c>
      <c r="D1431" s="187">
        <v>0</v>
      </c>
      <c r="E1431" s="187">
        <v>700</v>
      </c>
      <c r="F1431" s="187">
        <v>15000</v>
      </c>
      <c r="G1431" s="30">
        <f t="shared" si="1502"/>
        <v>2400</v>
      </c>
      <c r="H1431" s="8">
        <v>25000</v>
      </c>
      <c r="I1431" s="30">
        <f t="shared" si="1503"/>
        <v>8000</v>
      </c>
      <c r="J1431" s="187">
        <v>40000</v>
      </c>
      <c r="K1431" s="30">
        <f t="shared" si="1504"/>
        <v>8000</v>
      </c>
      <c r="L1431" s="187">
        <v>40000</v>
      </c>
      <c r="M1431" s="110">
        <v>9.5</v>
      </c>
      <c r="N1431" s="9">
        <f>VLOOKUP(DATE(YEAR(A1431),MONTH(A1431),DAY(A1431)),FY24_Temp[],3,FALSE)</f>
        <v>14.71</v>
      </c>
      <c r="O1431" s="110">
        <f t="shared" si="1490"/>
        <v>11.5</v>
      </c>
      <c r="P1431" s="110">
        <f t="shared" si="1491"/>
        <v>19.5</v>
      </c>
      <c r="Q1431" s="79">
        <f>VLOOKUP(VLOOKUP(DATEVALUE(TEXT(A1431,"m/d/yyyy")),FY24_Temp[],5,FALSE)&amp;TEXT(A1431,"-h"),TempDelta[],4,FALSE)</f>
        <v>1.5527142797197615</v>
      </c>
      <c r="R1431">
        <v>10</v>
      </c>
      <c r="S1431" s="112">
        <v>1500</v>
      </c>
      <c r="T1431" s="5">
        <f>VLOOKUP(TEXT(A1431,"yy-mm")&amp;"-"&amp;IF(AND(WEEKDAY(A1431)&gt;1,WEEKDAY(A1431)&lt;7),"Wkd",TEXT(A1431,"Ddd"))&amp;"-"&amp;TEXT(A1431,"hh"),LoadTable[],3,FALSE)*0.92</f>
        <v>338.44093501457746</v>
      </c>
      <c r="U1431" s="113">
        <f t="shared" si="1492"/>
        <v>33.844093501457749</v>
      </c>
      <c r="V1431">
        <f t="shared" ref="V1431:W1431" si="1516">V1407</f>
        <v>3.1</v>
      </c>
      <c r="W1431">
        <f t="shared" si="1516"/>
        <v>2.9</v>
      </c>
      <c r="X1431" s="9">
        <v>3.2136230000000001</v>
      </c>
      <c r="Y1431" s="39"/>
    </row>
    <row r="1432" spans="1:25" ht="15" thickBot="1">
      <c r="A1432" s="29">
        <f t="shared" si="1474"/>
        <v>45895.54166666518</v>
      </c>
      <c r="B1432" s="30">
        <f t="shared" si="1501"/>
        <v>8000</v>
      </c>
      <c r="C1432" s="8">
        <v>25000</v>
      </c>
      <c r="D1432" s="187">
        <v>0</v>
      </c>
      <c r="E1432" s="187">
        <v>700</v>
      </c>
      <c r="F1432" s="187">
        <v>15000</v>
      </c>
      <c r="G1432" s="30">
        <f t="shared" si="1502"/>
        <v>2400</v>
      </c>
      <c r="H1432" s="8">
        <v>25000</v>
      </c>
      <c r="I1432" s="30">
        <f t="shared" si="1503"/>
        <v>8000</v>
      </c>
      <c r="J1432" s="187">
        <v>40000</v>
      </c>
      <c r="K1432" s="30">
        <f t="shared" si="1504"/>
        <v>8000</v>
      </c>
      <c r="L1432" s="187">
        <v>40000</v>
      </c>
      <c r="M1432" s="110">
        <v>9.5</v>
      </c>
      <c r="N1432" s="9">
        <f>VLOOKUP(DATE(YEAR(A1432),MONTH(A1432),DAY(A1432)),FY24_Temp[],3,FALSE)</f>
        <v>14.71</v>
      </c>
      <c r="O1432" s="110">
        <f t="shared" si="1490"/>
        <v>11.5</v>
      </c>
      <c r="P1432" s="110">
        <f t="shared" si="1491"/>
        <v>19.5</v>
      </c>
      <c r="Q1432" s="79">
        <f>VLOOKUP(VLOOKUP(DATEVALUE(TEXT(A1432,"m/d/yyyy")),FY24_Temp[],5,FALSE)&amp;TEXT(A1432,"-h"),TempDelta[],4,FALSE)</f>
        <v>1.3120000192097254</v>
      </c>
      <c r="R1432">
        <v>10</v>
      </c>
      <c r="S1432" s="112">
        <v>1500</v>
      </c>
      <c r="T1432" s="5">
        <f>VLOOKUP(TEXT(A1432,"yy-mm")&amp;"-"&amp;IF(AND(WEEKDAY(A1432)&gt;1,WEEKDAY(A1432)&lt;7),"Wkd",TEXT(A1432,"Ddd"))&amp;"-"&amp;TEXT(A1432,"hh"),LoadTable[],3,FALSE)*0.92</f>
        <v>389.90980000000025</v>
      </c>
      <c r="U1432" s="113">
        <f t="shared" si="1492"/>
        <v>38.990980000000022</v>
      </c>
      <c r="V1432">
        <f t="shared" ref="V1432:W1432" si="1517">V1408</f>
        <v>3.2</v>
      </c>
      <c r="W1432">
        <f t="shared" si="1517"/>
        <v>2.9</v>
      </c>
      <c r="X1432" s="9">
        <v>3.0238923999999998</v>
      </c>
      <c r="Y1432" s="39"/>
    </row>
    <row r="1433" spans="1:25" ht="15" thickBot="1">
      <c r="A1433" s="29">
        <f t="shared" si="1474"/>
        <v>45895.583333331844</v>
      </c>
      <c r="B1433" s="30">
        <f t="shared" si="1501"/>
        <v>8000</v>
      </c>
      <c r="C1433" s="8">
        <v>25000</v>
      </c>
      <c r="D1433" s="187">
        <v>0</v>
      </c>
      <c r="E1433" s="187">
        <v>700</v>
      </c>
      <c r="F1433" s="187">
        <v>15000</v>
      </c>
      <c r="G1433" s="30">
        <f t="shared" si="1502"/>
        <v>2400</v>
      </c>
      <c r="H1433" s="8">
        <v>25000</v>
      </c>
      <c r="I1433" s="30">
        <f t="shared" si="1503"/>
        <v>8000</v>
      </c>
      <c r="J1433" s="187">
        <v>40000</v>
      </c>
      <c r="K1433" s="30">
        <f t="shared" si="1504"/>
        <v>8000</v>
      </c>
      <c r="L1433" s="187">
        <v>40000</v>
      </c>
      <c r="M1433" s="110">
        <v>9.5</v>
      </c>
      <c r="N1433" s="9">
        <f>VLOOKUP(DATE(YEAR(A1433),MONTH(A1433),DAY(A1433)),FY24_Temp[],3,FALSE)</f>
        <v>14.71</v>
      </c>
      <c r="O1433" s="110">
        <f t="shared" si="1490"/>
        <v>11.5</v>
      </c>
      <c r="P1433" s="110">
        <f t="shared" si="1491"/>
        <v>19.5</v>
      </c>
      <c r="Q1433" s="79">
        <f>VLOOKUP(VLOOKUP(DATEVALUE(TEXT(A1433,"m/d/yyyy")),FY24_Temp[],5,FALSE)&amp;TEXT(A1433,"-h"),TempDelta[],4,FALSE)</f>
        <v>0.87128572378839764</v>
      </c>
      <c r="R1433">
        <v>10</v>
      </c>
      <c r="S1433" s="112">
        <v>1500</v>
      </c>
      <c r="T1433" s="5">
        <f>VLOOKUP(TEXT(A1433,"yy-mm")&amp;"-"&amp;IF(AND(WEEKDAY(A1433)&gt;1,WEEKDAY(A1433)&lt;7),"Wkd",TEXT(A1433,"Ddd"))&amp;"-"&amp;TEXT(A1433,"hh"),LoadTable[],3,FALSE)*0.92</f>
        <v>625.53652000000022</v>
      </c>
      <c r="U1433" s="113">
        <f t="shared" si="1492"/>
        <v>62.553652000000021</v>
      </c>
      <c r="V1433">
        <f t="shared" ref="V1433:W1433" si="1518">V1409</f>
        <v>3.5</v>
      </c>
      <c r="W1433">
        <f t="shared" si="1518"/>
        <v>2.9</v>
      </c>
      <c r="X1433" s="9">
        <v>2.9290090000000002</v>
      </c>
      <c r="Y1433" s="39"/>
    </row>
    <row r="1434" spans="1:25" ht="15" thickBot="1">
      <c r="A1434" s="29">
        <f t="shared" si="1474"/>
        <v>45895.624999998508</v>
      </c>
      <c r="B1434" s="30">
        <f t="shared" si="1501"/>
        <v>8000</v>
      </c>
      <c r="C1434" s="8">
        <v>25000</v>
      </c>
      <c r="D1434" s="187">
        <v>0</v>
      </c>
      <c r="E1434" s="187">
        <v>700</v>
      </c>
      <c r="F1434" s="187">
        <v>15000</v>
      </c>
      <c r="G1434" s="30">
        <f t="shared" si="1502"/>
        <v>2400</v>
      </c>
      <c r="H1434" s="8">
        <v>25000</v>
      </c>
      <c r="I1434" s="30">
        <f t="shared" si="1503"/>
        <v>8000</v>
      </c>
      <c r="J1434" s="187">
        <v>40000</v>
      </c>
      <c r="K1434" s="30">
        <f t="shared" si="1504"/>
        <v>8000</v>
      </c>
      <c r="L1434" s="187">
        <v>40000</v>
      </c>
      <c r="M1434" s="110">
        <v>9.5</v>
      </c>
      <c r="N1434" s="9">
        <f>VLOOKUP(DATE(YEAR(A1434),MONTH(A1434),DAY(A1434)),FY24_Temp[],3,FALSE)</f>
        <v>14.71</v>
      </c>
      <c r="O1434" s="110">
        <f t="shared" si="1490"/>
        <v>11.5</v>
      </c>
      <c r="P1434" s="110">
        <f t="shared" si="1491"/>
        <v>19.5</v>
      </c>
      <c r="Q1434" s="79">
        <f>VLOOKUP(VLOOKUP(DATEVALUE(TEXT(A1434,"m/d/yyyy")),FY24_Temp[],5,FALSE)&amp;TEXT(A1434,"-h"),TempDelta[],4,FALSE)</f>
        <v>0.66957143161978039</v>
      </c>
      <c r="R1434">
        <v>10</v>
      </c>
      <c r="S1434" s="112">
        <v>1500</v>
      </c>
      <c r="T1434" s="5">
        <f>VLOOKUP(TEXT(A1434,"yy-mm")&amp;"-"&amp;IF(AND(WEEKDAY(A1434)&gt;1,WEEKDAY(A1434)&lt;7),"Wkd",TEXT(A1434,"Ddd"))&amp;"-"&amp;TEXT(A1434,"hh"),LoadTable[],3,FALSE)*0.92</f>
        <v>699.79524000000038</v>
      </c>
      <c r="U1434" s="113">
        <f t="shared" si="1492"/>
        <v>69.97952400000004</v>
      </c>
      <c r="V1434">
        <f t="shared" ref="V1434:W1434" si="1519">V1410</f>
        <v>3.2</v>
      </c>
      <c r="W1434">
        <f t="shared" si="1519"/>
        <v>2.9</v>
      </c>
      <c r="X1434" s="9">
        <v>3.0735749999999999</v>
      </c>
      <c r="Y1434" s="39"/>
    </row>
    <row r="1435" spans="1:25" ht="15" thickBot="1">
      <c r="A1435" s="29">
        <f t="shared" si="1474"/>
        <v>45895.666666665173</v>
      </c>
      <c r="B1435" s="30">
        <f t="shared" si="1501"/>
        <v>8000</v>
      </c>
      <c r="C1435" s="8">
        <v>25000</v>
      </c>
      <c r="D1435" s="187">
        <v>0</v>
      </c>
      <c r="E1435" s="187">
        <v>700</v>
      </c>
      <c r="F1435" s="187">
        <v>15000</v>
      </c>
      <c r="G1435" s="30">
        <f t="shared" si="1502"/>
        <v>2400</v>
      </c>
      <c r="H1435" s="8">
        <v>25000</v>
      </c>
      <c r="I1435" s="30">
        <f t="shared" si="1503"/>
        <v>8000</v>
      </c>
      <c r="J1435" s="187">
        <v>40000</v>
      </c>
      <c r="K1435" s="30">
        <f t="shared" si="1504"/>
        <v>8000</v>
      </c>
      <c r="L1435" s="187">
        <v>40000</v>
      </c>
      <c r="M1435" s="110">
        <v>9.5</v>
      </c>
      <c r="N1435" s="9">
        <f>VLOOKUP(DATE(YEAR(A1435),MONTH(A1435),DAY(A1435)),FY24_Temp[],3,FALSE)</f>
        <v>14.71</v>
      </c>
      <c r="O1435" s="110">
        <f t="shared" si="1490"/>
        <v>11.5</v>
      </c>
      <c r="P1435" s="110">
        <f t="shared" si="1491"/>
        <v>19.5</v>
      </c>
      <c r="Q1435" s="79">
        <f>VLOOKUP(VLOOKUP(DATEVALUE(TEXT(A1435,"m/d/yyyy")),FY24_Temp[],5,FALSE)&amp;TEXT(A1435,"-h"),TempDelta[],4,FALSE)</f>
        <v>0.5316428627286639</v>
      </c>
      <c r="R1435">
        <v>10</v>
      </c>
      <c r="S1435" s="112">
        <v>1500</v>
      </c>
      <c r="T1435" s="5">
        <f>VLOOKUP(TEXT(A1435,"yy-mm")&amp;"-"&amp;IF(AND(WEEKDAY(A1435)&gt;1,WEEKDAY(A1435)&lt;7),"Wkd",TEXT(A1435,"Ddd"))&amp;"-"&amp;TEXT(A1435,"hh"),LoadTable[],3,FALSE)*0.92</f>
        <v>786.27137399656624</v>
      </c>
      <c r="U1435" s="113">
        <f t="shared" si="1492"/>
        <v>78.627137399656618</v>
      </c>
      <c r="V1435">
        <f t="shared" ref="V1435:W1435" si="1520">V1411</f>
        <v>3.5</v>
      </c>
      <c r="W1435">
        <f t="shared" si="1520"/>
        <v>3</v>
      </c>
      <c r="X1435" s="9">
        <v>3.3711674</v>
      </c>
      <c r="Y1435" s="39"/>
    </row>
    <row r="1436" spans="1:25" ht="15" thickBot="1">
      <c r="A1436" s="29">
        <f t="shared" si="1474"/>
        <v>45895.708333331837</v>
      </c>
      <c r="B1436" s="30">
        <f t="shared" si="1501"/>
        <v>8000</v>
      </c>
      <c r="C1436" s="8">
        <v>25000</v>
      </c>
      <c r="D1436" s="187">
        <v>0</v>
      </c>
      <c r="E1436" s="187">
        <v>700</v>
      </c>
      <c r="F1436" s="187">
        <v>15000</v>
      </c>
      <c r="G1436" s="30">
        <f t="shared" si="1502"/>
        <v>2400</v>
      </c>
      <c r="H1436" s="8">
        <v>25000</v>
      </c>
      <c r="I1436" s="30">
        <f t="shared" si="1503"/>
        <v>8000</v>
      </c>
      <c r="J1436" s="187">
        <v>40000</v>
      </c>
      <c r="K1436" s="30">
        <f t="shared" si="1504"/>
        <v>8000</v>
      </c>
      <c r="L1436" s="187">
        <v>40000</v>
      </c>
      <c r="M1436" s="110">
        <v>9.5</v>
      </c>
      <c r="N1436" s="9">
        <f>VLOOKUP(DATE(YEAR(A1436),MONTH(A1436),DAY(A1436)),FY24_Temp[],3,FALSE)</f>
        <v>14.71</v>
      </c>
      <c r="O1436" s="110">
        <f t="shared" si="1490"/>
        <v>11.5</v>
      </c>
      <c r="P1436" s="110">
        <f t="shared" si="1491"/>
        <v>19.5</v>
      </c>
      <c r="Q1436" s="79">
        <f>VLOOKUP(VLOOKUP(DATEVALUE(TEXT(A1436,"m/d/yyyy")),FY24_Temp[],5,FALSE)&amp;TEXT(A1436,"-h"),TempDelta[],4,FALSE)</f>
        <v>0.55664285378796718</v>
      </c>
      <c r="R1436">
        <v>10</v>
      </c>
      <c r="S1436" s="112">
        <v>1500</v>
      </c>
      <c r="T1436" s="5">
        <f>VLOOKUP(TEXT(A1436,"yy-mm")&amp;"-"&amp;IF(AND(WEEKDAY(A1436)&gt;1,WEEKDAY(A1436)&lt;7),"Wkd",TEXT(A1436,"Ddd"))&amp;"-"&amp;TEXT(A1436,"hh"),LoadTable[],3,FALSE)*0.92</f>
        <v>786.27137399656624</v>
      </c>
      <c r="U1436" s="113">
        <f t="shared" si="1492"/>
        <v>78.627137399656618</v>
      </c>
      <c r="V1436">
        <f t="shared" ref="V1436:W1436" si="1521">V1412</f>
        <v>3.6</v>
      </c>
      <c r="W1436">
        <f t="shared" si="1521"/>
        <v>3</v>
      </c>
      <c r="X1436" s="9">
        <v>3.2652898000000001</v>
      </c>
      <c r="Y1436" s="39"/>
    </row>
    <row r="1437" spans="1:25" ht="15" thickBot="1">
      <c r="A1437" s="29">
        <f t="shared" si="1474"/>
        <v>45895.749999998501</v>
      </c>
      <c r="B1437" s="30">
        <f t="shared" si="1501"/>
        <v>5000</v>
      </c>
      <c r="C1437" s="8">
        <v>25000</v>
      </c>
      <c r="D1437" s="187">
        <v>0</v>
      </c>
      <c r="E1437" s="187">
        <v>700</v>
      </c>
      <c r="F1437" s="187">
        <v>15000</v>
      </c>
      <c r="G1437" s="30">
        <f t="shared" si="1502"/>
        <v>2400</v>
      </c>
      <c r="H1437" s="8">
        <v>25000</v>
      </c>
      <c r="I1437" s="30">
        <f t="shared" si="1503"/>
        <v>5000</v>
      </c>
      <c r="J1437" s="187">
        <v>40000</v>
      </c>
      <c r="K1437" s="30">
        <f t="shared" si="1504"/>
        <v>5000</v>
      </c>
      <c r="L1437" s="187">
        <v>40000</v>
      </c>
      <c r="M1437" s="110">
        <v>9.5</v>
      </c>
      <c r="N1437" s="9">
        <f>VLOOKUP(DATE(YEAR(A1437),MONTH(A1437),DAY(A1437)),FY24_Temp[],3,FALSE)</f>
        <v>14.71</v>
      </c>
      <c r="O1437" s="110">
        <f t="shared" si="1490"/>
        <v>11.5</v>
      </c>
      <c r="P1437" s="110">
        <f t="shared" si="1491"/>
        <v>19.5</v>
      </c>
      <c r="Q1437" s="79">
        <f>VLOOKUP(VLOOKUP(DATEVALUE(TEXT(A1437,"m/d/yyyy")),FY24_Temp[],5,FALSE)&amp;TEXT(A1437,"-h"),TempDelta[],4,FALSE)</f>
        <v>0.75757142049925663</v>
      </c>
      <c r="R1437">
        <v>10</v>
      </c>
      <c r="S1437" s="112">
        <v>1500</v>
      </c>
      <c r="T1437" s="5">
        <f>VLOOKUP(TEXT(A1437,"yy-mm")&amp;"-"&amp;IF(AND(WEEKDAY(A1437)&gt;1,WEEKDAY(A1437)&lt;7),"Wkd",TEXT(A1437,"Ddd"))&amp;"-"&amp;TEXT(A1437,"hh"),LoadTable[],3,FALSE)*0.92</f>
        <v>786.27137399656647</v>
      </c>
      <c r="U1437" s="113">
        <f t="shared" si="1492"/>
        <v>78.627137399656647</v>
      </c>
      <c r="V1437">
        <f t="shared" ref="V1437:W1437" si="1522">V1413</f>
        <v>2.9</v>
      </c>
      <c r="W1437">
        <f t="shared" si="1522"/>
        <v>3</v>
      </c>
      <c r="X1437" s="9">
        <v>3.2100737000000001</v>
      </c>
      <c r="Y1437" s="39"/>
    </row>
    <row r="1438" spans="1:25" ht="15" thickBot="1">
      <c r="A1438" s="29">
        <f t="shared" si="1474"/>
        <v>45895.791666665165</v>
      </c>
      <c r="B1438" s="30">
        <f t="shared" si="1501"/>
        <v>5000</v>
      </c>
      <c r="C1438" s="8">
        <v>25000</v>
      </c>
      <c r="D1438" s="187">
        <v>0</v>
      </c>
      <c r="E1438" s="187">
        <v>700</v>
      </c>
      <c r="F1438" s="187">
        <v>15000</v>
      </c>
      <c r="G1438" s="30">
        <f t="shared" si="1502"/>
        <v>2400</v>
      </c>
      <c r="H1438" s="8">
        <v>25000</v>
      </c>
      <c r="I1438" s="30">
        <f t="shared" si="1503"/>
        <v>5000</v>
      </c>
      <c r="J1438" s="187">
        <v>40000</v>
      </c>
      <c r="K1438" s="30">
        <f t="shared" si="1504"/>
        <v>5000</v>
      </c>
      <c r="L1438" s="187">
        <v>40000</v>
      </c>
      <c r="M1438" s="110">
        <v>9.5</v>
      </c>
      <c r="N1438" s="9">
        <f>VLOOKUP(DATE(YEAR(A1438),MONTH(A1438),DAY(A1438)),FY24_Temp[],3,FALSE)</f>
        <v>14.71</v>
      </c>
      <c r="O1438" s="110">
        <f t="shared" si="1490"/>
        <v>11.5</v>
      </c>
      <c r="P1438" s="110">
        <f t="shared" si="1491"/>
        <v>19.5</v>
      </c>
      <c r="Q1438" s="79">
        <f>VLOOKUP(VLOOKUP(DATEVALUE(TEXT(A1438,"m/d/yyyy")),FY24_Temp[],5,FALSE)&amp;TEXT(A1438,"-h"),TempDelta[],4,FALSE)</f>
        <v>1.0640714168548584</v>
      </c>
      <c r="R1438">
        <v>10</v>
      </c>
      <c r="S1438" s="112">
        <v>1500</v>
      </c>
      <c r="T1438" s="5">
        <f>VLOOKUP(TEXT(A1438,"yy-mm")&amp;"-"&amp;IF(AND(WEEKDAY(A1438)&gt;1,WEEKDAY(A1438)&lt;7),"Wkd",TEXT(A1438,"Ddd"))&amp;"-"&amp;TEXT(A1438,"hh"),LoadTable[],3,FALSE)*0.92</f>
        <v>786.27137399656647</v>
      </c>
      <c r="U1438" s="113">
        <f t="shared" si="1492"/>
        <v>78.627137399656647</v>
      </c>
      <c r="V1438">
        <f t="shared" ref="V1438:W1438" si="1523">V1414</f>
        <v>3</v>
      </c>
      <c r="W1438">
        <f t="shared" si="1523"/>
        <v>3</v>
      </c>
      <c r="X1438" s="9">
        <v>3.2364888000000001</v>
      </c>
      <c r="Y1438" s="39"/>
    </row>
    <row r="1439" spans="1:25" ht="15" thickBot="1">
      <c r="A1439" s="29">
        <f t="shared" si="1474"/>
        <v>45895.83333333183</v>
      </c>
      <c r="B1439" s="30">
        <f t="shared" si="1501"/>
        <v>5000</v>
      </c>
      <c r="C1439" s="8">
        <v>25000</v>
      </c>
      <c r="D1439" s="187">
        <v>0</v>
      </c>
      <c r="E1439" s="187">
        <v>700</v>
      </c>
      <c r="F1439" s="187">
        <v>15000</v>
      </c>
      <c r="G1439" s="30">
        <f t="shared" si="1502"/>
        <v>2400</v>
      </c>
      <c r="H1439" s="8">
        <v>25000</v>
      </c>
      <c r="I1439" s="30">
        <f t="shared" si="1503"/>
        <v>5000</v>
      </c>
      <c r="J1439" s="187">
        <v>40000</v>
      </c>
      <c r="K1439" s="30">
        <f t="shared" si="1504"/>
        <v>5000</v>
      </c>
      <c r="L1439" s="187">
        <v>40000</v>
      </c>
      <c r="M1439" s="110">
        <v>9.5</v>
      </c>
      <c r="N1439" s="9">
        <f>VLOOKUP(DATE(YEAR(A1439),MONTH(A1439),DAY(A1439)),FY24_Temp[],3,FALSE)</f>
        <v>14.71</v>
      </c>
      <c r="O1439" s="110">
        <f t="shared" si="1490"/>
        <v>11.5</v>
      </c>
      <c r="P1439" s="110">
        <f t="shared" si="1491"/>
        <v>19.5</v>
      </c>
      <c r="Q1439" s="79">
        <f>VLOOKUP(VLOOKUP(DATEVALUE(TEXT(A1439,"m/d/yyyy")),FY24_Temp[],5,FALSE)&amp;TEXT(A1439,"-h"),TempDelta[],4,FALSE)</f>
        <v>1.4742142728396825</v>
      </c>
      <c r="R1439">
        <v>10</v>
      </c>
      <c r="S1439" s="112">
        <v>1500</v>
      </c>
      <c r="T1439" s="5">
        <f>VLOOKUP(TEXT(A1439,"yy-mm")&amp;"-"&amp;IF(AND(WEEKDAY(A1439)&gt;1,WEEKDAY(A1439)&lt;7),"Wkd",TEXT(A1439,"Ddd"))&amp;"-"&amp;TEXT(A1439,"hh"),LoadTable[],3,FALSE)*0.92</f>
        <v>786.27137399656647</v>
      </c>
      <c r="U1439" s="113">
        <f t="shared" si="1492"/>
        <v>78.627137399656647</v>
      </c>
      <c r="V1439">
        <f t="shared" ref="V1439:W1439" si="1524">V1415</f>
        <v>2.8</v>
      </c>
      <c r="W1439">
        <f t="shared" si="1524"/>
        <v>3.1</v>
      </c>
      <c r="X1439" s="9">
        <v>3.2492391999999999</v>
      </c>
      <c r="Y1439" s="39"/>
    </row>
    <row r="1440" spans="1:25" ht="15" thickBot="1">
      <c r="A1440" s="29">
        <f t="shared" si="1474"/>
        <v>45895.874999998494</v>
      </c>
      <c r="B1440" s="30">
        <f t="shared" si="1501"/>
        <v>5000</v>
      </c>
      <c r="C1440" s="8">
        <v>25000</v>
      </c>
      <c r="D1440" s="187">
        <v>0</v>
      </c>
      <c r="E1440" s="187">
        <v>700</v>
      </c>
      <c r="F1440" s="187">
        <v>15000</v>
      </c>
      <c r="G1440" s="30">
        <f t="shared" si="1502"/>
        <v>2400</v>
      </c>
      <c r="H1440" s="8">
        <v>25000</v>
      </c>
      <c r="I1440" s="30">
        <f t="shared" si="1503"/>
        <v>5000</v>
      </c>
      <c r="J1440" s="187">
        <v>40000</v>
      </c>
      <c r="K1440" s="30">
        <f t="shared" si="1504"/>
        <v>5000</v>
      </c>
      <c r="L1440" s="187">
        <v>40000</v>
      </c>
      <c r="M1440" s="110">
        <v>9.5</v>
      </c>
      <c r="N1440" s="9">
        <f>VLOOKUP(DATE(YEAR(A1440),MONTH(A1440),DAY(A1440)),FY24_Temp[],3,FALSE)</f>
        <v>14.71</v>
      </c>
      <c r="O1440" s="110">
        <f t="shared" si="1490"/>
        <v>11.5</v>
      </c>
      <c r="P1440" s="110">
        <f t="shared" si="1491"/>
        <v>19.5</v>
      </c>
      <c r="Q1440" s="79">
        <f>VLOOKUP(VLOOKUP(DATEVALUE(TEXT(A1440,"m/d/yyyy")),FY24_Temp[],5,FALSE)&amp;TEXT(A1440,"-h"),TempDelta[],4,FALSE)</f>
        <v>1.7937857168061393</v>
      </c>
      <c r="R1440">
        <v>10</v>
      </c>
      <c r="S1440" s="112">
        <v>1500</v>
      </c>
      <c r="T1440" s="5">
        <f>VLOOKUP(TEXT(A1440,"yy-mm")&amp;"-"&amp;IF(AND(WEEKDAY(A1440)&gt;1,WEEKDAY(A1440)&lt;7),"Wkd",TEXT(A1440,"Ddd"))&amp;"-"&amp;TEXT(A1440,"hh"),LoadTable[],3,FALSE)*0.92</f>
        <v>784.39716226323299</v>
      </c>
      <c r="U1440" s="113">
        <f t="shared" si="1492"/>
        <v>78.439716226323299</v>
      </c>
      <c r="V1440">
        <f t="shared" ref="V1440:W1440" si="1525">V1416</f>
        <v>3.5</v>
      </c>
      <c r="W1440">
        <f t="shared" si="1525"/>
        <v>3.1</v>
      </c>
      <c r="X1440" s="9">
        <v>3.2285127999999998</v>
      </c>
      <c r="Y1440" s="39"/>
    </row>
    <row r="1441" spans="1:25" ht="15" thickBot="1">
      <c r="A1441" s="29">
        <f t="shared" si="1474"/>
        <v>45895.916666665158</v>
      </c>
      <c r="B1441" s="30">
        <f t="shared" si="1501"/>
        <v>5000</v>
      </c>
      <c r="C1441" s="8">
        <v>25000</v>
      </c>
      <c r="D1441" s="187">
        <v>0</v>
      </c>
      <c r="E1441" s="187">
        <v>700</v>
      </c>
      <c r="F1441" s="187">
        <v>15000</v>
      </c>
      <c r="G1441" s="30">
        <f t="shared" si="1502"/>
        <v>2400</v>
      </c>
      <c r="H1441" s="8">
        <v>25000</v>
      </c>
      <c r="I1441" s="30">
        <f t="shared" si="1503"/>
        <v>5000</v>
      </c>
      <c r="J1441" s="187">
        <v>40000</v>
      </c>
      <c r="K1441" s="30">
        <f t="shared" si="1504"/>
        <v>5000</v>
      </c>
      <c r="L1441" s="187">
        <v>40000</v>
      </c>
      <c r="M1441" s="110">
        <v>9.5</v>
      </c>
      <c r="N1441" s="9">
        <f>VLOOKUP(DATE(YEAR(A1441),MONTH(A1441),DAY(A1441)),FY24_Temp[],3,FALSE)</f>
        <v>14.71</v>
      </c>
      <c r="O1441" s="110">
        <f t="shared" si="1490"/>
        <v>11.5</v>
      </c>
      <c r="P1441" s="110">
        <f t="shared" si="1491"/>
        <v>19.5</v>
      </c>
      <c r="Q1441" s="79">
        <f>VLOOKUP(VLOOKUP(DATEVALUE(TEXT(A1441,"m/d/yyyy")),FY24_Temp[],5,FALSE)&amp;TEXT(A1441,"-h"),TempDelta[],4,FALSE)</f>
        <v>2.1767142840794156</v>
      </c>
      <c r="R1441">
        <v>10</v>
      </c>
      <c r="S1441" s="112">
        <v>1500</v>
      </c>
      <c r="T1441" s="5">
        <f>VLOOKUP(TEXT(A1441,"yy-mm")&amp;"-"&amp;IF(AND(WEEKDAY(A1441)&gt;1,WEEKDAY(A1441)&lt;7),"Wkd",TEXT(A1441,"Ddd"))&amp;"-"&amp;TEXT(A1441,"hh"),LoadTable[],3,FALSE)*0.92</f>
        <v>600.06900003761973</v>
      </c>
      <c r="U1441" s="113">
        <f t="shared" si="1492"/>
        <v>60.00690000376197</v>
      </c>
      <c r="V1441">
        <f t="shared" ref="V1441:W1441" si="1526">V1417</f>
        <v>2.9</v>
      </c>
      <c r="W1441">
        <f t="shared" si="1526"/>
        <v>3.1</v>
      </c>
      <c r="X1441" s="9">
        <v>3.1827182999999999</v>
      </c>
      <c r="Y1441" s="39"/>
    </row>
    <row r="1442" spans="1:25" ht="15" thickBot="1">
      <c r="A1442" s="29">
        <f t="shared" si="1474"/>
        <v>45895.958333331822</v>
      </c>
      <c r="B1442" s="30">
        <f t="shared" si="1501"/>
        <v>5000</v>
      </c>
      <c r="C1442" s="8">
        <v>25000</v>
      </c>
      <c r="D1442" s="187">
        <v>0</v>
      </c>
      <c r="E1442" s="187">
        <v>700</v>
      </c>
      <c r="F1442" s="187">
        <v>15000</v>
      </c>
      <c r="G1442" s="30">
        <f t="shared" si="1502"/>
        <v>2400</v>
      </c>
      <c r="H1442" s="8">
        <v>25000</v>
      </c>
      <c r="I1442" s="30">
        <f t="shared" si="1503"/>
        <v>5000</v>
      </c>
      <c r="J1442" s="187">
        <v>40000</v>
      </c>
      <c r="K1442" s="30">
        <f t="shared" si="1504"/>
        <v>5000</v>
      </c>
      <c r="L1442" s="187">
        <v>40000</v>
      </c>
      <c r="M1442" s="110">
        <v>9.5</v>
      </c>
      <c r="N1442" s="9">
        <f>VLOOKUP(DATE(YEAR(A1442),MONTH(A1442),DAY(A1442)),FY24_Temp[],3,FALSE)</f>
        <v>14.71</v>
      </c>
      <c r="O1442" s="110">
        <f t="shared" si="1490"/>
        <v>11.5</v>
      </c>
      <c r="P1442" s="110">
        <f t="shared" si="1491"/>
        <v>19.5</v>
      </c>
      <c r="Q1442" s="79">
        <f>VLOOKUP(VLOOKUP(DATEVALUE(TEXT(A1442,"m/d/yyyy")),FY24_Temp[],5,FALSE)&amp;TEXT(A1442,"-h"),TempDelta[],4,FALSE)</f>
        <v>2.3071428367069791</v>
      </c>
      <c r="R1442">
        <v>10</v>
      </c>
      <c r="S1442" s="112">
        <v>1500</v>
      </c>
      <c r="T1442" s="5">
        <f>VLOOKUP(TEXT(A1442,"yy-mm")&amp;"-"&amp;IF(AND(WEEKDAY(A1442)&gt;1,WEEKDAY(A1442)&lt;7),"Wkd",TEXT(A1442,"Ddd"))&amp;"-"&amp;TEXT(A1442,"hh"),LoadTable[],3,FALSE)*0.92</f>
        <v>486.44539999999989</v>
      </c>
      <c r="U1442" s="113">
        <f t="shared" si="1492"/>
        <v>48.644539999999992</v>
      </c>
      <c r="V1442">
        <f t="shared" ref="V1442:W1442" si="1527">V1418</f>
        <v>3.6</v>
      </c>
      <c r="W1442">
        <f t="shared" si="1527"/>
        <v>3.1</v>
      </c>
      <c r="X1442" s="9">
        <v>3.1073455999999999</v>
      </c>
      <c r="Y1442" s="39"/>
    </row>
    <row r="1443" spans="1:25" ht="15" thickBot="1">
      <c r="A1443" s="29">
        <f t="shared" si="1474"/>
        <v>45895.999999998487</v>
      </c>
      <c r="B1443" s="30">
        <f t="shared" si="1501"/>
        <v>5000</v>
      </c>
      <c r="C1443" s="8">
        <v>25000</v>
      </c>
      <c r="D1443" s="187">
        <v>0</v>
      </c>
      <c r="E1443" s="187">
        <v>700</v>
      </c>
      <c r="F1443" s="187">
        <v>15000</v>
      </c>
      <c r="G1443" s="30">
        <f t="shared" si="1502"/>
        <v>2400</v>
      </c>
      <c r="H1443" s="8">
        <v>25000</v>
      </c>
      <c r="I1443" s="30">
        <f t="shared" si="1503"/>
        <v>5000</v>
      </c>
      <c r="J1443" s="187">
        <v>40000</v>
      </c>
      <c r="K1443" s="30">
        <f t="shared" si="1504"/>
        <v>5000</v>
      </c>
      <c r="L1443" s="187">
        <v>40000</v>
      </c>
      <c r="M1443" s="110">
        <v>9.5</v>
      </c>
      <c r="N1443" s="9">
        <f>VLOOKUP(DATE(YEAR(A1443),MONTH(A1443),DAY(A1443)),FY24_Temp[],3,FALSE)</f>
        <v>14.71</v>
      </c>
      <c r="O1443" s="110">
        <f t="shared" si="1490"/>
        <v>11.5</v>
      </c>
      <c r="P1443" s="110">
        <f t="shared" si="1491"/>
        <v>19.5</v>
      </c>
      <c r="Q1443" s="79">
        <f>VLOOKUP(VLOOKUP(DATEVALUE(TEXT(A1443,"m/d/yyyy")),FY24_Temp[],5,FALSE)&amp;TEXT(A1443,"-h"),TempDelta[],4,FALSE)</f>
        <v>2.2534285613468716</v>
      </c>
      <c r="R1443">
        <v>10</v>
      </c>
      <c r="S1443" s="112">
        <v>1500</v>
      </c>
      <c r="T1443" s="5">
        <f>VLOOKUP(TEXT(A1443,"yy-mm")&amp;"-"&amp;IF(AND(WEEKDAY(A1443)&gt;1,WEEKDAY(A1443)&lt;7),"Wkd",TEXT(A1443,"Ddd"))&amp;"-"&amp;TEXT(A1443,"hh"),LoadTable[],3,FALSE)*0.92</f>
        <v>372.20164</v>
      </c>
      <c r="U1443" s="113">
        <f t="shared" si="1492"/>
        <v>37.220163999999997</v>
      </c>
      <c r="V1443">
        <f t="shared" ref="V1443:W1443" si="1528">V1419</f>
        <v>3</v>
      </c>
      <c r="W1443">
        <f t="shared" si="1528"/>
        <v>3.2</v>
      </c>
      <c r="X1443" s="9">
        <v>3.0372998999999998</v>
      </c>
      <c r="Y1443" s="39"/>
    </row>
    <row r="1444" spans="1:25" ht="15" thickBot="1">
      <c r="A1444" s="29">
        <f t="shared" si="1474"/>
        <v>45896.041666665151</v>
      </c>
      <c r="B1444" s="30">
        <f t="shared" si="1501"/>
        <v>5000</v>
      </c>
      <c r="C1444" s="8">
        <v>25000</v>
      </c>
      <c r="D1444" s="187">
        <v>0</v>
      </c>
      <c r="E1444" s="187">
        <v>700</v>
      </c>
      <c r="F1444" s="187">
        <v>15000</v>
      </c>
      <c r="G1444" s="30">
        <f t="shared" si="1502"/>
        <v>2400</v>
      </c>
      <c r="H1444" s="8">
        <v>25000</v>
      </c>
      <c r="I1444" s="30">
        <f t="shared" si="1503"/>
        <v>5000</v>
      </c>
      <c r="J1444" s="187">
        <v>40000</v>
      </c>
      <c r="K1444" s="30">
        <f t="shared" si="1504"/>
        <v>5000</v>
      </c>
      <c r="L1444" s="187">
        <v>40000</v>
      </c>
      <c r="M1444" s="110">
        <v>9.5</v>
      </c>
      <c r="N1444" s="9">
        <f>VLOOKUP(DATE(YEAR(A1444),MONTH(A1444),DAY(A1444)),FY24_Temp[],3,FALSE)</f>
        <v>14.71</v>
      </c>
      <c r="O1444" s="110">
        <f t="shared" si="1490"/>
        <v>11.5</v>
      </c>
      <c r="P1444" s="110">
        <f t="shared" si="1491"/>
        <v>19.5</v>
      </c>
      <c r="Q1444" s="79">
        <f>VLOOKUP(VLOOKUP(DATEVALUE(TEXT(A1444,"m/d/yyyy")),FY24_Temp[],5,FALSE)&amp;TEXT(A1444,"-h"),TempDelta[],4,FALSE)</f>
        <v>2.5014285700661794</v>
      </c>
      <c r="R1444">
        <v>10</v>
      </c>
      <c r="S1444" s="112">
        <v>1500</v>
      </c>
      <c r="T1444" s="5">
        <f>VLOOKUP(TEXT(A1444,"yy-mm")&amp;"-"&amp;IF(AND(WEEKDAY(A1444)&gt;1,WEEKDAY(A1444)&lt;7),"Wkd",TEXT(A1444,"Ddd"))&amp;"-"&amp;TEXT(A1444,"hh"),LoadTable[],3,FALSE)*0.92</f>
        <v>363.06235999999996</v>
      </c>
      <c r="U1444" s="113">
        <f t="shared" si="1492"/>
        <v>36.306235999999998</v>
      </c>
      <c r="V1444">
        <f t="shared" ref="V1444:W1444" si="1529">V1420</f>
        <v>2.6</v>
      </c>
      <c r="W1444">
        <f t="shared" si="1529"/>
        <v>3.2</v>
      </c>
      <c r="X1444" s="9">
        <v>3.0525186</v>
      </c>
      <c r="Y1444" s="39"/>
    </row>
    <row r="1445" spans="1:25" ht="15" thickBot="1">
      <c r="A1445" s="29">
        <f t="shared" si="1474"/>
        <v>45896.083333331815</v>
      </c>
      <c r="B1445" s="30">
        <f t="shared" si="1501"/>
        <v>5000</v>
      </c>
      <c r="C1445" s="8">
        <v>25000</v>
      </c>
      <c r="D1445" s="187">
        <v>0</v>
      </c>
      <c r="E1445" s="187">
        <v>700</v>
      </c>
      <c r="F1445" s="187">
        <v>15000</v>
      </c>
      <c r="G1445" s="30">
        <f t="shared" si="1502"/>
        <v>2400</v>
      </c>
      <c r="H1445" s="8">
        <v>25000</v>
      </c>
      <c r="I1445" s="30">
        <f t="shared" si="1503"/>
        <v>5000</v>
      </c>
      <c r="J1445" s="187">
        <v>40000</v>
      </c>
      <c r="K1445" s="30">
        <f t="shared" si="1504"/>
        <v>5000</v>
      </c>
      <c r="L1445" s="187">
        <v>40000</v>
      </c>
      <c r="M1445" s="110">
        <v>9.5</v>
      </c>
      <c r="N1445" s="9">
        <f>VLOOKUP(DATE(YEAR(A1445),MONTH(A1445),DAY(A1445)),FY24_Temp[],3,FALSE)</f>
        <v>14.71</v>
      </c>
      <c r="O1445" s="110">
        <f t="shared" si="1490"/>
        <v>11.5</v>
      </c>
      <c r="P1445" s="110">
        <f t="shared" si="1491"/>
        <v>19.5</v>
      </c>
      <c r="Q1445" s="79">
        <f>VLOOKUP(VLOOKUP(DATEVALUE(TEXT(A1445,"m/d/yyyy")),FY24_Temp[],5,FALSE)&amp;TEXT(A1445,"-h"),TempDelta[],4,FALSE)</f>
        <v>2.5255714144025529</v>
      </c>
      <c r="R1445">
        <v>10</v>
      </c>
      <c r="S1445" s="112">
        <v>1500</v>
      </c>
      <c r="T1445" s="5">
        <f>VLOOKUP(TEXT(A1445,"yy-mm")&amp;"-"&amp;IF(AND(WEEKDAY(A1445)&gt;1,WEEKDAY(A1445)&lt;7),"Wkd",TEXT(A1445,"Ddd"))&amp;"-"&amp;TEXT(A1445,"hh"),LoadTable[],3,FALSE)*0.92</f>
        <v>363.06235999999996</v>
      </c>
      <c r="U1445" s="113">
        <f t="shared" si="1492"/>
        <v>36.306235999999998</v>
      </c>
      <c r="V1445">
        <f t="shared" ref="V1445:W1445" si="1530">V1421</f>
        <v>2.8</v>
      </c>
      <c r="W1445">
        <f t="shared" si="1530"/>
        <v>3.2</v>
      </c>
      <c r="X1445" s="9">
        <v>3.0989428000000001</v>
      </c>
      <c r="Y1445" s="39"/>
    </row>
    <row r="1446" spans="1:25" ht="15" thickBot="1">
      <c r="A1446" s="29">
        <f t="shared" si="1474"/>
        <v>45896.124999998479</v>
      </c>
      <c r="B1446" s="30">
        <f t="shared" si="1501"/>
        <v>5000</v>
      </c>
      <c r="C1446" s="8">
        <v>25000</v>
      </c>
      <c r="D1446" s="187">
        <v>0</v>
      </c>
      <c r="E1446" s="187">
        <v>700</v>
      </c>
      <c r="F1446" s="187">
        <v>15000</v>
      </c>
      <c r="G1446" s="30">
        <f t="shared" si="1502"/>
        <v>2400</v>
      </c>
      <c r="H1446" s="8">
        <v>25000</v>
      </c>
      <c r="I1446" s="30">
        <f t="shared" si="1503"/>
        <v>5000</v>
      </c>
      <c r="J1446" s="187">
        <v>40000</v>
      </c>
      <c r="K1446" s="30">
        <f t="shared" si="1504"/>
        <v>5000</v>
      </c>
      <c r="L1446" s="187">
        <v>40000</v>
      </c>
      <c r="M1446" s="110">
        <v>9.5</v>
      </c>
      <c r="N1446" s="9">
        <f>VLOOKUP(DATE(YEAR(A1446),MONTH(A1446),DAY(A1446)),FY24_Temp[],3,FALSE)</f>
        <v>14.71</v>
      </c>
      <c r="O1446" s="110">
        <f t="shared" si="1490"/>
        <v>11.5</v>
      </c>
      <c r="P1446" s="110">
        <f t="shared" si="1491"/>
        <v>19.5</v>
      </c>
      <c r="Q1446" s="79">
        <f>VLOOKUP(VLOOKUP(DATEVALUE(TEXT(A1446,"m/d/yyyy")),FY24_Temp[],5,FALSE)&amp;TEXT(A1446,"-h"),TempDelta[],4,FALSE)</f>
        <v>2.5220000403267995</v>
      </c>
      <c r="R1446">
        <v>10</v>
      </c>
      <c r="S1446" s="112">
        <v>1500</v>
      </c>
      <c r="T1446" s="5">
        <f>VLOOKUP(TEXT(A1446,"yy-mm")&amp;"-"&amp;IF(AND(WEEKDAY(A1446)&gt;1,WEEKDAY(A1446)&lt;7),"Wkd",TEXT(A1446,"Ddd"))&amp;"-"&amp;TEXT(A1446,"hh"),LoadTable[],3,FALSE)*0.92</f>
        <v>363.06235999999996</v>
      </c>
      <c r="U1446" s="113">
        <f t="shared" si="1492"/>
        <v>36.306235999999998</v>
      </c>
      <c r="V1446">
        <f t="shared" ref="V1446:W1446" si="1531">V1422</f>
        <v>2.7</v>
      </c>
      <c r="W1446">
        <f t="shared" si="1531"/>
        <v>3.2</v>
      </c>
      <c r="X1446" s="9">
        <v>3.1649503999999999</v>
      </c>
      <c r="Y1446" s="39"/>
    </row>
    <row r="1447" spans="1:25" ht="15" thickBot="1">
      <c r="A1447" s="29">
        <f t="shared" si="1474"/>
        <v>45896.166666665144</v>
      </c>
      <c r="B1447" s="30">
        <f t="shared" si="1501"/>
        <v>5000</v>
      </c>
      <c r="C1447" s="8">
        <v>25000</v>
      </c>
      <c r="D1447" s="187">
        <v>0</v>
      </c>
      <c r="E1447" s="187">
        <v>700</v>
      </c>
      <c r="F1447" s="187">
        <v>15000</v>
      </c>
      <c r="G1447" s="30">
        <f t="shared" si="1502"/>
        <v>2400</v>
      </c>
      <c r="H1447" s="8">
        <v>25000</v>
      </c>
      <c r="I1447" s="30">
        <f t="shared" si="1503"/>
        <v>5000</v>
      </c>
      <c r="J1447" s="187">
        <v>40000</v>
      </c>
      <c r="K1447" s="30">
        <f t="shared" si="1504"/>
        <v>5000</v>
      </c>
      <c r="L1447" s="187">
        <v>40000</v>
      </c>
      <c r="M1447" s="110">
        <v>9.5</v>
      </c>
      <c r="N1447" s="9">
        <f>VLOOKUP(DATE(YEAR(A1447),MONTH(A1447),DAY(A1447)),FY24_Temp[],3,FALSE)</f>
        <v>14.71</v>
      </c>
      <c r="O1447" s="110">
        <f t="shared" si="1490"/>
        <v>11.5</v>
      </c>
      <c r="P1447" s="110">
        <f t="shared" si="1491"/>
        <v>19.5</v>
      </c>
      <c r="Q1447" s="79">
        <f>VLOOKUP(VLOOKUP(DATEVALUE(TEXT(A1447,"m/d/yyyy")),FY24_Temp[],5,FALSE)&amp;TEXT(A1447,"-h"),TempDelta[],4,FALSE)</f>
        <v>2.5181428364345004</v>
      </c>
      <c r="R1447">
        <v>10</v>
      </c>
      <c r="S1447" s="112">
        <v>1500</v>
      </c>
      <c r="T1447" s="5">
        <f>VLOOKUP(TEXT(A1447,"yy-mm")&amp;"-"&amp;IF(AND(WEEKDAY(A1447)&gt;1,WEEKDAY(A1447)&lt;7),"Wkd",TEXT(A1447,"Ddd"))&amp;"-"&amp;TEXT(A1447,"hh"),LoadTable[],3,FALSE)*0.92</f>
        <v>363.06235999999996</v>
      </c>
      <c r="U1447" s="113">
        <f t="shared" si="1492"/>
        <v>36.306235999999998</v>
      </c>
      <c r="V1447">
        <f t="shared" ref="V1447:W1447" si="1532">V1423</f>
        <v>3</v>
      </c>
      <c r="W1447">
        <f t="shared" si="1532"/>
        <v>3.1</v>
      </c>
      <c r="X1447" s="9">
        <v>3.191195</v>
      </c>
      <c r="Y1447" s="39"/>
    </row>
    <row r="1448" spans="1:25" ht="15" thickBot="1">
      <c r="A1448" s="29">
        <f t="shared" si="1474"/>
        <v>45896.208333331808</v>
      </c>
      <c r="B1448" s="30">
        <f t="shared" si="1501"/>
        <v>5000</v>
      </c>
      <c r="C1448" s="8">
        <v>25000</v>
      </c>
      <c r="D1448" s="187">
        <v>0</v>
      </c>
      <c r="E1448" s="187">
        <v>700</v>
      </c>
      <c r="F1448" s="187">
        <v>15000</v>
      </c>
      <c r="G1448" s="30">
        <f t="shared" si="1502"/>
        <v>2400</v>
      </c>
      <c r="H1448" s="8">
        <v>25000</v>
      </c>
      <c r="I1448" s="30">
        <f t="shared" si="1503"/>
        <v>5000</v>
      </c>
      <c r="J1448" s="187">
        <v>40000</v>
      </c>
      <c r="K1448" s="30">
        <f t="shared" si="1504"/>
        <v>5000</v>
      </c>
      <c r="L1448" s="187">
        <v>40000</v>
      </c>
      <c r="M1448" s="110">
        <v>9.5</v>
      </c>
      <c r="N1448" s="9">
        <f>VLOOKUP(DATE(YEAR(A1448),MONTH(A1448),DAY(A1448)),FY24_Temp[],3,FALSE)</f>
        <v>14.71</v>
      </c>
      <c r="O1448" s="110">
        <f t="shared" si="1490"/>
        <v>11.5</v>
      </c>
      <c r="P1448" s="110">
        <f t="shared" si="1491"/>
        <v>19.5</v>
      </c>
      <c r="Q1448" s="79">
        <f>VLOOKUP(VLOOKUP(DATEVALUE(TEXT(A1448,"m/d/yyyy")),FY24_Temp[],5,FALSE)&amp;TEXT(A1448,"-h"),TempDelta[],4,FALSE)</f>
        <v>2.5518571649278914</v>
      </c>
      <c r="R1448">
        <v>10</v>
      </c>
      <c r="S1448" s="112">
        <v>1500</v>
      </c>
      <c r="T1448" s="5">
        <f>VLOOKUP(TEXT(A1448,"yy-mm")&amp;"-"&amp;IF(AND(WEEKDAY(A1448)&gt;1,WEEKDAY(A1448)&lt;7),"Wkd",TEXT(A1448,"Ddd"))&amp;"-"&amp;TEXT(A1448,"hh"),LoadTable[],3,FALSE)*0.92</f>
        <v>363.06235999999996</v>
      </c>
      <c r="U1448" s="113">
        <f t="shared" si="1492"/>
        <v>36.306235999999998</v>
      </c>
      <c r="V1448">
        <f t="shared" ref="V1448:W1448" si="1533">V1424</f>
        <v>2.9</v>
      </c>
      <c r="W1448">
        <f t="shared" si="1533"/>
        <v>3.1</v>
      </c>
      <c r="X1448" s="9">
        <v>3.2521024000000001</v>
      </c>
      <c r="Y1448" s="39"/>
    </row>
    <row r="1449" spans="1:25" ht="15" thickBot="1">
      <c r="A1449" s="29">
        <f t="shared" si="1474"/>
        <v>45896.249999998472</v>
      </c>
      <c r="B1449" s="30">
        <f t="shared" si="1501"/>
        <v>8000</v>
      </c>
      <c r="C1449" s="8">
        <v>25000</v>
      </c>
      <c r="D1449" s="187">
        <v>0</v>
      </c>
      <c r="E1449" s="187">
        <v>700</v>
      </c>
      <c r="F1449" s="187">
        <v>15000</v>
      </c>
      <c r="G1449" s="30">
        <f t="shared" si="1502"/>
        <v>2400</v>
      </c>
      <c r="H1449" s="8">
        <v>25000</v>
      </c>
      <c r="I1449" s="30">
        <f t="shared" si="1503"/>
        <v>8000</v>
      </c>
      <c r="J1449" s="187">
        <v>40000</v>
      </c>
      <c r="K1449" s="30">
        <f t="shared" si="1504"/>
        <v>8000</v>
      </c>
      <c r="L1449" s="187">
        <v>40000</v>
      </c>
      <c r="M1449" s="110">
        <v>9.5</v>
      </c>
      <c r="N1449" s="9">
        <f>VLOOKUP(DATE(YEAR(A1449),MONTH(A1449),DAY(A1449)),FY24_Temp[],3,FALSE)</f>
        <v>14.71</v>
      </c>
      <c r="O1449" s="110">
        <f t="shared" si="1490"/>
        <v>11.5</v>
      </c>
      <c r="P1449" s="110">
        <f t="shared" si="1491"/>
        <v>19.5</v>
      </c>
      <c r="Q1449" s="79">
        <f>VLOOKUP(VLOOKUP(DATEVALUE(TEXT(A1449,"m/d/yyyy")),FY24_Temp[],5,FALSE)&amp;TEXT(A1449,"-h"),TempDelta[],4,FALSE)</f>
        <v>2.5557143007005965</v>
      </c>
      <c r="R1449">
        <v>10</v>
      </c>
      <c r="S1449" s="112">
        <v>1500</v>
      </c>
      <c r="T1449" s="5">
        <f>VLOOKUP(TEXT(A1449,"yy-mm")&amp;"-"&amp;IF(AND(WEEKDAY(A1449)&gt;1,WEEKDAY(A1449)&lt;7),"Wkd",TEXT(A1449,"Ddd"))&amp;"-"&amp;TEXT(A1449,"hh"),LoadTable[],3,FALSE)*0.92</f>
        <v>363.06235999999996</v>
      </c>
      <c r="U1449" s="113">
        <f t="shared" si="1492"/>
        <v>36.306235999999998</v>
      </c>
      <c r="V1449">
        <f t="shared" ref="V1449:W1449" si="1534">V1425</f>
        <v>2.5</v>
      </c>
      <c r="W1449">
        <f t="shared" si="1534"/>
        <v>3.1</v>
      </c>
      <c r="X1449" s="9">
        <v>3.3424632999999999</v>
      </c>
      <c r="Y1449" s="39"/>
    </row>
    <row r="1450" spans="1:25" ht="15" thickBot="1">
      <c r="A1450" s="29">
        <f t="shared" si="1474"/>
        <v>45896.291666665136</v>
      </c>
      <c r="B1450" s="30">
        <f t="shared" si="1501"/>
        <v>8000</v>
      </c>
      <c r="C1450" s="8">
        <v>25000</v>
      </c>
      <c r="D1450" s="187">
        <v>0</v>
      </c>
      <c r="E1450" s="187">
        <v>700</v>
      </c>
      <c r="F1450" s="187">
        <v>15000</v>
      </c>
      <c r="G1450" s="30">
        <f t="shared" si="1502"/>
        <v>2400</v>
      </c>
      <c r="H1450" s="8">
        <v>25000</v>
      </c>
      <c r="I1450" s="30">
        <f t="shared" si="1503"/>
        <v>8000</v>
      </c>
      <c r="J1450" s="187">
        <v>40000</v>
      </c>
      <c r="K1450" s="30">
        <f t="shared" si="1504"/>
        <v>8000</v>
      </c>
      <c r="L1450" s="187">
        <v>40000</v>
      </c>
      <c r="M1450" s="110">
        <v>9.5</v>
      </c>
      <c r="N1450" s="9">
        <f>VLOOKUP(DATE(YEAR(A1450),MONTH(A1450),DAY(A1450)),FY24_Temp[],3,FALSE)</f>
        <v>14.71</v>
      </c>
      <c r="O1450" s="110">
        <f t="shared" si="1490"/>
        <v>11.5</v>
      </c>
      <c r="P1450" s="110">
        <f t="shared" si="1491"/>
        <v>19.5</v>
      </c>
      <c r="Q1450" s="79">
        <f>VLOOKUP(VLOOKUP(DATEVALUE(TEXT(A1450,"m/d/yyyy")),FY24_Temp[],5,FALSE)&amp;TEXT(A1450,"-h"),TempDelta[],4,FALSE)</f>
        <v>2.5165714536394392</v>
      </c>
      <c r="R1450">
        <v>10</v>
      </c>
      <c r="S1450" s="112">
        <v>1500</v>
      </c>
      <c r="T1450" s="5">
        <f>VLOOKUP(TEXT(A1450,"yy-mm")&amp;"-"&amp;IF(AND(WEEKDAY(A1450)&gt;1,WEEKDAY(A1450)&lt;7),"Wkd",TEXT(A1450,"Ddd"))&amp;"-"&amp;TEXT(A1450,"hh"),LoadTable[],3,FALSE)*0.92</f>
        <v>352.2091200000001</v>
      </c>
      <c r="U1450" s="113">
        <f t="shared" si="1492"/>
        <v>35.220912000000013</v>
      </c>
      <c r="V1450">
        <f t="shared" ref="V1450:W1450" si="1535">V1426</f>
        <v>2.5</v>
      </c>
      <c r="W1450">
        <f t="shared" si="1535"/>
        <v>3.1</v>
      </c>
      <c r="X1450" s="9">
        <v>3.3354930999999999</v>
      </c>
      <c r="Y1450" s="39"/>
    </row>
    <row r="1451" spans="1:25" ht="15" thickBot="1">
      <c r="A1451" s="29">
        <f t="shared" si="1474"/>
        <v>45896.333333331801</v>
      </c>
      <c r="B1451" s="30">
        <f t="shared" si="1501"/>
        <v>8000</v>
      </c>
      <c r="C1451" s="8">
        <v>25000</v>
      </c>
      <c r="D1451" s="187">
        <v>0</v>
      </c>
      <c r="E1451" s="187">
        <v>700</v>
      </c>
      <c r="F1451" s="187">
        <v>15000</v>
      </c>
      <c r="G1451" s="30">
        <f t="shared" si="1502"/>
        <v>2400</v>
      </c>
      <c r="H1451" s="8">
        <v>25000</v>
      </c>
      <c r="I1451" s="30">
        <f t="shared" si="1503"/>
        <v>8000</v>
      </c>
      <c r="J1451" s="187">
        <v>40000</v>
      </c>
      <c r="K1451" s="30">
        <f t="shared" si="1504"/>
        <v>8000</v>
      </c>
      <c r="L1451" s="187">
        <v>40000</v>
      </c>
      <c r="M1451" s="110">
        <v>9.5</v>
      </c>
      <c r="N1451" s="9">
        <f>VLOOKUP(DATE(YEAR(A1451),MONTH(A1451),DAY(A1451)),FY24_Temp[],3,FALSE)</f>
        <v>14.71</v>
      </c>
      <c r="O1451" s="110">
        <f t="shared" si="1490"/>
        <v>11.5</v>
      </c>
      <c r="P1451" s="110">
        <f t="shared" si="1491"/>
        <v>19.5</v>
      </c>
      <c r="Q1451" s="79">
        <f>VLOOKUP(VLOOKUP(DATEVALUE(TEXT(A1451,"m/d/yyyy")),FY24_Temp[],5,FALSE)&amp;TEXT(A1451,"-h"),TempDelta[],4,FALSE)</f>
        <v>2.410571438925607</v>
      </c>
      <c r="R1451">
        <v>10</v>
      </c>
      <c r="S1451" s="112">
        <v>1500</v>
      </c>
      <c r="T1451" s="5">
        <f>VLOOKUP(TEXT(A1451,"yy-mm")&amp;"-"&amp;IF(AND(WEEKDAY(A1451)&gt;1,WEEKDAY(A1451)&lt;7),"Wkd",TEXT(A1451,"Ddd"))&amp;"-"&amp;TEXT(A1451,"hh"),LoadTable[],3,FALSE)*0.92</f>
        <v>352.2091200000001</v>
      </c>
      <c r="U1451" s="113">
        <f t="shared" si="1492"/>
        <v>35.220912000000013</v>
      </c>
      <c r="V1451">
        <f t="shared" ref="V1451:W1451" si="1536">V1427</f>
        <v>3.2</v>
      </c>
      <c r="W1451">
        <f t="shared" si="1536"/>
        <v>3</v>
      </c>
      <c r="X1451" s="9">
        <v>3.4117069</v>
      </c>
      <c r="Y1451" s="39"/>
    </row>
    <row r="1452" spans="1:25" ht="15" thickBot="1">
      <c r="A1452" s="29">
        <f t="shared" si="1474"/>
        <v>45896.374999998465</v>
      </c>
      <c r="B1452" s="30">
        <f t="shared" si="1501"/>
        <v>8000</v>
      </c>
      <c r="C1452" s="8">
        <v>25000</v>
      </c>
      <c r="D1452" s="187">
        <v>0</v>
      </c>
      <c r="E1452" s="187">
        <v>700</v>
      </c>
      <c r="F1452" s="187">
        <v>15000</v>
      </c>
      <c r="G1452" s="30">
        <f t="shared" si="1502"/>
        <v>2400</v>
      </c>
      <c r="H1452" s="8">
        <v>25000</v>
      </c>
      <c r="I1452" s="30">
        <f t="shared" si="1503"/>
        <v>8000</v>
      </c>
      <c r="J1452" s="187">
        <v>40000</v>
      </c>
      <c r="K1452" s="30">
        <f t="shared" si="1504"/>
        <v>8000</v>
      </c>
      <c r="L1452" s="187">
        <v>40000</v>
      </c>
      <c r="M1452" s="110">
        <v>9.5</v>
      </c>
      <c r="N1452" s="9">
        <f>VLOOKUP(DATE(YEAR(A1452),MONTH(A1452),DAY(A1452)),FY24_Temp[],3,FALSE)</f>
        <v>14.71</v>
      </c>
      <c r="O1452" s="110">
        <f t="shared" si="1490"/>
        <v>11.5</v>
      </c>
      <c r="P1452" s="110">
        <f t="shared" si="1491"/>
        <v>19.5</v>
      </c>
      <c r="Q1452" s="79">
        <f>VLOOKUP(VLOOKUP(DATEVALUE(TEXT(A1452,"m/d/yyyy")),FY24_Temp[],5,FALSE)&amp;TEXT(A1452,"-h"),TempDelta[],4,FALSE)</f>
        <v>2.2332857336316789</v>
      </c>
      <c r="R1452">
        <v>10</v>
      </c>
      <c r="S1452" s="112">
        <v>1500</v>
      </c>
      <c r="T1452" s="5">
        <f>VLOOKUP(TEXT(A1452,"yy-mm")&amp;"-"&amp;IF(AND(WEEKDAY(A1452)&gt;1,WEEKDAY(A1452)&lt;7),"Wkd",TEXT(A1452,"Ddd"))&amp;"-"&amp;TEXT(A1452,"hh"),LoadTable[],3,FALSE)*0.92</f>
        <v>340.60949077857163</v>
      </c>
      <c r="U1452" s="113">
        <f t="shared" si="1492"/>
        <v>34.06094907785716</v>
      </c>
      <c r="V1452">
        <f t="shared" ref="V1452:W1452" si="1537">V1428</f>
        <v>2.9</v>
      </c>
      <c r="W1452">
        <f t="shared" si="1537"/>
        <v>3</v>
      </c>
      <c r="X1452" s="9">
        <v>3.5161712000000001</v>
      </c>
      <c r="Y1452" s="39"/>
    </row>
    <row r="1453" spans="1:25" ht="15" thickBot="1">
      <c r="A1453" s="29">
        <f t="shared" si="1474"/>
        <v>45896.416666665129</v>
      </c>
      <c r="B1453" s="30">
        <f t="shared" si="1501"/>
        <v>8000</v>
      </c>
      <c r="C1453" s="8">
        <v>25000</v>
      </c>
      <c r="D1453" s="187">
        <v>0</v>
      </c>
      <c r="E1453" s="187">
        <v>700</v>
      </c>
      <c r="F1453" s="187">
        <v>15000</v>
      </c>
      <c r="G1453" s="30">
        <f t="shared" si="1502"/>
        <v>2400</v>
      </c>
      <c r="H1453" s="8">
        <v>25000</v>
      </c>
      <c r="I1453" s="30">
        <f t="shared" si="1503"/>
        <v>8000</v>
      </c>
      <c r="J1453" s="187">
        <v>40000</v>
      </c>
      <c r="K1453" s="30">
        <f t="shared" si="1504"/>
        <v>8000</v>
      </c>
      <c r="L1453" s="187">
        <v>40000</v>
      </c>
      <c r="M1453" s="110">
        <v>9.5</v>
      </c>
      <c r="N1453" s="9">
        <f>VLOOKUP(DATE(YEAR(A1453),MONTH(A1453),DAY(A1453)),FY24_Temp[],3,FALSE)</f>
        <v>14.71</v>
      </c>
      <c r="O1453" s="110">
        <f t="shared" si="1490"/>
        <v>11.5</v>
      </c>
      <c r="P1453" s="110">
        <f t="shared" si="1491"/>
        <v>19.5</v>
      </c>
      <c r="Q1453" s="79">
        <f>VLOOKUP(VLOOKUP(DATEVALUE(TEXT(A1453,"m/d/yyyy")),FY24_Temp[],5,FALSE)&amp;TEXT(A1453,"-h"),TempDelta[],4,FALSE)</f>
        <v>2.0304285798754012</v>
      </c>
      <c r="R1453">
        <v>10</v>
      </c>
      <c r="S1453" s="112">
        <v>1500</v>
      </c>
      <c r="T1453" s="5">
        <f>VLOOKUP(TEXT(A1453,"yy-mm")&amp;"-"&amp;IF(AND(WEEKDAY(A1453)&gt;1,WEEKDAY(A1453)&lt;7),"Wkd",TEXT(A1453,"Ddd"))&amp;"-"&amp;TEXT(A1453,"hh"),LoadTable[],3,FALSE)*0.92</f>
        <v>338.44093501457746</v>
      </c>
      <c r="U1453" s="113">
        <f t="shared" si="1492"/>
        <v>33.844093501457749</v>
      </c>
      <c r="V1453">
        <f t="shared" ref="V1453:W1453" si="1538">V1429</f>
        <v>2.9</v>
      </c>
      <c r="W1453">
        <f t="shared" si="1538"/>
        <v>3</v>
      </c>
      <c r="X1453" s="9">
        <v>3.4835150000000001</v>
      </c>
      <c r="Y1453" s="39"/>
    </row>
    <row r="1454" spans="1:25" ht="15" thickBot="1">
      <c r="A1454" s="29">
        <f t="shared" si="1474"/>
        <v>45896.458333331793</v>
      </c>
      <c r="B1454" s="30">
        <f t="shared" si="1501"/>
        <v>8000</v>
      </c>
      <c r="C1454" s="8">
        <v>25000</v>
      </c>
      <c r="D1454" s="187">
        <v>0</v>
      </c>
      <c r="E1454" s="187">
        <v>700</v>
      </c>
      <c r="F1454" s="187">
        <v>15000</v>
      </c>
      <c r="G1454" s="30">
        <f t="shared" si="1502"/>
        <v>2400</v>
      </c>
      <c r="H1454" s="8">
        <v>25000</v>
      </c>
      <c r="I1454" s="30">
        <f t="shared" si="1503"/>
        <v>8000</v>
      </c>
      <c r="J1454" s="187">
        <v>40000</v>
      </c>
      <c r="K1454" s="30">
        <f t="shared" si="1504"/>
        <v>8000</v>
      </c>
      <c r="L1454" s="187">
        <v>40000</v>
      </c>
      <c r="M1454" s="110">
        <v>9.5</v>
      </c>
      <c r="N1454" s="9">
        <f>VLOOKUP(DATE(YEAR(A1454),MONTH(A1454),DAY(A1454)),FY24_Temp[],3,FALSE)</f>
        <v>14.71</v>
      </c>
      <c r="O1454" s="110">
        <f t="shared" si="1490"/>
        <v>11.5</v>
      </c>
      <c r="P1454" s="110">
        <f t="shared" si="1491"/>
        <v>19.5</v>
      </c>
      <c r="Q1454" s="79">
        <f>VLOOKUP(VLOOKUP(DATEVALUE(TEXT(A1454,"m/d/yyyy")),FY24_Temp[],5,FALSE)&amp;TEXT(A1454,"-h"),TempDelta[],4,FALSE)</f>
        <v>1.7931428466524397</v>
      </c>
      <c r="R1454">
        <v>10</v>
      </c>
      <c r="S1454" s="112">
        <v>1500</v>
      </c>
      <c r="T1454" s="5">
        <f>VLOOKUP(TEXT(A1454,"yy-mm")&amp;"-"&amp;IF(AND(WEEKDAY(A1454)&gt;1,WEEKDAY(A1454)&lt;7),"Wkd",TEXT(A1454,"Ddd"))&amp;"-"&amp;TEXT(A1454,"hh"),LoadTable[],3,FALSE)*0.92</f>
        <v>338.44093501457746</v>
      </c>
      <c r="U1454" s="113">
        <f t="shared" si="1492"/>
        <v>33.844093501457749</v>
      </c>
      <c r="V1454">
        <f t="shared" ref="V1454:W1454" si="1539">V1430</f>
        <v>3.4</v>
      </c>
      <c r="W1454">
        <f t="shared" si="1539"/>
        <v>3</v>
      </c>
      <c r="X1454" s="9">
        <v>3.2939539</v>
      </c>
      <c r="Y1454" s="39"/>
    </row>
    <row r="1455" spans="1:25" ht="15" thickBot="1">
      <c r="A1455" s="29">
        <f t="shared" si="1474"/>
        <v>45896.499999998457</v>
      </c>
      <c r="B1455" s="30">
        <f t="shared" si="1501"/>
        <v>8000</v>
      </c>
      <c r="C1455" s="8">
        <v>25000</v>
      </c>
      <c r="D1455" s="187">
        <v>0</v>
      </c>
      <c r="E1455" s="187">
        <v>700</v>
      </c>
      <c r="F1455" s="187">
        <v>15000</v>
      </c>
      <c r="G1455" s="30">
        <f t="shared" si="1502"/>
        <v>2400</v>
      </c>
      <c r="H1455" s="8">
        <v>25000</v>
      </c>
      <c r="I1455" s="30">
        <f t="shared" si="1503"/>
        <v>8000</v>
      </c>
      <c r="J1455" s="187">
        <v>40000</v>
      </c>
      <c r="K1455" s="30">
        <f t="shared" si="1504"/>
        <v>8000</v>
      </c>
      <c r="L1455" s="187">
        <v>40000</v>
      </c>
      <c r="M1455" s="110">
        <v>9.5</v>
      </c>
      <c r="N1455" s="9">
        <f>VLOOKUP(DATE(YEAR(A1455),MONTH(A1455),DAY(A1455)),FY24_Temp[],3,FALSE)</f>
        <v>14.71</v>
      </c>
      <c r="O1455" s="110">
        <f t="shared" si="1490"/>
        <v>11.5</v>
      </c>
      <c r="P1455" s="110">
        <f t="shared" si="1491"/>
        <v>19.5</v>
      </c>
      <c r="Q1455" s="79">
        <f>VLOOKUP(VLOOKUP(DATEVALUE(TEXT(A1455,"m/d/yyyy")),FY24_Temp[],5,FALSE)&amp;TEXT(A1455,"-h"),TempDelta[],4,FALSE)</f>
        <v>1.5527142797197615</v>
      </c>
      <c r="R1455">
        <v>10</v>
      </c>
      <c r="S1455" s="112">
        <v>1500</v>
      </c>
      <c r="T1455" s="5">
        <f>VLOOKUP(TEXT(A1455,"yy-mm")&amp;"-"&amp;IF(AND(WEEKDAY(A1455)&gt;1,WEEKDAY(A1455)&lt;7),"Wkd",TEXT(A1455,"Ddd"))&amp;"-"&amp;TEXT(A1455,"hh"),LoadTable[],3,FALSE)*0.92</f>
        <v>338.44093501457746</v>
      </c>
      <c r="U1455" s="113">
        <f t="shared" si="1492"/>
        <v>33.844093501457749</v>
      </c>
      <c r="V1455">
        <f t="shared" ref="V1455:W1455" si="1540">V1431</f>
        <v>3.1</v>
      </c>
      <c r="W1455">
        <f t="shared" si="1540"/>
        <v>2.9</v>
      </c>
      <c r="X1455" s="9">
        <v>3.0834571999999998</v>
      </c>
      <c r="Y1455" s="39"/>
    </row>
    <row r="1456" spans="1:25" ht="15" thickBot="1">
      <c r="A1456" s="29">
        <f t="shared" si="1474"/>
        <v>45896.541666665122</v>
      </c>
      <c r="B1456" s="30">
        <f t="shared" si="1501"/>
        <v>8000</v>
      </c>
      <c r="C1456" s="8">
        <v>25000</v>
      </c>
      <c r="D1456" s="187">
        <v>0</v>
      </c>
      <c r="E1456" s="187">
        <v>700</v>
      </c>
      <c r="F1456" s="187">
        <v>15000</v>
      </c>
      <c r="G1456" s="30">
        <f t="shared" si="1502"/>
        <v>2400</v>
      </c>
      <c r="H1456" s="8">
        <v>25000</v>
      </c>
      <c r="I1456" s="30">
        <f t="shared" si="1503"/>
        <v>8000</v>
      </c>
      <c r="J1456" s="187">
        <v>40000</v>
      </c>
      <c r="K1456" s="30">
        <f t="shared" si="1504"/>
        <v>8000</v>
      </c>
      <c r="L1456" s="187">
        <v>40000</v>
      </c>
      <c r="M1456" s="110">
        <v>9.5</v>
      </c>
      <c r="N1456" s="9">
        <f>VLOOKUP(DATE(YEAR(A1456),MONTH(A1456),DAY(A1456)),FY24_Temp[],3,FALSE)</f>
        <v>14.71</v>
      </c>
      <c r="O1456" s="110">
        <f t="shared" si="1490"/>
        <v>11.5</v>
      </c>
      <c r="P1456" s="110">
        <f t="shared" si="1491"/>
        <v>19.5</v>
      </c>
      <c r="Q1456" s="79">
        <f>VLOOKUP(VLOOKUP(DATEVALUE(TEXT(A1456,"m/d/yyyy")),FY24_Temp[],5,FALSE)&amp;TEXT(A1456,"-h"),TempDelta[],4,FALSE)</f>
        <v>1.3120000192097254</v>
      </c>
      <c r="R1456">
        <v>10</v>
      </c>
      <c r="S1456" s="112">
        <v>1500</v>
      </c>
      <c r="T1456" s="5">
        <f>VLOOKUP(TEXT(A1456,"yy-mm")&amp;"-"&amp;IF(AND(WEEKDAY(A1456)&gt;1,WEEKDAY(A1456)&lt;7),"Wkd",TEXT(A1456,"Ddd"))&amp;"-"&amp;TEXT(A1456,"hh"),LoadTable[],3,FALSE)*0.92</f>
        <v>389.90980000000025</v>
      </c>
      <c r="U1456" s="113">
        <f t="shared" si="1492"/>
        <v>38.990980000000022</v>
      </c>
      <c r="V1456">
        <f t="shared" ref="V1456:W1456" si="1541">V1432</f>
        <v>3.2</v>
      </c>
      <c r="W1456">
        <f t="shared" si="1541"/>
        <v>2.9</v>
      </c>
      <c r="X1456" s="9">
        <v>2.9676075000000002</v>
      </c>
      <c r="Y1456" s="39"/>
    </row>
    <row r="1457" spans="1:25" ht="15" thickBot="1">
      <c r="A1457" s="29">
        <f t="shared" si="1474"/>
        <v>45896.583333331786</v>
      </c>
      <c r="B1457" s="30">
        <f t="shared" si="1501"/>
        <v>8000</v>
      </c>
      <c r="C1457" s="8">
        <v>25000</v>
      </c>
      <c r="D1457" s="187">
        <v>0</v>
      </c>
      <c r="E1457" s="187">
        <v>700</v>
      </c>
      <c r="F1457" s="187">
        <v>15000</v>
      </c>
      <c r="G1457" s="30">
        <f t="shared" si="1502"/>
        <v>2400</v>
      </c>
      <c r="H1457" s="8">
        <v>25000</v>
      </c>
      <c r="I1457" s="30">
        <f t="shared" si="1503"/>
        <v>8000</v>
      </c>
      <c r="J1457" s="187">
        <v>40000</v>
      </c>
      <c r="K1457" s="30">
        <f t="shared" si="1504"/>
        <v>8000</v>
      </c>
      <c r="L1457" s="187">
        <v>40000</v>
      </c>
      <c r="M1457" s="110">
        <v>9.5</v>
      </c>
      <c r="N1457" s="9">
        <f>VLOOKUP(DATE(YEAR(A1457),MONTH(A1457),DAY(A1457)),FY24_Temp[],3,FALSE)</f>
        <v>14.71</v>
      </c>
      <c r="O1457" s="110">
        <f t="shared" si="1490"/>
        <v>11.5</v>
      </c>
      <c r="P1457" s="110">
        <f t="shared" si="1491"/>
        <v>19.5</v>
      </c>
      <c r="Q1457" s="79">
        <f>VLOOKUP(VLOOKUP(DATEVALUE(TEXT(A1457,"m/d/yyyy")),FY24_Temp[],5,FALSE)&amp;TEXT(A1457,"-h"),TempDelta[],4,FALSE)</f>
        <v>0.87128572378839764</v>
      </c>
      <c r="R1457">
        <v>10</v>
      </c>
      <c r="S1457" s="112">
        <v>1500</v>
      </c>
      <c r="T1457" s="5">
        <f>VLOOKUP(TEXT(A1457,"yy-mm")&amp;"-"&amp;IF(AND(WEEKDAY(A1457)&gt;1,WEEKDAY(A1457)&lt;7),"Wkd",TEXT(A1457,"Ddd"))&amp;"-"&amp;TEXT(A1457,"hh"),LoadTable[],3,FALSE)*0.92</f>
        <v>625.53652000000022</v>
      </c>
      <c r="U1457" s="113">
        <f t="shared" si="1492"/>
        <v>62.553652000000021</v>
      </c>
      <c r="V1457">
        <f t="shared" ref="V1457:W1457" si="1542">V1433</f>
        <v>3.5</v>
      </c>
      <c r="W1457">
        <f t="shared" si="1542"/>
        <v>2.9</v>
      </c>
      <c r="X1457" s="9">
        <v>3.0548953999999999</v>
      </c>
      <c r="Y1457" s="39"/>
    </row>
    <row r="1458" spans="1:25" ht="15" thickBot="1">
      <c r="A1458" s="29">
        <f t="shared" si="1474"/>
        <v>45896.62499999845</v>
      </c>
      <c r="B1458" s="30">
        <f t="shared" si="1501"/>
        <v>8000</v>
      </c>
      <c r="C1458" s="8">
        <v>25000</v>
      </c>
      <c r="D1458" s="187">
        <v>0</v>
      </c>
      <c r="E1458" s="187">
        <v>700</v>
      </c>
      <c r="F1458" s="187">
        <v>15000</v>
      </c>
      <c r="G1458" s="30">
        <f t="shared" si="1502"/>
        <v>2400</v>
      </c>
      <c r="H1458" s="8">
        <v>25000</v>
      </c>
      <c r="I1458" s="30">
        <f t="shared" si="1503"/>
        <v>8000</v>
      </c>
      <c r="J1458" s="187">
        <v>40000</v>
      </c>
      <c r="K1458" s="30">
        <f t="shared" si="1504"/>
        <v>8000</v>
      </c>
      <c r="L1458" s="187">
        <v>40000</v>
      </c>
      <c r="M1458" s="110">
        <v>9.5</v>
      </c>
      <c r="N1458" s="9">
        <f>VLOOKUP(DATE(YEAR(A1458),MONTH(A1458),DAY(A1458)),FY24_Temp[],3,FALSE)</f>
        <v>14.71</v>
      </c>
      <c r="O1458" s="110">
        <f t="shared" si="1490"/>
        <v>11.5</v>
      </c>
      <c r="P1458" s="110">
        <f t="shared" si="1491"/>
        <v>19.5</v>
      </c>
      <c r="Q1458" s="79">
        <f>VLOOKUP(VLOOKUP(DATEVALUE(TEXT(A1458,"m/d/yyyy")),FY24_Temp[],5,FALSE)&amp;TEXT(A1458,"-h"),TempDelta[],4,FALSE)</f>
        <v>0.66957143161978039</v>
      </c>
      <c r="R1458">
        <v>10</v>
      </c>
      <c r="S1458" s="112">
        <v>1500</v>
      </c>
      <c r="T1458" s="5">
        <f>VLOOKUP(TEXT(A1458,"yy-mm")&amp;"-"&amp;IF(AND(WEEKDAY(A1458)&gt;1,WEEKDAY(A1458)&lt;7),"Wkd",TEXT(A1458,"Ddd"))&amp;"-"&amp;TEXT(A1458,"hh"),LoadTable[],3,FALSE)*0.92</f>
        <v>699.79524000000038</v>
      </c>
      <c r="U1458" s="113">
        <f t="shared" si="1492"/>
        <v>69.97952400000004</v>
      </c>
      <c r="V1458">
        <f t="shared" ref="V1458:W1458" si="1543">V1434</f>
        <v>3.2</v>
      </c>
      <c r="W1458">
        <f t="shared" si="1543"/>
        <v>2.9</v>
      </c>
      <c r="X1458" s="9">
        <v>3.4689996000000001</v>
      </c>
      <c r="Y1458" s="39"/>
    </row>
    <row r="1459" spans="1:25" ht="15" thickBot="1">
      <c r="A1459" s="29">
        <f t="shared" si="1474"/>
        <v>45896.666666665114</v>
      </c>
      <c r="B1459" s="30">
        <f t="shared" si="1501"/>
        <v>8000</v>
      </c>
      <c r="C1459" s="8">
        <v>25000</v>
      </c>
      <c r="D1459" s="187">
        <v>0</v>
      </c>
      <c r="E1459" s="187">
        <v>700</v>
      </c>
      <c r="F1459" s="187">
        <v>15000</v>
      </c>
      <c r="G1459" s="30">
        <f t="shared" si="1502"/>
        <v>2400</v>
      </c>
      <c r="H1459" s="8">
        <v>25000</v>
      </c>
      <c r="I1459" s="30">
        <f t="shared" si="1503"/>
        <v>8000</v>
      </c>
      <c r="J1459" s="187">
        <v>40000</v>
      </c>
      <c r="K1459" s="30">
        <f t="shared" si="1504"/>
        <v>8000</v>
      </c>
      <c r="L1459" s="187">
        <v>40000</v>
      </c>
      <c r="M1459" s="110">
        <v>9.5</v>
      </c>
      <c r="N1459" s="9">
        <f>VLOOKUP(DATE(YEAR(A1459),MONTH(A1459),DAY(A1459)),FY24_Temp[],3,FALSE)</f>
        <v>14.71</v>
      </c>
      <c r="O1459" s="110">
        <f t="shared" si="1490"/>
        <v>11.5</v>
      </c>
      <c r="P1459" s="110">
        <f t="shared" si="1491"/>
        <v>19.5</v>
      </c>
      <c r="Q1459" s="79">
        <f>VLOOKUP(VLOOKUP(DATEVALUE(TEXT(A1459,"m/d/yyyy")),FY24_Temp[],5,FALSE)&amp;TEXT(A1459,"-h"),TempDelta[],4,FALSE)</f>
        <v>0.5316428627286639</v>
      </c>
      <c r="R1459">
        <v>10</v>
      </c>
      <c r="S1459" s="112">
        <v>1500</v>
      </c>
      <c r="T1459" s="5">
        <f>VLOOKUP(TEXT(A1459,"yy-mm")&amp;"-"&amp;IF(AND(WEEKDAY(A1459)&gt;1,WEEKDAY(A1459)&lt;7),"Wkd",TEXT(A1459,"Ddd"))&amp;"-"&amp;TEXT(A1459,"hh"),LoadTable[],3,FALSE)*0.92</f>
        <v>786.27137399656624</v>
      </c>
      <c r="U1459" s="113">
        <f t="shared" si="1492"/>
        <v>78.627137399656618</v>
      </c>
      <c r="V1459">
        <f t="shared" ref="V1459:W1459" si="1544">V1435</f>
        <v>3.5</v>
      </c>
      <c r="W1459">
        <f t="shared" si="1544"/>
        <v>3</v>
      </c>
      <c r="X1459" s="9">
        <v>3.4126861000000002</v>
      </c>
      <c r="Y1459" s="39"/>
    </row>
    <row r="1460" spans="1:25" ht="15" thickBot="1">
      <c r="A1460" s="29">
        <f t="shared" si="1474"/>
        <v>45896.708333331779</v>
      </c>
      <c r="B1460" s="30">
        <f t="shared" si="1501"/>
        <v>8000</v>
      </c>
      <c r="C1460" s="8">
        <v>25000</v>
      </c>
      <c r="D1460" s="187">
        <v>0</v>
      </c>
      <c r="E1460" s="187">
        <v>700</v>
      </c>
      <c r="F1460" s="187">
        <v>15000</v>
      </c>
      <c r="G1460" s="30">
        <f t="shared" si="1502"/>
        <v>2400</v>
      </c>
      <c r="H1460" s="8">
        <v>25000</v>
      </c>
      <c r="I1460" s="30">
        <f t="shared" si="1503"/>
        <v>8000</v>
      </c>
      <c r="J1460" s="187">
        <v>40000</v>
      </c>
      <c r="K1460" s="30">
        <f t="shared" si="1504"/>
        <v>8000</v>
      </c>
      <c r="L1460" s="187">
        <v>40000</v>
      </c>
      <c r="M1460" s="110">
        <v>9.5</v>
      </c>
      <c r="N1460" s="9">
        <f>VLOOKUP(DATE(YEAR(A1460),MONTH(A1460),DAY(A1460)),FY24_Temp[],3,FALSE)</f>
        <v>14.71</v>
      </c>
      <c r="O1460" s="110">
        <f t="shared" si="1490"/>
        <v>11.5</v>
      </c>
      <c r="P1460" s="110">
        <f t="shared" si="1491"/>
        <v>19.5</v>
      </c>
      <c r="Q1460" s="79">
        <f>VLOOKUP(VLOOKUP(DATEVALUE(TEXT(A1460,"m/d/yyyy")),FY24_Temp[],5,FALSE)&amp;TEXT(A1460,"-h"),TempDelta[],4,FALSE)</f>
        <v>0.55664285378796718</v>
      </c>
      <c r="R1460">
        <v>10</v>
      </c>
      <c r="S1460" s="112">
        <v>1500</v>
      </c>
      <c r="T1460" s="5">
        <f>VLOOKUP(TEXT(A1460,"yy-mm")&amp;"-"&amp;IF(AND(WEEKDAY(A1460)&gt;1,WEEKDAY(A1460)&lt;7),"Wkd",TEXT(A1460,"Ddd"))&amp;"-"&amp;TEXT(A1460,"hh"),LoadTable[],3,FALSE)*0.92</f>
        <v>786.27137399656624</v>
      </c>
      <c r="U1460" s="113">
        <f t="shared" si="1492"/>
        <v>78.627137399656618</v>
      </c>
      <c r="V1460">
        <f t="shared" ref="V1460:W1460" si="1545">V1436</f>
        <v>3.6</v>
      </c>
      <c r="W1460">
        <f t="shared" si="1545"/>
        <v>3</v>
      </c>
      <c r="X1460" s="9">
        <v>3.2988110000000002</v>
      </c>
      <c r="Y1460" s="39"/>
    </row>
    <row r="1461" spans="1:25" ht="15" thickBot="1">
      <c r="A1461" s="29">
        <f t="shared" ref="A1461:A1524" si="1546">A1460+TIME(1,0,0)</f>
        <v>45896.749999998443</v>
      </c>
      <c r="B1461" s="30">
        <f t="shared" si="1501"/>
        <v>5000</v>
      </c>
      <c r="C1461" s="8">
        <v>25000</v>
      </c>
      <c r="D1461" s="187">
        <v>0</v>
      </c>
      <c r="E1461" s="187">
        <v>700</v>
      </c>
      <c r="F1461" s="187">
        <v>15000</v>
      </c>
      <c r="G1461" s="30">
        <f t="shared" si="1502"/>
        <v>2400</v>
      </c>
      <c r="H1461" s="8">
        <v>25000</v>
      </c>
      <c r="I1461" s="30">
        <f t="shared" si="1503"/>
        <v>5000</v>
      </c>
      <c r="J1461" s="187">
        <v>40000</v>
      </c>
      <c r="K1461" s="30">
        <f t="shared" si="1504"/>
        <v>5000</v>
      </c>
      <c r="L1461" s="187">
        <v>40000</v>
      </c>
      <c r="M1461" s="110">
        <v>9.5</v>
      </c>
      <c r="N1461" s="9">
        <f>VLOOKUP(DATE(YEAR(A1461),MONTH(A1461),DAY(A1461)),FY24_Temp[],3,FALSE)</f>
        <v>14.71</v>
      </c>
      <c r="O1461" s="110">
        <f t="shared" si="1490"/>
        <v>11.5</v>
      </c>
      <c r="P1461" s="110">
        <f t="shared" si="1491"/>
        <v>19.5</v>
      </c>
      <c r="Q1461" s="79">
        <f>VLOOKUP(VLOOKUP(DATEVALUE(TEXT(A1461,"m/d/yyyy")),FY24_Temp[],5,FALSE)&amp;TEXT(A1461,"-h"),TempDelta[],4,FALSE)</f>
        <v>0.75757142049925663</v>
      </c>
      <c r="R1461">
        <v>10</v>
      </c>
      <c r="S1461" s="112">
        <v>1500</v>
      </c>
      <c r="T1461" s="5">
        <f>VLOOKUP(TEXT(A1461,"yy-mm")&amp;"-"&amp;IF(AND(WEEKDAY(A1461)&gt;1,WEEKDAY(A1461)&lt;7),"Wkd",TEXT(A1461,"Ddd"))&amp;"-"&amp;TEXT(A1461,"hh"),LoadTable[],3,FALSE)*0.92</f>
        <v>786.27137399656647</v>
      </c>
      <c r="U1461" s="113">
        <f t="shared" si="1492"/>
        <v>78.627137399656647</v>
      </c>
      <c r="V1461">
        <f t="shared" ref="V1461:W1461" si="1547">V1437</f>
        <v>2.9</v>
      </c>
      <c r="W1461">
        <f t="shared" si="1547"/>
        <v>3</v>
      </c>
      <c r="X1461" s="9">
        <v>3.2723775000000002</v>
      </c>
      <c r="Y1461" s="39"/>
    </row>
    <row r="1462" spans="1:25" ht="15" thickBot="1">
      <c r="A1462" s="29">
        <f t="shared" si="1546"/>
        <v>45896.791666665107</v>
      </c>
      <c r="B1462" s="30">
        <f t="shared" si="1501"/>
        <v>5000</v>
      </c>
      <c r="C1462" s="8">
        <v>25000</v>
      </c>
      <c r="D1462" s="187">
        <v>0</v>
      </c>
      <c r="E1462" s="187">
        <v>700</v>
      </c>
      <c r="F1462" s="187">
        <v>15000</v>
      </c>
      <c r="G1462" s="30">
        <f t="shared" si="1502"/>
        <v>2400</v>
      </c>
      <c r="H1462" s="8">
        <v>25000</v>
      </c>
      <c r="I1462" s="30">
        <f t="shared" si="1503"/>
        <v>5000</v>
      </c>
      <c r="J1462" s="187">
        <v>40000</v>
      </c>
      <c r="K1462" s="30">
        <f t="shared" si="1504"/>
        <v>5000</v>
      </c>
      <c r="L1462" s="187">
        <v>40000</v>
      </c>
      <c r="M1462" s="110">
        <v>9.5</v>
      </c>
      <c r="N1462" s="9">
        <f>VLOOKUP(DATE(YEAR(A1462),MONTH(A1462),DAY(A1462)),FY24_Temp[],3,FALSE)</f>
        <v>14.71</v>
      </c>
      <c r="O1462" s="110">
        <f t="shared" si="1490"/>
        <v>11.5</v>
      </c>
      <c r="P1462" s="110">
        <f t="shared" si="1491"/>
        <v>19.5</v>
      </c>
      <c r="Q1462" s="79">
        <f>VLOOKUP(VLOOKUP(DATEVALUE(TEXT(A1462,"m/d/yyyy")),FY24_Temp[],5,FALSE)&amp;TEXT(A1462,"-h"),TempDelta[],4,FALSE)</f>
        <v>1.0640714168548584</v>
      </c>
      <c r="R1462">
        <v>10</v>
      </c>
      <c r="S1462" s="112">
        <v>1500</v>
      </c>
      <c r="T1462" s="5">
        <f>VLOOKUP(TEXT(A1462,"yy-mm")&amp;"-"&amp;IF(AND(WEEKDAY(A1462)&gt;1,WEEKDAY(A1462)&lt;7),"Wkd",TEXT(A1462,"Ddd"))&amp;"-"&amp;TEXT(A1462,"hh"),LoadTable[],3,FALSE)*0.92</f>
        <v>786.27137399656647</v>
      </c>
      <c r="U1462" s="113">
        <f t="shared" si="1492"/>
        <v>78.627137399656647</v>
      </c>
      <c r="V1462">
        <f t="shared" ref="V1462:W1462" si="1548">V1438</f>
        <v>3</v>
      </c>
      <c r="W1462">
        <f t="shared" si="1548"/>
        <v>3</v>
      </c>
      <c r="X1462" s="9">
        <v>3.3051037999999999</v>
      </c>
      <c r="Y1462" s="39"/>
    </row>
    <row r="1463" spans="1:25" ht="15" thickBot="1">
      <c r="A1463" s="29">
        <f t="shared" si="1546"/>
        <v>45896.833333331771</v>
      </c>
      <c r="B1463" s="30">
        <f t="shared" si="1501"/>
        <v>5000</v>
      </c>
      <c r="C1463" s="8">
        <v>25000</v>
      </c>
      <c r="D1463" s="187">
        <v>0</v>
      </c>
      <c r="E1463" s="187">
        <v>700</v>
      </c>
      <c r="F1463" s="187">
        <v>15000</v>
      </c>
      <c r="G1463" s="30">
        <f t="shared" si="1502"/>
        <v>2400</v>
      </c>
      <c r="H1463" s="8">
        <v>25000</v>
      </c>
      <c r="I1463" s="30">
        <f t="shared" si="1503"/>
        <v>5000</v>
      </c>
      <c r="J1463" s="187">
        <v>40000</v>
      </c>
      <c r="K1463" s="30">
        <f t="shared" si="1504"/>
        <v>5000</v>
      </c>
      <c r="L1463" s="187">
        <v>40000</v>
      </c>
      <c r="M1463" s="110">
        <v>9.5</v>
      </c>
      <c r="N1463" s="9">
        <f>VLOOKUP(DATE(YEAR(A1463),MONTH(A1463),DAY(A1463)),FY24_Temp[],3,FALSE)</f>
        <v>14.71</v>
      </c>
      <c r="O1463" s="110">
        <f t="shared" si="1490"/>
        <v>11.5</v>
      </c>
      <c r="P1463" s="110">
        <f t="shared" si="1491"/>
        <v>19.5</v>
      </c>
      <c r="Q1463" s="79">
        <f>VLOOKUP(VLOOKUP(DATEVALUE(TEXT(A1463,"m/d/yyyy")),FY24_Temp[],5,FALSE)&amp;TEXT(A1463,"-h"),TempDelta[],4,FALSE)</f>
        <v>1.4742142728396825</v>
      </c>
      <c r="R1463">
        <v>10</v>
      </c>
      <c r="S1463" s="112">
        <v>1500</v>
      </c>
      <c r="T1463" s="5">
        <f>VLOOKUP(TEXT(A1463,"yy-mm")&amp;"-"&amp;IF(AND(WEEKDAY(A1463)&gt;1,WEEKDAY(A1463)&lt;7),"Wkd",TEXT(A1463,"Ddd"))&amp;"-"&amp;TEXT(A1463,"hh"),LoadTable[],3,FALSE)*0.92</f>
        <v>786.27137399656647</v>
      </c>
      <c r="U1463" s="113">
        <f t="shared" si="1492"/>
        <v>78.627137399656647</v>
      </c>
      <c r="V1463">
        <f t="shared" ref="V1463:W1463" si="1549">V1439</f>
        <v>2.8</v>
      </c>
      <c r="W1463">
        <f t="shared" si="1549"/>
        <v>3.1</v>
      </c>
      <c r="X1463" s="9">
        <v>3.2898945999999998</v>
      </c>
      <c r="Y1463" s="39"/>
    </row>
    <row r="1464" spans="1:25" ht="15" thickBot="1">
      <c r="A1464" s="29">
        <f t="shared" si="1546"/>
        <v>45896.874999998436</v>
      </c>
      <c r="B1464" s="30">
        <f t="shared" si="1501"/>
        <v>5000</v>
      </c>
      <c r="C1464" s="8">
        <v>25000</v>
      </c>
      <c r="D1464" s="187">
        <v>0</v>
      </c>
      <c r="E1464" s="187">
        <v>700</v>
      </c>
      <c r="F1464" s="187">
        <v>15000</v>
      </c>
      <c r="G1464" s="30">
        <f t="shared" si="1502"/>
        <v>2400</v>
      </c>
      <c r="H1464" s="8">
        <v>25000</v>
      </c>
      <c r="I1464" s="30">
        <f t="shared" si="1503"/>
        <v>5000</v>
      </c>
      <c r="J1464" s="187">
        <v>40000</v>
      </c>
      <c r="K1464" s="30">
        <f t="shared" si="1504"/>
        <v>5000</v>
      </c>
      <c r="L1464" s="187">
        <v>40000</v>
      </c>
      <c r="M1464" s="110">
        <v>9.5</v>
      </c>
      <c r="N1464" s="9">
        <f>VLOOKUP(DATE(YEAR(A1464),MONTH(A1464),DAY(A1464)),FY24_Temp[],3,FALSE)</f>
        <v>14.71</v>
      </c>
      <c r="O1464" s="110">
        <f t="shared" si="1490"/>
        <v>11.5</v>
      </c>
      <c r="P1464" s="110">
        <f t="shared" si="1491"/>
        <v>19.5</v>
      </c>
      <c r="Q1464" s="79">
        <f>VLOOKUP(VLOOKUP(DATEVALUE(TEXT(A1464,"m/d/yyyy")),FY24_Temp[],5,FALSE)&amp;TEXT(A1464,"-h"),TempDelta[],4,FALSE)</f>
        <v>1.7937857168061393</v>
      </c>
      <c r="R1464">
        <v>10</v>
      </c>
      <c r="S1464" s="112">
        <v>1500</v>
      </c>
      <c r="T1464" s="5">
        <f>VLOOKUP(TEXT(A1464,"yy-mm")&amp;"-"&amp;IF(AND(WEEKDAY(A1464)&gt;1,WEEKDAY(A1464)&lt;7),"Wkd",TEXT(A1464,"Ddd"))&amp;"-"&amp;TEXT(A1464,"hh"),LoadTable[],3,FALSE)*0.92</f>
        <v>784.39716226323299</v>
      </c>
      <c r="U1464" s="113">
        <f t="shared" si="1492"/>
        <v>78.439716226323299</v>
      </c>
      <c r="V1464">
        <f t="shared" ref="V1464:W1464" si="1550">V1440</f>
        <v>3.5</v>
      </c>
      <c r="W1464">
        <f t="shared" si="1550"/>
        <v>3.1</v>
      </c>
      <c r="X1464" s="9">
        <v>3.2111976000000002</v>
      </c>
      <c r="Y1464" s="39"/>
    </row>
    <row r="1465" spans="1:25" ht="15" thickBot="1">
      <c r="A1465" s="29">
        <f t="shared" si="1546"/>
        <v>45896.9166666651</v>
      </c>
      <c r="B1465" s="30">
        <f t="shared" si="1501"/>
        <v>5000</v>
      </c>
      <c r="C1465" s="8">
        <v>25000</v>
      </c>
      <c r="D1465" s="187">
        <v>0</v>
      </c>
      <c r="E1465" s="187">
        <v>700</v>
      </c>
      <c r="F1465" s="187">
        <v>15000</v>
      </c>
      <c r="G1465" s="30">
        <f t="shared" si="1502"/>
        <v>2400</v>
      </c>
      <c r="H1465" s="8">
        <v>25000</v>
      </c>
      <c r="I1465" s="30">
        <f t="shared" si="1503"/>
        <v>5000</v>
      </c>
      <c r="J1465" s="187">
        <v>40000</v>
      </c>
      <c r="K1465" s="30">
        <f t="shared" si="1504"/>
        <v>5000</v>
      </c>
      <c r="L1465" s="187">
        <v>40000</v>
      </c>
      <c r="M1465" s="110">
        <v>9.5</v>
      </c>
      <c r="N1465" s="9">
        <f>VLOOKUP(DATE(YEAR(A1465),MONTH(A1465),DAY(A1465)),FY24_Temp[],3,FALSE)</f>
        <v>14.71</v>
      </c>
      <c r="O1465" s="110">
        <f t="shared" si="1490"/>
        <v>11.5</v>
      </c>
      <c r="P1465" s="110">
        <f t="shared" si="1491"/>
        <v>19.5</v>
      </c>
      <c r="Q1465" s="79">
        <f>VLOOKUP(VLOOKUP(DATEVALUE(TEXT(A1465,"m/d/yyyy")),FY24_Temp[],5,FALSE)&amp;TEXT(A1465,"-h"),TempDelta[],4,FALSE)</f>
        <v>2.1767142840794156</v>
      </c>
      <c r="R1465">
        <v>10</v>
      </c>
      <c r="S1465" s="112">
        <v>1500</v>
      </c>
      <c r="T1465" s="5">
        <f>VLOOKUP(TEXT(A1465,"yy-mm")&amp;"-"&amp;IF(AND(WEEKDAY(A1465)&gt;1,WEEKDAY(A1465)&lt;7),"Wkd",TEXT(A1465,"Ddd"))&amp;"-"&amp;TEXT(A1465,"hh"),LoadTable[],3,FALSE)*0.92</f>
        <v>600.06900003761973</v>
      </c>
      <c r="U1465" s="113">
        <f t="shared" si="1492"/>
        <v>60.00690000376197</v>
      </c>
      <c r="V1465">
        <f t="shared" ref="V1465:W1465" si="1551">V1441</f>
        <v>2.9</v>
      </c>
      <c r="W1465">
        <f t="shared" si="1551"/>
        <v>3.1</v>
      </c>
      <c r="X1465" s="9">
        <v>3.1327425999999998</v>
      </c>
      <c r="Y1465" s="39"/>
    </row>
    <row r="1466" spans="1:25" ht="15" thickBot="1">
      <c r="A1466" s="29">
        <f t="shared" si="1546"/>
        <v>45896.958333331764</v>
      </c>
      <c r="B1466" s="30">
        <f t="shared" si="1501"/>
        <v>5000</v>
      </c>
      <c r="C1466" s="8">
        <v>25000</v>
      </c>
      <c r="D1466" s="187">
        <v>0</v>
      </c>
      <c r="E1466" s="187">
        <v>700</v>
      </c>
      <c r="F1466" s="187">
        <v>15000</v>
      </c>
      <c r="G1466" s="30">
        <f t="shared" si="1502"/>
        <v>2400</v>
      </c>
      <c r="H1466" s="41">
        <v>25000</v>
      </c>
      <c r="I1466" s="30">
        <f t="shared" si="1503"/>
        <v>5000</v>
      </c>
      <c r="J1466" s="187">
        <v>40000</v>
      </c>
      <c r="K1466" s="30">
        <f t="shared" si="1504"/>
        <v>5000</v>
      </c>
      <c r="L1466" s="187">
        <v>40000</v>
      </c>
      <c r="M1466" s="110">
        <v>9.5</v>
      </c>
      <c r="N1466" s="9">
        <f>VLOOKUP(DATE(YEAR(A1466),MONTH(A1466),DAY(A1466)),FY24_Temp[],3,FALSE)</f>
        <v>14.71</v>
      </c>
      <c r="O1466" s="110">
        <f t="shared" si="1490"/>
        <v>11.5</v>
      </c>
      <c r="P1466" s="110">
        <f t="shared" si="1491"/>
        <v>19.5</v>
      </c>
      <c r="Q1466" s="85">
        <f>VLOOKUP(VLOOKUP(DATEVALUE(TEXT(A1466,"m/d/yyyy")),FY24_Temp[],5,FALSE)&amp;TEXT(A1466,"-h"),TempDelta[],4,FALSE)</f>
        <v>2.3071428367069791</v>
      </c>
      <c r="R1466">
        <v>10</v>
      </c>
      <c r="S1466" s="112">
        <v>1500</v>
      </c>
      <c r="T1466" s="97">
        <f>VLOOKUP(TEXT(A1466,"yy-mm")&amp;"-"&amp;IF(AND(WEEKDAY(A1466)&gt;1,WEEKDAY(A1466)&lt;7),"Wkd",TEXT(A1466,"Ddd"))&amp;"-"&amp;TEXT(A1466,"hh"),LoadTable[],3,FALSE)*0.92</f>
        <v>486.44539999999989</v>
      </c>
      <c r="U1466" s="113">
        <f t="shared" si="1492"/>
        <v>48.644539999999992</v>
      </c>
      <c r="V1466">
        <f t="shared" ref="V1466:W1466" si="1552">V1442</f>
        <v>3.6</v>
      </c>
      <c r="W1466">
        <f t="shared" si="1552"/>
        <v>3.1</v>
      </c>
      <c r="X1466" s="84">
        <v>3.0738916000000001</v>
      </c>
      <c r="Y1466" s="39"/>
    </row>
    <row r="1467" spans="1:25" ht="15" thickBot="1">
      <c r="A1467" s="29">
        <f t="shared" si="1546"/>
        <v>45896.999999998428</v>
      </c>
      <c r="B1467" s="30">
        <f t="shared" si="1501"/>
        <v>5000</v>
      </c>
      <c r="C1467" s="8">
        <v>25000</v>
      </c>
      <c r="D1467" s="187">
        <v>0</v>
      </c>
      <c r="E1467" s="187">
        <v>700</v>
      </c>
      <c r="F1467" s="187">
        <v>15000</v>
      </c>
      <c r="G1467" s="30">
        <f t="shared" si="1502"/>
        <v>2400</v>
      </c>
      <c r="H1467" s="8">
        <v>25000</v>
      </c>
      <c r="I1467" s="30">
        <f t="shared" si="1503"/>
        <v>5000</v>
      </c>
      <c r="J1467" s="187">
        <v>40000</v>
      </c>
      <c r="K1467" s="30">
        <f t="shared" si="1504"/>
        <v>5000</v>
      </c>
      <c r="L1467" s="187">
        <v>40000</v>
      </c>
      <c r="M1467" s="110">
        <v>9.5</v>
      </c>
      <c r="N1467" s="9">
        <f>VLOOKUP(DATE(YEAR(A1467),MONTH(A1467),DAY(A1467)),FY24_Temp[],3,FALSE)</f>
        <v>14.71</v>
      </c>
      <c r="O1467" s="110">
        <f t="shared" si="1490"/>
        <v>11.5</v>
      </c>
      <c r="P1467" s="110">
        <f t="shared" si="1491"/>
        <v>19.5</v>
      </c>
      <c r="Q1467" s="79">
        <f>VLOOKUP(VLOOKUP(DATEVALUE(TEXT(A1467,"m/d/yyyy")),FY24_Temp[],5,FALSE)&amp;TEXT(A1467,"-h"),TempDelta[],4,FALSE)</f>
        <v>2.2534285613468716</v>
      </c>
      <c r="R1467">
        <v>10</v>
      </c>
      <c r="S1467" s="112">
        <v>1500</v>
      </c>
      <c r="T1467" s="5">
        <f>VLOOKUP(TEXT(A1467,"yy-mm")&amp;"-"&amp;IF(AND(WEEKDAY(A1467)&gt;1,WEEKDAY(A1467)&lt;7),"Wkd",TEXT(A1467,"Ddd"))&amp;"-"&amp;TEXT(A1467,"hh"),LoadTable[],3,FALSE)*0.92</f>
        <v>372.20164</v>
      </c>
      <c r="U1467" s="113">
        <f t="shared" si="1492"/>
        <v>37.220163999999997</v>
      </c>
      <c r="V1467">
        <f t="shared" ref="V1467:W1467" si="1553">V1443</f>
        <v>3</v>
      </c>
      <c r="W1467">
        <f t="shared" si="1553"/>
        <v>3.2</v>
      </c>
      <c r="X1467" s="9">
        <v>3.0741160000000001</v>
      </c>
      <c r="Y1467" s="39"/>
    </row>
    <row r="1468" spans="1:25" ht="15" thickBot="1">
      <c r="A1468" s="29">
        <f t="shared" si="1546"/>
        <v>45897.041666665093</v>
      </c>
      <c r="B1468" s="30">
        <f t="shared" si="1501"/>
        <v>5000</v>
      </c>
      <c r="C1468" s="8">
        <v>25000</v>
      </c>
      <c r="D1468" s="187">
        <v>0</v>
      </c>
      <c r="E1468" s="187">
        <v>700</v>
      </c>
      <c r="F1468" s="187">
        <v>15000</v>
      </c>
      <c r="G1468" s="30">
        <f t="shared" si="1502"/>
        <v>2400</v>
      </c>
      <c r="H1468" s="42">
        <v>25000</v>
      </c>
      <c r="I1468" s="30">
        <f t="shared" si="1503"/>
        <v>5000</v>
      </c>
      <c r="J1468" s="187">
        <v>40000</v>
      </c>
      <c r="K1468" s="30">
        <f t="shared" si="1504"/>
        <v>5000</v>
      </c>
      <c r="L1468" s="187">
        <v>40000</v>
      </c>
      <c r="M1468" s="110">
        <v>9.5</v>
      </c>
      <c r="N1468" s="9">
        <f>VLOOKUP(DATE(YEAR(A1468),MONTH(A1468),DAY(A1468)),FY24_Temp[],3,FALSE)</f>
        <v>14.71</v>
      </c>
      <c r="O1468" s="110">
        <f t="shared" si="1490"/>
        <v>11.5</v>
      </c>
      <c r="P1468" s="110">
        <f t="shared" si="1491"/>
        <v>19.5</v>
      </c>
      <c r="Q1468" s="87">
        <f>VLOOKUP(VLOOKUP(DATEVALUE(TEXT(A1468,"m/d/yyyy")),FY24_Temp[],5,FALSE)&amp;TEXT(A1468,"-h"),TempDelta[],4,FALSE)</f>
        <v>2.5014285700661794</v>
      </c>
      <c r="R1468">
        <v>10</v>
      </c>
      <c r="S1468" s="112">
        <v>1500</v>
      </c>
      <c r="T1468" s="98">
        <f>VLOOKUP(TEXT(A1468,"yy-mm")&amp;"-"&amp;IF(AND(WEEKDAY(A1468)&gt;1,WEEKDAY(A1468)&lt;7),"Wkd",TEXT(A1468,"Ddd"))&amp;"-"&amp;TEXT(A1468,"hh"),LoadTable[],3,FALSE)*0.92</f>
        <v>363.06235999999996</v>
      </c>
      <c r="U1468" s="113">
        <f t="shared" si="1492"/>
        <v>36.306235999999998</v>
      </c>
      <c r="V1468">
        <f t="shared" ref="V1468:W1468" si="1554">V1444</f>
        <v>2.6</v>
      </c>
      <c r="W1468">
        <f t="shared" si="1554"/>
        <v>3.2</v>
      </c>
      <c r="X1468" s="86">
        <v>3.1008298000000001</v>
      </c>
      <c r="Y1468" s="39"/>
    </row>
    <row r="1469" spans="1:25" ht="15" thickBot="1">
      <c r="A1469" s="29">
        <f t="shared" si="1546"/>
        <v>45897.083333331757</v>
      </c>
      <c r="B1469" s="30">
        <f t="shared" si="1501"/>
        <v>5000</v>
      </c>
      <c r="C1469" s="8">
        <v>25000</v>
      </c>
      <c r="D1469" s="187">
        <v>0</v>
      </c>
      <c r="E1469" s="187">
        <v>700</v>
      </c>
      <c r="F1469" s="187">
        <v>15000</v>
      </c>
      <c r="G1469" s="30">
        <f t="shared" si="1502"/>
        <v>2400</v>
      </c>
      <c r="H1469" s="8">
        <v>25000</v>
      </c>
      <c r="I1469" s="30">
        <f t="shared" si="1503"/>
        <v>5000</v>
      </c>
      <c r="J1469" s="187">
        <v>40000</v>
      </c>
      <c r="K1469" s="30">
        <f t="shared" si="1504"/>
        <v>5000</v>
      </c>
      <c r="L1469" s="187">
        <v>40000</v>
      </c>
      <c r="M1469" s="110">
        <v>9.5</v>
      </c>
      <c r="N1469" s="9">
        <f>VLOOKUP(DATE(YEAR(A1469),MONTH(A1469),DAY(A1469)),FY24_Temp[],3,FALSE)</f>
        <v>14.71</v>
      </c>
      <c r="O1469" s="110">
        <f t="shared" si="1490"/>
        <v>11.5</v>
      </c>
      <c r="P1469" s="110">
        <f t="shared" si="1491"/>
        <v>19.5</v>
      </c>
      <c r="Q1469" s="79">
        <f>VLOOKUP(VLOOKUP(DATEVALUE(TEXT(A1469,"m/d/yyyy")),FY24_Temp[],5,FALSE)&amp;TEXT(A1469,"-h"),TempDelta[],4,FALSE)</f>
        <v>2.5255714144025529</v>
      </c>
      <c r="R1469">
        <v>10</v>
      </c>
      <c r="S1469" s="112">
        <v>1500</v>
      </c>
      <c r="T1469" s="5">
        <f>VLOOKUP(TEXT(A1469,"yy-mm")&amp;"-"&amp;IF(AND(WEEKDAY(A1469)&gt;1,WEEKDAY(A1469)&lt;7),"Wkd",TEXT(A1469,"Ddd"))&amp;"-"&amp;TEXT(A1469,"hh"),LoadTable[],3,FALSE)*0.92</f>
        <v>363.06235999999996</v>
      </c>
      <c r="U1469" s="113">
        <f t="shared" si="1492"/>
        <v>36.306235999999998</v>
      </c>
      <c r="V1469">
        <f t="shared" ref="V1469:W1469" si="1555">V1445</f>
        <v>2.8</v>
      </c>
      <c r="W1469">
        <f t="shared" si="1555"/>
        <v>3.2</v>
      </c>
      <c r="X1469" s="9">
        <v>3.1383690999999998</v>
      </c>
      <c r="Y1469" s="39"/>
    </row>
    <row r="1470" spans="1:25" ht="15" thickBot="1">
      <c r="A1470" s="29">
        <f t="shared" si="1546"/>
        <v>45897.124999998421</v>
      </c>
      <c r="B1470" s="30">
        <f t="shared" si="1501"/>
        <v>5000</v>
      </c>
      <c r="C1470" s="8">
        <v>25000</v>
      </c>
      <c r="D1470" s="187">
        <v>0</v>
      </c>
      <c r="E1470" s="187">
        <v>700</v>
      </c>
      <c r="F1470" s="187">
        <v>15000</v>
      </c>
      <c r="G1470" s="30">
        <f t="shared" si="1502"/>
        <v>2400</v>
      </c>
      <c r="H1470" s="8">
        <v>25000</v>
      </c>
      <c r="I1470" s="30">
        <f t="shared" si="1503"/>
        <v>5000</v>
      </c>
      <c r="J1470" s="187">
        <v>40000</v>
      </c>
      <c r="K1470" s="30">
        <f t="shared" si="1504"/>
        <v>5000</v>
      </c>
      <c r="L1470" s="187">
        <v>40000</v>
      </c>
      <c r="M1470" s="110">
        <v>9.5</v>
      </c>
      <c r="N1470" s="9">
        <f>VLOOKUP(DATE(YEAR(A1470),MONTH(A1470),DAY(A1470)),FY24_Temp[],3,FALSE)</f>
        <v>14.71</v>
      </c>
      <c r="O1470" s="110">
        <f t="shared" si="1490"/>
        <v>11.5</v>
      </c>
      <c r="P1470" s="110">
        <f t="shared" si="1491"/>
        <v>19.5</v>
      </c>
      <c r="Q1470" s="79">
        <f>VLOOKUP(VLOOKUP(DATEVALUE(TEXT(A1470,"m/d/yyyy")),FY24_Temp[],5,FALSE)&amp;TEXT(A1470,"-h"),TempDelta[],4,FALSE)</f>
        <v>2.5220000403267995</v>
      </c>
      <c r="R1470">
        <v>10</v>
      </c>
      <c r="S1470" s="112">
        <v>1500</v>
      </c>
      <c r="T1470" s="5">
        <f>VLOOKUP(TEXT(A1470,"yy-mm")&amp;"-"&amp;IF(AND(WEEKDAY(A1470)&gt;1,WEEKDAY(A1470)&lt;7),"Wkd",TEXT(A1470,"Ddd"))&amp;"-"&amp;TEXT(A1470,"hh"),LoadTable[],3,FALSE)*0.92</f>
        <v>363.06235999999996</v>
      </c>
      <c r="U1470" s="113">
        <f t="shared" si="1492"/>
        <v>36.306235999999998</v>
      </c>
      <c r="V1470">
        <f t="shared" ref="V1470:W1470" si="1556">V1446</f>
        <v>2.7</v>
      </c>
      <c r="W1470">
        <f t="shared" si="1556"/>
        <v>3.2</v>
      </c>
      <c r="X1470" s="9">
        <v>3.1677213000000002</v>
      </c>
      <c r="Y1470" s="39"/>
    </row>
    <row r="1471" spans="1:25" ht="15" thickBot="1">
      <c r="A1471" s="29">
        <f t="shared" si="1546"/>
        <v>45897.166666665085</v>
      </c>
      <c r="B1471" s="30">
        <f t="shared" si="1501"/>
        <v>5000</v>
      </c>
      <c r="C1471" s="8">
        <v>25000</v>
      </c>
      <c r="D1471" s="187">
        <v>0</v>
      </c>
      <c r="E1471" s="187">
        <v>700</v>
      </c>
      <c r="F1471" s="187">
        <v>15000</v>
      </c>
      <c r="G1471" s="30">
        <f t="shared" si="1502"/>
        <v>2400</v>
      </c>
      <c r="H1471" s="8">
        <v>25000</v>
      </c>
      <c r="I1471" s="30">
        <f t="shared" si="1503"/>
        <v>5000</v>
      </c>
      <c r="J1471" s="187">
        <v>40000</v>
      </c>
      <c r="K1471" s="30">
        <f t="shared" si="1504"/>
        <v>5000</v>
      </c>
      <c r="L1471" s="187">
        <v>40000</v>
      </c>
      <c r="M1471" s="110">
        <v>9.5</v>
      </c>
      <c r="N1471" s="9">
        <f>VLOOKUP(DATE(YEAR(A1471),MONTH(A1471),DAY(A1471)),FY24_Temp[],3,FALSE)</f>
        <v>14.71</v>
      </c>
      <c r="O1471" s="110">
        <f t="shared" si="1490"/>
        <v>11.5</v>
      </c>
      <c r="P1471" s="110">
        <f t="shared" si="1491"/>
        <v>19.5</v>
      </c>
      <c r="Q1471" s="79">
        <f>VLOOKUP(VLOOKUP(DATEVALUE(TEXT(A1471,"m/d/yyyy")),FY24_Temp[],5,FALSE)&amp;TEXT(A1471,"-h"),TempDelta[],4,FALSE)</f>
        <v>2.5181428364345004</v>
      </c>
      <c r="R1471">
        <v>10</v>
      </c>
      <c r="S1471" s="112">
        <v>1500</v>
      </c>
      <c r="T1471" s="5">
        <f>VLOOKUP(TEXT(A1471,"yy-mm")&amp;"-"&amp;IF(AND(WEEKDAY(A1471)&gt;1,WEEKDAY(A1471)&lt;7),"Wkd",TEXT(A1471,"Ddd"))&amp;"-"&amp;TEXT(A1471,"hh"),LoadTable[],3,FALSE)*0.92</f>
        <v>363.06235999999996</v>
      </c>
      <c r="U1471" s="113">
        <f t="shared" si="1492"/>
        <v>36.306235999999998</v>
      </c>
      <c r="V1471">
        <f t="shared" ref="V1471:W1471" si="1557">V1447</f>
        <v>3</v>
      </c>
      <c r="W1471">
        <f t="shared" si="1557"/>
        <v>3.1</v>
      </c>
      <c r="X1471" s="9">
        <v>3.1796514999999999</v>
      </c>
      <c r="Y1471" s="39"/>
    </row>
    <row r="1472" spans="1:25" ht="15" thickBot="1">
      <c r="A1472" s="29">
        <f t="shared" si="1546"/>
        <v>45897.20833333175</v>
      </c>
      <c r="B1472" s="30">
        <f t="shared" si="1501"/>
        <v>5000</v>
      </c>
      <c r="C1472" s="8">
        <v>25000</v>
      </c>
      <c r="D1472" s="187">
        <v>0</v>
      </c>
      <c r="E1472" s="187">
        <v>700</v>
      </c>
      <c r="F1472" s="187">
        <v>15000</v>
      </c>
      <c r="G1472" s="30">
        <f t="shared" si="1502"/>
        <v>2400</v>
      </c>
      <c r="H1472" s="8">
        <v>25000</v>
      </c>
      <c r="I1472" s="30">
        <f t="shared" si="1503"/>
        <v>5000</v>
      </c>
      <c r="J1472" s="187">
        <v>40000</v>
      </c>
      <c r="K1472" s="30">
        <f t="shared" si="1504"/>
        <v>5000</v>
      </c>
      <c r="L1472" s="187">
        <v>40000</v>
      </c>
      <c r="M1472" s="110">
        <v>9.5</v>
      </c>
      <c r="N1472" s="9">
        <f>VLOOKUP(DATE(YEAR(A1472),MONTH(A1472),DAY(A1472)),FY24_Temp[],3,FALSE)</f>
        <v>14.71</v>
      </c>
      <c r="O1472" s="110">
        <f t="shared" si="1490"/>
        <v>11.5</v>
      </c>
      <c r="P1472" s="110">
        <f t="shared" si="1491"/>
        <v>19.5</v>
      </c>
      <c r="Q1472" s="79">
        <f>VLOOKUP(VLOOKUP(DATEVALUE(TEXT(A1472,"m/d/yyyy")),FY24_Temp[],5,FALSE)&amp;TEXT(A1472,"-h"),TempDelta[],4,FALSE)</f>
        <v>2.5518571649278914</v>
      </c>
      <c r="R1472">
        <v>10</v>
      </c>
      <c r="S1472" s="112">
        <v>1500</v>
      </c>
      <c r="T1472" s="5">
        <f>VLOOKUP(TEXT(A1472,"yy-mm")&amp;"-"&amp;IF(AND(WEEKDAY(A1472)&gt;1,WEEKDAY(A1472)&lt;7),"Wkd",TEXT(A1472,"Ddd"))&amp;"-"&amp;TEXT(A1472,"hh"),LoadTable[],3,FALSE)*0.92</f>
        <v>363.06235999999996</v>
      </c>
      <c r="U1472" s="113">
        <f t="shared" si="1492"/>
        <v>36.306235999999998</v>
      </c>
      <c r="V1472">
        <f t="shared" ref="V1472:W1472" si="1558">V1448</f>
        <v>2.9</v>
      </c>
      <c r="W1472">
        <f t="shared" si="1558"/>
        <v>3.1</v>
      </c>
      <c r="X1472" s="9">
        <v>3.2310436</v>
      </c>
      <c r="Y1472" s="39"/>
    </row>
    <row r="1473" spans="1:25" ht="15" thickBot="1">
      <c r="A1473" s="29">
        <f t="shared" si="1546"/>
        <v>45897.249999998414</v>
      </c>
      <c r="B1473" s="30">
        <f t="shared" si="1501"/>
        <v>8000</v>
      </c>
      <c r="C1473" s="8">
        <v>25000</v>
      </c>
      <c r="D1473" s="187">
        <v>0</v>
      </c>
      <c r="E1473" s="187">
        <v>700</v>
      </c>
      <c r="F1473" s="187">
        <v>15000</v>
      </c>
      <c r="G1473" s="30">
        <f t="shared" si="1502"/>
        <v>2400</v>
      </c>
      <c r="H1473" s="8">
        <v>25000</v>
      </c>
      <c r="I1473" s="30">
        <f t="shared" si="1503"/>
        <v>8000</v>
      </c>
      <c r="J1473" s="187">
        <v>40000</v>
      </c>
      <c r="K1473" s="30">
        <f t="shared" si="1504"/>
        <v>8000</v>
      </c>
      <c r="L1473" s="187">
        <v>40000</v>
      </c>
      <c r="M1473" s="110">
        <v>9.5</v>
      </c>
      <c r="N1473" s="9">
        <f>VLOOKUP(DATE(YEAR(A1473),MONTH(A1473),DAY(A1473)),FY24_Temp[],3,FALSE)</f>
        <v>14.71</v>
      </c>
      <c r="O1473" s="110">
        <f t="shared" si="1490"/>
        <v>11.5</v>
      </c>
      <c r="P1473" s="110">
        <f t="shared" si="1491"/>
        <v>19.5</v>
      </c>
      <c r="Q1473" s="79">
        <f>VLOOKUP(VLOOKUP(DATEVALUE(TEXT(A1473,"m/d/yyyy")),FY24_Temp[],5,FALSE)&amp;TEXT(A1473,"-h"),TempDelta[],4,FALSE)</f>
        <v>2.5557143007005965</v>
      </c>
      <c r="R1473">
        <v>10</v>
      </c>
      <c r="S1473" s="112">
        <v>1500</v>
      </c>
      <c r="T1473" s="5">
        <f>VLOOKUP(TEXT(A1473,"yy-mm")&amp;"-"&amp;IF(AND(WEEKDAY(A1473)&gt;1,WEEKDAY(A1473)&lt;7),"Wkd",TEXT(A1473,"Ddd"))&amp;"-"&amp;TEXT(A1473,"hh"),LoadTable[],3,FALSE)*0.92</f>
        <v>363.06235999999996</v>
      </c>
      <c r="U1473" s="113">
        <f t="shared" si="1492"/>
        <v>36.306235999999998</v>
      </c>
      <c r="V1473">
        <f t="shared" ref="V1473:W1473" si="1559">V1449</f>
        <v>2.5</v>
      </c>
      <c r="W1473">
        <f t="shared" si="1559"/>
        <v>3.1</v>
      </c>
      <c r="X1473" s="9">
        <v>3.2937973</v>
      </c>
      <c r="Y1473" s="39"/>
    </row>
    <row r="1474" spans="1:25" ht="15" thickBot="1">
      <c r="A1474" s="29">
        <f t="shared" si="1546"/>
        <v>45897.291666665078</v>
      </c>
      <c r="B1474" s="30">
        <f t="shared" si="1501"/>
        <v>8000</v>
      </c>
      <c r="C1474" s="8">
        <v>25000</v>
      </c>
      <c r="D1474" s="187">
        <v>0</v>
      </c>
      <c r="E1474" s="187">
        <v>700</v>
      </c>
      <c r="F1474" s="187">
        <v>15000</v>
      </c>
      <c r="G1474" s="30">
        <f t="shared" si="1502"/>
        <v>2400</v>
      </c>
      <c r="H1474" s="8">
        <v>25000</v>
      </c>
      <c r="I1474" s="30">
        <f t="shared" si="1503"/>
        <v>8000</v>
      </c>
      <c r="J1474" s="187">
        <v>40000</v>
      </c>
      <c r="K1474" s="30">
        <f t="shared" si="1504"/>
        <v>8000</v>
      </c>
      <c r="L1474" s="187">
        <v>40000</v>
      </c>
      <c r="M1474" s="110">
        <v>9.5</v>
      </c>
      <c r="N1474" s="9">
        <f>VLOOKUP(DATE(YEAR(A1474),MONTH(A1474),DAY(A1474)),FY24_Temp[],3,FALSE)</f>
        <v>14.71</v>
      </c>
      <c r="O1474" s="110">
        <f t="shared" si="1490"/>
        <v>11.5</v>
      </c>
      <c r="P1474" s="110">
        <f t="shared" si="1491"/>
        <v>19.5</v>
      </c>
      <c r="Q1474" s="79">
        <f>VLOOKUP(VLOOKUP(DATEVALUE(TEXT(A1474,"m/d/yyyy")),FY24_Temp[],5,FALSE)&amp;TEXT(A1474,"-h"),TempDelta[],4,FALSE)</f>
        <v>2.5165714536394392</v>
      </c>
      <c r="R1474">
        <v>10</v>
      </c>
      <c r="S1474" s="112">
        <v>1500</v>
      </c>
      <c r="T1474" s="5">
        <f>VLOOKUP(TEXT(A1474,"yy-mm")&amp;"-"&amp;IF(AND(WEEKDAY(A1474)&gt;1,WEEKDAY(A1474)&lt;7),"Wkd",TEXT(A1474,"Ddd"))&amp;"-"&amp;TEXT(A1474,"hh"),LoadTable[],3,FALSE)*0.92</f>
        <v>352.2091200000001</v>
      </c>
      <c r="U1474" s="113">
        <f t="shared" si="1492"/>
        <v>35.220912000000013</v>
      </c>
      <c r="V1474">
        <f t="shared" ref="V1474:W1474" si="1560">V1450</f>
        <v>2.5</v>
      </c>
      <c r="W1474">
        <f t="shared" si="1560"/>
        <v>3.1</v>
      </c>
      <c r="X1474" s="9">
        <v>3.2920983000000001</v>
      </c>
      <c r="Y1474" s="39"/>
    </row>
    <row r="1475" spans="1:25" ht="15" thickBot="1">
      <c r="A1475" s="29">
        <f t="shared" si="1546"/>
        <v>45897.333333331742</v>
      </c>
      <c r="B1475" s="30">
        <f t="shared" si="1501"/>
        <v>8000</v>
      </c>
      <c r="C1475" s="8">
        <v>25000</v>
      </c>
      <c r="D1475" s="187">
        <v>0</v>
      </c>
      <c r="E1475" s="187">
        <v>700</v>
      </c>
      <c r="F1475" s="187">
        <v>15000</v>
      </c>
      <c r="G1475" s="30">
        <f t="shared" si="1502"/>
        <v>2400</v>
      </c>
      <c r="H1475" s="8">
        <v>25000</v>
      </c>
      <c r="I1475" s="30">
        <f t="shared" si="1503"/>
        <v>8000</v>
      </c>
      <c r="J1475" s="187">
        <v>40000</v>
      </c>
      <c r="K1475" s="30">
        <f t="shared" si="1504"/>
        <v>8000</v>
      </c>
      <c r="L1475" s="187">
        <v>40000</v>
      </c>
      <c r="M1475" s="110">
        <v>9.5</v>
      </c>
      <c r="N1475" s="9">
        <f>VLOOKUP(DATE(YEAR(A1475),MONTH(A1475),DAY(A1475)),FY24_Temp[],3,FALSE)</f>
        <v>14.71</v>
      </c>
      <c r="O1475" s="110">
        <f t="shared" si="1490"/>
        <v>11.5</v>
      </c>
      <c r="P1475" s="110">
        <f t="shared" si="1491"/>
        <v>19.5</v>
      </c>
      <c r="Q1475" s="79">
        <f>VLOOKUP(VLOOKUP(DATEVALUE(TEXT(A1475,"m/d/yyyy")),FY24_Temp[],5,FALSE)&amp;TEXT(A1475,"-h"),TempDelta[],4,FALSE)</f>
        <v>2.410571438925607</v>
      </c>
      <c r="R1475">
        <v>10</v>
      </c>
      <c r="S1475" s="112">
        <v>1500</v>
      </c>
      <c r="T1475" s="5">
        <f>VLOOKUP(TEXT(A1475,"yy-mm")&amp;"-"&amp;IF(AND(WEEKDAY(A1475)&gt;1,WEEKDAY(A1475)&lt;7),"Wkd",TEXT(A1475,"Ddd"))&amp;"-"&amp;TEXT(A1475,"hh"),LoadTable[],3,FALSE)*0.92</f>
        <v>352.2091200000001</v>
      </c>
      <c r="U1475" s="113">
        <f t="shared" si="1492"/>
        <v>35.220912000000013</v>
      </c>
      <c r="V1475">
        <f t="shared" ref="V1475:W1475" si="1561">V1451</f>
        <v>3.2</v>
      </c>
      <c r="W1475">
        <f t="shared" si="1561"/>
        <v>3</v>
      </c>
      <c r="X1475" s="9">
        <v>3.3316870000000001</v>
      </c>
      <c r="Y1475" s="39"/>
    </row>
    <row r="1476" spans="1:25" ht="15" thickBot="1">
      <c r="A1476" s="29">
        <f t="shared" si="1546"/>
        <v>45897.374999998407</v>
      </c>
      <c r="B1476" s="30">
        <f t="shared" si="1501"/>
        <v>8000</v>
      </c>
      <c r="C1476" s="8">
        <v>25000</v>
      </c>
      <c r="D1476" s="187">
        <v>0</v>
      </c>
      <c r="E1476" s="187">
        <v>700</v>
      </c>
      <c r="F1476" s="187">
        <v>15000</v>
      </c>
      <c r="G1476" s="30">
        <f t="shared" si="1502"/>
        <v>2400</v>
      </c>
      <c r="H1476" s="8">
        <v>25000</v>
      </c>
      <c r="I1476" s="30">
        <f t="shared" si="1503"/>
        <v>8000</v>
      </c>
      <c r="J1476" s="187">
        <v>40000</v>
      </c>
      <c r="K1476" s="30">
        <f t="shared" si="1504"/>
        <v>8000</v>
      </c>
      <c r="L1476" s="187">
        <v>40000</v>
      </c>
      <c r="M1476" s="110">
        <v>9.5</v>
      </c>
      <c r="N1476" s="9">
        <f>VLOOKUP(DATE(YEAR(A1476),MONTH(A1476),DAY(A1476)),FY24_Temp[],3,FALSE)</f>
        <v>14.71</v>
      </c>
      <c r="O1476" s="110">
        <f t="shared" ref="O1476:O1539" si="1562">15.5-4</f>
        <v>11.5</v>
      </c>
      <c r="P1476" s="110">
        <f t="shared" ref="P1476:P1539" si="1563">15.5+4</f>
        <v>19.5</v>
      </c>
      <c r="Q1476" s="79">
        <f>VLOOKUP(VLOOKUP(DATEVALUE(TEXT(A1476,"m/d/yyyy")),FY24_Temp[],5,FALSE)&amp;TEXT(A1476,"-h"),TempDelta[],4,FALSE)</f>
        <v>2.2332857336316789</v>
      </c>
      <c r="R1476">
        <v>10</v>
      </c>
      <c r="S1476" s="112">
        <v>1500</v>
      </c>
      <c r="T1476" s="5">
        <f>VLOOKUP(TEXT(A1476,"yy-mm")&amp;"-"&amp;IF(AND(WEEKDAY(A1476)&gt;1,WEEKDAY(A1476)&lt;7),"Wkd",TEXT(A1476,"Ddd"))&amp;"-"&amp;TEXT(A1476,"hh"),LoadTable[],3,FALSE)*0.92</f>
        <v>340.60949077857163</v>
      </c>
      <c r="U1476" s="113">
        <f t="shared" ref="U1476:U1539" si="1564">T1476/10</f>
        <v>34.06094907785716</v>
      </c>
      <c r="V1476">
        <f t="shared" ref="V1476:W1476" si="1565">V1452</f>
        <v>2.9</v>
      </c>
      <c r="W1476">
        <f t="shared" si="1565"/>
        <v>3</v>
      </c>
      <c r="X1476" s="9">
        <v>3.3968041000000002</v>
      </c>
      <c r="Y1476" s="39"/>
    </row>
    <row r="1477" spans="1:25" ht="15" thickBot="1">
      <c r="A1477" s="29">
        <f t="shared" si="1546"/>
        <v>45897.416666665071</v>
      </c>
      <c r="B1477" s="30">
        <f t="shared" si="1501"/>
        <v>8000</v>
      </c>
      <c r="C1477" s="8">
        <v>25000</v>
      </c>
      <c r="D1477" s="187">
        <v>0</v>
      </c>
      <c r="E1477" s="187">
        <v>700</v>
      </c>
      <c r="F1477" s="187">
        <v>15000</v>
      </c>
      <c r="G1477" s="30">
        <f t="shared" si="1502"/>
        <v>2400</v>
      </c>
      <c r="H1477" s="8">
        <v>25000</v>
      </c>
      <c r="I1477" s="30">
        <f t="shared" si="1503"/>
        <v>8000</v>
      </c>
      <c r="J1477" s="187">
        <v>40000</v>
      </c>
      <c r="K1477" s="30">
        <f t="shared" si="1504"/>
        <v>8000</v>
      </c>
      <c r="L1477" s="187">
        <v>40000</v>
      </c>
      <c r="M1477" s="110">
        <v>9.5</v>
      </c>
      <c r="N1477" s="9">
        <f>VLOOKUP(DATE(YEAR(A1477),MONTH(A1477),DAY(A1477)),FY24_Temp[],3,FALSE)</f>
        <v>14.71</v>
      </c>
      <c r="O1477" s="110">
        <f t="shared" si="1562"/>
        <v>11.5</v>
      </c>
      <c r="P1477" s="110">
        <f t="shared" si="1563"/>
        <v>19.5</v>
      </c>
      <c r="Q1477" s="79">
        <f>VLOOKUP(VLOOKUP(DATEVALUE(TEXT(A1477,"m/d/yyyy")),FY24_Temp[],5,FALSE)&amp;TEXT(A1477,"-h"),TempDelta[],4,FALSE)</f>
        <v>2.0304285798754012</v>
      </c>
      <c r="R1477">
        <v>10</v>
      </c>
      <c r="S1477" s="112">
        <v>1500</v>
      </c>
      <c r="T1477" s="5">
        <f>VLOOKUP(TEXT(A1477,"yy-mm")&amp;"-"&amp;IF(AND(WEEKDAY(A1477)&gt;1,WEEKDAY(A1477)&lt;7),"Wkd",TEXT(A1477,"Ddd"))&amp;"-"&amp;TEXT(A1477,"hh"),LoadTable[],3,FALSE)*0.92</f>
        <v>338.44093501457746</v>
      </c>
      <c r="U1477" s="113">
        <f t="shared" si="1564"/>
        <v>33.844093501457749</v>
      </c>
      <c r="V1477">
        <f t="shared" ref="V1477:W1477" si="1566">V1453</f>
        <v>2.9</v>
      </c>
      <c r="W1477">
        <f t="shared" si="1566"/>
        <v>3</v>
      </c>
      <c r="X1477" s="9">
        <v>3.3920881999999999</v>
      </c>
      <c r="Y1477" s="39"/>
    </row>
    <row r="1478" spans="1:25" ht="15" thickBot="1">
      <c r="A1478" s="29">
        <f t="shared" si="1546"/>
        <v>45897.458333331735</v>
      </c>
      <c r="B1478" s="30">
        <f t="shared" si="1501"/>
        <v>8000</v>
      </c>
      <c r="C1478" s="8">
        <v>25000</v>
      </c>
      <c r="D1478" s="187">
        <v>0</v>
      </c>
      <c r="E1478" s="187">
        <v>700</v>
      </c>
      <c r="F1478" s="187">
        <v>15000</v>
      </c>
      <c r="G1478" s="30">
        <f t="shared" si="1502"/>
        <v>2400</v>
      </c>
      <c r="H1478" s="8">
        <v>25000</v>
      </c>
      <c r="I1478" s="30">
        <f t="shared" si="1503"/>
        <v>8000</v>
      </c>
      <c r="J1478" s="187">
        <v>40000</v>
      </c>
      <c r="K1478" s="30">
        <f t="shared" si="1504"/>
        <v>8000</v>
      </c>
      <c r="L1478" s="187">
        <v>40000</v>
      </c>
      <c r="M1478" s="110">
        <v>9.5</v>
      </c>
      <c r="N1478" s="9">
        <f>VLOOKUP(DATE(YEAR(A1478),MONTH(A1478),DAY(A1478)),FY24_Temp[],3,FALSE)</f>
        <v>14.71</v>
      </c>
      <c r="O1478" s="110">
        <f t="shared" si="1562"/>
        <v>11.5</v>
      </c>
      <c r="P1478" s="110">
        <f t="shared" si="1563"/>
        <v>19.5</v>
      </c>
      <c r="Q1478" s="79">
        <f>VLOOKUP(VLOOKUP(DATEVALUE(TEXT(A1478,"m/d/yyyy")),FY24_Temp[],5,FALSE)&amp;TEXT(A1478,"-h"),TempDelta[],4,FALSE)</f>
        <v>1.7931428466524397</v>
      </c>
      <c r="R1478">
        <v>10</v>
      </c>
      <c r="S1478" s="112">
        <v>1500</v>
      </c>
      <c r="T1478" s="5">
        <f>VLOOKUP(TEXT(A1478,"yy-mm")&amp;"-"&amp;IF(AND(WEEKDAY(A1478)&gt;1,WEEKDAY(A1478)&lt;7),"Wkd",TEXT(A1478,"Ddd"))&amp;"-"&amp;TEXT(A1478,"hh"),LoadTable[],3,FALSE)*0.92</f>
        <v>338.44093501457746</v>
      </c>
      <c r="U1478" s="113">
        <f t="shared" si="1564"/>
        <v>33.844093501457749</v>
      </c>
      <c r="V1478">
        <f t="shared" ref="V1478:W1478" si="1567">V1454</f>
        <v>3.4</v>
      </c>
      <c r="W1478">
        <f t="shared" si="1567"/>
        <v>3</v>
      </c>
      <c r="X1478" s="9">
        <v>3.2269363000000002</v>
      </c>
      <c r="Y1478" s="39"/>
    </row>
    <row r="1479" spans="1:25" ht="15" thickBot="1">
      <c r="A1479" s="29">
        <f t="shared" si="1546"/>
        <v>45897.499999998399</v>
      </c>
      <c r="B1479" s="30">
        <f t="shared" si="1501"/>
        <v>8000</v>
      </c>
      <c r="C1479" s="8">
        <v>25000</v>
      </c>
      <c r="D1479" s="187">
        <v>0</v>
      </c>
      <c r="E1479" s="187">
        <v>700</v>
      </c>
      <c r="F1479" s="187">
        <v>15000</v>
      </c>
      <c r="G1479" s="30">
        <f t="shared" si="1502"/>
        <v>2400</v>
      </c>
      <c r="H1479" s="8">
        <v>25000</v>
      </c>
      <c r="I1479" s="30">
        <f t="shared" si="1503"/>
        <v>8000</v>
      </c>
      <c r="J1479" s="187">
        <v>40000</v>
      </c>
      <c r="K1479" s="30">
        <f t="shared" si="1504"/>
        <v>8000</v>
      </c>
      <c r="L1479" s="187">
        <v>40000</v>
      </c>
      <c r="M1479" s="110">
        <v>9.5</v>
      </c>
      <c r="N1479" s="9">
        <f>VLOOKUP(DATE(YEAR(A1479),MONTH(A1479),DAY(A1479)),FY24_Temp[],3,FALSE)</f>
        <v>14.71</v>
      </c>
      <c r="O1479" s="110">
        <f t="shared" si="1562"/>
        <v>11.5</v>
      </c>
      <c r="P1479" s="110">
        <f t="shared" si="1563"/>
        <v>19.5</v>
      </c>
      <c r="Q1479" s="79">
        <f>VLOOKUP(VLOOKUP(DATEVALUE(TEXT(A1479,"m/d/yyyy")),FY24_Temp[],5,FALSE)&amp;TEXT(A1479,"-h"),TempDelta[],4,FALSE)</f>
        <v>1.5527142797197615</v>
      </c>
      <c r="R1479">
        <v>10</v>
      </c>
      <c r="S1479" s="112">
        <v>1500</v>
      </c>
      <c r="T1479" s="5">
        <f>VLOOKUP(TEXT(A1479,"yy-mm")&amp;"-"&amp;IF(AND(WEEKDAY(A1479)&gt;1,WEEKDAY(A1479)&lt;7),"Wkd",TEXT(A1479,"Ddd"))&amp;"-"&amp;TEXT(A1479,"hh"),LoadTable[],3,FALSE)*0.92</f>
        <v>338.44093501457746</v>
      </c>
      <c r="U1479" s="113">
        <f t="shared" si="1564"/>
        <v>33.844093501457749</v>
      </c>
      <c r="V1479">
        <f t="shared" ref="V1479:W1479" si="1568">V1455</f>
        <v>3.1</v>
      </c>
      <c r="W1479">
        <f t="shared" si="1568"/>
        <v>2.9</v>
      </c>
      <c r="X1479" s="9">
        <v>3.0398765000000001</v>
      </c>
      <c r="Y1479" s="39"/>
    </row>
    <row r="1480" spans="1:25" ht="15" thickBot="1">
      <c r="A1480" s="29">
        <f t="shared" si="1546"/>
        <v>45897.541666665064</v>
      </c>
      <c r="B1480" s="30">
        <f t="shared" si="1501"/>
        <v>8000</v>
      </c>
      <c r="C1480" s="8">
        <v>25000</v>
      </c>
      <c r="D1480" s="187">
        <v>0</v>
      </c>
      <c r="E1480" s="187">
        <v>700</v>
      </c>
      <c r="F1480" s="187">
        <v>15000</v>
      </c>
      <c r="G1480" s="30">
        <f t="shared" si="1502"/>
        <v>2400</v>
      </c>
      <c r="H1480" s="8">
        <v>25000</v>
      </c>
      <c r="I1480" s="30">
        <f t="shared" si="1503"/>
        <v>8000</v>
      </c>
      <c r="J1480" s="187">
        <v>40000</v>
      </c>
      <c r="K1480" s="30">
        <f t="shared" si="1504"/>
        <v>8000</v>
      </c>
      <c r="L1480" s="187">
        <v>40000</v>
      </c>
      <c r="M1480" s="110">
        <v>9.5</v>
      </c>
      <c r="N1480" s="9">
        <f>VLOOKUP(DATE(YEAR(A1480),MONTH(A1480),DAY(A1480)),FY24_Temp[],3,FALSE)</f>
        <v>14.71</v>
      </c>
      <c r="O1480" s="110">
        <f t="shared" si="1562"/>
        <v>11.5</v>
      </c>
      <c r="P1480" s="110">
        <f t="shared" si="1563"/>
        <v>19.5</v>
      </c>
      <c r="Q1480" s="79">
        <f>VLOOKUP(VLOOKUP(DATEVALUE(TEXT(A1480,"m/d/yyyy")),FY24_Temp[],5,FALSE)&amp;TEXT(A1480,"-h"),TempDelta[],4,FALSE)</f>
        <v>1.3120000192097254</v>
      </c>
      <c r="R1480">
        <v>10</v>
      </c>
      <c r="S1480" s="112">
        <v>1500</v>
      </c>
      <c r="T1480" s="5">
        <f>VLOOKUP(TEXT(A1480,"yy-mm")&amp;"-"&amp;IF(AND(WEEKDAY(A1480)&gt;1,WEEKDAY(A1480)&lt;7),"Wkd",TEXT(A1480,"Ddd"))&amp;"-"&amp;TEXT(A1480,"hh"),LoadTable[],3,FALSE)*0.92</f>
        <v>389.90980000000025</v>
      </c>
      <c r="U1480" s="113">
        <f t="shared" si="1564"/>
        <v>38.990980000000022</v>
      </c>
      <c r="V1480">
        <f t="shared" ref="V1480:W1480" si="1569">V1456</f>
        <v>3.2</v>
      </c>
      <c r="W1480">
        <f t="shared" si="1569"/>
        <v>2.9</v>
      </c>
      <c r="X1480" s="9">
        <v>2.8682544000000001</v>
      </c>
      <c r="Y1480" s="39"/>
    </row>
    <row r="1481" spans="1:25" ht="15" thickBot="1">
      <c r="A1481" s="29">
        <f t="shared" si="1546"/>
        <v>45897.583333331728</v>
      </c>
      <c r="B1481" s="30">
        <f t="shared" si="1501"/>
        <v>8000</v>
      </c>
      <c r="C1481" s="8">
        <v>25000</v>
      </c>
      <c r="D1481" s="187">
        <v>0</v>
      </c>
      <c r="E1481" s="187">
        <v>700</v>
      </c>
      <c r="F1481" s="187">
        <v>15000</v>
      </c>
      <c r="G1481" s="30">
        <f t="shared" si="1502"/>
        <v>2400</v>
      </c>
      <c r="H1481" s="8">
        <v>25000</v>
      </c>
      <c r="I1481" s="30">
        <f t="shared" si="1503"/>
        <v>8000</v>
      </c>
      <c r="J1481" s="187">
        <v>40000</v>
      </c>
      <c r="K1481" s="30">
        <f t="shared" si="1504"/>
        <v>8000</v>
      </c>
      <c r="L1481" s="187">
        <v>40000</v>
      </c>
      <c r="M1481" s="110">
        <v>9.5</v>
      </c>
      <c r="N1481" s="9">
        <f>VLOOKUP(DATE(YEAR(A1481),MONTH(A1481),DAY(A1481)),FY24_Temp[],3,FALSE)</f>
        <v>14.71</v>
      </c>
      <c r="O1481" s="110">
        <f t="shared" si="1562"/>
        <v>11.5</v>
      </c>
      <c r="P1481" s="110">
        <f t="shared" si="1563"/>
        <v>19.5</v>
      </c>
      <c r="Q1481" s="79">
        <f>VLOOKUP(VLOOKUP(DATEVALUE(TEXT(A1481,"m/d/yyyy")),FY24_Temp[],5,FALSE)&amp;TEXT(A1481,"-h"),TempDelta[],4,FALSE)</f>
        <v>0.87128572378839764</v>
      </c>
      <c r="R1481">
        <v>10</v>
      </c>
      <c r="S1481" s="112">
        <v>1500</v>
      </c>
      <c r="T1481" s="5">
        <f>VLOOKUP(TEXT(A1481,"yy-mm")&amp;"-"&amp;IF(AND(WEEKDAY(A1481)&gt;1,WEEKDAY(A1481)&lt;7),"Wkd",TEXT(A1481,"Ddd"))&amp;"-"&amp;TEXT(A1481,"hh"),LoadTable[],3,FALSE)*0.92</f>
        <v>625.53652000000022</v>
      </c>
      <c r="U1481" s="113">
        <f t="shared" si="1564"/>
        <v>62.553652000000021</v>
      </c>
      <c r="V1481">
        <f t="shared" ref="V1481:W1481" si="1570">V1457</f>
        <v>3.5</v>
      </c>
      <c r="W1481">
        <f t="shared" si="1570"/>
        <v>2.9</v>
      </c>
      <c r="X1481" s="9">
        <v>2.9373007000000002</v>
      </c>
      <c r="Y1481" s="39"/>
    </row>
    <row r="1482" spans="1:25" ht="15" thickBot="1">
      <c r="A1482" s="29">
        <f t="shared" si="1546"/>
        <v>45897.624999998392</v>
      </c>
      <c r="B1482" s="30">
        <f t="shared" si="1501"/>
        <v>8000</v>
      </c>
      <c r="C1482" s="8">
        <v>25000</v>
      </c>
      <c r="D1482" s="187">
        <v>0</v>
      </c>
      <c r="E1482" s="187">
        <v>700</v>
      </c>
      <c r="F1482" s="187">
        <v>15000</v>
      </c>
      <c r="G1482" s="30">
        <f t="shared" si="1502"/>
        <v>2400</v>
      </c>
      <c r="H1482" s="8">
        <v>25000</v>
      </c>
      <c r="I1482" s="30">
        <f t="shared" si="1503"/>
        <v>8000</v>
      </c>
      <c r="J1482" s="187">
        <v>40000</v>
      </c>
      <c r="K1482" s="30">
        <f t="shared" si="1504"/>
        <v>8000</v>
      </c>
      <c r="L1482" s="187">
        <v>40000</v>
      </c>
      <c r="M1482" s="110">
        <v>9.5</v>
      </c>
      <c r="N1482" s="9">
        <f>VLOOKUP(DATE(YEAR(A1482),MONTH(A1482),DAY(A1482)),FY24_Temp[],3,FALSE)</f>
        <v>14.71</v>
      </c>
      <c r="O1482" s="110">
        <f t="shared" si="1562"/>
        <v>11.5</v>
      </c>
      <c r="P1482" s="110">
        <f t="shared" si="1563"/>
        <v>19.5</v>
      </c>
      <c r="Q1482" s="79">
        <f>VLOOKUP(VLOOKUP(DATEVALUE(TEXT(A1482,"m/d/yyyy")),FY24_Temp[],5,FALSE)&amp;TEXT(A1482,"-h"),TempDelta[],4,FALSE)</f>
        <v>0.66957143161978039</v>
      </c>
      <c r="R1482">
        <v>10</v>
      </c>
      <c r="S1482" s="112">
        <v>1500</v>
      </c>
      <c r="T1482" s="5">
        <f>VLOOKUP(TEXT(A1482,"yy-mm")&amp;"-"&amp;IF(AND(WEEKDAY(A1482)&gt;1,WEEKDAY(A1482)&lt;7),"Wkd",TEXT(A1482,"Ddd"))&amp;"-"&amp;TEXT(A1482,"hh"),LoadTable[],3,FALSE)*0.92</f>
        <v>699.79524000000038</v>
      </c>
      <c r="U1482" s="113">
        <f t="shared" si="1564"/>
        <v>69.97952400000004</v>
      </c>
      <c r="V1482">
        <f t="shared" ref="V1482:W1482" si="1571">V1458</f>
        <v>3.2</v>
      </c>
      <c r="W1482">
        <f t="shared" si="1571"/>
        <v>2.9</v>
      </c>
      <c r="X1482" s="9">
        <v>3.3027215000000001</v>
      </c>
      <c r="Y1482" s="39"/>
    </row>
    <row r="1483" spans="1:25" ht="15" thickBot="1">
      <c r="A1483" s="29">
        <f t="shared" si="1546"/>
        <v>45897.666666665056</v>
      </c>
      <c r="B1483" s="30">
        <f t="shared" si="1501"/>
        <v>8000</v>
      </c>
      <c r="C1483" s="8">
        <v>25000</v>
      </c>
      <c r="D1483" s="187">
        <v>0</v>
      </c>
      <c r="E1483" s="187">
        <v>700</v>
      </c>
      <c r="F1483" s="187">
        <v>15000</v>
      </c>
      <c r="G1483" s="30">
        <f t="shared" si="1502"/>
        <v>2400</v>
      </c>
      <c r="H1483" s="8">
        <v>25000</v>
      </c>
      <c r="I1483" s="30">
        <f t="shared" si="1503"/>
        <v>8000</v>
      </c>
      <c r="J1483" s="187">
        <v>40000</v>
      </c>
      <c r="K1483" s="30">
        <f t="shared" si="1504"/>
        <v>8000</v>
      </c>
      <c r="L1483" s="187">
        <v>40000</v>
      </c>
      <c r="M1483" s="110">
        <v>9.5</v>
      </c>
      <c r="N1483" s="9">
        <f>VLOOKUP(DATE(YEAR(A1483),MONTH(A1483),DAY(A1483)),FY24_Temp[],3,FALSE)</f>
        <v>14.71</v>
      </c>
      <c r="O1483" s="110">
        <f t="shared" si="1562"/>
        <v>11.5</v>
      </c>
      <c r="P1483" s="110">
        <f t="shared" si="1563"/>
        <v>19.5</v>
      </c>
      <c r="Q1483" s="79">
        <f>VLOOKUP(VLOOKUP(DATEVALUE(TEXT(A1483,"m/d/yyyy")),FY24_Temp[],5,FALSE)&amp;TEXT(A1483,"-h"),TempDelta[],4,FALSE)</f>
        <v>0.5316428627286639</v>
      </c>
      <c r="R1483">
        <v>10</v>
      </c>
      <c r="S1483" s="112">
        <v>1500</v>
      </c>
      <c r="T1483" s="5">
        <f>VLOOKUP(TEXT(A1483,"yy-mm")&amp;"-"&amp;IF(AND(WEEKDAY(A1483)&gt;1,WEEKDAY(A1483)&lt;7),"Wkd",TEXT(A1483,"Ddd"))&amp;"-"&amp;TEXT(A1483,"hh"),LoadTable[],3,FALSE)*0.92</f>
        <v>786.27137399656624</v>
      </c>
      <c r="U1483" s="113">
        <f t="shared" si="1564"/>
        <v>78.627137399656618</v>
      </c>
      <c r="V1483">
        <f t="shared" ref="V1483:W1483" si="1572">V1459</f>
        <v>3.5</v>
      </c>
      <c r="W1483">
        <f t="shared" si="1572"/>
        <v>3</v>
      </c>
      <c r="X1483" s="9">
        <v>3.1862178000000001</v>
      </c>
      <c r="Y1483" s="39"/>
    </row>
    <row r="1484" spans="1:25" ht="15" thickBot="1">
      <c r="A1484" s="29">
        <f t="shared" si="1546"/>
        <v>45897.70833333172</v>
      </c>
      <c r="B1484" s="30">
        <f t="shared" ref="B1484:B1547" si="1573">B1460</f>
        <v>8000</v>
      </c>
      <c r="C1484" s="8">
        <v>25000</v>
      </c>
      <c r="D1484" s="187">
        <v>0</v>
      </c>
      <c r="E1484" s="187">
        <v>700</v>
      </c>
      <c r="F1484" s="187">
        <v>15000</v>
      </c>
      <c r="G1484" s="30">
        <f t="shared" ref="G1484:G1547" si="1574">G1460</f>
        <v>2400</v>
      </c>
      <c r="H1484" s="8">
        <v>25000</v>
      </c>
      <c r="I1484" s="30">
        <f t="shared" ref="I1484:I1547" si="1575">I1460</f>
        <v>8000</v>
      </c>
      <c r="J1484" s="187">
        <v>40000</v>
      </c>
      <c r="K1484" s="30">
        <f t="shared" ref="K1484:K1547" si="1576">K1460</f>
        <v>8000</v>
      </c>
      <c r="L1484" s="187">
        <v>40000</v>
      </c>
      <c r="M1484" s="110">
        <v>9.5</v>
      </c>
      <c r="N1484" s="9">
        <f>VLOOKUP(DATE(YEAR(A1484),MONTH(A1484),DAY(A1484)),FY24_Temp[],3,FALSE)</f>
        <v>14.71</v>
      </c>
      <c r="O1484" s="110">
        <f t="shared" si="1562"/>
        <v>11.5</v>
      </c>
      <c r="P1484" s="110">
        <f t="shared" si="1563"/>
        <v>19.5</v>
      </c>
      <c r="Q1484" s="79">
        <f>VLOOKUP(VLOOKUP(DATEVALUE(TEXT(A1484,"m/d/yyyy")),FY24_Temp[],5,FALSE)&amp;TEXT(A1484,"-h"),TempDelta[],4,FALSE)</f>
        <v>0.55664285378796718</v>
      </c>
      <c r="R1484">
        <v>10</v>
      </c>
      <c r="S1484" s="112">
        <v>1500</v>
      </c>
      <c r="T1484" s="5">
        <f>VLOOKUP(TEXT(A1484,"yy-mm")&amp;"-"&amp;IF(AND(WEEKDAY(A1484)&gt;1,WEEKDAY(A1484)&lt;7),"Wkd",TEXT(A1484,"Ddd"))&amp;"-"&amp;TEXT(A1484,"hh"),LoadTable[],3,FALSE)*0.92</f>
        <v>786.27137399656624</v>
      </c>
      <c r="U1484" s="113">
        <f t="shared" si="1564"/>
        <v>78.627137399656618</v>
      </c>
      <c r="V1484">
        <f t="shared" ref="V1484:W1484" si="1577">V1460</f>
        <v>3.6</v>
      </c>
      <c r="W1484">
        <f t="shared" si="1577"/>
        <v>3</v>
      </c>
      <c r="X1484" s="9">
        <v>3.1233795</v>
      </c>
      <c r="Y1484" s="39"/>
    </row>
    <row r="1485" spans="1:25" ht="15" thickBot="1">
      <c r="A1485" s="29">
        <f t="shared" si="1546"/>
        <v>45897.749999998385</v>
      </c>
      <c r="B1485" s="30">
        <f t="shared" si="1573"/>
        <v>5000</v>
      </c>
      <c r="C1485" s="8">
        <v>25000</v>
      </c>
      <c r="D1485" s="187">
        <v>0</v>
      </c>
      <c r="E1485" s="187">
        <v>700</v>
      </c>
      <c r="F1485" s="187">
        <v>15000</v>
      </c>
      <c r="G1485" s="30">
        <f t="shared" si="1574"/>
        <v>2400</v>
      </c>
      <c r="H1485" s="8">
        <v>25000</v>
      </c>
      <c r="I1485" s="30">
        <f t="shared" si="1575"/>
        <v>5000</v>
      </c>
      <c r="J1485" s="187">
        <v>40000</v>
      </c>
      <c r="K1485" s="30">
        <f t="shared" si="1576"/>
        <v>5000</v>
      </c>
      <c r="L1485" s="187">
        <v>40000</v>
      </c>
      <c r="M1485" s="110">
        <v>9.5</v>
      </c>
      <c r="N1485" s="9">
        <f>VLOOKUP(DATE(YEAR(A1485),MONTH(A1485),DAY(A1485)),FY24_Temp[],3,FALSE)</f>
        <v>14.71</v>
      </c>
      <c r="O1485" s="110">
        <f t="shared" si="1562"/>
        <v>11.5</v>
      </c>
      <c r="P1485" s="110">
        <f t="shared" si="1563"/>
        <v>19.5</v>
      </c>
      <c r="Q1485" s="79">
        <f>VLOOKUP(VLOOKUP(DATEVALUE(TEXT(A1485,"m/d/yyyy")),FY24_Temp[],5,FALSE)&amp;TEXT(A1485,"-h"),TempDelta[],4,FALSE)</f>
        <v>0.75757142049925663</v>
      </c>
      <c r="R1485">
        <v>10</v>
      </c>
      <c r="S1485" s="112">
        <v>1500</v>
      </c>
      <c r="T1485" s="5">
        <f>VLOOKUP(TEXT(A1485,"yy-mm")&amp;"-"&amp;IF(AND(WEEKDAY(A1485)&gt;1,WEEKDAY(A1485)&lt;7),"Wkd",TEXT(A1485,"Ddd"))&amp;"-"&amp;TEXT(A1485,"hh"),LoadTable[],3,FALSE)*0.92</f>
        <v>786.27137399656647</v>
      </c>
      <c r="U1485" s="113">
        <f t="shared" si="1564"/>
        <v>78.627137399656647</v>
      </c>
      <c r="V1485">
        <f t="shared" ref="V1485:W1485" si="1578">V1461</f>
        <v>2.9</v>
      </c>
      <c r="W1485">
        <f t="shared" si="1578"/>
        <v>3</v>
      </c>
      <c r="X1485" s="9">
        <v>3.1158755</v>
      </c>
      <c r="Y1485" s="39"/>
    </row>
    <row r="1486" spans="1:25" ht="15" thickBot="1">
      <c r="A1486" s="29">
        <f t="shared" si="1546"/>
        <v>45897.791666665049</v>
      </c>
      <c r="B1486" s="30">
        <f t="shared" si="1573"/>
        <v>5000</v>
      </c>
      <c r="C1486" s="8">
        <v>25000</v>
      </c>
      <c r="D1486" s="187">
        <v>0</v>
      </c>
      <c r="E1486" s="187">
        <v>700</v>
      </c>
      <c r="F1486" s="187">
        <v>15000</v>
      </c>
      <c r="G1486" s="30">
        <f t="shared" si="1574"/>
        <v>2400</v>
      </c>
      <c r="H1486" s="8">
        <v>25000</v>
      </c>
      <c r="I1486" s="30">
        <f t="shared" si="1575"/>
        <v>5000</v>
      </c>
      <c r="J1486" s="187">
        <v>40000</v>
      </c>
      <c r="K1486" s="30">
        <f t="shared" si="1576"/>
        <v>5000</v>
      </c>
      <c r="L1486" s="187">
        <v>40000</v>
      </c>
      <c r="M1486" s="110">
        <v>9.5</v>
      </c>
      <c r="N1486" s="9">
        <f>VLOOKUP(DATE(YEAR(A1486),MONTH(A1486),DAY(A1486)),FY24_Temp[],3,FALSE)</f>
        <v>14.71</v>
      </c>
      <c r="O1486" s="110">
        <f t="shared" si="1562"/>
        <v>11.5</v>
      </c>
      <c r="P1486" s="110">
        <f t="shared" si="1563"/>
        <v>19.5</v>
      </c>
      <c r="Q1486" s="79">
        <f>VLOOKUP(VLOOKUP(DATEVALUE(TEXT(A1486,"m/d/yyyy")),FY24_Temp[],5,FALSE)&amp;TEXT(A1486,"-h"),TempDelta[],4,FALSE)</f>
        <v>1.0640714168548584</v>
      </c>
      <c r="R1486">
        <v>10</v>
      </c>
      <c r="S1486" s="112">
        <v>1500</v>
      </c>
      <c r="T1486" s="5">
        <f>VLOOKUP(TEXT(A1486,"yy-mm")&amp;"-"&amp;IF(AND(WEEKDAY(A1486)&gt;1,WEEKDAY(A1486)&lt;7),"Wkd",TEXT(A1486,"Ddd"))&amp;"-"&amp;TEXT(A1486,"hh"),LoadTable[],3,FALSE)*0.92</f>
        <v>786.27137399656647</v>
      </c>
      <c r="U1486" s="113">
        <f t="shared" si="1564"/>
        <v>78.627137399656647</v>
      </c>
      <c r="V1486">
        <f t="shared" ref="V1486:W1486" si="1579">V1462</f>
        <v>3</v>
      </c>
      <c r="W1486">
        <f t="shared" si="1579"/>
        <v>3</v>
      </c>
      <c r="X1486" s="9">
        <v>3.0776401</v>
      </c>
      <c r="Y1486" s="39"/>
    </row>
    <row r="1487" spans="1:25" ht="15" thickBot="1">
      <c r="A1487" s="29">
        <f t="shared" si="1546"/>
        <v>45897.833333331713</v>
      </c>
      <c r="B1487" s="30">
        <f t="shared" si="1573"/>
        <v>5000</v>
      </c>
      <c r="C1487" s="8">
        <v>25000</v>
      </c>
      <c r="D1487" s="187">
        <v>0</v>
      </c>
      <c r="E1487" s="187">
        <v>700</v>
      </c>
      <c r="F1487" s="187">
        <v>15000</v>
      </c>
      <c r="G1487" s="30">
        <f t="shared" si="1574"/>
        <v>2400</v>
      </c>
      <c r="H1487" s="8">
        <v>25000</v>
      </c>
      <c r="I1487" s="30">
        <f t="shared" si="1575"/>
        <v>5000</v>
      </c>
      <c r="J1487" s="187">
        <v>40000</v>
      </c>
      <c r="K1487" s="30">
        <f t="shared" si="1576"/>
        <v>5000</v>
      </c>
      <c r="L1487" s="187">
        <v>40000</v>
      </c>
      <c r="M1487" s="110">
        <v>9.5</v>
      </c>
      <c r="N1487" s="9">
        <f>VLOOKUP(DATE(YEAR(A1487),MONTH(A1487),DAY(A1487)),FY24_Temp[],3,FALSE)</f>
        <v>14.71</v>
      </c>
      <c r="O1487" s="110">
        <f t="shared" si="1562"/>
        <v>11.5</v>
      </c>
      <c r="P1487" s="110">
        <f t="shared" si="1563"/>
        <v>19.5</v>
      </c>
      <c r="Q1487" s="79">
        <f>VLOOKUP(VLOOKUP(DATEVALUE(TEXT(A1487,"m/d/yyyy")),FY24_Temp[],5,FALSE)&amp;TEXT(A1487,"-h"),TempDelta[],4,FALSE)</f>
        <v>1.4742142728396825</v>
      </c>
      <c r="R1487">
        <v>10</v>
      </c>
      <c r="S1487" s="112">
        <v>1500</v>
      </c>
      <c r="T1487" s="5">
        <f>VLOOKUP(TEXT(A1487,"yy-mm")&amp;"-"&amp;IF(AND(WEEKDAY(A1487)&gt;1,WEEKDAY(A1487)&lt;7),"Wkd",TEXT(A1487,"Ddd"))&amp;"-"&amp;TEXT(A1487,"hh"),LoadTable[],3,FALSE)*0.92</f>
        <v>786.27137399656647</v>
      </c>
      <c r="U1487" s="113">
        <f t="shared" si="1564"/>
        <v>78.627137399656647</v>
      </c>
      <c r="V1487">
        <f t="shared" ref="V1487:W1487" si="1580">V1463</f>
        <v>2.8</v>
      </c>
      <c r="W1487">
        <f t="shared" si="1580"/>
        <v>3.1</v>
      </c>
      <c r="X1487" s="9">
        <v>3.042357</v>
      </c>
      <c r="Y1487" s="39"/>
    </row>
    <row r="1488" spans="1:25" ht="15" thickBot="1">
      <c r="A1488" s="29">
        <f t="shared" si="1546"/>
        <v>45897.874999998377</v>
      </c>
      <c r="B1488" s="30">
        <f t="shared" si="1573"/>
        <v>5000</v>
      </c>
      <c r="C1488" s="8">
        <v>25000</v>
      </c>
      <c r="D1488" s="187">
        <v>0</v>
      </c>
      <c r="E1488" s="187">
        <v>700</v>
      </c>
      <c r="F1488" s="187">
        <v>15000</v>
      </c>
      <c r="G1488" s="30">
        <f t="shared" si="1574"/>
        <v>2400</v>
      </c>
      <c r="H1488" s="8">
        <v>25000</v>
      </c>
      <c r="I1488" s="30">
        <f t="shared" si="1575"/>
        <v>5000</v>
      </c>
      <c r="J1488" s="187">
        <v>40000</v>
      </c>
      <c r="K1488" s="30">
        <f t="shared" si="1576"/>
        <v>5000</v>
      </c>
      <c r="L1488" s="187">
        <v>40000</v>
      </c>
      <c r="M1488" s="110">
        <v>9.5</v>
      </c>
      <c r="N1488" s="9">
        <f>VLOOKUP(DATE(YEAR(A1488),MONTH(A1488),DAY(A1488)),FY24_Temp[],3,FALSE)</f>
        <v>14.71</v>
      </c>
      <c r="O1488" s="110">
        <f t="shared" si="1562"/>
        <v>11.5</v>
      </c>
      <c r="P1488" s="110">
        <f t="shared" si="1563"/>
        <v>19.5</v>
      </c>
      <c r="Q1488" s="79">
        <f>VLOOKUP(VLOOKUP(DATEVALUE(TEXT(A1488,"m/d/yyyy")),FY24_Temp[],5,FALSE)&amp;TEXT(A1488,"-h"),TempDelta[],4,FALSE)</f>
        <v>1.7937857168061393</v>
      </c>
      <c r="R1488">
        <v>10</v>
      </c>
      <c r="S1488" s="112">
        <v>1500</v>
      </c>
      <c r="T1488" s="5">
        <f>VLOOKUP(TEXT(A1488,"yy-mm")&amp;"-"&amp;IF(AND(WEEKDAY(A1488)&gt;1,WEEKDAY(A1488)&lt;7),"Wkd",TEXT(A1488,"Ddd"))&amp;"-"&amp;TEXT(A1488,"hh"),LoadTable[],3,FALSE)*0.92</f>
        <v>784.39716226323299</v>
      </c>
      <c r="U1488" s="113">
        <f t="shared" si="1564"/>
        <v>78.439716226323299</v>
      </c>
      <c r="V1488">
        <f t="shared" ref="V1488:W1488" si="1581">V1464</f>
        <v>3.5</v>
      </c>
      <c r="W1488">
        <f t="shared" si="1581"/>
        <v>3.1</v>
      </c>
      <c r="X1488" s="9">
        <v>3.0061418999999998</v>
      </c>
      <c r="Y1488" s="39"/>
    </row>
    <row r="1489" spans="1:25" ht="15" thickBot="1">
      <c r="A1489" s="29">
        <f t="shared" si="1546"/>
        <v>45897.916666665042</v>
      </c>
      <c r="B1489" s="30">
        <f t="shared" si="1573"/>
        <v>5000</v>
      </c>
      <c r="C1489" s="8">
        <v>25000</v>
      </c>
      <c r="D1489" s="187">
        <v>0</v>
      </c>
      <c r="E1489" s="187">
        <v>700</v>
      </c>
      <c r="F1489" s="187">
        <v>15000</v>
      </c>
      <c r="G1489" s="30">
        <f t="shared" si="1574"/>
        <v>2400</v>
      </c>
      <c r="H1489" s="8">
        <v>25000</v>
      </c>
      <c r="I1489" s="30">
        <f t="shared" si="1575"/>
        <v>5000</v>
      </c>
      <c r="J1489" s="187">
        <v>40000</v>
      </c>
      <c r="K1489" s="30">
        <f t="shared" si="1576"/>
        <v>5000</v>
      </c>
      <c r="L1489" s="187">
        <v>40000</v>
      </c>
      <c r="M1489" s="110">
        <v>9.5</v>
      </c>
      <c r="N1489" s="9">
        <f>VLOOKUP(DATE(YEAR(A1489),MONTH(A1489),DAY(A1489)),FY24_Temp[],3,FALSE)</f>
        <v>14.71</v>
      </c>
      <c r="O1489" s="110">
        <f t="shared" si="1562"/>
        <v>11.5</v>
      </c>
      <c r="P1489" s="110">
        <f t="shared" si="1563"/>
        <v>19.5</v>
      </c>
      <c r="Q1489" s="79">
        <f>VLOOKUP(VLOOKUP(DATEVALUE(TEXT(A1489,"m/d/yyyy")),FY24_Temp[],5,FALSE)&amp;TEXT(A1489,"-h"),TempDelta[],4,FALSE)</f>
        <v>2.1767142840794156</v>
      </c>
      <c r="R1489">
        <v>10</v>
      </c>
      <c r="S1489" s="112">
        <v>1500</v>
      </c>
      <c r="T1489" s="5">
        <f>VLOOKUP(TEXT(A1489,"yy-mm")&amp;"-"&amp;IF(AND(WEEKDAY(A1489)&gt;1,WEEKDAY(A1489)&lt;7),"Wkd",TEXT(A1489,"Ddd"))&amp;"-"&amp;TEXT(A1489,"hh"),LoadTable[],3,FALSE)*0.92</f>
        <v>600.06900003761973</v>
      </c>
      <c r="U1489" s="113">
        <f t="shared" si="1564"/>
        <v>60.00690000376197</v>
      </c>
      <c r="V1489">
        <f t="shared" ref="V1489:W1489" si="1582">V1465</f>
        <v>2.9</v>
      </c>
      <c r="W1489">
        <f t="shared" si="1582"/>
        <v>3.1</v>
      </c>
      <c r="X1489" s="9">
        <v>2.9584494000000001</v>
      </c>
      <c r="Y1489" s="39"/>
    </row>
    <row r="1490" spans="1:25" ht="15" thickBot="1">
      <c r="A1490" s="29">
        <f t="shared" si="1546"/>
        <v>45897.958333331706</v>
      </c>
      <c r="B1490" s="30">
        <f t="shared" si="1573"/>
        <v>5000</v>
      </c>
      <c r="C1490" s="41">
        <v>25000</v>
      </c>
      <c r="D1490" s="187">
        <v>0</v>
      </c>
      <c r="E1490" s="187">
        <v>700</v>
      </c>
      <c r="F1490" s="187">
        <v>15000</v>
      </c>
      <c r="G1490" s="30">
        <f t="shared" si="1574"/>
        <v>2400</v>
      </c>
      <c r="H1490" s="8">
        <v>25000</v>
      </c>
      <c r="I1490" s="30">
        <f t="shared" si="1575"/>
        <v>5000</v>
      </c>
      <c r="J1490" s="187">
        <v>40000</v>
      </c>
      <c r="K1490" s="30">
        <f t="shared" si="1576"/>
        <v>5000</v>
      </c>
      <c r="L1490" s="187">
        <v>40000</v>
      </c>
      <c r="M1490" s="110">
        <v>9.5</v>
      </c>
      <c r="N1490" s="9">
        <f>VLOOKUP(DATE(YEAR(A1490),MONTH(A1490),DAY(A1490)),FY24_Temp[],3,FALSE)</f>
        <v>14.71</v>
      </c>
      <c r="O1490" s="110">
        <f t="shared" si="1562"/>
        <v>11.5</v>
      </c>
      <c r="P1490" s="110">
        <f t="shared" si="1563"/>
        <v>19.5</v>
      </c>
      <c r="Q1490" s="79">
        <f>VLOOKUP(VLOOKUP(DATEVALUE(TEXT(A1490,"m/d/yyyy")),FY24_Temp[],5,FALSE)&amp;TEXT(A1490,"-h"),TempDelta[],4,FALSE)</f>
        <v>2.3071428367069791</v>
      </c>
      <c r="R1490">
        <v>10</v>
      </c>
      <c r="S1490" s="112">
        <v>1500</v>
      </c>
      <c r="T1490" s="5">
        <f>VLOOKUP(TEXT(A1490,"yy-mm")&amp;"-"&amp;IF(AND(WEEKDAY(A1490)&gt;1,WEEKDAY(A1490)&lt;7),"Wkd",TEXT(A1490,"Ddd"))&amp;"-"&amp;TEXT(A1490,"hh"),LoadTable[],3,FALSE)*0.92</f>
        <v>486.44539999999989</v>
      </c>
      <c r="U1490" s="113">
        <f t="shared" si="1564"/>
        <v>48.644539999999992</v>
      </c>
      <c r="V1490">
        <f t="shared" ref="V1490:W1490" si="1583">V1466</f>
        <v>3.6</v>
      </c>
      <c r="W1490">
        <f t="shared" si="1583"/>
        <v>3.1</v>
      </c>
      <c r="X1490" s="9">
        <v>2.8546882</v>
      </c>
      <c r="Y1490" s="39"/>
    </row>
    <row r="1491" spans="1:25" ht="15" thickBot="1">
      <c r="A1491" s="115">
        <f t="shared" si="1546"/>
        <v>45897.99999999837</v>
      </c>
      <c r="B1491" s="116">
        <f t="shared" si="1573"/>
        <v>5000</v>
      </c>
      <c r="C1491" s="8">
        <v>25000</v>
      </c>
      <c r="D1491" s="187">
        <v>0</v>
      </c>
      <c r="E1491" s="187">
        <v>700</v>
      </c>
      <c r="F1491" s="187">
        <v>15000</v>
      </c>
      <c r="G1491" s="109">
        <f t="shared" si="1574"/>
        <v>2400</v>
      </c>
      <c r="H1491" s="109">
        <v>25000</v>
      </c>
      <c r="I1491" s="30">
        <f t="shared" si="1575"/>
        <v>5000</v>
      </c>
      <c r="J1491" s="187">
        <v>40000</v>
      </c>
      <c r="K1491" s="109">
        <f t="shared" si="1576"/>
        <v>5000</v>
      </c>
      <c r="L1491" s="187">
        <v>40000</v>
      </c>
      <c r="M1491" s="110">
        <v>9.5</v>
      </c>
      <c r="N1491" s="110">
        <f>VLOOKUP(DATE(YEAR(A1491),MONTH(A1491),DAY(A1491)),FY24_Temp[],3,FALSE)</f>
        <v>14.71</v>
      </c>
      <c r="O1491" s="110">
        <f t="shared" si="1562"/>
        <v>11.5</v>
      </c>
      <c r="P1491" s="110">
        <f t="shared" si="1563"/>
        <v>19.5</v>
      </c>
      <c r="Q1491" s="111">
        <f>VLOOKUP(VLOOKUP(DATEVALUE(TEXT(A1491,"m/d/yyyy")),FY24_Temp[],5,FALSE)&amp;TEXT(A1491,"-h"),TempDelta[],4,FALSE)</f>
        <v>2.2534285613468716</v>
      </c>
      <c r="R1491" s="112">
        <v>10</v>
      </c>
      <c r="S1491" s="112">
        <v>1500</v>
      </c>
      <c r="T1491" s="99">
        <f>VLOOKUP(TEXT(A1491,"yy-mm")&amp;"-"&amp;IF(AND(WEEKDAY(A1491)&gt;1,WEEKDAY(A1491)&lt;7),"Wkd",TEXT(A1491,"Ddd"))&amp;"-"&amp;TEXT(A1491,"hh"),LoadTable[],3,FALSE)*0.92</f>
        <v>372.20164</v>
      </c>
      <c r="U1491" s="113">
        <f t="shared" si="1564"/>
        <v>37.220163999999997</v>
      </c>
      <c r="V1491" s="112">
        <f t="shared" ref="V1491:W1491" si="1584">V1467</f>
        <v>3</v>
      </c>
      <c r="W1491" s="112">
        <f t="shared" si="1584"/>
        <v>3.2</v>
      </c>
      <c r="X1491" s="114">
        <v>2.7858486</v>
      </c>
      <c r="Y1491" s="39"/>
    </row>
    <row r="1492" spans="1:25" ht="15" thickBot="1">
      <c r="A1492" s="29">
        <f t="shared" si="1546"/>
        <v>45898.041666665034</v>
      </c>
      <c r="B1492" s="30">
        <f t="shared" si="1573"/>
        <v>5000</v>
      </c>
      <c r="C1492" s="42">
        <v>25000</v>
      </c>
      <c r="D1492" s="187">
        <v>0</v>
      </c>
      <c r="E1492" s="187">
        <v>700</v>
      </c>
      <c r="F1492" s="187">
        <v>15000</v>
      </c>
      <c r="G1492" s="30">
        <f t="shared" si="1574"/>
        <v>2400</v>
      </c>
      <c r="H1492" s="8">
        <v>25000</v>
      </c>
      <c r="I1492" s="30">
        <f t="shared" si="1575"/>
        <v>5000</v>
      </c>
      <c r="J1492" s="187">
        <v>40000</v>
      </c>
      <c r="K1492" s="30">
        <f t="shared" si="1576"/>
        <v>5000</v>
      </c>
      <c r="L1492" s="187">
        <v>40000</v>
      </c>
      <c r="M1492" s="110">
        <v>9.5</v>
      </c>
      <c r="N1492" s="9">
        <f>VLOOKUP(DATE(YEAR(A1492),MONTH(A1492),DAY(A1492)),FY24_Temp[],3,FALSE)</f>
        <v>14.71</v>
      </c>
      <c r="O1492" s="110">
        <f t="shared" si="1562"/>
        <v>11.5</v>
      </c>
      <c r="P1492" s="110">
        <f t="shared" si="1563"/>
        <v>19.5</v>
      </c>
      <c r="Q1492" s="79">
        <f>VLOOKUP(VLOOKUP(DATEVALUE(TEXT(A1492,"m/d/yyyy")),FY24_Temp[],5,FALSE)&amp;TEXT(A1492,"-h"),TempDelta[],4,FALSE)</f>
        <v>2.5014285700661794</v>
      </c>
      <c r="R1492">
        <v>10</v>
      </c>
      <c r="S1492" s="112">
        <v>1500</v>
      </c>
      <c r="T1492" s="5">
        <f>VLOOKUP(TEXT(A1492,"yy-mm")&amp;"-"&amp;IF(AND(WEEKDAY(A1492)&gt;1,WEEKDAY(A1492)&lt;7),"Wkd",TEXT(A1492,"Ddd"))&amp;"-"&amp;TEXT(A1492,"hh"),LoadTable[],3,FALSE)*0.92</f>
        <v>363.06235999999996</v>
      </c>
      <c r="U1492" s="113">
        <f t="shared" si="1564"/>
        <v>36.306235999999998</v>
      </c>
      <c r="V1492">
        <f t="shared" ref="V1492:W1492" si="1585">V1468</f>
        <v>2.6</v>
      </c>
      <c r="W1492">
        <f t="shared" si="1585"/>
        <v>3.2</v>
      </c>
      <c r="X1492" s="9">
        <v>2.7594883000000001</v>
      </c>
      <c r="Y1492" s="39"/>
    </row>
    <row r="1493" spans="1:25" ht="15" thickBot="1">
      <c r="A1493" s="29">
        <f t="shared" si="1546"/>
        <v>45898.083333331699</v>
      </c>
      <c r="B1493" s="30">
        <f t="shared" si="1573"/>
        <v>5000</v>
      </c>
      <c r="C1493" s="8">
        <v>25000</v>
      </c>
      <c r="D1493" s="187">
        <v>0</v>
      </c>
      <c r="E1493" s="187">
        <v>700</v>
      </c>
      <c r="F1493" s="187">
        <v>15000</v>
      </c>
      <c r="G1493" s="30">
        <f t="shared" si="1574"/>
        <v>2400</v>
      </c>
      <c r="H1493" s="8">
        <v>25000</v>
      </c>
      <c r="I1493" s="30">
        <f t="shared" si="1575"/>
        <v>5000</v>
      </c>
      <c r="J1493" s="187">
        <v>40000</v>
      </c>
      <c r="K1493" s="30">
        <f t="shared" si="1576"/>
        <v>5000</v>
      </c>
      <c r="L1493" s="187">
        <v>40000</v>
      </c>
      <c r="M1493" s="110">
        <v>9.5</v>
      </c>
      <c r="N1493" s="9">
        <f>VLOOKUP(DATE(YEAR(A1493),MONTH(A1493),DAY(A1493)),FY24_Temp[],3,FALSE)</f>
        <v>14.71</v>
      </c>
      <c r="O1493" s="110">
        <f t="shared" si="1562"/>
        <v>11.5</v>
      </c>
      <c r="P1493" s="110">
        <f t="shared" si="1563"/>
        <v>19.5</v>
      </c>
      <c r="Q1493" s="79">
        <f>VLOOKUP(VLOOKUP(DATEVALUE(TEXT(A1493,"m/d/yyyy")),FY24_Temp[],5,FALSE)&amp;TEXT(A1493,"-h"),TempDelta[],4,FALSE)</f>
        <v>2.5255714144025529</v>
      </c>
      <c r="R1493">
        <v>10</v>
      </c>
      <c r="S1493" s="112">
        <v>1500</v>
      </c>
      <c r="T1493" s="5">
        <f>VLOOKUP(TEXT(A1493,"yy-mm")&amp;"-"&amp;IF(AND(WEEKDAY(A1493)&gt;1,WEEKDAY(A1493)&lt;7),"Wkd",TEXT(A1493,"Ddd"))&amp;"-"&amp;TEXT(A1493,"hh"),LoadTable[],3,FALSE)*0.92</f>
        <v>363.06235999999996</v>
      </c>
      <c r="U1493" s="113">
        <f t="shared" si="1564"/>
        <v>36.306235999999998</v>
      </c>
      <c r="V1493">
        <f t="shared" ref="V1493:W1493" si="1586">V1469</f>
        <v>2.8</v>
      </c>
      <c r="W1493">
        <f t="shared" si="1586"/>
        <v>3.2</v>
      </c>
      <c r="X1493" s="9">
        <v>2.8025188000000001</v>
      </c>
      <c r="Y1493" s="39"/>
    </row>
    <row r="1494" spans="1:25" ht="15" thickBot="1">
      <c r="A1494" s="29">
        <f t="shared" si="1546"/>
        <v>45898.124999998363</v>
      </c>
      <c r="B1494" s="30">
        <f t="shared" si="1573"/>
        <v>5000</v>
      </c>
      <c r="C1494" s="8">
        <v>25000</v>
      </c>
      <c r="D1494" s="187">
        <v>0</v>
      </c>
      <c r="E1494" s="187">
        <v>700</v>
      </c>
      <c r="F1494" s="187">
        <v>15000</v>
      </c>
      <c r="G1494" s="30">
        <f t="shared" si="1574"/>
        <v>2400</v>
      </c>
      <c r="H1494" s="8">
        <v>25000</v>
      </c>
      <c r="I1494" s="30">
        <f t="shared" si="1575"/>
        <v>5000</v>
      </c>
      <c r="J1494" s="187">
        <v>40000</v>
      </c>
      <c r="K1494" s="30">
        <f t="shared" si="1576"/>
        <v>5000</v>
      </c>
      <c r="L1494" s="187">
        <v>40000</v>
      </c>
      <c r="M1494" s="110">
        <v>9.5</v>
      </c>
      <c r="N1494" s="9">
        <f>VLOOKUP(DATE(YEAR(A1494),MONTH(A1494),DAY(A1494)),FY24_Temp[],3,FALSE)</f>
        <v>14.71</v>
      </c>
      <c r="O1494" s="110">
        <f t="shared" si="1562"/>
        <v>11.5</v>
      </c>
      <c r="P1494" s="110">
        <f t="shared" si="1563"/>
        <v>19.5</v>
      </c>
      <c r="Q1494" s="79">
        <f>VLOOKUP(VLOOKUP(DATEVALUE(TEXT(A1494,"m/d/yyyy")),FY24_Temp[],5,FALSE)&amp;TEXT(A1494,"-h"),TempDelta[],4,FALSE)</f>
        <v>2.5220000403267995</v>
      </c>
      <c r="R1494">
        <v>10</v>
      </c>
      <c r="S1494" s="112">
        <v>1500</v>
      </c>
      <c r="T1494" s="5">
        <f>VLOOKUP(TEXT(A1494,"yy-mm")&amp;"-"&amp;IF(AND(WEEKDAY(A1494)&gt;1,WEEKDAY(A1494)&lt;7),"Wkd",TEXT(A1494,"Ddd"))&amp;"-"&amp;TEXT(A1494,"hh"),LoadTable[],3,FALSE)*0.92</f>
        <v>363.06235999999996</v>
      </c>
      <c r="U1494" s="113">
        <f t="shared" si="1564"/>
        <v>36.306235999999998</v>
      </c>
      <c r="V1494">
        <f t="shared" ref="V1494:W1494" si="1587">V1470</f>
        <v>2.7</v>
      </c>
      <c r="W1494">
        <f t="shared" si="1587"/>
        <v>3.2</v>
      </c>
      <c r="X1494" s="9">
        <v>2.8368134</v>
      </c>
      <c r="Y1494" s="39"/>
    </row>
    <row r="1495" spans="1:25" ht="15" thickBot="1">
      <c r="A1495" s="29">
        <f t="shared" si="1546"/>
        <v>45898.166666665027</v>
      </c>
      <c r="B1495" s="30">
        <f t="shared" si="1573"/>
        <v>5000</v>
      </c>
      <c r="C1495" s="8">
        <v>25000</v>
      </c>
      <c r="D1495" s="187">
        <v>0</v>
      </c>
      <c r="E1495" s="187">
        <v>700</v>
      </c>
      <c r="F1495" s="187">
        <v>15000</v>
      </c>
      <c r="G1495" s="30">
        <f t="shared" si="1574"/>
        <v>2400</v>
      </c>
      <c r="H1495" s="8">
        <v>25000</v>
      </c>
      <c r="I1495" s="30">
        <f t="shared" si="1575"/>
        <v>5000</v>
      </c>
      <c r="J1495" s="187">
        <v>40000</v>
      </c>
      <c r="K1495" s="30">
        <f t="shared" si="1576"/>
        <v>5000</v>
      </c>
      <c r="L1495" s="187">
        <v>40000</v>
      </c>
      <c r="M1495" s="110">
        <v>9.5</v>
      </c>
      <c r="N1495" s="9">
        <f>VLOOKUP(DATE(YEAR(A1495),MONTH(A1495),DAY(A1495)),FY24_Temp[],3,FALSE)</f>
        <v>14.71</v>
      </c>
      <c r="O1495" s="110">
        <f t="shared" si="1562"/>
        <v>11.5</v>
      </c>
      <c r="P1495" s="110">
        <f t="shared" si="1563"/>
        <v>19.5</v>
      </c>
      <c r="Q1495" s="79">
        <f>VLOOKUP(VLOOKUP(DATEVALUE(TEXT(A1495,"m/d/yyyy")),FY24_Temp[],5,FALSE)&amp;TEXT(A1495,"-h"),TempDelta[],4,FALSE)</f>
        <v>2.5181428364345004</v>
      </c>
      <c r="R1495">
        <v>10</v>
      </c>
      <c r="S1495" s="112">
        <v>1500</v>
      </c>
      <c r="T1495" s="5">
        <f>VLOOKUP(TEXT(A1495,"yy-mm")&amp;"-"&amp;IF(AND(WEEKDAY(A1495)&gt;1,WEEKDAY(A1495)&lt;7),"Wkd",TEXT(A1495,"Ddd"))&amp;"-"&amp;TEXT(A1495,"hh"),LoadTable[],3,FALSE)*0.92</f>
        <v>363.06235999999996</v>
      </c>
      <c r="U1495" s="113">
        <f t="shared" si="1564"/>
        <v>36.306235999999998</v>
      </c>
      <c r="V1495">
        <f t="shared" ref="V1495:W1495" si="1588">V1471</f>
        <v>3</v>
      </c>
      <c r="W1495">
        <f t="shared" si="1588"/>
        <v>3.1</v>
      </c>
      <c r="X1495" s="9">
        <v>2.8564436</v>
      </c>
      <c r="Y1495" s="39"/>
    </row>
    <row r="1496" spans="1:25" ht="15" thickBot="1">
      <c r="A1496" s="29">
        <f t="shared" si="1546"/>
        <v>45898.208333331691</v>
      </c>
      <c r="B1496" s="30">
        <f t="shared" si="1573"/>
        <v>5000</v>
      </c>
      <c r="C1496" s="8">
        <v>25000</v>
      </c>
      <c r="D1496" s="187">
        <v>0</v>
      </c>
      <c r="E1496" s="187">
        <v>700</v>
      </c>
      <c r="F1496" s="187">
        <v>15000</v>
      </c>
      <c r="G1496" s="30">
        <f t="shared" si="1574"/>
        <v>2400</v>
      </c>
      <c r="H1496" s="8">
        <v>25000</v>
      </c>
      <c r="I1496" s="30">
        <f t="shared" si="1575"/>
        <v>5000</v>
      </c>
      <c r="J1496" s="187">
        <v>40000</v>
      </c>
      <c r="K1496" s="30">
        <f t="shared" si="1576"/>
        <v>5000</v>
      </c>
      <c r="L1496" s="187">
        <v>40000</v>
      </c>
      <c r="M1496" s="110">
        <v>9.5</v>
      </c>
      <c r="N1496" s="9">
        <f>VLOOKUP(DATE(YEAR(A1496),MONTH(A1496),DAY(A1496)),FY24_Temp[],3,FALSE)</f>
        <v>14.71</v>
      </c>
      <c r="O1496" s="110">
        <f t="shared" si="1562"/>
        <v>11.5</v>
      </c>
      <c r="P1496" s="110">
        <f t="shared" si="1563"/>
        <v>19.5</v>
      </c>
      <c r="Q1496" s="79">
        <f>VLOOKUP(VLOOKUP(DATEVALUE(TEXT(A1496,"m/d/yyyy")),FY24_Temp[],5,FALSE)&amp;TEXT(A1496,"-h"),TempDelta[],4,FALSE)</f>
        <v>2.5518571649278914</v>
      </c>
      <c r="R1496">
        <v>10</v>
      </c>
      <c r="S1496" s="112">
        <v>1500</v>
      </c>
      <c r="T1496" s="5">
        <f>VLOOKUP(TEXT(A1496,"yy-mm")&amp;"-"&amp;IF(AND(WEEKDAY(A1496)&gt;1,WEEKDAY(A1496)&lt;7),"Wkd",TEXT(A1496,"Ddd"))&amp;"-"&amp;TEXT(A1496,"hh"),LoadTable[],3,FALSE)*0.92</f>
        <v>363.06235999999996</v>
      </c>
      <c r="U1496" s="113">
        <f t="shared" si="1564"/>
        <v>36.306235999999998</v>
      </c>
      <c r="V1496">
        <f t="shared" ref="V1496:W1496" si="1589">V1472</f>
        <v>2.9</v>
      </c>
      <c r="W1496">
        <f t="shared" si="1589"/>
        <v>3.1</v>
      </c>
      <c r="X1496" s="9">
        <v>2.9266219000000002</v>
      </c>
      <c r="Y1496" s="39"/>
    </row>
    <row r="1497" spans="1:25" ht="15" thickBot="1">
      <c r="A1497" s="29">
        <f t="shared" si="1546"/>
        <v>45898.249999998356</v>
      </c>
      <c r="B1497" s="30">
        <f t="shared" si="1573"/>
        <v>8000</v>
      </c>
      <c r="C1497" s="8">
        <v>25000</v>
      </c>
      <c r="D1497" s="187">
        <v>0</v>
      </c>
      <c r="E1497" s="187">
        <v>700</v>
      </c>
      <c r="F1497" s="187">
        <v>15000</v>
      </c>
      <c r="G1497" s="30">
        <f t="shared" si="1574"/>
        <v>2400</v>
      </c>
      <c r="H1497" s="8">
        <v>25000</v>
      </c>
      <c r="I1497" s="30">
        <f t="shared" si="1575"/>
        <v>8000</v>
      </c>
      <c r="J1497" s="187">
        <v>40000</v>
      </c>
      <c r="K1497" s="30">
        <f t="shared" si="1576"/>
        <v>8000</v>
      </c>
      <c r="L1497" s="187">
        <v>40000</v>
      </c>
      <c r="M1497" s="110">
        <v>9.5</v>
      </c>
      <c r="N1497" s="9">
        <f>VLOOKUP(DATE(YEAR(A1497),MONTH(A1497),DAY(A1497)),FY24_Temp[],3,FALSE)</f>
        <v>14.71</v>
      </c>
      <c r="O1497" s="110">
        <f t="shared" si="1562"/>
        <v>11.5</v>
      </c>
      <c r="P1497" s="110">
        <f t="shared" si="1563"/>
        <v>19.5</v>
      </c>
      <c r="Q1497" s="79">
        <f>VLOOKUP(VLOOKUP(DATEVALUE(TEXT(A1497,"m/d/yyyy")),FY24_Temp[],5,FALSE)&amp;TEXT(A1497,"-h"),TempDelta[],4,FALSE)</f>
        <v>2.5557143007005965</v>
      </c>
      <c r="R1497">
        <v>10</v>
      </c>
      <c r="S1497" s="112">
        <v>1500</v>
      </c>
      <c r="T1497" s="5">
        <f>VLOOKUP(TEXT(A1497,"yy-mm")&amp;"-"&amp;IF(AND(WEEKDAY(A1497)&gt;1,WEEKDAY(A1497)&lt;7),"Wkd",TEXT(A1497,"Ddd"))&amp;"-"&amp;TEXT(A1497,"hh"),LoadTable[],3,FALSE)*0.92</f>
        <v>363.06235999999996</v>
      </c>
      <c r="U1497" s="113">
        <f t="shared" si="1564"/>
        <v>36.306235999999998</v>
      </c>
      <c r="V1497">
        <f t="shared" ref="V1497:W1497" si="1590">V1473</f>
        <v>2.5</v>
      </c>
      <c r="W1497">
        <f t="shared" si="1590"/>
        <v>3.1</v>
      </c>
      <c r="X1497" s="9">
        <v>3.0427350999999998</v>
      </c>
      <c r="Y1497" s="39"/>
    </row>
    <row r="1498" spans="1:25" ht="15" thickBot="1">
      <c r="A1498" s="29">
        <f t="shared" si="1546"/>
        <v>45898.29166666502</v>
      </c>
      <c r="B1498" s="30">
        <f t="shared" si="1573"/>
        <v>8000</v>
      </c>
      <c r="C1498" s="8">
        <v>25000</v>
      </c>
      <c r="D1498" s="187">
        <v>0</v>
      </c>
      <c r="E1498" s="187">
        <v>700</v>
      </c>
      <c r="F1498" s="187">
        <v>15000</v>
      </c>
      <c r="G1498" s="30">
        <f t="shared" si="1574"/>
        <v>2400</v>
      </c>
      <c r="H1498" s="8">
        <v>25000</v>
      </c>
      <c r="I1498" s="30">
        <f t="shared" si="1575"/>
        <v>8000</v>
      </c>
      <c r="J1498" s="187">
        <v>40000</v>
      </c>
      <c r="K1498" s="30">
        <f t="shared" si="1576"/>
        <v>8000</v>
      </c>
      <c r="L1498" s="187">
        <v>40000</v>
      </c>
      <c r="M1498" s="110">
        <v>9.5</v>
      </c>
      <c r="N1498" s="9">
        <f>VLOOKUP(DATE(YEAR(A1498),MONTH(A1498),DAY(A1498)),FY24_Temp[],3,FALSE)</f>
        <v>14.71</v>
      </c>
      <c r="O1498" s="110">
        <f t="shared" si="1562"/>
        <v>11.5</v>
      </c>
      <c r="P1498" s="110">
        <f t="shared" si="1563"/>
        <v>19.5</v>
      </c>
      <c r="Q1498" s="79">
        <f>VLOOKUP(VLOOKUP(DATEVALUE(TEXT(A1498,"m/d/yyyy")),FY24_Temp[],5,FALSE)&amp;TEXT(A1498,"-h"),TempDelta[],4,FALSE)</f>
        <v>2.5165714536394392</v>
      </c>
      <c r="R1498">
        <v>10</v>
      </c>
      <c r="S1498" s="112">
        <v>1500</v>
      </c>
      <c r="T1498" s="5">
        <f>VLOOKUP(TEXT(A1498,"yy-mm")&amp;"-"&amp;IF(AND(WEEKDAY(A1498)&gt;1,WEEKDAY(A1498)&lt;7),"Wkd",TEXT(A1498,"Ddd"))&amp;"-"&amp;TEXT(A1498,"hh"),LoadTable[],3,FALSE)*0.92</f>
        <v>352.2091200000001</v>
      </c>
      <c r="U1498" s="113">
        <f t="shared" si="1564"/>
        <v>35.220912000000013</v>
      </c>
      <c r="V1498">
        <f t="shared" ref="V1498:W1498" si="1591">V1474</f>
        <v>2.5</v>
      </c>
      <c r="W1498">
        <f t="shared" si="1591"/>
        <v>3.1</v>
      </c>
      <c r="X1498" s="9">
        <v>3.1817145</v>
      </c>
      <c r="Y1498" s="39"/>
    </row>
    <row r="1499" spans="1:25" ht="15" thickBot="1">
      <c r="A1499" s="29">
        <f t="shared" si="1546"/>
        <v>45898.333333331684</v>
      </c>
      <c r="B1499" s="30">
        <f t="shared" si="1573"/>
        <v>8000</v>
      </c>
      <c r="C1499" s="8">
        <v>25000</v>
      </c>
      <c r="D1499" s="187">
        <v>0</v>
      </c>
      <c r="E1499" s="187">
        <v>700</v>
      </c>
      <c r="F1499" s="187">
        <v>15000</v>
      </c>
      <c r="G1499" s="30">
        <f t="shared" si="1574"/>
        <v>2400</v>
      </c>
      <c r="H1499" s="8">
        <v>25000</v>
      </c>
      <c r="I1499" s="30">
        <f t="shared" si="1575"/>
        <v>8000</v>
      </c>
      <c r="J1499" s="187">
        <v>40000</v>
      </c>
      <c r="K1499" s="30">
        <f t="shared" si="1576"/>
        <v>8000</v>
      </c>
      <c r="L1499" s="187">
        <v>40000</v>
      </c>
      <c r="M1499" s="110">
        <v>9.5</v>
      </c>
      <c r="N1499" s="9">
        <f>VLOOKUP(DATE(YEAR(A1499),MONTH(A1499),DAY(A1499)),FY24_Temp[],3,FALSE)</f>
        <v>14.71</v>
      </c>
      <c r="O1499" s="110">
        <f t="shared" si="1562"/>
        <v>11.5</v>
      </c>
      <c r="P1499" s="110">
        <f t="shared" si="1563"/>
        <v>19.5</v>
      </c>
      <c r="Q1499" s="79">
        <f>VLOOKUP(VLOOKUP(DATEVALUE(TEXT(A1499,"m/d/yyyy")),FY24_Temp[],5,FALSE)&amp;TEXT(A1499,"-h"),TempDelta[],4,FALSE)</f>
        <v>2.410571438925607</v>
      </c>
      <c r="R1499">
        <v>10</v>
      </c>
      <c r="S1499" s="112">
        <v>1500</v>
      </c>
      <c r="T1499" s="5">
        <f>VLOOKUP(TEXT(A1499,"yy-mm")&amp;"-"&amp;IF(AND(WEEKDAY(A1499)&gt;1,WEEKDAY(A1499)&lt;7),"Wkd",TEXT(A1499,"Ddd"))&amp;"-"&amp;TEXT(A1499,"hh"),LoadTable[],3,FALSE)*0.92</f>
        <v>352.2091200000001</v>
      </c>
      <c r="U1499" s="113">
        <f t="shared" si="1564"/>
        <v>35.220912000000013</v>
      </c>
      <c r="V1499">
        <f t="shared" ref="V1499:W1499" si="1592">V1475</f>
        <v>3.2</v>
      </c>
      <c r="W1499">
        <f t="shared" si="1592"/>
        <v>3</v>
      </c>
      <c r="X1499" s="9">
        <v>3.2290861999999998</v>
      </c>
      <c r="Y1499" s="39"/>
    </row>
    <row r="1500" spans="1:25" ht="15" thickBot="1">
      <c r="A1500" s="29">
        <f t="shared" si="1546"/>
        <v>45898.374999998348</v>
      </c>
      <c r="B1500" s="30">
        <f t="shared" si="1573"/>
        <v>8000</v>
      </c>
      <c r="C1500" s="8">
        <v>25000</v>
      </c>
      <c r="D1500" s="187">
        <v>0</v>
      </c>
      <c r="E1500" s="187">
        <v>700</v>
      </c>
      <c r="F1500" s="187">
        <v>15000</v>
      </c>
      <c r="G1500" s="30">
        <f t="shared" si="1574"/>
        <v>2400</v>
      </c>
      <c r="H1500" s="8">
        <v>25000</v>
      </c>
      <c r="I1500" s="30">
        <f t="shared" si="1575"/>
        <v>8000</v>
      </c>
      <c r="J1500" s="187">
        <v>40000</v>
      </c>
      <c r="K1500" s="30">
        <f t="shared" si="1576"/>
        <v>8000</v>
      </c>
      <c r="L1500" s="187">
        <v>40000</v>
      </c>
      <c r="M1500" s="110">
        <v>9.5</v>
      </c>
      <c r="N1500" s="9">
        <f>VLOOKUP(DATE(YEAR(A1500),MONTH(A1500),DAY(A1500)),FY24_Temp[],3,FALSE)</f>
        <v>14.71</v>
      </c>
      <c r="O1500" s="110">
        <f t="shared" si="1562"/>
        <v>11.5</v>
      </c>
      <c r="P1500" s="110">
        <f t="shared" si="1563"/>
        <v>19.5</v>
      </c>
      <c r="Q1500" s="79">
        <f>VLOOKUP(VLOOKUP(DATEVALUE(TEXT(A1500,"m/d/yyyy")),FY24_Temp[],5,FALSE)&amp;TEXT(A1500,"-h"),TempDelta[],4,FALSE)</f>
        <v>2.2332857336316789</v>
      </c>
      <c r="R1500">
        <v>10</v>
      </c>
      <c r="S1500" s="112">
        <v>1500</v>
      </c>
      <c r="T1500" s="5">
        <f>VLOOKUP(TEXT(A1500,"yy-mm")&amp;"-"&amp;IF(AND(WEEKDAY(A1500)&gt;1,WEEKDAY(A1500)&lt;7),"Wkd",TEXT(A1500,"Ddd"))&amp;"-"&amp;TEXT(A1500,"hh"),LoadTable[],3,FALSE)*0.92</f>
        <v>340.60949077857163</v>
      </c>
      <c r="U1500" s="113">
        <f t="shared" si="1564"/>
        <v>34.06094907785716</v>
      </c>
      <c r="V1500">
        <f t="shared" ref="V1500:W1500" si="1593">V1476</f>
        <v>2.9</v>
      </c>
      <c r="W1500">
        <f t="shared" si="1593"/>
        <v>3</v>
      </c>
      <c r="X1500" s="9">
        <v>3.2683263</v>
      </c>
      <c r="Y1500" s="39"/>
    </row>
    <row r="1501" spans="1:25" ht="15" thickBot="1">
      <c r="A1501" s="29">
        <f t="shared" si="1546"/>
        <v>45898.416666665013</v>
      </c>
      <c r="B1501" s="30">
        <f t="shared" si="1573"/>
        <v>8000</v>
      </c>
      <c r="C1501" s="8">
        <v>25000</v>
      </c>
      <c r="D1501" s="187">
        <v>0</v>
      </c>
      <c r="E1501" s="187">
        <v>700</v>
      </c>
      <c r="F1501" s="187">
        <v>15000</v>
      </c>
      <c r="G1501" s="30">
        <f t="shared" si="1574"/>
        <v>2400</v>
      </c>
      <c r="H1501" s="8">
        <v>25000</v>
      </c>
      <c r="I1501" s="30">
        <f t="shared" si="1575"/>
        <v>8000</v>
      </c>
      <c r="J1501" s="187">
        <v>40000</v>
      </c>
      <c r="K1501" s="30">
        <f t="shared" si="1576"/>
        <v>8000</v>
      </c>
      <c r="L1501" s="187">
        <v>40000</v>
      </c>
      <c r="M1501" s="110">
        <v>9.5</v>
      </c>
      <c r="N1501" s="9">
        <f>VLOOKUP(DATE(YEAR(A1501),MONTH(A1501),DAY(A1501)),FY24_Temp[],3,FALSE)</f>
        <v>14.71</v>
      </c>
      <c r="O1501" s="110">
        <f t="shared" si="1562"/>
        <v>11.5</v>
      </c>
      <c r="P1501" s="110">
        <f t="shared" si="1563"/>
        <v>19.5</v>
      </c>
      <c r="Q1501" s="79">
        <f>VLOOKUP(VLOOKUP(DATEVALUE(TEXT(A1501,"m/d/yyyy")),FY24_Temp[],5,FALSE)&amp;TEXT(A1501,"-h"),TempDelta[],4,FALSE)</f>
        <v>2.0304285798754012</v>
      </c>
      <c r="R1501">
        <v>10</v>
      </c>
      <c r="S1501" s="112">
        <v>1500</v>
      </c>
      <c r="T1501" s="5">
        <f>VLOOKUP(TEXT(A1501,"yy-mm")&amp;"-"&amp;IF(AND(WEEKDAY(A1501)&gt;1,WEEKDAY(A1501)&lt;7),"Wkd",TEXT(A1501,"Ddd"))&amp;"-"&amp;TEXT(A1501,"hh"),LoadTable[],3,FALSE)*0.92</f>
        <v>338.44093501457746</v>
      </c>
      <c r="U1501" s="113">
        <f t="shared" si="1564"/>
        <v>33.844093501457749</v>
      </c>
      <c r="V1501">
        <f t="shared" ref="V1501:W1501" si="1594">V1477</f>
        <v>2.9</v>
      </c>
      <c r="W1501">
        <f t="shared" si="1594"/>
        <v>3</v>
      </c>
      <c r="X1501" s="9">
        <v>3.3176291</v>
      </c>
      <c r="Y1501" s="39"/>
    </row>
    <row r="1502" spans="1:25" ht="15" thickBot="1">
      <c r="A1502" s="29">
        <f t="shared" si="1546"/>
        <v>45898.458333331677</v>
      </c>
      <c r="B1502" s="30">
        <f t="shared" si="1573"/>
        <v>8000</v>
      </c>
      <c r="C1502" s="8">
        <v>25000</v>
      </c>
      <c r="D1502" s="187">
        <v>0</v>
      </c>
      <c r="E1502" s="187">
        <v>700</v>
      </c>
      <c r="F1502" s="187">
        <v>15000</v>
      </c>
      <c r="G1502" s="30">
        <f t="shared" si="1574"/>
        <v>2400</v>
      </c>
      <c r="H1502" s="8">
        <v>25000</v>
      </c>
      <c r="I1502" s="30">
        <f t="shared" si="1575"/>
        <v>8000</v>
      </c>
      <c r="J1502" s="187">
        <v>40000</v>
      </c>
      <c r="K1502" s="30">
        <f t="shared" si="1576"/>
        <v>8000</v>
      </c>
      <c r="L1502" s="187">
        <v>40000</v>
      </c>
      <c r="M1502" s="110">
        <v>9.5</v>
      </c>
      <c r="N1502" s="9">
        <f>VLOOKUP(DATE(YEAR(A1502),MONTH(A1502),DAY(A1502)),FY24_Temp[],3,FALSE)</f>
        <v>14.71</v>
      </c>
      <c r="O1502" s="110">
        <f t="shared" si="1562"/>
        <v>11.5</v>
      </c>
      <c r="P1502" s="110">
        <f t="shared" si="1563"/>
        <v>19.5</v>
      </c>
      <c r="Q1502" s="79">
        <f>VLOOKUP(VLOOKUP(DATEVALUE(TEXT(A1502,"m/d/yyyy")),FY24_Temp[],5,FALSE)&amp;TEXT(A1502,"-h"),TempDelta[],4,FALSE)</f>
        <v>1.7931428466524397</v>
      </c>
      <c r="R1502">
        <v>10</v>
      </c>
      <c r="S1502" s="112">
        <v>1500</v>
      </c>
      <c r="T1502" s="5">
        <f>VLOOKUP(TEXT(A1502,"yy-mm")&amp;"-"&amp;IF(AND(WEEKDAY(A1502)&gt;1,WEEKDAY(A1502)&lt;7),"Wkd",TEXT(A1502,"Ddd"))&amp;"-"&amp;TEXT(A1502,"hh"),LoadTable[],3,FALSE)*0.92</f>
        <v>338.44093501457746</v>
      </c>
      <c r="U1502" s="113">
        <f t="shared" si="1564"/>
        <v>33.844093501457749</v>
      </c>
      <c r="V1502">
        <f t="shared" ref="V1502:W1502" si="1595">V1478</f>
        <v>3.4</v>
      </c>
      <c r="W1502">
        <f t="shared" si="1595"/>
        <v>3</v>
      </c>
      <c r="X1502" s="9">
        <v>3.2525515999999999</v>
      </c>
      <c r="Y1502" s="39"/>
    </row>
    <row r="1503" spans="1:25" ht="15" thickBot="1">
      <c r="A1503" s="29">
        <f t="shared" si="1546"/>
        <v>45898.499999998341</v>
      </c>
      <c r="B1503" s="30">
        <f t="shared" si="1573"/>
        <v>8000</v>
      </c>
      <c r="C1503" s="8">
        <v>25000</v>
      </c>
      <c r="D1503" s="187">
        <v>0</v>
      </c>
      <c r="E1503" s="187">
        <v>700</v>
      </c>
      <c r="F1503" s="187">
        <v>15000</v>
      </c>
      <c r="G1503" s="30">
        <f t="shared" si="1574"/>
        <v>2400</v>
      </c>
      <c r="H1503" s="8">
        <v>25000</v>
      </c>
      <c r="I1503" s="30">
        <f t="shared" si="1575"/>
        <v>8000</v>
      </c>
      <c r="J1503" s="187">
        <v>40000</v>
      </c>
      <c r="K1503" s="30">
        <f t="shared" si="1576"/>
        <v>8000</v>
      </c>
      <c r="L1503" s="187">
        <v>40000</v>
      </c>
      <c r="M1503" s="110">
        <v>9.5</v>
      </c>
      <c r="N1503" s="9">
        <f>VLOOKUP(DATE(YEAR(A1503),MONTH(A1503),DAY(A1503)),FY24_Temp[],3,FALSE)</f>
        <v>14.71</v>
      </c>
      <c r="O1503" s="110">
        <f t="shared" si="1562"/>
        <v>11.5</v>
      </c>
      <c r="P1503" s="110">
        <f t="shared" si="1563"/>
        <v>19.5</v>
      </c>
      <c r="Q1503" s="79">
        <f>VLOOKUP(VLOOKUP(DATEVALUE(TEXT(A1503,"m/d/yyyy")),FY24_Temp[],5,FALSE)&amp;TEXT(A1503,"-h"),TempDelta[],4,FALSE)</f>
        <v>1.5527142797197615</v>
      </c>
      <c r="R1503">
        <v>10</v>
      </c>
      <c r="S1503" s="112">
        <v>1500</v>
      </c>
      <c r="T1503" s="5">
        <f>VLOOKUP(TEXT(A1503,"yy-mm")&amp;"-"&amp;IF(AND(WEEKDAY(A1503)&gt;1,WEEKDAY(A1503)&lt;7),"Wkd",TEXT(A1503,"Ddd"))&amp;"-"&amp;TEXT(A1503,"hh"),LoadTable[],3,FALSE)*0.92</f>
        <v>338.44093501457746</v>
      </c>
      <c r="U1503" s="113">
        <f t="shared" si="1564"/>
        <v>33.844093501457749</v>
      </c>
      <c r="V1503">
        <f t="shared" ref="V1503:W1503" si="1596">V1479</f>
        <v>3.1</v>
      </c>
      <c r="W1503">
        <f t="shared" si="1596"/>
        <v>2.9</v>
      </c>
      <c r="X1503" s="9">
        <v>3.1124597000000001</v>
      </c>
      <c r="Y1503" s="39"/>
    </row>
    <row r="1504" spans="1:25" ht="15" thickBot="1">
      <c r="A1504" s="29">
        <f t="shared" si="1546"/>
        <v>45898.541666665005</v>
      </c>
      <c r="B1504" s="30">
        <f t="shared" si="1573"/>
        <v>8000</v>
      </c>
      <c r="C1504" s="8">
        <v>25000</v>
      </c>
      <c r="D1504" s="187">
        <v>0</v>
      </c>
      <c r="E1504" s="187">
        <v>700</v>
      </c>
      <c r="F1504" s="187">
        <v>15000</v>
      </c>
      <c r="G1504" s="30">
        <f t="shared" si="1574"/>
        <v>2400</v>
      </c>
      <c r="H1504" s="8">
        <v>25000</v>
      </c>
      <c r="I1504" s="30">
        <f t="shared" si="1575"/>
        <v>8000</v>
      </c>
      <c r="J1504" s="187">
        <v>40000</v>
      </c>
      <c r="K1504" s="30">
        <f t="shared" si="1576"/>
        <v>8000</v>
      </c>
      <c r="L1504" s="187">
        <v>40000</v>
      </c>
      <c r="M1504" s="110">
        <v>9.5</v>
      </c>
      <c r="N1504" s="9">
        <f>VLOOKUP(DATE(YEAR(A1504),MONTH(A1504),DAY(A1504)),FY24_Temp[],3,FALSE)</f>
        <v>14.71</v>
      </c>
      <c r="O1504" s="110">
        <f t="shared" si="1562"/>
        <v>11.5</v>
      </c>
      <c r="P1504" s="110">
        <f t="shared" si="1563"/>
        <v>19.5</v>
      </c>
      <c r="Q1504" s="79">
        <f>VLOOKUP(VLOOKUP(DATEVALUE(TEXT(A1504,"m/d/yyyy")),FY24_Temp[],5,FALSE)&amp;TEXT(A1504,"-h"),TempDelta[],4,FALSE)</f>
        <v>1.3120000192097254</v>
      </c>
      <c r="R1504">
        <v>10</v>
      </c>
      <c r="S1504" s="112">
        <v>1500</v>
      </c>
      <c r="T1504" s="5">
        <f>VLOOKUP(TEXT(A1504,"yy-mm")&amp;"-"&amp;IF(AND(WEEKDAY(A1504)&gt;1,WEEKDAY(A1504)&lt;7),"Wkd",TEXT(A1504,"Ddd"))&amp;"-"&amp;TEXT(A1504,"hh"),LoadTable[],3,FALSE)*0.92</f>
        <v>389.90980000000025</v>
      </c>
      <c r="U1504" s="113">
        <f t="shared" si="1564"/>
        <v>38.990980000000022</v>
      </c>
      <c r="V1504">
        <f t="shared" ref="V1504:W1504" si="1597">V1480</f>
        <v>3.2</v>
      </c>
      <c r="W1504">
        <f t="shared" si="1597"/>
        <v>2.9</v>
      </c>
      <c r="X1504" s="9">
        <v>2.9478933999999999</v>
      </c>
      <c r="Y1504" s="39"/>
    </row>
    <row r="1505" spans="1:25" ht="15" thickBot="1">
      <c r="A1505" s="29">
        <f t="shared" si="1546"/>
        <v>45898.58333333167</v>
      </c>
      <c r="B1505" s="30">
        <f t="shared" si="1573"/>
        <v>8000</v>
      </c>
      <c r="C1505" s="8">
        <v>25000</v>
      </c>
      <c r="D1505" s="187">
        <v>0</v>
      </c>
      <c r="E1505" s="187">
        <v>700</v>
      </c>
      <c r="F1505" s="187">
        <v>15000</v>
      </c>
      <c r="G1505" s="30">
        <f t="shared" si="1574"/>
        <v>2400</v>
      </c>
      <c r="H1505" s="8">
        <v>25000</v>
      </c>
      <c r="I1505" s="30">
        <f t="shared" si="1575"/>
        <v>8000</v>
      </c>
      <c r="J1505" s="187">
        <v>40000</v>
      </c>
      <c r="K1505" s="30">
        <f t="shared" si="1576"/>
        <v>8000</v>
      </c>
      <c r="L1505" s="187">
        <v>40000</v>
      </c>
      <c r="M1505" s="110">
        <v>9.5</v>
      </c>
      <c r="N1505" s="9">
        <f>VLOOKUP(DATE(YEAR(A1505),MONTH(A1505),DAY(A1505)),FY24_Temp[],3,FALSE)</f>
        <v>14.71</v>
      </c>
      <c r="O1505" s="110">
        <f t="shared" si="1562"/>
        <v>11.5</v>
      </c>
      <c r="P1505" s="110">
        <f t="shared" si="1563"/>
        <v>19.5</v>
      </c>
      <c r="Q1505" s="79">
        <f>VLOOKUP(VLOOKUP(DATEVALUE(TEXT(A1505,"m/d/yyyy")),FY24_Temp[],5,FALSE)&amp;TEXT(A1505,"-h"),TempDelta[],4,FALSE)</f>
        <v>0.87128572378839764</v>
      </c>
      <c r="R1505">
        <v>10</v>
      </c>
      <c r="S1505" s="112">
        <v>1500</v>
      </c>
      <c r="T1505" s="5">
        <f>VLOOKUP(TEXT(A1505,"yy-mm")&amp;"-"&amp;IF(AND(WEEKDAY(A1505)&gt;1,WEEKDAY(A1505)&lt;7),"Wkd",TEXT(A1505,"Ddd"))&amp;"-"&amp;TEXT(A1505,"hh"),LoadTable[],3,FALSE)*0.92</f>
        <v>625.53652000000022</v>
      </c>
      <c r="U1505" s="113">
        <f t="shared" si="1564"/>
        <v>62.553652000000021</v>
      </c>
      <c r="V1505">
        <f t="shared" ref="V1505:W1505" si="1598">V1481</f>
        <v>3.5</v>
      </c>
      <c r="W1505">
        <f t="shared" si="1598"/>
        <v>2.9</v>
      </c>
      <c r="X1505" s="9">
        <v>2.9156176999999999</v>
      </c>
      <c r="Y1505" s="39"/>
    </row>
    <row r="1506" spans="1:25" ht="15" thickBot="1">
      <c r="A1506" s="29">
        <f t="shared" si="1546"/>
        <v>45898.624999998334</v>
      </c>
      <c r="B1506" s="30">
        <f t="shared" si="1573"/>
        <v>8000</v>
      </c>
      <c r="C1506" s="8">
        <v>25000</v>
      </c>
      <c r="D1506" s="187">
        <v>0</v>
      </c>
      <c r="E1506" s="187">
        <v>700</v>
      </c>
      <c r="F1506" s="187">
        <v>15000</v>
      </c>
      <c r="G1506" s="30">
        <f t="shared" si="1574"/>
        <v>2400</v>
      </c>
      <c r="H1506" s="8">
        <v>25000</v>
      </c>
      <c r="I1506" s="30">
        <f t="shared" si="1575"/>
        <v>8000</v>
      </c>
      <c r="J1506" s="187">
        <v>40000</v>
      </c>
      <c r="K1506" s="30">
        <f t="shared" si="1576"/>
        <v>8000</v>
      </c>
      <c r="L1506" s="187">
        <v>40000</v>
      </c>
      <c r="M1506" s="110">
        <v>9.5</v>
      </c>
      <c r="N1506" s="9">
        <f>VLOOKUP(DATE(YEAR(A1506),MONTH(A1506),DAY(A1506)),FY24_Temp[],3,FALSE)</f>
        <v>14.71</v>
      </c>
      <c r="O1506" s="110">
        <f t="shared" si="1562"/>
        <v>11.5</v>
      </c>
      <c r="P1506" s="110">
        <f t="shared" si="1563"/>
        <v>19.5</v>
      </c>
      <c r="Q1506" s="79">
        <f>VLOOKUP(VLOOKUP(DATEVALUE(TEXT(A1506,"m/d/yyyy")),FY24_Temp[],5,FALSE)&amp;TEXT(A1506,"-h"),TempDelta[],4,FALSE)</f>
        <v>0.66957143161978039</v>
      </c>
      <c r="R1506">
        <v>10</v>
      </c>
      <c r="S1506" s="112">
        <v>1500</v>
      </c>
      <c r="T1506" s="5">
        <f>VLOOKUP(TEXT(A1506,"yy-mm")&amp;"-"&amp;IF(AND(WEEKDAY(A1506)&gt;1,WEEKDAY(A1506)&lt;7),"Wkd",TEXT(A1506,"Ddd"))&amp;"-"&amp;TEXT(A1506,"hh"),LoadTable[],3,FALSE)*0.92</f>
        <v>699.79524000000038</v>
      </c>
      <c r="U1506" s="113">
        <f t="shared" si="1564"/>
        <v>69.97952400000004</v>
      </c>
      <c r="V1506">
        <f t="shared" ref="V1506:W1506" si="1599">V1482</f>
        <v>3.2</v>
      </c>
      <c r="W1506">
        <f t="shared" si="1599"/>
        <v>2.9</v>
      </c>
      <c r="X1506" s="9">
        <v>3.2561605</v>
      </c>
      <c r="Y1506" s="39"/>
    </row>
    <row r="1507" spans="1:25" ht="15" thickBot="1">
      <c r="A1507" s="29">
        <f t="shared" si="1546"/>
        <v>45898.666666664998</v>
      </c>
      <c r="B1507" s="30">
        <f t="shared" si="1573"/>
        <v>8000</v>
      </c>
      <c r="C1507" s="8">
        <v>25000</v>
      </c>
      <c r="D1507" s="187">
        <v>0</v>
      </c>
      <c r="E1507" s="187">
        <v>700</v>
      </c>
      <c r="F1507" s="187">
        <v>15000</v>
      </c>
      <c r="G1507" s="30">
        <f t="shared" si="1574"/>
        <v>2400</v>
      </c>
      <c r="H1507" s="8">
        <v>25000</v>
      </c>
      <c r="I1507" s="30">
        <f t="shared" si="1575"/>
        <v>8000</v>
      </c>
      <c r="J1507" s="187">
        <v>40000</v>
      </c>
      <c r="K1507" s="30">
        <f t="shared" si="1576"/>
        <v>8000</v>
      </c>
      <c r="L1507" s="187">
        <v>40000</v>
      </c>
      <c r="M1507" s="110">
        <v>9.5</v>
      </c>
      <c r="N1507" s="9">
        <f>VLOOKUP(DATE(YEAR(A1507),MONTH(A1507),DAY(A1507)),FY24_Temp[],3,FALSE)</f>
        <v>14.71</v>
      </c>
      <c r="O1507" s="110">
        <f t="shared" si="1562"/>
        <v>11.5</v>
      </c>
      <c r="P1507" s="110">
        <f t="shared" si="1563"/>
        <v>19.5</v>
      </c>
      <c r="Q1507" s="79">
        <f>VLOOKUP(VLOOKUP(DATEVALUE(TEXT(A1507,"m/d/yyyy")),FY24_Temp[],5,FALSE)&amp;TEXT(A1507,"-h"),TempDelta[],4,FALSE)</f>
        <v>0.5316428627286639</v>
      </c>
      <c r="R1507">
        <v>10</v>
      </c>
      <c r="S1507" s="112">
        <v>1500</v>
      </c>
      <c r="T1507" s="5">
        <f>VLOOKUP(TEXT(A1507,"yy-mm")&amp;"-"&amp;IF(AND(WEEKDAY(A1507)&gt;1,WEEKDAY(A1507)&lt;7),"Wkd",TEXT(A1507,"Ddd"))&amp;"-"&amp;TEXT(A1507,"hh"),LoadTable[],3,FALSE)*0.92</f>
        <v>786.27137399656624</v>
      </c>
      <c r="U1507" s="113">
        <f t="shared" si="1564"/>
        <v>78.627137399656618</v>
      </c>
      <c r="V1507">
        <f t="shared" ref="V1507:W1507" si="1600">V1483</f>
        <v>3.5</v>
      </c>
      <c r="W1507">
        <f t="shared" si="1600"/>
        <v>3</v>
      </c>
      <c r="X1507" s="9">
        <v>3.1993317999999999</v>
      </c>
      <c r="Y1507" s="39"/>
    </row>
    <row r="1508" spans="1:25" ht="15" thickBot="1">
      <c r="A1508" s="29">
        <f t="shared" si="1546"/>
        <v>45898.708333331662</v>
      </c>
      <c r="B1508" s="30">
        <f t="shared" si="1573"/>
        <v>8000</v>
      </c>
      <c r="C1508" s="8">
        <v>25000</v>
      </c>
      <c r="D1508" s="187">
        <v>0</v>
      </c>
      <c r="E1508" s="187">
        <v>700</v>
      </c>
      <c r="F1508" s="187">
        <v>15000</v>
      </c>
      <c r="G1508" s="30">
        <f t="shared" si="1574"/>
        <v>2400</v>
      </c>
      <c r="H1508" s="8">
        <v>25000</v>
      </c>
      <c r="I1508" s="30">
        <f t="shared" si="1575"/>
        <v>8000</v>
      </c>
      <c r="J1508" s="187">
        <v>40000</v>
      </c>
      <c r="K1508" s="30">
        <f t="shared" si="1576"/>
        <v>8000</v>
      </c>
      <c r="L1508" s="187">
        <v>40000</v>
      </c>
      <c r="M1508" s="110">
        <v>9.5</v>
      </c>
      <c r="N1508" s="9">
        <f>VLOOKUP(DATE(YEAR(A1508),MONTH(A1508),DAY(A1508)),FY24_Temp[],3,FALSE)</f>
        <v>14.71</v>
      </c>
      <c r="O1508" s="110">
        <f t="shared" si="1562"/>
        <v>11.5</v>
      </c>
      <c r="P1508" s="110">
        <f t="shared" si="1563"/>
        <v>19.5</v>
      </c>
      <c r="Q1508" s="79">
        <f>VLOOKUP(VLOOKUP(DATEVALUE(TEXT(A1508,"m/d/yyyy")),FY24_Temp[],5,FALSE)&amp;TEXT(A1508,"-h"),TempDelta[],4,FALSE)</f>
        <v>0.55664285378796718</v>
      </c>
      <c r="R1508">
        <v>10</v>
      </c>
      <c r="S1508" s="112">
        <v>1500</v>
      </c>
      <c r="T1508" s="5">
        <f>VLOOKUP(TEXT(A1508,"yy-mm")&amp;"-"&amp;IF(AND(WEEKDAY(A1508)&gt;1,WEEKDAY(A1508)&lt;7),"Wkd",TEXT(A1508,"Ddd"))&amp;"-"&amp;TEXT(A1508,"hh"),LoadTable[],3,FALSE)*0.92</f>
        <v>786.27137399656624</v>
      </c>
      <c r="U1508" s="113">
        <f t="shared" si="1564"/>
        <v>78.627137399656618</v>
      </c>
      <c r="V1508">
        <f t="shared" ref="V1508:W1508" si="1601">V1484</f>
        <v>3.6</v>
      </c>
      <c r="W1508">
        <f t="shared" si="1601"/>
        <v>3</v>
      </c>
      <c r="X1508" s="9">
        <v>3.1254059999999999</v>
      </c>
      <c r="Y1508" s="39"/>
    </row>
    <row r="1509" spans="1:25" ht="15" thickBot="1">
      <c r="A1509" s="29">
        <f t="shared" si="1546"/>
        <v>45898.749999998327</v>
      </c>
      <c r="B1509" s="30">
        <f t="shared" si="1573"/>
        <v>5000</v>
      </c>
      <c r="C1509" s="8">
        <v>25000</v>
      </c>
      <c r="D1509" s="187">
        <v>0</v>
      </c>
      <c r="E1509" s="187">
        <v>700</v>
      </c>
      <c r="F1509" s="187">
        <v>15000</v>
      </c>
      <c r="G1509" s="30">
        <f t="shared" si="1574"/>
        <v>2400</v>
      </c>
      <c r="H1509" s="8">
        <v>25000</v>
      </c>
      <c r="I1509" s="30">
        <f t="shared" si="1575"/>
        <v>5000</v>
      </c>
      <c r="J1509" s="187">
        <v>40000</v>
      </c>
      <c r="K1509" s="30">
        <f t="shared" si="1576"/>
        <v>5000</v>
      </c>
      <c r="L1509" s="187">
        <v>40000</v>
      </c>
      <c r="M1509" s="110">
        <v>9.5</v>
      </c>
      <c r="N1509" s="9">
        <f>VLOOKUP(DATE(YEAR(A1509),MONTH(A1509),DAY(A1509)),FY24_Temp[],3,FALSE)</f>
        <v>14.71</v>
      </c>
      <c r="O1509" s="110">
        <f t="shared" si="1562"/>
        <v>11.5</v>
      </c>
      <c r="P1509" s="110">
        <f t="shared" si="1563"/>
        <v>19.5</v>
      </c>
      <c r="Q1509" s="79">
        <f>VLOOKUP(VLOOKUP(DATEVALUE(TEXT(A1509,"m/d/yyyy")),FY24_Temp[],5,FALSE)&amp;TEXT(A1509,"-h"),TempDelta[],4,FALSE)</f>
        <v>0.75757142049925663</v>
      </c>
      <c r="R1509">
        <v>10</v>
      </c>
      <c r="S1509" s="112">
        <v>1500</v>
      </c>
      <c r="T1509" s="5">
        <f>VLOOKUP(TEXT(A1509,"yy-mm")&amp;"-"&amp;IF(AND(WEEKDAY(A1509)&gt;1,WEEKDAY(A1509)&lt;7),"Wkd",TEXT(A1509,"Ddd"))&amp;"-"&amp;TEXT(A1509,"hh"),LoadTable[],3,FALSE)*0.92</f>
        <v>786.27137399656647</v>
      </c>
      <c r="U1509" s="113">
        <f t="shared" si="1564"/>
        <v>78.627137399656647</v>
      </c>
      <c r="V1509">
        <f t="shared" ref="V1509:W1509" si="1602">V1485</f>
        <v>2.9</v>
      </c>
      <c r="W1509">
        <f t="shared" si="1602"/>
        <v>3</v>
      </c>
      <c r="X1509" s="9">
        <v>3.1117601000000001</v>
      </c>
      <c r="Y1509" s="39"/>
    </row>
    <row r="1510" spans="1:25" ht="15" thickBot="1">
      <c r="A1510" s="29">
        <f t="shared" si="1546"/>
        <v>45898.791666664991</v>
      </c>
      <c r="B1510" s="30">
        <f t="shared" si="1573"/>
        <v>5000</v>
      </c>
      <c r="C1510" s="8">
        <v>25000</v>
      </c>
      <c r="D1510" s="187">
        <v>0</v>
      </c>
      <c r="E1510" s="187">
        <v>700</v>
      </c>
      <c r="F1510" s="187">
        <v>15000</v>
      </c>
      <c r="G1510" s="30">
        <f t="shared" si="1574"/>
        <v>2400</v>
      </c>
      <c r="H1510" s="8">
        <v>25000</v>
      </c>
      <c r="I1510" s="30">
        <f t="shared" si="1575"/>
        <v>5000</v>
      </c>
      <c r="J1510" s="187">
        <v>40000</v>
      </c>
      <c r="K1510" s="30">
        <f t="shared" si="1576"/>
        <v>5000</v>
      </c>
      <c r="L1510" s="187">
        <v>40000</v>
      </c>
      <c r="M1510" s="110">
        <v>9.5</v>
      </c>
      <c r="N1510" s="9">
        <f>VLOOKUP(DATE(YEAR(A1510),MONTH(A1510),DAY(A1510)),FY24_Temp[],3,FALSE)</f>
        <v>14.71</v>
      </c>
      <c r="O1510" s="110">
        <f t="shared" si="1562"/>
        <v>11.5</v>
      </c>
      <c r="P1510" s="110">
        <f t="shared" si="1563"/>
        <v>19.5</v>
      </c>
      <c r="Q1510" s="79">
        <f>VLOOKUP(VLOOKUP(DATEVALUE(TEXT(A1510,"m/d/yyyy")),FY24_Temp[],5,FALSE)&amp;TEXT(A1510,"-h"),TempDelta[],4,FALSE)</f>
        <v>1.0640714168548584</v>
      </c>
      <c r="R1510">
        <v>10</v>
      </c>
      <c r="S1510" s="112">
        <v>1500</v>
      </c>
      <c r="T1510" s="5">
        <f>VLOOKUP(TEXT(A1510,"yy-mm")&amp;"-"&amp;IF(AND(WEEKDAY(A1510)&gt;1,WEEKDAY(A1510)&lt;7),"Wkd",TEXT(A1510,"Ddd"))&amp;"-"&amp;TEXT(A1510,"hh"),LoadTable[],3,FALSE)*0.92</f>
        <v>786.27137399656647</v>
      </c>
      <c r="U1510" s="113">
        <f t="shared" si="1564"/>
        <v>78.627137399656647</v>
      </c>
      <c r="V1510">
        <f t="shared" ref="V1510:W1510" si="1603">V1486</f>
        <v>3</v>
      </c>
      <c r="W1510">
        <f t="shared" si="1603"/>
        <v>3</v>
      </c>
      <c r="X1510" s="9">
        <v>3.0836948999999998</v>
      </c>
      <c r="Y1510" s="39"/>
    </row>
    <row r="1511" spans="1:25" ht="15" thickBot="1">
      <c r="A1511" s="29">
        <f t="shared" si="1546"/>
        <v>45898.833333331655</v>
      </c>
      <c r="B1511" s="30">
        <f t="shared" si="1573"/>
        <v>5000</v>
      </c>
      <c r="C1511" s="8">
        <v>25000</v>
      </c>
      <c r="D1511" s="187">
        <v>0</v>
      </c>
      <c r="E1511" s="187">
        <v>700</v>
      </c>
      <c r="F1511" s="187">
        <v>15000</v>
      </c>
      <c r="G1511" s="30">
        <f t="shared" si="1574"/>
        <v>2400</v>
      </c>
      <c r="H1511" s="8">
        <v>25000</v>
      </c>
      <c r="I1511" s="30">
        <f t="shared" si="1575"/>
        <v>5000</v>
      </c>
      <c r="J1511" s="187">
        <v>40000</v>
      </c>
      <c r="K1511" s="30">
        <f t="shared" si="1576"/>
        <v>5000</v>
      </c>
      <c r="L1511" s="187">
        <v>40000</v>
      </c>
      <c r="M1511" s="110">
        <v>9.5</v>
      </c>
      <c r="N1511" s="9">
        <f>VLOOKUP(DATE(YEAR(A1511),MONTH(A1511),DAY(A1511)),FY24_Temp[],3,FALSE)</f>
        <v>14.71</v>
      </c>
      <c r="O1511" s="110">
        <f t="shared" si="1562"/>
        <v>11.5</v>
      </c>
      <c r="P1511" s="110">
        <f t="shared" si="1563"/>
        <v>19.5</v>
      </c>
      <c r="Q1511" s="79">
        <f>VLOOKUP(VLOOKUP(DATEVALUE(TEXT(A1511,"m/d/yyyy")),FY24_Temp[],5,FALSE)&amp;TEXT(A1511,"-h"),TempDelta[],4,FALSE)</f>
        <v>1.4742142728396825</v>
      </c>
      <c r="R1511">
        <v>10</v>
      </c>
      <c r="S1511" s="112">
        <v>1500</v>
      </c>
      <c r="T1511" s="5">
        <f>VLOOKUP(TEXT(A1511,"yy-mm")&amp;"-"&amp;IF(AND(WEEKDAY(A1511)&gt;1,WEEKDAY(A1511)&lt;7),"Wkd",TEXT(A1511,"Ddd"))&amp;"-"&amp;TEXT(A1511,"hh"),LoadTable[],3,FALSE)*0.92</f>
        <v>786.27137399656647</v>
      </c>
      <c r="U1511" s="113">
        <f t="shared" si="1564"/>
        <v>78.627137399656647</v>
      </c>
      <c r="V1511">
        <f t="shared" ref="V1511:W1511" si="1604">V1487</f>
        <v>2.8</v>
      </c>
      <c r="W1511">
        <f t="shared" si="1604"/>
        <v>3.1</v>
      </c>
      <c r="X1511" s="9">
        <v>3.0500484000000001</v>
      </c>
      <c r="Y1511" s="39"/>
    </row>
    <row r="1512" spans="1:25" ht="15" thickBot="1">
      <c r="A1512" s="29">
        <f t="shared" si="1546"/>
        <v>45898.874999998319</v>
      </c>
      <c r="B1512" s="30">
        <f t="shared" si="1573"/>
        <v>5000</v>
      </c>
      <c r="C1512" s="8">
        <v>25000</v>
      </c>
      <c r="D1512" s="187">
        <v>0</v>
      </c>
      <c r="E1512" s="187">
        <v>700</v>
      </c>
      <c r="F1512" s="187">
        <v>15000</v>
      </c>
      <c r="G1512" s="30">
        <f t="shared" si="1574"/>
        <v>2400</v>
      </c>
      <c r="H1512" s="8">
        <v>25000</v>
      </c>
      <c r="I1512" s="30">
        <f t="shared" si="1575"/>
        <v>5000</v>
      </c>
      <c r="J1512" s="187">
        <v>40000</v>
      </c>
      <c r="K1512" s="30">
        <f t="shared" si="1576"/>
        <v>5000</v>
      </c>
      <c r="L1512" s="187">
        <v>40000</v>
      </c>
      <c r="M1512" s="110">
        <v>9.5</v>
      </c>
      <c r="N1512" s="9">
        <f>VLOOKUP(DATE(YEAR(A1512),MONTH(A1512),DAY(A1512)),FY24_Temp[],3,FALSE)</f>
        <v>14.71</v>
      </c>
      <c r="O1512" s="110">
        <f t="shared" si="1562"/>
        <v>11.5</v>
      </c>
      <c r="P1512" s="110">
        <f t="shared" si="1563"/>
        <v>19.5</v>
      </c>
      <c r="Q1512" s="79">
        <f>VLOOKUP(VLOOKUP(DATEVALUE(TEXT(A1512,"m/d/yyyy")),FY24_Temp[],5,FALSE)&amp;TEXT(A1512,"-h"),TempDelta[],4,FALSE)</f>
        <v>1.7937857168061393</v>
      </c>
      <c r="R1512">
        <v>10</v>
      </c>
      <c r="S1512" s="112">
        <v>1500</v>
      </c>
      <c r="T1512" s="5">
        <f>VLOOKUP(TEXT(A1512,"yy-mm")&amp;"-"&amp;IF(AND(WEEKDAY(A1512)&gt;1,WEEKDAY(A1512)&lt;7),"Wkd",TEXT(A1512,"Ddd"))&amp;"-"&amp;TEXT(A1512,"hh"),LoadTable[],3,FALSE)*0.92</f>
        <v>784.39716226323299</v>
      </c>
      <c r="U1512" s="113">
        <f t="shared" si="1564"/>
        <v>78.439716226323299</v>
      </c>
      <c r="V1512">
        <f t="shared" ref="V1512:W1512" si="1605">V1488</f>
        <v>3.5</v>
      </c>
      <c r="W1512">
        <f t="shared" si="1605"/>
        <v>3.1</v>
      </c>
      <c r="X1512" s="9">
        <v>3.0244700999999998</v>
      </c>
      <c r="Y1512" s="39"/>
    </row>
    <row r="1513" spans="1:25" ht="15" thickBot="1">
      <c r="A1513" s="29">
        <f t="shared" si="1546"/>
        <v>45898.916666664983</v>
      </c>
      <c r="B1513" s="30">
        <f t="shared" si="1573"/>
        <v>5000</v>
      </c>
      <c r="C1513" s="8">
        <v>25000</v>
      </c>
      <c r="D1513" s="187">
        <v>0</v>
      </c>
      <c r="E1513" s="187">
        <v>700</v>
      </c>
      <c r="F1513" s="187">
        <v>15000</v>
      </c>
      <c r="G1513" s="30">
        <f t="shared" si="1574"/>
        <v>2400</v>
      </c>
      <c r="H1513" s="8">
        <v>25000</v>
      </c>
      <c r="I1513" s="30">
        <f t="shared" si="1575"/>
        <v>5000</v>
      </c>
      <c r="J1513" s="187">
        <v>40000</v>
      </c>
      <c r="K1513" s="30">
        <f t="shared" si="1576"/>
        <v>5000</v>
      </c>
      <c r="L1513" s="187">
        <v>40000</v>
      </c>
      <c r="M1513" s="110">
        <v>9.5</v>
      </c>
      <c r="N1513" s="9">
        <f>VLOOKUP(DATE(YEAR(A1513),MONTH(A1513),DAY(A1513)),FY24_Temp[],3,FALSE)</f>
        <v>14.71</v>
      </c>
      <c r="O1513" s="110">
        <f t="shared" si="1562"/>
        <v>11.5</v>
      </c>
      <c r="P1513" s="110">
        <f t="shared" si="1563"/>
        <v>19.5</v>
      </c>
      <c r="Q1513" s="79">
        <f>VLOOKUP(VLOOKUP(DATEVALUE(TEXT(A1513,"m/d/yyyy")),FY24_Temp[],5,FALSE)&amp;TEXT(A1513,"-h"),TempDelta[],4,FALSE)</f>
        <v>2.1767142840794156</v>
      </c>
      <c r="R1513">
        <v>10</v>
      </c>
      <c r="S1513" s="112">
        <v>1500</v>
      </c>
      <c r="T1513" s="5">
        <f>VLOOKUP(TEXT(A1513,"yy-mm")&amp;"-"&amp;IF(AND(WEEKDAY(A1513)&gt;1,WEEKDAY(A1513)&lt;7),"Wkd",TEXT(A1513,"Ddd"))&amp;"-"&amp;TEXT(A1513,"hh"),LoadTable[],3,FALSE)*0.92</f>
        <v>600.06900003761973</v>
      </c>
      <c r="U1513" s="113">
        <f t="shared" si="1564"/>
        <v>60.00690000376197</v>
      </c>
      <c r="V1513">
        <f t="shared" ref="V1513:W1513" si="1606">V1489</f>
        <v>2.9</v>
      </c>
      <c r="W1513">
        <f t="shared" si="1606"/>
        <v>3.1</v>
      </c>
      <c r="X1513" s="9">
        <v>2.9945202000000002</v>
      </c>
      <c r="Y1513" s="39"/>
    </row>
    <row r="1514" spans="1:25" ht="15" thickBot="1">
      <c r="A1514" s="29">
        <f t="shared" si="1546"/>
        <v>45898.958333331648</v>
      </c>
      <c r="B1514" s="30">
        <f t="shared" si="1573"/>
        <v>5000</v>
      </c>
      <c r="C1514" s="8">
        <v>25000</v>
      </c>
      <c r="D1514" s="187">
        <v>0</v>
      </c>
      <c r="E1514" s="187">
        <v>700</v>
      </c>
      <c r="F1514" s="187">
        <v>15000</v>
      </c>
      <c r="G1514" s="30">
        <f t="shared" si="1574"/>
        <v>2400</v>
      </c>
      <c r="H1514" s="8">
        <v>25000</v>
      </c>
      <c r="I1514" s="30">
        <f t="shared" si="1575"/>
        <v>5000</v>
      </c>
      <c r="J1514" s="187">
        <v>40000</v>
      </c>
      <c r="K1514" s="30">
        <f t="shared" si="1576"/>
        <v>5000</v>
      </c>
      <c r="L1514" s="187">
        <v>40000</v>
      </c>
      <c r="M1514" s="110">
        <v>9.5</v>
      </c>
      <c r="N1514" s="9">
        <f>VLOOKUP(DATE(YEAR(A1514),MONTH(A1514),DAY(A1514)),FY24_Temp[],3,FALSE)</f>
        <v>14.71</v>
      </c>
      <c r="O1514" s="110">
        <f t="shared" si="1562"/>
        <v>11.5</v>
      </c>
      <c r="P1514" s="110">
        <f t="shared" si="1563"/>
        <v>19.5</v>
      </c>
      <c r="Q1514" s="79">
        <f>VLOOKUP(VLOOKUP(DATEVALUE(TEXT(A1514,"m/d/yyyy")),FY24_Temp[],5,FALSE)&amp;TEXT(A1514,"-h"),TempDelta[],4,FALSE)</f>
        <v>2.3071428367069791</v>
      </c>
      <c r="R1514">
        <v>10</v>
      </c>
      <c r="S1514" s="112">
        <v>1500</v>
      </c>
      <c r="T1514" s="5">
        <f>VLOOKUP(TEXT(A1514,"yy-mm")&amp;"-"&amp;IF(AND(WEEKDAY(A1514)&gt;1,WEEKDAY(A1514)&lt;7),"Wkd",TEXT(A1514,"Ddd"))&amp;"-"&amp;TEXT(A1514,"hh"),LoadTable[],3,FALSE)*0.92</f>
        <v>486.44539999999989</v>
      </c>
      <c r="U1514" s="113">
        <f t="shared" si="1564"/>
        <v>48.644539999999992</v>
      </c>
      <c r="V1514">
        <f t="shared" ref="V1514:W1514" si="1607">V1490</f>
        <v>3.6</v>
      </c>
      <c r="W1514">
        <f t="shared" si="1607"/>
        <v>3.1</v>
      </c>
      <c r="X1514" s="9">
        <v>2.9042276999999999</v>
      </c>
      <c r="Y1514" s="39"/>
    </row>
    <row r="1515" spans="1:25" ht="15" thickBot="1">
      <c r="A1515" s="29">
        <f t="shared" si="1546"/>
        <v>45898.999999998312</v>
      </c>
      <c r="B1515" s="30">
        <f t="shared" si="1573"/>
        <v>5000</v>
      </c>
      <c r="C1515" s="109">
        <v>25000</v>
      </c>
      <c r="D1515" s="187">
        <v>0</v>
      </c>
      <c r="E1515" s="187">
        <v>700</v>
      </c>
      <c r="F1515" s="187">
        <v>15000</v>
      </c>
      <c r="G1515" s="30">
        <f t="shared" si="1574"/>
        <v>2400</v>
      </c>
      <c r="H1515" s="8">
        <v>25000</v>
      </c>
      <c r="I1515" s="30">
        <f t="shared" si="1575"/>
        <v>5000</v>
      </c>
      <c r="J1515" s="187">
        <v>40000</v>
      </c>
      <c r="K1515" s="30">
        <f t="shared" si="1576"/>
        <v>5000</v>
      </c>
      <c r="L1515" s="187">
        <v>40000</v>
      </c>
      <c r="M1515" s="110">
        <v>9.5</v>
      </c>
      <c r="N1515" s="9">
        <f>VLOOKUP(DATE(YEAR(A1515),MONTH(A1515),DAY(A1515)),FY24_Temp[],3,FALSE)</f>
        <v>14.95</v>
      </c>
      <c r="O1515" s="110">
        <f t="shared" si="1562"/>
        <v>11.5</v>
      </c>
      <c r="P1515" s="110">
        <f t="shared" si="1563"/>
        <v>19.5</v>
      </c>
      <c r="Q1515" s="79">
        <f>VLOOKUP(VLOOKUP(DATEVALUE(TEXT(A1515,"m/d/yyyy")),FY24_Temp[],5,FALSE)&amp;TEXT(A1515,"-h"),TempDelta[],4,FALSE)</f>
        <v>2.160285702773503</v>
      </c>
      <c r="R1515">
        <v>10</v>
      </c>
      <c r="S1515" s="112">
        <v>1500</v>
      </c>
      <c r="T1515" s="5">
        <f>VLOOKUP(TEXT(A1515,"yy-mm")&amp;"-"&amp;IF(AND(WEEKDAY(A1515)&gt;1,WEEKDAY(A1515)&lt;7),"Wkd",TEXT(A1515,"Ddd"))&amp;"-"&amp;TEXT(A1515,"hh"),LoadTable[],3,FALSE)*0.92</f>
        <v>371.37732000000005</v>
      </c>
      <c r="U1515" s="113">
        <f t="shared" si="1564"/>
        <v>37.137732000000007</v>
      </c>
      <c r="V1515">
        <f t="shared" ref="V1515:W1515" si="1608">V1491</f>
        <v>3</v>
      </c>
      <c r="W1515">
        <f t="shared" si="1608"/>
        <v>3.2</v>
      </c>
      <c r="X1515" s="9">
        <v>2.8096652</v>
      </c>
      <c r="Y1515" s="39"/>
    </row>
    <row r="1516" spans="1:25" ht="15" thickBot="1">
      <c r="A1516" s="29">
        <f t="shared" si="1546"/>
        <v>45899.041666664976</v>
      </c>
      <c r="B1516" s="30">
        <f t="shared" si="1573"/>
        <v>5000</v>
      </c>
      <c r="C1516" s="8">
        <v>25000</v>
      </c>
      <c r="D1516" s="187">
        <v>0</v>
      </c>
      <c r="E1516" s="187">
        <v>700</v>
      </c>
      <c r="F1516" s="187">
        <v>15000</v>
      </c>
      <c r="G1516" s="30">
        <f t="shared" si="1574"/>
        <v>2400</v>
      </c>
      <c r="H1516" s="8">
        <v>25000</v>
      </c>
      <c r="I1516" s="30">
        <f t="shared" si="1575"/>
        <v>5000</v>
      </c>
      <c r="J1516" s="187">
        <v>40000</v>
      </c>
      <c r="K1516" s="30">
        <f t="shared" si="1576"/>
        <v>5000</v>
      </c>
      <c r="L1516" s="187">
        <v>40000</v>
      </c>
      <c r="M1516" s="110">
        <v>9.5</v>
      </c>
      <c r="N1516" s="9">
        <f>VLOOKUP(DATE(YEAR(A1516),MONTH(A1516),DAY(A1516)),FY24_Temp[],3,FALSE)</f>
        <v>14.95</v>
      </c>
      <c r="O1516" s="110">
        <f t="shared" si="1562"/>
        <v>11.5</v>
      </c>
      <c r="P1516" s="110">
        <f t="shared" si="1563"/>
        <v>19.5</v>
      </c>
      <c r="Q1516" s="79">
        <f>VLOOKUP(VLOOKUP(DATEVALUE(TEXT(A1516,"m/d/yyyy")),FY24_Temp[],5,FALSE)&amp;TEXT(A1516,"-h"),TempDelta[],4,FALSE)</f>
        <v>2.4718571390424455</v>
      </c>
      <c r="R1516">
        <v>10</v>
      </c>
      <c r="S1516" s="112">
        <v>1500</v>
      </c>
      <c r="T1516" s="5">
        <f>VLOOKUP(TEXT(A1516,"yy-mm")&amp;"-"&amp;IF(AND(WEEKDAY(A1516)&gt;1,WEEKDAY(A1516)&lt;7),"Wkd",TEXT(A1516,"Ddd"))&amp;"-"&amp;TEXT(A1516,"hh"),LoadTable[],3,FALSE)*0.92</f>
        <v>362.43308000000007</v>
      </c>
      <c r="U1516" s="113">
        <f t="shared" si="1564"/>
        <v>36.243308000000006</v>
      </c>
      <c r="V1516">
        <f t="shared" ref="V1516:W1516" si="1609">V1492</f>
        <v>2.6</v>
      </c>
      <c r="W1516">
        <f t="shared" si="1609"/>
        <v>3.2</v>
      </c>
      <c r="X1516" s="9">
        <v>2.7342092999999998</v>
      </c>
      <c r="Y1516" s="39"/>
    </row>
    <row r="1517" spans="1:25" ht="15" thickBot="1">
      <c r="A1517" s="29">
        <f t="shared" si="1546"/>
        <v>45899.08333333164</v>
      </c>
      <c r="B1517" s="30">
        <f t="shared" si="1573"/>
        <v>5000</v>
      </c>
      <c r="C1517" s="8">
        <v>25000</v>
      </c>
      <c r="D1517" s="187">
        <v>0</v>
      </c>
      <c r="E1517" s="187">
        <v>700</v>
      </c>
      <c r="F1517" s="187">
        <v>15000</v>
      </c>
      <c r="G1517" s="30">
        <f t="shared" si="1574"/>
        <v>2400</v>
      </c>
      <c r="H1517" s="8">
        <v>25000</v>
      </c>
      <c r="I1517" s="30">
        <f t="shared" si="1575"/>
        <v>5000</v>
      </c>
      <c r="J1517" s="187">
        <v>40000</v>
      </c>
      <c r="K1517" s="30">
        <f t="shared" si="1576"/>
        <v>5000</v>
      </c>
      <c r="L1517" s="187">
        <v>40000</v>
      </c>
      <c r="M1517" s="110">
        <v>9.5</v>
      </c>
      <c r="N1517" s="9">
        <f>VLOOKUP(DATE(YEAR(A1517),MONTH(A1517),DAY(A1517)),FY24_Temp[],3,FALSE)</f>
        <v>14.95</v>
      </c>
      <c r="O1517" s="110">
        <f t="shared" si="1562"/>
        <v>11.5</v>
      </c>
      <c r="P1517" s="110">
        <f t="shared" si="1563"/>
        <v>19.5</v>
      </c>
      <c r="Q1517" s="79">
        <f>VLOOKUP(VLOOKUP(DATEVALUE(TEXT(A1517,"m/d/yyyy")),FY24_Temp[],5,FALSE)&amp;TEXT(A1517,"-h"),TempDelta[],4,FALSE)</f>
        <v>2.5034285613468716</v>
      </c>
      <c r="R1517">
        <v>10</v>
      </c>
      <c r="S1517" s="112">
        <v>1500</v>
      </c>
      <c r="T1517" s="5">
        <f>VLOOKUP(TEXT(A1517,"yy-mm")&amp;"-"&amp;IF(AND(WEEKDAY(A1517)&gt;1,WEEKDAY(A1517)&lt;7),"Wkd",TEXT(A1517,"Ddd"))&amp;"-"&amp;TEXT(A1517,"hh"),LoadTable[],3,FALSE)*0.92</f>
        <v>362.43308000000007</v>
      </c>
      <c r="U1517" s="113">
        <f t="shared" si="1564"/>
        <v>36.243308000000006</v>
      </c>
      <c r="V1517">
        <f t="shared" ref="V1517:W1517" si="1610">V1493</f>
        <v>2.8</v>
      </c>
      <c r="W1517">
        <f t="shared" si="1610"/>
        <v>3.2</v>
      </c>
      <c r="X1517" s="9">
        <v>2.797364</v>
      </c>
      <c r="Y1517" s="39"/>
    </row>
    <row r="1518" spans="1:25" ht="15" thickBot="1">
      <c r="A1518" s="29">
        <f t="shared" si="1546"/>
        <v>45899.124999998305</v>
      </c>
      <c r="B1518" s="30">
        <f t="shared" si="1573"/>
        <v>5000</v>
      </c>
      <c r="C1518" s="8">
        <v>25000</v>
      </c>
      <c r="D1518" s="187">
        <v>0</v>
      </c>
      <c r="E1518" s="187">
        <v>700</v>
      </c>
      <c r="F1518" s="187">
        <v>15000</v>
      </c>
      <c r="G1518" s="30">
        <f t="shared" si="1574"/>
        <v>2400</v>
      </c>
      <c r="H1518" s="8">
        <v>25000</v>
      </c>
      <c r="I1518" s="30">
        <f t="shared" si="1575"/>
        <v>5000</v>
      </c>
      <c r="J1518" s="187">
        <v>40000</v>
      </c>
      <c r="K1518" s="30">
        <f t="shared" si="1576"/>
        <v>5000</v>
      </c>
      <c r="L1518" s="187">
        <v>40000</v>
      </c>
      <c r="M1518" s="110">
        <v>9.5</v>
      </c>
      <c r="N1518" s="9">
        <f>VLOOKUP(DATE(YEAR(A1518),MONTH(A1518),DAY(A1518)),FY24_Temp[],3,FALSE)</f>
        <v>14.95</v>
      </c>
      <c r="O1518" s="110">
        <f t="shared" si="1562"/>
        <v>11.5</v>
      </c>
      <c r="P1518" s="110">
        <f t="shared" si="1563"/>
        <v>19.5</v>
      </c>
      <c r="Q1518" s="79">
        <f>VLOOKUP(VLOOKUP(DATEVALUE(TEXT(A1518,"m/d/yyyy")),FY24_Temp[],5,FALSE)&amp;TEXT(A1518,"-h"),TempDelta[],4,FALSE)</f>
        <v>2.5060000419616699</v>
      </c>
      <c r="R1518">
        <v>10</v>
      </c>
      <c r="S1518" s="112">
        <v>1500</v>
      </c>
      <c r="T1518" s="5">
        <f>VLOOKUP(TEXT(A1518,"yy-mm")&amp;"-"&amp;IF(AND(WEEKDAY(A1518)&gt;1,WEEKDAY(A1518)&lt;7),"Wkd",TEXT(A1518,"Ddd"))&amp;"-"&amp;TEXT(A1518,"hh"),LoadTable[],3,FALSE)*0.92</f>
        <v>362.43308000000007</v>
      </c>
      <c r="U1518" s="113">
        <f t="shared" si="1564"/>
        <v>36.243308000000006</v>
      </c>
      <c r="V1518">
        <f t="shared" ref="V1518:W1518" si="1611">V1494</f>
        <v>2.7</v>
      </c>
      <c r="W1518">
        <f t="shared" si="1611"/>
        <v>3.2</v>
      </c>
      <c r="X1518" s="9">
        <v>2.8535143999999999</v>
      </c>
      <c r="Y1518" s="39"/>
    </row>
    <row r="1519" spans="1:25" ht="15" thickBot="1">
      <c r="A1519" s="29">
        <f t="shared" si="1546"/>
        <v>45899.166666664969</v>
      </c>
      <c r="B1519" s="30">
        <f t="shared" si="1573"/>
        <v>5000</v>
      </c>
      <c r="C1519" s="8">
        <v>25000</v>
      </c>
      <c r="D1519" s="187">
        <v>0</v>
      </c>
      <c r="E1519" s="187">
        <v>700</v>
      </c>
      <c r="F1519" s="187">
        <v>15000</v>
      </c>
      <c r="G1519" s="30">
        <f t="shared" si="1574"/>
        <v>2400</v>
      </c>
      <c r="H1519" s="8">
        <v>25000</v>
      </c>
      <c r="I1519" s="30">
        <f t="shared" si="1575"/>
        <v>5000</v>
      </c>
      <c r="J1519" s="187">
        <v>40000</v>
      </c>
      <c r="K1519" s="30">
        <f t="shared" si="1576"/>
        <v>5000</v>
      </c>
      <c r="L1519" s="187">
        <v>40000</v>
      </c>
      <c r="M1519" s="110">
        <v>9.5</v>
      </c>
      <c r="N1519" s="9">
        <f>VLOOKUP(DATE(YEAR(A1519),MONTH(A1519),DAY(A1519)),FY24_Temp[],3,FALSE)</f>
        <v>14.95</v>
      </c>
      <c r="O1519" s="110">
        <f t="shared" si="1562"/>
        <v>11.5</v>
      </c>
      <c r="P1519" s="110">
        <f t="shared" si="1563"/>
        <v>19.5</v>
      </c>
      <c r="Q1519" s="79">
        <f>VLOOKUP(VLOOKUP(DATEVALUE(TEXT(A1519,"m/d/yyyy")),FY24_Temp[],5,FALSE)&amp;TEXT(A1519,"-h"),TempDelta[],4,FALSE)</f>
        <v>2.5351428644997731</v>
      </c>
      <c r="R1519">
        <v>10</v>
      </c>
      <c r="S1519" s="112">
        <v>1500</v>
      </c>
      <c r="T1519" s="5">
        <f>VLOOKUP(TEXT(A1519,"yy-mm")&amp;"-"&amp;IF(AND(WEEKDAY(A1519)&gt;1,WEEKDAY(A1519)&lt;7),"Wkd",TEXT(A1519,"Ddd"))&amp;"-"&amp;TEXT(A1519,"hh"),LoadTable[],3,FALSE)*0.92</f>
        <v>362.43308000000007</v>
      </c>
      <c r="U1519" s="113">
        <f t="shared" si="1564"/>
        <v>36.243308000000006</v>
      </c>
      <c r="V1519">
        <f t="shared" ref="V1519:W1519" si="1612">V1495</f>
        <v>3</v>
      </c>
      <c r="W1519">
        <f t="shared" si="1612"/>
        <v>3.1</v>
      </c>
      <c r="X1519" s="9">
        <v>2.8726210999999999</v>
      </c>
      <c r="Y1519" s="39"/>
    </row>
    <row r="1520" spans="1:25" ht="15" thickBot="1">
      <c r="A1520" s="29">
        <f t="shared" si="1546"/>
        <v>45899.208333331633</v>
      </c>
      <c r="B1520" s="30">
        <f t="shared" si="1573"/>
        <v>5000</v>
      </c>
      <c r="C1520" s="8">
        <v>25000</v>
      </c>
      <c r="D1520" s="187">
        <v>0</v>
      </c>
      <c r="E1520" s="187">
        <v>700</v>
      </c>
      <c r="F1520" s="187">
        <v>15000</v>
      </c>
      <c r="G1520" s="30">
        <f t="shared" si="1574"/>
        <v>2400</v>
      </c>
      <c r="H1520" s="8">
        <v>25000</v>
      </c>
      <c r="I1520" s="30">
        <f t="shared" si="1575"/>
        <v>5000</v>
      </c>
      <c r="J1520" s="187">
        <v>40000</v>
      </c>
      <c r="K1520" s="30">
        <f t="shared" si="1576"/>
        <v>5000</v>
      </c>
      <c r="L1520" s="187">
        <v>40000</v>
      </c>
      <c r="M1520" s="110">
        <v>9.5</v>
      </c>
      <c r="N1520" s="9">
        <f>VLOOKUP(DATE(YEAR(A1520),MONTH(A1520),DAY(A1520)),FY24_Temp[],3,FALSE)</f>
        <v>14.95</v>
      </c>
      <c r="O1520" s="110">
        <f t="shared" si="1562"/>
        <v>11.5</v>
      </c>
      <c r="P1520" s="110">
        <f t="shared" si="1563"/>
        <v>19.5</v>
      </c>
      <c r="Q1520" s="79">
        <f>VLOOKUP(VLOOKUP(DATEVALUE(TEXT(A1520,"m/d/yyyy")),FY24_Temp[],5,FALSE)&amp;TEXT(A1520,"-h"),TempDelta[],4,FALSE)</f>
        <v>2.6308570929936002</v>
      </c>
      <c r="R1520">
        <v>10</v>
      </c>
      <c r="S1520" s="112">
        <v>1500</v>
      </c>
      <c r="T1520" s="5">
        <f>VLOOKUP(TEXT(A1520,"yy-mm")&amp;"-"&amp;IF(AND(WEEKDAY(A1520)&gt;1,WEEKDAY(A1520)&lt;7),"Wkd",TEXT(A1520,"Ddd"))&amp;"-"&amp;TEXT(A1520,"hh"),LoadTable[],3,FALSE)*0.92</f>
        <v>362.43308000000007</v>
      </c>
      <c r="U1520" s="113">
        <f t="shared" si="1564"/>
        <v>36.243308000000006</v>
      </c>
      <c r="V1520">
        <f t="shared" ref="V1520:W1520" si="1613">V1496</f>
        <v>2.9</v>
      </c>
      <c r="W1520">
        <f t="shared" si="1613"/>
        <v>3.1</v>
      </c>
      <c r="X1520" s="9">
        <v>2.9364640999999998</v>
      </c>
      <c r="Y1520" s="39"/>
    </row>
    <row r="1521" spans="1:25" ht="15" thickBot="1">
      <c r="A1521" s="29">
        <f t="shared" si="1546"/>
        <v>45899.249999998297</v>
      </c>
      <c r="B1521" s="30">
        <f t="shared" si="1573"/>
        <v>8000</v>
      </c>
      <c r="C1521" s="8">
        <v>25000</v>
      </c>
      <c r="D1521" s="187">
        <v>0</v>
      </c>
      <c r="E1521" s="187">
        <v>700</v>
      </c>
      <c r="F1521" s="187">
        <v>15000</v>
      </c>
      <c r="G1521" s="30">
        <f t="shared" si="1574"/>
        <v>2400</v>
      </c>
      <c r="H1521" s="8">
        <v>25000</v>
      </c>
      <c r="I1521" s="30">
        <f t="shared" si="1575"/>
        <v>8000</v>
      </c>
      <c r="J1521" s="187">
        <v>40000</v>
      </c>
      <c r="K1521" s="30">
        <f t="shared" si="1576"/>
        <v>8000</v>
      </c>
      <c r="L1521" s="187">
        <v>40000</v>
      </c>
      <c r="M1521" s="110">
        <v>9.5</v>
      </c>
      <c r="N1521" s="9">
        <f>VLOOKUP(DATE(YEAR(A1521),MONTH(A1521),DAY(A1521)),FY24_Temp[],3,FALSE)</f>
        <v>14.95</v>
      </c>
      <c r="O1521" s="110">
        <f t="shared" si="1562"/>
        <v>11.5</v>
      </c>
      <c r="P1521" s="110">
        <f t="shared" si="1563"/>
        <v>19.5</v>
      </c>
      <c r="Q1521" s="79">
        <f>VLOOKUP(VLOOKUP(DATEVALUE(TEXT(A1521,"m/d/yyyy")),FY24_Temp[],5,FALSE)&amp;TEXT(A1521,"-h"),TempDelta[],4,FALSE)</f>
        <v>2.6167142391204834</v>
      </c>
      <c r="R1521">
        <v>10</v>
      </c>
      <c r="S1521" s="112">
        <v>1500</v>
      </c>
      <c r="T1521" s="5">
        <f>VLOOKUP(TEXT(A1521,"yy-mm")&amp;"-"&amp;IF(AND(WEEKDAY(A1521)&gt;1,WEEKDAY(A1521)&lt;7),"Wkd",TEXT(A1521,"Ddd"))&amp;"-"&amp;TEXT(A1521,"hh"),LoadTable[],3,FALSE)*0.92</f>
        <v>362.43308000000007</v>
      </c>
      <c r="U1521" s="113">
        <f t="shared" si="1564"/>
        <v>36.243308000000006</v>
      </c>
      <c r="V1521">
        <f t="shared" ref="V1521:W1521" si="1614">V1497</f>
        <v>2.5</v>
      </c>
      <c r="W1521">
        <f t="shared" si="1614"/>
        <v>3.1</v>
      </c>
      <c r="X1521" s="9">
        <v>3.0463591000000001</v>
      </c>
      <c r="Y1521" s="39"/>
    </row>
    <row r="1522" spans="1:25" ht="15" thickBot="1">
      <c r="A1522" s="29">
        <f t="shared" si="1546"/>
        <v>45899.291666664962</v>
      </c>
      <c r="B1522" s="30">
        <f t="shared" si="1573"/>
        <v>8000</v>
      </c>
      <c r="C1522" s="8">
        <v>25000</v>
      </c>
      <c r="D1522" s="187">
        <v>0</v>
      </c>
      <c r="E1522" s="187">
        <v>700</v>
      </c>
      <c r="F1522" s="187">
        <v>15000</v>
      </c>
      <c r="G1522" s="30">
        <f t="shared" si="1574"/>
        <v>2400</v>
      </c>
      <c r="H1522" s="8">
        <v>25000</v>
      </c>
      <c r="I1522" s="30">
        <f t="shared" si="1575"/>
        <v>8000</v>
      </c>
      <c r="J1522" s="187">
        <v>40000</v>
      </c>
      <c r="K1522" s="30">
        <f t="shared" si="1576"/>
        <v>8000</v>
      </c>
      <c r="L1522" s="187">
        <v>40000</v>
      </c>
      <c r="M1522" s="110">
        <v>9.5</v>
      </c>
      <c r="N1522" s="9">
        <f>VLOOKUP(DATE(YEAR(A1522),MONTH(A1522),DAY(A1522)),FY24_Temp[],3,FALSE)</f>
        <v>14.95</v>
      </c>
      <c r="O1522" s="110">
        <f t="shared" si="1562"/>
        <v>11.5</v>
      </c>
      <c r="P1522" s="110">
        <f t="shared" si="1563"/>
        <v>19.5</v>
      </c>
      <c r="Q1522" s="79">
        <f>VLOOKUP(VLOOKUP(DATEVALUE(TEXT(A1522,"m/d/yyyy")),FY24_Temp[],5,FALSE)&amp;TEXT(A1522,"-h"),TempDelta[],4,FALSE)</f>
        <v>2.5078571183340892</v>
      </c>
      <c r="R1522">
        <v>10</v>
      </c>
      <c r="S1522" s="112">
        <v>1500</v>
      </c>
      <c r="T1522" s="5">
        <f>VLOOKUP(TEXT(A1522,"yy-mm")&amp;"-"&amp;IF(AND(WEEKDAY(A1522)&gt;1,WEEKDAY(A1522)&lt;7),"Wkd",TEXT(A1522,"Ddd"))&amp;"-"&amp;TEXT(A1522,"hh"),LoadTable[],3,FALSE)*0.92</f>
        <v>339.23343999999997</v>
      </c>
      <c r="U1522" s="113">
        <f t="shared" si="1564"/>
        <v>33.923344</v>
      </c>
      <c r="V1522">
        <f t="shared" ref="V1522:W1522" si="1615">V1498</f>
        <v>2.5</v>
      </c>
      <c r="W1522">
        <f t="shared" si="1615"/>
        <v>3.1</v>
      </c>
      <c r="X1522" s="9">
        <v>3.1807113</v>
      </c>
      <c r="Y1522" s="39"/>
    </row>
    <row r="1523" spans="1:25" ht="15" thickBot="1">
      <c r="A1523" s="29">
        <f t="shared" si="1546"/>
        <v>45899.333333331626</v>
      </c>
      <c r="B1523" s="30">
        <f t="shared" si="1573"/>
        <v>8000</v>
      </c>
      <c r="C1523" s="8">
        <v>25000</v>
      </c>
      <c r="D1523" s="187">
        <v>0</v>
      </c>
      <c r="E1523" s="187">
        <v>700</v>
      </c>
      <c r="F1523" s="187">
        <v>15000</v>
      </c>
      <c r="G1523" s="30">
        <f t="shared" si="1574"/>
        <v>2400</v>
      </c>
      <c r="H1523" s="8">
        <v>25000</v>
      </c>
      <c r="I1523" s="30">
        <f t="shared" si="1575"/>
        <v>8000</v>
      </c>
      <c r="J1523" s="187">
        <v>40000</v>
      </c>
      <c r="K1523" s="30">
        <f t="shared" si="1576"/>
        <v>8000</v>
      </c>
      <c r="L1523" s="187">
        <v>40000</v>
      </c>
      <c r="M1523" s="110">
        <v>9.5</v>
      </c>
      <c r="N1523" s="9">
        <f>VLOOKUP(DATE(YEAR(A1523),MONTH(A1523),DAY(A1523)),FY24_Temp[],3,FALSE)</f>
        <v>14.95</v>
      </c>
      <c r="O1523" s="110">
        <f t="shared" si="1562"/>
        <v>11.5</v>
      </c>
      <c r="P1523" s="110">
        <f t="shared" si="1563"/>
        <v>19.5</v>
      </c>
      <c r="Q1523" s="79">
        <f>VLOOKUP(VLOOKUP(DATEVALUE(TEXT(A1523,"m/d/yyyy")),FY24_Temp[],5,FALSE)&amp;TEXT(A1523,"-h"),TempDelta[],4,FALSE)</f>
        <v>2.3500000068119595</v>
      </c>
      <c r="R1523">
        <v>10</v>
      </c>
      <c r="S1523" s="112">
        <v>1500</v>
      </c>
      <c r="T1523" s="5">
        <f>VLOOKUP(TEXT(A1523,"yy-mm")&amp;"-"&amp;IF(AND(WEEKDAY(A1523)&gt;1,WEEKDAY(A1523)&lt;7),"Wkd",TEXT(A1523,"Ddd"))&amp;"-"&amp;TEXT(A1523,"hh"),LoadTable[],3,FALSE)*0.92</f>
        <v>339.23343999999997</v>
      </c>
      <c r="U1523" s="113">
        <f t="shared" si="1564"/>
        <v>33.923344</v>
      </c>
      <c r="V1523">
        <f t="shared" ref="V1523:W1523" si="1616">V1499</f>
        <v>3.2</v>
      </c>
      <c r="W1523">
        <f t="shared" si="1616"/>
        <v>3</v>
      </c>
      <c r="X1523" s="9">
        <v>3.2292752</v>
      </c>
      <c r="Y1523" s="39"/>
    </row>
    <row r="1524" spans="1:25" ht="15" thickBot="1">
      <c r="A1524" s="29">
        <f t="shared" si="1546"/>
        <v>45899.37499999829</v>
      </c>
      <c r="B1524" s="30">
        <f t="shared" si="1573"/>
        <v>8000</v>
      </c>
      <c r="C1524" s="8">
        <v>25000</v>
      </c>
      <c r="D1524" s="187">
        <v>0</v>
      </c>
      <c r="E1524" s="187">
        <v>700</v>
      </c>
      <c r="F1524" s="187">
        <v>15000</v>
      </c>
      <c r="G1524" s="30">
        <f t="shared" si="1574"/>
        <v>2400</v>
      </c>
      <c r="H1524" s="8">
        <v>25000</v>
      </c>
      <c r="I1524" s="30">
        <f t="shared" si="1575"/>
        <v>8000</v>
      </c>
      <c r="J1524" s="187">
        <v>40000</v>
      </c>
      <c r="K1524" s="30">
        <f t="shared" si="1576"/>
        <v>8000</v>
      </c>
      <c r="L1524" s="187">
        <v>40000</v>
      </c>
      <c r="M1524" s="110">
        <v>9.5</v>
      </c>
      <c r="N1524" s="9">
        <f>VLOOKUP(DATE(YEAR(A1524),MONTH(A1524),DAY(A1524)),FY24_Temp[],3,FALSE)</f>
        <v>14.95</v>
      </c>
      <c r="O1524" s="110">
        <f t="shared" si="1562"/>
        <v>11.5</v>
      </c>
      <c r="P1524" s="110">
        <f t="shared" si="1563"/>
        <v>19.5</v>
      </c>
      <c r="Q1524" s="79">
        <f>VLOOKUP(VLOOKUP(DATEVALUE(TEXT(A1524,"m/d/yyyy")),FY24_Temp[],5,FALSE)&amp;TEXT(A1524,"-h"),TempDelta[],4,FALSE)</f>
        <v>2.1847142832619801</v>
      </c>
      <c r="R1524">
        <v>10</v>
      </c>
      <c r="S1524" s="112">
        <v>1500</v>
      </c>
      <c r="T1524" s="5">
        <f>VLOOKUP(TEXT(A1524,"yy-mm")&amp;"-"&amp;IF(AND(WEEKDAY(A1524)&gt;1,WEEKDAY(A1524)&lt;7),"Wkd",TEXT(A1524,"Ddd"))&amp;"-"&amp;TEXT(A1524,"hh"),LoadTable[],3,FALSE)*0.92</f>
        <v>338.44093501457735</v>
      </c>
      <c r="U1524" s="113">
        <f t="shared" si="1564"/>
        <v>33.844093501457735</v>
      </c>
      <c r="V1524">
        <f t="shared" ref="V1524:W1524" si="1617">V1500</f>
        <v>2.9</v>
      </c>
      <c r="W1524">
        <f t="shared" si="1617"/>
        <v>3</v>
      </c>
      <c r="X1524" s="9">
        <v>3.2575997999999999</v>
      </c>
      <c r="Y1524" s="39"/>
    </row>
    <row r="1525" spans="1:25" ht="15" thickBot="1">
      <c r="A1525" s="29">
        <f t="shared" ref="A1525:A1588" si="1618">A1524+TIME(1,0,0)</f>
        <v>45899.416666664954</v>
      </c>
      <c r="B1525" s="30">
        <f t="shared" si="1573"/>
        <v>8000</v>
      </c>
      <c r="C1525" s="8">
        <v>25000</v>
      </c>
      <c r="D1525" s="187">
        <v>0</v>
      </c>
      <c r="E1525" s="187">
        <v>700</v>
      </c>
      <c r="F1525" s="187">
        <v>15000</v>
      </c>
      <c r="G1525" s="30">
        <f t="shared" si="1574"/>
        <v>2400</v>
      </c>
      <c r="H1525" s="8">
        <v>25000</v>
      </c>
      <c r="I1525" s="30">
        <f t="shared" si="1575"/>
        <v>8000</v>
      </c>
      <c r="J1525" s="187">
        <v>40000</v>
      </c>
      <c r="K1525" s="30">
        <f t="shared" si="1576"/>
        <v>8000</v>
      </c>
      <c r="L1525" s="187">
        <v>40000</v>
      </c>
      <c r="M1525" s="110">
        <v>9.5</v>
      </c>
      <c r="N1525" s="9">
        <f>VLOOKUP(DATE(YEAR(A1525),MONTH(A1525),DAY(A1525)),FY24_Temp[],3,FALSE)</f>
        <v>14.95</v>
      </c>
      <c r="O1525" s="110">
        <f t="shared" si="1562"/>
        <v>11.5</v>
      </c>
      <c r="P1525" s="110">
        <f t="shared" si="1563"/>
        <v>19.5</v>
      </c>
      <c r="Q1525" s="79">
        <f>VLOOKUP(VLOOKUP(DATEVALUE(TEXT(A1525,"m/d/yyyy")),FY24_Temp[],5,FALSE)&amp;TEXT(A1525,"-h"),TempDelta[],4,FALSE)</f>
        <v>2.0077143056052074</v>
      </c>
      <c r="R1525">
        <v>10</v>
      </c>
      <c r="S1525" s="112">
        <v>1500</v>
      </c>
      <c r="T1525" s="5">
        <f>VLOOKUP(TEXT(A1525,"yy-mm")&amp;"-"&amp;IF(AND(WEEKDAY(A1525)&gt;1,WEEKDAY(A1525)&lt;7),"Wkd",TEXT(A1525,"Ddd"))&amp;"-"&amp;TEXT(A1525,"hh"),LoadTable[],3,FALSE)*0.92</f>
        <v>338.44093501457741</v>
      </c>
      <c r="U1525" s="113">
        <f t="shared" si="1564"/>
        <v>33.844093501457742</v>
      </c>
      <c r="V1525">
        <f t="shared" ref="V1525:W1525" si="1619">V1501</f>
        <v>2.9</v>
      </c>
      <c r="W1525">
        <f t="shared" si="1619"/>
        <v>3</v>
      </c>
      <c r="X1525" s="9">
        <v>3.3107722000000002</v>
      </c>
      <c r="Y1525" s="39"/>
    </row>
    <row r="1526" spans="1:25" ht="15" thickBot="1">
      <c r="A1526" s="29">
        <f t="shared" si="1618"/>
        <v>45899.458333331619</v>
      </c>
      <c r="B1526" s="30">
        <f t="shared" si="1573"/>
        <v>8000</v>
      </c>
      <c r="C1526" s="8">
        <v>25000</v>
      </c>
      <c r="D1526" s="187">
        <v>0</v>
      </c>
      <c r="E1526" s="187">
        <v>700</v>
      </c>
      <c r="F1526" s="187">
        <v>15000</v>
      </c>
      <c r="G1526" s="30">
        <f t="shared" si="1574"/>
        <v>2400</v>
      </c>
      <c r="H1526" s="8">
        <v>25000</v>
      </c>
      <c r="I1526" s="30">
        <f t="shared" si="1575"/>
        <v>8000</v>
      </c>
      <c r="J1526" s="187">
        <v>40000</v>
      </c>
      <c r="K1526" s="30">
        <f t="shared" si="1576"/>
        <v>8000</v>
      </c>
      <c r="L1526" s="187">
        <v>40000</v>
      </c>
      <c r="M1526" s="110">
        <v>9.5</v>
      </c>
      <c r="N1526" s="9">
        <f>VLOOKUP(DATE(YEAR(A1526),MONTH(A1526),DAY(A1526)),FY24_Temp[],3,FALSE)</f>
        <v>14.95</v>
      </c>
      <c r="O1526" s="110">
        <f t="shared" si="1562"/>
        <v>11.5</v>
      </c>
      <c r="P1526" s="110">
        <f t="shared" si="1563"/>
        <v>19.5</v>
      </c>
      <c r="Q1526" s="79">
        <f>VLOOKUP(VLOOKUP(DATEVALUE(TEXT(A1526,"m/d/yyyy")),FY24_Temp[],5,FALSE)&amp;TEXT(A1526,"-h"),TempDelta[],4,FALSE)</f>
        <v>1.7969999824251448</v>
      </c>
      <c r="R1526">
        <v>10</v>
      </c>
      <c r="S1526" s="112">
        <v>1500</v>
      </c>
      <c r="T1526" s="5">
        <f>VLOOKUP(TEXT(A1526,"yy-mm")&amp;"-"&amp;IF(AND(WEEKDAY(A1526)&gt;1,WEEKDAY(A1526)&lt;7),"Wkd",TEXT(A1526,"Ddd"))&amp;"-"&amp;TEXT(A1526,"hh"),LoadTable[],3,FALSE)*0.92</f>
        <v>338.44093501457741</v>
      </c>
      <c r="U1526" s="113">
        <f t="shared" si="1564"/>
        <v>33.844093501457742</v>
      </c>
      <c r="V1526">
        <f t="shared" ref="V1526:W1526" si="1620">V1502</f>
        <v>3.4</v>
      </c>
      <c r="W1526">
        <f t="shared" si="1620"/>
        <v>3</v>
      </c>
      <c r="X1526" s="9">
        <v>3.2409756000000001</v>
      </c>
      <c r="Y1526" s="39"/>
    </row>
    <row r="1527" spans="1:25" ht="15" thickBot="1">
      <c r="A1527" s="29">
        <f t="shared" si="1618"/>
        <v>45899.499999998283</v>
      </c>
      <c r="B1527" s="30">
        <f t="shared" si="1573"/>
        <v>8000</v>
      </c>
      <c r="C1527" s="8">
        <v>25000</v>
      </c>
      <c r="D1527" s="187">
        <v>0</v>
      </c>
      <c r="E1527" s="187">
        <v>700</v>
      </c>
      <c r="F1527" s="187">
        <v>15000</v>
      </c>
      <c r="G1527" s="30">
        <f t="shared" si="1574"/>
        <v>2400</v>
      </c>
      <c r="H1527" s="8">
        <v>25000</v>
      </c>
      <c r="I1527" s="30">
        <f t="shared" si="1575"/>
        <v>8000</v>
      </c>
      <c r="J1527" s="187">
        <v>40000</v>
      </c>
      <c r="K1527" s="30">
        <f t="shared" si="1576"/>
        <v>8000</v>
      </c>
      <c r="L1527" s="187">
        <v>40000</v>
      </c>
      <c r="M1527" s="110">
        <v>9.5</v>
      </c>
      <c r="N1527" s="9">
        <f>VLOOKUP(DATE(YEAR(A1527),MONTH(A1527),DAY(A1527)),FY24_Temp[],3,FALSE)</f>
        <v>14.95</v>
      </c>
      <c r="O1527" s="110">
        <f t="shared" si="1562"/>
        <v>11.5</v>
      </c>
      <c r="P1527" s="110">
        <f t="shared" si="1563"/>
        <v>19.5</v>
      </c>
      <c r="Q1527" s="79">
        <f>VLOOKUP(VLOOKUP(DATEVALUE(TEXT(A1527,"m/d/yyyy")),FY24_Temp[],5,FALSE)&amp;TEXT(A1527,"-h"),TempDelta[],4,FALSE)</f>
        <v>1.5904285567147392</v>
      </c>
      <c r="R1527">
        <v>10</v>
      </c>
      <c r="S1527" s="112">
        <v>1500</v>
      </c>
      <c r="T1527" s="5">
        <f>VLOOKUP(TEXT(A1527,"yy-mm")&amp;"-"&amp;IF(AND(WEEKDAY(A1527)&gt;1,WEEKDAY(A1527)&lt;7),"Wkd",TEXT(A1527,"Ddd"))&amp;"-"&amp;TEXT(A1527,"hh"),LoadTable[],3,FALSE)*0.92</f>
        <v>338.44093501457752</v>
      </c>
      <c r="U1527" s="113">
        <f t="shared" si="1564"/>
        <v>33.844093501457749</v>
      </c>
      <c r="V1527">
        <f t="shared" ref="V1527:W1527" si="1621">V1503</f>
        <v>3.1</v>
      </c>
      <c r="W1527">
        <f t="shared" si="1621"/>
        <v>2.9</v>
      </c>
      <c r="X1527" s="9">
        <v>3.0979747999999998</v>
      </c>
      <c r="Y1527" s="39"/>
    </row>
    <row r="1528" spans="1:25" ht="15" thickBot="1">
      <c r="A1528" s="29">
        <f t="shared" si="1618"/>
        <v>45899.541666664947</v>
      </c>
      <c r="B1528" s="30">
        <f t="shared" si="1573"/>
        <v>8000</v>
      </c>
      <c r="C1528" s="8">
        <v>25000</v>
      </c>
      <c r="D1528" s="187">
        <v>0</v>
      </c>
      <c r="E1528" s="187">
        <v>700</v>
      </c>
      <c r="F1528" s="187">
        <v>15000</v>
      </c>
      <c r="G1528" s="30">
        <f t="shared" si="1574"/>
        <v>2400</v>
      </c>
      <c r="H1528" s="8">
        <v>25000</v>
      </c>
      <c r="I1528" s="30">
        <f t="shared" si="1575"/>
        <v>8000</v>
      </c>
      <c r="J1528" s="187">
        <v>40000</v>
      </c>
      <c r="K1528" s="30">
        <f t="shared" si="1576"/>
        <v>8000</v>
      </c>
      <c r="L1528" s="187">
        <v>40000</v>
      </c>
      <c r="M1528" s="110">
        <v>9.5</v>
      </c>
      <c r="N1528" s="9">
        <f>VLOOKUP(DATE(YEAR(A1528),MONTH(A1528),DAY(A1528)),FY24_Temp[],3,FALSE)</f>
        <v>14.95</v>
      </c>
      <c r="O1528" s="110">
        <f t="shared" si="1562"/>
        <v>11.5</v>
      </c>
      <c r="P1528" s="110">
        <f t="shared" si="1563"/>
        <v>19.5</v>
      </c>
      <c r="Q1528" s="79">
        <f>VLOOKUP(VLOOKUP(DATEVALUE(TEXT(A1528,"m/d/yyyy")),FY24_Temp[],5,FALSE)&amp;TEXT(A1528,"-h"),TempDelta[],4,FALSE)</f>
        <v>1.3895714112690516</v>
      </c>
      <c r="R1528">
        <v>10</v>
      </c>
      <c r="S1528" s="112">
        <v>1500</v>
      </c>
      <c r="T1528" s="5">
        <f>VLOOKUP(TEXT(A1528,"yy-mm")&amp;"-"&amp;IF(AND(WEEKDAY(A1528)&gt;1,WEEKDAY(A1528)&lt;7),"Wkd",TEXT(A1528,"Ddd"))&amp;"-"&amp;TEXT(A1528,"hh"),LoadTable[],3,FALSE)*0.92</f>
        <v>419.45560000000012</v>
      </c>
      <c r="U1528" s="113">
        <f t="shared" si="1564"/>
        <v>41.945560000000015</v>
      </c>
      <c r="V1528">
        <f t="shared" ref="V1528:W1528" si="1622">V1504</f>
        <v>3.2</v>
      </c>
      <c r="W1528">
        <f t="shared" si="1622"/>
        <v>2.9</v>
      </c>
      <c r="X1528" s="9">
        <v>2.92136</v>
      </c>
      <c r="Y1528" s="39"/>
    </row>
    <row r="1529" spans="1:25" ht="15" thickBot="1">
      <c r="A1529" s="29">
        <f t="shared" si="1618"/>
        <v>45899.583333331611</v>
      </c>
      <c r="B1529" s="30">
        <f t="shared" si="1573"/>
        <v>8000</v>
      </c>
      <c r="C1529" s="8">
        <v>25000</v>
      </c>
      <c r="D1529" s="187">
        <v>0</v>
      </c>
      <c r="E1529" s="187">
        <v>700</v>
      </c>
      <c r="F1529" s="187">
        <v>15000</v>
      </c>
      <c r="G1529" s="30">
        <f t="shared" si="1574"/>
        <v>2400</v>
      </c>
      <c r="H1529" s="8">
        <v>25000</v>
      </c>
      <c r="I1529" s="30">
        <f t="shared" si="1575"/>
        <v>8000</v>
      </c>
      <c r="J1529" s="187">
        <v>40000</v>
      </c>
      <c r="K1529" s="30">
        <f t="shared" si="1576"/>
        <v>8000</v>
      </c>
      <c r="L1529" s="187">
        <v>40000</v>
      </c>
      <c r="M1529" s="110">
        <v>9.5</v>
      </c>
      <c r="N1529" s="9">
        <f>VLOOKUP(DATE(YEAR(A1529),MONTH(A1529),DAY(A1529)),FY24_Temp[],3,FALSE)</f>
        <v>14.95</v>
      </c>
      <c r="O1529" s="110">
        <f t="shared" si="1562"/>
        <v>11.5</v>
      </c>
      <c r="P1529" s="110">
        <f t="shared" si="1563"/>
        <v>19.5</v>
      </c>
      <c r="Q1529" s="79">
        <f>VLOOKUP(VLOOKUP(DATEVALUE(TEXT(A1529,"m/d/yyyy")),FY24_Temp[],5,FALSE)&amp;TEXT(A1529,"-h"),TempDelta[],4,FALSE)</f>
        <v>0.96357142499514992</v>
      </c>
      <c r="R1529">
        <v>10</v>
      </c>
      <c r="S1529" s="112">
        <v>1500</v>
      </c>
      <c r="T1529" s="5">
        <f>VLOOKUP(TEXT(A1529,"yy-mm")&amp;"-"&amp;IF(AND(WEEKDAY(A1529)&gt;1,WEEKDAY(A1529)&lt;7),"Wkd",TEXT(A1529,"Ddd"))&amp;"-"&amp;TEXT(A1529,"hh"),LoadTable[],3,FALSE)*0.92</f>
        <v>602.53744000000006</v>
      </c>
      <c r="U1529" s="113">
        <f t="shared" si="1564"/>
        <v>60.253744000000005</v>
      </c>
      <c r="V1529">
        <f t="shared" ref="V1529:W1529" si="1623">V1505</f>
        <v>3.5</v>
      </c>
      <c r="W1529">
        <f t="shared" si="1623"/>
        <v>2.9</v>
      </c>
      <c r="X1529" s="9">
        <v>2.9165561000000002</v>
      </c>
      <c r="Y1529" s="39"/>
    </row>
    <row r="1530" spans="1:25" ht="15" thickBot="1">
      <c r="A1530" s="29">
        <f t="shared" si="1618"/>
        <v>45899.624999998276</v>
      </c>
      <c r="B1530" s="30">
        <f t="shared" si="1573"/>
        <v>8000</v>
      </c>
      <c r="C1530" s="8">
        <v>25000</v>
      </c>
      <c r="D1530" s="187">
        <v>0</v>
      </c>
      <c r="E1530" s="187">
        <v>700</v>
      </c>
      <c r="F1530" s="187">
        <v>15000</v>
      </c>
      <c r="G1530" s="30">
        <f t="shared" si="1574"/>
        <v>2400</v>
      </c>
      <c r="H1530" s="8">
        <v>25000</v>
      </c>
      <c r="I1530" s="30">
        <f t="shared" si="1575"/>
        <v>8000</v>
      </c>
      <c r="J1530" s="187">
        <v>40000</v>
      </c>
      <c r="K1530" s="30">
        <f t="shared" si="1576"/>
        <v>8000</v>
      </c>
      <c r="L1530" s="187">
        <v>40000</v>
      </c>
      <c r="M1530" s="110">
        <v>9.5</v>
      </c>
      <c r="N1530" s="9">
        <f>VLOOKUP(DATE(YEAR(A1530),MONTH(A1530),DAY(A1530)),FY24_Temp[],3,FALSE)</f>
        <v>14.95</v>
      </c>
      <c r="O1530" s="110">
        <f t="shared" si="1562"/>
        <v>11.5</v>
      </c>
      <c r="P1530" s="110">
        <f t="shared" si="1563"/>
        <v>19.5</v>
      </c>
      <c r="Q1530" s="79">
        <f>VLOOKUP(VLOOKUP(DATEVALUE(TEXT(A1530,"m/d/yyyy")),FY24_Temp[],5,FALSE)&amp;TEXT(A1530,"-h"),TempDelta[],4,FALSE)</f>
        <v>0.84407143933432438</v>
      </c>
      <c r="R1530">
        <v>10</v>
      </c>
      <c r="S1530" s="112">
        <v>1500</v>
      </c>
      <c r="T1530" s="5">
        <f>VLOOKUP(TEXT(A1530,"yy-mm")&amp;"-"&amp;IF(AND(WEEKDAY(A1530)&gt;1,WEEKDAY(A1530)&lt;7),"Wkd",TEXT(A1530,"Ddd"))&amp;"-"&amp;TEXT(A1530,"hh"),LoadTable[],3,FALSE)*0.92</f>
        <v>718.53656000000001</v>
      </c>
      <c r="U1530" s="113">
        <f t="shared" si="1564"/>
        <v>71.853656000000001</v>
      </c>
      <c r="V1530">
        <f t="shared" ref="V1530:W1530" si="1624">V1506</f>
        <v>3.2</v>
      </c>
      <c r="W1530">
        <f t="shared" si="1624"/>
        <v>2.9</v>
      </c>
      <c r="X1530" s="9">
        <v>3.2798311999999998</v>
      </c>
      <c r="Y1530" s="39"/>
    </row>
    <row r="1531" spans="1:25" ht="15" thickBot="1">
      <c r="A1531" s="29">
        <f t="shared" si="1618"/>
        <v>45899.66666666494</v>
      </c>
      <c r="B1531" s="30">
        <f t="shared" si="1573"/>
        <v>8000</v>
      </c>
      <c r="C1531" s="8">
        <v>25000</v>
      </c>
      <c r="D1531" s="187">
        <v>0</v>
      </c>
      <c r="E1531" s="187">
        <v>700</v>
      </c>
      <c r="F1531" s="187">
        <v>15000</v>
      </c>
      <c r="G1531" s="30">
        <f t="shared" si="1574"/>
        <v>2400</v>
      </c>
      <c r="H1531" s="8">
        <v>25000</v>
      </c>
      <c r="I1531" s="30">
        <f t="shared" si="1575"/>
        <v>8000</v>
      </c>
      <c r="J1531" s="187">
        <v>40000</v>
      </c>
      <c r="K1531" s="30">
        <f t="shared" si="1576"/>
        <v>8000</v>
      </c>
      <c r="L1531" s="187">
        <v>40000</v>
      </c>
      <c r="M1531" s="110">
        <v>9.5</v>
      </c>
      <c r="N1531" s="9">
        <f>VLOOKUP(DATE(YEAR(A1531),MONTH(A1531),DAY(A1531)),FY24_Temp[],3,FALSE)</f>
        <v>14.95</v>
      </c>
      <c r="O1531" s="110">
        <f t="shared" si="1562"/>
        <v>11.5</v>
      </c>
      <c r="P1531" s="110">
        <f t="shared" si="1563"/>
        <v>19.5</v>
      </c>
      <c r="Q1531" s="79">
        <f>VLOOKUP(VLOOKUP(DATEVALUE(TEXT(A1531,"m/d/yyyy")),FY24_Temp[],5,FALSE)&amp;TEXT(A1531,"-h"),TempDelta[],4,FALSE)</f>
        <v>0.87021427069391522</v>
      </c>
      <c r="R1531">
        <v>10</v>
      </c>
      <c r="S1531" s="112">
        <v>1500</v>
      </c>
      <c r="T1531" s="5">
        <f>VLOOKUP(TEXT(A1531,"yy-mm")&amp;"-"&amp;IF(AND(WEEKDAY(A1531)&gt;1,WEEKDAY(A1531)&lt;7),"Wkd",TEXT(A1531,"Ddd"))&amp;"-"&amp;TEXT(A1531,"hh"),LoadTable[],3,FALSE)*0.92</f>
        <v>786.27137399656624</v>
      </c>
      <c r="U1531" s="113">
        <f t="shared" si="1564"/>
        <v>78.627137399656618</v>
      </c>
      <c r="V1531">
        <f t="shared" ref="V1531:W1531" si="1625">V1507</f>
        <v>3.5</v>
      </c>
      <c r="W1531">
        <f t="shared" si="1625"/>
        <v>3</v>
      </c>
      <c r="X1531" s="9">
        <v>3.1889135999999998</v>
      </c>
      <c r="Y1531" s="39"/>
    </row>
    <row r="1532" spans="1:25" ht="15" thickBot="1">
      <c r="A1532" s="29">
        <f t="shared" si="1618"/>
        <v>45899.708333331604</v>
      </c>
      <c r="B1532" s="30">
        <f t="shared" si="1573"/>
        <v>8000</v>
      </c>
      <c r="C1532" s="8">
        <v>25000</v>
      </c>
      <c r="D1532" s="187">
        <v>0</v>
      </c>
      <c r="E1532" s="187">
        <v>700</v>
      </c>
      <c r="F1532" s="187">
        <v>15000</v>
      </c>
      <c r="G1532" s="30">
        <f t="shared" si="1574"/>
        <v>2400</v>
      </c>
      <c r="H1532" s="8">
        <v>25000</v>
      </c>
      <c r="I1532" s="30">
        <f t="shared" si="1575"/>
        <v>8000</v>
      </c>
      <c r="J1532" s="187">
        <v>40000</v>
      </c>
      <c r="K1532" s="30">
        <f t="shared" si="1576"/>
        <v>8000</v>
      </c>
      <c r="L1532" s="187">
        <v>40000</v>
      </c>
      <c r="M1532" s="110">
        <v>9.5</v>
      </c>
      <c r="N1532" s="9">
        <f>VLOOKUP(DATE(YEAR(A1532),MONTH(A1532),DAY(A1532)),FY24_Temp[],3,FALSE)</f>
        <v>14.95</v>
      </c>
      <c r="O1532" s="110">
        <f t="shared" si="1562"/>
        <v>11.5</v>
      </c>
      <c r="P1532" s="110">
        <f t="shared" si="1563"/>
        <v>19.5</v>
      </c>
      <c r="Q1532" s="79">
        <f>VLOOKUP(VLOOKUP(DATEVALUE(TEXT(A1532,"m/d/yyyy")),FY24_Temp[],5,FALSE)&amp;TEXT(A1532,"-h"),TempDelta[],4,FALSE)</f>
        <v>1.0735000031335014</v>
      </c>
      <c r="R1532">
        <v>10</v>
      </c>
      <c r="S1532" s="112">
        <v>1500</v>
      </c>
      <c r="T1532" s="5">
        <f>VLOOKUP(TEXT(A1532,"yy-mm")&amp;"-"&amp;IF(AND(WEEKDAY(A1532)&gt;1,WEEKDAY(A1532)&lt;7),"Wkd",TEXT(A1532,"Ddd"))&amp;"-"&amp;TEXT(A1532,"hh"),LoadTable[],3,FALSE)*0.92</f>
        <v>786.27137399656624</v>
      </c>
      <c r="U1532" s="113">
        <f t="shared" si="1564"/>
        <v>78.627137399656618</v>
      </c>
      <c r="V1532">
        <f t="shared" ref="V1532:W1532" si="1626">V1508</f>
        <v>3.6</v>
      </c>
      <c r="W1532">
        <f t="shared" si="1626"/>
        <v>3</v>
      </c>
      <c r="X1532" s="9">
        <v>3.1135483000000002</v>
      </c>
      <c r="Y1532" s="39"/>
    </row>
    <row r="1533" spans="1:25" ht="15" thickBot="1">
      <c r="A1533" s="29">
        <f t="shared" si="1618"/>
        <v>45899.749999998268</v>
      </c>
      <c r="B1533" s="30">
        <f t="shared" si="1573"/>
        <v>5000</v>
      </c>
      <c r="C1533" s="8">
        <v>25000</v>
      </c>
      <c r="D1533" s="187">
        <v>0</v>
      </c>
      <c r="E1533" s="187">
        <v>700</v>
      </c>
      <c r="F1533" s="187">
        <v>15000</v>
      </c>
      <c r="G1533" s="30">
        <f t="shared" si="1574"/>
        <v>2400</v>
      </c>
      <c r="H1533" s="8">
        <v>25000</v>
      </c>
      <c r="I1533" s="30">
        <f t="shared" si="1575"/>
        <v>5000</v>
      </c>
      <c r="J1533" s="187">
        <v>40000</v>
      </c>
      <c r="K1533" s="30">
        <f t="shared" si="1576"/>
        <v>5000</v>
      </c>
      <c r="L1533" s="187">
        <v>40000</v>
      </c>
      <c r="M1533" s="110">
        <v>9.5</v>
      </c>
      <c r="N1533" s="9">
        <f>VLOOKUP(DATE(YEAR(A1533),MONTH(A1533),DAY(A1533)),FY24_Temp[],3,FALSE)</f>
        <v>14.95</v>
      </c>
      <c r="O1533" s="110">
        <f t="shared" si="1562"/>
        <v>11.5</v>
      </c>
      <c r="P1533" s="110">
        <f t="shared" si="1563"/>
        <v>19.5</v>
      </c>
      <c r="Q1533" s="79">
        <f>VLOOKUP(VLOOKUP(DATEVALUE(TEXT(A1533,"m/d/yyyy")),FY24_Temp[],5,FALSE)&amp;TEXT(A1533,"-h"),TempDelta[],4,FALSE)</f>
        <v>1.3760714275496346</v>
      </c>
      <c r="R1533">
        <v>10</v>
      </c>
      <c r="S1533" s="112">
        <v>1500</v>
      </c>
      <c r="T1533" s="5">
        <f>VLOOKUP(TEXT(A1533,"yy-mm")&amp;"-"&amp;IF(AND(WEEKDAY(A1533)&gt;1,WEEKDAY(A1533)&lt;7),"Wkd",TEXT(A1533,"Ddd"))&amp;"-"&amp;TEXT(A1533,"hh"),LoadTable[],3,FALSE)*0.92</f>
        <v>786.27137399656647</v>
      </c>
      <c r="U1533" s="113">
        <f t="shared" si="1564"/>
        <v>78.627137399656647</v>
      </c>
      <c r="V1533">
        <f t="shared" ref="V1533:W1533" si="1627">V1509</f>
        <v>2.9</v>
      </c>
      <c r="W1533">
        <f t="shared" si="1627"/>
        <v>3</v>
      </c>
      <c r="X1533" s="9">
        <v>3.1045829999999999</v>
      </c>
      <c r="Y1533" s="39"/>
    </row>
    <row r="1534" spans="1:25" ht="15" thickBot="1">
      <c r="A1534" s="29">
        <f t="shared" si="1618"/>
        <v>45899.791666664933</v>
      </c>
      <c r="B1534" s="30">
        <f t="shared" si="1573"/>
        <v>5000</v>
      </c>
      <c r="C1534" s="8">
        <v>25000</v>
      </c>
      <c r="D1534" s="187">
        <v>0</v>
      </c>
      <c r="E1534" s="187">
        <v>700</v>
      </c>
      <c r="F1534" s="187">
        <v>15000</v>
      </c>
      <c r="G1534" s="30">
        <f t="shared" si="1574"/>
        <v>2400</v>
      </c>
      <c r="H1534" s="8">
        <v>25000</v>
      </c>
      <c r="I1534" s="30">
        <f t="shared" si="1575"/>
        <v>5000</v>
      </c>
      <c r="J1534" s="187">
        <v>40000</v>
      </c>
      <c r="K1534" s="30">
        <f t="shared" si="1576"/>
        <v>5000</v>
      </c>
      <c r="L1534" s="187">
        <v>40000</v>
      </c>
      <c r="M1534" s="110">
        <v>9.5</v>
      </c>
      <c r="N1534" s="9">
        <f>VLOOKUP(DATE(YEAR(A1534),MONTH(A1534),DAY(A1534)),FY24_Temp[],3,FALSE)</f>
        <v>14.95</v>
      </c>
      <c r="O1534" s="110">
        <f t="shared" si="1562"/>
        <v>11.5</v>
      </c>
      <c r="P1534" s="110">
        <f t="shared" si="1563"/>
        <v>19.5</v>
      </c>
      <c r="Q1534" s="79">
        <f>VLOOKUP(VLOOKUP(DATEVALUE(TEXT(A1534,"m/d/yyyy")),FY24_Temp[],5,FALSE)&amp;TEXT(A1534,"-h"),TempDelta[],4,FALSE)</f>
        <v>1.5774285623005457</v>
      </c>
      <c r="R1534">
        <v>10</v>
      </c>
      <c r="S1534" s="112">
        <v>1500</v>
      </c>
      <c r="T1534" s="5">
        <f>VLOOKUP(TEXT(A1534,"yy-mm")&amp;"-"&amp;IF(AND(WEEKDAY(A1534)&gt;1,WEEKDAY(A1534)&lt;7),"Wkd",TEXT(A1534,"Ddd"))&amp;"-"&amp;TEXT(A1534,"hh"),LoadTable[],3,FALSE)*0.92</f>
        <v>786.27137399656624</v>
      </c>
      <c r="U1534" s="113">
        <f t="shared" si="1564"/>
        <v>78.627137399656618</v>
      </c>
      <c r="V1534">
        <f t="shared" ref="V1534:W1534" si="1628">V1510</f>
        <v>3</v>
      </c>
      <c r="W1534">
        <f t="shared" si="1628"/>
        <v>3</v>
      </c>
      <c r="X1534" s="9">
        <v>3.0714343</v>
      </c>
      <c r="Y1534" s="39"/>
    </row>
    <row r="1535" spans="1:25" ht="15" thickBot="1">
      <c r="A1535" s="29">
        <f t="shared" si="1618"/>
        <v>45899.833333331597</v>
      </c>
      <c r="B1535" s="30">
        <f t="shared" si="1573"/>
        <v>5000</v>
      </c>
      <c r="C1535" s="8">
        <v>25000</v>
      </c>
      <c r="D1535" s="187">
        <v>0</v>
      </c>
      <c r="E1535" s="187">
        <v>700</v>
      </c>
      <c r="F1535" s="187">
        <v>15000</v>
      </c>
      <c r="G1535" s="30">
        <f t="shared" si="1574"/>
        <v>2400</v>
      </c>
      <c r="H1535" s="8">
        <v>25000</v>
      </c>
      <c r="I1535" s="30">
        <f t="shared" si="1575"/>
        <v>5000</v>
      </c>
      <c r="J1535" s="187">
        <v>40000</v>
      </c>
      <c r="K1535" s="30">
        <f t="shared" si="1576"/>
        <v>5000</v>
      </c>
      <c r="L1535" s="187">
        <v>40000</v>
      </c>
      <c r="M1535" s="110">
        <v>9.5</v>
      </c>
      <c r="N1535" s="9">
        <f>VLOOKUP(DATE(YEAR(A1535),MONTH(A1535),DAY(A1535)),FY24_Temp[],3,FALSE)</f>
        <v>14.95</v>
      </c>
      <c r="O1535" s="110">
        <f t="shared" si="1562"/>
        <v>11.5</v>
      </c>
      <c r="P1535" s="110">
        <f t="shared" si="1563"/>
        <v>19.5</v>
      </c>
      <c r="Q1535" s="79">
        <f>VLOOKUP(VLOOKUP(DATEVALUE(TEXT(A1535,"m/d/yyyy")),FY24_Temp[],5,FALSE)&amp;TEXT(A1535,"-h"),TempDelta[],4,FALSE)</f>
        <v>1.776142852646964</v>
      </c>
      <c r="R1535">
        <v>10</v>
      </c>
      <c r="S1535" s="112">
        <v>1500</v>
      </c>
      <c r="T1535" s="5">
        <f>VLOOKUP(TEXT(A1535,"yy-mm")&amp;"-"&amp;IF(AND(WEEKDAY(A1535)&gt;1,WEEKDAY(A1535)&lt;7),"Wkd",TEXT(A1535,"Ddd"))&amp;"-"&amp;TEXT(A1535,"hh"),LoadTable[],3,FALSE)*0.92</f>
        <v>777.64820632864951</v>
      </c>
      <c r="U1535" s="113">
        <f t="shared" si="1564"/>
        <v>77.764820632864954</v>
      </c>
      <c r="V1535">
        <f t="shared" ref="V1535:W1535" si="1629">V1511</f>
        <v>2.8</v>
      </c>
      <c r="W1535">
        <f t="shared" si="1629"/>
        <v>3.1</v>
      </c>
      <c r="X1535" s="9">
        <v>3.0366216000000001</v>
      </c>
      <c r="Y1535" s="39"/>
    </row>
    <row r="1536" spans="1:25" ht="15" thickBot="1">
      <c r="A1536" s="29">
        <f t="shared" si="1618"/>
        <v>45899.874999998261</v>
      </c>
      <c r="B1536" s="30">
        <f t="shared" si="1573"/>
        <v>5000</v>
      </c>
      <c r="C1536" s="8">
        <v>25000</v>
      </c>
      <c r="D1536" s="187">
        <v>0</v>
      </c>
      <c r="E1536" s="187">
        <v>700</v>
      </c>
      <c r="F1536" s="187">
        <v>15000</v>
      </c>
      <c r="G1536" s="30">
        <f t="shared" si="1574"/>
        <v>2400</v>
      </c>
      <c r="H1536" s="8">
        <v>25000</v>
      </c>
      <c r="I1536" s="30">
        <f t="shared" si="1575"/>
        <v>5000</v>
      </c>
      <c r="J1536" s="187">
        <v>40000</v>
      </c>
      <c r="K1536" s="30">
        <f t="shared" si="1576"/>
        <v>5000</v>
      </c>
      <c r="L1536" s="187">
        <v>40000</v>
      </c>
      <c r="M1536" s="110">
        <v>9.5</v>
      </c>
      <c r="N1536" s="9">
        <f>VLOOKUP(DATE(YEAR(A1536),MONTH(A1536),DAY(A1536)),FY24_Temp[],3,FALSE)</f>
        <v>14.95</v>
      </c>
      <c r="O1536" s="110">
        <f t="shared" si="1562"/>
        <v>11.5</v>
      </c>
      <c r="P1536" s="110">
        <f t="shared" si="1563"/>
        <v>19.5</v>
      </c>
      <c r="Q1536" s="79">
        <f>VLOOKUP(VLOOKUP(DATEVALUE(TEXT(A1536,"m/d/yyyy")),FY24_Temp[],5,FALSE)&amp;TEXT(A1536,"-h"),TempDelta[],4,FALSE)</f>
        <v>1.8817142588751656</v>
      </c>
      <c r="R1536">
        <v>10</v>
      </c>
      <c r="S1536" s="112">
        <v>1500</v>
      </c>
      <c r="T1536" s="5">
        <f>VLOOKUP(TEXT(A1536,"yy-mm")&amp;"-"&amp;IF(AND(WEEKDAY(A1536)&gt;1,WEEKDAY(A1536)&lt;7),"Wkd",TEXT(A1536,"Ddd"))&amp;"-"&amp;TEXT(A1536,"hh"),LoadTable[],3,FALSE)*0.92</f>
        <v>646.6971562116064</v>
      </c>
      <c r="U1536" s="113">
        <f t="shared" si="1564"/>
        <v>64.669715621160634</v>
      </c>
      <c r="V1536">
        <f t="shared" ref="V1536:W1536" si="1630">V1512</f>
        <v>3.5</v>
      </c>
      <c r="W1536">
        <f t="shared" si="1630"/>
        <v>3.1</v>
      </c>
      <c r="X1536" s="9">
        <v>3.0038790999999998</v>
      </c>
      <c r="Y1536" s="39"/>
    </row>
    <row r="1537" spans="1:25" ht="15" thickBot="1">
      <c r="A1537" s="29">
        <f t="shared" si="1618"/>
        <v>45899.916666664925</v>
      </c>
      <c r="B1537" s="30">
        <f t="shared" si="1573"/>
        <v>5000</v>
      </c>
      <c r="C1537" s="8">
        <v>25000</v>
      </c>
      <c r="D1537" s="187">
        <v>0</v>
      </c>
      <c r="E1537" s="187">
        <v>700</v>
      </c>
      <c r="F1537" s="187">
        <v>15000</v>
      </c>
      <c r="G1537" s="30">
        <f t="shared" si="1574"/>
        <v>2400</v>
      </c>
      <c r="H1537" s="8">
        <v>25000</v>
      </c>
      <c r="I1537" s="30">
        <f t="shared" si="1575"/>
        <v>5000</v>
      </c>
      <c r="J1537" s="187">
        <v>40000</v>
      </c>
      <c r="K1537" s="30">
        <f t="shared" si="1576"/>
        <v>5000</v>
      </c>
      <c r="L1537" s="187">
        <v>40000</v>
      </c>
      <c r="M1537" s="110">
        <v>9.5</v>
      </c>
      <c r="N1537" s="9">
        <f>VLOOKUP(DATE(YEAR(A1537),MONTH(A1537),DAY(A1537)),FY24_Temp[],3,FALSE)</f>
        <v>14.95</v>
      </c>
      <c r="O1537" s="110">
        <f t="shared" si="1562"/>
        <v>11.5</v>
      </c>
      <c r="P1537" s="110">
        <f t="shared" si="1563"/>
        <v>19.5</v>
      </c>
      <c r="Q1537" s="79">
        <f>VLOOKUP(VLOOKUP(DATEVALUE(TEXT(A1537,"m/d/yyyy")),FY24_Temp[],5,FALSE)&amp;TEXT(A1537,"-h"),TempDelta[],4,FALSE)</f>
        <v>2.2282856873103549</v>
      </c>
      <c r="R1537">
        <v>10</v>
      </c>
      <c r="S1537" s="112">
        <v>1500</v>
      </c>
      <c r="T1537" s="5">
        <f>VLOOKUP(TEXT(A1537,"yy-mm")&amp;"-"&amp;IF(AND(WEEKDAY(A1537)&gt;1,WEEKDAY(A1537)&lt;7),"Wkd",TEXT(A1537,"Ddd"))&amp;"-"&amp;TEXT(A1537,"hh"),LoadTable[],3,FALSE)*0.92</f>
        <v>584.81792964989802</v>
      </c>
      <c r="U1537" s="113">
        <f t="shared" si="1564"/>
        <v>58.481792964989801</v>
      </c>
      <c r="V1537">
        <f t="shared" ref="V1537:W1537" si="1631">V1513</f>
        <v>2.9</v>
      </c>
      <c r="W1537">
        <f t="shared" si="1631"/>
        <v>3.1</v>
      </c>
      <c r="X1537" s="9">
        <v>2.9666416999999998</v>
      </c>
      <c r="Y1537" s="39"/>
    </row>
    <row r="1538" spans="1:25" ht="15" thickBot="1">
      <c r="A1538" s="29">
        <f t="shared" si="1618"/>
        <v>45899.95833333159</v>
      </c>
      <c r="B1538" s="30">
        <f t="shared" si="1573"/>
        <v>5000</v>
      </c>
      <c r="C1538" s="8">
        <v>25000</v>
      </c>
      <c r="D1538" s="187">
        <v>0</v>
      </c>
      <c r="E1538" s="187">
        <v>700</v>
      </c>
      <c r="F1538" s="187">
        <v>15000</v>
      </c>
      <c r="G1538" s="30">
        <f t="shared" si="1574"/>
        <v>2400</v>
      </c>
      <c r="H1538" s="8">
        <v>25000</v>
      </c>
      <c r="I1538" s="30">
        <f t="shared" si="1575"/>
        <v>5000</v>
      </c>
      <c r="J1538" s="187">
        <v>40000</v>
      </c>
      <c r="K1538" s="30">
        <f t="shared" si="1576"/>
        <v>5000</v>
      </c>
      <c r="L1538" s="187">
        <v>40000</v>
      </c>
      <c r="M1538" s="110">
        <v>9.5</v>
      </c>
      <c r="N1538" s="9">
        <f>VLOOKUP(DATE(YEAR(A1538),MONTH(A1538),DAY(A1538)),FY24_Temp[],3,FALSE)</f>
        <v>14.95</v>
      </c>
      <c r="O1538" s="110">
        <f t="shared" si="1562"/>
        <v>11.5</v>
      </c>
      <c r="P1538" s="110">
        <f t="shared" si="1563"/>
        <v>19.5</v>
      </c>
      <c r="Q1538" s="79">
        <f>VLOOKUP(VLOOKUP(DATEVALUE(TEXT(A1538,"m/d/yyyy")),FY24_Temp[],5,FALSE)&amp;TEXT(A1538,"-h"),TempDelta[],4,FALSE)</f>
        <v>2.3557142189570834</v>
      </c>
      <c r="R1538">
        <v>10</v>
      </c>
      <c r="S1538" s="112">
        <v>1500</v>
      </c>
      <c r="T1538" s="5">
        <f>VLOOKUP(TEXT(A1538,"yy-mm")&amp;"-"&amp;IF(AND(WEEKDAY(A1538)&gt;1,WEEKDAY(A1538)&lt;7),"Wkd",TEXT(A1538,"Ddd"))&amp;"-"&amp;TEXT(A1538,"hh"),LoadTable[],3,FALSE)*0.92</f>
        <v>476.19660000000005</v>
      </c>
      <c r="U1538" s="113">
        <f t="shared" si="1564"/>
        <v>47.619660000000003</v>
      </c>
      <c r="V1538">
        <f t="shared" ref="V1538:W1538" si="1632">V1514</f>
        <v>3.6</v>
      </c>
      <c r="W1538">
        <f t="shared" si="1632"/>
        <v>3.1</v>
      </c>
      <c r="X1538" s="9">
        <v>2.864007</v>
      </c>
      <c r="Y1538" s="39"/>
    </row>
    <row r="1539" spans="1:25" ht="15" thickBot="1">
      <c r="A1539" s="29">
        <f t="shared" si="1618"/>
        <v>45899.999999998254</v>
      </c>
      <c r="B1539" s="30">
        <f t="shared" si="1573"/>
        <v>5000</v>
      </c>
      <c r="C1539" s="8">
        <v>25000</v>
      </c>
      <c r="D1539" s="187">
        <v>0</v>
      </c>
      <c r="E1539" s="187">
        <v>700</v>
      </c>
      <c r="F1539" s="187">
        <v>15000</v>
      </c>
      <c r="G1539" s="30">
        <f t="shared" si="1574"/>
        <v>2400</v>
      </c>
      <c r="H1539" s="8">
        <v>25000</v>
      </c>
      <c r="I1539" s="30">
        <f t="shared" si="1575"/>
        <v>5000</v>
      </c>
      <c r="J1539" s="187">
        <v>40000</v>
      </c>
      <c r="K1539" s="30">
        <f t="shared" si="1576"/>
        <v>5000</v>
      </c>
      <c r="L1539" s="187">
        <v>40000</v>
      </c>
      <c r="M1539" s="110">
        <v>9.5</v>
      </c>
      <c r="N1539" s="9">
        <f>VLOOKUP(DATE(YEAR(A1539),MONTH(A1539),DAY(A1539)),FY24_Temp[],3,FALSE)</f>
        <v>14.95</v>
      </c>
      <c r="O1539" s="110">
        <f t="shared" si="1562"/>
        <v>11.5</v>
      </c>
      <c r="P1539" s="110">
        <f t="shared" si="1563"/>
        <v>19.5</v>
      </c>
      <c r="Q1539" s="79">
        <f>VLOOKUP(VLOOKUP(DATEVALUE(TEXT(A1539,"m/d/yyyy")),FY24_Temp[],5,FALSE)&amp;TEXT(A1539,"-h"),TempDelta[],4,FALSE)</f>
        <v>2.160285702773503</v>
      </c>
      <c r="R1539">
        <v>10</v>
      </c>
      <c r="S1539" s="112">
        <v>1500</v>
      </c>
      <c r="T1539" s="5">
        <f>VLOOKUP(TEXT(A1539,"yy-mm")&amp;"-"&amp;IF(AND(WEEKDAY(A1539)&gt;1,WEEKDAY(A1539)&lt;7),"Wkd",TEXT(A1539,"Ddd"))&amp;"-"&amp;TEXT(A1539,"hh"),LoadTable[],3,FALSE)*0.92</f>
        <v>356.57820000000004</v>
      </c>
      <c r="U1539" s="113">
        <f t="shared" si="1564"/>
        <v>35.657820000000001</v>
      </c>
      <c r="V1539">
        <f t="shared" ref="V1539:W1539" si="1633">V1515</f>
        <v>3</v>
      </c>
      <c r="W1539">
        <f t="shared" si="1633"/>
        <v>3.2</v>
      </c>
      <c r="X1539" s="9">
        <v>2.7791035000000002</v>
      </c>
      <c r="Y1539" s="39"/>
    </row>
    <row r="1540" spans="1:25" ht="15" thickBot="1">
      <c r="A1540" s="29">
        <f t="shared" si="1618"/>
        <v>45900.041666664918</v>
      </c>
      <c r="B1540" s="30">
        <f t="shared" si="1573"/>
        <v>5000</v>
      </c>
      <c r="C1540" s="8">
        <v>25000</v>
      </c>
      <c r="D1540" s="187">
        <v>0</v>
      </c>
      <c r="E1540" s="187">
        <v>700</v>
      </c>
      <c r="F1540" s="187">
        <v>15000</v>
      </c>
      <c r="G1540" s="30">
        <f t="shared" si="1574"/>
        <v>2400</v>
      </c>
      <c r="H1540" s="8">
        <v>25000</v>
      </c>
      <c r="I1540" s="30">
        <f t="shared" si="1575"/>
        <v>5000</v>
      </c>
      <c r="J1540" s="187">
        <v>40000</v>
      </c>
      <c r="K1540" s="30">
        <f t="shared" si="1576"/>
        <v>5000</v>
      </c>
      <c r="L1540" s="187">
        <v>40000</v>
      </c>
      <c r="M1540" s="110">
        <v>9.5</v>
      </c>
      <c r="N1540" s="9">
        <f>VLOOKUP(DATE(YEAR(A1540),MONTH(A1540),DAY(A1540)),FY24_Temp[],3,FALSE)</f>
        <v>14.95</v>
      </c>
      <c r="O1540" s="110">
        <f t="shared" ref="O1540:O1603" si="1634">15.5-4</f>
        <v>11.5</v>
      </c>
      <c r="P1540" s="110">
        <f t="shared" ref="P1540:P1603" si="1635">15.5+4</f>
        <v>19.5</v>
      </c>
      <c r="Q1540" s="79">
        <f>VLOOKUP(VLOOKUP(DATEVALUE(TEXT(A1540,"m/d/yyyy")),FY24_Temp[],5,FALSE)&amp;TEXT(A1540,"-h"),TempDelta[],4,FALSE)</f>
        <v>2.4718571390424455</v>
      </c>
      <c r="R1540">
        <v>10</v>
      </c>
      <c r="S1540" s="112">
        <v>1500</v>
      </c>
      <c r="T1540" s="5">
        <f>VLOOKUP(TEXT(A1540,"yy-mm")&amp;"-"&amp;IF(AND(WEEKDAY(A1540)&gt;1,WEEKDAY(A1540)&lt;7),"Wkd",TEXT(A1540,"Ddd"))&amp;"-"&amp;TEXT(A1540,"hh"),LoadTable[],3,FALSE)*0.92</f>
        <v>347.99644000000006</v>
      </c>
      <c r="U1540" s="113">
        <f t="shared" ref="U1540:U1603" si="1636">T1540/10</f>
        <v>34.799644000000008</v>
      </c>
      <c r="V1540">
        <f t="shared" ref="V1540:W1540" si="1637">V1516</f>
        <v>2.6</v>
      </c>
      <c r="W1540">
        <f t="shared" si="1637"/>
        <v>3.2</v>
      </c>
      <c r="X1540" s="9">
        <v>2.7200400999999998</v>
      </c>
      <c r="Y1540" s="39"/>
    </row>
    <row r="1541" spans="1:25" ht="15" thickBot="1">
      <c r="A1541" s="29">
        <f t="shared" si="1618"/>
        <v>45900.083333331582</v>
      </c>
      <c r="B1541" s="30">
        <f t="shared" si="1573"/>
        <v>5000</v>
      </c>
      <c r="C1541" s="8">
        <v>25000</v>
      </c>
      <c r="D1541" s="187">
        <v>0</v>
      </c>
      <c r="E1541" s="187">
        <v>700</v>
      </c>
      <c r="F1541" s="187">
        <v>15000</v>
      </c>
      <c r="G1541" s="30">
        <f t="shared" si="1574"/>
        <v>2400</v>
      </c>
      <c r="H1541" s="8">
        <v>25000</v>
      </c>
      <c r="I1541" s="30">
        <f t="shared" si="1575"/>
        <v>5000</v>
      </c>
      <c r="J1541" s="187">
        <v>40000</v>
      </c>
      <c r="K1541" s="30">
        <f t="shared" si="1576"/>
        <v>5000</v>
      </c>
      <c r="L1541" s="187">
        <v>40000</v>
      </c>
      <c r="M1541" s="110">
        <v>9.5</v>
      </c>
      <c r="N1541" s="9">
        <f>VLOOKUP(DATE(YEAR(A1541),MONTH(A1541),DAY(A1541)),FY24_Temp[],3,FALSE)</f>
        <v>14.95</v>
      </c>
      <c r="O1541" s="110">
        <f t="shared" si="1634"/>
        <v>11.5</v>
      </c>
      <c r="P1541" s="110">
        <f t="shared" si="1635"/>
        <v>19.5</v>
      </c>
      <c r="Q1541" s="79">
        <f>VLOOKUP(VLOOKUP(DATEVALUE(TEXT(A1541,"m/d/yyyy")),FY24_Temp[],5,FALSE)&amp;TEXT(A1541,"-h"),TempDelta[],4,FALSE)</f>
        <v>2.5034285613468716</v>
      </c>
      <c r="R1541">
        <v>10</v>
      </c>
      <c r="S1541" s="112">
        <v>1500</v>
      </c>
      <c r="T1541" s="5">
        <f>VLOOKUP(TEXT(A1541,"yy-mm")&amp;"-"&amp;IF(AND(WEEKDAY(A1541)&gt;1,WEEKDAY(A1541)&lt;7),"Wkd",TEXT(A1541,"Ddd"))&amp;"-"&amp;TEXT(A1541,"hh"),LoadTable[],3,FALSE)*0.92</f>
        <v>341.29148000000004</v>
      </c>
      <c r="U1541" s="113">
        <f t="shared" si="1636"/>
        <v>34.129148000000001</v>
      </c>
      <c r="V1541">
        <f t="shared" ref="V1541:W1541" si="1638">V1517</f>
        <v>2.8</v>
      </c>
      <c r="W1541">
        <f t="shared" si="1638"/>
        <v>3.2</v>
      </c>
      <c r="X1541" s="9">
        <v>2.7823712999999999</v>
      </c>
      <c r="Y1541" s="39"/>
    </row>
    <row r="1542" spans="1:25" ht="15" thickBot="1">
      <c r="A1542" s="29">
        <f t="shared" si="1618"/>
        <v>45900.124999998246</v>
      </c>
      <c r="B1542" s="30">
        <f t="shared" si="1573"/>
        <v>5000</v>
      </c>
      <c r="C1542" s="8">
        <v>25000</v>
      </c>
      <c r="D1542" s="187">
        <v>0</v>
      </c>
      <c r="E1542" s="187">
        <v>700</v>
      </c>
      <c r="F1542" s="187">
        <v>15000</v>
      </c>
      <c r="G1542" s="30">
        <f t="shared" si="1574"/>
        <v>2400</v>
      </c>
      <c r="H1542" s="8">
        <v>25000</v>
      </c>
      <c r="I1542" s="30">
        <f t="shared" si="1575"/>
        <v>5000</v>
      </c>
      <c r="J1542" s="187">
        <v>40000</v>
      </c>
      <c r="K1542" s="30">
        <f t="shared" si="1576"/>
        <v>5000</v>
      </c>
      <c r="L1542" s="187">
        <v>40000</v>
      </c>
      <c r="M1542" s="110">
        <v>9.5</v>
      </c>
      <c r="N1542" s="9">
        <f>VLOOKUP(DATE(YEAR(A1542),MONTH(A1542),DAY(A1542)),FY24_Temp[],3,FALSE)</f>
        <v>14.95</v>
      </c>
      <c r="O1542" s="110">
        <f t="shared" si="1634"/>
        <v>11.5</v>
      </c>
      <c r="P1542" s="110">
        <f t="shared" si="1635"/>
        <v>19.5</v>
      </c>
      <c r="Q1542" s="79">
        <f>VLOOKUP(VLOOKUP(DATEVALUE(TEXT(A1542,"m/d/yyyy")),FY24_Temp[],5,FALSE)&amp;TEXT(A1542,"-h"),TempDelta[],4,FALSE)</f>
        <v>2.5060000419616699</v>
      </c>
      <c r="R1542">
        <v>10</v>
      </c>
      <c r="S1542" s="112">
        <v>1500</v>
      </c>
      <c r="T1542" s="5">
        <f>VLOOKUP(TEXT(A1542,"yy-mm")&amp;"-"&amp;IF(AND(WEEKDAY(A1542)&gt;1,WEEKDAY(A1542)&lt;7),"Wkd",TEXT(A1542,"Ddd"))&amp;"-"&amp;TEXT(A1542,"hh"),LoadTable[],3,FALSE)*0.92</f>
        <v>341.29148000000004</v>
      </c>
      <c r="U1542" s="113">
        <f t="shared" si="1636"/>
        <v>34.129148000000001</v>
      </c>
      <c r="V1542">
        <f t="shared" ref="V1542:W1542" si="1639">V1518</f>
        <v>2.7</v>
      </c>
      <c r="W1542">
        <f t="shared" si="1639"/>
        <v>3.2</v>
      </c>
      <c r="X1542" s="9">
        <v>2.8259037</v>
      </c>
      <c r="Y1542" s="39"/>
    </row>
    <row r="1543" spans="1:25" ht="15" thickBot="1">
      <c r="A1543" s="29">
        <f t="shared" si="1618"/>
        <v>45900.166666664911</v>
      </c>
      <c r="B1543" s="30">
        <f t="shared" si="1573"/>
        <v>5000</v>
      </c>
      <c r="C1543" s="8">
        <v>25000</v>
      </c>
      <c r="D1543" s="187">
        <v>0</v>
      </c>
      <c r="E1543" s="187">
        <v>700</v>
      </c>
      <c r="F1543" s="187">
        <v>15000</v>
      </c>
      <c r="G1543" s="30">
        <f t="shared" si="1574"/>
        <v>2400</v>
      </c>
      <c r="H1543" s="8">
        <v>25000</v>
      </c>
      <c r="I1543" s="30">
        <f t="shared" si="1575"/>
        <v>5000</v>
      </c>
      <c r="J1543" s="187">
        <v>40000</v>
      </c>
      <c r="K1543" s="30">
        <f t="shared" si="1576"/>
        <v>5000</v>
      </c>
      <c r="L1543" s="187">
        <v>40000</v>
      </c>
      <c r="M1543" s="110">
        <v>9.5</v>
      </c>
      <c r="N1543" s="9">
        <f>VLOOKUP(DATE(YEAR(A1543),MONTH(A1543),DAY(A1543)),FY24_Temp[],3,FALSE)</f>
        <v>14.95</v>
      </c>
      <c r="O1543" s="110">
        <f t="shared" si="1634"/>
        <v>11.5</v>
      </c>
      <c r="P1543" s="110">
        <f t="shared" si="1635"/>
        <v>19.5</v>
      </c>
      <c r="Q1543" s="79">
        <f>VLOOKUP(VLOOKUP(DATEVALUE(TEXT(A1543,"m/d/yyyy")),FY24_Temp[],5,FALSE)&amp;TEXT(A1543,"-h"),TempDelta[],4,FALSE)</f>
        <v>2.5351428644997731</v>
      </c>
      <c r="R1543">
        <v>10</v>
      </c>
      <c r="S1543" s="112">
        <v>1500</v>
      </c>
      <c r="T1543" s="5">
        <f>VLOOKUP(TEXT(A1543,"yy-mm")&amp;"-"&amp;IF(AND(WEEKDAY(A1543)&gt;1,WEEKDAY(A1543)&lt;7),"Wkd",TEXT(A1543,"Ddd"))&amp;"-"&amp;TEXT(A1543,"hh"),LoadTable[],3,FALSE)*0.92</f>
        <v>341.29148000000004</v>
      </c>
      <c r="U1543" s="113">
        <f t="shared" si="1636"/>
        <v>34.129148000000001</v>
      </c>
      <c r="V1543">
        <f t="shared" ref="V1543:W1543" si="1640">V1519</f>
        <v>3</v>
      </c>
      <c r="W1543">
        <f t="shared" si="1640"/>
        <v>3.1</v>
      </c>
      <c r="X1543" s="9">
        <v>2.8444425999999998</v>
      </c>
      <c r="Y1543" s="39"/>
    </row>
    <row r="1544" spans="1:25" ht="15" thickBot="1">
      <c r="A1544" s="29">
        <f t="shared" si="1618"/>
        <v>45900.208333331575</v>
      </c>
      <c r="B1544" s="30">
        <f t="shared" si="1573"/>
        <v>5000</v>
      </c>
      <c r="C1544" s="8">
        <v>25000</v>
      </c>
      <c r="D1544" s="187">
        <v>0</v>
      </c>
      <c r="E1544" s="187">
        <v>700</v>
      </c>
      <c r="F1544" s="187">
        <v>15000</v>
      </c>
      <c r="G1544" s="30">
        <f t="shared" si="1574"/>
        <v>2400</v>
      </c>
      <c r="H1544" s="8">
        <v>25000</v>
      </c>
      <c r="I1544" s="30">
        <f t="shared" si="1575"/>
        <v>5000</v>
      </c>
      <c r="J1544" s="187">
        <v>40000</v>
      </c>
      <c r="K1544" s="30">
        <f t="shared" si="1576"/>
        <v>5000</v>
      </c>
      <c r="L1544" s="187">
        <v>40000</v>
      </c>
      <c r="M1544" s="110">
        <v>9.5</v>
      </c>
      <c r="N1544" s="9">
        <f>VLOOKUP(DATE(YEAR(A1544),MONTH(A1544),DAY(A1544)),FY24_Temp[],3,FALSE)</f>
        <v>14.95</v>
      </c>
      <c r="O1544" s="110">
        <f t="shared" si="1634"/>
        <v>11.5</v>
      </c>
      <c r="P1544" s="110">
        <f t="shared" si="1635"/>
        <v>19.5</v>
      </c>
      <c r="Q1544" s="79">
        <f>VLOOKUP(VLOOKUP(DATEVALUE(TEXT(A1544,"m/d/yyyy")),FY24_Temp[],5,FALSE)&amp;TEXT(A1544,"-h"),TempDelta[],4,FALSE)</f>
        <v>2.6308570929936002</v>
      </c>
      <c r="R1544">
        <v>10</v>
      </c>
      <c r="S1544" s="112">
        <v>1500</v>
      </c>
      <c r="T1544" s="5">
        <f>VLOOKUP(TEXT(A1544,"yy-mm")&amp;"-"&amp;IF(AND(WEEKDAY(A1544)&gt;1,WEEKDAY(A1544)&lt;7),"Wkd",TEXT(A1544,"Ddd"))&amp;"-"&amp;TEXT(A1544,"hh"),LoadTable[],3,FALSE)*0.92</f>
        <v>341.29148000000004</v>
      </c>
      <c r="U1544" s="113">
        <f t="shared" si="1636"/>
        <v>34.129148000000001</v>
      </c>
      <c r="V1544">
        <f t="shared" ref="V1544:W1544" si="1641">V1520</f>
        <v>2.9</v>
      </c>
      <c r="W1544">
        <f t="shared" si="1641"/>
        <v>3.1</v>
      </c>
      <c r="X1544" s="9">
        <v>2.9087209999999999</v>
      </c>
      <c r="Y1544" s="39"/>
    </row>
    <row r="1545" spans="1:25" ht="15" thickBot="1">
      <c r="A1545" s="29">
        <f t="shared" si="1618"/>
        <v>45900.249999998239</v>
      </c>
      <c r="B1545" s="30">
        <f t="shared" si="1573"/>
        <v>8000</v>
      </c>
      <c r="C1545" s="8">
        <v>25000</v>
      </c>
      <c r="D1545" s="187">
        <v>0</v>
      </c>
      <c r="E1545" s="187">
        <v>700</v>
      </c>
      <c r="F1545" s="187">
        <v>15000</v>
      </c>
      <c r="G1545" s="30">
        <f t="shared" si="1574"/>
        <v>2400</v>
      </c>
      <c r="H1545" s="8">
        <v>25000</v>
      </c>
      <c r="I1545" s="30">
        <f t="shared" si="1575"/>
        <v>8000</v>
      </c>
      <c r="J1545" s="187">
        <v>40000</v>
      </c>
      <c r="K1545" s="30">
        <f t="shared" si="1576"/>
        <v>8000</v>
      </c>
      <c r="L1545" s="187">
        <v>40000</v>
      </c>
      <c r="M1545" s="110">
        <v>9.5</v>
      </c>
      <c r="N1545" s="9">
        <f>VLOOKUP(DATE(YEAR(A1545),MONTH(A1545),DAY(A1545)),FY24_Temp[],3,FALSE)</f>
        <v>14.95</v>
      </c>
      <c r="O1545" s="110">
        <f t="shared" si="1634"/>
        <v>11.5</v>
      </c>
      <c r="P1545" s="110">
        <f t="shared" si="1635"/>
        <v>19.5</v>
      </c>
      <c r="Q1545" s="79">
        <f>VLOOKUP(VLOOKUP(DATEVALUE(TEXT(A1545,"m/d/yyyy")),FY24_Temp[],5,FALSE)&amp;TEXT(A1545,"-h"),TempDelta[],4,FALSE)</f>
        <v>2.6167142391204834</v>
      </c>
      <c r="R1545">
        <v>10</v>
      </c>
      <c r="S1545" s="112">
        <v>1500</v>
      </c>
      <c r="T1545" s="5">
        <f>VLOOKUP(TEXT(A1545,"yy-mm")&amp;"-"&amp;IF(AND(WEEKDAY(A1545)&gt;1,WEEKDAY(A1545)&lt;7),"Wkd",TEXT(A1545,"Ddd"))&amp;"-"&amp;TEXT(A1545,"hh"),LoadTable[],3,FALSE)*0.92</f>
        <v>338.44328695210856</v>
      </c>
      <c r="U1545" s="113">
        <f t="shared" si="1636"/>
        <v>33.844328695210855</v>
      </c>
      <c r="V1545">
        <f t="shared" ref="V1545:W1545" si="1642">V1521</f>
        <v>2.5</v>
      </c>
      <c r="W1545">
        <f t="shared" si="1642"/>
        <v>3.1</v>
      </c>
      <c r="X1545" s="9">
        <v>3.0135044999999998</v>
      </c>
      <c r="Y1545" s="39"/>
    </row>
    <row r="1546" spans="1:25" ht="15" thickBot="1">
      <c r="A1546" s="29">
        <f t="shared" si="1618"/>
        <v>45900.291666664903</v>
      </c>
      <c r="B1546" s="30">
        <f t="shared" si="1573"/>
        <v>8000</v>
      </c>
      <c r="C1546" s="8">
        <v>25000</v>
      </c>
      <c r="D1546" s="187">
        <v>0</v>
      </c>
      <c r="E1546" s="187">
        <v>700</v>
      </c>
      <c r="F1546" s="187">
        <v>15000</v>
      </c>
      <c r="G1546" s="30">
        <f t="shared" si="1574"/>
        <v>2400</v>
      </c>
      <c r="H1546" s="8">
        <v>25000</v>
      </c>
      <c r="I1546" s="30">
        <f t="shared" si="1575"/>
        <v>8000</v>
      </c>
      <c r="J1546" s="187">
        <v>40000</v>
      </c>
      <c r="K1546" s="30">
        <f t="shared" si="1576"/>
        <v>8000</v>
      </c>
      <c r="L1546" s="187">
        <v>40000</v>
      </c>
      <c r="M1546" s="110">
        <v>9.5</v>
      </c>
      <c r="N1546" s="9">
        <f>VLOOKUP(DATE(YEAR(A1546),MONTH(A1546),DAY(A1546)),FY24_Temp[],3,FALSE)</f>
        <v>14.95</v>
      </c>
      <c r="O1546" s="110">
        <f t="shared" si="1634"/>
        <v>11.5</v>
      </c>
      <c r="P1546" s="110">
        <f t="shared" si="1635"/>
        <v>19.5</v>
      </c>
      <c r="Q1546" s="79">
        <f>VLOOKUP(VLOOKUP(DATEVALUE(TEXT(A1546,"m/d/yyyy")),FY24_Temp[],5,FALSE)&amp;TEXT(A1546,"-h"),TempDelta[],4,FALSE)</f>
        <v>2.5078571183340892</v>
      </c>
      <c r="R1546">
        <v>10</v>
      </c>
      <c r="S1546" s="112">
        <v>1500</v>
      </c>
      <c r="T1546" s="5">
        <f>VLOOKUP(TEXT(A1546,"yy-mm")&amp;"-"&amp;IF(AND(WEEKDAY(A1546)&gt;1,WEEKDAY(A1546)&lt;7),"Wkd",TEXT(A1546,"Ddd"))&amp;"-"&amp;TEXT(A1546,"hh"),LoadTable[],3,FALSE)*0.92</f>
        <v>338.44328695210856</v>
      </c>
      <c r="U1546" s="113">
        <f t="shared" si="1636"/>
        <v>33.844328695210855</v>
      </c>
      <c r="V1546">
        <f t="shared" ref="V1546:W1546" si="1643">V1522</f>
        <v>2.5</v>
      </c>
      <c r="W1546">
        <f t="shared" si="1643"/>
        <v>3.1</v>
      </c>
      <c r="X1546" s="9">
        <v>3.1382441999999999</v>
      </c>
      <c r="Y1546" s="39"/>
    </row>
    <row r="1547" spans="1:25" ht="15" thickBot="1">
      <c r="A1547" s="29">
        <f t="shared" si="1618"/>
        <v>45900.333333331568</v>
      </c>
      <c r="B1547" s="30">
        <f t="shared" si="1573"/>
        <v>8000</v>
      </c>
      <c r="C1547" s="8">
        <v>25000</v>
      </c>
      <c r="D1547" s="187">
        <v>0</v>
      </c>
      <c r="E1547" s="187">
        <v>700</v>
      </c>
      <c r="F1547" s="187">
        <v>15000</v>
      </c>
      <c r="G1547" s="30">
        <f t="shared" si="1574"/>
        <v>2400</v>
      </c>
      <c r="H1547" s="8">
        <v>25000</v>
      </c>
      <c r="I1547" s="30">
        <f t="shared" si="1575"/>
        <v>8000</v>
      </c>
      <c r="J1547" s="187">
        <v>40000</v>
      </c>
      <c r="K1547" s="30">
        <f t="shared" si="1576"/>
        <v>8000</v>
      </c>
      <c r="L1547" s="187">
        <v>40000</v>
      </c>
      <c r="M1547" s="110">
        <v>9.5</v>
      </c>
      <c r="N1547" s="9">
        <f>VLOOKUP(DATE(YEAR(A1547),MONTH(A1547),DAY(A1547)),FY24_Temp[],3,FALSE)</f>
        <v>14.95</v>
      </c>
      <c r="O1547" s="110">
        <f t="shared" si="1634"/>
        <v>11.5</v>
      </c>
      <c r="P1547" s="110">
        <f t="shared" si="1635"/>
        <v>19.5</v>
      </c>
      <c r="Q1547" s="79">
        <f>VLOOKUP(VLOOKUP(DATEVALUE(TEXT(A1547,"m/d/yyyy")),FY24_Temp[],5,FALSE)&amp;TEXT(A1547,"-h"),TempDelta[],4,FALSE)</f>
        <v>2.3500000068119595</v>
      </c>
      <c r="R1547">
        <v>10</v>
      </c>
      <c r="S1547" s="112">
        <v>1500</v>
      </c>
      <c r="T1547" s="5">
        <f>VLOOKUP(TEXT(A1547,"yy-mm")&amp;"-"&amp;IF(AND(WEEKDAY(A1547)&gt;1,WEEKDAY(A1547)&lt;7),"Wkd",TEXT(A1547,"Ddd"))&amp;"-"&amp;TEXT(A1547,"hh"),LoadTable[],3,FALSE)*0.92</f>
        <v>338.44328695210851</v>
      </c>
      <c r="U1547" s="113">
        <f t="shared" si="1636"/>
        <v>33.844328695210848</v>
      </c>
      <c r="V1547">
        <f t="shared" ref="V1547:W1547" si="1644">V1523</f>
        <v>3.2</v>
      </c>
      <c r="W1547">
        <f t="shared" si="1644"/>
        <v>3</v>
      </c>
      <c r="X1547" s="9">
        <v>3.2002993000000002</v>
      </c>
      <c r="Y1547" s="39"/>
    </row>
    <row r="1548" spans="1:25" ht="15" thickBot="1">
      <c r="A1548" s="29">
        <f t="shared" si="1618"/>
        <v>45900.374999998232</v>
      </c>
      <c r="B1548" s="30">
        <f t="shared" ref="B1548:B1611" si="1645">B1524</f>
        <v>8000</v>
      </c>
      <c r="C1548" s="8">
        <v>25000</v>
      </c>
      <c r="D1548" s="187">
        <v>0</v>
      </c>
      <c r="E1548" s="187">
        <v>700</v>
      </c>
      <c r="F1548" s="187">
        <v>15000</v>
      </c>
      <c r="G1548" s="30">
        <f t="shared" ref="G1548:G1611" si="1646">G1524</f>
        <v>2400</v>
      </c>
      <c r="H1548" s="8">
        <v>25000</v>
      </c>
      <c r="I1548" s="30">
        <f t="shared" ref="I1548:I1611" si="1647">I1524</f>
        <v>8000</v>
      </c>
      <c r="J1548" s="187">
        <v>40000</v>
      </c>
      <c r="K1548" s="30">
        <f t="shared" ref="K1548:K1611" si="1648">K1524</f>
        <v>8000</v>
      </c>
      <c r="L1548" s="187">
        <v>40000</v>
      </c>
      <c r="M1548" s="110">
        <v>9.5</v>
      </c>
      <c r="N1548" s="9">
        <f>VLOOKUP(DATE(YEAR(A1548),MONTH(A1548),DAY(A1548)),FY24_Temp[],3,FALSE)</f>
        <v>14.95</v>
      </c>
      <c r="O1548" s="110">
        <f t="shared" si="1634"/>
        <v>11.5</v>
      </c>
      <c r="P1548" s="110">
        <f t="shared" si="1635"/>
        <v>19.5</v>
      </c>
      <c r="Q1548" s="79">
        <f>VLOOKUP(VLOOKUP(DATEVALUE(TEXT(A1548,"m/d/yyyy")),FY24_Temp[],5,FALSE)&amp;TEXT(A1548,"-h"),TempDelta[],4,FALSE)</f>
        <v>2.1847142832619801</v>
      </c>
      <c r="R1548">
        <v>10</v>
      </c>
      <c r="S1548" s="112">
        <v>1500</v>
      </c>
      <c r="T1548" s="5">
        <f>VLOOKUP(TEXT(A1548,"yy-mm")&amp;"-"&amp;IF(AND(WEEKDAY(A1548)&gt;1,WEEKDAY(A1548)&lt;7),"Wkd",TEXT(A1548,"Ddd"))&amp;"-"&amp;TEXT(A1548,"hh"),LoadTable[],3,FALSE)*0.92</f>
        <v>338.44093501457735</v>
      </c>
      <c r="U1548" s="113">
        <f t="shared" si="1636"/>
        <v>33.844093501457735</v>
      </c>
      <c r="V1548">
        <f t="shared" ref="V1548:W1548" si="1649">V1524</f>
        <v>2.9</v>
      </c>
      <c r="W1548">
        <f t="shared" si="1649"/>
        <v>3</v>
      </c>
      <c r="X1548" s="9">
        <v>3.2197428000000001</v>
      </c>
      <c r="Y1548" s="39"/>
    </row>
    <row r="1549" spans="1:25" ht="15" thickBot="1">
      <c r="A1549" s="29">
        <f t="shared" si="1618"/>
        <v>45900.416666664896</v>
      </c>
      <c r="B1549" s="30">
        <f t="shared" si="1645"/>
        <v>8000</v>
      </c>
      <c r="C1549" s="8">
        <v>25000</v>
      </c>
      <c r="D1549" s="187">
        <v>0</v>
      </c>
      <c r="E1549" s="187">
        <v>700</v>
      </c>
      <c r="F1549" s="187">
        <v>15000</v>
      </c>
      <c r="G1549" s="30">
        <f t="shared" si="1646"/>
        <v>2400</v>
      </c>
      <c r="H1549" s="8">
        <v>25000</v>
      </c>
      <c r="I1549" s="30">
        <f t="shared" si="1647"/>
        <v>8000</v>
      </c>
      <c r="J1549" s="187">
        <v>40000</v>
      </c>
      <c r="K1549" s="30">
        <f t="shared" si="1648"/>
        <v>8000</v>
      </c>
      <c r="L1549" s="187">
        <v>40000</v>
      </c>
      <c r="M1549" s="110">
        <v>9.5</v>
      </c>
      <c r="N1549" s="9">
        <f>VLOOKUP(DATE(YEAR(A1549),MONTH(A1549),DAY(A1549)),FY24_Temp[],3,FALSE)</f>
        <v>14.95</v>
      </c>
      <c r="O1549" s="110">
        <f t="shared" si="1634"/>
        <v>11.5</v>
      </c>
      <c r="P1549" s="110">
        <f t="shared" si="1635"/>
        <v>19.5</v>
      </c>
      <c r="Q1549" s="79">
        <f>VLOOKUP(VLOOKUP(DATEVALUE(TEXT(A1549,"m/d/yyyy")),FY24_Temp[],5,FALSE)&amp;TEXT(A1549,"-h"),TempDelta[],4,FALSE)</f>
        <v>2.0077143056052074</v>
      </c>
      <c r="R1549">
        <v>10</v>
      </c>
      <c r="S1549" s="112">
        <v>1500</v>
      </c>
      <c r="T1549" s="5">
        <f>VLOOKUP(TEXT(A1549,"yy-mm")&amp;"-"&amp;IF(AND(WEEKDAY(A1549)&gt;1,WEEKDAY(A1549)&lt;7),"Wkd",TEXT(A1549,"Ddd"))&amp;"-"&amp;TEXT(A1549,"hh"),LoadTable[],3,FALSE)*0.92</f>
        <v>338.44093501457741</v>
      </c>
      <c r="U1549" s="113">
        <f t="shared" si="1636"/>
        <v>33.844093501457742</v>
      </c>
      <c r="V1549">
        <f t="shared" ref="V1549:W1549" si="1650">V1525</f>
        <v>2.9</v>
      </c>
      <c r="W1549">
        <f t="shared" si="1650"/>
        <v>3</v>
      </c>
      <c r="X1549" s="9">
        <v>3.2692931000000001</v>
      </c>
      <c r="Y1549" s="39"/>
    </row>
    <row r="1550" spans="1:25" ht="15" thickBot="1">
      <c r="A1550" s="29">
        <f t="shared" si="1618"/>
        <v>45900.45833333156</v>
      </c>
      <c r="B1550" s="30">
        <f t="shared" si="1645"/>
        <v>8000</v>
      </c>
      <c r="C1550" s="8">
        <v>25000</v>
      </c>
      <c r="D1550" s="187">
        <v>0</v>
      </c>
      <c r="E1550" s="187">
        <v>700</v>
      </c>
      <c r="F1550" s="187">
        <v>15000</v>
      </c>
      <c r="G1550" s="30">
        <f t="shared" si="1646"/>
        <v>2400</v>
      </c>
      <c r="H1550" s="8">
        <v>25000</v>
      </c>
      <c r="I1550" s="30">
        <f t="shared" si="1647"/>
        <v>8000</v>
      </c>
      <c r="J1550" s="187">
        <v>40000</v>
      </c>
      <c r="K1550" s="30">
        <f t="shared" si="1648"/>
        <v>8000</v>
      </c>
      <c r="L1550" s="187">
        <v>40000</v>
      </c>
      <c r="M1550" s="110">
        <v>9.5</v>
      </c>
      <c r="N1550" s="9">
        <f>VLOOKUP(DATE(YEAR(A1550),MONTH(A1550),DAY(A1550)),FY24_Temp[],3,FALSE)</f>
        <v>14.95</v>
      </c>
      <c r="O1550" s="110">
        <f t="shared" si="1634"/>
        <v>11.5</v>
      </c>
      <c r="P1550" s="110">
        <f t="shared" si="1635"/>
        <v>19.5</v>
      </c>
      <c r="Q1550" s="79">
        <f>VLOOKUP(VLOOKUP(DATEVALUE(TEXT(A1550,"m/d/yyyy")),FY24_Temp[],5,FALSE)&amp;TEXT(A1550,"-h"),TempDelta[],4,FALSE)</f>
        <v>1.7969999824251448</v>
      </c>
      <c r="R1550">
        <v>10</v>
      </c>
      <c r="S1550" s="112">
        <v>1500</v>
      </c>
      <c r="T1550" s="5">
        <f>VLOOKUP(TEXT(A1550,"yy-mm")&amp;"-"&amp;IF(AND(WEEKDAY(A1550)&gt;1,WEEKDAY(A1550)&lt;7),"Wkd",TEXT(A1550,"Ddd"))&amp;"-"&amp;TEXT(A1550,"hh"),LoadTable[],3,FALSE)*0.92</f>
        <v>338.44093501457741</v>
      </c>
      <c r="U1550" s="113">
        <f t="shared" si="1636"/>
        <v>33.844093501457742</v>
      </c>
      <c r="V1550">
        <f t="shared" ref="V1550:W1550" si="1651">V1526</f>
        <v>3.4</v>
      </c>
      <c r="W1550">
        <f t="shared" si="1651"/>
        <v>3</v>
      </c>
      <c r="X1550" s="9">
        <v>3.2034034999999998</v>
      </c>
      <c r="Y1550" s="39"/>
    </row>
    <row r="1551" spans="1:25" ht="15" thickBot="1">
      <c r="A1551" s="29">
        <f t="shared" si="1618"/>
        <v>45900.499999998225</v>
      </c>
      <c r="B1551" s="30">
        <f t="shared" si="1645"/>
        <v>8000</v>
      </c>
      <c r="C1551" s="8">
        <v>25000</v>
      </c>
      <c r="D1551" s="187">
        <v>0</v>
      </c>
      <c r="E1551" s="187">
        <v>700</v>
      </c>
      <c r="F1551" s="187">
        <v>15000</v>
      </c>
      <c r="G1551" s="30">
        <f t="shared" si="1646"/>
        <v>2400</v>
      </c>
      <c r="H1551" s="8">
        <v>25000</v>
      </c>
      <c r="I1551" s="30">
        <f t="shared" si="1647"/>
        <v>8000</v>
      </c>
      <c r="J1551" s="187">
        <v>40000</v>
      </c>
      <c r="K1551" s="30">
        <f t="shared" si="1648"/>
        <v>8000</v>
      </c>
      <c r="L1551" s="187">
        <v>40000</v>
      </c>
      <c r="M1551" s="110">
        <v>9.5</v>
      </c>
      <c r="N1551" s="9">
        <f>VLOOKUP(DATE(YEAR(A1551),MONTH(A1551),DAY(A1551)),FY24_Temp[],3,FALSE)</f>
        <v>14.95</v>
      </c>
      <c r="O1551" s="110">
        <f t="shared" si="1634"/>
        <v>11.5</v>
      </c>
      <c r="P1551" s="110">
        <f t="shared" si="1635"/>
        <v>19.5</v>
      </c>
      <c r="Q1551" s="79">
        <f>VLOOKUP(VLOOKUP(DATEVALUE(TEXT(A1551,"m/d/yyyy")),FY24_Temp[],5,FALSE)&amp;TEXT(A1551,"-h"),TempDelta[],4,FALSE)</f>
        <v>1.5904285567147392</v>
      </c>
      <c r="R1551">
        <v>10</v>
      </c>
      <c r="S1551" s="112">
        <v>1500</v>
      </c>
      <c r="T1551" s="5">
        <f>VLOOKUP(TEXT(A1551,"yy-mm")&amp;"-"&amp;IF(AND(WEEKDAY(A1551)&gt;1,WEEKDAY(A1551)&lt;7),"Wkd",TEXT(A1551,"Ddd"))&amp;"-"&amp;TEXT(A1551,"hh"),LoadTable[],3,FALSE)*0.92</f>
        <v>338.44093501457741</v>
      </c>
      <c r="U1551" s="113">
        <f t="shared" si="1636"/>
        <v>33.844093501457742</v>
      </c>
      <c r="V1551">
        <f t="shared" ref="V1551:W1551" si="1652">V1527</f>
        <v>3.1</v>
      </c>
      <c r="W1551">
        <f t="shared" si="1652"/>
        <v>2.9</v>
      </c>
      <c r="X1551" s="9">
        <v>3.0651233000000002</v>
      </c>
      <c r="Y1551" s="39"/>
    </row>
    <row r="1552" spans="1:25" ht="15" thickBot="1">
      <c r="A1552" s="29">
        <f t="shared" si="1618"/>
        <v>45900.541666664889</v>
      </c>
      <c r="B1552" s="30">
        <f t="shared" si="1645"/>
        <v>8000</v>
      </c>
      <c r="C1552" s="8">
        <v>25000</v>
      </c>
      <c r="D1552" s="187">
        <v>0</v>
      </c>
      <c r="E1552" s="187">
        <v>700</v>
      </c>
      <c r="F1552" s="187">
        <v>15000</v>
      </c>
      <c r="G1552" s="30">
        <f t="shared" si="1646"/>
        <v>2400</v>
      </c>
      <c r="H1552" s="8">
        <v>25000</v>
      </c>
      <c r="I1552" s="30">
        <f t="shared" si="1647"/>
        <v>8000</v>
      </c>
      <c r="J1552" s="187">
        <v>40000</v>
      </c>
      <c r="K1552" s="30">
        <f t="shared" si="1648"/>
        <v>8000</v>
      </c>
      <c r="L1552" s="187">
        <v>40000</v>
      </c>
      <c r="M1552" s="110">
        <v>9.5</v>
      </c>
      <c r="N1552" s="9">
        <f>VLOOKUP(DATE(YEAR(A1552),MONTH(A1552),DAY(A1552)),FY24_Temp[],3,FALSE)</f>
        <v>14.95</v>
      </c>
      <c r="O1552" s="110">
        <f t="shared" si="1634"/>
        <v>11.5</v>
      </c>
      <c r="P1552" s="110">
        <f t="shared" si="1635"/>
        <v>19.5</v>
      </c>
      <c r="Q1552" s="79">
        <f>VLOOKUP(VLOOKUP(DATEVALUE(TEXT(A1552,"m/d/yyyy")),FY24_Temp[],5,FALSE)&amp;TEXT(A1552,"-h"),TempDelta[],4,FALSE)</f>
        <v>1.3895714112690516</v>
      </c>
      <c r="R1552">
        <v>10</v>
      </c>
      <c r="S1552" s="112">
        <v>1500</v>
      </c>
      <c r="T1552" s="5">
        <f>VLOOKUP(TEXT(A1552,"yy-mm")&amp;"-"&amp;IF(AND(WEEKDAY(A1552)&gt;1,WEEKDAY(A1552)&lt;7),"Wkd",TEXT(A1552,"Ddd"))&amp;"-"&amp;TEXT(A1552,"hh"),LoadTable[],3,FALSE)*0.92</f>
        <v>353.09232000000009</v>
      </c>
      <c r="U1552" s="113">
        <f t="shared" si="1636"/>
        <v>35.309232000000009</v>
      </c>
      <c r="V1552">
        <f t="shared" ref="V1552:W1552" si="1653">V1528</f>
        <v>3.2</v>
      </c>
      <c r="W1552">
        <f t="shared" si="1653"/>
        <v>2.9</v>
      </c>
      <c r="X1552" s="9">
        <v>2.9119345999999999</v>
      </c>
      <c r="Y1552" s="39"/>
    </row>
    <row r="1553" spans="1:25" ht="15" thickBot="1">
      <c r="A1553" s="29">
        <f t="shared" si="1618"/>
        <v>45900.583333331553</v>
      </c>
      <c r="B1553" s="30">
        <f t="shared" si="1645"/>
        <v>8000</v>
      </c>
      <c r="C1553" s="8">
        <v>25000</v>
      </c>
      <c r="D1553" s="187">
        <v>0</v>
      </c>
      <c r="E1553" s="187">
        <v>700</v>
      </c>
      <c r="F1553" s="187">
        <v>15000</v>
      </c>
      <c r="G1553" s="30">
        <f t="shared" si="1646"/>
        <v>2400</v>
      </c>
      <c r="H1553" s="8">
        <v>25000</v>
      </c>
      <c r="I1553" s="30">
        <f t="shared" si="1647"/>
        <v>8000</v>
      </c>
      <c r="J1553" s="187">
        <v>40000</v>
      </c>
      <c r="K1553" s="30">
        <f t="shared" si="1648"/>
        <v>8000</v>
      </c>
      <c r="L1553" s="187">
        <v>40000</v>
      </c>
      <c r="M1553" s="110">
        <v>9.5</v>
      </c>
      <c r="N1553" s="9">
        <f>VLOOKUP(DATE(YEAR(A1553),MONTH(A1553),DAY(A1553)),FY24_Temp[],3,FALSE)</f>
        <v>14.95</v>
      </c>
      <c r="O1553" s="110">
        <f t="shared" si="1634"/>
        <v>11.5</v>
      </c>
      <c r="P1553" s="110">
        <f t="shared" si="1635"/>
        <v>19.5</v>
      </c>
      <c r="Q1553" s="79">
        <f>VLOOKUP(VLOOKUP(DATEVALUE(TEXT(A1553,"m/d/yyyy")),FY24_Temp[],5,FALSE)&amp;TEXT(A1553,"-h"),TempDelta[],4,FALSE)</f>
        <v>0.96357142499514992</v>
      </c>
      <c r="R1553">
        <v>10</v>
      </c>
      <c r="S1553" s="112">
        <v>1500</v>
      </c>
      <c r="T1553" s="5">
        <f>VLOOKUP(TEXT(A1553,"yy-mm")&amp;"-"&amp;IF(AND(WEEKDAY(A1553)&gt;1,WEEKDAY(A1553)&lt;7),"Wkd",TEXT(A1553,"Ddd"))&amp;"-"&amp;TEXT(A1553,"hh"),LoadTable[],3,FALSE)*0.92</f>
        <v>553.46715198762581</v>
      </c>
      <c r="U1553" s="113">
        <f t="shared" si="1636"/>
        <v>55.346715198762581</v>
      </c>
      <c r="V1553">
        <f t="shared" ref="V1553:W1553" si="1654">V1529</f>
        <v>3.5</v>
      </c>
      <c r="W1553">
        <f t="shared" si="1654"/>
        <v>2.9</v>
      </c>
      <c r="X1553" s="9">
        <v>2.9261689</v>
      </c>
      <c r="Y1553" s="39"/>
    </row>
    <row r="1554" spans="1:25" ht="15" thickBot="1">
      <c r="A1554" s="29">
        <f t="shared" si="1618"/>
        <v>45900.624999998217</v>
      </c>
      <c r="B1554" s="30">
        <f t="shared" si="1645"/>
        <v>8000</v>
      </c>
      <c r="C1554" s="8">
        <v>25000</v>
      </c>
      <c r="D1554" s="187">
        <v>0</v>
      </c>
      <c r="E1554" s="187">
        <v>700</v>
      </c>
      <c r="F1554" s="187">
        <v>15000</v>
      </c>
      <c r="G1554" s="30">
        <f t="shared" si="1646"/>
        <v>2400</v>
      </c>
      <c r="H1554" s="8">
        <v>25000</v>
      </c>
      <c r="I1554" s="30">
        <f t="shared" si="1647"/>
        <v>8000</v>
      </c>
      <c r="J1554" s="187">
        <v>40000</v>
      </c>
      <c r="K1554" s="30">
        <f t="shared" si="1648"/>
        <v>8000</v>
      </c>
      <c r="L1554" s="187">
        <v>40000</v>
      </c>
      <c r="M1554" s="110">
        <v>9.5</v>
      </c>
      <c r="N1554" s="9">
        <f>VLOOKUP(DATE(YEAR(A1554),MONTH(A1554),DAY(A1554)),FY24_Temp[],3,FALSE)</f>
        <v>14.95</v>
      </c>
      <c r="O1554" s="110">
        <f t="shared" si="1634"/>
        <v>11.5</v>
      </c>
      <c r="P1554" s="110">
        <f t="shared" si="1635"/>
        <v>19.5</v>
      </c>
      <c r="Q1554" s="79">
        <f>VLOOKUP(VLOOKUP(DATEVALUE(TEXT(A1554,"m/d/yyyy")),FY24_Temp[],5,FALSE)&amp;TEXT(A1554,"-h"),TempDelta[],4,FALSE)</f>
        <v>0.84407143933432438</v>
      </c>
      <c r="R1554">
        <v>10</v>
      </c>
      <c r="S1554" s="112">
        <v>1500</v>
      </c>
      <c r="T1554" s="5">
        <f>VLOOKUP(TEXT(A1554,"yy-mm")&amp;"-"&amp;IF(AND(WEEKDAY(A1554)&gt;1,WEEKDAY(A1554)&lt;7),"Wkd",TEXT(A1554,"Ddd"))&amp;"-"&amp;TEXT(A1554,"hh"),LoadTable[],3,FALSE)*0.92</f>
        <v>645.42416000000014</v>
      </c>
      <c r="U1554" s="113">
        <f t="shared" si="1636"/>
        <v>64.542416000000017</v>
      </c>
      <c r="V1554">
        <f t="shared" ref="V1554:W1554" si="1655">V1530</f>
        <v>3.2</v>
      </c>
      <c r="W1554">
        <f t="shared" si="1655"/>
        <v>2.9</v>
      </c>
      <c r="X1554" s="9">
        <v>3.2169897999999999</v>
      </c>
      <c r="Y1554" s="39"/>
    </row>
    <row r="1555" spans="1:25" ht="15" thickBot="1">
      <c r="A1555" s="29">
        <f t="shared" si="1618"/>
        <v>45900.666666664882</v>
      </c>
      <c r="B1555" s="30">
        <f t="shared" si="1645"/>
        <v>8000</v>
      </c>
      <c r="C1555" s="8">
        <v>25000</v>
      </c>
      <c r="D1555" s="187">
        <v>0</v>
      </c>
      <c r="E1555" s="187">
        <v>700</v>
      </c>
      <c r="F1555" s="187">
        <v>15000</v>
      </c>
      <c r="G1555" s="30">
        <f t="shared" si="1646"/>
        <v>2400</v>
      </c>
      <c r="H1555" s="8">
        <v>25000</v>
      </c>
      <c r="I1555" s="30">
        <f t="shared" si="1647"/>
        <v>8000</v>
      </c>
      <c r="J1555" s="187">
        <v>40000</v>
      </c>
      <c r="K1555" s="30">
        <f t="shared" si="1648"/>
        <v>8000</v>
      </c>
      <c r="L1555" s="187">
        <v>40000</v>
      </c>
      <c r="M1555" s="110">
        <v>9.5</v>
      </c>
      <c r="N1555" s="9">
        <f>VLOOKUP(DATE(YEAR(A1555),MONTH(A1555),DAY(A1555)),FY24_Temp[],3,FALSE)</f>
        <v>14.95</v>
      </c>
      <c r="O1555" s="110">
        <f t="shared" si="1634"/>
        <v>11.5</v>
      </c>
      <c r="P1555" s="110">
        <f t="shared" si="1635"/>
        <v>19.5</v>
      </c>
      <c r="Q1555" s="79">
        <f>VLOOKUP(VLOOKUP(DATEVALUE(TEXT(A1555,"m/d/yyyy")),FY24_Temp[],5,FALSE)&amp;TEXT(A1555,"-h"),TempDelta[],4,FALSE)</f>
        <v>0.87021427069391522</v>
      </c>
      <c r="R1555">
        <v>10</v>
      </c>
      <c r="S1555" s="112">
        <v>1500</v>
      </c>
      <c r="T1555" s="5">
        <f>VLOOKUP(TEXT(A1555,"yy-mm")&amp;"-"&amp;IF(AND(WEEKDAY(A1555)&gt;1,WEEKDAY(A1555)&lt;7),"Wkd",TEXT(A1555,"Ddd"))&amp;"-"&amp;TEXT(A1555,"hh"),LoadTable[],3,FALSE)*0.92</f>
        <v>786.27137399656624</v>
      </c>
      <c r="U1555" s="113">
        <f t="shared" si="1636"/>
        <v>78.627137399656618</v>
      </c>
      <c r="V1555">
        <f t="shared" ref="V1555:W1555" si="1656">V1531</f>
        <v>3.5</v>
      </c>
      <c r="W1555">
        <f t="shared" si="1656"/>
        <v>3</v>
      </c>
      <c r="X1555" s="9">
        <v>3.1324580000000002</v>
      </c>
      <c r="Y1555" s="39"/>
    </row>
    <row r="1556" spans="1:25" ht="15" thickBot="1">
      <c r="A1556" s="29">
        <f t="shared" si="1618"/>
        <v>45900.708333331546</v>
      </c>
      <c r="B1556" s="30">
        <f t="shared" si="1645"/>
        <v>8000</v>
      </c>
      <c r="C1556" s="8">
        <v>25000</v>
      </c>
      <c r="D1556" s="187">
        <v>0</v>
      </c>
      <c r="E1556" s="187">
        <v>700</v>
      </c>
      <c r="F1556" s="187">
        <v>15000</v>
      </c>
      <c r="G1556" s="30">
        <f t="shared" si="1646"/>
        <v>2400</v>
      </c>
      <c r="H1556" s="8">
        <v>25000</v>
      </c>
      <c r="I1556" s="30">
        <f t="shared" si="1647"/>
        <v>8000</v>
      </c>
      <c r="J1556" s="187">
        <v>40000</v>
      </c>
      <c r="K1556" s="30">
        <f t="shared" si="1648"/>
        <v>8000</v>
      </c>
      <c r="L1556" s="187">
        <v>40000</v>
      </c>
      <c r="M1556" s="110">
        <v>9.5</v>
      </c>
      <c r="N1556" s="9">
        <f>VLOOKUP(DATE(YEAR(A1556),MONTH(A1556),DAY(A1556)),FY24_Temp[],3,FALSE)</f>
        <v>14.95</v>
      </c>
      <c r="O1556" s="110">
        <f t="shared" si="1634"/>
        <v>11.5</v>
      </c>
      <c r="P1556" s="110">
        <f t="shared" si="1635"/>
        <v>19.5</v>
      </c>
      <c r="Q1556" s="79">
        <f>VLOOKUP(VLOOKUP(DATEVALUE(TEXT(A1556,"m/d/yyyy")),FY24_Temp[],5,FALSE)&amp;TEXT(A1556,"-h"),TempDelta[],4,FALSE)</f>
        <v>1.0735000031335014</v>
      </c>
      <c r="R1556">
        <v>10</v>
      </c>
      <c r="S1556" s="112">
        <v>1500</v>
      </c>
      <c r="T1556" s="5">
        <f>VLOOKUP(TEXT(A1556,"yy-mm")&amp;"-"&amp;IF(AND(WEEKDAY(A1556)&gt;1,WEEKDAY(A1556)&lt;7),"Wkd",TEXT(A1556,"Ddd"))&amp;"-"&amp;TEXT(A1556,"hh"),LoadTable[],3,FALSE)*0.92</f>
        <v>786.27137399656624</v>
      </c>
      <c r="U1556" s="113">
        <f t="shared" si="1636"/>
        <v>78.627137399656618</v>
      </c>
      <c r="V1556">
        <f t="shared" ref="V1556:W1556" si="1657">V1532</f>
        <v>3.6</v>
      </c>
      <c r="W1556">
        <f t="shared" si="1657"/>
        <v>3</v>
      </c>
      <c r="X1556" s="9">
        <v>3.0924222000000001</v>
      </c>
      <c r="Y1556" s="39"/>
    </row>
    <row r="1557" spans="1:25" ht="15" thickBot="1">
      <c r="A1557" s="29">
        <f t="shared" si="1618"/>
        <v>45900.74999999821</v>
      </c>
      <c r="B1557" s="30">
        <f t="shared" si="1645"/>
        <v>5000</v>
      </c>
      <c r="C1557" s="8">
        <v>25000</v>
      </c>
      <c r="D1557" s="187">
        <v>0</v>
      </c>
      <c r="E1557" s="187">
        <v>700</v>
      </c>
      <c r="F1557" s="187">
        <v>15000</v>
      </c>
      <c r="G1557" s="30">
        <f t="shared" si="1646"/>
        <v>2400</v>
      </c>
      <c r="H1557" s="8">
        <v>25000</v>
      </c>
      <c r="I1557" s="30">
        <f t="shared" si="1647"/>
        <v>5000</v>
      </c>
      <c r="J1557" s="187">
        <v>40000</v>
      </c>
      <c r="K1557" s="30">
        <f t="shared" si="1648"/>
        <v>5000</v>
      </c>
      <c r="L1557" s="187">
        <v>40000</v>
      </c>
      <c r="M1557" s="110">
        <v>9.5</v>
      </c>
      <c r="N1557" s="9">
        <f>VLOOKUP(DATE(YEAR(A1557),MONTH(A1557),DAY(A1557)),FY24_Temp[],3,FALSE)</f>
        <v>14.95</v>
      </c>
      <c r="O1557" s="110">
        <f t="shared" si="1634"/>
        <v>11.5</v>
      </c>
      <c r="P1557" s="110">
        <f t="shared" si="1635"/>
        <v>19.5</v>
      </c>
      <c r="Q1557" s="79">
        <f>VLOOKUP(VLOOKUP(DATEVALUE(TEXT(A1557,"m/d/yyyy")),FY24_Temp[],5,FALSE)&amp;TEXT(A1557,"-h"),TempDelta[],4,FALSE)</f>
        <v>1.3760714275496346</v>
      </c>
      <c r="R1557">
        <v>10</v>
      </c>
      <c r="S1557" s="112">
        <v>1500</v>
      </c>
      <c r="T1557" s="5">
        <f>VLOOKUP(TEXT(A1557,"yy-mm")&amp;"-"&amp;IF(AND(WEEKDAY(A1557)&gt;1,WEEKDAY(A1557)&lt;7),"Wkd",TEXT(A1557,"Ddd"))&amp;"-"&amp;TEXT(A1557,"hh"),LoadTable[],3,FALSE)*0.92</f>
        <v>786.27137399656647</v>
      </c>
      <c r="U1557" s="113">
        <f t="shared" si="1636"/>
        <v>78.627137399656647</v>
      </c>
      <c r="V1557">
        <f t="shared" ref="V1557:W1557" si="1658">V1533</f>
        <v>2.9</v>
      </c>
      <c r="W1557">
        <f t="shared" si="1658"/>
        <v>3</v>
      </c>
      <c r="X1557" s="9">
        <v>3.0387556999999998</v>
      </c>
      <c r="Y1557" s="39"/>
    </row>
    <row r="1558" spans="1:25" ht="15" thickBot="1">
      <c r="A1558" s="29">
        <f t="shared" si="1618"/>
        <v>45900.791666664874</v>
      </c>
      <c r="B1558" s="30">
        <f t="shared" si="1645"/>
        <v>5000</v>
      </c>
      <c r="C1558" s="8">
        <v>25000</v>
      </c>
      <c r="D1558" s="187">
        <v>0</v>
      </c>
      <c r="E1558" s="187">
        <v>700</v>
      </c>
      <c r="F1558" s="187">
        <v>15000</v>
      </c>
      <c r="G1558" s="30">
        <f t="shared" si="1646"/>
        <v>2400</v>
      </c>
      <c r="H1558" s="8">
        <v>25000</v>
      </c>
      <c r="I1558" s="30">
        <f t="shared" si="1647"/>
        <v>5000</v>
      </c>
      <c r="J1558" s="187">
        <v>40000</v>
      </c>
      <c r="K1558" s="30">
        <f t="shared" si="1648"/>
        <v>5000</v>
      </c>
      <c r="L1558" s="187">
        <v>40000</v>
      </c>
      <c r="M1558" s="110">
        <v>9.5</v>
      </c>
      <c r="N1558" s="9">
        <f>VLOOKUP(DATE(YEAR(A1558),MONTH(A1558),DAY(A1558)),FY24_Temp[],3,FALSE)</f>
        <v>14.95</v>
      </c>
      <c r="O1558" s="110">
        <f t="shared" si="1634"/>
        <v>11.5</v>
      </c>
      <c r="P1558" s="110">
        <f t="shared" si="1635"/>
        <v>19.5</v>
      </c>
      <c r="Q1558" s="79">
        <f>VLOOKUP(VLOOKUP(DATEVALUE(TEXT(A1558,"m/d/yyyy")),FY24_Temp[],5,FALSE)&amp;TEXT(A1558,"-h"),TempDelta[],4,FALSE)</f>
        <v>1.5774285623005457</v>
      </c>
      <c r="R1558">
        <v>10</v>
      </c>
      <c r="S1558" s="112">
        <v>1500</v>
      </c>
      <c r="T1558" s="5">
        <f>VLOOKUP(TEXT(A1558,"yy-mm")&amp;"-"&amp;IF(AND(WEEKDAY(A1558)&gt;1,WEEKDAY(A1558)&lt;7),"Wkd",TEXT(A1558,"Ddd"))&amp;"-"&amp;TEXT(A1558,"hh"),LoadTable[],3,FALSE)*0.92</f>
        <v>786.27137399656624</v>
      </c>
      <c r="U1558" s="113">
        <f t="shared" si="1636"/>
        <v>78.627137399656618</v>
      </c>
      <c r="V1558">
        <f t="shared" ref="V1558:W1558" si="1659">V1534</f>
        <v>3</v>
      </c>
      <c r="W1558">
        <f t="shared" si="1659"/>
        <v>3</v>
      </c>
      <c r="X1558" s="9">
        <v>2.9669864000000001</v>
      </c>
      <c r="Y1558" s="39"/>
    </row>
    <row r="1559" spans="1:25" ht="15" thickBot="1">
      <c r="A1559" s="29">
        <f t="shared" si="1618"/>
        <v>45900.833333331539</v>
      </c>
      <c r="B1559" s="30">
        <f t="shared" si="1645"/>
        <v>5000</v>
      </c>
      <c r="C1559" s="8">
        <v>25000</v>
      </c>
      <c r="D1559" s="187">
        <v>0</v>
      </c>
      <c r="E1559" s="187">
        <v>700</v>
      </c>
      <c r="F1559" s="187">
        <v>15000</v>
      </c>
      <c r="G1559" s="30">
        <f t="shared" si="1646"/>
        <v>2400</v>
      </c>
      <c r="H1559" s="8">
        <v>25000</v>
      </c>
      <c r="I1559" s="30">
        <f t="shared" si="1647"/>
        <v>5000</v>
      </c>
      <c r="J1559" s="187">
        <v>40000</v>
      </c>
      <c r="K1559" s="30">
        <f t="shared" si="1648"/>
        <v>5000</v>
      </c>
      <c r="L1559" s="187">
        <v>40000</v>
      </c>
      <c r="M1559" s="110">
        <v>9.5</v>
      </c>
      <c r="N1559" s="9">
        <f>VLOOKUP(DATE(YEAR(A1559),MONTH(A1559),DAY(A1559)),FY24_Temp[],3,FALSE)</f>
        <v>14.95</v>
      </c>
      <c r="O1559" s="110">
        <f t="shared" si="1634"/>
        <v>11.5</v>
      </c>
      <c r="P1559" s="110">
        <f t="shared" si="1635"/>
        <v>19.5</v>
      </c>
      <c r="Q1559" s="79">
        <f>VLOOKUP(VLOOKUP(DATEVALUE(TEXT(A1559,"m/d/yyyy")),FY24_Temp[],5,FALSE)&amp;TEXT(A1559,"-h"),TempDelta[],4,FALSE)</f>
        <v>1.776142852646964</v>
      </c>
      <c r="R1559">
        <v>10</v>
      </c>
      <c r="S1559" s="112">
        <v>1500</v>
      </c>
      <c r="T1559" s="5">
        <f>VLOOKUP(TEXT(A1559,"yy-mm")&amp;"-"&amp;IF(AND(WEEKDAY(A1559)&gt;1,WEEKDAY(A1559)&lt;7),"Wkd",TEXT(A1559,"Ddd"))&amp;"-"&amp;TEXT(A1559,"hh"),LoadTable[],3,FALSE)*0.92</f>
        <v>786.27137399656647</v>
      </c>
      <c r="U1559" s="113">
        <f t="shared" si="1636"/>
        <v>78.627137399656647</v>
      </c>
      <c r="V1559">
        <f t="shared" ref="V1559:W1559" si="1660">V1535</f>
        <v>2.8</v>
      </c>
      <c r="W1559">
        <f t="shared" si="1660"/>
        <v>3.1</v>
      </c>
      <c r="X1559" s="9">
        <v>2.9263355999999998</v>
      </c>
      <c r="Y1559" s="39"/>
    </row>
    <row r="1560" spans="1:25" ht="15" thickBot="1">
      <c r="A1560" s="29">
        <f t="shared" si="1618"/>
        <v>45900.874999998203</v>
      </c>
      <c r="B1560" s="30">
        <f t="shared" si="1645"/>
        <v>5000</v>
      </c>
      <c r="C1560" s="8">
        <v>25000</v>
      </c>
      <c r="D1560" s="187">
        <v>0</v>
      </c>
      <c r="E1560" s="187">
        <v>700</v>
      </c>
      <c r="F1560" s="187">
        <v>15000</v>
      </c>
      <c r="G1560" s="30">
        <f t="shared" si="1646"/>
        <v>2400</v>
      </c>
      <c r="H1560" s="8">
        <v>25000</v>
      </c>
      <c r="I1560" s="30">
        <f t="shared" si="1647"/>
        <v>5000</v>
      </c>
      <c r="J1560" s="187">
        <v>40000</v>
      </c>
      <c r="K1560" s="30">
        <f t="shared" si="1648"/>
        <v>5000</v>
      </c>
      <c r="L1560" s="187">
        <v>40000</v>
      </c>
      <c r="M1560" s="110">
        <v>9.5</v>
      </c>
      <c r="N1560" s="9">
        <f>VLOOKUP(DATE(YEAR(A1560),MONTH(A1560),DAY(A1560)),FY24_Temp[],3,FALSE)</f>
        <v>14.95</v>
      </c>
      <c r="O1560" s="110">
        <f t="shared" si="1634"/>
        <v>11.5</v>
      </c>
      <c r="P1560" s="110">
        <f t="shared" si="1635"/>
        <v>19.5</v>
      </c>
      <c r="Q1560" s="79">
        <f>VLOOKUP(VLOOKUP(DATEVALUE(TEXT(A1560,"m/d/yyyy")),FY24_Temp[],5,FALSE)&amp;TEXT(A1560,"-h"),TempDelta[],4,FALSE)</f>
        <v>1.8817142588751656</v>
      </c>
      <c r="R1560">
        <v>10</v>
      </c>
      <c r="S1560" s="112">
        <v>1500</v>
      </c>
      <c r="T1560" s="5">
        <f>VLOOKUP(TEXT(A1560,"yy-mm")&amp;"-"&amp;IF(AND(WEEKDAY(A1560)&gt;1,WEEKDAY(A1560)&lt;7),"Wkd",TEXT(A1560,"Ddd"))&amp;"-"&amp;TEXT(A1560,"hh"),LoadTable[],3,FALSE)*0.92</f>
        <v>659.17515115813114</v>
      </c>
      <c r="U1560" s="113">
        <f t="shared" si="1636"/>
        <v>65.917515115813117</v>
      </c>
      <c r="V1560">
        <f t="shared" ref="V1560:W1560" si="1661">V1536</f>
        <v>3.5</v>
      </c>
      <c r="W1560">
        <f t="shared" si="1661"/>
        <v>3.1</v>
      </c>
      <c r="X1560" s="9">
        <v>2.9010636999999999</v>
      </c>
      <c r="Y1560" s="39"/>
    </row>
    <row r="1561" spans="1:25" ht="15" thickBot="1">
      <c r="A1561" s="29">
        <f t="shared" si="1618"/>
        <v>45900.916666664867</v>
      </c>
      <c r="B1561" s="30">
        <f t="shared" si="1645"/>
        <v>5000</v>
      </c>
      <c r="C1561" s="8">
        <v>25000</v>
      </c>
      <c r="D1561" s="187">
        <v>0</v>
      </c>
      <c r="E1561" s="187">
        <v>700</v>
      </c>
      <c r="F1561" s="187">
        <v>15000</v>
      </c>
      <c r="G1561" s="30">
        <f t="shared" si="1646"/>
        <v>2400</v>
      </c>
      <c r="H1561" s="8">
        <v>25000</v>
      </c>
      <c r="I1561" s="30">
        <f t="shared" si="1647"/>
        <v>5000</v>
      </c>
      <c r="J1561" s="187">
        <v>40000</v>
      </c>
      <c r="K1561" s="30">
        <f t="shared" si="1648"/>
        <v>5000</v>
      </c>
      <c r="L1561" s="187">
        <v>40000</v>
      </c>
      <c r="M1561" s="110">
        <v>9.5</v>
      </c>
      <c r="N1561" s="9">
        <f>VLOOKUP(DATE(YEAR(A1561),MONTH(A1561),DAY(A1561)),FY24_Temp[],3,FALSE)</f>
        <v>14.95</v>
      </c>
      <c r="O1561" s="110">
        <f t="shared" si="1634"/>
        <v>11.5</v>
      </c>
      <c r="P1561" s="110">
        <f t="shared" si="1635"/>
        <v>19.5</v>
      </c>
      <c r="Q1561" s="79">
        <f>VLOOKUP(VLOOKUP(DATEVALUE(TEXT(A1561,"m/d/yyyy")),FY24_Temp[],5,FALSE)&amp;TEXT(A1561,"-h"),TempDelta[],4,FALSE)</f>
        <v>2.2282856873103549</v>
      </c>
      <c r="R1561">
        <v>10</v>
      </c>
      <c r="S1561" s="112">
        <v>1500</v>
      </c>
      <c r="T1561" s="5">
        <f>VLOOKUP(TEXT(A1561,"yy-mm")&amp;"-"&amp;IF(AND(WEEKDAY(A1561)&gt;1,WEEKDAY(A1561)&lt;7),"Wkd",TEXT(A1561,"Ddd"))&amp;"-"&amp;TEXT(A1561,"hh"),LoadTable[],3,FALSE)*0.92</f>
        <v>598.79212957269056</v>
      </c>
      <c r="U1561" s="113">
        <f t="shared" si="1636"/>
        <v>59.879212957269054</v>
      </c>
      <c r="V1561">
        <f t="shared" ref="V1561:W1561" si="1662">V1537</f>
        <v>2.9</v>
      </c>
      <c r="W1561">
        <f t="shared" si="1662"/>
        <v>3.1</v>
      </c>
      <c r="X1561" s="9">
        <v>2.8584678000000001</v>
      </c>
      <c r="Y1561" s="39"/>
    </row>
    <row r="1562" spans="1:25" ht="15" thickBot="1">
      <c r="A1562" s="29">
        <f t="shared" si="1618"/>
        <v>45900.958333331531</v>
      </c>
      <c r="B1562" s="30">
        <f t="shared" si="1645"/>
        <v>5000</v>
      </c>
      <c r="C1562" s="8">
        <v>25000</v>
      </c>
      <c r="D1562" s="187">
        <v>0</v>
      </c>
      <c r="E1562" s="187">
        <v>700</v>
      </c>
      <c r="F1562" s="187">
        <v>15000</v>
      </c>
      <c r="G1562" s="30">
        <f t="shared" si="1646"/>
        <v>2400</v>
      </c>
      <c r="H1562" s="8">
        <v>25000</v>
      </c>
      <c r="I1562" s="30">
        <f t="shared" si="1647"/>
        <v>5000</v>
      </c>
      <c r="J1562" s="187">
        <v>40000</v>
      </c>
      <c r="K1562" s="30">
        <f t="shared" si="1648"/>
        <v>5000</v>
      </c>
      <c r="L1562" s="187">
        <v>40000</v>
      </c>
      <c r="M1562" s="110">
        <v>9.5</v>
      </c>
      <c r="N1562" s="9">
        <f>VLOOKUP(DATE(YEAR(A1562),MONTH(A1562),DAY(A1562)),FY24_Temp[],3,FALSE)</f>
        <v>14.95</v>
      </c>
      <c r="O1562" s="110">
        <f t="shared" si="1634"/>
        <v>11.5</v>
      </c>
      <c r="P1562" s="110">
        <f t="shared" si="1635"/>
        <v>19.5</v>
      </c>
      <c r="Q1562" s="79">
        <f>VLOOKUP(VLOOKUP(DATEVALUE(TEXT(A1562,"m/d/yyyy")),FY24_Temp[],5,FALSE)&amp;TEXT(A1562,"-h"),TempDelta[],4,FALSE)</f>
        <v>2.3557142189570834</v>
      </c>
      <c r="R1562">
        <v>10</v>
      </c>
      <c r="S1562" s="112">
        <v>1500</v>
      </c>
      <c r="T1562" s="5">
        <f>VLOOKUP(TEXT(A1562,"yy-mm")&amp;"-"&amp;IF(AND(WEEKDAY(A1562)&gt;1,WEEKDAY(A1562)&lt;7),"Wkd",TEXT(A1562,"Ddd"))&amp;"-"&amp;TEXT(A1562,"hh"),LoadTable[],3,FALSE)*0.92</f>
        <v>457.15168</v>
      </c>
      <c r="U1562" s="113">
        <f t="shared" si="1636"/>
        <v>45.715167999999998</v>
      </c>
      <c r="V1562">
        <f t="shared" ref="V1562:W1562" si="1663">V1538</f>
        <v>3.6</v>
      </c>
      <c r="W1562">
        <f t="shared" si="1663"/>
        <v>3.1</v>
      </c>
      <c r="X1562" s="9">
        <v>2.7454746000000001</v>
      </c>
      <c r="Y1562" s="39"/>
    </row>
    <row r="1563" spans="1:25" ht="15" thickBot="1">
      <c r="A1563" s="29">
        <f t="shared" si="1618"/>
        <v>45900.999999998196</v>
      </c>
      <c r="B1563" s="30">
        <f t="shared" si="1645"/>
        <v>5000</v>
      </c>
      <c r="C1563" s="8">
        <v>25000</v>
      </c>
      <c r="D1563" s="187">
        <v>0</v>
      </c>
      <c r="E1563" s="187">
        <v>700</v>
      </c>
      <c r="F1563" s="187">
        <v>15000</v>
      </c>
      <c r="G1563" s="30">
        <f t="shared" si="1646"/>
        <v>2400</v>
      </c>
      <c r="H1563" s="8">
        <v>25000</v>
      </c>
      <c r="I1563" s="30">
        <f t="shared" si="1647"/>
        <v>5000</v>
      </c>
      <c r="J1563" s="187">
        <v>40000</v>
      </c>
      <c r="K1563" s="30">
        <f t="shared" si="1648"/>
        <v>5000</v>
      </c>
      <c r="L1563" s="187">
        <v>40000</v>
      </c>
      <c r="M1563" s="110">
        <v>9.5</v>
      </c>
      <c r="N1563" s="9">
        <f>VLOOKUP(DATE(YEAR(A1563),MONTH(A1563),DAY(A1563)),FY24_Temp[],3,FALSE)</f>
        <v>14.95</v>
      </c>
      <c r="O1563" s="110">
        <f t="shared" si="1634"/>
        <v>11.5</v>
      </c>
      <c r="P1563" s="110">
        <f t="shared" si="1635"/>
        <v>19.5</v>
      </c>
      <c r="Q1563" s="79">
        <f>VLOOKUP(VLOOKUP(DATEVALUE(TEXT(A1563,"m/d/yyyy")),FY24_Temp[],5,FALSE)&amp;TEXT(A1563,"-h"),TempDelta[],4,FALSE)</f>
        <v>2.160285702773503</v>
      </c>
      <c r="R1563">
        <v>10</v>
      </c>
      <c r="S1563" s="112">
        <v>1500</v>
      </c>
      <c r="T1563" s="5">
        <f>VLOOKUP(TEXT(A1563,"yy-mm")&amp;"-"&amp;IF(AND(WEEKDAY(A1563)&gt;1,WEEKDAY(A1563)&lt;7),"Wkd",TEXT(A1563,"Ddd"))&amp;"-"&amp;TEXT(A1563,"hh"),LoadTable[],3,FALSE)*0.92</f>
        <v>289.0624787084426</v>
      </c>
      <c r="U1563" s="113">
        <f t="shared" si="1636"/>
        <v>28.906247870844261</v>
      </c>
      <c r="V1563">
        <f t="shared" ref="V1563:W1563" si="1664">V1539</f>
        <v>3</v>
      </c>
      <c r="W1563">
        <f t="shared" si="1664"/>
        <v>3.2</v>
      </c>
      <c r="X1563" s="9">
        <v>2.6794129333333299</v>
      </c>
      <c r="Y1563" s="39"/>
    </row>
    <row r="1564" spans="1:25" ht="15" thickBot="1">
      <c r="A1564" s="29">
        <f t="shared" si="1618"/>
        <v>45901.04166666486</v>
      </c>
      <c r="B1564" s="30">
        <f t="shared" si="1645"/>
        <v>5000</v>
      </c>
      <c r="C1564" s="8">
        <v>25000</v>
      </c>
      <c r="D1564" s="187">
        <v>0</v>
      </c>
      <c r="E1564" s="187">
        <v>700</v>
      </c>
      <c r="F1564" s="187">
        <v>15000</v>
      </c>
      <c r="G1564" s="30">
        <f t="shared" si="1646"/>
        <v>2400</v>
      </c>
      <c r="H1564" s="8">
        <v>25000</v>
      </c>
      <c r="I1564" s="30">
        <f t="shared" si="1647"/>
        <v>5000</v>
      </c>
      <c r="J1564" s="187">
        <v>40000</v>
      </c>
      <c r="K1564" s="30">
        <f t="shared" si="1648"/>
        <v>5000</v>
      </c>
      <c r="L1564" s="187">
        <v>40000</v>
      </c>
      <c r="M1564" s="110">
        <v>9.5</v>
      </c>
      <c r="N1564" s="9">
        <f>VLOOKUP(DATE(YEAR(A1564),MONTH(A1564),DAY(A1564)),FY24_Temp[],3,FALSE)</f>
        <v>14.95</v>
      </c>
      <c r="O1564" s="110">
        <f t="shared" si="1634"/>
        <v>11.5</v>
      </c>
      <c r="P1564" s="110">
        <f t="shared" si="1635"/>
        <v>19.5</v>
      </c>
      <c r="Q1564" s="79">
        <f>VLOOKUP(VLOOKUP(DATEVALUE(TEXT(A1564,"m/d/yyyy")),FY24_Temp[],5,FALSE)&amp;TEXT(A1564,"-h"),TempDelta[],4,FALSE)</f>
        <v>2.4718571390424455</v>
      </c>
      <c r="R1564">
        <v>10</v>
      </c>
      <c r="S1564" s="112">
        <v>1500</v>
      </c>
      <c r="T1564" s="5">
        <f>VLOOKUP(TEXT(A1564,"yy-mm")&amp;"-"&amp;IF(AND(WEEKDAY(A1564)&gt;1,WEEKDAY(A1564)&lt;7),"Wkd",TEXT(A1564,"Ddd"))&amp;"-"&amp;TEXT(A1564,"hh"),LoadTable[],3,FALSE)*0.92</f>
        <v>289.0624787084426</v>
      </c>
      <c r="U1564" s="113">
        <f t="shared" si="1636"/>
        <v>28.906247870844261</v>
      </c>
      <c r="V1564">
        <f t="shared" ref="V1564:W1564" si="1665">V1540</f>
        <v>2.6</v>
      </c>
      <c r="W1564">
        <f t="shared" si="1665"/>
        <v>3.2</v>
      </c>
      <c r="X1564" s="9">
        <v>2.6016183833333302</v>
      </c>
      <c r="Y1564" s="39"/>
    </row>
    <row r="1565" spans="1:25" ht="15" thickBot="1">
      <c r="A1565" s="29">
        <f t="shared" si="1618"/>
        <v>45901.083333331524</v>
      </c>
      <c r="B1565" s="30">
        <f t="shared" si="1645"/>
        <v>5000</v>
      </c>
      <c r="C1565" s="8">
        <v>25000</v>
      </c>
      <c r="D1565" s="187">
        <v>0</v>
      </c>
      <c r="E1565" s="187">
        <v>700</v>
      </c>
      <c r="F1565" s="187">
        <v>15000</v>
      </c>
      <c r="G1565" s="30">
        <f t="shared" si="1646"/>
        <v>2400</v>
      </c>
      <c r="H1565" s="8">
        <v>25000</v>
      </c>
      <c r="I1565" s="30">
        <f t="shared" si="1647"/>
        <v>5000</v>
      </c>
      <c r="J1565" s="187">
        <v>40000</v>
      </c>
      <c r="K1565" s="30">
        <f t="shared" si="1648"/>
        <v>5000</v>
      </c>
      <c r="L1565" s="187">
        <v>40000</v>
      </c>
      <c r="M1565" s="110">
        <v>9.5</v>
      </c>
      <c r="N1565" s="9">
        <f>VLOOKUP(DATE(YEAR(A1565),MONTH(A1565),DAY(A1565)),FY24_Temp[],3,FALSE)</f>
        <v>14.95</v>
      </c>
      <c r="O1565" s="110">
        <f t="shared" si="1634"/>
        <v>11.5</v>
      </c>
      <c r="P1565" s="110">
        <f t="shared" si="1635"/>
        <v>19.5</v>
      </c>
      <c r="Q1565" s="79">
        <f>VLOOKUP(VLOOKUP(DATEVALUE(TEXT(A1565,"m/d/yyyy")),FY24_Temp[],5,FALSE)&amp;TEXT(A1565,"-h"),TempDelta[],4,FALSE)</f>
        <v>2.5034285613468716</v>
      </c>
      <c r="R1565">
        <v>10</v>
      </c>
      <c r="S1565" s="112">
        <v>1500</v>
      </c>
      <c r="T1565" s="5">
        <f>VLOOKUP(TEXT(A1565,"yy-mm")&amp;"-"&amp;IF(AND(WEEKDAY(A1565)&gt;1,WEEKDAY(A1565)&lt;7),"Wkd",TEXT(A1565,"Ddd"))&amp;"-"&amp;TEXT(A1565,"hh"),LoadTable[],3,FALSE)*0.92</f>
        <v>289.0624787084426</v>
      </c>
      <c r="U1565" s="113">
        <f t="shared" si="1636"/>
        <v>28.906247870844261</v>
      </c>
      <c r="V1565">
        <f t="shared" ref="V1565:W1565" si="1666">V1541</f>
        <v>2.8</v>
      </c>
      <c r="W1565">
        <f t="shared" si="1666"/>
        <v>3.2</v>
      </c>
      <c r="X1565" s="9">
        <v>2.52382383333333</v>
      </c>
      <c r="Y1565" s="39"/>
    </row>
    <row r="1566" spans="1:25" ht="15" thickBot="1">
      <c r="A1566" s="29">
        <f t="shared" si="1618"/>
        <v>45901.124999998188</v>
      </c>
      <c r="B1566" s="30">
        <f t="shared" si="1645"/>
        <v>5000</v>
      </c>
      <c r="C1566" s="8">
        <v>25000</v>
      </c>
      <c r="D1566" s="187">
        <v>0</v>
      </c>
      <c r="E1566" s="187">
        <v>700</v>
      </c>
      <c r="F1566" s="187">
        <v>15000</v>
      </c>
      <c r="G1566" s="30">
        <f t="shared" si="1646"/>
        <v>2400</v>
      </c>
      <c r="H1566" s="8">
        <v>25000</v>
      </c>
      <c r="I1566" s="30">
        <f t="shared" si="1647"/>
        <v>5000</v>
      </c>
      <c r="J1566" s="187">
        <v>40000</v>
      </c>
      <c r="K1566" s="30">
        <f t="shared" si="1648"/>
        <v>5000</v>
      </c>
      <c r="L1566" s="187">
        <v>40000</v>
      </c>
      <c r="M1566" s="110">
        <v>9.5</v>
      </c>
      <c r="N1566" s="9">
        <f>VLOOKUP(DATE(YEAR(A1566),MONTH(A1566),DAY(A1566)),FY24_Temp[],3,FALSE)</f>
        <v>14.95</v>
      </c>
      <c r="O1566" s="110">
        <f t="shared" si="1634"/>
        <v>11.5</v>
      </c>
      <c r="P1566" s="110">
        <f t="shared" si="1635"/>
        <v>19.5</v>
      </c>
      <c r="Q1566" s="79">
        <f>VLOOKUP(VLOOKUP(DATEVALUE(TEXT(A1566,"m/d/yyyy")),FY24_Temp[],5,FALSE)&amp;TEXT(A1566,"-h"),TempDelta[],4,FALSE)</f>
        <v>2.5060000419616699</v>
      </c>
      <c r="R1566">
        <v>10</v>
      </c>
      <c r="S1566" s="112">
        <v>1500</v>
      </c>
      <c r="T1566" s="5">
        <f>VLOOKUP(TEXT(A1566,"yy-mm")&amp;"-"&amp;IF(AND(WEEKDAY(A1566)&gt;1,WEEKDAY(A1566)&lt;7),"Wkd",TEXT(A1566,"Ddd"))&amp;"-"&amp;TEXT(A1566,"hh"),LoadTable[],3,FALSE)*0.92</f>
        <v>289.05894152419745</v>
      </c>
      <c r="U1566" s="113">
        <f t="shared" si="1636"/>
        <v>28.905894152419744</v>
      </c>
      <c r="V1566">
        <f t="shared" ref="V1566:W1566" si="1667">V1542</f>
        <v>2.7</v>
      </c>
      <c r="W1566">
        <f t="shared" si="1667"/>
        <v>3.2</v>
      </c>
      <c r="X1566" s="9">
        <v>2.4460292833333299</v>
      </c>
      <c r="Y1566" s="39"/>
    </row>
    <row r="1567" spans="1:25" ht="15" thickBot="1">
      <c r="A1567" s="29">
        <f t="shared" si="1618"/>
        <v>45901.166666664853</v>
      </c>
      <c r="B1567" s="30">
        <f t="shared" si="1645"/>
        <v>5000</v>
      </c>
      <c r="C1567" s="8">
        <v>25000</v>
      </c>
      <c r="D1567" s="187">
        <v>0</v>
      </c>
      <c r="E1567" s="187">
        <v>700</v>
      </c>
      <c r="F1567" s="187">
        <v>15000</v>
      </c>
      <c r="G1567" s="30">
        <f t="shared" si="1646"/>
        <v>2400</v>
      </c>
      <c r="H1567" s="8">
        <v>25000</v>
      </c>
      <c r="I1567" s="30">
        <f t="shared" si="1647"/>
        <v>5000</v>
      </c>
      <c r="J1567" s="187">
        <v>40000</v>
      </c>
      <c r="K1567" s="30">
        <f t="shared" si="1648"/>
        <v>5000</v>
      </c>
      <c r="L1567" s="187">
        <v>40000</v>
      </c>
      <c r="M1567" s="110">
        <v>9.5</v>
      </c>
      <c r="N1567" s="9">
        <f>VLOOKUP(DATE(YEAR(A1567),MONTH(A1567),DAY(A1567)),FY24_Temp[],3,FALSE)</f>
        <v>14.95</v>
      </c>
      <c r="O1567" s="110">
        <f t="shared" si="1634"/>
        <v>11.5</v>
      </c>
      <c r="P1567" s="110">
        <f t="shared" si="1635"/>
        <v>19.5</v>
      </c>
      <c r="Q1567" s="79">
        <f>VLOOKUP(VLOOKUP(DATEVALUE(TEXT(A1567,"m/d/yyyy")),FY24_Temp[],5,FALSE)&amp;TEXT(A1567,"-h"),TempDelta[],4,FALSE)</f>
        <v>2.5351428644997731</v>
      </c>
      <c r="R1567">
        <v>10</v>
      </c>
      <c r="S1567" s="112">
        <v>1500</v>
      </c>
      <c r="T1567" s="5">
        <f>VLOOKUP(TEXT(A1567,"yy-mm")&amp;"-"&amp;IF(AND(WEEKDAY(A1567)&gt;1,WEEKDAY(A1567)&lt;7),"Wkd",TEXT(A1567,"Ddd"))&amp;"-"&amp;TEXT(A1567,"hh"),LoadTable[],3,FALSE)*0.92</f>
        <v>289.05894152419745</v>
      </c>
      <c r="U1567" s="113">
        <f t="shared" si="1636"/>
        <v>28.905894152419744</v>
      </c>
      <c r="V1567">
        <f t="shared" ref="V1567:W1567" si="1668">V1543</f>
        <v>3</v>
      </c>
      <c r="W1567">
        <f t="shared" si="1668"/>
        <v>3.1</v>
      </c>
      <c r="X1567" s="9">
        <v>2.3682347333333298</v>
      </c>
      <c r="Y1567" s="39"/>
    </row>
    <row r="1568" spans="1:25" ht="15" thickBot="1">
      <c r="A1568" s="29">
        <f t="shared" si="1618"/>
        <v>45901.208333331517</v>
      </c>
      <c r="B1568" s="30">
        <f t="shared" si="1645"/>
        <v>5000</v>
      </c>
      <c r="C1568" s="8">
        <v>25000</v>
      </c>
      <c r="D1568" s="187">
        <v>0</v>
      </c>
      <c r="E1568" s="187">
        <v>700</v>
      </c>
      <c r="F1568" s="187">
        <v>15000</v>
      </c>
      <c r="G1568" s="30">
        <f t="shared" si="1646"/>
        <v>2400</v>
      </c>
      <c r="H1568" s="8">
        <v>25000</v>
      </c>
      <c r="I1568" s="30">
        <f t="shared" si="1647"/>
        <v>5000</v>
      </c>
      <c r="J1568" s="187">
        <v>40000</v>
      </c>
      <c r="K1568" s="30">
        <f t="shared" si="1648"/>
        <v>5000</v>
      </c>
      <c r="L1568" s="187">
        <v>40000</v>
      </c>
      <c r="M1568" s="110">
        <v>9.5</v>
      </c>
      <c r="N1568" s="9">
        <f>VLOOKUP(DATE(YEAR(A1568),MONTH(A1568),DAY(A1568)),FY24_Temp[],3,FALSE)</f>
        <v>14.95</v>
      </c>
      <c r="O1568" s="110">
        <f t="shared" si="1634"/>
        <v>11.5</v>
      </c>
      <c r="P1568" s="110">
        <f t="shared" si="1635"/>
        <v>19.5</v>
      </c>
      <c r="Q1568" s="79">
        <f>VLOOKUP(VLOOKUP(DATEVALUE(TEXT(A1568,"m/d/yyyy")),FY24_Temp[],5,FALSE)&amp;TEXT(A1568,"-h"),TempDelta[],4,FALSE)</f>
        <v>2.6308570929936002</v>
      </c>
      <c r="R1568">
        <v>10</v>
      </c>
      <c r="S1568" s="112">
        <v>1500</v>
      </c>
      <c r="T1568" s="5">
        <f>VLOOKUP(TEXT(A1568,"yy-mm")&amp;"-"&amp;IF(AND(WEEKDAY(A1568)&gt;1,WEEKDAY(A1568)&lt;7),"Wkd",TEXT(A1568,"Ddd"))&amp;"-"&amp;TEXT(A1568,"hh"),LoadTable[],3,FALSE)*0.92</f>
        <v>289.05894152419745</v>
      </c>
      <c r="U1568" s="113">
        <f t="shared" si="1636"/>
        <v>28.905894152419744</v>
      </c>
      <c r="V1568">
        <f t="shared" ref="V1568:W1568" si="1669">V1544</f>
        <v>2.9</v>
      </c>
      <c r="W1568">
        <f t="shared" si="1669"/>
        <v>3.1</v>
      </c>
      <c r="X1568" s="9">
        <v>2.2904401833333301</v>
      </c>
      <c r="Y1568" s="39"/>
    </row>
    <row r="1569" spans="1:25" ht="15" thickBot="1">
      <c r="A1569" s="29">
        <f t="shared" si="1618"/>
        <v>45901.249999998181</v>
      </c>
      <c r="B1569" s="30">
        <f t="shared" si="1645"/>
        <v>8000</v>
      </c>
      <c r="C1569" s="8">
        <v>25000</v>
      </c>
      <c r="D1569" s="187">
        <v>0</v>
      </c>
      <c r="E1569" s="187">
        <v>700</v>
      </c>
      <c r="F1569" s="187">
        <v>15000</v>
      </c>
      <c r="G1569" s="30">
        <f t="shared" si="1646"/>
        <v>2400</v>
      </c>
      <c r="H1569" s="8">
        <v>25000</v>
      </c>
      <c r="I1569" s="30">
        <f t="shared" si="1647"/>
        <v>8000</v>
      </c>
      <c r="J1569" s="187">
        <v>40000</v>
      </c>
      <c r="K1569" s="30">
        <f t="shared" si="1648"/>
        <v>8000</v>
      </c>
      <c r="L1569" s="187">
        <v>40000</v>
      </c>
      <c r="M1569" s="110">
        <v>9.5</v>
      </c>
      <c r="N1569" s="9">
        <f>VLOOKUP(DATE(YEAR(A1569),MONTH(A1569),DAY(A1569)),FY24_Temp[],3,FALSE)</f>
        <v>14.95</v>
      </c>
      <c r="O1569" s="110">
        <f t="shared" si="1634"/>
        <v>11.5</v>
      </c>
      <c r="P1569" s="110">
        <f t="shared" si="1635"/>
        <v>19.5</v>
      </c>
      <c r="Q1569" s="79">
        <f>VLOOKUP(VLOOKUP(DATEVALUE(TEXT(A1569,"m/d/yyyy")),FY24_Temp[],5,FALSE)&amp;TEXT(A1569,"-h"),TempDelta[],4,FALSE)</f>
        <v>2.6167142391204834</v>
      </c>
      <c r="R1569">
        <v>10</v>
      </c>
      <c r="S1569" s="112">
        <v>1500</v>
      </c>
      <c r="T1569" s="5">
        <f>VLOOKUP(TEXT(A1569,"yy-mm")&amp;"-"&amp;IF(AND(WEEKDAY(A1569)&gt;1,WEEKDAY(A1569)&lt;7),"Wkd",TEXT(A1569,"Ddd"))&amp;"-"&amp;TEXT(A1569,"hh"),LoadTable[],3,FALSE)*0.92</f>
        <v>291.12479999999999</v>
      </c>
      <c r="U1569" s="113">
        <f t="shared" si="1636"/>
        <v>29.112479999999998</v>
      </c>
      <c r="V1569">
        <f t="shared" ref="V1569:W1569" si="1670">V1545</f>
        <v>2.5</v>
      </c>
      <c r="W1569">
        <f t="shared" si="1670"/>
        <v>3.1</v>
      </c>
      <c r="X1569" s="9">
        <v>2.21264563333333</v>
      </c>
      <c r="Y1569" s="39"/>
    </row>
    <row r="1570" spans="1:25" ht="15" thickBot="1">
      <c r="A1570" s="29">
        <f t="shared" si="1618"/>
        <v>45901.291666664845</v>
      </c>
      <c r="B1570" s="30">
        <f t="shared" si="1645"/>
        <v>8000</v>
      </c>
      <c r="C1570" s="8">
        <v>25000</v>
      </c>
      <c r="D1570" s="187">
        <v>0</v>
      </c>
      <c r="E1570" s="187">
        <v>700</v>
      </c>
      <c r="F1570" s="187">
        <v>15000</v>
      </c>
      <c r="G1570" s="30">
        <f t="shared" si="1646"/>
        <v>2400</v>
      </c>
      <c r="H1570" s="8">
        <v>25000</v>
      </c>
      <c r="I1570" s="30">
        <f t="shared" si="1647"/>
        <v>8000</v>
      </c>
      <c r="J1570" s="187">
        <v>40000</v>
      </c>
      <c r="K1570" s="30">
        <f t="shared" si="1648"/>
        <v>8000</v>
      </c>
      <c r="L1570" s="187">
        <v>40000</v>
      </c>
      <c r="M1570" s="110">
        <v>9.5</v>
      </c>
      <c r="N1570" s="9">
        <f>VLOOKUP(DATE(YEAR(A1570),MONTH(A1570),DAY(A1570)),FY24_Temp[],3,FALSE)</f>
        <v>14.95</v>
      </c>
      <c r="O1570" s="110">
        <f t="shared" si="1634"/>
        <v>11.5</v>
      </c>
      <c r="P1570" s="110">
        <f t="shared" si="1635"/>
        <v>19.5</v>
      </c>
      <c r="Q1570" s="79">
        <f>VLOOKUP(VLOOKUP(DATEVALUE(TEXT(A1570,"m/d/yyyy")),FY24_Temp[],5,FALSE)&amp;TEXT(A1570,"-h"),TempDelta[],4,FALSE)</f>
        <v>2.5078571183340892</v>
      </c>
      <c r="R1570">
        <v>10</v>
      </c>
      <c r="S1570" s="112">
        <v>1500</v>
      </c>
      <c r="T1570" s="5">
        <f>VLOOKUP(TEXT(A1570,"yy-mm")&amp;"-"&amp;IF(AND(WEEKDAY(A1570)&gt;1,WEEKDAY(A1570)&lt;7),"Wkd",TEXT(A1570,"Ddd"))&amp;"-"&amp;TEXT(A1570,"hh"),LoadTable[],3,FALSE)*0.92</f>
        <v>291.12479999999999</v>
      </c>
      <c r="U1570" s="113">
        <f t="shared" si="1636"/>
        <v>29.112479999999998</v>
      </c>
      <c r="V1570">
        <f t="shared" ref="V1570:W1570" si="1671">V1546</f>
        <v>2.5</v>
      </c>
      <c r="W1570">
        <f t="shared" si="1671"/>
        <v>3.1</v>
      </c>
      <c r="X1570" s="9">
        <v>2.1348510833333298</v>
      </c>
      <c r="Y1570" s="39"/>
    </row>
    <row r="1571" spans="1:25" ht="15" thickBot="1">
      <c r="A1571" s="29">
        <f t="shared" si="1618"/>
        <v>45901.333333331509</v>
      </c>
      <c r="B1571" s="30">
        <f t="shared" si="1645"/>
        <v>8000</v>
      </c>
      <c r="C1571" s="8">
        <v>25000</v>
      </c>
      <c r="D1571" s="187">
        <v>0</v>
      </c>
      <c r="E1571" s="187">
        <v>700</v>
      </c>
      <c r="F1571" s="187">
        <v>15000</v>
      </c>
      <c r="G1571" s="30">
        <f t="shared" si="1646"/>
        <v>2400</v>
      </c>
      <c r="H1571" s="8">
        <v>25000</v>
      </c>
      <c r="I1571" s="30">
        <f t="shared" si="1647"/>
        <v>8000</v>
      </c>
      <c r="J1571" s="187">
        <v>40000</v>
      </c>
      <c r="K1571" s="30">
        <f t="shared" si="1648"/>
        <v>8000</v>
      </c>
      <c r="L1571" s="187">
        <v>40000</v>
      </c>
      <c r="M1571" s="110">
        <v>9.5</v>
      </c>
      <c r="N1571" s="9">
        <f>VLOOKUP(DATE(YEAR(A1571),MONTH(A1571),DAY(A1571)),FY24_Temp[],3,FALSE)</f>
        <v>14.95</v>
      </c>
      <c r="O1571" s="110">
        <f t="shared" si="1634"/>
        <v>11.5</v>
      </c>
      <c r="P1571" s="110">
        <f t="shared" si="1635"/>
        <v>19.5</v>
      </c>
      <c r="Q1571" s="79">
        <f>VLOOKUP(VLOOKUP(DATEVALUE(TEXT(A1571,"m/d/yyyy")),FY24_Temp[],5,FALSE)&amp;TEXT(A1571,"-h"),TempDelta[],4,FALSE)</f>
        <v>2.3500000068119595</v>
      </c>
      <c r="R1571">
        <v>10</v>
      </c>
      <c r="S1571" s="112">
        <v>1500</v>
      </c>
      <c r="T1571" s="5">
        <f>VLOOKUP(TEXT(A1571,"yy-mm")&amp;"-"&amp;IF(AND(WEEKDAY(A1571)&gt;1,WEEKDAY(A1571)&lt;7),"Wkd",TEXT(A1571,"Ddd"))&amp;"-"&amp;TEXT(A1571,"hh"),LoadTable[],3,FALSE)*0.92</f>
        <v>291.12479999999999</v>
      </c>
      <c r="U1571" s="113">
        <f t="shared" si="1636"/>
        <v>29.112479999999998</v>
      </c>
      <c r="V1571">
        <f t="shared" ref="V1571:W1571" si="1672">V1547</f>
        <v>3.2</v>
      </c>
      <c r="W1571">
        <f t="shared" si="1672"/>
        <v>3</v>
      </c>
      <c r="X1571" s="9">
        <v>2.0570565333333302</v>
      </c>
      <c r="Y1571" s="39"/>
    </row>
    <row r="1572" spans="1:25" ht="15" thickBot="1">
      <c r="A1572" s="29">
        <f t="shared" si="1618"/>
        <v>45901.374999998174</v>
      </c>
      <c r="B1572" s="30">
        <f t="shared" si="1645"/>
        <v>8000</v>
      </c>
      <c r="C1572" s="8">
        <v>25000</v>
      </c>
      <c r="D1572" s="187">
        <v>0</v>
      </c>
      <c r="E1572" s="187">
        <v>700</v>
      </c>
      <c r="F1572" s="187">
        <v>15000</v>
      </c>
      <c r="G1572" s="30">
        <f t="shared" si="1646"/>
        <v>2400</v>
      </c>
      <c r="H1572" s="8">
        <v>25000</v>
      </c>
      <c r="I1572" s="30">
        <f t="shared" si="1647"/>
        <v>8000</v>
      </c>
      <c r="J1572" s="187">
        <v>40000</v>
      </c>
      <c r="K1572" s="30">
        <f t="shared" si="1648"/>
        <v>8000</v>
      </c>
      <c r="L1572" s="187">
        <v>40000</v>
      </c>
      <c r="M1572" s="110">
        <v>9.5</v>
      </c>
      <c r="N1572" s="9">
        <f>VLOOKUP(DATE(YEAR(A1572),MONTH(A1572),DAY(A1572)),FY24_Temp[],3,FALSE)</f>
        <v>14.95</v>
      </c>
      <c r="O1572" s="110">
        <f t="shared" si="1634"/>
        <v>11.5</v>
      </c>
      <c r="P1572" s="110">
        <f t="shared" si="1635"/>
        <v>19.5</v>
      </c>
      <c r="Q1572" s="79">
        <f>VLOOKUP(VLOOKUP(DATEVALUE(TEXT(A1572,"m/d/yyyy")),FY24_Temp[],5,FALSE)&amp;TEXT(A1572,"-h"),TempDelta[],4,FALSE)</f>
        <v>2.1847142832619801</v>
      </c>
      <c r="R1572">
        <v>10</v>
      </c>
      <c r="S1572" s="112">
        <v>1500</v>
      </c>
      <c r="T1572" s="5">
        <f>VLOOKUP(TEXT(A1572,"yy-mm")&amp;"-"&amp;IF(AND(WEEKDAY(A1572)&gt;1,WEEKDAY(A1572)&lt;7),"Wkd",TEXT(A1572,"Ddd"))&amp;"-"&amp;TEXT(A1572,"hh"),LoadTable[],3,FALSE)*0.92</f>
        <v>291.12479999999999</v>
      </c>
      <c r="U1572" s="113">
        <f t="shared" si="1636"/>
        <v>29.112479999999998</v>
      </c>
      <c r="V1572">
        <f t="shared" ref="V1572:W1572" si="1673">V1548</f>
        <v>2.9</v>
      </c>
      <c r="W1572">
        <f t="shared" si="1673"/>
        <v>3</v>
      </c>
      <c r="X1572" s="9">
        <v>1.97926198333333</v>
      </c>
      <c r="Y1572" s="39"/>
    </row>
    <row r="1573" spans="1:25" ht="15" thickBot="1">
      <c r="A1573" s="29">
        <f t="shared" si="1618"/>
        <v>45901.416666664838</v>
      </c>
      <c r="B1573" s="30">
        <f t="shared" si="1645"/>
        <v>8000</v>
      </c>
      <c r="C1573" s="8">
        <v>25000</v>
      </c>
      <c r="D1573" s="187">
        <v>0</v>
      </c>
      <c r="E1573" s="187">
        <v>700</v>
      </c>
      <c r="F1573" s="187">
        <v>15000</v>
      </c>
      <c r="G1573" s="30">
        <f t="shared" si="1646"/>
        <v>2400</v>
      </c>
      <c r="H1573" s="8">
        <v>25000</v>
      </c>
      <c r="I1573" s="30">
        <f t="shared" si="1647"/>
        <v>8000</v>
      </c>
      <c r="J1573" s="187">
        <v>40000</v>
      </c>
      <c r="K1573" s="30">
        <f t="shared" si="1648"/>
        <v>8000</v>
      </c>
      <c r="L1573" s="187">
        <v>40000</v>
      </c>
      <c r="M1573" s="110">
        <v>9.5</v>
      </c>
      <c r="N1573" s="9">
        <f>VLOOKUP(DATE(YEAR(A1573),MONTH(A1573),DAY(A1573)),FY24_Temp[],3,FALSE)</f>
        <v>14.95</v>
      </c>
      <c r="O1573" s="110">
        <f t="shared" si="1634"/>
        <v>11.5</v>
      </c>
      <c r="P1573" s="110">
        <f t="shared" si="1635"/>
        <v>19.5</v>
      </c>
      <c r="Q1573" s="79">
        <f>VLOOKUP(VLOOKUP(DATEVALUE(TEXT(A1573,"m/d/yyyy")),FY24_Temp[],5,FALSE)&amp;TEXT(A1573,"-h"),TempDelta[],4,FALSE)</f>
        <v>2.0077143056052074</v>
      </c>
      <c r="R1573">
        <v>10</v>
      </c>
      <c r="S1573" s="112">
        <v>1500</v>
      </c>
      <c r="T1573" s="5">
        <f>VLOOKUP(TEXT(A1573,"yy-mm")&amp;"-"&amp;IF(AND(WEEKDAY(A1573)&gt;1,WEEKDAY(A1573)&lt;7),"Wkd",TEXT(A1573,"Ddd"))&amp;"-"&amp;TEXT(A1573,"hh"),LoadTable[],3,FALSE)*0.92</f>
        <v>290.74956158350585</v>
      </c>
      <c r="U1573" s="113">
        <f t="shared" si="1636"/>
        <v>29.074956158350584</v>
      </c>
      <c r="V1573">
        <f t="shared" ref="V1573:W1573" si="1674">V1549</f>
        <v>2.9</v>
      </c>
      <c r="W1573">
        <f t="shared" si="1674"/>
        <v>3</v>
      </c>
      <c r="X1573" s="9">
        <v>1.9014674333333299</v>
      </c>
      <c r="Y1573" s="39"/>
    </row>
    <row r="1574" spans="1:25" ht="15" thickBot="1">
      <c r="A1574" s="29">
        <f t="shared" si="1618"/>
        <v>45901.458333331502</v>
      </c>
      <c r="B1574" s="30">
        <f t="shared" si="1645"/>
        <v>8000</v>
      </c>
      <c r="C1574" s="8">
        <v>25000</v>
      </c>
      <c r="D1574" s="187">
        <v>0</v>
      </c>
      <c r="E1574" s="187">
        <v>700</v>
      </c>
      <c r="F1574" s="187">
        <v>15000</v>
      </c>
      <c r="G1574" s="30">
        <f t="shared" si="1646"/>
        <v>2400</v>
      </c>
      <c r="H1574" s="8">
        <v>25000</v>
      </c>
      <c r="I1574" s="30">
        <f t="shared" si="1647"/>
        <v>8000</v>
      </c>
      <c r="J1574" s="187">
        <v>40000</v>
      </c>
      <c r="K1574" s="30">
        <f t="shared" si="1648"/>
        <v>8000</v>
      </c>
      <c r="L1574" s="187">
        <v>40000</v>
      </c>
      <c r="M1574" s="110">
        <v>9.5</v>
      </c>
      <c r="N1574" s="9">
        <f>VLOOKUP(DATE(YEAR(A1574),MONTH(A1574),DAY(A1574)),FY24_Temp[],3,FALSE)</f>
        <v>14.95</v>
      </c>
      <c r="O1574" s="110">
        <f t="shared" si="1634"/>
        <v>11.5</v>
      </c>
      <c r="P1574" s="110">
        <f t="shared" si="1635"/>
        <v>19.5</v>
      </c>
      <c r="Q1574" s="79">
        <f>VLOOKUP(VLOOKUP(DATEVALUE(TEXT(A1574,"m/d/yyyy")),FY24_Temp[],5,FALSE)&amp;TEXT(A1574,"-h"),TempDelta[],4,FALSE)</f>
        <v>1.7969999824251448</v>
      </c>
      <c r="R1574">
        <v>10</v>
      </c>
      <c r="S1574" s="112">
        <v>1500</v>
      </c>
      <c r="T1574" s="5">
        <f>VLOOKUP(TEXT(A1574,"yy-mm")&amp;"-"&amp;IF(AND(WEEKDAY(A1574)&gt;1,WEEKDAY(A1574)&lt;7),"Wkd",TEXT(A1574,"Ddd"))&amp;"-"&amp;TEXT(A1574,"hh"),LoadTable[],3,FALSE)*0.92</f>
        <v>290.74956158350585</v>
      </c>
      <c r="U1574" s="113">
        <f t="shared" si="1636"/>
        <v>29.074956158350584</v>
      </c>
      <c r="V1574">
        <f t="shared" ref="V1574:W1574" si="1675">V1550</f>
        <v>3.4</v>
      </c>
      <c r="W1574">
        <f t="shared" si="1675"/>
        <v>3</v>
      </c>
      <c r="X1574" s="9">
        <v>1.82367288333333</v>
      </c>
      <c r="Y1574" s="39"/>
    </row>
    <row r="1575" spans="1:25" ht="15" thickBot="1">
      <c r="A1575" s="29">
        <f t="shared" si="1618"/>
        <v>45901.499999998166</v>
      </c>
      <c r="B1575" s="30">
        <f t="shared" si="1645"/>
        <v>8000</v>
      </c>
      <c r="C1575" s="8">
        <v>25000</v>
      </c>
      <c r="D1575" s="187">
        <v>0</v>
      </c>
      <c r="E1575" s="187">
        <v>700</v>
      </c>
      <c r="F1575" s="187">
        <v>15000</v>
      </c>
      <c r="G1575" s="30">
        <f t="shared" si="1646"/>
        <v>2400</v>
      </c>
      <c r="H1575" s="8">
        <v>25000</v>
      </c>
      <c r="I1575" s="30">
        <f t="shared" si="1647"/>
        <v>8000</v>
      </c>
      <c r="J1575" s="187">
        <v>40000</v>
      </c>
      <c r="K1575" s="30">
        <f t="shared" si="1648"/>
        <v>8000</v>
      </c>
      <c r="L1575" s="187">
        <v>40000</v>
      </c>
      <c r="M1575" s="110">
        <v>9.5</v>
      </c>
      <c r="N1575" s="9">
        <f>VLOOKUP(DATE(YEAR(A1575),MONTH(A1575),DAY(A1575)),FY24_Temp[],3,FALSE)</f>
        <v>14.95</v>
      </c>
      <c r="O1575" s="110">
        <f t="shared" si="1634"/>
        <v>11.5</v>
      </c>
      <c r="P1575" s="110">
        <f t="shared" si="1635"/>
        <v>19.5</v>
      </c>
      <c r="Q1575" s="79">
        <f>VLOOKUP(VLOOKUP(DATEVALUE(TEXT(A1575,"m/d/yyyy")),FY24_Temp[],5,FALSE)&amp;TEXT(A1575,"-h"),TempDelta[],4,FALSE)</f>
        <v>1.5904285567147392</v>
      </c>
      <c r="R1575">
        <v>10</v>
      </c>
      <c r="S1575" s="112">
        <v>1500</v>
      </c>
      <c r="T1575" s="5">
        <f>VLOOKUP(TEXT(A1575,"yy-mm")&amp;"-"&amp;IF(AND(WEEKDAY(A1575)&gt;1,WEEKDAY(A1575)&lt;7),"Wkd",TEXT(A1575,"Ddd"))&amp;"-"&amp;TEXT(A1575,"hh"),LoadTable[],3,FALSE)*0.92</f>
        <v>290.74956158350585</v>
      </c>
      <c r="U1575" s="113">
        <f t="shared" si="1636"/>
        <v>29.074956158350584</v>
      </c>
      <c r="V1575">
        <f t="shared" ref="V1575:W1575" si="1676">V1551</f>
        <v>3.1</v>
      </c>
      <c r="W1575">
        <f t="shared" si="1676"/>
        <v>2.9</v>
      </c>
      <c r="X1575" s="9">
        <v>1.7458783333333301</v>
      </c>
      <c r="Y1575" s="39"/>
    </row>
    <row r="1576" spans="1:25" ht="15" thickBot="1">
      <c r="A1576" s="29">
        <f t="shared" si="1618"/>
        <v>45901.541666664831</v>
      </c>
      <c r="B1576" s="30">
        <f t="shared" si="1645"/>
        <v>8000</v>
      </c>
      <c r="C1576" s="8">
        <v>25000</v>
      </c>
      <c r="D1576" s="187">
        <v>0</v>
      </c>
      <c r="E1576" s="187">
        <v>700</v>
      </c>
      <c r="F1576" s="187">
        <v>15000</v>
      </c>
      <c r="G1576" s="30">
        <f t="shared" si="1646"/>
        <v>2400</v>
      </c>
      <c r="H1576" s="8">
        <v>25000</v>
      </c>
      <c r="I1576" s="30">
        <f t="shared" si="1647"/>
        <v>8000</v>
      </c>
      <c r="J1576" s="187">
        <v>40000</v>
      </c>
      <c r="K1576" s="30">
        <f t="shared" si="1648"/>
        <v>8000</v>
      </c>
      <c r="L1576" s="187">
        <v>40000</v>
      </c>
      <c r="M1576" s="110">
        <v>9.5</v>
      </c>
      <c r="N1576" s="9">
        <f>VLOOKUP(DATE(YEAR(A1576),MONTH(A1576),DAY(A1576)),FY24_Temp[],3,FALSE)</f>
        <v>14.95</v>
      </c>
      <c r="O1576" s="110">
        <f t="shared" si="1634"/>
        <v>11.5</v>
      </c>
      <c r="P1576" s="110">
        <f t="shared" si="1635"/>
        <v>19.5</v>
      </c>
      <c r="Q1576" s="79">
        <f>VLOOKUP(VLOOKUP(DATEVALUE(TEXT(A1576,"m/d/yyyy")),FY24_Temp[],5,FALSE)&amp;TEXT(A1576,"-h"),TempDelta[],4,FALSE)</f>
        <v>1.3895714112690516</v>
      </c>
      <c r="R1576">
        <v>10</v>
      </c>
      <c r="S1576" s="112">
        <v>1500</v>
      </c>
      <c r="T1576" s="5">
        <f>VLOOKUP(TEXT(A1576,"yy-mm")&amp;"-"&amp;IF(AND(WEEKDAY(A1576)&gt;1,WEEKDAY(A1576)&lt;7),"Wkd",TEXT(A1576,"Ddd"))&amp;"-"&amp;TEXT(A1576,"hh"),LoadTable[],3,FALSE)*0.92</f>
        <v>290.72204920255348</v>
      </c>
      <c r="U1576" s="113">
        <f t="shared" si="1636"/>
        <v>29.072204920255349</v>
      </c>
      <c r="V1576">
        <f t="shared" ref="V1576:W1576" si="1677">V1552</f>
        <v>3.2</v>
      </c>
      <c r="W1576">
        <f t="shared" si="1677"/>
        <v>2.9</v>
      </c>
      <c r="X1576" s="9">
        <v>1.66808378333333</v>
      </c>
      <c r="Y1576" s="39"/>
    </row>
    <row r="1577" spans="1:25" ht="15" thickBot="1">
      <c r="A1577" s="29">
        <f t="shared" si="1618"/>
        <v>45901.583333331495</v>
      </c>
      <c r="B1577" s="30">
        <f t="shared" si="1645"/>
        <v>8000</v>
      </c>
      <c r="C1577" s="8">
        <v>25000</v>
      </c>
      <c r="D1577" s="187">
        <v>0</v>
      </c>
      <c r="E1577" s="187">
        <v>700</v>
      </c>
      <c r="F1577" s="187">
        <v>15000</v>
      </c>
      <c r="G1577" s="30">
        <f t="shared" si="1646"/>
        <v>2400</v>
      </c>
      <c r="H1577" s="8">
        <v>25000</v>
      </c>
      <c r="I1577" s="30">
        <f t="shared" si="1647"/>
        <v>8000</v>
      </c>
      <c r="J1577" s="187">
        <v>40000</v>
      </c>
      <c r="K1577" s="30">
        <f t="shared" si="1648"/>
        <v>8000</v>
      </c>
      <c r="L1577" s="187">
        <v>40000</v>
      </c>
      <c r="M1577" s="110">
        <v>9.5</v>
      </c>
      <c r="N1577" s="9">
        <f>VLOOKUP(DATE(YEAR(A1577),MONTH(A1577),DAY(A1577)),FY24_Temp[],3,FALSE)</f>
        <v>14.95</v>
      </c>
      <c r="O1577" s="110">
        <f t="shared" si="1634"/>
        <v>11.5</v>
      </c>
      <c r="P1577" s="110">
        <f t="shared" si="1635"/>
        <v>19.5</v>
      </c>
      <c r="Q1577" s="79">
        <f>VLOOKUP(VLOOKUP(DATEVALUE(TEXT(A1577,"m/d/yyyy")),FY24_Temp[],5,FALSE)&amp;TEXT(A1577,"-h"),TempDelta[],4,FALSE)</f>
        <v>0.96357142499514992</v>
      </c>
      <c r="R1577">
        <v>10</v>
      </c>
      <c r="S1577" s="112">
        <v>1500</v>
      </c>
      <c r="T1577" s="5">
        <f>VLOOKUP(TEXT(A1577,"yy-mm")&amp;"-"&amp;IF(AND(WEEKDAY(A1577)&gt;1,WEEKDAY(A1577)&lt;7),"Wkd",TEXT(A1577,"Ddd"))&amp;"-"&amp;TEXT(A1577,"hh"),LoadTable[],3,FALSE)*0.92</f>
        <v>363.28132000000005</v>
      </c>
      <c r="U1577" s="113">
        <f t="shared" si="1636"/>
        <v>36.328132000000004</v>
      </c>
      <c r="V1577">
        <f t="shared" ref="V1577:W1577" si="1678">V1553</f>
        <v>3.5</v>
      </c>
      <c r="W1577">
        <f t="shared" si="1678"/>
        <v>2.9</v>
      </c>
      <c r="X1577" s="9">
        <v>1.5902892333333301</v>
      </c>
      <c r="Y1577" s="39"/>
    </row>
    <row r="1578" spans="1:25" ht="15" thickBot="1">
      <c r="A1578" s="29">
        <f t="shared" si="1618"/>
        <v>45901.624999998159</v>
      </c>
      <c r="B1578" s="30">
        <f t="shared" si="1645"/>
        <v>8000</v>
      </c>
      <c r="C1578" s="8">
        <v>25000</v>
      </c>
      <c r="D1578" s="187">
        <v>0</v>
      </c>
      <c r="E1578" s="187">
        <v>700</v>
      </c>
      <c r="F1578" s="187">
        <v>15000</v>
      </c>
      <c r="G1578" s="30">
        <f t="shared" si="1646"/>
        <v>2400</v>
      </c>
      <c r="H1578" s="8">
        <v>25000</v>
      </c>
      <c r="I1578" s="30">
        <f t="shared" si="1647"/>
        <v>8000</v>
      </c>
      <c r="J1578" s="187">
        <v>40000</v>
      </c>
      <c r="K1578" s="30">
        <f t="shared" si="1648"/>
        <v>8000</v>
      </c>
      <c r="L1578" s="187">
        <v>40000</v>
      </c>
      <c r="M1578" s="110">
        <v>9.5</v>
      </c>
      <c r="N1578" s="9">
        <f>VLOOKUP(DATE(YEAR(A1578),MONTH(A1578),DAY(A1578)),FY24_Temp[],3,FALSE)</f>
        <v>14.95</v>
      </c>
      <c r="O1578" s="110">
        <f t="shared" si="1634"/>
        <v>11.5</v>
      </c>
      <c r="P1578" s="110">
        <f t="shared" si="1635"/>
        <v>19.5</v>
      </c>
      <c r="Q1578" s="79">
        <f>VLOOKUP(VLOOKUP(DATEVALUE(TEXT(A1578,"m/d/yyyy")),FY24_Temp[],5,FALSE)&amp;TEXT(A1578,"-h"),TempDelta[],4,FALSE)</f>
        <v>0.84407143933432438</v>
      </c>
      <c r="R1578">
        <v>10</v>
      </c>
      <c r="S1578" s="112">
        <v>1500</v>
      </c>
      <c r="T1578" s="5">
        <f>VLOOKUP(TEXT(A1578,"yy-mm")&amp;"-"&amp;IF(AND(WEEKDAY(A1578)&gt;1,WEEKDAY(A1578)&lt;7),"Wkd",TEXT(A1578,"Ddd"))&amp;"-"&amp;TEXT(A1578,"hh"),LoadTable[],3,FALSE)*0.92</f>
        <v>570.3300004440199</v>
      </c>
      <c r="U1578" s="113">
        <f t="shared" si="1636"/>
        <v>57.033000044401987</v>
      </c>
      <c r="V1578">
        <f t="shared" ref="V1578:W1578" si="1679">V1554</f>
        <v>3.2</v>
      </c>
      <c r="W1578">
        <f t="shared" si="1679"/>
        <v>2.9</v>
      </c>
      <c r="X1578" s="9">
        <v>1.5124946833333299</v>
      </c>
      <c r="Y1578" s="39"/>
    </row>
    <row r="1579" spans="1:25" ht="15" thickBot="1">
      <c r="A1579" s="29">
        <f t="shared" si="1618"/>
        <v>45901.666666664823</v>
      </c>
      <c r="B1579" s="30">
        <f t="shared" si="1645"/>
        <v>8000</v>
      </c>
      <c r="C1579" s="8">
        <v>25000</v>
      </c>
      <c r="D1579" s="187">
        <v>0</v>
      </c>
      <c r="E1579" s="187">
        <v>700</v>
      </c>
      <c r="F1579" s="187">
        <v>15000</v>
      </c>
      <c r="G1579" s="30">
        <f t="shared" si="1646"/>
        <v>2400</v>
      </c>
      <c r="H1579" s="8">
        <v>25000</v>
      </c>
      <c r="I1579" s="30">
        <f t="shared" si="1647"/>
        <v>8000</v>
      </c>
      <c r="J1579" s="187">
        <v>40000</v>
      </c>
      <c r="K1579" s="30">
        <f t="shared" si="1648"/>
        <v>8000</v>
      </c>
      <c r="L1579" s="187">
        <v>40000</v>
      </c>
      <c r="M1579" s="110">
        <v>9.5</v>
      </c>
      <c r="N1579" s="9">
        <f>VLOOKUP(DATE(YEAR(A1579),MONTH(A1579),DAY(A1579)),FY24_Temp[],3,FALSE)</f>
        <v>14.95</v>
      </c>
      <c r="O1579" s="110">
        <f t="shared" si="1634"/>
        <v>11.5</v>
      </c>
      <c r="P1579" s="110">
        <f t="shared" si="1635"/>
        <v>19.5</v>
      </c>
      <c r="Q1579" s="79">
        <f>VLOOKUP(VLOOKUP(DATEVALUE(TEXT(A1579,"m/d/yyyy")),FY24_Temp[],5,FALSE)&amp;TEXT(A1579,"-h"),TempDelta[],4,FALSE)</f>
        <v>0.87021427069391522</v>
      </c>
      <c r="R1579">
        <v>10</v>
      </c>
      <c r="S1579" s="112">
        <v>1500</v>
      </c>
      <c r="T1579" s="5">
        <f>VLOOKUP(TEXT(A1579,"yy-mm")&amp;"-"&amp;IF(AND(WEEKDAY(A1579)&gt;1,WEEKDAY(A1579)&lt;7),"Wkd",TEXT(A1579,"Ddd"))&amp;"-"&amp;TEXT(A1579,"hh"),LoadTable[],3,FALSE)*0.92</f>
        <v>602.16876690131596</v>
      </c>
      <c r="U1579" s="113">
        <f t="shared" si="1636"/>
        <v>60.216876690131599</v>
      </c>
      <c r="V1579">
        <f t="shared" ref="V1579:W1579" si="1680">V1555</f>
        <v>3.5</v>
      </c>
      <c r="W1579">
        <f t="shared" si="1680"/>
        <v>3</v>
      </c>
      <c r="X1579" s="9">
        <v>1.43470013333333</v>
      </c>
      <c r="Y1579" s="39"/>
    </row>
    <row r="1580" spans="1:25" ht="15" thickBot="1">
      <c r="A1580" s="29">
        <f t="shared" si="1618"/>
        <v>45901.708333331488</v>
      </c>
      <c r="B1580" s="30">
        <f t="shared" si="1645"/>
        <v>8000</v>
      </c>
      <c r="C1580" s="8">
        <v>25000</v>
      </c>
      <c r="D1580" s="187">
        <v>0</v>
      </c>
      <c r="E1580" s="187">
        <v>700</v>
      </c>
      <c r="F1580" s="187">
        <v>15000</v>
      </c>
      <c r="G1580" s="30">
        <f t="shared" si="1646"/>
        <v>2400</v>
      </c>
      <c r="H1580" s="8">
        <v>25000</v>
      </c>
      <c r="I1580" s="30">
        <f t="shared" si="1647"/>
        <v>8000</v>
      </c>
      <c r="J1580" s="187">
        <v>40000</v>
      </c>
      <c r="K1580" s="30">
        <f t="shared" si="1648"/>
        <v>8000</v>
      </c>
      <c r="L1580" s="187">
        <v>40000</v>
      </c>
      <c r="M1580" s="110">
        <v>9.5</v>
      </c>
      <c r="N1580" s="9">
        <f>VLOOKUP(DATE(YEAR(A1580),MONTH(A1580),DAY(A1580)),FY24_Temp[],3,FALSE)</f>
        <v>14.95</v>
      </c>
      <c r="O1580" s="110">
        <f t="shared" si="1634"/>
        <v>11.5</v>
      </c>
      <c r="P1580" s="110">
        <f t="shared" si="1635"/>
        <v>19.5</v>
      </c>
      <c r="Q1580" s="79">
        <f>VLOOKUP(VLOOKUP(DATEVALUE(TEXT(A1580,"m/d/yyyy")),FY24_Temp[],5,FALSE)&amp;TEXT(A1580,"-h"),TempDelta[],4,FALSE)</f>
        <v>1.0735000031335014</v>
      </c>
      <c r="R1580">
        <v>10</v>
      </c>
      <c r="S1580" s="112">
        <v>1500</v>
      </c>
      <c r="T1580" s="5">
        <f>VLOOKUP(TEXT(A1580,"yy-mm")&amp;"-"&amp;IF(AND(WEEKDAY(A1580)&gt;1,WEEKDAY(A1580)&lt;7),"Wkd",TEXT(A1580,"Ddd"))&amp;"-"&amp;TEXT(A1580,"hh"),LoadTable[],3,FALSE)*0.92</f>
        <v>602.16876690131596</v>
      </c>
      <c r="U1580" s="113">
        <f t="shared" si="1636"/>
        <v>60.216876690131599</v>
      </c>
      <c r="V1580">
        <f t="shared" ref="V1580:W1580" si="1681">V1556</f>
        <v>3.6</v>
      </c>
      <c r="W1580">
        <f t="shared" si="1681"/>
        <v>3</v>
      </c>
      <c r="X1580" s="9">
        <v>1.3569055833333299</v>
      </c>
      <c r="Y1580" s="39"/>
    </row>
    <row r="1581" spans="1:25" ht="15" thickBot="1">
      <c r="A1581" s="29">
        <f t="shared" si="1618"/>
        <v>45901.749999998152</v>
      </c>
      <c r="B1581" s="30">
        <f t="shared" si="1645"/>
        <v>5000</v>
      </c>
      <c r="C1581" s="8">
        <v>25000</v>
      </c>
      <c r="D1581" s="187">
        <v>0</v>
      </c>
      <c r="E1581" s="187">
        <v>700</v>
      </c>
      <c r="F1581" s="187">
        <v>15000</v>
      </c>
      <c r="G1581" s="30">
        <f t="shared" si="1646"/>
        <v>2400</v>
      </c>
      <c r="H1581" s="8">
        <v>25000</v>
      </c>
      <c r="I1581" s="30">
        <f t="shared" si="1647"/>
        <v>5000</v>
      </c>
      <c r="J1581" s="187">
        <v>40000</v>
      </c>
      <c r="K1581" s="30">
        <f t="shared" si="1648"/>
        <v>5000</v>
      </c>
      <c r="L1581" s="187">
        <v>40000</v>
      </c>
      <c r="M1581" s="110">
        <v>9.5</v>
      </c>
      <c r="N1581" s="9">
        <f>VLOOKUP(DATE(YEAR(A1581),MONTH(A1581),DAY(A1581)),FY24_Temp[],3,FALSE)</f>
        <v>14.95</v>
      </c>
      <c r="O1581" s="110">
        <f t="shared" si="1634"/>
        <v>11.5</v>
      </c>
      <c r="P1581" s="110">
        <f t="shared" si="1635"/>
        <v>19.5</v>
      </c>
      <c r="Q1581" s="79">
        <f>VLOOKUP(VLOOKUP(DATEVALUE(TEXT(A1581,"m/d/yyyy")),FY24_Temp[],5,FALSE)&amp;TEXT(A1581,"-h"),TempDelta[],4,FALSE)</f>
        <v>1.3760714275496346</v>
      </c>
      <c r="R1581">
        <v>10</v>
      </c>
      <c r="S1581" s="112">
        <v>1500</v>
      </c>
      <c r="T1581" s="5">
        <f>VLOOKUP(TEXT(A1581,"yy-mm")&amp;"-"&amp;IF(AND(WEEKDAY(A1581)&gt;1,WEEKDAY(A1581)&lt;7),"Wkd",TEXT(A1581,"Ddd"))&amp;"-"&amp;TEXT(A1581,"hh"),LoadTable[],3,FALSE)*0.92</f>
        <v>602.16876690131596</v>
      </c>
      <c r="U1581" s="113">
        <f t="shared" si="1636"/>
        <v>60.216876690131599</v>
      </c>
      <c r="V1581">
        <f t="shared" ref="V1581:W1581" si="1682">V1557</f>
        <v>2.9</v>
      </c>
      <c r="W1581">
        <f t="shared" si="1682"/>
        <v>3</v>
      </c>
      <c r="X1581" s="9">
        <v>1.27911103333333</v>
      </c>
      <c r="Y1581" s="39"/>
    </row>
    <row r="1582" spans="1:25" ht="15" thickBot="1">
      <c r="A1582" s="29">
        <f t="shared" si="1618"/>
        <v>45901.791666664816</v>
      </c>
      <c r="B1582" s="30">
        <f t="shared" si="1645"/>
        <v>5000</v>
      </c>
      <c r="C1582" s="8">
        <v>25000</v>
      </c>
      <c r="D1582" s="187">
        <v>0</v>
      </c>
      <c r="E1582" s="187">
        <v>700</v>
      </c>
      <c r="F1582" s="187">
        <v>15000</v>
      </c>
      <c r="G1582" s="30">
        <f t="shared" si="1646"/>
        <v>2400</v>
      </c>
      <c r="H1582" s="8">
        <v>25000</v>
      </c>
      <c r="I1582" s="30">
        <f t="shared" si="1647"/>
        <v>5000</v>
      </c>
      <c r="J1582" s="187">
        <v>40000</v>
      </c>
      <c r="K1582" s="30">
        <f t="shared" si="1648"/>
        <v>5000</v>
      </c>
      <c r="L1582" s="187">
        <v>40000</v>
      </c>
      <c r="M1582" s="110">
        <v>9.5</v>
      </c>
      <c r="N1582" s="9">
        <f>VLOOKUP(DATE(YEAR(A1582),MONTH(A1582),DAY(A1582)),FY24_Temp[],3,FALSE)</f>
        <v>14.95</v>
      </c>
      <c r="O1582" s="110">
        <f t="shared" si="1634"/>
        <v>11.5</v>
      </c>
      <c r="P1582" s="110">
        <f t="shared" si="1635"/>
        <v>19.5</v>
      </c>
      <c r="Q1582" s="79">
        <f>VLOOKUP(VLOOKUP(DATEVALUE(TEXT(A1582,"m/d/yyyy")),FY24_Temp[],5,FALSE)&amp;TEXT(A1582,"-h"),TempDelta[],4,FALSE)</f>
        <v>1.5774285623005457</v>
      </c>
      <c r="R1582">
        <v>10</v>
      </c>
      <c r="S1582" s="112">
        <v>1500</v>
      </c>
      <c r="T1582" s="5">
        <f>VLOOKUP(TEXT(A1582,"yy-mm")&amp;"-"&amp;IF(AND(WEEKDAY(A1582)&gt;1,WEEKDAY(A1582)&lt;7),"Wkd",TEXT(A1582,"Ddd"))&amp;"-"&amp;TEXT(A1582,"hh"),LoadTable[],3,FALSE)*0.92</f>
        <v>600.14662419619219</v>
      </c>
      <c r="U1582" s="113">
        <f t="shared" si="1636"/>
        <v>60.014662419619221</v>
      </c>
      <c r="V1582">
        <f t="shared" ref="V1582:W1582" si="1683">V1558</f>
        <v>3</v>
      </c>
      <c r="W1582">
        <f t="shared" si="1683"/>
        <v>3</v>
      </c>
      <c r="X1582" s="9">
        <v>1.2013164833333301</v>
      </c>
      <c r="Y1582" s="39"/>
    </row>
    <row r="1583" spans="1:25" ht="15" thickBot="1">
      <c r="A1583" s="29">
        <f t="shared" si="1618"/>
        <v>45901.83333333148</v>
      </c>
      <c r="B1583" s="30">
        <f t="shared" si="1645"/>
        <v>5000</v>
      </c>
      <c r="C1583" s="8">
        <v>25000</v>
      </c>
      <c r="D1583" s="187">
        <v>0</v>
      </c>
      <c r="E1583" s="187">
        <v>700</v>
      </c>
      <c r="F1583" s="187">
        <v>15000</v>
      </c>
      <c r="G1583" s="30">
        <f t="shared" si="1646"/>
        <v>2400</v>
      </c>
      <c r="H1583" s="8">
        <v>25000</v>
      </c>
      <c r="I1583" s="30">
        <f t="shared" si="1647"/>
        <v>5000</v>
      </c>
      <c r="J1583" s="187">
        <v>40000</v>
      </c>
      <c r="K1583" s="30">
        <f t="shared" si="1648"/>
        <v>5000</v>
      </c>
      <c r="L1583" s="187">
        <v>40000</v>
      </c>
      <c r="M1583" s="110">
        <v>9.5</v>
      </c>
      <c r="N1583" s="9">
        <f>VLOOKUP(DATE(YEAR(A1583),MONTH(A1583),DAY(A1583)),FY24_Temp[],3,FALSE)</f>
        <v>14.95</v>
      </c>
      <c r="O1583" s="110">
        <f t="shared" si="1634"/>
        <v>11.5</v>
      </c>
      <c r="P1583" s="110">
        <f t="shared" si="1635"/>
        <v>19.5</v>
      </c>
      <c r="Q1583" s="79">
        <f>VLOOKUP(VLOOKUP(DATEVALUE(TEXT(A1583,"m/d/yyyy")),FY24_Temp[],5,FALSE)&amp;TEXT(A1583,"-h"),TempDelta[],4,FALSE)</f>
        <v>1.776142852646964</v>
      </c>
      <c r="R1583">
        <v>10</v>
      </c>
      <c r="S1583" s="112">
        <v>1500</v>
      </c>
      <c r="T1583" s="5">
        <f>VLOOKUP(TEXT(A1583,"yy-mm")&amp;"-"&amp;IF(AND(WEEKDAY(A1583)&gt;1,WEEKDAY(A1583)&lt;7),"Wkd",TEXT(A1583,"Ddd"))&amp;"-"&amp;TEXT(A1583,"hh"),LoadTable[],3,FALSE)*0.92</f>
        <v>600.14662419619219</v>
      </c>
      <c r="U1583" s="113">
        <f t="shared" si="1636"/>
        <v>60.014662419619221</v>
      </c>
      <c r="V1583">
        <f t="shared" ref="V1583:W1583" si="1684">V1559</f>
        <v>2.8</v>
      </c>
      <c r="W1583">
        <f t="shared" si="1684"/>
        <v>3.1</v>
      </c>
      <c r="X1583" s="9">
        <v>1.1235219333333299</v>
      </c>
      <c r="Y1583" s="39"/>
    </row>
    <row r="1584" spans="1:25" ht="15" thickBot="1">
      <c r="A1584" s="29">
        <f t="shared" si="1618"/>
        <v>45901.874999998145</v>
      </c>
      <c r="B1584" s="30">
        <f t="shared" si="1645"/>
        <v>5000</v>
      </c>
      <c r="C1584" s="8">
        <v>25000</v>
      </c>
      <c r="D1584" s="187">
        <v>0</v>
      </c>
      <c r="E1584" s="187">
        <v>700</v>
      </c>
      <c r="F1584" s="187">
        <v>15000</v>
      </c>
      <c r="G1584" s="30">
        <f t="shared" si="1646"/>
        <v>2400</v>
      </c>
      <c r="H1584" s="8">
        <v>25000</v>
      </c>
      <c r="I1584" s="30">
        <f t="shared" si="1647"/>
        <v>5000</v>
      </c>
      <c r="J1584" s="187">
        <v>40000</v>
      </c>
      <c r="K1584" s="30">
        <f t="shared" si="1648"/>
        <v>5000</v>
      </c>
      <c r="L1584" s="187">
        <v>40000</v>
      </c>
      <c r="M1584" s="110">
        <v>9.5</v>
      </c>
      <c r="N1584" s="9">
        <f>VLOOKUP(DATE(YEAR(A1584),MONTH(A1584),DAY(A1584)),FY24_Temp[],3,FALSE)</f>
        <v>14.95</v>
      </c>
      <c r="O1584" s="110">
        <f t="shared" si="1634"/>
        <v>11.5</v>
      </c>
      <c r="P1584" s="110">
        <f t="shared" si="1635"/>
        <v>19.5</v>
      </c>
      <c r="Q1584" s="79">
        <f>VLOOKUP(VLOOKUP(DATEVALUE(TEXT(A1584,"m/d/yyyy")),FY24_Temp[],5,FALSE)&amp;TEXT(A1584,"-h"),TempDelta[],4,FALSE)</f>
        <v>1.8817142588751656</v>
      </c>
      <c r="R1584">
        <v>10</v>
      </c>
      <c r="S1584" s="112">
        <v>1500</v>
      </c>
      <c r="T1584" s="5">
        <f>VLOOKUP(TEXT(A1584,"yy-mm")&amp;"-"&amp;IF(AND(WEEKDAY(A1584)&gt;1,WEEKDAY(A1584)&lt;7),"Wkd",TEXT(A1584,"Ddd"))&amp;"-"&amp;TEXT(A1584,"hh"),LoadTable[],3,FALSE)*0.92</f>
        <v>523.94879142973434</v>
      </c>
      <c r="U1584" s="113">
        <f t="shared" si="1636"/>
        <v>52.394879142973437</v>
      </c>
      <c r="V1584">
        <f t="shared" ref="V1584:W1584" si="1685">V1560</f>
        <v>3.5</v>
      </c>
      <c r="W1584">
        <f t="shared" si="1685"/>
        <v>3.1</v>
      </c>
      <c r="X1584" s="9">
        <v>1.04572738333333</v>
      </c>
      <c r="Y1584" s="39"/>
    </row>
    <row r="1585" spans="1:25" ht="15" thickBot="1">
      <c r="A1585" s="29">
        <f t="shared" si="1618"/>
        <v>45901.916666664809</v>
      </c>
      <c r="B1585" s="30">
        <f t="shared" si="1645"/>
        <v>5000</v>
      </c>
      <c r="C1585" s="8">
        <v>25000</v>
      </c>
      <c r="D1585" s="187">
        <v>0</v>
      </c>
      <c r="E1585" s="187">
        <v>700</v>
      </c>
      <c r="F1585" s="187">
        <v>15000</v>
      </c>
      <c r="G1585" s="30">
        <f t="shared" si="1646"/>
        <v>2400</v>
      </c>
      <c r="H1585" s="8">
        <v>25000</v>
      </c>
      <c r="I1585" s="30">
        <f t="shared" si="1647"/>
        <v>5000</v>
      </c>
      <c r="J1585" s="187">
        <v>40000</v>
      </c>
      <c r="K1585" s="30">
        <f t="shared" si="1648"/>
        <v>5000</v>
      </c>
      <c r="L1585" s="187">
        <v>40000</v>
      </c>
      <c r="M1585" s="110">
        <v>9.5</v>
      </c>
      <c r="N1585" s="9">
        <f>VLOOKUP(DATE(YEAR(A1585),MONTH(A1585),DAY(A1585)),FY24_Temp[],3,FALSE)</f>
        <v>14.95</v>
      </c>
      <c r="O1585" s="110">
        <f t="shared" si="1634"/>
        <v>11.5</v>
      </c>
      <c r="P1585" s="110">
        <f t="shared" si="1635"/>
        <v>19.5</v>
      </c>
      <c r="Q1585" s="79">
        <f>VLOOKUP(VLOOKUP(DATEVALUE(TEXT(A1585,"m/d/yyyy")),FY24_Temp[],5,FALSE)&amp;TEXT(A1585,"-h"),TempDelta[],4,FALSE)</f>
        <v>2.2282856873103549</v>
      </c>
      <c r="R1585">
        <v>10</v>
      </c>
      <c r="S1585" s="112">
        <v>1500</v>
      </c>
      <c r="T1585" s="5">
        <f>VLOOKUP(TEXT(A1585,"yy-mm")&amp;"-"&amp;IF(AND(WEEKDAY(A1585)&gt;1,WEEKDAY(A1585)&lt;7),"Wkd",TEXT(A1585,"Ddd"))&amp;"-"&amp;TEXT(A1585,"hh"),LoadTable[],3,FALSE)*0.92</f>
        <v>421.91858468239752</v>
      </c>
      <c r="U1585" s="113">
        <f t="shared" si="1636"/>
        <v>42.191858468239751</v>
      </c>
      <c r="V1585">
        <f t="shared" ref="V1585:W1585" si="1686">V1561</f>
        <v>2.9</v>
      </c>
      <c r="W1585">
        <f t="shared" si="1686"/>
        <v>3.1</v>
      </c>
      <c r="X1585" s="9">
        <v>0.96793283333333302</v>
      </c>
      <c r="Y1585" s="39"/>
    </row>
    <row r="1586" spans="1:25" ht="15" thickBot="1">
      <c r="A1586" s="29">
        <f t="shared" si="1618"/>
        <v>45901.958333331473</v>
      </c>
      <c r="B1586" s="30">
        <f t="shared" si="1645"/>
        <v>5000</v>
      </c>
      <c r="C1586" s="8">
        <v>25000</v>
      </c>
      <c r="D1586" s="187">
        <v>0</v>
      </c>
      <c r="E1586" s="187">
        <v>700</v>
      </c>
      <c r="F1586" s="187">
        <v>15000</v>
      </c>
      <c r="G1586" s="30">
        <f t="shared" si="1646"/>
        <v>2400</v>
      </c>
      <c r="H1586" s="8">
        <v>25000</v>
      </c>
      <c r="I1586" s="30">
        <f t="shared" si="1647"/>
        <v>5000</v>
      </c>
      <c r="J1586" s="187">
        <v>40000</v>
      </c>
      <c r="K1586" s="30">
        <f t="shared" si="1648"/>
        <v>5000</v>
      </c>
      <c r="L1586" s="187">
        <v>40000</v>
      </c>
      <c r="M1586" s="110">
        <v>9.5</v>
      </c>
      <c r="N1586" s="9">
        <f>VLOOKUP(DATE(YEAR(A1586),MONTH(A1586),DAY(A1586)),FY24_Temp[],3,FALSE)</f>
        <v>14.95</v>
      </c>
      <c r="O1586" s="110">
        <f t="shared" si="1634"/>
        <v>11.5</v>
      </c>
      <c r="P1586" s="110">
        <f t="shared" si="1635"/>
        <v>19.5</v>
      </c>
      <c r="Q1586" s="79">
        <f>VLOOKUP(VLOOKUP(DATEVALUE(TEXT(A1586,"m/d/yyyy")),FY24_Temp[],5,FALSE)&amp;TEXT(A1586,"-h"),TempDelta[],4,FALSE)</f>
        <v>2.3557142189570834</v>
      </c>
      <c r="R1586">
        <v>10</v>
      </c>
      <c r="S1586" s="112">
        <v>1500</v>
      </c>
      <c r="T1586" s="5">
        <f>VLOOKUP(TEXT(A1586,"yy-mm")&amp;"-"&amp;IF(AND(WEEKDAY(A1586)&gt;1,WEEKDAY(A1586)&lt;7),"Wkd",TEXT(A1586,"Ddd"))&amp;"-"&amp;TEXT(A1586,"hh"),LoadTable[],3,FALSE)*0.92</f>
        <v>289.33527113913209</v>
      </c>
      <c r="U1586" s="113">
        <f t="shared" si="1636"/>
        <v>28.933527113913208</v>
      </c>
      <c r="V1586">
        <f t="shared" ref="V1586:W1586" si="1687">V1562</f>
        <v>3.6</v>
      </c>
      <c r="W1586">
        <f t="shared" si="1687"/>
        <v>3.1</v>
      </c>
      <c r="X1586" s="9">
        <v>0.890138283333333</v>
      </c>
      <c r="Y1586" s="39"/>
    </row>
    <row r="1587" spans="1:25" ht="15" thickBot="1">
      <c r="A1587" s="29">
        <f t="shared" si="1618"/>
        <v>45901.999999998137</v>
      </c>
      <c r="B1587" s="30">
        <f t="shared" si="1645"/>
        <v>5000</v>
      </c>
      <c r="C1587" s="8">
        <v>25000</v>
      </c>
      <c r="D1587" s="187">
        <v>0</v>
      </c>
      <c r="E1587" s="187">
        <v>700</v>
      </c>
      <c r="F1587" s="187">
        <v>15000</v>
      </c>
      <c r="G1587" s="30">
        <f t="shared" si="1646"/>
        <v>2400</v>
      </c>
      <c r="H1587" s="8">
        <v>25000</v>
      </c>
      <c r="I1587" s="30">
        <f t="shared" si="1647"/>
        <v>5000</v>
      </c>
      <c r="J1587" s="187">
        <v>40000</v>
      </c>
      <c r="K1587" s="30">
        <f t="shared" si="1648"/>
        <v>5000</v>
      </c>
      <c r="L1587" s="187">
        <v>40000</v>
      </c>
      <c r="M1587" s="110">
        <v>9.5</v>
      </c>
      <c r="N1587" s="9">
        <f>VLOOKUP(DATE(YEAR(A1587),MONTH(A1587),DAY(A1587)),FY24_Temp[],3,FALSE)</f>
        <v>14.95</v>
      </c>
      <c r="O1587" s="110">
        <f t="shared" si="1634"/>
        <v>11.5</v>
      </c>
      <c r="P1587" s="110">
        <f t="shared" si="1635"/>
        <v>19.5</v>
      </c>
      <c r="Q1587" s="79">
        <f>VLOOKUP(VLOOKUP(DATEVALUE(TEXT(A1587,"m/d/yyyy")),FY24_Temp[],5,FALSE)&amp;TEXT(A1587,"-h"),TempDelta[],4,FALSE)</f>
        <v>2.160285702773503</v>
      </c>
      <c r="R1587">
        <v>10</v>
      </c>
      <c r="S1587" s="112">
        <v>1500</v>
      </c>
      <c r="T1587" s="5">
        <f>VLOOKUP(TEXT(A1587,"yy-mm")&amp;"-"&amp;IF(AND(WEEKDAY(A1587)&gt;1,WEEKDAY(A1587)&lt;7),"Wkd",TEXT(A1587,"Ddd"))&amp;"-"&amp;TEXT(A1587,"hh"),LoadTable[],3,FALSE)*0.92</f>
        <v>289.0624787084426</v>
      </c>
      <c r="U1587" s="113">
        <f t="shared" si="1636"/>
        <v>28.906247870844261</v>
      </c>
      <c r="V1587">
        <f t="shared" ref="V1587:W1587" si="1688">V1563</f>
        <v>3</v>
      </c>
      <c r="W1587">
        <f t="shared" si="1688"/>
        <v>3.2</v>
      </c>
      <c r="X1587" s="9">
        <v>0.81234373333333298</v>
      </c>
      <c r="Y1587" s="39"/>
    </row>
    <row r="1588" spans="1:25" ht="15" thickBot="1">
      <c r="A1588" s="29">
        <f t="shared" si="1618"/>
        <v>45902.041666664802</v>
      </c>
      <c r="B1588" s="30">
        <f t="shared" si="1645"/>
        <v>5000</v>
      </c>
      <c r="C1588" s="8">
        <v>25000</v>
      </c>
      <c r="D1588" s="187">
        <v>0</v>
      </c>
      <c r="E1588" s="187">
        <v>700</v>
      </c>
      <c r="F1588" s="187">
        <v>15000</v>
      </c>
      <c r="G1588" s="30">
        <f t="shared" si="1646"/>
        <v>2400</v>
      </c>
      <c r="H1588" s="8">
        <v>25000</v>
      </c>
      <c r="I1588" s="30">
        <f t="shared" si="1647"/>
        <v>5000</v>
      </c>
      <c r="J1588" s="187">
        <v>40000</v>
      </c>
      <c r="K1588" s="30">
        <f t="shared" si="1648"/>
        <v>5000</v>
      </c>
      <c r="L1588" s="187">
        <v>40000</v>
      </c>
      <c r="M1588" s="110">
        <v>9.5</v>
      </c>
      <c r="N1588" s="9">
        <f>VLOOKUP(DATE(YEAR(A1588),MONTH(A1588),DAY(A1588)),FY24_Temp[],3,FALSE)</f>
        <v>14.95</v>
      </c>
      <c r="O1588" s="110">
        <f t="shared" si="1634"/>
        <v>11.5</v>
      </c>
      <c r="P1588" s="110">
        <f t="shared" si="1635"/>
        <v>19.5</v>
      </c>
      <c r="Q1588" s="79">
        <f>VLOOKUP(VLOOKUP(DATEVALUE(TEXT(A1588,"m/d/yyyy")),FY24_Temp[],5,FALSE)&amp;TEXT(A1588,"-h"),TempDelta[],4,FALSE)</f>
        <v>2.4718571390424455</v>
      </c>
      <c r="R1588">
        <v>10</v>
      </c>
      <c r="S1588" s="112">
        <v>1500</v>
      </c>
      <c r="T1588" s="5">
        <f>VLOOKUP(TEXT(A1588,"yy-mm")&amp;"-"&amp;IF(AND(WEEKDAY(A1588)&gt;1,WEEKDAY(A1588)&lt;7),"Wkd",TEXT(A1588,"Ddd"))&amp;"-"&amp;TEXT(A1588,"hh"),LoadTable[],3,FALSE)*0.92</f>
        <v>289.0624787084426</v>
      </c>
      <c r="U1588" s="113">
        <f t="shared" si="1636"/>
        <v>28.906247870844261</v>
      </c>
      <c r="V1588">
        <f t="shared" ref="V1588:W1588" si="1689">V1564</f>
        <v>2.6</v>
      </c>
      <c r="W1588">
        <f t="shared" si="1689"/>
        <v>3.2</v>
      </c>
      <c r="X1588" s="9">
        <v>0.73454918333333297</v>
      </c>
      <c r="Y1588" s="39"/>
    </row>
    <row r="1589" spans="1:25" ht="15" thickBot="1">
      <c r="A1589" s="29">
        <f t="shared" ref="A1589:A1652" si="1690">A1588+TIME(1,0,0)</f>
        <v>45902.083333331466</v>
      </c>
      <c r="B1589" s="30">
        <f t="shared" si="1645"/>
        <v>5000</v>
      </c>
      <c r="C1589" s="8">
        <v>25000</v>
      </c>
      <c r="D1589" s="187">
        <v>0</v>
      </c>
      <c r="E1589" s="187">
        <v>700</v>
      </c>
      <c r="F1589" s="187">
        <v>15000</v>
      </c>
      <c r="G1589" s="30">
        <f t="shared" si="1646"/>
        <v>2400</v>
      </c>
      <c r="H1589" s="8">
        <v>25000</v>
      </c>
      <c r="I1589" s="30">
        <f t="shared" si="1647"/>
        <v>5000</v>
      </c>
      <c r="J1589" s="187">
        <v>40000</v>
      </c>
      <c r="K1589" s="30">
        <f t="shared" si="1648"/>
        <v>5000</v>
      </c>
      <c r="L1589" s="187">
        <v>40000</v>
      </c>
      <c r="M1589" s="110">
        <v>9.5</v>
      </c>
      <c r="N1589" s="9">
        <f>VLOOKUP(DATE(YEAR(A1589),MONTH(A1589),DAY(A1589)),FY24_Temp[],3,FALSE)</f>
        <v>14.95</v>
      </c>
      <c r="O1589" s="110">
        <f t="shared" si="1634"/>
        <v>11.5</v>
      </c>
      <c r="P1589" s="110">
        <f t="shared" si="1635"/>
        <v>19.5</v>
      </c>
      <c r="Q1589" s="79">
        <f>VLOOKUP(VLOOKUP(DATEVALUE(TEXT(A1589,"m/d/yyyy")),FY24_Temp[],5,FALSE)&amp;TEXT(A1589,"-h"),TempDelta[],4,FALSE)</f>
        <v>2.5034285613468716</v>
      </c>
      <c r="R1589">
        <v>10</v>
      </c>
      <c r="S1589" s="112">
        <v>1500</v>
      </c>
      <c r="T1589" s="5">
        <f>VLOOKUP(TEXT(A1589,"yy-mm")&amp;"-"&amp;IF(AND(WEEKDAY(A1589)&gt;1,WEEKDAY(A1589)&lt;7),"Wkd",TEXT(A1589,"Ddd"))&amp;"-"&amp;TEXT(A1589,"hh"),LoadTable[],3,FALSE)*0.92</f>
        <v>289.0624787084426</v>
      </c>
      <c r="U1589" s="113">
        <f t="shared" si="1636"/>
        <v>28.906247870844261</v>
      </c>
      <c r="V1589">
        <f t="shared" ref="V1589:W1589" si="1691">V1565</f>
        <v>2.8</v>
      </c>
      <c r="W1589">
        <f t="shared" si="1691"/>
        <v>3.2</v>
      </c>
      <c r="X1589" s="9">
        <v>0.65675463333333295</v>
      </c>
      <c r="Y1589" s="39"/>
    </row>
    <row r="1590" spans="1:25" ht="15" thickBot="1">
      <c r="A1590" s="29">
        <f t="shared" si="1690"/>
        <v>45902.12499999813</v>
      </c>
      <c r="B1590" s="30">
        <f t="shared" si="1645"/>
        <v>5000</v>
      </c>
      <c r="C1590" s="8">
        <v>25000</v>
      </c>
      <c r="D1590" s="187">
        <v>0</v>
      </c>
      <c r="E1590" s="187">
        <v>700</v>
      </c>
      <c r="F1590" s="187">
        <v>15000</v>
      </c>
      <c r="G1590" s="30">
        <f t="shared" si="1646"/>
        <v>2400</v>
      </c>
      <c r="H1590" s="8">
        <v>25000</v>
      </c>
      <c r="I1590" s="30">
        <f t="shared" si="1647"/>
        <v>5000</v>
      </c>
      <c r="J1590" s="187">
        <v>40000</v>
      </c>
      <c r="K1590" s="30">
        <f t="shared" si="1648"/>
        <v>5000</v>
      </c>
      <c r="L1590" s="187">
        <v>40000</v>
      </c>
      <c r="M1590" s="110">
        <v>9.5</v>
      </c>
      <c r="N1590" s="9">
        <f>VLOOKUP(DATE(YEAR(A1590),MONTH(A1590),DAY(A1590)),FY24_Temp[],3,FALSE)</f>
        <v>14.95</v>
      </c>
      <c r="O1590" s="110">
        <f t="shared" si="1634"/>
        <v>11.5</v>
      </c>
      <c r="P1590" s="110">
        <f t="shared" si="1635"/>
        <v>19.5</v>
      </c>
      <c r="Q1590" s="79">
        <f>VLOOKUP(VLOOKUP(DATEVALUE(TEXT(A1590,"m/d/yyyy")),FY24_Temp[],5,FALSE)&amp;TEXT(A1590,"-h"),TempDelta[],4,FALSE)</f>
        <v>2.5060000419616699</v>
      </c>
      <c r="R1590">
        <v>10</v>
      </c>
      <c r="S1590" s="112">
        <v>1500</v>
      </c>
      <c r="T1590" s="5">
        <f>VLOOKUP(TEXT(A1590,"yy-mm")&amp;"-"&amp;IF(AND(WEEKDAY(A1590)&gt;1,WEEKDAY(A1590)&lt;7),"Wkd",TEXT(A1590,"Ddd"))&amp;"-"&amp;TEXT(A1590,"hh"),LoadTable[],3,FALSE)*0.92</f>
        <v>289.05894152419745</v>
      </c>
      <c r="U1590" s="113">
        <f t="shared" si="1636"/>
        <v>28.905894152419744</v>
      </c>
      <c r="V1590">
        <f t="shared" ref="V1590:W1590" si="1692">V1566</f>
        <v>2.7</v>
      </c>
      <c r="W1590">
        <f t="shared" si="1692"/>
        <v>3.2</v>
      </c>
      <c r="X1590" s="9">
        <v>0.57896008333333304</v>
      </c>
      <c r="Y1590" s="39"/>
    </row>
    <row r="1591" spans="1:25" ht="15" thickBot="1">
      <c r="A1591" s="29">
        <f t="shared" si="1690"/>
        <v>45902.166666664794</v>
      </c>
      <c r="B1591" s="30">
        <f t="shared" si="1645"/>
        <v>5000</v>
      </c>
      <c r="C1591" s="8">
        <v>25000</v>
      </c>
      <c r="D1591" s="187">
        <v>0</v>
      </c>
      <c r="E1591" s="187">
        <v>700</v>
      </c>
      <c r="F1591" s="187">
        <v>15000</v>
      </c>
      <c r="G1591" s="30">
        <f t="shared" si="1646"/>
        <v>2400</v>
      </c>
      <c r="H1591" s="8">
        <v>25000</v>
      </c>
      <c r="I1591" s="30">
        <f t="shared" si="1647"/>
        <v>5000</v>
      </c>
      <c r="J1591" s="187">
        <v>40000</v>
      </c>
      <c r="K1591" s="30">
        <f t="shared" si="1648"/>
        <v>5000</v>
      </c>
      <c r="L1591" s="187">
        <v>40000</v>
      </c>
      <c r="M1591" s="110">
        <v>9.5</v>
      </c>
      <c r="N1591" s="9">
        <f>VLOOKUP(DATE(YEAR(A1591),MONTH(A1591),DAY(A1591)),FY24_Temp[],3,FALSE)</f>
        <v>14.95</v>
      </c>
      <c r="O1591" s="110">
        <f t="shared" si="1634"/>
        <v>11.5</v>
      </c>
      <c r="P1591" s="110">
        <f t="shared" si="1635"/>
        <v>19.5</v>
      </c>
      <c r="Q1591" s="79">
        <f>VLOOKUP(VLOOKUP(DATEVALUE(TEXT(A1591,"m/d/yyyy")),FY24_Temp[],5,FALSE)&amp;TEXT(A1591,"-h"),TempDelta[],4,FALSE)</f>
        <v>2.5351428644997731</v>
      </c>
      <c r="R1591">
        <v>10</v>
      </c>
      <c r="S1591" s="112">
        <v>1500</v>
      </c>
      <c r="T1591" s="5">
        <f>VLOOKUP(TEXT(A1591,"yy-mm")&amp;"-"&amp;IF(AND(WEEKDAY(A1591)&gt;1,WEEKDAY(A1591)&lt;7),"Wkd",TEXT(A1591,"Ddd"))&amp;"-"&amp;TEXT(A1591,"hh"),LoadTable[],3,FALSE)*0.92</f>
        <v>289.05894152419745</v>
      </c>
      <c r="U1591" s="113">
        <f t="shared" si="1636"/>
        <v>28.905894152419744</v>
      </c>
      <c r="V1591">
        <f t="shared" ref="V1591:W1591" si="1693">V1567</f>
        <v>3</v>
      </c>
      <c r="W1591">
        <f t="shared" si="1693"/>
        <v>3.1</v>
      </c>
      <c r="X1591" s="9">
        <v>0.50116553333333302</v>
      </c>
      <c r="Y1591" s="39"/>
    </row>
    <row r="1592" spans="1:25" ht="15" thickBot="1">
      <c r="A1592" s="29">
        <f t="shared" si="1690"/>
        <v>45902.208333331459</v>
      </c>
      <c r="B1592" s="30">
        <f t="shared" si="1645"/>
        <v>5000</v>
      </c>
      <c r="C1592" s="8">
        <v>25000</v>
      </c>
      <c r="D1592" s="187">
        <v>0</v>
      </c>
      <c r="E1592" s="187">
        <v>700</v>
      </c>
      <c r="F1592" s="187">
        <v>15000</v>
      </c>
      <c r="G1592" s="30">
        <f t="shared" si="1646"/>
        <v>2400</v>
      </c>
      <c r="H1592" s="8">
        <v>25000</v>
      </c>
      <c r="I1592" s="30">
        <f t="shared" si="1647"/>
        <v>5000</v>
      </c>
      <c r="J1592" s="187">
        <v>40000</v>
      </c>
      <c r="K1592" s="30">
        <f t="shared" si="1648"/>
        <v>5000</v>
      </c>
      <c r="L1592" s="187">
        <v>40000</v>
      </c>
      <c r="M1592" s="110">
        <v>9.5</v>
      </c>
      <c r="N1592" s="9">
        <f>VLOOKUP(DATE(YEAR(A1592),MONTH(A1592),DAY(A1592)),FY24_Temp[],3,FALSE)</f>
        <v>14.95</v>
      </c>
      <c r="O1592" s="110">
        <f t="shared" si="1634"/>
        <v>11.5</v>
      </c>
      <c r="P1592" s="110">
        <f t="shared" si="1635"/>
        <v>19.5</v>
      </c>
      <c r="Q1592" s="79">
        <f>VLOOKUP(VLOOKUP(DATEVALUE(TEXT(A1592,"m/d/yyyy")),FY24_Temp[],5,FALSE)&amp;TEXT(A1592,"-h"),TempDelta[],4,FALSE)</f>
        <v>2.6308570929936002</v>
      </c>
      <c r="R1592">
        <v>10</v>
      </c>
      <c r="S1592" s="112">
        <v>1500</v>
      </c>
      <c r="T1592" s="5">
        <f>VLOOKUP(TEXT(A1592,"yy-mm")&amp;"-"&amp;IF(AND(WEEKDAY(A1592)&gt;1,WEEKDAY(A1592)&lt;7),"Wkd",TEXT(A1592,"Ddd"))&amp;"-"&amp;TEXT(A1592,"hh"),LoadTable[],3,FALSE)*0.92</f>
        <v>289.05894152419745</v>
      </c>
      <c r="U1592" s="113">
        <f t="shared" si="1636"/>
        <v>28.905894152419744</v>
      </c>
      <c r="V1592">
        <f t="shared" ref="V1592:W1592" si="1694">V1568</f>
        <v>2.9</v>
      </c>
      <c r="W1592">
        <f t="shared" si="1694"/>
        <v>3.1</v>
      </c>
      <c r="X1592" s="9">
        <v>0.42337098333333301</v>
      </c>
      <c r="Y1592" s="39"/>
    </row>
    <row r="1593" spans="1:25" ht="15" thickBot="1">
      <c r="A1593" s="29">
        <f t="shared" si="1690"/>
        <v>45902.249999998123</v>
      </c>
      <c r="B1593" s="30">
        <f t="shared" si="1645"/>
        <v>8000</v>
      </c>
      <c r="C1593" s="8">
        <v>25000</v>
      </c>
      <c r="D1593" s="187">
        <v>0</v>
      </c>
      <c r="E1593" s="187">
        <v>700</v>
      </c>
      <c r="F1593" s="187">
        <v>15000</v>
      </c>
      <c r="G1593" s="30">
        <f t="shared" si="1646"/>
        <v>2400</v>
      </c>
      <c r="H1593" s="8">
        <v>25000</v>
      </c>
      <c r="I1593" s="30">
        <f t="shared" si="1647"/>
        <v>8000</v>
      </c>
      <c r="J1593" s="187">
        <v>40000</v>
      </c>
      <c r="K1593" s="30">
        <f t="shared" si="1648"/>
        <v>8000</v>
      </c>
      <c r="L1593" s="187">
        <v>40000</v>
      </c>
      <c r="M1593" s="110">
        <v>9.5</v>
      </c>
      <c r="N1593" s="9">
        <f>VLOOKUP(DATE(YEAR(A1593),MONTH(A1593),DAY(A1593)),FY24_Temp[],3,FALSE)</f>
        <v>14.95</v>
      </c>
      <c r="O1593" s="110">
        <f t="shared" si="1634"/>
        <v>11.5</v>
      </c>
      <c r="P1593" s="110">
        <f t="shared" si="1635"/>
        <v>19.5</v>
      </c>
      <c r="Q1593" s="79">
        <f>VLOOKUP(VLOOKUP(DATEVALUE(TEXT(A1593,"m/d/yyyy")),FY24_Temp[],5,FALSE)&amp;TEXT(A1593,"-h"),TempDelta[],4,FALSE)</f>
        <v>2.6167142391204834</v>
      </c>
      <c r="R1593">
        <v>10</v>
      </c>
      <c r="S1593" s="112">
        <v>1500</v>
      </c>
      <c r="T1593" s="5">
        <f>VLOOKUP(TEXT(A1593,"yy-mm")&amp;"-"&amp;IF(AND(WEEKDAY(A1593)&gt;1,WEEKDAY(A1593)&lt;7),"Wkd",TEXT(A1593,"Ddd"))&amp;"-"&amp;TEXT(A1593,"hh"),LoadTable[],3,FALSE)*0.92</f>
        <v>291.12479999999999</v>
      </c>
      <c r="U1593" s="113">
        <f t="shared" si="1636"/>
        <v>29.112479999999998</v>
      </c>
      <c r="V1593">
        <f t="shared" ref="V1593:W1593" si="1695">V1569</f>
        <v>2.5</v>
      </c>
      <c r="W1593">
        <f t="shared" si="1695"/>
        <v>3.1</v>
      </c>
      <c r="X1593" s="9">
        <v>0.34557643333333299</v>
      </c>
      <c r="Y1593" s="39"/>
    </row>
    <row r="1594" spans="1:25" ht="15" thickBot="1">
      <c r="A1594" s="29">
        <f t="shared" si="1690"/>
        <v>45902.291666664787</v>
      </c>
      <c r="B1594" s="30">
        <f t="shared" si="1645"/>
        <v>8000</v>
      </c>
      <c r="C1594" s="8">
        <v>25000</v>
      </c>
      <c r="D1594" s="187">
        <v>0</v>
      </c>
      <c r="E1594" s="187">
        <v>700</v>
      </c>
      <c r="F1594" s="187">
        <v>15000</v>
      </c>
      <c r="G1594" s="30">
        <f t="shared" si="1646"/>
        <v>2400</v>
      </c>
      <c r="H1594" s="8">
        <v>25000</v>
      </c>
      <c r="I1594" s="30">
        <f t="shared" si="1647"/>
        <v>8000</v>
      </c>
      <c r="J1594" s="187">
        <v>40000</v>
      </c>
      <c r="K1594" s="30">
        <f t="shared" si="1648"/>
        <v>8000</v>
      </c>
      <c r="L1594" s="187">
        <v>40000</v>
      </c>
      <c r="M1594" s="110">
        <v>9.5</v>
      </c>
      <c r="N1594" s="9">
        <f>VLOOKUP(DATE(YEAR(A1594),MONTH(A1594),DAY(A1594)),FY24_Temp[],3,FALSE)</f>
        <v>14.95</v>
      </c>
      <c r="O1594" s="110">
        <f t="shared" si="1634"/>
        <v>11.5</v>
      </c>
      <c r="P1594" s="110">
        <f t="shared" si="1635"/>
        <v>19.5</v>
      </c>
      <c r="Q1594" s="79">
        <f>VLOOKUP(VLOOKUP(DATEVALUE(TEXT(A1594,"m/d/yyyy")),FY24_Temp[],5,FALSE)&amp;TEXT(A1594,"-h"),TempDelta[],4,FALSE)</f>
        <v>2.5078571183340892</v>
      </c>
      <c r="R1594">
        <v>10</v>
      </c>
      <c r="S1594" s="112">
        <v>1500</v>
      </c>
      <c r="T1594" s="5">
        <f>VLOOKUP(TEXT(A1594,"yy-mm")&amp;"-"&amp;IF(AND(WEEKDAY(A1594)&gt;1,WEEKDAY(A1594)&lt;7),"Wkd",TEXT(A1594,"Ddd"))&amp;"-"&amp;TEXT(A1594,"hh"),LoadTable[],3,FALSE)*0.92</f>
        <v>291.12479999999999</v>
      </c>
      <c r="U1594" s="113">
        <f t="shared" si="1636"/>
        <v>29.112479999999998</v>
      </c>
      <c r="V1594">
        <f t="shared" ref="V1594:W1594" si="1696">V1570</f>
        <v>2.5</v>
      </c>
      <c r="W1594">
        <f t="shared" si="1696"/>
        <v>3.1</v>
      </c>
      <c r="X1594" s="9">
        <v>0.26778188333333303</v>
      </c>
      <c r="Y1594" s="39"/>
    </row>
    <row r="1595" spans="1:25" ht="15" thickBot="1">
      <c r="A1595" s="29">
        <f t="shared" si="1690"/>
        <v>45902.333333331451</v>
      </c>
      <c r="B1595" s="30">
        <f t="shared" si="1645"/>
        <v>8000</v>
      </c>
      <c r="C1595" s="8">
        <v>25000</v>
      </c>
      <c r="D1595" s="187">
        <v>0</v>
      </c>
      <c r="E1595" s="187">
        <v>700</v>
      </c>
      <c r="F1595" s="187">
        <v>15000</v>
      </c>
      <c r="G1595" s="30">
        <f t="shared" si="1646"/>
        <v>2400</v>
      </c>
      <c r="H1595" s="8">
        <v>25000</v>
      </c>
      <c r="I1595" s="30">
        <f t="shared" si="1647"/>
        <v>8000</v>
      </c>
      <c r="J1595" s="187">
        <v>40000</v>
      </c>
      <c r="K1595" s="30">
        <f t="shared" si="1648"/>
        <v>8000</v>
      </c>
      <c r="L1595" s="187">
        <v>40000</v>
      </c>
      <c r="M1595" s="110">
        <v>9.5</v>
      </c>
      <c r="N1595" s="9">
        <f>VLOOKUP(DATE(YEAR(A1595),MONTH(A1595),DAY(A1595)),FY24_Temp[],3,FALSE)</f>
        <v>14.95</v>
      </c>
      <c r="O1595" s="110">
        <f t="shared" si="1634"/>
        <v>11.5</v>
      </c>
      <c r="P1595" s="110">
        <f t="shared" si="1635"/>
        <v>19.5</v>
      </c>
      <c r="Q1595" s="79">
        <f>VLOOKUP(VLOOKUP(DATEVALUE(TEXT(A1595,"m/d/yyyy")),FY24_Temp[],5,FALSE)&amp;TEXT(A1595,"-h"),TempDelta[],4,FALSE)</f>
        <v>2.3500000068119595</v>
      </c>
      <c r="R1595">
        <v>10</v>
      </c>
      <c r="S1595" s="112">
        <v>1500</v>
      </c>
      <c r="T1595" s="5">
        <f>VLOOKUP(TEXT(A1595,"yy-mm")&amp;"-"&amp;IF(AND(WEEKDAY(A1595)&gt;1,WEEKDAY(A1595)&lt;7),"Wkd",TEXT(A1595,"Ddd"))&amp;"-"&amp;TEXT(A1595,"hh"),LoadTable[],3,FALSE)*0.92</f>
        <v>291.12479999999999</v>
      </c>
      <c r="U1595" s="113">
        <f t="shared" si="1636"/>
        <v>29.112479999999998</v>
      </c>
      <c r="V1595">
        <f t="shared" ref="V1595:W1595" si="1697">V1571</f>
        <v>3.2</v>
      </c>
      <c r="W1595">
        <f t="shared" si="1697"/>
        <v>3</v>
      </c>
      <c r="X1595" s="9">
        <v>0.18998733333333301</v>
      </c>
      <c r="Y1595" s="39"/>
    </row>
    <row r="1596" spans="1:25" ht="15" thickBot="1">
      <c r="A1596" s="29">
        <f t="shared" si="1690"/>
        <v>45902.374999998116</v>
      </c>
      <c r="B1596" s="30">
        <f t="shared" si="1645"/>
        <v>8000</v>
      </c>
      <c r="C1596" s="8">
        <v>25000</v>
      </c>
      <c r="D1596" s="187">
        <v>0</v>
      </c>
      <c r="E1596" s="187">
        <v>700</v>
      </c>
      <c r="F1596" s="187">
        <v>15000</v>
      </c>
      <c r="G1596" s="30">
        <f t="shared" si="1646"/>
        <v>2400</v>
      </c>
      <c r="H1596" s="8">
        <v>25000</v>
      </c>
      <c r="I1596" s="30">
        <f t="shared" si="1647"/>
        <v>8000</v>
      </c>
      <c r="J1596" s="187">
        <v>40000</v>
      </c>
      <c r="K1596" s="30">
        <f t="shared" si="1648"/>
        <v>8000</v>
      </c>
      <c r="L1596" s="187">
        <v>40000</v>
      </c>
      <c r="M1596" s="110">
        <v>9.5</v>
      </c>
      <c r="N1596" s="9">
        <f>VLOOKUP(DATE(YEAR(A1596),MONTH(A1596),DAY(A1596)),FY24_Temp[],3,FALSE)</f>
        <v>14.95</v>
      </c>
      <c r="O1596" s="110">
        <f t="shared" si="1634"/>
        <v>11.5</v>
      </c>
      <c r="P1596" s="110">
        <f t="shared" si="1635"/>
        <v>19.5</v>
      </c>
      <c r="Q1596" s="79">
        <f>VLOOKUP(VLOOKUP(DATEVALUE(TEXT(A1596,"m/d/yyyy")),FY24_Temp[],5,FALSE)&amp;TEXT(A1596,"-h"),TempDelta[],4,FALSE)</f>
        <v>2.1847142832619801</v>
      </c>
      <c r="R1596">
        <v>10</v>
      </c>
      <c r="S1596" s="112">
        <v>1500</v>
      </c>
      <c r="T1596" s="5">
        <f>VLOOKUP(TEXT(A1596,"yy-mm")&amp;"-"&amp;IF(AND(WEEKDAY(A1596)&gt;1,WEEKDAY(A1596)&lt;7),"Wkd",TEXT(A1596,"Ddd"))&amp;"-"&amp;TEXT(A1596,"hh"),LoadTable[],3,FALSE)*0.92</f>
        <v>291.12479999999999</v>
      </c>
      <c r="U1596" s="113">
        <f t="shared" si="1636"/>
        <v>29.112479999999998</v>
      </c>
      <c r="V1596">
        <f t="shared" ref="V1596:W1596" si="1698">V1572</f>
        <v>2.9</v>
      </c>
      <c r="W1596">
        <f t="shared" si="1698"/>
        <v>3</v>
      </c>
      <c r="X1596" s="9">
        <v>0.112192783333333</v>
      </c>
      <c r="Y1596" s="39"/>
    </row>
    <row r="1597" spans="1:25" ht="15" thickBot="1">
      <c r="A1597" s="29">
        <f t="shared" si="1690"/>
        <v>45902.41666666478</v>
      </c>
      <c r="B1597" s="30">
        <f t="shared" si="1645"/>
        <v>8000</v>
      </c>
      <c r="C1597" s="8">
        <v>25000</v>
      </c>
      <c r="D1597" s="187">
        <v>0</v>
      </c>
      <c r="E1597" s="187">
        <v>700</v>
      </c>
      <c r="F1597" s="187">
        <v>15000</v>
      </c>
      <c r="G1597" s="30">
        <f t="shared" si="1646"/>
        <v>2400</v>
      </c>
      <c r="H1597" s="8">
        <v>25000</v>
      </c>
      <c r="I1597" s="30">
        <f t="shared" si="1647"/>
        <v>8000</v>
      </c>
      <c r="J1597" s="187">
        <v>40000</v>
      </c>
      <c r="K1597" s="30">
        <f t="shared" si="1648"/>
        <v>8000</v>
      </c>
      <c r="L1597" s="187">
        <v>40000</v>
      </c>
      <c r="M1597" s="110">
        <v>9.5</v>
      </c>
      <c r="N1597" s="9">
        <f>VLOOKUP(DATE(YEAR(A1597),MONTH(A1597),DAY(A1597)),FY24_Temp[],3,FALSE)</f>
        <v>14.95</v>
      </c>
      <c r="O1597" s="110">
        <f t="shared" si="1634"/>
        <v>11.5</v>
      </c>
      <c r="P1597" s="110">
        <f t="shared" si="1635"/>
        <v>19.5</v>
      </c>
      <c r="Q1597" s="79">
        <f>VLOOKUP(VLOOKUP(DATEVALUE(TEXT(A1597,"m/d/yyyy")),FY24_Temp[],5,FALSE)&amp;TEXT(A1597,"-h"),TempDelta[],4,FALSE)</f>
        <v>2.0077143056052074</v>
      </c>
      <c r="R1597">
        <v>10</v>
      </c>
      <c r="S1597" s="112">
        <v>1500</v>
      </c>
      <c r="T1597" s="5">
        <f>VLOOKUP(TEXT(A1597,"yy-mm")&amp;"-"&amp;IF(AND(WEEKDAY(A1597)&gt;1,WEEKDAY(A1597)&lt;7),"Wkd",TEXT(A1597,"Ddd"))&amp;"-"&amp;TEXT(A1597,"hh"),LoadTable[],3,FALSE)*0.92</f>
        <v>290.74956158350585</v>
      </c>
      <c r="U1597" s="113">
        <f t="shared" si="1636"/>
        <v>29.074956158350584</v>
      </c>
      <c r="V1597">
        <f t="shared" ref="V1597:W1597" si="1699">V1573</f>
        <v>2.9</v>
      </c>
      <c r="W1597">
        <f t="shared" si="1699"/>
        <v>3</v>
      </c>
      <c r="X1597" s="9">
        <v>3.4398233333333E-2</v>
      </c>
      <c r="Y1597" s="39"/>
    </row>
    <row r="1598" spans="1:25" ht="15" thickBot="1">
      <c r="A1598" s="29">
        <f t="shared" si="1690"/>
        <v>45902.458333331444</v>
      </c>
      <c r="B1598" s="30">
        <f t="shared" si="1645"/>
        <v>8000</v>
      </c>
      <c r="C1598" s="8">
        <v>25000</v>
      </c>
      <c r="D1598" s="187">
        <v>0</v>
      </c>
      <c r="E1598" s="187">
        <v>700</v>
      </c>
      <c r="F1598" s="187">
        <v>15000</v>
      </c>
      <c r="G1598" s="30">
        <f t="shared" si="1646"/>
        <v>2400</v>
      </c>
      <c r="H1598" s="8">
        <v>25000</v>
      </c>
      <c r="I1598" s="30">
        <f t="shared" si="1647"/>
        <v>8000</v>
      </c>
      <c r="J1598" s="187">
        <v>40000</v>
      </c>
      <c r="K1598" s="30">
        <f t="shared" si="1648"/>
        <v>8000</v>
      </c>
      <c r="L1598" s="187">
        <v>40000</v>
      </c>
      <c r="M1598" s="110">
        <v>9.5</v>
      </c>
      <c r="N1598" s="9">
        <f>VLOOKUP(DATE(YEAR(A1598),MONTH(A1598),DAY(A1598)),FY24_Temp[],3,FALSE)</f>
        <v>14.95</v>
      </c>
      <c r="O1598" s="110">
        <f t="shared" si="1634"/>
        <v>11.5</v>
      </c>
      <c r="P1598" s="110">
        <f t="shared" si="1635"/>
        <v>19.5</v>
      </c>
      <c r="Q1598" s="79">
        <f>VLOOKUP(VLOOKUP(DATEVALUE(TEXT(A1598,"m/d/yyyy")),FY24_Temp[],5,FALSE)&amp;TEXT(A1598,"-h"),TempDelta[],4,FALSE)</f>
        <v>1.7969999824251448</v>
      </c>
      <c r="R1598">
        <v>10</v>
      </c>
      <c r="S1598" s="112">
        <v>1500</v>
      </c>
      <c r="T1598" s="5">
        <f>VLOOKUP(TEXT(A1598,"yy-mm")&amp;"-"&amp;IF(AND(WEEKDAY(A1598)&gt;1,WEEKDAY(A1598)&lt;7),"Wkd",TEXT(A1598,"Ddd"))&amp;"-"&amp;TEXT(A1598,"hh"),LoadTable[],3,FALSE)*0.92</f>
        <v>290.74956158350585</v>
      </c>
      <c r="U1598" s="113">
        <f t="shared" si="1636"/>
        <v>29.074956158350584</v>
      </c>
      <c r="V1598">
        <f t="shared" ref="V1598:W1598" si="1700">V1574</f>
        <v>3.4</v>
      </c>
      <c r="W1598">
        <f t="shared" si="1700"/>
        <v>3</v>
      </c>
      <c r="X1598" s="9">
        <v>-4.3396316666667101E-2</v>
      </c>
      <c r="Y1598" s="39"/>
    </row>
    <row r="1599" spans="1:25" ht="15" thickBot="1">
      <c r="A1599" s="29">
        <f t="shared" si="1690"/>
        <v>45902.499999998108</v>
      </c>
      <c r="B1599" s="30">
        <f t="shared" si="1645"/>
        <v>8000</v>
      </c>
      <c r="C1599" s="8">
        <v>25000</v>
      </c>
      <c r="D1599" s="187">
        <v>0</v>
      </c>
      <c r="E1599" s="187">
        <v>700</v>
      </c>
      <c r="F1599" s="187">
        <v>15000</v>
      </c>
      <c r="G1599" s="30">
        <f t="shared" si="1646"/>
        <v>2400</v>
      </c>
      <c r="H1599" s="8">
        <v>25000</v>
      </c>
      <c r="I1599" s="30">
        <f t="shared" si="1647"/>
        <v>8000</v>
      </c>
      <c r="J1599" s="187">
        <v>40000</v>
      </c>
      <c r="K1599" s="30">
        <f t="shared" si="1648"/>
        <v>8000</v>
      </c>
      <c r="L1599" s="187">
        <v>40000</v>
      </c>
      <c r="M1599" s="110">
        <v>9.5</v>
      </c>
      <c r="N1599" s="9">
        <f>VLOOKUP(DATE(YEAR(A1599),MONTH(A1599),DAY(A1599)),FY24_Temp[],3,FALSE)</f>
        <v>14.95</v>
      </c>
      <c r="O1599" s="110">
        <f t="shared" si="1634"/>
        <v>11.5</v>
      </c>
      <c r="P1599" s="110">
        <f t="shared" si="1635"/>
        <v>19.5</v>
      </c>
      <c r="Q1599" s="79">
        <f>VLOOKUP(VLOOKUP(DATEVALUE(TEXT(A1599,"m/d/yyyy")),FY24_Temp[],5,FALSE)&amp;TEXT(A1599,"-h"),TempDelta[],4,FALSE)</f>
        <v>1.5904285567147392</v>
      </c>
      <c r="R1599">
        <v>10</v>
      </c>
      <c r="S1599" s="112">
        <v>1500</v>
      </c>
      <c r="T1599" s="5">
        <f>VLOOKUP(TEXT(A1599,"yy-mm")&amp;"-"&amp;IF(AND(WEEKDAY(A1599)&gt;1,WEEKDAY(A1599)&lt;7),"Wkd",TEXT(A1599,"Ddd"))&amp;"-"&amp;TEXT(A1599,"hh"),LoadTable[],3,FALSE)*0.92</f>
        <v>290.74956158350585</v>
      </c>
      <c r="U1599" s="113">
        <f t="shared" si="1636"/>
        <v>29.074956158350584</v>
      </c>
      <c r="V1599">
        <f t="shared" ref="V1599:W1599" si="1701">V1575</f>
        <v>3.1</v>
      </c>
      <c r="W1599">
        <f t="shared" si="1701"/>
        <v>2.9</v>
      </c>
      <c r="X1599" s="9">
        <v>-0.12119086666666699</v>
      </c>
      <c r="Y1599" s="39"/>
    </row>
    <row r="1600" spans="1:25" ht="15" thickBot="1">
      <c r="A1600" s="29">
        <f t="shared" si="1690"/>
        <v>45902.541666664772</v>
      </c>
      <c r="B1600" s="30">
        <f t="shared" si="1645"/>
        <v>8000</v>
      </c>
      <c r="C1600" s="8">
        <v>25000</v>
      </c>
      <c r="D1600" s="187">
        <v>0</v>
      </c>
      <c r="E1600" s="187">
        <v>700</v>
      </c>
      <c r="F1600" s="187">
        <v>15000</v>
      </c>
      <c r="G1600" s="30">
        <f t="shared" si="1646"/>
        <v>2400</v>
      </c>
      <c r="H1600" s="8">
        <v>25000</v>
      </c>
      <c r="I1600" s="30">
        <f t="shared" si="1647"/>
        <v>8000</v>
      </c>
      <c r="J1600" s="187">
        <v>40000</v>
      </c>
      <c r="K1600" s="30">
        <f t="shared" si="1648"/>
        <v>8000</v>
      </c>
      <c r="L1600" s="187">
        <v>40000</v>
      </c>
      <c r="M1600" s="110">
        <v>9.5</v>
      </c>
      <c r="N1600" s="9">
        <f>VLOOKUP(DATE(YEAR(A1600),MONTH(A1600),DAY(A1600)),FY24_Temp[],3,FALSE)</f>
        <v>14.95</v>
      </c>
      <c r="O1600" s="110">
        <f t="shared" si="1634"/>
        <v>11.5</v>
      </c>
      <c r="P1600" s="110">
        <f t="shared" si="1635"/>
        <v>19.5</v>
      </c>
      <c r="Q1600" s="79">
        <f>VLOOKUP(VLOOKUP(DATEVALUE(TEXT(A1600,"m/d/yyyy")),FY24_Temp[],5,FALSE)&amp;TEXT(A1600,"-h"),TempDelta[],4,FALSE)</f>
        <v>1.3895714112690516</v>
      </c>
      <c r="R1600">
        <v>10</v>
      </c>
      <c r="S1600" s="112">
        <v>1500</v>
      </c>
      <c r="T1600" s="5">
        <f>VLOOKUP(TEXT(A1600,"yy-mm")&amp;"-"&amp;IF(AND(WEEKDAY(A1600)&gt;1,WEEKDAY(A1600)&lt;7),"Wkd",TEXT(A1600,"Ddd"))&amp;"-"&amp;TEXT(A1600,"hh"),LoadTable[],3,FALSE)*0.92</f>
        <v>290.72204920255348</v>
      </c>
      <c r="U1600" s="113">
        <f t="shared" si="1636"/>
        <v>29.072204920255349</v>
      </c>
      <c r="V1600">
        <f t="shared" ref="V1600:W1600" si="1702">V1576</f>
        <v>3.2</v>
      </c>
      <c r="W1600">
        <f t="shared" si="1702"/>
        <v>2.9</v>
      </c>
      <c r="X1600" s="9">
        <v>-0.198985416666667</v>
      </c>
      <c r="Y1600" s="39"/>
    </row>
    <row r="1601" spans="1:25" ht="15" thickBot="1">
      <c r="A1601" s="29">
        <f t="shared" si="1690"/>
        <v>45902.583333331437</v>
      </c>
      <c r="B1601" s="30">
        <f t="shared" si="1645"/>
        <v>8000</v>
      </c>
      <c r="C1601" s="8">
        <v>25000</v>
      </c>
      <c r="D1601" s="187">
        <v>0</v>
      </c>
      <c r="E1601" s="187">
        <v>700</v>
      </c>
      <c r="F1601" s="187">
        <v>15000</v>
      </c>
      <c r="G1601" s="30">
        <f t="shared" si="1646"/>
        <v>2400</v>
      </c>
      <c r="H1601" s="8">
        <v>25000</v>
      </c>
      <c r="I1601" s="30">
        <f t="shared" si="1647"/>
        <v>8000</v>
      </c>
      <c r="J1601" s="187">
        <v>40000</v>
      </c>
      <c r="K1601" s="30">
        <f t="shared" si="1648"/>
        <v>8000</v>
      </c>
      <c r="L1601" s="187">
        <v>40000</v>
      </c>
      <c r="M1601" s="110">
        <v>9.5</v>
      </c>
      <c r="N1601" s="9">
        <f>VLOOKUP(DATE(YEAR(A1601),MONTH(A1601),DAY(A1601)),FY24_Temp[],3,FALSE)</f>
        <v>14.95</v>
      </c>
      <c r="O1601" s="110">
        <f t="shared" si="1634"/>
        <v>11.5</v>
      </c>
      <c r="P1601" s="110">
        <f t="shared" si="1635"/>
        <v>19.5</v>
      </c>
      <c r="Q1601" s="79">
        <f>VLOOKUP(VLOOKUP(DATEVALUE(TEXT(A1601,"m/d/yyyy")),FY24_Temp[],5,FALSE)&amp;TEXT(A1601,"-h"),TempDelta[],4,FALSE)</f>
        <v>0.96357142499514992</v>
      </c>
      <c r="R1601">
        <v>10</v>
      </c>
      <c r="S1601" s="112">
        <v>1500</v>
      </c>
      <c r="T1601" s="5">
        <f>VLOOKUP(TEXT(A1601,"yy-mm")&amp;"-"&amp;IF(AND(WEEKDAY(A1601)&gt;1,WEEKDAY(A1601)&lt;7),"Wkd",TEXT(A1601,"Ddd"))&amp;"-"&amp;TEXT(A1601,"hh"),LoadTable[],3,FALSE)*0.92</f>
        <v>363.28132000000005</v>
      </c>
      <c r="U1601" s="113">
        <f t="shared" si="1636"/>
        <v>36.328132000000004</v>
      </c>
      <c r="V1601">
        <f t="shared" ref="V1601:W1601" si="1703">V1577</f>
        <v>3.5</v>
      </c>
      <c r="W1601">
        <f t="shared" si="1703"/>
        <v>2.9</v>
      </c>
      <c r="X1601" s="9">
        <v>-0.27677996666666699</v>
      </c>
      <c r="Y1601" s="39"/>
    </row>
    <row r="1602" spans="1:25" ht="15" thickBot="1">
      <c r="A1602" s="29">
        <f t="shared" si="1690"/>
        <v>45902.624999998101</v>
      </c>
      <c r="B1602" s="30">
        <f t="shared" si="1645"/>
        <v>8000</v>
      </c>
      <c r="C1602" s="8">
        <v>25000</v>
      </c>
      <c r="D1602" s="187">
        <v>0</v>
      </c>
      <c r="E1602" s="187">
        <v>700</v>
      </c>
      <c r="F1602" s="187">
        <v>15000</v>
      </c>
      <c r="G1602" s="30">
        <f t="shared" si="1646"/>
        <v>2400</v>
      </c>
      <c r="H1602" s="8">
        <v>25000</v>
      </c>
      <c r="I1602" s="30">
        <f t="shared" si="1647"/>
        <v>8000</v>
      </c>
      <c r="J1602" s="187">
        <v>40000</v>
      </c>
      <c r="K1602" s="30">
        <f t="shared" si="1648"/>
        <v>8000</v>
      </c>
      <c r="L1602" s="187">
        <v>40000</v>
      </c>
      <c r="M1602" s="110">
        <v>9.5</v>
      </c>
      <c r="N1602" s="9">
        <f>VLOOKUP(DATE(YEAR(A1602),MONTH(A1602),DAY(A1602)),FY24_Temp[],3,FALSE)</f>
        <v>14.95</v>
      </c>
      <c r="O1602" s="110">
        <f t="shared" si="1634"/>
        <v>11.5</v>
      </c>
      <c r="P1602" s="110">
        <f t="shared" si="1635"/>
        <v>19.5</v>
      </c>
      <c r="Q1602" s="79">
        <f>VLOOKUP(VLOOKUP(DATEVALUE(TEXT(A1602,"m/d/yyyy")),FY24_Temp[],5,FALSE)&amp;TEXT(A1602,"-h"),TempDelta[],4,FALSE)</f>
        <v>0.84407143933432438</v>
      </c>
      <c r="R1602">
        <v>10</v>
      </c>
      <c r="S1602" s="112">
        <v>1500</v>
      </c>
      <c r="T1602" s="5">
        <f>VLOOKUP(TEXT(A1602,"yy-mm")&amp;"-"&amp;IF(AND(WEEKDAY(A1602)&gt;1,WEEKDAY(A1602)&lt;7),"Wkd",TEXT(A1602,"Ddd"))&amp;"-"&amp;TEXT(A1602,"hh"),LoadTable[],3,FALSE)*0.92</f>
        <v>570.3300004440199</v>
      </c>
      <c r="U1602" s="113">
        <f t="shared" si="1636"/>
        <v>57.033000044401987</v>
      </c>
      <c r="V1602">
        <f t="shared" ref="V1602:W1602" si="1704">V1578</f>
        <v>3.2</v>
      </c>
      <c r="W1602">
        <f t="shared" si="1704"/>
        <v>2.9</v>
      </c>
      <c r="X1602" s="9">
        <v>-0.35457451666666701</v>
      </c>
      <c r="Y1602" s="39"/>
    </row>
    <row r="1603" spans="1:25" ht="15" thickBot="1">
      <c r="A1603" s="29">
        <f t="shared" si="1690"/>
        <v>45902.666666664765</v>
      </c>
      <c r="B1603" s="30">
        <f t="shared" si="1645"/>
        <v>8000</v>
      </c>
      <c r="C1603" s="8">
        <v>25000</v>
      </c>
      <c r="D1603" s="187">
        <v>0</v>
      </c>
      <c r="E1603" s="187">
        <v>700</v>
      </c>
      <c r="F1603" s="187">
        <v>15000</v>
      </c>
      <c r="G1603" s="30">
        <f t="shared" si="1646"/>
        <v>2400</v>
      </c>
      <c r="H1603" s="8">
        <v>25000</v>
      </c>
      <c r="I1603" s="30">
        <f t="shared" si="1647"/>
        <v>8000</v>
      </c>
      <c r="J1603" s="187">
        <v>40000</v>
      </c>
      <c r="K1603" s="30">
        <f t="shared" si="1648"/>
        <v>8000</v>
      </c>
      <c r="L1603" s="187">
        <v>40000</v>
      </c>
      <c r="M1603" s="110">
        <v>9.5</v>
      </c>
      <c r="N1603" s="9">
        <f>VLOOKUP(DATE(YEAR(A1603),MONTH(A1603),DAY(A1603)),FY24_Temp[],3,FALSE)</f>
        <v>14.95</v>
      </c>
      <c r="O1603" s="110">
        <f t="shared" si="1634"/>
        <v>11.5</v>
      </c>
      <c r="P1603" s="110">
        <f t="shared" si="1635"/>
        <v>19.5</v>
      </c>
      <c r="Q1603" s="79">
        <f>VLOOKUP(VLOOKUP(DATEVALUE(TEXT(A1603,"m/d/yyyy")),FY24_Temp[],5,FALSE)&amp;TEXT(A1603,"-h"),TempDelta[],4,FALSE)</f>
        <v>0.87021427069391522</v>
      </c>
      <c r="R1603">
        <v>10</v>
      </c>
      <c r="S1603" s="112">
        <v>1500</v>
      </c>
      <c r="T1603" s="5">
        <f>VLOOKUP(TEXT(A1603,"yy-mm")&amp;"-"&amp;IF(AND(WEEKDAY(A1603)&gt;1,WEEKDAY(A1603)&lt;7),"Wkd",TEXT(A1603,"Ddd"))&amp;"-"&amp;TEXT(A1603,"hh"),LoadTable[],3,FALSE)*0.92</f>
        <v>602.16876690131596</v>
      </c>
      <c r="U1603" s="113">
        <f t="shared" si="1636"/>
        <v>60.216876690131599</v>
      </c>
      <c r="V1603">
        <f t="shared" ref="V1603:W1603" si="1705">V1579</f>
        <v>3.5</v>
      </c>
      <c r="W1603">
        <f t="shared" si="1705"/>
        <v>3</v>
      </c>
      <c r="X1603" s="9">
        <v>-0.43236906666666702</v>
      </c>
      <c r="Y1603" s="39"/>
    </row>
    <row r="1604" spans="1:25" ht="15" thickBot="1">
      <c r="A1604" s="29">
        <f t="shared" si="1690"/>
        <v>45902.708333331429</v>
      </c>
      <c r="B1604" s="30">
        <f t="shared" si="1645"/>
        <v>8000</v>
      </c>
      <c r="C1604" s="8">
        <v>25000</v>
      </c>
      <c r="D1604" s="187">
        <v>0</v>
      </c>
      <c r="E1604" s="187">
        <v>700</v>
      </c>
      <c r="F1604" s="187">
        <v>15000</v>
      </c>
      <c r="G1604" s="30">
        <f t="shared" si="1646"/>
        <v>2400</v>
      </c>
      <c r="H1604" s="8">
        <v>25000</v>
      </c>
      <c r="I1604" s="30">
        <f t="shared" si="1647"/>
        <v>8000</v>
      </c>
      <c r="J1604" s="187">
        <v>40000</v>
      </c>
      <c r="K1604" s="30">
        <f t="shared" si="1648"/>
        <v>8000</v>
      </c>
      <c r="L1604" s="187">
        <v>40000</v>
      </c>
      <c r="M1604" s="110">
        <v>9.5</v>
      </c>
      <c r="N1604" s="9">
        <f>VLOOKUP(DATE(YEAR(A1604),MONTH(A1604),DAY(A1604)),FY24_Temp[],3,FALSE)</f>
        <v>14.95</v>
      </c>
      <c r="O1604" s="110">
        <f t="shared" ref="O1604:O1667" si="1706">15.5-4</f>
        <v>11.5</v>
      </c>
      <c r="P1604" s="110">
        <f t="shared" ref="P1604:P1667" si="1707">15.5+4</f>
        <v>19.5</v>
      </c>
      <c r="Q1604" s="79">
        <f>VLOOKUP(VLOOKUP(DATEVALUE(TEXT(A1604,"m/d/yyyy")),FY24_Temp[],5,FALSE)&amp;TEXT(A1604,"-h"),TempDelta[],4,FALSE)</f>
        <v>1.0735000031335014</v>
      </c>
      <c r="R1604">
        <v>10</v>
      </c>
      <c r="S1604" s="112">
        <v>1500</v>
      </c>
      <c r="T1604" s="5">
        <f>VLOOKUP(TEXT(A1604,"yy-mm")&amp;"-"&amp;IF(AND(WEEKDAY(A1604)&gt;1,WEEKDAY(A1604)&lt;7),"Wkd",TEXT(A1604,"Ddd"))&amp;"-"&amp;TEXT(A1604,"hh"),LoadTable[],3,FALSE)*0.92</f>
        <v>602.16876690131596</v>
      </c>
      <c r="U1604" s="113">
        <f t="shared" ref="U1604:U1667" si="1708">T1604/10</f>
        <v>60.216876690131599</v>
      </c>
      <c r="V1604">
        <f t="shared" ref="V1604:W1604" si="1709">V1580</f>
        <v>3.6</v>
      </c>
      <c r="W1604">
        <f t="shared" si="1709"/>
        <v>3</v>
      </c>
      <c r="X1604" s="9">
        <v>-0.51016361666666699</v>
      </c>
      <c r="Y1604" s="39"/>
    </row>
    <row r="1605" spans="1:25" ht="15" thickBot="1">
      <c r="A1605" s="29">
        <f t="shared" si="1690"/>
        <v>45902.749999998094</v>
      </c>
      <c r="B1605" s="30">
        <f t="shared" si="1645"/>
        <v>5000</v>
      </c>
      <c r="C1605" s="8">
        <v>25000</v>
      </c>
      <c r="D1605" s="187">
        <v>0</v>
      </c>
      <c r="E1605" s="187">
        <v>700</v>
      </c>
      <c r="F1605" s="187">
        <v>15000</v>
      </c>
      <c r="G1605" s="30">
        <f t="shared" si="1646"/>
        <v>2400</v>
      </c>
      <c r="H1605" s="8">
        <v>25000</v>
      </c>
      <c r="I1605" s="30">
        <f t="shared" si="1647"/>
        <v>5000</v>
      </c>
      <c r="J1605" s="187">
        <v>40000</v>
      </c>
      <c r="K1605" s="30">
        <f t="shared" si="1648"/>
        <v>5000</v>
      </c>
      <c r="L1605" s="187">
        <v>40000</v>
      </c>
      <c r="M1605" s="110">
        <v>9.5</v>
      </c>
      <c r="N1605" s="9">
        <f>VLOOKUP(DATE(YEAR(A1605),MONTH(A1605),DAY(A1605)),FY24_Temp[],3,FALSE)</f>
        <v>14.95</v>
      </c>
      <c r="O1605" s="110">
        <f t="shared" si="1706"/>
        <v>11.5</v>
      </c>
      <c r="P1605" s="110">
        <f t="shared" si="1707"/>
        <v>19.5</v>
      </c>
      <c r="Q1605" s="79">
        <f>VLOOKUP(VLOOKUP(DATEVALUE(TEXT(A1605,"m/d/yyyy")),FY24_Temp[],5,FALSE)&amp;TEXT(A1605,"-h"),TempDelta[],4,FALSE)</f>
        <v>1.3760714275496346</v>
      </c>
      <c r="R1605">
        <v>10</v>
      </c>
      <c r="S1605" s="112">
        <v>1500</v>
      </c>
      <c r="T1605" s="5">
        <f>VLOOKUP(TEXT(A1605,"yy-mm")&amp;"-"&amp;IF(AND(WEEKDAY(A1605)&gt;1,WEEKDAY(A1605)&lt;7),"Wkd",TEXT(A1605,"Ddd"))&amp;"-"&amp;TEXT(A1605,"hh"),LoadTable[],3,FALSE)*0.92</f>
        <v>602.16876690131596</v>
      </c>
      <c r="U1605" s="113">
        <f t="shared" si="1708"/>
        <v>60.216876690131599</v>
      </c>
      <c r="V1605">
        <f t="shared" ref="V1605:W1605" si="1710">V1581</f>
        <v>2.9</v>
      </c>
      <c r="W1605">
        <f t="shared" si="1710"/>
        <v>3</v>
      </c>
      <c r="X1605" s="9">
        <v>-0.587958166666667</v>
      </c>
      <c r="Y1605" s="39"/>
    </row>
    <row r="1606" spans="1:25" ht="15" thickBot="1">
      <c r="A1606" s="29">
        <f t="shared" si="1690"/>
        <v>45902.791666664758</v>
      </c>
      <c r="B1606" s="30">
        <f t="shared" si="1645"/>
        <v>5000</v>
      </c>
      <c r="C1606" s="8">
        <v>25000</v>
      </c>
      <c r="D1606" s="187">
        <v>0</v>
      </c>
      <c r="E1606" s="187">
        <v>700</v>
      </c>
      <c r="F1606" s="187">
        <v>15000</v>
      </c>
      <c r="G1606" s="30">
        <f t="shared" si="1646"/>
        <v>2400</v>
      </c>
      <c r="H1606" s="8">
        <v>25000</v>
      </c>
      <c r="I1606" s="30">
        <f t="shared" si="1647"/>
        <v>5000</v>
      </c>
      <c r="J1606" s="187">
        <v>40000</v>
      </c>
      <c r="K1606" s="30">
        <f t="shared" si="1648"/>
        <v>5000</v>
      </c>
      <c r="L1606" s="187">
        <v>40000</v>
      </c>
      <c r="M1606" s="110">
        <v>9.5</v>
      </c>
      <c r="N1606" s="9">
        <f>VLOOKUP(DATE(YEAR(A1606),MONTH(A1606),DAY(A1606)),FY24_Temp[],3,FALSE)</f>
        <v>14.95</v>
      </c>
      <c r="O1606" s="110">
        <f t="shared" si="1706"/>
        <v>11.5</v>
      </c>
      <c r="P1606" s="110">
        <f t="shared" si="1707"/>
        <v>19.5</v>
      </c>
      <c r="Q1606" s="79">
        <f>VLOOKUP(VLOOKUP(DATEVALUE(TEXT(A1606,"m/d/yyyy")),FY24_Temp[],5,FALSE)&amp;TEXT(A1606,"-h"),TempDelta[],4,FALSE)</f>
        <v>1.5774285623005457</v>
      </c>
      <c r="R1606">
        <v>10</v>
      </c>
      <c r="S1606" s="112">
        <v>1500</v>
      </c>
      <c r="T1606" s="5">
        <f>VLOOKUP(TEXT(A1606,"yy-mm")&amp;"-"&amp;IF(AND(WEEKDAY(A1606)&gt;1,WEEKDAY(A1606)&lt;7),"Wkd",TEXT(A1606,"Ddd"))&amp;"-"&amp;TEXT(A1606,"hh"),LoadTable[],3,FALSE)*0.92</f>
        <v>600.14662419619219</v>
      </c>
      <c r="U1606" s="113">
        <f t="shared" si="1708"/>
        <v>60.014662419619221</v>
      </c>
      <c r="V1606">
        <f t="shared" ref="V1606:W1606" si="1711">V1582</f>
        <v>3</v>
      </c>
      <c r="W1606">
        <f t="shared" si="1711"/>
        <v>3</v>
      </c>
      <c r="X1606" s="9">
        <v>-0.66575271666666702</v>
      </c>
      <c r="Y1606" s="39"/>
    </row>
    <row r="1607" spans="1:25" ht="15" thickBot="1">
      <c r="A1607" s="29">
        <f t="shared" si="1690"/>
        <v>45902.833333331422</v>
      </c>
      <c r="B1607" s="30">
        <f t="shared" si="1645"/>
        <v>5000</v>
      </c>
      <c r="C1607" s="8">
        <v>25000</v>
      </c>
      <c r="D1607" s="187">
        <v>0</v>
      </c>
      <c r="E1607" s="187">
        <v>700</v>
      </c>
      <c r="F1607" s="187">
        <v>15000</v>
      </c>
      <c r="G1607" s="30">
        <f t="shared" si="1646"/>
        <v>2400</v>
      </c>
      <c r="H1607" s="8">
        <v>25000</v>
      </c>
      <c r="I1607" s="30">
        <f t="shared" si="1647"/>
        <v>5000</v>
      </c>
      <c r="J1607" s="187">
        <v>40000</v>
      </c>
      <c r="K1607" s="30">
        <f t="shared" si="1648"/>
        <v>5000</v>
      </c>
      <c r="L1607" s="187">
        <v>40000</v>
      </c>
      <c r="M1607" s="110">
        <v>9.5</v>
      </c>
      <c r="N1607" s="9">
        <f>VLOOKUP(DATE(YEAR(A1607),MONTH(A1607),DAY(A1607)),FY24_Temp[],3,FALSE)</f>
        <v>14.95</v>
      </c>
      <c r="O1607" s="110">
        <f t="shared" si="1706"/>
        <v>11.5</v>
      </c>
      <c r="P1607" s="110">
        <f t="shared" si="1707"/>
        <v>19.5</v>
      </c>
      <c r="Q1607" s="79">
        <f>VLOOKUP(VLOOKUP(DATEVALUE(TEXT(A1607,"m/d/yyyy")),FY24_Temp[],5,FALSE)&amp;TEXT(A1607,"-h"),TempDelta[],4,FALSE)</f>
        <v>1.776142852646964</v>
      </c>
      <c r="R1607">
        <v>10</v>
      </c>
      <c r="S1607" s="112">
        <v>1500</v>
      </c>
      <c r="T1607" s="5">
        <f>VLOOKUP(TEXT(A1607,"yy-mm")&amp;"-"&amp;IF(AND(WEEKDAY(A1607)&gt;1,WEEKDAY(A1607)&lt;7),"Wkd",TEXT(A1607,"Ddd"))&amp;"-"&amp;TEXT(A1607,"hh"),LoadTable[],3,FALSE)*0.92</f>
        <v>600.14662419619219</v>
      </c>
      <c r="U1607" s="113">
        <f t="shared" si="1708"/>
        <v>60.014662419619221</v>
      </c>
      <c r="V1607">
        <f t="shared" ref="V1607:W1607" si="1712">V1583</f>
        <v>2.8</v>
      </c>
      <c r="W1607">
        <f t="shared" si="1712"/>
        <v>3.1</v>
      </c>
      <c r="X1607" s="9">
        <v>-0.74354726666666704</v>
      </c>
      <c r="Y1607" s="39"/>
    </row>
    <row r="1608" spans="1:25" ht="15" thickBot="1">
      <c r="A1608" s="29">
        <f t="shared" si="1690"/>
        <v>45902.874999998086</v>
      </c>
      <c r="B1608" s="30">
        <f t="shared" si="1645"/>
        <v>5000</v>
      </c>
      <c r="C1608" s="8">
        <v>25000</v>
      </c>
      <c r="D1608" s="187">
        <v>0</v>
      </c>
      <c r="E1608" s="187">
        <v>700</v>
      </c>
      <c r="F1608" s="187">
        <v>15000</v>
      </c>
      <c r="G1608" s="30">
        <f t="shared" si="1646"/>
        <v>2400</v>
      </c>
      <c r="H1608" s="8">
        <v>25000</v>
      </c>
      <c r="I1608" s="30">
        <f t="shared" si="1647"/>
        <v>5000</v>
      </c>
      <c r="J1608" s="187">
        <v>40000</v>
      </c>
      <c r="K1608" s="30">
        <f t="shared" si="1648"/>
        <v>5000</v>
      </c>
      <c r="L1608" s="187">
        <v>40000</v>
      </c>
      <c r="M1608" s="110">
        <v>9.5</v>
      </c>
      <c r="N1608" s="9">
        <f>VLOOKUP(DATE(YEAR(A1608),MONTH(A1608),DAY(A1608)),FY24_Temp[],3,FALSE)</f>
        <v>14.95</v>
      </c>
      <c r="O1608" s="110">
        <f t="shared" si="1706"/>
        <v>11.5</v>
      </c>
      <c r="P1608" s="110">
        <f t="shared" si="1707"/>
        <v>19.5</v>
      </c>
      <c r="Q1608" s="79">
        <f>VLOOKUP(VLOOKUP(DATEVALUE(TEXT(A1608,"m/d/yyyy")),FY24_Temp[],5,FALSE)&amp;TEXT(A1608,"-h"),TempDelta[],4,FALSE)</f>
        <v>1.8817142588751656</v>
      </c>
      <c r="R1608">
        <v>10</v>
      </c>
      <c r="S1608" s="112">
        <v>1500</v>
      </c>
      <c r="T1608" s="5">
        <f>VLOOKUP(TEXT(A1608,"yy-mm")&amp;"-"&amp;IF(AND(WEEKDAY(A1608)&gt;1,WEEKDAY(A1608)&lt;7),"Wkd",TEXT(A1608,"Ddd"))&amp;"-"&amp;TEXT(A1608,"hh"),LoadTable[],3,FALSE)*0.92</f>
        <v>523.94879142973434</v>
      </c>
      <c r="U1608" s="113">
        <f t="shared" si="1708"/>
        <v>52.394879142973437</v>
      </c>
      <c r="V1608">
        <f t="shared" ref="V1608:W1608" si="1713">V1584</f>
        <v>3.5</v>
      </c>
      <c r="W1608">
        <f t="shared" si="1713"/>
        <v>3.1</v>
      </c>
      <c r="X1608" s="9">
        <v>-0.82134181666666695</v>
      </c>
      <c r="Y1608" s="39"/>
    </row>
    <row r="1609" spans="1:25" ht="15" thickBot="1">
      <c r="A1609" s="29">
        <f t="shared" si="1690"/>
        <v>45902.916666664751</v>
      </c>
      <c r="B1609" s="30">
        <f t="shared" si="1645"/>
        <v>5000</v>
      </c>
      <c r="C1609" s="8">
        <v>25000</v>
      </c>
      <c r="D1609" s="187">
        <v>0</v>
      </c>
      <c r="E1609" s="187">
        <v>700</v>
      </c>
      <c r="F1609" s="187">
        <v>15000</v>
      </c>
      <c r="G1609" s="30">
        <f t="shared" si="1646"/>
        <v>2400</v>
      </c>
      <c r="H1609" s="8">
        <v>25000</v>
      </c>
      <c r="I1609" s="30">
        <f t="shared" si="1647"/>
        <v>5000</v>
      </c>
      <c r="J1609" s="187">
        <v>40000</v>
      </c>
      <c r="K1609" s="30">
        <f t="shared" si="1648"/>
        <v>5000</v>
      </c>
      <c r="L1609" s="187">
        <v>40000</v>
      </c>
      <c r="M1609" s="110">
        <v>9.5</v>
      </c>
      <c r="N1609" s="9">
        <f>VLOOKUP(DATE(YEAR(A1609),MONTH(A1609),DAY(A1609)),FY24_Temp[],3,FALSE)</f>
        <v>14.95</v>
      </c>
      <c r="O1609" s="110">
        <f t="shared" si="1706"/>
        <v>11.5</v>
      </c>
      <c r="P1609" s="110">
        <f t="shared" si="1707"/>
        <v>19.5</v>
      </c>
      <c r="Q1609" s="79">
        <f>VLOOKUP(VLOOKUP(DATEVALUE(TEXT(A1609,"m/d/yyyy")),FY24_Temp[],5,FALSE)&amp;TEXT(A1609,"-h"),TempDelta[],4,FALSE)</f>
        <v>2.2282856873103549</v>
      </c>
      <c r="R1609">
        <v>10</v>
      </c>
      <c r="S1609" s="112">
        <v>1500</v>
      </c>
      <c r="T1609" s="5">
        <f>VLOOKUP(TEXT(A1609,"yy-mm")&amp;"-"&amp;IF(AND(WEEKDAY(A1609)&gt;1,WEEKDAY(A1609)&lt;7),"Wkd",TEXT(A1609,"Ddd"))&amp;"-"&amp;TEXT(A1609,"hh"),LoadTable[],3,FALSE)*0.92</f>
        <v>421.91858468239752</v>
      </c>
      <c r="U1609" s="113">
        <f t="shared" si="1708"/>
        <v>42.191858468239751</v>
      </c>
      <c r="V1609">
        <f t="shared" ref="V1609:W1609" si="1714">V1585</f>
        <v>2.9</v>
      </c>
      <c r="W1609">
        <f t="shared" si="1714"/>
        <v>3.1</v>
      </c>
      <c r="X1609" s="9">
        <v>-0.89913636666666696</v>
      </c>
      <c r="Y1609" s="39"/>
    </row>
    <row r="1610" spans="1:25" ht="15" thickBot="1">
      <c r="A1610" s="29">
        <f t="shared" si="1690"/>
        <v>45902.958333331415</v>
      </c>
      <c r="B1610" s="30">
        <f t="shared" si="1645"/>
        <v>5000</v>
      </c>
      <c r="C1610" s="8">
        <v>25000</v>
      </c>
      <c r="D1610" s="187">
        <v>0</v>
      </c>
      <c r="E1610" s="187">
        <v>700</v>
      </c>
      <c r="F1610" s="187">
        <v>15000</v>
      </c>
      <c r="G1610" s="30">
        <f t="shared" si="1646"/>
        <v>2400</v>
      </c>
      <c r="H1610" s="8">
        <v>25000</v>
      </c>
      <c r="I1610" s="30">
        <f t="shared" si="1647"/>
        <v>5000</v>
      </c>
      <c r="J1610" s="187">
        <v>40000</v>
      </c>
      <c r="K1610" s="30">
        <f t="shared" si="1648"/>
        <v>5000</v>
      </c>
      <c r="L1610" s="187">
        <v>40000</v>
      </c>
      <c r="M1610" s="110">
        <v>9.5</v>
      </c>
      <c r="N1610" s="9">
        <f>VLOOKUP(DATE(YEAR(A1610),MONTH(A1610),DAY(A1610)),FY24_Temp[],3,FALSE)</f>
        <v>14.95</v>
      </c>
      <c r="O1610" s="110">
        <f t="shared" si="1706"/>
        <v>11.5</v>
      </c>
      <c r="P1610" s="110">
        <f t="shared" si="1707"/>
        <v>19.5</v>
      </c>
      <c r="Q1610" s="79">
        <f>VLOOKUP(VLOOKUP(DATEVALUE(TEXT(A1610,"m/d/yyyy")),FY24_Temp[],5,FALSE)&amp;TEXT(A1610,"-h"),TempDelta[],4,FALSE)</f>
        <v>2.3557142189570834</v>
      </c>
      <c r="R1610">
        <v>10</v>
      </c>
      <c r="S1610" s="112">
        <v>1500</v>
      </c>
      <c r="T1610" s="5">
        <f>VLOOKUP(TEXT(A1610,"yy-mm")&amp;"-"&amp;IF(AND(WEEKDAY(A1610)&gt;1,WEEKDAY(A1610)&lt;7),"Wkd",TEXT(A1610,"Ddd"))&amp;"-"&amp;TEXT(A1610,"hh"),LoadTable[],3,FALSE)*0.92</f>
        <v>289.33527113913209</v>
      </c>
      <c r="U1610" s="113">
        <f t="shared" si="1708"/>
        <v>28.933527113913208</v>
      </c>
      <c r="V1610">
        <f t="shared" ref="V1610:W1610" si="1715">V1586</f>
        <v>3.6</v>
      </c>
      <c r="W1610">
        <f t="shared" si="1715"/>
        <v>3.1</v>
      </c>
      <c r="X1610" s="9">
        <v>-0.97693091666666698</v>
      </c>
      <c r="Y1610" s="39"/>
    </row>
    <row r="1611" spans="1:25" ht="15" thickBot="1">
      <c r="A1611" s="29">
        <f t="shared" si="1690"/>
        <v>45902.999999998079</v>
      </c>
      <c r="B1611" s="30">
        <f t="shared" si="1645"/>
        <v>5000</v>
      </c>
      <c r="C1611" s="8">
        <v>25000</v>
      </c>
      <c r="D1611" s="187">
        <v>0</v>
      </c>
      <c r="E1611" s="187">
        <v>700</v>
      </c>
      <c r="F1611" s="187">
        <v>15000</v>
      </c>
      <c r="G1611" s="30">
        <f t="shared" si="1646"/>
        <v>2400</v>
      </c>
      <c r="H1611" s="8">
        <v>25000</v>
      </c>
      <c r="I1611" s="30">
        <f t="shared" si="1647"/>
        <v>5000</v>
      </c>
      <c r="J1611" s="187">
        <v>40000</v>
      </c>
      <c r="K1611" s="30">
        <f t="shared" si="1648"/>
        <v>5000</v>
      </c>
      <c r="L1611" s="187">
        <v>40000</v>
      </c>
      <c r="M1611" s="110">
        <v>9.5</v>
      </c>
      <c r="N1611" s="9">
        <f>VLOOKUP(DATE(YEAR(A1611),MONTH(A1611),DAY(A1611)),FY24_Temp[],3,FALSE)</f>
        <v>14.95</v>
      </c>
      <c r="O1611" s="110">
        <f t="shared" si="1706"/>
        <v>11.5</v>
      </c>
      <c r="P1611" s="110">
        <f t="shared" si="1707"/>
        <v>19.5</v>
      </c>
      <c r="Q1611" s="79">
        <f>VLOOKUP(VLOOKUP(DATEVALUE(TEXT(A1611,"m/d/yyyy")),FY24_Temp[],5,FALSE)&amp;TEXT(A1611,"-h"),TempDelta[],4,FALSE)</f>
        <v>2.160285702773503</v>
      </c>
      <c r="R1611">
        <v>10</v>
      </c>
      <c r="S1611" s="112">
        <v>1500</v>
      </c>
      <c r="T1611" s="5">
        <f>VLOOKUP(TEXT(A1611,"yy-mm")&amp;"-"&amp;IF(AND(WEEKDAY(A1611)&gt;1,WEEKDAY(A1611)&lt;7),"Wkd",TEXT(A1611,"Ddd"))&amp;"-"&amp;TEXT(A1611,"hh"),LoadTable[],3,FALSE)*0.92</f>
        <v>289.0624787084426</v>
      </c>
      <c r="U1611" s="113">
        <f t="shared" si="1708"/>
        <v>28.906247870844261</v>
      </c>
      <c r="V1611">
        <f t="shared" ref="V1611:W1611" si="1716">V1587</f>
        <v>3</v>
      </c>
      <c r="W1611">
        <f t="shared" si="1716"/>
        <v>3.2</v>
      </c>
      <c r="X1611" s="9">
        <v>-1.0547254666666701</v>
      </c>
      <c r="Y1611" s="39"/>
    </row>
    <row r="1612" spans="1:25" ht="15" thickBot="1">
      <c r="A1612" s="29">
        <f t="shared" si="1690"/>
        <v>45903.041666664743</v>
      </c>
      <c r="B1612" s="30">
        <f t="shared" ref="B1612:B1675" si="1717">B1588</f>
        <v>5000</v>
      </c>
      <c r="C1612" s="8">
        <v>25000</v>
      </c>
      <c r="D1612" s="187">
        <v>0</v>
      </c>
      <c r="E1612" s="187">
        <v>700</v>
      </c>
      <c r="F1612" s="187">
        <v>15000</v>
      </c>
      <c r="G1612" s="30">
        <f t="shared" ref="G1612:G1675" si="1718">G1588</f>
        <v>2400</v>
      </c>
      <c r="H1612" s="8">
        <v>25000</v>
      </c>
      <c r="I1612" s="30">
        <f t="shared" ref="I1612:I1675" si="1719">I1588</f>
        <v>5000</v>
      </c>
      <c r="J1612" s="187">
        <v>40000</v>
      </c>
      <c r="K1612" s="30">
        <f t="shared" ref="K1612:K1675" si="1720">K1588</f>
        <v>5000</v>
      </c>
      <c r="L1612" s="187">
        <v>40000</v>
      </c>
      <c r="M1612" s="110">
        <v>9.5</v>
      </c>
      <c r="N1612" s="9">
        <f>VLOOKUP(DATE(YEAR(A1612),MONTH(A1612),DAY(A1612)),FY24_Temp[],3,FALSE)</f>
        <v>14.95</v>
      </c>
      <c r="O1612" s="110">
        <f t="shared" si="1706"/>
        <v>11.5</v>
      </c>
      <c r="P1612" s="110">
        <f t="shared" si="1707"/>
        <v>19.5</v>
      </c>
      <c r="Q1612" s="79">
        <f>VLOOKUP(VLOOKUP(DATEVALUE(TEXT(A1612,"m/d/yyyy")),FY24_Temp[],5,FALSE)&amp;TEXT(A1612,"-h"),TempDelta[],4,FALSE)</f>
        <v>2.4718571390424455</v>
      </c>
      <c r="R1612">
        <v>10</v>
      </c>
      <c r="S1612" s="112">
        <v>1500</v>
      </c>
      <c r="T1612" s="5">
        <f>VLOOKUP(TEXT(A1612,"yy-mm")&amp;"-"&amp;IF(AND(WEEKDAY(A1612)&gt;1,WEEKDAY(A1612)&lt;7),"Wkd",TEXT(A1612,"Ddd"))&amp;"-"&amp;TEXT(A1612,"hh"),LoadTable[],3,FALSE)*0.92</f>
        <v>289.0624787084426</v>
      </c>
      <c r="U1612" s="113">
        <f t="shared" si="1708"/>
        <v>28.906247870844261</v>
      </c>
      <c r="V1612">
        <f t="shared" ref="V1612:W1612" si="1721">V1588</f>
        <v>2.6</v>
      </c>
      <c r="W1612">
        <f t="shared" si="1721"/>
        <v>3.2</v>
      </c>
      <c r="X1612" s="9">
        <v>-1.13252001666667</v>
      </c>
      <c r="Y1612" s="39"/>
    </row>
    <row r="1613" spans="1:25" ht="15" thickBot="1">
      <c r="A1613" s="29">
        <f t="shared" si="1690"/>
        <v>45903.083333331408</v>
      </c>
      <c r="B1613" s="30">
        <f t="shared" si="1717"/>
        <v>5000</v>
      </c>
      <c r="C1613" s="8">
        <v>25000</v>
      </c>
      <c r="D1613" s="187">
        <v>0</v>
      </c>
      <c r="E1613" s="187">
        <v>700</v>
      </c>
      <c r="F1613" s="187">
        <v>15000</v>
      </c>
      <c r="G1613" s="30">
        <f t="shared" si="1718"/>
        <v>2400</v>
      </c>
      <c r="H1613" s="8">
        <v>25000</v>
      </c>
      <c r="I1613" s="30">
        <f t="shared" si="1719"/>
        <v>5000</v>
      </c>
      <c r="J1613" s="187">
        <v>40000</v>
      </c>
      <c r="K1613" s="30">
        <f t="shared" si="1720"/>
        <v>5000</v>
      </c>
      <c r="L1613" s="187">
        <v>40000</v>
      </c>
      <c r="M1613" s="110">
        <v>9.5</v>
      </c>
      <c r="N1613" s="9">
        <f>VLOOKUP(DATE(YEAR(A1613),MONTH(A1613),DAY(A1613)),FY24_Temp[],3,FALSE)</f>
        <v>14.95</v>
      </c>
      <c r="O1613" s="110">
        <f t="shared" si="1706"/>
        <v>11.5</v>
      </c>
      <c r="P1613" s="110">
        <f t="shared" si="1707"/>
        <v>19.5</v>
      </c>
      <c r="Q1613" s="79">
        <f>VLOOKUP(VLOOKUP(DATEVALUE(TEXT(A1613,"m/d/yyyy")),FY24_Temp[],5,FALSE)&amp;TEXT(A1613,"-h"),TempDelta[],4,FALSE)</f>
        <v>2.5034285613468716</v>
      </c>
      <c r="R1613">
        <v>10</v>
      </c>
      <c r="S1613" s="112">
        <v>1500</v>
      </c>
      <c r="T1613" s="5">
        <f>VLOOKUP(TEXT(A1613,"yy-mm")&amp;"-"&amp;IF(AND(WEEKDAY(A1613)&gt;1,WEEKDAY(A1613)&lt;7),"Wkd",TEXT(A1613,"Ddd"))&amp;"-"&amp;TEXT(A1613,"hh"),LoadTable[],3,FALSE)*0.92</f>
        <v>289.0624787084426</v>
      </c>
      <c r="U1613" s="113">
        <f t="shared" si="1708"/>
        <v>28.906247870844261</v>
      </c>
      <c r="V1613">
        <f t="shared" ref="V1613:W1613" si="1722">V1589</f>
        <v>2.8</v>
      </c>
      <c r="W1613">
        <f t="shared" si="1722"/>
        <v>3.2</v>
      </c>
      <c r="X1613" s="9">
        <v>-1.2103145666666699</v>
      </c>
      <c r="Y1613" s="39"/>
    </row>
    <row r="1614" spans="1:25" ht="15" thickBot="1">
      <c r="A1614" s="29">
        <f t="shared" si="1690"/>
        <v>45903.124999998072</v>
      </c>
      <c r="B1614" s="30">
        <f t="shared" si="1717"/>
        <v>5000</v>
      </c>
      <c r="C1614" s="8">
        <v>25000</v>
      </c>
      <c r="D1614" s="187">
        <v>0</v>
      </c>
      <c r="E1614" s="187">
        <v>700</v>
      </c>
      <c r="F1614" s="187">
        <v>15000</v>
      </c>
      <c r="G1614" s="30">
        <f t="shared" si="1718"/>
        <v>2400</v>
      </c>
      <c r="H1614" s="8">
        <v>25000</v>
      </c>
      <c r="I1614" s="30">
        <f t="shared" si="1719"/>
        <v>5000</v>
      </c>
      <c r="J1614" s="187">
        <v>40000</v>
      </c>
      <c r="K1614" s="30">
        <f t="shared" si="1720"/>
        <v>5000</v>
      </c>
      <c r="L1614" s="187">
        <v>40000</v>
      </c>
      <c r="M1614" s="110">
        <v>9.5</v>
      </c>
      <c r="N1614" s="9">
        <f>VLOOKUP(DATE(YEAR(A1614),MONTH(A1614),DAY(A1614)),FY24_Temp[],3,FALSE)</f>
        <v>14.95</v>
      </c>
      <c r="O1614" s="110">
        <f t="shared" si="1706"/>
        <v>11.5</v>
      </c>
      <c r="P1614" s="110">
        <f t="shared" si="1707"/>
        <v>19.5</v>
      </c>
      <c r="Q1614" s="79">
        <f>VLOOKUP(VLOOKUP(DATEVALUE(TEXT(A1614,"m/d/yyyy")),FY24_Temp[],5,FALSE)&amp;TEXT(A1614,"-h"),TempDelta[],4,FALSE)</f>
        <v>2.5060000419616699</v>
      </c>
      <c r="R1614">
        <v>10</v>
      </c>
      <c r="S1614" s="112">
        <v>1500</v>
      </c>
      <c r="T1614" s="5">
        <f>VLOOKUP(TEXT(A1614,"yy-mm")&amp;"-"&amp;IF(AND(WEEKDAY(A1614)&gt;1,WEEKDAY(A1614)&lt;7),"Wkd",TEXT(A1614,"Ddd"))&amp;"-"&amp;TEXT(A1614,"hh"),LoadTable[],3,FALSE)*0.92</f>
        <v>289.05894152419745</v>
      </c>
      <c r="U1614" s="113">
        <f t="shared" si="1708"/>
        <v>28.905894152419744</v>
      </c>
      <c r="V1614">
        <f t="shared" ref="V1614:W1614" si="1723">V1590</f>
        <v>2.7</v>
      </c>
      <c r="W1614">
        <f t="shared" si="1723"/>
        <v>3.2</v>
      </c>
      <c r="X1614" s="9">
        <v>-1.2881091166666601</v>
      </c>
      <c r="Y1614" s="39"/>
    </row>
    <row r="1615" spans="1:25" ht="15" thickBot="1">
      <c r="A1615" s="29">
        <f t="shared" si="1690"/>
        <v>45903.166666664736</v>
      </c>
      <c r="B1615" s="30">
        <f t="shared" si="1717"/>
        <v>5000</v>
      </c>
      <c r="C1615" s="8">
        <v>25000</v>
      </c>
      <c r="D1615" s="187">
        <v>0</v>
      </c>
      <c r="E1615" s="187">
        <v>700</v>
      </c>
      <c r="F1615" s="187">
        <v>15000</v>
      </c>
      <c r="G1615" s="30">
        <f t="shared" si="1718"/>
        <v>2400</v>
      </c>
      <c r="H1615" s="8">
        <v>25000</v>
      </c>
      <c r="I1615" s="30">
        <f t="shared" si="1719"/>
        <v>5000</v>
      </c>
      <c r="J1615" s="187">
        <v>40000</v>
      </c>
      <c r="K1615" s="30">
        <f t="shared" si="1720"/>
        <v>5000</v>
      </c>
      <c r="L1615" s="187">
        <v>40000</v>
      </c>
      <c r="M1615" s="110">
        <v>9.5</v>
      </c>
      <c r="N1615" s="9">
        <f>VLOOKUP(DATE(YEAR(A1615),MONTH(A1615),DAY(A1615)),FY24_Temp[],3,FALSE)</f>
        <v>14.95</v>
      </c>
      <c r="O1615" s="110">
        <f t="shared" si="1706"/>
        <v>11.5</v>
      </c>
      <c r="P1615" s="110">
        <f t="shared" si="1707"/>
        <v>19.5</v>
      </c>
      <c r="Q1615" s="79">
        <f>VLOOKUP(VLOOKUP(DATEVALUE(TEXT(A1615,"m/d/yyyy")),FY24_Temp[],5,FALSE)&amp;TEXT(A1615,"-h"),TempDelta[],4,FALSE)</f>
        <v>2.5351428644997731</v>
      </c>
      <c r="R1615">
        <v>10</v>
      </c>
      <c r="S1615" s="112">
        <v>1500</v>
      </c>
      <c r="T1615" s="5">
        <f>VLOOKUP(TEXT(A1615,"yy-mm")&amp;"-"&amp;IF(AND(WEEKDAY(A1615)&gt;1,WEEKDAY(A1615)&lt;7),"Wkd",TEXT(A1615,"Ddd"))&amp;"-"&amp;TEXT(A1615,"hh"),LoadTable[],3,FALSE)*0.92</f>
        <v>289.05894152419745</v>
      </c>
      <c r="U1615" s="113">
        <f t="shared" si="1708"/>
        <v>28.905894152419744</v>
      </c>
      <c r="V1615">
        <f t="shared" ref="V1615:W1615" si="1724">V1591</f>
        <v>3</v>
      </c>
      <c r="W1615">
        <f t="shared" si="1724"/>
        <v>3.1</v>
      </c>
      <c r="X1615" s="9">
        <v>-1.36590366666666</v>
      </c>
      <c r="Y1615" s="39"/>
    </row>
    <row r="1616" spans="1:25" ht="15" thickBot="1">
      <c r="A1616" s="29">
        <f t="shared" si="1690"/>
        <v>45903.2083333314</v>
      </c>
      <c r="B1616" s="30">
        <f t="shared" si="1717"/>
        <v>5000</v>
      </c>
      <c r="C1616" s="8">
        <v>25000</v>
      </c>
      <c r="D1616" s="187">
        <v>0</v>
      </c>
      <c r="E1616" s="187">
        <v>700</v>
      </c>
      <c r="F1616" s="187">
        <v>15000</v>
      </c>
      <c r="G1616" s="30">
        <f t="shared" si="1718"/>
        <v>2400</v>
      </c>
      <c r="H1616" s="8">
        <v>25000</v>
      </c>
      <c r="I1616" s="30">
        <f t="shared" si="1719"/>
        <v>5000</v>
      </c>
      <c r="J1616" s="187">
        <v>40000</v>
      </c>
      <c r="K1616" s="30">
        <f t="shared" si="1720"/>
        <v>5000</v>
      </c>
      <c r="L1616" s="187">
        <v>40000</v>
      </c>
      <c r="M1616" s="110">
        <v>9.5</v>
      </c>
      <c r="N1616" s="9">
        <f>VLOOKUP(DATE(YEAR(A1616),MONTH(A1616),DAY(A1616)),FY24_Temp[],3,FALSE)</f>
        <v>14.95</v>
      </c>
      <c r="O1616" s="110">
        <f t="shared" si="1706"/>
        <v>11.5</v>
      </c>
      <c r="P1616" s="110">
        <f t="shared" si="1707"/>
        <v>19.5</v>
      </c>
      <c r="Q1616" s="79">
        <f>VLOOKUP(VLOOKUP(DATEVALUE(TEXT(A1616,"m/d/yyyy")),FY24_Temp[],5,FALSE)&amp;TEXT(A1616,"-h"),TempDelta[],4,FALSE)</f>
        <v>2.6308570929936002</v>
      </c>
      <c r="R1616">
        <v>10</v>
      </c>
      <c r="S1616" s="112">
        <v>1500</v>
      </c>
      <c r="T1616" s="5">
        <f>VLOOKUP(TEXT(A1616,"yy-mm")&amp;"-"&amp;IF(AND(WEEKDAY(A1616)&gt;1,WEEKDAY(A1616)&lt;7),"Wkd",TEXT(A1616,"Ddd"))&amp;"-"&amp;TEXT(A1616,"hh"),LoadTable[],3,FALSE)*0.92</f>
        <v>289.05894152419745</v>
      </c>
      <c r="U1616" s="113">
        <f t="shared" si="1708"/>
        <v>28.905894152419744</v>
      </c>
      <c r="V1616">
        <f t="shared" ref="V1616:W1616" si="1725">V1592</f>
        <v>2.9</v>
      </c>
      <c r="W1616">
        <f t="shared" si="1725"/>
        <v>3.1</v>
      </c>
      <c r="X1616" s="9">
        <v>-1.4436982166666601</v>
      </c>
      <c r="Y1616" s="39"/>
    </row>
    <row r="1617" spans="1:25" ht="15" thickBot="1">
      <c r="A1617" s="29">
        <f t="shared" si="1690"/>
        <v>45903.249999998065</v>
      </c>
      <c r="B1617" s="30">
        <f t="shared" si="1717"/>
        <v>8000</v>
      </c>
      <c r="C1617" s="8">
        <v>25000</v>
      </c>
      <c r="D1617" s="187">
        <v>0</v>
      </c>
      <c r="E1617" s="187">
        <v>700</v>
      </c>
      <c r="F1617" s="187">
        <v>15000</v>
      </c>
      <c r="G1617" s="30">
        <f t="shared" si="1718"/>
        <v>2400</v>
      </c>
      <c r="H1617" s="8">
        <v>25000</v>
      </c>
      <c r="I1617" s="30">
        <f t="shared" si="1719"/>
        <v>8000</v>
      </c>
      <c r="J1617" s="187">
        <v>40000</v>
      </c>
      <c r="K1617" s="30">
        <f t="shared" si="1720"/>
        <v>8000</v>
      </c>
      <c r="L1617" s="187">
        <v>40000</v>
      </c>
      <c r="M1617" s="110">
        <v>9.5</v>
      </c>
      <c r="N1617" s="9">
        <f>VLOOKUP(DATE(YEAR(A1617),MONTH(A1617),DAY(A1617)),FY24_Temp[],3,FALSE)</f>
        <v>14.95</v>
      </c>
      <c r="O1617" s="110">
        <f t="shared" si="1706"/>
        <v>11.5</v>
      </c>
      <c r="P1617" s="110">
        <f t="shared" si="1707"/>
        <v>19.5</v>
      </c>
      <c r="Q1617" s="79">
        <f>VLOOKUP(VLOOKUP(DATEVALUE(TEXT(A1617,"m/d/yyyy")),FY24_Temp[],5,FALSE)&amp;TEXT(A1617,"-h"),TempDelta[],4,FALSE)</f>
        <v>2.6167142391204834</v>
      </c>
      <c r="R1617">
        <v>10</v>
      </c>
      <c r="S1617" s="112">
        <v>1500</v>
      </c>
      <c r="T1617" s="5">
        <f>VLOOKUP(TEXT(A1617,"yy-mm")&amp;"-"&amp;IF(AND(WEEKDAY(A1617)&gt;1,WEEKDAY(A1617)&lt;7),"Wkd",TEXT(A1617,"Ddd"))&amp;"-"&amp;TEXT(A1617,"hh"),LoadTable[],3,FALSE)*0.92</f>
        <v>291.12479999999999</v>
      </c>
      <c r="U1617" s="113">
        <f t="shared" si="1708"/>
        <v>29.112479999999998</v>
      </c>
      <c r="V1617">
        <f t="shared" ref="V1617:W1617" si="1726">V1593</f>
        <v>2.5</v>
      </c>
      <c r="W1617">
        <f t="shared" si="1726"/>
        <v>3.1</v>
      </c>
      <c r="X1617" s="9">
        <v>-1.52149276666666</v>
      </c>
      <c r="Y1617" s="39"/>
    </row>
    <row r="1618" spans="1:25" ht="15" thickBot="1">
      <c r="A1618" s="29">
        <f t="shared" si="1690"/>
        <v>45903.291666664729</v>
      </c>
      <c r="B1618" s="30">
        <f t="shared" si="1717"/>
        <v>8000</v>
      </c>
      <c r="C1618" s="8">
        <v>25000</v>
      </c>
      <c r="D1618" s="187">
        <v>0</v>
      </c>
      <c r="E1618" s="187">
        <v>700</v>
      </c>
      <c r="F1618" s="187">
        <v>15000</v>
      </c>
      <c r="G1618" s="30">
        <f t="shared" si="1718"/>
        <v>2400</v>
      </c>
      <c r="H1618" s="8">
        <v>25000</v>
      </c>
      <c r="I1618" s="30">
        <f t="shared" si="1719"/>
        <v>8000</v>
      </c>
      <c r="J1618" s="187">
        <v>40000</v>
      </c>
      <c r="K1618" s="30">
        <f t="shared" si="1720"/>
        <v>8000</v>
      </c>
      <c r="L1618" s="187">
        <v>40000</v>
      </c>
      <c r="M1618" s="110">
        <v>9.5</v>
      </c>
      <c r="N1618" s="9">
        <f>VLOOKUP(DATE(YEAR(A1618),MONTH(A1618),DAY(A1618)),FY24_Temp[],3,FALSE)</f>
        <v>14.95</v>
      </c>
      <c r="O1618" s="110">
        <f t="shared" si="1706"/>
        <v>11.5</v>
      </c>
      <c r="P1618" s="110">
        <f t="shared" si="1707"/>
        <v>19.5</v>
      </c>
      <c r="Q1618" s="79">
        <f>VLOOKUP(VLOOKUP(DATEVALUE(TEXT(A1618,"m/d/yyyy")),FY24_Temp[],5,FALSE)&amp;TEXT(A1618,"-h"),TempDelta[],4,FALSE)</f>
        <v>2.5078571183340892</v>
      </c>
      <c r="R1618">
        <v>10</v>
      </c>
      <c r="S1618" s="112">
        <v>1500</v>
      </c>
      <c r="T1618" s="5">
        <f>VLOOKUP(TEXT(A1618,"yy-mm")&amp;"-"&amp;IF(AND(WEEKDAY(A1618)&gt;1,WEEKDAY(A1618)&lt;7),"Wkd",TEXT(A1618,"Ddd"))&amp;"-"&amp;TEXT(A1618,"hh"),LoadTable[],3,FALSE)*0.92</f>
        <v>291.12479999999999</v>
      </c>
      <c r="U1618" s="113">
        <f t="shared" si="1708"/>
        <v>29.112479999999998</v>
      </c>
      <c r="V1618">
        <f t="shared" ref="V1618:W1618" si="1727">V1594</f>
        <v>2.5</v>
      </c>
      <c r="W1618">
        <f t="shared" si="1727"/>
        <v>3.1</v>
      </c>
      <c r="X1618" s="9">
        <v>-1.5992873166666699</v>
      </c>
      <c r="Y1618" s="39"/>
    </row>
    <row r="1619" spans="1:25" ht="15" thickBot="1">
      <c r="A1619" s="29">
        <f t="shared" si="1690"/>
        <v>45903.333333331393</v>
      </c>
      <c r="B1619" s="30">
        <f t="shared" si="1717"/>
        <v>8000</v>
      </c>
      <c r="C1619" s="8">
        <v>25000</v>
      </c>
      <c r="D1619" s="187">
        <v>0</v>
      </c>
      <c r="E1619" s="187">
        <v>700</v>
      </c>
      <c r="F1619" s="187">
        <v>15000</v>
      </c>
      <c r="G1619" s="30">
        <f t="shared" si="1718"/>
        <v>2400</v>
      </c>
      <c r="H1619" s="8">
        <v>25000</v>
      </c>
      <c r="I1619" s="30">
        <f t="shared" si="1719"/>
        <v>8000</v>
      </c>
      <c r="J1619" s="187">
        <v>40000</v>
      </c>
      <c r="K1619" s="30">
        <f t="shared" si="1720"/>
        <v>8000</v>
      </c>
      <c r="L1619" s="187">
        <v>40000</v>
      </c>
      <c r="M1619" s="110">
        <v>9.5</v>
      </c>
      <c r="N1619" s="9">
        <f>VLOOKUP(DATE(YEAR(A1619),MONTH(A1619),DAY(A1619)),FY24_Temp[],3,FALSE)</f>
        <v>14.95</v>
      </c>
      <c r="O1619" s="110">
        <f t="shared" si="1706"/>
        <v>11.5</v>
      </c>
      <c r="P1619" s="110">
        <f t="shared" si="1707"/>
        <v>19.5</v>
      </c>
      <c r="Q1619" s="79">
        <f>VLOOKUP(VLOOKUP(DATEVALUE(TEXT(A1619,"m/d/yyyy")),FY24_Temp[],5,FALSE)&amp;TEXT(A1619,"-h"),TempDelta[],4,FALSE)</f>
        <v>2.3500000068119595</v>
      </c>
      <c r="R1619">
        <v>10</v>
      </c>
      <c r="S1619" s="112">
        <v>1500</v>
      </c>
      <c r="T1619" s="5">
        <f>VLOOKUP(TEXT(A1619,"yy-mm")&amp;"-"&amp;IF(AND(WEEKDAY(A1619)&gt;1,WEEKDAY(A1619)&lt;7),"Wkd",TEXT(A1619,"Ddd"))&amp;"-"&amp;TEXT(A1619,"hh"),LoadTable[],3,FALSE)*0.92</f>
        <v>291.12479999999999</v>
      </c>
      <c r="U1619" s="113">
        <f t="shared" si="1708"/>
        <v>29.112479999999998</v>
      </c>
      <c r="V1619">
        <f t="shared" ref="V1619:W1619" si="1728">V1595</f>
        <v>3.2</v>
      </c>
      <c r="W1619">
        <f t="shared" si="1728"/>
        <v>3</v>
      </c>
      <c r="X1619" s="9">
        <v>-1.67708186666666</v>
      </c>
      <c r="Y1619" s="39"/>
    </row>
    <row r="1620" spans="1:25" ht="15" thickBot="1">
      <c r="A1620" s="29">
        <f t="shared" si="1690"/>
        <v>45903.374999998057</v>
      </c>
      <c r="B1620" s="30">
        <f t="shared" si="1717"/>
        <v>8000</v>
      </c>
      <c r="C1620" s="8">
        <v>25000</v>
      </c>
      <c r="D1620" s="187">
        <v>0</v>
      </c>
      <c r="E1620" s="187">
        <v>700</v>
      </c>
      <c r="F1620" s="187">
        <v>15000</v>
      </c>
      <c r="G1620" s="30">
        <f t="shared" si="1718"/>
        <v>2400</v>
      </c>
      <c r="H1620" s="8">
        <v>25000</v>
      </c>
      <c r="I1620" s="30">
        <f t="shared" si="1719"/>
        <v>8000</v>
      </c>
      <c r="J1620" s="187">
        <v>40000</v>
      </c>
      <c r="K1620" s="30">
        <f t="shared" si="1720"/>
        <v>8000</v>
      </c>
      <c r="L1620" s="187">
        <v>40000</v>
      </c>
      <c r="M1620" s="110">
        <v>9.5</v>
      </c>
      <c r="N1620" s="9">
        <f>VLOOKUP(DATE(YEAR(A1620),MONTH(A1620),DAY(A1620)),FY24_Temp[],3,FALSE)</f>
        <v>14.95</v>
      </c>
      <c r="O1620" s="110">
        <f t="shared" si="1706"/>
        <v>11.5</v>
      </c>
      <c r="P1620" s="110">
        <f t="shared" si="1707"/>
        <v>19.5</v>
      </c>
      <c r="Q1620" s="79">
        <f>VLOOKUP(VLOOKUP(DATEVALUE(TEXT(A1620,"m/d/yyyy")),FY24_Temp[],5,FALSE)&amp;TEXT(A1620,"-h"),TempDelta[],4,FALSE)</f>
        <v>2.1847142832619801</v>
      </c>
      <c r="R1620">
        <v>10</v>
      </c>
      <c r="S1620" s="112">
        <v>1500</v>
      </c>
      <c r="T1620" s="5">
        <f>VLOOKUP(TEXT(A1620,"yy-mm")&amp;"-"&amp;IF(AND(WEEKDAY(A1620)&gt;1,WEEKDAY(A1620)&lt;7),"Wkd",TEXT(A1620,"Ddd"))&amp;"-"&amp;TEXT(A1620,"hh"),LoadTable[],3,FALSE)*0.92</f>
        <v>291.12479999999999</v>
      </c>
      <c r="U1620" s="113">
        <f t="shared" si="1708"/>
        <v>29.112479999999998</v>
      </c>
      <c r="V1620">
        <f t="shared" ref="V1620:W1620" si="1729">V1596</f>
        <v>2.9</v>
      </c>
      <c r="W1620">
        <f t="shared" si="1729"/>
        <v>3</v>
      </c>
      <c r="X1620" s="9">
        <v>-1.7548764166666599</v>
      </c>
      <c r="Y1620" s="39"/>
    </row>
    <row r="1621" spans="1:25" ht="15" thickBot="1">
      <c r="A1621" s="29">
        <f t="shared" si="1690"/>
        <v>45903.416666664722</v>
      </c>
      <c r="B1621" s="30">
        <f t="shared" si="1717"/>
        <v>8000</v>
      </c>
      <c r="C1621" s="8">
        <v>25000</v>
      </c>
      <c r="D1621" s="187">
        <v>0</v>
      </c>
      <c r="E1621" s="187">
        <v>700</v>
      </c>
      <c r="F1621" s="187">
        <v>15000</v>
      </c>
      <c r="G1621" s="30">
        <f t="shared" si="1718"/>
        <v>2400</v>
      </c>
      <c r="H1621" s="8">
        <v>25000</v>
      </c>
      <c r="I1621" s="30">
        <f t="shared" si="1719"/>
        <v>8000</v>
      </c>
      <c r="J1621" s="187">
        <v>40000</v>
      </c>
      <c r="K1621" s="30">
        <f t="shared" si="1720"/>
        <v>8000</v>
      </c>
      <c r="L1621" s="187">
        <v>40000</v>
      </c>
      <c r="M1621" s="110">
        <v>9.5</v>
      </c>
      <c r="N1621" s="9">
        <f>VLOOKUP(DATE(YEAR(A1621),MONTH(A1621),DAY(A1621)),FY24_Temp[],3,FALSE)</f>
        <v>14.95</v>
      </c>
      <c r="O1621" s="110">
        <f t="shared" si="1706"/>
        <v>11.5</v>
      </c>
      <c r="P1621" s="110">
        <f t="shared" si="1707"/>
        <v>19.5</v>
      </c>
      <c r="Q1621" s="79">
        <f>VLOOKUP(VLOOKUP(DATEVALUE(TEXT(A1621,"m/d/yyyy")),FY24_Temp[],5,FALSE)&amp;TEXT(A1621,"-h"),TempDelta[],4,FALSE)</f>
        <v>2.0077143056052074</v>
      </c>
      <c r="R1621">
        <v>10</v>
      </c>
      <c r="S1621" s="112">
        <v>1500</v>
      </c>
      <c r="T1621" s="5">
        <f>VLOOKUP(TEXT(A1621,"yy-mm")&amp;"-"&amp;IF(AND(WEEKDAY(A1621)&gt;1,WEEKDAY(A1621)&lt;7),"Wkd",TEXT(A1621,"Ddd"))&amp;"-"&amp;TEXT(A1621,"hh"),LoadTable[],3,FALSE)*0.92</f>
        <v>290.74956158350585</v>
      </c>
      <c r="U1621" s="113">
        <f t="shared" si="1708"/>
        <v>29.074956158350584</v>
      </c>
      <c r="V1621">
        <f t="shared" ref="V1621:W1621" si="1730">V1597</f>
        <v>2.9</v>
      </c>
      <c r="W1621">
        <f t="shared" si="1730"/>
        <v>3</v>
      </c>
      <c r="X1621" s="9">
        <v>-1.8326709666666601</v>
      </c>
      <c r="Y1621" s="39"/>
    </row>
    <row r="1622" spans="1:25" ht="15" thickBot="1">
      <c r="A1622" s="29">
        <f t="shared" si="1690"/>
        <v>45903.458333331386</v>
      </c>
      <c r="B1622" s="30">
        <f t="shared" si="1717"/>
        <v>8000</v>
      </c>
      <c r="C1622" s="8">
        <v>25000</v>
      </c>
      <c r="D1622" s="187">
        <v>0</v>
      </c>
      <c r="E1622" s="187">
        <v>700</v>
      </c>
      <c r="F1622" s="187">
        <v>15000</v>
      </c>
      <c r="G1622" s="30">
        <f t="shared" si="1718"/>
        <v>2400</v>
      </c>
      <c r="H1622" s="8">
        <v>25000</v>
      </c>
      <c r="I1622" s="30">
        <f t="shared" si="1719"/>
        <v>8000</v>
      </c>
      <c r="J1622" s="187">
        <v>40000</v>
      </c>
      <c r="K1622" s="30">
        <f t="shared" si="1720"/>
        <v>8000</v>
      </c>
      <c r="L1622" s="187">
        <v>40000</v>
      </c>
      <c r="M1622" s="110">
        <v>9.5</v>
      </c>
      <c r="N1622" s="9">
        <f>VLOOKUP(DATE(YEAR(A1622),MONTH(A1622),DAY(A1622)),FY24_Temp[],3,FALSE)</f>
        <v>14.95</v>
      </c>
      <c r="O1622" s="110">
        <f t="shared" si="1706"/>
        <v>11.5</v>
      </c>
      <c r="P1622" s="110">
        <f t="shared" si="1707"/>
        <v>19.5</v>
      </c>
      <c r="Q1622" s="79">
        <f>VLOOKUP(VLOOKUP(DATEVALUE(TEXT(A1622,"m/d/yyyy")),FY24_Temp[],5,FALSE)&amp;TEXT(A1622,"-h"),TempDelta[],4,FALSE)</f>
        <v>1.7969999824251448</v>
      </c>
      <c r="R1622">
        <v>10</v>
      </c>
      <c r="S1622" s="112">
        <v>1500</v>
      </c>
      <c r="T1622" s="5">
        <f>VLOOKUP(TEXT(A1622,"yy-mm")&amp;"-"&amp;IF(AND(WEEKDAY(A1622)&gt;1,WEEKDAY(A1622)&lt;7),"Wkd",TEXT(A1622,"Ddd"))&amp;"-"&amp;TEXT(A1622,"hh"),LoadTable[],3,FALSE)*0.92</f>
        <v>290.74956158350585</v>
      </c>
      <c r="U1622" s="113">
        <f t="shared" si="1708"/>
        <v>29.074956158350584</v>
      </c>
      <c r="V1622">
        <f t="shared" ref="V1622:W1622" si="1731">V1598</f>
        <v>3.4</v>
      </c>
      <c r="W1622">
        <f t="shared" si="1731"/>
        <v>3</v>
      </c>
      <c r="X1622" s="9">
        <v>-1.91046551666666</v>
      </c>
      <c r="Y1622" s="39"/>
    </row>
    <row r="1623" spans="1:25" ht="15" thickBot="1">
      <c r="A1623" s="29">
        <f t="shared" si="1690"/>
        <v>45903.49999999805</v>
      </c>
      <c r="B1623" s="30">
        <f t="shared" si="1717"/>
        <v>8000</v>
      </c>
      <c r="C1623" s="8">
        <v>25000</v>
      </c>
      <c r="D1623" s="187">
        <v>0</v>
      </c>
      <c r="E1623" s="187">
        <v>700</v>
      </c>
      <c r="F1623" s="187">
        <v>15000</v>
      </c>
      <c r="G1623" s="30">
        <f t="shared" si="1718"/>
        <v>2400</v>
      </c>
      <c r="H1623" s="8">
        <v>25000</v>
      </c>
      <c r="I1623" s="30">
        <f t="shared" si="1719"/>
        <v>8000</v>
      </c>
      <c r="J1623" s="187">
        <v>40000</v>
      </c>
      <c r="K1623" s="30">
        <f t="shared" si="1720"/>
        <v>8000</v>
      </c>
      <c r="L1623" s="187">
        <v>40000</v>
      </c>
      <c r="M1623" s="110">
        <v>9.5</v>
      </c>
      <c r="N1623" s="9">
        <f>VLOOKUP(DATE(YEAR(A1623),MONTH(A1623),DAY(A1623)),FY24_Temp[],3,FALSE)</f>
        <v>14.95</v>
      </c>
      <c r="O1623" s="110">
        <f t="shared" si="1706"/>
        <v>11.5</v>
      </c>
      <c r="P1623" s="110">
        <f t="shared" si="1707"/>
        <v>19.5</v>
      </c>
      <c r="Q1623" s="79">
        <f>VLOOKUP(VLOOKUP(DATEVALUE(TEXT(A1623,"m/d/yyyy")),FY24_Temp[],5,FALSE)&amp;TEXT(A1623,"-h"),TempDelta[],4,FALSE)</f>
        <v>1.5904285567147392</v>
      </c>
      <c r="R1623">
        <v>10</v>
      </c>
      <c r="S1623" s="112">
        <v>1500</v>
      </c>
      <c r="T1623" s="5">
        <f>VLOOKUP(TEXT(A1623,"yy-mm")&amp;"-"&amp;IF(AND(WEEKDAY(A1623)&gt;1,WEEKDAY(A1623)&lt;7),"Wkd",TEXT(A1623,"Ddd"))&amp;"-"&amp;TEXT(A1623,"hh"),LoadTable[],3,FALSE)*0.92</f>
        <v>290.74956158350585</v>
      </c>
      <c r="U1623" s="113">
        <f t="shared" si="1708"/>
        <v>29.074956158350584</v>
      </c>
      <c r="V1623">
        <f t="shared" ref="V1623:W1623" si="1732">V1599</f>
        <v>3.1</v>
      </c>
      <c r="W1623">
        <f t="shared" si="1732"/>
        <v>2.9</v>
      </c>
      <c r="X1623" s="9">
        <v>-1.9882600666666601</v>
      </c>
      <c r="Y1623" s="39"/>
    </row>
    <row r="1624" spans="1:25" ht="15" thickBot="1">
      <c r="A1624" s="29">
        <f t="shared" si="1690"/>
        <v>45903.541666664714</v>
      </c>
      <c r="B1624" s="30">
        <f t="shared" si="1717"/>
        <v>8000</v>
      </c>
      <c r="C1624" s="8">
        <v>25000</v>
      </c>
      <c r="D1624" s="187">
        <v>0</v>
      </c>
      <c r="E1624" s="187">
        <v>700</v>
      </c>
      <c r="F1624" s="187">
        <v>15000</v>
      </c>
      <c r="G1624" s="30">
        <f t="shared" si="1718"/>
        <v>2400</v>
      </c>
      <c r="H1624" s="8">
        <v>25000</v>
      </c>
      <c r="I1624" s="30">
        <f t="shared" si="1719"/>
        <v>8000</v>
      </c>
      <c r="J1624" s="187">
        <v>40000</v>
      </c>
      <c r="K1624" s="30">
        <f t="shared" si="1720"/>
        <v>8000</v>
      </c>
      <c r="L1624" s="187">
        <v>40000</v>
      </c>
      <c r="M1624" s="110">
        <v>9.5</v>
      </c>
      <c r="N1624" s="9">
        <f>VLOOKUP(DATE(YEAR(A1624),MONTH(A1624),DAY(A1624)),FY24_Temp[],3,FALSE)</f>
        <v>14.95</v>
      </c>
      <c r="O1624" s="110">
        <f t="shared" si="1706"/>
        <v>11.5</v>
      </c>
      <c r="P1624" s="110">
        <f t="shared" si="1707"/>
        <v>19.5</v>
      </c>
      <c r="Q1624" s="79">
        <f>VLOOKUP(VLOOKUP(DATEVALUE(TEXT(A1624,"m/d/yyyy")),FY24_Temp[],5,FALSE)&amp;TEXT(A1624,"-h"),TempDelta[],4,FALSE)</f>
        <v>1.3895714112690516</v>
      </c>
      <c r="R1624">
        <v>10</v>
      </c>
      <c r="S1624" s="112">
        <v>1500</v>
      </c>
      <c r="T1624" s="5">
        <f>VLOOKUP(TEXT(A1624,"yy-mm")&amp;"-"&amp;IF(AND(WEEKDAY(A1624)&gt;1,WEEKDAY(A1624)&lt;7),"Wkd",TEXT(A1624,"Ddd"))&amp;"-"&amp;TEXT(A1624,"hh"),LoadTable[],3,FALSE)*0.92</f>
        <v>290.72204920255348</v>
      </c>
      <c r="U1624" s="113">
        <f t="shared" si="1708"/>
        <v>29.072204920255349</v>
      </c>
      <c r="V1624">
        <f t="shared" ref="V1624:W1624" si="1733">V1600</f>
        <v>3.2</v>
      </c>
      <c r="W1624">
        <f t="shared" si="1733"/>
        <v>2.9</v>
      </c>
      <c r="X1624" s="9">
        <v>-2.0660546166666598</v>
      </c>
      <c r="Y1624" s="39"/>
    </row>
    <row r="1625" spans="1:25" ht="15" thickBot="1">
      <c r="A1625" s="29">
        <f t="shared" si="1690"/>
        <v>45903.583333331379</v>
      </c>
      <c r="B1625" s="30">
        <f t="shared" si="1717"/>
        <v>8000</v>
      </c>
      <c r="C1625" s="8">
        <v>25000</v>
      </c>
      <c r="D1625" s="187">
        <v>0</v>
      </c>
      <c r="E1625" s="187">
        <v>700</v>
      </c>
      <c r="F1625" s="187">
        <v>15000</v>
      </c>
      <c r="G1625" s="30">
        <f t="shared" si="1718"/>
        <v>2400</v>
      </c>
      <c r="H1625" s="8">
        <v>25000</v>
      </c>
      <c r="I1625" s="30">
        <f t="shared" si="1719"/>
        <v>8000</v>
      </c>
      <c r="J1625" s="187">
        <v>40000</v>
      </c>
      <c r="K1625" s="30">
        <f t="shared" si="1720"/>
        <v>8000</v>
      </c>
      <c r="L1625" s="187">
        <v>40000</v>
      </c>
      <c r="M1625" s="110">
        <v>9.5</v>
      </c>
      <c r="N1625" s="9">
        <f>VLOOKUP(DATE(YEAR(A1625),MONTH(A1625),DAY(A1625)),FY24_Temp[],3,FALSE)</f>
        <v>14.95</v>
      </c>
      <c r="O1625" s="110">
        <f t="shared" si="1706"/>
        <v>11.5</v>
      </c>
      <c r="P1625" s="110">
        <f t="shared" si="1707"/>
        <v>19.5</v>
      </c>
      <c r="Q1625" s="79">
        <f>VLOOKUP(VLOOKUP(DATEVALUE(TEXT(A1625,"m/d/yyyy")),FY24_Temp[],5,FALSE)&amp;TEXT(A1625,"-h"),TempDelta[],4,FALSE)</f>
        <v>0.96357142499514992</v>
      </c>
      <c r="R1625">
        <v>10</v>
      </c>
      <c r="S1625" s="112">
        <v>1500</v>
      </c>
      <c r="T1625" s="5">
        <f>VLOOKUP(TEXT(A1625,"yy-mm")&amp;"-"&amp;IF(AND(WEEKDAY(A1625)&gt;1,WEEKDAY(A1625)&lt;7),"Wkd",TEXT(A1625,"Ddd"))&amp;"-"&amp;TEXT(A1625,"hh"),LoadTable[],3,FALSE)*0.92</f>
        <v>363.28132000000005</v>
      </c>
      <c r="U1625" s="113">
        <f t="shared" si="1708"/>
        <v>36.328132000000004</v>
      </c>
      <c r="V1625">
        <f t="shared" ref="V1625:W1625" si="1734">V1601</f>
        <v>3.5</v>
      </c>
      <c r="W1625">
        <f t="shared" si="1734"/>
        <v>2.9</v>
      </c>
      <c r="X1625" s="9">
        <v>-2.1438491666666599</v>
      </c>
      <c r="Y1625" s="39"/>
    </row>
    <row r="1626" spans="1:25" ht="15" thickBot="1">
      <c r="A1626" s="29">
        <f t="shared" si="1690"/>
        <v>45903.624999998043</v>
      </c>
      <c r="B1626" s="30">
        <f t="shared" si="1717"/>
        <v>8000</v>
      </c>
      <c r="C1626" s="8">
        <v>25000</v>
      </c>
      <c r="D1626" s="187">
        <v>0</v>
      </c>
      <c r="E1626" s="187">
        <v>700</v>
      </c>
      <c r="F1626" s="187">
        <v>15000</v>
      </c>
      <c r="G1626" s="30">
        <f t="shared" si="1718"/>
        <v>2400</v>
      </c>
      <c r="H1626" s="8">
        <v>25000</v>
      </c>
      <c r="I1626" s="30">
        <f t="shared" si="1719"/>
        <v>8000</v>
      </c>
      <c r="J1626" s="187">
        <v>40000</v>
      </c>
      <c r="K1626" s="30">
        <f t="shared" si="1720"/>
        <v>8000</v>
      </c>
      <c r="L1626" s="187">
        <v>40000</v>
      </c>
      <c r="M1626" s="110">
        <v>9.5</v>
      </c>
      <c r="N1626" s="9">
        <f>VLOOKUP(DATE(YEAR(A1626),MONTH(A1626),DAY(A1626)),FY24_Temp[],3,FALSE)</f>
        <v>14.95</v>
      </c>
      <c r="O1626" s="110">
        <f t="shared" si="1706"/>
        <v>11.5</v>
      </c>
      <c r="P1626" s="110">
        <f t="shared" si="1707"/>
        <v>19.5</v>
      </c>
      <c r="Q1626" s="79">
        <f>VLOOKUP(VLOOKUP(DATEVALUE(TEXT(A1626,"m/d/yyyy")),FY24_Temp[],5,FALSE)&amp;TEXT(A1626,"-h"),TempDelta[],4,FALSE)</f>
        <v>0.84407143933432438</v>
      </c>
      <c r="R1626">
        <v>10</v>
      </c>
      <c r="S1626" s="112">
        <v>1500</v>
      </c>
      <c r="T1626" s="5">
        <f>VLOOKUP(TEXT(A1626,"yy-mm")&amp;"-"&amp;IF(AND(WEEKDAY(A1626)&gt;1,WEEKDAY(A1626)&lt;7),"Wkd",TEXT(A1626,"Ddd"))&amp;"-"&amp;TEXT(A1626,"hh"),LoadTable[],3,FALSE)*0.92</f>
        <v>570.3300004440199</v>
      </c>
      <c r="U1626" s="113">
        <f t="shared" si="1708"/>
        <v>57.033000044401987</v>
      </c>
      <c r="V1626">
        <f t="shared" ref="V1626:W1626" si="1735">V1602</f>
        <v>3.2</v>
      </c>
      <c r="W1626">
        <f t="shared" si="1735"/>
        <v>2.9</v>
      </c>
      <c r="X1626" s="9">
        <v>-2.2216437166666601</v>
      </c>
      <c r="Y1626" s="39"/>
    </row>
    <row r="1627" spans="1:25" ht="15" thickBot="1">
      <c r="A1627" s="29">
        <f t="shared" si="1690"/>
        <v>45903.666666664707</v>
      </c>
      <c r="B1627" s="30">
        <f t="shared" si="1717"/>
        <v>8000</v>
      </c>
      <c r="C1627" s="8">
        <v>25000</v>
      </c>
      <c r="D1627" s="187">
        <v>0</v>
      </c>
      <c r="E1627" s="187">
        <v>700</v>
      </c>
      <c r="F1627" s="187">
        <v>15000</v>
      </c>
      <c r="G1627" s="30">
        <f t="shared" si="1718"/>
        <v>2400</v>
      </c>
      <c r="H1627" s="8">
        <v>25000</v>
      </c>
      <c r="I1627" s="30">
        <f t="shared" si="1719"/>
        <v>8000</v>
      </c>
      <c r="J1627" s="187">
        <v>40000</v>
      </c>
      <c r="K1627" s="30">
        <f t="shared" si="1720"/>
        <v>8000</v>
      </c>
      <c r="L1627" s="187">
        <v>40000</v>
      </c>
      <c r="M1627" s="110">
        <v>9.5</v>
      </c>
      <c r="N1627" s="9">
        <f>VLOOKUP(DATE(YEAR(A1627),MONTH(A1627),DAY(A1627)),FY24_Temp[],3,FALSE)</f>
        <v>14.95</v>
      </c>
      <c r="O1627" s="110">
        <f t="shared" si="1706"/>
        <v>11.5</v>
      </c>
      <c r="P1627" s="110">
        <f t="shared" si="1707"/>
        <v>19.5</v>
      </c>
      <c r="Q1627" s="79">
        <f>VLOOKUP(VLOOKUP(DATEVALUE(TEXT(A1627,"m/d/yyyy")),FY24_Temp[],5,FALSE)&amp;TEXT(A1627,"-h"),TempDelta[],4,FALSE)</f>
        <v>0.87021427069391522</v>
      </c>
      <c r="R1627">
        <v>10</v>
      </c>
      <c r="S1627" s="112">
        <v>1500</v>
      </c>
      <c r="T1627" s="5">
        <f>VLOOKUP(TEXT(A1627,"yy-mm")&amp;"-"&amp;IF(AND(WEEKDAY(A1627)&gt;1,WEEKDAY(A1627)&lt;7),"Wkd",TEXT(A1627,"Ddd"))&amp;"-"&amp;TEXT(A1627,"hh"),LoadTable[],3,FALSE)*0.92</f>
        <v>602.16876690131596</v>
      </c>
      <c r="U1627" s="113">
        <f t="shared" si="1708"/>
        <v>60.216876690131599</v>
      </c>
      <c r="V1627">
        <f t="shared" ref="V1627:W1627" si="1736">V1603</f>
        <v>3.5</v>
      </c>
      <c r="W1627">
        <f t="shared" si="1736"/>
        <v>3</v>
      </c>
      <c r="X1627" s="9">
        <v>-2.2994382666666602</v>
      </c>
      <c r="Y1627" s="39"/>
    </row>
    <row r="1628" spans="1:25" ht="15" thickBot="1">
      <c r="A1628" s="29">
        <f t="shared" si="1690"/>
        <v>45903.708333331371</v>
      </c>
      <c r="B1628" s="30">
        <f t="shared" si="1717"/>
        <v>8000</v>
      </c>
      <c r="C1628" s="8">
        <v>25000</v>
      </c>
      <c r="D1628" s="187">
        <v>0</v>
      </c>
      <c r="E1628" s="187">
        <v>700</v>
      </c>
      <c r="F1628" s="187">
        <v>15000</v>
      </c>
      <c r="G1628" s="30">
        <f t="shared" si="1718"/>
        <v>2400</v>
      </c>
      <c r="H1628" s="8">
        <v>25000</v>
      </c>
      <c r="I1628" s="30">
        <f t="shared" si="1719"/>
        <v>8000</v>
      </c>
      <c r="J1628" s="187">
        <v>40000</v>
      </c>
      <c r="K1628" s="30">
        <f t="shared" si="1720"/>
        <v>8000</v>
      </c>
      <c r="L1628" s="187">
        <v>40000</v>
      </c>
      <c r="M1628" s="110">
        <v>9.5</v>
      </c>
      <c r="N1628" s="9">
        <f>VLOOKUP(DATE(YEAR(A1628),MONTH(A1628),DAY(A1628)),FY24_Temp[],3,FALSE)</f>
        <v>14.95</v>
      </c>
      <c r="O1628" s="110">
        <f t="shared" si="1706"/>
        <v>11.5</v>
      </c>
      <c r="P1628" s="110">
        <f t="shared" si="1707"/>
        <v>19.5</v>
      </c>
      <c r="Q1628" s="79">
        <f>VLOOKUP(VLOOKUP(DATEVALUE(TEXT(A1628,"m/d/yyyy")),FY24_Temp[],5,FALSE)&amp;TEXT(A1628,"-h"),TempDelta[],4,FALSE)</f>
        <v>1.0735000031335014</v>
      </c>
      <c r="R1628">
        <v>10</v>
      </c>
      <c r="S1628" s="112">
        <v>1500</v>
      </c>
      <c r="T1628" s="5">
        <f>VLOOKUP(TEXT(A1628,"yy-mm")&amp;"-"&amp;IF(AND(WEEKDAY(A1628)&gt;1,WEEKDAY(A1628)&lt;7),"Wkd",TEXT(A1628,"Ddd"))&amp;"-"&amp;TEXT(A1628,"hh"),LoadTable[],3,FALSE)*0.92</f>
        <v>602.16876690131596</v>
      </c>
      <c r="U1628" s="113">
        <f t="shared" si="1708"/>
        <v>60.216876690131599</v>
      </c>
      <c r="V1628">
        <f t="shared" ref="V1628:W1628" si="1737">V1604</f>
        <v>3.6</v>
      </c>
      <c r="W1628">
        <f t="shared" si="1737"/>
        <v>3</v>
      </c>
      <c r="X1628" s="9">
        <v>-2.3772328166666599</v>
      </c>
      <c r="Y1628" s="39"/>
    </row>
    <row r="1629" spans="1:25" ht="15" thickBot="1">
      <c r="A1629" s="29">
        <f t="shared" si="1690"/>
        <v>45903.749999998035</v>
      </c>
      <c r="B1629" s="30">
        <f t="shared" si="1717"/>
        <v>5000</v>
      </c>
      <c r="C1629" s="8">
        <v>25000</v>
      </c>
      <c r="D1629" s="187">
        <v>0</v>
      </c>
      <c r="E1629" s="187">
        <v>700</v>
      </c>
      <c r="F1629" s="187">
        <v>15000</v>
      </c>
      <c r="G1629" s="30">
        <f t="shared" si="1718"/>
        <v>2400</v>
      </c>
      <c r="H1629" s="8">
        <v>25000</v>
      </c>
      <c r="I1629" s="30">
        <f t="shared" si="1719"/>
        <v>5000</v>
      </c>
      <c r="J1629" s="187">
        <v>40000</v>
      </c>
      <c r="K1629" s="30">
        <f t="shared" si="1720"/>
        <v>5000</v>
      </c>
      <c r="L1629" s="187">
        <v>40000</v>
      </c>
      <c r="M1629" s="110">
        <v>9.5</v>
      </c>
      <c r="N1629" s="9">
        <f>VLOOKUP(DATE(YEAR(A1629),MONTH(A1629),DAY(A1629)),FY24_Temp[],3,FALSE)</f>
        <v>14.95</v>
      </c>
      <c r="O1629" s="110">
        <f t="shared" si="1706"/>
        <v>11.5</v>
      </c>
      <c r="P1629" s="110">
        <f t="shared" si="1707"/>
        <v>19.5</v>
      </c>
      <c r="Q1629" s="79">
        <f>VLOOKUP(VLOOKUP(DATEVALUE(TEXT(A1629,"m/d/yyyy")),FY24_Temp[],5,FALSE)&amp;TEXT(A1629,"-h"),TempDelta[],4,FALSE)</f>
        <v>1.3760714275496346</v>
      </c>
      <c r="R1629">
        <v>10</v>
      </c>
      <c r="S1629" s="112">
        <v>1500</v>
      </c>
      <c r="T1629" s="5">
        <f>VLOOKUP(TEXT(A1629,"yy-mm")&amp;"-"&amp;IF(AND(WEEKDAY(A1629)&gt;1,WEEKDAY(A1629)&lt;7),"Wkd",TEXT(A1629,"Ddd"))&amp;"-"&amp;TEXT(A1629,"hh"),LoadTable[],3,FALSE)*0.92</f>
        <v>602.16876690131596</v>
      </c>
      <c r="U1629" s="113">
        <f t="shared" si="1708"/>
        <v>60.216876690131599</v>
      </c>
      <c r="V1629">
        <f t="shared" ref="V1629:W1629" si="1738">V1605</f>
        <v>2.9</v>
      </c>
      <c r="W1629">
        <f t="shared" si="1738"/>
        <v>3</v>
      </c>
      <c r="X1629" s="9">
        <v>-2.45502736666666</v>
      </c>
      <c r="Y1629" s="39"/>
    </row>
    <row r="1630" spans="1:25" ht="15" thickBot="1">
      <c r="A1630" s="29">
        <f t="shared" si="1690"/>
        <v>45903.7916666647</v>
      </c>
      <c r="B1630" s="30">
        <f t="shared" si="1717"/>
        <v>5000</v>
      </c>
      <c r="C1630" s="8">
        <v>25000</v>
      </c>
      <c r="D1630" s="187">
        <v>0</v>
      </c>
      <c r="E1630" s="187">
        <v>700</v>
      </c>
      <c r="F1630" s="187">
        <v>15000</v>
      </c>
      <c r="G1630" s="30">
        <f t="shared" si="1718"/>
        <v>2400</v>
      </c>
      <c r="H1630" s="8">
        <v>25000</v>
      </c>
      <c r="I1630" s="30">
        <f t="shared" si="1719"/>
        <v>5000</v>
      </c>
      <c r="J1630" s="187">
        <v>40000</v>
      </c>
      <c r="K1630" s="30">
        <f t="shared" si="1720"/>
        <v>5000</v>
      </c>
      <c r="L1630" s="187">
        <v>40000</v>
      </c>
      <c r="M1630" s="110">
        <v>9.5</v>
      </c>
      <c r="N1630" s="9">
        <f>VLOOKUP(DATE(YEAR(A1630),MONTH(A1630),DAY(A1630)),FY24_Temp[],3,FALSE)</f>
        <v>14.95</v>
      </c>
      <c r="O1630" s="110">
        <f t="shared" si="1706"/>
        <v>11.5</v>
      </c>
      <c r="P1630" s="110">
        <f t="shared" si="1707"/>
        <v>19.5</v>
      </c>
      <c r="Q1630" s="79">
        <f>VLOOKUP(VLOOKUP(DATEVALUE(TEXT(A1630,"m/d/yyyy")),FY24_Temp[],5,FALSE)&amp;TEXT(A1630,"-h"),TempDelta[],4,FALSE)</f>
        <v>1.5774285623005457</v>
      </c>
      <c r="R1630">
        <v>10</v>
      </c>
      <c r="S1630" s="112">
        <v>1500</v>
      </c>
      <c r="T1630" s="5">
        <f>VLOOKUP(TEXT(A1630,"yy-mm")&amp;"-"&amp;IF(AND(WEEKDAY(A1630)&gt;1,WEEKDAY(A1630)&lt;7),"Wkd",TEXT(A1630,"Ddd"))&amp;"-"&amp;TEXT(A1630,"hh"),LoadTable[],3,FALSE)*0.92</f>
        <v>600.14662419619219</v>
      </c>
      <c r="U1630" s="113">
        <f t="shared" si="1708"/>
        <v>60.014662419619221</v>
      </c>
      <c r="V1630">
        <f t="shared" ref="V1630:W1630" si="1739">V1606</f>
        <v>3</v>
      </c>
      <c r="W1630">
        <f t="shared" si="1739"/>
        <v>3</v>
      </c>
      <c r="X1630" s="9">
        <v>-2.5328219166666601</v>
      </c>
      <c r="Y1630" s="39"/>
    </row>
    <row r="1631" spans="1:25" ht="15" thickBot="1">
      <c r="A1631" s="29">
        <f t="shared" si="1690"/>
        <v>45903.833333331364</v>
      </c>
      <c r="B1631" s="30">
        <f t="shared" si="1717"/>
        <v>5000</v>
      </c>
      <c r="C1631" s="8">
        <v>25000</v>
      </c>
      <c r="D1631" s="187">
        <v>0</v>
      </c>
      <c r="E1631" s="187">
        <v>700</v>
      </c>
      <c r="F1631" s="187">
        <v>15000</v>
      </c>
      <c r="G1631" s="30">
        <f t="shared" si="1718"/>
        <v>2400</v>
      </c>
      <c r="H1631" s="8">
        <v>25000</v>
      </c>
      <c r="I1631" s="30">
        <f t="shared" si="1719"/>
        <v>5000</v>
      </c>
      <c r="J1631" s="187">
        <v>40000</v>
      </c>
      <c r="K1631" s="30">
        <f t="shared" si="1720"/>
        <v>5000</v>
      </c>
      <c r="L1631" s="187">
        <v>40000</v>
      </c>
      <c r="M1631" s="110">
        <v>9.5</v>
      </c>
      <c r="N1631" s="9">
        <f>VLOOKUP(DATE(YEAR(A1631),MONTH(A1631),DAY(A1631)),FY24_Temp[],3,FALSE)</f>
        <v>14.95</v>
      </c>
      <c r="O1631" s="110">
        <f t="shared" si="1706"/>
        <v>11.5</v>
      </c>
      <c r="P1631" s="110">
        <f t="shared" si="1707"/>
        <v>19.5</v>
      </c>
      <c r="Q1631" s="79">
        <f>VLOOKUP(VLOOKUP(DATEVALUE(TEXT(A1631,"m/d/yyyy")),FY24_Temp[],5,FALSE)&amp;TEXT(A1631,"-h"),TempDelta[],4,FALSE)</f>
        <v>1.776142852646964</v>
      </c>
      <c r="R1631">
        <v>10</v>
      </c>
      <c r="S1631" s="112">
        <v>1500</v>
      </c>
      <c r="T1631" s="5">
        <f>VLOOKUP(TEXT(A1631,"yy-mm")&amp;"-"&amp;IF(AND(WEEKDAY(A1631)&gt;1,WEEKDAY(A1631)&lt;7),"Wkd",TEXT(A1631,"Ddd"))&amp;"-"&amp;TEXT(A1631,"hh"),LoadTable[],3,FALSE)*0.92</f>
        <v>600.14662419619219</v>
      </c>
      <c r="U1631" s="113">
        <f t="shared" si="1708"/>
        <v>60.014662419619221</v>
      </c>
      <c r="V1631">
        <f t="shared" ref="V1631:W1631" si="1740">V1607</f>
        <v>2.8</v>
      </c>
      <c r="W1631">
        <f t="shared" si="1740"/>
        <v>3.1</v>
      </c>
      <c r="X1631" s="9">
        <v>-2.6106164666666598</v>
      </c>
      <c r="Y1631" s="39"/>
    </row>
    <row r="1632" spans="1:25" ht="15" thickBot="1">
      <c r="A1632" s="29">
        <f t="shared" si="1690"/>
        <v>45903.874999998028</v>
      </c>
      <c r="B1632" s="30">
        <f t="shared" si="1717"/>
        <v>5000</v>
      </c>
      <c r="C1632" s="8">
        <v>25000</v>
      </c>
      <c r="D1632" s="187">
        <v>0</v>
      </c>
      <c r="E1632" s="187">
        <v>700</v>
      </c>
      <c r="F1632" s="187">
        <v>15000</v>
      </c>
      <c r="G1632" s="30">
        <f t="shared" si="1718"/>
        <v>2400</v>
      </c>
      <c r="H1632" s="8">
        <v>25000</v>
      </c>
      <c r="I1632" s="30">
        <f t="shared" si="1719"/>
        <v>5000</v>
      </c>
      <c r="J1632" s="187">
        <v>40000</v>
      </c>
      <c r="K1632" s="30">
        <f t="shared" si="1720"/>
        <v>5000</v>
      </c>
      <c r="L1632" s="187">
        <v>40000</v>
      </c>
      <c r="M1632" s="110">
        <v>9.5</v>
      </c>
      <c r="N1632" s="9">
        <f>VLOOKUP(DATE(YEAR(A1632),MONTH(A1632),DAY(A1632)),FY24_Temp[],3,FALSE)</f>
        <v>14.95</v>
      </c>
      <c r="O1632" s="110">
        <f t="shared" si="1706"/>
        <v>11.5</v>
      </c>
      <c r="P1632" s="110">
        <f t="shared" si="1707"/>
        <v>19.5</v>
      </c>
      <c r="Q1632" s="79">
        <f>VLOOKUP(VLOOKUP(DATEVALUE(TEXT(A1632,"m/d/yyyy")),FY24_Temp[],5,FALSE)&amp;TEXT(A1632,"-h"),TempDelta[],4,FALSE)</f>
        <v>1.8817142588751656</v>
      </c>
      <c r="R1632">
        <v>10</v>
      </c>
      <c r="S1632" s="112">
        <v>1500</v>
      </c>
      <c r="T1632" s="5">
        <f>VLOOKUP(TEXT(A1632,"yy-mm")&amp;"-"&amp;IF(AND(WEEKDAY(A1632)&gt;1,WEEKDAY(A1632)&lt;7),"Wkd",TEXT(A1632,"Ddd"))&amp;"-"&amp;TEXT(A1632,"hh"),LoadTable[],3,FALSE)*0.92</f>
        <v>523.94879142973434</v>
      </c>
      <c r="U1632" s="113">
        <f t="shared" si="1708"/>
        <v>52.394879142973437</v>
      </c>
      <c r="V1632">
        <f t="shared" ref="V1632:W1632" si="1741">V1608</f>
        <v>3.5</v>
      </c>
      <c r="W1632">
        <f t="shared" si="1741"/>
        <v>3.1</v>
      </c>
      <c r="X1632" s="9">
        <v>-2.6884110166666599</v>
      </c>
      <c r="Y1632" s="39"/>
    </row>
    <row r="1633" spans="1:25" ht="15" thickBot="1">
      <c r="A1633" s="29">
        <f t="shared" si="1690"/>
        <v>45903.916666664692</v>
      </c>
      <c r="B1633" s="30">
        <f t="shared" si="1717"/>
        <v>5000</v>
      </c>
      <c r="C1633" s="8">
        <v>25000</v>
      </c>
      <c r="D1633" s="187">
        <v>0</v>
      </c>
      <c r="E1633" s="187">
        <v>700</v>
      </c>
      <c r="F1633" s="187">
        <v>15000</v>
      </c>
      <c r="G1633" s="30">
        <f t="shared" si="1718"/>
        <v>2400</v>
      </c>
      <c r="H1633" s="8">
        <v>25000</v>
      </c>
      <c r="I1633" s="30">
        <f t="shared" si="1719"/>
        <v>5000</v>
      </c>
      <c r="J1633" s="187">
        <v>40000</v>
      </c>
      <c r="K1633" s="30">
        <f t="shared" si="1720"/>
        <v>5000</v>
      </c>
      <c r="L1633" s="187">
        <v>40000</v>
      </c>
      <c r="M1633" s="110">
        <v>9.5</v>
      </c>
      <c r="N1633" s="9">
        <f>VLOOKUP(DATE(YEAR(A1633),MONTH(A1633),DAY(A1633)),FY24_Temp[],3,FALSE)</f>
        <v>14.95</v>
      </c>
      <c r="O1633" s="110">
        <f t="shared" si="1706"/>
        <v>11.5</v>
      </c>
      <c r="P1633" s="110">
        <f t="shared" si="1707"/>
        <v>19.5</v>
      </c>
      <c r="Q1633" s="79">
        <f>VLOOKUP(VLOOKUP(DATEVALUE(TEXT(A1633,"m/d/yyyy")),FY24_Temp[],5,FALSE)&amp;TEXT(A1633,"-h"),TempDelta[],4,FALSE)</f>
        <v>2.2282856873103549</v>
      </c>
      <c r="R1633">
        <v>10</v>
      </c>
      <c r="S1633" s="112">
        <v>1500</v>
      </c>
      <c r="T1633" s="5">
        <f>VLOOKUP(TEXT(A1633,"yy-mm")&amp;"-"&amp;IF(AND(WEEKDAY(A1633)&gt;1,WEEKDAY(A1633)&lt;7),"Wkd",TEXT(A1633,"Ddd"))&amp;"-"&amp;TEXT(A1633,"hh"),LoadTable[],3,FALSE)*0.92</f>
        <v>421.91858468239752</v>
      </c>
      <c r="U1633" s="113">
        <f t="shared" si="1708"/>
        <v>42.191858468239751</v>
      </c>
      <c r="V1633">
        <f t="shared" ref="V1633:W1633" si="1742">V1609</f>
        <v>2.9</v>
      </c>
      <c r="W1633">
        <f t="shared" si="1742"/>
        <v>3.1</v>
      </c>
      <c r="X1633" s="9">
        <v>-2.7662055666666601</v>
      </c>
      <c r="Y1633" s="39"/>
    </row>
    <row r="1634" spans="1:25" ht="15" thickBot="1">
      <c r="A1634" s="29">
        <f t="shared" si="1690"/>
        <v>45903.958333331357</v>
      </c>
      <c r="B1634" s="30">
        <f t="shared" si="1717"/>
        <v>5000</v>
      </c>
      <c r="C1634" s="8">
        <v>25000</v>
      </c>
      <c r="D1634" s="187">
        <v>0</v>
      </c>
      <c r="E1634" s="187">
        <v>700</v>
      </c>
      <c r="F1634" s="187">
        <v>15000</v>
      </c>
      <c r="G1634" s="30">
        <f t="shared" si="1718"/>
        <v>2400</v>
      </c>
      <c r="H1634" s="41">
        <v>25000</v>
      </c>
      <c r="I1634" s="30">
        <f t="shared" si="1719"/>
        <v>5000</v>
      </c>
      <c r="J1634" s="187">
        <v>40000</v>
      </c>
      <c r="K1634" s="30">
        <f t="shared" si="1720"/>
        <v>5000</v>
      </c>
      <c r="L1634" s="187">
        <v>40000</v>
      </c>
      <c r="M1634" s="110">
        <v>9.5</v>
      </c>
      <c r="N1634" s="9">
        <f>VLOOKUP(DATE(YEAR(A1634),MONTH(A1634),DAY(A1634)),FY24_Temp[],3,FALSE)</f>
        <v>14.95</v>
      </c>
      <c r="O1634" s="110">
        <f t="shared" si="1706"/>
        <v>11.5</v>
      </c>
      <c r="P1634" s="110">
        <f t="shared" si="1707"/>
        <v>19.5</v>
      </c>
      <c r="Q1634" s="85">
        <f>VLOOKUP(VLOOKUP(DATEVALUE(TEXT(A1634,"m/d/yyyy")),FY24_Temp[],5,FALSE)&amp;TEXT(A1634,"-h"),TempDelta[],4,FALSE)</f>
        <v>2.3557142189570834</v>
      </c>
      <c r="R1634">
        <v>10</v>
      </c>
      <c r="S1634" s="112">
        <v>1500</v>
      </c>
      <c r="T1634" s="97">
        <f>VLOOKUP(TEXT(A1634,"yy-mm")&amp;"-"&amp;IF(AND(WEEKDAY(A1634)&gt;1,WEEKDAY(A1634)&lt;7),"Wkd",TEXT(A1634,"Ddd"))&amp;"-"&amp;TEXT(A1634,"hh"),LoadTable[],3,FALSE)*0.92</f>
        <v>289.33527113913209</v>
      </c>
      <c r="U1634" s="113">
        <f t="shared" si="1708"/>
        <v>28.933527113913208</v>
      </c>
      <c r="V1634">
        <f t="shared" ref="V1634:W1634" si="1743">V1610</f>
        <v>3.6</v>
      </c>
      <c r="W1634">
        <f t="shared" si="1743"/>
        <v>3.1</v>
      </c>
      <c r="X1634" s="84">
        <v>-2.8440001166666602</v>
      </c>
      <c r="Y1634" s="39"/>
    </row>
    <row r="1635" spans="1:25" ht="15" thickBot="1">
      <c r="A1635" s="150">
        <f t="shared" si="1690"/>
        <v>45903.999999998021</v>
      </c>
      <c r="B1635" s="30">
        <f t="shared" si="1717"/>
        <v>5000</v>
      </c>
      <c r="C1635" s="8">
        <v>25000</v>
      </c>
      <c r="D1635" s="187">
        <v>0</v>
      </c>
      <c r="E1635" s="187">
        <v>700</v>
      </c>
      <c r="F1635" s="187">
        <v>15000</v>
      </c>
      <c r="G1635" s="30">
        <f t="shared" si="1718"/>
        <v>2400</v>
      </c>
      <c r="H1635" s="8">
        <v>25000</v>
      </c>
      <c r="I1635" s="30">
        <f t="shared" si="1719"/>
        <v>5000</v>
      </c>
      <c r="J1635" s="187">
        <v>40000</v>
      </c>
      <c r="K1635" s="30">
        <f t="shared" si="1720"/>
        <v>5000</v>
      </c>
      <c r="L1635" s="187">
        <v>40000</v>
      </c>
      <c r="M1635" s="110">
        <v>9.5</v>
      </c>
      <c r="N1635" s="9">
        <f>VLOOKUP(DATE(YEAR(A1635),MONTH(A1635),DAY(A1635)),FY24_Temp[],3,FALSE)</f>
        <v>14.95</v>
      </c>
      <c r="O1635" s="110">
        <f t="shared" si="1706"/>
        <v>11.5</v>
      </c>
      <c r="P1635" s="110">
        <f t="shared" si="1707"/>
        <v>19.5</v>
      </c>
      <c r="Q1635" s="79">
        <f>VLOOKUP(VLOOKUP(DATEVALUE(TEXT(A1635,"m/d/yyyy")),FY24_Temp[],5,FALSE)&amp;TEXT(A1635,"-h"),TempDelta[],4,FALSE)</f>
        <v>2.160285702773503</v>
      </c>
      <c r="R1635">
        <v>10</v>
      </c>
      <c r="S1635" s="112">
        <v>1500</v>
      </c>
      <c r="T1635" s="5">
        <f>VLOOKUP(TEXT(A1635,"yy-mm")&amp;"-"&amp;IF(AND(WEEKDAY(A1635)&gt;1,WEEKDAY(A1635)&lt;7),"Wkd",TEXT(A1635,"Ddd"))&amp;"-"&amp;TEXT(A1635,"hh"),LoadTable[],3,FALSE)*0.92</f>
        <v>289.0624787084426</v>
      </c>
      <c r="U1635" s="113">
        <f t="shared" si="1708"/>
        <v>28.906247870844261</v>
      </c>
      <c r="V1635">
        <f t="shared" ref="V1635:W1635" si="1744">V1611</f>
        <v>3</v>
      </c>
      <c r="W1635">
        <f t="shared" si="1744"/>
        <v>3.2</v>
      </c>
      <c r="X1635" s="9">
        <v>-2.9217946666666599</v>
      </c>
      <c r="Y1635" s="39"/>
    </row>
    <row r="1636" spans="1:25" ht="15" thickBot="1">
      <c r="A1636" s="150">
        <f t="shared" si="1690"/>
        <v>45904.041666664685</v>
      </c>
      <c r="B1636" s="30">
        <f t="shared" si="1717"/>
        <v>5000</v>
      </c>
      <c r="C1636" s="8">
        <v>25000</v>
      </c>
      <c r="D1636" s="187">
        <v>0</v>
      </c>
      <c r="E1636" s="187">
        <v>700</v>
      </c>
      <c r="F1636" s="187">
        <v>15000</v>
      </c>
      <c r="G1636" s="30">
        <f t="shared" si="1718"/>
        <v>2400</v>
      </c>
      <c r="H1636" s="42">
        <v>25000</v>
      </c>
      <c r="I1636" s="30">
        <f t="shared" si="1719"/>
        <v>5000</v>
      </c>
      <c r="J1636" s="187">
        <v>40000</v>
      </c>
      <c r="K1636" s="30">
        <f t="shared" si="1720"/>
        <v>5000</v>
      </c>
      <c r="L1636" s="187">
        <v>40000</v>
      </c>
      <c r="M1636" s="110">
        <v>9.5</v>
      </c>
      <c r="N1636" s="9">
        <f>VLOOKUP(DATE(YEAR(A1636),MONTH(A1636),DAY(A1636)),FY24_Temp[],3,FALSE)</f>
        <v>14.95</v>
      </c>
      <c r="O1636" s="110">
        <f t="shared" si="1706"/>
        <v>11.5</v>
      </c>
      <c r="P1636" s="110">
        <f t="shared" si="1707"/>
        <v>19.5</v>
      </c>
      <c r="Q1636" s="87">
        <f>VLOOKUP(VLOOKUP(DATEVALUE(TEXT(A1636,"m/d/yyyy")),FY24_Temp[],5,FALSE)&amp;TEXT(A1636,"-h"),TempDelta[],4,FALSE)</f>
        <v>2.4718571390424455</v>
      </c>
      <c r="R1636">
        <v>10</v>
      </c>
      <c r="S1636" s="112">
        <v>1500</v>
      </c>
      <c r="T1636" s="98">
        <f>VLOOKUP(TEXT(A1636,"yy-mm")&amp;"-"&amp;IF(AND(WEEKDAY(A1636)&gt;1,WEEKDAY(A1636)&lt;7),"Wkd",TEXT(A1636,"Ddd"))&amp;"-"&amp;TEXT(A1636,"hh"),LoadTable[],3,FALSE)*0.92</f>
        <v>289.0624787084426</v>
      </c>
      <c r="U1636" s="113">
        <f t="shared" si="1708"/>
        <v>28.906247870844261</v>
      </c>
      <c r="V1636">
        <f t="shared" ref="V1636:W1636" si="1745">V1612</f>
        <v>2.6</v>
      </c>
      <c r="W1636">
        <f t="shared" si="1745"/>
        <v>3.2</v>
      </c>
      <c r="X1636" s="86">
        <v>-2.99958921666666</v>
      </c>
      <c r="Y1636" s="39"/>
    </row>
    <row r="1637" spans="1:25" ht="15" thickBot="1">
      <c r="A1637" s="150">
        <f t="shared" si="1690"/>
        <v>45904.083333331349</v>
      </c>
      <c r="B1637" s="30">
        <f t="shared" si="1717"/>
        <v>5000</v>
      </c>
      <c r="C1637" s="8">
        <v>25000</v>
      </c>
      <c r="D1637" s="187">
        <v>0</v>
      </c>
      <c r="E1637" s="187">
        <v>700</v>
      </c>
      <c r="F1637" s="187">
        <v>15000</v>
      </c>
      <c r="G1637" s="30">
        <f t="shared" si="1718"/>
        <v>2400</v>
      </c>
      <c r="H1637" s="8">
        <v>25000</v>
      </c>
      <c r="I1637" s="30">
        <f t="shared" si="1719"/>
        <v>5000</v>
      </c>
      <c r="J1637" s="187">
        <v>40000</v>
      </c>
      <c r="K1637" s="30">
        <f t="shared" si="1720"/>
        <v>5000</v>
      </c>
      <c r="L1637" s="187">
        <v>40000</v>
      </c>
      <c r="M1637" s="110">
        <v>9.5</v>
      </c>
      <c r="N1637" s="9">
        <f>VLOOKUP(DATE(YEAR(A1637),MONTH(A1637),DAY(A1637)),FY24_Temp[],3,FALSE)</f>
        <v>14.95</v>
      </c>
      <c r="O1637" s="110">
        <f t="shared" si="1706"/>
        <v>11.5</v>
      </c>
      <c r="P1637" s="110">
        <f t="shared" si="1707"/>
        <v>19.5</v>
      </c>
      <c r="Q1637" s="79">
        <f>VLOOKUP(VLOOKUP(DATEVALUE(TEXT(A1637,"m/d/yyyy")),FY24_Temp[],5,FALSE)&amp;TEXT(A1637,"-h"),TempDelta[],4,FALSE)</f>
        <v>2.5034285613468716</v>
      </c>
      <c r="R1637">
        <v>10</v>
      </c>
      <c r="S1637" s="112">
        <v>1500</v>
      </c>
      <c r="T1637" s="5">
        <f>VLOOKUP(TEXT(A1637,"yy-mm")&amp;"-"&amp;IF(AND(WEEKDAY(A1637)&gt;1,WEEKDAY(A1637)&lt;7),"Wkd",TEXT(A1637,"Ddd"))&amp;"-"&amp;TEXT(A1637,"hh"),LoadTable[],3,FALSE)*0.92</f>
        <v>289.0624787084426</v>
      </c>
      <c r="U1637" s="113">
        <f t="shared" si="1708"/>
        <v>28.906247870844261</v>
      </c>
      <c r="V1637">
        <f t="shared" ref="V1637:W1637" si="1746">V1613</f>
        <v>2.8</v>
      </c>
      <c r="W1637">
        <f t="shared" si="1746"/>
        <v>3.2</v>
      </c>
      <c r="X1637" s="9">
        <v>-3.0773837666666601</v>
      </c>
      <c r="Y1637" s="39"/>
    </row>
    <row r="1638" spans="1:25" ht="15" thickBot="1">
      <c r="A1638" s="150">
        <f t="shared" si="1690"/>
        <v>45904.124999998014</v>
      </c>
      <c r="B1638" s="30">
        <f t="shared" si="1717"/>
        <v>5000</v>
      </c>
      <c r="C1638" s="8">
        <v>25000</v>
      </c>
      <c r="D1638" s="187">
        <v>0</v>
      </c>
      <c r="E1638" s="187">
        <v>700</v>
      </c>
      <c r="F1638" s="187">
        <v>15000</v>
      </c>
      <c r="G1638" s="30">
        <f t="shared" si="1718"/>
        <v>2400</v>
      </c>
      <c r="H1638" s="8">
        <v>25000</v>
      </c>
      <c r="I1638" s="30">
        <f t="shared" si="1719"/>
        <v>5000</v>
      </c>
      <c r="J1638" s="187">
        <v>40000</v>
      </c>
      <c r="K1638" s="30">
        <f t="shared" si="1720"/>
        <v>5000</v>
      </c>
      <c r="L1638" s="187">
        <v>40000</v>
      </c>
      <c r="M1638" s="110">
        <v>9.5</v>
      </c>
      <c r="N1638" s="9">
        <f>VLOOKUP(DATE(YEAR(A1638),MONTH(A1638),DAY(A1638)),FY24_Temp[],3,FALSE)</f>
        <v>14.95</v>
      </c>
      <c r="O1638" s="110">
        <f t="shared" si="1706"/>
        <v>11.5</v>
      </c>
      <c r="P1638" s="110">
        <f t="shared" si="1707"/>
        <v>19.5</v>
      </c>
      <c r="Q1638" s="79">
        <f>VLOOKUP(VLOOKUP(DATEVALUE(TEXT(A1638,"m/d/yyyy")),FY24_Temp[],5,FALSE)&amp;TEXT(A1638,"-h"),TempDelta[],4,FALSE)</f>
        <v>2.5060000419616699</v>
      </c>
      <c r="R1638">
        <v>10</v>
      </c>
      <c r="S1638" s="112">
        <v>1500</v>
      </c>
      <c r="T1638" s="5">
        <f>VLOOKUP(TEXT(A1638,"yy-mm")&amp;"-"&amp;IF(AND(WEEKDAY(A1638)&gt;1,WEEKDAY(A1638)&lt;7),"Wkd",TEXT(A1638,"Ddd"))&amp;"-"&amp;TEXT(A1638,"hh"),LoadTable[],3,FALSE)*0.92</f>
        <v>289.05894152419745</v>
      </c>
      <c r="U1638" s="113">
        <f t="shared" si="1708"/>
        <v>28.905894152419744</v>
      </c>
      <c r="V1638">
        <f t="shared" ref="V1638:W1638" si="1747">V1614</f>
        <v>2.7</v>
      </c>
      <c r="W1638">
        <f t="shared" si="1747"/>
        <v>3.2</v>
      </c>
      <c r="X1638" s="9">
        <v>-3.1551783166666598</v>
      </c>
      <c r="Y1638" s="39"/>
    </row>
    <row r="1639" spans="1:25" ht="15" thickBot="1">
      <c r="A1639" s="150">
        <f t="shared" si="1690"/>
        <v>45904.166666664678</v>
      </c>
      <c r="B1639" s="30">
        <f t="shared" si="1717"/>
        <v>5000</v>
      </c>
      <c r="C1639" s="8">
        <v>25000</v>
      </c>
      <c r="D1639" s="187">
        <v>0</v>
      </c>
      <c r="E1639" s="187">
        <v>700</v>
      </c>
      <c r="F1639" s="187">
        <v>15000</v>
      </c>
      <c r="G1639" s="30">
        <f t="shared" si="1718"/>
        <v>2400</v>
      </c>
      <c r="H1639" s="8">
        <v>25000</v>
      </c>
      <c r="I1639" s="30">
        <f t="shared" si="1719"/>
        <v>5000</v>
      </c>
      <c r="J1639" s="187">
        <v>40000</v>
      </c>
      <c r="K1639" s="30">
        <f t="shared" si="1720"/>
        <v>5000</v>
      </c>
      <c r="L1639" s="187">
        <v>40000</v>
      </c>
      <c r="M1639" s="110">
        <v>9.5</v>
      </c>
      <c r="N1639" s="9">
        <f>VLOOKUP(DATE(YEAR(A1639),MONTH(A1639),DAY(A1639)),FY24_Temp[],3,FALSE)</f>
        <v>14.95</v>
      </c>
      <c r="O1639" s="110">
        <f t="shared" si="1706"/>
        <v>11.5</v>
      </c>
      <c r="P1639" s="110">
        <f t="shared" si="1707"/>
        <v>19.5</v>
      </c>
      <c r="Q1639" s="79">
        <f>VLOOKUP(VLOOKUP(DATEVALUE(TEXT(A1639,"m/d/yyyy")),FY24_Temp[],5,FALSE)&amp;TEXT(A1639,"-h"),TempDelta[],4,FALSE)</f>
        <v>2.5351428644997731</v>
      </c>
      <c r="R1639">
        <v>10</v>
      </c>
      <c r="S1639" s="112">
        <v>1500</v>
      </c>
      <c r="T1639" s="5">
        <f>VLOOKUP(TEXT(A1639,"yy-mm")&amp;"-"&amp;IF(AND(WEEKDAY(A1639)&gt;1,WEEKDAY(A1639)&lt;7),"Wkd",TEXT(A1639,"Ddd"))&amp;"-"&amp;TEXT(A1639,"hh"),LoadTable[],3,FALSE)*0.92</f>
        <v>289.05894152419745</v>
      </c>
      <c r="U1639" s="113">
        <f t="shared" si="1708"/>
        <v>28.905894152419744</v>
      </c>
      <c r="V1639">
        <f t="shared" ref="V1639:W1639" si="1748">V1615</f>
        <v>3</v>
      </c>
      <c r="W1639">
        <f t="shared" si="1748"/>
        <v>3.1</v>
      </c>
      <c r="X1639" s="9">
        <v>-3.23297286666666</v>
      </c>
      <c r="Y1639" s="39"/>
    </row>
    <row r="1640" spans="1:25" ht="15" thickBot="1">
      <c r="A1640" s="150">
        <f t="shared" si="1690"/>
        <v>45904.208333331342</v>
      </c>
      <c r="B1640" s="30">
        <f t="shared" si="1717"/>
        <v>5000</v>
      </c>
      <c r="C1640" s="8">
        <v>25000</v>
      </c>
      <c r="D1640" s="187">
        <v>0</v>
      </c>
      <c r="E1640" s="187">
        <v>700</v>
      </c>
      <c r="F1640" s="187">
        <v>15000</v>
      </c>
      <c r="G1640" s="30">
        <f t="shared" si="1718"/>
        <v>2400</v>
      </c>
      <c r="H1640" s="8">
        <v>25000</v>
      </c>
      <c r="I1640" s="30">
        <f t="shared" si="1719"/>
        <v>5000</v>
      </c>
      <c r="J1640" s="187">
        <v>40000</v>
      </c>
      <c r="K1640" s="30">
        <f t="shared" si="1720"/>
        <v>5000</v>
      </c>
      <c r="L1640" s="187">
        <v>40000</v>
      </c>
      <c r="M1640" s="110">
        <v>9.5</v>
      </c>
      <c r="N1640" s="9">
        <f>VLOOKUP(DATE(YEAR(A1640),MONTH(A1640),DAY(A1640)),FY24_Temp[],3,FALSE)</f>
        <v>14.95</v>
      </c>
      <c r="O1640" s="110">
        <f t="shared" si="1706"/>
        <v>11.5</v>
      </c>
      <c r="P1640" s="110">
        <f t="shared" si="1707"/>
        <v>19.5</v>
      </c>
      <c r="Q1640" s="79">
        <f>VLOOKUP(VLOOKUP(DATEVALUE(TEXT(A1640,"m/d/yyyy")),FY24_Temp[],5,FALSE)&amp;TEXT(A1640,"-h"),TempDelta[],4,FALSE)</f>
        <v>2.6308570929936002</v>
      </c>
      <c r="R1640">
        <v>10</v>
      </c>
      <c r="S1640" s="112">
        <v>1500</v>
      </c>
      <c r="T1640" s="5">
        <f>VLOOKUP(TEXT(A1640,"yy-mm")&amp;"-"&amp;IF(AND(WEEKDAY(A1640)&gt;1,WEEKDAY(A1640)&lt;7),"Wkd",TEXT(A1640,"Ddd"))&amp;"-"&amp;TEXT(A1640,"hh"),LoadTable[],3,FALSE)*0.92</f>
        <v>289.05894152419745</v>
      </c>
      <c r="U1640" s="113">
        <f t="shared" si="1708"/>
        <v>28.905894152419744</v>
      </c>
      <c r="V1640">
        <f t="shared" ref="V1640:W1640" si="1749">V1616</f>
        <v>2.9</v>
      </c>
      <c r="W1640">
        <f t="shared" si="1749"/>
        <v>3.1</v>
      </c>
      <c r="X1640" s="9">
        <v>-3.3107674166666601</v>
      </c>
      <c r="Y1640" s="39"/>
    </row>
    <row r="1641" spans="1:25" ht="15" thickBot="1">
      <c r="A1641" s="150">
        <f t="shared" si="1690"/>
        <v>45904.249999998006</v>
      </c>
      <c r="B1641" s="30">
        <f t="shared" si="1717"/>
        <v>8000</v>
      </c>
      <c r="C1641" s="8">
        <v>25000</v>
      </c>
      <c r="D1641" s="187">
        <v>0</v>
      </c>
      <c r="E1641" s="187">
        <v>700</v>
      </c>
      <c r="F1641" s="187">
        <v>15000</v>
      </c>
      <c r="G1641" s="30">
        <f t="shared" si="1718"/>
        <v>2400</v>
      </c>
      <c r="H1641" s="8">
        <v>25000</v>
      </c>
      <c r="I1641" s="30">
        <f t="shared" si="1719"/>
        <v>8000</v>
      </c>
      <c r="J1641" s="187">
        <v>40000</v>
      </c>
      <c r="K1641" s="30">
        <f t="shared" si="1720"/>
        <v>8000</v>
      </c>
      <c r="L1641" s="187">
        <v>40000</v>
      </c>
      <c r="M1641" s="110">
        <v>9.5</v>
      </c>
      <c r="N1641" s="9">
        <f>VLOOKUP(DATE(YEAR(A1641),MONTH(A1641),DAY(A1641)),FY24_Temp[],3,FALSE)</f>
        <v>14.95</v>
      </c>
      <c r="O1641" s="110">
        <f t="shared" si="1706"/>
        <v>11.5</v>
      </c>
      <c r="P1641" s="110">
        <f t="shared" si="1707"/>
        <v>19.5</v>
      </c>
      <c r="Q1641" s="79">
        <f>VLOOKUP(VLOOKUP(DATEVALUE(TEXT(A1641,"m/d/yyyy")),FY24_Temp[],5,FALSE)&amp;TEXT(A1641,"-h"),TempDelta[],4,FALSE)</f>
        <v>2.6167142391204834</v>
      </c>
      <c r="R1641">
        <v>10</v>
      </c>
      <c r="S1641" s="112">
        <v>1500</v>
      </c>
      <c r="T1641" s="5">
        <f>VLOOKUP(TEXT(A1641,"yy-mm")&amp;"-"&amp;IF(AND(WEEKDAY(A1641)&gt;1,WEEKDAY(A1641)&lt;7),"Wkd",TEXT(A1641,"Ddd"))&amp;"-"&amp;TEXT(A1641,"hh"),LoadTable[],3,FALSE)*0.92</f>
        <v>291.12479999999999</v>
      </c>
      <c r="U1641" s="113">
        <f t="shared" si="1708"/>
        <v>29.112479999999998</v>
      </c>
      <c r="V1641">
        <f t="shared" ref="V1641:W1641" si="1750">V1617</f>
        <v>2.5</v>
      </c>
      <c r="W1641">
        <f t="shared" si="1750"/>
        <v>3.1</v>
      </c>
      <c r="X1641" s="9">
        <v>-3.3885619666666602</v>
      </c>
      <c r="Y1641" s="39"/>
    </row>
    <row r="1642" spans="1:25" ht="15" thickBot="1">
      <c r="A1642" s="150">
        <f t="shared" si="1690"/>
        <v>45904.291666664671</v>
      </c>
      <c r="B1642" s="30">
        <f t="shared" si="1717"/>
        <v>8000</v>
      </c>
      <c r="C1642" s="8">
        <v>25000</v>
      </c>
      <c r="D1642" s="187">
        <v>0</v>
      </c>
      <c r="E1642" s="187">
        <v>700</v>
      </c>
      <c r="F1642" s="187">
        <v>15000</v>
      </c>
      <c r="G1642" s="30">
        <f t="shared" si="1718"/>
        <v>2400</v>
      </c>
      <c r="H1642" s="8">
        <v>25000</v>
      </c>
      <c r="I1642" s="30">
        <f t="shared" si="1719"/>
        <v>8000</v>
      </c>
      <c r="J1642" s="187">
        <v>40000</v>
      </c>
      <c r="K1642" s="30">
        <f t="shared" si="1720"/>
        <v>8000</v>
      </c>
      <c r="L1642" s="187">
        <v>40000</v>
      </c>
      <c r="M1642" s="110">
        <v>9.5</v>
      </c>
      <c r="N1642" s="9">
        <f>VLOOKUP(DATE(YEAR(A1642),MONTH(A1642),DAY(A1642)),FY24_Temp[],3,FALSE)</f>
        <v>14.95</v>
      </c>
      <c r="O1642" s="110">
        <f t="shared" si="1706"/>
        <v>11.5</v>
      </c>
      <c r="P1642" s="110">
        <f t="shared" si="1707"/>
        <v>19.5</v>
      </c>
      <c r="Q1642" s="79">
        <f>VLOOKUP(VLOOKUP(DATEVALUE(TEXT(A1642,"m/d/yyyy")),FY24_Temp[],5,FALSE)&amp;TEXT(A1642,"-h"),TempDelta[],4,FALSE)</f>
        <v>2.5078571183340892</v>
      </c>
      <c r="R1642">
        <v>10</v>
      </c>
      <c r="S1642" s="112">
        <v>1500</v>
      </c>
      <c r="T1642" s="5">
        <f>VLOOKUP(TEXT(A1642,"yy-mm")&amp;"-"&amp;IF(AND(WEEKDAY(A1642)&gt;1,WEEKDAY(A1642)&lt;7),"Wkd",TEXT(A1642,"Ddd"))&amp;"-"&amp;TEXT(A1642,"hh"),LoadTable[],3,FALSE)*0.92</f>
        <v>291.12479999999999</v>
      </c>
      <c r="U1642" s="113">
        <f t="shared" si="1708"/>
        <v>29.112479999999998</v>
      </c>
      <c r="V1642">
        <f t="shared" ref="V1642:W1642" si="1751">V1618</f>
        <v>2.5</v>
      </c>
      <c r="W1642">
        <f t="shared" si="1751"/>
        <v>3.1</v>
      </c>
      <c r="X1642" s="9">
        <v>-3.4663565166666599</v>
      </c>
      <c r="Y1642" s="39"/>
    </row>
    <row r="1643" spans="1:25" ht="15" thickBot="1">
      <c r="A1643" s="150">
        <f t="shared" si="1690"/>
        <v>45904.333333331335</v>
      </c>
      <c r="B1643" s="30">
        <f t="shared" si="1717"/>
        <v>8000</v>
      </c>
      <c r="C1643" s="8">
        <v>25000</v>
      </c>
      <c r="D1643" s="187">
        <v>0</v>
      </c>
      <c r="E1643" s="187">
        <v>700</v>
      </c>
      <c r="F1643" s="187">
        <v>15000</v>
      </c>
      <c r="G1643" s="30">
        <f t="shared" si="1718"/>
        <v>2400</v>
      </c>
      <c r="H1643" s="8">
        <v>25000</v>
      </c>
      <c r="I1643" s="30">
        <f t="shared" si="1719"/>
        <v>8000</v>
      </c>
      <c r="J1643" s="187">
        <v>40000</v>
      </c>
      <c r="K1643" s="30">
        <f t="shared" si="1720"/>
        <v>8000</v>
      </c>
      <c r="L1643" s="187">
        <v>40000</v>
      </c>
      <c r="M1643" s="110">
        <v>9.5</v>
      </c>
      <c r="N1643" s="9">
        <f>VLOOKUP(DATE(YEAR(A1643),MONTH(A1643),DAY(A1643)),FY24_Temp[],3,FALSE)</f>
        <v>14.95</v>
      </c>
      <c r="O1643" s="110">
        <f t="shared" si="1706"/>
        <v>11.5</v>
      </c>
      <c r="P1643" s="110">
        <f t="shared" si="1707"/>
        <v>19.5</v>
      </c>
      <c r="Q1643" s="79">
        <f>VLOOKUP(VLOOKUP(DATEVALUE(TEXT(A1643,"m/d/yyyy")),FY24_Temp[],5,FALSE)&amp;TEXT(A1643,"-h"),TempDelta[],4,FALSE)</f>
        <v>2.3500000068119595</v>
      </c>
      <c r="R1643">
        <v>10</v>
      </c>
      <c r="S1643" s="112">
        <v>1500</v>
      </c>
      <c r="T1643" s="5">
        <f>VLOOKUP(TEXT(A1643,"yy-mm")&amp;"-"&amp;IF(AND(WEEKDAY(A1643)&gt;1,WEEKDAY(A1643)&lt;7),"Wkd",TEXT(A1643,"Ddd"))&amp;"-"&amp;TEXT(A1643,"hh"),LoadTable[],3,FALSE)*0.92</f>
        <v>291.12479999999999</v>
      </c>
      <c r="U1643" s="113">
        <f t="shared" si="1708"/>
        <v>29.112479999999998</v>
      </c>
      <c r="V1643">
        <f t="shared" ref="V1643:W1643" si="1752">V1619</f>
        <v>3.2</v>
      </c>
      <c r="W1643">
        <f t="shared" si="1752"/>
        <v>3</v>
      </c>
      <c r="X1643" s="9">
        <v>-3.54415106666666</v>
      </c>
      <c r="Y1643" s="39"/>
    </row>
    <row r="1644" spans="1:25" ht="15" thickBot="1">
      <c r="A1644" s="150">
        <f t="shared" si="1690"/>
        <v>45904.374999997999</v>
      </c>
      <c r="B1644" s="30">
        <f t="shared" si="1717"/>
        <v>8000</v>
      </c>
      <c r="C1644" s="8">
        <v>25000</v>
      </c>
      <c r="D1644" s="187">
        <v>0</v>
      </c>
      <c r="E1644" s="187">
        <v>700</v>
      </c>
      <c r="F1644" s="187">
        <v>15000</v>
      </c>
      <c r="G1644" s="30">
        <f t="shared" si="1718"/>
        <v>2400</v>
      </c>
      <c r="H1644" s="8">
        <v>25000</v>
      </c>
      <c r="I1644" s="30">
        <f t="shared" si="1719"/>
        <v>8000</v>
      </c>
      <c r="J1644" s="187">
        <v>40000</v>
      </c>
      <c r="K1644" s="30">
        <f t="shared" si="1720"/>
        <v>8000</v>
      </c>
      <c r="L1644" s="187">
        <v>40000</v>
      </c>
      <c r="M1644" s="110">
        <v>9.5</v>
      </c>
      <c r="N1644" s="9">
        <f>VLOOKUP(DATE(YEAR(A1644),MONTH(A1644),DAY(A1644)),FY24_Temp[],3,FALSE)</f>
        <v>14.95</v>
      </c>
      <c r="O1644" s="110">
        <f t="shared" si="1706"/>
        <v>11.5</v>
      </c>
      <c r="P1644" s="110">
        <f t="shared" si="1707"/>
        <v>19.5</v>
      </c>
      <c r="Q1644" s="79">
        <f>VLOOKUP(VLOOKUP(DATEVALUE(TEXT(A1644,"m/d/yyyy")),FY24_Temp[],5,FALSE)&amp;TEXT(A1644,"-h"),TempDelta[],4,FALSE)</f>
        <v>2.1847142832619801</v>
      </c>
      <c r="R1644">
        <v>10</v>
      </c>
      <c r="S1644" s="112">
        <v>1500</v>
      </c>
      <c r="T1644" s="5">
        <f>VLOOKUP(TEXT(A1644,"yy-mm")&amp;"-"&amp;IF(AND(WEEKDAY(A1644)&gt;1,WEEKDAY(A1644)&lt;7),"Wkd",TEXT(A1644,"Ddd"))&amp;"-"&amp;TEXT(A1644,"hh"),LoadTable[],3,FALSE)*0.92</f>
        <v>291.12479999999999</v>
      </c>
      <c r="U1644" s="113">
        <f t="shared" si="1708"/>
        <v>29.112479999999998</v>
      </c>
      <c r="V1644">
        <f t="shared" ref="V1644:W1644" si="1753">V1620</f>
        <v>2.9</v>
      </c>
      <c r="W1644">
        <f t="shared" si="1753"/>
        <v>3</v>
      </c>
      <c r="X1644" s="9">
        <v>-3.6219456166666602</v>
      </c>
      <c r="Y1644" s="39"/>
    </row>
    <row r="1645" spans="1:25" ht="15" thickBot="1">
      <c r="A1645" s="150">
        <f t="shared" si="1690"/>
        <v>45904.416666664663</v>
      </c>
      <c r="B1645" s="30">
        <f t="shared" si="1717"/>
        <v>8000</v>
      </c>
      <c r="C1645" s="8">
        <v>25000</v>
      </c>
      <c r="D1645" s="187">
        <v>0</v>
      </c>
      <c r="E1645" s="187">
        <v>700</v>
      </c>
      <c r="F1645" s="187">
        <v>15000</v>
      </c>
      <c r="G1645" s="30">
        <f t="shared" si="1718"/>
        <v>2400</v>
      </c>
      <c r="H1645" s="8">
        <v>25000</v>
      </c>
      <c r="I1645" s="30">
        <f t="shared" si="1719"/>
        <v>8000</v>
      </c>
      <c r="J1645" s="187">
        <v>40000</v>
      </c>
      <c r="K1645" s="30">
        <f t="shared" si="1720"/>
        <v>8000</v>
      </c>
      <c r="L1645" s="187">
        <v>40000</v>
      </c>
      <c r="M1645" s="110">
        <v>9.5</v>
      </c>
      <c r="N1645" s="9">
        <f>VLOOKUP(DATE(YEAR(A1645),MONTH(A1645),DAY(A1645)),FY24_Temp[],3,FALSE)</f>
        <v>14.95</v>
      </c>
      <c r="O1645" s="110">
        <f t="shared" si="1706"/>
        <v>11.5</v>
      </c>
      <c r="P1645" s="110">
        <f t="shared" si="1707"/>
        <v>19.5</v>
      </c>
      <c r="Q1645" s="79">
        <f>VLOOKUP(VLOOKUP(DATEVALUE(TEXT(A1645,"m/d/yyyy")),FY24_Temp[],5,FALSE)&amp;TEXT(A1645,"-h"),TempDelta[],4,FALSE)</f>
        <v>2.0077143056052074</v>
      </c>
      <c r="R1645">
        <v>10</v>
      </c>
      <c r="S1645" s="112">
        <v>1500</v>
      </c>
      <c r="T1645" s="5">
        <f>VLOOKUP(TEXT(A1645,"yy-mm")&amp;"-"&amp;IF(AND(WEEKDAY(A1645)&gt;1,WEEKDAY(A1645)&lt;7),"Wkd",TEXT(A1645,"Ddd"))&amp;"-"&amp;TEXT(A1645,"hh"),LoadTable[],3,FALSE)*0.92</f>
        <v>290.74956158350585</v>
      </c>
      <c r="U1645" s="113">
        <f t="shared" si="1708"/>
        <v>29.074956158350584</v>
      </c>
      <c r="V1645">
        <f t="shared" ref="V1645:W1645" si="1754">V1621</f>
        <v>2.9</v>
      </c>
      <c r="W1645">
        <f t="shared" si="1754"/>
        <v>3</v>
      </c>
      <c r="X1645" s="9">
        <v>-3.6997401666666598</v>
      </c>
      <c r="Y1645" s="39"/>
    </row>
    <row r="1646" spans="1:25" ht="15" thickBot="1">
      <c r="A1646" s="150">
        <f t="shared" si="1690"/>
        <v>45904.458333331328</v>
      </c>
      <c r="B1646" s="30">
        <f t="shared" si="1717"/>
        <v>8000</v>
      </c>
      <c r="C1646" s="8">
        <v>25000</v>
      </c>
      <c r="D1646" s="187">
        <v>0</v>
      </c>
      <c r="E1646" s="187">
        <v>700</v>
      </c>
      <c r="F1646" s="187">
        <v>15000</v>
      </c>
      <c r="G1646" s="30">
        <f t="shared" si="1718"/>
        <v>2400</v>
      </c>
      <c r="H1646" s="8">
        <v>25000</v>
      </c>
      <c r="I1646" s="30">
        <f t="shared" si="1719"/>
        <v>8000</v>
      </c>
      <c r="J1646" s="187">
        <v>40000</v>
      </c>
      <c r="K1646" s="30">
        <f t="shared" si="1720"/>
        <v>8000</v>
      </c>
      <c r="L1646" s="187">
        <v>40000</v>
      </c>
      <c r="M1646" s="110">
        <v>9.5</v>
      </c>
      <c r="N1646" s="9">
        <f>VLOOKUP(DATE(YEAR(A1646),MONTH(A1646),DAY(A1646)),FY24_Temp[],3,FALSE)</f>
        <v>14.95</v>
      </c>
      <c r="O1646" s="110">
        <f t="shared" si="1706"/>
        <v>11.5</v>
      </c>
      <c r="P1646" s="110">
        <f t="shared" si="1707"/>
        <v>19.5</v>
      </c>
      <c r="Q1646" s="79">
        <f>VLOOKUP(VLOOKUP(DATEVALUE(TEXT(A1646,"m/d/yyyy")),FY24_Temp[],5,FALSE)&amp;TEXT(A1646,"-h"),TempDelta[],4,FALSE)</f>
        <v>1.7969999824251448</v>
      </c>
      <c r="R1646">
        <v>10</v>
      </c>
      <c r="S1646" s="112">
        <v>1500</v>
      </c>
      <c r="T1646" s="5">
        <f>VLOOKUP(TEXT(A1646,"yy-mm")&amp;"-"&amp;IF(AND(WEEKDAY(A1646)&gt;1,WEEKDAY(A1646)&lt;7),"Wkd",TEXT(A1646,"Ddd"))&amp;"-"&amp;TEXT(A1646,"hh"),LoadTable[],3,FALSE)*0.92</f>
        <v>290.74956158350585</v>
      </c>
      <c r="U1646" s="113">
        <f t="shared" si="1708"/>
        <v>29.074956158350584</v>
      </c>
      <c r="V1646">
        <f t="shared" ref="V1646:W1646" si="1755">V1622</f>
        <v>3.4</v>
      </c>
      <c r="W1646">
        <f t="shared" si="1755"/>
        <v>3</v>
      </c>
      <c r="X1646" s="9">
        <v>-3.77753471666666</v>
      </c>
      <c r="Y1646" s="39"/>
    </row>
    <row r="1647" spans="1:25" ht="15" thickBot="1">
      <c r="A1647" s="150">
        <f t="shared" si="1690"/>
        <v>45904.499999997992</v>
      </c>
      <c r="B1647" s="30">
        <f t="shared" si="1717"/>
        <v>8000</v>
      </c>
      <c r="C1647" s="8">
        <v>25000</v>
      </c>
      <c r="D1647" s="187">
        <v>0</v>
      </c>
      <c r="E1647" s="187">
        <v>700</v>
      </c>
      <c r="F1647" s="187">
        <v>15000</v>
      </c>
      <c r="G1647" s="30">
        <f t="shared" si="1718"/>
        <v>2400</v>
      </c>
      <c r="H1647" s="8">
        <v>25000</v>
      </c>
      <c r="I1647" s="30">
        <f t="shared" si="1719"/>
        <v>8000</v>
      </c>
      <c r="J1647" s="187">
        <v>40000</v>
      </c>
      <c r="K1647" s="30">
        <f t="shared" si="1720"/>
        <v>8000</v>
      </c>
      <c r="L1647" s="187">
        <v>40000</v>
      </c>
      <c r="M1647" s="110">
        <v>9.5</v>
      </c>
      <c r="N1647" s="9">
        <f>VLOOKUP(DATE(YEAR(A1647),MONTH(A1647),DAY(A1647)),FY24_Temp[],3,FALSE)</f>
        <v>14.95</v>
      </c>
      <c r="O1647" s="110">
        <f t="shared" si="1706"/>
        <v>11.5</v>
      </c>
      <c r="P1647" s="110">
        <f t="shared" si="1707"/>
        <v>19.5</v>
      </c>
      <c r="Q1647" s="79">
        <f>VLOOKUP(VLOOKUP(DATEVALUE(TEXT(A1647,"m/d/yyyy")),FY24_Temp[],5,FALSE)&amp;TEXT(A1647,"-h"),TempDelta[],4,FALSE)</f>
        <v>1.5904285567147392</v>
      </c>
      <c r="R1647">
        <v>10</v>
      </c>
      <c r="S1647" s="112">
        <v>1500</v>
      </c>
      <c r="T1647" s="5">
        <f>VLOOKUP(TEXT(A1647,"yy-mm")&amp;"-"&amp;IF(AND(WEEKDAY(A1647)&gt;1,WEEKDAY(A1647)&lt;7),"Wkd",TEXT(A1647,"Ddd"))&amp;"-"&amp;TEXT(A1647,"hh"),LoadTable[],3,FALSE)*0.92</f>
        <v>290.74956158350585</v>
      </c>
      <c r="U1647" s="113">
        <f t="shared" si="1708"/>
        <v>29.074956158350584</v>
      </c>
      <c r="V1647">
        <f t="shared" ref="V1647:W1647" si="1756">V1623</f>
        <v>3.1</v>
      </c>
      <c r="W1647">
        <f t="shared" si="1756"/>
        <v>2.9</v>
      </c>
      <c r="X1647" s="9">
        <v>-3.8553292666666601</v>
      </c>
      <c r="Y1647" s="39"/>
    </row>
    <row r="1648" spans="1:25" ht="15" thickBot="1">
      <c r="A1648" s="150">
        <f t="shared" si="1690"/>
        <v>45904.541666664656</v>
      </c>
      <c r="B1648" s="30">
        <f t="shared" si="1717"/>
        <v>8000</v>
      </c>
      <c r="C1648" s="8">
        <v>25000</v>
      </c>
      <c r="D1648" s="187">
        <v>0</v>
      </c>
      <c r="E1648" s="187">
        <v>700</v>
      </c>
      <c r="F1648" s="187">
        <v>15000</v>
      </c>
      <c r="G1648" s="30">
        <f t="shared" si="1718"/>
        <v>2400</v>
      </c>
      <c r="H1648" s="8">
        <v>25000</v>
      </c>
      <c r="I1648" s="30">
        <f t="shared" si="1719"/>
        <v>8000</v>
      </c>
      <c r="J1648" s="187">
        <v>40000</v>
      </c>
      <c r="K1648" s="30">
        <f t="shared" si="1720"/>
        <v>8000</v>
      </c>
      <c r="L1648" s="187">
        <v>40000</v>
      </c>
      <c r="M1648" s="110">
        <v>9.5</v>
      </c>
      <c r="N1648" s="9">
        <f>VLOOKUP(DATE(YEAR(A1648),MONTH(A1648),DAY(A1648)),FY24_Temp[],3,FALSE)</f>
        <v>14.95</v>
      </c>
      <c r="O1648" s="110">
        <f t="shared" si="1706"/>
        <v>11.5</v>
      </c>
      <c r="P1648" s="110">
        <f t="shared" si="1707"/>
        <v>19.5</v>
      </c>
      <c r="Q1648" s="79">
        <f>VLOOKUP(VLOOKUP(DATEVALUE(TEXT(A1648,"m/d/yyyy")),FY24_Temp[],5,FALSE)&amp;TEXT(A1648,"-h"),TempDelta[],4,FALSE)</f>
        <v>1.3895714112690516</v>
      </c>
      <c r="R1648">
        <v>10</v>
      </c>
      <c r="S1648" s="112">
        <v>1500</v>
      </c>
      <c r="T1648" s="5">
        <f>VLOOKUP(TEXT(A1648,"yy-mm")&amp;"-"&amp;IF(AND(WEEKDAY(A1648)&gt;1,WEEKDAY(A1648)&lt;7),"Wkd",TEXT(A1648,"Ddd"))&amp;"-"&amp;TEXT(A1648,"hh"),LoadTable[],3,FALSE)*0.92</f>
        <v>290.72204920255348</v>
      </c>
      <c r="U1648" s="113">
        <f t="shared" si="1708"/>
        <v>29.072204920255349</v>
      </c>
      <c r="V1648">
        <f t="shared" ref="V1648:W1648" si="1757">V1624</f>
        <v>3.2</v>
      </c>
      <c r="W1648">
        <f t="shared" si="1757"/>
        <v>2.9</v>
      </c>
      <c r="X1648" s="9">
        <v>-3.9331238166666598</v>
      </c>
      <c r="Y1648" s="39"/>
    </row>
    <row r="1649" spans="1:25" ht="15" thickBot="1">
      <c r="A1649" s="150">
        <f t="shared" si="1690"/>
        <v>45904.58333333132</v>
      </c>
      <c r="B1649" s="30">
        <f t="shared" si="1717"/>
        <v>8000</v>
      </c>
      <c r="C1649" s="8">
        <v>25000</v>
      </c>
      <c r="D1649" s="187">
        <v>0</v>
      </c>
      <c r="E1649" s="187">
        <v>700</v>
      </c>
      <c r="F1649" s="187">
        <v>15000</v>
      </c>
      <c r="G1649" s="30">
        <f t="shared" si="1718"/>
        <v>2400</v>
      </c>
      <c r="H1649" s="8">
        <v>25000</v>
      </c>
      <c r="I1649" s="30">
        <f t="shared" si="1719"/>
        <v>8000</v>
      </c>
      <c r="J1649" s="187">
        <v>40000</v>
      </c>
      <c r="K1649" s="30">
        <f t="shared" si="1720"/>
        <v>8000</v>
      </c>
      <c r="L1649" s="187">
        <v>40000</v>
      </c>
      <c r="M1649" s="110">
        <v>9.5</v>
      </c>
      <c r="N1649" s="9">
        <f>VLOOKUP(DATE(YEAR(A1649),MONTH(A1649),DAY(A1649)),FY24_Temp[],3,FALSE)</f>
        <v>14.95</v>
      </c>
      <c r="O1649" s="110">
        <f t="shared" si="1706"/>
        <v>11.5</v>
      </c>
      <c r="P1649" s="110">
        <f t="shared" si="1707"/>
        <v>19.5</v>
      </c>
      <c r="Q1649" s="79">
        <f>VLOOKUP(VLOOKUP(DATEVALUE(TEXT(A1649,"m/d/yyyy")),FY24_Temp[],5,FALSE)&amp;TEXT(A1649,"-h"),TempDelta[],4,FALSE)</f>
        <v>0.96357142499514992</v>
      </c>
      <c r="R1649">
        <v>10</v>
      </c>
      <c r="S1649" s="112">
        <v>1500</v>
      </c>
      <c r="T1649" s="5">
        <f>VLOOKUP(TEXT(A1649,"yy-mm")&amp;"-"&amp;IF(AND(WEEKDAY(A1649)&gt;1,WEEKDAY(A1649)&lt;7),"Wkd",TEXT(A1649,"Ddd"))&amp;"-"&amp;TEXT(A1649,"hh"),LoadTable[],3,FALSE)*0.92</f>
        <v>363.28132000000005</v>
      </c>
      <c r="U1649" s="113">
        <f t="shared" si="1708"/>
        <v>36.328132000000004</v>
      </c>
      <c r="V1649">
        <f t="shared" ref="V1649:W1649" si="1758">V1625</f>
        <v>3.5</v>
      </c>
      <c r="W1649">
        <f t="shared" si="1758"/>
        <v>2.9</v>
      </c>
      <c r="X1649" s="9">
        <v>-4.0109183666666599</v>
      </c>
      <c r="Y1649" s="39"/>
    </row>
    <row r="1650" spans="1:25" ht="15" thickBot="1">
      <c r="A1650" s="150">
        <f t="shared" si="1690"/>
        <v>45904.624999997985</v>
      </c>
      <c r="B1650" s="30">
        <f t="shared" si="1717"/>
        <v>8000</v>
      </c>
      <c r="C1650" s="8">
        <v>25000</v>
      </c>
      <c r="D1650" s="187">
        <v>0</v>
      </c>
      <c r="E1650" s="187">
        <v>700</v>
      </c>
      <c r="F1650" s="187">
        <v>15000</v>
      </c>
      <c r="G1650" s="30">
        <f t="shared" si="1718"/>
        <v>2400</v>
      </c>
      <c r="H1650" s="8">
        <v>25000</v>
      </c>
      <c r="I1650" s="30">
        <f t="shared" si="1719"/>
        <v>8000</v>
      </c>
      <c r="J1650" s="187">
        <v>40000</v>
      </c>
      <c r="K1650" s="30">
        <f t="shared" si="1720"/>
        <v>8000</v>
      </c>
      <c r="L1650" s="187">
        <v>40000</v>
      </c>
      <c r="M1650" s="110">
        <v>9.5</v>
      </c>
      <c r="N1650" s="9">
        <f>VLOOKUP(DATE(YEAR(A1650),MONTH(A1650),DAY(A1650)),FY24_Temp[],3,FALSE)</f>
        <v>14.95</v>
      </c>
      <c r="O1650" s="110">
        <f t="shared" si="1706"/>
        <v>11.5</v>
      </c>
      <c r="P1650" s="110">
        <f t="shared" si="1707"/>
        <v>19.5</v>
      </c>
      <c r="Q1650" s="79">
        <f>VLOOKUP(VLOOKUP(DATEVALUE(TEXT(A1650,"m/d/yyyy")),FY24_Temp[],5,FALSE)&amp;TEXT(A1650,"-h"),TempDelta[],4,FALSE)</f>
        <v>0.84407143933432438</v>
      </c>
      <c r="R1650">
        <v>10</v>
      </c>
      <c r="S1650" s="112">
        <v>1500</v>
      </c>
      <c r="T1650" s="5">
        <f>VLOOKUP(TEXT(A1650,"yy-mm")&amp;"-"&amp;IF(AND(WEEKDAY(A1650)&gt;1,WEEKDAY(A1650)&lt;7),"Wkd",TEXT(A1650,"Ddd"))&amp;"-"&amp;TEXT(A1650,"hh"),LoadTable[],3,FALSE)*0.92</f>
        <v>570.3300004440199</v>
      </c>
      <c r="U1650" s="113">
        <f t="shared" si="1708"/>
        <v>57.033000044401987</v>
      </c>
      <c r="V1650">
        <f t="shared" ref="V1650:W1650" si="1759">V1626</f>
        <v>3.2</v>
      </c>
      <c r="W1650">
        <f t="shared" si="1759"/>
        <v>2.9</v>
      </c>
      <c r="X1650" s="9">
        <v>-4.08871291666666</v>
      </c>
      <c r="Y1650" s="39"/>
    </row>
    <row r="1651" spans="1:25" ht="15" thickBot="1">
      <c r="A1651" s="150">
        <f t="shared" si="1690"/>
        <v>45904.666666664649</v>
      </c>
      <c r="B1651" s="30">
        <f t="shared" si="1717"/>
        <v>8000</v>
      </c>
      <c r="C1651" s="8">
        <v>25000</v>
      </c>
      <c r="D1651" s="187">
        <v>0</v>
      </c>
      <c r="E1651" s="187">
        <v>700</v>
      </c>
      <c r="F1651" s="187">
        <v>15000</v>
      </c>
      <c r="G1651" s="30">
        <f t="shared" si="1718"/>
        <v>2400</v>
      </c>
      <c r="H1651" s="8">
        <v>25000</v>
      </c>
      <c r="I1651" s="30">
        <f t="shared" si="1719"/>
        <v>8000</v>
      </c>
      <c r="J1651" s="187">
        <v>40000</v>
      </c>
      <c r="K1651" s="30">
        <f t="shared" si="1720"/>
        <v>8000</v>
      </c>
      <c r="L1651" s="187">
        <v>40000</v>
      </c>
      <c r="M1651" s="110">
        <v>9.5</v>
      </c>
      <c r="N1651" s="9">
        <f>VLOOKUP(DATE(YEAR(A1651),MONTH(A1651),DAY(A1651)),FY24_Temp[],3,FALSE)</f>
        <v>14.95</v>
      </c>
      <c r="O1651" s="110">
        <f t="shared" si="1706"/>
        <v>11.5</v>
      </c>
      <c r="P1651" s="110">
        <f t="shared" si="1707"/>
        <v>19.5</v>
      </c>
      <c r="Q1651" s="79">
        <f>VLOOKUP(VLOOKUP(DATEVALUE(TEXT(A1651,"m/d/yyyy")),FY24_Temp[],5,FALSE)&amp;TEXT(A1651,"-h"),TempDelta[],4,FALSE)</f>
        <v>0.87021427069391522</v>
      </c>
      <c r="R1651">
        <v>10</v>
      </c>
      <c r="S1651" s="112">
        <v>1500</v>
      </c>
      <c r="T1651" s="5">
        <f>VLOOKUP(TEXT(A1651,"yy-mm")&amp;"-"&amp;IF(AND(WEEKDAY(A1651)&gt;1,WEEKDAY(A1651)&lt;7),"Wkd",TEXT(A1651,"Ddd"))&amp;"-"&amp;TEXT(A1651,"hh"),LoadTable[],3,FALSE)*0.92</f>
        <v>602.16876690131596</v>
      </c>
      <c r="U1651" s="113">
        <f t="shared" si="1708"/>
        <v>60.216876690131599</v>
      </c>
      <c r="V1651">
        <f t="shared" ref="V1651:W1651" si="1760">V1627</f>
        <v>3.5</v>
      </c>
      <c r="W1651">
        <f t="shared" si="1760"/>
        <v>3</v>
      </c>
      <c r="X1651" s="9">
        <v>-4.1665074666666602</v>
      </c>
      <c r="Y1651" s="39"/>
    </row>
    <row r="1652" spans="1:25" ht="15" thickBot="1">
      <c r="A1652" s="150">
        <f t="shared" si="1690"/>
        <v>45904.708333331313</v>
      </c>
      <c r="B1652" s="30">
        <f t="shared" si="1717"/>
        <v>8000</v>
      </c>
      <c r="C1652" s="8">
        <v>25000</v>
      </c>
      <c r="D1652" s="187">
        <v>0</v>
      </c>
      <c r="E1652" s="187">
        <v>700</v>
      </c>
      <c r="F1652" s="187">
        <v>15000</v>
      </c>
      <c r="G1652" s="30">
        <f t="shared" si="1718"/>
        <v>2400</v>
      </c>
      <c r="H1652" s="8">
        <v>25000</v>
      </c>
      <c r="I1652" s="30">
        <f t="shared" si="1719"/>
        <v>8000</v>
      </c>
      <c r="J1652" s="187">
        <v>40000</v>
      </c>
      <c r="K1652" s="30">
        <f t="shared" si="1720"/>
        <v>8000</v>
      </c>
      <c r="L1652" s="187">
        <v>40000</v>
      </c>
      <c r="M1652" s="110">
        <v>9.5</v>
      </c>
      <c r="N1652" s="9">
        <f>VLOOKUP(DATE(YEAR(A1652),MONTH(A1652),DAY(A1652)),FY24_Temp[],3,FALSE)</f>
        <v>14.95</v>
      </c>
      <c r="O1652" s="110">
        <f t="shared" si="1706"/>
        <v>11.5</v>
      </c>
      <c r="P1652" s="110">
        <f t="shared" si="1707"/>
        <v>19.5</v>
      </c>
      <c r="Q1652" s="79">
        <f>VLOOKUP(VLOOKUP(DATEVALUE(TEXT(A1652,"m/d/yyyy")),FY24_Temp[],5,FALSE)&amp;TEXT(A1652,"-h"),TempDelta[],4,FALSE)</f>
        <v>1.0735000031335014</v>
      </c>
      <c r="R1652">
        <v>10</v>
      </c>
      <c r="S1652" s="112">
        <v>1500</v>
      </c>
      <c r="T1652" s="5">
        <f>VLOOKUP(TEXT(A1652,"yy-mm")&amp;"-"&amp;IF(AND(WEEKDAY(A1652)&gt;1,WEEKDAY(A1652)&lt;7),"Wkd",TEXT(A1652,"Ddd"))&amp;"-"&amp;TEXT(A1652,"hh"),LoadTable[],3,FALSE)*0.92</f>
        <v>602.16876690131596</v>
      </c>
      <c r="U1652" s="113">
        <f t="shared" si="1708"/>
        <v>60.216876690131599</v>
      </c>
      <c r="V1652">
        <f t="shared" ref="V1652:W1652" si="1761">V1628</f>
        <v>3.6</v>
      </c>
      <c r="W1652">
        <f t="shared" si="1761"/>
        <v>3</v>
      </c>
      <c r="X1652" s="9">
        <v>-4.2443020166666603</v>
      </c>
      <c r="Y1652" s="39"/>
    </row>
    <row r="1653" spans="1:25" ht="15" thickBot="1">
      <c r="A1653" s="150">
        <f t="shared" ref="A1653:A1716" si="1762">A1652+TIME(1,0,0)</f>
        <v>45904.749999997977</v>
      </c>
      <c r="B1653" s="30">
        <f t="shared" si="1717"/>
        <v>5000</v>
      </c>
      <c r="C1653" s="8">
        <v>25000</v>
      </c>
      <c r="D1653" s="187">
        <v>0</v>
      </c>
      <c r="E1653" s="187">
        <v>700</v>
      </c>
      <c r="F1653" s="187">
        <v>15000</v>
      </c>
      <c r="G1653" s="30">
        <f t="shared" si="1718"/>
        <v>2400</v>
      </c>
      <c r="H1653" s="8">
        <v>25000</v>
      </c>
      <c r="I1653" s="30">
        <f t="shared" si="1719"/>
        <v>5000</v>
      </c>
      <c r="J1653" s="187">
        <v>40000</v>
      </c>
      <c r="K1653" s="30">
        <f t="shared" si="1720"/>
        <v>5000</v>
      </c>
      <c r="L1653" s="187">
        <v>40000</v>
      </c>
      <c r="M1653" s="110">
        <v>9.5</v>
      </c>
      <c r="N1653" s="9">
        <f>VLOOKUP(DATE(YEAR(A1653),MONTH(A1653),DAY(A1653)),FY24_Temp[],3,FALSE)</f>
        <v>14.95</v>
      </c>
      <c r="O1653" s="110">
        <f t="shared" si="1706"/>
        <v>11.5</v>
      </c>
      <c r="P1653" s="110">
        <f t="shared" si="1707"/>
        <v>19.5</v>
      </c>
      <c r="Q1653" s="79">
        <f>VLOOKUP(VLOOKUP(DATEVALUE(TEXT(A1653,"m/d/yyyy")),FY24_Temp[],5,FALSE)&amp;TEXT(A1653,"-h"),TempDelta[],4,FALSE)</f>
        <v>1.3760714275496346</v>
      </c>
      <c r="R1653">
        <v>10</v>
      </c>
      <c r="S1653" s="112">
        <v>1500</v>
      </c>
      <c r="T1653" s="5">
        <f>VLOOKUP(TEXT(A1653,"yy-mm")&amp;"-"&amp;IF(AND(WEEKDAY(A1653)&gt;1,WEEKDAY(A1653)&lt;7),"Wkd",TEXT(A1653,"Ddd"))&amp;"-"&amp;TEXT(A1653,"hh"),LoadTable[],3,FALSE)*0.92</f>
        <v>602.16876690131596</v>
      </c>
      <c r="U1653" s="113">
        <f t="shared" si="1708"/>
        <v>60.216876690131599</v>
      </c>
      <c r="V1653">
        <f t="shared" ref="V1653:W1653" si="1763">V1629</f>
        <v>2.9</v>
      </c>
      <c r="W1653">
        <f t="shared" si="1763"/>
        <v>3</v>
      </c>
      <c r="X1653" s="9">
        <v>-4.3220965666666604</v>
      </c>
      <c r="Y1653" s="39"/>
    </row>
    <row r="1654" spans="1:25" ht="15" thickBot="1">
      <c r="A1654" s="150">
        <f t="shared" si="1762"/>
        <v>45904.791666664642</v>
      </c>
      <c r="B1654" s="30">
        <f t="shared" si="1717"/>
        <v>5000</v>
      </c>
      <c r="C1654" s="8">
        <v>25000</v>
      </c>
      <c r="D1654" s="187">
        <v>0</v>
      </c>
      <c r="E1654" s="187">
        <v>700</v>
      </c>
      <c r="F1654" s="187">
        <v>15000</v>
      </c>
      <c r="G1654" s="30">
        <f t="shared" si="1718"/>
        <v>2400</v>
      </c>
      <c r="H1654" s="8">
        <v>25000</v>
      </c>
      <c r="I1654" s="30">
        <f t="shared" si="1719"/>
        <v>5000</v>
      </c>
      <c r="J1654" s="187">
        <v>40000</v>
      </c>
      <c r="K1654" s="30">
        <f t="shared" si="1720"/>
        <v>5000</v>
      </c>
      <c r="L1654" s="187">
        <v>40000</v>
      </c>
      <c r="M1654" s="110">
        <v>9.5</v>
      </c>
      <c r="N1654" s="9">
        <f>VLOOKUP(DATE(YEAR(A1654),MONTH(A1654),DAY(A1654)),FY24_Temp[],3,FALSE)</f>
        <v>14.95</v>
      </c>
      <c r="O1654" s="110">
        <f t="shared" si="1706"/>
        <v>11.5</v>
      </c>
      <c r="P1654" s="110">
        <f t="shared" si="1707"/>
        <v>19.5</v>
      </c>
      <c r="Q1654" s="79">
        <f>VLOOKUP(VLOOKUP(DATEVALUE(TEXT(A1654,"m/d/yyyy")),FY24_Temp[],5,FALSE)&amp;TEXT(A1654,"-h"),TempDelta[],4,FALSE)</f>
        <v>1.5774285623005457</v>
      </c>
      <c r="R1654">
        <v>10</v>
      </c>
      <c r="S1654" s="112">
        <v>1500</v>
      </c>
      <c r="T1654" s="5">
        <f>VLOOKUP(TEXT(A1654,"yy-mm")&amp;"-"&amp;IF(AND(WEEKDAY(A1654)&gt;1,WEEKDAY(A1654)&lt;7),"Wkd",TEXT(A1654,"Ddd"))&amp;"-"&amp;TEXT(A1654,"hh"),LoadTable[],3,FALSE)*0.92</f>
        <v>600.14662419619219</v>
      </c>
      <c r="U1654" s="113">
        <f t="shared" si="1708"/>
        <v>60.014662419619221</v>
      </c>
      <c r="V1654">
        <f t="shared" ref="V1654:W1654" si="1764">V1630</f>
        <v>3</v>
      </c>
      <c r="W1654">
        <f t="shared" si="1764"/>
        <v>3</v>
      </c>
      <c r="X1654" s="9">
        <v>-4.3998911166666597</v>
      </c>
      <c r="Y1654" s="39"/>
    </row>
    <row r="1655" spans="1:25" ht="15" thickBot="1">
      <c r="A1655" s="150">
        <f t="shared" si="1762"/>
        <v>45904.833333331306</v>
      </c>
      <c r="B1655" s="30">
        <f t="shared" si="1717"/>
        <v>5000</v>
      </c>
      <c r="C1655" s="8">
        <v>25000</v>
      </c>
      <c r="D1655" s="187">
        <v>0</v>
      </c>
      <c r="E1655" s="187">
        <v>700</v>
      </c>
      <c r="F1655" s="187">
        <v>15000</v>
      </c>
      <c r="G1655" s="30">
        <f t="shared" si="1718"/>
        <v>2400</v>
      </c>
      <c r="H1655" s="8">
        <v>25000</v>
      </c>
      <c r="I1655" s="30">
        <f t="shared" si="1719"/>
        <v>5000</v>
      </c>
      <c r="J1655" s="187">
        <v>40000</v>
      </c>
      <c r="K1655" s="30">
        <f t="shared" si="1720"/>
        <v>5000</v>
      </c>
      <c r="L1655" s="187">
        <v>40000</v>
      </c>
      <c r="M1655" s="110">
        <v>9.5</v>
      </c>
      <c r="N1655" s="9">
        <f>VLOOKUP(DATE(YEAR(A1655),MONTH(A1655),DAY(A1655)),FY24_Temp[],3,FALSE)</f>
        <v>14.95</v>
      </c>
      <c r="O1655" s="110">
        <f t="shared" si="1706"/>
        <v>11.5</v>
      </c>
      <c r="P1655" s="110">
        <f t="shared" si="1707"/>
        <v>19.5</v>
      </c>
      <c r="Q1655" s="79">
        <f>VLOOKUP(VLOOKUP(DATEVALUE(TEXT(A1655,"m/d/yyyy")),FY24_Temp[],5,FALSE)&amp;TEXT(A1655,"-h"),TempDelta[],4,FALSE)</f>
        <v>1.776142852646964</v>
      </c>
      <c r="R1655">
        <v>10</v>
      </c>
      <c r="S1655" s="112">
        <v>1500</v>
      </c>
      <c r="T1655" s="5">
        <f>VLOOKUP(TEXT(A1655,"yy-mm")&amp;"-"&amp;IF(AND(WEEKDAY(A1655)&gt;1,WEEKDAY(A1655)&lt;7),"Wkd",TEXT(A1655,"Ddd"))&amp;"-"&amp;TEXT(A1655,"hh"),LoadTable[],3,FALSE)*0.92</f>
        <v>600.14662419619219</v>
      </c>
      <c r="U1655" s="113">
        <f t="shared" si="1708"/>
        <v>60.014662419619221</v>
      </c>
      <c r="V1655">
        <f t="shared" ref="V1655:W1655" si="1765">V1631</f>
        <v>2.8</v>
      </c>
      <c r="W1655">
        <f t="shared" si="1765"/>
        <v>3.1</v>
      </c>
      <c r="X1655" s="9">
        <v>-4.4776856666666598</v>
      </c>
      <c r="Y1655" s="39"/>
    </row>
    <row r="1656" spans="1:25" ht="15" thickBot="1">
      <c r="A1656" s="150">
        <f t="shared" si="1762"/>
        <v>45904.87499999797</v>
      </c>
      <c r="B1656" s="30">
        <f t="shared" si="1717"/>
        <v>5000</v>
      </c>
      <c r="C1656" s="8">
        <v>25000</v>
      </c>
      <c r="D1656" s="187">
        <v>0</v>
      </c>
      <c r="E1656" s="187">
        <v>700</v>
      </c>
      <c r="F1656" s="187">
        <v>15000</v>
      </c>
      <c r="G1656" s="30">
        <f t="shared" si="1718"/>
        <v>2400</v>
      </c>
      <c r="H1656" s="8">
        <v>25000</v>
      </c>
      <c r="I1656" s="30">
        <f t="shared" si="1719"/>
        <v>5000</v>
      </c>
      <c r="J1656" s="187">
        <v>40000</v>
      </c>
      <c r="K1656" s="30">
        <f t="shared" si="1720"/>
        <v>5000</v>
      </c>
      <c r="L1656" s="187">
        <v>40000</v>
      </c>
      <c r="M1656" s="110">
        <v>9.5</v>
      </c>
      <c r="N1656" s="9">
        <f>VLOOKUP(DATE(YEAR(A1656),MONTH(A1656),DAY(A1656)),FY24_Temp[],3,FALSE)</f>
        <v>14.95</v>
      </c>
      <c r="O1656" s="110">
        <f t="shared" si="1706"/>
        <v>11.5</v>
      </c>
      <c r="P1656" s="110">
        <f t="shared" si="1707"/>
        <v>19.5</v>
      </c>
      <c r="Q1656" s="79">
        <f>VLOOKUP(VLOOKUP(DATEVALUE(TEXT(A1656,"m/d/yyyy")),FY24_Temp[],5,FALSE)&amp;TEXT(A1656,"-h"),TempDelta[],4,FALSE)</f>
        <v>1.8817142588751656</v>
      </c>
      <c r="R1656">
        <v>10</v>
      </c>
      <c r="S1656" s="112">
        <v>1500</v>
      </c>
      <c r="T1656" s="5">
        <f>VLOOKUP(TEXT(A1656,"yy-mm")&amp;"-"&amp;IF(AND(WEEKDAY(A1656)&gt;1,WEEKDAY(A1656)&lt;7),"Wkd",TEXT(A1656,"Ddd"))&amp;"-"&amp;TEXT(A1656,"hh"),LoadTable[],3,FALSE)*0.92</f>
        <v>523.94879142973434</v>
      </c>
      <c r="U1656" s="113">
        <f t="shared" si="1708"/>
        <v>52.394879142973437</v>
      </c>
      <c r="V1656">
        <f t="shared" ref="V1656:W1656" si="1766">V1632</f>
        <v>3.5</v>
      </c>
      <c r="W1656">
        <f t="shared" si="1766"/>
        <v>3.1</v>
      </c>
      <c r="X1656" s="9">
        <v>-4.5554802166666599</v>
      </c>
      <c r="Y1656" s="39"/>
    </row>
    <row r="1657" spans="1:25" ht="15" thickBot="1">
      <c r="A1657" s="150">
        <f t="shared" si="1762"/>
        <v>45904.916666664634</v>
      </c>
      <c r="B1657" s="30">
        <f t="shared" si="1717"/>
        <v>5000</v>
      </c>
      <c r="C1657" s="8">
        <v>25000</v>
      </c>
      <c r="D1657" s="187">
        <v>0</v>
      </c>
      <c r="E1657" s="187">
        <v>700</v>
      </c>
      <c r="F1657" s="187">
        <v>15000</v>
      </c>
      <c r="G1657" s="30">
        <f t="shared" si="1718"/>
        <v>2400</v>
      </c>
      <c r="H1657" s="8">
        <v>25000</v>
      </c>
      <c r="I1657" s="30">
        <f t="shared" si="1719"/>
        <v>5000</v>
      </c>
      <c r="J1657" s="187">
        <v>40000</v>
      </c>
      <c r="K1657" s="30">
        <f t="shared" si="1720"/>
        <v>5000</v>
      </c>
      <c r="L1657" s="187">
        <v>40000</v>
      </c>
      <c r="M1657" s="110">
        <v>9.5</v>
      </c>
      <c r="N1657" s="9">
        <f>VLOOKUP(DATE(YEAR(A1657),MONTH(A1657),DAY(A1657)),FY24_Temp[],3,FALSE)</f>
        <v>14.95</v>
      </c>
      <c r="O1657" s="110">
        <f t="shared" si="1706"/>
        <v>11.5</v>
      </c>
      <c r="P1657" s="110">
        <f t="shared" si="1707"/>
        <v>19.5</v>
      </c>
      <c r="Q1657" s="79">
        <f>VLOOKUP(VLOOKUP(DATEVALUE(TEXT(A1657,"m/d/yyyy")),FY24_Temp[],5,FALSE)&amp;TEXT(A1657,"-h"),TempDelta[],4,FALSE)</f>
        <v>2.2282856873103549</v>
      </c>
      <c r="R1657">
        <v>10</v>
      </c>
      <c r="S1657" s="112">
        <v>1500</v>
      </c>
      <c r="T1657" s="5">
        <f>VLOOKUP(TEXT(A1657,"yy-mm")&amp;"-"&amp;IF(AND(WEEKDAY(A1657)&gt;1,WEEKDAY(A1657)&lt;7),"Wkd",TEXT(A1657,"Ddd"))&amp;"-"&amp;TEXT(A1657,"hh"),LoadTable[],3,FALSE)*0.92</f>
        <v>421.91858468239752</v>
      </c>
      <c r="U1657" s="113">
        <f t="shared" si="1708"/>
        <v>42.191858468239751</v>
      </c>
      <c r="V1657">
        <f t="shared" ref="V1657:W1657" si="1767">V1633</f>
        <v>2.9</v>
      </c>
      <c r="W1657">
        <f t="shared" si="1767"/>
        <v>3.1</v>
      </c>
      <c r="X1657" s="9">
        <v>-4.63327476666666</v>
      </c>
      <c r="Y1657" s="39"/>
    </row>
    <row r="1658" spans="1:25" ht="15" thickBot="1">
      <c r="A1658" s="150">
        <f t="shared" si="1762"/>
        <v>45904.958333331298</v>
      </c>
      <c r="B1658" s="30">
        <f t="shared" si="1717"/>
        <v>5000</v>
      </c>
      <c r="C1658" s="41">
        <v>25000</v>
      </c>
      <c r="D1658" s="187">
        <v>0</v>
      </c>
      <c r="E1658" s="187">
        <v>700</v>
      </c>
      <c r="F1658" s="187">
        <v>15000</v>
      </c>
      <c r="G1658" s="30">
        <f t="shared" si="1718"/>
        <v>2400</v>
      </c>
      <c r="H1658" s="8">
        <v>25000</v>
      </c>
      <c r="I1658" s="30">
        <f t="shared" si="1719"/>
        <v>5000</v>
      </c>
      <c r="J1658" s="187">
        <v>40000</v>
      </c>
      <c r="K1658" s="30">
        <f t="shared" si="1720"/>
        <v>5000</v>
      </c>
      <c r="L1658" s="187">
        <v>40000</v>
      </c>
      <c r="M1658" s="110">
        <v>9.5</v>
      </c>
      <c r="N1658" s="9">
        <f>VLOOKUP(DATE(YEAR(A1658),MONTH(A1658),DAY(A1658)),FY24_Temp[],3,FALSE)</f>
        <v>14.95</v>
      </c>
      <c r="O1658" s="110">
        <f t="shared" si="1706"/>
        <v>11.5</v>
      </c>
      <c r="P1658" s="110">
        <f t="shared" si="1707"/>
        <v>19.5</v>
      </c>
      <c r="Q1658" s="79">
        <f>VLOOKUP(VLOOKUP(DATEVALUE(TEXT(A1658,"m/d/yyyy")),FY24_Temp[],5,FALSE)&amp;TEXT(A1658,"-h"),TempDelta[],4,FALSE)</f>
        <v>2.3557142189570834</v>
      </c>
      <c r="R1658">
        <v>10</v>
      </c>
      <c r="S1658" s="112">
        <v>1500</v>
      </c>
      <c r="T1658" s="5">
        <f>VLOOKUP(TEXT(A1658,"yy-mm")&amp;"-"&amp;IF(AND(WEEKDAY(A1658)&gt;1,WEEKDAY(A1658)&lt;7),"Wkd",TEXT(A1658,"Ddd"))&amp;"-"&amp;TEXT(A1658,"hh"),LoadTable[],3,FALSE)*0.92</f>
        <v>289.33527113913209</v>
      </c>
      <c r="U1658" s="113">
        <f t="shared" si="1708"/>
        <v>28.933527113913208</v>
      </c>
      <c r="V1658">
        <f t="shared" ref="V1658:W1658" si="1768">V1634</f>
        <v>3.6</v>
      </c>
      <c r="W1658">
        <f t="shared" si="1768"/>
        <v>3.1</v>
      </c>
      <c r="X1658" s="9">
        <v>-4.7110693166666602</v>
      </c>
      <c r="Y1658" s="39"/>
    </row>
    <row r="1659" spans="1:25" ht="15" thickBot="1">
      <c r="A1659" s="148">
        <f t="shared" si="1762"/>
        <v>45904.999999997963</v>
      </c>
      <c r="B1659" s="116">
        <f t="shared" si="1717"/>
        <v>5000</v>
      </c>
      <c r="C1659" s="8">
        <v>25000</v>
      </c>
      <c r="D1659" s="187">
        <v>0</v>
      </c>
      <c r="E1659" s="187">
        <v>700</v>
      </c>
      <c r="F1659" s="187">
        <v>15000</v>
      </c>
      <c r="G1659" s="109">
        <f t="shared" si="1718"/>
        <v>2400</v>
      </c>
      <c r="H1659" s="109">
        <v>25000</v>
      </c>
      <c r="I1659" s="30">
        <f t="shared" si="1719"/>
        <v>5000</v>
      </c>
      <c r="J1659" s="187">
        <v>40000</v>
      </c>
      <c r="K1659" s="109">
        <f t="shared" si="1720"/>
        <v>5000</v>
      </c>
      <c r="L1659" s="187">
        <v>40000</v>
      </c>
      <c r="M1659" s="110">
        <v>9.5</v>
      </c>
      <c r="N1659" s="110">
        <f>VLOOKUP(DATE(YEAR(A1659),MONTH(A1659),DAY(A1659)),FY24_Temp[],3,FALSE)</f>
        <v>14.95</v>
      </c>
      <c r="O1659" s="110">
        <f t="shared" si="1706"/>
        <v>11.5</v>
      </c>
      <c r="P1659" s="110">
        <f t="shared" si="1707"/>
        <v>19.5</v>
      </c>
      <c r="Q1659" s="111">
        <f>VLOOKUP(VLOOKUP(DATEVALUE(TEXT(A1659,"m/d/yyyy")),FY24_Temp[],5,FALSE)&amp;TEXT(A1659,"-h"),TempDelta[],4,FALSE)</f>
        <v>2.160285702773503</v>
      </c>
      <c r="R1659" s="112">
        <v>10</v>
      </c>
      <c r="S1659" s="112">
        <v>1500</v>
      </c>
      <c r="T1659" s="99">
        <f>VLOOKUP(TEXT(A1659,"yy-mm")&amp;"-"&amp;IF(AND(WEEKDAY(A1659)&gt;1,WEEKDAY(A1659)&lt;7),"Wkd",TEXT(A1659,"Ddd"))&amp;"-"&amp;TEXT(A1659,"hh"),LoadTable[],3,FALSE)*0.92</f>
        <v>289.0624787084426</v>
      </c>
      <c r="U1659" s="113">
        <f t="shared" si="1708"/>
        <v>28.906247870844261</v>
      </c>
      <c r="V1659" s="112">
        <f t="shared" ref="V1659:W1659" si="1769">V1635</f>
        <v>3</v>
      </c>
      <c r="W1659" s="112">
        <f t="shared" si="1769"/>
        <v>3.2</v>
      </c>
      <c r="X1659" s="114">
        <v>-4.7888638666666603</v>
      </c>
      <c r="Y1659" s="39"/>
    </row>
    <row r="1660" spans="1:25" ht="15" thickBot="1">
      <c r="A1660" s="149">
        <f t="shared" si="1762"/>
        <v>45905.041666664627</v>
      </c>
      <c r="B1660" s="30">
        <f t="shared" si="1717"/>
        <v>5000</v>
      </c>
      <c r="C1660" s="42">
        <v>25000</v>
      </c>
      <c r="D1660" s="187">
        <v>0</v>
      </c>
      <c r="E1660" s="187">
        <v>700</v>
      </c>
      <c r="F1660" s="187">
        <v>15000</v>
      </c>
      <c r="G1660" s="30">
        <f t="shared" si="1718"/>
        <v>2400</v>
      </c>
      <c r="H1660" s="8">
        <v>25000</v>
      </c>
      <c r="I1660" s="30">
        <f t="shared" si="1719"/>
        <v>5000</v>
      </c>
      <c r="J1660" s="187">
        <v>40000</v>
      </c>
      <c r="K1660" s="30">
        <f t="shared" si="1720"/>
        <v>5000</v>
      </c>
      <c r="L1660" s="187">
        <v>40000</v>
      </c>
      <c r="M1660" s="110">
        <v>9.5</v>
      </c>
      <c r="N1660" s="9">
        <f>VLOOKUP(DATE(YEAR(A1660),MONTH(A1660),DAY(A1660)),FY24_Temp[],3,FALSE)</f>
        <v>14.95</v>
      </c>
      <c r="O1660" s="110">
        <f t="shared" si="1706"/>
        <v>11.5</v>
      </c>
      <c r="P1660" s="110">
        <f t="shared" si="1707"/>
        <v>19.5</v>
      </c>
      <c r="Q1660" s="79">
        <f>VLOOKUP(VLOOKUP(DATEVALUE(TEXT(A1660,"m/d/yyyy")),FY24_Temp[],5,FALSE)&amp;TEXT(A1660,"-h"),TempDelta[],4,FALSE)</f>
        <v>2.4718571390424455</v>
      </c>
      <c r="R1660">
        <v>10</v>
      </c>
      <c r="S1660" s="112">
        <v>1500</v>
      </c>
      <c r="T1660" s="5">
        <f>VLOOKUP(TEXT(A1660,"yy-mm")&amp;"-"&amp;IF(AND(WEEKDAY(A1660)&gt;1,WEEKDAY(A1660)&lt;7),"Wkd",TEXT(A1660,"Ddd"))&amp;"-"&amp;TEXT(A1660,"hh"),LoadTable[],3,FALSE)*0.92</f>
        <v>289.0624787084426</v>
      </c>
      <c r="U1660" s="113">
        <f t="shared" si="1708"/>
        <v>28.906247870844261</v>
      </c>
      <c r="V1660">
        <f t="shared" ref="V1660:W1660" si="1770">V1636</f>
        <v>2.6</v>
      </c>
      <c r="W1660">
        <f t="shared" si="1770"/>
        <v>3.2</v>
      </c>
      <c r="X1660" s="9">
        <v>-4.8666584166666604</v>
      </c>
      <c r="Y1660" s="39"/>
    </row>
    <row r="1661" spans="1:25" ht="15" thickBot="1">
      <c r="A1661" s="149">
        <f t="shared" si="1762"/>
        <v>45905.083333331291</v>
      </c>
      <c r="B1661" s="30">
        <f t="shared" si="1717"/>
        <v>5000</v>
      </c>
      <c r="C1661" s="8">
        <v>25000</v>
      </c>
      <c r="D1661" s="187">
        <v>0</v>
      </c>
      <c r="E1661" s="187">
        <v>700</v>
      </c>
      <c r="F1661" s="187">
        <v>15000</v>
      </c>
      <c r="G1661" s="30">
        <f t="shared" si="1718"/>
        <v>2400</v>
      </c>
      <c r="H1661" s="8">
        <v>25000</v>
      </c>
      <c r="I1661" s="30">
        <f t="shared" si="1719"/>
        <v>5000</v>
      </c>
      <c r="J1661" s="187">
        <v>40000</v>
      </c>
      <c r="K1661" s="30">
        <f t="shared" si="1720"/>
        <v>5000</v>
      </c>
      <c r="L1661" s="187">
        <v>40000</v>
      </c>
      <c r="M1661" s="110">
        <v>9.5</v>
      </c>
      <c r="N1661" s="9">
        <f>VLOOKUP(DATE(YEAR(A1661),MONTH(A1661),DAY(A1661)),FY24_Temp[],3,FALSE)</f>
        <v>14.95</v>
      </c>
      <c r="O1661" s="110">
        <f t="shared" si="1706"/>
        <v>11.5</v>
      </c>
      <c r="P1661" s="110">
        <f t="shared" si="1707"/>
        <v>19.5</v>
      </c>
      <c r="Q1661" s="79">
        <f>VLOOKUP(VLOOKUP(DATEVALUE(TEXT(A1661,"m/d/yyyy")),FY24_Temp[],5,FALSE)&amp;TEXT(A1661,"-h"),TempDelta[],4,FALSE)</f>
        <v>2.5034285613468716</v>
      </c>
      <c r="R1661">
        <v>10</v>
      </c>
      <c r="S1661" s="112">
        <v>1500</v>
      </c>
      <c r="T1661" s="5">
        <f>VLOOKUP(TEXT(A1661,"yy-mm")&amp;"-"&amp;IF(AND(WEEKDAY(A1661)&gt;1,WEEKDAY(A1661)&lt;7),"Wkd",TEXT(A1661,"Ddd"))&amp;"-"&amp;TEXT(A1661,"hh"),LoadTable[],3,FALSE)*0.92</f>
        <v>289.0624787084426</v>
      </c>
      <c r="U1661" s="113">
        <f t="shared" si="1708"/>
        <v>28.906247870844261</v>
      </c>
      <c r="V1661">
        <f t="shared" ref="V1661:W1661" si="1771">V1637</f>
        <v>2.8</v>
      </c>
      <c r="W1661">
        <f t="shared" si="1771"/>
        <v>3.2</v>
      </c>
      <c r="X1661" s="9">
        <v>-4.9444529666666597</v>
      </c>
      <c r="Y1661" s="39"/>
    </row>
    <row r="1662" spans="1:25" ht="15" thickBot="1">
      <c r="A1662" s="149">
        <f t="shared" si="1762"/>
        <v>45905.124999997955</v>
      </c>
      <c r="B1662" s="30">
        <f t="shared" si="1717"/>
        <v>5000</v>
      </c>
      <c r="C1662" s="8">
        <v>25000</v>
      </c>
      <c r="D1662" s="187">
        <v>0</v>
      </c>
      <c r="E1662" s="187">
        <v>700</v>
      </c>
      <c r="F1662" s="187">
        <v>15000</v>
      </c>
      <c r="G1662" s="30">
        <f t="shared" si="1718"/>
        <v>2400</v>
      </c>
      <c r="H1662" s="8">
        <v>25000</v>
      </c>
      <c r="I1662" s="30">
        <f t="shared" si="1719"/>
        <v>5000</v>
      </c>
      <c r="J1662" s="187">
        <v>40000</v>
      </c>
      <c r="K1662" s="30">
        <f t="shared" si="1720"/>
        <v>5000</v>
      </c>
      <c r="L1662" s="187">
        <v>40000</v>
      </c>
      <c r="M1662" s="110">
        <v>9.5</v>
      </c>
      <c r="N1662" s="9">
        <f>VLOOKUP(DATE(YEAR(A1662),MONTH(A1662),DAY(A1662)),FY24_Temp[],3,FALSE)</f>
        <v>14.95</v>
      </c>
      <c r="O1662" s="110">
        <f t="shared" si="1706"/>
        <v>11.5</v>
      </c>
      <c r="P1662" s="110">
        <f t="shared" si="1707"/>
        <v>19.5</v>
      </c>
      <c r="Q1662" s="79">
        <f>VLOOKUP(VLOOKUP(DATEVALUE(TEXT(A1662,"m/d/yyyy")),FY24_Temp[],5,FALSE)&amp;TEXT(A1662,"-h"),TempDelta[],4,FALSE)</f>
        <v>2.5060000419616699</v>
      </c>
      <c r="R1662">
        <v>10</v>
      </c>
      <c r="S1662" s="112">
        <v>1500</v>
      </c>
      <c r="T1662" s="5">
        <f>VLOOKUP(TEXT(A1662,"yy-mm")&amp;"-"&amp;IF(AND(WEEKDAY(A1662)&gt;1,WEEKDAY(A1662)&lt;7),"Wkd",TEXT(A1662,"Ddd"))&amp;"-"&amp;TEXT(A1662,"hh"),LoadTable[],3,FALSE)*0.92</f>
        <v>289.05894152419745</v>
      </c>
      <c r="U1662" s="113">
        <f t="shared" si="1708"/>
        <v>28.905894152419744</v>
      </c>
      <c r="V1662">
        <f t="shared" ref="V1662:W1662" si="1772">V1638</f>
        <v>2.7</v>
      </c>
      <c r="W1662">
        <f t="shared" si="1772"/>
        <v>3.2</v>
      </c>
      <c r="X1662" s="9">
        <v>-5.0222475166666598</v>
      </c>
      <c r="Y1662" s="39"/>
    </row>
    <row r="1663" spans="1:25" ht="15" thickBot="1">
      <c r="A1663" s="149">
        <f t="shared" si="1762"/>
        <v>45905.16666666462</v>
      </c>
      <c r="B1663" s="30">
        <f t="shared" si="1717"/>
        <v>5000</v>
      </c>
      <c r="C1663" s="8">
        <v>25000</v>
      </c>
      <c r="D1663" s="187">
        <v>0</v>
      </c>
      <c r="E1663" s="187">
        <v>700</v>
      </c>
      <c r="F1663" s="187">
        <v>15000</v>
      </c>
      <c r="G1663" s="30">
        <f t="shared" si="1718"/>
        <v>2400</v>
      </c>
      <c r="H1663" s="8">
        <v>25000</v>
      </c>
      <c r="I1663" s="30">
        <f t="shared" si="1719"/>
        <v>5000</v>
      </c>
      <c r="J1663" s="187">
        <v>40000</v>
      </c>
      <c r="K1663" s="30">
        <f t="shared" si="1720"/>
        <v>5000</v>
      </c>
      <c r="L1663" s="187">
        <v>40000</v>
      </c>
      <c r="M1663" s="110">
        <v>9.5</v>
      </c>
      <c r="N1663" s="9">
        <f>VLOOKUP(DATE(YEAR(A1663),MONTH(A1663),DAY(A1663)),FY24_Temp[],3,FALSE)</f>
        <v>14.95</v>
      </c>
      <c r="O1663" s="110">
        <f t="shared" si="1706"/>
        <v>11.5</v>
      </c>
      <c r="P1663" s="110">
        <f t="shared" si="1707"/>
        <v>19.5</v>
      </c>
      <c r="Q1663" s="79">
        <f>VLOOKUP(VLOOKUP(DATEVALUE(TEXT(A1663,"m/d/yyyy")),FY24_Temp[],5,FALSE)&amp;TEXT(A1663,"-h"),TempDelta[],4,FALSE)</f>
        <v>2.5351428644997731</v>
      </c>
      <c r="R1663">
        <v>10</v>
      </c>
      <c r="S1663" s="112">
        <v>1500</v>
      </c>
      <c r="T1663" s="5">
        <f>VLOOKUP(TEXT(A1663,"yy-mm")&amp;"-"&amp;IF(AND(WEEKDAY(A1663)&gt;1,WEEKDAY(A1663)&lt;7),"Wkd",TEXT(A1663,"Ddd"))&amp;"-"&amp;TEXT(A1663,"hh"),LoadTable[],3,FALSE)*0.92</f>
        <v>289.05894152419745</v>
      </c>
      <c r="U1663" s="113">
        <f t="shared" si="1708"/>
        <v>28.905894152419744</v>
      </c>
      <c r="V1663">
        <f t="shared" ref="V1663:W1663" si="1773">V1639</f>
        <v>3</v>
      </c>
      <c r="W1663">
        <f t="shared" si="1773"/>
        <v>3.1</v>
      </c>
      <c r="X1663" s="9">
        <v>-5.1000420666666599</v>
      </c>
      <c r="Y1663" s="39"/>
    </row>
    <row r="1664" spans="1:25" ht="15" thickBot="1">
      <c r="A1664" s="149">
        <f t="shared" si="1762"/>
        <v>45905.208333331284</v>
      </c>
      <c r="B1664" s="30">
        <f t="shared" si="1717"/>
        <v>5000</v>
      </c>
      <c r="C1664" s="8">
        <v>25000</v>
      </c>
      <c r="D1664" s="187">
        <v>0</v>
      </c>
      <c r="E1664" s="187">
        <v>700</v>
      </c>
      <c r="F1664" s="187">
        <v>15000</v>
      </c>
      <c r="G1664" s="30">
        <f t="shared" si="1718"/>
        <v>2400</v>
      </c>
      <c r="H1664" s="8">
        <v>25000</v>
      </c>
      <c r="I1664" s="30">
        <f t="shared" si="1719"/>
        <v>5000</v>
      </c>
      <c r="J1664" s="187">
        <v>40000</v>
      </c>
      <c r="K1664" s="30">
        <f t="shared" si="1720"/>
        <v>5000</v>
      </c>
      <c r="L1664" s="187">
        <v>40000</v>
      </c>
      <c r="M1664" s="110">
        <v>9.5</v>
      </c>
      <c r="N1664" s="9">
        <f>VLOOKUP(DATE(YEAR(A1664),MONTH(A1664),DAY(A1664)),FY24_Temp[],3,FALSE)</f>
        <v>14.95</v>
      </c>
      <c r="O1664" s="110">
        <f t="shared" si="1706"/>
        <v>11.5</v>
      </c>
      <c r="P1664" s="110">
        <f t="shared" si="1707"/>
        <v>19.5</v>
      </c>
      <c r="Q1664" s="79">
        <f>VLOOKUP(VLOOKUP(DATEVALUE(TEXT(A1664,"m/d/yyyy")),FY24_Temp[],5,FALSE)&amp;TEXT(A1664,"-h"),TempDelta[],4,FALSE)</f>
        <v>2.6308570929936002</v>
      </c>
      <c r="R1664">
        <v>10</v>
      </c>
      <c r="S1664" s="112">
        <v>1500</v>
      </c>
      <c r="T1664" s="5">
        <f>VLOOKUP(TEXT(A1664,"yy-mm")&amp;"-"&amp;IF(AND(WEEKDAY(A1664)&gt;1,WEEKDAY(A1664)&lt;7),"Wkd",TEXT(A1664,"Ddd"))&amp;"-"&amp;TEXT(A1664,"hh"),LoadTable[],3,FALSE)*0.92</f>
        <v>289.05894152419745</v>
      </c>
      <c r="U1664" s="113">
        <f t="shared" si="1708"/>
        <v>28.905894152419744</v>
      </c>
      <c r="V1664">
        <f t="shared" ref="V1664:W1664" si="1774">V1640</f>
        <v>2.9</v>
      </c>
      <c r="W1664">
        <f t="shared" si="1774"/>
        <v>3.1</v>
      </c>
      <c r="X1664" s="9">
        <v>-5.1778366166666601</v>
      </c>
      <c r="Y1664" s="39"/>
    </row>
    <row r="1665" spans="1:25" ht="15" thickBot="1">
      <c r="A1665" s="149">
        <f t="shared" si="1762"/>
        <v>45905.249999997948</v>
      </c>
      <c r="B1665" s="30">
        <f t="shared" si="1717"/>
        <v>8000</v>
      </c>
      <c r="C1665" s="8">
        <v>25000</v>
      </c>
      <c r="D1665" s="187">
        <v>0</v>
      </c>
      <c r="E1665" s="187">
        <v>700</v>
      </c>
      <c r="F1665" s="187">
        <v>15000</v>
      </c>
      <c r="G1665" s="30">
        <f t="shared" si="1718"/>
        <v>2400</v>
      </c>
      <c r="H1665" s="8">
        <v>25000</v>
      </c>
      <c r="I1665" s="30">
        <f t="shared" si="1719"/>
        <v>8000</v>
      </c>
      <c r="J1665" s="187">
        <v>40000</v>
      </c>
      <c r="K1665" s="30">
        <f t="shared" si="1720"/>
        <v>8000</v>
      </c>
      <c r="L1665" s="187">
        <v>40000</v>
      </c>
      <c r="M1665" s="110">
        <v>9.5</v>
      </c>
      <c r="N1665" s="9">
        <f>VLOOKUP(DATE(YEAR(A1665),MONTH(A1665),DAY(A1665)),FY24_Temp[],3,FALSE)</f>
        <v>14.95</v>
      </c>
      <c r="O1665" s="110">
        <f t="shared" si="1706"/>
        <v>11.5</v>
      </c>
      <c r="P1665" s="110">
        <f t="shared" si="1707"/>
        <v>19.5</v>
      </c>
      <c r="Q1665" s="79">
        <f>VLOOKUP(VLOOKUP(DATEVALUE(TEXT(A1665,"m/d/yyyy")),FY24_Temp[],5,FALSE)&amp;TEXT(A1665,"-h"),TempDelta[],4,FALSE)</f>
        <v>2.6167142391204834</v>
      </c>
      <c r="R1665">
        <v>10</v>
      </c>
      <c r="S1665" s="112">
        <v>1500</v>
      </c>
      <c r="T1665" s="5">
        <f>VLOOKUP(TEXT(A1665,"yy-mm")&amp;"-"&amp;IF(AND(WEEKDAY(A1665)&gt;1,WEEKDAY(A1665)&lt;7),"Wkd",TEXT(A1665,"Ddd"))&amp;"-"&amp;TEXT(A1665,"hh"),LoadTable[],3,FALSE)*0.92</f>
        <v>291.12479999999999</v>
      </c>
      <c r="U1665" s="113">
        <f t="shared" si="1708"/>
        <v>29.112479999999998</v>
      </c>
      <c r="V1665">
        <f t="shared" ref="V1665:W1665" si="1775">V1641</f>
        <v>2.5</v>
      </c>
      <c r="W1665">
        <f t="shared" si="1775"/>
        <v>3.1</v>
      </c>
      <c r="X1665" s="9">
        <v>-5.2556311666666602</v>
      </c>
      <c r="Y1665" s="39"/>
    </row>
    <row r="1666" spans="1:25" ht="15" thickBot="1">
      <c r="A1666" s="149">
        <f t="shared" si="1762"/>
        <v>45905.291666664612</v>
      </c>
      <c r="B1666" s="30">
        <f t="shared" si="1717"/>
        <v>8000</v>
      </c>
      <c r="C1666" s="8">
        <v>25000</v>
      </c>
      <c r="D1666" s="187">
        <v>0</v>
      </c>
      <c r="E1666" s="187">
        <v>700</v>
      </c>
      <c r="F1666" s="187">
        <v>15000</v>
      </c>
      <c r="G1666" s="30">
        <f t="shared" si="1718"/>
        <v>2400</v>
      </c>
      <c r="H1666" s="8">
        <v>25000</v>
      </c>
      <c r="I1666" s="30">
        <f t="shared" si="1719"/>
        <v>8000</v>
      </c>
      <c r="J1666" s="187">
        <v>40000</v>
      </c>
      <c r="K1666" s="30">
        <f t="shared" si="1720"/>
        <v>8000</v>
      </c>
      <c r="L1666" s="187">
        <v>40000</v>
      </c>
      <c r="M1666" s="110">
        <v>9.5</v>
      </c>
      <c r="N1666" s="9">
        <f>VLOOKUP(DATE(YEAR(A1666),MONTH(A1666),DAY(A1666)),FY24_Temp[],3,FALSE)</f>
        <v>14.95</v>
      </c>
      <c r="O1666" s="110">
        <f t="shared" si="1706"/>
        <v>11.5</v>
      </c>
      <c r="P1666" s="110">
        <f t="shared" si="1707"/>
        <v>19.5</v>
      </c>
      <c r="Q1666" s="79">
        <f>VLOOKUP(VLOOKUP(DATEVALUE(TEXT(A1666,"m/d/yyyy")),FY24_Temp[],5,FALSE)&amp;TEXT(A1666,"-h"),TempDelta[],4,FALSE)</f>
        <v>2.5078571183340892</v>
      </c>
      <c r="R1666">
        <v>10</v>
      </c>
      <c r="S1666" s="112">
        <v>1500</v>
      </c>
      <c r="T1666" s="5">
        <f>VLOOKUP(TEXT(A1666,"yy-mm")&amp;"-"&amp;IF(AND(WEEKDAY(A1666)&gt;1,WEEKDAY(A1666)&lt;7),"Wkd",TEXT(A1666,"Ddd"))&amp;"-"&amp;TEXT(A1666,"hh"),LoadTable[],3,FALSE)*0.92</f>
        <v>291.12479999999999</v>
      </c>
      <c r="U1666" s="113">
        <f t="shared" si="1708"/>
        <v>29.112479999999998</v>
      </c>
      <c r="V1666">
        <f t="shared" ref="V1666:W1666" si="1776">V1642</f>
        <v>2.5</v>
      </c>
      <c r="W1666">
        <f t="shared" si="1776"/>
        <v>3.1</v>
      </c>
      <c r="X1666" s="9">
        <v>-5.3334257166666603</v>
      </c>
      <c r="Y1666" s="39"/>
    </row>
    <row r="1667" spans="1:25" ht="15" thickBot="1">
      <c r="A1667" s="149">
        <f t="shared" si="1762"/>
        <v>45905.333333331277</v>
      </c>
      <c r="B1667" s="30">
        <f t="shared" si="1717"/>
        <v>8000</v>
      </c>
      <c r="C1667" s="8">
        <v>25000</v>
      </c>
      <c r="D1667" s="187">
        <v>0</v>
      </c>
      <c r="E1667" s="187">
        <v>700</v>
      </c>
      <c r="F1667" s="187">
        <v>15000</v>
      </c>
      <c r="G1667" s="30">
        <f t="shared" si="1718"/>
        <v>2400</v>
      </c>
      <c r="H1667" s="8">
        <v>25000</v>
      </c>
      <c r="I1667" s="30">
        <f t="shared" si="1719"/>
        <v>8000</v>
      </c>
      <c r="J1667" s="187">
        <v>40000</v>
      </c>
      <c r="K1667" s="30">
        <f t="shared" si="1720"/>
        <v>8000</v>
      </c>
      <c r="L1667" s="187">
        <v>40000</v>
      </c>
      <c r="M1667" s="110">
        <v>9.5</v>
      </c>
      <c r="N1667" s="9">
        <f>VLOOKUP(DATE(YEAR(A1667),MONTH(A1667),DAY(A1667)),FY24_Temp[],3,FALSE)</f>
        <v>14.95</v>
      </c>
      <c r="O1667" s="110">
        <f t="shared" si="1706"/>
        <v>11.5</v>
      </c>
      <c r="P1667" s="110">
        <f t="shared" si="1707"/>
        <v>19.5</v>
      </c>
      <c r="Q1667" s="79">
        <f>VLOOKUP(VLOOKUP(DATEVALUE(TEXT(A1667,"m/d/yyyy")),FY24_Temp[],5,FALSE)&amp;TEXT(A1667,"-h"),TempDelta[],4,FALSE)</f>
        <v>2.3500000068119595</v>
      </c>
      <c r="R1667">
        <v>10</v>
      </c>
      <c r="S1667" s="112">
        <v>1500</v>
      </c>
      <c r="T1667" s="5">
        <f>VLOOKUP(TEXT(A1667,"yy-mm")&amp;"-"&amp;IF(AND(WEEKDAY(A1667)&gt;1,WEEKDAY(A1667)&lt;7),"Wkd",TEXT(A1667,"Ddd"))&amp;"-"&amp;TEXT(A1667,"hh"),LoadTable[],3,FALSE)*0.92</f>
        <v>291.12479999999999</v>
      </c>
      <c r="U1667" s="113">
        <f t="shared" si="1708"/>
        <v>29.112479999999998</v>
      </c>
      <c r="V1667">
        <f t="shared" ref="V1667:W1667" si="1777">V1643</f>
        <v>3.2</v>
      </c>
      <c r="W1667">
        <f t="shared" si="1777"/>
        <v>3</v>
      </c>
      <c r="X1667" s="9">
        <v>-5.4112202666666596</v>
      </c>
      <c r="Y1667" s="39"/>
    </row>
    <row r="1668" spans="1:25" ht="15" thickBot="1">
      <c r="A1668" s="149">
        <f t="shared" si="1762"/>
        <v>45905.374999997941</v>
      </c>
      <c r="B1668" s="30">
        <f t="shared" si="1717"/>
        <v>8000</v>
      </c>
      <c r="C1668" s="8">
        <v>25000</v>
      </c>
      <c r="D1668" s="187">
        <v>0</v>
      </c>
      <c r="E1668" s="187">
        <v>700</v>
      </c>
      <c r="F1668" s="187">
        <v>15000</v>
      </c>
      <c r="G1668" s="30">
        <f t="shared" si="1718"/>
        <v>2400</v>
      </c>
      <c r="H1668" s="8">
        <v>25000</v>
      </c>
      <c r="I1668" s="30">
        <f t="shared" si="1719"/>
        <v>8000</v>
      </c>
      <c r="J1668" s="187">
        <v>40000</v>
      </c>
      <c r="K1668" s="30">
        <f t="shared" si="1720"/>
        <v>8000</v>
      </c>
      <c r="L1668" s="187">
        <v>40000</v>
      </c>
      <c r="M1668" s="110">
        <v>9.5</v>
      </c>
      <c r="N1668" s="9">
        <f>VLOOKUP(DATE(YEAR(A1668),MONTH(A1668),DAY(A1668)),FY24_Temp[],3,FALSE)</f>
        <v>14.95</v>
      </c>
      <c r="O1668" s="110">
        <f t="shared" ref="O1668:O1731" si="1778">15.5-4</f>
        <v>11.5</v>
      </c>
      <c r="P1668" s="110">
        <f t="shared" ref="P1668:P1731" si="1779">15.5+4</f>
        <v>19.5</v>
      </c>
      <c r="Q1668" s="79">
        <f>VLOOKUP(VLOOKUP(DATEVALUE(TEXT(A1668,"m/d/yyyy")),FY24_Temp[],5,FALSE)&amp;TEXT(A1668,"-h"),TempDelta[],4,FALSE)</f>
        <v>2.1847142832619801</v>
      </c>
      <c r="R1668">
        <v>10</v>
      </c>
      <c r="S1668" s="112">
        <v>1500</v>
      </c>
      <c r="T1668" s="5">
        <f>VLOOKUP(TEXT(A1668,"yy-mm")&amp;"-"&amp;IF(AND(WEEKDAY(A1668)&gt;1,WEEKDAY(A1668)&lt;7),"Wkd",TEXT(A1668,"Ddd"))&amp;"-"&amp;TEXT(A1668,"hh"),LoadTable[],3,FALSE)*0.92</f>
        <v>291.12479999999999</v>
      </c>
      <c r="U1668" s="113">
        <f t="shared" ref="U1668:U1731" si="1780">T1668/10</f>
        <v>29.112479999999998</v>
      </c>
      <c r="V1668">
        <f t="shared" ref="V1668:W1668" si="1781">V1644</f>
        <v>2.9</v>
      </c>
      <c r="W1668">
        <f t="shared" si="1781"/>
        <v>3</v>
      </c>
      <c r="X1668" s="9">
        <v>-5.4890148166666597</v>
      </c>
      <c r="Y1668" s="39"/>
    </row>
    <row r="1669" spans="1:25" ht="15" thickBot="1">
      <c r="A1669" s="149">
        <f t="shared" si="1762"/>
        <v>45905.416666664605</v>
      </c>
      <c r="B1669" s="30">
        <f t="shared" si="1717"/>
        <v>8000</v>
      </c>
      <c r="C1669" s="8">
        <v>25000</v>
      </c>
      <c r="D1669" s="187">
        <v>0</v>
      </c>
      <c r="E1669" s="187">
        <v>700</v>
      </c>
      <c r="F1669" s="187">
        <v>15000</v>
      </c>
      <c r="G1669" s="30">
        <f t="shared" si="1718"/>
        <v>2400</v>
      </c>
      <c r="H1669" s="8">
        <v>25000</v>
      </c>
      <c r="I1669" s="30">
        <f t="shared" si="1719"/>
        <v>8000</v>
      </c>
      <c r="J1669" s="187">
        <v>40000</v>
      </c>
      <c r="K1669" s="30">
        <f t="shared" si="1720"/>
        <v>8000</v>
      </c>
      <c r="L1669" s="187">
        <v>40000</v>
      </c>
      <c r="M1669" s="110">
        <v>9.5</v>
      </c>
      <c r="N1669" s="9">
        <f>VLOOKUP(DATE(YEAR(A1669),MONTH(A1669),DAY(A1669)),FY24_Temp[],3,FALSE)</f>
        <v>14.95</v>
      </c>
      <c r="O1669" s="110">
        <f t="shared" si="1778"/>
        <v>11.5</v>
      </c>
      <c r="P1669" s="110">
        <f t="shared" si="1779"/>
        <v>19.5</v>
      </c>
      <c r="Q1669" s="79">
        <f>VLOOKUP(VLOOKUP(DATEVALUE(TEXT(A1669,"m/d/yyyy")),FY24_Temp[],5,FALSE)&amp;TEXT(A1669,"-h"),TempDelta[],4,FALSE)</f>
        <v>2.0077143056052074</v>
      </c>
      <c r="R1669">
        <v>10</v>
      </c>
      <c r="S1669" s="112">
        <v>1500</v>
      </c>
      <c r="T1669" s="5">
        <f>VLOOKUP(TEXT(A1669,"yy-mm")&amp;"-"&amp;IF(AND(WEEKDAY(A1669)&gt;1,WEEKDAY(A1669)&lt;7),"Wkd",TEXT(A1669,"Ddd"))&amp;"-"&amp;TEXT(A1669,"hh"),LoadTable[],3,FALSE)*0.92</f>
        <v>290.74956158350585</v>
      </c>
      <c r="U1669" s="113">
        <f t="shared" si="1780"/>
        <v>29.074956158350584</v>
      </c>
      <c r="V1669">
        <f t="shared" ref="V1669:W1669" si="1782">V1645</f>
        <v>2.9</v>
      </c>
      <c r="W1669">
        <f t="shared" si="1782"/>
        <v>3</v>
      </c>
      <c r="X1669" s="9">
        <v>-5.5668093666666598</v>
      </c>
      <c r="Y1669" s="39"/>
    </row>
    <row r="1670" spans="1:25" ht="15" thickBot="1">
      <c r="A1670" s="149">
        <f t="shared" si="1762"/>
        <v>45905.458333331269</v>
      </c>
      <c r="B1670" s="30">
        <f t="shared" si="1717"/>
        <v>8000</v>
      </c>
      <c r="C1670" s="8">
        <v>25000</v>
      </c>
      <c r="D1670" s="187">
        <v>0</v>
      </c>
      <c r="E1670" s="187">
        <v>700</v>
      </c>
      <c r="F1670" s="187">
        <v>15000</v>
      </c>
      <c r="G1670" s="30">
        <f t="shared" si="1718"/>
        <v>2400</v>
      </c>
      <c r="H1670" s="8">
        <v>25000</v>
      </c>
      <c r="I1670" s="30">
        <f t="shared" si="1719"/>
        <v>8000</v>
      </c>
      <c r="J1670" s="187">
        <v>40000</v>
      </c>
      <c r="K1670" s="30">
        <f t="shared" si="1720"/>
        <v>8000</v>
      </c>
      <c r="L1670" s="187">
        <v>40000</v>
      </c>
      <c r="M1670" s="110">
        <v>9.5</v>
      </c>
      <c r="N1670" s="9">
        <f>VLOOKUP(DATE(YEAR(A1670),MONTH(A1670),DAY(A1670)),FY24_Temp[],3,FALSE)</f>
        <v>14.95</v>
      </c>
      <c r="O1670" s="110">
        <f t="shared" si="1778"/>
        <v>11.5</v>
      </c>
      <c r="P1670" s="110">
        <f t="shared" si="1779"/>
        <v>19.5</v>
      </c>
      <c r="Q1670" s="79">
        <f>VLOOKUP(VLOOKUP(DATEVALUE(TEXT(A1670,"m/d/yyyy")),FY24_Temp[],5,FALSE)&amp;TEXT(A1670,"-h"),TempDelta[],4,FALSE)</f>
        <v>1.7969999824251448</v>
      </c>
      <c r="R1670">
        <v>10</v>
      </c>
      <c r="S1670" s="112">
        <v>1500</v>
      </c>
      <c r="T1670" s="5">
        <f>VLOOKUP(TEXT(A1670,"yy-mm")&amp;"-"&amp;IF(AND(WEEKDAY(A1670)&gt;1,WEEKDAY(A1670)&lt;7),"Wkd",TEXT(A1670,"Ddd"))&amp;"-"&amp;TEXT(A1670,"hh"),LoadTable[],3,FALSE)*0.92</f>
        <v>290.74956158350585</v>
      </c>
      <c r="U1670" s="113">
        <f t="shared" si="1780"/>
        <v>29.074956158350584</v>
      </c>
      <c r="V1670">
        <f t="shared" ref="V1670:W1670" si="1783">V1646</f>
        <v>3.4</v>
      </c>
      <c r="W1670">
        <f t="shared" si="1783"/>
        <v>3</v>
      </c>
      <c r="X1670" s="9">
        <v>-5.6446039166666599</v>
      </c>
      <c r="Y1670" s="39"/>
    </row>
    <row r="1671" spans="1:25" ht="15" thickBot="1">
      <c r="A1671" s="149">
        <f t="shared" si="1762"/>
        <v>45905.499999997934</v>
      </c>
      <c r="B1671" s="30">
        <f t="shared" si="1717"/>
        <v>8000</v>
      </c>
      <c r="C1671" s="8">
        <v>25000</v>
      </c>
      <c r="D1671" s="187">
        <v>0</v>
      </c>
      <c r="E1671" s="187">
        <v>700</v>
      </c>
      <c r="F1671" s="187">
        <v>15000</v>
      </c>
      <c r="G1671" s="30">
        <f t="shared" si="1718"/>
        <v>2400</v>
      </c>
      <c r="H1671" s="8">
        <v>25000</v>
      </c>
      <c r="I1671" s="30">
        <f t="shared" si="1719"/>
        <v>8000</v>
      </c>
      <c r="J1671" s="187">
        <v>40000</v>
      </c>
      <c r="K1671" s="30">
        <f t="shared" si="1720"/>
        <v>8000</v>
      </c>
      <c r="L1671" s="187">
        <v>40000</v>
      </c>
      <c r="M1671" s="110">
        <v>9.5</v>
      </c>
      <c r="N1671" s="9">
        <f>VLOOKUP(DATE(YEAR(A1671),MONTH(A1671),DAY(A1671)),FY24_Temp[],3,FALSE)</f>
        <v>14.95</v>
      </c>
      <c r="O1671" s="110">
        <f t="shared" si="1778"/>
        <v>11.5</v>
      </c>
      <c r="P1671" s="110">
        <f t="shared" si="1779"/>
        <v>19.5</v>
      </c>
      <c r="Q1671" s="79">
        <f>VLOOKUP(VLOOKUP(DATEVALUE(TEXT(A1671,"m/d/yyyy")),FY24_Temp[],5,FALSE)&amp;TEXT(A1671,"-h"),TempDelta[],4,FALSE)</f>
        <v>1.5904285567147392</v>
      </c>
      <c r="R1671">
        <v>10</v>
      </c>
      <c r="S1671" s="112">
        <v>1500</v>
      </c>
      <c r="T1671" s="5">
        <f>VLOOKUP(TEXT(A1671,"yy-mm")&amp;"-"&amp;IF(AND(WEEKDAY(A1671)&gt;1,WEEKDAY(A1671)&lt;7),"Wkd",TEXT(A1671,"Ddd"))&amp;"-"&amp;TEXT(A1671,"hh"),LoadTable[],3,FALSE)*0.92</f>
        <v>290.74956158350585</v>
      </c>
      <c r="U1671" s="113">
        <f t="shared" si="1780"/>
        <v>29.074956158350584</v>
      </c>
      <c r="V1671">
        <f t="shared" ref="V1671:W1671" si="1784">V1647</f>
        <v>3.1</v>
      </c>
      <c r="W1671">
        <f t="shared" si="1784"/>
        <v>2.9</v>
      </c>
      <c r="X1671" s="9">
        <v>-5.7223984666666601</v>
      </c>
      <c r="Y1671" s="39"/>
    </row>
    <row r="1672" spans="1:25" ht="15" thickBot="1">
      <c r="A1672" s="149">
        <f t="shared" si="1762"/>
        <v>45905.541666664598</v>
      </c>
      <c r="B1672" s="30">
        <f t="shared" si="1717"/>
        <v>8000</v>
      </c>
      <c r="C1672" s="8">
        <v>25000</v>
      </c>
      <c r="D1672" s="187">
        <v>0</v>
      </c>
      <c r="E1672" s="187">
        <v>700</v>
      </c>
      <c r="F1672" s="187">
        <v>15000</v>
      </c>
      <c r="G1672" s="30">
        <f t="shared" si="1718"/>
        <v>2400</v>
      </c>
      <c r="H1672" s="8">
        <v>25000</v>
      </c>
      <c r="I1672" s="30">
        <f t="shared" si="1719"/>
        <v>8000</v>
      </c>
      <c r="J1672" s="187">
        <v>40000</v>
      </c>
      <c r="K1672" s="30">
        <f t="shared" si="1720"/>
        <v>8000</v>
      </c>
      <c r="L1672" s="187">
        <v>40000</v>
      </c>
      <c r="M1672" s="110">
        <v>9.5</v>
      </c>
      <c r="N1672" s="9">
        <f>VLOOKUP(DATE(YEAR(A1672),MONTH(A1672),DAY(A1672)),FY24_Temp[],3,FALSE)</f>
        <v>14.95</v>
      </c>
      <c r="O1672" s="110">
        <f t="shared" si="1778"/>
        <v>11.5</v>
      </c>
      <c r="P1672" s="110">
        <f t="shared" si="1779"/>
        <v>19.5</v>
      </c>
      <c r="Q1672" s="79">
        <f>VLOOKUP(VLOOKUP(DATEVALUE(TEXT(A1672,"m/d/yyyy")),FY24_Temp[],5,FALSE)&amp;TEXT(A1672,"-h"),TempDelta[],4,FALSE)</f>
        <v>1.3895714112690516</v>
      </c>
      <c r="R1672">
        <v>10</v>
      </c>
      <c r="S1672" s="112">
        <v>1500</v>
      </c>
      <c r="T1672" s="5">
        <f>VLOOKUP(TEXT(A1672,"yy-mm")&amp;"-"&amp;IF(AND(WEEKDAY(A1672)&gt;1,WEEKDAY(A1672)&lt;7),"Wkd",TEXT(A1672,"Ddd"))&amp;"-"&amp;TEXT(A1672,"hh"),LoadTable[],3,FALSE)*0.92</f>
        <v>290.72204920255348</v>
      </c>
      <c r="U1672" s="113">
        <f t="shared" si="1780"/>
        <v>29.072204920255349</v>
      </c>
      <c r="V1672">
        <f t="shared" ref="V1672:W1672" si="1785">V1648</f>
        <v>3.2</v>
      </c>
      <c r="W1672">
        <f t="shared" si="1785"/>
        <v>2.9</v>
      </c>
      <c r="X1672" s="9">
        <v>-5.8001930166666602</v>
      </c>
      <c r="Y1672" s="39"/>
    </row>
    <row r="1673" spans="1:25" ht="15" thickBot="1">
      <c r="A1673" s="149">
        <f t="shared" si="1762"/>
        <v>45905.583333331262</v>
      </c>
      <c r="B1673" s="30">
        <f t="shared" si="1717"/>
        <v>8000</v>
      </c>
      <c r="C1673" s="8">
        <v>25000</v>
      </c>
      <c r="D1673" s="187">
        <v>0</v>
      </c>
      <c r="E1673" s="187">
        <v>700</v>
      </c>
      <c r="F1673" s="187">
        <v>15000</v>
      </c>
      <c r="G1673" s="30">
        <f t="shared" si="1718"/>
        <v>2400</v>
      </c>
      <c r="H1673" s="8">
        <v>25000</v>
      </c>
      <c r="I1673" s="30">
        <f t="shared" si="1719"/>
        <v>8000</v>
      </c>
      <c r="J1673" s="187">
        <v>40000</v>
      </c>
      <c r="K1673" s="30">
        <f t="shared" si="1720"/>
        <v>8000</v>
      </c>
      <c r="L1673" s="187">
        <v>40000</v>
      </c>
      <c r="M1673" s="110">
        <v>9.5</v>
      </c>
      <c r="N1673" s="9">
        <f>VLOOKUP(DATE(YEAR(A1673),MONTH(A1673),DAY(A1673)),FY24_Temp[],3,FALSE)</f>
        <v>14.95</v>
      </c>
      <c r="O1673" s="110">
        <f t="shared" si="1778"/>
        <v>11.5</v>
      </c>
      <c r="P1673" s="110">
        <f t="shared" si="1779"/>
        <v>19.5</v>
      </c>
      <c r="Q1673" s="79">
        <f>VLOOKUP(VLOOKUP(DATEVALUE(TEXT(A1673,"m/d/yyyy")),FY24_Temp[],5,FALSE)&amp;TEXT(A1673,"-h"),TempDelta[],4,FALSE)</f>
        <v>0.96357142499514992</v>
      </c>
      <c r="R1673">
        <v>10</v>
      </c>
      <c r="S1673" s="112">
        <v>1500</v>
      </c>
      <c r="T1673" s="5">
        <f>VLOOKUP(TEXT(A1673,"yy-mm")&amp;"-"&amp;IF(AND(WEEKDAY(A1673)&gt;1,WEEKDAY(A1673)&lt;7),"Wkd",TEXT(A1673,"Ddd"))&amp;"-"&amp;TEXT(A1673,"hh"),LoadTable[],3,FALSE)*0.92</f>
        <v>363.28132000000005</v>
      </c>
      <c r="U1673" s="113">
        <f t="shared" si="1780"/>
        <v>36.328132000000004</v>
      </c>
      <c r="V1673">
        <f t="shared" ref="V1673:W1673" si="1786">V1649</f>
        <v>3.5</v>
      </c>
      <c r="W1673">
        <f t="shared" si="1786"/>
        <v>2.9</v>
      </c>
      <c r="X1673" s="9">
        <v>-5.8779875666666603</v>
      </c>
      <c r="Y1673" s="39"/>
    </row>
    <row r="1674" spans="1:25" ht="15" thickBot="1">
      <c r="A1674" s="149">
        <f t="shared" si="1762"/>
        <v>45905.624999997926</v>
      </c>
      <c r="B1674" s="30">
        <f t="shared" si="1717"/>
        <v>8000</v>
      </c>
      <c r="C1674" s="8">
        <v>25000</v>
      </c>
      <c r="D1674" s="187">
        <v>0</v>
      </c>
      <c r="E1674" s="187">
        <v>700</v>
      </c>
      <c r="F1674" s="187">
        <v>15000</v>
      </c>
      <c r="G1674" s="30">
        <f t="shared" si="1718"/>
        <v>2400</v>
      </c>
      <c r="H1674" s="8">
        <v>25000</v>
      </c>
      <c r="I1674" s="30">
        <f t="shared" si="1719"/>
        <v>8000</v>
      </c>
      <c r="J1674" s="187">
        <v>40000</v>
      </c>
      <c r="K1674" s="30">
        <f t="shared" si="1720"/>
        <v>8000</v>
      </c>
      <c r="L1674" s="187">
        <v>40000</v>
      </c>
      <c r="M1674" s="110">
        <v>9.5</v>
      </c>
      <c r="N1674" s="9">
        <f>VLOOKUP(DATE(YEAR(A1674),MONTH(A1674),DAY(A1674)),FY24_Temp[],3,FALSE)</f>
        <v>14.95</v>
      </c>
      <c r="O1674" s="110">
        <f t="shared" si="1778"/>
        <v>11.5</v>
      </c>
      <c r="P1674" s="110">
        <f t="shared" si="1779"/>
        <v>19.5</v>
      </c>
      <c r="Q1674" s="79">
        <f>VLOOKUP(VLOOKUP(DATEVALUE(TEXT(A1674,"m/d/yyyy")),FY24_Temp[],5,FALSE)&amp;TEXT(A1674,"-h"),TempDelta[],4,FALSE)</f>
        <v>0.84407143933432438</v>
      </c>
      <c r="R1674">
        <v>10</v>
      </c>
      <c r="S1674" s="112">
        <v>1500</v>
      </c>
      <c r="T1674" s="5">
        <f>VLOOKUP(TEXT(A1674,"yy-mm")&amp;"-"&amp;IF(AND(WEEKDAY(A1674)&gt;1,WEEKDAY(A1674)&lt;7),"Wkd",TEXT(A1674,"Ddd"))&amp;"-"&amp;TEXT(A1674,"hh"),LoadTable[],3,FALSE)*0.92</f>
        <v>570.3300004440199</v>
      </c>
      <c r="U1674" s="113">
        <f t="shared" si="1780"/>
        <v>57.033000044401987</v>
      </c>
      <c r="V1674">
        <f t="shared" ref="V1674:W1674" si="1787">V1650</f>
        <v>3.2</v>
      </c>
      <c r="W1674">
        <f t="shared" si="1787"/>
        <v>2.9</v>
      </c>
      <c r="X1674" s="9">
        <v>-5.9557821166666596</v>
      </c>
      <c r="Y1674" s="39"/>
    </row>
    <row r="1675" spans="1:25" ht="15" thickBot="1">
      <c r="A1675" s="149">
        <f t="shared" si="1762"/>
        <v>45905.666666664591</v>
      </c>
      <c r="B1675" s="30">
        <f t="shared" si="1717"/>
        <v>8000</v>
      </c>
      <c r="C1675" s="8">
        <v>25000</v>
      </c>
      <c r="D1675" s="187">
        <v>0</v>
      </c>
      <c r="E1675" s="187">
        <v>700</v>
      </c>
      <c r="F1675" s="187">
        <v>15000</v>
      </c>
      <c r="G1675" s="30">
        <f t="shared" si="1718"/>
        <v>2400</v>
      </c>
      <c r="H1675" s="8">
        <v>25000</v>
      </c>
      <c r="I1675" s="30">
        <f t="shared" si="1719"/>
        <v>8000</v>
      </c>
      <c r="J1675" s="187">
        <v>40000</v>
      </c>
      <c r="K1675" s="30">
        <f t="shared" si="1720"/>
        <v>8000</v>
      </c>
      <c r="L1675" s="187">
        <v>40000</v>
      </c>
      <c r="M1675" s="110">
        <v>9.5</v>
      </c>
      <c r="N1675" s="9">
        <f>VLOOKUP(DATE(YEAR(A1675),MONTH(A1675),DAY(A1675)),FY24_Temp[],3,FALSE)</f>
        <v>14.95</v>
      </c>
      <c r="O1675" s="110">
        <f t="shared" si="1778"/>
        <v>11.5</v>
      </c>
      <c r="P1675" s="110">
        <f t="shared" si="1779"/>
        <v>19.5</v>
      </c>
      <c r="Q1675" s="79">
        <f>VLOOKUP(VLOOKUP(DATEVALUE(TEXT(A1675,"m/d/yyyy")),FY24_Temp[],5,FALSE)&amp;TEXT(A1675,"-h"),TempDelta[],4,FALSE)</f>
        <v>0.87021427069391522</v>
      </c>
      <c r="R1675">
        <v>10</v>
      </c>
      <c r="S1675" s="112">
        <v>1500</v>
      </c>
      <c r="T1675" s="5">
        <f>VLOOKUP(TEXT(A1675,"yy-mm")&amp;"-"&amp;IF(AND(WEEKDAY(A1675)&gt;1,WEEKDAY(A1675)&lt;7),"Wkd",TEXT(A1675,"Ddd"))&amp;"-"&amp;TEXT(A1675,"hh"),LoadTable[],3,FALSE)*0.92</f>
        <v>602.16876690131596</v>
      </c>
      <c r="U1675" s="113">
        <f t="shared" si="1780"/>
        <v>60.216876690131599</v>
      </c>
      <c r="V1675">
        <f t="shared" ref="V1675:W1675" si="1788">V1651</f>
        <v>3.5</v>
      </c>
      <c r="W1675">
        <f t="shared" si="1788"/>
        <v>3</v>
      </c>
      <c r="X1675" s="9">
        <v>-6.0335766666666597</v>
      </c>
      <c r="Y1675" s="39"/>
    </row>
    <row r="1676" spans="1:25" ht="15" thickBot="1">
      <c r="A1676" s="149">
        <f t="shared" si="1762"/>
        <v>45905.708333331255</v>
      </c>
      <c r="B1676" s="30">
        <f t="shared" ref="B1676:B1739" si="1789">B1652</f>
        <v>8000</v>
      </c>
      <c r="C1676" s="8">
        <v>25000</v>
      </c>
      <c r="D1676" s="187">
        <v>0</v>
      </c>
      <c r="E1676" s="187">
        <v>700</v>
      </c>
      <c r="F1676" s="187">
        <v>15000</v>
      </c>
      <c r="G1676" s="30">
        <f t="shared" ref="G1676:G1739" si="1790">G1652</f>
        <v>2400</v>
      </c>
      <c r="H1676" s="8">
        <v>25000</v>
      </c>
      <c r="I1676" s="30">
        <f t="shared" ref="I1676:I1739" si="1791">I1652</f>
        <v>8000</v>
      </c>
      <c r="J1676" s="187">
        <v>40000</v>
      </c>
      <c r="K1676" s="30">
        <f t="shared" ref="K1676:K1739" si="1792">K1652</f>
        <v>8000</v>
      </c>
      <c r="L1676" s="187">
        <v>40000</v>
      </c>
      <c r="M1676" s="110">
        <v>9.5</v>
      </c>
      <c r="N1676" s="9">
        <f>VLOOKUP(DATE(YEAR(A1676),MONTH(A1676),DAY(A1676)),FY24_Temp[],3,FALSE)</f>
        <v>14.95</v>
      </c>
      <c r="O1676" s="110">
        <f t="shared" si="1778"/>
        <v>11.5</v>
      </c>
      <c r="P1676" s="110">
        <f t="shared" si="1779"/>
        <v>19.5</v>
      </c>
      <c r="Q1676" s="79">
        <f>VLOOKUP(VLOOKUP(DATEVALUE(TEXT(A1676,"m/d/yyyy")),FY24_Temp[],5,FALSE)&amp;TEXT(A1676,"-h"),TempDelta[],4,FALSE)</f>
        <v>1.0735000031335014</v>
      </c>
      <c r="R1676">
        <v>10</v>
      </c>
      <c r="S1676" s="112">
        <v>1500</v>
      </c>
      <c r="T1676" s="5">
        <f>VLOOKUP(TEXT(A1676,"yy-mm")&amp;"-"&amp;IF(AND(WEEKDAY(A1676)&gt;1,WEEKDAY(A1676)&lt;7),"Wkd",TEXT(A1676,"Ddd"))&amp;"-"&amp;TEXT(A1676,"hh"),LoadTable[],3,FALSE)*0.92</f>
        <v>602.16876690131596</v>
      </c>
      <c r="U1676" s="113">
        <f t="shared" si="1780"/>
        <v>60.216876690131599</v>
      </c>
      <c r="V1676">
        <f t="shared" ref="V1676:W1676" si="1793">V1652</f>
        <v>3.6</v>
      </c>
      <c r="W1676">
        <f t="shared" si="1793"/>
        <v>3</v>
      </c>
      <c r="X1676" s="9">
        <v>-6.1113712166666598</v>
      </c>
      <c r="Y1676" s="39"/>
    </row>
    <row r="1677" spans="1:25" ht="15" thickBot="1">
      <c r="A1677" s="149">
        <f t="shared" si="1762"/>
        <v>45905.749999997919</v>
      </c>
      <c r="B1677" s="30">
        <f t="shared" si="1789"/>
        <v>5000</v>
      </c>
      <c r="C1677" s="8">
        <v>25000</v>
      </c>
      <c r="D1677" s="187">
        <v>0</v>
      </c>
      <c r="E1677" s="187">
        <v>700</v>
      </c>
      <c r="F1677" s="187">
        <v>15000</v>
      </c>
      <c r="G1677" s="30">
        <f t="shared" si="1790"/>
        <v>2400</v>
      </c>
      <c r="H1677" s="8">
        <v>25000</v>
      </c>
      <c r="I1677" s="30">
        <f t="shared" si="1791"/>
        <v>5000</v>
      </c>
      <c r="J1677" s="187">
        <v>40000</v>
      </c>
      <c r="K1677" s="30">
        <f t="shared" si="1792"/>
        <v>5000</v>
      </c>
      <c r="L1677" s="187">
        <v>40000</v>
      </c>
      <c r="M1677" s="110">
        <v>9.5</v>
      </c>
      <c r="N1677" s="9">
        <f>VLOOKUP(DATE(YEAR(A1677),MONTH(A1677),DAY(A1677)),FY24_Temp[],3,FALSE)</f>
        <v>14.95</v>
      </c>
      <c r="O1677" s="110">
        <f t="shared" si="1778"/>
        <v>11.5</v>
      </c>
      <c r="P1677" s="110">
        <f t="shared" si="1779"/>
        <v>19.5</v>
      </c>
      <c r="Q1677" s="79">
        <f>VLOOKUP(VLOOKUP(DATEVALUE(TEXT(A1677,"m/d/yyyy")),FY24_Temp[],5,FALSE)&amp;TEXT(A1677,"-h"),TempDelta[],4,FALSE)</f>
        <v>1.3760714275496346</v>
      </c>
      <c r="R1677">
        <v>10</v>
      </c>
      <c r="S1677" s="112">
        <v>1500</v>
      </c>
      <c r="T1677" s="5">
        <f>VLOOKUP(TEXT(A1677,"yy-mm")&amp;"-"&amp;IF(AND(WEEKDAY(A1677)&gt;1,WEEKDAY(A1677)&lt;7),"Wkd",TEXT(A1677,"Ddd"))&amp;"-"&amp;TEXT(A1677,"hh"),LoadTable[],3,FALSE)*0.92</f>
        <v>602.16876690131596</v>
      </c>
      <c r="U1677" s="113">
        <f t="shared" si="1780"/>
        <v>60.216876690131599</v>
      </c>
      <c r="V1677">
        <f t="shared" ref="V1677:W1677" si="1794">V1653</f>
        <v>2.9</v>
      </c>
      <c r="W1677">
        <f t="shared" si="1794"/>
        <v>3</v>
      </c>
      <c r="X1677" s="9">
        <v>-6.18916576666666</v>
      </c>
      <c r="Y1677" s="39"/>
    </row>
    <row r="1678" spans="1:25" ht="15" thickBot="1">
      <c r="A1678" s="149">
        <f t="shared" si="1762"/>
        <v>45905.791666664583</v>
      </c>
      <c r="B1678" s="30">
        <f t="shared" si="1789"/>
        <v>5000</v>
      </c>
      <c r="C1678" s="8">
        <v>25000</v>
      </c>
      <c r="D1678" s="187">
        <v>0</v>
      </c>
      <c r="E1678" s="187">
        <v>700</v>
      </c>
      <c r="F1678" s="187">
        <v>15000</v>
      </c>
      <c r="G1678" s="30">
        <f t="shared" si="1790"/>
        <v>2400</v>
      </c>
      <c r="H1678" s="8">
        <v>25000</v>
      </c>
      <c r="I1678" s="30">
        <f t="shared" si="1791"/>
        <v>5000</v>
      </c>
      <c r="J1678" s="187">
        <v>40000</v>
      </c>
      <c r="K1678" s="30">
        <f t="shared" si="1792"/>
        <v>5000</v>
      </c>
      <c r="L1678" s="187">
        <v>40000</v>
      </c>
      <c r="M1678" s="110">
        <v>9.5</v>
      </c>
      <c r="N1678" s="9">
        <f>VLOOKUP(DATE(YEAR(A1678),MONTH(A1678),DAY(A1678)),FY24_Temp[],3,FALSE)</f>
        <v>14.95</v>
      </c>
      <c r="O1678" s="110">
        <f t="shared" si="1778"/>
        <v>11.5</v>
      </c>
      <c r="P1678" s="110">
        <f t="shared" si="1779"/>
        <v>19.5</v>
      </c>
      <c r="Q1678" s="79">
        <f>VLOOKUP(VLOOKUP(DATEVALUE(TEXT(A1678,"m/d/yyyy")),FY24_Temp[],5,FALSE)&amp;TEXT(A1678,"-h"),TempDelta[],4,FALSE)</f>
        <v>1.5774285623005457</v>
      </c>
      <c r="R1678">
        <v>10</v>
      </c>
      <c r="S1678" s="112">
        <v>1500</v>
      </c>
      <c r="T1678" s="5">
        <f>VLOOKUP(TEXT(A1678,"yy-mm")&amp;"-"&amp;IF(AND(WEEKDAY(A1678)&gt;1,WEEKDAY(A1678)&lt;7),"Wkd",TEXT(A1678,"Ddd"))&amp;"-"&amp;TEXT(A1678,"hh"),LoadTable[],3,FALSE)*0.92</f>
        <v>600.14662419619219</v>
      </c>
      <c r="U1678" s="113">
        <f t="shared" si="1780"/>
        <v>60.014662419619221</v>
      </c>
      <c r="V1678">
        <f t="shared" ref="V1678:W1678" si="1795">V1654</f>
        <v>3</v>
      </c>
      <c r="W1678">
        <f t="shared" si="1795"/>
        <v>3</v>
      </c>
      <c r="X1678" s="9">
        <v>-6.2669603166666601</v>
      </c>
      <c r="Y1678" s="39"/>
    </row>
    <row r="1679" spans="1:25" ht="15" thickBot="1">
      <c r="A1679" s="149">
        <f t="shared" si="1762"/>
        <v>45905.833333331248</v>
      </c>
      <c r="B1679" s="30">
        <f t="shared" si="1789"/>
        <v>5000</v>
      </c>
      <c r="C1679" s="8">
        <v>25000</v>
      </c>
      <c r="D1679" s="187">
        <v>0</v>
      </c>
      <c r="E1679" s="187">
        <v>700</v>
      </c>
      <c r="F1679" s="187">
        <v>15000</v>
      </c>
      <c r="G1679" s="30">
        <f t="shared" si="1790"/>
        <v>2400</v>
      </c>
      <c r="H1679" s="8">
        <v>25000</v>
      </c>
      <c r="I1679" s="30">
        <f t="shared" si="1791"/>
        <v>5000</v>
      </c>
      <c r="J1679" s="187">
        <v>40000</v>
      </c>
      <c r="K1679" s="30">
        <f t="shared" si="1792"/>
        <v>5000</v>
      </c>
      <c r="L1679" s="187">
        <v>40000</v>
      </c>
      <c r="M1679" s="110">
        <v>9.5</v>
      </c>
      <c r="N1679" s="9">
        <f>VLOOKUP(DATE(YEAR(A1679),MONTH(A1679),DAY(A1679)),FY24_Temp[],3,FALSE)</f>
        <v>14.95</v>
      </c>
      <c r="O1679" s="110">
        <f t="shared" si="1778"/>
        <v>11.5</v>
      </c>
      <c r="P1679" s="110">
        <f t="shared" si="1779"/>
        <v>19.5</v>
      </c>
      <c r="Q1679" s="79">
        <f>VLOOKUP(VLOOKUP(DATEVALUE(TEXT(A1679,"m/d/yyyy")),FY24_Temp[],5,FALSE)&amp;TEXT(A1679,"-h"),TempDelta[],4,FALSE)</f>
        <v>1.776142852646964</v>
      </c>
      <c r="R1679">
        <v>10</v>
      </c>
      <c r="S1679" s="112">
        <v>1500</v>
      </c>
      <c r="T1679" s="5">
        <f>VLOOKUP(TEXT(A1679,"yy-mm")&amp;"-"&amp;IF(AND(WEEKDAY(A1679)&gt;1,WEEKDAY(A1679)&lt;7),"Wkd",TEXT(A1679,"Ddd"))&amp;"-"&amp;TEXT(A1679,"hh"),LoadTable[],3,FALSE)*0.92</f>
        <v>600.14662419619219</v>
      </c>
      <c r="U1679" s="113">
        <f t="shared" si="1780"/>
        <v>60.014662419619221</v>
      </c>
      <c r="V1679">
        <f t="shared" ref="V1679:W1679" si="1796">V1655</f>
        <v>2.8</v>
      </c>
      <c r="W1679">
        <f t="shared" si="1796"/>
        <v>3.1</v>
      </c>
      <c r="X1679" s="9">
        <v>-6.3447548666666602</v>
      </c>
      <c r="Y1679" s="39"/>
    </row>
    <row r="1680" spans="1:25" ht="15" thickBot="1">
      <c r="A1680" s="149">
        <f t="shared" si="1762"/>
        <v>45905.874999997912</v>
      </c>
      <c r="B1680" s="30">
        <f t="shared" si="1789"/>
        <v>5000</v>
      </c>
      <c r="C1680" s="8">
        <v>25000</v>
      </c>
      <c r="D1680" s="187">
        <v>0</v>
      </c>
      <c r="E1680" s="187">
        <v>700</v>
      </c>
      <c r="F1680" s="187">
        <v>15000</v>
      </c>
      <c r="G1680" s="30">
        <f t="shared" si="1790"/>
        <v>2400</v>
      </c>
      <c r="H1680" s="8">
        <v>25000</v>
      </c>
      <c r="I1680" s="30">
        <f t="shared" si="1791"/>
        <v>5000</v>
      </c>
      <c r="J1680" s="187">
        <v>40000</v>
      </c>
      <c r="K1680" s="30">
        <f t="shared" si="1792"/>
        <v>5000</v>
      </c>
      <c r="L1680" s="187">
        <v>40000</v>
      </c>
      <c r="M1680" s="110">
        <v>9.5</v>
      </c>
      <c r="N1680" s="9">
        <f>VLOOKUP(DATE(YEAR(A1680),MONTH(A1680),DAY(A1680)),FY24_Temp[],3,FALSE)</f>
        <v>14.95</v>
      </c>
      <c r="O1680" s="110">
        <f t="shared" si="1778"/>
        <v>11.5</v>
      </c>
      <c r="P1680" s="110">
        <f t="shared" si="1779"/>
        <v>19.5</v>
      </c>
      <c r="Q1680" s="79">
        <f>VLOOKUP(VLOOKUP(DATEVALUE(TEXT(A1680,"m/d/yyyy")),FY24_Temp[],5,FALSE)&amp;TEXT(A1680,"-h"),TempDelta[],4,FALSE)</f>
        <v>1.8817142588751656</v>
      </c>
      <c r="R1680">
        <v>10</v>
      </c>
      <c r="S1680" s="112">
        <v>1500</v>
      </c>
      <c r="T1680" s="5">
        <f>VLOOKUP(TEXT(A1680,"yy-mm")&amp;"-"&amp;IF(AND(WEEKDAY(A1680)&gt;1,WEEKDAY(A1680)&lt;7),"Wkd",TEXT(A1680,"Ddd"))&amp;"-"&amp;TEXT(A1680,"hh"),LoadTable[],3,FALSE)*0.92</f>
        <v>523.94879142973434</v>
      </c>
      <c r="U1680" s="113">
        <f t="shared" si="1780"/>
        <v>52.394879142973437</v>
      </c>
      <c r="V1680">
        <f t="shared" ref="V1680:W1680" si="1797">V1656</f>
        <v>3.5</v>
      </c>
      <c r="W1680">
        <f t="shared" si="1797"/>
        <v>3.1</v>
      </c>
      <c r="X1680" s="9">
        <v>-6.4225494166666603</v>
      </c>
      <c r="Y1680" s="39"/>
    </row>
    <row r="1681" spans="1:25" ht="15" thickBot="1">
      <c r="A1681" s="149">
        <f t="shared" si="1762"/>
        <v>45905.916666664576</v>
      </c>
      <c r="B1681" s="30">
        <f t="shared" si="1789"/>
        <v>5000</v>
      </c>
      <c r="C1681" s="8">
        <v>25000</v>
      </c>
      <c r="D1681" s="187">
        <v>0</v>
      </c>
      <c r="E1681" s="187">
        <v>700</v>
      </c>
      <c r="F1681" s="187">
        <v>15000</v>
      </c>
      <c r="G1681" s="30">
        <f t="shared" si="1790"/>
        <v>2400</v>
      </c>
      <c r="H1681" s="8">
        <v>25000</v>
      </c>
      <c r="I1681" s="30">
        <f t="shared" si="1791"/>
        <v>5000</v>
      </c>
      <c r="J1681" s="187">
        <v>40000</v>
      </c>
      <c r="K1681" s="30">
        <f t="shared" si="1792"/>
        <v>5000</v>
      </c>
      <c r="L1681" s="187">
        <v>40000</v>
      </c>
      <c r="M1681" s="110">
        <v>9.5</v>
      </c>
      <c r="N1681" s="9">
        <f>VLOOKUP(DATE(YEAR(A1681),MONTH(A1681),DAY(A1681)),FY24_Temp[],3,FALSE)</f>
        <v>14.95</v>
      </c>
      <c r="O1681" s="110">
        <f t="shared" si="1778"/>
        <v>11.5</v>
      </c>
      <c r="P1681" s="110">
        <f t="shared" si="1779"/>
        <v>19.5</v>
      </c>
      <c r="Q1681" s="79">
        <f>VLOOKUP(VLOOKUP(DATEVALUE(TEXT(A1681,"m/d/yyyy")),FY24_Temp[],5,FALSE)&amp;TEXT(A1681,"-h"),TempDelta[],4,FALSE)</f>
        <v>2.2282856873103549</v>
      </c>
      <c r="R1681">
        <v>10</v>
      </c>
      <c r="S1681" s="112">
        <v>1500</v>
      </c>
      <c r="T1681" s="5">
        <f>VLOOKUP(TEXT(A1681,"yy-mm")&amp;"-"&amp;IF(AND(WEEKDAY(A1681)&gt;1,WEEKDAY(A1681)&lt;7),"Wkd",TEXT(A1681,"Ddd"))&amp;"-"&amp;TEXT(A1681,"hh"),LoadTable[],3,FALSE)*0.92</f>
        <v>421.91858468239752</v>
      </c>
      <c r="U1681" s="113">
        <f t="shared" si="1780"/>
        <v>42.191858468239751</v>
      </c>
      <c r="V1681">
        <f t="shared" ref="V1681:W1681" si="1798">V1657</f>
        <v>2.9</v>
      </c>
      <c r="W1681">
        <f t="shared" si="1798"/>
        <v>3.1</v>
      </c>
      <c r="X1681" s="9">
        <v>-6.5003439666666596</v>
      </c>
      <c r="Y1681" s="39"/>
    </row>
    <row r="1682" spans="1:25" ht="15" thickBot="1">
      <c r="A1682" s="149">
        <f t="shared" si="1762"/>
        <v>45905.95833333124</v>
      </c>
      <c r="B1682" s="30">
        <f t="shared" si="1789"/>
        <v>5000</v>
      </c>
      <c r="C1682" s="8">
        <v>25000</v>
      </c>
      <c r="D1682" s="187">
        <v>0</v>
      </c>
      <c r="E1682" s="187">
        <v>700</v>
      </c>
      <c r="F1682" s="187">
        <v>15000</v>
      </c>
      <c r="G1682" s="30">
        <f t="shared" si="1790"/>
        <v>2400</v>
      </c>
      <c r="H1682" s="8">
        <v>25000</v>
      </c>
      <c r="I1682" s="30">
        <f t="shared" si="1791"/>
        <v>5000</v>
      </c>
      <c r="J1682" s="187">
        <v>40000</v>
      </c>
      <c r="K1682" s="30">
        <f t="shared" si="1792"/>
        <v>5000</v>
      </c>
      <c r="L1682" s="187">
        <v>40000</v>
      </c>
      <c r="M1682" s="110">
        <v>9.5</v>
      </c>
      <c r="N1682" s="9">
        <f>VLOOKUP(DATE(YEAR(A1682),MONTH(A1682),DAY(A1682)),FY24_Temp[],3,FALSE)</f>
        <v>14.95</v>
      </c>
      <c r="O1682" s="110">
        <f t="shared" si="1778"/>
        <v>11.5</v>
      </c>
      <c r="P1682" s="110">
        <f t="shared" si="1779"/>
        <v>19.5</v>
      </c>
      <c r="Q1682" s="79">
        <f>VLOOKUP(VLOOKUP(DATEVALUE(TEXT(A1682,"m/d/yyyy")),FY24_Temp[],5,FALSE)&amp;TEXT(A1682,"-h"),TempDelta[],4,FALSE)</f>
        <v>2.3557142189570834</v>
      </c>
      <c r="R1682">
        <v>10</v>
      </c>
      <c r="S1682" s="112">
        <v>1500</v>
      </c>
      <c r="T1682" s="5">
        <f>VLOOKUP(TEXT(A1682,"yy-mm")&amp;"-"&amp;IF(AND(WEEKDAY(A1682)&gt;1,WEEKDAY(A1682)&lt;7),"Wkd",TEXT(A1682,"Ddd"))&amp;"-"&amp;TEXT(A1682,"hh"),LoadTable[],3,FALSE)*0.92</f>
        <v>289.33527113913209</v>
      </c>
      <c r="U1682" s="113">
        <f t="shared" si="1780"/>
        <v>28.933527113913208</v>
      </c>
      <c r="V1682">
        <f t="shared" ref="V1682:W1682" si="1799">V1658</f>
        <v>3.6</v>
      </c>
      <c r="W1682">
        <f t="shared" si="1799"/>
        <v>3.1</v>
      </c>
      <c r="X1682" s="9">
        <v>-6.5781385166666597</v>
      </c>
      <c r="Y1682" s="39"/>
    </row>
    <row r="1683" spans="1:25" ht="15" thickBot="1">
      <c r="A1683" s="149">
        <f t="shared" si="1762"/>
        <v>45905.999999997905</v>
      </c>
      <c r="B1683" s="30">
        <f t="shared" si="1789"/>
        <v>5000</v>
      </c>
      <c r="C1683" s="109">
        <v>25000</v>
      </c>
      <c r="D1683" s="187">
        <v>0</v>
      </c>
      <c r="E1683" s="187">
        <v>700</v>
      </c>
      <c r="F1683" s="187">
        <v>15000</v>
      </c>
      <c r="G1683" s="30">
        <f t="shared" si="1790"/>
        <v>2400</v>
      </c>
      <c r="H1683" s="8">
        <v>25000</v>
      </c>
      <c r="I1683" s="30">
        <f t="shared" si="1791"/>
        <v>5000</v>
      </c>
      <c r="J1683" s="187">
        <v>40000</v>
      </c>
      <c r="K1683" s="30">
        <f t="shared" si="1792"/>
        <v>5000</v>
      </c>
      <c r="L1683" s="187">
        <v>40000</v>
      </c>
      <c r="M1683" s="110">
        <v>9.5</v>
      </c>
      <c r="N1683" s="9">
        <f>VLOOKUP(DATE(YEAR(A1683),MONTH(A1683),DAY(A1683)),FY24_Temp[],3,FALSE)</f>
        <v>15.21</v>
      </c>
      <c r="O1683" s="110">
        <f t="shared" si="1778"/>
        <v>11.5</v>
      </c>
      <c r="P1683" s="110">
        <f t="shared" si="1779"/>
        <v>19.5</v>
      </c>
      <c r="Q1683" s="79">
        <f>VLOOKUP(VLOOKUP(DATEVALUE(TEXT(A1683,"m/d/yyyy")),FY24_Temp[],5,FALSE)&amp;TEXT(A1683,"-h"),TempDelta[],4,FALSE)</f>
        <v>2.2215714454650879</v>
      </c>
      <c r="R1683">
        <v>10</v>
      </c>
      <c r="S1683" s="112">
        <v>1500</v>
      </c>
      <c r="T1683" s="5">
        <f>VLOOKUP(TEXT(A1683,"yy-mm")&amp;"-"&amp;IF(AND(WEEKDAY(A1683)&gt;1,WEEKDAY(A1683)&lt;7),"Wkd",TEXT(A1683,"Ddd"))&amp;"-"&amp;TEXT(A1683,"hh"),LoadTable[],3,FALSE)*0.92</f>
        <v>289.32996596071712</v>
      </c>
      <c r="U1683" s="113">
        <f t="shared" si="1780"/>
        <v>28.93299659607171</v>
      </c>
      <c r="V1683">
        <f t="shared" ref="V1683:W1683" si="1800">V1659</f>
        <v>3</v>
      </c>
      <c r="W1683">
        <f t="shared" si="1800"/>
        <v>3.2</v>
      </c>
      <c r="X1683" s="9">
        <v>-6.6559330666666598</v>
      </c>
      <c r="Y1683" s="39"/>
    </row>
    <row r="1684" spans="1:25" ht="15" thickBot="1">
      <c r="A1684" s="149">
        <f t="shared" si="1762"/>
        <v>45906.041666664569</v>
      </c>
      <c r="B1684" s="30">
        <f t="shared" si="1789"/>
        <v>5000</v>
      </c>
      <c r="C1684" s="8">
        <v>25000</v>
      </c>
      <c r="D1684" s="187">
        <v>0</v>
      </c>
      <c r="E1684" s="187">
        <v>700</v>
      </c>
      <c r="F1684" s="187">
        <v>15000</v>
      </c>
      <c r="G1684" s="30">
        <f t="shared" si="1790"/>
        <v>2400</v>
      </c>
      <c r="H1684" s="8">
        <v>25000</v>
      </c>
      <c r="I1684" s="30">
        <f t="shared" si="1791"/>
        <v>5000</v>
      </c>
      <c r="J1684" s="187">
        <v>40000</v>
      </c>
      <c r="K1684" s="30">
        <f t="shared" si="1792"/>
        <v>5000</v>
      </c>
      <c r="L1684" s="187">
        <v>40000</v>
      </c>
      <c r="M1684" s="110">
        <v>9.5</v>
      </c>
      <c r="N1684" s="9">
        <f>VLOOKUP(DATE(YEAR(A1684),MONTH(A1684),DAY(A1684)),FY24_Temp[],3,FALSE)</f>
        <v>15.21</v>
      </c>
      <c r="O1684" s="110">
        <f t="shared" si="1778"/>
        <v>11.5</v>
      </c>
      <c r="P1684" s="110">
        <f t="shared" si="1779"/>
        <v>19.5</v>
      </c>
      <c r="Q1684" s="79">
        <f>VLOOKUP(VLOOKUP(DATEVALUE(TEXT(A1684,"m/d/yyyy")),FY24_Temp[],5,FALSE)&amp;TEXT(A1684,"-h"),TempDelta[],4,FALSE)</f>
        <v>2.2935714381081715</v>
      </c>
      <c r="R1684">
        <v>10</v>
      </c>
      <c r="S1684" s="112">
        <v>1500</v>
      </c>
      <c r="T1684" s="5">
        <f>VLOOKUP(TEXT(A1684,"yy-mm")&amp;"-"&amp;IF(AND(WEEKDAY(A1684)&gt;1,WEEKDAY(A1684)&lt;7),"Wkd",TEXT(A1684,"Ddd"))&amp;"-"&amp;TEXT(A1684,"hh"),LoadTable[],3,FALSE)*0.92</f>
        <v>289.32996596071712</v>
      </c>
      <c r="U1684" s="113">
        <f t="shared" si="1780"/>
        <v>28.93299659607171</v>
      </c>
      <c r="V1684">
        <f t="shared" ref="V1684:W1684" si="1801">V1660</f>
        <v>2.6</v>
      </c>
      <c r="W1684">
        <f t="shared" si="1801"/>
        <v>3.2</v>
      </c>
      <c r="X1684" s="9">
        <v>-6.73372761666666</v>
      </c>
      <c r="Y1684" s="39"/>
    </row>
    <row r="1685" spans="1:25" ht="15" thickBot="1">
      <c r="A1685" s="149">
        <f t="shared" si="1762"/>
        <v>45906.083333331233</v>
      </c>
      <c r="B1685" s="30">
        <f t="shared" si="1789"/>
        <v>5000</v>
      </c>
      <c r="C1685" s="8">
        <v>25000</v>
      </c>
      <c r="D1685" s="187">
        <v>0</v>
      </c>
      <c r="E1685" s="187">
        <v>700</v>
      </c>
      <c r="F1685" s="187">
        <v>15000</v>
      </c>
      <c r="G1685" s="30">
        <f t="shared" si="1790"/>
        <v>2400</v>
      </c>
      <c r="H1685" s="8">
        <v>25000</v>
      </c>
      <c r="I1685" s="30">
        <f t="shared" si="1791"/>
        <v>5000</v>
      </c>
      <c r="J1685" s="187">
        <v>40000</v>
      </c>
      <c r="K1685" s="30">
        <f t="shared" si="1792"/>
        <v>5000</v>
      </c>
      <c r="L1685" s="187">
        <v>40000</v>
      </c>
      <c r="M1685" s="110">
        <v>9.5</v>
      </c>
      <c r="N1685" s="9">
        <f>VLOOKUP(DATE(YEAR(A1685),MONTH(A1685),DAY(A1685)),FY24_Temp[],3,FALSE)</f>
        <v>15.21</v>
      </c>
      <c r="O1685" s="110">
        <f t="shared" si="1778"/>
        <v>11.5</v>
      </c>
      <c r="P1685" s="110">
        <f t="shared" si="1779"/>
        <v>19.5</v>
      </c>
      <c r="Q1685" s="79">
        <f>VLOOKUP(VLOOKUP(DATEVALUE(TEXT(A1685,"m/d/yyyy")),FY24_Temp[],5,FALSE)&amp;TEXT(A1685,"-h"),TempDelta[],4,FALSE)</f>
        <v>2.3212857246398926</v>
      </c>
      <c r="R1685">
        <v>10</v>
      </c>
      <c r="S1685" s="112">
        <v>1500</v>
      </c>
      <c r="T1685" s="5">
        <f>VLOOKUP(TEXT(A1685,"yy-mm")&amp;"-"&amp;IF(AND(WEEKDAY(A1685)&gt;1,WEEKDAY(A1685)&lt;7),"Wkd",TEXT(A1685,"Ddd"))&amp;"-"&amp;TEXT(A1685,"hh"),LoadTable[],3,FALSE)*0.92</f>
        <v>289.32996596071712</v>
      </c>
      <c r="U1685" s="113">
        <f t="shared" si="1780"/>
        <v>28.93299659607171</v>
      </c>
      <c r="V1685">
        <f t="shared" ref="V1685:W1685" si="1802">V1661</f>
        <v>2.8</v>
      </c>
      <c r="W1685">
        <f t="shared" si="1802"/>
        <v>3.2</v>
      </c>
      <c r="X1685" s="9">
        <v>-6.8115221666666601</v>
      </c>
      <c r="Y1685" s="39"/>
    </row>
    <row r="1686" spans="1:25" ht="15" thickBot="1">
      <c r="A1686" s="149">
        <f t="shared" si="1762"/>
        <v>45906.124999997897</v>
      </c>
      <c r="B1686" s="30">
        <f t="shared" si="1789"/>
        <v>5000</v>
      </c>
      <c r="C1686" s="8">
        <v>25000</v>
      </c>
      <c r="D1686" s="187">
        <v>0</v>
      </c>
      <c r="E1686" s="187">
        <v>700</v>
      </c>
      <c r="F1686" s="187">
        <v>15000</v>
      </c>
      <c r="G1686" s="30">
        <f t="shared" si="1790"/>
        <v>2400</v>
      </c>
      <c r="H1686" s="8">
        <v>25000</v>
      </c>
      <c r="I1686" s="30">
        <f t="shared" si="1791"/>
        <v>5000</v>
      </c>
      <c r="J1686" s="187">
        <v>40000</v>
      </c>
      <c r="K1686" s="30">
        <f t="shared" si="1792"/>
        <v>5000</v>
      </c>
      <c r="L1686" s="187">
        <v>40000</v>
      </c>
      <c r="M1686" s="110">
        <v>9.5</v>
      </c>
      <c r="N1686" s="9">
        <f>VLOOKUP(DATE(YEAR(A1686),MONTH(A1686),DAY(A1686)),FY24_Temp[],3,FALSE)</f>
        <v>15.21</v>
      </c>
      <c r="O1686" s="110">
        <f t="shared" si="1778"/>
        <v>11.5</v>
      </c>
      <c r="P1686" s="110">
        <f t="shared" si="1779"/>
        <v>19.5</v>
      </c>
      <c r="Q1686" s="79">
        <f>VLOOKUP(VLOOKUP(DATEVALUE(TEXT(A1686,"m/d/yyyy")),FY24_Temp[],5,FALSE)&amp;TEXT(A1686,"-h"),TempDelta[],4,FALSE)</f>
        <v>2.3239999498639787</v>
      </c>
      <c r="R1686">
        <v>10</v>
      </c>
      <c r="S1686" s="112">
        <v>1500</v>
      </c>
      <c r="T1686" s="5">
        <f>VLOOKUP(TEXT(A1686,"yy-mm")&amp;"-"&amp;IF(AND(WEEKDAY(A1686)&gt;1,WEEKDAY(A1686)&lt;7),"Wkd",TEXT(A1686,"Ddd"))&amp;"-"&amp;TEXT(A1686,"hh"),LoadTable[],3,FALSE)*0.92</f>
        <v>289.3264287764718</v>
      </c>
      <c r="U1686" s="113">
        <f t="shared" si="1780"/>
        <v>28.932642877647179</v>
      </c>
      <c r="V1686">
        <f t="shared" ref="V1686:W1686" si="1803">V1662</f>
        <v>2.7</v>
      </c>
      <c r="W1686">
        <f t="shared" si="1803"/>
        <v>3.2</v>
      </c>
      <c r="X1686" s="9">
        <v>-6.8893167166666602</v>
      </c>
      <c r="Y1686" s="39"/>
    </row>
    <row r="1687" spans="1:25" ht="15" thickBot="1">
      <c r="A1687" s="149">
        <f t="shared" si="1762"/>
        <v>45906.166666664561</v>
      </c>
      <c r="B1687" s="30">
        <f t="shared" si="1789"/>
        <v>5000</v>
      </c>
      <c r="C1687" s="8">
        <v>25000</v>
      </c>
      <c r="D1687" s="187">
        <v>0</v>
      </c>
      <c r="E1687" s="187">
        <v>700</v>
      </c>
      <c r="F1687" s="187">
        <v>15000</v>
      </c>
      <c r="G1687" s="30">
        <f t="shared" si="1790"/>
        <v>2400</v>
      </c>
      <c r="H1687" s="8">
        <v>25000</v>
      </c>
      <c r="I1687" s="30">
        <f t="shared" si="1791"/>
        <v>5000</v>
      </c>
      <c r="J1687" s="187">
        <v>40000</v>
      </c>
      <c r="K1687" s="30">
        <f t="shared" si="1792"/>
        <v>5000</v>
      </c>
      <c r="L1687" s="187">
        <v>40000</v>
      </c>
      <c r="M1687" s="110">
        <v>9.5</v>
      </c>
      <c r="N1687" s="9">
        <f>VLOOKUP(DATE(YEAR(A1687),MONTH(A1687),DAY(A1687)),FY24_Temp[],3,FALSE)</f>
        <v>15.21</v>
      </c>
      <c r="O1687" s="110">
        <f t="shared" si="1778"/>
        <v>11.5</v>
      </c>
      <c r="P1687" s="110">
        <f t="shared" si="1779"/>
        <v>19.5</v>
      </c>
      <c r="Q1687" s="79">
        <f>VLOOKUP(VLOOKUP(DATEVALUE(TEXT(A1687,"m/d/yyyy")),FY24_Temp[],5,FALSE)&amp;TEXT(A1687,"-h"),TempDelta[],4,FALSE)</f>
        <v>2.3638571671077182</v>
      </c>
      <c r="R1687">
        <v>10</v>
      </c>
      <c r="S1687" s="112">
        <v>1500</v>
      </c>
      <c r="T1687" s="5">
        <f>VLOOKUP(TEXT(A1687,"yy-mm")&amp;"-"&amp;IF(AND(WEEKDAY(A1687)&gt;1,WEEKDAY(A1687)&lt;7),"Wkd",TEXT(A1687,"Ddd"))&amp;"-"&amp;TEXT(A1687,"hh"),LoadTable[],3,FALSE)*0.92</f>
        <v>289.3264287764718</v>
      </c>
      <c r="U1687" s="113">
        <f t="shared" si="1780"/>
        <v>28.932642877647179</v>
      </c>
      <c r="V1687">
        <f t="shared" ref="V1687:W1687" si="1804">V1663</f>
        <v>3</v>
      </c>
      <c r="W1687">
        <f t="shared" si="1804"/>
        <v>3.1</v>
      </c>
      <c r="X1687" s="9">
        <v>-6.9671112666666604</v>
      </c>
      <c r="Y1687" s="39"/>
    </row>
    <row r="1688" spans="1:25" ht="15" thickBot="1">
      <c r="A1688" s="149">
        <f t="shared" si="1762"/>
        <v>45906.208333331226</v>
      </c>
      <c r="B1688" s="30">
        <f t="shared" si="1789"/>
        <v>5000</v>
      </c>
      <c r="C1688" s="8">
        <v>25000</v>
      </c>
      <c r="D1688" s="187">
        <v>0</v>
      </c>
      <c r="E1688" s="187">
        <v>700</v>
      </c>
      <c r="F1688" s="187">
        <v>15000</v>
      </c>
      <c r="G1688" s="30">
        <f t="shared" si="1790"/>
        <v>2400</v>
      </c>
      <c r="H1688" s="8">
        <v>25000</v>
      </c>
      <c r="I1688" s="30">
        <f t="shared" si="1791"/>
        <v>5000</v>
      </c>
      <c r="J1688" s="187">
        <v>40000</v>
      </c>
      <c r="K1688" s="30">
        <f t="shared" si="1792"/>
        <v>5000</v>
      </c>
      <c r="L1688" s="187">
        <v>40000</v>
      </c>
      <c r="M1688" s="110">
        <v>9.5</v>
      </c>
      <c r="N1688" s="9">
        <f>VLOOKUP(DATE(YEAR(A1688),MONTH(A1688),DAY(A1688)),FY24_Temp[],3,FALSE)</f>
        <v>15.21</v>
      </c>
      <c r="O1688" s="110">
        <f t="shared" si="1778"/>
        <v>11.5</v>
      </c>
      <c r="P1688" s="110">
        <f t="shared" si="1779"/>
        <v>19.5</v>
      </c>
      <c r="Q1688" s="79">
        <f>VLOOKUP(VLOOKUP(DATEVALUE(TEXT(A1688,"m/d/yyyy")),FY24_Temp[],5,FALSE)&amp;TEXT(A1688,"-h"),TempDelta[],4,FALSE)</f>
        <v>2.4734285558973039</v>
      </c>
      <c r="R1688">
        <v>10</v>
      </c>
      <c r="S1688" s="112">
        <v>1500</v>
      </c>
      <c r="T1688" s="5">
        <f>VLOOKUP(TEXT(A1688,"yy-mm")&amp;"-"&amp;IF(AND(WEEKDAY(A1688)&gt;1,WEEKDAY(A1688)&lt;7),"Wkd",TEXT(A1688,"Ddd"))&amp;"-"&amp;TEXT(A1688,"hh"),LoadTable[],3,FALSE)*0.92</f>
        <v>289.3264287764718</v>
      </c>
      <c r="U1688" s="113">
        <f t="shared" si="1780"/>
        <v>28.932642877647179</v>
      </c>
      <c r="V1688">
        <f t="shared" ref="V1688:W1688" si="1805">V1664</f>
        <v>2.9</v>
      </c>
      <c r="W1688">
        <f t="shared" si="1805"/>
        <v>3.1</v>
      </c>
      <c r="X1688" s="9">
        <v>-7.0449058166666498</v>
      </c>
      <c r="Y1688" s="39"/>
    </row>
    <row r="1689" spans="1:25" ht="15" thickBot="1">
      <c r="A1689" s="149">
        <f t="shared" si="1762"/>
        <v>45906.24999999789</v>
      </c>
      <c r="B1689" s="30">
        <f t="shared" si="1789"/>
        <v>8000</v>
      </c>
      <c r="C1689" s="8">
        <v>25000</v>
      </c>
      <c r="D1689" s="187">
        <v>0</v>
      </c>
      <c r="E1689" s="187">
        <v>700</v>
      </c>
      <c r="F1689" s="187">
        <v>15000</v>
      </c>
      <c r="G1689" s="30">
        <f t="shared" si="1790"/>
        <v>2400</v>
      </c>
      <c r="H1689" s="8">
        <v>25000</v>
      </c>
      <c r="I1689" s="30">
        <f t="shared" si="1791"/>
        <v>8000</v>
      </c>
      <c r="J1689" s="187">
        <v>40000</v>
      </c>
      <c r="K1689" s="30">
        <f t="shared" si="1792"/>
        <v>8000</v>
      </c>
      <c r="L1689" s="187">
        <v>40000</v>
      </c>
      <c r="M1689" s="110">
        <v>9.5</v>
      </c>
      <c r="N1689" s="9">
        <f>VLOOKUP(DATE(YEAR(A1689),MONTH(A1689),DAY(A1689)),FY24_Temp[],3,FALSE)</f>
        <v>15.21</v>
      </c>
      <c r="O1689" s="110">
        <f t="shared" si="1778"/>
        <v>11.5</v>
      </c>
      <c r="P1689" s="110">
        <f t="shared" si="1779"/>
        <v>19.5</v>
      </c>
      <c r="Q1689" s="79">
        <f>VLOOKUP(VLOOKUP(DATEVALUE(TEXT(A1689,"m/d/yyyy")),FY24_Temp[],5,FALSE)&amp;TEXT(A1689,"-h"),TempDelta[],4,FALSE)</f>
        <v>2.4392857210976735</v>
      </c>
      <c r="R1689">
        <v>10</v>
      </c>
      <c r="S1689" s="112">
        <v>1500</v>
      </c>
      <c r="T1689" s="5">
        <f>VLOOKUP(TEXT(A1689,"yy-mm")&amp;"-"&amp;IF(AND(WEEKDAY(A1689)&gt;1,WEEKDAY(A1689)&lt;7),"Wkd",TEXT(A1689,"Ddd"))&amp;"-"&amp;TEXT(A1689,"hh"),LoadTable[],3,FALSE)*0.92</f>
        <v>289.3264287764718</v>
      </c>
      <c r="U1689" s="113">
        <f t="shared" si="1780"/>
        <v>28.932642877647179</v>
      </c>
      <c r="V1689">
        <f t="shared" ref="V1689:W1689" si="1806">V1665</f>
        <v>2.5</v>
      </c>
      <c r="W1689">
        <f t="shared" si="1806"/>
        <v>3.1</v>
      </c>
      <c r="X1689" s="9">
        <v>-7.12270036666665</v>
      </c>
      <c r="Y1689" s="39"/>
    </row>
    <row r="1690" spans="1:25" ht="15" thickBot="1">
      <c r="A1690" s="149">
        <f t="shared" si="1762"/>
        <v>45906.291666664554</v>
      </c>
      <c r="B1690" s="30">
        <f t="shared" si="1789"/>
        <v>8000</v>
      </c>
      <c r="C1690" s="8">
        <v>25000</v>
      </c>
      <c r="D1690" s="187">
        <v>0</v>
      </c>
      <c r="E1690" s="187">
        <v>700</v>
      </c>
      <c r="F1690" s="187">
        <v>15000</v>
      </c>
      <c r="G1690" s="30">
        <f t="shared" si="1790"/>
        <v>2400</v>
      </c>
      <c r="H1690" s="8">
        <v>25000</v>
      </c>
      <c r="I1690" s="30">
        <f t="shared" si="1791"/>
        <v>8000</v>
      </c>
      <c r="J1690" s="187">
        <v>40000</v>
      </c>
      <c r="K1690" s="30">
        <f t="shared" si="1792"/>
        <v>8000</v>
      </c>
      <c r="L1690" s="187">
        <v>40000</v>
      </c>
      <c r="M1690" s="110">
        <v>9.5</v>
      </c>
      <c r="N1690" s="9">
        <f>VLOOKUP(DATE(YEAR(A1690),MONTH(A1690),DAY(A1690)),FY24_Temp[],3,FALSE)</f>
        <v>15.21</v>
      </c>
      <c r="O1690" s="110">
        <f t="shared" si="1778"/>
        <v>11.5</v>
      </c>
      <c r="P1690" s="110">
        <f t="shared" si="1779"/>
        <v>19.5</v>
      </c>
      <c r="Q1690" s="79">
        <f>VLOOKUP(VLOOKUP(DATEVALUE(TEXT(A1690,"m/d/yyyy")),FY24_Temp[],5,FALSE)&amp;TEXT(A1690,"-h"),TempDelta[],4,FALSE)</f>
        <v>2.3079999514988492</v>
      </c>
      <c r="R1690">
        <v>10</v>
      </c>
      <c r="S1690" s="112">
        <v>1500</v>
      </c>
      <c r="T1690" s="5">
        <f>VLOOKUP(TEXT(A1690,"yy-mm")&amp;"-"&amp;IF(AND(WEEKDAY(A1690)&gt;1,WEEKDAY(A1690)&lt;7),"Wkd",TEXT(A1690,"Ddd"))&amp;"-"&amp;TEXT(A1690,"hh"),LoadTable[],3,FALSE)*0.92</f>
        <v>289.3264287764718</v>
      </c>
      <c r="U1690" s="113">
        <f t="shared" si="1780"/>
        <v>28.932642877647179</v>
      </c>
      <c r="V1690">
        <f t="shared" ref="V1690:W1690" si="1807">V1666</f>
        <v>2.5</v>
      </c>
      <c r="W1690">
        <f t="shared" si="1807"/>
        <v>3.1</v>
      </c>
      <c r="X1690" s="9">
        <v>-7.2004949166666501</v>
      </c>
      <c r="Y1690" s="39"/>
    </row>
    <row r="1691" spans="1:25" ht="15" thickBot="1">
      <c r="A1691" s="149">
        <f t="shared" si="1762"/>
        <v>45906.333333331218</v>
      </c>
      <c r="B1691" s="30">
        <f t="shared" si="1789"/>
        <v>8000</v>
      </c>
      <c r="C1691" s="8">
        <v>25000</v>
      </c>
      <c r="D1691" s="187">
        <v>0</v>
      </c>
      <c r="E1691" s="187">
        <v>700</v>
      </c>
      <c r="F1691" s="187">
        <v>15000</v>
      </c>
      <c r="G1691" s="30">
        <f t="shared" si="1790"/>
        <v>2400</v>
      </c>
      <c r="H1691" s="8">
        <v>25000</v>
      </c>
      <c r="I1691" s="30">
        <f t="shared" si="1791"/>
        <v>8000</v>
      </c>
      <c r="J1691" s="187">
        <v>40000</v>
      </c>
      <c r="K1691" s="30">
        <f t="shared" si="1792"/>
        <v>8000</v>
      </c>
      <c r="L1691" s="187">
        <v>40000</v>
      </c>
      <c r="M1691" s="110">
        <v>9.5</v>
      </c>
      <c r="N1691" s="9">
        <f>VLOOKUP(DATE(YEAR(A1691),MONTH(A1691),DAY(A1691)),FY24_Temp[],3,FALSE)</f>
        <v>15.21</v>
      </c>
      <c r="O1691" s="110">
        <f t="shared" si="1778"/>
        <v>11.5</v>
      </c>
      <c r="P1691" s="110">
        <f t="shared" si="1779"/>
        <v>19.5</v>
      </c>
      <c r="Q1691" s="79">
        <f>VLOOKUP(VLOOKUP(DATEVALUE(TEXT(A1691,"m/d/yyyy")),FY24_Temp[],5,FALSE)&amp;TEXT(A1691,"-h"),TempDelta[],4,FALSE)</f>
        <v>2.1418571812765941</v>
      </c>
      <c r="R1691">
        <v>10</v>
      </c>
      <c r="S1691" s="112">
        <v>1500</v>
      </c>
      <c r="T1691" s="5">
        <f>VLOOKUP(TEXT(A1691,"yy-mm")&amp;"-"&amp;IF(AND(WEEKDAY(A1691)&gt;1,WEEKDAY(A1691)&lt;7),"Wkd",TEXT(A1691,"Ddd"))&amp;"-"&amp;TEXT(A1691,"hh"),LoadTable[],3,FALSE)*0.92</f>
        <v>289.32996596071712</v>
      </c>
      <c r="U1691" s="113">
        <f t="shared" si="1780"/>
        <v>28.93299659607171</v>
      </c>
      <c r="V1691">
        <f t="shared" ref="V1691:W1691" si="1808">V1667</f>
        <v>3.2</v>
      </c>
      <c r="W1691">
        <f t="shared" si="1808"/>
        <v>3</v>
      </c>
      <c r="X1691" s="9">
        <v>-7.2782894666666502</v>
      </c>
      <c r="Y1691" s="39"/>
    </row>
    <row r="1692" spans="1:25" ht="15" thickBot="1">
      <c r="A1692" s="149">
        <f t="shared" si="1762"/>
        <v>45906.374999997883</v>
      </c>
      <c r="B1692" s="30">
        <f t="shared" si="1789"/>
        <v>8000</v>
      </c>
      <c r="C1692" s="8">
        <v>25000</v>
      </c>
      <c r="D1692" s="187">
        <v>0</v>
      </c>
      <c r="E1692" s="187">
        <v>700</v>
      </c>
      <c r="F1692" s="187">
        <v>15000</v>
      </c>
      <c r="G1692" s="30">
        <f t="shared" si="1790"/>
        <v>2400</v>
      </c>
      <c r="H1692" s="8">
        <v>25000</v>
      </c>
      <c r="I1692" s="30">
        <f t="shared" si="1791"/>
        <v>8000</v>
      </c>
      <c r="J1692" s="187">
        <v>40000</v>
      </c>
      <c r="K1692" s="30">
        <f t="shared" si="1792"/>
        <v>8000</v>
      </c>
      <c r="L1692" s="187">
        <v>40000</v>
      </c>
      <c r="M1692" s="110">
        <v>9.5</v>
      </c>
      <c r="N1692" s="9">
        <f>VLOOKUP(DATE(YEAR(A1692),MONTH(A1692),DAY(A1692)),FY24_Temp[],3,FALSE)</f>
        <v>15.21</v>
      </c>
      <c r="O1692" s="110">
        <f t="shared" si="1778"/>
        <v>11.5</v>
      </c>
      <c r="P1692" s="110">
        <f t="shared" si="1779"/>
        <v>19.5</v>
      </c>
      <c r="Q1692" s="79">
        <f>VLOOKUP(VLOOKUP(DATEVALUE(TEXT(A1692,"m/d/yyyy")),FY24_Temp[],5,FALSE)&amp;TEXT(A1692,"-h"),TempDelta[],4,FALSE)</f>
        <v>1.9845714058194841</v>
      </c>
      <c r="R1692">
        <v>10</v>
      </c>
      <c r="S1692" s="112">
        <v>1500</v>
      </c>
      <c r="T1692" s="5">
        <f>VLOOKUP(TEXT(A1692,"yy-mm")&amp;"-"&amp;IF(AND(WEEKDAY(A1692)&gt;1,WEEKDAY(A1692)&lt;7),"Wkd",TEXT(A1692,"Ddd"))&amp;"-"&amp;TEXT(A1692,"hh"),LoadTable[],3,FALSE)*0.92</f>
        <v>289.32996596071712</v>
      </c>
      <c r="U1692" s="113">
        <f t="shared" si="1780"/>
        <v>28.93299659607171</v>
      </c>
      <c r="V1692">
        <f t="shared" ref="V1692:W1692" si="1809">V1668</f>
        <v>2.9</v>
      </c>
      <c r="W1692">
        <f t="shared" si="1809"/>
        <v>3</v>
      </c>
      <c r="X1692" s="9">
        <v>-7.3560840166666503</v>
      </c>
      <c r="Y1692" s="39"/>
    </row>
    <row r="1693" spans="1:25" ht="15" thickBot="1">
      <c r="A1693" s="149">
        <f t="shared" si="1762"/>
        <v>45906.416666664547</v>
      </c>
      <c r="B1693" s="30">
        <f t="shared" si="1789"/>
        <v>8000</v>
      </c>
      <c r="C1693" s="8">
        <v>25000</v>
      </c>
      <c r="D1693" s="187">
        <v>0</v>
      </c>
      <c r="E1693" s="187">
        <v>700</v>
      </c>
      <c r="F1693" s="187">
        <v>15000</v>
      </c>
      <c r="G1693" s="30">
        <f t="shared" si="1790"/>
        <v>2400</v>
      </c>
      <c r="H1693" s="8">
        <v>25000</v>
      </c>
      <c r="I1693" s="30">
        <f t="shared" si="1791"/>
        <v>8000</v>
      </c>
      <c r="J1693" s="187">
        <v>40000</v>
      </c>
      <c r="K1693" s="30">
        <f t="shared" si="1792"/>
        <v>8000</v>
      </c>
      <c r="L1693" s="187">
        <v>40000</v>
      </c>
      <c r="M1693" s="110">
        <v>9.5</v>
      </c>
      <c r="N1693" s="9">
        <f>VLOOKUP(DATE(YEAR(A1693),MONTH(A1693),DAY(A1693)),FY24_Temp[],3,FALSE)</f>
        <v>15.21</v>
      </c>
      <c r="O1693" s="110">
        <f t="shared" si="1778"/>
        <v>11.5</v>
      </c>
      <c r="P1693" s="110">
        <f t="shared" si="1779"/>
        <v>19.5</v>
      </c>
      <c r="Q1693" s="79">
        <f>VLOOKUP(VLOOKUP(DATEVALUE(TEXT(A1693,"m/d/yyyy")),FY24_Temp[],5,FALSE)&amp;TEXT(A1693,"-h"),TempDelta[],4,FALSE)</f>
        <v>1.8231428350721086</v>
      </c>
      <c r="R1693">
        <v>10</v>
      </c>
      <c r="S1693" s="112">
        <v>1500</v>
      </c>
      <c r="T1693" s="5">
        <f>VLOOKUP(TEXT(A1693,"yy-mm")&amp;"-"&amp;IF(AND(WEEKDAY(A1693)&gt;1,WEEKDAY(A1693)&lt;7),"Wkd",TEXT(A1693,"Ddd"))&amp;"-"&amp;TEXT(A1693,"hh"),LoadTable[],3,FALSE)*0.92</f>
        <v>289.32996596071712</v>
      </c>
      <c r="U1693" s="113">
        <f t="shared" si="1780"/>
        <v>28.93299659607171</v>
      </c>
      <c r="V1693">
        <f t="shared" ref="V1693:W1693" si="1810">V1669</f>
        <v>2.9</v>
      </c>
      <c r="W1693">
        <f t="shared" si="1810"/>
        <v>3</v>
      </c>
      <c r="X1693" s="9">
        <v>-7.4338785666666496</v>
      </c>
      <c r="Y1693" s="39"/>
    </row>
    <row r="1694" spans="1:25" ht="15" thickBot="1">
      <c r="A1694" s="149">
        <f t="shared" si="1762"/>
        <v>45906.458333331211</v>
      </c>
      <c r="B1694" s="30">
        <f t="shared" si="1789"/>
        <v>8000</v>
      </c>
      <c r="C1694" s="8">
        <v>25000</v>
      </c>
      <c r="D1694" s="187">
        <v>0</v>
      </c>
      <c r="E1694" s="187">
        <v>700</v>
      </c>
      <c r="F1694" s="187">
        <v>15000</v>
      </c>
      <c r="G1694" s="30">
        <f t="shared" si="1790"/>
        <v>2400</v>
      </c>
      <c r="H1694" s="8">
        <v>25000</v>
      </c>
      <c r="I1694" s="30">
        <f t="shared" si="1791"/>
        <v>8000</v>
      </c>
      <c r="J1694" s="187">
        <v>40000</v>
      </c>
      <c r="K1694" s="30">
        <f t="shared" si="1792"/>
        <v>8000</v>
      </c>
      <c r="L1694" s="187">
        <v>40000</v>
      </c>
      <c r="M1694" s="110">
        <v>9.5</v>
      </c>
      <c r="N1694" s="9">
        <f>VLOOKUP(DATE(YEAR(A1694),MONTH(A1694),DAY(A1694)),FY24_Temp[],3,FALSE)</f>
        <v>15.21</v>
      </c>
      <c r="O1694" s="110">
        <f t="shared" si="1778"/>
        <v>11.5</v>
      </c>
      <c r="P1694" s="110">
        <f t="shared" si="1779"/>
        <v>19.5</v>
      </c>
      <c r="Q1694" s="79">
        <f>VLOOKUP(VLOOKUP(DATEVALUE(TEXT(A1694,"m/d/yyyy")),FY24_Temp[],5,FALSE)&amp;TEXT(A1694,"-h"),TempDelta[],4,FALSE)</f>
        <v>1.6317142759050642</v>
      </c>
      <c r="R1694">
        <v>10</v>
      </c>
      <c r="S1694" s="112">
        <v>1500</v>
      </c>
      <c r="T1694" s="5">
        <f>VLOOKUP(TEXT(A1694,"yy-mm")&amp;"-"&amp;IF(AND(WEEKDAY(A1694)&gt;1,WEEKDAY(A1694)&lt;7),"Wkd",TEXT(A1694,"Ddd"))&amp;"-"&amp;TEXT(A1694,"hh"),LoadTable[],3,FALSE)*0.92</f>
        <v>289.32996596071712</v>
      </c>
      <c r="U1694" s="113">
        <f t="shared" si="1780"/>
        <v>28.93299659607171</v>
      </c>
      <c r="V1694">
        <f t="shared" ref="V1694:W1694" si="1811">V1670</f>
        <v>3.4</v>
      </c>
      <c r="W1694">
        <f t="shared" si="1811"/>
        <v>3</v>
      </c>
      <c r="X1694" s="9">
        <v>-7.5116731166666497</v>
      </c>
      <c r="Y1694" s="39"/>
    </row>
    <row r="1695" spans="1:25" ht="15" thickBot="1">
      <c r="A1695" s="149">
        <f t="shared" si="1762"/>
        <v>45906.499999997875</v>
      </c>
      <c r="B1695" s="30">
        <f t="shared" si="1789"/>
        <v>8000</v>
      </c>
      <c r="C1695" s="8">
        <v>25000</v>
      </c>
      <c r="D1695" s="187">
        <v>0</v>
      </c>
      <c r="E1695" s="187">
        <v>700</v>
      </c>
      <c r="F1695" s="187">
        <v>15000</v>
      </c>
      <c r="G1695" s="30">
        <f t="shared" si="1790"/>
        <v>2400</v>
      </c>
      <c r="H1695" s="8">
        <v>25000</v>
      </c>
      <c r="I1695" s="30">
        <f t="shared" si="1791"/>
        <v>8000</v>
      </c>
      <c r="J1695" s="187">
        <v>40000</v>
      </c>
      <c r="K1695" s="30">
        <f t="shared" si="1792"/>
        <v>8000</v>
      </c>
      <c r="L1695" s="187">
        <v>40000</v>
      </c>
      <c r="M1695" s="110">
        <v>9.5</v>
      </c>
      <c r="N1695" s="9">
        <f>VLOOKUP(DATE(YEAR(A1695),MONTH(A1695),DAY(A1695)),FY24_Temp[],3,FALSE)</f>
        <v>15.21</v>
      </c>
      <c r="O1695" s="110">
        <f t="shared" si="1778"/>
        <v>11.5</v>
      </c>
      <c r="P1695" s="110">
        <f t="shared" si="1779"/>
        <v>19.5</v>
      </c>
      <c r="Q1695" s="79">
        <f>VLOOKUP(VLOOKUP(DATEVALUE(TEXT(A1695,"m/d/yyyy")),FY24_Temp[],5,FALSE)&amp;TEXT(A1695,"-h"),TempDelta[],4,FALSE)</f>
        <v>1.4472857202802385</v>
      </c>
      <c r="R1695">
        <v>10</v>
      </c>
      <c r="S1695" s="112">
        <v>1500</v>
      </c>
      <c r="T1695" s="5">
        <f>VLOOKUP(TEXT(A1695,"yy-mm")&amp;"-"&amp;IF(AND(WEEKDAY(A1695)&gt;1,WEEKDAY(A1695)&lt;7),"Wkd",TEXT(A1695,"Ddd"))&amp;"-"&amp;TEXT(A1695,"hh"),LoadTable[],3,FALSE)*0.92</f>
        <v>289.32996596071712</v>
      </c>
      <c r="U1695" s="113">
        <f t="shared" si="1780"/>
        <v>28.93299659607171</v>
      </c>
      <c r="V1695">
        <f t="shared" ref="V1695:W1695" si="1812">V1671</f>
        <v>3.1</v>
      </c>
      <c r="W1695">
        <f t="shared" si="1812"/>
        <v>2.9</v>
      </c>
      <c r="X1695" s="9">
        <v>-7.5894676666666498</v>
      </c>
      <c r="Y1695" s="39"/>
    </row>
    <row r="1696" spans="1:25" ht="15" thickBot="1">
      <c r="A1696" s="149">
        <f t="shared" si="1762"/>
        <v>45906.54166666454</v>
      </c>
      <c r="B1696" s="30">
        <f t="shared" si="1789"/>
        <v>8000</v>
      </c>
      <c r="C1696" s="8">
        <v>25000</v>
      </c>
      <c r="D1696" s="187">
        <v>0</v>
      </c>
      <c r="E1696" s="187">
        <v>700</v>
      </c>
      <c r="F1696" s="187">
        <v>15000</v>
      </c>
      <c r="G1696" s="30">
        <f t="shared" si="1790"/>
        <v>2400</v>
      </c>
      <c r="H1696" s="8">
        <v>25000</v>
      </c>
      <c r="I1696" s="30">
        <f t="shared" si="1791"/>
        <v>8000</v>
      </c>
      <c r="J1696" s="187">
        <v>40000</v>
      </c>
      <c r="K1696" s="30">
        <f t="shared" si="1792"/>
        <v>8000</v>
      </c>
      <c r="L1696" s="187">
        <v>40000</v>
      </c>
      <c r="M1696" s="110">
        <v>9.5</v>
      </c>
      <c r="N1696" s="9">
        <f>VLOOKUP(DATE(YEAR(A1696),MONTH(A1696),DAY(A1696)),FY24_Temp[],3,FALSE)</f>
        <v>15.21</v>
      </c>
      <c r="O1696" s="110">
        <f t="shared" si="1778"/>
        <v>11.5</v>
      </c>
      <c r="P1696" s="110">
        <f t="shared" si="1779"/>
        <v>19.5</v>
      </c>
      <c r="Q1696" s="79">
        <f>VLOOKUP(VLOOKUP(DATEVALUE(TEXT(A1696,"m/d/yyyy")),FY24_Temp[],5,FALSE)&amp;TEXT(A1696,"-h"),TempDelta[],4,FALSE)</f>
        <v>1.2702857085636683</v>
      </c>
      <c r="R1696">
        <v>10</v>
      </c>
      <c r="S1696" s="112">
        <v>1500</v>
      </c>
      <c r="T1696" s="5">
        <f>VLOOKUP(TEXT(A1696,"yy-mm")&amp;"-"&amp;IF(AND(WEEKDAY(A1696)&gt;1,WEEKDAY(A1696)&lt;7),"Wkd",TEXT(A1696,"Ddd"))&amp;"-"&amp;TEXT(A1696,"hh"),LoadTable[],3,FALSE)*0.92</f>
        <v>289.32996596071712</v>
      </c>
      <c r="U1696" s="113">
        <f t="shared" si="1780"/>
        <v>28.93299659607171</v>
      </c>
      <c r="V1696">
        <f t="shared" ref="V1696:W1696" si="1813">V1672</f>
        <v>3.2</v>
      </c>
      <c r="W1696">
        <f t="shared" si="1813"/>
        <v>2.9</v>
      </c>
      <c r="X1696" s="9">
        <v>-7.66726221666665</v>
      </c>
      <c r="Y1696" s="39"/>
    </row>
    <row r="1697" spans="1:25" ht="15" thickBot="1">
      <c r="A1697" s="149">
        <f t="shared" si="1762"/>
        <v>45906.583333331204</v>
      </c>
      <c r="B1697" s="30">
        <f t="shared" si="1789"/>
        <v>8000</v>
      </c>
      <c r="C1697" s="8">
        <v>25000</v>
      </c>
      <c r="D1697" s="187">
        <v>0</v>
      </c>
      <c r="E1697" s="187">
        <v>700</v>
      </c>
      <c r="F1697" s="187">
        <v>15000</v>
      </c>
      <c r="G1697" s="30">
        <f t="shared" si="1790"/>
        <v>2400</v>
      </c>
      <c r="H1697" s="8">
        <v>25000</v>
      </c>
      <c r="I1697" s="30">
        <f t="shared" si="1791"/>
        <v>8000</v>
      </c>
      <c r="J1697" s="187">
        <v>40000</v>
      </c>
      <c r="K1697" s="30">
        <f t="shared" si="1792"/>
        <v>8000</v>
      </c>
      <c r="L1697" s="187">
        <v>40000</v>
      </c>
      <c r="M1697" s="110">
        <v>9.5</v>
      </c>
      <c r="N1697" s="9">
        <f>VLOOKUP(DATE(YEAR(A1697),MONTH(A1697),DAY(A1697)),FY24_Temp[],3,FALSE)</f>
        <v>15.21</v>
      </c>
      <c r="O1697" s="110">
        <f t="shared" si="1778"/>
        <v>11.5</v>
      </c>
      <c r="P1697" s="110">
        <f t="shared" si="1779"/>
        <v>19.5</v>
      </c>
      <c r="Q1697" s="79">
        <f>VLOOKUP(VLOOKUP(DATEVALUE(TEXT(A1697,"m/d/yyyy")),FY24_Temp[],5,FALSE)&amp;TEXT(A1697,"-h"),TempDelta[],4,FALSE)</f>
        <v>1.1090000016348702</v>
      </c>
      <c r="R1697">
        <v>10</v>
      </c>
      <c r="S1697" s="112">
        <v>1500</v>
      </c>
      <c r="T1697" s="5">
        <f>VLOOKUP(TEXT(A1697,"yy-mm")&amp;"-"&amp;IF(AND(WEEKDAY(A1697)&gt;1,WEEKDAY(A1697)&lt;7),"Wkd",TEXT(A1697,"Ddd"))&amp;"-"&amp;TEXT(A1697,"hh"),LoadTable[],3,FALSE)*0.92</f>
        <v>358.02812000000006</v>
      </c>
      <c r="U1697" s="113">
        <f t="shared" si="1780"/>
        <v>35.802812000000003</v>
      </c>
      <c r="V1697">
        <f t="shared" ref="V1697:W1697" si="1814">V1673</f>
        <v>3.5</v>
      </c>
      <c r="W1697">
        <f t="shared" si="1814"/>
        <v>2.9</v>
      </c>
      <c r="X1697" s="9">
        <v>-7.7450567666666501</v>
      </c>
      <c r="Y1697" s="39"/>
    </row>
    <row r="1698" spans="1:25" ht="15" thickBot="1">
      <c r="A1698" s="149">
        <f t="shared" si="1762"/>
        <v>45906.624999997868</v>
      </c>
      <c r="B1698" s="30">
        <f t="shared" si="1789"/>
        <v>8000</v>
      </c>
      <c r="C1698" s="8">
        <v>25000</v>
      </c>
      <c r="D1698" s="187">
        <v>0</v>
      </c>
      <c r="E1698" s="187">
        <v>700</v>
      </c>
      <c r="F1698" s="187">
        <v>15000</v>
      </c>
      <c r="G1698" s="30">
        <f t="shared" si="1790"/>
        <v>2400</v>
      </c>
      <c r="H1698" s="8">
        <v>25000</v>
      </c>
      <c r="I1698" s="30">
        <f t="shared" si="1791"/>
        <v>8000</v>
      </c>
      <c r="J1698" s="187">
        <v>40000</v>
      </c>
      <c r="K1698" s="30">
        <f t="shared" si="1792"/>
        <v>8000</v>
      </c>
      <c r="L1698" s="187">
        <v>40000</v>
      </c>
      <c r="M1698" s="110">
        <v>9.5</v>
      </c>
      <c r="N1698" s="9">
        <f>VLOOKUP(DATE(YEAR(A1698),MONTH(A1698),DAY(A1698)),FY24_Temp[],3,FALSE)</f>
        <v>15.21</v>
      </c>
      <c r="O1698" s="110">
        <f t="shared" si="1778"/>
        <v>11.5</v>
      </c>
      <c r="P1698" s="110">
        <f t="shared" si="1779"/>
        <v>19.5</v>
      </c>
      <c r="Q1698" s="79">
        <f>VLOOKUP(VLOOKUP(DATEVALUE(TEXT(A1698,"m/d/yyyy")),FY24_Temp[],5,FALSE)&amp;TEXT(A1698,"-h"),TempDelta[],4,FALSE)</f>
        <v>0.62785714651857105</v>
      </c>
      <c r="R1698">
        <v>10</v>
      </c>
      <c r="S1698" s="112">
        <v>1500</v>
      </c>
      <c r="T1698" s="5">
        <f>VLOOKUP(TEXT(A1698,"yy-mm")&amp;"-"&amp;IF(AND(WEEKDAY(A1698)&gt;1,WEEKDAY(A1698)&lt;7),"Wkd",TEXT(A1698,"Ddd"))&amp;"-"&amp;TEXT(A1698,"hh"),LoadTable[],3,FALSE)*0.92</f>
        <v>570.47816246622074</v>
      </c>
      <c r="U1698" s="113">
        <f t="shared" si="1780"/>
        <v>57.047816246622077</v>
      </c>
      <c r="V1698">
        <f t="shared" ref="V1698:W1698" si="1815">V1674</f>
        <v>3.2</v>
      </c>
      <c r="W1698">
        <f t="shared" si="1815"/>
        <v>2.9</v>
      </c>
      <c r="X1698" s="9">
        <v>-7.8228513166666502</v>
      </c>
      <c r="Y1698" s="39"/>
    </row>
    <row r="1699" spans="1:25" ht="15" thickBot="1">
      <c r="A1699" s="149">
        <f t="shared" si="1762"/>
        <v>45906.666666664532</v>
      </c>
      <c r="B1699" s="30">
        <f t="shared" si="1789"/>
        <v>8000</v>
      </c>
      <c r="C1699" s="8">
        <v>25000</v>
      </c>
      <c r="D1699" s="187">
        <v>0</v>
      </c>
      <c r="E1699" s="187">
        <v>700</v>
      </c>
      <c r="F1699" s="187">
        <v>15000</v>
      </c>
      <c r="G1699" s="30">
        <f t="shared" si="1790"/>
        <v>2400</v>
      </c>
      <c r="H1699" s="8">
        <v>25000</v>
      </c>
      <c r="I1699" s="30">
        <f t="shared" si="1791"/>
        <v>8000</v>
      </c>
      <c r="J1699" s="187">
        <v>40000</v>
      </c>
      <c r="K1699" s="30">
        <f t="shared" si="1792"/>
        <v>8000</v>
      </c>
      <c r="L1699" s="187">
        <v>40000</v>
      </c>
      <c r="M1699" s="110">
        <v>9.5</v>
      </c>
      <c r="N1699" s="9">
        <f>VLOOKUP(DATE(YEAR(A1699),MONTH(A1699),DAY(A1699)),FY24_Temp[],3,FALSE)</f>
        <v>15.21</v>
      </c>
      <c r="O1699" s="110">
        <f t="shared" si="1778"/>
        <v>11.5</v>
      </c>
      <c r="P1699" s="110">
        <f t="shared" si="1779"/>
        <v>19.5</v>
      </c>
      <c r="Q1699" s="79">
        <f>VLOOKUP(VLOOKUP(DATEVALUE(TEXT(A1699,"m/d/yyyy")),FY24_Temp[],5,FALSE)&amp;TEXT(A1699,"-h"),TempDelta[],4,FALSE)</f>
        <v>0.70735713200909756</v>
      </c>
      <c r="R1699">
        <v>10</v>
      </c>
      <c r="S1699" s="112">
        <v>1500</v>
      </c>
      <c r="T1699" s="5">
        <f>VLOOKUP(TEXT(A1699,"yy-mm")&amp;"-"&amp;IF(AND(WEEKDAY(A1699)&gt;1,WEEKDAY(A1699)&lt;7),"Wkd",TEXT(A1699,"Ddd"))&amp;"-"&amp;TEXT(A1699,"hh"),LoadTable[],3,FALSE)*0.92</f>
        <v>600.51223261108817</v>
      </c>
      <c r="U1699" s="113">
        <f t="shared" si="1780"/>
        <v>60.051223261108817</v>
      </c>
      <c r="V1699">
        <f t="shared" ref="V1699:W1699" si="1816">V1675</f>
        <v>3.5</v>
      </c>
      <c r="W1699">
        <f t="shared" si="1816"/>
        <v>3</v>
      </c>
      <c r="X1699" s="9">
        <v>-7.9006458666666504</v>
      </c>
      <c r="Y1699" s="39"/>
    </row>
    <row r="1700" spans="1:25" ht="15" thickBot="1">
      <c r="A1700" s="149">
        <f t="shared" si="1762"/>
        <v>45906.708333331197</v>
      </c>
      <c r="B1700" s="30">
        <f t="shared" si="1789"/>
        <v>8000</v>
      </c>
      <c r="C1700" s="8">
        <v>25000</v>
      </c>
      <c r="D1700" s="187">
        <v>0</v>
      </c>
      <c r="E1700" s="187">
        <v>700</v>
      </c>
      <c r="F1700" s="187">
        <v>15000</v>
      </c>
      <c r="G1700" s="30">
        <f t="shared" si="1790"/>
        <v>2400</v>
      </c>
      <c r="H1700" s="8">
        <v>25000</v>
      </c>
      <c r="I1700" s="30">
        <f t="shared" si="1791"/>
        <v>8000</v>
      </c>
      <c r="J1700" s="187">
        <v>40000</v>
      </c>
      <c r="K1700" s="30">
        <f t="shared" si="1792"/>
        <v>8000</v>
      </c>
      <c r="L1700" s="187">
        <v>40000</v>
      </c>
      <c r="M1700" s="110">
        <v>9.5</v>
      </c>
      <c r="N1700" s="9">
        <f>VLOOKUP(DATE(YEAR(A1700),MONTH(A1700),DAY(A1700)),FY24_Temp[],3,FALSE)</f>
        <v>15.21</v>
      </c>
      <c r="O1700" s="110">
        <f t="shared" si="1778"/>
        <v>11.5</v>
      </c>
      <c r="P1700" s="110">
        <f t="shared" si="1779"/>
        <v>19.5</v>
      </c>
      <c r="Q1700" s="79">
        <f>VLOOKUP(VLOOKUP(DATEVALUE(TEXT(A1700,"m/d/yyyy")),FY24_Temp[],5,FALSE)&amp;TEXT(A1700,"-h"),TempDelta[],4,FALSE)</f>
        <v>0.97692857256957466</v>
      </c>
      <c r="R1700">
        <v>10</v>
      </c>
      <c r="S1700" s="112">
        <v>1500</v>
      </c>
      <c r="T1700" s="5">
        <f>VLOOKUP(TEXT(A1700,"yy-mm")&amp;"-"&amp;IF(AND(WEEKDAY(A1700)&gt;1,WEEKDAY(A1700)&lt;7),"Wkd",TEXT(A1700,"Ddd"))&amp;"-"&amp;TEXT(A1700,"hh"),LoadTable[],3,FALSE)*0.92</f>
        <v>600.51223261108817</v>
      </c>
      <c r="U1700" s="113">
        <f t="shared" si="1780"/>
        <v>60.051223261108817</v>
      </c>
      <c r="V1700">
        <f t="shared" ref="V1700:W1700" si="1817">V1676</f>
        <v>3.6</v>
      </c>
      <c r="W1700">
        <f t="shared" si="1817"/>
        <v>3</v>
      </c>
      <c r="X1700" s="9">
        <v>-7.9784404166666398</v>
      </c>
      <c r="Y1700" s="39"/>
    </row>
    <row r="1701" spans="1:25" ht="15" thickBot="1">
      <c r="A1701" s="149">
        <f t="shared" si="1762"/>
        <v>45906.749999997861</v>
      </c>
      <c r="B1701" s="30">
        <f t="shared" si="1789"/>
        <v>5000</v>
      </c>
      <c r="C1701" s="8">
        <v>25000</v>
      </c>
      <c r="D1701" s="187">
        <v>0</v>
      </c>
      <c r="E1701" s="187">
        <v>700</v>
      </c>
      <c r="F1701" s="187">
        <v>15000</v>
      </c>
      <c r="G1701" s="30">
        <f t="shared" si="1790"/>
        <v>2400</v>
      </c>
      <c r="H1701" s="8">
        <v>25000</v>
      </c>
      <c r="I1701" s="30">
        <f t="shared" si="1791"/>
        <v>5000</v>
      </c>
      <c r="J1701" s="187">
        <v>40000</v>
      </c>
      <c r="K1701" s="30">
        <f t="shared" si="1792"/>
        <v>5000</v>
      </c>
      <c r="L1701" s="187">
        <v>40000</v>
      </c>
      <c r="M1701" s="110">
        <v>9.5</v>
      </c>
      <c r="N1701" s="9">
        <f>VLOOKUP(DATE(YEAR(A1701),MONTH(A1701),DAY(A1701)),FY24_Temp[],3,FALSE)</f>
        <v>15.21</v>
      </c>
      <c r="O1701" s="110">
        <f t="shared" si="1778"/>
        <v>11.5</v>
      </c>
      <c r="P1701" s="110">
        <f t="shared" si="1779"/>
        <v>19.5</v>
      </c>
      <c r="Q1701" s="79">
        <f>VLOOKUP(VLOOKUP(DATEVALUE(TEXT(A1701,"m/d/yyyy")),FY24_Temp[],5,FALSE)&amp;TEXT(A1701,"-h"),TempDelta[],4,FALSE)</f>
        <v>1.2994285779339927</v>
      </c>
      <c r="R1701">
        <v>10</v>
      </c>
      <c r="S1701" s="112">
        <v>1500</v>
      </c>
      <c r="T1701" s="5">
        <f>VLOOKUP(TEXT(A1701,"yy-mm")&amp;"-"&amp;IF(AND(WEEKDAY(A1701)&gt;1,WEEKDAY(A1701)&lt;7),"Wkd",TEXT(A1701,"Ddd"))&amp;"-"&amp;TEXT(A1701,"hh"),LoadTable[],3,FALSE)*0.92</f>
        <v>600.51223261108817</v>
      </c>
      <c r="U1701" s="113">
        <f t="shared" si="1780"/>
        <v>60.051223261108817</v>
      </c>
      <c r="V1701">
        <f t="shared" ref="V1701:W1701" si="1818">V1677</f>
        <v>2.9</v>
      </c>
      <c r="W1701">
        <f t="shared" si="1818"/>
        <v>3</v>
      </c>
      <c r="X1701" s="9">
        <v>-8.05623496666664</v>
      </c>
      <c r="Y1701" s="39"/>
    </row>
    <row r="1702" spans="1:25" ht="15" thickBot="1">
      <c r="A1702" s="149">
        <f t="shared" si="1762"/>
        <v>45906.791666664525</v>
      </c>
      <c r="B1702" s="30">
        <f t="shared" si="1789"/>
        <v>5000</v>
      </c>
      <c r="C1702" s="8">
        <v>25000</v>
      </c>
      <c r="D1702" s="187">
        <v>0</v>
      </c>
      <c r="E1702" s="187">
        <v>700</v>
      </c>
      <c r="F1702" s="187">
        <v>15000</v>
      </c>
      <c r="G1702" s="30">
        <f t="shared" si="1790"/>
        <v>2400</v>
      </c>
      <c r="H1702" s="8">
        <v>25000</v>
      </c>
      <c r="I1702" s="30">
        <f t="shared" si="1791"/>
        <v>5000</v>
      </c>
      <c r="J1702" s="187">
        <v>40000</v>
      </c>
      <c r="K1702" s="30">
        <f t="shared" si="1792"/>
        <v>5000</v>
      </c>
      <c r="L1702" s="187">
        <v>40000</v>
      </c>
      <c r="M1702" s="110">
        <v>9.5</v>
      </c>
      <c r="N1702" s="9">
        <f>VLOOKUP(DATE(YEAR(A1702),MONTH(A1702),DAY(A1702)),FY24_Temp[],3,FALSE)</f>
        <v>15.21</v>
      </c>
      <c r="O1702" s="110">
        <f t="shared" si="1778"/>
        <v>11.5</v>
      </c>
      <c r="P1702" s="110">
        <f t="shared" si="1779"/>
        <v>19.5</v>
      </c>
      <c r="Q1702" s="79">
        <f>VLOOKUP(VLOOKUP(DATEVALUE(TEXT(A1702,"m/d/yyyy")),FY24_Temp[],5,FALSE)&amp;TEXT(A1702,"-h"),TempDelta[],4,FALSE)</f>
        <v>1.4374285723481859</v>
      </c>
      <c r="R1702">
        <v>10</v>
      </c>
      <c r="S1702" s="112">
        <v>1500</v>
      </c>
      <c r="T1702" s="5">
        <f>VLOOKUP(TEXT(A1702,"yy-mm")&amp;"-"&amp;IF(AND(WEEKDAY(A1702)&gt;1,WEEKDAY(A1702)&lt;7),"Wkd",TEXT(A1702,"Ddd"))&amp;"-"&amp;TEXT(A1702,"hh"),LoadTable[],3,FALSE)*0.92</f>
        <v>577.06992853688268</v>
      </c>
      <c r="U1702" s="113">
        <f t="shared" si="1780"/>
        <v>57.70699285368827</v>
      </c>
      <c r="V1702">
        <f t="shared" ref="V1702:W1702" si="1819">V1678</f>
        <v>3</v>
      </c>
      <c r="W1702">
        <f t="shared" si="1819"/>
        <v>3</v>
      </c>
      <c r="X1702" s="9">
        <v>-8.1340295166666401</v>
      </c>
      <c r="Y1702" s="39"/>
    </row>
    <row r="1703" spans="1:25" ht="15" thickBot="1">
      <c r="A1703" s="149">
        <f t="shared" si="1762"/>
        <v>45906.833333331189</v>
      </c>
      <c r="B1703" s="30">
        <f t="shared" si="1789"/>
        <v>5000</v>
      </c>
      <c r="C1703" s="8">
        <v>25000</v>
      </c>
      <c r="D1703" s="187">
        <v>0</v>
      </c>
      <c r="E1703" s="187">
        <v>700</v>
      </c>
      <c r="F1703" s="187">
        <v>15000</v>
      </c>
      <c r="G1703" s="30">
        <f t="shared" si="1790"/>
        <v>2400</v>
      </c>
      <c r="H1703" s="8">
        <v>25000</v>
      </c>
      <c r="I1703" s="30">
        <f t="shared" si="1791"/>
        <v>5000</v>
      </c>
      <c r="J1703" s="187">
        <v>40000</v>
      </c>
      <c r="K1703" s="30">
        <f t="shared" si="1792"/>
        <v>5000</v>
      </c>
      <c r="L1703" s="187">
        <v>40000</v>
      </c>
      <c r="M1703" s="110">
        <v>9.5</v>
      </c>
      <c r="N1703" s="9">
        <f>VLOOKUP(DATE(YEAR(A1703),MONTH(A1703),DAY(A1703)),FY24_Temp[],3,FALSE)</f>
        <v>15.21</v>
      </c>
      <c r="O1703" s="110">
        <f t="shared" si="1778"/>
        <v>11.5</v>
      </c>
      <c r="P1703" s="110">
        <f t="shared" si="1779"/>
        <v>19.5</v>
      </c>
      <c r="Q1703" s="79">
        <f>VLOOKUP(VLOOKUP(DATEVALUE(TEXT(A1703,"m/d/yyyy")),FY24_Temp[],5,FALSE)&amp;TEXT(A1703,"-h"),TempDelta[],4,FALSE)</f>
        <v>1.5300714543887548</v>
      </c>
      <c r="R1703">
        <v>10</v>
      </c>
      <c r="S1703" s="112">
        <v>1500</v>
      </c>
      <c r="T1703" s="5">
        <f>VLOOKUP(TEXT(A1703,"yy-mm")&amp;"-"&amp;IF(AND(WEEKDAY(A1703)&gt;1,WEEKDAY(A1703)&lt;7),"Wkd",TEXT(A1703,"Ddd"))&amp;"-"&amp;TEXT(A1703,"hh"),LoadTable[],3,FALSE)*0.92</f>
        <v>545.96065022111975</v>
      </c>
      <c r="U1703" s="113">
        <f t="shared" si="1780"/>
        <v>54.596065022111972</v>
      </c>
      <c r="V1703">
        <f t="shared" ref="V1703:W1703" si="1820">V1679</f>
        <v>2.8</v>
      </c>
      <c r="W1703">
        <f t="shared" si="1820"/>
        <v>3.1</v>
      </c>
      <c r="X1703" s="9">
        <v>-8.2118240666666402</v>
      </c>
      <c r="Y1703" s="39"/>
    </row>
    <row r="1704" spans="1:25" ht="15" thickBot="1">
      <c r="A1704" s="149">
        <f t="shared" si="1762"/>
        <v>45906.874999997854</v>
      </c>
      <c r="B1704" s="30">
        <f t="shared" si="1789"/>
        <v>5000</v>
      </c>
      <c r="C1704" s="8">
        <v>25000</v>
      </c>
      <c r="D1704" s="187">
        <v>0</v>
      </c>
      <c r="E1704" s="187">
        <v>700</v>
      </c>
      <c r="F1704" s="187">
        <v>15000</v>
      </c>
      <c r="G1704" s="30">
        <f t="shared" si="1790"/>
        <v>2400</v>
      </c>
      <c r="H1704" s="8">
        <v>25000</v>
      </c>
      <c r="I1704" s="30">
        <f t="shared" si="1791"/>
        <v>5000</v>
      </c>
      <c r="J1704" s="187">
        <v>40000</v>
      </c>
      <c r="K1704" s="30">
        <f t="shared" si="1792"/>
        <v>5000</v>
      </c>
      <c r="L1704" s="187">
        <v>40000</v>
      </c>
      <c r="M1704" s="110">
        <v>9.5</v>
      </c>
      <c r="N1704" s="9">
        <f>VLOOKUP(DATE(YEAR(A1704),MONTH(A1704),DAY(A1704)),FY24_Temp[],3,FALSE)</f>
        <v>15.21</v>
      </c>
      <c r="O1704" s="110">
        <f t="shared" si="1778"/>
        <v>11.5</v>
      </c>
      <c r="P1704" s="110">
        <f t="shared" si="1779"/>
        <v>19.5</v>
      </c>
      <c r="Q1704" s="79">
        <f>VLOOKUP(VLOOKUP(DATEVALUE(TEXT(A1704,"m/d/yyyy")),FY24_Temp[],5,FALSE)&amp;TEXT(A1704,"-h"),TempDelta[],4,FALSE)</f>
        <v>1.5475714121546065</v>
      </c>
      <c r="R1704">
        <v>10</v>
      </c>
      <c r="S1704" s="112">
        <v>1500</v>
      </c>
      <c r="T1704" s="5">
        <f>VLOOKUP(TEXT(A1704,"yy-mm")&amp;"-"&amp;IF(AND(WEEKDAY(A1704)&gt;1,WEEKDAY(A1704)&lt;7),"Wkd",TEXT(A1704,"Ddd"))&amp;"-"&amp;TEXT(A1704,"hh"),LoadTable[],3,FALSE)*0.92</f>
        <v>458.2982585895578</v>
      </c>
      <c r="U1704" s="113">
        <f t="shared" si="1780"/>
        <v>45.829825858955779</v>
      </c>
      <c r="V1704">
        <f t="shared" ref="V1704:W1704" si="1821">V1680</f>
        <v>3.5</v>
      </c>
      <c r="W1704">
        <f t="shared" si="1821"/>
        <v>3.1</v>
      </c>
      <c r="X1704" s="9">
        <v>-8.2896186166666403</v>
      </c>
      <c r="Y1704" s="39"/>
    </row>
    <row r="1705" spans="1:25" ht="15" thickBot="1">
      <c r="A1705" s="149">
        <f t="shared" si="1762"/>
        <v>45906.916666664518</v>
      </c>
      <c r="B1705" s="30">
        <f t="shared" si="1789"/>
        <v>5000</v>
      </c>
      <c r="C1705" s="8">
        <v>25000</v>
      </c>
      <c r="D1705" s="187">
        <v>0</v>
      </c>
      <c r="E1705" s="187">
        <v>700</v>
      </c>
      <c r="F1705" s="187">
        <v>15000</v>
      </c>
      <c r="G1705" s="30">
        <f t="shared" si="1790"/>
        <v>2400</v>
      </c>
      <c r="H1705" s="8">
        <v>25000</v>
      </c>
      <c r="I1705" s="30">
        <f t="shared" si="1791"/>
        <v>5000</v>
      </c>
      <c r="J1705" s="187">
        <v>40000</v>
      </c>
      <c r="K1705" s="30">
        <f t="shared" si="1792"/>
        <v>5000</v>
      </c>
      <c r="L1705" s="187">
        <v>40000</v>
      </c>
      <c r="M1705" s="110">
        <v>9.5</v>
      </c>
      <c r="N1705" s="9">
        <f>VLOOKUP(DATE(YEAR(A1705),MONTH(A1705),DAY(A1705)),FY24_Temp[],3,FALSE)</f>
        <v>15.21</v>
      </c>
      <c r="O1705" s="110">
        <f t="shared" si="1778"/>
        <v>11.5</v>
      </c>
      <c r="P1705" s="110">
        <f t="shared" si="1779"/>
        <v>19.5</v>
      </c>
      <c r="Q1705" s="79">
        <f>VLOOKUP(VLOOKUP(DATEVALUE(TEXT(A1705,"m/d/yyyy")),FY24_Temp[],5,FALSE)&amp;TEXT(A1705,"-h"),TempDelta[],4,FALSE)</f>
        <v>2.0112857137407576</v>
      </c>
      <c r="R1705">
        <v>10</v>
      </c>
      <c r="S1705" s="112">
        <v>1500</v>
      </c>
      <c r="T1705" s="5">
        <f>VLOOKUP(TEXT(A1705,"yy-mm")&amp;"-"&amp;IF(AND(WEEKDAY(A1705)&gt;1,WEEKDAY(A1705)&lt;7),"Wkd",TEXT(A1705,"Ddd"))&amp;"-"&amp;TEXT(A1705,"hh"),LoadTable[],3,FALSE)*0.92</f>
        <v>318.99288300079945</v>
      </c>
      <c r="U1705" s="113">
        <f t="shared" si="1780"/>
        <v>31.899288300079945</v>
      </c>
      <c r="V1705">
        <f t="shared" ref="V1705:W1705" si="1822">V1681</f>
        <v>2.9</v>
      </c>
      <c r="W1705">
        <f t="shared" si="1822"/>
        <v>3.1</v>
      </c>
      <c r="X1705" s="9">
        <v>-8.3674131666666405</v>
      </c>
      <c r="Y1705" s="39"/>
    </row>
    <row r="1706" spans="1:25" ht="15" thickBot="1">
      <c r="A1706" s="149">
        <f t="shared" si="1762"/>
        <v>45906.958333331182</v>
      </c>
      <c r="B1706" s="30">
        <f t="shared" si="1789"/>
        <v>5000</v>
      </c>
      <c r="C1706" s="8">
        <v>25000</v>
      </c>
      <c r="D1706" s="187">
        <v>0</v>
      </c>
      <c r="E1706" s="187">
        <v>700</v>
      </c>
      <c r="F1706" s="187">
        <v>15000</v>
      </c>
      <c r="G1706" s="30">
        <f t="shared" si="1790"/>
        <v>2400</v>
      </c>
      <c r="H1706" s="8">
        <v>25000</v>
      </c>
      <c r="I1706" s="30">
        <f t="shared" si="1791"/>
        <v>5000</v>
      </c>
      <c r="J1706" s="187">
        <v>40000</v>
      </c>
      <c r="K1706" s="30">
        <f t="shared" si="1792"/>
        <v>5000</v>
      </c>
      <c r="L1706" s="187">
        <v>40000</v>
      </c>
      <c r="M1706" s="110">
        <v>9.5</v>
      </c>
      <c r="N1706" s="9">
        <f>VLOOKUP(DATE(YEAR(A1706),MONTH(A1706),DAY(A1706)),FY24_Temp[],3,FALSE)</f>
        <v>15.21</v>
      </c>
      <c r="O1706" s="110">
        <f t="shared" si="1778"/>
        <v>11.5</v>
      </c>
      <c r="P1706" s="110">
        <f t="shared" si="1779"/>
        <v>19.5</v>
      </c>
      <c r="Q1706" s="79">
        <f>VLOOKUP(VLOOKUP(DATEVALUE(TEXT(A1706,"m/d/yyyy")),FY24_Temp[],5,FALSE)&amp;TEXT(A1706,"-h"),TempDelta[],4,FALSE)</f>
        <v>2.1388571432658603</v>
      </c>
      <c r="R1706">
        <v>10</v>
      </c>
      <c r="S1706" s="112">
        <v>1500</v>
      </c>
      <c r="T1706" s="5">
        <f>VLOOKUP(TEXT(A1706,"yy-mm")&amp;"-"&amp;IF(AND(WEEKDAY(A1706)&gt;1,WEEKDAY(A1706)&lt;7),"Wkd",TEXT(A1706,"Ddd"))&amp;"-"&amp;TEXT(A1706,"hh"),LoadTable[],3,FALSE)*0.92</f>
        <v>295.00084596071707</v>
      </c>
      <c r="U1706" s="113">
        <f t="shared" si="1780"/>
        <v>29.500084596071709</v>
      </c>
      <c r="V1706">
        <f t="shared" ref="V1706:W1706" si="1823">V1682</f>
        <v>3.6</v>
      </c>
      <c r="W1706">
        <f t="shared" si="1823"/>
        <v>3.1</v>
      </c>
      <c r="X1706" s="9">
        <v>-8.4452077166666406</v>
      </c>
      <c r="Y1706" s="39"/>
    </row>
    <row r="1707" spans="1:25" ht="15" thickBot="1">
      <c r="A1707" s="149">
        <f t="shared" si="1762"/>
        <v>45906.999999997846</v>
      </c>
      <c r="B1707" s="30">
        <f t="shared" si="1789"/>
        <v>5000</v>
      </c>
      <c r="C1707" s="8">
        <v>25000</v>
      </c>
      <c r="D1707" s="187">
        <v>0</v>
      </c>
      <c r="E1707" s="187">
        <v>700</v>
      </c>
      <c r="F1707" s="187">
        <v>15000</v>
      </c>
      <c r="G1707" s="30">
        <f t="shared" si="1790"/>
        <v>2400</v>
      </c>
      <c r="H1707" s="8">
        <v>25000</v>
      </c>
      <c r="I1707" s="30">
        <f t="shared" si="1791"/>
        <v>5000</v>
      </c>
      <c r="J1707" s="187">
        <v>40000</v>
      </c>
      <c r="K1707" s="30">
        <f t="shared" si="1792"/>
        <v>5000</v>
      </c>
      <c r="L1707" s="187">
        <v>40000</v>
      </c>
      <c r="M1707" s="110">
        <v>9.5</v>
      </c>
      <c r="N1707" s="9">
        <f>VLOOKUP(DATE(YEAR(A1707),MONTH(A1707),DAY(A1707)),FY24_Temp[],3,FALSE)</f>
        <v>15.21</v>
      </c>
      <c r="O1707" s="110">
        <f t="shared" si="1778"/>
        <v>11.5</v>
      </c>
      <c r="P1707" s="110">
        <f t="shared" si="1779"/>
        <v>19.5</v>
      </c>
      <c r="Q1707" s="79">
        <f>VLOOKUP(VLOOKUP(DATEVALUE(TEXT(A1707,"m/d/yyyy")),FY24_Temp[],5,FALSE)&amp;TEXT(A1707,"-h"),TempDelta[],4,FALSE)</f>
        <v>2.2215714454650879</v>
      </c>
      <c r="R1707">
        <v>10</v>
      </c>
      <c r="S1707" s="112">
        <v>1500</v>
      </c>
      <c r="T1707" s="5">
        <f>VLOOKUP(TEXT(A1707,"yy-mm")&amp;"-"&amp;IF(AND(WEEKDAY(A1707)&gt;1,WEEKDAY(A1707)&lt;7),"Wkd",TEXT(A1707,"Ddd"))&amp;"-"&amp;TEXT(A1707,"hh"),LoadTable[],3,FALSE)*0.92</f>
        <v>289.32996596071712</v>
      </c>
      <c r="U1707" s="113">
        <f t="shared" si="1780"/>
        <v>28.93299659607171</v>
      </c>
      <c r="V1707">
        <f t="shared" ref="V1707:W1707" si="1824">V1683</f>
        <v>3</v>
      </c>
      <c r="W1707">
        <f t="shared" si="1824"/>
        <v>3.2</v>
      </c>
      <c r="X1707" s="9">
        <v>-8.5230022666666407</v>
      </c>
      <c r="Y1707" s="39"/>
    </row>
    <row r="1708" spans="1:25" ht="15" thickBot="1">
      <c r="A1708" s="149">
        <f t="shared" si="1762"/>
        <v>45907.041666664511</v>
      </c>
      <c r="B1708" s="30">
        <f t="shared" si="1789"/>
        <v>5000</v>
      </c>
      <c r="C1708" s="8">
        <v>25000</v>
      </c>
      <c r="D1708" s="187">
        <v>0</v>
      </c>
      <c r="E1708" s="187">
        <v>700</v>
      </c>
      <c r="F1708" s="187">
        <v>15000</v>
      </c>
      <c r="G1708" s="30">
        <f t="shared" si="1790"/>
        <v>2400</v>
      </c>
      <c r="H1708" s="8">
        <v>25000</v>
      </c>
      <c r="I1708" s="30">
        <f t="shared" si="1791"/>
        <v>5000</v>
      </c>
      <c r="J1708" s="187">
        <v>40000</v>
      </c>
      <c r="K1708" s="30">
        <f t="shared" si="1792"/>
        <v>5000</v>
      </c>
      <c r="L1708" s="187">
        <v>40000</v>
      </c>
      <c r="M1708" s="110">
        <v>9.5</v>
      </c>
      <c r="N1708" s="9">
        <f>VLOOKUP(DATE(YEAR(A1708),MONTH(A1708),DAY(A1708)),FY24_Temp[],3,FALSE)</f>
        <v>15.21</v>
      </c>
      <c r="O1708" s="110">
        <f t="shared" si="1778"/>
        <v>11.5</v>
      </c>
      <c r="P1708" s="110">
        <f t="shared" si="1779"/>
        <v>19.5</v>
      </c>
      <c r="Q1708" s="79">
        <f>VLOOKUP(VLOOKUP(DATEVALUE(TEXT(A1708,"m/d/yyyy")),FY24_Temp[],5,FALSE)&amp;TEXT(A1708,"-h"),TempDelta[],4,FALSE)</f>
        <v>2.2935714381081715</v>
      </c>
      <c r="R1708">
        <v>10</v>
      </c>
      <c r="S1708" s="112">
        <v>1500</v>
      </c>
      <c r="T1708" s="5">
        <f>VLOOKUP(TEXT(A1708,"yy-mm")&amp;"-"&amp;IF(AND(WEEKDAY(A1708)&gt;1,WEEKDAY(A1708)&lt;7),"Wkd",TEXT(A1708,"Ddd"))&amp;"-"&amp;TEXT(A1708,"hh"),LoadTable[],3,FALSE)*0.92</f>
        <v>289.32996596071712</v>
      </c>
      <c r="U1708" s="113">
        <f t="shared" si="1780"/>
        <v>28.93299659607171</v>
      </c>
      <c r="V1708">
        <f t="shared" ref="V1708:W1708" si="1825">V1684</f>
        <v>2.6</v>
      </c>
      <c r="W1708">
        <f t="shared" si="1825"/>
        <v>3.2</v>
      </c>
      <c r="X1708" s="9">
        <v>-8.6007968166666409</v>
      </c>
      <c r="Y1708" s="39"/>
    </row>
    <row r="1709" spans="1:25" ht="15" thickBot="1">
      <c r="A1709" s="149">
        <f t="shared" si="1762"/>
        <v>45907.083333331175</v>
      </c>
      <c r="B1709" s="30">
        <f t="shared" si="1789"/>
        <v>5000</v>
      </c>
      <c r="C1709" s="8">
        <v>25000</v>
      </c>
      <c r="D1709" s="187">
        <v>0</v>
      </c>
      <c r="E1709" s="187">
        <v>700</v>
      </c>
      <c r="F1709" s="187">
        <v>15000</v>
      </c>
      <c r="G1709" s="30">
        <f t="shared" si="1790"/>
        <v>2400</v>
      </c>
      <c r="H1709" s="8">
        <v>25000</v>
      </c>
      <c r="I1709" s="30">
        <f t="shared" si="1791"/>
        <v>5000</v>
      </c>
      <c r="J1709" s="187">
        <v>40000</v>
      </c>
      <c r="K1709" s="30">
        <f t="shared" si="1792"/>
        <v>5000</v>
      </c>
      <c r="L1709" s="187">
        <v>40000</v>
      </c>
      <c r="M1709" s="110">
        <v>9.5</v>
      </c>
      <c r="N1709" s="9">
        <f>VLOOKUP(DATE(YEAR(A1709),MONTH(A1709),DAY(A1709)),FY24_Temp[],3,FALSE)</f>
        <v>15.21</v>
      </c>
      <c r="O1709" s="110">
        <f t="shared" si="1778"/>
        <v>11.5</v>
      </c>
      <c r="P1709" s="110">
        <f t="shared" si="1779"/>
        <v>19.5</v>
      </c>
      <c r="Q1709" s="79">
        <f>VLOOKUP(VLOOKUP(DATEVALUE(TEXT(A1709,"m/d/yyyy")),FY24_Temp[],5,FALSE)&amp;TEXT(A1709,"-h"),TempDelta[],4,FALSE)</f>
        <v>2.3212857246398926</v>
      </c>
      <c r="R1709">
        <v>10</v>
      </c>
      <c r="S1709" s="112">
        <v>1500</v>
      </c>
      <c r="T1709" s="5">
        <f>VLOOKUP(TEXT(A1709,"yy-mm")&amp;"-"&amp;IF(AND(WEEKDAY(A1709)&gt;1,WEEKDAY(A1709)&lt;7),"Wkd",TEXT(A1709,"Ddd"))&amp;"-"&amp;TEXT(A1709,"hh"),LoadTable[],3,FALSE)*0.92</f>
        <v>316.63916103217559</v>
      </c>
      <c r="U1709" s="113">
        <f t="shared" si="1780"/>
        <v>31.663916103217559</v>
      </c>
      <c r="V1709">
        <f t="shared" ref="V1709:W1709" si="1826">V1685</f>
        <v>2.8</v>
      </c>
      <c r="W1709">
        <f t="shared" si="1826"/>
        <v>3.2</v>
      </c>
      <c r="X1709" s="9">
        <v>-8.6785913666666392</v>
      </c>
      <c r="Y1709" s="39"/>
    </row>
    <row r="1710" spans="1:25" ht="15" thickBot="1">
      <c r="A1710" s="149">
        <f t="shared" si="1762"/>
        <v>45907.124999997839</v>
      </c>
      <c r="B1710" s="30">
        <f t="shared" si="1789"/>
        <v>5000</v>
      </c>
      <c r="C1710" s="8">
        <v>25000</v>
      </c>
      <c r="D1710" s="187">
        <v>0</v>
      </c>
      <c r="E1710" s="187">
        <v>700</v>
      </c>
      <c r="F1710" s="187">
        <v>15000</v>
      </c>
      <c r="G1710" s="30">
        <f t="shared" si="1790"/>
        <v>2400</v>
      </c>
      <c r="H1710" s="8">
        <v>25000</v>
      </c>
      <c r="I1710" s="30">
        <f t="shared" si="1791"/>
        <v>5000</v>
      </c>
      <c r="J1710" s="187">
        <v>40000</v>
      </c>
      <c r="K1710" s="30">
        <f t="shared" si="1792"/>
        <v>5000</v>
      </c>
      <c r="L1710" s="187">
        <v>40000</v>
      </c>
      <c r="M1710" s="110">
        <v>9.5</v>
      </c>
      <c r="N1710" s="9">
        <f>VLOOKUP(DATE(YEAR(A1710),MONTH(A1710),DAY(A1710)),FY24_Temp[],3,FALSE)</f>
        <v>15.21</v>
      </c>
      <c r="O1710" s="110">
        <f t="shared" si="1778"/>
        <v>11.5</v>
      </c>
      <c r="P1710" s="110">
        <f t="shared" si="1779"/>
        <v>19.5</v>
      </c>
      <c r="Q1710" s="79">
        <f>VLOOKUP(VLOOKUP(DATEVALUE(TEXT(A1710,"m/d/yyyy")),FY24_Temp[],5,FALSE)&amp;TEXT(A1710,"-h"),TempDelta[],4,FALSE)</f>
        <v>2.3239999498639787</v>
      </c>
      <c r="R1710">
        <v>10</v>
      </c>
      <c r="S1710" s="112">
        <v>1500</v>
      </c>
      <c r="T1710" s="5">
        <f>VLOOKUP(TEXT(A1710,"yy-mm")&amp;"-"&amp;IF(AND(WEEKDAY(A1710)&gt;1,WEEKDAY(A1710)&lt;7),"Wkd",TEXT(A1710,"Ddd"))&amp;"-"&amp;TEXT(A1710,"hh"),LoadTable[],3,FALSE)*0.92</f>
        <v>316.63562384793033</v>
      </c>
      <c r="U1710" s="113">
        <f t="shared" si="1780"/>
        <v>31.663562384793032</v>
      </c>
      <c r="V1710">
        <f t="shared" ref="V1710:W1710" si="1827">V1686</f>
        <v>2.7</v>
      </c>
      <c r="W1710">
        <f t="shared" si="1827"/>
        <v>3.2</v>
      </c>
      <c r="X1710" s="9">
        <v>-8.7563859166666393</v>
      </c>
      <c r="Y1710" s="39"/>
    </row>
    <row r="1711" spans="1:25" ht="15" thickBot="1">
      <c r="A1711" s="149">
        <f t="shared" si="1762"/>
        <v>45907.166666664503</v>
      </c>
      <c r="B1711" s="30">
        <f t="shared" si="1789"/>
        <v>5000</v>
      </c>
      <c r="C1711" s="8">
        <v>25000</v>
      </c>
      <c r="D1711" s="187">
        <v>0</v>
      </c>
      <c r="E1711" s="187">
        <v>700</v>
      </c>
      <c r="F1711" s="187">
        <v>15000</v>
      </c>
      <c r="G1711" s="30">
        <f t="shared" si="1790"/>
        <v>2400</v>
      </c>
      <c r="H1711" s="8">
        <v>25000</v>
      </c>
      <c r="I1711" s="30">
        <f t="shared" si="1791"/>
        <v>5000</v>
      </c>
      <c r="J1711" s="187">
        <v>40000</v>
      </c>
      <c r="K1711" s="30">
        <f t="shared" si="1792"/>
        <v>5000</v>
      </c>
      <c r="L1711" s="187">
        <v>40000</v>
      </c>
      <c r="M1711" s="110">
        <v>9.5</v>
      </c>
      <c r="N1711" s="9">
        <f>VLOOKUP(DATE(YEAR(A1711),MONTH(A1711),DAY(A1711)),FY24_Temp[],3,FALSE)</f>
        <v>15.21</v>
      </c>
      <c r="O1711" s="110">
        <f t="shared" si="1778"/>
        <v>11.5</v>
      </c>
      <c r="P1711" s="110">
        <f t="shared" si="1779"/>
        <v>19.5</v>
      </c>
      <c r="Q1711" s="79">
        <f>VLOOKUP(VLOOKUP(DATEVALUE(TEXT(A1711,"m/d/yyyy")),FY24_Temp[],5,FALSE)&amp;TEXT(A1711,"-h"),TempDelta[],4,FALSE)</f>
        <v>2.3638571671077182</v>
      </c>
      <c r="R1711">
        <v>10</v>
      </c>
      <c r="S1711" s="112">
        <v>1500</v>
      </c>
      <c r="T1711" s="5">
        <f>VLOOKUP(TEXT(A1711,"yy-mm")&amp;"-"&amp;IF(AND(WEEKDAY(A1711)&gt;1,WEEKDAY(A1711)&lt;7),"Wkd",TEXT(A1711,"Ddd"))&amp;"-"&amp;TEXT(A1711,"hh"),LoadTable[],3,FALSE)*0.92</f>
        <v>316.63562384793033</v>
      </c>
      <c r="U1711" s="113">
        <f t="shared" si="1780"/>
        <v>31.663562384793032</v>
      </c>
      <c r="V1711">
        <f t="shared" ref="V1711:W1711" si="1828">V1687</f>
        <v>3</v>
      </c>
      <c r="W1711">
        <f t="shared" si="1828"/>
        <v>3.1</v>
      </c>
      <c r="X1711" s="9">
        <v>-8.8341804666666395</v>
      </c>
      <c r="Y1711" s="39"/>
    </row>
    <row r="1712" spans="1:25" ht="15" thickBot="1">
      <c r="A1712" s="149">
        <f t="shared" si="1762"/>
        <v>45907.208333331168</v>
      </c>
      <c r="B1712" s="30">
        <f t="shared" si="1789"/>
        <v>5000</v>
      </c>
      <c r="C1712" s="8">
        <v>25000</v>
      </c>
      <c r="D1712" s="187">
        <v>0</v>
      </c>
      <c r="E1712" s="187">
        <v>700</v>
      </c>
      <c r="F1712" s="187">
        <v>15000</v>
      </c>
      <c r="G1712" s="30">
        <f t="shared" si="1790"/>
        <v>2400</v>
      </c>
      <c r="H1712" s="8">
        <v>25000</v>
      </c>
      <c r="I1712" s="30">
        <f t="shared" si="1791"/>
        <v>5000</v>
      </c>
      <c r="J1712" s="187">
        <v>40000</v>
      </c>
      <c r="K1712" s="30">
        <f t="shared" si="1792"/>
        <v>5000</v>
      </c>
      <c r="L1712" s="187">
        <v>40000</v>
      </c>
      <c r="M1712" s="110">
        <v>9.5</v>
      </c>
      <c r="N1712" s="9">
        <f>VLOOKUP(DATE(YEAR(A1712),MONTH(A1712),DAY(A1712)),FY24_Temp[],3,FALSE)</f>
        <v>15.21</v>
      </c>
      <c r="O1712" s="110">
        <f t="shared" si="1778"/>
        <v>11.5</v>
      </c>
      <c r="P1712" s="110">
        <f t="shared" si="1779"/>
        <v>19.5</v>
      </c>
      <c r="Q1712" s="79">
        <f>VLOOKUP(VLOOKUP(DATEVALUE(TEXT(A1712,"m/d/yyyy")),FY24_Temp[],5,FALSE)&amp;TEXT(A1712,"-h"),TempDelta[],4,FALSE)</f>
        <v>2.4734285558973039</v>
      </c>
      <c r="R1712">
        <v>10</v>
      </c>
      <c r="S1712" s="112">
        <v>1500</v>
      </c>
      <c r="T1712" s="5">
        <f>VLOOKUP(TEXT(A1712,"yy-mm")&amp;"-"&amp;IF(AND(WEEKDAY(A1712)&gt;1,WEEKDAY(A1712)&lt;7),"Wkd",TEXT(A1712,"Ddd"))&amp;"-"&amp;TEXT(A1712,"hh"),LoadTable[],3,FALSE)*0.92</f>
        <v>309.7379444418799</v>
      </c>
      <c r="U1712" s="113">
        <f t="shared" si="1780"/>
        <v>30.973794444187991</v>
      </c>
      <c r="V1712">
        <f t="shared" ref="V1712:W1712" si="1829">V1688</f>
        <v>2.9</v>
      </c>
      <c r="W1712">
        <f t="shared" si="1829"/>
        <v>3.1</v>
      </c>
      <c r="X1712" s="9">
        <v>-8.9119750166666396</v>
      </c>
      <c r="Y1712" s="39"/>
    </row>
    <row r="1713" spans="1:25" ht="15" thickBot="1">
      <c r="A1713" s="149">
        <f t="shared" si="1762"/>
        <v>45907.249999997832</v>
      </c>
      <c r="B1713" s="30">
        <f t="shared" si="1789"/>
        <v>8000</v>
      </c>
      <c r="C1713" s="8">
        <v>25000</v>
      </c>
      <c r="D1713" s="187">
        <v>0</v>
      </c>
      <c r="E1713" s="187">
        <v>700</v>
      </c>
      <c r="F1713" s="187">
        <v>15000</v>
      </c>
      <c r="G1713" s="30">
        <f t="shared" si="1790"/>
        <v>2400</v>
      </c>
      <c r="H1713" s="8">
        <v>25000</v>
      </c>
      <c r="I1713" s="30">
        <f t="shared" si="1791"/>
        <v>8000</v>
      </c>
      <c r="J1713" s="187">
        <v>40000</v>
      </c>
      <c r="K1713" s="30">
        <f t="shared" si="1792"/>
        <v>8000</v>
      </c>
      <c r="L1713" s="187">
        <v>40000</v>
      </c>
      <c r="M1713" s="110">
        <v>9.5</v>
      </c>
      <c r="N1713" s="9">
        <f>VLOOKUP(DATE(YEAR(A1713),MONTH(A1713),DAY(A1713)),FY24_Temp[],3,FALSE)</f>
        <v>15.21</v>
      </c>
      <c r="O1713" s="110">
        <f t="shared" si="1778"/>
        <v>11.5</v>
      </c>
      <c r="P1713" s="110">
        <f t="shared" si="1779"/>
        <v>19.5</v>
      </c>
      <c r="Q1713" s="79">
        <f>VLOOKUP(VLOOKUP(DATEVALUE(TEXT(A1713,"m/d/yyyy")),FY24_Temp[],5,FALSE)&amp;TEXT(A1713,"-h"),TempDelta[],4,FALSE)</f>
        <v>2.4392857210976735</v>
      </c>
      <c r="R1713">
        <v>10</v>
      </c>
      <c r="S1713" s="112">
        <v>1500</v>
      </c>
      <c r="T1713" s="5">
        <f>VLOOKUP(TEXT(A1713,"yy-mm")&amp;"-"&amp;IF(AND(WEEKDAY(A1713)&gt;1,WEEKDAY(A1713)&lt;7),"Wkd",TEXT(A1713,"Ddd"))&amp;"-"&amp;TEXT(A1713,"hh"),LoadTable[],3,FALSE)*0.92</f>
        <v>309.7379444418799</v>
      </c>
      <c r="U1713" s="113">
        <f t="shared" si="1780"/>
        <v>30.973794444187991</v>
      </c>
      <c r="V1713">
        <f t="shared" ref="V1713:W1713" si="1830">V1689</f>
        <v>2.5</v>
      </c>
      <c r="W1713">
        <f t="shared" si="1830"/>
        <v>3.1</v>
      </c>
      <c r="X1713" s="9">
        <v>-8.9897695666666309</v>
      </c>
      <c r="Y1713" s="39"/>
    </row>
    <row r="1714" spans="1:25" ht="15" thickBot="1">
      <c r="A1714" s="149">
        <f t="shared" si="1762"/>
        <v>45907.291666664496</v>
      </c>
      <c r="B1714" s="30">
        <f t="shared" si="1789"/>
        <v>8000</v>
      </c>
      <c r="C1714" s="8">
        <v>25000</v>
      </c>
      <c r="D1714" s="187">
        <v>0</v>
      </c>
      <c r="E1714" s="187">
        <v>700</v>
      </c>
      <c r="F1714" s="187">
        <v>15000</v>
      </c>
      <c r="G1714" s="30">
        <f t="shared" si="1790"/>
        <v>2400</v>
      </c>
      <c r="H1714" s="8">
        <v>25000</v>
      </c>
      <c r="I1714" s="30">
        <f t="shared" si="1791"/>
        <v>8000</v>
      </c>
      <c r="J1714" s="187">
        <v>40000</v>
      </c>
      <c r="K1714" s="30">
        <f t="shared" si="1792"/>
        <v>8000</v>
      </c>
      <c r="L1714" s="187">
        <v>40000</v>
      </c>
      <c r="M1714" s="110">
        <v>9.5</v>
      </c>
      <c r="N1714" s="9">
        <f>VLOOKUP(DATE(YEAR(A1714),MONTH(A1714),DAY(A1714)),FY24_Temp[],3,FALSE)</f>
        <v>15.21</v>
      </c>
      <c r="O1714" s="110">
        <f t="shared" si="1778"/>
        <v>11.5</v>
      </c>
      <c r="P1714" s="110">
        <f t="shared" si="1779"/>
        <v>19.5</v>
      </c>
      <c r="Q1714" s="79">
        <f>VLOOKUP(VLOOKUP(DATEVALUE(TEXT(A1714,"m/d/yyyy")),FY24_Temp[],5,FALSE)&amp;TEXT(A1714,"-h"),TempDelta[],4,FALSE)</f>
        <v>2.3079999514988492</v>
      </c>
      <c r="R1714">
        <v>10</v>
      </c>
      <c r="S1714" s="112">
        <v>1500</v>
      </c>
      <c r="T1714" s="5">
        <f>VLOOKUP(TEXT(A1714,"yy-mm")&amp;"-"&amp;IF(AND(WEEKDAY(A1714)&gt;1,WEEKDAY(A1714)&lt;7),"Wkd",TEXT(A1714,"Ddd"))&amp;"-"&amp;TEXT(A1714,"hh"),LoadTable[],3,FALSE)*0.92</f>
        <v>297.89621158432834</v>
      </c>
      <c r="U1714" s="113">
        <f t="shared" si="1780"/>
        <v>29.789621158432833</v>
      </c>
      <c r="V1714">
        <f t="shared" ref="V1714:W1714" si="1831">V1690</f>
        <v>2.5</v>
      </c>
      <c r="W1714">
        <f t="shared" si="1831"/>
        <v>3.1</v>
      </c>
      <c r="X1714" s="9">
        <v>-9.0675641166666292</v>
      </c>
      <c r="Y1714" s="39"/>
    </row>
    <row r="1715" spans="1:25" ht="15" thickBot="1">
      <c r="A1715" s="149">
        <f t="shared" si="1762"/>
        <v>45907.33333333116</v>
      </c>
      <c r="B1715" s="30">
        <f t="shared" si="1789"/>
        <v>8000</v>
      </c>
      <c r="C1715" s="8">
        <v>25000</v>
      </c>
      <c r="D1715" s="187">
        <v>0</v>
      </c>
      <c r="E1715" s="187">
        <v>700</v>
      </c>
      <c r="F1715" s="187">
        <v>15000</v>
      </c>
      <c r="G1715" s="30">
        <f t="shared" si="1790"/>
        <v>2400</v>
      </c>
      <c r="H1715" s="8">
        <v>25000</v>
      </c>
      <c r="I1715" s="30">
        <f t="shared" si="1791"/>
        <v>8000</v>
      </c>
      <c r="J1715" s="187">
        <v>40000</v>
      </c>
      <c r="K1715" s="30">
        <f t="shared" si="1792"/>
        <v>8000</v>
      </c>
      <c r="L1715" s="187">
        <v>40000</v>
      </c>
      <c r="M1715" s="110">
        <v>9.5</v>
      </c>
      <c r="N1715" s="9">
        <f>VLOOKUP(DATE(YEAR(A1715),MONTH(A1715),DAY(A1715)),FY24_Temp[],3,FALSE)</f>
        <v>15.21</v>
      </c>
      <c r="O1715" s="110">
        <f t="shared" si="1778"/>
        <v>11.5</v>
      </c>
      <c r="P1715" s="110">
        <f t="shared" si="1779"/>
        <v>19.5</v>
      </c>
      <c r="Q1715" s="79">
        <f>VLOOKUP(VLOOKUP(DATEVALUE(TEXT(A1715,"m/d/yyyy")),FY24_Temp[],5,FALSE)&amp;TEXT(A1715,"-h"),TempDelta[],4,FALSE)</f>
        <v>2.1418571812765941</v>
      </c>
      <c r="R1715">
        <v>10</v>
      </c>
      <c r="S1715" s="112">
        <v>1500</v>
      </c>
      <c r="T1715" s="5">
        <f>VLOOKUP(TEXT(A1715,"yy-mm")&amp;"-"&amp;IF(AND(WEEKDAY(A1715)&gt;1,WEEKDAY(A1715)&lt;7),"Wkd",TEXT(A1715,"Ddd"))&amp;"-"&amp;TEXT(A1715,"hh"),LoadTable[],3,FALSE)*0.92</f>
        <v>297.8997487685736</v>
      </c>
      <c r="U1715" s="113">
        <f t="shared" si="1780"/>
        <v>29.789974876857361</v>
      </c>
      <c r="V1715">
        <f t="shared" ref="V1715:W1715" si="1832">V1691</f>
        <v>3.2</v>
      </c>
      <c r="W1715">
        <f t="shared" si="1832"/>
        <v>3</v>
      </c>
      <c r="X1715" s="9">
        <v>-9.1453586666666293</v>
      </c>
      <c r="Y1715" s="39"/>
    </row>
    <row r="1716" spans="1:25" ht="15" thickBot="1">
      <c r="A1716" s="149">
        <f t="shared" si="1762"/>
        <v>45907.374999997824</v>
      </c>
      <c r="B1716" s="30">
        <f t="shared" si="1789"/>
        <v>8000</v>
      </c>
      <c r="C1716" s="8">
        <v>25000</v>
      </c>
      <c r="D1716" s="187">
        <v>0</v>
      </c>
      <c r="E1716" s="187">
        <v>700</v>
      </c>
      <c r="F1716" s="187">
        <v>15000</v>
      </c>
      <c r="G1716" s="30">
        <f t="shared" si="1790"/>
        <v>2400</v>
      </c>
      <c r="H1716" s="8">
        <v>25000</v>
      </c>
      <c r="I1716" s="30">
        <f t="shared" si="1791"/>
        <v>8000</v>
      </c>
      <c r="J1716" s="187">
        <v>40000</v>
      </c>
      <c r="K1716" s="30">
        <f t="shared" si="1792"/>
        <v>8000</v>
      </c>
      <c r="L1716" s="187">
        <v>40000</v>
      </c>
      <c r="M1716" s="110">
        <v>9.5</v>
      </c>
      <c r="N1716" s="9">
        <f>VLOOKUP(DATE(YEAR(A1716),MONTH(A1716),DAY(A1716)),FY24_Temp[],3,FALSE)</f>
        <v>15.21</v>
      </c>
      <c r="O1716" s="110">
        <f t="shared" si="1778"/>
        <v>11.5</v>
      </c>
      <c r="P1716" s="110">
        <f t="shared" si="1779"/>
        <v>19.5</v>
      </c>
      <c r="Q1716" s="79">
        <f>VLOOKUP(VLOOKUP(DATEVALUE(TEXT(A1716,"m/d/yyyy")),FY24_Temp[],5,FALSE)&amp;TEXT(A1716,"-h"),TempDelta[],4,FALSE)</f>
        <v>1.9845714058194841</v>
      </c>
      <c r="R1716">
        <v>10</v>
      </c>
      <c r="S1716" s="112">
        <v>1500</v>
      </c>
      <c r="T1716" s="5">
        <f>VLOOKUP(TEXT(A1716,"yy-mm")&amp;"-"&amp;IF(AND(WEEKDAY(A1716)&gt;1,WEEKDAY(A1716)&lt;7),"Wkd",TEXT(A1716,"Ddd"))&amp;"-"&amp;TEXT(A1716,"hh"),LoadTable[],3,FALSE)*0.92</f>
        <v>291.87724476857363</v>
      </c>
      <c r="U1716" s="113">
        <f t="shared" si="1780"/>
        <v>29.187724476857362</v>
      </c>
      <c r="V1716">
        <f t="shared" ref="V1716:W1716" si="1833">V1692</f>
        <v>2.9</v>
      </c>
      <c r="W1716">
        <f t="shared" si="1833"/>
        <v>3</v>
      </c>
      <c r="X1716" s="9">
        <v>-9.2231532166666295</v>
      </c>
      <c r="Y1716" s="39"/>
    </row>
    <row r="1717" spans="1:25" ht="15" thickBot="1">
      <c r="A1717" s="149">
        <f t="shared" ref="A1717:A1780" si="1834">A1716+TIME(1,0,0)</f>
        <v>45907.416666664489</v>
      </c>
      <c r="B1717" s="30">
        <f t="shared" si="1789"/>
        <v>8000</v>
      </c>
      <c r="C1717" s="8">
        <v>25000</v>
      </c>
      <c r="D1717" s="187">
        <v>0</v>
      </c>
      <c r="E1717" s="187">
        <v>700</v>
      </c>
      <c r="F1717" s="187">
        <v>15000</v>
      </c>
      <c r="G1717" s="30">
        <f t="shared" si="1790"/>
        <v>2400</v>
      </c>
      <c r="H1717" s="8">
        <v>25000</v>
      </c>
      <c r="I1717" s="30">
        <f t="shared" si="1791"/>
        <v>8000</v>
      </c>
      <c r="J1717" s="187">
        <v>40000</v>
      </c>
      <c r="K1717" s="30">
        <f t="shared" si="1792"/>
        <v>8000</v>
      </c>
      <c r="L1717" s="187">
        <v>40000</v>
      </c>
      <c r="M1717" s="110">
        <v>9.5</v>
      </c>
      <c r="N1717" s="9">
        <f>VLOOKUP(DATE(YEAR(A1717),MONTH(A1717),DAY(A1717)),FY24_Temp[],3,FALSE)</f>
        <v>15.21</v>
      </c>
      <c r="O1717" s="110">
        <f t="shared" si="1778"/>
        <v>11.5</v>
      </c>
      <c r="P1717" s="110">
        <f t="shared" si="1779"/>
        <v>19.5</v>
      </c>
      <c r="Q1717" s="79">
        <f>VLOOKUP(VLOOKUP(DATEVALUE(TEXT(A1717,"m/d/yyyy")),FY24_Temp[],5,FALSE)&amp;TEXT(A1717,"-h"),TempDelta[],4,FALSE)</f>
        <v>1.8231428350721086</v>
      </c>
      <c r="R1717">
        <v>10</v>
      </c>
      <c r="S1717" s="112">
        <v>1500</v>
      </c>
      <c r="T1717" s="5">
        <f>VLOOKUP(TEXT(A1717,"yy-mm")&amp;"-"&amp;IF(AND(WEEKDAY(A1717)&gt;1,WEEKDAY(A1717)&lt;7),"Wkd",TEXT(A1717,"Ddd"))&amp;"-"&amp;TEXT(A1717,"hh"),LoadTable[],3,FALSE)*0.92</f>
        <v>290.0418447685737</v>
      </c>
      <c r="U1717" s="113">
        <f t="shared" si="1780"/>
        <v>29.004184476857368</v>
      </c>
      <c r="V1717">
        <f t="shared" ref="V1717:W1717" si="1835">V1693</f>
        <v>2.9</v>
      </c>
      <c r="W1717">
        <f t="shared" si="1835"/>
        <v>3</v>
      </c>
      <c r="X1717" s="9">
        <v>-9.3009477666666296</v>
      </c>
      <c r="Y1717" s="39"/>
    </row>
    <row r="1718" spans="1:25" ht="15" thickBot="1">
      <c r="A1718" s="149">
        <f t="shared" si="1834"/>
        <v>45907.458333331153</v>
      </c>
      <c r="B1718" s="30">
        <f t="shared" si="1789"/>
        <v>8000</v>
      </c>
      <c r="C1718" s="8">
        <v>25000</v>
      </c>
      <c r="D1718" s="187">
        <v>0</v>
      </c>
      <c r="E1718" s="187">
        <v>700</v>
      </c>
      <c r="F1718" s="187">
        <v>15000</v>
      </c>
      <c r="G1718" s="30">
        <f t="shared" si="1790"/>
        <v>2400</v>
      </c>
      <c r="H1718" s="8">
        <v>25000</v>
      </c>
      <c r="I1718" s="30">
        <f t="shared" si="1791"/>
        <v>8000</v>
      </c>
      <c r="J1718" s="187">
        <v>40000</v>
      </c>
      <c r="K1718" s="30">
        <f t="shared" si="1792"/>
        <v>8000</v>
      </c>
      <c r="L1718" s="187">
        <v>40000</v>
      </c>
      <c r="M1718" s="110">
        <v>9.5</v>
      </c>
      <c r="N1718" s="9">
        <f>VLOOKUP(DATE(YEAR(A1718),MONTH(A1718),DAY(A1718)),FY24_Temp[],3,FALSE)</f>
        <v>15.21</v>
      </c>
      <c r="O1718" s="110">
        <f t="shared" si="1778"/>
        <v>11.5</v>
      </c>
      <c r="P1718" s="110">
        <f t="shared" si="1779"/>
        <v>19.5</v>
      </c>
      <c r="Q1718" s="79">
        <f>VLOOKUP(VLOOKUP(DATEVALUE(TEXT(A1718,"m/d/yyyy")),FY24_Temp[],5,FALSE)&amp;TEXT(A1718,"-h"),TempDelta[],4,FALSE)</f>
        <v>1.6317142759050642</v>
      </c>
      <c r="R1718">
        <v>10</v>
      </c>
      <c r="S1718" s="112">
        <v>1500</v>
      </c>
      <c r="T1718" s="5">
        <f>VLOOKUP(TEXT(A1718,"yy-mm")&amp;"-"&amp;IF(AND(WEEKDAY(A1718)&gt;1,WEEKDAY(A1718)&lt;7),"Wkd",TEXT(A1718,"Ddd"))&amp;"-"&amp;TEXT(A1718,"hh"),LoadTable[],3,FALSE)*0.92</f>
        <v>292.66046400000005</v>
      </c>
      <c r="U1718" s="113">
        <f t="shared" si="1780"/>
        <v>29.266046400000004</v>
      </c>
      <c r="V1718">
        <f t="shared" ref="V1718:W1718" si="1836">V1694</f>
        <v>3.4</v>
      </c>
      <c r="W1718">
        <f t="shared" si="1836"/>
        <v>3</v>
      </c>
      <c r="X1718" s="9">
        <v>-9.3787423166666297</v>
      </c>
      <c r="Y1718" s="39"/>
    </row>
    <row r="1719" spans="1:25" ht="15" thickBot="1">
      <c r="A1719" s="149">
        <f t="shared" si="1834"/>
        <v>45907.499999997817</v>
      </c>
      <c r="B1719" s="30">
        <f t="shared" si="1789"/>
        <v>8000</v>
      </c>
      <c r="C1719" s="8">
        <v>25000</v>
      </c>
      <c r="D1719" s="187">
        <v>0</v>
      </c>
      <c r="E1719" s="187">
        <v>700</v>
      </c>
      <c r="F1719" s="187">
        <v>15000</v>
      </c>
      <c r="G1719" s="30">
        <f t="shared" si="1790"/>
        <v>2400</v>
      </c>
      <c r="H1719" s="8">
        <v>25000</v>
      </c>
      <c r="I1719" s="30">
        <f t="shared" si="1791"/>
        <v>8000</v>
      </c>
      <c r="J1719" s="187">
        <v>40000</v>
      </c>
      <c r="K1719" s="30">
        <f t="shared" si="1792"/>
        <v>8000</v>
      </c>
      <c r="L1719" s="187">
        <v>40000</v>
      </c>
      <c r="M1719" s="110">
        <v>9.5</v>
      </c>
      <c r="N1719" s="9">
        <f>VLOOKUP(DATE(YEAR(A1719),MONTH(A1719),DAY(A1719)),FY24_Temp[],3,FALSE)</f>
        <v>15.21</v>
      </c>
      <c r="O1719" s="110">
        <f t="shared" si="1778"/>
        <v>11.5</v>
      </c>
      <c r="P1719" s="110">
        <f t="shared" si="1779"/>
        <v>19.5</v>
      </c>
      <c r="Q1719" s="79">
        <f>VLOOKUP(VLOOKUP(DATEVALUE(TEXT(A1719,"m/d/yyyy")),FY24_Temp[],5,FALSE)&amp;TEXT(A1719,"-h"),TempDelta[],4,FALSE)</f>
        <v>1.4472857202802385</v>
      </c>
      <c r="R1719">
        <v>10</v>
      </c>
      <c r="S1719" s="112">
        <v>1500</v>
      </c>
      <c r="T1719" s="5">
        <f>VLOOKUP(TEXT(A1719,"yy-mm")&amp;"-"&amp;IF(AND(WEEKDAY(A1719)&gt;1,WEEKDAY(A1719)&lt;7),"Wkd",TEXT(A1719,"Ddd"))&amp;"-"&amp;TEXT(A1719,"hh"),LoadTable[],3,FALSE)*0.92</f>
        <v>292.66046400000005</v>
      </c>
      <c r="U1719" s="113">
        <f t="shared" si="1780"/>
        <v>29.266046400000004</v>
      </c>
      <c r="V1719">
        <f t="shared" ref="V1719:W1719" si="1837">V1695</f>
        <v>3.1</v>
      </c>
      <c r="W1719">
        <f t="shared" si="1837"/>
        <v>2.9</v>
      </c>
      <c r="X1719" s="9">
        <v>-9.4565368666666298</v>
      </c>
      <c r="Y1719" s="39"/>
    </row>
    <row r="1720" spans="1:25" ht="15" thickBot="1">
      <c r="A1720" s="149">
        <f t="shared" si="1834"/>
        <v>45907.541666664481</v>
      </c>
      <c r="B1720" s="30">
        <f t="shared" si="1789"/>
        <v>8000</v>
      </c>
      <c r="C1720" s="8">
        <v>25000</v>
      </c>
      <c r="D1720" s="187">
        <v>0</v>
      </c>
      <c r="E1720" s="187">
        <v>700</v>
      </c>
      <c r="F1720" s="187">
        <v>15000</v>
      </c>
      <c r="G1720" s="30">
        <f t="shared" si="1790"/>
        <v>2400</v>
      </c>
      <c r="H1720" s="8">
        <v>25000</v>
      </c>
      <c r="I1720" s="30">
        <f t="shared" si="1791"/>
        <v>8000</v>
      </c>
      <c r="J1720" s="187">
        <v>40000</v>
      </c>
      <c r="K1720" s="30">
        <f t="shared" si="1792"/>
        <v>8000</v>
      </c>
      <c r="L1720" s="187">
        <v>40000</v>
      </c>
      <c r="M1720" s="110">
        <v>9.5</v>
      </c>
      <c r="N1720" s="9">
        <f>VLOOKUP(DATE(YEAR(A1720),MONTH(A1720),DAY(A1720)),FY24_Temp[],3,FALSE)</f>
        <v>15.21</v>
      </c>
      <c r="O1720" s="110">
        <f t="shared" si="1778"/>
        <v>11.5</v>
      </c>
      <c r="P1720" s="110">
        <f t="shared" si="1779"/>
        <v>19.5</v>
      </c>
      <c r="Q1720" s="79">
        <f>VLOOKUP(VLOOKUP(DATEVALUE(TEXT(A1720,"m/d/yyyy")),FY24_Temp[],5,FALSE)&amp;TEXT(A1720,"-h"),TempDelta[],4,FALSE)</f>
        <v>1.2702857085636683</v>
      </c>
      <c r="R1720">
        <v>10</v>
      </c>
      <c r="S1720" s="112">
        <v>1500</v>
      </c>
      <c r="T1720" s="5">
        <f>VLOOKUP(TEXT(A1720,"yy-mm")&amp;"-"&amp;IF(AND(WEEKDAY(A1720)&gt;1,WEEKDAY(A1720)&lt;7),"Wkd",TEXT(A1720,"Ddd"))&amp;"-"&amp;TEXT(A1720,"hh"),LoadTable[],3,FALSE)*0.92</f>
        <v>292.60324000000008</v>
      </c>
      <c r="U1720" s="113">
        <f t="shared" si="1780"/>
        <v>29.260324000000008</v>
      </c>
      <c r="V1720">
        <f t="shared" ref="V1720:W1720" si="1838">V1696</f>
        <v>3.2</v>
      </c>
      <c r="W1720">
        <f t="shared" si="1838"/>
        <v>2.9</v>
      </c>
      <c r="X1720" s="9">
        <v>-9.53433141666663</v>
      </c>
      <c r="Y1720" s="39"/>
    </row>
    <row r="1721" spans="1:25" ht="15" thickBot="1">
      <c r="A1721" s="149">
        <f t="shared" si="1834"/>
        <v>45907.583333331146</v>
      </c>
      <c r="B1721" s="30">
        <f t="shared" si="1789"/>
        <v>8000</v>
      </c>
      <c r="C1721" s="8">
        <v>25000</v>
      </c>
      <c r="D1721" s="187">
        <v>0</v>
      </c>
      <c r="E1721" s="187">
        <v>700</v>
      </c>
      <c r="F1721" s="187">
        <v>15000</v>
      </c>
      <c r="G1721" s="30">
        <f t="shared" si="1790"/>
        <v>2400</v>
      </c>
      <c r="H1721" s="8">
        <v>25000</v>
      </c>
      <c r="I1721" s="30">
        <f t="shared" si="1791"/>
        <v>8000</v>
      </c>
      <c r="J1721" s="187">
        <v>40000</v>
      </c>
      <c r="K1721" s="30">
        <f t="shared" si="1792"/>
        <v>8000</v>
      </c>
      <c r="L1721" s="187">
        <v>40000</v>
      </c>
      <c r="M1721" s="110">
        <v>9.5</v>
      </c>
      <c r="N1721" s="9">
        <f>VLOOKUP(DATE(YEAR(A1721),MONTH(A1721),DAY(A1721)),FY24_Temp[],3,FALSE)</f>
        <v>15.21</v>
      </c>
      <c r="O1721" s="110">
        <f t="shared" si="1778"/>
        <v>11.5</v>
      </c>
      <c r="P1721" s="110">
        <f t="shared" si="1779"/>
        <v>19.5</v>
      </c>
      <c r="Q1721" s="79">
        <f>VLOOKUP(VLOOKUP(DATEVALUE(TEXT(A1721,"m/d/yyyy")),FY24_Temp[],5,FALSE)&amp;TEXT(A1721,"-h"),TempDelta[],4,FALSE)</f>
        <v>1.1090000016348702</v>
      </c>
      <c r="R1721">
        <v>10</v>
      </c>
      <c r="S1721" s="112">
        <v>1500</v>
      </c>
      <c r="T1721" s="5">
        <f>VLOOKUP(TEXT(A1721,"yy-mm")&amp;"-"&amp;IF(AND(WEEKDAY(A1721)&gt;1,WEEKDAY(A1721)&lt;7),"Wkd",TEXT(A1721,"Ddd"))&amp;"-"&amp;TEXT(A1721,"hh"),LoadTable[],3,FALSE)*0.92</f>
        <v>341.35680000000008</v>
      </c>
      <c r="U1721" s="113">
        <f t="shared" si="1780"/>
        <v>34.135680000000008</v>
      </c>
      <c r="V1721">
        <f t="shared" ref="V1721:W1721" si="1839">V1697</f>
        <v>3.5</v>
      </c>
      <c r="W1721">
        <f t="shared" si="1839"/>
        <v>2.9</v>
      </c>
      <c r="X1721" s="9">
        <v>-9.6121259666666301</v>
      </c>
      <c r="Y1721" s="39"/>
    </row>
    <row r="1722" spans="1:25" ht="15" thickBot="1">
      <c r="A1722" s="149">
        <f t="shared" si="1834"/>
        <v>45907.62499999781</v>
      </c>
      <c r="B1722" s="30">
        <f t="shared" si="1789"/>
        <v>8000</v>
      </c>
      <c r="C1722" s="8">
        <v>25000</v>
      </c>
      <c r="D1722" s="187">
        <v>0</v>
      </c>
      <c r="E1722" s="187">
        <v>700</v>
      </c>
      <c r="F1722" s="187">
        <v>15000</v>
      </c>
      <c r="G1722" s="30">
        <f t="shared" si="1790"/>
        <v>2400</v>
      </c>
      <c r="H1722" s="8">
        <v>25000</v>
      </c>
      <c r="I1722" s="30">
        <f t="shared" si="1791"/>
        <v>8000</v>
      </c>
      <c r="J1722" s="187">
        <v>40000</v>
      </c>
      <c r="K1722" s="30">
        <f t="shared" si="1792"/>
        <v>8000</v>
      </c>
      <c r="L1722" s="187">
        <v>40000</v>
      </c>
      <c r="M1722" s="110">
        <v>9.5</v>
      </c>
      <c r="N1722" s="9">
        <f>VLOOKUP(DATE(YEAR(A1722),MONTH(A1722),DAY(A1722)),FY24_Temp[],3,FALSE)</f>
        <v>15.21</v>
      </c>
      <c r="O1722" s="110">
        <f t="shared" si="1778"/>
        <v>11.5</v>
      </c>
      <c r="P1722" s="110">
        <f t="shared" si="1779"/>
        <v>19.5</v>
      </c>
      <c r="Q1722" s="79">
        <f>VLOOKUP(VLOOKUP(DATEVALUE(TEXT(A1722,"m/d/yyyy")),FY24_Temp[],5,FALSE)&amp;TEXT(A1722,"-h"),TempDelta[],4,FALSE)</f>
        <v>0.62785714651857105</v>
      </c>
      <c r="R1722">
        <v>10</v>
      </c>
      <c r="S1722" s="112">
        <v>1500</v>
      </c>
      <c r="T1722" s="5">
        <f>VLOOKUP(TEXT(A1722,"yy-mm")&amp;"-"&amp;IF(AND(WEEKDAY(A1722)&gt;1,WEEKDAY(A1722)&lt;7),"Wkd",TEXT(A1722,"Ddd"))&amp;"-"&amp;TEXT(A1722,"hh"),LoadTable[],3,FALSE)*0.92</f>
        <v>574.54532098648792</v>
      </c>
      <c r="U1722" s="113">
        <f t="shared" si="1780"/>
        <v>57.454532098648791</v>
      </c>
      <c r="V1722">
        <f t="shared" ref="V1722:W1722" si="1840">V1698</f>
        <v>3.2</v>
      </c>
      <c r="W1722">
        <f t="shared" si="1840"/>
        <v>2.9</v>
      </c>
      <c r="X1722" s="9">
        <v>-9.6899205166666302</v>
      </c>
      <c r="Y1722" s="39"/>
    </row>
    <row r="1723" spans="1:25" ht="15" thickBot="1">
      <c r="A1723" s="149">
        <f t="shared" si="1834"/>
        <v>45907.666666664474</v>
      </c>
      <c r="B1723" s="30">
        <f t="shared" si="1789"/>
        <v>8000</v>
      </c>
      <c r="C1723" s="8">
        <v>25000</v>
      </c>
      <c r="D1723" s="187">
        <v>0</v>
      </c>
      <c r="E1723" s="187">
        <v>700</v>
      </c>
      <c r="F1723" s="187">
        <v>15000</v>
      </c>
      <c r="G1723" s="30">
        <f t="shared" si="1790"/>
        <v>2400</v>
      </c>
      <c r="H1723" s="8">
        <v>25000</v>
      </c>
      <c r="I1723" s="30">
        <f t="shared" si="1791"/>
        <v>8000</v>
      </c>
      <c r="J1723" s="187">
        <v>40000</v>
      </c>
      <c r="K1723" s="30">
        <f t="shared" si="1792"/>
        <v>8000</v>
      </c>
      <c r="L1723" s="187">
        <v>40000</v>
      </c>
      <c r="M1723" s="110">
        <v>9.5</v>
      </c>
      <c r="N1723" s="9">
        <f>VLOOKUP(DATE(YEAR(A1723),MONTH(A1723),DAY(A1723)),FY24_Temp[],3,FALSE)</f>
        <v>15.21</v>
      </c>
      <c r="O1723" s="110">
        <f t="shared" si="1778"/>
        <v>11.5</v>
      </c>
      <c r="P1723" s="110">
        <f t="shared" si="1779"/>
        <v>19.5</v>
      </c>
      <c r="Q1723" s="79">
        <f>VLOOKUP(VLOOKUP(DATEVALUE(TEXT(A1723,"m/d/yyyy")),FY24_Temp[],5,FALSE)&amp;TEXT(A1723,"-h"),TempDelta[],4,FALSE)</f>
        <v>0.70735713200909756</v>
      </c>
      <c r="R1723">
        <v>10</v>
      </c>
      <c r="S1723" s="112">
        <v>1500</v>
      </c>
      <c r="T1723" s="5">
        <f>VLOOKUP(TEXT(A1723,"yy-mm")&amp;"-"&amp;IF(AND(WEEKDAY(A1723)&gt;1,WEEKDAY(A1723)&lt;7),"Wkd",TEXT(A1723,"Ddd"))&amp;"-"&amp;TEXT(A1723,"hh"),LoadTable[],3,FALSE)*0.92</f>
        <v>641.47602521827605</v>
      </c>
      <c r="U1723" s="113">
        <f t="shared" si="1780"/>
        <v>64.147602521827608</v>
      </c>
      <c r="V1723">
        <f t="shared" ref="V1723:W1723" si="1841">V1699</f>
        <v>3.5</v>
      </c>
      <c r="W1723">
        <f t="shared" si="1841"/>
        <v>3</v>
      </c>
      <c r="X1723" s="9">
        <v>-9.7677150666666304</v>
      </c>
      <c r="Y1723" s="39"/>
    </row>
    <row r="1724" spans="1:25" ht="15" thickBot="1">
      <c r="A1724" s="149">
        <f t="shared" si="1834"/>
        <v>45907.708333331138</v>
      </c>
      <c r="B1724" s="30">
        <f t="shared" si="1789"/>
        <v>8000</v>
      </c>
      <c r="C1724" s="8">
        <v>25000</v>
      </c>
      <c r="D1724" s="187">
        <v>0</v>
      </c>
      <c r="E1724" s="187">
        <v>700</v>
      </c>
      <c r="F1724" s="187">
        <v>15000</v>
      </c>
      <c r="G1724" s="30">
        <f t="shared" si="1790"/>
        <v>2400</v>
      </c>
      <c r="H1724" s="8">
        <v>25000</v>
      </c>
      <c r="I1724" s="30">
        <f t="shared" si="1791"/>
        <v>8000</v>
      </c>
      <c r="J1724" s="187">
        <v>40000</v>
      </c>
      <c r="K1724" s="30">
        <f t="shared" si="1792"/>
        <v>8000</v>
      </c>
      <c r="L1724" s="187">
        <v>40000</v>
      </c>
      <c r="M1724" s="110">
        <v>9.5</v>
      </c>
      <c r="N1724" s="9">
        <f>VLOOKUP(DATE(YEAR(A1724),MONTH(A1724),DAY(A1724)),FY24_Temp[],3,FALSE)</f>
        <v>15.21</v>
      </c>
      <c r="O1724" s="110">
        <f t="shared" si="1778"/>
        <v>11.5</v>
      </c>
      <c r="P1724" s="110">
        <f t="shared" si="1779"/>
        <v>19.5</v>
      </c>
      <c r="Q1724" s="79">
        <f>VLOOKUP(VLOOKUP(DATEVALUE(TEXT(A1724,"m/d/yyyy")),FY24_Temp[],5,FALSE)&amp;TEXT(A1724,"-h"),TempDelta[],4,FALSE)</f>
        <v>0.97692857256957466</v>
      </c>
      <c r="R1724">
        <v>10</v>
      </c>
      <c r="S1724" s="112">
        <v>1500</v>
      </c>
      <c r="T1724" s="5">
        <f>VLOOKUP(TEXT(A1724,"yy-mm")&amp;"-"&amp;IF(AND(WEEKDAY(A1724)&gt;1,WEEKDAY(A1724)&lt;7),"Wkd",TEXT(A1724,"Ddd"))&amp;"-"&amp;TEXT(A1724,"hh"),LoadTable[],3,FALSE)*0.92</f>
        <v>641.47602521827605</v>
      </c>
      <c r="U1724" s="113">
        <f t="shared" si="1780"/>
        <v>64.147602521827608</v>
      </c>
      <c r="V1724">
        <f t="shared" ref="V1724:W1724" si="1842">V1700</f>
        <v>3.6</v>
      </c>
      <c r="W1724">
        <f t="shared" si="1842"/>
        <v>3</v>
      </c>
      <c r="X1724" s="9">
        <v>-9.8455096166666305</v>
      </c>
      <c r="Y1724" s="39"/>
    </row>
    <row r="1725" spans="1:25" ht="15" thickBot="1">
      <c r="A1725" s="149">
        <f t="shared" si="1834"/>
        <v>45907.749999997803</v>
      </c>
      <c r="B1725" s="30">
        <f t="shared" si="1789"/>
        <v>5000</v>
      </c>
      <c r="C1725" s="8">
        <v>25000</v>
      </c>
      <c r="D1725" s="187">
        <v>0</v>
      </c>
      <c r="E1725" s="187">
        <v>700</v>
      </c>
      <c r="F1725" s="187">
        <v>15000</v>
      </c>
      <c r="G1725" s="30">
        <f t="shared" si="1790"/>
        <v>2400</v>
      </c>
      <c r="H1725" s="8">
        <v>25000</v>
      </c>
      <c r="I1725" s="30">
        <f t="shared" si="1791"/>
        <v>5000</v>
      </c>
      <c r="J1725" s="187">
        <v>40000</v>
      </c>
      <c r="K1725" s="30">
        <f t="shared" si="1792"/>
        <v>5000</v>
      </c>
      <c r="L1725" s="187">
        <v>40000</v>
      </c>
      <c r="M1725" s="110">
        <v>9.5</v>
      </c>
      <c r="N1725" s="9">
        <f>VLOOKUP(DATE(YEAR(A1725),MONTH(A1725),DAY(A1725)),FY24_Temp[],3,FALSE)</f>
        <v>15.21</v>
      </c>
      <c r="O1725" s="110">
        <f t="shared" si="1778"/>
        <v>11.5</v>
      </c>
      <c r="P1725" s="110">
        <f t="shared" si="1779"/>
        <v>19.5</v>
      </c>
      <c r="Q1725" s="79">
        <f>VLOOKUP(VLOOKUP(DATEVALUE(TEXT(A1725,"m/d/yyyy")),FY24_Temp[],5,FALSE)&amp;TEXT(A1725,"-h"),TempDelta[],4,FALSE)</f>
        <v>1.2994285779339927</v>
      </c>
      <c r="R1725">
        <v>10</v>
      </c>
      <c r="S1725" s="112">
        <v>1500</v>
      </c>
      <c r="T1725" s="5">
        <f>VLOOKUP(TEXT(A1725,"yy-mm")&amp;"-"&amp;IF(AND(WEEKDAY(A1725)&gt;1,WEEKDAY(A1725)&lt;7),"Wkd",TEXT(A1725,"Ddd"))&amp;"-"&amp;TEXT(A1725,"hh"),LoadTable[],3,FALSE)*0.92</f>
        <v>641.47602521827605</v>
      </c>
      <c r="U1725" s="113">
        <f t="shared" si="1780"/>
        <v>64.147602521827608</v>
      </c>
      <c r="V1725">
        <f t="shared" ref="V1725:W1725" si="1843">V1701</f>
        <v>2.9</v>
      </c>
      <c r="W1725">
        <f t="shared" si="1843"/>
        <v>3</v>
      </c>
      <c r="X1725" s="9">
        <v>-9.9233041666666306</v>
      </c>
      <c r="Y1725" s="39"/>
    </row>
    <row r="1726" spans="1:25" ht="15" thickBot="1">
      <c r="A1726" s="149">
        <f t="shared" si="1834"/>
        <v>45907.791666664467</v>
      </c>
      <c r="B1726" s="30">
        <f t="shared" si="1789"/>
        <v>5000</v>
      </c>
      <c r="C1726" s="8">
        <v>25000</v>
      </c>
      <c r="D1726" s="187">
        <v>0</v>
      </c>
      <c r="E1726" s="187">
        <v>700</v>
      </c>
      <c r="F1726" s="187">
        <v>15000</v>
      </c>
      <c r="G1726" s="30">
        <f t="shared" si="1790"/>
        <v>2400</v>
      </c>
      <c r="H1726" s="8">
        <v>25000</v>
      </c>
      <c r="I1726" s="30">
        <f t="shared" si="1791"/>
        <v>5000</v>
      </c>
      <c r="J1726" s="187">
        <v>40000</v>
      </c>
      <c r="K1726" s="30">
        <f t="shared" si="1792"/>
        <v>5000</v>
      </c>
      <c r="L1726" s="187">
        <v>40000</v>
      </c>
      <c r="M1726" s="110">
        <v>9.5</v>
      </c>
      <c r="N1726" s="9">
        <f>VLOOKUP(DATE(YEAR(A1726),MONTH(A1726),DAY(A1726)),FY24_Temp[],3,FALSE)</f>
        <v>15.21</v>
      </c>
      <c r="O1726" s="110">
        <f t="shared" si="1778"/>
        <v>11.5</v>
      </c>
      <c r="P1726" s="110">
        <f t="shared" si="1779"/>
        <v>19.5</v>
      </c>
      <c r="Q1726" s="79">
        <f>VLOOKUP(VLOOKUP(DATEVALUE(TEXT(A1726,"m/d/yyyy")),FY24_Temp[],5,FALSE)&amp;TEXT(A1726,"-h"),TempDelta[],4,FALSE)</f>
        <v>1.4374285723481859</v>
      </c>
      <c r="R1726">
        <v>10</v>
      </c>
      <c r="S1726" s="112">
        <v>1500</v>
      </c>
      <c r="T1726" s="5">
        <f>VLOOKUP(TEXT(A1726,"yy-mm")&amp;"-"&amp;IF(AND(WEEKDAY(A1726)&gt;1,WEEKDAY(A1726)&lt;7),"Wkd",TEXT(A1726,"Ddd"))&amp;"-"&amp;TEXT(A1726,"hh"),LoadTable[],3,FALSE)*0.92</f>
        <v>639.45388251315194</v>
      </c>
      <c r="U1726" s="113">
        <f t="shared" si="1780"/>
        <v>63.945388251315194</v>
      </c>
      <c r="V1726">
        <f t="shared" ref="V1726:W1726" si="1844">V1702</f>
        <v>3</v>
      </c>
      <c r="W1726">
        <f t="shared" si="1844"/>
        <v>3</v>
      </c>
      <c r="X1726" s="9">
        <v>-10.001098716666601</v>
      </c>
      <c r="Y1726" s="39"/>
    </row>
    <row r="1727" spans="1:25" ht="15" thickBot="1">
      <c r="A1727" s="149">
        <f t="shared" si="1834"/>
        <v>45907.833333331131</v>
      </c>
      <c r="B1727" s="30">
        <f t="shared" si="1789"/>
        <v>5000</v>
      </c>
      <c r="C1727" s="8">
        <v>25000</v>
      </c>
      <c r="D1727" s="187">
        <v>0</v>
      </c>
      <c r="E1727" s="187">
        <v>700</v>
      </c>
      <c r="F1727" s="187">
        <v>15000</v>
      </c>
      <c r="G1727" s="30">
        <f t="shared" si="1790"/>
        <v>2400</v>
      </c>
      <c r="H1727" s="8">
        <v>25000</v>
      </c>
      <c r="I1727" s="30">
        <f t="shared" si="1791"/>
        <v>5000</v>
      </c>
      <c r="J1727" s="187">
        <v>40000</v>
      </c>
      <c r="K1727" s="30">
        <f t="shared" si="1792"/>
        <v>5000</v>
      </c>
      <c r="L1727" s="187">
        <v>40000</v>
      </c>
      <c r="M1727" s="110">
        <v>9.5</v>
      </c>
      <c r="N1727" s="9">
        <f>VLOOKUP(DATE(YEAR(A1727),MONTH(A1727),DAY(A1727)),FY24_Temp[],3,FALSE)</f>
        <v>15.21</v>
      </c>
      <c r="O1727" s="110">
        <f t="shared" si="1778"/>
        <v>11.5</v>
      </c>
      <c r="P1727" s="110">
        <f t="shared" si="1779"/>
        <v>19.5</v>
      </c>
      <c r="Q1727" s="79">
        <f>VLOOKUP(VLOOKUP(DATEVALUE(TEXT(A1727,"m/d/yyyy")),FY24_Temp[],5,FALSE)&amp;TEXT(A1727,"-h"),TempDelta[],4,FALSE)</f>
        <v>1.5300714543887548</v>
      </c>
      <c r="R1727">
        <v>10</v>
      </c>
      <c r="S1727" s="112">
        <v>1500</v>
      </c>
      <c r="T1727" s="5">
        <f>VLOOKUP(TEXT(A1727,"yy-mm")&amp;"-"&amp;IF(AND(WEEKDAY(A1727)&gt;1,WEEKDAY(A1727)&lt;7),"Wkd",TEXT(A1727,"Ddd"))&amp;"-"&amp;TEXT(A1727,"hh"),LoadTable[],3,FALSE)*0.92</f>
        <v>584.83549237023499</v>
      </c>
      <c r="U1727" s="113">
        <f t="shared" si="1780"/>
        <v>58.483549237023496</v>
      </c>
      <c r="V1727">
        <f t="shared" ref="V1727:W1727" si="1845">V1703</f>
        <v>2.8</v>
      </c>
      <c r="W1727">
        <f t="shared" si="1845"/>
        <v>3.1</v>
      </c>
      <c r="X1727" s="9">
        <v>-10.078893266666601</v>
      </c>
      <c r="Y1727" s="39"/>
    </row>
    <row r="1728" spans="1:25" ht="15" thickBot="1">
      <c r="A1728" s="149">
        <f t="shared" si="1834"/>
        <v>45907.874999997795</v>
      </c>
      <c r="B1728" s="30">
        <f t="shared" si="1789"/>
        <v>5000</v>
      </c>
      <c r="C1728" s="8">
        <v>25000</v>
      </c>
      <c r="D1728" s="187">
        <v>0</v>
      </c>
      <c r="E1728" s="187">
        <v>700</v>
      </c>
      <c r="F1728" s="187">
        <v>15000</v>
      </c>
      <c r="G1728" s="30">
        <f t="shared" si="1790"/>
        <v>2400</v>
      </c>
      <c r="H1728" s="8">
        <v>25000</v>
      </c>
      <c r="I1728" s="30">
        <f t="shared" si="1791"/>
        <v>5000</v>
      </c>
      <c r="J1728" s="187">
        <v>40000</v>
      </c>
      <c r="K1728" s="30">
        <f t="shared" si="1792"/>
        <v>5000</v>
      </c>
      <c r="L1728" s="187">
        <v>40000</v>
      </c>
      <c r="M1728" s="110">
        <v>9.5</v>
      </c>
      <c r="N1728" s="9">
        <f>VLOOKUP(DATE(YEAR(A1728),MONTH(A1728),DAY(A1728)),FY24_Temp[],3,FALSE)</f>
        <v>15.21</v>
      </c>
      <c r="O1728" s="110">
        <f t="shared" si="1778"/>
        <v>11.5</v>
      </c>
      <c r="P1728" s="110">
        <f t="shared" si="1779"/>
        <v>19.5</v>
      </c>
      <c r="Q1728" s="79">
        <f>VLOOKUP(VLOOKUP(DATEVALUE(TEXT(A1728,"m/d/yyyy")),FY24_Temp[],5,FALSE)&amp;TEXT(A1728,"-h"),TempDelta[],4,FALSE)</f>
        <v>1.5475714121546065</v>
      </c>
      <c r="R1728">
        <v>10</v>
      </c>
      <c r="S1728" s="112">
        <v>1500</v>
      </c>
      <c r="T1728" s="5">
        <f>VLOOKUP(TEXT(A1728,"yy-mm")&amp;"-"&amp;IF(AND(WEEKDAY(A1728)&gt;1,WEEKDAY(A1728)&lt;7),"Wkd",TEXT(A1728,"Ddd"))&amp;"-"&amp;TEXT(A1728,"hh"),LoadTable[],3,FALSE)*0.92</f>
        <v>515.78096925471493</v>
      </c>
      <c r="U1728" s="113">
        <f t="shared" si="1780"/>
        <v>51.578096925471492</v>
      </c>
      <c r="V1728">
        <f t="shared" ref="V1728:W1728" si="1846">V1704</f>
        <v>3.5</v>
      </c>
      <c r="W1728">
        <f t="shared" si="1846"/>
        <v>3.1</v>
      </c>
      <c r="X1728" s="9">
        <v>-10.156687816666601</v>
      </c>
      <c r="Y1728" s="39"/>
    </row>
    <row r="1729" spans="1:25" ht="15" thickBot="1">
      <c r="A1729" s="149">
        <f t="shared" si="1834"/>
        <v>45907.91666666446</v>
      </c>
      <c r="B1729" s="30">
        <f t="shared" si="1789"/>
        <v>5000</v>
      </c>
      <c r="C1729" s="8">
        <v>25000</v>
      </c>
      <c r="D1729" s="187">
        <v>0</v>
      </c>
      <c r="E1729" s="187">
        <v>700</v>
      </c>
      <c r="F1729" s="187">
        <v>15000</v>
      </c>
      <c r="G1729" s="30">
        <f t="shared" si="1790"/>
        <v>2400</v>
      </c>
      <c r="H1729" s="8">
        <v>25000</v>
      </c>
      <c r="I1729" s="30">
        <f t="shared" si="1791"/>
        <v>5000</v>
      </c>
      <c r="J1729" s="187">
        <v>40000</v>
      </c>
      <c r="K1729" s="30">
        <f t="shared" si="1792"/>
        <v>5000</v>
      </c>
      <c r="L1729" s="187">
        <v>40000</v>
      </c>
      <c r="M1729" s="110">
        <v>9.5</v>
      </c>
      <c r="N1729" s="9">
        <f>VLOOKUP(DATE(YEAR(A1729),MONTH(A1729),DAY(A1729)),FY24_Temp[],3,FALSE)</f>
        <v>15.21</v>
      </c>
      <c r="O1729" s="110">
        <f t="shared" si="1778"/>
        <v>11.5</v>
      </c>
      <c r="P1729" s="110">
        <f t="shared" si="1779"/>
        <v>19.5</v>
      </c>
      <c r="Q1729" s="79">
        <f>VLOOKUP(VLOOKUP(DATEVALUE(TEXT(A1729,"m/d/yyyy")),FY24_Temp[],5,FALSE)&amp;TEXT(A1729,"-h"),TempDelta[],4,FALSE)</f>
        <v>2.0112857137407576</v>
      </c>
      <c r="R1729">
        <v>10</v>
      </c>
      <c r="S1729" s="112">
        <v>1500</v>
      </c>
      <c r="T1729" s="5">
        <f>VLOOKUP(TEXT(A1729,"yy-mm")&amp;"-"&amp;IF(AND(WEEKDAY(A1729)&gt;1,WEEKDAY(A1729)&lt;7),"Wkd",TEXT(A1729,"Ddd"))&amp;"-"&amp;TEXT(A1729,"hh"),LoadTable[],3,FALSE)*0.92</f>
        <v>357.4610490891456</v>
      </c>
      <c r="U1729" s="113">
        <f t="shared" si="1780"/>
        <v>35.74610490891456</v>
      </c>
      <c r="V1729">
        <f t="shared" ref="V1729:W1729" si="1847">V1705</f>
        <v>2.9</v>
      </c>
      <c r="W1729">
        <f t="shared" si="1847"/>
        <v>3.1</v>
      </c>
      <c r="X1729" s="9">
        <v>-10.234482366666599</v>
      </c>
      <c r="Y1729" s="39"/>
    </row>
    <row r="1730" spans="1:25" ht="15" thickBot="1">
      <c r="A1730" s="149">
        <f t="shared" si="1834"/>
        <v>45907.958333331124</v>
      </c>
      <c r="B1730" s="30">
        <f t="shared" si="1789"/>
        <v>5000</v>
      </c>
      <c r="C1730" s="8">
        <v>25000</v>
      </c>
      <c r="D1730" s="187">
        <v>0</v>
      </c>
      <c r="E1730" s="187">
        <v>700</v>
      </c>
      <c r="F1730" s="187">
        <v>15000</v>
      </c>
      <c r="G1730" s="30">
        <f t="shared" si="1790"/>
        <v>2400</v>
      </c>
      <c r="H1730" s="8">
        <v>25000</v>
      </c>
      <c r="I1730" s="30">
        <f t="shared" si="1791"/>
        <v>5000</v>
      </c>
      <c r="J1730" s="187">
        <v>40000</v>
      </c>
      <c r="K1730" s="30">
        <f t="shared" si="1792"/>
        <v>5000</v>
      </c>
      <c r="L1730" s="187">
        <v>40000</v>
      </c>
      <c r="M1730" s="110">
        <v>9.5</v>
      </c>
      <c r="N1730" s="9">
        <f>VLOOKUP(DATE(YEAR(A1730),MONTH(A1730),DAY(A1730)),FY24_Temp[],3,FALSE)</f>
        <v>15.21</v>
      </c>
      <c r="O1730" s="110">
        <f t="shared" si="1778"/>
        <v>11.5</v>
      </c>
      <c r="P1730" s="110">
        <f t="shared" si="1779"/>
        <v>19.5</v>
      </c>
      <c r="Q1730" s="79">
        <f>VLOOKUP(VLOOKUP(DATEVALUE(TEXT(A1730,"m/d/yyyy")),FY24_Temp[],5,FALSE)&amp;TEXT(A1730,"-h"),TempDelta[],4,FALSE)</f>
        <v>2.1388571432658603</v>
      </c>
      <c r="R1730">
        <v>10</v>
      </c>
      <c r="S1730" s="112">
        <v>1500</v>
      </c>
      <c r="T1730" s="5">
        <f>VLOOKUP(TEXT(A1730,"yy-mm")&amp;"-"&amp;IF(AND(WEEKDAY(A1730)&gt;1,WEEKDAY(A1730)&lt;7),"Wkd",TEXT(A1730,"Ddd"))&amp;"-"&amp;TEXT(A1730,"hh"),LoadTable[],3,FALSE)*0.92</f>
        <v>316.63916103217565</v>
      </c>
      <c r="U1730" s="113">
        <f t="shared" si="1780"/>
        <v>31.663916103217566</v>
      </c>
      <c r="V1730">
        <f t="shared" ref="V1730:W1730" si="1848">V1706</f>
        <v>3.6</v>
      </c>
      <c r="W1730">
        <f t="shared" si="1848"/>
        <v>3.1</v>
      </c>
      <c r="X1730" s="9">
        <v>-10.312276916666599</v>
      </c>
      <c r="Y1730" s="39"/>
    </row>
    <row r="1731" spans="1:25" ht="15" thickBot="1">
      <c r="A1731" s="149">
        <f t="shared" si="1834"/>
        <v>45907.999999997788</v>
      </c>
      <c r="B1731" s="30">
        <f t="shared" si="1789"/>
        <v>5000</v>
      </c>
      <c r="C1731" s="8">
        <v>25000</v>
      </c>
      <c r="D1731" s="187">
        <v>0</v>
      </c>
      <c r="E1731" s="187">
        <v>700</v>
      </c>
      <c r="F1731" s="187">
        <v>15000</v>
      </c>
      <c r="G1731" s="30">
        <f t="shared" si="1790"/>
        <v>2400</v>
      </c>
      <c r="H1731" s="8">
        <v>25000</v>
      </c>
      <c r="I1731" s="30">
        <f t="shared" si="1791"/>
        <v>5000</v>
      </c>
      <c r="J1731" s="187">
        <v>40000</v>
      </c>
      <c r="K1731" s="30">
        <f t="shared" si="1792"/>
        <v>5000</v>
      </c>
      <c r="L1731" s="187">
        <v>40000</v>
      </c>
      <c r="M1731" s="110">
        <v>9.5</v>
      </c>
      <c r="N1731" s="9">
        <f>VLOOKUP(DATE(YEAR(A1731),MONTH(A1731),DAY(A1731)),FY24_Temp[],3,FALSE)</f>
        <v>15.21</v>
      </c>
      <c r="O1731" s="110">
        <f t="shared" si="1778"/>
        <v>11.5</v>
      </c>
      <c r="P1731" s="110">
        <f t="shared" si="1779"/>
        <v>19.5</v>
      </c>
      <c r="Q1731" s="79">
        <f>VLOOKUP(VLOOKUP(DATEVALUE(TEXT(A1731,"m/d/yyyy")),FY24_Temp[],5,FALSE)&amp;TEXT(A1731,"-h"),TempDelta[],4,FALSE)</f>
        <v>2.2215714454650879</v>
      </c>
      <c r="R1731">
        <v>10</v>
      </c>
      <c r="S1731" s="112">
        <v>1500</v>
      </c>
      <c r="T1731" s="5">
        <f>VLOOKUP(TEXT(A1731,"yy-mm")&amp;"-"&amp;IF(AND(WEEKDAY(A1731)&gt;1,WEEKDAY(A1731)&lt;7),"Wkd",TEXT(A1731,"Ddd"))&amp;"-"&amp;TEXT(A1731,"hh"),LoadTable[],3,FALSE)*0.92</f>
        <v>289.0624787084426</v>
      </c>
      <c r="U1731" s="113">
        <f t="shared" si="1780"/>
        <v>28.906247870844261</v>
      </c>
      <c r="V1731">
        <f t="shared" ref="V1731:W1731" si="1849">V1707</f>
        <v>3</v>
      </c>
      <c r="W1731">
        <f t="shared" si="1849"/>
        <v>3.2</v>
      </c>
      <c r="X1731" s="9">
        <v>-10.390071466666599</v>
      </c>
      <c r="Y1731" s="39"/>
    </row>
    <row r="1732" spans="1:25" ht="15" thickBot="1">
      <c r="A1732" s="149">
        <f t="shared" si="1834"/>
        <v>45908.041666664452</v>
      </c>
      <c r="B1732" s="30">
        <f t="shared" si="1789"/>
        <v>5000</v>
      </c>
      <c r="C1732" s="8">
        <v>25000</v>
      </c>
      <c r="D1732" s="187">
        <v>0</v>
      </c>
      <c r="E1732" s="187">
        <v>700</v>
      </c>
      <c r="F1732" s="187">
        <v>15000</v>
      </c>
      <c r="G1732" s="30">
        <f t="shared" si="1790"/>
        <v>2400</v>
      </c>
      <c r="H1732" s="8">
        <v>25000</v>
      </c>
      <c r="I1732" s="30">
        <f t="shared" si="1791"/>
        <v>5000</v>
      </c>
      <c r="J1732" s="187">
        <v>40000</v>
      </c>
      <c r="K1732" s="30">
        <f t="shared" si="1792"/>
        <v>5000</v>
      </c>
      <c r="L1732" s="187">
        <v>40000</v>
      </c>
      <c r="M1732" s="110">
        <v>9.5</v>
      </c>
      <c r="N1732" s="9">
        <f>VLOOKUP(DATE(YEAR(A1732),MONTH(A1732),DAY(A1732)),FY24_Temp[],3,FALSE)</f>
        <v>15.21</v>
      </c>
      <c r="O1732" s="110">
        <f t="shared" ref="O1732:O1795" si="1850">15.5-4</f>
        <v>11.5</v>
      </c>
      <c r="P1732" s="110">
        <f t="shared" ref="P1732:P1795" si="1851">15.5+4</f>
        <v>19.5</v>
      </c>
      <c r="Q1732" s="79">
        <f>VLOOKUP(VLOOKUP(DATEVALUE(TEXT(A1732,"m/d/yyyy")),FY24_Temp[],5,FALSE)&amp;TEXT(A1732,"-h"),TempDelta[],4,FALSE)</f>
        <v>2.2935714381081715</v>
      </c>
      <c r="R1732">
        <v>10</v>
      </c>
      <c r="S1732" s="112">
        <v>1500</v>
      </c>
      <c r="T1732" s="5">
        <f>VLOOKUP(TEXT(A1732,"yy-mm")&amp;"-"&amp;IF(AND(WEEKDAY(A1732)&gt;1,WEEKDAY(A1732)&lt;7),"Wkd",TEXT(A1732,"Ddd"))&amp;"-"&amp;TEXT(A1732,"hh"),LoadTable[],3,FALSE)*0.92</f>
        <v>289.0624787084426</v>
      </c>
      <c r="U1732" s="113">
        <f t="shared" ref="U1732:U1795" si="1852">T1732/10</f>
        <v>28.906247870844261</v>
      </c>
      <c r="V1732">
        <f t="shared" ref="V1732:W1732" si="1853">V1708</f>
        <v>2.6</v>
      </c>
      <c r="W1732">
        <f t="shared" si="1853"/>
        <v>3.2</v>
      </c>
      <c r="X1732" s="9">
        <v>-10.4678660166666</v>
      </c>
      <c r="Y1732" s="39"/>
    </row>
    <row r="1733" spans="1:25" ht="15" thickBot="1">
      <c r="A1733" s="149">
        <f t="shared" si="1834"/>
        <v>45908.083333331117</v>
      </c>
      <c r="B1733" s="30">
        <f t="shared" si="1789"/>
        <v>5000</v>
      </c>
      <c r="C1733" s="8">
        <v>25000</v>
      </c>
      <c r="D1733" s="187">
        <v>0</v>
      </c>
      <c r="E1733" s="187">
        <v>700</v>
      </c>
      <c r="F1733" s="187">
        <v>15000</v>
      </c>
      <c r="G1733" s="30">
        <f t="shared" si="1790"/>
        <v>2400</v>
      </c>
      <c r="H1733" s="8">
        <v>25000</v>
      </c>
      <c r="I1733" s="30">
        <f t="shared" si="1791"/>
        <v>5000</v>
      </c>
      <c r="J1733" s="187">
        <v>40000</v>
      </c>
      <c r="K1733" s="30">
        <f t="shared" si="1792"/>
        <v>5000</v>
      </c>
      <c r="L1733" s="187">
        <v>40000</v>
      </c>
      <c r="M1733" s="110">
        <v>9.5</v>
      </c>
      <c r="N1733" s="9">
        <f>VLOOKUP(DATE(YEAR(A1733),MONTH(A1733),DAY(A1733)),FY24_Temp[],3,FALSE)</f>
        <v>15.21</v>
      </c>
      <c r="O1733" s="110">
        <f t="shared" si="1850"/>
        <v>11.5</v>
      </c>
      <c r="P1733" s="110">
        <f t="shared" si="1851"/>
        <v>19.5</v>
      </c>
      <c r="Q1733" s="79">
        <f>VLOOKUP(VLOOKUP(DATEVALUE(TEXT(A1733,"m/d/yyyy")),FY24_Temp[],5,FALSE)&amp;TEXT(A1733,"-h"),TempDelta[],4,FALSE)</f>
        <v>2.3212857246398926</v>
      </c>
      <c r="R1733">
        <v>10</v>
      </c>
      <c r="S1733" s="112">
        <v>1500</v>
      </c>
      <c r="T1733" s="5">
        <f>VLOOKUP(TEXT(A1733,"yy-mm")&amp;"-"&amp;IF(AND(WEEKDAY(A1733)&gt;1,WEEKDAY(A1733)&lt;7),"Wkd",TEXT(A1733,"Ddd"))&amp;"-"&amp;TEXT(A1733,"hh"),LoadTable[],3,FALSE)*0.92</f>
        <v>289.0624787084426</v>
      </c>
      <c r="U1733" s="113">
        <f t="shared" si="1852"/>
        <v>28.906247870844261</v>
      </c>
      <c r="V1733">
        <f t="shared" ref="V1733:W1733" si="1854">V1709</f>
        <v>2.8</v>
      </c>
      <c r="W1733">
        <f t="shared" si="1854"/>
        <v>3.2</v>
      </c>
      <c r="X1733" s="9">
        <v>-10.5456605666666</v>
      </c>
      <c r="Y1733" s="39"/>
    </row>
    <row r="1734" spans="1:25" ht="15" thickBot="1">
      <c r="A1734" s="149">
        <f t="shared" si="1834"/>
        <v>45908.124999997781</v>
      </c>
      <c r="B1734" s="30">
        <f t="shared" si="1789"/>
        <v>5000</v>
      </c>
      <c r="C1734" s="8">
        <v>25000</v>
      </c>
      <c r="D1734" s="187">
        <v>0</v>
      </c>
      <c r="E1734" s="187">
        <v>700</v>
      </c>
      <c r="F1734" s="187">
        <v>15000</v>
      </c>
      <c r="G1734" s="30">
        <f t="shared" si="1790"/>
        <v>2400</v>
      </c>
      <c r="H1734" s="8">
        <v>25000</v>
      </c>
      <c r="I1734" s="30">
        <f t="shared" si="1791"/>
        <v>5000</v>
      </c>
      <c r="J1734" s="187">
        <v>40000</v>
      </c>
      <c r="K1734" s="30">
        <f t="shared" si="1792"/>
        <v>5000</v>
      </c>
      <c r="L1734" s="187">
        <v>40000</v>
      </c>
      <c r="M1734" s="110">
        <v>9.5</v>
      </c>
      <c r="N1734" s="9">
        <f>VLOOKUP(DATE(YEAR(A1734),MONTH(A1734),DAY(A1734)),FY24_Temp[],3,FALSE)</f>
        <v>15.21</v>
      </c>
      <c r="O1734" s="110">
        <f t="shared" si="1850"/>
        <v>11.5</v>
      </c>
      <c r="P1734" s="110">
        <f t="shared" si="1851"/>
        <v>19.5</v>
      </c>
      <c r="Q1734" s="79">
        <f>VLOOKUP(VLOOKUP(DATEVALUE(TEXT(A1734,"m/d/yyyy")),FY24_Temp[],5,FALSE)&amp;TEXT(A1734,"-h"),TempDelta[],4,FALSE)</f>
        <v>2.3239999498639787</v>
      </c>
      <c r="R1734">
        <v>10</v>
      </c>
      <c r="S1734" s="112">
        <v>1500</v>
      </c>
      <c r="T1734" s="5">
        <f>VLOOKUP(TEXT(A1734,"yy-mm")&amp;"-"&amp;IF(AND(WEEKDAY(A1734)&gt;1,WEEKDAY(A1734)&lt;7),"Wkd",TEXT(A1734,"Ddd"))&amp;"-"&amp;TEXT(A1734,"hh"),LoadTable[],3,FALSE)*0.92</f>
        <v>289.05894152419745</v>
      </c>
      <c r="U1734" s="113">
        <f t="shared" si="1852"/>
        <v>28.905894152419744</v>
      </c>
      <c r="V1734">
        <f t="shared" ref="V1734:W1734" si="1855">V1710</f>
        <v>2.7</v>
      </c>
      <c r="W1734">
        <f t="shared" si="1855"/>
        <v>3.2</v>
      </c>
      <c r="X1734" s="9">
        <v>-10.6234551166666</v>
      </c>
      <c r="Y1734" s="39"/>
    </row>
    <row r="1735" spans="1:25" ht="15" thickBot="1">
      <c r="A1735" s="149">
        <f t="shared" si="1834"/>
        <v>45908.166666664445</v>
      </c>
      <c r="B1735" s="30">
        <f t="shared" si="1789"/>
        <v>5000</v>
      </c>
      <c r="C1735" s="8">
        <v>25000</v>
      </c>
      <c r="D1735" s="187">
        <v>0</v>
      </c>
      <c r="E1735" s="187">
        <v>700</v>
      </c>
      <c r="F1735" s="187">
        <v>15000</v>
      </c>
      <c r="G1735" s="30">
        <f t="shared" si="1790"/>
        <v>2400</v>
      </c>
      <c r="H1735" s="8">
        <v>25000</v>
      </c>
      <c r="I1735" s="30">
        <f t="shared" si="1791"/>
        <v>5000</v>
      </c>
      <c r="J1735" s="187">
        <v>40000</v>
      </c>
      <c r="K1735" s="30">
        <f t="shared" si="1792"/>
        <v>5000</v>
      </c>
      <c r="L1735" s="187">
        <v>40000</v>
      </c>
      <c r="M1735" s="110">
        <v>9.5</v>
      </c>
      <c r="N1735" s="9">
        <f>VLOOKUP(DATE(YEAR(A1735),MONTH(A1735),DAY(A1735)),FY24_Temp[],3,FALSE)</f>
        <v>15.21</v>
      </c>
      <c r="O1735" s="110">
        <f t="shared" si="1850"/>
        <v>11.5</v>
      </c>
      <c r="P1735" s="110">
        <f t="shared" si="1851"/>
        <v>19.5</v>
      </c>
      <c r="Q1735" s="79">
        <f>VLOOKUP(VLOOKUP(DATEVALUE(TEXT(A1735,"m/d/yyyy")),FY24_Temp[],5,FALSE)&amp;TEXT(A1735,"-h"),TempDelta[],4,FALSE)</f>
        <v>2.3638571671077182</v>
      </c>
      <c r="R1735">
        <v>10</v>
      </c>
      <c r="S1735" s="112">
        <v>1500</v>
      </c>
      <c r="T1735" s="5">
        <f>VLOOKUP(TEXT(A1735,"yy-mm")&amp;"-"&amp;IF(AND(WEEKDAY(A1735)&gt;1,WEEKDAY(A1735)&lt;7),"Wkd",TEXT(A1735,"Ddd"))&amp;"-"&amp;TEXT(A1735,"hh"),LoadTable[],3,FALSE)*0.92</f>
        <v>289.05894152419745</v>
      </c>
      <c r="U1735" s="113">
        <f t="shared" si="1852"/>
        <v>28.905894152419744</v>
      </c>
      <c r="V1735">
        <f t="shared" ref="V1735:W1735" si="1856">V1711</f>
        <v>3</v>
      </c>
      <c r="W1735">
        <f t="shared" si="1856"/>
        <v>3.1</v>
      </c>
      <c r="X1735" s="9">
        <v>-10.7012496666666</v>
      </c>
      <c r="Y1735" s="39"/>
    </row>
    <row r="1736" spans="1:25" ht="15" thickBot="1">
      <c r="A1736" s="149">
        <f t="shared" si="1834"/>
        <v>45908.208333331109</v>
      </c>
      <c r="B1736" s="30">
        <f t="shared" si="1789"/>
        <v>5000</v>
      </c>
      <c r="C1736" s="8">
        <v>25000</v>
      </c>
      <c r="D1736" s="187">
        <v>0</v>
      </c>
      <c r="E1736" s="187">
        <v>700</v>
      </c>
      <c r="F1736" s="187">
        <v>15000</v>
      </c>
      <c r="G1736" s="30">
        <f t="shared" si="1790"/>
        <v>2400</v>
      </c>
      <c r="H1736" s="8">
        <v>25000</v>
      </c>
      <c r="I1736" s="30">
        <f t="shared" si="1791"/>
        <v>5000</v>
      </c>
      <c r="J1736" s="187">
        <v>40000</v>
      </c>
      <c r="K1736" s="30">
        <f t="shared" si="1792"/>
        <v>5000</v>
      </c>
      <c r="L1736" s="187">
        <v>40000</v>
      </c>
      <c r="M1736" s="110">
        <v>9.5</v>
      </c>
      <c r="N1736" s="9">
        <f>VLOOKUP(DATE(YEAR(A1736),MONTH(A1736),DAY(A1736)),FY24_Temp[],3,FALSE)</f>
        <v>15.21</v>
      </c>
      <c r="O1736" s="110">
        <f t="shared" si="1850"/>
        <v>11.5</v>
      </c>
      <c r="P1736" s="110">
        <f t="shared" si="1851"/>
        <v>19.5</v>
      </c>
      <c r="Q1736" s="79">
        <f>VLOOKUP(VLOOKUP(DATEVALUE(TEXT(A1736,"m/d/yyyy")),FY24_Temp[],5,FALSE)&amp;TEXT(A1736,"-h"),TempDelta[],4,FALSE)</f>
        <v>2.4734285558973039</v>
      </c>
      <c r="R1736">
        <v>10</v>
      </c>
      <c r="S1736" s="112">
        <v>1500</v>
      </c>
      <c r="T1736" s="5">
        <f>VLOOKUP(TEXT(A1736,"yy-mm")&amp;"-"&amp;IF(AND(WEEKDAY(A1736)&gt;1,WEEKDAY(A1736)&lt;7),"Wkd",TEXT(A1736,"Ddd"))&amp;"-"&amp;TEXT(A1736,"hh"),LoadTable[],3,FALSE)*0.92</f>
        <v>289.05894152419745</v>
      </c>
      <c r="U1736" s="113">
        <f t="shared" si="1852"/>
        <v>28.905894152419744</v>
      </c>
      <c r="V1736">
        <f t="shared" ref="V1736:W1736" si="1857">V1712</f>
        <v>2.9</v>
      </c>
      <c r="W1736">
        <f t="shared" si="1857"/>
        <v>3.1</v>
      </c>
      <c r="X1736" s="9">
        <v>-10.7790442166666</v>
      </c>
      <c r="Y1736" s="39"/>
    </row>
    <row r="1737" spans="1:25" ht="15" thickBot="1">
      <c r="A1737" s="149">
        <f t="shared" si="1834"/>
        <v>45908.249999997774</v>
      </c>
      <c r="B1737" s="30">
        <f t="shared" si="1789"/>
        <v>8000</v>
      </c>
      <c r="C1737" s="8">
        <v>25000</v>
      </c>
      <c r="D1737" s="187">
        <v>0</v>
      </c>
      <c r="E1737" s="187">
        <v>700</v>
      </c>
      <c r="F1737" s="187">
        <v>15000</v>
      </c>
      <c r="G1737" s="30">
        <f t="shared" si="1790"/>
        <v>2400</v>
      </c>
      <c r="H1737" s="8">
        <v>25000</v>
      </c>
      <c r="I1737" s="30">
        <f t="shared" si="1791"/>
        <v>8000</v>
      </c>
      <c r="J1737" s="187">
        <v>40000</v>
      </c>
      <c r="K1737" s="30">
        <f t="shared" si="1792"/>
        <v>8000</v>
      </c>
      <c r="L1737" s="187">
        <v>40000</v>
      </c>
      <c r="M1737" s="110">
        <v>9.5</v>
      </c>
      <c r="N1737" s="9">
        <f>VLOOKUP(DATE(YEAR(A1737),MONTH(A1737),DAY(A1737)),FY24_Temp[],3,FALSE)</f>
        <v>15.21</v>
      </c>
      <c r="O1737" s="110">
        <f t="shared" si="1850"/>
        <v>11.5</v>
      </c>
      <c r="P1737" s="110">
        <f t="shared" si="1851"/>
        <v>19.5</v>
      </c>
      <c r="Q1737" s="79">
        <f>VLOOKUP(VLOOKUP(DATEVALUE(TEXT(A1737,"m/d/yyyy")),FY24_Temp[],5,FALSE)&amp;TEXT(A1737,"-h"),TempDelta[],4,FALSE)</f>
        <v>2.4392857210976735</v>
      </c>
      <c r="R1737">
        <v>10</v>
      </c>
      <c r="S1737" s="112">
        <v>1500</v>
      </c>
      <c r="T1737" s="5">
        <f>VLOOKUP(TEXT(A1737,"yy-mm")&amp;"-"&amp;IF(AND(WEEKDAY(A1737)&gt;1,WEEKDAY(A1737)&lt;7),"Wkd",TEXT(A1737,"Ddd"))&amp;"-"&amp;TEXT(A1737,"hh"),LoadTable[],3,FALSE)*0.92</f>
        <v>291.12479999999999</v>
      </c>
      <c r="U1737" s="113">
        <f t="shared" si="1852"/>
        <v>29.112479999999998</v>
      </c>
      <c r="V1737">
        <f t="shared" ref="V1737:W1737" si="1858">V1713</f>
        <v>2.5</v>
      </c>
      <c r="W1737">
        <f t="shared" si="1858"/>
        <v>3.1</v>
      </c>
      <c r="X1737" s="9">
        <v>-10.8568387666666</v>
      </c>
      <c r="Y1737" s="39"/>
    </row>
    <row r="1738" spans="1:25" ht="15" thickBot="1">
      <c r="A1738" s="149">
        <f t="shared" si="1834"/>
        <v>45908.291666664438</v>
      </c>
      <c r="B1738" s="30">
        <f t="shared" si="1789"/>
        <v>8000</v>
      </c>
      <c r="C1738" s="8">
        <v>25000</v>
      </c>
      <c r="D1738" s="187">
        <v>0</v>
      </c>
      <c r="E1738" s="187">
        <v>700</v>
      </c>
      <c r="F1738" s="187">
        <v>15000</v>
      </c>
      <c r="G1738" s="30">
        <f t="shared" si="1790"/>
        <v>2400</v>
      </c>
      <c r="H1738" s="8">
        <v>25000</v>
      </c>
      <c r="I1738" s="30">
        <f t="shared" si="1791"/>
        <v>8000</v>
      </c>
      <c r="J1738" s="187">
        <v>40000</v>
      </c>
      <c r="K1738" s="30">
        <f t="shared" si="1792"/>
        <v>8000</v>
      </c>
      <c r="L1738" s="187">
        <v>40000</v>
      </c>
      <c r="M1738" s="110">
        <v>9.5</v>
      </c>
      <c r="N1738" s="9">
        <f>VLOOKUP(DATE(YEAR(A1738),MONTH(A1738),DAY(A1738)),FY24_Temp[],3,FALSE)</f>
        <v>15.21</v>
      </c>
      <c r="O1738" s="110">
        <f t="shared" si="1850"/>
        <v>11.5</v>
      </c>
      <c r="P1738" s="110">
        <f t="shared" si="1851"/>
        <v>19.5</v>
      </c>
      <c r="Q1738" s="79">
        <f>VLOOKUP(VLOOKUP(DATEVALUE(TEXT(A1738,"m/d/yyyy")),FY24_Temp[],5,FALSE)&amp;TEXT(A1738,"-h"),TempDelta[],4,FALSE)</f>
        <v>2.3079999514988492</v>
      </c>
      <c r="R1738">
        <v>10</v>
      </c>
      <c r="S1738" s="112">
        <v>1500</v>
      </c>
      <c r="T1738" s="5">
        <f>VLOOKUP(TEXT(A1738,"yy-mm")&amp;"-"&amp;IF(AND(WEEKDAY(A1738)&gt;1,WEEKDAY(A1738)&lt;7),"Wkd",TEXT(A1738,"Ddd"))&amp;"-"&amp;TEXT(A1738,"hh"),LoadTable[],3,FALSE)*0.92</f>
        <v>291.12479999999999</v>
      </c>
      <c r="U1738" s="113">
        <f t="shared" si="1852"/>
        <v>29.112479999999998</v>
      </c>
      <c r="V1738">
        <f t="shared" ref="V1738:W1738" si="1859">V1714</f>
        <v>2.5</v>
      </c>
      <c r="W1738">
        <f t="shared" si="1859"/>
        <v>3.1</v>
      </c>
      <c r="X1738" s="9">
        <v>-10.9346333166666</v>
      </c>
      <c r="Y1738" s="39"/>
    </row>
    <row r="1739" spans="1:25" ht="15" thickBot="1">
      <c r="A1739" s="149">
        <f t="shared" si="1834"/>
        <v>45908.333333331102</v>
      </c>
      <c r="B1739" s="30">
        <f t="shared" si="1789"/>
        <v>8000</v>
      </c>
      <c r="C1739" s="8">
        <v>25000</v>
      </c>
      <c r="D1739" s="187">
        <v>0</v>
      </c>
      <c r="E1739" s="187">
        <v>700</v>
      </c>
      <c r="F1739" s="187">
        <v>15000</v>
      </c>
      <c r="G1739" s="30">
        <f t="shared" si="1790"/>
        <v>2400</v>
      </c>
      <c r="H1739" s="8">
        <v>25000</v>
      </c>
      <c r="I1739" s="30">
        <f t="shared" si="1791"/>
        <v>8000</v>
      </c>
      <c r="J1739" s="187">
        <v>40000</v>
      </c>
      <c r="K1739" s="30">
        <f t="shared" si="1792"/>
        <v>8000</v>
      </c>
      <c r="L1739" s="187">
        <v>40000</v>
      </c>
      <c r="M1739" s="110">
        <v>9.5</v>
      </c>
      <c r="N1739" s="9">
        <f>VLOOKUP(DATE(YEAR(A1739),MONTH(A1739),DAY(A1739)),FY24_Temp[],3,FALSE)</f>
        <v>15.21</v>
      </c>
      <c r="O1739" s="110">
        <f t="shared" si="1850"/>
        <v>11.5</v>
      </c>
      <c r="P1739" s="110">
        <f t="shared" si="1851"/>
        <v>19.5</v>
      </c>
      <c r="Q1739" s="79">
        <f>VLOOKUP(VLOOKUP(DATEVALUE(TEXT(A1739,"m/d/yyyy")),FY24_Temp[],5,FALSE)&amp;TEXT(A1739,"-h"),TempDelta[],4,FALSE)</f>
        <v>2.1418571812765941</v>
      </c>
      <c r="R1739">
        <v>10</v>
      </c>
      <c r="S1739" s="112">
        <v>1500</v>
      </c>
      <c r="T1739" s="5">
        <f>VLOOKUP(TEXT(A1739,"yy-mm")&amp;"-"&amp;IF(AND(WEEKDAY(A1739)&gt;1,WEEKDAY(A1739)&lt;7),"Wkd",TEXT(A1739,"Ddd"))&amp;"-"&amp;TEXT(A1739,"hh"),LoadTable[],3,FALSE)*0.92</f>
        <v>291.12479999999999</v>
      </c>
      <c r="U1739" s="113">
        <f t="shared" si="1852"/>
        <v>29.112479999999998</v>
      </c>
      <c r="V1739">
        <f t="shared" ref="V1739:W1739" si="1860">V1715</f>
        <v>3.2</v>
      </c>
      <c r="W1739">
        <f t="shared" si="1860"/>
        <v>3</v>
      </c>
      <c r="X1739" s="9">
        <v>-11.0124278666666</v>
      </c>
      <c r="Y1739" s="39"/>
    </row>
    <row r="1740" spans="1:25" ht="15" thickBot="1">
      <c r="A1740" s="149">
        <f t="shared" si="1834"/>
        <v>45908.374999997766</v>
      </c>
      <c r="B1740" s="30">
        <f t="shared" ref="B1740:B1803" si="1861">B1716</f>
        <v>8000</v>
      </c>
      <c r="C1740" s="8">
        <v>25000</v>
      </c>
      <c r="D1740" s="187">
        <v>0</v>
      </c>
      <c r="E1740" s="187">
        <v>700</v>
      </c>
      <c r="F1740" s="187">
        <v>15000</v>
      </c>
      <c r="G1740" s="30">
        <f t="shared" ref="G1740:G1803" si="1862">G1716</f>
        <v>2400</v>
      </c>
      <c r="H1740" s="8">
        <v>25000</v>
      </c>
      <c r="I1740" s="30">
        <f t="shared" ref="I1740:I1803" si="1863">I1716</f>
        <v>8000</v>
      </c>
      <c r="J1740" s="187">
        <v>40000</v>
      </c>
      <c r="K1740" s="30">
        <f t="shared" ref="K1740:K1803" si="1864">K1716</f>
        <v>8000</v>
      </c>
      <c r="L1740" s="187">
        <v>40000</v>
      </c>
      <c r="M1740" s="110">
        <v>9.5</v>
      </c>
      <c r="N1740" s="9">
        <f>VLOOKUP(DATE(YEAR(A1740),MONTH(A1740),DAY(A1740)),FY24_Temp[],3,FALSE)</f>
        <v>15.21</v>
      </c>
      <c r="O1740" s="110">
        <f t="shared" si="1850"/>
        <v>11.5</v>
      </c>
      <c r="P1740" s="110">
        <f t="shared" si="1851"/>
        <v>19.5</v>
      </c>
      <c r="Q1740" s="79">
        <f>VLOOKUP(VLOOKUP(DATEVALUE(TEXT(A1740,"m/d/yyyy")),FY24_Temp[],5,FALSE)&amp;TEXT(A1740,"-h"),TempDelta[],4,FALSE)</f>
        <v>1.9845714058194841</v>
      </c>
      <c r="R1740">
        <v>10</v>
      </c>
      <c r="S1740" s="112">
        <v>1500</v>
      </c>
      <c r="T1740" s="5">
        <f>VLOOKUP(TEXT(A1740,"yy-mm")&amp;"-"&amp;IF(AND(WEEKDAY(A1740)&gt;1,WEEKDAY(A1740)&lt;7),"Wkd",TEXT(A1740,"Ddd"))&amp;"-"&amp;TEXT(A1740,"hh"),LoadTable[],3,FALSE)*0.92</f>
        <v>291.12479999999999</v>
      </c>
      <c r="U1740" s="113">
        <f t="shared" si="1852"/>
        <v>29.112479999999998</v>
      </c>
      <c r="V1740">
        <f t="shared" ref="V1740:W1740" si="1865">V1716</f>
        <v>2.9</v>
      </c>
      <c r="W1740">
        <f t="shared" si="1865"/>
        <v>3</v>
      </c>
      <c r="X1740" s="9">
        <v>-11.090222416666601</v>
      </c>
      <c r="Y1740" s="39"/>
    </row>
    <row r="1741" spans="1:25" ht="15" thickBot="1">
      <c r="A1741" s="149">
        <f t="shared" si="1834"/>
        <v>45908.416666664431</v>
      </c>
      <c r="B1741" s="30">
        <f t="shared" si="1861"/>
        <v>8000</v>
      </c>
      <c r="C1741" s="8">
        <v>25000</v>
      </c>
      <c r="D1741" s="187">
        <v>0</v>
      </c>
      <c r="E1741" s="187">
        <v>700</v>
      </c>
      <c r="F1741" s="187">
        <v>15000</v>
      </c>
      <c r="G1741" s="30">
        <f t="shared" si="1862"/>
        <v>2400</v>
      </c>
      <c r="H1741" s="8">
        <v>25000</v>
      </c>
      <c r="I1741" s="30">
        <f t="shared" si="1863"/>
        <v>8000</v>
      </c>
      <c r="J1741" s="187">
        <v>40000</v>
      </c>
      <c r="K1741" s="30">
        <f t="shared" si="1864"/>
        <v>8000</v>
      </c>
      <c r="L1741" s="187">
        <v>40000</v>
      </c>
      <c r="M1741" s="110">
        <v>9.5</v>
      </c>
      <c r="N1741" s="9">
        <f>VLOOKUP(DATE(YEAR(A1741),MONTH(A1741),DAY(A1741)),FY24_Temp[],3,FALSE)</f>
        <v>15.21</v>
      </c>
      <c r="O1741" s="110">
        <f t="shared" si="1850"/>
        <v>11.5</v>
      </c>
      <c r="P1741" s="110">
        <f t="shared" si="1851"/>
        <v>19.5</v>
      </c>
      <c r="Q1741" s="79">
        <f>VLOOKUP(VLOOKUP(DATEVALUE(TEXT(A1741,"m/d/yyyy")),FY24_Temp[],5,FALSE)&amp;TEXT(A1741,"-h"),TempDelta[],4,FALSE)</f>
        <v>1.8231428350721086</v>
      </c>
      <c r="R1741">
        <v>10</v>
      </c>
      <c r="S1741" s="112">
        <v>1500</v>
      </c>
      <c r="T1741" s="5">
        <f>VLOOKUP(TEXT(A1741,"yy-mm")&amp;"-"&amp;IF(AND(WEEKDAY(A1741)&gt;1,WEEKDAY(A1741)&lt;7),"Wkd",TEXT(A1741,"Ddd"))&amp;"-"&amp;TEXT(A1741,"hh"),LoadTable[],3,FALSE)*0.92</f>
        <v>290.74956158350585</v>
      </c>
      <c r="U1741" s="113">
        <f t="shared" si="1852"/>
        <v>29.074956158350584</v>
      </c>
      <c r="V1741">
        <f t="shared" ref="V1741:W1741" si="1866">V1717</f>
        <v>2.9</v>
      </c>
      <c r="W1741">
        <f t="shared" si="1866"/>
        <v>3</v>
      </c>
      <c r="X1741" s="9">
        <v>-11.168016966666601</v>
      </c>
      <c r="Y1741" s="39"/>
    </row>
    <row r="1742" spans="1:25" ht="15" thickBot="1">
      <c r="A1742" s="149">
        <f t="shared" si="1834"/>
        <v>45908.458333331095</v>
      </c>
      <c r="B1742" s="30">
        <f t="shared" si="1861"/>
        <v>8000</v>
      </c>
      <c r="C1742" s="8">
        <v>25000</v>
      </c>
      <c r="D1742" s="187">
        <v>0</v>
      </c>
      <c r="E1742" s="187">
        <v>700</v>
      </c>
      <c r="F1742" s="187">
        <v>15000</v>
      </c>
      <c r="G1742" s="30">
        <f t="shared" si="1862"/>
        <v>2400</v>
      </c>
      <c r="H1742" s="8">
        <v>25000</v>
      </c>
      <c r="I1742" s="30">
        <f t="shared" si="1863"/>
        <v>8000</v>
      </c>
      <c r="J1742" s="187">
        <v>40000</v>
      </c>
      <c r="K1742" s="30">
        <f t="shared" si="1864"/>
        <v>8000</v>
      </c>
      <c r="L1742" s="187">
        <v>40000</v>
      </c>
      <c r="M1742" s="110">
        <v>9.5</v>
      </c>
      <c r="N1742" s="9">
        <f>VLOOKUP(DATE(YEAR(A1742),MONTH(A1742),DAY(A1742)),FY24_Temp[],3,FALSE)</f>
        <v>15.21</v>
      </c>
      <c r="O1742" s="110">
        <f t="shared" si="1850"/>
        <v>11.5</v>
      </c>
      <c r="P1742" s="110">
        <f t="shared" si="1851"/>
        <v>19.5</v>
      </c>
      <c r="Q1742" s="79">
        <f>VLOOKUP(VLOOKUP(DATEVALUE(TEXT(A1742,"m/d/yyyy")),FY24_Temp[],5,FALSE)&amp;TEXT(A1742,"-h"),TempDelta[],4,FALSE)</f>
        <v>1.6317142759050642</v>
      </c>
      <c r="R1742">
        <v>10</v>
      </c>
      <c r="S1742" s="112">
        <v>1500</v>
      </c>
      <c r="T1742" s="5">
        <f>VLOOKUP(TEXT(A1742,"yy-mm")&amp;"-"&amp;IF(AND(WEEKDAY(A1742)&gt;1,WEEKDAY(A1742)&lt;7),"Wkd",TEXT(A1742,"Ddd"))&amp;"-"&amp;TEXT(A1742,"hh"),LoadTable[],3,FALSE)*0.92</f>
        <v>290.74956158350585</v>
      </c>
      <c r="U1742" s="113">
        <f t="shared" si="1852"/>
        <v>29.074956158350584</v>
      </c>
      <c r="V1742">
        <f t="shared" ref="V1742:W1742" si="1867">V1718</f>
        <v>3.4</v>
      </c>
      <c r="W1742">
        <f t="shared" si="1867"/>
        <v>3</v>
      </c>
      <c r="X1742" s="9">
        <v>-11.245811516666601</v>
      </c>
      <c r="Y1742" s="39"/>
    </row>
    <row r="1743" spans="1:25" ht="15" thickBot="1">
      <c r="A1743" s="149">
        <f t="shared" si="1834"/>
        <v>45908.499999997759</v>
      </c>
      <c r="B1743" s="30">
        <f t="shared" si="1861"/>
        <v>8000</v>
      </c>
      <c r="C1743" s="8">
        <v>25000</v>
      </c>
      <c r="D1743" s="187">
        <v>0</v>
      </c>
      <c r="E1743" s="187">
        <v>700</v>
      </c>
      <c r="F1743" s="187">
        <v>15000</v>
      </c>
      <c r="G1743" s="30">
        <f t="shared" si="1862"/>
        <v>2400</v>
      </c>
      <c r="H1743" s="8">
        <v>25000</v>
      </c>
      <c r="I1743" s="30">
        <f t="shared" si="1863"/>
        <v>8000</v>
      </c>
      <c r="J1743" s="187">
        <v>40000</v>
      </c>
      <c r="K1743" s="30">
        <f t="shared" si="1864"/>
        <v>8000</v>
      </c>
      <c r="L1743" s="187">
        <v>40000</v>
      </c>
      <c r="M1743" s="110">
        <v>9.5</v>
      </c>
      <c r="N1743" s="9">
        <f>VLOOKUP(DATE(YEAR(A1743),MONTH(A1743),DAY(A1743)),FY24_Temp[],3,FALSE)</f>
        <v>15.21</v>
      </c>
      <c r="O1743" s="110">
        <f t="shared" si="1850"/>
        <v>11.5</v>
      </c>
      <c r="P1743" s="110">
        <f t="shared" si="1851"/>
        <v>19.5</v>
      </c>
      <c r="Q1743" s="79">
        <f>VLOOKUP(VLOOKUP(DATEVALUE(TEXT(A1743,"m/d/yyyy")),FY24_Temp[],5,FALSE)&amp;TEXT(A1743,"-h"),TempDelta[],4,FALSE)</f>
        <v>1.4472857202802385</v>
      </c>
      <c r="R1743">
        <v>10</v>
      </c>
      <c r="S1743" s="112">
        <v>1500</v>
      </c>
      <c r="T1743" s="5">
        <f>VLOOKUP(TEXT(A1743,"yy-mm")&amp;"-"&amp;IF(AND(WEEKDAY(A1743)&gt;1,WEEKDAY(A1743)&lt;7),"Wkd",TEXT(A1743,"Ddd"))&amp;"-"&amp;TEXT(A1743,"hh"),LoadTable[],3,FALSE)*0.92</f>
        <v>290.74956158350585</v>
      </c>
      <c r="U1743" s="113">
        <f t="shared" si="1852"/>
        <v>29.074956158350584</v>
      </c>
      <c r="V1743">
        <f t="shared" ref="V1743:W1743" si="1868">V1719</f>
        <v>3.1</v>
      </c>
      <c r="W1743">
        <f t="shared" si="1868"/>
        <v>2.9</v>
      </c>
      <c r="X1743" s="9">
        <v>-11.323606066666599</v>
      </c>
      <c r="Y1743" s="39"/>
    </row>
    <row r="1744" spans="1:25" ht="15" thickBot="1">
      <c r="A1744" s="149">
        <f t="shared" si="1834"/>
        <v>45908.541666664423</v>
      </c>
      <c r="B1744" s="30">
        <f t="shared" si="1861"/>
        <v>8000</v>
      </c>
      <c r="C1744" s="8">
        <v>25000</v>
      </c>
      <c r="D1744" s="187">
        <v>0</v>
      </c>
      <c r="E1744" s="187">
        <v>700</v>
      </c>
      <c r="F1744" s="187">
        <v>15000</v>
      </c>
      <c r="G1744" s="30">
        <f t="shared" si="1862"/>
        <v>2400</v>
      </c>
      <c r="H1744" s="8">
        <v>25000</v>
      </c>
      <c r="I1744" s="30">
        <f t="shared" si="1863"/>
        <v>8000</v>
      </c>
      <c r="J1744" s="187">
        <v>40000</v>
      </c>
      <c r="K1744" s="30">
        <f t="shared" si="1864"/>
        <v>8000</v>
      </c>
      <c r="L1744" s="187">
        <v>40000</v>
      </c>
      <c r="M1744" s="110">
        <v>9.5</v>
      </c>
      <c r="N1744" s="9">
        <f>VLOOKUP(DATE(YEAR(A1744),MONTH(A1744),DAY(A1744)),FY24_Temp[],3,FALSE)</f>
        <v>15.21</v>
      </c>
      <c r="O1744" s="110">
        <f t="shared" si="1850"/>
        <v>11.5</v>
      </c>
      <c r="P1744" s="110">
        <f t="shared" si="1851"/>
        <v>19.5</v>
      </c>
      <c r="Q1744" s="79">
        <f>VLOOKUP(VLOOKUP(DATEVALUE(TEXT(A1744,"m/d/yyyy")),FY24_Temp[],5,FALSE)&amp;TEXT(A1744,"-h"),TempDelta[],4,FALSE)</f>
        <v>1.2702857085636683</v>
      </c>
      <c r="R1744">
        <v>10</v>
      </c>
      <c r="S1744" s="112">
        <v>1500</v>
      </c>
      <c r="T1744" s="5">
        <f>VLOOKUP(TEXT(A1744,"yy-mm")&amp;"-"&amp;IF(AND(WEEKDAY(A1744)&gt;1,WEEKDAY(A1744)&lt;7),"Wkd",TEXT(A1744,"Ddd"))&amp;"-"&amp;TEXT(A1744,"hh"),LoadTable[],3,FALSE)*0.92</f>
        <v>290.72204920255348</v>
      </c>
      <c r="U1744" s="113">
        <f t="shared" si="1852"/>
        <v>29.072204920255349</v>
      </c>
      <c r="V1744">
        <f t="shared" ref="V1744:W1744" si="1869">V1720</f>
        <v>3.2</v>
      </c>
      <c r="W1744">
        <f t="shared" si="1869"/>
        <v>2.9</v>
      </c>
      <c r="X1744" s="9">
        <v>-11.401400616666599</v>
      </c>
      <c r="Y1744" s="39"/>
    </row>
    <row r="1745" spans="1:25" ht="15" thickBot="1">
      <c r="A1745" s="149">
        <f t="shared" si="1834"/>
        <v>45908.583333331087</v>
      </c>
      <c r="B1745" s="30">
        <f t="shared" si="1861"/>
        <v>8000</v>
      </c>
      <c r="C1745" s="8">
        <v>25000</v>
      </c>
      <c r="D1745" s="187">
        <v>0</v>
      </c>
      <c r="E1745" s="187">
        <v>700</v>
      </c>
      <c r="F1745" s="187">
        <v>15000</v>
      </c>
      <c r="G1745" s="30">
        <f t="shared" si="1862"/>
        <v>2400</v>
      </c>
      <c r="H1745" s="8">
        <v>25000</v>
      </c>
      <c r="I1745" s="30">
        <f t="shared" si="1863"/>
        <v>8000</v>
      </c>
      <c r="J1745" s="187">
        <v>40000</v>
      </c>
      <c r="K1745" s="30">
        <f t="shared" si="1864"/>
        <v>8000</v>
      </c>
      <c r="L1745" s="187">
        <v>40000</v>
      </c>
      <c r="M1745" s="110">
        <v>9.5</v>
      </c>
      <c r="N1745" s="9">
        <f>VLOOKUP(DATE(YEAR(A1745),MONTH(A1745),DAY(A1745)),FY24_Temp[],3,FALSE)</f>
        <v>15.21</v>
      </c>
      <c r="O1745" s="110">
        <f t="shared" si="1850"/>
        <v>11.5</v>
      </c>
      <c r="P1745" s="110">
        <f t="shared" si="1851"/>
        <v>19.5</v>
      </c>
      <c r="Q1745" s="79">
        <f>VLOOKUP(VLOOKUP(DATEVALUE(TEXT(A1745,"m/d/yyyy")),FY24_Temp[],5,FALSE)&amp;TEXT(A1745,"-h"),TempDelta[],4,FALSE)</f>
        <v>1.1090000016348702</v>
      </c>
      <c r="R1745">
        <v>10</v>
      </c>
      <c r="S1745" s="112">
        <v>1500</v>
      </c>
      <c r="T1745" s="5">
        <f>VLOOKUP(TEXT(A1745,"yy-mm")&amp;"-"&amp;IF(AND(WEEKDAY(A1745)&gt;1,WEEKDAY(A1745)&lt;7),"Wkd",TEXT(A1745,"Ddd"))&amp;"-"&amp;TEXT(A1745,"hh"),LoadTable[],3,FALSE)*0.92</f>
        <v>363.28132000000005</v>
      </c>
      <c r="U1745" s="113">
        <f t="shared" si="1852"/>
        <v>36.328132000000004</v>
      </c>
      <c r="V1745">
        <f t="shared" ref="V1745:W1745" si="1870">V1721</f>
        <v>3.5</v>
      </c>
      <c r="W1745">
        <f t="shared" si="1870"/>
        <v>2.9</v>
      </c>
      <c r="X1745" s="9">
        <v>-11.479195166666599</v>
      </c>
      <c r="Y1745" s="39"/>
    </row>
    <row r="1746" spans="1:25" ht="15" thickBot="1">
      <c r="A1746" s="149">
        <f t="shared" si="1834"/>
        <v>45908.624999997752</v>
      </c>
      <c r="B1746" s="30">
        <f t="shared" si="1861"/>
        <v>8000</v>
      </c>
      <c r="C1746" s="8">
        <v>25000</v>
      </c>
      <c r="D1746" s="187">
        <v>0</v>
      </c>
      <c r="E1746" s="187">
        <v>700</v>
      </c>
      <c r="F1746" s="187">
        <v>15000</v>
      </c>
      <c r="G1746" s="30">
        <f t="shared" si="1862"/>
        <v>2400</v>
      </c>
      <c r="H1746" s="8">
        <v>25000</v>
      </c>
      <c r="I1746" s="30">
        <f t="shared" si="1863"/>
        <v>8000</v>
      </c>
      <c r="J1746" s="187">
        <v>40000</v>
      </c>
      <c r="K1746" s="30">
        <f t="shared" si="1864"/>
        <v>8000</v>
      </c>
      <c r="L1746" s="187">
        <v>40000</v>
      </c>
      <c r="M1746" s="110">
        <v>9.5</v>
      </c>
      <c r="N1746" s="9">
        <f>VLOOKUP(DATE(YEAR(A1746),MONTH(A1746),DAY(A1746)),FY24_Temp[],3,FALSE)</f>
        <v>15.21</v>
      </c>
      <c r="O1746" s="110">
        <f t="shared" si="1850"/>
        <v>11.5</v>
      </c>
      <c r="P1746" s="110">
        <f t="shared" si="1851"/>
        <v>19.5</v>
      </c>
      <c r="Q1746" s="79">
        <f>VLOOKUP(VLOOKUP(DATEVALUE(TEXT(A1746,"m/d/yyyy")),FY24_Temp[],5,FALSE)&amp;TEXT(A1746,"-h"),TempDelta[],4,FALSE)</f>
        <v>0.62785714651857105</v>
      </c>
      <c r="R1746">
        <v>10</v>
      </c>
      <c r="S1746" s="112">
        <v>1500</v>
      </c>
      <c r="T1746" s="5">
        <f>VLOOKUP(TEXT(A1746,"yy-mm")&amp;"-"&amp;IF(AND(WEEKDAY(A1746)&gt;1,WEEKDAY(A1746)&lt;7),"Wkd",TEXT(A1746,"Ddd"))&amp;"-"&amp;TEXT(A1746,"hh"),LoadTable[],3,FALSE)*0.92</f>
        <v>570.3300004440199</v>
      </c>
      <c r="U1746" s="113">
        <f t="shared" si="1852"/>
        <v>57.033000044401987</v>
      </c>
      <c r="V1746">
        <f t="shared" ref="V1746:W1746" si="1871">V1722</f>
        <v>3.2</v>
      </c>
      <c r="W1746">
        <f t="shared" si="1871"/>
        <v>2.9</v>
      </c>
      <c r="X1746" s="9">
        <v>-11.5569897166666</v>
      </c>
      <c r="Y1746" s="39"/>
    </row>
    <row r="1747" spans="1:25" ht="15" thickBot="1">
      <c r="A1747" s="149">
        <f t="shared" si="1834"/>
        <v>45908.666666664416</v>
      </c>
      <c r="B1747" s="30">
        <f t="shared" si="1861"/>
        <v>8000</v>
      </c>
      <c r="C1747" s="8">
        <v>25000</v>
      </c>
      <c r="D1747" s="187">
        <v>0</v>
      </c>
      <c r="E1747" s="187">
        <v>700</v>
      </c>
      <c r="F1747" s="187">
        <v>15000</v>
      </c>
      <c r="G1747" s="30">
        <f t="shared" si="1862"/>
        <v>2400</v>
      </c>
      <c r="H1747" s="8">
        <v>25000</v>
      </c>
      <c r="I1747" s="30">
        <f t="shared" si="1863"/>
        <v>8000</v>
      </c>
      <c r="J1747" s="187">
        <v>40000</v>
      </c>
      <c r="K1747" s="30">
        <f t="shared" si="1864"/>
        <v>8000</v>
      </c>
      <c r="L1747" s="187">
        <v>40000</v>
      </c>
      <c r="M1747" s="110">
        <v>9.5</v>
      </c>
      <c r="N1747" s="9">
        <f>VLOOKUP(DATE(YEAR(A1747),MONTH(A1747),DAY(A1747)),FY24_Temp[],3,FALSE)</f>
        <v>15.21</v>
      </c>
      <c r="O1747" s="110">
        <f t="shared" si="1850"/>
        <v>11.5</v>
      </c>
      <c r="P1747" s="110">
        <f t="shared" si="1851"/>
        <v>19.5</v>
      </c>
      <c r="Q1747" s="79">
        <f>VLOOKUP(VLOOKUP(DATEVALUE(TEXT(A1747,"m/d/yyyy")),FY24_Temp[],5,FALSE)&amp;TEXT(A1747,"-h"),TempDelta[],4,FALSE)</f>
        <v>0.70735713200909756</v>
      </c>
      <c r="R1747">
        <v>10</v>
      </c>
      <c r="S1747" s="112">
        <v>1500</v>
      </c>
      <c r="T1747" s="5">
        <f>VLOOKUP(TEXT(A1747,"yy-mm")&amp;"-"&amp;IF(AND(WEEKDAY(A1747)&gt;1,WEEKDAY(A1747)&lt;7),"Wkd",TEXT(A1747,"Ddd"))&amp;"-"&amp;TEXT(A1747,"hh"),LoadTable[],3,FALSE)*0.92</f>
        <v>602.16876690131596</v>
      </c>
      <c r="U1747" s="113">
        <f t="shared" si="1852"/>
        <v>60.216876690131599</v>
      </c>
      <c r="V1747">
        <f t="shared" ref="V1747:W1747" si="1872">V1723</f>
        <v>3.5</v>
      </c>
      <c r="W1747">
        <f t="shared" si="1872"/>
        <v>3</v>
      </c>
      <c r="X1747" s="9">
        <v>-11.6347842666666</v>
      </c>
      <c r="Y1747" s="39"/>
    </row>
    <row r="1748" spans="1:25" ht="15" thickBot="1">
      <c r="A1748" s="149">
        <f t="shared" si="1834"/>
        <v>45908.70833333108</v>
      </c>
      <c r="B1748" s="30">
        <f t="shared" si="1861"/>
        <v>8000</v>
      </c>
      <c r="C1748" s="8">
        <v>25000</v>
      </c>
      <c r="D1748" s="187">
        <v>0</v>
      </c>
      <c r="E1748" s="187">
        <v>700</v>
      </c>
      <c r="F1748" s="187">
        <v>15000</v>
      </c>
      <c r="G1748" s="30">
        <f t="shared" si="1862"/>
        <v>2400</v>
      </c>
      <c r="H1748" s="8">
        <v>25000</v>
      </c>
      <c r="I1748" s="30">
        <f t="shared" si="1863"/>
        <v>8000</v>
      </c>
      <c r="J1748" s="187">
        <v>40000</v>
      </c>
      <c r="K1748" s="30">
        <f t="shared" si="1864"/>
        <v>8000</v>
      </c>
      <c r="L1748" s="187">
        <v>40000</v>
      </c>
      <c r="M1748" s="110">
        <v>9.5</v>
      </c>
      <c r="N1748" s="9">
        <f>VLOOKUP(DATE(YEAR(A1748),MONTH(A1748),DAY(A1748)),FY24_Temp[],3,FALSE)</f>
        <v>15.21</v>
      </c>
      <c r="O1748" s="110">
        <f t="shared" si="1850"/>
        <v>11.5</v>
      </c>
      <c r="P1748" s="110">
        <f t="shared" si="1851"/>
        <v>19.5</v>
      </c>
      <c r="Q1748" s="79">
        <f>VLOOKUP(VLOOKUP(DATEVALUE(TEXT(A1748,"m/d/yyyy")),FY24_Temp[],5,FALSE)&amp;TEXT(A1748,"-h"),TempDelta[],4,FALSE)</f>
        <v>0.97692857256957466</v>
      </c>
      <c r="R1748">
        <v>10</v>
      </c>
      <c r="S1748" s="112">
        <v>1500</v>
      </c>
      <c r="T1748" s="5">
        <f>VLOOKUP(TEXT(A1748,"yy-mm")&amp;"-"&amp;IF(AND(WEEKDAY(A1748)&gt;1,WEEKDAY(A1748)&lt;7),"Wkd",TEXT(A1748,"Ddd"))&amp;"-"&amp;TEXT(A1748,"hh"),LoadTable[],3,FALSE)*0.92</f>
        <v>602.16876690131596</v>
      </c>
      <c r="U1748" s="113">
        <f t="shared" si="1852"/>
        <v>60.216876690131599</v>
      </c>
      <c r="V1748">
        <f t="shared" ref="V1748:W1748" si="1873">V1724</f>
        <v>3.6</v>
      </c>
      <c r="W1748">
        <f t="shared" si="1873"/>
        <v>3</v>
      </c>
      <c r="X1748" s="9">
        <v>-11.7125788166666</v>
      </c>
      <c r="Y1748" s="39"/>
    </row>
    <row r="1749" spans="1:25" ht="15" thickBot="1">
      <c r="A1749" s="149">
        <f t="shared" si="1834"/>
        <v>45908.749999997744</v>
      </c>
      <c r="B1749" s="30">
        <f t="shared" si="1861"/>
        <v>5000</v>
      </c>
      <c r="C1749" s="8">
        <v>25000</v>
      </c>
      <c r="D1749" s="187">
        <v>0</v>
      </c>
      <c r="E1749" s="187">
        <v>700</v>
      </c>
      <c r="F1749" s="187">
        <v>15000</v>
      </c>
      <c r="G1749" s="30">
        <f t="shared" si="1862"/>
        <v>2400</v>
      </c>
      <c r="H1749" s="8">
        <v>25000</v>
      </c>
      <c r="I1749" s="30">
        <f t="shared" si="1863"/>
        <v>5000</v>
      </c>
      <c r="J1749" s="187">
        <v>40000</v>
      </c>
      <c r="K1749" s="30">
        <f t="shared" si="1864"/>
        <v>5000</v>
      </c>
      <c r="L1749" s="187">
        <v>40000</v>
      </c>
      <c r="M1749" s="110">
        <v>9.5</v>
      </c>
      <c r="N1749" s="9">
        <f>VLOOKUP(DATE(YEAR(A1749),MONTH(A1749),DAY(A1749)),FY24_Temp[],3,FALSE)</f>
        <v>15.21</v>
      </c>
      <c r="O1749" s="110">
        <f t="shared" si="1850"/>
        <v>11.5</v>
      </c>
      <c r="P1749" s="110">
        <f t="shared" si="1851"/>
        <v>19.5</v>
      </c>
      <c r="Q1749" s="79">
        <f>VLOOKUP(VLOOKUP(DATEVALUE(TEXT(A1749,"m/d/yyyy")),FY24_Temp[],5,FALSE)&amp;TEXT(A1749,"-h"),TempDelta[],4,FALSE)</f>
        <v>1.2994285779339927</v>
      </c>
      <c r="R1749">
        <v>10</v>
      </c>
      <c r="S1749" s="112">
        <v>1500</v>
      </c>
      <c r="T1749" s="5">
        <f>VLOOKUP(TEXT(A1749,"yy-mm")&amp;"-"&amp;IF(AND(WEEKDAY(A1749)&gt;1,WEEKDAY(A1749)&lt;7),"Wkd",TEXT(A1749,"Ddd"))&amp;"-"&amp;TEXT(A1749,"hh"),LoadTable[],3,FALSE)*0.92</f>
        <v>602.16876690131596</v>
      </c>
      <c r="U1749" s="113">
        <f t="shared" si="1852"/>
        <v>60.216876690131599</v>
      </c>
      <c r="V1749">
        <f t="shared" ref="V1749:W1749" si="1874">V1725</f>
        <v>2.9</v>
      </c>
      <c r="W1749">
        <f t="shared" si="1874"/>
        <v>3</v>
      </c>
      <c r="X1749" s="9">
        <v>-11.7903733666666</v>
      </c>
      <c r="Y1749" s="39"/>
    </row>
    <row r="1750" spans="1:25" ht="15" thickBot="1">
      <c r="A1750" s="149">
        <f t="shared" si="1834"/>
        <v>45908.791666664409</v>
      </c>
      <c r="B1750" s="30">
        <f t="shared" si="1861"/>
        <v>5000</v>
      </c>
      <c r="C1750" s="8">
        <v>25000</v>
      </c>
      <c r="D1750" s="187">
        <v>0</v>
      </c>
      <c r="E1750" s="187">
        <v>700</v>
      </c>
      <c r="F1750" s="187">
        <v>15000</v>
      </c>
      <c r="G1750" s="30">
        <f t="shared" si="1862"/>
        <v>2400</v>
      </c>
      <c r="H1750" s="8">
        <v>25000</v>
      </c>
      <c r="I1750" s="30">
        <f t="shared" si="1863"/>
        <v>5000</v>
      </c>
      <c r="J1750" s="187">
        <v>40000</v>
      </c>
      <c r="K1750" s="30">
        <f t="shared" si="1864"/>
        <v>5000</v>
      </c>
      <c r="L1750" s="187">
        <v>40000</v>
      </c>
      <c r="M1750" s="110">
        <v>9.5</v>
      </c>
      <c r="N1750" s="9">
        <f>VLOOKUP(DATE(YEAR(A1750),MONTH(A1750),DAY(A1750)),FY24_Temp[],3,FALSE)</f>
        <v>15.21</v>
      </c>
      <c r="O1750" s="110">
        <f t="shared" si="1850"/>
        <v>11.5</v>
      </c>
      <c r="P1750" s="110">
        <f t="shared" si="1851"/>
        <v>19.5</v>
      </c>
      <c r="Q1750" s="79">
        <f>VLOOKUP(VLOOKUP(DATEVALUE(TEXT(A1750,"m/d/yyyy")),FY24_Temp[],5,FALSE)&amp;TEXT(A1750,"-h"),TempDelta[],4,FALSE)</f>
        <v>1.4374285723481859</v>
      </c>
      <c r="R1750">
        <v>10</v>
      </c>
      <c r="S1750" s="112">
        <v>1500</v>
      </c>
      <c r="T1750" s="5">
        <f>VLOOKUP(TEXT(A1750,"yy-mm")&amp;"-"&amp;IF(AND(WEEKDAY(A1750)&gt;1,WEEKDAY(A1750)&lt;7),"Wkd",TEXT(A1750,"Ddd"))&amp;"-"&amp;TEXT(A1750,"hh"),LoadTable[],3,FALSE)*0.92</f>
        <v>600.14662419619219</v>
      </c>
      <c r="U1750" s="113">
        <f t="shared" si="1852"/>
        <v>60.014662419619221</v>
      </c>
      <c r="V1750">
        <f t="shared" ref="V1750:W1750" si="1875">V1726</f>
        <v>3</v>
      </c>
      <c r="W1750">
        <f t="shared" si="1875"/>
        <v>3</v>
      </c>
      <c r="X1750" s="9">
        <v>-11.8681679166666</v>
      </c>
      <c r="Y1750" s="39"/>
    </row>
    <row r="1751" spans="1:25" ht="15" thickBot="1">
      <c r="A1751" s="149">
        <f t="shared" si="1834"/>
        <v>45908.833333331073</v>
      </c>
      <c r="B1751" s="30">
        <f t="shared" si="1861"/>
        <v>5000</v>
      </c>
      <c r="C1751" s="8">
        <v>25000</v>
      </c>
      <c r="D1751" s="187">
        <v>0</v>
      </c>
      <c r="E1751" s="187">
        <v>700</v>
      </c>
      <c r="F1751" s="187">
        <v>15000</v>
      </c>
      <c r="G1751" s="30">
        <f t="shared" si="1862"/>
        <v>2400</v>
      </c>
      <c r="H1751" s="8">
        <v>25000</v>
      </c>
      <c r="I1751" s="30">
        <f t="shared" si="1863"/>
        <v>5000</v>
      </c>
      <c r="J1751" s="187">
        <v>40000</v>
      </c>
      <c r="K1751" s="30">
        <f t="shared" si="1864"/>
        <v>5000</v>
      </c>
      <c r="L1751" s="187">
        <v>40000</v>
      </c>
      <c r="M1751" s="110">
        <v>9.5</v>
      </c>
      <c r="N1751" s="9">
        <f>VLOOKUP(DATE(YEAR(A1751),MONTH(A1751),DAY(A1751)),FY24_Temp[],3,FALSE)</f>
        <v>15.21</v>
      </c>
      <c r="O1751" s="110">
        <f t="shared" si="1850"/>
        <v>11.5</v>
      </c>
      <c r="P1751" s="110">
        <f t="shared" si="1851"/>
        <v>19.5</v>
      </c>
      <c r="Q1751" s="79">
        <f>VLOOKUP(VLOOKUP(DATEVALUE(TEXT(A1751,"m/d/yyyy")),FY24_Temp[],5,FALSE)&amp;TEXT(A1751,"-h"),TempDelta[],4,FALSE)</f>
        <v>1.5300714543887548</v>
      </c>
      <c r="R1751">
        <v>10</v>
      </c>
      <c r="S1751" s="112">
        <v>1500</v>
      </c>
      <c r="T1751" s="5">
        <f>VLOOKUP(TEXT(A1751,"yy-mm")&amp;"-"&amp;IF(AND(WEEKDAY(A1751)&gt;1,WEEKDAY(A1751)&lt;7),"Wkd",TEXT(A1751,"Ddd"))&amp;"-"&amp;TEXT(A1751,"hh"),LoadTable[],3,FALSE)*0.92</f>
        <v>600.14662419619219</v>
      </c>
      <c r="U1751" s="113">
        <f t="shared" si="1852"/>
        <v>60.014662419619221</v>
      </c>
      <c r="V1751">
        <f t="shared" ref="V1751:W1751" si="1876">V1727</f>
        <v>2.8</v>
      </c>
      <c r="W1751">
        <f t="shared" si="1876"/>
        <v>3.1</v>
      </c>
      <c r="X1751" s="9">
        <v>-11.9459624666666</v>
      </c>
      <c r="Y1751" s="39"/>
    </row>
    <row r="1752" spans="1:25" ht="15" thickBot="1">
      <c r="A1752" s="149">
        <f t="shared" si="1834"/>
        <v>45908.874999997737</v>
      </c>
      <c r="B1752" s="30">
        <f t="shared" si="1861"/>
        <v>5000</v>
      </c>
      <c r="C1752" s="8">
        <v>25000</v>
      </c>
      <c r="D1752" s="187">
        <v>0</v>
      </c>
      <c r="E1752" s="187">
        <v>700</v>
      </c>
      <c r="F1752" s="187">
        <v>15000</v>
      </c>
      <c r="G1752" s="30">
        <f t="shared" si="1862"/>
        <v>2400</v>
      </c>
      <c r="H1752" s="8">
        <v>25000</v>
      </c>
      <c r="I1752" s="30">
        <f t="shared" si="1863"/>
        <v>5000</v>
      </c>
      <c r="J1752" s="187">
        <v>40000</v>
      </c>
      <c r="K1752" s="30">
        <f t="shared" si="1864"/>
        <v>5000</v>
      </c>
      <c r="L1752" s="187">
        <v>40000</v>
      </c>
      <c r="M1752" s="110">
        <v>9.5</v>
      </c>
      <c r="N1752" s="9">
        <f>VLOOKUP(DATE(YEAR(A1752),MONTH(A1752),DAY(A1752)),FY24_Temp[],3,FALSE)</f>
        <v>15.21</v>
      </c>
      <c r="O1752" s="110">
        <f t="shared" si="1850"/>
        <v>11.5</v>
      </c>
      <c r="P1752" s="110">
        <f t="shared" si="1851"/>
        <v>19.5</v>
      </c>
      <c r="Q1752" s="79">
        <f>VLOOKUP(VLOOKUP(DATEVALUE(TEXT(A1752,"m/d/yyyy")),FY24_Temp[],5,FALSE)&amp;TEXT(A1752,"-h"),TempDelta[],4,FALSE)</f>
        <v>1.5475714121546065</v>
      </c>
      <c r="R1752">
        <v>10</v>
      </c>
      <c r="S1752" s="112">
        <v>1500</v>
      </c>
      <c r="T1752" s="5">
        <f>VLOOKUP(TEXT(A1752,"yy-mm")&amp;"-"&amp;IF(AND(WEEKDAY(A1752)&gt;1,WEEKDAY(A1752)&lt;7),"Wkd",TEXT(A1752,"Ddd"))&amp;"-"&amp;TEXT(A1752,"hh"),LoadTable[],3,FALSE)*0.92</f>
        <v>523.94879142973434</v>
      </c>
      <c r="U1752" s="113">
        <f t="shared" si="1852"/>
        <v>52.394879142973437</v>
      </c>
      <c r="V1752">
        <f t="shared" ref="V1752:W1752" si="1877">V1728</f>
        <v>3.5</v>
      </c>
      <c r="W1752">
        <f t="shared" si="1877"/>
        <v>3.1</v>
      </c>
      <c r="X1752" s="9">
        <v>-12.0237570166666</v>
      </c>
      <c r="Y1752" s="39"/>
    </row>
    <row r="1753" spans="1:25" ht="15" thickBot="1">
      <c r="A1753" s="149">
        <f t="shared" si="1834"/>
        <v>45908.916666664401</v>
      </c>
      <c r="B1753" s="30">
        <f t="shared" si="1861"/>
        <v>5000</v>
      </c>
      <c r="C1753" s="8">
        <v>25000</v>
      </c>
      <c r="D1753" s="187">
        <v>0</v>
      </c>
      <c r="E1753" s="187">
        <v>700</v>
      </c>
      <c r="F1753" s="187">
        <v>15000</v>
      </c>
      <c r="G1753" s="30">
        <f t="shared" si="1862"/>
        <v>2400</v>
      </c>
      <c r="H1753" s="8">
        <v>25000</v>
      </c>
      <c r="I1753" s="30">
        <f t="shared" si="1863"/>
        <v>5000</v>
      </c>
      <c r="J1753" s="187">
        <v>40000</v>
      </c>
      <c r="K1753" s="30">
        <f t="shared" si="1864"/>
        <v>5000</v>
      </c>
      <c r="L1753" s="187">
        <v>40000</v>
      </c>
      <c r="M1753" s="110">
        <v>9.5</v>
      </c>
      <c r="N1753" s="9">
        <f>VLOOKUP(DATE(YEAR(A1753),MONTH(A1753),DAY(A1753)),FY24_Temp[],3,FALSE)</f>
        <v>15.21</v>
      </c>
      <c r="O1753" s="110">
        <f t="shared" si="1850"/>
        <v>11.5</v>
      </c>
      <c r="P1753" s="110">
        <f t="shared" si="1851"/>
        <v>19.5</v>
      </c>
      <c r="Q1753" s="79">
        <f>VLOOKUP(VLOOKUP(DATEVALUE(TEXT(A1753,"m/d/yyyy")),FY24_Temp[],5,FALSE)&amp;TEXT(A1753,"-h"),TempDelta[],4,FALSE)</f>
        <v>2.0112857137407576</v>
      </c>
      <c r="R1753">
        <v>10</v>
      </c>
      <c r="S1753" s="112">
        <v>1500</v>
      </c>
      <c r="T1753" s="5">
        <f>VLOOKUP(TEXT(A1753,"yy-mm")&amp;"-"&amp;IF(AND(WEEKDAY(A1753)&gt;1,WEEKDAY(A1753)&lt;7),"Wkd",TEXT(A1753,"Ddd"))&amp;"-"&amp;TEXT(A1753,"hh"),LoadTable[],3,FALSE)*0.92</f>
        <v>421.91858468239752</v>
      </c>
      <c r="U1753" s="113">
        <f t="shared" si="1852"/>
        <v>42.191858468239751</v>
      </c>
      <c r="V1753">
        <f t="shared" ref="V1753:W1753" si="1878">V1729</f>
        <v>2.9</v>
      </c>
      <c r="W1753">
        <f t="shared" si="1878"/>
        <v>3.1</v>
      </c>
      <c r="X1753" s="9">
        <v>-12.1015515666666</v>
      </c>
      <c r="Y1753" s="39"/>
    </row>
    <row r="1754" spans="1:25" ht="15" thickBot="1">
      <c r="A1754" s="149">
        <f t="shared" si="1834"/>
        <v>45908.958333331066</v>
      </c>
      <c r="B1754" s="30">
        <f t="shared" si="1861"/>
        <v>5000</v>
      </c>
      <c r="C1754" s="8">
        <v>25000</v>
      </c>
      <c r="D1754" s="187">
        <v>0</v>
      </c>
      <c r="E1754" s="187">
        <v>700</v>
      </c>
      <c r="F1754" s="187">
        <v>15000</v>
      </c>
      <c r="G1754" s="30">
        <f t="shared" si="1862"/>
        <v>2400</v>
      </c>
      <c r="H1754" s="8">
        <v>25000</v>
      </c>
      <c r="I1754" s="30">
        <f t="shared" si="1863"/>
        <v>5000</v>
      </c>
      <c r="J1754" s="187">
        <v>40000</v>
      </c>
      <c r="K1754" s="30">
        <f t="shared" si="1864"/>
        <v>5000</v>
      </c>
      <c r="L1754" s="187">
        <v>40000</v>
      </c>
      <c r="M1754" s="110">
        <v>9.5</v>
      </c>
      <c r="N1754" s="9">
        <f>VLOOKUP(DATE(YEAR(A1754),MONTH(A1754),DAY(A1754)),FY24_Temp[],3,FALSE)</f>
        <v>15.21</v>
      </c>
      <c r="O1754" s="110">
        <f t="shared" si="1850"/>
        <v>11.5</v>
      </c>
      <c r="P1754" s="110">
        <f t="shared" si="1851"/>
        <v>19.5</v>
      </c>
      <c r="Q1754" s="79">
        <f>VLOOKUP(VLOOKUP(DATEVALUE(TEXT(A1754,"m/d/yyyy")),FY24_Temp[],5,FALSE)&amp;TEXT(A1754,"-h"),TempDelta[],4,FALSE)</f>
        <v>2.1388571432658603</v>
      </c>
      <c r="R1754">
        <v>10</v>
      </c>
      <c r="S1754" s="112">
        <v>1500</v>
      </c>
      <c r="T1754" s="5">
        <f>VLOOKUP(TEXT(A1754,"yy-mm")&amp;"-"&amp;IF(AND(WEEKDAY(A1754)&gt;1,WEEKDAY(A1754)&lt;7),"Wkd",TEXT(A1754,"Ddd"))&amp;"-"&amp;TEXT(A1754,"hh"),LoadTable[],3,FALSE)*0.92</f>
        <v>289.33527113913209</v>
      </c>
      <c r="U1754" s="113">
        <f t="shared" si="1852"/>
        <v>28.933527113913208</v>
      </c>
      <c r="V1754">
        <f t="shared" ref="V1754:W1754" si="1879">V1730</f>
        <v>3.6</v>
      </c>
      <c r="W1754">
        <f t="shared" si="1879"/>
        <v>3.1</v>
      </c>
      <c r="X1754" s="9">
        <v>-12.179346116666601</v>
      </c>
      <c r="Y1754" s="39"/>
    </row>
    <row r="1755" spans="1:25" ht="15" thickBot="1">
      <c r="A1755" s="149">
        <f t="shared" si="1834"/>
        <v>45908.99999999773</v>
      </c>
      <c r="B1755" s="30">
        <f t="shared" si="1861"/>
        <v>5000</v>
      </c>
      <c r="C1755" s="8">
        <v>25000</v>
      </c>
      <c r="D1755" s="187">
        <v>0</v>
      </c>
      <c r="E1755" s="187">
        <v>700</v>
      </c>
      <c r="F1755" s="187">
        <v>15000</v>
      </c>
      <c r="G1755" s="30">
        <f t="shared" si="1862"/>
        <v>2400</v>
      </c>
      <c r="H1755" s="8">
        <v>25000</v>
      </c>
      <c r="I1755" s="30">
        <f t="shared" si="1863"/>
        <v>5000</v>
      </c>
      <c r="J1755" s="187">
        <v>40000</v>
      </c>
      <c r="K1755" s="30">
        <f t="shared" si="1864"/>
        <v>5000</v>
      </c>
      <c r="L1755" s="187">
        <v>40000</v>
      </c>
      <c r="M1755" s="110">
        <v>9.5</v>
      </c>
      <c r="N1755" s="9">
        <f>VLOOKUP(DATE(YEAR(A1755),MONTH(A1755),DAY(A1755)),FY24_Temp[],3,FALSE)</f>
        <v>15.21</v>
      </c>
      <c r="O1755" s="110">
        <f t="shared" si="1850"/>
        <v>11.5</v>
      </c>
      <c r="P1755" s="110">
        <f t="shared" si="1851"/>
        <v>19.5</v>
      </c>
      <c r="Q1755" s="79">
        <f>VLOOKUP(VLOOKUP(DATEVALUE(TEXT(A1755,"m/d/yyyy")),FY24_Temp[],5,FALSE)&amp;TEXT(A1755,"-h"),TempDelta[],4,FALSE)</f>
        <v>2.2215714454650879</v>
      </c>
      <c r="R1755">
        <v>10</v>
      </c>
      <c r="S1755" s="112">
        <v>1500</v>
      </c>
      <c r="T1755" s="5">
        <f>VLOOKUP(TEXT(A1755,"yy-mm")&amp;"-"&amp;IF(AND(WEEKDAY(A1755)&gt;1,WEEKDAY(A1755)&lt;7),"Wkd",TEXT(A1755,"Ddd"))&amp;"-"&amp;TEXT(A1755,"hh"),LoadTable[],3,FALSE)*0.92</f>
        <v>289.0624787084426</v>
      </c>
      <c r="U1755" s="113">
        <f t="shared" si="1852"/>
        <v>28.906247870844261</v>
      </c>
      <c r="V1755">
        <f t="shared" ref="V1755:W1755" si="1880">V1731</f>
        <v>3</v>
      </c>
      <c r="W1755">
        <f t="shared" si="1880"/>
        <v>3.2</v>
      </c>
      <c r="X1755" s="9">
        <v>-12.257140666666601</v>
      </c>
      <c r="Y1755" s="39"/>
    </row>
    <row r="1756" spans="1:25" ht="15" thickBot="1">
      <c r="A1756" s="149">
        <f t="shared" si="1834"/>
        <v>45909.041666664394</v>
      </c>
      <c r="B1756" s="30">
        <f t="shared" si="1861"/>
        <v>5000</v>
      </c>
      <c r="C1756" s="8">
        <v>25000</v>
      </c>
      <c r="D1756" s="187">
        <v>0</v>
      </c>
      <c r="E1756" s="187">
        <v>700</v>
      </c>
      <c r="F1756" s="187">
        <v>15000</v>
      </c>
      <c r="G1756" s="30">
        <f t="shared" si="1862"/>
        <v>2400</v>
      </c>
      <c r="H1756" s="8">
        <v>25000</v>
      </c>
      <c r="I1756" s="30">
        <f t="shared" si="1863"/>
        <v>5000</v>
      </c>
      <c r="J1756" s="187">
        <v>40000</v>
      </c>
      <c r="K1756" s="30">
        <f t="shared" si="1864"/>
        <v>5000</v>
      </c>
      <c r="L1756" s="187">
        <v>40000</v>
      </c>
      <c r="M1756" s="110">
        <v>9.5</v>
      </c>
      <c r="N1756" s="9">
        <f>VLOOKUP(DATE(YEAR(A1756),MONTH(A1756),DAY(A1756)),FY24_Temp[],3,FALSE)</f>
        <v>15.21</v>
      </c>
      <c r="O1756" s="110">
        <f t="shared" si="1850"/>
        <v>11.5</v>
      </c>
      <c r="P1756" s="110">
        <f t="shared" si="1851"/>
        <v>19.5</v>
      </c>
      <c r="Q1756" s="79">
        <f>VLOOKUP(VLOOKUP(DATEVALUE(TEXT(A1756,"m/d/yyyy")),FY24_Temp[],5,FALSE)&amp;TEXT(A1756,"-h"),TempDelta[],4,FALSE)</f>
        <v>2.2935714381081715</v>
      </c>
      <c r="R1756">
        <v>10</v>
      </c>
      <c r="S1756" s="112">
        <v>1500</v>
      </c>
      <c r="T1756" s="5">
        <f>VLOOKUP(TEXT(A1756,"yy-mm")&amp;"-"&amp;IF(AND(WEEKDAY(A1756)&gt;1,WEEKDAY(A1756)&lt;7),"Wkd",TEXT(A1756,"Ddd"))&amp;"-"&amp;TEXT(A1756,"hh"),LoadTable[],3,FALSE)*0.92</f>
        <v>289.0624787084426</v>
      </c>
      <c r="U1756" s="113">
        <f t="shared" si="1852"/>
        <v>28.906247870844261</v>
      </c>
      <c r="V1756">
        <f t="shared" ref="V1756:W1756" si="1881">V1732</f>
        <v>2.6</v>
      </c>
      <c r="W1756">
        <f t="shared" si="1881"/>
        <v>3.2</v>
      </c>
      <c r="X1756" s="9">
        <v>-12.334935216666601</v>
      </c>
      <c r="Y1756" s="39"/>
    </row>
    <row r="1757" spans="1:25" ht="15" thickBot="1">
      <c r="A1757" s="149">
        <f t="shared" si="1834"/>
        <v>45909.083333331058</v>
      </c>
      <c r="B1757" s="30">
        <f t="shared" si="1861"/>
        <v>5000</v>
      </c>
      <c r="C1757" s="8">
        <v>25000</v>
      </c>
      <c r="D1757" s="187">
        <v>0</v>
      </c>
      <c r="E1757" s="187">
        <v>700</v>
      </c>
      <c r="F1757" s="187">
        <v>15000</v>
      </c>
      <c r="G1757" s="30">
        <f t="shared" si="1862"/>
        <v>2400</v>
      </c>
      <c r="H1757" s="8">
        <v>25000</v>
      </c>
      <c r="I1757" s="30">
        <f t="shared" si="1863"/>
        <v>5000</v>
      </c>
      <c r="J1757" s="187">
        <v>40000</v>
      </c>
      <c r="K1757" s="30">
        <f t="shared" si="1864"/>
        <v>5000</v>
      </c>
      <c r="L1757" s="187">
        <v>40000</v>
      </c>
      <c r="M1757" s="110">
        <v>9.5</v>
      </c>
      <c r="N1757" s="9">
        <f>VLOOKUP(DATE(YEAR(A1757),MONTH(A1757),DAY(A1757)),FY24_Temp[],3,FALSE)</f>
        <v>15.21</v>
      </c>
      <c r="O1757" s="110">
        <f t="shared" si="1850"/>
        <v>11.5</v>
      </c>
      <c r="P1757" s="110">
        <f t="shared" si="1851"/>
        <v>19.5</v>
      </c>
      <c r="Q1757" s="79">
        <f>VLOOKUP(VLOOKUP(DATEVALUE(TEXT(A1757,"m/d/yyyy")),FY24_Temp[],5,FALSE)&amp;TEXT(A1757,"-h"),TempDelta[],4,FALSE)</f>
        <v>2.3212857246398926</v>
      </c>
      <c r="R1757">
        <v>10</v>
      </c>
      <c r="S1757" s="112">
        <v>1500</v>
      </c>
      <c r="T1757" s="5">
        <f>VLOOKUP(TEXT(A1757,"yy-mm")&amp;"-"&amp;IF(AND(WEEKDAY(A1757)&gt;1,WEEKDAY(A1757)&lt;7),"Wkd",TEXT(A1757,"Ddd"))&amp;"-"&amp;TEXT(A1757,"hh"),LoadTable[],3,FALSE)*0.92</f>
        <v>289.0624787084426</v>
      </c>
      <c r="U1757" s="113">
        <f t="shared" si="1852"/>
        <v>28.906247870844261</v>
      </c>
      <c r="V1757">
        <f t="shared" ref="V1757:W1757" si="1882">V1733</f>
        <v>2.8</v>
      </c>
      <c r="W1757">
        <f t="shared" si="1882"/>
        <v>3.2</v>
      </c>
      <c r="X1757" s="9">
        <v>-12.412729766666599</v>
      </c>
      <c r="Y1757" s="39"/>
    </row>
    <row r="1758" spans="1:25" ht="15" thickBot="1">
      <c r="A1758" s="149">
        <f t="shared" si="1834"/>
        <v>45909.124999997723</v>
      </c>
      <c r="B1758" s="30">
        <f t="shared" si="1861"/>
        <v>5000</v>
      </c>
      <c r="C1758" s="8">
        <v>25000</v>
      </c>
      <c r="D1758" s="187">
        <v>0</v>
      </c>
      <c r="E1758" s="187">
        <v>700</v>
      </c>
      <c r="F1758" s="187">
        <v>15000</v>
      </c>
      <c r="G1758" s="30">
        <f t="shared" si="1862"/>
        <v>2400</v>
      </c>
      <c r="H1758" s="8">
        <v>25000</v>
      </c>
      <c r="I1758" s="30">
        <f t="shared" si="1863"/>
        <v>5000</v>
      </c>
      <c r="J1758" s="187">
        <v>40000</v>
      </c>
      <c r="K1758" s="30">
        <f t="shared" si="1864"/>
        <v>5000</v>
      </c>
      <c r="L1758" s="187">
        <v>40000</v>
      </c>
      <c r="M1758" s="110">
        <v>9.5</v>
      </c>
      <c r="N1758" s="9">
        <f>VLOOKUP(DATE(YEAR(A1758),MONTH(A1758),DAY(A1758)),FY24_Temp[],3,FALSE)</f>
        <v>15.21</v>
      </c>
      <c r="O1758" s="110">
        <f t="shared" si="1850"/>
        <v>11.5</v>
      </c>
      <c r="P1758" s="110">
        <f t="shared" si="1851"/>
        <v>19.5</v>
      </c>
      <c r="Q1758" s="79">
        <f>VLOOKUP(VLOOKUP(DATEVALUE(TEXT(A1758,"m/d/yyyy")),FY24_Temp[],5,FALSE)&amp;TEXT(A1758,"-h"),TempDelta[],4,FALSE)</f>
        <v>2.3239999498639787</v>
      </c>
      <c r="R1758">
        <v>10</v>
      </c>
      <c r="S1758" s="112">
        <v>1500</v>
      </c>
      <c r="T1758" s="5">
        <f>VLOOKUP(TEXT(A1758,"yy-mm")&amp;"-"&amp;IF(AND(WEEKDAY(A1758)&gt;1,WEEKDAY(A1758)&lt;7),"Wkd",TEXT(A1758,"Ddd"))&amp;"-"&amp;TEXT(A1758,"hh"),LoadTable[],3,FALSE)*0.92</f>
        <v>289.05894152419745</v>
      </c>
      <c r="U1758" s="113">
        <f t="shared" si="1852"/>
        <v>28.905894152419744</v>
      </c>
      <c r="V1758">
        <f t="shared" ref="V1758:W1758" si="1883">V1734</f>
        <v>2.7</v>
      </c>
      <c r="W1758">
        <f t="shared" si="1883"/>
        <v>3.2</v>
      </c>
      <c r="X1758" s="9">
        <v>-12.490524316666599</v>
      </c>
      <c r="Y1758" s="39"/>
    </row>
    <row r="1759" spans="1:25" ht="15" thickBot="1">
      <c r="A1759" s="149">
        <f t="shared" si="1834"/>
        <v>45909.166666664387</v>
      </c>
      <c r="B1759" s="30">
        <f t="shared" si="1861"/>
        <v>5000</v>
      </c>
      <c r="C1759" s="8">
        <v>25000</v>
      </c>
      <c r="D1759" s="187">
        <v>0</v>
      </c>
      <c r="E1759" s="187">
        <v>700</v>
      </c>
      <c r="F1759" s="187">
        <v>15000</v>
      </c>
      <c r="G1759" s="30">
        <f t="shared" si="1862"/>
        <v>2400</v>
      </c>
      <c r="H1759" s="8">
        <v>25000</v>
      </c>
      <c r="I1759" s="30">
        <f t="shared" si="1863"/>
        <v>5000</v>
      </c>
      <c r="J1759" s="187">
        <v>40000</v>
      </c>
      <c r="K1759" s="30">
        <f t="shared" si="1864"/>
        <v>5000</v>
      </c>
      <c r="L1759" s="187">
        <v>40000</v>
      </c>
      <c r="M1759" s="110">
        <v>9.5</v>
      </c>
      <c r="N1759" s="9">
        <f>VLOOKUP(DATE(YEAR(A1759),MONTH(A1759),DAY(A1759)),FY24_Temp[],3,FALSE)</f>
        <v>15.21</v>
      </c>
      <c r="O1759" s="110">
        <f t="shared" si="1850"/>
        <v>11.5</v>
      </c>
      <c r="P1759" s="110">
        <f t="shared" si="1851"/>
        <v>19.5</v>
      </c>
      <c r="Q1759" s="79">
        <f>VLOOKUP(VLOOKUP(DATEVALUE(TEXT(A1759,"m/d/yyyy")),FY24_Temp[],5,FALSE)&amp;TEXT(A1759,"-h"),TempDelta[],4,FALSE)</f>
        <v>2.3638571671077182</v>
      </c>
      <c r="R1759">
        <v>10</v>
      </c>
      <c r="S1759" s="112">
        <v>1500</v>
      </c>
      <c r="T1759" s="5">
        <f>VLOOKUP(TEXT(A1759,"yy-mm")&amp;"-"&amp;IF(AND(WEEKDAY(A1759)&gt;1,WEEKDAY(A1759)&lt;7),"Wkd",TEXT(A1759,"Ddd"))&amp;"-"&amp;TEXT(A1759,"hh"),LoadTable[],3,FALSE)*0.92</f>
        <v>289.05894152419745</v>
      </c>
      <c r="U1759" s="113">
        <f t="shared" si="1852"/>
        <v>28.905894152419744</v>
      </c>
      <c r="V1759">
        <f t="shared" ref="V1759:W1759" si="1884">V1735</f>
        <v>3</v>
      </c>
      <c r="W1759">
        <f t="shared" si="1884"/>
        <v>3.1</v>
      </c>
      <c r="X1759" s="9">
        <v>-12.568318866666599</v>
      </c>
      <c r="Y1759" s="39"/>
    </row>
    <row r="1760" spans="1:25" ht="15" thickBot="1">
      <c r="A1760" s="149">
        <f t="shared" si="1834"/>
        <v>45909.208333331051</v>
      </c>
      <c r="B1760" s="30">
        <f t="shared" si="1861"/>
        <v>5000</v>
      </c>
      <c r="C1760" s="8">
        <v>25000</v>
      </c>
      <c r="D1760" s="187">
        <v>0</v>
      </c>
      <c r="E1760" s="187">
        <v>700</v>
      </c>
      <c r="F1760" s="187">
        <v>15000</v>
      </c>
      <c r="G1760" s="30">
        <f t="shared" si="1862"/>
        <v>2400</v>
      </c>
      <c r="H1760" s="8">
        <v>25000</v>
      </c>
      <c r="I1760" s="30">
        <f t="shared" si="1863"/>
        <v>5000</v>
      </c>
      <c r="J1760" s="187">
        <v>40000</v>
      </c>
      <c r="K1760" s="30">
        <f t="shared" si="1864"/>
        <v>5000</v>
      </c>
      <c r="L1760" s="187">
        <v>40000</v>
      </c>
      <c r="M1760" s="110">
        <v>9.5</v>
      </c>
      <c r="N1760" s="9">
        <f>VLOOKUP(DATE(YEAR(A1760),MONTH(A1760),DAY(A1760)),FY24_Temp[],3,FALSE)</f>
        <v>15.21</v>
      </c>
      <c r="O1760" s="110">
        <f t="shared" si="1850"/>
        <v>11.5</v>
      </c>
      <c r="P1760" s="110">
        <f t="shared" si="1851"/>
        <v>19.5</v>
      </c>
      <c r="Q1760" s="79">
        <f>VLOOKUP(VLOOKUP(DATEVALUE(TEXT(A1760,"m/d/yyyy")),FY24_Temp[],5,FALSE)&amp;TEXT(A1760,"-h"),TempDelta[],4,FALSE)</f>
        <v>2.4734285558973039</v>
      </c>
      <c r="R1760">
        <v>10</v>
      </c>
      <c r="S1760" s="112">
        <v>1500</v>
      </c>
      <c r="T1760" s="5">
        <f>VLOOKUP(TEXT(A1760,"yy-mm")&amp;"-"&amp;IF(AND(WEEKDAY(A1760)&gt;1,WEEKDAY(A1760)&lt;7),"Wkd",TEXT(A1760,"Ddd"))&amp;"-"&amp;TEXT(A1760,"hh"),LoadTable[],3,FALSE)*0.92</f>
        <v>289.05894152419745</v>
      </c>
      <c r="U1760" s="113">
        <f t="shared" si="1852"/>
        <v>28.905894152419744</v>
      </c>
      <c r="V1760">
        <f t="shared" ref="V1760:W1760" si="1885">V1736</f>
        <v>2.9</v>
      </c>
      <c r="W1760">
        <f t="shared" si="1885"/>
        <v>3.1</v>
      </c>
      <c r="X1760" s="9">
        <v>-12.6461134166666</v>
      </c>
      <c r="Y1760" s="39"/>
    </row>
    <row r="1761" spans="1:25" ht="15" thickBot="1">
      <c r="A1761" s="149">
        <f t="shared" si="1834"/>
        <v>45909.249999997715</v>
      </c>
      <c r="B1761" s="30">
        <f t="shared" si="1861"/>
        <v>8000</v>
      </c>
      <c r="C1761" s="8">
        <v>25000</v>
      </c>
      <c r="D1761" s="187">
        <v>0</v>
      </c>
      <c r="E1761" s="187">
        <v>700</v>
      </c>
      <c r="F1761" s="187">
        <v>15000</v>
      </c>
      <c r="G1761" s="30">
        <f t="shared" si="1862"/>
        <v>2400</v>
      </c>
      <c r="H1761" s="8">
        <v>25000</v>
      </c>
      <c r="I1761" s="30">
        <f t="shared" si="1863"/>
        <v>8000</v>
      </c>
      <c r="J1761" s="187">
        <v>40000</v>
      </c>
      <c r="K1761" s="30">
        <f t="shared" si="1864"/>
        <v>8000</v>
      </c>
      <c r="L1761" s="187">
        <v>40000</v>
      </c>
      <c r="M1761" s="110">
        <v>9.5</v>
      </c>
      <c r="N1761" s="9">
        <f>VLOOKUP(DATE(YEAR(A1761),MONTH(A1761),DAY(A1761)),FY24_Temp[],3,FALSE)</f>
        <v>15.21</v>
      </c>
      <c r="O1761" s="110">
        <f t="shared" si="1850"/>
        <v>11.5</v>
      </c>
      <c r="P1761" s="110">
        <f t="shared" si="1851"/>
        <v>19.5</v>
      </c>
      <c r="Q1761" s="79">
        <f>VLOOKUP(VLOOKUP(DATEVALUE(TEXT(A1761,"m/d/yyyy")),FY24_Temp[],5,FALSE)&amp;TEXT(A1761,"-h"),TempDelta[],4,FALSE)</f>
        <v>2.4392857210976735</v>
      </c>
      <c r="R1761">
        <v>10</v>
      </c>
      <c r="S1761" s="112">
        <v>1500</v>
      </c>
      <c r="T1761" s="5">
        <f>VLOOKUP(TEXT(A1761,"yy-mm")&amp;"-"&amp;IF(AND(WEEKDAY(A1761)&gt;1,WEEKDAY(A1761)&lt;7),"Wkd",TEXT(A1761,"Ddd"))&amp;"-"&amp;TEXT(A1761,"hh"),LoadTable[],3,FALSE)*0.92</f>
        <v>291.12479999999999</v>
      </c>
      <c r="U1761" s="113">
        <f t="shared" si="1852"/>
        <v>29.112479999999998</v>
      </c>
      <c r="V1761">
        <f t="shared" ref="V1761:W1761" si="1886">V1737</f>
        <v>2.5</v>
      </c>
      <c r="W1761">
        <f t="shared" si="1886"/>
        <v>3.1</v>
      </c>
      <c r="X1761" s="9">
        <v>-12.7239079666666</v>
      </c>
      <c r="Y1761" s="39"/>
    </row>
    <row r="1762" spans="1:25" ht="15" thickBot="1">
      <c r="A1762" s="149">
        <f t="shared" si="1834"/>
        <v>45909.29166666438</v>
      </c>
      <c r="B1762" s="30">
        <f t="shared" si="1861"/>
        <v>8000</v>
      </c>
      <c r="C1762" s="8">
        <v>25000</v>
      </c>
      <c r="D1762" s="187">
        <v>0</v>
      </c>
      <c r="E1762" s="187">
        <v>700</v>
      </c>
      <c r="F1762" s="187">
        <v>15000</v>
      </c>
      <c r="G1762" s="30">
        <f t="shared" si="1862"/>
        <v>2400</v>
      </c>
      <c r="H1762" s="8">
        <v>25000</v>
      </c>
      <c r="I1762" s="30">
        <f t="shared" si="1863"/>
        <v>8000</v>
      </c>
      <c r="J1762" s="187">
        <v>40000</v>
      </c>
      <c r="K1762" s="30">
        <f t="shared" si="1864"/>
        <v>8000</v>
      </c>
      <c r="L1762" s="187">
        <v>40000</v>
      </c>
      <c r="M1762" s="110">
        <v>9.5</v>
      </c>
      <c r="N1762" s="9">
        <f>VLOOKUP(DATE(YEAR(A1762),MONTH(A1762),DAY(A1762)),FY24_Temp[],3,FALSE)</f>
        <v>15.21</v>
      </c>
      <c r="O1762" s="110">
        <f t="shared" si="1850"/>
        <v>11.5</v>
      </c>
      <c r="P1762" s="110">
        <f t="shared" si="1851"/>
        <v>19.5</v>
      </c>
      <c r="Q1762" s="79">
        <f>VLOOKUP(VLOOKUP(DATEVALUE(TEXT(A1762,"m/d/yyyy")),FY24_Temp[],5,FALSE)&amp;TEXT(A1762,"-h"),TempDelta[],4,FALSE)</f>
        <v>2.3079999514988492</v>
      </c>
      <c r="R1762">
        <v>10</v>
      </c>
      <c r="S1762" s="112">
        <v>1500</v>
      </c>
      <c r="T1762" s="5">
        <f>VLOOKUP(TEXT(A1762,"yy-mm")&amp;"-"&amp;IF(AND(WEEKDAY(A1762)&gt;1,WEEKDAY(A1762)&lt;7),"Wkd",TEXT(A1762,"Ddd"))&amp;"-"&amp;TEXT(A1762,"hh"),LoadTable[],3,FALSE)*0.92</f>
        <v>291.12479999999999</v>
      </c>
      <c r="U1762" s="113">
        <f t="shared" si="1852"/>
        <v>29.112479999999998</v>
      </c>
      <c r="V1762">
        <f t="shared" ref="V1762:W1762" si="1887">V1738</f>
        <v>2.5</v>
      </c>
      <c r="W1762">
        <f t="shared" si="1887"/>
        <v>3.1</v>
      </c>
      <c r="X1762" s="9">
        <v>-12.8017025166666</v>
      </c>
      <c r="Y1762" s="39"/>
    </row>
    <row r="1763" spans="1:25" ht="15" thickBot="1">
      <c r="A1763" s="149">
        <f t="shared" si="1834"/>
        <v>45909.333333331044</v>
      </c>
      <c r="B1763" s="30">
        <f t="shared" si="1861"/>
        <v>8000</v>
      </c>
      <c r="C1763" s="8">
        <v>25000</v>
      </c>
      <c r="D1763" s="187">
        <v>0</v>
      </c>
      <c r="E1763" s="187">
        <v>700</v>
      </c>
      <c r="F1763" s="187">
        <v>15000</v>
      </c>
      <c r="G1763" s="30">
        <f t="shared" si="1862"/>
        <v>2400</v>
      </c>
      <c r="H1763" s="8">
        <v>25000</v>
      </c>
      <c r="I1763" s="30">
        <f t="shared" si="1863"/>
        <v>8000</v>
      </c>
      <c r="J1763" s="187">
        <v>40000</v>
      </c>
      <c r="K1763" s="30">
        <f t="shared" si="1864"/>
        <v>8000</v>
      </c>
      <c r="L1763" s="187">
        <v>40000</v>
      </c>
      <c r="M1763" s="110">
        <v>9.5</v>
      </c>
      <c r="N1763" s="9">
        <f>VLOOKUP(DATE(YEAR(A1763),MONTH(A1763),DAY(A1763)),FY24_Temp[],3,FALSE)</f>
        <v>15.21</v>
      </c>
      <c r="O1763" s="110">
        <f t="shared" si="1850"/>
        <v>11.5</v>
      </c>
      <c r="P1763" s="110">
        <f t="shared" si="1851"/>
        <v>19.5</v>
      </c>
      <c r="Q1763" s="79">
        <f>VLOOKUP(VLOOKUP(DATEVALUE(TEXT(A1763,"m/d/yyyy")),FY24_Temp[],5,FALSE)&amp;TEXT(A1763,"-h"),TempDelta[],4,FALSE)</f>
        <v>2.1418571812765941</v>
      </c>
      <c r="R1763">
        <v>10</v>
      </c>
      <c r="S1763" s="112">
        <v>1500</v>
      </c>
      <c r="T1763" s="5">
        <f>VLOOKUP(TEXT(A1763,"yy-mm")&amp;"-"&amp;IF(AND(WEEKDAY(A1763)&gt;1,WEEKDAY(A1763)&lt;7),"Wkd",TEXT(A1763,"Ddd"))&amp;"-"&amp;TEXT(A1763,"hh"),LoadTable[],3,FALSE)*0.92</f>
        <v>291.12479999999999</v>
      </c>
      <c r="U1763" s="113">
        <f t="shared" si="1852"/>
        <v>29.112479999999998</v>
      </c>
      <c r="V1763">
        <f t="shared" ref="V1763:W1763" si="1888">V1739</f>
        <v>3.2</v>
      </c>
      <c r="W1763">
        <f t="shared" si="1888"/>
        <v>3</v>
      </c>
      <c r="X1763" s="9">
        <v>-12.8794970666666</v>
      </c>
      <c r="Y1763" s="39"/>
    </row>
    <row r="1764" spans="1:25" ht="15" thickBot="1">
      <c r="A1764" s="149">
        <f t="shared" si="1834"/>
        <v>45909.374999997708</v>
      </c>
      <c r="B1764" s="30">
        <f t="shared" si="1861"/>
        <v>8000</v>
      </c>
      <c r="C1764" s="8">
        <v>25000</v>
      </c>
      <c r="D1764" s="187">
        <v>0</v>
      </c>
      <c r="E1764" s="187">
        <v>700</v>
      </c>
      <c r="F1764" s="187">
        <v>15000</v>
      </c>
      <c r="G1764" s="30">
        <f t="shared" si="1862"/>
        <v>2400</v>
      </c>
      <c r="H1764" s="8">
        <v>25000</v>
      </c>
      <c r="I1764" s="30">
        <f t="shared" si="1863"/>
        <v>8000</v>
      </c>
      <c r="J1764" s="187">
        <v>40000</v>
      </c>
      <c r="K1764" s="30">
        <f t="shared" si="1864"/>
        <v>8000</v>
      </c>
      <c r="L1764" s="187">
        <v>40000</v>
      </c>
      <c r="M1764" s="110">
        <v>9.5</v>
      </c>
      <c r="N1764" s="9">
        <f>VLOOKUP(DATE(YEAR(A1764),MONTH(A1764),DAY(A1764)),FY24_Temp[],3,FALSE)</f>
        <v>15.21</v>
      </c>
      <c r="O1764" s="110">
        <f t="shared" si="1850"/>
        <v>11.5</v>
      </c>
      <c r="P1764" s="110">
        <f t="shared" si="1851"/>
        <v>19.5</v>
      </c>
      <c r="Q1764" s="79">
        <f>VLOOKUP(VLOOKUP(DATEVALUE(TEXT(A1764,"m/d/yyyy")),FY24_Temp[],5,FALSE)&amp;TEXT(A1764,"-h"),TempDelta[],4,FALSE)</f>
        <v>1.9845714058194841</v>
      </c>
      <c r="R1764">
        <v>10</v>
      </c>
      <c r="S1764" s="112">
        <v>1500</v>
      </c>
      <c r="T1764" s="5">
        <f>VLOOKUP(TEXT(A1764,"yy-mm")&amp;"-"&amp;IF(AND(WEEKDAY(A1764)&gt;1,WEEKDAY(A1764)&lt;7),"Wkd",TEXT(A1764,"Ddd"))&amp;"-"&amp;TEXT(A1764,"hh"),LoadTable[],3,FALSE)*0.92</f>
        <v>291.12479999999999</v>
      </c>
      <c r="U1764" s="113">
        <f t="shared" si="1852"/>
        <v>29.112479999999998</v>
      </c>
      <c r="V1764">
        <f t="shared" ref="V1764:W1764" si="1889">V1740</f>
        <v>2.9</v>
      </c>
      <c r="W1764">
        <f t="shared" si="1889"/>
        <v>3</v>
      </c>
      <c r="X1764" s="9">
        <v>-12.9572916166666</v>
      </c>
      <c r="Y1764" s="39"/>
    </row>
    <row r="1765" spans="1:25" ht="15" thickBot="1">
      <c r="A1765" s="149">
        <f t="shared" si="1834"/>
        <v>45909.416666664372</v>
      </c>
      <c r="B1765" s="30">
        <f t="shared" si="1861"/>
        <v>8000</v>
      </c>
      <c r="C1765" s="8">
        <v>25000</v>
      </c>
      <c r="D1765" s="187">
        <v>0</v>
      </c>
      <c r="E1765" s="187">
        <v>700</v>
      </c>
      <c r="F1765" s="187">
        <v>15000</v>
      </c>
      <c r="G1765" s="30">
        <f t="shared" si="1862"/>
        <v>2400</v>
      </c>
      <c r="H1765" s="8">
        <v>25000</v>
      </c>
      <c r="I1765" s="30">
        <f t="shared" si="1863"/>
        <v>8000</v>
      </c>
      <c r="J1765" s="187">
        <v>40000</v>
      </c>
      <c r="K1765" s="30">
        <f t="shared" si="1864"/>
        <v>8000</v>
      </c>
      <c r="L1765" s="187">
        <v>40000</v>
      </c>
      <c r="M1765" s="110">
        <v>9.5</v>
      </c>
      <c r="N1765" s="9">
        <f>VLOOKUP(DATE(YEAR(A1765),MONTH(A1765),DAY(A1765)),FY24_Temp[],3,FALSE)</f>
        <v>15.21</v>
      </c>
      <c r="O1765" s="110">
        <f t="shared" si="1850"/>
        <v>11.5</v>
      </c>
      <c r="P1765" s="110">
        <f t="shared" si="1851"/>
        <v>19.5</v>
      </c>
      <c r="Q1765" s="79">
        <f>VLOOKUP(VLOOKUP(DATEVALUE(TEXT(A1765,"m/d/yyyy")),FY24_Temp[],5,FALSE)&amp;TEXT(A1765,"-h"),TempDelta[],4,FALSE)</f>
        <v>1.8231428350721086</v>
      </c>
      <c r="R1765">
        <v>10</v>
      </c>
      <c r="S1765" s="112">
        <v>1500</v>
      </c>
      <c r="T1765" s="5">
        <f>VLOOKUP(TEXT(A1765,"yy-mm")&amp;"-"&amp;IF(AND(WEEKDAY(A1765)&gt;1,WEEKDAY(A1765)&lt;7),"Wkd",TEXT(A1765,"Ddd"))&amp;"-"&amp;TEXT(A1765,"hh"),LoadTable[],3,FALSE)*0.92</f>
        <v>290.74956158350585</v>
      </c>
      <c r="U1765" s="113">
        <f t="shared" si="1852"/>
        <v>29.074956158350584</v>
      </c>
      <c r="V1765">
        <f t="shared" ref="V1765:W1765" si="1890">V1741</f>
        <v>2.9</v>
      </c>
      <c r="W1765">
        <f t="shared" si="1890"/>
        <v>3</v>
      </c>
      <c r="X1765" s="9">
        <v>-13.0350861666666</v>
      </c>
      <c r="Y1765" s="39"/>
    </row>
    <row r="1766" spans="1:25" ht="15" thickBot="1">
      <c r="A1766" s="149">
        <f t="shared" si="1834"/>
        <v>45909.458333331037</v>
      </c>
      <c r="B1766" s="30">
        <f t="shared" si="1861"/>
        <v>8000</v>
      </c>
      <c r="C1766" s="8">
        <v>25000</v>
      </c>
      <c r="D1766" s="187">
        <v>0</v>
      </c>
      <c r="E1766" s="187">
        <v>700</v>
      </c>
      <c r="F1766" s="187">
        <v>15000</v>
      </c>
      <c r="G1766" s="30">
        <f t="shared" si="1862"/>
        <v>2400</v>
      </c>
      <c r="H1766" s="8">
        <v>25000</v>
      </c>
      <c r="I1766" s="30">
        <f t="shared" si="1863"/>
        <v>8000</v>
      </c>
      <c r="J1766" s="187">
        <v>40000</v>
      </c>
      <c r="K1766" s="30">
        <f t="shared" si="1864"/>
        <v>8000</v>
      </c>
      <c r="L1766" s="187">
        <v>40000</v>
      </c>
      <c r="M1766" s="110">
        <v>9.5</v>
      </c>
      <c r="N1766" s="9">
        <f>VLOOKUP(DATE(YEAR(A1766),MONTH(A1766),DAY(A1766)),FY24_Temp[],3,FALSE)</f>
        <v>15.21</v>
      </c>
      <c r="O1766" s="110">
        <f t="shared" si="1850"/>
        <v>11.5</v>
      </c>
      <c r="P1766" s="110">
        <f t="shared" si="1851"/>
        <v>19.5</v>
      </c>
      <c r="Q1766" s="79">
        <f>VLOOKUP(VLOOKUP(DATEVALUE(TEXT(A1766,"m/d/yyyy")),FY24_Temp[],5,FALSE)&amp;TEXT(A1766,"-h"),TempDelta[],4,FALSE)</f>
        <v>1.6317142759050642</v>
      </c>
      <c r="R1766">
        <v>10</v>
      </c>
      <c r="S1766" s="112">
        <v>1500</v>
      </c>
      <c r="T1766" s="5">
        <f>VLOOKUP(TEXT(A1766,"yy-mm")&amp;"-"&amp;IF(AND(WEEKDAY(A1766)&gt;1,WEEKDAY(A1766)&lt;7),"Wkd",TEXT(A1766,"Ddd"))&amp;"-"&amp;TEXT(A1766,"hh"),LoadTable[],3,FALSE)*0.92</f>
        <v>290.74956158350585</v>
      </c>
      <c r="U1766" s="113">
        <f t="shared" si="1852"/>
        <v>29.074956158350584</v>
      </c>
      <c r="V1766">
        <f t="shared" ref="V1766:W1766" si="1891">V1742</f>
        <v>3.4</v>
      </c>
      <c r="W1766">
        <f t="shared" si="1891"/>
        <v>3</v>
      </c>
      <c r="X1766" s="9">
        <v>-13.1128807166666</v>
      </c>
      <c r="Y1766" s="39"/>
    </row>
    <row r="1767" spans="1:25" ht="15" thickBot="1">
      <c r="A1767" s="149">
        <f t="shared" si="1834"/>
        <v>45909.499999997701</v>
      </c>
      <c r="B1767" s="30">
        <f t="shared" si="1861"/>
        <v>8000</v>
      </c>
      <c r="C1767" s="8">
        <v>25000</v>
      </c>
      <c r="D1767" s="187">
        <v>0</v>
      </c>
      <c r="E1767" s="187">
        <v>700</v>
      </c>
      <c r="F1767" s="187">
        <v>15000</v>
      </c>
      <c r="G1767" s="30">
        <f t="shared" si="1862"/>
        <v>2400</v>
      </c>
      <c r="H1767" s="8">
        <v>25000</v>
      </c>
      <c r="I1767" s="30">
        <f t="shared" si="1863"/>
        <v>8000</v>
      </c>
      <c r="J1767" s="187">
        <v>40000</v>
      </c>
      <c r="K1767" s="30">
        <f t="shared" si="1864"/>
        <v>8000</v>
      </c>
      <c r="L1767" s="187">
        <v>40000</v>
      </c>
      <c r="M1767" s="110">
        <v>9.5</v>
      </c>
      <c r="N1767" s="9">
        <f>VLOOKUP(DATE(YEAR(A1767),MONTH(A1767),DAY(A1767)),FY24_Temp[],3,FALSE)</f>
        <v>15.21</v>
      </c>
      <c r="O1767" s="110">
        <f t="shared" si="1850"/>
        <v>11.5</v>
      </c>
      <c r="P1767" s="110">
        <f t="shared" si="1851"/>
        <v>19.5</v>
      </c>
      <c r="Q1767" s="79">
        <f>VLOOKUP(VLOOKUP(DATEVALUE(TEXT(A1767,"m/d/yyyy")),FY24_Temp[],5,FALSE)&amp;TEXT(A1767,"-h"),TempDelta[],4,FALSE)</f>
        <v>1.4472857202802385</v>
      </c>
      <c r="R1767">
        <v>10</v>
      </c>
      <c r="S1767" s="112">
        <v>1500</v>
      </c>
      <c r="T1767" s="5">
        <f>VLOOKUP(TEXT(A1767,"yy-mm")&amp;"-"&amp;IF(AND(WEEKDAY(A1767)&gt;1,WEEKDAY(A1767)&lt;7),"Wkd",TEXT(A1767,"Ddd"))&amp;"-"&amp;TEXT(A1767,"hh"),LoadTable[],3,FALSE)*0.92</f>
        <v>290.74956158350585</v>
      </c>
      <c r="U1767" s="113">
        <f t="shared" si="1852"/>
        <v>29.074956158350584</v>
      </c>
      <c r="V1767">
        <f t="shared" ref="V1767:W1767" si="1892">V1743</f>
        <v>3.1</v>
      </c>
      <c r="W1767">
        <f t="shared" si="1892"/>
        <v>2.9</v>
      </c>
      <c r="X1767" s="9">
        <v>-13.190675266666601</v>
      </c>
      <c r="Y1767" s="39"/>
    </row>
    <row r="1768" spans="1:25" ht="15" thickBot="1">
      <c r="A1768" s="149">
        <f t="shared" si="1834"/>
        <v>45909.541666664365</v>
      </c>
      <c r="B1768" s="30">
        <f t="shared" si="1861"/>
        <v>8000</v>
      </c>
      <c r="C1768" s="8">
        <v>25000</v>
      </c>
      <c r="D1768" s="187">
        <v>0</v>
      </c>
      <c r="E1768" s="187">
        <v>700</v>
      </c>
      <c r="F1768" s="187">
        <v>15000</v>
      </c>
      <c r="G1768" s="30">
        <f t="shared" si="1862"/>
        <v>2400</v>
      </c>
      <c r="H1768" s="8">
        <v>25000</v>
      </c>
      <c r="I1768" s="30">
        <f t="shared" si="1863"/>
        <v>8000</v>
      </c>
      <c r="J1768" s="187">
        <v>40000</v>
      </c>
      <c r="K1768" s="30">
        <f t="shared" si="1864"/>
        <v>8000</v>
      </c>
      <c r="L1768" s="187">
        <v>40000</v>
      </c>
      <c r="M1768" s="110">
        <v>9.5</v>
      </c>
      <c r="N1768" s="9">
        <f>VLOOKUP(DATE(YEAR(A1768),MONTH(A1768),DAY(A1768)),FY24_Temp[],3,FALSE)</f>
        <v>15.21</v>
      </c>
      <c r="O1768" s="110">
        <f t="shared" si="1850"/>
        <v>11.5</v>
      </c>
      <c r="P1768" s="110">
        <f t="shared" si="1851"/>
        <v>19.5</v>
      </c>
      <c r="Q1768" s="79">
        <f>VLOOKUP(VLOOKUP(DATEVALUE(TEXT(A1768,"m/d/yyyy")),FY24_Temp[],5,FALSE)&amp;TEXT(A1768,"-h"),TempDelta[],4,FALSE)</f>
        <v>1.2702857085636683</v>
      </c>
      <c r="R1768">
        <v>10</v>
      </c>
      <c r="S1768" s="112">
        <v>1500</v>
      </c>
      <c r="T1768" s="5">
        <f>VLOOKUP(TEXT(A1768,"yy-mm")&amp;"-"&amp;IF(AND(WEEKDAY(A1768)&gt;1,WEEKDAY(A1768)&lt;7),"Wkd",TEXT(A1768,"Ddd"))&amp;"-"&amp;TEXT(A1768,"hh"),LoadTable[],3,FALSE)*0.92</f>
        <v>290.72204920255348</v>
      </c>
      <c r="U1768" s="113">
        <f t="shared" si="1852"/>
        <v>29.072204920255349</v>
      </c>
      <c r="V1768">
        <f t="shared" ref="V1768:W1768" si="1893">V1744</f>
        <v>3.2</v>
      </c>
      <c r="W1768">
        <f t="shared" si="1893"/>
        <v>2.9</v>
      </c>
      <c r="X1768" s="9">
        <v>-13.268469816666601</v>
      </c>
      <c r="Y1768" s="39"/>
    </row>
    <row r="1769" spans="1:25" ht="15" thickBot="1">
      <c r="A1769" s="149">
        <f t="shared" si="1834"/>
        <v>45909.583333331029</v>
      </c>
      <c r="B1769" s="30">
        <f t="shared" si="1861"/>
        <v>8000</v>
      </c>
      <c r="C1769" s="8">
        <v>25000</v>
      </c>
      <c r="D1769" s="187">
        <v>0</v>
      </c>
      <c r="E1769" s="187">
        <v>700</v>
      </c>
      <c r="F1769" s="187">
        <v>15000</v>
      </c>
      <c r="G1769" s="30">
        <f t="shared" si="1862"/>
        <v>2400</v>
      </c>
      <c r="H1769" s="8">
        <v>25000</v>
      </c>
      <c r="I1769" s="30">
        <f t="shared" si="1863"/>
        <v>8000</v>
      </c>
      <c r="J1769" s="187">
        <v>40000</v>
      </c>
      <c r="K1769" s="30">
        <f t="shared" si="1864"/>
        <v>8000</v>
      </c>
      <c r="L1769" s="187">
        <v>40000</v>
      </c>
      <c r="M1769" s="110">
        <v>9.5</v>
      </c>
      <c r="N1769" s="9">
        <f>VLOOKUP(DATE(YEAR(A1769),MONTH(A1769),DAY(A1769)),FY24_Temp[],3,FALSE)</f>
        <v>15.21</v>
      </c>
      <c r="O1769" s="110">
        <f t="shared" si="1850"/>
        <v>11.5</v>
      </c>
      <c r="P1769" s="110">
        <f t="shared" si="1851"/>
        <v>19.5</v>
      </c>
      <c r="Q1769" s="79">
        <f>VLOOKUP(VLOOKUP(DATEVALUE(TEXT(A1769,"m/d/yyyy")),FY24_Temp[],5,FALSE)&amp;TEXT(A1769,"-h"),TempDelta[],4,FALSE)</f>
        <v>1.1090000016348702</v>
      </c>
      <c r="R1769">
        <v>10</v>
      </c>
      <c r="S1769" s="112">
        <v>1500</v>
      </c>
      <c r="T1769" s="5">
        <f>VLOOKUP(TEXT(A1769,"yy-mm")&amp;"-"&amp;IF(AND(WEEKDAY(A1769)&gt;1,WEEKDAY(A1769)&lt;7),"Wkd",TEXT(A1769,"Ddd"))&amp;"-"&amp;TEXT(A1769,"hh"),LoadTable[],3,FALSE)*0.92</f>
        <v>363.28132000000005</v>
      </c>
      <c r="U1769" s="113">
        <f t="shared" si="1852"/>
        <v>36.328132000000004</v>
      </c>
      <c r="V1769">
        <f t="shared" ref="V1769:W1769" si="1894">V1745</f>
        <v>3.5</v>
      </c>
      <c r="W1769">
        <f t="shared" si="1894"/>
        <v>2.9</v>
      </c>
      <c r="X1769" s="9">
        <v>-13.346264366666601</v>
      </c>
      <c r="Y1769" s="39"/>
    </row>
    <row r="1770" spans="1:25" ht="15" thickBot="1">
      <c r="A1770" s="149">
        <f t="shared" si="1834"/>
        <v>45909.624999997694</v>
      </c>
      <c r="B1770" s="30">
        <f t="shared" si="1861"/>
        <v>8000</v>
      </c>
      <c r="C1770" s="8">
        <v>25000</v>
      </c>
      <c r="D1770" s="187">
        <v>0</v>
      </c>
      <c r="E1770" s="187">
        <v>700</v>
      </c>
      <c r="F1770" s="187">
        <v>15000</v>
      </c>
      <c r="G1770" s="30">
        <f t="shared" si="1862"/>
        <v>2400</v>
      </c>
      <c r="H1770" s="8">
        <v>25000</v>
      </c>
      <c r="I1770" s="30">
        <f t="shared" si="1863"/>
        <v>8000</v>
      </c>
      <c r="J1770" s="187">
        <v>40000</v>
      </c>
      <c r="K1770" s="30">
        <f t="shared" si="1864"/>
        <v>8000</v>
      </c>
      <c r="L1770" s="187">
        <v>40000</v>
      </c>
      <c r="M1770" s="110">
        <v>9.5</v>
      </c>
      <c r="N1770" s="9">
        <f>VLOOKUP(DATE(YEAR(A1770),MONTH(A1770),DAY(A1770)),FY24_Temp[],3,FALSE)</f>
        <v>15.21</v>
      </c>
      <c r="O1770" s="110">
        <f t="shared" si="1850"/>
        <v>11.5</v>
      </c>
      <c r="P1770" s="110">
        <f t="shared" si="1851"/>
        <v>19.5</v>
      </c>
      <c r="Q1770" s="79">
        <f>VLOOKUP(VLOOKUP(DATEVALUE(TEXT(A1770,"m/d/yyyy")),FY24_Temp[],5,FALSE)&amp;TEXT(A1770,"-h"),TempDelta[],4,FALSE)</f>
        <v>0.62785714651857105</v>
      </c>
      <c r="R1770">
        <v>10</v>
      </c>
      <c r="S1770" s="112">
        <v>1500</v>
      </c>
      <c r="T1770" s="5">
        <f>VLOOKUP(TEXT(A1770,"yy-mm")&amp;"-"&amp;IF(AND(WEEKDAY(A1770)&gt;1,WEEKDAY(A1770)&lt;7),"Wkd",TEXT(A1770,"Ddd"))&amp;"-"&amp;TEXT(A1770,"hh"),LoadTable[],3,FALSE)*0.92</f>
        <v>570.3300004440199</v>
      </c>
      <c r="U1770" s="113">
        <f t="shared" si="1852"/>
        <v>57.033000044401987</v>
      </c>
      <c r="V1770">
        <f t="shared" ref="V1770:W1770" si="1895">V1746</f>
        <v>3.2</v>
      </c>
      <c r="W1770">
        <f t="shared" si="1895"/>
        <v>2.9</v>
      </c>
      <c r="X1770" s="9">
        <v>-13.424058916666599</v>
      </c>
      <c r="Y1770" s="39"/>
    </row>
    <row r="1771" spans="1:25" ht="15" thickBot="1">
      <c r="A1771" s="149">
        <f t="shared" si="1834"/>
        <v>45909.666666664358</v>
      </c>
      <c r="B1771" s="30">
        <f t="shared" si="1861"/>
        <v>8000</v>
      </c>
      <c r="C1771" s="8">
        <v>25000</v>
      </c>
      <c r="D1771" s="187">
        <v>0</v>
      </c>
      <c r="E1771" s="187">
        <v>700</v>
      </c>
      <c r="F1771" s="187">
        <v>15000</v>
      </c>
      <c r="G1771" s="30">
        <f t="shared" si="1862"/>
        <v>2400</v>
      </c>
      <c r="H1771" s="8">
        <v>25000</v>
      </c>
      <c r="I1771" s="30">
        <f t="shared" si="1863"/>
        <v>8000</v>
      </c>
      <c r="J1771" s="187">
        <v>40000</v>
      </c>
      <c r="K1771" s="30">
        <f t="shared" si="1864"/>
        <v>8000</v>
      </c>
      <c r="L1771" s="187">
        <v>40000</v>
      </c>
      <c r="M1771" s="110">
        <v>9.5</v>
      </c>
      <c r="N1771" s="9">
        <f>VLOOKUP(DATE(YEAR(A1771),MONTH(A1771),DAY(A1771)),FY24_Temp[],3,FALSE)</f>
        <v>15.21</v>
      </c>
      <c r="O1771" s="110">
        <f t="shared" si="1850"/>
        <v>11.5</v>
      </c>
      <c r="P1771" s="110">
        <f t="shared" si="1851"/>
        <v>19.5</v>
      </c>
      <c r="Q1771" s="79">
        <f>VLOOKUP(VLOOKUP(DATEVALUE(TEXT(A1771,"m/d/yyyy")),FY24_Temp[],5,FALSE)&amp;TEXT(A1771,"-h"),TempDelta[],4,FALSE)</f>
        <v>0.70735713200909756</v>
      </c>
      <c r="R1771">
        <v>10</v>
      </c>
      <c r="S1771" s="112">
        <v>1500</v>
      </c>
      <c r="T1771" s="5">
        <f>VLOOKUP(TEXT(A1771,"yy-mm")&amp;"-"&amp;IF(AND(WEEKDAY(A1771)&gt;1,WEEKDAY(A1771)&lt;7),"Wkd",TEXT(A1771,"Ddd"))&amp;"-"&amp;TEXT(A1771,"hh"),LoadTable[],3,FALSE)*0.92</f>
        <v>602.16876690131596</v>
      </c>
      <c r="U1771" s="113">
        <f t="shared" si="1852"/>
        <v>60.216876690131599</v>
      </c>
      <c r="V1771">
        <f t="shared" ref="V1771:W1771" si="1896">V1747</f>
        <v>3.5</v>
      </c>
      <c r="W1771">
        <f t="shared" si="1896"/>
        <v>3</v>
      </c>
      <c r="X1771" s="9">
        <v>-13.501853466666599</v>
      </c>
      <c r="Y1771" s="39"/>
    </row>
    <row r="1772" spans="1:25" ht="15" thickBot="1">
      <c r="A1772" s="149">
        <f t="shared" si="1834"/>
        <v>45909.708333331022</v>
      </c>
      <c r="B1772" s="30">
        <f t="shared" si="1861"/>
        <v>8000</v>
      </c>
      <c r="C1772" s="8">
        <v>25000</v>
      </c>
      <c r="D1772" s="187">
        <v>0</v>
      </c>
      <c r="E1772" s="187">
        <v>700</v>
      </c>
      <c r="F1772" s="187">
        <v>15000</v>
      </c>
      <c r="G1772" s="30">
        <f t="shared" si="1862"/>
        <v>2400</v>
      </c>
      <c r="H1772" s="8">
        <v>25000</v>
      </c>
      <c r="I1772" s="30">
        <f t="shared" si="1863"/>
        <v>8000</v>
      </c>
      <c r="J1772" s="187">
        <v>40000</v>
      </c>
      <c r="K1772" s="30">
        <f t="shared" si="1864"/>
        <v>8000</v>
      </c>
      <c r="L1772" s="187">
        <v>40000</v>
      </c>
      <c r="M1772" s="110">
        <v>9.5</v>
      </c>
      <c r="N1772" s="9">
        <f>VLOOKUP(DATE(YEAR(A1772),MONTH(A1772),DAY(A1772)),FY24_Temp[],3,FALSE)</f>
        <v>15.21</v>
      </c>
      <c r="O1772" s="110">
        <f t="shared" si="1850"/>
        <v>11.5</v>
      </c>
      <c r="P1772" s="110">
        <f t="shared" si="1851"/>
        <v>19.5</v>
      </c>
      <c r="Q1772" s="79">
        <f>VLOOKUP(VLOOKUP(DATEVALUE(TEXT(A1772,"m/d/yyyy")),FY24_Temp[],5,FALSE)&amp;TEXT(A1772,"-h"),TempDelta[],4,FALSE)</f>
        <v>0.97692857256957466</v>
      </c>
      <c r="R1772">
        <v>10</v>
      </c>
      <c r="S1772" s="112">
        <v>1500</v>
      </c>
      <c r="T1772" s="5">
        <f>VLOOKUP(TEXT(A1772,"yy-mm")&amp;"-"&amp;IF(AND(WEEKDAY(A1772)&gt;1,WEEKDAY(A1772)&lt;7),"Wkd",TEXT(A1772,"Ddd"))&amp;"-"&amp;TEXT(A1772,"hh"),LoadTable[],3,FALSE)*0.92</f>
        <v>602.16876690131596</v>
      </c>
      <c r="U1772" s="113">
        <f t="shared" si="1852"/>
        <v>60.216876690131599</v>
      </c>
      <c r="V1772">
        <f t="shared" ref="V1772:W1772" si="1897">V1748</f>
        <v>3.6</v>
      </c>
      <c r="W1772">
        <f t="shared" si="1897"/>
        <v>3</v>
      </c>
      <c r="X1772" s="9">
        <v>-13.579648016666599</v>
      </c>
      <c r="Y1772" s="39"/>
    </row>
    <row r="1773" spans="1:25" ht="15" thickBot="1">
      <c r="A1773" s="149">
        <f t="shared" si="1834"/>
        <v>45909.749999997686</v>
      </c>
      <c r="B1773" s="30">
        <f t="shared" si="1861"/>
        <v>5000</v>
      </c>
      <c r="C1773" s="8">
        <v>25000</v>
      </c>
      <c r="D1773" s="187">
        <v>0</v>
      </c>
      <c r="E1773" s="187">
        <v>700</v>
      </c>
      <c r="F1773" s="187">
        <v>15000</v>
      </c>
      <c r="G1773" s="30">
        <f t="shared" si="1862"/>
        <v>2400</v>
      </c>
      <c r="H1773" s="8">
        <v>25000</v>
      </c>
      <c r="I1773" s="30">
        <f t="shared" si="1863"/>
        <v>5000</v>
      </c>
      <c r="J1773" s="187">
        <v>40000</v>
      </c>
      <c r="K1773" s="30">
        <f t="shared" si="1864"/>
        <v>5000</v>
      </c>
      <c r="L1773" s="187">
        <v>40000</v>
      </c>
      <c r="M1773" s="110">
        <v>9.5</v>
      </c>
      <c r="N1773" s="9">
        <f>VLOOKUP(DATE(YEAR(A1773),MONTH(A1773),DAY(A1773)),FY24_Temp[],3,FALSE)</f>
        <v>15.21</v>
      </c>
      <c r="O1773" s="110">
        <f t="shared" si="1850"/>
        <v>11.5</v>
      </c>
      <c r="P1773" s="110">
        <f t="shared" si="1851"/>
        <v>19.5</v>
      </c>
      <c r="Q1773" s="79">
        <f>VLOOKUP(VLOOKUP(DATEVALUE(TEXT(A1773,"m/d/yyyy")),FY24_Temp[],5,FALSE)&amp;TEXT(A1773,"-h"),TempDelta[],4,FALSE)</f>
        <v>1.2994285779339927</v>
      </c>
      <c r="R1773">
        <v>10</v>
      </c>
      <c r="S1773" s="112">
        <v>1500</v>
      </c>
      <c r="T1773" s="5">
        <f>VLOOKUP(TEXT(A1773,"yy-mm")&amp;"-"&amp;IF(AND(WEEKDAY(A1773)&gt;1,WEEKDAY(A1773)&lt;7),"Wkd",TEXT(A1773,"Ddd"))&amp;"-"&amp;TEXT(A1773,"hh"),LoadTable[],3,FALSE)*0.92</f>
        <v>602.16876690131596</v>
      </c>
      <c r="U1773" s="113">
        <f t="shared" si="1852"/>
        <v>60.216876690131599</v>
      </c>
      <c r="V1773">
        <f t="shared" ref="V1773:W1773" si="1898">V1749</f>
        <v>2.9</v>
      </c>
      <c r="W1773">
        <f t="shared" si="1898"/>
        <v>3</v>
      </c>
      <c r="X1773" s="9">
        <v>-13.6574425666666</v>
      </c>
      <c r="Y1773" s="39"/>
    </row>
    <row r="1774" spans="1:25" ht="15" thickBot="1">
      <c r="A1774" s="149">
        <f t="shared" si="1834"/>
        <v>45909.79166666435</v>
      </c>
      <c r="B1774" s="30">
        <f t="shared" si="1861"/>
        <v>5000</v>
      </c>
      <c r="C1774" s="8">
        <v>25000</v>
      </c>
      <c r="D1774" s="187">
        <v>0</v>
      </c>
      <c r="E1774" s="187">
        <v>700</v>
      </c>
      <c r="F1774" s="187">
        <v>15000</v>
      </c>
      <c r="G1774" s="30">
        <f t="shared" si="1862"/>
        <v>2400</v>
      </c>
      <c r="H1774" s="8">
        <v>25000</v>
      </c>
      <c r="I1774" s="30">
        <f t="shared" si="1863"/>
        <v>5000</v>
      </c>
      <c r="J1774" s="187">
        <v>40000</v>
      </c>
      <c r="K1774" s="30">
        <f t="shared" si="1864"/>
        <v>5000</v>
      </c>
      <c r="L1774" s="187">
        <v>40000</v>
      </c>
      <c r="M1774" s="110">
        <v>9.5</v>
      </c>
      <c r="N1774" s="9">
        <f>VLOOKUP(DATE(YEAR(A1774),MONTH(A1774),DAY(A1774)),FY24_Temp[],3,FALSE)</f>
        <v>15.21</v>
      </c>
      <c r="O1774" s="110">
        <f t="shared" si="1850"/>
        <v>11.5</v>
      </c>
      <c r="P1774" s="110">
        <f t="shared" si="1851"/>
        <v>19.5</v>
      </c>
      <c r="Q1774" s="79">
        <f>VLOOKUP(VLOOKUP(DATEVALUE(TEXT(A1774,"m/d/yyyy")),FY24_Temp[],5,FALSE)&amp;TEXT(A1774,"-h"),TempDelta[],4,FALSE)</f>
        <v>1.4374285723481859</v>
      </c>
      <c r="R1774">
        <v>10</v>
      </c>
      <c r="S1774" s="112">
        <v>1500</v>
      </c>
      <c r="T1774" s="5">
        <f>VLOOKUP(TEXT(A1774,"yy-mm")&amp;"-"&amp;IF(AND(WEEKDAY(A1774)&gt;1,WEEKDAY(A1774)&lt;7),"Wkd",TEXT(A1774,"Ddd"))&amp;"-"&amp;TEXT(A1774,"hh"),LoadTable[],3,FALSE)*0.92</f>
        <v>600.14662419619219</v>
      </c>
      <c r="U1774" s="113">
        <f t="shared" si="1852"/>
        <v>60.014662419619221</v>
      </c>
      <c r="V1774">
        <f t="shared" ref="V1774:W1774" si="1899">V1750</f>
        <v>3</v>
      </c>
      <c r="W1774">
        <f t="shared" si="1899"/>
        <v>3</v>
      </c>
      <c r="X1774" s="9">
        <v>-13.7352371166666</v>
      </c>
      <c r="Y1774" s="39"/>
    </row>
    <row r="1775" spans="1:25" ht="15" thickBot="1">
      <c r="A1775" s="149">
        <f t="shared" si="1834"/>
        <v>45909.833333331015</v>
      </c>
      <c r="B1775" s="30">
        <f t="shared" si="1861"/>
        <v>5000</v>
      </c>
      <c r="C1775" s="8">
        <v>25000</v>
      </c>
      <c r="D1775" s="187">
        <v>0</v>
      </c>
      <c r="E1775" s="187">
        <v>700</v>
      </c>
      <c r="F1775" s="187">
        <v>15000</v>
      </c>
      <c r="G1775" s="30">
        <f t="shared" si="1862"/>
        <v>2400</v>
      </c>
      <c r="H1775" s="8">
        <v>25000</v>
      </c>
      <c r="I1775" s="30">
        <f t="shared" si="1863"/>
        <v>5000</v>
      </c>
      <c r="J1775" s="187">
        <v>40000</v>
      </c>
      <c r="K1775" s="30">
        <f t="shared" si="1864"/>
        <v>5000</v>
      </c>
      <c r="L1775" s="187">
        <v>40000</v>
      </c>
      <c r="M1775" s="110">
        <v>9.5</v>
      </c>
      <c r="N1775" s="9">
        <f>VLOOKUP(DATE(YEAR(A1775),MONTH(A1775),DAY(A1775)),FY24_Temp[],3,FALSE)</f>
        <v>15.21</v>
      </c>
      <c r="O1775" s="110">
        <f t="shared" si="1850"/>
        <v>11.5</v>
      </c>
      <c r="P1775" s="110">
        <f t="shared" si="1851"/>
        <v>19.5</v>
      </c>
      <c r="Q1775" s="79">
        <f>VLOOKUP(VLOOKUP(DATEVALUE(TEXT(A1775,"m/d/yyyy")),FY24_Temp[],5,FALSE)&amp;TEXT(A1775,"-h"),TempDelta[],4,FALSE)</f>
        <v>1.5300714543887548</v>
      </c>
      <c r="R1775">
        <v>10</v>
      </c>
      <c r="S1775" s="112">
        <v>1500</v>
      </c>
      <c r="T1775" s="5">
        <f>VLOOKUP(TEXT(A1775,"yy-mm")&amp;"-"&amp;IF(AND(WEEKDAY(A1775)&gt;1,WEEKDAY(A1775)&lt;7),"Wkd",TEXT(A1775,"Ddd"))&amp;"-"&amp;TEXT(A1775,"hh"),LoadTable[],3,FALSE)*0.92</f>
        <v>600.14662419619219</v>
      </c>
      <c r="U1775" s="113">
        <f t="shared" si="1852"/>
        <v>60.014662419619221</v>
      </c>
      <c r="V1775">
        <f t="shared" ref="V1775:W1775" si="1900">V1751</f>
        <v>2.8</v>
      </c>
      <c r="W1775">
        <f t="shared" si="1900"/>
        <v>3.1</v>
      </c>
      <c r="X1775" s="9">
        <v>-13.8130316666666</v>
      </c>
      <c r="Y1775" s="39"/>
    </row>
    <row r="1776" spans="1:25" ht="15" thickBot="1">
      <c r="A1776" s="149">
        <f t="shared" si="1834"/>
        <v>45909.874999997679</v>
      </c>
      <c r="B1776" s="30">
        <f t="shared" si="1861"/>
        <v>5000</v>
      </c>
      <c r="C1776" s="8">
        <v>25000</v>
      </c>
      <c r="D1776" s="187">
        <v>0</v>
      </c>
      <c r="E1776" s="187">
        <v>700</v>
      </c>
      <c r="F1776" s="187">
        <v>15000</v>
      </c>
      <c r="G1776" s="30">
        <f t="shared" si="1862"/>
        <v>2400</v>
      </c>
      <c r="H1776" s="8">
        <v>25000</v>
      </c>
      <c r="I1776" s="30">
        <f t="shared" si="1863"/>
        <v>5000</v>
      </c>
      <c r="J1776" s="187">
        <v>40000</v>
      </c>
      <c r="K1776" s="30">
        <f t="shared" si="1864"/>
        <v>5000</v>
      </c>
      <c r="L1776" s="187">
        <v>40000</v>
      </c>
      <c r="M1776" s="110">
        <v>9.5</v>
      </c>
      <c r="N1776" s="9">
        <f>VLOOKUP(DATE(YEAR(A1776),MONTH(A1776),DAY(A1776)),FY24_Temp[],3,FALSE)</f>
        <v>15.21</v>
      </c>
      <c r="O1776" s="110">
        <f t="shared" si="1850"/>
        <v>11.5</v>
      </c>
      <c r="P1776" s="110">
        <f t="shared" si="1851"/>
        <v>19.5</v>
      </c>
      <c r="Q1776" s="79">
        <f>VLOOKUP(VLOOKUP(DATEVALUE(TEXT(A1776,"m/d/yyyy")),FY24_Temp[],5,FALSE)&amp;TEXT(A1776,"-h"),TempDelta[],4,FALSE)</f>
        <v>1.5475714121546065</v>
      </c>
      <c r="R1776">
        <v>10</v>
      </c>
      <c r="S1776" s="112">
        <v>1500</v>
      </c>
      <c r="T1776" s="5">
        <f>VLOOKUP(TEXT(A1776,"yy-mm")&amp;"-"&amp;IF(AND(WEEKDAY(A1776)&gt;1,WEEKDAY(A1776)&lt;7),"Wkd",TEXT(A1776,"Ddd"))&amp;"-"&amp;TEXT(A1776,"hh"),LoadTable[],3,FALSE)*0.92</f>
        <v>523.94879142973434</v>
      </c>
      <c r="U1776" s="113">
        <f t="shared" si="1852"/>
        <v>52.394879142973437</v>
      </c>
      <c r="V1776">
        <f t="shared" ref="V1776:W1776" si="1901">V1752</f>
        <v>3.5</v>
      </c>
      <c r="W1776">
        <f t="shared" si="1901"/>
        <v>3.1</v>
      </c>
      <c r="X1776" s="9">
        <v>-13.8908262166666</v>
      </c>
      <c r="Y1776" s="39"/>
    </row>
    <row r="1777" spans="1:25" ht="15" thickBot="1">
      <c r="A1777" s="149">
        <f t="shared" si="1834"/>
        <v>45909.916666664343</v>
      </c>
      <c r="B1777" s="30">
        <f t="shared" si="1861"/>
        <v>5000</v>
      </c>
      <c r="C1777" s="8">
        <v>25000</v>
      </c>
      <c r="D1777" s="187">
        <v>0</v>
      </c>
      <c r="E1777" s="187">
        <v>700</v>
      </c>
      <c r="F1777" s="187">
        <v>15000</v>
      </c>
      <c r="G1777" s="30">
        <f t="shared" si="1862"/>
        <v>2400</v>
      </c>
      <c r="H1777" s="8">
        <v>25000</v>
      </c>
      <c r="I1777" s="30">
        <f t="shared" si="1863"/>
        <v>5000</v>
      </c>
      <c r="J1777" s="187">
        <v>40000</v>
      </c>
      <c r="K1777" s="30">
        <f t="shared" si="1864"/>
        <v>5000</v>
      </c>
      <c r="L1777" s="187">
        <v>40000</v>
      </c>
      <c r="M1777" s="110">
        <v>9.5</v>
      </c>
      <c r="N1777" s="9">
        <f>VLOOKUP(DATE(YEAR(A1777),MONTH(A1777),DAY(A1777)),FY24_Temp[],3,FALSE)</f>
        <v>15.21</v>
      </c>
      <c r="O1777" s="110">
        <f t="shared" si="1850"/>
        <v>11.5</v>
      </c>
      <c r="P1777" s="110">
        <f t="shared" si="1851"/>
        <v>19.5</v>
      </c>
      <c r="Q1777" s="79">
        <f>VLOOKUP(VLOOKUP(DATEVALUE(TEXT(A1777,"m/d/yyyy")),FY24_Temp[],5,FALSE)&amp;TEXT(A1777,"-h"),TempDelta[],4,FALSE)</f>
        <v>2.0112857137407576</v>
      </c>
      <c r="R1777">
        <v>10</v>
      </c>
      <c r="S1777" s="112">
        <v>1500</v>
      </c>
      <c r="T1777" s="5">
        <f>VLOOKUP(TEXT(A1777,"yy-mm")&amp;"-"&amp;IF(AND(WEEKDAY(A1777)&gt;1,WEEKDAY(A1777)&lt;7),"Wkd",TEXT(A1777,"Ddd"))&amp;"-"&amp;TEXT(A1777,"hh"),LoadTable[],3,FALSE)*0.92</f>
        <v>421.91858468239752</v>
      </c>
      <c r="U1777" s="113">
        <f t="shared" si="1852"/>
        <v>42.191858468239751</v>
      </c>
      <c r="V1777">
        <f t="shared" ref="V1777:W1777" si="1902">V1753</f>
        <v>2.9</v>
      </c>
      <c r="W1777">
        <f t="shared" si="1902"/>
        <v>3.1</v>
      </c>
      <c r="X1777" s="9">
        <v>-13.9686207666666</v>
      </c>
      <c r="Y1777" s="39"/>
    </row>
    <row r="1778" spans="1:25" ht="15" thickBot="1">
      <c r="A1778" s="149">
        <f t="shared" si="1834"/>
        <v>45909.958333331007</v>
      </c>
      <c r="B1778" s="30">
        <f t="shared" si="1861"/>
        <v>5000</v>
      </c>
      <c r="C1778" s="8">
        <v>25000</v>
      </c>
      <c r="D1778" s="187">
        <v>0</v>
      </c>
      <c r="E1778" s="187">
        <v>700</v>
      </c>
      <c r="F1778" s="187">
        <v>15000</v>
      </c>
      <c r="G1778" s="30">
        <f t="shared" si="1862"/>
        <v>2400</v>
      </c>
      <c r="H1778" s="8">
        <v>25000</v>
      </c>
      <c r="I1778" s="30">
        <f t="shared" si="1863"/>
        <v>5000</v>
      </c>
      <c r="J1778" s="187">
        <v>40000</v>
      </c>
      <c r="K1778" s="30">
        <f t="shared" si="1864"/>
        <v>5000</v>
      </c>
      <c r="L1778" s="187">
        <v>40000</v>
      </c>
      <c r="M1778" s="110">
        <v>9.5</v>
      </c>
      <c r="N1778" s="9">
        <f>VLOOKUP(DATE(YEAR(A1778),MONTH(A1778),DAY(A1778)),FY24_Temp[],3,FALSE)</f>
        <v>15.21</v>
      </c>
      <c r="O1778" s="110">
        <f t="shared" si="1850"/>
        <v>11.5</v>
      </c>
      <c r="P1778" s="110">
        <f t="shared" si="1851"/>
        <v>19.5</v>
      </c>
      <c r="Q1778" s="79">
        <f>VLOOKUP(VLOOKUP(DATEVALUE(TEXT(A1778,"m/d/yyyy")),FY24_Temp[],5,FALSE)&amp;TEXT(A1778,"-h"),TempDelta[],4,FALSE)</f>
        <v>2.1388571432658603</v>
      </c>
      <c r="R1778">
        <v>10</v>
      </c>
      <c r="S1778" s="112">
        <v>1500</v>
      </c>
      <c r="T1778" s="5">
        <f>VLOOKUP(TEXT(A1778,"yy-mm")&amp;"-"&amp;IF(AND(WEEKDAY(A1778)&gt;1,WEEKDAY(A1778)&lt;7),"Wkd",TEXT(A1778,"Ddd"))&amp;"-"&amp;TEXT(A1778,"hh"),LoadTable[],3,FALSE)*0.92</f>
        <v>289.33527113913209</v>
      </c>
      <c r="U1778" s="113">
        <f t="shared" si="1852"/>
        <v>28.933527113913208</v>
      </c>
      <c r="V1778">
        <f t="shared" ref="V1778:W1778" si="1903">V1754</f>
        <v>3.6</v>
      </c>
      <c r="W1778">
        <f t="shared" si="1903"/>
        <v>3.1</v>
      </c>
      <c r="X1778" s="9">
        <v>-14.0464153166666</v>
      </c>
      <c r="Y1778" s="39"/>
    </row>
    <row r="1779" spans="1:25" ht="15" thickBot="1">
      <c r="A1779" s="149">
        <f t="shared" si="1834"/>
        <v>45909.999999997672</v>
      </c>
      <c r="B1779" s="30">
        <f t="shared" si="1861"/>
        <v>5000</v>
      </c>
      <c r="C1779" s="8">
        <v>25000</v>
      </c>
      <c r="D1779" s="187">
        <v>0</v>
      </c>
      <c r="E1779" s="187">
        <v>700</v>
      </c>
      <c r="F1779" s="187">
        <v>15000</v>
      </c>
      <c r="G1779" s="30">
        <f t="shared" si="1862"/>
        <v>2400</v>
      </c>
      <c r="H1779" s="8">
        <v>25000</v>
      </c>
      <c r="I1779" s="30">
        <f t="shared" si="1863"/>
        <v>5000</v>
      </c>
      <c r="J1779" s="187">
        <v>40000</v>
      </c>
      <c r="K1779" s="30">
        <f t="shared" si="1864"/>
        <v>5000</v>
      </c>
      <c r="L1779" s="187">
        <v>40000</v>
      </c>
      <c r="M1779" s="110">
        <v>9.5</v>
      </c>
      <c r="N1779" s="9">
        <f>VLOOKUP(DATE(YEAR(A1779),MONTH(A1779),DAY(A1779)),FY24_Temp[],3,FALSE)</f>
        <v>15.21</v>
      </c>
      <c r="O1779" s="110">
        <f t="shared" si="1850"/>
        <v>11.5</v>
      </c>
      <c r="P1779" s="110">
        <f t="shared" si="1851"/>
        <v>19.5</v>
      </c>
      <c r="Q1779" s="79">
        <f>VLOOKUP(VLOOKUP(DATEVALUE(TEXT(A1779,"m/d/yyyy")),FY24_Temp[],5,FALSE)&amp;TEXT(A1779,"-h"),TempDelta[],4,FALSE)</f>
        <v>2.2215714454650879</v>
      </c>
      <c r="R1779">
        <v>10</v>
      </c>
      <c r="S1779" s="112">
        <v>1500</v>
      </c>
      <c r="T1779" s="5">
        <f>VLOOKUP(TEXT(A1779,"yy-mm")&amp;"-"&amp;IF(AND(WEEKDAY(A1779)&gt;1,WEEKDAY(A1779)&lt;7),"Wkd",TEXT(A1779,"Ddd"))&amp;"-"&amp;TEXT(A1779,"hh"),LoadTable[],3,FALSE)*0.92</f>
        <v>289.0624787084426</v>
      </c>
      <c r="U1779" s="113">
        <f t="shared" si="1852"/>
        <v>28.906247870844261</v>
      </c>
      <c r="V1779">
        <f t="shared" ref="V1779:W1779" si="1904">V1755</f>
        <v>3</v>
      </c>
      <c r="W1779">
        <f t="shared" si="1904"/>
        <v>3.2</v>
      </c>
      <c r="X1779" s="9">
        <v>-14.1242098666666</v>
      </c>
      <c r="Y1779" s="39"/>
    </row>
    <row r="1780" spans="1:25" ht="15" thickBot="1">
      <c r="A1780" s="149">
        <f t="shared" si="1834"/>
        <v>45910.041666664336</v>
      </c>
      <c r="B1780" s="30">
        <f t="shared" si="1861"/>
        <v>5000</v>
      </c>
      <c r="C1780" s="8">
        <v>25000</v>
      </c>
      <c r="D1780" s="187">
        <v>0</v>
      </c>
      <c r="E1780" s="187">
        <v>700</v>
      </c>
      <c r="F1780" s="187">
        <v>15000</v>
      </c>
      <c r="G1780" s="30">
        <f t="shared" si="1862"/>
        <v>2400</v>
      </c>
      <c r="H1780" s="8">
        <v>25000</v>
      </c>
      <c r="I1780" s="30">
        <f t="shared" si="1863"/>
        <v>5000</v>
      </c>
      <c r="J1780" s="187">
        <v>40000</v>
      </c>
      <c r="K1780" s="30">
        <f t="shared" si="1864"/>
        <v>5000</v>
      </c>
      <c r="L1780" s="187">
        <v>40000</v>
      </c>
      <c r="M1780" s="110">
        <v>9.5</v>
      </c>
      <c r="N1780" s="9">
        <f>VLOOKUP(DATE(YEAR(A1780),MONTH(A1780),DAY(A1780)),FY24_Temp[],3,FALSE)</f>
        <v>15.21</v>
      </c>
      <c r="O1780" s="110">
        <f t="shared" si="1850"/>
        <v>11.5</v>
      </c>
      <c r="P1780" s="110">
        <f t="shared" si="1851"/>
        <v>19.5</v>
      </c>
      <c r="Q1780" s="79">
        <f>VLOOKUP(VLOOKUP(DATEVALUE(TEXT(A1780,"m/d/yyyy")),FY24_Temp[],5,FALSE)&amp;TEXT(A1780,"-h"),TempDelta[],4,FALSE)</f>
        <v>2.2935714381081715</v>
      </c>
      <c r="R1780">
        <v>10</v>
      </c>
      <c r="S1780" s="112">
        <v>1500</v>
      </c>
      <c r="T1780" s="5">
        <f>VLOOKUP(TEXT(A1780,"yy-mm")&amp;"-"&amp;IF(AND(WEEKDAY(A1780)&gt;1,WEEKDAY(A1780)&lt;7),"Wkd",TEXT(A1780,"Ddd"))&amp;"-"&amp;TEXT(A1780,"hh"),LoadTable[],3,FALSE)*0.92</f>
        <v>289.0624787084426</v>
      </c>
      <c r="U1780" s="113">
        <f t="shared" si="1852"/>
        <v>28.906247870844261</v>
      </c>
      <c r="V1780">
        <f t="shared" ref="V1780:W1780" si="1905">V1756</f>
        <v>2.6</v>
      </c>
      <c r="W1780">
        <f t="shared" si="1905"/>
        <v>3.2</v>
      </c>
      <c r="X1780" s="9">
        <v>-14.2020044166666</v>
      </c>
      <c r="Y1780" s="39"/>
    </row>
    <row r="1781" spans="1:25" ht="15" thickBot="1">
      <c r="A1781" s="149">
        <f t="shared" ref="A1781:A1844" si="1906">A1780+TIME(1,0,0)</f>
        <v>45910.083333331</v>
      </c>
      <c r="B1781" s="30">
        <f t="shared" si="1861"/>
        <v>5000</v>
      </c>
      <c r="C1781" s="8">
        <v>25000</v>
      </c>
      <c r="D1781" s="187">
        <v>0</v>
      </c>
      <c r="E1781" s="187">
        <v>700</v>
      </c>
      <c r="F1781" s="187">
        <v>15000</v>
      </c>
      <c r="G1781" s="30">
        <f t="shared" si="1862"/>
        <v>2400</v>
      </c>
      <c r="H1781" s="8">
        <v>25000</v>
      </c>
      <c r="I1781" s="30">
        <f t="shared" si="1863"/>
        <v>5000</v>
      </c>
      <c r="J1781" s="187">
        <v>40000</v>
      </c>
      <c r="K1781" s="30">
        <f t="shared" si="1864"/>
        <v>5000</v>
      </c>
      <c r="L1781" s="187">
        <v>40000</v>
      </c>
      <c r="M1781" s="110">
        <v>9.5</v>
      </c>
      <c r="N1781" s="9">
        <f>VLOOKUP(DATE(YEAR(A1781),MONTH(A1781),DAY(A1781)),FY24_Temp[],3,FALSE)</f>
        <v>15.21</v>
      </c>
      <c r="O1781" s="110">
        <f t="shared" si="1850"/>
        <v>11.5</v>
      </c>
      <c r="P1781" s="110">
        <f t="shared" si="1851"/>
        <v>19.5</v>
      </c>
      <c r="Q1781" s="79">
        <f>VLOOKUP(VLOOKUP(DATEVALUE(TEXT(A1781,"m/d/yyyy")),FY24_Temp[],5,FALSE)&amp;TEXT(A1781,"-h"),TempDelta[],4,FALSE)</f>
        <v>2.3212857246398926</v>
      </c>
      <c r="R1781">
        <v>10</v>
      </c>
      <c r="S1781" s="112">
        <v>1500</v>
      </c>
      <c r="T1781" s="5">
        <f>VLOOKUP(TEXT(A1781,"yy-mm")&amp;"-"&amp;IF(AND(WEEKDAY(A1781)&gt;1,WEEKDAY(A1781)&lt;7),"Wkd",TEXT(A1781,"Ddd"))&amp;"-"&amp;TEXT(A1781,"hh"),LoadTable[],3,FALSE)*0.92</f>
        <v>289.0624787084426</v>
      </c>
      <c r="U1781" s="113">
        <f t="shared" si="1852"/>
        <v>28.906247870844261</v>
      </c>
      <c r="V1781">
        <f t="shared" ref="V1781:W1781" si="1907">V1757</f>
        <v>2.8</v>
      </c>
      <c r="W1781">
        <f t="shared" si="1907"/>
        <v>3.2</v>
      </c>
      <c r="X1781" s="9">
        <v>-14.279798966666601</v>
      </c>
      <c r="Y1781" s="39"/>
    </row>
    <row r="1782" spans="1:25" ht="15" thickBot="1">
      <c r="A1782" s="149">
        <f t="shared" si="1906"/>
        <v>45910.124999997664</v>
      </c>
      <c r="B1782" s="30">
        <f t="shared" si="1861"/>
        <v>5000</v>
      </c>
      <c r="C1782" s="8">
        <v>25000</v>
      </c>
      <c r="D1782" s="187">
        <v>0</v>
      </c>
      <c r="E1782" s="187">
        <v>700</v>
      </c>
      <c r="F1782" s="187">
        <v>15000</v>
      </c>
      <c r="G1782" s="30">
        <f t="shared" si="1862"/>
        <v>2400</v>
      </c>
      <c r="H1782" s="8">
        <v>25000</v>
      </c>
      <c r="I1782" s="30">
        <f t="shared" si="1863"/>
        <v>5000</v>
      </c>
      <c r="J1782" s="187">
        <v>40000</v>
      </c>
      <c r="K1782" s="30">
        <f t="shared" si="1864"/>
        <v>5000</v>
      </c>
      <c r="L1782" s="187">
        <v>40000</v>
      </c>
      <c r="M1782" s="110">
        <v>9.5</v>
      </c>
      <c r="N1782" s="9">
        <f>VLOOKUP(DATE(YEAR(A1782),MONTH(A1782),DAY(A1782)),FY24_Temp[],3,FALSE)</f>
        <v>15.21</v>
      </c>
      <c r="O1782" s="110">
        <f t="shared" si="1850"/>
        <v>11.5</v>
      </c>
      <c r="P1782" s="110">
        <f t="shared" si="1851"/>
        <v>19.5</v>
      </c>
      <c r="Q1782" s="79">
        <f>VLOOKUP(VLOOKUP(DATEVALUE(TEXT(A1782,"m/d/yyyy")),FY24_Temp[],5,FALSE)&amp;TEXT(A1782,"-h"),TempDelta[],4,FALSE)</f>
        <v>2.3239999498639787</v>
      </c>
      <c r="R1782">
        <v>10</v>
      </c>
      <c r="S1782" s="112">
        <v>1500</v>
      </c>
      <c r="T1782" s="5">
        <f>VLOOKUP(TEXT(A1782,"yy-mm")&amp;"-"&amp;IF(AND(WEEKDAY(A1782)&gt;1,WEEKDAY(A1782)&lt;7),"Wkd",TEXT(A1782,"Ddd"))&amp;"-"&amp;TEXT(A1782,"hh"),LoadTable[],3,FALSE)*0.92</f>
        <v>289.05894152419745</v>
      </c>
      <c r="U1782" s="113">
        <f t="shared" si="1852"/>
        <v>28.905894152419744</v>
      </c>
      <c r="V1782">
        <f t="shared" ref="V1782:W1782" si="1908">V1758</f>
        <v>2.7</v>
      </c>
      <c r="W1782">
        <f t="shared" si="1908"/>
        <v>3.2</v>
      </c>
      <c r="X1782" s="9">
        <v>-14.357593516666601</v>
      </c>
      <c r="Y1782" s="39"/>
    </row>
    <row r="1783" spans="1:25" ht="15" thickBot="1">
      <c r="A1783" s="149">
        <f t="shared" si="1906"/>
        <v>45910.166666664329</v>
      </c>
      <c r="B1783" s="30">
        <f t="shared" si="1861"/>
        <v>5000</v>
      </c>
      <c r="C1783" s="8">
        <v>25000</v>
      </c>
      <c r="D1783" s="187">
        <v>0</v>
      </c>
      <c r="E1783" s="187">
        <v>700</v>
      </c>
      <c r="F1783" s="187">
        <v>15000</v>
      </c>
      <c r="G1783" s="30">
        <f t="shared" si="1862"/>
        <v>2400</v>
      </c>
      <c r="H1783" s="8">
        <v>25000</v>
      </c>
      <c r="I1783" s="30">
        <f t="shared" si="1863"/>
        <v>5000</v>
      </c>
      <c r="J1783" s="187">
        <v>40000</v>
      </c>
      <c r="K1783" s="30">
        <f t="shared" si="1864"/>
        <v>5000</v>
      </c>
      <c r="L1783" s="187">
        <v>40000</v>
      </c>
      <c r="M1783" s="110">
        <v>9.5</v>
      </c>
      <c r="N1783" s="9">
        <f>VLOOKUP(DATE(YEAR(A1783),MONTH(A1783),DAY(A1783)),FY24_Temp[],3,FALSE)</f>
        <v>15.21</v>
      </c>
      <c r="O1783" s="110">
        <f t="shared" si="1850"/>
        <v>11.5</v>
      </c>
      <c r="P1783" s="110">
        <f t="shared" si="1851"/>
        <v>19.5</v>
      </c>
      <c r="Q1783" s="79">
        <f>VLOOKUP(VLOOKUP(DATEVALUE(TEXT(A1783,"m/d/yyyy")),FY24_Temp[],5,FALSE)&amp;TEXT(A1783,"-h"),TempDelta[],4,FALSE)</f>
        <v>2.3638571671077182</v>
      </c>
      <c r="R1783">
        <v>10</v>
      </c>
      <c r="S1783" s="112">
        <v>1500</v>
      </c>
      <c r="T1783" s="5">
        <f>VLOOKUP(TEXT(A1783,"yy-mm")&amp;"-"&amp;IF(AND(WEEKDAY(A1783)&gt;1,WEEKDAY(A1783)&lt;7),"Wkd",TEXT(A1783,"Ddd"))&amp;"-"&amp;TEXT(A1783,"hh"),LoadTable[],3,FALSE)*0.92</f>
        <v>289.05894152419745</v>
      </c>
      <c r="U1783" s="113">
        <f t="shared" si="1852"/>
        <v>28.905894152419744</v>
      </c>
      <c r="V1783">
        <f t="shared" ref="V1783:W1783" si="1909">V1759</f>
        <v>3</v>
      </c>
      <c r="W1783">
        <f t="shared" si="1909"/>
        <v>3.1</v>
      </c>
      <c r="X1783" s="9">
        <v>-14.435388066666601</v>
      </c>
      <c r="Y1783" s="39"/>
    </row>
    <row r="1784" spans="1:25" ht="15" thickBot="1">
      <c r="A1784" s="149">
        <f t="shared" si="1906"/>
        <v>45910.208333330993</v>
      </c>
      <c r="B1784" s="30">
        <f t="shared" si="1861"/>
        <v>5000</v>
      </c>
      <c r="C1784" s="8">
        <v>25000</v>
      </c>
      <c r="D1784" s="187">
        <v>0</v>
      </c>
      <c r="E1784" s="187">
        <v>700</v>
      </c>
      <c r="F1784" s="187">
        <v>15000</v>
      </c>
      <c r="G1784" s="30">
        <f t="shared" si="1862"/>
        <v>2400</v>
      </c>
      <c r="H1784" s="8">
        <v>25000</v>
      </c>
      <c r="I1784" s="30">
        <f t="shared" si="1863"/>
        <v>5000</v>
      </c>
      <c r="J1784" s="187">
        <v>40000</v>
      </c>
      <c r="K1784" s="30">
        <f t="shared" si="1864"/>
        <v>5000</v>
      </c>
      <c r="L1784" s="187">
        <v>40000</v>
      </c>
      <c r="M1784" s="110">
        <v>9.5</v>
      </c>
      <c r="N1784" s="9">
        <f>VLOOKUP(DATE(YEAR(A1784),MONTH(A1784),DAY(A1784)),FY24_Temp[],3,FALSE)</f>
        <v>15.21</v>
      </c>
      <c r="O1784" s="110">
        <f t="shared" si="1850"/>
        <v>11.5</v>
      </c>
      <c r="P1784" s="110">
        <f t="shared" si="1851"/>
        <v>19.5</v>
      </c>
      <c r="Q1784" s="79">
        <f>VLOOKUP(VLOOKUP(DATEVALUE(TEXT(A1784,"m/d/yyyy")),FY24_Temp[],5,FALSE)&amp;TEXT(A1784,"-h"),TempDelta[],4,FALSE)</f>
        <v>2.4734285558973039</v>
      </c>
      <c r="R1784">
        <v>10</v>
      </c>
      <c r="S1784" s="112">
        <v>1500</v>
      </c>
      <c r="T1784" s="5">
        <f>VLOOKUP(TEXT(A1784,"yy-mm")&amp;"-"&amp;IF(AND(WEEKDAY(A1784)&gt;1,WEEKDAY(A1784)&lt;7),"Wkd",TEXT(A1784,"Ddd"))&amp;"-"&amp;TEXT(A1784,"hh"),LoadTable[],3,FALSE)*0.92</f>
        <v>289.05894152419745</v>
      </c>
      <c r="U1784" s="113">
        <f t="shared" si="1852"/>
        <v>28.905894152419744</v>
      </c>
      <c r="V1784">
        <f t="shared" ref="V1784:W1784" si="1910">V1760</f>
        <v>2.9</v>
      </c>
      <c r="W1784">
        <f t="shared" si="1910"/>
        <v>3.1</v>
      </c>
      <c r="X1784" s="9">
        <v>-14.513182616666599</v>
      </c>
      <c r="Y1784" s="39"/>
    </row>
    <row r="1785" spans="1:25" ht="15" thickBot="1">
      <c r="A1785" s="149">
        <f t="shared" si="1906"/>
        <v>45910.249999997657</v>
      </c>
      <c r="B1785" s="30">
        <f t="shared" si="1861"/>
        <v>8000</v>
      </c>
      <c r="C1785" s="8">
        <v>25000</v>
      </c>
      <c r="D1785" s="187">
        <v>0</v>
      </c>
      <c r="E1785" s="187">
        <v>700</v>
      </c>
      <c r="F1785" s="187">
        <v>15000</v>
      </c>
      <c r="G1785" s="30">
        <f t="shared" si="1862"/>
        <v>2400</v>
      </c>
      <c r="H1785" s="8">
        <v>25000</v>
      </c>
      <c r="I1785" s="30">
        <f t="shared" si="1863"/>
        <v>8000</v>
      </c>
      <c r="J1785" s="187">
        <v>40000</v>
      </c>
      <c r="K1785" s="30">
        <f t="shared" si="1864"/>
        <v>8000</v>
      </c>
      <c r="L1785" s="187">
        <v>40000</v>
      </c>
      <c r="M1785" s="110">
        <v>9.5</v>
      </c>
      <c r="N1785" s="9">
        <f>VLOOKUP(DATE(YEAR(A1785),MONTH(A1785),DAY(A1785)),FY24_Temp[],3,FALSE)</f>
        <v>15.21</v>
      </c>
      <c r="O1785" s="110">
        <f t="shared" si="1850"/>
        <v>11.5</v>
      </c>
      <c r="P1785" s="110">
        <f t="shared" si="1851"/>
        <v>19.5</v>
      </c>
      <c r="Q1785" s="79">
        <f>VLOOKUP(VLOOKUP(DATEVALUE(TEXT(A1785,"m/d/yyyy")),FY24_Temp[],5,FALSE)&amp;TEXT(A1785,"-h"),TempDelta[],4,FALSE)</f>
        <v>2.4392857210976735</v>
      </c>
      <c r="R1785">
        <v>10</v>
      </c>
      <c r="S1785" s="112">
        <v>1500</v>
      </c>
      <c r="T1785" s="5">
        <f>VLOOKUP(TEXT(A1785,"yy-mm")&amp;"-"&amp;IF(AND(WEEKDAY(A1785)&gt;1,WEEKDAY(A1785)&lt;7),"Wkd",TEXT(A1785,"Ddd"))&amp;"-"&amp;TEXT(A1785,"hh"),LoadTable[],3,FALSE)*0.92</f>
        <v>291.12479999999999</v>
      </c>
      <c r="U1785" s="113">
        <f t="shared" si="1852"/>
        <v>29.112479999999998</v>
      </c>
      <c r="V1785">
        <f t="shared" ref="V1785:W1785" si="1911">V1761</f>
        <v>2.5</v>
      </c>
      <c r="W1785">
        <f t="shared" si="1911"/>
        <v>3.1</v>
      </c>
      <c r="X1785" s="9">
        <v>-14.590977166666599</v>
      </c>
      <c r="Y1785" s="39"/>
    </row>
    <row r="1786" spans="1:25" ht="15" thickBot="1">
      <c r="A1786" s="149">
        <f t="shared" si="1906"/>
        <v>45910.291666664321</v>
      </c>
      <c r="B1786" s="30">
        <f t="shared" si="1861"/>
        <v>8000</v>
      </c>
      <c r="C1786" s="8">
        <v>25000</v>
      </c>
      <c r="D1786" s="187">
        <v>0</v>
      </c>
      <c r="E1786" s="187">
        <v>700</v>
      </c>
      <c r="F1786" s="187">
        <v>15000</v>
      </c>
      <c r="G1786" s="30">
        <f t="shared" si="1862"/>
        <v>2400</v>
      </c>
      <c r="H1786" s="8">
        <v>25000</v>
      </c>
      <c r="I1786" s="30">
        <f t="shared" si="1863"/>
        <v>8000</v>
      </c>
      <c r="J1786" s="187">
        <v>40000</v>
      </c>
      <c r="K1786" s="30">
        <f t="shared" si="1864"/>
        <v>8000</v>
      </c>
      <c r="L1786" s="187">
        <v>40000</v>
      </c>
      <c r="M1786" s="110">
        <v>9.5</v>
      </c>
      <c r="N1786" s="9">
        <f>VLOOKUP(DATE(YEAR(A1786),MONTH(A1786),DAY(A1786)),FY24_Temp[],3,FALSE)</f>
        <v>15.21</v>
      </c>
      <c r="O1786" s="110">
        <f t="shared" si="1850"/>
        <v>11.5</v>
      </c>
      <c r="P1786" s="110">
        <f t="shared" si="1851"/>
        <v>19.5</v>
      </c>
      <c r="Q1786" s="79">
        <f>VLOOKUP(VLOOKUP(DATEVALUE(TEXT(A1786,"m/d/yyyy")),FY24_Temp[],5,FALSE)&amp;TEXT(A1786,"-h"),TempDelta[],4,FALSE)</f>
        <v>2.3079999514988492</v>
      </c>
      <c r="R1786">
        <v>10</v>
      </c>
      <c r="S1786" s="112">
        <v>1500</v>
      </c>
      <c r="T1786" s="5">
        <f>VLOOKUP(TEXT(A1786,"yy-mm")&amp;"-"&amp;IF(AND(WEEKDAY(A1786)&gt;1,WEEKDAY(A1786)&lt;7),"Wkd",TEXT(A1786,"Ddd"))&amp;"-"&amp;TEXT(A1786,"hh"),LoadTable[],3,FALSE)*0.92</f>
        <v>291.12479999999999</v>
      </c>
      <c r="U1786" s="113">
        <f t="shared" si="1852"/>
        <v>29.112479999999998</v>
      </c>
      <c r="V1786">
        <f t="shared" ref="V1786:W1786" si="1912">V1762</f>
        <v>2.5</v>
      </c>
      <c r="W1786">
        <f t="shared" si="1912"/>
        <v>3.1</v>
      </c>
      <c r="X1786" s="9">
        <v>-14.668771716666599</v>
      </c>
      <c r="Y1786" s="39"/>
    </row>
    <row r="1787" spans="1:25" ht="15" thickBot="1">
      <c r="A1787" s="149">
        <f t="shared" si="1906"/>
        <v>45910.333333330986</v>
      </c>
      <c r="B1787" s="30">
        <f t="shared" si="1861"/>
        <v>8000</v>
      </c>
      <c r="C1787" s="8">
        <v>25000</v>
      </c>
      <c r="D1787" s="187">
        <v>0</v>
      </c>
      <c r="E1787" s="187">
        <v>700</v>
      </c>
      <c r="F1787" s="187">
        <v>15000</v>
      </c>
      <c r="G1787" s="30">
        <f t="shared" si="1862"/>
        <v>2400</v>
      </c>
      <c r="H1787" s="8">
        <v>25000</v>
      </c>
      <c r="I1787" s="30">
        <f t="shared" si="1863"/>
        <v>8000</v>
      </c>
      <c r="J1787" s="187">
        <v>40000</v>
      </c>
      <c r="K1787" s="30">
        <f t="shared" si="1864"/>
        <v>8000</v>
      </c>
      <c r="L1787" s="187">
        <v>40000</v>
      </c>
      <c r="M1787" s="110">
        <v>9.5</v>
      </c>
      <c r="N1787" s="9">
        <f>VLOOKUP(DATE(YEAR(A1787),MONTH(A1787),DAY(A1787)),FY24_Temp[],3,FALSE)</f>
        <v>15.21</v>
      </c>
      <c r="O1787" s="110">
        <f t="shared" si="1850"/>
        <v>11.5</v>
      </c>
      <c r="P1787" s="110">
        <f t="shared" si="1851"/>
        <v>19.5</v>
      </c>
      <c r="Q1787" s="79">
        <f>VLOOKUP(VLOOKUP(DATEVALUE(TEXT(A1787,"m/d/yyyy")),FY24_Temp[],5,FALSE)&amp;TEXT(A1787,"-h"),TempDelta[],4,FALSE)</f>
        <v>2.1418571812765941</v>
      </c>
      <c r="R1787">
        <v>10</v>
      </c>
      <c r="S1787" s="112">
        <v>1500</v>
      </c>
      <c r="T1787" s="5">
        <f>VLOOKUP(TEXT(A1787,"yy-mm")&amp;"-"&amp;IF(AND(WEEKDAY(A1787)&gt;1,WEEKDAY(A1787)&lt;7),"Wkd",TEXT(A1787,"Ddd"))&amp;"-"&amp;TEXT(A1787,"hh"),LoadTable[],3,FALSE)*0.92</f>
        <v>291.12479999999999</v>
      </c>
      <c r="U1787" s="113">
        <f t="shared" si="1852"/>
        <v>29.112479999999998</v>
      </c>
      <c r="V1787">
        <f t="shared" ref="V1787:W1787" si="1913">V1763</f>
        <v>3.2</v>
      </c>
      <c r="W1787">
        <f t="shared" si="1913"/>
        <v>3</v>
      </c>
      <c r="X1787" s="9">
        <v>-14.7465662666666</v>
      </c>
      <c r="Y1787" s="39"/>
    </row>
    <row r="1788" spans="1:25" ht="15" thickBot="1">
      <c r="A1788" s="149">
        <f t="shared" si="1906"/>
        <v>45910.37499999765</v>
      </c>
      <c r="B1788" s="30">
        <f t="shared" si="1861"/>
        <v>8000</v>
      </c>
      <c r="C1788" s="8">
        <v>25000</v>
      </c>
      <c r="D1788" s="187">
        <v>0</v>
      </c>
      <c r="E1788" s="187">
        <v>700</v>
      </c>
      <c r="F1788" s="187">
        <v>15000</v>
      </c>
      <c r="G1788" s="30">
        <f t="shared" si="1862"/>
        <v>2400</v>
      </c>
      <c r="H1788" s="8">
        <v>25000</v>
      </c>
      <c r="I1788" s="30">
        <f t="shared" si="1863"/>
        <v>8000</v>
      </c>
      <c r="J1788" s="187">
        <v>40000</v>
      </c>
      <c r="K1788" s="30">
        <f t="shared" si="1864"/>
        <v>8000</v>
      </c>
      <c r="L1788" s="187">
        <v>40000</v>
      </c>
      <c r="M1788" s="110">
        <v>9.5</v>
      </c>
      <c r="N1788" s="9">
        <f>VLOOKUP(DATE(YEAR(A1788),MONTH(A1788),DAY(A1788)),FY24_Temp[],3,FALSE)</f>
        <v>15.21</v>
      </c>
      <c r="O1788" s="110">
        <f t="shared" si="1850"/>
        <v>11.5</v>
      </c>
      <c r="P1788" s="110">
        <f t="shared" si="1851"/>
        <v>19.5</v>
      </c>
      <c r="Q1788" s="79">
        <f>VLOOKUP(VLOOKUP(DATEVALUE(TEXT(A1788,"m/d/yyyy")),FY24_Temp[],5,FALSE)&amp;TEXT(A1788,"-h"),TempDelta[],4,FALSE)</f>
        <v>1.9845714058194841</v>
      </c>
      <c r="R1788">
        <v>10</v>
      </c>
      <c r="S1788" s="112">
        <v>1500</v>
      </c>
      <c r="T1788" s="5">
        <f>VLOOKUP(TEXT(A1788,"yy-mm")&amp;"-"&amp;IF(AND(WEEKDAY(A1788)&gt;1,WEEKDAY(A1788)&lt;7),"Wkd",TEXT(A1788,"Ddd"))&amp;"-"&amp;TEXT(A1788,"hh"),LoadTable[],3,FALSE)*0.92</f>
        <v>291.12479999999999</v>
      </c>
      <c r="U1788" s="113">
        <f t="shared" si="1852"/>
        <v>29.112479999999998</v>
      </c>
      <c r="V1788">
        <f t="shared" ref="V1788:W1788" si="1914">V1764</f>
        <v>2.9</v>
      </c>
      <c r="W1788">
        <f t="shared" si="1914"/>
        <v>3</v>
      </c>
      <c r="X1788" s="9">
        <v>-14.8243608166666</v>
      </c>
      <c r="Y1788" s="39"/>
    </row>
    <row r="1789" spans="1:25" ht="15" thickBot="1">
      <c r="A1789" s="149">
        <f t="shared" si="1906"/>
        <v>45910.416666664314</v>
      </c>
      <c r="B1789" s="30">
        <f t="shared" si="1861"/>
        <v>8000</v>
      </c>
      <c r="C1789" s="8">
        <v>25000</v>
      </c>
      <c r="D1789" s="187">
        <v>0</v>
      </c>
      <c r="E1789" s="187">
        <v>700</v>
      </c>
      <c r="F1789" s="187">
        <v>15000</v>
      </c>
      <c r="G1789" s="30">
        <f t="shared" si="1862"/>
        <v>2400</v>
      </c>
      <c r="H1789" s="8">
        <v>25000</v>
      </c>
      <c r="I1789" s="30">
        <f t="shared" si="1863"/>
        <v>8000</v>
      </c>
      <c r="J1789" s="187">
        <v>40000</v>
      </c>
      <c r="K1789" s="30">
        <f t="shared" si="1864"/>
        <v>8000</v>
      </c>
      <c r="L1789" s="187">
        <v>40000</v>
      </c>
      <c r="M1789" s="110">
        <v>9.5</v>
      </c>
      <c r="N1789" s="9">
        <f>VLOOKUP(DATE(YEAR(A1789),MONTH(A1789),DAY(A1789)),FY24_Temp[],3,FALSE)</f>
        <v>15.21</v>
      </c>
      <c r="O1789" s="110">
        <f t="shared" si="1850"/>
        <v>11.5</v>
      </c>
      <c r="P1789" s="110">
        <f t="shared" si="1851"/>
        <v>19.5</v>
      </c>
      <c r="Q1789" s="79">
        <f>VLOOKUP(VLOOKUP(DATEVALUE(TEXT(A1789,"m/d/yyyy")),FY24_Temp[],5,FALSE)&amp;TEXT(A1789,"-h"),TempDelta[],4,FALSE)</f>
        <v>1.8231428350721086</v>
      </c>
      <c r="R1789">
        <v>10</v>
      </c>
      <c r="S1789" s="112">
        <v>1500</v>
      </c>
      <c r="T1789" s="5">
        <f>VLOOKUP(TEXT(A1789,"yy-mm")&amp;"-"&amp;IF(AND(WEEKDAY(A1789)&gt;1,WEEKDAY(A1789)&lt;7),"Wkd",TEXT(A1789,"Ddd"))&amp;"-"&amp;TEXT(A1789,"hh"),LoadTable[],3,FALSE)*0.92</f>
        <v>290.74956158350585</v>
      </c>
      <c r="U1789" s="113">
        <f t="shared" si="1852"/>
        <v>29.074956158350584</v>
      </c>
      <c r="V1789">
        <f t="shared" ref="V1789:W1789" si="1915">V1765</f>
        <v>2.9</v>
      </c>
      <c r="W1789">
        <f t="shared" si="1915"/>
        <v>3</v>
      </c>
      <c r="X1789" s="9">
        <v>-14.9021553666666</v>
      </c>
      <c r="Y1789" s="39"/>
    </row>
    <row r="1790" spans="1:25" ht="15" thickBot="1">
      <c r="A1790" s="149">
        <f t="shared" si="1906"/>
        <v>45910.458333330978</v>
      </c>
      <c r="B1790" s="30">
        <f t="shared" si="1861"/>
        <v>8000</v>
      </c>
      <c r="C1790" s="8">
        <v>25000</v>
      </c>
      <c r="D1790" s="187">
        <v>0</v>
      </c>
      <c r="E1790" s="187">
        <v>700</v>
      </c>
      <c r="F1790" s="187">
        <v>15000</v>
      </c>
      <c r="G1790" s="30">
        <f t="shared" si="1862"/>
        <v>2400</v>
      </c>
      <c r="H1790" s="8">
        <v>25000</v>
      </c>
      <c r="I1790" s="30">
        <f t="shared" si="1863"/>
        <v>8000</v>
      </c>
      <c r="J1790" s="187">
        <v>40000</v>
      </c>
      <c r="K1790" s="30">
        <f t="shared" si="1864"/>
        <v>8000</v>
      </c>
      <c r="L1790" s="187">
        <v>40000</v>
      </c>
      <c r="M1790" s="110">
        <v>9.5</v>
      </c>
      <c r="N1790" s="9">
        <f>VLOOKUP(DATE(YEAR(A1790),MONTH(A1790),DAY(A1790)),FY24_Temp[],3,FALSE)</f>
        <v>15.21</v>
      </c>
      <c r="O1790" s="110">
        <f t="shared" si="1850"/>
        <v>11.5</v>
      </c>
      <c r="P1790" s="110">
        <f t="shared" si="1851"/>
        <v>19.5</v>
      </c>
      <c r="Q1790" s="79">
        <f>VLOOKUP(VLOOKUP(DATEVALUE(TEXT(A1790,"m/d/yyyy")),FY24_Temp[],5,FALSE)&amp;TEXT(A1790,"-h"),TempDelta[],4,FALSE)</f>
        <v>1.6317142759050642</v>
      </c>
      <c r="R1790">
        <v>10</v>
      </c>
      <c r="S1790" s="112">
        <v>1500</v>
      </c>
      <c r="T1790" s="5">
        <f>VLOOKUP(TEXT(A1790,"yy-mm")&amp;"-"&amp;IF(AND(WEEKDAY(A1790)&gt;1,WEEKDAY(A1790)&lt;7),"Wkd",TEXT(A1790,"Ddd"))&amp;"-"&amp;TEXT(A1790,"hh"),LoadTable[],3,FALSE)*0.92</f>
        <v>290.74956158350585</v>
      </c>
      <c r="U1790" s="113">
        <f t="shared" si="1852"/>
        <v>29.074956158350584</v>
      </c>
      <c r="V1790">
        <f t="shared" ref="V1790:W1790" si="1916">V1766</f>
        <v>3.4</v>
      </c>
      <c r="W1790">
        <f t="shared" si="1916"/>
        <v>3</v>
      </c>
      <c r="X1790" s="9">
        <v>-14.9799499166666</v>
      </c>
      <c r="Y1790" s="39"/>
    </row>
    <row r="1791" spans="1:25" ht="15" thickBot="1">
      <c r="A1791" s="149">
        <f t="shared" si="1906"/>
        <v>45910.499999997643</v>
      </c>
      <c r="B1791" s="30">
        <f t="shared" si="1861"/>
        <v>8000</v>
      </c>
      <c r="C1791" s="8">
        <v>25000</v>
      </c>
      <c r="D1791" s="187">
        <v>0</v>
      </c>
      <c r="E1791" s="187">
        <v>700</v>
      </c>
      <c r="F1791" s="187">
        <v>15000</v>
      </c>
      <c r="G1791" s="30">
        <f t="shared" si="1862"/>
        <v>2400</v>
      </c>
      <c r="H1791" s="8">
        <v>25000</v>
      </c>
      <c r="I1791" s="30">
        <f t="shared" si="1863"/>
        <v>8000</v>
      </c>
      <c r="J1791" s="187">
        <v>40000</v>
      </c>
      <c r="K1791" s="30">
        <f t="shared" si="1864"/>
        <v>8000</v>
      </c>
      <c r="L1791" s="187">
        <v>40000</v>
      </c>
      <c r="M1791" s="110">
        <v>9.5</v>
      </c>
      <c r="N1791" s="9">
        <f>VLOOKUP(DATE(YEAR(A1791),MONTH(A1791),DAY(A1791)),FY24_Temp[],3,FALSE)</f>
        <v>15.21</v>
      </c>
      <c r="O1791" s="110">
        <f t="shared" si="1850"/>
        <v>11.5</v>
      </c>
      <c r="P1791" s="110">
        <f t="shared" si="1851"/>
        <v>19.5</v>
      </c>
      <c r="Q1791" s="79">
        <f>VLOOKUP(VLOOKUP(DATEVALUE(TEXT(A1791,"m/d/yyyy")),FY24_Temp[],5,FALSE)&amp;TEXT(A1791,"-h"),TempDelta[],4,FALSE)</f>
        <v>1.4472857202802385</v>
      </c>
      <c r="R1791">
        <v>10</v>
      </c>
      <c r="S1791" s="112">
        <v>1500</v>
      </c>
      <c r="T1791" s="5">
        <f>VLOOKUP(TEXT(A1791,"yy-mm")&amp;"-"&amp;IF(AND(WEEKDAY(A1791)&gt;1,WEEKDAY(A1791)&lt;7),"Wkd",TEXT(A1791,"Ddd"))&amp;"-"&amp;TEXT(A1791,"hh"),LoadTable[],3,FALSE)*0.92</f>
        <v>290.74956158350585</v>
      </c>
      <c r="U1791" s="113">
        <f t="shared" si="1852"/>
        <v>29.074956158350584</v>
      </c>
      <c r="V1791">
        <f t="shared" ref="V1791:W1791" si="1917">V1767</f>
        <v>3.1</v>
      </c>
      <c r="W1791">
        <f t="shared" si="1917"/>
        <v>2.9</v>
      </c>
      <c r="X1791" s="9">
        <v>-15.0577444666666</v>
      </c>
      <c r="Y1791" s="39"/>
    </row>
    <row r="1792" spans="1:25" ht="15" thickBot="1">
      <c r="A1792" s="149">
        <f t="shared" si="1906"/>
        <v>45910.541666664307</v>
      </c>
      <c r="B1792" s="30">
        <f t="shared" si="1861"/>
        <v>8000</v>
      </c>
      <c r="C1792" s="8">
        <v>25000</v>
      </c>
      <c r="D1792" s="187">
        <v>0</v>
      </c>
      <c r="E1792" s="187">
        <v>700</v>
      </c>
      <c r="F1792" s="187">
        <v>15000</v>
      </c>
      <c r="G1792" s="30">
        <f t="shared" si="1862"/>
        <v>2400</v>
      </c>
      <c r="H1792" s="8">
        <v>25000</v>
      </c>
      <c r="I1792" s="30">
        <f t="shared" si="1863"/>
        <v>8000</v>
      </c>
      <c r="J1792" s="187">
        <v>40000</v>
      </c>
      <c r="K1792" s="30">
        <f t="shared" si="1864"/>
        <v>8000</v>
      </c>
      <c r="L1792" s="187">
        <v>40000</v>
      </c>
      <c r="M1792" s="110">
        <v>9.5</v>
      </c>
      <c r="N1792" s="9">
        <f>VLOOKUP(DATE(YEAR(A1792),MONTH(A1792),DAY(A1792)),FY24_Temp[],3,FALSE)</f>
        <v>15.21</v>
      </c>
      <c r="O1792" s="110">
        <f t="shared" si="1850"/>
        <v>11.5</v>
      </c>
      <c r="P1792" s="110">
        <f t="shared" si="1851"/>
        <v>19.5</v>
      </c>
      <c r="Q1792" s="79">
        <f>VLOOKUP(VLOOKUP(DATEVALUE(TEXT(A1792,"m/d/yyyy")),FY24_Temp[],5,FALSE)&amp;TEXT(A1792,"-h"),TempDelta[],4,FALSE)</f>
        <v>1.2702857085636683</v>
      </c>
      <c r="R1792">
        <v>10</v>
      </c>
      <c r="S1792" s="112">
        <v>1500</v>
      </c>
      <c r="T1792" s="5">
        <f>VLOOKUP(TEXT(A1792,"yy-mm")&amp;"-"&amp;IF(AND(WEEKDAY(A1792)&gt;1,WEEKDAY(A1792)&lt;7),"Wkd",TEXT(A1792,"Ddd"))&amp;"-"&amp;TEXT(A1792,"hh"),LoadTable[],3,FALSE)*0.92</f>
        <v>290.72204920255348</v>
      </c>
      <c r="U1792" s="113">
        <f t="shared" si="1852"/>
        <v>29.072204920255349</v>
      </c>
      <c r="V1792">
        <f t="shared" ref="V1792:W1792" si="1918">V1768</f>
        <v>3.2</v>
      </c>
      <c r="W1792">
        <f t="shared" si="1918"/>
        <v>2.9</v>
      </c>
      <c r="X1792" s="9">
        <v>-15.1355390166666</v>
      </c>
      <c r="Y1792" s="39"/>
    </row>
    <row r="1793" spans="1:25" ht="15" thickBot="1">
      <c r="A1793" s="149">
        <f t="shared" si="1906"/>
        <v>45910.583333330971</v>
      </c>
      <c r="B1793" s="30">
        <f t="shared" si="1861"/>
        <v>8000</v>
      </c>
      <c r="C1793" s="8">
        <v>25000</v>
      </c>
      <c r="D1793" s="187">
        <v>0</v>
      </c>
      <c r="E1793" s="187">
        <v>700</v>
      </c>
      <c r="F1793" s="187">
        <v>15000</v>
      </c>
      <c r="G1793" s="30">
        <f t="shared" si="1862"/>
        <v>2400</v>
      </c>
      <c r="H1793" s="8">
        <v>25000</v>
      </c>
      <c r="I1793" s="30">
        <f t="shared" si="1863"/>
        <v>8000</v>
      </c>
      <c r="J1793" s="187">
        <v>40000</v>
      </c>
      <c r="K1793" s="30">
        <f t="shared" si="1864"/>
        <v>8000</v>
      </c>
      <c r="L1793" s="187">
        <v>40000</v>
      </c>
      <c r="M1793" s="110">
        <v>9.5</v>
      </c>
      <c r="N1793" s="9">
        <f>VLOOKUP(DATE(YEAR(A1793),MONTH(A1793),DAY(A1793)),FY24_Temp[],3,FALSE)</f>
        <v>15.21</v>
      </c>
      <c r="O1793" s="110">
        <f t="shared" si="1850"/>
        <v>11.5</v>
      </c>
      <c r="P1793" s="110">
        <f t="shared" si="1851"/>
        <v>19.5</v>
      </c>
      <c r="Q1793" s="79">
        <f>VLOOKUP(VLOOKUP(DATEVALUE(TEXT(A1793,"m/d/yyyy")),FY24_Temp[],5,FALSE)&amp;TEXT(A1793,"-h"),TempDelta[],4,FALSE)</f>
        <v>1.1090000016348702</v>
      </c>
      <c r="R1793">
        <v>10</v>
      </c>
      <c r="S1793" s="112">
        <v>1500</v>
      </c>
      <c r="T1793" s="5">
        <f>VLOOKUP(TEXT(A1793,"yy-mm")&amp;"-"&amp;IF(AND(WEEKDAY(A1793)&gt;1,WEEKDAY(A1793)&lt;7),"Wkd",TEXT(A1793,"Ddd"))&amp;"-"&amp;TEXT(A1793,"hh"),LoadTable[],3,FALSE)*0.92</f>
        <v>363.28132000000005</v>
      </c>
      <c r="U1793" s="113">
        <f t="shared" si="1852"/>
        <v>36.328132000000004</v>
      </c>
      <c r="V1793">
        <f t="shared" ref="V1793:W1793" si="1919">V1769</f>
        <v>3.5</v>
      </c>
      <c r="W1793">
        <f t="shared" si="1919"/>
        <v>2.9</v>
      </c>
      <c r="X1793" s="9">
        <v>-15.2133335666666</v>
      </c>
      <c r="Y1793" s="39"/>
    </row>
    <row r="1794" spans="1:25" ht="15" thickBot="1">
      <c r="A1794" s="149">
        <f t="shared" si="1906"/>
        <v>45910.624999997635</v>
      </c>
      <c r="B1794" s="30">
        <f t="shared" si="1861"/>
        <v>8000</v>
      </c>
      <c r="C1794" s="8">
        <v>25000</v>
      </c>
      <c r="D1794" s="187">
        <v>0</v>
      </c>
      <c r="E1794" s="187">
        <v>700</v>
      </c>
      <c r="F1794" s="187">
        <v>15000</v>
      </c>
      <c r="G1794" s="30">
        <f t="shared" si="1862"/>
        <v>2400</v>
      </c>
      <c r="H1794" s="8">
        <v>25000</v>
      </c>
      <c r="I1794" s="30">
        <f t="shared" si="1863"/>
        <v>8000</v>
      </c>
      <c r="J1794" s="187">
        <v>40000</v>
      </c>
      <c r="K1794" s="30">
        <f t="shared" si="1864"/>
        <v>8000</v>
      </c>
      <c r="L1794" s="187">
        <v>40000</v>
      </c>
      <c r="M1794" s="110">
        <v>9.5</v>
      </c>
      <c r="N1794" s="9">
        <f>VLOOKUP(DATE(YEAR(A1794),MONTH(A1794),DAY(A1794)),FY24_Temp[],3,FALSE)</f>
        <v>15.21</v>
      </c>
      <c r="O1794" s="110">
        <f t="shared" si="1850"/>
        <v>11.5</v>
      </c>
      <c r="P1794" s="110">
        <f t="shared" si="1851"/>
        <v>19.5</v>
      </c>
      <c r="Q1794" s="79">
        <f>VLOOKUP(VLOOKUP(DATEVALUE(TEXT(A1794,"m/d/yyyy")),FY24_Temp[],5,FALSE)&amp;TEXT(A1794,"-h"),TempDelta[],4,FALSE)</f>
        <v>0.62785714651857105</v>
      </c>
      <c r="R1794">
        <v>10</v>
      </c>
      <c r="S1794" s="112">
        <v>1500</v>
      </c>
      <c r="T1794" s="5">
        <f>VLOOKUP(TEXT(A1794,"yy-mm")&amp;"-"&amp;IF(AND(WEEKDAY(A1794)&gt;1,WEEKDAY(A1794)&lt;7),"Wkd",TEXT(A1794,"Ddd"))&amp;"-"&amp;TEXT(A1794,"hh"),LoadTable[],3,FALSE)*0.92</f>
        <v>570.3300004440199</v>
      </c>
      <c r="U1794" s="113">
        <f t="shared" si="1852"/>
        <v>57.033000044401987</v>
      </c>
      <c r="V1794">
        <f t="shared" ref="V1794:W1794" si="1920">V1770</f>
        <v>3.2</v>
      </c>
      <c r="W1794">
        <f t="shared" si="1920"/>
        <v>2.9</v>
      </c>
      <c r="X1794" s="9">
        <v>-15.2911281166666</v>
      </c>
      <c r="Y1794" s="39"/>
    </row>
    <row r="1795" spans="1:25" ht="15" thickBot="1">
      <c r="A1795" s="149">
        <f t="shared" si="1906"/>
        <v>45910.6666666643</v>
      </c>
      <c r="B1795" s="30">
        <f t="shared" si="1861"/>
        <v>8000</v>
      </c>
      <c r="C1795" s="8">
        <v>25000</v>
      </c>
      <c r="D1795" s="187">
        <v>0</v>
      </c>
      <c r="E1795" s="187">
        <v>700</v>
      </c>
      <c r="F1795" s="187">
        <v>15000</v>
      </c>
      <c r="G1795" s="30">
        <f t="shared" si="1862"/>
        <v>2400</v>
      </c>
      <c r="H1795" s="8">
        <v>25000</v>
      </c>
      <c r="I1795" s="30">
        <f t="shared" si="1863"/>
        <v>8000</v>
      </c>
      <c r="J1795" s="187">
        <v>40000</v>
      </c>
      <c r="K1795" s="30">
        <f t="shared" si="1864"/>
        <v>8000</v>
      </c>
      <c r="L1795" s="187">
        <v>40000</v>
      </c>
      <c r="M1795" s="110">
        <v>9.5</v>
      </c>
      <c r="N1795" s="9">
        <f>VLOOKUP(DATE(YEAR(A1795),MONTH(A1795),DAY(A1795)),FY24_Temp[],3,FALSE)</f>
        <v>15.21</v>
      </c>
      <c r="O1795" s="110">
        <f t="shared" si="1850"/>
        <v>11.5</v>
      </c>
      <c r="P1795" s="110">
        <f t="shared" si="1851"/>
        <v>19.5</v>
      </c>
      <c r="Q1795" s="79">
        <f>VLOOKUP(VLOOKUP(DATEVALUE(TEXT(A1795,"m/d/yyyy")),FY24_Temp[],5,FALSE)&amp;TEXT(A1795,"-h"),TempDelta[],4,FALSE)</f>
        <v>0.70735713200909756</v>
      </c>
      <c r="R1795">
        <v>10</v>
      </c>
      <c r="S1795" s="112">
        <v>1500</v>
      </c>
      <c r="T1795" s="5">
        <f>VLOOKUP(TEXT(A1795,"yy-mm")&amp;"-"&amp;IF(AND(WEEKDAY(A1795)&gt;1,WEEKDAY(A1795)&lt;7),"Wkd",TEXT(A1795,"Ddd"))&amp;"-"&amp;TEXT(A1795,"hh"),LoadTable[],3,FALSE)*0.92</f>
        <v>602.16876690131596</v>
      </c>
      <c r="U1795" s="113">
        <f t="shared" si="1852"/>
        <v>60.216876690131599</v>
      </c>
      <c r="V1795">
        <f t="shared" ref="V1795:W1795" si="1921">V1771</f>
        <v>3.5</v>
      </c>
      <c r="W1795">
        <f t="shared" si="1921"/>
        <v>3</v>
      </c>
      <c r="X1795" s="9">
        <v>-15.368922666666601</v>
      </c>
      <c r="Y1795" s="39"/>
    </row>
    <row r="1796" spans="1:25" ht="15" thickBot="1">
      <c r="A1796" s="149">
        <f t="shared" si="1906"/>
        <v>45910.708333330964</v>
      </c>
      <c r="B1796" s="30">
        <f t="shared" si="1861"/>
        <v>8000</v>
      </c>
      <c r="C1796" s="8">
        <v>25000</v>
      </c>
      <c r="D1796" s="187">
        <v>0</v>
      </c>
      <c r="E1796" s="187">
        <v>700</v>
      </c>
      <c r="F1796" s="187">
        <v>15000</v>
      </c>
      <c r="G1796" s="30">
        <f t="shared" si="1862"/>
        <v>2400</v>
      </c>
      <c r="H1796" s="8">
        <v>25000</v>
      </c>
      <c r="I1796" s="30">
        <f t="shared" si="1863"/>
        <v>8000</v>
      </c>
      <c r="J1796" s="187">
        <v>40000</v>
      </c>
      <c r="K1796" s="30">
        <f t="shared" si="1864"/>
        <v>8000</v>
      </c>
      <c r="L1796" s="187">
        <v>40000</v>
      </c>
      <c r="M1796" s="110">
        <v>9.5</v>
      </c>
      <c r="N1796" s="9">
        <f>VLOOKUP(DATE(YEAR(A1796),MONTH(A1796),DAY(A1796)),FY24_Temp[],3,FALSE)</f>
        <v>15.21</v>
      </c>
      <c r="O1796" s="110">
        <f t="shared" ref="O1796:O1859" si="1922">15.5-4</f>
        <v>11.5</v>
      </c>
      <c r="P1796" s="110">
        <f t="shared" ref="P1796:P1859" si="1923">15.5+4</f>
        <v>19.5</v>
      </c>
      <c r="Q1796" s="79">
        <f>VLOOKUP(VLOOKUP(DATEVALUE(TEXT(A1796,"m/d/yyyy")),FY24_Temp[],5,FALSE)&amp;TEXT(A1796,"-h"),TempDelta[],4,FALSE)</f>
        <v>0.97692857256957466</v>
      </c>
      <c r="R1796">
        <v>10</v>
      </c>
      <c r="S1796" s="112">
        <v>1500</v>
      </c>
      <c r="T1796" s="5">
        <f>VLOOKUP(TEXT(A1796,"yy-mm")&amp;"-"&amp;IF(AND(WEEKDAY(A1796)&gt;1,WEEKDAY(A1796)&lt;7),"Wkd",TEXT(A1796,"Ddd"))&amp;"-"&amp;TEXT(A1796,"hh"),LoadTable[],3,FALSE)*0.92</f>
        <v>602.16876690131596</v>
      </c>
      <c r="U1796" s="113">
        <f t="shared" ref="U1796:U1859" si="1924">T1796/10</f>
        <v>60.216876690131599</v>
      </c>
      <c r="V1796">
        <f t="shared" ref="V1796:W1796" si="1925">V1772</f>
        <v>3.6</v>
      </c>
      <c r="W1796">
        <f t="shared" si="1925"/>
        <v>3</v>
      </c>
      <c r="X1796" s="9">
        <v>-15.446717216666601</v>
      </c>
      <c r="Y1796" s="39"/>
    </row>
    <row r="1797" spans="1:25" ht="15" thickBot="1">
      <c r="A1797" s="149">
        <f t="shared" si="1906"/>
        <v>45910.749999997628</v>
      </c>
      <c r="B1797" s="30">
        <f t="shared" si="1861"/>
        <v>5000</v>
      </c>
      <c r="C1797" s="8">
        <v>25000</v>
      </c>
      <c r="D1797" s="187">
        <v>0</v>
      </c>
      <c r="E1797" s="187">
        <v>700</v>
      </c>
      <c r="F1797" s="187">
        <v>15000</v>
      </c>
      <c r="G1797" s="30">
        <f t="shared" si="1862"/>
        <v>2400</v>
      </c>
      <c r="H1797" s="8">
        <v>25000</v>
      </c>
      <c r="I1797" s="30">
        <f t="shared" si="1863"/>
        <v>5000</v>
      </c>
      <c r="J1797" s="187">
        <v>40000</v>
      </c>
      <c r="K1797" s="30">
        <f t="shared" si="1864"/>
        <v>5000</v>
      </c>
      <c r="L1797" s="187">
        <v>40000</v>
      </c>
      <c r="M1797" s="110">
        <v>9.5</v>
      </c>
      <c r="N1797" s="9">
        <f>VLOOKUP(DATE(YEAR(A1797),MONTH(A1797),DAY(A1797)),FY24_Temp[],3,FALSE)</f>
        <v>15.21</v>
      </c>
      <c r="O1797" s="110">
        <f t="shared" si="1922"/>
        <v>11.5</v>
      </c>
      <c r="P1797" s="110">
        <f t="shared" si="1923"/>
        <v>19.5</v>
      </c>
      <c r="Q1797" s="79">
        <f>VLOOKUP(VLOOKUP(DATEVALUE(TEXT(A1797,"m/d/yyyy")),FY24_Temp[],5,FALSE)&amp;TEXT(A1797,"-h"),TempDelta[],4,FALSE)</f>
        <v>1.2994285779339927</v>
      </c>
      <c r="R1797">
        <v>10</v>
      </c>
      <c r="S1797" s="112">
        <v>1500</v>
      </c>
      <c r="T1797" s="5">
        <f>VLOOKUP(TEXT(A1797,"yy-mm")&amp;"-"&amp;IF(AND(WEEKDAY(A1797)&gt;1,WEEKDAY(A1797)&lt;7),"Wkd",TEXT(A1797,"Ddd"))&amp;"-"&amp;TEXT(A1797,"hh"),LoadTable[],3,FALSE)*0.92</f>
        <v>602.16876690131596</v>
      </c>
      <c r="U1797" s="113">
        <f t="shared" si="1924"/>
        <v>60.216876690131599</v>
      </c>
      <c r="V1797">
        <f t="shared" ref="V1797:W1797" si="1926">V1773</f>
        <v>2.9</v>
      </c>
      <c r="W1797">
        <f t="shared" si="1926"/>
        <v>3</v>
      </c>
      <c r="X1797" s="9">
        <v>-15.524511766666601</v>
      </c>
      <c r="Y1797" s="39"/>
    </row>
    <row r="1798" spans="1:25" ht="15" thickBot="1">
      <c r="A1798" s="149">
        <f t="shared" si="1906"/>
        <v>45910.791666664292</v>
      </c>
      <c r="B1798" s="30">
        <f t="shared" si="1861"/>
        <v>5000</v>
      </c>
      <c r="C1798" s="8">
        <v>25000</v>
      </c>
      <c r="D1798" s="187">
        <v>0</v>
      </c>
      <c r="E1798" s="187">
        <v>700</v>
      </c>
      <c r="F1798" s="187">
        <v>15000</v>
      </c>
      <c r="G1798" s="30">
        <f t="shared" si="1862"/>
        <v>2400</v>
      </c>
      <c r="H1798" s="8">
        <v>25000</v>
      </c>
      <c r="I1798" s="30">
        <f t="shared" si="1863"/>
        <v>5000</v>
      </c>
      <c r="J1798" s="187">
        <v>40000</v>
      </c>
      <c r="K1798" s="30">
        <f t="shared" si="1864"/>
        <v>5000</v>
      </c>
      <c r="L1798" s="187">
        <v>40000</v>
      </c>
      <c r="M1798" s="110">
        <v>9.5</v>
      </c>
      <c r="N1798" s="9">
        <f>VLOOKUP(DATE(YEAR(A1798),MONTH(A1798),DAY(A1798)),FY24_Temp[],3,FALSE)</f>
        <v>15.21</v>
      </c>
      <c r="O1798" s="110">
        <f t="shared" si="1922"/>
        <v>11.5</v>
      </c>
      <c r="P1798" s="110">
        <f t="shared" si="1923"/>
        <v>19.5</v>
      </c>
      <c r="Q1798" s="79">
        <f>VLOOKUP(VLOOKUP(DATEVALUE(TEXT(A1798,"m/d/yyyy")),FY24_Temp[],5,FALSE)&amp;TEXT(A1798,"-h"),TempDelta[],4,FALSE)</f>
        <v>1.4374285723481859</v>
      </c>
      <c r="R1798">
        <v>10</v>
      </c>
      <c r="S1798" s="112">
        <v>1500</v>
      </c>
      <c r="T1798" s="5">
        <f>VLOOKUP(TEXT(A1798,"yy-mm")&amp;"-"&amp;IF(AND(WEEKDAY(A1798)&gt;1,WEEKDAY(A1798)&lt;7),"Wkd",TEXT(A1798,"Ddd"))&amp;"-"&amp;TEXT(A1798,"hh"),LoadTable[],3,FALSE)*0.92</f>
        <v>600.14662419619219</v>
      </c>
      <c r="U1798" s="113">
        <f t="shared" si="1924"/>
        <v>60.014662419619221</v>
      </c>
      <c r="V1798">
        <f t="shared" ref="V1798:W1798" si="1927">V1774</f>
        <v>3</v>
      </c>
      <c r="W1798">
        <f t="shared" si="1927"/>
        <v>3</v>
      </c>
      <c r="X1798" s="9">
        <v>-15.602306316666599</v>
      </c>
      <c r="Y1798" s="39"/>
    </row>
    <row r="1799" spans="1:25" ht="15" thickBot="1">
      <c r="A1799" s="149">
        <f t="shared" si="1906"/>
        <v>45910.833333330957</v>
      </c>
      <c r="B1799" s="30">
        <f t="shared" si="1861"/>
        <v>5000</v>
      </c>
      <c r="C1799" s="8">
        <v>25000</v>
      </c>
      <c r="D1799" s="187">
        <v>0</v>
      </c>
      <c r="E1799" s="187">
        <v>700</v>
      </c>
      <c r="F1799" s="187">
        <v>15000</v>
      </c>
      <c r="G1799" s="30">
        <f t="shared" si="1862"/>
        <v>2400</v>
      </c>
      <c r="H1799" s="8">
        <v>25000</v>
      </c>
      <c r="I1799" s="30">
        <f t="shared" si="1863"/>
        <v>5000</v>
      </c>
      <c r="J1799" s="187">
        <v>40000</v>
      </c>
      <c r="K1799" s="30">
        <f t="shared" si="1864"/>
        <v>5000</v>
      </c>
      <c r="L1799" s="187">
        <v>40000</v>
      </c>
      <c r="M1799" s="110">
        <v>9.5</v>
      </c>
      <c r="N1799" s="9">
        <f>VLOOKUP(DATE(YEAR(A1799),MONTH(A1799),DAY(A1799)),FY24_Temp[],3,FALSE)</f>
        <v>15.21</v>
      </c>
      <c r="O1799" s="110">
        <f t="shared" si="1922"/>
        <v>11.5</v>
      </c>
      <c r="P1799" s="110">
        <f t="shared" si="1923"/>
        <v>19.5</v>
      </c>
      <c r="Q1799" s="79">
        <f>VLOOKUP(VLOOKUP(DATEVALUE(TEXT(A1799,"m/d/yyyy")),FY24_Temp[],5,FALSE)&amp;TEXT(A1799,"-h"),TempDelta[],4,FALSE)</f>
        <v>1.5300714543887548</v>
      </c>
      <c r="R1799">
        <v>10</v>
      </c>
      <c r="S1799" s="112">
        <v>1500</v>
      </c>
      <c r="T1799" s="5">
        <f>VLOOKUP(TEXT(A1799,"yy-mm")&amp;"-"&amp;IF(AND(WEEKDAY(A1799)&gt;1,WEEKDAY(A1799)&lt;7),"Wkd",TEXT(A1799,"Ddd"))&amp;"-"&amp;TEXT(A1799,"hh"),LoadTable[],3,FALSE)*0.92</f>
        <v>600.14662419619219</v>
      </c>
      <c r="U1799" s="113">
        <f t="shared" si="1924"/>
        <v>60.014662419619221</v>
      </c>
      <c r="V1799">
        <f t="shared" ref="V1799:W1799" si="1928">V1775</f>
        <v>2.8</v>
      </c>
      <c r="W1799">
        <f t="shared" si="1928"/>
        <v>3.1</v>
      </c>
      <c r="X1799" s="9">
        <v>-15.680100866666599</v>
      </c>
      <c r="Y1799" s="39"/>
    </row>
    <row r="1800" spans="1:25" ht="15" thickBot="1">
      <c r="A1800" s="149">
        <f t="shared" si="1906"/>
        <v>45910.874999997621</v>
      </c>
      <c r="B1800" s="30">
        <f t="shared" si="1861"/>
        <v>5000</v>
      </c>
      <c r="C1800" s="8">
        <v>25000</v>
      </c>
      <c r="D1800" s="187">
        <v>0</v>
      </c>
      <c r="E1800" s="187">
        <v>700</v>
      </c>
      <c r="F1800" s="187">
        <v>15000</v>
      </c>
      <c r="G1800" s="30">
        <f t="shared" si="1862"/>
        <v>2400</v>
      </c>
      <c r="H1800" s="8">
        <v>25000</v>
      </c>
      <c r="I1800" s="30">
        <f t="shared" si="1863"/>
        <v>5000</v>
      </c>
      <c r="J1800" s="187">
        <v>40000</v>
      </c>
      <c r="K1800" s="30">
        <f t="shared" si="1864"/>
        <v>5000</v>
      </c>
      <c r="L1800" s="187">
        <v>40000</v>
      </c>
      <c r="M1800" s="110">
        <v>9.5</v>
      </c>
      <c r="N1800" s="9">
        <f>VLOOKUP(DATE(YEAR(A1800),MONTH(A1800),DAY(A1800)),FY24_Temp[],3,FALSE)</f>
        <v>15.21</v>
      </c>
      <c r="O1800" s="110">
        <f t="shared" si="1922"/>
        <v>11.5</v>
      </c>
      <c r="P1800" s="110">
        <f t="shared" si="1923"/>
        <v>19.5</v>
      </c>
      <c r="Q1800" s="79">
        <f>VLOOKUP(VLOOKUP(DATEVALUE(TEXT(A1800,"m/d/yyyy")),FY24_Temp[],5,FALSE)&amp;TEXT(A1800,"-h"),TempDelta[],4,FALSE)</f>
        <v>1.5475714121546065</v>
      </c>
      <c r="R1800">
        <v>10</v>
      </c>
      <c r="S1800" s="112">
        <v>1500</v>
      </c>
      <c r="T1800" s="5">
        <f>VLOOKUP(TEXT(A1800,"yy-mm")&amp;"-"&amp;IF(AND(WEEKDAY(A1800)&gt;1,WEEKDAY(A1800)&lt;7),"Wkd",TEXT(A1800,"Ddd"))&amp;"-"&amp;TEXT(A1800,"hh"),LoadTable[],3,FALSE)*0.92</f>
        <v>523.94879142973434</v>
      </c>
      <c r="U1800" s="113">
        <f t="shared" si="1924"/>
        <v>52.394879142973437</v>
      </c>
      <c r="V1800">
        <f t="shared" ref="V1800:W1800" si="1929">V1776</f>
        <v>3.5</v>
      </c>
      <c r="W1800">
        <f t="shared" si="1929"/>
        <v>3.1</v>
      </c>
      <c r="X1800" s="9">
        <v>-15.757895416666599</v>
      </c>
      <c r="Y1800" s="39"/>
    </row>
    <row r="1801" spans="1:25" ht="15" thickBot="1">
      <c r="A1801" s="149">
        <f t="shared" si="1906"/>
        <v>45910.916666664285</v>
      </c>
      <c r="B1801" s="30">
        <f t="shared" si="1861"/>
        <v>5000</v>
      </c>
      <c r="C1801" s="8">
        <v>25000</v>
      </c>
      <c r="D1801" s="187">
        <v>0</v>
      </c>
      <c r="E1801" s="187">
        <v>700</v>
      </c>
      <c r="F1801" s="187">
        <v>15000</v>
      </c>
      <c r="G1801" s="30">
        <f t="shared" si="1862"/>
        <v>2400</v>
      </c>
      <c r="H1801" s="8">
        <v>25000</v>
      </c>
      <c r="I1801" s="30">
        <f t="shared" si="1863"/>
        <v>5000</v>
      </c>
      <c r="J1801" s="187">
        <v>40000</v>
      </c>
      <c r="K1801" s="30">
        <f t="shared" si="1864"/>
        <v>5000</v>
      </c>
      <c r="L1801" s="187">
        <v>40000</v>
      </c>
      <c r="M1801" s="110">
        <v>9.5</v>
      </c>
      <c r="N1801" s="9">
        <f>VLOOKUP(DATE(YEAR(A1801),MONTH(A1801),DAY(A1801)),FY24_Temp[],3,FALSE)</f>
        <v>15.21</v>
      </c>
      <c r="O1801" s="110">
        <f t="shared" si="1922"/>
        <v>11.5</v>
      </c>
      <c r="P1801" s="110">
        <f t="shared" si="1923"/>
        <v>19.5</v>
      </c>
      <c r="Q1801" s="79">
        <f>VLOOKUP(VLOOKUP(DATEVALUE(TEXT(A1801,"m/d/yyyy")),FY24_Temp[],5,FALSE)&amp;TEXT(A1801,"-h"),TempDelta[],4,FALSE)</f>
        <v>2.0112857137407576</v>
      </c>
      <c r="R1801">
        <v>10</v>
      </c>
      <c r="S1801" s="112">
        <v>1500</v>
      </c>
      <c r="T1801" s="5">
        <f>VLOOKUP(TEXT(A1801,"yy-mm")&amp;"-"&amp;IF(AND(WEEKDAY(A1801)&gt;1,WEEKDAY(A1801)&lt;7),"Wkd",TEXT(A1801,"Ddd"))&amp;"-"&amp;TEXT(A1801,"hh"),LoadTable[],3,FALSE)*0.92</f>
        <v>421.91858468239752</v>
      </c>
      <c r="U1801" s="113">
        <f t="shared" si="1924"/>
        <v>42.191858468239751</v>
      </c>
      <c r="V1801">
        <f t="shared" ref="V1801:W1801" si="1930">V1777</f>
        <v>2.9</v>
      </c>
      <c r="W1801">
        <f t="shared" si="1930"/>
        <v>3.1</v>
      </c>
      <c r="X1801" s="9">
        <v>-15.8356899666666</v>
      </c>
      <c r="Y1801" s="39"/>
    </row>
    <row r="1802" spans="1:25" ht="15" thickBot="1">
      <c r="A1802" s="149">
        <f t="shared" si="1906"/>
        <v>45910.958333330949</v>
      </c>
      <c r="B1802" s="30">
        <f t="shared" si="1861"/>
        <v>5000</v>
      </c>
      <c r="C1802" s="8">
        <v>25000</v>
      </c>
      <c r="D1802" s="187">
        <v>0</v>
      </c>
      <c r="E1802" s="187">
        <v>700</v>
      </c>
      <c r="F1802" s="187">
        <v>15000</v>
      </c>
      <c r="G1802" s="30">
        <f t="shared" si="1862"/>
        <v>2400</v>
      </c>
      <c r="H1802" s="41">
        <v>25000</v>
      </c>
      <c r="I1802" s="30">
        <f t="shared" si="1863"/>
        <v>5000</v>
      </c>
      <c r="J1802" s="187">
        <v>40000</v>
      </c>
      <c r="K1802" s="30">
        <f t="shared" si="1864"/>
        <v>5000</v>
      </c>
      <c r="L1802" s="187">
        <v>40000</v>
      </c>
      <c r="M1802" s="110">
        <v>9.5</v>
      </c>
      <c r="N1802" s="9">
        <f>VLOOKUP(DATE(YEAR(A1802),MONTH(A1802),DAY(A1802)),FY24_Temp[],3,FALSE)</f>
        <v>15.21</v>
      </c>
      <c r="O1802" s="110">
        <f t="shared" si="1922"/>
        <v>11.5</v>
      </c>
      <c r="P1802" s="110">
        <f t="shared" si="1923"/>
        <v>19.5</v>
      </c>
      <c r="Q1802" s="85">
        <f>VLOOKUP(VLOOKUP(DATEVALUE(TEXT(A1802,"m/d/yyyy")),FY24_Temp[],5,FALSE)&amp;TEXT(A1802,"-h"),TempDelta[],4,FALSE)</f>
        <v>2.1388571432658603</v>
      </c>
      <c r="R1802">
        <v>10</v>
      </c>
      <c r="S1802" s="112">
        <v>1500</v>
      </c>
      <c r="T1802" s="97">
        <f>VLOOKUP(TEXT(A1802,"yy-mm")&amp;"-"&amp;IF(AND(WEEKDAY(A1802)&gt;1,WEEKDAY(A1802)&lt;7),"Wkd",TEXT(A1802,"Ddd"))&amp;"-"&amp;TEXT(A1802,"hh"),LoadTable[],3,FALSE)*0.92</f>
        <v>289.33527113913209</v>
      </c>
      <c r="U1802" s="113">
        <f t="shared" si="1924"/>
        <v>28.933527113913208</v>
      </c>
      <c r="V1802">
        <f t="shared" ref="V1802:W1802" si="1931">V1778</f>
        <v>3.6</v>
      </c>
      <c r="W1802">
        <f t="shared" si="1931"/>
        <v>3.1</v>
      </c>
      <c r="X1802" s="84">
        <v>-15.9134845166666</v>
      </c>
      <c r="Y1802" s="39"/>
    </row>
    <row r="1803" spans="1:25" ht="15" thickBot="1">
      <c r="A1803" s="149">
        <f t="shared" si="1906"/>
        <v>45910.999999997613</v>
      </c>
      <c r="B1803" s="30">
        <f t="shared" si="1861"/>
        <v>5000</v>
      </c>
      <c r="C1803" s="8">
        <v>25000</v>
      </c>
      <c r="D1803" s="187">
        <v>0</v>
      </c>
      <c r="E1803" s="187">
        <v>700</v>
      </c>
      <c r="F1803" s="187">
        <v>15000</v>
      </c>
      <c r="G1803" s="30">
        <f t="shared" si="1862"/>
        <v>2400</v>
      </c>
      <c r="H1803" s="8">
        <v>25000</v>
      </c>
      <c r="I1803" s="30">
        <f t="shared" si="1863"/>
        <v>5000</v>
      </c>
      <c r="J1803" s="187">
        <v>40000</v>
      </c>
      <c r="K1803" s="30">
        <f t="shared" si="1864"/>
        <v>5000</v>
      </c>
      <c r="L1803" s="187">
        <v>40000</v>
      </c>
      <c r="M1803" s="110">
        <v>9.5</v>
      </c>
      <c r="N1803" s="9">
        <f>VLOOKUP(DATE(YEAR(A1803),MONTH(A1803),DAY(A1803)),FY24_Temp[],3,FALSE)</f>
        <v>15.21</v>
      </c>
      <c r="O1803" s="110">
        <f t="shared" si="1922"/>
        <v>11.5</v>
      </c>
      <c r="P1803" s="110">
        <f t="shared" si="1923"/>
        <v>19.5</v>
      </c>
      <c r="Q1803" s="79">
        <f>VLOOKUP(VLOOKUP(DATEVALUE(TEXT(A1803,"m/d/yyyy")),FY24_Temp[],5,FALSE)&amp;TEXT(A1803,"-h"),TempDelta[],4,FALSE)</f>
        <v>2.2215714454650879</v>
      </c>
      <c r="R1803">
        <v>10</v>
      </c>
      <c r="S1803" s="112">
        <v>1500</v>
      </c>
      <c r="T1803" s="5">
        <f>VLOOKUP(TEXT(A1803,"yy-mm")&amp;"-"&amp;IF(AND(WEEKDAY(A1803)&gt;1,WEEKDAY(A1803)&lt;7),"Wkd",TEXT(A1803,"Ddd"))&amp;"-"&amp;TEXT(A1803,"hh"),LoadTable[],3,FALSE)*0.92</f>
        <v>289.0624787084426</v>
      </c>
      <c r="U1803" s="113">
        <f t="shared" si="1924"/>
        <v>28.906247870844261</v>
      </c>
      <c r="V1803">
        <f t="shared" ref="V1803:W1803" si="1932">V1779</f>
        <v>3</v>
      </c>
      <c r="W1803">
        <f t="shared" si="1932"/>
        <v>3.2</v>
      </c>
      <c r="X1803" s="9">
        <v>-15.9912790666666</v>
      </c>
      <c r="Y1803" s="39"/>
    </row>
    <row r="1804" spans="1:25" ht="15" thickBot="1">
      <c r="A1804" s="149">
        <f t="shared" si="1906"/>
        <v>45911.041666664278</v>
      </c>
      <c r="B1804" s="30">
        <f t="shared" ref="B1804:B1867" si="1933">B1780</f>
        <v>5000</v>
      </c>
      <c r="C1804" s="8">
        <v>25000</v>
      </c>
      <c r="D1804" s="187">
        <v>0</v>
      </c>
      <c r="E1804" s="187">
        <v>700</v>
      </c>
      <c r="F1804" s="187">
        <v>15000</v>
      </c>
      <c r="G1804" s="30">
        <f t="shared" ref="G1804:G1867" si="1934">G1780</f>
        <v>2400</v>
      </c>
      <c r="H1804" s="42">
        <v>25000</v>
      </c>
      <c r="I1804" s="30">
        <f t="shared" ref="I1804:I1867" si="1935">I1780</f>
        <v>5000</v>
      </c>
      <c r="J1804" s="187">
        <v>40000</v>
      </c>
      <c r="K1804" s="30">
        <f t="shared" ref="K1804:K1867" si="1936">K1780</f>
        <v>5000</v>
      </c>
      <c r="L1804" s="187">
        <v>40000</v>
      </c>
      <c r="M1804" s="110">
        <v>9.5</v>
      </c>
      <c r="N1804" s="9">
        <f>VLOOKUP(DATE(YEAR(A1804),MONTH(A1804),DAY(A1804)),FY24_Temp[],3,FALSE)</f>
        <v>15.21</v>
      </c>
      <c r="O1804" s="110">
        <f t="shared" si="1922"/>
        <v>11.5</v>
      </c>
      <c r="P1804" s="110">
        <f t="shared" si="1923"/>
        <v>19.5</v>
      </c>
      <c r="Q1804" s="87">
        <f>VLOOKUP(VLOOKUP(DATEVALUE(TEXT(A1804,"m/d/yyyy")),FY24_Temp[],5,FALSE)&amp;TEXT(A1804,"-h"),TempDelta[],4,FALSE)</f>
        <v>2.2935714381081715</v>
      </c>
      <c r="R1804">
        <v>10</v>
      </c>
      <c r="S1804" s="112">
        <v>1500</v>
      </c>
      <c r="T1804" s="98">
        <f>VLOOKUP(TEXT(A1804,"yy-mm")&amp;"-"&amp;IF(AND(WEEKDAY(A1804)&gt;1,WEEKDAY(A1804)&lt;7),"Wkd",TEXT(A1804,"Ddd"))&amp;"-"&amp;TEXT(A1804,"hh"),LoadTable[],3,FALSE)*0.92</f>
        <v>289.0624787084426</v>
      </c>
      <c r="U1804" s="113">
        <f t="shared" si="1924"/>
        <v>28.906247870844261</v>
      </c>
      <c r="V1804">
        <f t="shared" ref="V1804:W1804" si="1937">V1780</f>
        <v>2.6</v>
      </c>
      <c r="W1804">
        <f t="shared" si="1937"/>
        <v>3.2</v>
      </c>
      <c r="X1804" s="86">
        <v>-16.0690736166666</v>
      </c>
      <c r="Y1804" s="39"/>
    </row>
    <row r="1805" spans="1:25" ht="15" thickBot="1">
      <c r="A1805" s="149">
        <f t="shared" si="1906"/>
        <v>45911.083333330942</v>
      </c>
      <c r="B1805" s="30">
        <f t="shared" si="1933"/>
        <v>5000</v>
      </c>
      <c r="C1805" s="8">
        <v>25000</v>
      </c>
      <c r="D1805" s="187">
        <v>0</v>
      </c>
      <c r="E1805" s="187">
        <v>700</v>
      </c>
      <c r="F1805" s="187">
        <v>15000</v>
      </c>
      <c r="G1805" s="30">
        <f t="shared" si="1934"/>
        <v>2400</v>
      </c>
      <c r="H1805" s="8">
        <v>25000</v>
      </c>
      <c r="I1805" s="30">
        <f t="shared" si="1935"/>
        <v>5000</v>
      </c>
      <c r="J1805" s="187">
        <v>40000</v>
      </c>
      <c r="K1805" s="30">
        <f t="shared" si="1936"/>
        <v>5000</v>
      </c>
      <c r="L1805" s="187">
        <v>40000</v>
      </c>
      <c r="M1805" s="110">
        <v>9.5</v>
      </c>
      <c r="N1805" s="9">
        <f>VLOOKUP(DATE(YEAR(A1805),MONTH(A1805),DAY(A1805)),FY24_Temp[],3,FALSE)</f>
        <v>15.21</v>
      </c>
      <c r="O1805" s="110">
        <f t="shared" si="1922"/>
        <v>11.5</v>
      </c>
      <c r="P1805" s="110">
        <f t="shared" si="1923"/>
        <v>19.5</v>
      </c>
      <c r="Q1805" s="79">
        <f>VLOOKUP(VLOOKUP(DATEVALUE(TEXT(A1805,"m/d/yyyy")),FY24_Temp[],5,FALSE)&amp;TEXT(A1805,"-h"),TempDelta[],4,FALSE)</f>
        <v>2.3212857246398926</v>
      </c>
      <c r="R1805">
        <v>10</v>
      </c>
      <c r="S1805" s="112">
        <v>1500</v>
      </c>
      <c r="T1805" s="5">
        <f>VLOOKUP(TEXT(A1805,"yy-mm")&amp;"-"&amp;IF(AND(WEEKDAY(A1805)&gt;1,WEEKDAY(A1805)&lt;7),"Wkd",TEXT(A1805,"Ddd"))&amp;"-"&amp;TEXT(A1805,"hh"),LoadTable[],3,FALSE)*0.92</f>
        <v>289.0624787084426</v>
      </c>
      <c r="U1805" s="113">
        <f t="shared" si="1924"/>
        <v>28.906247870844261</v>
      </c>
      <c r="V1805">
        <f t="shared" ref="V1805:W1805" si="1938">V1781</f>
        <v>2.8</v>
      </c>
      <c r="W1805">
        <f t="shared" si="1938"/>
        <v>3.2</v>
      </c>
      <c r="X1805" s="9">
        <v>-16.1468681666666</v>
      </c>
      <c r="Y1805" s="39"/>
    </row>
    <row r="1806" spans="1:25" ht="15" thickBot="1">
      <c r="A1806" s="149">
        <f t="shared" si="1906"/>
        <v>45911.124999997606</v>
      </c>
      <c r="B1806" s="30">
        <f t="shared" si="1933"/>
        <v>5000</v>
      </c>
      <c r="C1806" s="8">
        <v>25000</v>
      </c>
      <c r="D1806" s="187">
        <v>0</v>
      </c>
      <c r="E1806" s="187">
        <v>700</v>
      </c>
      <c r="F1806" s="187">
        <v>15000</v>
      </c>
      <c r="G1806" s="30">
        <f t="shared" si="1934"/>
        <v>2400</v>
      </c>
      <c r="H1806" s="8">
        <v>25000</v>
      </c>
      <c r="I1806" s="30">
        <f t="shared" si="1935"/>
        <v>5000</v>
      </c>
      <c r="J1806" s="187">
        <v>40000</v>
      </c>
      <c r="K1806" s="30">
        <f t="shared" si="1936"/>
        <v>5000</v>
      </c>
      <c r="L1806" s="187">
        <v>40000</v>
      </c>
      <c r="M1806" s="110">
        <v>9.5</v>
      </c>
      <c r="N1806" s="9">
        <f>VLOOKUP(DATE(YEAR(A1806),MONTH(A1806),DAY(A1806)),FY24_Temp[],3,FALSE)</f>
        <v>15.21</v>
      </c>
      <c r="O1806" s="110">
        <f t="shared" si="1922"/>
        <v>11.5</v>
      </c>
      <c r="P1806" s="110">
        <f t="shared" si="1923"/>
        <v>19.5</v>
      </c>
      <c r="Q1806" s="79">
        <f>VLOOKUP(VLOOKUP(DATEVALUE(TEXT(A1806,"m/d/yyyy")),FY24_Temp[],5,FALSE)&amp;TEXT(A1806,"-h"),TempDelta[],4,FALSE)</f>
        <v>2.3239999498639787</v>
      </c>
      <c r="R1806">
        <v>10</v>
      </c>
      <c r="S1806" s="112">
        <v>1500</v>
      </c>
      <c r="T1806" s="5">
        <f>VLOOKUP(TEXT(A1806,"yy-mm")&amp;"-"&amp;IF(AND(WEEKDAY(A1806)&gt;1,WEEKDAY(A1806)&lt;7),"Wkd",TEXT(A1806,"Ddd"))&amp;"-"&amp;TEXT(A1806,"hh"),LoadTable[],3,FALSE)*0.92</f>
        <v>289.05894152419745</v>
      </c>
      <c r="U1806" s="113">
        <f t="shared" si="1924"/>
        <v>28.905894152419744</v>
      </c>
      <c r="V1806">
        <f t="shared" ref="V1806:W1806" si="1939">V1782</f>
        <v>2.7</v>
      </c>
      <c r="W1806">
        <f t="shared" si="1939"/>
        <v>3.2</v>
      </c>
      <c r="X1806" s="9">
        <v>-16.2246627166666</v>
      </c>
      <c r="Y1806" s="39"/>
    </row>
    <row r="1807" spans="1:25" ht="15" thickBot="1">
      <c r="A1807" s="149">
        <f t="shared" si="1906"/>
        <v>45911.16666666427</v>
      </c>
      <c r="B1807" s="30">
        <f t="shared" si="1933"/>
        <v>5000</v>
      </c>
      <c r="C1807" s="8">
        <v>25000</v>
      </c>
      <c r="D1807" s="187">
        <v>0</v>
      </c>
      <c r="E1807" s="187">
        <v>700</v>
      </c>
      <c r="F1807" s="187">
        <v>15000</v>
      </c>
      <c r="G1807" s="30">
        <f t="shared" si="1934"/>
        <v>2400</v>
      </c>
      <c r="H1807" s="8">
        <v>25000</v>
      </c>
      <c r="I1807" s="30">
        <f t="shared" si="1935"/>
        <v>5000</v>
      </c>
      <c r="J1807" s="187">
        <v>40000</v>
      </c>
      <c r="K1807" s="30">
        <f t="shared" si="1936"/>
        <v>5000</v>
      </c>
      <c r="L1807" s="187">
        <v>40000</v>
      </c>
      <c r="M1807" s="110">
        <v>9.5</v>
      </c>
      <c r="N1807" s="9">
        <f>VLOOKUP(DATE(YEAR(A1807),MONTH(A1807),DAY(A1807)),FY24_Temp[],3,FALSE)</f>
        <v>15.21</v>
      </c>
      <c r="O1807" s="110">
        <f t="shared" si="1922"/>
        <v>11.5</v>
      </c>
      <c r="P1807" s="110">
        <f t="shared" si="1923"/>
        <v>19.5</v>
      </c>
      <c r="Q1807" s="79">
        <f>VLOOKUP(VLOOKUP(DATEVALUE(TEXT(A1807,"m/d/yyyy")),FY24_Temp[],5,FALSE)&amp;TEXT(A1807,"-h"),TempDelta[],4,FALSE)</f>
        <v>2.3638571671077182</v>
      </c>
      <c r="R1807">
        <v>10</v>
      </c>
      <c r="S1807" s="112">
        <v>1500</v>
      </c>
      <c r="T1807" s="5">
        <f>VLOOKUP(TEXT(A1807,"yy-mm")&amp;"-"&amp;IF(AND(WEEKDAY(A1807)&gt;1,WEEKDAY(A1807)&lt;7),"Wkd",TEXT(A1807,"Ddd"))&amp;"-"&amp;TEXT(A1807,"hh"),LoadTable[],3,FALSE)*0.92</f>
        <v>289.05894152419745</v>
      </c>
      <c r="U1807" s="113">
        <f t="shared" si="1924"/>
        <v>28.905894152419744</v>
      </c>
      <c r="V1807">
        <f t="shared" ref="V1807:W1807" si="1940">V1783</f>
        <v>3</v>
      </c>
      <c r="W1807">
        <f t="shared" si="1940"/>
        <v>3.1</v>
      </c>
      <c r="X1807" s="9">
        <v>-16.3024572666666</v>
      </c>
      <c r="Y1807" s="39"/>
    </row>
    <row r="1808" spans="1:25" ht="15" thickBot="1">
      <c r="A1808" s="149">
        <f t="shared" si="1906"/>
        <v>45911.208333330935</v>
      </c>
      <c r="B1808" s="30">
        <f t="shared" si="1933"/>
        <v>5000</v>
      </c>
      <c r="C1808" s="8">
        <v>25000</v>
      </c>
      <c r="D1808" s="187">
        <v>0</v>
      </c>
      <c r="E1808" s="187">
        <v>700</v>
      </c>
      <c r="F1808" s="187">
        <v>15000</v>
      </c>
      <c r="G1808" s="30">
        <f t="shared" si="1934"/>
        <v>2400</v>
      </c>
      <c r="H1808" s="8">
        <v>25000</v>
      </c>
      <c r="I1808" s="30">
        <f t="shared" si="1935"/>
        <v>5000</v>
      </c>
      <c r="J1808" s="187">
        <v>40000</v>
      </c>
      <c r="K1808" s="30">
        <f t="shared" si="1936"/>
        <v>5000</v>
      </c>
      <c r="L1808" s="187">
        <v>40000</v>
      </c>
      <c r="M1808" s="110">
        <v>9.5</v>
      </c>
      <c r="N1808" s="9">
        <f>VLOOKUP(DATE(YEAR(A1808),MONTH(A1808),DAY(A1808)),FY24_Temp[],3,FALSE)</f>
        <v>15.21</v>
      </c>
      <c r="O1808" s="110">
        <f t="shared" si="1922"/>
        <v>11.5</v>
      </c>
      <c r="P1808" s="110">
        <f t="shared" si="1923"/>
        <v>19.5</v>
      </c>
      <c r="Q1808" s="79">
        <f>VLOOKUP(VLOOKUP(DATEVALUE(TEXT(A1808,"m/d/yyyy")),FY24_Temp[],5,FALSE)&amp;TEXT(A1808,"-h"),TempDelta[],4,FALSE)</f>
        <v>2.4734285558973039</v>
      </c>
      <c r="R1808">
        <v>10</v>
      </c>
      <c r="S1808" s="112">
        <v>1500</v>
      </c>
      <c r="T1808" s="5">
        <f>VLOOKUP(TEXT(A1808,"yy-mm")&amp;"-"&amp;IF(AND(WEEKDAY(A1808)&gt;1,WEEKDAY(A1808)&lt;7),"Wkd",TEXT(A1808,"Ddd"))&amp;"-"&amp;TEXT(A1808,"hh"),LoadTable[],3,FALSE)*0.92</f>
        <v>289.05894152419745</v>
      </c>
      <c r="U1808" s="113">
        <f t="shared" si="1924"/>
        <v>28.905894152419744</v>
      </c>
      <c r="V1808">
        <f t="shared" ref="V1808:W1808" si="1941">V1784</f>
        <v>2.9</v>
      </c>
      <c r="W1808">
        <f t="shared" si="1941"/>
        <v>3.1</v>
      </c>
      <c r="X1808" s="9">
        <v>-16.3802518166666</v>
      </c>
      <c r="Y1808" s="39"/>
    </row>
    <row r="1809" spans="1:25" ht="15" thickBot="1">
      <c r="A1809" s="149">
        <f t="shared" si="1906"/>
        <v>45911.249999997599</v>
      </c>
      <c r="B1809" s="30">
        <f t="shared" si="1933"/>
        <v>8000</v>
      </c>
      <c r="C1809" s="8">
        <v>25000</v>
      </c>
      <c r="D1809" s="187">
        <v>0</v>
      </c>
      <c r="E1809" s="187">
        <v>700</v>
      </c>
      <c r="F1809" s="187">
        <v>15000</v>
      </c>
      <c r="G1809" s="30">
        <f t="shared" si="1934"/>
        <v>2400</v>
      </c>
      <c r="H1809" s="8">
        <v>25000</v>
      </c>
      <c r="I1809" s="30">
        <f t="shared" si="1935"/>
        <v>8000</v>
      </c>
      <c r="J1809" s="187">
        <v>40000</v>
      </c>
      <c r="K1809" s="30">
        <f t="shared" si="1936"/>
        <v>8000</v>
      </c>
      <c r="L1809" s="187">
        <v>40000</v>
      </c>
      <c r="M1809" s="110">
        <v>9.5</v>
      </c>
      <c r="N1809" s="9">
        <f>VLOOKUP(DATE(YEAR(A1809),MONTH(A1809),DAY(A1809)),FY24_Temp[],3,FALSE)</f>
        <v>15.21</v>
      </c>
      <c r="O1809" s="110">
        <f t="shared" si="1922"/>
        <v>11.5</v>
      </c>
      <c r="P1809" s="110">
        <f t="shared" si="1923"/>
        <v>19.5</v>
      </c>
      <c r="Q1809" s="79">
        <f>VLOOKUP(VLOOKUP(DATEVALUE(TEXT(A1809,"m/d/yyyy")),FY24_Temp[],5,FALSE)&amp;TEXT(A1809,"-h"),TempDelta[],4,FALSE)</f>
        <v>2.4392857210976735</v>
      </c>
      <c r="R1809">
        <v>10</v>
      </c>
      <c r="S1809" s="112">
        <v>1500</v>
      </c>
      <c r="T1809" s="5">
        <f>VLOOKUP(TEXT(A1809,"yy-mm")&amp;"-"&amp;IF(AND(WEEKDAY(A1809)&gt;1,WEEKDAY(A1809)&lt;7),"Wkd",TEXT(A1809,"Ddd"))&amp;"-"&amp;TEXT(A1809,"hh"),LoadTable[],3,FALSE)*0.92</f>
        <v>291.12479999999999</v>
      </c>
      <c r="U1809" s="113">
        <f t="shared" si="1924"/>
        <v>29.112479999999998</v>
      </c>
      <c r="V1809">
        <f t="shared" ref="V1809:W1809" si="1942">V1785</f>
        <v>2.5</v>
      </c>
      <c r="W1809">
        <f t="shared" si="1942"/>
        <v>3.1</v>
      </c>
      <c r="X1809" s="9">
        <v>-16.458046366666601</v>
      </c>
      <c r="Y1809" s="39"/>
    </row>
    <row r="1810" spans="1:25" ht="15" thickBot="1">
      <c r="A1810" s="149">
        <f t="shared" si="1906"/>
        <v>45911.291666664263</v>
      </c>
      <c r="B1810" s="30">
        <f t="shared" si="1933"/>
        <v>8000</v>
      </c>
      <c r="C1810" s="8">
        <v>25000</v>
      </c>
      <c r="D1810" s="187">
        <v>0</v>
      </c>
      <c r="E1810" s="187">
        <v>700</v>
      </c>
      <c r="F1810" s="187">
        <v>15000</v>
      </c>
      <c r="G1810" s="30">
        <f t="shared" si="1934"/>
        <v>2400</v>
      </c>
      <c r="H1810" s="8">
        <v>25000</v>
      </c>
      <c r="I1810" s="30">
        <f t="shared" si="1935"/>
        <v>8000</v>
      </c>
      <c r="J1810" s="187">
        <v>40000</v>
      </c>
      <c r="K1810" s="30">
        <f t="shared" si="1936"/>
        <v>8000</v>
      </c>
      <c r="L1810" s="187">
        <v>40000</v>
      </c>
      <c r="M1810" s="110">
        <v>9.5</v>
      </c>
      <c r="N1810" s="9">
        <f>VLOOKUP(DATE(YEAR(A1810),MONTH(A1810),DAY(A1810)),FY24_Temp[],3,FALSE)</f>
        <v>15.21</v>
      </c>
      <c r="O1810" s="110">
        <f t="shared" si="1922"/>
        <v>11.5</v>
      </c>
      <c r="P1810" s="110">
        <f t="shared" si="1923"/>
        <v>19.5</v>
      </c>
      <c r="Q1810" s="79">
        <f>VLOOKUP(VLOOKUP(DATEVALUE(TEXT(A1810,"m/d/yyyy")),FY24_Temp[],5,FALSE)&amp;TEXT(A1810,"-h"),TempDelta[],4,FALSE)</f>
        <v>2.3079999514988492</v>
      </c>
      <c r="R1810">
        <v>10</v>
      </c>
      <c r="S1810" s="112">
        <v>1500</v>
      </c>
      <c r="T1810" s="5">
        <f>VLOOKUP(TEXT(A1810,"yy-mm")&amp;"-"&amp;IF(AND(WEEKDAY(A1810)&gt;1,WEEKDAY(A1810)&lt;7),"Wkd",TEXT(A1810,"Ddd"))&amp;"-"&amp;TEXT(A1810,"hh"),LoadTable[],3,FALSE)*0.92</f>
        <v>291.12479999999999</v>
      </c>
      <c r="U1810" s="113">
        <f t="shared" si="1924"/>
        <v>29.112479999999998</v>
      </c>
      <c r="V1810">
        <f t="shared" ref="V1810:W1810" si="1943">V1786</f>
        <v>2.5</v>
      </c>
      <c r="W1810">
        <f t="shared" si="1943"/>
        <v>3.1</v>
      </c>
      <c r="X1810" s="9">
        <v>-16.535840916666601</v>
      </c>
      <c r="Y1810" s="39"/>
    </row>
    <row r="1811" spans="1:25" ht="15" thickBot="1">
      <c r="A1811" s="149">
        <f t="shared" si="1906"/>
        <v>45911.333333330927</v>
      </c>
      <c r="B1811" s="30">
        <f t="shared" si="1933"/>
        <v>8000</v>
      </c>
      <c r="C1811" s="8">
        <v>25000</v>
      </c>
      <c r="D1811" s="187">
        <v>0</v>
      </c>
      <c r="E1811" s="187">
        <v>700</v>
      </c>
      <c r="F1811" s="187">
        <v>15000</v>
      </c>
      <c r="G1811" s="30">
        <f t="shared" si="1934"/>
        <v>2400</v>
      </c>
      <c r="H1811" s="8">
        <v>25000</v>
      </c>
      <c r="I1811" s="30">
        <f t="shared" si="1935"/>
        <v>8000</v>
      </c>
      <c r="J1811" s="187">
        <v>40000</v>
      </c>
      <c r="K1811" s="30">
        <f t="shared" si="1936"/>
        <v>8000</v>
      </c>
      <c r="L1811" s="187">
        <v>40000</v>
      </c>
      <c r="M1811" s="110">
        <v>9.5</v>
      </c>
      <c r="N1811" s="9">
        <f>VLOOKUP(DATE(YEAR(A1811),MONTH(A1811),DAY(A1811)),FY24_Temp[],3,FALSE)</f>
        <v>15.21</v>
      </c>
      <c r="O1811" s="110">
        <f t="shared" si="1922"/>
        <v>11.5</v>
      </c>
      <c r="P1811" s="110">
        <f t="shared" si="1923"/>
        <v>19.5</v>
      </c>
      <c r="Q1811" s="79">
        <f>VLOOKUP(VLOOKUP(DATEVALUE(TEXT(A1811,"m/d/yyyy")),FY24_Temp[],5,FALSE)&amp;TEXT(A1811,"-h"),TempDelta[],4,FALSE)</f>
        <v>2.1418571812765941</v>
      </c>
      <c r="R1811">
        <v>10</v>
      </c>
      <c r="S1811" s="112">
        <v>1500</v>
      </c>
      <c r="T1811" s="5">
        <f>VLOOKUP(TEXT(A1811,"yy-mm")&amp;"-"&amp;IF(AND(WEEKDAY(A1811)&gt;1,WEEKDAY(A1811)&lt;7),"Wkd",TEXT(A1811,"Ddd"))&amp;"-"&amp;TEXT(A1811,"hh"),LoadTable[],3,FALSE)*0.92</f>
        <v>291.12479999999999</v>
      </c>
      <c r="U1811" s="113">
        <f t="shared" si="1924"/>
        <v>29.112479999999998</v>
      </c>
      <c r="V1811">
        <f t="shared" ref="V1811:W1811" si="1944">V1787</f>
        <v>3.2</v>
      </c>
      <c r="W1811">
        <f t="shared" si="1944"/>
        <v>3</v>
      </c>
      <c r="X1811" s="9">
        <v>-16.613635466666601</v>
      </c>
      <c r="Y1811" s="39"/>
    </row>
    <row r="1812" spans="1:25" ht="15" thickBot="1">
      <c r="A1812" s="149">
        <f t="shared" si="1906"/>
        <v>45911.374999997592</v>
      </c>
      <c r="B1812" s="30">
        <f t="shared" si="1933"/>
        <v>8000</v>
      </c>
      <c r="C1812" s="8">
        <v>25000</v>
      </c>
      <c r="D1812" s="187">
        <v>0</v>
      </c>
      <c r="E1812" s="187">
        <v>700</v>
      </c>
      <c r="F1812" s="187">
        <v>15000</v>
      </c>
      <c r="G1812" s="30">
        <f t="shared" si="1934"/>
        <v>2400</v>
      </c>
      <c r="H1812" s="8">
        <v>25000</v>
      </c>
      <c r="I1812" s="30">
        <f t="shared" si="1935"/>
        <v>8000</v>
      </c>
      <c r="J1812" s="187">
        <v>40000</v>
      </c>
      <c r="K1812" s="30">
        <f t="shared" si="1936"/>
        <v>8000</v>
      </c>
      <c r="L1812" s="187">
        <v>40000</v>
      </c>
      <c r="M1812" s="110">
        <v>9.5</v>
      </c>
      <c r="N1812" s="9">
        <f>VLOOKUP(DATE(YEAR(A1812),MONTH(A1812),DAY(A1812)),FY24_Temp[],3,FALSE)</f>
        <v>15.21</v>
      </c>
      <c r="O1812" s="110">
        <f t="shared" si="1922"/>
        <v>11.5</v>
      </c>
      <c r="P1812" s="110">
        <f t="shared" si="1923"/>
        <v>19.5</v>
      </c>
      <c r="Q1812" s="79">
        <f>VLOOKUP(VLOOKUP(DATEVALUE(TEXT(A1812,"m/d/yyyy")),FY24_Temp[],5,FALSE)&amp;TEXT(A1812,"-h"),TempDelta[],4,FALSE)</f>
        <v>1.9845714058194841</v>
      </c>
      <c r="R1812">
        <v>10</v>
      </c>
      <c r="S1812" s="112">
        <v>1500</v>
      </c>
      <c r="T1812" s="5">
        <f>VLOOKUP(TEXT(A1812,"yy-mm")&amp;"-"&amp;IF(AND(WEEKDAY(A1812)&gt;1,WEEKDAY(A1812)&lt;7),"Wkd",TEXT(A1812,"Ddd"))&amp;"-"&amp;TEXT(A1812,"hh"),LoadTable[],3,FALSE)*0.92</f>
        <v>291.12479999999999</v>
      </c>
      <c r="U1812" s="113">
        <f t="shared" si="1924"/>
        <v>29.112479999999998</v>
      </c>
      <c r="V1812">
        <f t="shared" ref="V1812:W1812" si="1945">V1788</f>
        <v>2.9</v>
      </c>
      <c r="W1812">
        <f t="shared" si="1945"/>
        <v>3</v>
      </c>
      <c r="X1812" s="9">
        <v>-16.691430016666601</v>
      </c>
      <c r="Y1812" s="39"/>
    </row>
    <row r="1813" spans="1:25" ht="15" thickBot="1">
      <c r="A1813" s="149">
        <f t="shared" si="1906"/>
        <v>45911.416666664256</v>
      </c>
      <c r="B1813" s="30">
        <f t="shared" si="1933"/>
        <v>8000</v>
      </c>
      <c r="C1813" s="8">
        <v>25000</v>
      </c>
      <c r="D1813" s="187">
        <v>0</v>
      </c>
      <c r="E1813" s="187">
        <v>700</v>
      </c>
      <c r="F1813" s="187">
        <v>15000</v>
      </c>
      <c r="G1813" s="30">
        <f t="shared" si="1934"/>
        <v>2400</v>
      </c>
      <c r="H1813" s="8">
        <v>25000</v>
      </c>
      <c r="I1813" s="30">
        <f t="shared" si="1935"/>
        <v>8000</v>
      </c>
      <c r="J1813" s="187">
        <v>40000</v>
      </c>
      <c r="K1813" s="30">
        <f t="shared" si="1936"/>
        <v>8000</v>
      </c>
      <c r="L1813" s="187">
        <v>40000</v>
      </c>
      <c r="M1813" s="110">
        <v>9.5</v>
      </c>
      <c r="N1813" s="9">
        <f>VLOOKUP(DATE(YEAR(A1813),MONTH(A1813),DAY(A1813)),FY24_Temp[],3,FALSE)</f>
        <v>15.21</v>
      </c>
      <c r="O1813" s="110">
        <f t="shared" si="1922"/>
        <v>11.5</v>
      </c>
      <c r="P1813" s="110">
        <f t="shared" si="1923"/>
        <v>19.5</v>
      </c>
      <c r="Q1813" s="79">
        <f>VLOOKUP(VLOOKUP(DATEVALUE(TEXT(A1813,"m/d/yyyy")),FY24_Temp[],5,FALSE)&amp;TEXT(A1813,"-h"),TempDelta[],4,FALSE)</f>
        <v>1.8231428350721086</v>
      </c>
      <c r="R1813">
        <v>10</v>
      </c>
      <c r="S1813" s="112">
        <v>1500</v>
      </c>
      <c r="T1813" s="5">
        <f>VLOOKUP(TEXT(A1813,"yy-mm")&amp;"-"&amp;IF(AND(WEEKDAY(A1813)&gt;1,WEEKDAY(A1813)&lt;7),"Wkd",TEXT(A1813,"Ddd"))&amp;"-"&amp;TEXT(A1813,"hh"),LoadTable[],3,FALSE)*0.92</f>
        <v>290.74956158350585</v>
      </c>
      <c r="U1813" s="113">
        <f t="shared" si="1924"/>
        <v>29.074956158350584</v>
      </c>
      <c r="V1813">
        <f t="shared" ref="V1813:W1813" si="1946">V1789</f>
        <v>2.9</v>
      </c>
      <c r="W1813">
        <f t="shared" si="1946"/>
        <v>3</v>
      </c>
      <c r="X1813" s="9">
        <v>-16.769224566666601</v>
      </c>
      <c r="Y1813" s="39"/>
    </row>
    <row r="1814" spans="1:25" ht="15" thickBot="1">
      <c r="A1814" s="149">
        <f t="shared" si="1906"/>
        <v>45911.45833333092</v>
      </c>
      <c r="B1814" s="30">
        <f t="shared" si="1933"/>
        <v>8000</v>
      </c>
      <c r="C1814" s="8">
        <v>25000</v>
      </c>
      <c r="D1814" s="187">
        <v>0</v>
      </c>
      <c r="E1814" s="187">
        <v>700</v>
      </c>
      <c r="F1814" s="187">
        <v>15000</v>
      </c>
      <c r="G1814" s="30">
        <f t="shared" si="1934"/>
        <v>2400</v>
      </c>
      <c r="H1814" s="8">
        <v>25000</v>
      </c>
      <c r="I1814" s="30">
        <f t="shared" si="1935"/>
        <v>8000</v>
      </c>
      <c r="J1814" s="187">
        <v>40000</v>
      </c>
      <c r="K1814" s="30">
        <f t="shared" si="1936"/>
        <v>8000</v>
      </c>
      <c r="L1814" s="187">
        <v>40000</v>
      </c>
      <c r="M1814" s="110">
        <v>9.5</v>
      </c>
      <c r="N1814" s="9">
        <f>VLOOKUP(DATE(YEAR(A1814),MONTH(A1814),DAY(A1814)),FY24_Temp[],3,FALSE)</f>
        <v>15.21</v>
      </c>
      <c r="O1814" s="110">
        <f t="shared" si="1922"/>
        <v>11.5</v>
      </c>
      <c r="P1814" s="110">
        <f t="shared" si="1923"/>
        <v>19.5</v>
      </c>
      <c r="Q1814" s="79">
        <f>VLOOKUP(VLOOKUP(DATEVALUE(TEXT(A1814,"m/d/yyyy")),FY24_Temp[],5,FALSE)&amp;TEXT(A1814,"-h"),TempDelta[],4,FALSE)</f>
        <v>1.6317142759050642</v>
      </c>
      <c r="R1814">
        <v>10</v>
      </c>
      <c r="S1814" s="112">
        <v>1500</v>
      </c>
      <c r="T1814" s="5">
        <f>VLOOKUP(TEXT(A1814,"yy-mm")&amp;"-"&amp;IF(AND(WEEKDAY(A1814)&gt;1,WEEKDAY(A1814)&lt;7),"Wkd",TEXT(A1814,"Ddd"))&amp;"-"&amp;TEXT(A1814,"hh"),LoadTable[],3,FALSE)*0.92</f>
        <v>290.74956158350585</v>
      </c>
      <c r="U1814" s="113">
        <f t="shared" si="1924"/>
        <v>29.074956158350584</v>
      </c>
      <c r="V1814">
        <f t="shared" ref="V1814:W1814" si="1947">V1790</f>
        <v>3.4</v>
      </c>
      <c r="W1814">
        <f t="shared" si="1947"/>
        <v>3</v>
      </c>
      <c r="X1814" s="9">
        <v>-16.847019116666601</v>
      </c>
      <c r="Y1814" s="39"/>
    </row>
    <row r="1815" spans="1:25" ht="15" thickBot="1">
      <c r="A1815" s="149">
        <f t="shared" si="1906"/>
        <v>45911.499999997584</v>
      </c>
      <c r="B1815" s="30">
        <f t="shared" si="1933"/>
        <v>8000</v>
      </c>
      <c r="C1815" s="8">
        <v>25000</v>
      </c>
      <c r="D1815" s="187">
        <v>0</v>
      </c>
      <c r="E1815" s="187">
        <v>700</v>
      </c>
      <c r="F1815" s="187">
        <v>15000</v>
      </c>
      <c r="G1815" s="30">
        <f t="shared" si="1934"/>
        <v>2400</v>
      </c>
      <c r="H1815" s="8">
        <v>25000</v>
      </c>
      <c r="I1815" s="30">
        <f t="shared" si="1935"/>
        <v>8000</v>
      </c>
      <c r="J1815" s="187">
        <v>40000</v>
      </c>
      <c r="K1815" s="30">
        <f t="shared" si="1936"/>
        <v>8000</v>
      </c>
      <c r="L1815" s="187">
        <v>40000</v>
      </c>
      <c r="M1815" s="110">
        <v>9.5</v>
      </c>
      <c r="N1815" s="9">
        <f>VLOOKUP(DATE(YEAR(A1815),MONTH(A1815),DAY(A1815)),FY24_Temp[],3,FALSE)</f>
        <v>15.21</v>
      </c>
      <c r="O1815" s="110">
        <f t="shared" si="1922"/>
        <v>11.5</v>
      </c>
      <c r="P1815" s="110">
        <f t="shared" si="1923"/>
        <v>19.5</v>
      </c>
      <c r="Q1815" s="79">
        <f>VLOOKUP(VLOOKUP(DATEVALUE(TEXT(A1815,"m/d/yyyy")),FY24_Temp[],5,FALSE)&amp;TEXT(A1815,"-h"),TempDelta[],4,FALSE)</f>
        <v>1.4472857202802385</v>
      </c>
      <c r="R1815">
        <v>10</v>
      </c>
      <c r="S1815" s="112">
        <v>1500</v>
      </c>
      <c r="T1815" s="5">
        <f>VLOOKUP(TEXT(A1815,"yy-mm")&amp;"-"&amp;IF(AND(WEEKDAY(A1815)&gt;1,WEEKDAY(A1815)&lt;7),"Wkd",TEXT(A1815,"Ddd"))&amp;"-"&amp;TEXT(A1815,"hh"),LoadTable[],3,FALSE)*0.92</f>
        <v>290.74956158350585</v>
      </c>
      <c r="U1815" s="113">
        <f t="shared" si="1924"/>
        <v>29.074956158350584</v>
      </c>
      <c r="V1815">
        <f t="shared" ref="V1815:W1815" si="1948">V1791</f>
        <v>3.1</v>
      </c>
      <c r="W1815">
        <f t="shared" si="1948"/>
        <v>2.9</v>
      </c>
      <c r="X1815" s="9">
        <v>-16.924813666666601</v>
      </c>
      <c r="Y1815" s="39"/>
    </row>
    <row r="1816" spans="1:25" ht="15" thickBot="1">
      <c r="A1816" s="149">
        <f t="shared" si="1906"/>
        <v>45911.541666664249</v>
      </c>
      <c r="B1816" s="30">
        <f t="shared" si="1933"/>
        <v>8000</v>
      </c>
      <c r="C1816" s="8">
        <v>25000</v>
      </c>
      <c r="D1816" s="187">
        <v>0</v>
      </c>
      <c r="E1816" s="187">
        <v>700</v>
      </c>
      <c r="F1816" s="187">
        <v>15000</v>
      </c>
      <c r="G1816" s="30">
        <f t="shared" si="1934"/>
        <v>2400</v>
      </c>
      <c r="H1816" s="8">
        <v>25000</v>
      </c>
      <c r="I1816" s="30">
        <f t="shared" si="1935"/>
        <v>8000</v>
      </c>
      <c r="J1816" s="187">
        <v>40000</v>
      </c>
      <c r="K1816" s="30">
        <f t="shared" si="1936"/>
        <v>8000</v>
      </c>
      <c r="L1816" s="187">
        <v>40000</v>
      </c>
      <c r="M1816" s="110">
        <v>9.5</v>
      </c>
      <c r="N1816" s="9">
        <f>VLOOKUP(DATE(YEAR(A1816),MONTH(A1816),DAY(A1816)),FY24_Temp[],3,FALSE)</f>
        <v>15.21</v>
      </c>
      <c r="O1816" s="110">
        <f t="shared" si="1922"/>
        <v>11.5</v>
      </c>
      <c r="P1816" s="110">
        <f t="shared" si="1923"/>
        <v>19.5</v>
      </c>
      <c r="Q1816" s="79">
        <f>VLOOKUP(VLOOKUP(DATEVALUE(TEXT(A1816,"m/d/yyyy")),FY24_Temp[],5,FALSE)&amp;TEXT(A1816,"-h"),TempDelta[],4,FALSE)</f>
        <v>1.2702857085636683</v>
      </c>
      <c r="R1816">
        <v>10</v>
      </c>
      <c r="S1816" s="112">
        <v>1500</v>
      </c>
      <c r="T1816" s="5">
        <f>VLOOKUP(TEXT(A1816,"yy-mm")&amp;"-"&amp;IF(AND(WEEKDAY(A1816)&gt;1,WEEKDAY(A1816)&lt;7),"Wkd",TEXT(A1816,"Ddd"))&amp;"-"&amp;TEXT(A1816,"hh"),LoadTable[],3,FALSE)*0.92</f>
        <v>290.72204920255348</v>
      </c>
      <c r="U1816" s="113">
        <f t="shared" si="1924"/>
        <v>29.072204920255349</v>
      </c>
      <c r="V1816">
        <f t="shared" ref="V1816:W1816" si="1949">V1792</f>
        <v>3.2</v>
      </c>
      <c r="W1816">
        <f t="shared" si="1949"/>
        <v>2.9</v>
      </c>
      <c r="X1816" s="9">
        <v>-17.002608216666601</v>
      </c>
      <c r="Y1816" s="39"/>
    </row>
    <row r="1817" spans="1:25" ht="15" thickBot="1">
      <c r="A1817" s="149">
        <f t="shared" si="1906"/>
        <v>45911.583333330913</v>
      </c>
      <c r="B1817" s="30">
        <f t="shared" si="1933"/>
        <v>8000</v>
      </c>
      <c r="C1817" s="8">
        <v>25000</v>
      </c>
      <c r="D1817" s="187">
        <v>0</v>
      </c>
      <c r="E1817" s="187">
        <v>700</v>
      </c>
      <c r="F1817" s="187">
        <v>15000</v>
      </c>
      <c r="G1817" s="30">
        <f t="shared" si="1934"/>
        <v>2400</v>
      </c>
      <c r="H1817" s="8">
        <v>25000</v>
      </c>
      <c r="I1817" s="30">
        <f t="shared" si="1935"/>
        <v>8000</v>
      </c>
      <c r="J1817" s="187">
        <v>40000</v>
      </c>
      <c r="K1817" s="30">
        <f t="shared" si="1936"/>
        <v>8000</v>
      </c>
      <c r="L1817" s="187">
        <v>40000</v>
      </c>
      <c r="M1817" s="110">
        <v>9.5</v>
      </c>
      <c r="N1817" s="9">
        <f>VLOOKUP(DATE(YEAR(A1817),MONTH(A1817),DAY(A1817)),FY24_Temp[],3,FALSE)</f>
        <v>15.21</v>
      </c>
      <c r="O1817" s="110">
        <f t="shared" si="1922"/>
        <v>11.5</v>
      </c>
      <c r="P1817" s="110">
        <f t="shared" si="1923"/>
        <v>19.5</v>
      </c>
      <c r="Q1817" s="79">
        <f>VLOOKUP(VLOOKUP(DATEVALUE(TEXT(A1817,"m/d/yyyy")),FY24_Temp[],5,FALSE)&amp;TEXT(A1817,"-h"),TempDelta[],4,FALSE)</f>
        <v>1.1090000016348702</v>
      </c>
      <c r="R1817">
        <v>10</v>
      </c>
      <c r="S1817" s="112">
        <v>1500</v>
      </c>
      <c r="T1817" s="5">
        <f>VLOOKUP(TEXT(A1817,"yy-mm")&amp;"-"&amp;IF(AND(WEEKDAY(A1817)&gt;1,WEEKDAY(A1817)&lt;7),"Wkd",TEXT(A1817,"Ddd"))&amp;"-"&amp;TEXT(A1817,"hh"),LoadTable[],3,FALSE)*0.92</f>
        <v>363.28132000000005</v>
      </c>
      <c r="U1817" s="113">
        <f t="shared" si="1924"/>
        <v>36.328132000000004</v>
      </c>
      <c r="V1817">
        <f t="shared" ref="V1817:W1817" si="1950">V1793</f>
        <v>3.5</v>
      </c>
      <c r="W1817">
        <f t="shared" si="1950"/>
        <v>2.9</v>
      </c>
      <c r="X1817" s="9">
        <v>-17.080402766666602</v>
      </c>
      <c r="Y1817" s="39"/>
    </row>
    <row r="1818" spans="1:25" ht="15" thickBot="1">
      <c r="A1818" s="149">
        <f t="shared" si="1906"/>
        <v>45911.624999997577</v>
      </c>
      <c r="B1818" s="30">
        <f t="shared" si="1933"/>
        <v>8000</v>
      </c>
      <c r="C1818" s="8">
        <v>25000</v>
      </c>
      <c r="D1818" s="187">
        <v>0</v>
      </c>
      <c r="E1818" s="187">
        <v>700</v>
      </c>
      <c r="F1818" s="187">
        <v>15000</v>
      </c>
      <c r="G1818" s="30">
        <f t="shared" si="1934"/>
        <v>2400</v>
      </c>
      <c r="H1818" s="8">
        <v>25000</v>
      </c>
      <c r="I1818" s="30">
        <f t="shared" si="1935"/>
        <v>8000</v>
      </c>
      <c r="J1818" s="187">
        <v>40000</v>
      </c>
      <c r="K1818" s="30">
        <f t="shared" si="1936"/>
        <v>8000</v>
      </c>
      <c r="L1818" s="187">
        <v>40000</v>
      </c>
      <c r="M1818" s="110">
        <v>9.5</v>
      </c>
      <c r="N1818" s="9">
        <f>VLOOKUP(DATE(YEAR(A1818),MONTH(A1818),DAY(A1818)),FY24_Temp[],3,FALSE)</f>
        <v>15.21</v>
      </c>
      <c r="O1818" s="110">
        <f t="shared" si="1922"/>
        <v>11.5</v>
      </c>
      <c r="P1818" s="110">
        <f t="shared" si="1923"/>
        <v>19.5</v>
      </c>
      <c r="Q1818" s="79">
        <f>VLOOKUP(VLOOKUP(DATEVALUE(TEXT(A1818,"m/d/yyyy")),FY24_Temp[],5,FALSE)&amp;TEXT(A1818,"-h"),TempDelta[],4,FALSE)</f>
        <v>0.62785714651857105</v>
      </c>
      <c r="R1818">
        <v>10</v>
      </c>
      <c r="S1818" s="112">
        <v>1500</v>
      </c>
      <c r="T1818" s="5">
        <f>VLOOKUP(TEXT(A1818,"yy-mm")&amp;"-"&amp;IF(AND(WEEKDAY(A1818)&gt;1,WEEKDAY(A1818)&lt;7),"Wkd",TEXT(A1818,"Ddd"))&amp;"-"&amp;TEXT(A1818,"hh"),LoadTable[],3,FALSE)*0.92</f>
        <v>570.3300004440199</v>
      </c>
      <c r="U1818" s="113">
        <f t="shared" si="1924"/>
        <v>57.033000044401987</v>
      </c>
      <c r="V1818">
        <f t="shared" ref="V1818:W1818" si="1951">V1794</f>
        <v>3.2</v>
      </c>
      <c r="W1818">
        <f t="shared" si="1951"/>
        <v>2.9</v>
      </c>
      <c r="X1818" s="9">
        <v>-17.158197316666602</v>
      </c>
      <c r="Y1818" s="39"/>
    </row>
    <row r="1819" spans="1:25" ht="15" thickBot="1">
      <c r="A1819" s="149">
        <f t="shared" si="1906"/>
        <v>45911.666666664241</v>
      </c>
      <c r="B1819" s="30">
        <f t="shared" si="1933"/>
        <v>8000</v>
      </c>
      <c r="C1819" s="8">
        <v>25000</v>
      </c>
      <c r="D1819" s="187">
        <v>0</v>
      </c>
      <c r="E1819" s="187">
        <v>700</v>
      </c>
      <c r="F1819" s="187">
        <v>15000</v>
      </c>
      <c r="G1819" s="30">
        <f t="shared" si="1934"/>
        <v>2400</v>
      </c>
      <c r="H1819" s="8">
        <v>25000</v>
      </c>
      <c r="I1819" s="30">
        <f t="shared" si="1935"/>
        <v>8000</v>
      </c>
      <c r="J1819" s="187">
        <v>40000</v>
      </c>
      <c r="K1819" s="30">
        <f t="shared" si="1936"/>
        <v>8000</v>
      </c>
      <c r="L1819" s="187">
        <v>40000</v>
      </c>
      <c r="M1819" s="110">
        <v>9.5</v>
      </c>
      <c r="N1819" s="9">
        <f>VLOOKUP(DATE(YEAR(A1819),MONTH(A1819),DAY(A1819)),FY24_Temp[],3,FALSE)</f>
        <v>15.21</v>
      </c>
      <c r="O1819" s="110">
        <f t="shared" si="1922"/>
        <v>11.5</v>
      </c>
      <c r="P1819" s="110">
        <f t="shared" si="1923"/>
        <v>19.5</v>
      </c>
      <c r="Q1819" s="79">
        <f>VLOOKUP(VLOOKUP(DATEVALUE(TEXT(A1819,"m/d/yyyy")),FY24_Temp[],5,FALSE)&amp;TEXT(A1819,"-h"),TempDelta[],4,FALSE)</f>
        <v>0.70735713200909756</v>
      </c>
      <c r="R1819">
        <v>10</v>
      </c>
      <c r="S1819" s="112">
        <v>1500</v>
      </c>
      <c r="T1819" s="5">
        <f>VLOOKUP(TEXT(A1819,"yy-mm")&amp;"-"&amp;IF(AND(WEEKDAY(A1819)&gt;1,WEEKDAY(A1819)&lt;7),"Wkd",TEXT(A1819,"Ddd"))&amp;"-"&amp;TEXT(A1819,"hh"),LoadTable[],3,FALSE)*0.92</f>
        <v>602.16876690131596</v>
      </c>
      <c r="U1819" s="113">
        <f t="shared" si="1924"/>
        <v>60.216876690131599</v>
      </c>
      <c r="V1819">
        <f t="shared" ref="V1819:W1819" si="1952">V1795</f>
        <v>3.5</v>
      </c>
      <c r="W1819">
        <f t="shared" si="1952"/>
        <v>3</v>
      </c>
      <c r="X1819" s="9">
        <v>-17.235991866666598</v>
      </c>
      <c r="Y1819" s="39"/>
    </row>
    <row r="1820" spans="1:25" ht="15" thickBot="1">
      <c r="A1820" s="149">
        <f t="shared" si="1906"/>
        <v>45911.708333330906</v>
      </c>
      <c r="B1820" s="30">
        <f t="shared" si="1933"/>
        <v>8000</v>
      </c>
      <c r="C1820" s="8">
        <v>25000</v>
      </c>
      <c r="D1820" s="187">
        <v>0</v>
      </c>
      <c r="E1820" s="187">
        <v>700</v>
      </c>
      <c r="F1820" s="187">
        <v>15000</v>
      </c>
      <c r="G1820" s="30">
        <f t="shared" si="1934"/>
        <v>2400</v>
      </c>
      <c r="H1820" s="8">
        <v>25000</v>
      </c>
      <c r="I1820" s="30">
        <f t="shared" si="1935"/>
        <v>8000</v>
      </c>
      <c r="J1820" s="187">
        <v>40000</v>
      </c>
      <c r="K1820" s="30">
        <f t="shared" si="1936"/>
        <v>8000</v>
      </c>
      <c r="L1820" s="187">
        <v>40000</v>
      </c>
      <c r="M1820" s="110">
        <v>9.5</v>
      </c>
      <c r="N1820" s="9">
        <f>VLOOKUP(DATE(YEAR(A1820),MONTH(A1820),DAY(A1820)),FY24_Temp[],3,FALSE)</f>
        <v>15.21</v>
      </c>
      <c r="O1820" s="110">
        <f t="shared" si="1922"/>
        <v>11.5</v>
      </c>
      <c r="P1820" s="110">
        <f t="shared" si="1923"/>
        <v>19.5</v>
      </c>
      <c r="Q1820" s="79">
        <f>VLOOKUP(VLOOKUP(DATEVALUE(TEXT(A1820,"m/d/yyyy")),FY24_Temp[],5,FALSE)&amp;TEXT(A1820,"-h"),TempDelta[],4,FALSE)</f>
        <v>0.97692857256957466</v>
      </c>
      <c r="R1820">
        <v>10</v>
      </c>
      <c r="S1820" s="112">
        <v>1500</v>
      </c>
      <c r="T1820" s="5">
        <f>VLOOKUP(TEXT(A1820,"yy-mm")&amp;"-"&amp;IF(AND(WEEKDAY(A1820)&gt;1,WEEKDAY(A1820)&lt;7),"Wkd",TEXT(A1820,"Ddd"))&amp;"-"&amp;TEXT(A1820,"hh"),LoadTable[],3,FALSE)*0.92</f>
        <v>602.16876690131596</v>
      </c>
      <c r="U1820" s="113">
        <f t="shared" si="1924"/>
        <v>60.216876690131599</v>
      </c>
      <c r="V1820">
        <f t="shared" ref="V1820:W1820" si="1953">V1796</f>
        <v>3.6</v>
      </c>
      <c r="W1820">
        <f t="shared" si="1953"/>
        <v>3</v>
      </c>
      <c r="X1820" s="9">
        <v>-17.313786416666598</v>
      </c>
      <c r="Y1820" s="39"/>
    </row>
    <row r="1821" spans="1:25" ht="15" thickBot="1">
      <c r="A1821" s="149">
        <f t="shared" si="1906"/>
        <v>45911.74999999757</v>
      </c>
      <c r="B1821" s="30">
        <f t="shared" si="1933"/>
        <v>5000</v>
      </c>
      <c r="C1821" s="8">
        <v>25000</v>
      </c>
      <c r="D1821" s="187">
        <v>0</v>
      </c>
      <c r="E1821" s="187">
        <v>700</v>
      </c>
      <c r="F1821" s="187">
        <v>15000</v>
      </c>
      <c r="G1821" s="30">
        <f t="shared" si="1934"/>
        <v>2400</v>
      </c>
      <c r="H1821" s="8">
        <v>25000</v>
      </c>
      <c r="I1821" s="30">
        <f t="shared" si="1935"/>
        <v>5000</v>
      </c>
      <c r="J1821" s="187">
        <v>40000</v>
      </c>
      <c r="K1821" s="30">
        <f t="shared" si="1936"/>
        <v>5000</v>
      </c>
      <c r="L1821" s="187">
        <v>40000</v>
      </c>
      <c r="M1821" s="110">
        <v>9.5</v>
      </c>
      <c r="N1821" s="9">
        <f>VLOOKUP(DATE(YEAR(A1821),MONTH(A1821),DAY(A1821)),FY24_Temp[],3,FALSE)</f>
        <v>15.21</v>
      </c>
      <c r="O1821" s="110">
        <f t="shared" si="1922"/>
        <v>11.5</v>
      </c>
      <c r="P1821" s="110">
        <f t="shared" si="1923"/>
        <v>19.5</v>
      </c>
      <c r="Q1821" s="79">
        <f>VLOOKUP(VLOOKUP(DATEVALUE(TEXT(A1821,"m/d/yyyy")),FY24_Temp[],5,FALSE)&amp;TEXT(A1821,"-h"),TempDelta[],4,FALSE)</f>
        <v>1.2994285779339927</v>
      </c>
      <c r="R1821">
        <v>10</v>
      </c>
      <c r="S1821" s="112">
        <v>1500</v>
      </c>
      <c r="T1821" s="5">
        <f>VLOOKUP(TEXT(A1821,"yy-mm")&amp;"-"&amp;IF(AND(WEEKDAY(A1821)&gt;1,WEEKDAY(A1821)&lt;7),"Wkd",TEXT(A1821,"Ddd"))&amp;"-"&amp;TEXT(A1821,"hh"),LoadTable[],3,FALSE)*0.92</f>
        <v>602.16876690131596</v>
      </c>
      <c r="U1821" s="113">
        <f t="shared" si="1924"/>
        <v>60.216876690131599</v>
      </c>
      <c r="V1821">
        <f t="shared" ref="V1821:W1821" si="1954">V1797</f>
        <v>2.9</v>
      </c>
      <c r="W1821">
        <f t="shared" si="1954"/>
        <v>3</v>
      </c>
      <c r="X1821" s="9">
        <v>-17.391580966666599</v>
      </c>
      <c r="Y1821" s="39"/>
    </row>
    <row r="1822" spans="1:25" ht="15" thickBot="1">
      <c r="A1822" s="149">
        <f t="shared" si="1906"/>
        <v>45911.791666664234</v>
      </c>
      <c r="B1822" s="30">
        <f t="shared" si="1933"/>
        <v>5000</v>
      </c>
      <c r="C1822" s="8">
        <v>25000</v>
      </c>
      <c r="D1822" s="187">
        <v>0</v>
      </c>
      <c r="E1822" s="187">
        <v>700</v>
      </c>
      <c r="F1822" s="187">
        <v>15000</v>
      </c>
      <c r="G1822" s="30">
        <f t="shared" si="1934"/>
        <v>2400</v>
      </c>
      <c r="H1822" s="8">
        <v>25000</v>
      </c>
      <c r="I1822" s="30">
        <f t="shared" si="1935"/>
        <v>5000</v>
      </c>
      <c r="J1822" s="187">
        <v>40000</v>
      </c>
      <c r="K1822" s="30">
        <f t="shared" si="1936"/>
        <v>5000</v>
      </c>
      <c r="L1822" s="187">
        <v>40000</v>
      </c>
      <c r="M1822" s="110">
        <v>9.5</v>
      </c>
      <c r="N1822" s="9">
        <f>VLOOKUP(DATE(YEAR(A1822),MONTH(A1822),DAY(A1822)),FY24_Temp[],3,FALSE)</f>
        <v>15.21</v>
      </c>
      <c r="O1822" s="110">
        <f t="shared" si="1922"/>
        <v>11.5</v>
      </c>
      <c r="P1822" s="110">
        <f t="shared" si="1923"/>
        <v>19.5</v>
      </c>
      <c r="Q1822" s="79">
        <f>VLOOKUP(VLOOKUP(DATEVALUE(TEXT(A1822,"m/d/yyyy")),FY24_Temp[],5,FALSE)&amp;TEXT(A1822,"-h"),TempDelta[],4,FALSE)</f>
        <v>1.4374285723481859</v>
      </c>
      <c r="R1822">
        <v>10</v>
      </c>
      <c r="S1822" s="112">
        <v>1500</v>
      </c>
      <c r="T1822" s="5">
        <f>VLOOKUP(TEXT(A1822,"yy-mm")&amp;"-"&amp;IF(AND(WEEKDAY(A1822)&gt;1,WEEKDAY(A1822)&lt;7),"Wkd",TEXT(A1822,"Ddd"))&amp;"-"&amp;TEXT(A1822,"hh"),LoadTable[],3,FALSE)*0.92</f>
        <v>600.14662419619219</v>
      </c>
      <c r="U1822" s="113">
        <f t="shared" si="1924"/>
        <v>60.014662419619221</v>
      </c>
      <c r="V1822">
        <f t="shared" ref="V1822:W1822" si="1955">V1798</f>
        <v>3</v>
      </c>
      <c r="W1822">
        <f t="shared" si="1955"/>
        <v>3</v>
      </c>
      <c r="X1822" s="9">
        <v>-17.469375516666599</v>
      </c>
      <c r="Y1822" s="39"/>
    </row>
    <row r="1823" spans="1:25" ht="15" thickBot="1">
      <c r="A1823" s="149">
        <f t="shared" si="1906"/>
        <v>45911.833333330898</v>
      </c>
      <c r="B1823" s="30">
        <f t="shared" si="1933"/>
        <v>5000</v>
      </c>
      <c r="C1823" s="8">
        <v>25000</v>
      </c>
      <c r="D1823" s="187">
        <v>0</v>
      </c>
      <c r="E1823" s="187">
        <v>700</v>
      </c>
      <c r="F1823" s="187">
        <v>15000</v>
      </c>
      <c r="G1823" s="30">
        <f t="shared" si="1934"/>
        <v>2400</v>
      </c>
      <c r="H1823" s="8">
        <v>25000</v>
      </c>
      <c r="I1823" s="30">
        <f t="shared" si="1935"/>
        <v>5000</v>
      </c>
      <c r="J1823" s="187">
        <v>40000</v>
      </c>
      <c r="K1823" s="30">
        <f t="shared" si="1936"/>
        <v>5000</v>
      </c>
      <c r="L1823" s="187">
        <v>40000</v>
      </c>
      <c r="M1823" s="110">
        <v>9.5</v>
      </c>
      <c r="N1823" s="9">
        <f>VLOOKUP(DATE(YEAR(A1823),MONTH(A1823),DAY(A1823)),FY24_Temp[],3,FALSE)</f>
        <v>15.21</v>
      </c>
      <c r="O1823" s="110">
        <f t="shared" si="1922"/>
        <v>11.5</v>
      </c>
      <c r="P1823" s="110">
        <f t="shared" si="1923"/>
        <v>19.5</v>
      </c>
      <c r="Q1823" s="79">
        <f>VLOOKUP(VLOOKUP(DATEVALUE(TEXT(A1823,"m/d/yyyy")),FY24_Temp[],5,FALSE)&amp;TEXT(A1823,"-h"),TempDelta[],4,FALSE)</f>
        <v>1.5300714543887548</v>
      </c>
      <c r="R1823">
        <v>10</v>
      </c>
      <c r="S1823" s="112">
        <v>1500</v>
      </c>
      <c r="T1823" s="5">
        <f>VLOOKUP(TEXT(A1823,"yy-mm")&amp;"-"&amp;IF(AND(WEEKDAY(A1823)&gt;1,WEEKDAY(A1823)&lt;7),"Wkd",TEXT(A1823,"Ddd"))&amp;"-"&amp;TEXT(A1823,"hh"),LoadTable[],3,FALSE)*0.92</f>
        <v>600.14662419619219</v>
      </c>
      <c r="U1823" s="113">
        <f t="shared" si="1924"/>
        <v>60.014662419619221</v>
      </c>
      <c r="V1823">
        <f t="shared" ref="V1823:W1823" si="1956">V1799</f>
        <v>2.8</v>
      </c>
      <c r="W1823">
        <f t="shared" si="1956"/>
        <v>3.1</v>
      </c>
      <c r="X1823" s="9">
        <v>-17.547170066666599</v>
      </c>
      <c r="Y1823" s="39"/>
    </row>
    <row r="1824" spans="1:25" ht="15" thickBot="1">
      <c r="A1824" s="149">
        <f t="shared" si="1906"/>
        <v>45911.874999997563</v>
      </c>
      <c r="B1824" s="30">
        <f t="shared" si="1933"/>
        <v>5000</v>
      </c>
      <c r="C1824" s="8">
        <v>25000</v>
      </c>
      <c r="D1824" s="187">
        <v>0</v>
      </c>
      <c r="E1824" s="187">
        <v>700</v>
      </c>
      <c r="F1824" s="187">
        <v>15000</v>
      </c>
      <c r="G1824" s="30">
        <f t="shared" si="1934"/>
        <v>2400</v>
      </c>
      <c r="H1824" s="8">
        <v>25000</v>
      </c>
      <c r="I1824" s="30">
        <f t="shared" si="1935"/>
        <v>5000</v>
      </c>
      <c r="J1824" s="187">
        <v>40000</v>
      </c>
      <c r="K1824" s="30">
        <f t="shared" si="1936"/>
        <v>5000</v>
      </c>
      <c r="L1824" s="187">
        <v>40000</v>
      </c>
      <c r="M1824" s="110">
        <v>9.5</v>
      </c>
      <c r="N1824" s="9">
        <f>VLOOKUP(DATE(YEAR(A1824),MONTH(A1824),DAY(A1824)),FY24_Temp[],3,FALSE)</f>
        <v>15.21</v>
      </c>
      <c r="O1824" s="110">
        <f t="shared" si="1922"/>
        <v>11.5</v>
      </c>
      <c r="P1824" s="110">
        <f t="shared" si="1923"/>
        <v>19.5</v>
      </c>
      <c r="Q1824" s="79">
        <f>VLOOKUP(VLOOKUP(DATEVALUE(TEXT(A1824,"m/d/yyyy")),FY24_Temp[],5,FALSE)&amp;TEXT(A1824,"-h"),TempDelta[],4,FALSE)</f>
        <v>1.5475714121546065</v>
      </c>
      <c r="R1824">
        <v>10</v>
      </c>
      <c r="S1824" s="112">
        <v>1500</v>
      </c>
      <c r="T1824" s="5">
        <f>VLOOKUP(TEXT(A1824,"yy-mm")&amp;"-"&amp;IF(AND(WEEKDAY(A1824)&gt;1,WEEKDAY(A1824)&lt;7),"Wkd",TEXT(A1824,"Ddd"))&amp;"-"&amp;TEXT(A1824,"hh"),LoadTable[],3,FALSE)*0.92</f>
        <v>523.94879142973434</v>
      </c>
      <c r="U1824" s="113">
        <f t="shared" si="1924"/>
        <v>52.394879142973437</v>
      </c>
      <c r="V1824">
        <f t="shared" ref="V1824:W1824" si="1957">V1800</f>
        <v>3.5</v>
      </c>
      <c r="W1824">
        <f t="shared" si="1957"/>
        <v>3.1</v>
      </c>
      <c r="X1824" s="9">
        <v>-17.624964616666599</v>
      </c>
      <c r="Y1824" s="39"/>
    </row>
    <row r="1825" spans="1:25" ht="15" thickBot="1">
      <c r="A1825" s="149">
        <f t="shared" si="1906"/>
        <v>45911.916666664227</v>
      </c>
      <c r="B1825" s="30">
        <f t="shared" si="1933"/>
        <v>5000</v>
      </c>
      <c r="C1825" s="8">
        <v>25000</v>
      </c>
      <c r="D1825" s="187">
        <v>0</v>
      </c>
      <c r="E1825" s="187">
        <v>700</v>
      </c>
      <c r="F1825" s="187">
        <v>15000</v>
      </c>
      <c r="G1825" s="30">
        <f t="shared" si="1934"/>
        <v>2400</v>
      </c>
      <c r="H1825" s="8">
        <v>25000</v>
      </c>
      <c r="I1825" s="30">
        <f t="shared" si="1935"/>
        <v>5000</v>
      </c>
      <c r="J1825" s="187">
        <v>40000</v>
      </c>
      <c r="K1825" s="30">
        <f t="shared" si="1936"/>
        <v>5000</v>
      </c>
      <c r="L1825" s="187">
        <v>40000</v>
      </c>
      <c r="M1825" s="110">
        <v>9.5</v>
      </c>
      <c r="N1825" s="9">
        <f>VLOOKUP(DATE(YEAR(A1825),MONTH(A1825),DAY(A1825)),FY24_Temp[],3,FALSE)</f>
        <v>15.21</v>
      </c>
      <c r="O1825" s="110">
        <f t="shared" si="1922"/>
        <v>11.5</v>
      </c>
      <c r="P1825" s="110">
        <f t="shared" si="1923"/>
        <v>19.5</v>
      </c>
      <c r="Q1825" s="79">
        <f>VLOOKUP(VLOOKUP(DATEVALUE(TEXT(A1825,"m/d/yyyy")),FY24_Temp[],5,FALSE)&amp;TEXT(A1825,"-h"),TempDelta[],4,FALSE)</f>
        <v>2.0112857137407576</v>
      </c>
      <c r="R1825">
        <v>10</v>
      </c>
      <c r="S1825" s="112">
        <v>1500</v>
      </c>
      <c r="T1825" s="5">
        <f>VLOOKUP(TEXT(A1825,"yy-mm")&amp;"-"&amp;IF(AND(WEEKDAY(A1825)&gt;1,WEEKDAY(A1825)&lt;7),"Wkd",TEXT(A1825,"Ddd"))&amp;"-"&amp;TEXT(A1825,"hh"),LoadTable[],3,FALSE)*0.92</f>
        <v>421.91858468239752</v>
      </c>
      <c r="U1825" s="113">
        <f t="shared" si="1924"/>
        <v>42.191858468239751</v>
      </c>
      <c r="V1825">
        <f t="shared" ref="V1825:W1825" si="1958">V1801</f>
        <v>2.9</v>
      </c>
      <c r="W1825">
        <f t="shared" si="1958"/>
        <v>3.1</v>
      </c>
      <c r="X1825" s="9">
        <v>-17.702759166666599</v>
      </c>
      <c r="Y1825" s="39"/>
    </row>
    <row r="1826" spans="1:25" ht="15" thickBot="1">
      <c r="A1826" s="149">
        <f t="shared" si="1906"/>
        <v>45911.958333330891</v>
      </c>
      <c r="B1826" s="30">
        <f t="shared" si="1933"/>
        <v>5000</v>
      </c>
      <c r="C1826" s="41">
        <v>25000</v>
      </c>
      <c r="D1826" s="187">
        <v>0</v>
      </c>
      <c r="E1826" s="187">
        <v>700</v>
      </c>
      <c r="F1826" s="187">
        <v>15000</v>
      </c>
      <c r="G1826" s="30">
        <f t="shared" si="1934"/>
        <v>2400</v>
      </c>
      <c r="H1826" s="8">
        <v>25000</v>
      </c>
      <c r="I1826" s="30">
        <f t="shared" si="1935"/>
        <v>5000</v>
      </c>
      <c r="J1826" s="187">
        <v>40000</v>
      </c>
      <c r="K1826" s="30">
        <f t="shared" si="1936"/>
        <v>5000</v>
      </c>
      <c r="L1826" s="187">
        <v>40000</v>
      </c>
      <c r="M1826" s="110">
        <v>9.5</v>
      </c>
      <c r="N1826" s="9">
        <f>VLOOKUP(DATE(YEAR(A1826),MONTH(A1826),DAY(A1826)),FY24_Temp[],3,FALSE)</f>
        <v>15.21</v>
      </c>
      <c r="O1826" s="110">
        <f t="shared" si="1922"/>
        <v>11.5</v>
      </c>
      <c r="P1826" s="110">
        <f t="shared" si="1923"/>
        <v>19.5</v>
      </c>
      <c r="Q1826" s="79">
        <f>VLOOKUP(VLOOKUP(DATEVALUE(TEXT(A1826,"m/d/yyyy")),FY24_Temp[],5,FALSE)&amp;TEXT(A1826,"-h"),TempDelta[],4,FALSE)</f>
        <v>2.1388571432658603</v>
      </c>
      <c r="R1826">
        <v>10</v>
      </c>
      <c r="S1826" s="112">
        <v>1500</v>
      </c>
      <c r="T1826" s="5">
        <f>VLOOKUP(TEXT(A1826,"yy-mm")&amp;"-"&amp;IF(AND(WEEKDAY(A1826)&gt;1,WEEKDAY(A1826)&lt;7),"Wkd",TEXT(A1826,"Ddd"))&amp;"-"&amp;TEXT(A1826,"hh"),LoadTable[],3,FALSE)*0.92</f>
        <v>289.33527113913209</v>
      </c>
      <c r="U1826" s="113">
        <f t="shared" si="1924"/>
        <v>28.933527113913208</v>
      </c>
      <c r="V1826">
        <f t="shared" ref="V1826:W1826" si="1959">V1802</f>
        <v>3.6</v>
      </c>
      <c r="W1826">
        <f t="shared" si="1959"/>
        <v>3.1</v>
      </c>
      <c r="X1826" s="9">
        <v>-17.780553716666599</v>
      </c>
      <c r="Y1826" s="39"/>
    </row>
    <row r="1827" spans="1:25" ht="15" thickBot="1">
      <c r="A1827" s="148">
        <f t="shared" si="1906"/>
        <v>45911.999999997555</v>
      </c>
      <c r="B1827" s="116">
        <f t="shared" si="1933"/>
        <v>5000</v>
      </c>
      <c r="C1827" s="8">
        <v>25000</v>
      </c>
      <c r="D1827" s="187">
        <v>0</v>
      </c>
      <c r="E1827" s="187">
        <v>700</v>
      </c>
      <c r="F1827" s="187">
        <v>15000</v>
      </c>
      <c r="G1827" s="109">
        <f t="shared" si="1934"/>
        <v>2400</v>
      </c>
      <c r="H1827" s="109">
        <v>25000</v>
      </c>
      <c r="I1827" s="30">
        <f t="shared" si="1935"/>
        <v>5000</v>
      </c>
      <c r="J1827" s="187">
        <v>40000</v>
      </c>
      <c r="K1827" s="109">
        <f t="shared" si="1936"/>
        <v>5000</v>
      </c>
      <c r="L1827" s="187">
        <v>40000</v>
      </c>
      <c r="M1827" s="110">
        <v>9.5</v>
      </c>
      <c r="N1827" s="110">
        <f>VLOOKUP(DATE(YEAR(A1827),MONTH(A1827),DAY(A1827)),FY24_Temp[],3,FALSE)</f>
        <v>15.21</v>
      </c>
      <c r="O1827" s="110">
        <f t="shared" si="1922"/>
        <v>11.5</v>
      </c>
      <c r="P1827" s="110">
        <f t="shared" si="1923"/>
        <v>19.5</v>
      </c>
      <c r="Q1827" s="111">
        <f>VLOOKUP(VLOOKUP(DATEVALUE(TEXT(A1827,"m/d/yyyy")),FY24_Temp[],5,FALSE)&amp;TEXT(A1827,"-h"),TempDelta[],4,FALSE)</f>
        <v>2.2215714454650879</v>
      </c>
      <c r="R1827" s="112">
        <v>10</v>
      </c>
      <c r="S1827" s="112">
        <v>1500</v>
      </c>
      <c r="T1827" s="99">
        <f>VLOOKUP(TEXT(A1827,"yy-mm")&amp;"-"&amp;IF(AND(WEEKDAY(A1827)&gt;1,WEEKDAY(A1827)&lt;7),"Wkd",TEXT(A1827,"Ddd"))&amp;"-"&amp;TEXT(A1827,"hh"),LoadTable[],3,FALSE)*0.92</f>
        <v>289.0624787084426</v>
      </c>
      <c r="U1827" s="113">
        <f t="shared" si="1924"/>
        <v>28.906247870844261</v>
      </c>
      <c r="V1827" s="112">
        <f t="shared" ref="V1827:W1827" si="1960">V1803</f>
        <v>3</v>
      </c>
      <c r="W1827" s="112">
        <f t="shared" si="1960"/>
        <v>3.2</v>
      </c>
      <c r="X1827" s="114">
        <v>-17.858348266666599</v>
      </c>
      <c r="Y1827" s="39"/>
    </row>
    <row r="1828" spans="1:25" ht="15" thickBot="1">
      <c r="A1828" s="149">
        <f t="shared" si="1906"/>
        <v>45912.04166666422</v>
      </c>
      <c r="B1828" s="30">
        <f t="shared" si="1933"/>
        <v>5000</v>
      </c>
      <c r="C1828" s="42">
        <v>25000</v>
      </c>
      <c r="D1828" s="187">
        <v>0</v>
      </c>
      <c r="E1828" s="187">
        <v>700</v>
      </c>
      <c r="F1828" s="187">
        <v>15000</v>
      </c>
      <c r="G1828" s="30">
        <f t="shared" si="1934"/>
        <v>2400</v>
      </c>
      <c r="H1828" s="8">
        <v>25000</v>
      </c>
      <c r="I1828" s="30">
        <f t="shared" si="1935"/>
        <v>5000</v>
      </c>
      <c r="J1828" s="187">
        <v>40000</v>
      </c>
      <c r="K1828" s="30">
        <f t="shared" si="1936"/>
        <v>5000</v>
      </c>
      <c r="L1828" s="187">
        <v>40000</v>
      </c>
      <c r="M1828" s="110">
        <v>9.5</v>
      </c>
      <c r="N1828" s="9">
        <f>VLOOKUP(DATE(YEAR(A1828),MONTH(A1828),DAY(A1828)),FY24_Temp[],3,FALSE)</f>
        <v>15.21</v>
      </c>
      <c r="O1828" s="110">
        <f t="shared" si="1922"/>
        <v>11.5</v>
      </c>
      <c r="P1828" s="110">
        <f t="shared" si="1923"/>
        <v>19.5</v>
      </c>
      <c r="Q1828" s="79">
        <f>VLOOKUP(VLOOKUP(DATEVALUE(TEXT(A1828,"m/d/yyyy")),FY24_Temp[],5,FALSE)&amp;TEXT(A1828,"-h"),TempDelta[],4,FALSE)</f>
        <v>2.2935714381081715</v>
      </c>
      <c r="R1828">
        <v>10</v>
      </c>
      <c r="S1828" s="112">
        <v>1500</v>
      </c>
      <c r="T1828" s="5">
        <f>VLOOKUP(TEXT(A1828,"yy-mm")&amp;"-"&amp;IF(AND(WEEKDAY(A1828)&gt;1,WEEKDAY(A1828)&lt;7),"Wkd",TEXT(A1828,"Ddd"))&amp;"-"&amp;TEXT(A1828,"hh"),LoadTable[],3,FALSE)*0.92</f>
        <v>289.0624787084426</v>
      </c>
      <c r="U1828" s="113">
        <f t="shared" si="1924"/>
        <v>28.906247870844261</v>
      </c>
      <c r="V1828">
        <f t="shared" ref="V1828:W1828" si="1961">V1804</f>
        <v>2.6</v>
      </c>
      <c r="W1828">
        <f t="shared" si="1961"/>
        <v>3.2</v>
      </c>
      <c r="X1828" s="9">
        <v>-17.936142816666599</v>
      </c>
      <c r="Y1828" s="39"/>
    </row>
    <row r="1829" spans="1:25" ht="15" thickBot="1">
      <c r="A1829" s="149">
        <f t="shared" si="1906"/>
        <v>45912.083333330884</v>
      </c>
      <c r="B1829" s="30">
        <f t="shared" si="1933"/>
        <v>5000</v>
      </c>
      <c r="C1829" s="8">
        <v>25000</v>
      </c>
      <c r="D1829" s="187">
        <v>0</v>
      </c>
      <c r="E1829" s="187">
        <v>700</v>
      </c>
      <c r="F1829" s="187">
        <v>15000</v>
      </c>
      <c r="G1829" s="30">
        <f t="shared" si="1934"/>
        <v>2400</v>
      </c>
      <c r="H1829" s="8">
        <v>25000</v>
      </c>
      <c r="I1829" s="30">
        <f t="shared" si="1935"/>
        <v>5000</v>
      </c>
      <c r="J1829" s="187">
        <v>40000</v>
      </c>
      <c r="K1829" s="30">
        <f t="shared" si="1936"/>
        <v>5000</v>
      </c>
      <c r="L1829" s="187">
        <v>40000</v>
      </c>
      <c r="M1829" s="110">
        <v>9.5</v>
      </c>
      <c r="N1829" s="9">
        <f>VLOOKUP(DATE(YEAR(A1829),MONTH(A1829),DAY(A1829)),FY24_Temp[],3,FALSE)</f>
        <v>15.21</v>
      </c>
      <c r="O1829" s="110">
        <f t="shared" si="1922"/>
        <v>11.5</v>
      </c>
      <c r="P1829" s="110">
        <f t="shared" si="1923"/>
        <v>19.5</v>
      </c>
      <c r="Q1829" s="79">
        <f>VLOOKUP(VLOOKUP(DATEVALUE(TEXT(A1829,"m/d/yyyy")),FY24_Temp[],5,FALSE)&amp;TEXT(A1829,"-h"),TempDelta[],4,FALSE)</f>
        <v>2.3212857246398926</v>
      </c>
      <c r="R1829">
        <v>10</v>
      </c>
      <c r="S1829" s="112">
        <v>1500</v>
      </c>
      <c r="T1829" s="5">
        <f>VLOOKUP(TEXT(A1829,"yy-mm")&amp;"-"&amp;IF(AND(WEEKDAY(A1829)&gt;1,WEEKDAY(A1829)&lt;7),"Wkd",TEXT(A1829,"Ddd"))&amp;"-"&amp;TEXT(A1829,"hh"),LoadTable[],3,FALSE)*0.92</f>
        <v>289.0624787084426</v>
      </c>
      <c r="U1829" s="113">
        <f t="shared" si="1924"/>
        <v>28.906247870844261</v>
      </c>
      <c r="V1829">
        <f t="shared" ref="V1829:W1829" si="1962">V1805</f>
        <v>2.8</v>
      </c>
      <c r="W1829">
        <f t="shared" si="1962"/>
        <v>3.2</v>
      </c>
      <c r="X1829" s="9">
        <v>-18.0139373666666</v>
      </c>
      <c r="Y1829" s="39"/>
    </row>
    <row r="1830" spans="1:25" ht="15" thickBot="1">
      <c r="A1830" s="149">
        <f t="shared" si="1906"/>
        <v>45912.124999997548</v>
      </c>
      <c r="B1830" s="30">
        <f t="shared" si="1933"/>
        <v>5000</v>
      </c>
      <c r="C1830" s="8">
        <v>25000</v>
      </c>
      <c r="D1830" s="187">
        <v>0</v>
      </c>
      <c r="E1830" s="187">
        <v>700</v>
      </c>
      <c r="F1830" s="187">
        <v>15000</v>
      </c>
      <c r="G1830" s="30">
        <f t="shared" si="1934"/>
        <v>2400</v>
      </c>
      <c r="H1830" s="8">
        <v>25000</v>
      </c>
      <c r="I1830" s="30">
        <f t="shared" si="1935"/>
        <v>5000</v>
      </c>
      <c r="J1830" s="187">
        <v>40000</v>
      </c>
      <c r="K1830" s="30">
        <f t="shared" si="1936"/>
        <v>5000</v>
      </c>
      <c r="L1830" s="187">
        <v>40000</v>
      </c>
      <c r="M1830" s="110">
        <v>9.5</v>
      </c>
      <c r="N1830" s="9">
        <f>VLOOKUP(DATE(YEAR(A1830),MONTH(A1830),DAY(A1830)),FY24_Temp[],3,FALSE)</f>
        <v>15.21</v>
      </c>
      <c r="O1830" s="110">
        <f t="shared" si="1922"/>
        <v>11.5</v>
      </c>
      <c r="P1830" s="110">
        <f t="shared" si="1923"/>
        <v>19.5</v>
      </c>
      <c r="Q1830" s="79">
        <f>VLOOKUP(VLOOKUP(DATEVALUE(TEXT(A1830,"m/d/yyyy")),FY24_Temp[],5,FALSE)&amp;TEXT(A1830,"-h"),TempDelta[],4,FALSE)</f>
        <v>2.3239999498639787</v>
      </c>
      <c r="R1830">
        <v>10</v>
      </c>
      <c r="S1830" s="112">
        <v>1500</v>
      </c>
      <c r="T1830" s="5">
        <f>VLOOKUP(TEXT(A1830,"yy-mm")&amp;"-"&amp;IF(AND(WEEKDAY(A1830)&gt;1,WEEKDAY(A1830)&lt;7),"Wkd",TEXT(A1830,"Ddd"))&amp;"-"&amp;TEXT(A1830,"hh"),LoadTable[],3,FALSE)*0.92</f>
        <v>289.05894152419745</v>
      </c>
      <c r="U1830" s="113">
        <f t="shared" si="1924"/>
        <v>28.905894152419744</v>
      </c>
      <c r="V1830">
        <f t="shared" ref="V1830:W1830" si="1963">V1806</f>
        <v>2.7</v>
      </c>
      <c r="W1830">
        <f t="shared" si="1963"/>
        <v>3.2</v>
      </c>
      <c r="X1830" s="9">
        <v>-18.0917319166666</v>
      </c>
      <c r="Y1830" s="39"/>
    </row>
    <row r="1831" spans="1:25" ht="15" thickBot="1">
      <c r="A1831" s="149">
        <f t="shared" si="1906"/>
        <v>45912.166666664212</v>
      </c>
      <c r="B1831" s="30">
        <f t="shared" si="1933"/>
        <v>5000</v>
      </c>
      <c r="C1831" s="8">
        <v>25000</v>
      </c>
      <c r="D1831" s="187">
        <v>0</v>
      </c>
      <c r="E1831" s="187">
        <v>700</v>
      </c>
      <c r="F1831" s="187">
        <v>15000</v>
      </c>
      <c r="G1831" s="30">
        <f t="shared" si="1934"/>
        <v>2400</v>
      </c>
      <c r="H1831" s="8">
        <v>25000</v>
      </c>
      <c r="I1831" s="30">
        <f t="shared" si="1935"/>
        <v>5000</v>
      </c>
      <c r="J1831" s="187">
        <v>40000</v>
      </c>
      <c r="K1831" s="30">
        <f t="shared" si="1936"/>
        <v>5000</v>
      </c>
      <c r="L1831" s="187">
        <v>40000</v>
      </c>
      <c r="M1831" s="110">
        <v>9.5</v>
      </c>
      <c r="N1831" s="9">
        <f>VLOOKUP(DATE(YEAR(A1831),MONTH(A1831),DAY(A1831)),FY24_Temp[],3,FALSE)</f>
        <v>15.21</v>
      </c>
      <c r="O1831" s="110">
        <f t="shared" si="1922"/>
        <v>11.5</v>
      </c>
      <c r="P1831" s="110">
        <f t="shared" si="1923"/>
        <v>19.5</v>
      </c>
      <c r="Q1831" s="79">
        <f>VLOOKUP(VLOOKUP(DATEVALUE(TEXT(A1831,"m/d/yyyy")),FY24_Temp[],5,FALSE)&amp;TEXT(A1831,"-h"),TempDelta[],4,FALSE)</f>
        <v>2.3638571671077182</v>
      </c>
      <c r="R1831">
        <v>10</v>
      </c>
      <c r="S1831" s="112">
        <v>1500</v>
      </c>
      <c r="T1831" s="5">
        <f>VLOOKUP(TEXT(A1831,"yy-mm")&amp;"-"&amp;IF(AND(WEEKDAY(A1831)&gt;1,WEEKDAY(A1831)&lt;7),"Wkd",TEXT(A1831,"Ddd"))&amp;"-"&amp;TEXT(A1831,"hh"),LoadTable[],3,FALSE)*0.92</f>
        <v>289.05894152419745</v>
      </c>
      <c r="U1831" s="113">
        <f t="shared" si="1924"/>
        <v>28.905894152419744</v>
      </c>
      <c r="V1831">
        <f t="shared" ref="V1831:W1831" si="1964">V1807</f>
        <v>3</v>
      </c>
      <c r="W1831">
        <f t="shared" si="1964"/>
        <v>3.1</v>
      </c>
      <c r="X1831" s="9">
        <v>-18.1695264666666</v>
      </c>
      <c r="Y1831" s="39"/>
    </row>
    <row r="1832" spans="1:25" ht="15" thickBot="1">
      <c r="A1832" s="149">
        <f t="shared" si="1906"/>
        <v>45912.208333330876</v>
      </c>
      <c r="B1832" s="30">
        <f t="shared" si="1933"/>
        <v>5000</v>
      </c>
      <c r="C1832" s="8">
        <v>25000</v>
      </c>
      <c r="D1832" s="187">
        <v>0</v>
      </c>
      <c r="E1832" s="187">
        <v>700</v>
      </c>
      <c r="F1832" s="187">
        <v>15000</v>
      </c>
      <c r="G1832" s="30">
        <f t="shared" si="1934"/>
        <v>2400</v>
      </c>
      <c r="H1832" s="8">
        <v>25000</v>
      </c>
      <c r="I1832" s="30">
        <f t="shared" si="1935"/>
        <v>5000</v>
      </c>
      <c r="J1832" s="187">
        <v>40000</v>
      </c>
      <c r="K1832" s="30">
        <f t="shared" si="1936"/>
        <v>5000</v>
      </c>
      <c r="L1832" s="187">
        <v>40000</v>
      </c>
      <c r="M1832" s="110">
        <v>9.5</v>
      </c>
      <c r="N1832" s="9">
        <f>VLOOKUP(DATE(YEAR(A1832),MONTH(A1832),DAY(A1832)),FY24_Temp[],3,FALSE)</f>
        <v>15.21</v>
      </c>
      <c r="O1832" s="110">
        <f t="shared" si="1922"/>
        <v>11.5</v>
      </c>
      <c r="P1832" s="110">
        <f t="shared" si="1923"/>
        <v>19.5</v>
      </c>
      <c r="Q1832" s="79">
        <f>VLOOKUP(VLOOKUP(DATEVALUE(TEXT(A1832,"m/d/yyyy")),FY24_Temp[],5,FALSE)&amp;TEXT(A1832,"-h"),TempDelta[],4,FALSE)</f>
        <v>2.4734285558973039</v>
      </c>
      <c r="R1832">
        <v>10</v>
      </c>
      <c r="S1832" s="112">
        <v>1500</v>
      </c>
      <c r="T1832" s="5">
        <f>VLOOKUP(TEXT(A1832,"yy-mm")&amp;"-"&amp;IF(AND(WEEKDAY(A1832)&gt;1,WEEKDAY(A1832)&lt;7),"Wkd",TEXT(A1832,"Ddd"))&amp;"-"&amp;TEXT(A1832,"hh"),LoadTable[],3,FALSE)*0.92</f>
        <v>289.05894152419745</v>
      </c>
      <c r="U1832" s="113">
        <f t="shared" si="1924"/>
        <v>28.905894152419744</v>
      </c>
      <c r="V1832">
        <f t="shared" ref="V1832:W1832" si="1965">V1808</f>
        <v>2.9</v>
      </c>
      <c r="W1832">
        <f t="shared" si="1965"/>
        <v>3.1</v>
      </c>
      <c r="X1832" s="9">
        <v>-18.2473210166666</v>
      </c>
      <c r="Y1832" s="39"/>
    </row>
    <row r="1833" spans="1:25" ht="15" thickBot="1">
      <c r="A1833" s="149">
        <f t="shared" si="1906"/>
        <v>45912.249999997541</v>
      </c>
      <c r="B1833" s="30">
        <f t="shared" si="1933"/>
        <v>8000</v>
      </c>
      <c r="C1833" s="8">
        <v>25000</v>
      </c>
      <c r="D1833" s="187">
        <v>0</v>
      </c>
      <c r="E1833" s="187">
        <v>700</v>
      </c>
      <c r="F1833" s="187">
        <v>15000</v>
      </c>
      <c r="G1833" s="30">
        <f t="shared" si="1934"/>
        <v>2400</v>
      </c>
      <c r="H1833" s="8">
        <v>25000</v>
      </c>
      <c r="I1833" s="30">
        <f t="shared" si="1935"/>
        <v>8000</v>
      </c>
      <c r="J1833" s="187">
        <v>40000</v>
      </c>
      <c r="K1833" s="30">
        <f t="shared" si="1936"/>
        <v>8000</v>
      </c>
      <c r="L1833" s="187">
        <v>40000</v>
      </c>
      <c r="M1833" s="110">
        <v>9.5</v>
      </c>
      <c r="N1833" s="9">
        <f>VLOOKUP(DATE(YEAR(A1833),MONTH(A1833),DAY(A1833)),FY24_Temp[],3,FALSE)</f>
        <v>15.21</v>
      </c>
      <c r="O1833" s="110">
        <f t="shared" si="1922"/>
        <v>11.5</v>
      </c>
      <c r="P1833" s="110">
        <f t="shared" si="1923"/>
        <v>19.5</v>
      </c>
      <c r="Q1833" s="79">
        <f>VLOOKUP(VLOOKUP(DATEVALUE(TEXT(A1833,"m/d/yyyy")),FY24_Temp[],5,FALSE)&amp;TEXT(A1833,"-h"),TempDelta[],4,FALSE)</f>
        <v>2.4392857210976735</v>
      </c>
      <c r="R1833">
        <v>10</v>
      </c>
      <c r="S1833" s="112">
        <v>1500</v>
      </c>
      <c r="T1833" s="5">
        <f>VLOOKUP(TEXT(A1833,"yy-mm")&amp;"-"&amp;IF(AND(WEEKDAY(A1833)&gt;1,WEEKDAY(A1833)&lt;7),"Wkd",TEXT(A1833,"Ddd"))&amp;"-"&amp;TEXT(A1833,"hh"),LoadTable[],3,FALSE)*0.92</f>
        <v>291.12479999999999</v>
      </c>
      <c r="U1833" s="113">
        <f t="shared" si="1924"/>
        <v>29.112479999999998</v>
      </c>
      <c r="V1833">
        <f t="shared" ref="V1833:W1833" si="1966">V1809</f>
        <v>2.5</v>
      </c>
      <c r="W1833">
        <f t="shared" si="1966"/>
        <v>3.1</v>
      </c>
      <c r="X1833" s="9">
        <v>-18.3251155666666</v>
      </c>
      <c r="Y1833" s="39"/>
    </row>
    <row r="1834" spans="1:25" ht="15" thickBot="1">
      <c r="A1834" s="149">
        <f t="shared" si="1906"/>
        <v>45912.291666664205</v>
      </c>
      <c r="B1834" s="30">
        <f t="shared" si="1933"/>
        <v>8000</v>
      </c>
      <c r="C1834" s="8">
        <v>25000</v>
      </c>
      <c r="D1834" s="187">
        <v>0</v>
      </c>
      <c r="E1834" s="187">
        <v>700</v>
      </c>
      <c r="F1834" s="187">
        <v>15000</v>
      </c>
      <c r="G1834" s="30">
        <f t="shared" si="1934"/>
        <v>2400</v>
      </c>
      <c r="H1834" s="8">
        <v>25000</v>
      </c>
      <c r="I1834" s="30">
        <f t="shared" si="1935"/>
        <v>8000</v>
      </c>
      <c r="J1834" s="187">
        <v>40000</v>
      </c>
      <c r="K1834" s="30">
        <f t="shared" si="1936"/>
        <v>8000</v>
      </c>
      <c r="L1834" s="187">
        <v>40000</v>
      </c>
      <c r="M1834" s="110">
        <v>9.5</v>
      </c>
      <c r="N1834" s="9">
        <f>VLOOKUP(DATE(YEAR(A1834),MONTH(A1834),DAY(A1834)),FY24_Temp[],3,FALSE)</f>
        <v>15.21</v>
      </c>
      <c r="O1834" s="110">
        <f t="shared" si="1922"/>
        <v>11.5</v>
      </c>
      <c r="P1834" s="110">
        <f t="shared" si="1923"/>
        <v>19.5</v>
      </c>
      <c r="Q1834" s="79">
        <f>VLOOKUP(VLOOKUP(DATEVALUE(TEXT(A1834,"m/d/yyyy")),FY24_Temp[],5,FALSE)&amp;TEXT(A1834,"-h"),TempDelta[],4,FALSE)</f>
        <v>2.3079999514988492</v>
      </c>
      <c r="R1834">
        <v>10</v>
      </c>
      <c r="S1834" s="112">
        <v>1500</v>
      </c>
      <c r="T1834" s="5">
        <f>VLOOKUP(TEXT(A1834,"yy-mm")&amp;"-"&amp;IF(AND(WEEKDAY(A1834)&gt;1,WEEKDAY(A1834)&lt;7),"Wkd",TEXT(A1834,"Ddd"))&amp;"-"&amp;TEXT(A1834,"hh"),LoadTable[],3,FALSE)*0.92</f>
        <v>291.12479999999999</v>
      </c>
      <c r="U1834" s="113">
        <f t="shared" si="1924"/>
        <v>29.112479999999998</v>
      </c>
      <c r="V1834">
        <f t="shared" ref="V1834:W1834" si="1967">V1810</f>
        <v>2.5</v>
      </c>
      <c r="W1834">
        <f t="shared" si="1967"/>
        <v>3.1</v>
      </c>
      <c r="X1834" s="9">
        <v>-18.4029101166666</v>
      </c>
      <c r="Y1834" s="39"/>
    </row>
    <row r="1835" spans="1:25" ht="15" thickBot="1">
      <c r="A1835" s="149">
        <f t="shared" si="1906"/>
        <v>45912.333333330869</v>
      </c>
      <c r="B1835" s="30">
        <f t="shared" si="1933"/>
        <v>8000</v>
      </c>
      <c r="C1835" s="8">
        <v>25000</v>
      </c>
      <c r="D1835" s="187">
        <v>0</v>
      </c>
      <c r="E1835" s="187">
        <v>700</v>
      </c>
      <c r="F1835" s="187">
        <v>15000</v>
      </c>
      <c r="G1835" s="30">
        <f t="shared" si="1934"/>
        <v>2400</v>
      </c>
      <c r="H1835" s="8">
        <v>25000</v>
      </c>
      <c r="I1835" s="30">
        <f t="shared" si="1935"/>
        <v>8000</v>
      </c>
      <c r="J1835" s="187">
        <v>40000</v>
      </c>
      <c r="K1835" s="30">
        <f t="shared" si="1936"/>
        <v>8000</v>
      </c>
      <c r="L1835" s="187">
        <v>40000</v>
      </c>
      <c r="M1835" s="110">
        <v>9.5</v>
      </c>
      <c r="N1835" s="9">
        <f>VLOOKUP(DATE(YEAR(A1835),MONTH(A1835),DAY(A1835)),FY24_Temp[],3,FALSE)</f>
        <v>15.21</v>
      </c>
      <c r="O1835" s="110">
        <f t="shared" si="1922"/>
        <v>11.5</v>
      </c>
      <c r="P1835" s="110">
        <f t="shared" si="1923"/>
        <v>19.5</v>
      </c>
      <c r="Q1835" s="79">
        <f>VLOOKUP(VLOOKUP(DATEVALUE(TEXT(A1835,"m/d/yyyy")),FY24_Temp[],5,FALSE)&amp;TEXT(A1835,"-h"),TempDelta[],4,FALSE)</f>
        <v>2.1418571812765941</v>
      </c>
      <c r="R1835">
        <v>10</v>
      </c>
      <c r="S1835" s="112">
        <v>1500</v>
      </c>
      <c r="T1835" s="5">
        <f>VLOOKUP(TEXT(A1835,"yy-mm")&amp;"-"&amp;IF(AND(WEEKDAY(A1835)&gt;1,WEEKDAY(A1835)&lt;7),"Wkd",TEXT(A1835,"Ddd"))&amp;"-"&amp;TEXT(A1835,"hh"),LoadTable[],3,FALSE)*0.92</f>
        <v>291.12479999999999</v>
      </c>
      <c r="U1835" s="113">
        <f t="shared" si="1924"/>
        <v>29.112479999999998</v>
      </c>
      <c r="V1835">
        <f t="shared" ref="V1835:W1835" si="1968">V1811</f>
        <v>3.2</v>
      </c>
      <c r="W1835">
        <f t="shared" si="1968"/>
        <v>3</v>
      </c>
      <c r="X1835" s="9">
        <v>-18.4807046666666</v>
      </c>
      <c r="Y1835" s="39"/>
    </row>
    <row r="1836" spans="1:25" ht="15" thickBot="1">
      <c r="A1836" s="149">
        <f t="shared" si="1906"/>
        <v>45912.374999997533</v>
      </c>
      <c r="B1836" s="30">
        <f t="shared" si="1933"/>
        <v>8000</v>
      </c>
      <c r="C1836" s="8">
        <v>25000</v>
      </c>
      <c r="D1836" s="187">
        <v>0</v>
      </c>
      <c r="E1836" s="187">
        <v>700</v>
      </c>
      <c r="F1836" s="187">
        <v>15000</v>
      </c>
      <c r="G1836" s="30">
        <f t="shared" si="1934"/>
        <v>2400</v>
      </c>
      <c r="H1836" s="8">
        <v>25000</v>
      </c>
      <c r="I1836" s="30">
        <f t="shared" si="1935"/>
        <v>8000</v>
      </c>
      <c r="J1836" s="187">
        <v>40000</v>
      </c>
      <c r="K1836" s="30">
        <f t="shared" si="1936"/>
        <v>8000</v>
      </c>
      <c r="L1836" s="187">
        <v>40000</v>
      </c>
      <c r="M1836" s="110">
        <v>9.5</v>
      </c>
      <c r="N1836" s="9">
        <f>VLOOKUP(DATE(YEAR(A1836),MONTH(A1836),DAY(A1836)),FY24_Temp[],3,FALSE)</f>
        <v>15.21</v>
      </c>
      <c r="O1836" s="110">
        <f t="shared" si="1922"/>
        <v>11.5</v>
      </c>
      <c r="P1836" s="110">
        <f t="shared" si="1923"/>
        <v>19.5</v>
      </c>
      <c r="Q1836" s="79">
        <f>VLOOKUP(VLOOKUP(DATEVALUE(TEXT(A1836,"m/d/yyyy")),FY24_Temp[],5,FALSE)&amp;TEXT(A1836,"-h"),TempDelta[],4,FALSE)</f>
        <v>1.9845714058194841</v>
      </c>
      <c r="R1836">
        <v>10</v>
      </c>
      <c r="S1836" s="112">
        <v>1500</v>
      </c>
      <c r="T1836" s="5">
        <f>VLOOKUP(TEXT(A1836,"yy-mm")&amp;"-"&amp;IF(AND(WEEKDAY(A1836)&gt;1,WEEKDAY(A1836)&lt;7),"Wkd",TEXT(A1836,"Ddd"))&amp;"-"&amp;TEXT(A1836,"hh"),LoadTable[],3,FALSE)*0.92</f>
        <v>291.12479999999999</v>
      </c>
      <c r="U1836" s="113">
        <f t="shared" si="1924"/>
        <v>29.112479999999998</v>
      </c>
      <c r="V1836">
        <f t="shared" ref="V1836:W1836" si="1969">V1812</f>
        <v>2.9</v>
      </c>
      <c r="W1836">
        <f t="shared" si="1969"/>
        <v>3</v>
      </c>
      <c r="X1836" s="9">
        <v>-18.558499216666601</v>
      </c>
      <c r="Y1836" s="39"/>
    </row>
    <row r="1837" spans="1:25" ht="15" thickBot="1">
      <c r="A1837" s="149">
        <f t="shared" si="1906"/>
        <v>45912.416666664198</v>
      </c>
      <c r="B1837" s="30">
        <f t="shared" si="1933"/>
        <v>8000</v>
      </c>
      <c r="C1837" s="8">
        <v>25000</v>
      </c>
      <c r="D1837" s="187">
        <v>0</v>
      </c>
      <c r="E1837" s="187">
        <v>700</v>
      </c>
      <c r="F1837" s="187">
        <v>15000</v>
      </c>
      <c r="G1837" s="30">
        <f t="shared" si="1934"/>
        <v>2400</v>
      </c>
      <c r="H1837" s="8">
        <v>25000</v>
      </c>
      <c r="I1837" s="30">
        <f t="shared" si="1935"/>
        <v>8000</v>
      </c>
      <c r="J1837" s="187">
        <v>40000</v>
      </c>
      <c r="K1837" s="30">
        <f t="shared" si="1936"/>
        <v>8000</v>
      </c>
      <c r="L1837" s="187">
        <v>40000</v>
      </c>
      <c r="M1837" s="110">
        <v>9.5</v>
      </c>
      <c r="N1837" s="9">
        <f>VLOOKUP(DATE(YEAR(A1837),MONTH(A1837),DAY(A1837)),FY24_Temp[],3,FALSE)</f>
        <v>15.21</v>
      </c>
      <c r="O1837" s="110">
        <f t="shared" si="1922"/>
        <v>11.5</v>
      </c>
      <c r="P1837" s="110">
        <f t="shared" si="1923"/>
        <v>19.5</v>
      </c>
      <c r="Q1837" s="79">
        <f>VLOOKUP(VLOOKUP(DATEVALUE(TEXT(A1837,"m/d/yyyy")),FY24_Temp[],5,FALSE)&amp;TEXT(A1837,"-h"),TempDelta[],4,FALSE)</f>
        <v>1.8231428350721086</v>
      </c>
      <c r="R1837">
        <v>10</v>
      </c>
      <c r="S1837" s="112">
        <v>1500</v>
      </c>
      <c r="T1837" s="5">
        <f>VLOOKUP(TEXT(A1837,"yy-mm")&amp;"-"&amp;IF(AND(WEEKDAY(A1837)&gt;1,WEEKDAY(A1837)&lt;7),"Wkd",TEXT(A1837,"Ddd"))&amp;"-"&amp;TEXT(A1837,"hh"),LoadTable[],3,FALSE)*0.92</f>
        <v>290.74956158350585</v>
      </c>
      <c r="U1837" s="113">
        <f t="shared" si="1924"/>
        <v>29.074956158350584</v>
      </c>
      <c r="V1837">
        <f t="shared" ref="V1837:W1837" si="1970">V1813</f>
        <v>2.9</v>
      </c>
      <c r="W1837">
        <f t="shared" si="1970"/>
        <v>3</v>
      </c>
      <c r="X1837" s="9">
        <v>-18.636293766666601</v>
      </c>
      <c r="Y1837" s="39"/>
    </row>
    <row r="1838" spans="1:25" ht="15" thickBot="1">
      <c r="A1838" s="149">
        <f t="shared" si="1906"/>
        <v>45912.458333330862</v>
      </c>
      <c r="B1838" s="30">
        <f t="shared" si="1933"/>
        <v>8000</v>
      </c>
      <c r="C1838" s="8">
        <v>25000</v>
      </c>
      <c r="D1838" s="187">
        <v>0</v>
      </c>
      <c r="E1838" s="187">
        <v>700</v>
      </c>
      <c r="F1838" s="187">
        <v>15000</v>
      </c>
      <c r="G1838" s="30">
        <f t="shared" si="1934"/>
        <v>2400</v>
      </c>
      <c r="H1838" s="8">
        <v>25000</v>
      </c>
      <c r="I1838" s="30">
        <f t="shared" si="1935"/>
        <v>8000</v>
      </c>
      <c r="J1838" s="187">
        <v>40000</v>
      </c>
      <c r="K1838" s="30">
        <f t="shared" si="1936"/>
        <v>8000</v>
      </c>
      <c r="L1838" s="187">
        <v>40000</v>
      </c>
      <c r="M1838" s="110">
        <v>9.5</v>
      </c>
      <c r="N1838" s="9">
        <f>VLOOKUP(DATE(YEAR(A1838),MONTH(A1838),DAY(A1838)),FY24_Temp[],3,FALSE)</f>
        <v>15.21</v>
      </c>
      <c r="O1838" s="110">
        <f t="shared" si="1922"/>
        <v>11.5</v>
      </c>
      <c r="P1838" s="110">
        <f t="shared" si="1923"/>
        <v>19.5</v>
      </c>
      <c r="Q1838" s="79">
        <f>VLOOKUP(VLOOKUP(DATEVALUE(TEXT(A1838,"m/d/yyyy")),FY24_Temp[],5,FALSE)&amp;TEXT(A1838,"-h"),TempDelta[],4,FALSE)</f>
        <v>1.6317142759050642</v>
      </c>
      <c r="R1838">
        <v>10</v>
      </c>
      <c r="S1838" s="112">
        <v>1500</v>
      </c>
      <c r="T1838" s="5">
        <f>VLOOKUP(TEXT(A1838,"yy-mm")&amp;"-"&amp;IF(AND(WEEKDAY(A1838)&gt;1,WEEKDAY(A1838)&lt;7),"Wkd",TEXT(A1838,"Ddd"))&amp;"-"&amp;TEXT(A1838,"hh"),LoadTable[],3,FALSE)*0.92</f>
        <v>290.74956158350585</v>
      </c>
      <c r="U1838" s="113">
        <f t="shared" si="1924"/>
        <v>29.074956158350584</v>
      </c>
      <c r="V1838">
        <f t="shared" ref="V1838:W1838" si="1971">V1814</f>
        <v>3.4</v>
      </c>
      <c r="W1838">
        <f t="shared" si="1971"/>
        <v>3</v>
      </c>
      <c r="X1838" s="9">
        <v>-18.714088316666601</v>
      </c>
      <c r="Y1838" s="39"/>
    </row>
    <row r="1839" spans="1:25" ht="15" thickBot="1">
      <c r="A1839" s="149">
        <f t="shared" si="1906"/>
        <v>45912.499999997526</v>
      </c>
      <c r="B1839" s="30">
        <f t="shared" si="1933"/>
        <v>8000</v>
      </c>
      <c r="C1839" s="8">
        <v>25000</v>
      </c>
      <c r="D1839" s="187">
        <v>0</v>
      </c>
      <c r="E1839" s="187">
        <v>700</v>
      </c>
      <c r="F1839" s="187">
        <v>15000</v>
      </c>
      <c r="G1839" s="30">
        <f t="shared" si="1934"/>
        <v>2400</v>
      </c>
      <c r="H1839" s="8">
        <v>25000</v>
      </c>
      <c r="I1839" s="30">
        <f t="shared" si="1935"/>
        <v>8000</v>
      </c>
      <c r="J1839" s="187">
        <v>40000</v>
      </c>
      <c r="K1839" s="30">
        <f t="shared" si="1936"/>
        <v>8000</v>
      </c>
      <c r="L1839" s="187">
        <v>40000</v>
      </c>
      <c r="M1839" s="110">
        <v>9.5</v>
      </c>
      <c r="N1839" s="9">
        <f>VLOOKUP(DATE(YEAR(A1839),MONTH(A1839),DAY(A1839)),FY24_Temp[],3,FALSE)</f>
        <v>15.21</v>
      </c>
      <c r="O1839" s="110">
        <f t="shared" si="1922"/>
        <v>11.5</v>
      </c>
      <c r="P1839" s="110">
        <f t="shared" si="1923"/>
        <v>19.5</v>
      </c>
      <c r="Q1839" s="79">
        <f>VLOOKUP(VLOOKUP(DATEVALUE(TEXT(A1839,"m/d/yyyy")),FY24_Temp[],5,FALSE)&amp;TEXT(A1839,"-h"),TempDelta[],4,FALSE)</f>
        <v>1.4472857202802385</v>
      </c>
      <c r="R1839">
        <v>10</v>
      </c>
      <c r="S1839" s="112">
        <v>1500</v>
      </c>
      <c r="T1839" s="5">
        <f>VLOOKUP(TEXT(A1839,"yy-mm")&amp;"-"&amp;IF(AND(WEEKDAY(A1839)&gt;1,WEEKDAY(A1839)&lt;7),"Wkd",TEXT(A1839,"Ddd"))&amp;"-"&amp;TEXT(A1839,"hh"),LoadTable[],3,FALSE)*0.92</f>
        <v>290.74956158350585</v>
      </c>
      <c r="U1839" s="113">
        <f t="shared" si="1924"/>
        <v>29.074956158350584</v>
      </c>
      <c r="V1839">
        <f t="shared" ref="V1839:W1839" si="1972">V1815</f>
        <v>3.1</v>
      </c>
      <c r="W1839">
        <f t="shared" si="1972"/>
        <v>2.9</v>
      </c>
      <c r="X1839" s="9">
        <v>-18.791882866666601</v>
      </c>
      <c r="Y1839" s="39"/>
    </row>
    <row r="1840" spans="1:25" ht="15" thickBot="1">
      <c r="A1840" s="149">
        <f t="shared" si="1906"/>
        <v>45912.54166666419</v>
      </c>
      <c r="B1840" s="30">
        <f t="shared" si="1933"/>
        <v>8000</v>
      </c>
      <c r="C1840" s="8">
        <v>25000</v>
      </c>
      <c r="D1840" s="187">
        <v>0</v>
      </c>
      <c r="E1840" s="187">
        <v>700</v>
      </c>
      <c r="F1840" s="187">
        <v>15000</v>
      </c>
      <c r="G1840" s="30">
        <f t="shared" si="1934"/>
        <v>2400</v>
      </c>
      <c r="H1840" s="8">
        <v>25000</v>
      </c>
      <c r="I1840" s="30">
        <f t="shared" si="1935"/>
        <v>8000</v>
      </c>
      <c r="J1840" s="187">
        <v>40000</v>
      </c>
      <c r="K1840" s="30">
        <f t="shared" si="1936"/>
        <v>8000</v>
      </c>
      <c r="L1840" s="187">
        <v>40000</v>
      </c>
      <c r="M1840" s="110">
        <v>9.5</v>
      </c>
      <c r="N1840" s="9">
        <f>VLOOKUP(DATE(YEAR(A1840),MONTH(A1840),DAY(A1840)),FY24_Temp[],3,FALSE)</f>
        <v>15.21</v>
      </c>
      <c r="O1840" s="110">
        <f t="shared" si="1922"/>
        <v>11.5</v>
      </c>
      <c r="P1840" s="110">
        <f t="shared" si="1923"/>
        <v>19.5</v>
      </c>
      <c r="Q1840" s="79">
        <f>VLOOKUP(VLOOKUP(DATEVALUE(TEXT(A1840,"m/d/yyyy")),FY24_Temp[],5,FALSE)&amp;TEXT(A1840,"-h"),TempDelta[],4,FALSE)</f>
        <v>1.2702857085636683</v>
      </c>
      <c r="R1840">
        <v>10</v>
      </c>
      <c r="S1840" s="112">
        <v>1500</v>
      </c>
      <c r="T1840" s="5">
        <f>VLOOKUP(TEXT(A1840,"yy-mm")&amp;"-"&amp;IF(AND(WEEKDAY(A1840)&gt;1,WEEKDAY(A1840)&lt;7),"Wkd",TEXT(A1840,"Ddd"))&amp;"-"&amp;TEXT(A1840,"hh"),LoadTable[],3,FALSE)*0.92</f>
        <v>290.72204920255348</v>
      </c>
      <c r="U1840" s="113">
        <f t="shared" si="1924"/>
        <v>29.072204920255349</v>
      </c>
      <c r="V1840">
        <f t="shared" ref="V1840:W1840" si="1973">V1816</f>
        <v>3.2</v>
      </c>
      <c r="W1840">
        <f t="shared" si="1973"/>
        <v>2.9</v>
      </c>
      <c r="X1840" s="9">
        <v>-18.869677416666601</v>
      </c>
      <c r="Y1840" s="39"/>
    </row>
    <row r="1841" spans="1:25" ht="15" thickBot="1">
      <c r="A1841" s="149">
        <f t="shared" si="1906"/>
        <v>45912.583333330855</v>
      </c>
      <c r="B1841" s="30">
        <f t="shared" si="1933"/>
        <v>8000</v>
      </c>
      <c r="C1841" s="8">
        <v>25000</v>
      </c>
      <c r="D1841" s="187">
        <v>0</v>
      </c>
      <c r="E1841" s="187">
        <v>700</v>
      </c>
      <c r="F1841" s="187">
        <v>15000</v>
      </c>
      <c r="G1841" s="30">
        <f t="shared" si="1934"/>
        <v>2400</v>
      </c>
      <c r="H1841" s="8">
        <v>25000</v>
      </c>
      <c r="I1841" s="30">
        <f t="shared" si="1935"/>
        <v>8000</v>
      </c>
      <c r="J1841" s="187">
        <v>40000</v>
      </c>
      <c r="K1841" s="30">
        <f t="shared" si="1936"/>
        <v>8000</v>
      </c>
      <c r="L1841" s="187">
        <v>40000</v>
      </c>
      <c r="M1841" s="110">
        <v>9.5</v>
      </c>
      <c r="N1841" s="9">
        <f>VLOOKUP(DATE(YEAR(A1841),MONTH(A1841),DAY(A1841)),FY24_Temp[],3,FALSE)</f>
        <v>15.21</v>
      </c>
      <c r="O1841" s="110">
        <f t="shared" si="1922"/>
        <v>11.5</v>
      </c>
      <c r="P1841" s="110">
        <f t="shared" si="1923"/>
        <v>19.5</v>
      </c>
      <c r="Q1841" s="79">
        <f>VLOOKUP(VLOOKUP(DATEVALUE(TEXT(A1841,"m/d/yyyy")),FY24_Temp[],5,FALSE)&amp;TEXT(A1841,"-h"),TempDelta[],4,FALSE)</f>
        <v>1.1090000016348702</v>
      </c>
      <c r="R1841">
        <v>10</v>
      </c>
      <c r="S1841" s="112">
        <v>1500</v>
      </c>
      <c r="T1841" s="5">
        <f>VLOOKUP(TEXT(A1841,"yy-mm")&amp;"-"&amp;IF(AND(WEEKDAY(A1841)&gt;1,WEEKDAY(A1841)&lt;7),"Wkd",TEXT(A1841,"Ddd"))&amp;"-"&amp;TEXT(A1841,"hh"),LoadTable[],3,FALSE)*0.92</f>
        <v>363.28132000000005</v>
      </c>
      <c r="U1841" s="113">
        <f t="shared" si="1924"/>
        <v>36.328132000000004</v>
      </c>
      <c r="V1841">
        <f t="shared" ref="V1841:W1841" si="1974">V1817</f>
        <v>3.5</v>
      </c>
      <c r="W1841">
        <f t="shared" si="1974"/>
        <v>2.9</v>
      </c>
      <c r="X1841" s="9">
        <v>-18.947471966666601</v>
      </c>
      <c r="Y1841" s="39"/>
    </row>
    <row r="1842" spans="1:25" ht="15" thickBot="1">
      <c r="A1842" s="149">
        <f t="shared" si="1906"/>
        <v>45912.624999997519</v>
      </c>
      <c r="B1842" s="30">
        <f t="shared" si="1933"/>
        <v>8000</v>
      </c>
      <c r="C1842" s="8">
        <v>25000</v>
      </c>
      <c r="D1842" s="187">
        <v>0</v>
      </c>
      <c r="E1842" s="187">
        <v>700</v>
      </c>
      <c r="F1842" s="187">
        <v>15000</v>
      </c>
      <c r="G1842" s="30">
        <f t="shared" si="1934"/>
        <v>2400</v>
      </c>
      <c r="H1842" s="8">
        <v>25000</v>
      </c>
      <c r="I1842" s="30">
        <f t="shared" si="1935"/>
        <v>8000</v>
      </c>
      <c r="J1842" s="187">
        <v>40000</v>
      </c>
      <c r="K1842" s="30">
        <f t="shared" si="1936"/>
        <v>8000</v>
      </c>
      <c r="L1842" s="187">
        <v>40000</v>
      </c>
      <c r="M1842" s="110">
        <v>9.5</v>
      </c>
      <c r="N1842" s="9">
        <f>VLOOKUP(DATE(YEAR(A1842),MONTH(A1842),DAY(A1842)),FY24_Temp[],3,FALSE)</f>
        <v>15.21</v>
      </c>
      <c r="O1842" s="110">
        <f t="shared" si="1922"/>
        <v>11.5</v>
      </c>
      <c r="P1842" s="110">
        <f t="shared" si="1923"/>
        <v>19.5</v>
      </c>
      <c r="Q1842" s="79">
        <f>VLOOKUP(VLOOKUP(DATEVALUE(TEXT(A1842,"m/d/yyyy")),FY24_Temp[],5,FALSE)&amp;TEXT(A1842,"-h"),TempDelta[],4,FALSE)</f>
        <v>0.62785714651857105</v>
      </c>
      <c r="R1842">
        <v>10</v>
      </c>
      <c r="S1842" s="112">
        <v>1500</v>
      </c>
      <c r="T1842" s="5">
        <f>VLOOKUP(TEXT(A1842,"yy-mm")&amp;"-"&amp;IF(AND(WEEKDAY(A1842)&gt;1,WEEKDAY(A1842)&lt;7),"Wkd",TEXT(A1842,"Ddd"))&amp;"-"&amp;TEXT(A1842,"hh"),LoadTable[],3,FALSE)*0.92</f>
        <v>570.3300004440199</v>
      </c>
      <c r="U1842" s="113">
        <f t="shared" si="1924"/>
        <v>57.033000044401987</v>
      </c>
      <c r="V1842">
        <f t="shared" ref="V1842:W1842" si="1975">V1818</f>
        <v>3.2</v>
      </c>
      <c r="W1842">
        <f t="shared" si="1975"/>
        <v>2.9</v>
      </c>
      <c r="X1842" s="9">
        <v>-19.025266516666601</v>
      </c>
      <c r="Y1842" s="39"/>
    </row>
    <row r="1843" spans="1:25" ht="15" thickBot="1">
      <c r="A1843" s="149">
        <f t="shared" si="1906"/>
        <v>45912.666666664183</v>
      </c>
      <c r="B1843" s="30">
        <f t="shared" si="1933"/>
        <v>8000</v>
      </c>
      <c r="C1843" s="8">
        <v>25000</v>
      </c>
      <c r="D1843" s="187">
        <v>0</v>
      </c>
      <c r="E1843" s="187">
        <v>700</v>
      </c>
      <c r="F1843" s="187">
        <v>15000</v>
      </c>
      <c r="G1843" s="30">
        <f t="shared" si="1934"/>
        <v>2400</v>
      </c>
      <c r="H1843" s="8">
        <v>25000</v>
      </c>
      <c r="I1843" s="30">
        <f t="shared" si="1935"/>
        <v>8000</v>
      </c>
      <c r="J1843" s="187">
        <v>40000</v>
      </c>
      <c r="K1843" s="30">
        <f t="shared" si="1936"/>
        <v>8000</v>
      </c>
      <c r="L1843" s="187">
        <v>40000</v>
      </c>
      <c r="M1843" s="110">
        <v>9.5</v>
      </c>
      <c r="N1843" s="9">
        <f>VLOOKUP(DATE(YEAR(A1843),MONTH(A1843),DAY(A1843)),FY24_Temp[],3,FALSE)</f>
        <v>15.21</v>
      </c>
      <c r="O1843" s="110">
        <f t="shared" si="1922"/>
        <v>11.5</v>
      </c>
      <c r="P1843" s="110">
        <f t="shared" si="1923"/>
        <v>19.5</v>
      </c>
      <c r="Q1843" s="79">
        <f>VLOOKUP(VLOOKUP(DATEVALUE(TEXT(A1843,"m/d/yyyy")),FY24_Temp[],5,FALSE)&amp;TEXT(A1843,"-h"),TempDelta[],4,FALSE)</f>
        <v>0.70735713200909756</v>
      </c>
      <c r="R1843">
        <v>10</v>
      </c>
      <c r="S1843" s="112">
        <v>1500</v>
      </c>
      <c r="T1843" s="5">
        <f>VLOOKUP(TEXT(A1843,"yy-mm")&amp;"-"&amp;IF(AND(WEEKDAY(A1843)&gt;1,WEEKDAY(A1843)&lt;7),"Wkd",TEXT(A1843,"Ddd"))&amp;"-"&amp;TEXT(A1843,"hh"),LoadTable[],3,FALSE)*0.92</f>
        <v>602.16876690131596</v>
      </c>
      <c r="U1843" s="113">
        <f t="shared" si="1924"/>
        <v>60.216876690131599</v>
      </c>
      <c r="V1843">
        <f t="shared" ref="V1843:W1843" si="1976">V1819</f>
        <v>3.5</v>
      </c>
      <c r="W1843">
        <f t="shared" si="1976"/>
        <v>3</v>
      </c>
      <c r="X1843" s="9">
        <v>-19.103061066666601</v>
      </c>
      <c r="Y1843" s="39"/>
    </row>
    <row r="1844" spans="1:25" ht="15" thickBot="1">
      <c r="A1844" s="149">
        <f t="shared" si="1906"/>
        <v>45912.708333330847</v>
      </c>
      <c r="B1844" s="30">
        <f t="shared" si="1933"/>
        <v>8000</v>
      </c>
      <c r="C1844" s="8">
        <v>25000</v>
      </c>
      <c r="D1844" s="187">
        <v>0</v>
      </c>
      <c r="E1844" s="187">
        <v>700</v>
      </c>
      <c r="F1844" s="187">
        <v>15000</v>
      </c>
      <c r="G1844" s="30">
        <f t="shared" si="1934"/>
        <v>2400</v>
      </c>
      <c r="H1844" s="8">
        <v>25000</v>
      </c>
      <c r="I1844" s="30">
        <f t="shared" si="1935"/>
        <v>8000</v>
      </c>
      <c r="J1844" s="187">
        <v>40000</v>
      </c>
      <c r="K1844" s="30">
        <f t="shared" si="1936"/>
        <v>8000</v>
      </c>
      <c r="L1844" s="187">
        <v>40000</v>
      </c>
      <c r="M1844" s="110">
        <v>9.5</v>
      </c>
      <c r="N1844" s="9">
        <f>VLOOKUP(DATE(YEAR(A1844),MONTH(A1844),DAY(A1844)),FY24_Temp[],3,FALSE)</f>
        <v>15.21</v>
      </c>
      <c r="O1844" s="110">
        <f t="shared" si="1922"/>
        <v>11.5</v>
      </c>
      <c r="P1844" s="110">
        <f t="shared" si="1923"/>
        <v>19.5</v>
      </c>
      <c r="Q1844" s="79">
        <f>VLOOKUP(VLOOKUP(DATEVALUE(TEXT(A1844,"m/d/yyyy")),FY24_Temp[],5,FALSE)&amp;TEXT(A1844,"-h"),TempDelta[],4,FALSE)</f>
        <v>0.97692857256957466</v>
      </c>
      <c r="R1844">
        <v>10</v>
      </c>
      <c r="S1844" s="112">
        <v>1500</v>
      </c>
      <c r="T1844" s="5">
        <f>VLOOKUP(TEXT(A1844,"yy-mm")&amp;"-"&amp;IF(AND(WEEKDAY(A1844)&gt;1,WEEKDAY(A1844)&lt;7),"Wkd",TEXT(A1844,"Ddd"))&amp;"-"&amp;TEXT(A1844,"hh"),LoadTable[],3,FALSE)*0.92</f>
        <v>602.16876690131596</v>
      </c>
      <c r="U1844" s="113">
        <f t="shared" si="1924"/>
        <v>60.216876690131599</v>
      </c>
      <c r="V1844">
        <f t="shared" ref="V1844:W1844" si="1977">V1820</f>
        <v>3.6</v>
      </c>
      <c r="W1844">
        <f t="shared" si="1977"/>
        <v>3</v>
      </c>
      <c r="X1844" s="9">
        <v>-19.180855616666602</v>
      </c>
      <c r="Y1844" s="39"/>
    </row>
    <row r="1845" spans="1:25" ht="15" thickBot="1">
      <c r="A1845" s="149">
        <f t="shared" ref="A1845:A1908" si="1978">A1844+TIME(1,0,0)</f>
        <v>45912.749999997512</v>
      </c>
      <c r="B1845" s="30">
        <f t="shared" si="1933"/>
        <v>5000</v>
      </c>
      <c r="C1845" s="8">
        <v>25000</v>
      </c>
      <c r="D1845" s="187">
        <v>0</v>
      </c>
      <c r="E1845" s="187">
        <v>700</v>
      </c>
      <c r="F1845" s="187">
        <v>15000</v>
      </c>
      <c r="G1845" s="30">
        <f t="shared" si="1934"/>
        <v>2400</v>
      </c>
      <c r="H1845" s="8">
        <v>25000</v>
      </c>
      <c r="I1845" s="30">
        <f t="shared" si="1935"/>
        <v>5000</v>
      </c>
      <c r="J1845" s="187">
        <v>40000</v>
      </c>
      <c r="K1845" s="30">
        <f t="shared" si="1936"/>
        <v>5000</v>
      </c>
      <c r="L1845" s="187">
        <v>40000</v>
      </c>
      <c r="M1845" s="110">
        <v>9.5</v>
      </c>
      <c r="N1845" s="9">
        <f>VLOOKUP(DATE(YEAR(A1845),MONTH(A1845),DAY(A1845)),FY24_Temp[],3,FALSE)</f>
        <v>15.21</v>
      </c>
      <c r="O1845" s="110">
        <f t="shared" si="1922"/>
        <v>11.5</v>
      </c>
      <c r="P1845" s="110">
        <f t="shared" si="1923"/>
        <v>19.5</v>
      </c>
      <c r="Q1845" s="79">
        <f>VLOOKUP(VLOOKUP(DATEVALUE(TEXT(A1845,"m/d/yyyy")),FY24_Temp[],5,FALSE)&amp;TEXT(A1845,"-h"),TempDelta[],4,FALSE)</f>
        <v>1.2994285779339927</v>
      </c>
      <c r="R1845">
        <v>10</v>
      </c>
      <c r="S1845" s="112">
        <v>1500</v>
      </c>
      <c r="T1845" s="5">
        <f>VLOOKUP(TEXT(A1845,"yy-mm")&amp;"-"&amp;IF(AND(WEEKDAY(A1845)&gt;1,WEEKDAY(A1845)&lt;7),"Wkd",TEXT(A1845,"Ddd"))&amp;"-"&amp;TEXT(A1845,"hh"),LoadTable[],3,FALSE)*0.92</f>
        <v>602.16876690131596</v>
      </c>
      <c r="U1845" s="113">
        <f t="shared" si="1924"/>
        <v>60.216876690131599</v>
      </c>
      <c r="V1845">
        <f t="shared" ref="V1845:W1845" si="1979">V1821</f>
        <v>2.9</v>
      </c>
      <c r="W1845">
        <f t="shared" si="1979"/>
        <v>3</v>
      </c>
      <c r="X1845" s="9">
        <v>-19.258650166666602</v>
      </c>
      <c r="Y1845" s="39"/>
    </row>
    <row r="1846" spans="1:25" ht="15" thickBot="1">
      <c r="A1846" s="149">
        <f t="shared" si="1978"/>
        <v>45912.791666664176</v>
      </c>
      <c r="B1846" s="30">
        <f t="shared" si="1933"/>
        <v>5000</v>
      </c>
      <c r="C1846" s="8">
        <v>25000</v>
      </c>
      <c r="D1846" s="187">
        <v>0</v>
      </c>
      <c r="E1846" s="187">
        <v>700</v>
      </c>
      <c r="F1846" s="187">
        <v>15000</v>
      </c>
      <c r="G1846" s="30">
        <f t="shared" si="1934"/>
        <v>2400</v>
      </c>
      <c r="H1846" s="8">
        <v>25000</v>
      </c>
      <c r="I1846" s="30">
        <f t="shared" si="1935"/>
        <v>5000</v>
      </c>
      <c r="J1846" s="187">
        <v>40000</v>
      </c>
      <c r="K1846" s="30">
        <f t="shared" si="1936"/>
        <v>5000</v>
      </c>
      <c r="L1846" s="187">
        <v>40000</v>
      </c>
      <c r="M1846" s="110">
        <v>9.5</v>
      </c>
      <c r="N1846" s="9">
        <f>VLOOKUP(DATE(YEAR(A1846),MONTH(A1846),DAY(A1846)),FY24_Temp[],3,FALSE)</f>
        <v>15.21</v>
      </c>
      <c r="O1846" s="110">
        <f t="shared" si="1922"/>
        <v>11.5</v>
      </c>
      <c r="P1846" s="110">
        <f t="shared" si="1923"/>
        <v>19.5</v>
      </c>
      <c r="Q1846" s="79">
        <f>VLOOKUP(VLOOKUP(DATEVALUE(TEXT(A1846,"m/d/yyyy")),FY24_Temp[],5,FALSE)&amp;TEXT(A1846,"-h"),TempDelta[],4,FALSE)</f>
        <v>1.4374285723481859</v>
      </c>
      <c r="R1846">
        <v>10</v>
      </c>
      <c r="S1846" s="112">
        <v>1500</v>
      </c>
      <c r="T1846" s="5">
        <f>VLOOKUP(TEXT(A1846,"yy-mm")&amp;"-"&amp;IF(AND(WEEKDAY(A1846)&gt;1,WEEKDAY(A1846)&lt;7),"Wkd",TEXT(A1846,"Ddd"))&amp;"-"&amp;TEXT(A1846,"hh"),LoadTable[],3,FALSE)*0.92</f>
        <v>600.14662419619219</v>
      </c>
      <c r="U1846" s="113">
        <f t="shared" si="1924"/>
        <v>60.014662419619221</v>
      </c>
      <c r="V1846">
        <f t="shared" ref="V1846:W1846" si="1980">V1822</f>
        <v>3</v>
      </c>
      <c r="W1846">
        <f t="shared" si="1980"/>
        <v>3</v>
      </c>
      <c r="X1846" s="9">
        <v>-19.336444716666598</v>
      </c>
      <c r="Y1846" s="39"/>
    </row>
    <row r="1847" spans="1:25" ht="15" thickBot="1">
      <c r="A1847" s="149">
        <f t="shared" si="1978"/>
        <v>45912.83333333084</v>
      </c>
      <c r="B1847" s="30">
        <f t="shared" si="1933"/>
        <v>5000</v>
      </c>
      <c r="C1847" s="8">
        <v>25000</v>
      </c>
      <c r="D1847" s="187">
        <v>0</v>
      </c>
      <c r="E1847" s="187">
        <v>700</v>
      </c>
      <c r="F1847" s="187">
        <v>15000</v>
      </c>
      <c r="G1847" s="30">
        <f t="shared" si="1934"/>
        <v>2400</v>
      </c>
      <c r="H1847" s="8">
        <v>25000</v>
      </c>
      <c r="I1847" s="30">
        <f t="shared" si="1935"/>
        <v>5000</v>
      </c>
      <c r="J1847" s="187">
        <v>40000</v>
      </c>
      <c r="K1847" s="30">
        <f t="shared" si="1936"/>
        <v>5000</v>
      </c>
      <c r="L1847" s="187">
        <v>40000</v>
      </c>
      <c r="M1847" s="110">
        <v>9.5</v>
      </c>
      <c r="N1847" s="9">
        <f>VLOOKUP(DATE(YEAR(A1847),MONTH(A1847),DAY(A1847)),FY24_Temp[],3,FALSE)</f>
        <v>15.21</v>
      </c>
      <c r="O1847" s="110">
        <f t="shared" si="1922"/>
        <v>11.5</v>
      </c>
      <c r="P1847" s="110">
        <f t="shared" si="1923"/>
        <v>19.5</v>
      </c>
      <c r="Q1847" s="79">
        <f>VLOOKUP(VLOOKUP(DATEVALUE(TEXT(A1847,"m/d/yyyy")),FY24_Temp[],5,FALSE)&amp;TEXT(A1847,"-h"),TempDelta[],4,FALSE)</f>
        <v>1.5300714543887548</v>
      </c>
      <c r="R1847">
        <v>10</v>
      </c>
      <c r="S1847" s="112">
        <v>1500</v>
      </c>
      <c r="T1847" s="5">
        <f>VLOOKUP(TEXT(A1847,"yy-mm")&amp;"-"&amp;IF(AND(WEEKDAY(A1847)&gt;1,WEEKDAY(A1847)&lt;7),"Wkd",TEXT(A1847,"Ddd"))&amp;"-"&amp;TEXT(A1847,"hh"),LoadTable[],3,FALSE)*0.92</f>
        <v>600.14662419619219</v>
      </c>
      <c r="U1847" s="113">
        <f t="shared" si="1924"/>
        <v>60.014662419619221</v>
      </c>
      <c r="V1847">
        <f t="shared" ref="V1847:W1847" si="1981">V1823</f>
        <v>2.8</v>
      </c>
      <c r="W1847">
        <f t="shared" si="1981"/>
        <v>3.1</v>
      </c>
      <c r="X1847" s="9">
        <v>-19.414239266666598</v>
      </c>
      <c r="Y1847" s="39"/>
    </row>
    <row r="1848" spans="1:25" ht="15" thickBot="1">
      <c r="A1848" s="149">
        <f t="shared" si="1978"/>
        <v>45912.874999997504</v>
      </c>
      <c r="B1848" s="30">
        <f t="shared" si="1933"/>
        <v>5000</v>
      </c>
      <c r="C1848" s="8">
        <v>25000</v>
      </c>
      <c r="D1848" s="187">
        <v>0</v>
      </c>
      <c r="E1848" s="187">
        <v>700</v>
      </c>
      <c r="F1848" s="187">
        <v>15000</v>
      </c>
      <c r="G1848" s="30">
        <f t="shared" si="1934"/>
        <v>2400</v>
      </c>
      <c r="H1848" s="8">
        <v>25000</v>
      </c>
      <c r="I1848" s="30">
        <f t="shared" si="1935"/>
        <v>5000</v>
      </c>
      <c r="J1848" s="187">
        <v>40000</v>
      </c>
      <c r="K1848" s="30">
        <f t="shared" si="1936"/>
        <v>5000</v>
      </c>
      <c r="L1848" s="187">
        <v>40000</v>
      </c>
      <c r="M1848" s="110">
        <v>9.5</v>
      </c>
      <c r="N1848" s="9">
        <f>VLOOKUP(DATE(YEAR(A1848),MONTH(A1848),DAY(A1848)),FY24_Temp[],3,FALSE)</f>
        <v>15.21</v>
      </c>
      <c r="O1848" s="110">
        <f t="shared" si="1922"/>
        <v>11.5</v>
      </c>
      <c r="P1848" s="110">
        <f t="shared" si="1923"/>
        <v>19.5</v>
      </c>
      <c r="Q1848" s="79">
        <f>VLOOKUP(VLOOKUP(DATEVALUE(TEXT(A1848,"m/d/yyyy")),FY24_Temp[],5,FALSE)&amp;TEXT(A1848,"-h"),TempDelta[],4,FALSE)</f>
        <v>1.5475714121546065</v>
      </c>
      <c r="R1848">
        <v>10</v>
      </c>
      <c r="S1848" s="112">
        <v>1500</v>
      </c>
      <c r="T1848" s="5">
        <f>VLOOKUP(TEXT(A1848,"yy-mm")&amp;"-"&amp;IF(AND(WEEKDAY(A1848)&gt;1,WEEKDAY(A1848)&lt;7),"Wkd",TEXT(A1848,"Ddd"))&amp;"-"&amp;TEXT(A1848,"hh"),LoadTable[],3,FALSE)*0.92</f>
        <v>523.94879142973434</v>
      </c>
      <c r="U1848" s="113">
        <f t="shared" si="1924"/>
        <v>52.394879142973437</v>
      </c>
      <c r="V1848">
        <f t="shared" ref="V1848:W1848" si="1982">V1824</f>
        <v>3.5</v>
      </c>
      <c r="W1848">
        <f t="shared" si="1982"/>
        <v>3.1</v>
      </c>
      <c r="X1848" s="9">
        <v>-19.492033816666599</v>
      </c>
      <c r="Y1848" s="39"/>
    </row>
    <row r="1849" spans="1:25" ht="15" thickBot="1">
      <c r="A1849" s="149">
        <f t="shared" si="1978"/>
        <v>45912.916666664169</v>
      </c>
      <c r="B1849" s="30">
        <f t="shared" si="1933"/>
        <v>5000</v>
      </c>
      <c r="C1849" s="8">
        <v>25000</v>
      </c>
      <c r="D1849" s="187">
        <v>0</v>
      </c>
      <c r="E1849" s="187">
        <v>700</v>
      </c>
      <c r="F1849" s="187">
        <v>15000</v>
      </c>
      <c r="G1849" s="30">
        <f t="shared" si="1934"/>
        <v>2400</v>
      </c>
      <c r="H1849" s="8">
        <v>25000</v>
      </c>
      <c r="I1849" s="30">
        <f t="shared" si="1935"/>
        <v>5000</v>
      </c>
      <c r="J1849" s="187">
        <v>40000</v>
      </c>
      <c r="K1849" s="30">
        <f t="shared" si="1936"/>
        <v>5000</v>
      </c>
      <c r="L1849" s="187">
        <v>40000</v>
      </c>
      <c r="M1849" s="110">
        <v>9.5</v>
      </c>
      <c r="N1849" s="9">
        <f>VLOOKUP(DATE(YEAR(A1849),MONTH(A1849),DAY(A1849)),FY24_Temp[],3,FALSE)</f>
        <v>15.21</v>
      </c>
      <c r="O1849" s="110">
        <f t="shared" si="1922"/>
        <v>11.5</v>
      </c>
      <c r="P1849" s="110">
        <f t="shared" si="1923"/>
        <v>19.5</v>
      </c>
      <c r="Q1849" s="79">
        <f>VLOOKUP(VLOOKUP(DATEVALUE(TEXT(A1849,"m/d/yyyy")),FY24_Temp[],5,FALSE)&amp;TEXT(A1849,"-h"),TempDelta[],4,FALSE)</f>
        <v>2.0112857137407576</v>
      </c>
      <c r="R1849">
        <v>10</v>
      </c>
      <c r="S1849" s="112">
        <v>1500</v>
      </c>
      <c r="T1849" s="5">
        <f>VLOOKUP(TEXT(A1849,"yy-mm")&amp;"-"&amp;IF(AND(WEEKDAY(A1849)&gt;1,WEEKDAY(A1849)&lt;7),"Wkd",TEXT(A1849,"Ddd"))&amp;"-"&amp;TEXT(A1849,"hh"),LoadTable[],3,FALSE)*0.92</f>
        <v>421.91858468239752</v>
      </c>
      <c r="U1849" s="113">
        <f t="shared" si="1924"/>
        <v>42.191858468239751</v>
      </c>
      <c r="V1849">
        <f t="shared" ref="V1849:W1849" si="1983">V1825</f>
        <v>2.9</v>
      </c>
      <c r="W1849">
        <f t="shared" si="1983"/>
        <v>3.1</v>
      </c>
      <c r="X1849" s="9">
        <v>-19.569828366666599</v>
      </c>
      <c r="Y1849" s="39"/>
    </row>
    <row r="1850" spans="1:25" ht="15" thickBot="1">
      <c r="A1850" s="149">
        <f t="shared" si="1978"/>
        <v>45912.958333330833</v>
      </c>
      <c r="B1850" s="30">
        <f t="shared" si="1933"/>
        <v>5000</v>
      </c>
      <c r="C1850" s="8">
        <v>25000</v>
      </c>
      <c r="D1850" s="187">
        <v>0</v>
      </c>
      <c r="E1850" s="187">
        <v>700</v>
      </c>
      <c r="F1850" s="187">
        <v>15000</v>
      </c>
      <c r="G1850" s="30">
        <f t="shared" si="1934"/>
        <v>2400</v>
      </c>
      <c r="H1850" s="8">
        <v>25000</v>
      </c>
      <c r="I1850" s="30">
        <f t="shared" si="1935"/>
        <v>5000</v>
      </c>
      <c r="J1850" s="187">
        <v>40000</v>
      </c>
      <c r="K1850" s="30">
        <f t="shared" si="1936"/>
        <v>5000</v>
      </c>
      <c r="L1850" s="187">
        <v>40000</v>
      </c>
      <c r="M1850" s="110">
        <v>9.5</v>
      </c>
      <c r="N1850" s="9">
        <f>VLOOKUP(DATE(YEAR(A1850),MONTH(A1850),DAY(A1850)),FY24_Temp[],3,FALSE)</f>
        <v>15.21</v>
      </c>
      <c r="O1850" s="110">
        <f t="shared" si="1922"/>
        <v>11.5</v>
      </c>
      <c r="P1850" s="110">
        <f t="shared" si="1923"/>
        <v>19.5</v>
      </c>
      <c r="Q1850" s="79">
        <f>VLOOKUP(VLOOKUP(DATEVALUE(TEXT(A1850,"m/d/yyyy")),FY24_Temp[],5,FALSE)&amp;TEXT(A1850,"-h"),TempDelta[],4,FALSE)</f>
        <v>2.1388571432658603</v>
      </c>
      <c r="R1850">
        <v>10</v>
      </c>
      <c r="S1850" s="112">
        <v>1500</v>
      </c>
      <c r="T1850" s="5">
        <f>VLOOKUP(TEXT(A1850,"yy-mm")&amp;"-"&amp;IF(AND(WEEKDAY(A1850)&gt;1,WEEKDAY(A1850)&lt;7),"Wkd",TEXT(A1850,"Ddd"))&amp;"-"&amp;TEXT(A1850,"hh"),LoadTable[],3,FALSE)*0.92</f>
        <v>289.33527113913209</v>
      </c>
      <c r="U1850" s="113">
        <f t="shared" si="1924"/>
        <v>28.933527113913208</v>
      </c>
      <c r="V1850">
        <f t="shared" ref="V1850:W1850" si="1984">V1826</f>
        <v>3.6</v>
      </c>
      <c r="W1850">
        <f t="shared" si="1984"/>
        <v>3.1</v>
      </c>
      <c r="X1850" s="9">
        <v>-19.647622916666599</v>
      </c>
      <c r="Y1850" s="39"/>
    </row>
    <row r="1851" spans="1:25" ht="15" thickBot="1">
      <c r="A1851" s="149">
        <f t="shared" si="1978"/>
        <v>45912.999999997497</v>
      </c>
      <c r="B1851" s="30">
        <f t="shared" si="1933"/>
        <v>5000</v>
      </c>
      <c r="C1851" s="109">
        <v>25000</v>
      </c>
      <c r="D1851" s="187">
        <v>0</v>
      </c>
      <c r="E1851" s="187">
        <v>700</v>
      </c>
      <c r="F1851" s="187">
        <v>15000</v>
      </c>
      <c r="G1851" s="30">
        <f t="shared" si="1934"/>
        <v>2400</v>
      </c>
      <c r="H1851" s="8">
        <v>25000</v>
      </c>
      <c r="I1851" s="30">
        <f t="shared" si="1935"/>
        <v>5000</v>
      </c>
      <c r="J1851" s="187">
        <v>40000</v>
      </c>
      <c r="K1851" s="30">
        <f t="shared" si="1936"/>
        <v>5000</v>
      </c>
      <c r="L1851" s="187">
        <v>40000</v>
      </c>
      <c r="M1851" s="110">
        <v>9.5</v>
      </c>
      <c r="N1851" s="9">
        <f>VLOOKUP(DATE(YEAR(A1851),MONTH(A1851),DAY(A1851)),FY24_Temp[],3,FALSE)</f>
        <v>15.49</v>
      </c>
      <c r="O1851" s="110">
        <f t="shared" si="1922"/>
        <v>11.5</v>
      </c>
      <c r="P1851" s="110">
        <f t="shared" si="1923"/>
        <v>19.5</v>
      </c>
      <c r="Q1851" s="79">
        <f>VLOOKUP(VLOOKUP(DATEVALUE(TEXT(A1851,"m/d/yyyy")),FY24_Temp[],5,FALSE)&amp;TEXT(A1851,"-h"),TempDelta[],4,FALSE)</f>
        <v>2.099285670689174</v>
      </c>
      <c r="R1851">
        <v>10</v>
      </c>
      <c r="S1851" s="112">
        <v>1500</v>
      </c>
      <c r="T1851" s="5">
        <f>VLOOKUP(TEXT(A1851,"yy-mm")&amp;"-"&amp;IF(AND(WEEKDAY(A1851)&gt;1,WEEKDAY(A1851)&lt;7),"Wkd",TEXT(A1851,"Ddd"))&amp;"-"&amp;TEXT(A1851,"hh"),LoadTable[],3,FALSE)*0.92</f>
        <v>289.32996596071712</v>
      </c>
      <c r="U1851" s="113">
        <f t="shared" si="1924"/>
        <v>28.93299659607171</v>
      </c>
      <c r="V1851">
        <f t="shared" ref="V1851:W1851" si="1985">V1827</f>
        <v>3</v>
      </c>
      <c r="W1851">
        <f t="shared" si="1985"/>
        <v>3.2</v>
      </c>
      <c r="X1851" s="9">
        <v>-19.725417466666599</v>
      </c>
      <c r="Y1851" s="39"/>
    </row>
    <row r="1852" spans="1:25" ht="15" thickBot="1">
      <c r="A1852" s="149">
        <f t="shared" si="1978"/>
        <v>45913.041666664161</v>
      </c>
      <c r="B1852" s="30">
        <f t="shared" si="1933"/>
        <v>5000</v>
      </c>
      <c r="C1852" s="8">
        <v>25000</v>
      </c>
      <c r="D1852" s="187">
        <v>0</v>
      </c>
      <c r="E1852" s="187">
        <v>700</v>
      </c>
      <c r="F1852" s="187">
        <v>15000</v>
      </c>
      <c r="G1852" s="30">
        <f t="shared" si="1934"/>
        <v>2400</v>
      </c>
      <c r="H1852" s="8">
        <v>25000</v>
      </c>
      <c r="I1852" s="30">
        <f t="shared" si="1935"/>
        <v>5000</v>
      </c>
      <c r="J1852" s="187">
        <v>40000</v>
      </c>
      <c r="K1852" s="30">
        <f t="shared" si="1936"/>
        <v>5000</v>
      </c>
      <c r="L1852" s="187">
        <v>40000</v>
      </c>
      <c r="M1852" s="110">
        <v>9.5</v>
      </c>
      <c r="N1852" s="9">
        <f>VLOOKUP(DATE(YEAR(A1852),MONTH(A1852),DAY(A1852)),FY24_Temp[],3,FALSE)</f>
        <v>15.49</v>
      </c>
      <c r="O1852" s="110">
        <f t="shared" si="1922"/>
        <v>11.5</v>
      </c>
      <c r="P1852" s="110">
        <f t="shared" si="1923"/>
        <v>19.5</v>
      </c>
      <c r="Q1852" s="79">
        <f>VLOOKUP(VLOOKUP(DATEVALUE(TEXT(A1852,"m/d/yyyy")),FY24_Temp[],5,FALSE)&amp;TEXT(A1852,"-h"),TempDelta[],4,FALSE)</f>
        <v>2.1752857140132358</v>
      </c>
      <c r="R1852">
        <v>10</v>
      </c>
      <c r="S1852" s="112">
        <v>1500</v>
      </c>
      <c r="T1852" s="5">
        <f>VLOOKUP(TEXT(A1852,"yy-mm")&amp;"-"&amp;IF(AND(WEEKDAY(A1852)&gt;1,WEEKDAY(A1852)&lt;7),"Wkd",TEXT(A1852,"Ddd"))&amp;"-"&amp;TEXT(A1852,"hh"),LoadTable[],3,FALSE)*0.92</f>
        <v>289.32996596071712</v>
      </c>
      <c r="U1852" s="113">
        <f t="shared" si="1924"/>
        <v>28.93299659607171</v>
      </c>
      <c r="V1852">
        <f t="shared" ref="V1852:W1852" si="1986">V1828</f>
        <v>2.6</v>
      </c>
      <c r="W1852">
        <f t="shared" si="1986"/>
        <v>3.2</v>
      </c>
      <c r="X1852" s="9">
        <v>-19.803212016666599</v>
      </c>
      <c r="Y1852" s="39"/>
    </row>
    <row r="1853" spans="1:25" ht="15" thickBot="1">
      <c r="A1853" s="149">
        <f t="shared" si="1978"/>
        <v>45913.083333330826</v>
      </c>
      <c r="B1853" s="30">
        <f t="shared" si="1933"/>
        <v>5000</v>
      </c>
      <c r="C1853" s="8">
        <v>25000</v>
      </c>
      <c r="D1853" s="187">
        <v>0</v>
      </c>
      <c r="E1853" s="187">
        <v>700</v>
      </c>
      <c r="F1853" s="187">
        <v>15000</v>
      </c>
      <c r="G1853" s="30">
        <f t="shared" si="1934"/>
        <v>2400</v>
      </c>
      <c r="H1853" s="8">
        <v>25000</v>
      </c>
      <c r="I1853" s="30">
        <f t="shared" si="1935"/>
        <v>5000</v>
      </c>
      <c r="J1853" s="187">
        <v>40000</v>
      </c>
      <c r="K1853" s="30">
        <f t="shared" si="1936"/>
        <v>5000</v>
      </c>
      <c r="L1853" s="187">
        <v>40000</v>
      </c>
      <c r="M1853" s="110">
        <v>9.5</v>
      </c>
      <c r="N1853" s="9">
        <f>VLOOKUP(DATE(YEAR(A1853),MONTH(A1853),DAY(A1853)),FY24_Temp[],3,FALSE)</f>
        <v>15.49</v>
      </c>
      <c r="O1853" s="110">
        <f t="shared" si="1922"/>
        <v>11.5</v>
      </c>
      <c r="P1853" s="110">
        <f t="shared" si="1923"/>
        <v>19.5</v>
      </c>
      <c r="Q1853" s="79">
        <f>VLOOKUP(VLOOKUP(DATEVALUE(TEXT(A1853,"m/d/yyyy")),FY24_Temp[],5,FALSE)&amp;TEXT(A1853,"-h"),TempDelta[],4,FALSE)</f>
        <v>2.2037143026079451</v>
      </c>
      <c r="R1853">
        <v>10</v>
      </c>
      <c r="S1853" s="112">
        <v>1500</v>
      </c>
      <c r="T1853" s="5">
        <f>VLOOKUP(TEXT(A1853,"yy-mm")&amp;"-"&amp;IF(AND(WEEKDAY(A1853)&gt;1,WEEKDAY(A1853)&lt;7),"Wkd",TEXT(A1853,"Ddd"))&amp;"-"&amp;TEXT(A1853,"hh"),LoadTable[],3,FALSE)*0.92</f>
        <v>289.32996596071712</v>
      </c>
      <c r="U1853" s="113">
        <f t="shared" si="1924"/>
        <v>28.93299659607171</v>
      </c>
      <c r="V1853">
        <f t="shared" ref="V1853:W1853" si="1987">V1829</f>
        <v>2.8</v>
      </c>
      <c r="W1853">
        <f t="shared" si="1987"/>
        <v>3.2</v>
      </c>
      <c r="X1853" s="9">
        <v>-19.881006566666599</v>
      </c>
      <c r="Y1853" s="39"/>
    </row>
    <row r="1854" spans="1:25" ht="15" thickBot="1">
      <c r="A1854" s="149">
        <f t="shared" si="1978"/>
        <v>45913.12499999749</v>
      </c>
      <c r="B1854" s="30">
        <f t="shared" si="1933"/>
        <v>5000</v>
      </c>
      <c r="C1854" s="8">
        <v>25000</v>
      </c>
      <c r="D1854" s="187">
        <v>0</v>
      </c>
      <c r="E1854" s="187">
        <v>700</v>
      </c>
      <c r="F1854" s="187">
        <v>15000</v>
      </c>
      <c r="G1854" s="30">
        <f t="shared" si="1934"/>
        <v>2400</v>
      </c>
      <c r="H1854" s="8">
        <v>25000</v>
      </c>
      <c r="I1854" s="30">
        <f t="shared" si="1935"/>
        <v>5000</v>
      </c>
      <c r="J1854" s="187">
        <v>40000</v>
      </c>
      <c r="K1854" s="30">
        <f t="shared" si="1936"/>
        <v>5000</v>
      </c>
      <c r="L1854" s="187">
        <v>40000</v>
      </c>
      <c r="M1854" s="110">
        <v>9.5</v>
      </c>
      <c r="N1854" s="9">
        <f>VLOOKUP(DATE(YEAR(A1854),MONTH(A1854),DAY(A1854)),FY24_Temp[],3,FALSE)</f>
        <v>15.49</v>
      </c>
      <c r="O1854" s="110">
        <f t="shared" si="1922"/>
        <v>11.5</v>
      </c>
      <c r="P1854" s="110">
        <f t="shared" si="1923"/>
        <v>19.5</v>
      </c>
      <c r="Q1854" s="79">
        <f>VLOOKUP(VLOOKUP(DATEVALUE(TEXT(A1854,"m/d/yyyy")),FY24_Temp[],5,FALSE)&amp;TEXT(A1854,"-h"),TempDelta[],4,FALSE)</f>
        <v>2.2029999664851596</v>
      </c>
      <c r="R1854">
        <v>10</v>
      </c>
      <c r="S1854" s="112">
        <v>1500</v>
      </c>
      <c r="T1854" s="5">
        <f>VLOOKUP(TEXT(A1854,"yy-mm")&amp;"-"&amp;IF(AND(WEEKDAY(A1854)&gt;1,WEEKDAY(A1854)&lt;7),"Wkd",TEXT(A1854,"Ddd"))&amp;"-"&amp;TEXT(A1854,"hh"),LoadTable[],3,FALSE)*0.92</f>
        <v>289.3264287764718</v>
      </c>
      <c r="U1854" s="113">
        <f t="shared" si="1924"/>
        <v>28.932642877647179</v>
      </c>
      <c r="V1854">
        <f t="shared" ref="V1854:W1854" si="1988">V1830</f>
        <v>2.7</v>
      </c>
      <c r="W1854">
        <f t="shared" si="1988"/>
        <v>3.2</v>
      </c>
      <c r="X1854" s="9">
        <v>-19.958801116666599</v>
      </c>
      <c r="Y1854" s="39"/>
    </row>
    <row r="1855" spans="1:25" ht="15" thickBot="1">
      <c r="A1855" s="149">
        <f t="shared" si="1978"/>
        <v>45913.166666664154</v>
      </c>
      <c r="B1855" s="30">
        <f t="shared" si="1933"/>
        <v>5000</v>
      </c>
      <c r="C1855" s="8">
        <v>25000</v>
      </c>
      <c r="D1855" s="187">
        <v>0</v>
      </c>
      <c r="E1855" s="187">
        <v>700</v>
      </c>
      <c r="F1855" s="187">
        <v>15000</v>
      </c>
      <c r="G1855" s="30">
        <f t="shared" si="1934"/>
        <v>2400</v>
      </c>
      <c r="H1855" s="8">
        <v>25000</v>
      </c>
      <c r="I1855" s="30">
        <f t="shared" si="1935"/>
        <v>5000</v>
      </c>
      <c r="J1855" s="187">
        <v>40000</v>
      </c>
      <c r="K1855" s="30">
        <f t="shared" si="1936"/>
        <v>5000</v>
      </c>
      <c r="L1855" s="187">
        <v>40000</v>
      </c>
      <c r="M1855" s="110">
        <v>9.5</v>
      </c>
      <c r="N1855" s="9">
        <f>VLOOKUP(DATE(YEAR(A1855),MONTH(A1855),DAY(A1855)),FY24_Temp[],3,FALSE)</f>
        <v>15.49</v>
      </c>
      <c r="O1855" s="110">
        <f t="shared" si="1922"/>
        <v>11.5</v>
      </c>
      <c r="P1855" s="110">
        <f t="shared" si="1923"/>
        <v>19.5</v>
      </c>
      <c r="Q1855" s="79">
        <f>VLOOKUP(VLOOKUP(DATEVALUE(TEXT(A1855,"m/d/yyyy")),FY24_Temp[],5,FALSE)&amp;TEXT(A1855,"-h"),TempDelta[],4,FALSE)</f>
        <v>2.2338571548461914</v>
      </c>
      <c r="R1855">
        <v>10</v>
      </c>
      <c r="S1855" s="112">
        <v>1500</v>
      </c>
      <c r="T1855" s="5">
        <f>VLOOKUP(TEXT(A1855,"yy-mm")&amp;"-"&amp;IF(AND(WEEKDAY(A1855)&gt;1,WEEKDAY(A1855)&lt;7),"Wkd",TEXT(A1855,"Ddd"))&amp;"-"&amp;TEXT(A1855,"hh"),LoadTable[],3,FALSE)*0.92</f>
        <v>289.3264287764718</v>
      </c>
      <c r="U1855" s="113">
        <f t="shared" si="1924"/>
        <v>28.932642877647179</v>
      </c>
      <c r="V1855">
        <f t="shared" ref="V1855:W1855" si="1989">V1831</f>
        <v>3</v>
      </c>
      <c r="W1855">
        <f t="shared" si="1989"/>
        <v>3.1</v>
      </c>
      <c r="X1855" s="9">
        <v>-20.036595666666599</v>
      </c>
      <c r="Y1855" s="39"/>
    </row>
    <row r="1856" spans="1:25" ht="15" thickBot="1">
      <c r="A1856" s="149">
        <f t="shared" si="1978"/>
        <v>45913.208333330818</v>
      </c>
      <c r="B1856" s="30">
        <f t="shared" si="1933"/>
        <v>5000</v>
      </c>
      <c r="C1856" s="8">
        <v>25000</v>
      </c>
      <c r="D1856" s="187">
        <v>0</v>
      </c>
      <c r="E1856" s="187">
        <v>700</v>
      </c>
      <c r="F1856" s="187">
        <v>15000</v>
      </c>
      <c r="G1856" s="30">
        <f t="shared" si="1934"/>
        <v>2400</v>
      </c>
      <c r="H1856" s="8">
        <v>25000</v>
      </c>
      <c r="I1856" s="30">
        <f t="shared" si="1935"/>
        <v>5000</v>
      </c>
      <c r="J1856" s="187">
        <v>40000</v>
      </c>
      <c r="K1856" s="30">
        <f t="shared" si="1936"/>
        <v>5000</v>
      </c>
      <c r="L1856" s="187">
        <v>40000</v>
      </c>
      <c r="M1856" s="110">
        <v>9.5</v>
      </c>
      <c r="N1856" s="9">
        <f>VLOOKUP(DATE(YEAR(A1856),MONTH(A1856),DAY(A1856)),FY24_Temp[],3,FALSE)</f>
        <v>15.49</v>
      </c>
      <c r="O1856" s="110">
        <f t="shared" si="1922"/>
        <v>11.5</v>
      </c>
      <c r="P1856" s="110">
        <f t="shared" si="1923"/>
        <v>19.5</v>
      </c>
      <c r="Q1856" s="79">
        <f>VLOOKUP(VLOOKUP(DATEVALUE(TEXT(A1856,"m/d/yyyy")),FY24_Temp[],5,FALSE)&amp;TEXT(A1856,"-h"),TempDelta[],4,FALSE)</f>
        <v>2.3308571066175188</v>
      </c>
      <c r="R1856">
        <v>10</v>
      </c>
      <c r="S1856" s="112">
        <v>1500</v>
      </c>
      <c r="T1856" s="5">
        <f>VLOOKUP(TEXT(A1856,"yy-mm")&amp;"-"&amp;IF(AND(WEEKDAY(A1856)&gt;1,WEEKDAY(A1856)&lt;7),"Wkd",TEXT(A1856,"Ddd"))&amp;"-"&amp;TEXT(A1856,"hh"),LoadTable[],3,FALSE)*0.92</f>
        <v>289.3264287764718</v>
      </c>
      <c r="U1856" s="113">
        <f t="shared" si="1924"/>
        <v>28.932642877647179</v>
      </c>
      <c r="V1856">
        <f t="shared" ref="V1856:W1856" si="1990">V1832</f>
        <v>2.9</v>
      </c>
      <c r="W1856">
        <f t="shared" si="1990"/>
        <v>3.1</v>
      </c>
      <c r="X1856" s="9">
        <v>-20.1143902166666</v>
      </c>
      <c r="Y1856" s="39"/>
    </row>
    <row r="1857" spans="1:25" ht="15" thickBot="1">
      <c r="A1857" s="149">
        <f t="shared" si="1978"/>
        <v>45913.249999997483</v>
      </c>
      <c r="B1857" s="30">
        <f t="shared" si="1933"/>
        <v>8000</v>
      </c>
      <c r="C1857" s="8">
        <v>25000</v>
      </c>
      <c r="D1857" s="187">
        <v>0</v>
      </c>
      <c r="E1857" s="187">
        <v>700</v>
      </c>
      <c r="F1857" s="187">
        <v>15000</v>
      </c>
      <c r="G1857" s="30">
        <f t="shared" si="1934"/>
        <v>2400</v>
      </c>
      <c r="H1857" s="8">
        <v>25000</v>
      </c>
      <c r="I1857" s="30">
        <f t="shared" si="1935"/>
        <v>8000</v>
      </c>
      <c r="J1857" s="187">
        <v>40000</v>
      </c>
      <c r="K1857" s="30">
        <f t="shared" si="1936"/>
        <v>8000</v>
      </c>
      <c r="L1857" s="187">
        <v>40000</v>
      </c>
      <c r="M1857" s="110">
        <v>9.5</v>
      </c>
      <c r="N1857" s="9">
        <f>VLOOKUP(DATE(YEAR(A1857),MONTH(A1857),DAY(A1857)),FY24_Temp[],3,FALSE)</f>
        <v>15.49</v>
      </c>
      <c r="O1857" s="110">
        <f t="shared" si="1922"/>
        <v>11.5</v>
      </c>
      <c r="P1857" s="110">
        <f t="shared" si="1923"/>
        <v>19.5</v>
      </c>
      <c r="Q1857" s="79">
        <f>VLOOKUP(VLOOKUP(DATEVALUE(TEXT(A1857,"m/d/yyyy")),FY24_Temp[],5,FALSE)&amp;TEXT(A1857,"-h"),TempDelta[],4,FALSE)</f>
        <v>2.2878571578434537</v>
      </c>
      <c r="R1857">
        <v>10</v>
      </c>
      <c r="S1857" s="112">
        <v>1500</v>
      </c>
      <c r="T1857" s="5">
        <f>VLOOKUP(TEXT(A1857,"yy-mm")&amp;"-"&amp;IF(AND(WEEKDAY(A1857)&gt;1,WEEKDAY(A1857)&lt;7),"Wkd",TEXT(A1857,"Ddd"))&amp;"-"&amp;TEXT(A1857,"hh"),LoadTable[],3,FALSE)*0.92</f>
        <v>289.3264287764718</v>
      </c>
      <c r="U1857" s="113">
        <f t="shared" si="1924"/>
        <v>28.932642877647179</v>
      </c>
      <c r="V1857">
        <f t="shared" ref="V1857:W1857" si="1991">V1833</f>
        <v>2.5</v>
      </c>
      <c r="W1857">
        <f t="shared" si="1991"/>
        <v>3.1</v>
      </c>
      <c r="X1857" s="9">
        <v>-20.1921847666666</v>
      </c>
      <c r="Y1857" s="39"/>
    </row>
    <row r="1858" spans="1:25" ht="15" thickBot="1">
      <c r="A1858" s="149">
        <f t="shared" si="1978"/>
        <v>45913.291666664147</v>
      </c>
      <c r="B1858" s="30">
        <f t="shared" si="1933"/>
        <v>8000</v>
      </c>
      <c r="C1858" s="8">
        <v>25000</v>
      </c>
      <c r="D1858" s="187">
        <v>0</v>
      </c>
      <c r="E1858" s="187">
        <v>700</v>
      </c>
      <c r="F1858" s="187">
        <v>15000</v>
      </c>
      <c r="G1858" s="30">
        <f t="shared" si="1934"/>
        <v>2400</v>
      </c>
      <c r="H1858" s="8">
        <v>25000</v>
      </c>
      <c r="I1858" s="30">
        <f t="shared" si="1935"/>
        <v>8000</v>
      </c>
      <c r="J1858" s="187">
        <v>40000</v>
      </c>
      <c r="K1858" s="30">
        <f t="shared" si="1936"/>
        <v>8000</v>
      </c>
      <c r="L1858" s="187">
        <v>40000</v>
      </c>
      <c r="M1858" s="110">
        <v>9.5</v>
      </c>
      <c r="N1858" s="9">
        <f>VLOOKUP(DATE(YEAR(A1858),MONTH(A1858),DAY(A1858)),FY24_Temp[],3,FALSE)</f>
        <v>15.49</v>
      </c>
      <c r="O1858" s="110">
        <f t="shared" si="1922"/>
        <v>11.5</v>
      </c>
      <c r="P1858" s="110">
        <f t="shared" si="1923"/>
        <v>19.5</v>
      </c>
      <c r="Q1858" s="79">
        <f>VLOOKUP(VLOOKUP(DATEVALUE(TEXT(A1858,"m/d/yyyy")),FY24_Temp[],5,FALSE)&amp;TEXT(A1858,"-h"),TempDelta[],4,FALSE)</f>
        <v>2.1535714353833879</v>
      </c>
      <c r="R1858">
        <v>10</v>
      </c>
      <c r="S1858" s="112">
        <v>1500</v>
      </c>
      <c r="T1858" s="5">
        <f>VLOOKUP(TEXT(A1858,"yy-mm")&amp;"-"&amp;IF(AND(WEEKDAY(A1858)&gt;1,WEEKDAY(A1858)&lt;7),"Wkd",TEXT(A1858,"Ddd"))&amp;"-"&amp;TEXT(A1858,"hh"),LoadTable[],3,FALSE)*0.92</f>
        <v>289.3264287764718</v>
      </c>
      <c r="U1858" s="113">
        <f t="shared" si="1924"/>
        <v>28.932642877647179</v>
      </c>
      <c r="V1858">
        <f t="shared" ref="V1858:W1858" si="1992">V1834</f>
        <v>2.5</v>
      </c>
      <c r="W1858">
        <f t="shared" si="1992"/>
        <v>3.1</v>
      </c>
      <c r="X1858" s="9">
        <v>-20.2699793166666</v>
      </c>
      <c r="Y1858" s="39"/>
    </row>
    <row r="1859" spans="1:25" ht="15" thickBot="1">
      <c r="A1859" s="149">
        <f t="shared" si="1978"/>
        <v>45913.333333330811</v>
      </c>
      <c r="B1859" s="30">
        <f t="shared" si="1933"/>
        <v>8000</v>
      </c>
      <c r="C1859" s="8">
        <v>25000</v>
      </c>
      <c r="D1859" s="187">
        <v>0</v>
      </c>
      <c r="E1859" s="187">
        <v>700</v>
      </c>
      <c r="F1859" s="187">
        <v>15000</v>
      </c>
      <c r="G1859" s="30">
        <f t="shared" si="1934"/>
        <v>2400</v>
      </c>
      <c r="H1859" s="8">
        <v>25000</v>
      </c>
      <c r="I1859" s="30">
        <f t="shared" si="1935"/>
        <v>8000</v>
      </c>
      <c r="J1859" s="187">
        <v>40000</v>
      </c>
      <c r="K1859" s="30">
        <f t="shared" si="1936"/>
        <v>8000</v>
      </c>
      <c r="L1859" s="187">
        <v>40000</v>
      </c>
      <c r="M1859" s="110">
        <v>9.5</v>
      </c>
      <c r="N1859" s="9">
        <f>VLOOKUP(DATE(YEAR(A1859),MONTH(A1859),DAY(A1859)),FY24_Temp[],3,FALSE)</f>
        <v>15.49</v>
      </c>
      <c r="O1859" s="110">
        <f t="shared" si="1922"/>
        <v>11.5</v>
      </c>
      <c r="P1859" s="110">
        <f t="shared" si="1923"/>
        <v>19.5</v>
      </c>
      <c r="Q1859" s="79">
        <f>VLOOKUP(VLOOKUP(DATEVALUE(TEXT(A1859,"m/d/yyyy")),FY24_Temp[],5,FALSE)&amp;TEXT(A1859,"-h"),TempDelta[],4,FALSE)</f>
        <v>1.9890000138963972</v>
      </c>
      <c r="R1859">
        <v>10</v>
      </c>
      <c r="S1859" s="112">
        <v>1500</v>
      </c>
      <c r="T1859" s="5">
        <f>VLOOKUP(TEXT(A1859,"yy-mm")&amp;"-"&amp;IF(AND(WEEKDAY(A1859)&gt;1,WEEKDAY(A1859)&lt;7),"Wkd",TEXT(A1859,"Ddd"))&amp;"-"&amp;TEXT(A1859,"hh"),LoadTable[],3,FALSE)*0.92</f>
        <v>289.32996596071712</v>
      </c>
      <c r="U1859" s="113">
        <f t="shared" si="1924"/>
        <v>28.93299659607171</v>
      </c>
      <c r="V1859">
        <f t="shared" ref="V1859:W1859" si="1993">V1835</f>
        <v>3.2</v>
      </c>
      <c r="W1859">
        <f t="shared" si="1993"/>
        <v>3</v>
      </c>
      <c r="X1859" s="9">
        <v>-20.3477738666666</v>
      </c>
      <c r="Y1859" s="39"/>
    </row>
    <row r="1860" spans="1:25" ht="15" thickBot="1">
      <c r="A1860" s="149">
        <f t="shared" si="1978"/>
        <v>45913.374999997475</v>
      </c>
      <c r="B1860" s="30">
        <f t="shared" si="1933"/>
        <v>8000</v>
      </c>
      <c r="C1860" s="8">
        <v>25000</v>
      </c>
      <c r="D1860" s="187">
        <v>0</v>
      </c>
      <c r="E1860" s="187">
        <v>700</v>
      </c>
      <c r="F1860" s="187">
        <v>15000</v>
      </c>
      <c r="G1860" s="30">
        <f t="shared" si="1934"/>
        <v>2400</v>
      </c>
      <c r="H1860" s="8">
        <v>25000</v>
      </c>
      <c r="I1860" s="30">
        <f t="shared" si="1935"/>
        <v>8000</v>
      </c>
      <c r="J1860" s="187">
        <v>40000</v>
      </c>
      <c r="K1860" s="30">
        <f t="shared" si="1936"/>
        <v>8000</v>
      </c>
      <c r="L1860" s="187">
        <v>40000</v>
      </c>
      <c r="M1860" s="110">
        <v>9.5</v>
      </c>
      <c r="N1860" s="9">
        <f>VLOOKUP(DATE(YEAR(A1860),MONTH(A1860),DAY(A1860)),FY24_Temp[],3,FALSE)</f>
        <v>15.49</v>
      </c>
      <c r="O1860" s="110">
        <f t="shared" ref="O1860:O1923" si="1994">15.5-4</f>
        <v>11.5</v>
      </c>
      <c r="P1860" s="110">
        <f t="shared" ref="P1860:P1923" si="1995">15.5+4</f>
        <v>19.5</v>
      </c>
      <c r="Q1860" s="79">
        <f>VLOOKUP(VLOOKUP(DATEVALUE(TEXT(A1860,"m/d/yyyy")),FY24_Temp[],5,FALSE)&amp;TEXT(A1860,"-h"),TempDelta[],4,FALSE)</f>
        <v>1.8358571359089442</v>
      </c>
      <c r="R1860">
        <v>10</v>
      </c>
      <c r="S1860" s="112">
        <v>1500</v>
      </c>
      <c r="T1860" s="5">
        <f>VLOOKUP(TEXT(A1860,"yy-mm")&amp;"-"&amp;IF(AND(WEEKDAY(A1860)&gt;1,WEEKDAY(A1860)&lt;7),"Wkd",TEXT(A1860,"Ddd"))&amp;"-"&amp;TEXT(A1860,"hh"),LoadTable[],3,FALSE)*0.92</f>
        <v>289.32996596071712</v>
      </c>
      <c r="U1860" s="113">
        <f t="shared" ref="U1860:U1923" si="1996">T1860/10</f>
        <v>28.93299659607171</v>
      </c>
      <c r="V1860">
        <f t="shared" ref="V1860:W1860" si="1997">V1836</f>
        <v>2.9</v>
      </c>
      <c r="W1860">
        <f t="shared" si="1997"/>
        <v>3</v>
      </c>
      <c r="X1860" s="9">
        <v>-20.4255684166666</v>
      </c>
      <c r="Y1860" s="39"/>
    </row>
    <row r="1861" spans="1:25" ht="15" thickBot="1">
      <c r="A1861" s="149">
        <f t="shared" si="1978"/>
        <v>45913.416666664139</v>
      </c>
      <c r="B1861" s="30">
        <f t="shared" si="1933"/>
        <v>8000</v>
      </c>
      <c r="C1861" s="8">
        <v>25000</v>
      </c>
      <c r="D1861" s="187">
        <v>0</v>
      </c>
      <c r="E1861" s="187">
        <v>700</v>
      </c>
      <c r="F1861" s="187">
        <v>15000</v>
      </c>
      <c r="G1861" s="30">
        <f t="shared" si="1934"/>
        <v>2400</v>
      </c>
      <c r="H1861" s="8">
        <v>25000</v>
      </c>
      <c r="I1861" s="30">
        <f t="shared" si="1935"/>
        <v>8000</v>
      </c>
      <c r="J1861" s="187">
        <v>40000</v>
      </c>
      <c r="K1861" s="30">
        <f t="shared" si="1936"/>
        <v>8000</v>
      </c>
      <c r="L1861" s="187">
        <v>40000</v>
      </c>
      <c r="M1861" s="110">
        <v>9.5</v>
      </c>
      <c r="N1861" s="9">
        <f>VLOOKUP(DATE(YEAR(A1861),MONTH(A1861),DAY(A1861)),FY24_Temp[],3,FALSE)</f>
        <v>15.49</v>
      </c>
      <c r="O1861" s="110">
        <f t="shared" si="1994"/>
        <v>11.5</v>
      </c>
      <c r="P1861" s="110">
        <f t="shared" si="1995"/>
        <v>19.5</v>
      </c>
      <c r="Q1861" s="79">
        <f>VLOOKUP(VLOOKUP(DATEVALUE(TEXT(A1861,"m/d/yyyy")),FY24_Temp[],5,FALSE)&amp;TEXT(A1861,"-h"),TempDelta[],4,FALSE)</f>
        <v>1.6792856965746199</v>
      </c>
      <c r="R1861">
        <v>10</v>
      </c>
      <c r="S1861" s="112">
        <v>1500</v>
      </c>
      <c r="T1861" s="5">
        <f>VLOOKUP(TEXT(A1861,"yy-mm")&amp;"-"&amp;IF(AND(WEEKDAY(A1861)&gt;1,WEEKDAY(A1861)&lt;7),"Wkd",TEXT(A1861,"Ddd"))&amp;"-"&amp;TEXT(A1861,"hh"),LoadTable[],3,FALSE)*0.92</f>
        <v>289.32996596071712</v>
      </c>
      <c r="U1861" s="113">
        <f t="shared" si="1996"/>
        <v>28.93299659607171</v>
      </c>
      <c r="V1861">
        <f t="shared" ref="V1861:W1861" si="1998">V1837</f>
        <v>2.9</v>
      </c>
      <c r="W1861">
        <f t="shared" si="1998"/>
        <v>3</v>
      </c>
      <c r="X1861" s="9">
        <v>-20.5033629666666</v>
      </c>
      <c r="Y1861" s="39"/>
    </row>
    <row r="1862" spans="1:25" ht="15" thickBot="1">
      <c r="A1862" s="149">
        <f t="shared" si="1978"/>
        <v>45913.458333330804</v>
      </c>
      <c r="B1862" s="30">
        <f t="shared" si="1933"/>
        <v>8000</v>
      </c>
      <c r="C1862" s="8">
        <v>25000</v>
      </c>
      <c r="D1862" s="187">
        <v>0</v>
      </c>
      <c r="E1862" s="187">
        <v>700</v>
      </c>
      <c r="F1862" s="187">
        <v>15000</v>
      </c>
      <c r="G1862" s="30">
        <f t="shared" si="1934"/>
        <v>2400</v>
      </c>
      <c r="H1862" s="8">
        <v>25000</v>
      </c>
      <c r="I1862" s="30">
        <f t="shared" si="1935"/>
        <v>8000</v>
      </c>
      <c r="J1862" s="187">
        <v>40000</v>
      </c>
      <c r="K1862" s="30">
        <f t="shared" si="1936"/>
        <v>8000</v>
      </c>
      <c r="L1862" s="187">
        <v>40000</v>
      </c>
      <c r="M1862" s="110">
        <v>9.5</v>
      </c>
      <c r="N1862" s="9">
        <f>VLOOKUP(DATE(YEAR(A1862),MONTH(A1862),DAY(A1862)),FY24_Temp[],3,FALSE)</f>
        <v>15.49</v>
      </c>
      <c r="O1862" s="110">
        <f t="shared" si="1994"/>
        <v>11.5</v>
      </c>
      <c r="P1862" s="110">
        <f t="shared" si="1995"/>
        <v>19.5</v>
      </c>
      <c r="Q1862" s="79">
        <f>VLOOKUP(VLOOKUP(DATEVALUE(TEXT(A1862,"m/d/yyyy")),FY24_Temp[],5,FALSE)&amp;TEXT(A1862,"-h"),TempDelta[],4,FALSE)</f>
        <v>1.4937142814908708</v>
      </c>
      <c r="R1862">
        <v>10</v>
      </c>
      <c r="S1862" s="112">
        <v>1500</v>
      </c>
      <c r="T1862" s="5">
        <f>VLOOKUP(TEXT(A1862,"yy-mm")&amp;"-"&amp;IF(AND(WEEKDAY(A1862)&gt;1,WEEKDAY(A1862)&lt;7),"Wkd",TEXT(A1862,"Ddd"))&amp;"-"&amp;TEXT(A1862,"hh"),LoadTable[],3,FALSE)*0.92</f>
        <v>289.32996596071712</v>
      </c>
      <c r="U1862" s="113">
        <f t="shared" si="1996"/>
        <v>28.93299659607171</v>
      </c>
      <c r="V1862">
        <f t="shared" ref="V1862:W1862" si="1999">V1838</f>
        <v>3.4</v>
      </c>
      <c r="W1862">
        <f t="shared" si="1999"/>
        <v>3</v>
      </c>
      <c r="X1862" s="9">
        <v>-20.5811575166666</v>
      </c>
      <c r="Y1862" s="39"/>
    </row>
    <row r="1863" spans="1:25" ht="15" thickBot="1">
      <c r="A1863" s="149">
        <f t="shared" si="1978"/>
        <v>45913.499999997468</v>
      </c>
      <c r="B1863" s="30">
        <f t="shared" si="1933"/>
        <v>8000</v>
      </c>
      <c r="C1863" s="8">
        <v>25000</v>
      </c>
      <c r="D1863" s="187">
        <v>0</v>
      </c>
      <c r="E1863" s="187">
        <v>700</v>
      </c>
      <c r="F1863" s="187">
        <v>15000</v>
      </c>
      <c r="G1863" s="30">
        <f t="shared" si="1934"/>
        <v>2400</v>
      </c>
      <c r="H1863" s="8">
        <v>25000</v>
      </c>
      <c r="I1863" s="30">
        <f t="shared" si="1935"/>
        <v>8000</v>
      </c>
      <c r="J1863" s="187">
        <v>40000</v>
      </c>
      <c r="K1863" s="30">
        <f t="shared" si="1936"/>
        <v>8000</v>
      </c>
      <c r="L1863" s="187">
        <v>40000</v>
      </c>
      <c r="M1863" s="110">
        <v>9.5</v>
      </c>
      <c r="N1863" s="9">
        <f>VLOOKUP(DATE(YEAR(A1863),MONTH(A1863),DAY(A1863)),FY24_Temp[],3,FALSE)</f>
        <v>15.49</v>
      </c>
      <c r="O1863" s="110">
        <f t="shared" si="1994"/>
        <v>11.5</v>
      </c>
      <c r="P1863" s="110">
        <f t="shared" si="1995"/>
        <v>19.5</v>
      </c>
      <c r="Q1863" s="79">
        <f>VLOOKUP(VLOOKUP(DATEVALUE(TEXT(A1863,"m/d/yyyy")),FY24_Temp[],5,FALSE)&amp;TEXT(A1863,"-h"),TempDelta[],4,FALSE)</f>
        <v>1.3148571423121862</v>
      </c>
      <c r="R1863">
        <v>10</v>
      </c>
      <c r="S1863" s="112">
        <v>1500</v>
      </c>
      <c r="T1863" s="5">
        <f>VLOOKUP(TEXT(A1863,"yy-mm")&amp;"-"&amp;IF(AND(WEEKDAY(A1863)&gt;1,WEEKDAY(A1863)&lt;7),"Wkd",TEXT(A1863,"Ddd"))&amp;"-"&amp;TEXT(A1863,"hh"),LoadTable[],3,FALSE)*0.92</f>
        <v>289.32996596071712</v>
      </c>
      <c r="U1863" s="113">
        <f t="shared" si="1996"/>
        <v>28.93299659607171</v>
      </c>
      <c r="V1863">
        <f t="shared" ref="V1863:W1863" si="2000">V1839</f>
        <v>3.1</v>
      </c>
      <c r="W1863">
        <f t="shared" si="2000"/>
        <v>2.9</v>
      </c>
      <c r="X1863" s="9">
        <v>-20.6589520666666</v>
      </c>
      <c r="Y1863" s="39"/>
    </row>
    <row r="1864" spans="1:25" ht="15" thickBot="1">
      <c r="A1864" s="149">
        <f t="shared" si="1978"/>
        <v>45913.541666664132</v>
      </c>
      <c r="B1864" s="30">
        <f t="shared" si="1933"/>
        <v>8000</v>
      </c>
      <c r="C1864" s="8">
        <v>25000</v>
      </c>
      <c r="D1864" s="187">
        <v>0</v>
      </c>
      <c r="E1864" s="187">
        <v>700</v>
      </c>
      <c r="F1864" s="187">
        <v>15000</v>
      </c>
      <c r="G1864" s="30">
        <f t="shared" si="1934"/>
        <v>2400</v>
      </c>
      <c r="H1864" s="8">
        <v>25000</v>
      </c>
      <c r="I1864" s="30">
        <f t="shared" si="1935"/>
        <v>8000</v>
      </c>
      <c r="J1864" s="187">
        <v>40000</v>
      </c>
      <c r="K1864" s="30">
        <f t="shared" si="1936"/>
        <v>8000</v>
      </c>
      <c r="L1864" s="187">
        <v>40000</v>
      </c>
      <c r="M1864" s="110">
        <v>9.5</v>
      </c>
      <c r="N1864" s="9">
        <f>VLOOKUP(DATE(YEAR(A1864),MONTH(A1864),DAY(A1864)),FY24_Temp[],3,FALSE)</f>
        <v>15.49</v>
      </c>
      <c r="O1864" s="110">
        <f t="shared" si="1994"/>
        <v>11.5</v>
      </c>
      <c r="P1864" s="110">
        <f t="shared" si="1995"/>
        <v>19.5</v>
      </c>
      <c r="Q1864" s="79">
        <f>VLOOKUP(VLOOKUP(DATEVALUE(TEXT(A1864,"m/d/yyyy")),FY24_Temp[],5,FALSE)&amp;TEXT(A1864,"-h"),TempDelta[],4,FALSE)</f>
        <v>1.1432857002530779</v>
      </c>
      <c r="R1864">
        <v>10</v>
      </c>
      <c r="S1864" s="112">
        <v>1500</v>
      </c>
      <c r="T1864" s="5">
        <f>VLOOKUP(TEXT(A1864,"yy-mm")&amp;"-"&amp;IF(AND(WEEKDAY(A1864)&gt;1,WEEKDAY(A1864)&lt;7),"Wkd",TEXT(A1864,"Ddd"))&amp;"-"&amp;TEXT(A1864,"hh"),LoadTable[],3,FALSE)*0.92</f>
        <v>289.32996596071712</v>
      </c>
      <c r="U1864" s="113">
        <f t="shared" si="1996"/>
        <v>28.93299659607171</v>
      </c>
      <c r="V1864">
        <f t="shared" ref="V1864:W1864" si="2001">V1840</f>
        <v>3.2</v>
      </c>
      <c r="W1864">
        <f t="shared" si="2001"/>
        <v>2.9</v>
      </c>
      <c r="X1864" s="9">
        <v>-20.736746616666601</v>
      </c>
      <c r="Y1864" s="39"/>
    </row>
    <row r="1865" spans="1:25" ht="15" thickBot="1">
      <c r="A1865" s="149">
        <f t="shared" si="1978"/>
        <v>45913.583333330796</v>
      </c>
      <c r="B1865" s="30">
        <f t="shared" si="1933"/>
        <v>8000</v>
      </c>
      <c r="C1865" s="8">
        <v>25000</v>
      </c>
      <c r="D1865" s="187">
        <v>0</v>
      </c>
      <c r="E1865" s="187">
        <v>700</v>
      </c>
      <c r="F1865" s="187">
        <v>15000</v>
      </c>
      <c r="G1865" s="30">
        <f t="shared" si="1934"/>
        <v>2400</v>
      </c>
      <c r="H1865" s="8">
        <v>25000</v>
      </c>
      <c r="I1865" s="30">
        <f t="shared" si="1935"/>
        <v>8000</v>
      </c>
      <c r="J1865" s="187">
        <v>40000</v>
      </c>
      <c r="K1865" s="30">
        <f t="shared" si="1936"/>
        <v>8000</v>
      </c>
      <c r="L1865" s="187">
        <v>40000</v>
      </c>
      <c r="M1865" s="110">
        <v>9.5</v>
      </c>
      <c r="N1865" s="9">
        <f>VLOOKUP(DATE(YEAR(A1865),MONTH(A1865),DAY(A1865)),FY24_Temp[],3,FALSE)</f>
        <v>15.49</v>
      </c>
      <c r="O1865" s="110">
        <f t="shared" si="1994"/>
        <v>11.5</v>
      </c>
      <c r="P1865" s="110">
        <f t="shared" si="1995"/>
        <v>19.5</v>
      </c>
      <c r="Q1865" s="79">
        <f>VLOOKUP(VLOOKUP(DATEVALUE(TEXT(A1865,"m/d/yyyy")),FY24_Temp[],5,FALSE)&amp;TEXT(A1865,"-h"),TempDelta[],4,FALSE)</f>
        <v>0.98585713761193416</v>
      </c>
      <c r="R1865">
        <v>10</v>
      </c>
      <c r="S1865" s="112">
        <v>1500</v>
      </c>
      <c r="T1865" s="5">
        <f>VLOOKUP(TEXT(A1865,"yy-mm")&amp;"-"&amp;IF(AND(WEEKDAY(A1865)&gt;1,WEEKDAY(A1865)&lt;7),"Wkd",TEXT(A1865,"Ddd"))&amp;"-"&amp;TEXT(A1865,"hh"),LoadTable[],3,FALSE)*0.92</f>
        <v>358.02812000000006</v>
      </c>
      <c r="U1865" s="113">
        <f t="shared" si="1996"/>
        <v>35.802812000000003</v>
      </c>
      <c r="V1865">
        <f t="shared" ref="V1865:W1865" si="2002">V1841</f>
        <v>3.5</v>
      </c>
      <c r="W1865">
        <f t="shared" si="2002"/>
        <v>2.9</v>
      </c>
      <c r="X1865" s="9">
        <v>-20.814541166666601</v>
      </c>
      <c r="Y1865" s="39"/>
    </row>
    <row r="1866" spans="1:25" ht="15" thickBot="1">
      <c r="A1866" s="149">
        <f t="shared" si="1978"/>
        <v>45913.624999997461</v>
      </c>
      <c r="B1866" s="30">
        <f t="shared" si="1933"/>
        <v>8000</v>
      </c>
      <c r="C1866" s="8">
        <v>25000</v>
      </c>
      <c r="D1866" s="187">
        <v>0</v>
      </c>
      <c r="E1866" s="187">
        <v>700</v>
      </c>
      <c r="F1866" s="187">
        <v>15000</v>
      </c>
      <c r="G1866" s="30">
        <f t="shared" si="1934"/>
        <v>2400</v>
      </c>
      <c r="H1866" s="8">
        <v>25000</v>
      </c>
      <c r="I1866" s="30">
        <f t="shared" si="1935"/>
        <v>8000</v>
      </c>
      <c r="J1866" s="187">
        <v>40000</v>
      </c>
      <c r="K1866" s="30">
        <f t="shared" si="1936"/>
        <v>8000</v>
      </c>
      <c r="L1866" s="187">
        <v>40000</v>
      </c>
      <c r="M1866" s="110">
        <v>9.5</v>
      </c>
      <c r="N1866" s="9">
        <f>VLOOKUP(DATE(YEAR(A1866),MONTH(A1866),DAY(A1866)),FY24_Temp[],3,FALSE)</f>
        <v>15.49</v>
      </c>
      <c r="O1866" s="110">
        <f t="shared" si="1994"/>
        <v>11.5</v>
      </c>
      <c r="P1866" s="110">
        <f t="shared" si="1995"/>
        <v>19.5</v>
      </c>
      <c r="Q1866" s="79">
        <f>VLOOKUP(VLOOKUP(DATEVALUE(TEXT(A1866,"m/d/yyyy")),FY24_Temp[],5,FALSE)&amp;TEXT(A1866,"-h"),TempDelta[],4,FALSE)</f>
        <v>0.49378571685935768</v>
      </c>
      <c r="R1866">
        <v>10</v>
      </c>
      <c r="S1866" s="112">
        <v>1500</v>
      </c>
      <c r="T1866" s="5">
        <f>VLOOKUP(TEXT(A1866,"yy-mm")&amp;"-"&amp;IF(AND(WEEKDAY(A1866)&gt;1,WEEKDAY(A1866)&lt;7),"Wkd",TEXT(A1866,"Ddd"))&amp;"-"&amp;TEXT(A1866,"hh"),LoadTable[],3,FALSE)*0.92</f>
        <v>570.47816246622074</v>
      </c>
      <c r="U1866" s="113">
        <f t="shared" si="1996"/>
        <v>57.047816246622077</v>
      </c>
      <c r="V1866">
        <f t="shared" ref="V1866:W1866" si="2003">V1842</f>
        <v>3.2</v>
      </c>
      <c r="W1866">
        <f t="shared" si="2003"/>
        <v>2.9</v>
      </c>
      <c r="X1866" s="9">
        <v>-20.892335716666601</v>
      </c>
      <c r="Y1866" s="39"/>
    </row>
    <row r="1867" spans="1:25" ht="15" thickBot="1">
      <c r="A1867" s="149">
        <f t="shared" si="1978"/>
        <v>45913.666666664125</v>
      </c>
      <c r="B1867" s="30">
        <f t="shared" si="1933"/>
        <v>8000</v>
      </c>
      <c r="C1867" s="8">
        <v>25000</v>
      </c>
      <c r="D1867" s="187">
        <v>0</v>
      </c>
      <c r="E1867" s="187">
        <v>700</v>
      </c>
      <c r="F1867" s="187">
        <v>15000</v>
      </c>
      <c r="G1867" s="30">
        <f t="shared" si="1934"/>
        <v>2400</v>
      </c>
      <c r="H1867" s="8">
        <v>25000</v>
      </c>
      <c r="I1867" s="30">
        <f t="shared" si="1935"/>
        <v>8000</v>
      </c>
      <c r="J1867" s="187">
        <v>40000</v>
      </c>
      <c r="K1867" s="30">
        <f t="shared" si="1936"/>
        <v>8000</v>
      </c>
      <c r="L1867" s="187">
        <v>40000</v>
      </c>
      <c r="M1867" s="110">
        <v>9.5</v>
      </c>
      <c r="N1867" s="9">
        <f>VLOOKUP(DATE(YEAR(A1867),MONTH(A1867),DAY(A1867)),FY24_Temp[],3,FALSE)</f>
        <v>15.49</v>
      </c>
      <c r="O1867" s="110">
        <f t="shared" si="1994"/>
        <v>11.5</v>
      </c>
      <c r="P1867" s="110">
        <f t="shared" si="1995"/>
        <v>19.5</v>
      </c>
      <c r="Q1867" s="79">
        <f>VLOOKUP(VLOOKUP(DATEVALUE(TEXT(A1867,"m/d/yyyy")),FY24_Temp[],5,FALSE)&amp;TEXT(A1867,"-h"),TempDelta[],4,FALSE)</f>
        <v>0.57192856445908546</v>
      </c>
      <c r="R1867">
        <v>10</v>
      </c>
      <c r="S1867" s="112">
        <v>1500</v>
      </c>
      <c r="T1867" s="5">
        <f>VLOOKUP(TEXT(A1867,"yy-mm")&amp;"-"&amp;IF(AND(WEEKDAY(A1867)&gt;1,WEEKDAY(A1867)&lt;7),"Wkd",TEXT(A1867,"Ddd"))&amp;"-"&amp;TEXT(A1867,"hh"),LoadTable[],3,FALSE)*0.92</f>
        <v>600.51223261108817</v>
      </c>
      <c r="U1867" s="113">
        <f t="shared" si="1996"/>
        <v>60.051223261108817</v>
      </c>
      <c r="V1867">
        <f t="shared" ref="V1867:W1867" si="2004">V1843</f>
        <v>3.5</v>
      </c>
      <c r="W1867">
        <f t="shared" si="2004"/>
        <v>3</v>
      </c>
      <c r="X1867" s="9">
        <v>-20.970130266666601</v>
      </c>
      <c r="Y1867" s="39"/>
    </row>
    <row r="1868" spans="1:25" ht="15" thickBot="1">
      <c r="A1868" s="149">
        <f t="shared" si="1978"/>
        <v>45913.708333330789</v>
      </c>
      <c r="B1868" s="30">
        <f t="shared" ref="B1868:B1931" si="2005">B1844</f>
        <v>8000</v>
      </c>
      <c r="C1868" s="8">
        <v>25000</v>
      </c>
      <c r="D1868" s="187">
        <v>0</v>
      </c>
      <c r="E1868" s="187">
        <v>700</v>
      </c>
      <c r="F1868" s="187">
        <v>15000</v>
      </c>
      <c r="G1868" s="30">
        <f t="shared" ref="G1868:G1931" si="2006">G1844</f>
        <v>2400</v>
      </c>
      <c r="H1868" s="8">
        <v>25000</v>
      </c>
      <c r="I1868" s="30">
        <f t="shared" ref="I1868:I1931" si="2007">I1844</f>
        <v>8000</v>
      </c>
      <c r="J1868" s="187">
        <v>40000</v>
      </c>
      <c r="K1868" s="30">
        <f t="shared" ref="K1868:K1931" si="2008">K1844</f>
        <v>8000</v>
      </c>
      <c r="L1868" s="187">
        <v>40000</v>
      </c>
      <c r="M1868" s="110">
        <v>9.5</v>
      </c>
      <c r="N1868" s="9">
        <f>VLOOKUP(DATE(YEAR(A1868),MONTH(A1868),DAY(A1868)),FY24_Temp[],3,FALSE)</f>
        <v>15.49</v>
      </c>
      <c r="O1868" s="110">
        <f t="shared" si="1994"/>
        <v>11.5</v>
      </c>
      <c r="P1868" s="110">
        <f t="shared" si="1995"/>
        <v>19.5</v>
      </c>
      <c r="Q1868" s="79">
        <f>VLOOKUP(VLOOKUP(DATEVALUE(TEXT(A1868,"m/d/yyyy")),FY24_Temp[],5,FALSE)&amp;TEXT(A1868,"-h"),TempDelta[],4,FALSE)</f>
        <v>0.84400000103882378</v>
      </c>
      <c r="R1868">
        <v>10</v>
      </c>
      <c r="S1868" s="112">
        <v>1500</v>
      </c>
      <c r="T1868" s="5">
        <f>VLOOKUP(TEXT(A1868,"yy-mm")&amp;"-"&amp;IF(AND(WEEKDAY(A1868)&gt;1,WEEKDAY(A1868)&lt;7),"Wkd",TEXT(A1868,"Ddd"))&amp;"-"&amp;TEXT(A1868,"hh"),LoadTable[],3,FALSE)*0.92</f>
        <v>600.51223261108817</v>
      </c>
      <c r="U1868" s="113">
        <f t="shared" si="1996"/>
        <v>60.051223261108817</v>
      </c>
      <c r="V1868">
        <f t="shared" ref="V1868:W1868" si="2009">V1844</f>
        <v>3.6</v>
      </c>
      <c r="W1868">
        <f t="shared" si="2009"/>
        <v>3</v>
      </c>
      <c r="X1868" s="9">
        <v>-21.047924816666601</v>
      </c>
      <c r="Y1868" s="39"/>
    </row>
    <row r="1869" spans="1:25" ht="15" thickBot="1">
      <c r="A1869" s="149">
        <f t="shared" si="1978"/>
        <v>45913.749999997453</v>
      </c>
      <c r="B1869" s="30">
        <f t="shared" si="2005"/>
        <v>5000</v>
      </c>
      <c r="C1869" s="8">
        <v>25000</v>
      </c>
      <c r="D1869" s="187">
        <v>0</v>
      </c>
      <c r="E1869" s="187">
        <v>700</v>
      </c>
      <c r="F1869" s="187">
        <v>15000</v>
      </c>
      <c r="G1869" s="30">
        <f t="shared" si="2006"/>
        <v>2400</v>
      </c>
      <c r="H1869" s="8">
        <v>25000</v>
      </c>
      <c r="I1869" s="30">
        <f t="shared" si="2007"/>
        <v>5000</v>
      </c>
      <c r="J1869" s="187">
        <v>40000</v>
      </c>
      <c r="K1869" s="30">
        <f t="shared" si="2008"/>
        <v>5000</v>
      </c>
      <c r="L1869" s="187">
        <v>40000</v>
      </c>
      <c r="M1869" s="110">
        <v>9.5</v>
      </c>
      <c r="N1869" s="9">
        <f>VLOOKUP(DATE(YEAR(A1869),MONTH(A1869),DAY(A1869)),FY24_Temp[],3,FALSE)</f>
        <v>15.49</v>
      </c>
      <c r="O1869" s="110">
        <f t="shared" si="1994"/>
        <v>11.5</v>
      </c>
      <c r="P1869" s="110">
        <f t="shared" si="1995"/>
        <v>19.5</v>
      </c>
      <c r="Q1869" s="79">
        <f>VLOOKUP(VLOOKUP(DATEVALUE(TEXT(A1869,"m/d/yyyy")),FY24_Temp[],5,FALSE)&amp;TEXT(A1869,"-h"),TempDelta[],4,FALSE)</f>
        <v>1.1615714260510035</v>
      </c>
      <c r="R1869">
        <v>10</v>
      </c>
      <c r="S1869" s="112">
        <v>1500</v>
      </c>
      <c r="T1869" s="5">
        <f>VLOOKUP(TEXT(A1869,"yy-mm")&amp;"-"&amp;IF(AND(WEEKDAY(A1869)&gt;1,WEEKDAY(A1869)&lt;7),"Wkd",TEXT(A1869,"Ddd"))&amp;"-"&amp;TEXT(A1869,"hh"),LoadTable[],3,FALSE)*0.92</f>
        <v>600.51223261108817</v>
      </c>
      <c r="U1869" s="113">
        <f t="shared" si="1996"/>
        <v>60.051223261108817</v>
      </c>
      <c r="V1869">
        <f t="shared" ref="V1869:W1869" si="2010">V1845</f>
        <v>2.9</v>
      </c>
      <c r="W1869">
        <f t="shared" si="2010"/>
        <v>3</v>
      </c>
      <c r="X1869" s="9">
        <v>-21.125719366666601</v>
      </c>
      <c r="Y1869" s="39"/>
    </row>
    <row r="1870" spans="1:25" ht="15" thickBot="1">
      <c r="A1870" s="149">
        <f t="shared" si="1978"/>
        <v>45913.791666664118</v>
      </c>
      <c r="B1870" s="30">
        <f t="shared" si="2005"/>
        <v>5000</v>
      </c>
      <c r="C1870" s="8">
        <v>25000</v>
      </c>
      <c r="D1870" s="187">
        <v>0</v>
      </c>
      <c r="E1870" s="187">
        <v>700</v>
      </c>
      <c r="F1870" s="187">
        <v>15000</v>
      </c>
      <c r="G1870" s="30">
        <f t="shared" si="2006"/>
        <v>2400</v>
      </c>
      <c r="H1870" s="8">
        <v>25000</v>
      </c>
      <c r="I1870" s="30">
        <f t="shared" si="2007"/>
        <v>5000</v>
      </c>
      <c r="J1870" s="187">
        <v>40000</v>
      </c>
      <c r="K1870" s="30">
        <f t="shared" si="2008"/>
        <v>5000</v>
      </c>
      <c r="L1870" s="187">
        <v>40000</v>
      </c>
      <c r="M1870" s="110">
        <v>9.5</v>
      </c>
      <c r="N1870" s="9">
        <f>VLOOKUP(DATE(YEAR(A1870),MONTH(A1870),DAY(A1870)),FY24_Temp[],3,FALSE)</f>
        <v>15.49</v>
      </c>
      <c r="O1870" s="110">
        <f t="shared" si="1994"/>
        <v>11.5</v>
      </c>
      <c r="P1870" s="110">
        <f t="shared" si="1995"/>
        <v>19.5</v>
      </c>
      <c r="Q1870" s="79">
        <f>VLOOKUP(VLOOKUP(DATEVALUE(TEXT(A1870,"m/d/yyyy")),FY24_Temp[],5,FALSE)&amp;TEXT(A1870,"-h"),TempDelta[],4,FALSE)</f>
        <v>1.2906428532941001</v>
      </c>
      <c r="R1870">
        <v>10</v>
      </c>
      <c r="S1870" s="112">
        <v>1500</v>
      </c>
      <c r="T1870" s="5">
        <f>VLOOKUP(TEXT(A1870,"yy-mm")&amp;"-"&amp;IF(AND(WEEKDAY(A1870)&gt;1,WEEKDAY(A1870)&lt;7),"Wkd",TEXT(A1870,"Ddd"))&amp;"-"&amp;TEXT(A1870,"hh"),LoadTable[],3,FALSE)*0.92</f>
        <v>577.06992853688268</v>
      </c>
      <c r="U1870" s="113">
        <f t="shared" si="1996"/>
        <v>57.70699285368827</v>
      </c>
      <c r="V1870">
        <f t="shared" ref="V1870:W1870" si="2011">V1846</f>
        <v>3</v>
      </c>
      <c r="W1870">
        <f t="shared" si="2011"/>
        <v>3</v>
      </c>
      <c r="X1870" s="9">
        <v>-21.203513916666601</v>
      </c>
      <c r="Y1870" s="39"/>
    </row>
    <row r="1871" spans="1:25" ht="15" thickBot="1">
      <c r="A1871" s="149">
        <f t="shared" si="1978"/>
        <v>45913.833333330782</v>
      </c>
      <c r="B1871" s="30">
        <f t="shared" si="2005"/>
        <v>5000</v>
      </c>
      <c r="C1871" s="8">
        <v>25000</v>
      </c>
      <c r="D1871" s="187">
        <v>0</v>
      </c>
      <c r="E1871" s="187">
        <v>700</v>
      </c>
      <c r="F1871" s="187">
        <v>15000</v>
      </c>
      <c r="G1871" s="30">
        <f t="shared" si="2006"/>
        <v>2400</v>
      </c>
      <c r="H1871" s="8">
        <v>25000</v>
      </c>
      <c r="I1871" s="30">
        <f t="shared" si="2007"/>
        <v>5000</v>
      </c>
      <c r="J1871" s="187">
        <v>40000</v>
      </c>
      <c r="K1871" s="30">
        <f t="shared" si="2008"/>
        <v>5000</v>
      </c>
      <c r="L1871" s="187">
        <v>40000</v>
      </c>
      <c r="M1871" s="110">
        <v>9.5</v>
      </c>
      <c r="N1871" s="9">
        <f>VLOOKUP(DATE(YEAR(A1871),MONTH(A1871),DAY(A1871)),FY24_Temp[],3,FALSE)</f>
        <v>15.49</v>
      </c>
      <c r="O1871" s="110">
        <f t="shared" si="1994"/>
        <v>11.5</v>
      </c>
      <c r="P1871" s="110">
        <f t="shared" si="1995"/>
        <v>19.5</v>
      </c>
      <c r="Q1871" s="79">
        <f>VLOOKUP(VLOOKUP(DATEVALUE(TEXT(A1871,"m/d/yyyy")),FY24_Temp[],5,FALSE)&amp;TEXT(A1871,"-h"),TempDelta[],4,FALSE)</f>
        <v>1.3774285869938987</v>
      </c>
      <c r="R1871">
        <v>10</v>
      </c>
      <c r="S1871" s="112">
        <v>1500</v>
      </c>
      <c r="T1871" s="5">
        <f>VLOOKUP(TEXT(A1871,"yy-mm")&amp;"-"&amp;IF(AND(WEEKDAY(A1871)&gt;1,WEEKDAY(A1871)&lt;7),"Wkd",TEXT(A1871,"Ddd"))&amp;"-"&amp;TEXT(A1871,"hh"),LoadTable[],3,FALSE)*0.92</f>
        <v>545.96065022111975</v>
      </c>
      <c r="U1871" s="113">
        <f t="shared" si="1996"/>
        <v>54.596065022111972</v>
      </c>
      <c r="V1871">
        <f t="shared" ref="V1871:W1871" si="2012">V1847</f>
        <v>2.8</v>
      </c>
      <c r="W1871">
        <f t="shared" si="2012"/>
        <v>3.1</v>
      </c>
      <c r="X1871" s="9">
        <v>-21.281308466666601</v>
      </c>
      <c r="Y1871" s="39"/>
    </row>
    <row r="1872" spans="1:25" ht="15" thickBot="1">
      <c r="A1872" s="149">
        <f t="shared" si="1978"/>
        <v>45913.874999997446</v>
      </c>
      <c r="B1872" s="30">
        <f t="shared" si="2005"/>
        <v>5000</v>
      </c>
      <c r="C1872" s="8">
        <v>25000</v>
      </c>
      <c r="D1872" s="187">
        <v>0</v>
      </c>
      <c r="E1872" s="187">
        <v>700</v>
      </c>
      <c r="F1872" s="187">
        <v>15000</v>
      </c>
      <c r="G1872" s="30">
        <f t="shared" si="2006"/>
        <v>2400</v>
      </c>
      <c r="H1872" s="8">
        <v>25000</v>
      </c>
      <c r="I1872" s="30">
        <f t="shared" si="2007"/>
        <v>5000</v>
      </c>
      <c r="J1872" s="187">
        <v>40000</v>
      </c>
      <c r="K1872" s="30">
        <f t="shared" si="2008"/>
        <v>5000</v>
      </c>
      <c r="L1872" s="187">
        <v>40000</v>
      </c>
      <c r="M1872" s="110">
        <v>9.5</v>
      </c>
      <c r="N1872" s="9">
        <f>VLOOKUP(DATE(YEAR(A1872),MONTH(A1872),DAY(A1872)),FY24_Temp[],3,FALSE)</f>
        <v>15.49</v>
      </c>
      <c r="O1872" s="110">
        <f t="shared" si="1994"/>
        <v>11.5</v>
      </c>
      <c r="P1872" s="110">
        <f t="shared" si="1995"/>
        <v>19.5</v>
      </c>
      <c r="Q1872" s="79">
        <f>VLOOKUP(VLOOKUP(DATEVALUE(TEXT(A1872,"m/d/yyyy")),FY24_Temp[],5,FALSE)&amp;TEXT(A1872,"-h"),TempDelta[],4,FALSE)</f>
        <v>1.3976428466183799</v>
      </c>
      <c r="R1872">
        <v>10</v>
      </c>
      <c r="S1872" s="112">
        <v>1500</v>
      </c>
      <c r="T1872" s="5">
        <f>VLOOKUP(TEXT(A1872,"yy-mm")&amp;"-"&amp;IF(AND(WEEKDAY(A1872)&gt;1,WEEKDAY(A1872)&lt;7),"Wkd",TEXT(A1872,"Ddd"))&amp;"-"&amp;TEXT(A1872,"hh"),LoadTable[],3,FALSE)*0.92</f>
        <v>458.2982585895578</v>
      </c>
      <c r="U1872" s="113">
        <f t="shared" si="1996"/>
        <v>45.829825858955779</v>
      </c>
      <c r="V1872">
        <f t="shared" ref="V1872:W1872" si="2013">V1848</f>
        <v>3.5</v>
      </c>
      <c r="W1872">
        <f t="shared" si="2013"/>
        <v>3.1</v>
      </c>
      <c r="X1872" s="9">
        <v>-21.359103016666602</v>
      </c>
      <c r="Y1872" s="39"/>
    </row>
    <row r="1873" spans="1:25" ht="15" thickBot="1">
      <c r="A1873" s="149">
        <f t="shared" si="1978"/>
        <v>45913.91666666411</v>
      </c>
      <c r="B1873" s="30">
        <f t="shared" si="2005"/>
        <v>5000</v>
      </c>
      <c r="C1873" s="8">
        <v>25000</v>
      </c>
      <c r="D1873" s="187">
        <v>0</v>
      </c>
      <c r="E1873" s="187">
        <v>700</v>
      </c>
      <c r="F1873" s="187">
        <v>15000</v>
      </c>
      <c r="G1873" s="30">
        <f t="shared" si="2006"/>
        <v>2400</v>
      </c>
      <c r="H1873" s="8">
        <v>25000</v>
      </c>
      <c r="I1873" s="30">
        <f t="shared" si="2007"/>
        <v>5000</v>
      </c>
      <c r="J1873" s="187">
        <v>40000</v>
      </c>
      <c r="K1873" s="30">
        <f t="shared" si="2008"/>
        <v>5000</v>
      </c>
      <c r="L1873" s="187">
        <v>40000</v>
      </c>
      <c r="M1873" s="110">
        <v>9.5</v>
      </c>
      <c r="N1873" s="9">
        <f>VLOOKUP(DATE(YEAR(A1873),MONTH(A1873),DAY(A1873)),FY24_Temp[],3,FALSE)</f>
        <v>15.49</v>
      </c>
      <c r="O1873" s="110">
        <f t="shared" si="1994"/>
        <v>11.5</v>
      </c>
      <c r="P1873" s="110">
        <f t="shared" si="1995"/>
        <v>19.5</v>
      </c>
      <c r="Q1873" s="79">
        <f>VLOOKUP(VLOOKUP(DATEVALUE(TEXT(A1873,"m/d/yyyy")),FY24_Temp[],5,FALSE)&amp;TEXT(A1873,"-h"),TempDelta[],4,FALSE)</f>
        <v>1.873142855507987</v>
      </c>
      <c r="R1873">
        <v>10</v>
      </c>
      <c r="S1873" s="112">
        <v>1500</v>
      </c>
      <c r="T1873" s="5">
        <f>VLOOKUP(TEXT(A1873,"yy-mm")&amp;"-"&amp;IF(AND(WEEKDAY(A1873)&gt;1,WEEKDAY(A1873)&lt;7),"Wkd",TEXT(A1873,"Ddd"))&amp;"-"&amp;TEXT(A1873,"hh"),LoadTable[],3,FALSE)*0.92</f>
        <v>318.99288300079945</v>
      </c>
      <c r="U1873" s="113">
        <f t="shared" si="1996"/>
        <v>31.899288300079945</v>
      </c>
      <c r="V1873">
        <f t="shared" ref="V1873:W1873" si="2014">V1849</f>
        <v>2.9</v>
      </c>
      <c r="W1873">
        <f t="shared" si="2014"/>
        <v>3.1</v>
      </c>
      <c r="X1873" s="9">
        <v>-21.436897566666602</v>
      </c>
      <c r="Y1873" s="39"/>
    </row>
    <row r="1874" spans="1:25" ht="15" thickBot="1">
      <c r="A1874" s="149">
        <f t="shared" si="1978"/>
        <v>45913.958333330775</v>
      </c>
      <c r="B1874" s="30">
        <f t="shared" si="2005"/>
        <v>5000</v>
      </c>
      <c r="C1874" s="8">
        <v>25000</v>
      </c>
      <c r="D1874" s="187">
        <v>0</v>
      </c>
      <c r="E1874" s="187">
        <v>700</v>
      </c>
      <c r="F1874" s="187">
        <v>15000</v>
      </c>
      <c r="G1874" s="30">
        <f t="shared" si="2006"/>
        <v>2400</v>
      </c>
      <c r="H1874" s="8">
        <v>25000</v>
      </c>
      <c r="I1874" s="30">
        <f t="shared" si="2007"/>
        <v>5000</v>
      </c>
      <c r="J1874" s="187">
        <v>40000</v>
      </c>
      <c r="K1874" s="30">
        <f t="shared" si="2008"/>
        <v>5000</v>
      </c>
      <c r="L1874" s="187">
        <v>40000</v>
      </c>
      <c r="M1874" s="110">
        <v>9.5</v>
      </c>
      <c r="N1874" s="9">
        <f>VLOOKUP(DATE(YEAR(A1874),MONTH(A1874),DAY(A1874)),FY24_Temp[],3,FALSE)</f>
        <v>15.49</v>
      </c>
      <c r="O1874" s="110">
        <f t="shared" si="1994"/>
        <v>11.5</v>
      </c>
      <c r="P1874" s="110">
        <f t="shared" si="1995"/>
        <v>19.5</v>
      </c>
      <c r="Q1874" s="79">
        <f>VLOOKUP(VLOOKUP(DATEVALUE(TEXT(A1874,"m/d/yyyy")),FY24_Temp[],5,FALSE)&amp;TEXT(A1874,"-h"),TempDelta[],4,FALSE)</f>
        <v>2.0031428507396152</v>
      </c>
      <c r="R1874">
        <v>10</v>
      </c>
      <c r="S1874" s="112">
        <v>1500</v>
      </c>
      <c r="T1874" s="5">
        <f>VLOOKUP(TEXT(A1874,"yy-mm")&amp;"-"&amp;IF(AND(WEEKDAY(A1874)&gt;1,WEEKDAY(A1874)&lt;7),"Wkd",TEXT(A1874,"Ddd"))&amp;"-"&amp;TEXT(A1874,"hh"),LoadTable[],3,FALSE)*0.92</f>
        <v>295.00084596071707</v>
      </c>
      <c r="U1874" s="113">
        <f t="shared" si="1996"/>
        <v>29.500084596071709</v>
      </c>
      <c r="V1874">
        <f t="shared" ref="V1874:W1874" si="2015">V1850</f>
        <v>3.6</v>
      </c>
      <c r="W1874">
        <f t="shared" si="2015"/>
        <v>3.1</v>
      </c>
      <c r="X1874" s="9">
        <v>-21.514692116666598</v>
      </c>
      <c r="Y1874" s="39"/>
    </row>
    <row r="1875" spans="1:25" ht="15" thickBot="1">
      <c r="A1875" s="149">
        <f t="shared" si="1978"/>
        <v>45913.999999997439</v>
      </c>
      <c r="B1875" s="30">
        <f t="shared" si="2005"/>
        <v>5000</v>
      </c>
      <c r="C1875" s="8">
        <v>25000</v>
      </c>
      <c r="D1875" s="187">
        <v>0</v>
      </c>
      <c r="E1875" s="187">
        <v>700</v>
      </c>
      <c r="F1875" s="187">
        <v>15000</v>
      </c>
      <c r="G1875" s="30">
        <f t="shared" si="2006"/>
        <v>2400</v>
      </c>
      <c r="H1875" s="8">
        <v>25000</v>
      </c>
      <c r="I1875" s="30">
        <f t="shared" si="2007"/>
        <v>5000</v>
      </c>
      <c r="J1875" s="187">
        <v>40000</v>
      </c>
      <c r="K1875" s="30">
        <f t="shared" si="2008"/>
        <v>5000</v>
      </c>
      <c r="L1875" s="187">
        <v>40000</v>
      </c>
      <c r="M1875" s="110">
        <v>9.5</v>
      </c>
      <c r="N1875" s="9">
        <f>VLOOKUP(DATE(YEAR(A1875),MONTH(A1875),DAY(A1875)),FY24_Temp[],3,FALSE)</f>
        <v>15.49</v>
      </c>
      <c r="O1875" s="110">
        <f t="shared" si="1994"/>
        <v>11.5</v>
      </c>
      <c r="P1875" s="110">
        <f t="shared" si="1995"/>
        <v>19.5</v>
      </c>
      <c r="Q1875" s="79">
        <f>VLOOKUP(VLOOKUP(DATEVALUE(TEXT(A1875,"m/d/yyyy")),FY24_Temp[],5,FALSE)&amp;TEXT(A1875,"-h"),TempDelta[],4,FALSE)</f>
        <v>2.099285670689174</v>
      </c>
      <c r="R1875">
        <v>10</v>
      </c>
      <c r="S1875" s="112">
        <v>1500</v>
      </c>
      <c r="T1875" s="5">
        <f>VLOOKUP(TEXT(A1875,"yy-mm")&amp;"-"&amp;IF(AND(WEEKDAY(A1875)&gt;1,WEEKDAY(A1875)&lt;7),"Wkd",TEXT(A1875,"Ddd"))&amp;"-"&amp;TEXT(A1875,"hh"),LoadTable[],3,FALSE)*0.92</f>
        <v>289.32996596071712</v>
      </c>
      <c r="U1875" s="113">
        <f t="shared" si="1996"/>
        <v>28.93299659607171</v>
      </c>
      <c r="V1875">
        <f t="shared" ref="V1875:W1875" si="2016">V1851</f>
        <v>3</v>
      </c>
      <c r="W1875">
        <f t="shared" si="2016"/>
        <v>3.2</v>
      </c>
      <c r="X1875" s="9">
        <v>-21.592486666666598</v>
      </c>
      <c r="Y1875" s="39"/>
    </row>
    <row r="1876" spans="1:25" ht="15" thickBot="1">
      <c r="A1876" s="149">
        <f t="shared" si="1978"/>
        <v>45914.041666664103</v>
      </c>
      <c r="B1876" s="30">
        <f t="shared" si="2005"/>
        <v>5000</v>
      </c>
      <c r="C1876" s="8">
        <v>25000</v>
      </c>
      <c r="D1876" s="187">
        <v>0</v>
      </c>
      <c r="E1876" s="187">
        <v>700</v>
      </c>
      <c r="F1876" s="187">
        <v>15000</v>
      </c>
      <c r="G1876" s="30">
        <f t="shared" si="2006"/>
        <v>2400</v>
      </c>
      <c r="H1876" s="8">
        <v>25000</v>
      </c>
      <c r="I1876" s="30">
        <f t="shared" si="2007"/>
        <v>5000</v>
      </c>
      <c r="J1876" s="187">
        <v>40000</v>
      </c>
      <c r="K1876" s="30">
        <f t="shared" si="2008"/>
        <v>5000</v>
      </c>
      <c r="L1876" s="187">
        <v>40000</v>
      </c>
      <c r="M1876" s="110">
        <v>9.5</v>
      </c>
      <c r="N1876" s="9">
        <f>VLOOKUP(DATE(YEAR(A1876),MONTH(A1876),DAY(A1876)),FY24_Temp[],3,FALSE)</f>
        <v>15.49</v>
      </c>
      <c r="O1876" s="110">
        <f t="shared" si="1994"/>
        <v>11.5</v>
      </c>
      <c r="P1876" s="110">
        <f t="shared" si="1995"/>
        <v>19.5</v>
      </c>
      <c r="Q1876" s="79">
        <f>VLOOKUP(VLOOKUP(DATEVALUE(TEXT(A1876,"m/d/yyyy")),FY24_Temp[],5,FALSE)&amp;TEXT(A1876,"-h"),TempDelta[],4,FALSE)</f>
        <v>2.1752857140132358</v>
      </c>
      <c r="R1876">
        <v>10</v>
      </c>
      <c r="S1876" s="112">
        <v>1500</v>
      </c>
      <c r="T1876" s="5">
        <f>VLOOKUP(TEXT(A1876,"yy-mm")&amp;"-"&amp;IF(AND(WEEKDAY(A1876)&gt;1,WEEKDAY(A1876)&lt;7),"Wkd",TEXT(A1876,"Ddd"))&amp;"-"&amp;TEXT(A1876,"hh"),LoadTable[],3,FALSE)*0.92</f>
        <v>289.32996596071712</v>
      </c>
      <c r="U1876" s="113">
        <f t="shared" si="1996"/>
        <v>28.93299659607171</v>
      </c>
      <c r="V1876">
        <f t="shared" ref="V1876:W1876" si="2017">V1852</f>
        <v>2.6</v>
      </c>
      <c r="W1876">
        <f t="shared" si="2017"/>
        <v>3.2</v>
      </c>
      <c r="X1876" s="9">
        <v>-21.670281216666599</v>
      </c>
      <c r="Y1876" s="39"/>
    </row>
    <row r="1877" spans="1:25" ht="15" thickBot="1">
      <c r="A1877" s="149">
        <f t="shared" si="1978"/>
        <v>45914.083333330767</v>
      </c>
      <c r="B1877" s="30">
        <f t="shared" si="2005"/>
        <v>5000</v>
      </c>
      <c r="C1877" s="8">
        <v>25000</v>
      </c>
      <c r="D1877" s="187">
        <v>0</v>
      </c>
      <c r="E1877" s="187">
        <v>700</v>
      </c>
      <c r="F1877" s="187">
        <v>15000</v>
      </c>
      <c r="G1877" s="30">
        <f t="shared" si="2006"/>
        <v>2400</v>
      </c>
      <c r="H1877" s="8">
        <v>25000</v>
      </c>
      <c r="I1877" s="30">
        <f t="shared" si="2007"/>
        <v>5000</v>
      </c>
      <c r="J1877" s="187">
        <v>40000</v>
      </c>
      <c r="K1877" s="30">
        <f t="shared" si="2008"/>
        <v>5000</v>
      </c>
      <c r="L1877" s="187">
        <v>40000</v>
      </c>
      <c r="M1877" s="110">
        <v>9.5</v>
      </c>
      <c r="N1877" s="9">
        <f>VLOOKUP(DATE(YEAR(A1877),MONTH(A1877),DAY(A1877)),FY24_Temp[],3,FALSE)</f>
        <v>15.49</v>
      </c>
      <c r="O1877" s="110">
        <f t="shared" si="1994"/>
        <v>11.5</v>
      </c>
      <c r="P1877" s="110">
        <f t="shared" si="1995"/>
        <v>19.5</v>
      </c>
      <c r="Q1877" s="79">
        <f>VLOOKUP(VLOOKUP(DATEVALUE(TEXT(A1877,"m/d/yyyy")),FY24_Temp[],5,FALSE)&amp;TEXT(A1877,"-h"),TempDelta[],4,FALSE)</f>
        <v>2.2037143026079451</v>
      </c>
      <c r="R1877">
        <v>10</v>
      </c>
      <c r="S1877" s="112">
        <v>1500</v>
      </c>
      <c r="T1877" s="5">
        <f>VLOOKUP(TEXT(A1877,"yy-mm")&amp;"-"&amp;IF(AND(WEEKDAY(A1877)&gt;1,WEEKDAY(A1877)&lt;7),"Wkd",TEXT(A1877,"Ddd"))&amp;"-"&amp;TEXT(A1877,"hh"),LoadTable[],3,FALSE)*0.92</f>
        <v>316.63916103217559</v>
      </c>
      <c r="U1877" s="113">
        <f t="shared" si="1996"/>
        <v>31.663916103217559</v>
      </c>
      <c r="V1877">
        <f t="shared" ref="V1877:W1877" si="2018">V1853</f>
        <v>2.8</v>
      </c>
      <c r="W1877">
        <f t="shared" si="2018"/>
        <v>3.2</v>
      </c>
      <c r="X1877" s="9">
        <v>-21.748075766666599</v>
      </c>
      <c r="Y1877" s="39"/>
    </row>
    <row r="1878" spans="1:25" ht="15" thickBot="1">
      <c r="A1878" s="149">
        <f t="shared" si="1978"/>
        <v>45914.124999997432</v>
      </c>
      <c r="B1878" s="30">
        <f t="shared" si="2005"/>
        <v>5000</v>
      </c>
      <c r="C1878" s="8">
        <v>25000</v>
      </c>
      <c r="D1878" s="187">
        <v>0</v>
      </c>
      <c r="E1878" s="187">
        <v>700</v>
      </c>
      <c r="F1878" s="187">
        <v>15000</v>
      </c>
      <c r="G1878" s="30">
        <f t="shared" si="2006"/>
        <v>2400</v>
      </c>
      <c r="H1878" s="8">
        <v>25000</v>
      </c>
      <c r="I1878" s="30">
        <f t="shared" si="2007"/>
        <v>5000</v>
      </c>
      <c r="J1878" s="187">
        <v>40000</v>
      </c>
      <c r="K1878" s="30">
        <f t="shared" si="2008"/>
        <v>5000</v>
      </c>
      <c r="L1878" s="187">
        <v>40000</v>
      </c>
      <c r="M1878" s="110">
        <v>9.5</v>
      </c>
      <c r="N1878" s="9">
        <f>VLOOKUP(DATE(YEAR(A1878),MONTH(A1878),DAY(A1878)),FY24_Temp[],3,FALSE)</f>
        <v>15.49</v>
      </c>
      <c r="O1878" s="110">
        <f t="shared" si="1994"/>
        <v>11.5</v>
      </c>
      <c r="P1878" s="110">
        <f t="shared" si="1995"/>
        <v>19.5</v>
      </c>
      <c r="Q1878" s="79">
        <f>VLOOKUP(VLOOKUP(DATEVALUE(TEXT(A1878,"m/d/yyyy")),FY24_Temp[],5,FALSE)&amp;TEXT(A1878,"-h"),TempDelta[],4,FALSE)</f>
        <v>2.2029999664851596</v>
      </c>
      <c r="R1878">
        <v>10</v>
      </c>
      <c r="S1878" s="112">
        <v>1500</v>
      </c>
      <c r="T1878" s="5">
        <f>VLOOKUP(TEXT(A1878,"yy-mm")&amp;"-"&amp;IF(AND(WEEKDAY(A1878)&gt;1,WEEKDAY(A1878)&lt;7),"Wkd",TEXT(A1878,"Ddd"))&amp;"-"&amp;TEXT(A1878,"hh"),LoadTable[],3,FALSE)*0.92</f>
        <v>316.63562384793033</v>
      </c>
      <c r="U1878" s="113">
        <f t="shared" si="1996"/>
        <v>31.663562384793032</v>
      </c>
      <c r="V1878">
        <f t="shared" ref="V1878:W1878" si="2019">V1854</f>
        <v>2.7</v>
      </c>
      <c r="W1878">
        <f t="shared" si="2019"/>
        <v>3.2</v>
      </c>
      <c r="X1878" s="9">
        <v>-21.825870316666499</v>
      </c>
      <c r="Y1878" s="39"/>
    </row>
    <row r="1879" spans="1:25" ht="15" thickBot="1">
      <c r="A1879" s="149">
        <f t="shared" si="1978"/>
        <v>45914.166666664096</v>
      </c>
      <c r="B1879" s="30">
        <f t="shared" si="2005"/>
        <v>5000</v>
      </c>
      <c r="C1879" s="8">
        <v>25000</v>
      </c>
      <c r="D1879" s="187">
        <v>0</v>
      </c>
      <c r="E1879" s="187">
        <v>700</v>
      </c>
      <c r="F1879" s="187">
        <v>15000</v>
      </c>
      <c r="G1879" s="30">
        <f t="shared" si="2006"/>
        <v>2400</v>
      </c>
      <c r="H1879" s="8">
        <v>25000</v>
      </c>
      <c r="I1879" s="30">
        <f t="shared" si="2007"/>
        <v>5000</v>
      </c>
      <c r="J1879" s="187">
        <v>40000</v>
      </c>
      <c r="K1879" s="30">
        <f t="shared" si="2008"/>
        <v>5000</v>
      </c>
      <c r="L1879" s="187">
        <v>40000</v>
      </c>
      <c r="M1879" s="110">
        <v>9.5</v>
      </c>
      <c r="N1879" s="9">
        <f>VLOOKUP(DATE(YEAR(A1879),MONTH(A1879),DAY(A1879)),FY24_Temp[],3,FALSE)</f>
        <v>15.49</v>
      </c>
      <c r="O1879" s="110">
        <f t="shared" si="1994"/>
        <v>11.5</v>
      </c>
      <c r="P1879" s="110">
        <f t="shared" si="1995"/>
        <v>19.5</v>
      </c>
      <c r="Q1879" s="79">
        <f>VLOOKUP(VLOOKUP(DATEVALUE(TEXT(A1879,"m/d/yyyy")),FY24_Temp[],5,FALSE)&amp;TEXT(A1879,"-h"),TempDelta[],4,FALSE)</f>
        <v>2.2338571548461914</v>
      </c>
      <c r="R1879">
        <v>10</v>
      </c>
      <c r="S1879" s="112">
        <v>1500</v>
      </c>
      <c r="T1879" s="5">
        <f>VLOOKUP(TEXT(A1879,"yy-mm")&amp;"-"&amp;IF(AND(WEEKDAY(A1879)&gt;1,WEEKDAY(A1879)&lt;7),"Wkd",TEXT(A1879,"Ddd"))&amp;"-"&amp;TEXT(A1879,"hh"),LoadTable[],3,FALSE)*0.92</f>
        <v>316.63562384793033</v>
      </c>
      <c r="U1879" s="113">
        <f t="shared" si="1996"/>
        <v>31.663562384793032</v>
      </c>
      <c r="V1879">
        <f t="shared" ref="V1879:W1879" si="2020">V1855</f>
        <v>3</v>
      </c>
      <c r="W1879">
        <f t="shared" si="2020"/>
        <v>3.1</v>
      </c>
      <c r="X1879" s="9">
        <v>-21.903664866666499</v>
      </c>
      <c r="Y1879" s="39"/>
    </row>
    <row r="1880" spans="1:25" ht="15" thickBot="1">
      <c r="A1880" s="149">
        <f t="shared" si="1978"/>
        <v>45914.20833333076</v>
      </c>
      <c r="B1880" s="30">
        <f t="shared" si="2005"/>
        <v>5000</v>
      </c>
      <c r="C1880" s="8">
        <v>25000</v>
      </c>
      <c r="D1880" s="187">
        <v>0</v>
      </c>
      <c r="E1880" s="187">
        <v>700</v>
      </c>
      <c r="F1880" s="187">
        <v>15000</v>
      </c>
      <c r="G1880" s="30">
        <f t="shared" si="2006"/>
        <v>2400</v>
      </c>
      <c r="H1880" s="8">
        <v>25000</v>
      </c>
      <c r="I1880" s="30">
        <f t="shared" si="2007"/>
        <v>5000</v>
      </c>
      <c r="J1880" s="187">
        <v>40000</v>
      </c>
      <c r="K1880" s="30">
        <f t="shared" si="2008"/>
        <v>5000</v>
      </c>
      <c r="L1880" s="187">
        <v>40000</v>
      </c>
      <c r="M1880" s="110">
        <v>9.5</v>
      </c>
      <c r="N1880" s="9">
        <f>VLOOKUP(DATE(YEAR(A1880),MONTH(A1880),DAY(A1880)),FY24_Temp[],3,FALSE)</f>
        <v>15.49</v>
      </c>
      <c r="O1880" s="110">
        <f t="shared" si="1994"/>
        <v>11.5</v>
      </c>
      <c r="P1880" s="110">
        <f t="shared" si="1995"/>
        <v>19.5</v>
      </c>
      <c r="Q1880" s="79">
        <f>VLOOKUP(VLOOKUP(DATEVALUE(TEXT(A1880,"m/d/yyyy")),FY24_Temp[],5,FALSE)&amp;TEXT(A1880,"-h"),TempDelta[],4,FALSE)</f>
        <v>2.3308571066175188</v>
      </c>
      <c r="R1880">
        <v>10</v>
      </c>
      <c r="S1880" s="112">
        <v>1500</v>
      </c>
      <c r="T1880" s="5">
        <f>VLOOKUP(TEXT(A1880,"yy-mm")&amp;"-"&amp;IF(AND(WEEKDAY(A1880)&gt;1,WEEKDAY(A1880)&lt;7),"Wkd",TEXT(A1880,"Ddd"))&amp;"-"&amp;TEXT(A1880,"hh"),LoadTable[],3,FALSE)*0.92</f>
        <v>309.7379444418799</v>
      </c>
      <c r="U1880" s="113">
        <f t="shared" si="1996"/>
        <v>30.973794444187991</v>
      </c>
      <c r="V1880">
        <f t="shared" ref="V1880:W1880" si="2021">V1856</f>
        <v>2.9</v>
      </c>
      <c r="W1880">
        <f t="shared" si="2021"/>
        <v>3.1</v>
      </c>
      <c r="X1880" s="9">
        <v>-21.9814594166665</v>
      </c>
      <c r="Y1880" s="39"/>
    </row>
    <row r="1881" spans="1:25" ht="15" thickBot="1">
      <c r="A1881" s="149">
        <f t="shared" si="1978"/>
        <v>45914.249999997424</v>
      </c>
      <c r="B1881" s="30">
        <f t="shared" si="2005"/>
        <v>8000</v>
      </c>
      <c r="C1881" s="8">
        <v>25000</v>
      </c>
      <c r="D1881" s="187">
        <v>0</v>
      </c>
      <c r="E1881" s="187">
        <v>700</v>
      </c>
      <c r="F1881" s="187">
        <v>15000</v>
      </c>
      <c r="G1881" s="30">
        <f t="shared" si="2006"/>
        <v>2400</v>
      </c>
      <c r="H1881" s="8">
        <v>25000</v>
      </c>
      <c r="I1881" s="30">
        <f t="shared" si="2007"/>
        <v>8000</v>
      </c>
      <c r="J1881" s="187">
        <v>40000</v>
      </c>
      <c r="K1881" s="30">
        <f t="shared" si="2008"/>
        <v>8000</v>
      </c>
      <c r="L1881" s="187">
        <v>40000</v>
      </c>
      <c r="M1881" s="110">
        <v>9.5</v>
      </c>
      <c r="N1881" s="9">
        <f>VLOOKUP(DATE(YEAR(A1881),MONTH(A1881),DAY(A1881)),FY24_Temp[],3,FALSE)</f>
        <v>15.49</v>
      </c>
      <c r="O1881" s="110">
        <f t="shared" si="1994"/>
        <v>11.5</v>
      </c>
      <c r="P1881" s="110">
        <f t="shared" si="1995"/>
        <v>19.5</v>
      </c>
      <c r="Q1881" s="79">
        <f>VLOOKUP(VLOOKUP(DATEVALUE(TEXT(A1881,"m/d/yyyy")),FY24_Temp[],5,FALSE)&amp;TEXT(A1881,"-h"),TempDelta[],4,FALSE)</f>
        <v>2.2878571578434537</v>
      </c>
      <c r="R1881">
        <v>10</v>
      </c>
      <c r="S1881" s="112">
        <v>1500</v>
      </c>
      <c r="T1881" s="5">
        <f>VLOOKUP(TEXT(A1881,"yy-mm")&amp;"-"&amp;IF(AND(WEEKDAY(A1881)&gt;1,WEEKDAY(A1881)&lt;7),"Wkd",TEXT(A1881,"Ddd"))&amp;"-"&amp;TEXT(A1881,"hh"),LoadTable[],3,FALSE)*0.92</f>
        <v>309.7379444418799</v>
      </c>
      <c r="U1881" s="113">
        <f t="shared" si="1996"/>
        <v>30.973794444187991</v>
      </c>
      <c r="V1881">
        <f t="shared" ref="V1881:W1881" si="2022">V1857</f>
        <v>2.5</v>
      </c>
      <c r="W1881">
        <f t="shared" si="2022"/>
        <v>3.1</v>
      </c>
      <c r="X1881" s="9">
        <v>-22.0592539666665</v>
      </c>
      <c r="Y1881" s="39"/>
    </row>
    <row r="1882" spans="1:25" ht="15" thickBot="1">
      <c r="A1882" s="149">
        <f t="shared" si="1978"/>
        <v>45914.291666664089</v>
      </c>
      <c r="B1882" s="30">
        <f t="shared" si="2005"/>
        <v>8000</v>
      </c>
      <c r="C1882" s="8">
        <v>25000</v>
      </c>
      <c r="D1882" s="187">
        <v>0</v>
      </c>
      <c r="E1882" s="187">
        <v>700</v>
      </c>
      <c r="F1882" s="187">
        <v>15000</v>
      </c>
      <c r="G1882" s="30">
        <f t="shared" si="2006"/>
        <v>2400</v>
      </c>
      <c r="H1882" s="8">
        <v>25000</v>
      </c>
      <c r="I1882" s="30">
        <f t="shared" si="2007"/>
        <v>8000</v>
      </c>
      <c r="J1882" s="187">
        <v>40000</v>
      </c>
      <c r="K1882" s="30">
        <f t="shared" si="2008"/>
        <v>8000</v>
      </c>
      <c r="L1882" s="187">
        <v>40000</v>
      </c>
      <c r="M1882" s="110">
        <v>9.5</v>
      </c>
      <c r="N1882" s="9">
        <f>VLOOKUP(DATE(YEAR(A1882),MONTH(A1882),DAY(A1882)),FY24_Temp[],3,FALSE)</f>
        <v>15.49</v>
      </c>
      <c r="O1882" s="110">
        <f t="shared" si="1994"/>
        <v>11.5</v>
      </c>
      <c r="P1882" s="110">
        <f t="shared" si="1995"/>
        <v>19.5</v>
      </c>
      <c r="Q1882" s="79">
        <f>VLOOKUP(VLOOKUP(DATEVALUE(TEXT(A1882,"m/d/yyyy")),FY24_Temp[],5,FALSE)&amp;TEXT(A1882,"-h"),TempDelta[],4,FALSE)</f>
        <v>2.1535714353833879</v>
      </c>
      <c r="R1882">
        <v>10</v>
      </c>
      <c r="S1882" s="112">
        <v>1500</v>
      </c>
      <c r="T1882" s="5">
        <f>VLOOKUP(TEXT(A1882,"yy-mm")&amp;"-"&amp;IF(AND(WEEKDAY(A1882)&gt;1,WEEKDAY(A1882)&lt;7),"Wkd",TEXT(A1882,"Ddd"))&amp;"-"&amp;TEXT(A1882,"hh"),LoadTable[],3,FALSE)*0.92</f>
        <v>297.89621158432834</v>
      </c>
      <c r="U1882" s="113">
        <f t="shared" si="1996"/>
        <v>29.789621158432833</v>
      </c>
      <c r="V1882">
        <f t="shared" ref="V1882:W1882" si="2023">V1858</f>
        <v>2.5</v>
      </c>
      <c r="W1882">
        <f t="shared" si="2023"/>
        <v>3.1</v>
      </c>
      <c r="X1882" s="9">
        <v>-22.1370485166665</v>
      </c>
      <c r="Y1882" s="39"/>
    </row>
    <row r="1883" spans="1:25" ht="15" thickBot="1">
      <c r="A1883" s="149">
        <f t="shared" si="1978"/>
        <v>45914.333333330753</v>
      </c>
      <c r="B1883" s="30">
        <f t="shared" si="2005"/>
        <v>8000</v>
      </c>
      <c r="C1883" s="8">
        <v>25000</v>
      </c>
      <c r="D1883" s="187">
        <v>0</v>
      </c>
      <c r="E1883" s="187">
        <v>700</v>
      </c>
      <c r="F1883" s="187">
        <v>15000</v>
      </c>
      <c r="G1883" s="30">
        <f t="shared" si="2006"/>
        <v>2400</v>
      </c>
      <c r="H1883" s="8">
        <v>25000</v>
      </c>
      <c r="I1883" s="30">
        <f t="shared" si="2007"/>
        <v>8000</v>
      </c>
      <c r="J1883" s="187">
        <v>40000</v>
      </c>
      <c r="K1883" s="30">
        <f t="shared" si="2008"/>
        <v>8000</v>
      </c>
      <c r="L1883" s="187">
        <v>40000</v>
      </c>
      <c r="M1883" s="110">
        <v>9.5</v>
      </c>
      <c r="N1883" s="9">
        <f>VLOOKUP(DATE(YEAR(A1883),MONTH(A1883),DAY(A1883)),FY24_Temp[],3,FALSE)</f>
        <v>15.49</v>
      </c>
      <c r="O1883" s="110">
        <f t="shared" si="1994"/>
        <v>11.5</v>
      </c>
      <c r="P1883" s="110">
        <f t="shared" si="1995"/>
        <v>19.5</v>
      </c>
      <c r="Q1883" s="79">
        <f>VLOOKUP(VLOOKUP(DATEVALUE(TEXT(A1883,"m/d/yyyy")),FY24_Temp[],5,FALSE)&amp;TEXT(A1883,"-h"),TempDelta[],4,FALSE)</f>
        <v>1.9890000138963972</v>
      </c>
      <c r="R1883">
        <v>10</v>
      </c>
      <c r="S1883" s="112">
        <v>1500</v>
      </c>
      <c r="T1883" s="5">
        <f>VLOOKUP(TEXT(A1883,"yy-mm")&amp;"-"&amp;IF(AND(WEEKDAY(A1883)&gt;1,WEEKDAY(A1883)&lt;7),"Wkd",TEXT(A1883,"Ddd"))&amp;"-"&amp;TEXT(A1883,"hh"),LoadTable[],3,FALSE)*0.92</f>
        <v>297.8997487685736</v>
      </c>
      <c r="U1883" s="113">
        <f t="shared" si="1996"/>
        <v>29.789974876857361</v>
      </c>
      <c r="V1883">
        <f t="shared" ref="V1883:W1883" si="2024">V1859</f>
        <v>3.2</v>
      </c>
      <c r="W1883">
        <f t="shared" si="2024"/>
        <v>3</v>
      </c>
      <c r="X1883" s="9">
        <v>-22.2148430666665</v>
      </c>
      <c r="Y1883" s="39"/>
    </row>
    <row r="1884" spans="1:25" ht="15" thickBot="1">
      <c r="A1884" s="149">
        <f t="shared" si="1978"/>
        <v>45914.374999997417</v>
      </c>
      <c r="B1884" s="30">
        <f t="shared" si="2005"/>
        <v>8000</v>
      </c>
      <c r="C1884" s="8">
        <v>25000</v>
      </c>
      <c r="D1884" s="187">
        <v>0</v>
      </c>
      <c r="E1884" s="187">
        <v>700</v>
      </c>
      <c r="F1884" s="187">
        <v>15000</v>
      </c>
      <c r="G1884" s="30">
        <f t="shared" si="2006"/>
        <v>2400</v>
      </c>
      <c r="H1884" s="8">
        <v>25000</v>
      </c>
      <c r="I1884" s="30">
        <f t="shared" si="2007"/>
        <v>8000</v>
      </c>
      <c r="J1884" s="187">
        <v>40000</v>
      </c>
      <c r="K1884" s="30">
        <f t="shared" si="2008"/>
        <v>8000</v>
      </c>
      <c r="L1884" s="187">
        <v>40000</v>
      </c>
      <c r="M1884" s="110">
        <v>9.5</v>
      </c>
      <c r="N1884" s="9">
        <f>VLOOKUP(DATE(YEAR(A1884),MONTH(A1884),DAY(A1884)),FY24_Temp[],3,FALSE)</f>
        <v>15.49</v>
      </c>
      <c r="O1884" s="110">
        <f t="shared" si="1994"/>
        <v>11.5</v>
      </c>
      <c r="P1884" s="110">
        <f t="shared" si="1995"/>
        <v>19.5</v>
      </c>
      <c r="Q1884" s="79">
        <f>VLOOKUP(VLOOKUP(DATEVALUE(TEXT(A1884,"m/d/yyyy")),FY24_Temp[],5,FALSE)&amp;TEXT(A1884,"-h"),TempDelta[],4,FALSE)</f>
        <v>1.8358571359089442</v>
      </c>
      <c r="R1884">
        <v>10</v>
      </c>
      <c r="S1884" s="112">
        <v>1500</v>
      </c>
      <c r="T1884" s="5">
        <f>VLOOKUP(TEXT(A1884,"yy-mm")&amp;"-"&amp;IF(AND(WEEKDAY(A1884)&gt;1,WEEKDAY(A1884)&lt;7),"Wkd",TEXT(A1884,"Ddd"))&amp;"-"&amp;TEXT(A1884,"hh"),LoadTable[],3,FALSE)*0.92</f>
        <v>291.87724476857363</v>
      </c>
      <c r="U1884" s="113">
        <f t="shared" si="1996"/>
        <v>29.187724476857362</v>
      </c>
      <c r="V1884">
        <f t="shared" ref="V1884:W1884" si="2025">V1860</f>
        <v>2.9</v>
      </c>
      <c r="W1884">
        <f t="shared" si="2025"/>
        <v>3</v>
      </c>
      <c r="X1884" s="9">
        <v>-22.2926376166665</v>
      </c>
      <c r="Y1884" s="39"/>
    </row>
    <row r="1885" spans="1:25" ht="15" thickBot="1">
      <c r="A1885" s="149">
        <f t="shared" si="1978"/>
        <v>45914.416666664081</v>
      </c>
      <c r="B1885" s="30">
        <f t="shared" si="2005"/>
        <v>8000</v>
      </c>
      <c r="C1885" s="8">
        <v>25000</v>
      </c>
      <c r="D1885" s="187">
        <v>0</v>
      </c>
      <c r="E1885" s="187">
        <v>700</v>
      </c>
      <c r="F1885" s="187">
        <v>15000</v>
      </c>
      <c r="G1885" s="30">
        <f t="shared" si="2006"/>
        <v>2400</v>
      </c>
      <c r="H1885" s="8">
        <v>25000</v>
      </c>
      <c r="I1885" s="30">
        <f t="shared" si="2007"/>
        <v>8000</v>
      </c>
      <c r="J1885" s="187">
        <v>40000</v>
      </c>
      <c r="K1885" s="30">
        <f t="shared" si="2008"/>
        <v>8000</v>
      </c>
      <c r="L1885" s="187">
        <v>40000</v>
      </c>
      <c r="M1885" s="110">
        <v>9.5</v>
      </c>
      <c r="N1885" s="9">
        <f>VLOOKUP(DATE(YEAR(A1885),MONTH(A1885),DAY(A1885)),FY24_Temp[],3,FALSE)</f>
        <v>15.49</v>
      </c>
      <c r="O1885" s="110">
        <f t="shared" si="1994"/>
        <v>11.5</v>
      </c>
      <c r="P1885" s="110">
        <f t="shared" si="1995"/>
        <v>19.5</v>
      </c>
      <c r="Q1885" s="79">
        <f>VLOOKUP(VLOOKUP(DATEVALUE(TEXT(A1885,"m/d/yyyy")),FY24_Temp[],5,FALSE)&amp;TEXT(A1885,"-h"),TempDelta[],4,FALSE)</f>
        <v>1.6792856965746199</v>
      </c>
      <c r="R1885">
        <v>10</v>
      </c>
      <c r="S1885" s="112">
        <v>1500</v>
      </c>
      <c r="T1885" s="5">
        <f>VLOOKUP(TEXT(A1885,"yy-mm")&amp;"-"&amp;IF(AND(WEEKDAY(A1885)&gt;1,WEEKDAY(A1885)&lt;7),"Wkd",TEXT(A1885,"Ddd"))&amp;"-"&amp;TEXT(A1885,"hh"),LoadTable[],3,FALSE)*0.92</f>
        <v>290.0418447685737</v>
      </c>
      <c r="U1885" s="113">
        <f t="shared" si="1996"/>
        <v>29.004184476857368</v>
      </c>
      <c r="V1885">
        <f t="shared" ref="V1885:W1885" si="2026">V1861</f>
        <v>2.9</v>
      </c>
      <c r="W1885">
        <f t="shared" si="2026"/>
        <v>3</v>
      </c>
      <c r="X1885" s="9">
        <v>-22.3704321666665</v>
      </c>
      <c r="Y1885" s="39"/>
    </row>
    <row r="1886" spans="1:25" ht="15" thickBot="1">
      <c r="A1886" s="149">
        <f t="shared" si="1978"/>
        <v>45914.458333330746</v>
      </c>
      <c r="B1886" s="30">
        <f t="shared" si="2005"/>
        <v>8000</v>
      </c>
      <c r="C1886" s="8">
        <v>25000</v>
      </c>
      <c r="D1886" s="187">
        <v>0</v>
      </c>
      <c r="E1886" s="187">
        <v>700</v>
      </c>
      <c r="F1886" s="187">
        <v>15000</v>
      </c>
      <c r="G1886" s="30">
        <f t="shared" si="2006"/>
        <v>2400</v>
      </c>
      <c r="H1886" s="8">
        <v>25000</v>
      </c>
      <c r="I1886" s="30">
        <f t="shared" si="2007"/>
        <v>8000</v>
      </c>
      <c r="J1886" s="187">
        <v>40000</v>
      </c>
      <c r="K1886" s="30">
        <f t="shared" si="2008"/>
        <v>8000</v>
      </c>
      <c r="L1886" s="187">
        <v>40000</v>
      </c>
      <c r="M1886" s="110">
        <v>9.5</v>
      </c>
      <c r="N1886" s="9">
        <f>VLOOKUP(DATE(YEAR(A1886),MONTH(A1886),DAY(A1886)),FY24_Temp[],3,FALSE)</f>
        <v>15.49</v>
      </c>
      <c r="O1886" s="110">
        <f t="shared" si="1994"/>
        <v>11.5</v>
      </c>
      <c r="P1886" s="110">
        <f t="shared" si="1995"/>
        <v>19.5</v>
      </c>
      <c r="Q1886" s="79">
        <f>VLOOKUP(VLOOKUP(DATEVALUE(TEXT(A1886,"m/d/yyyy")),FY24_Temp[],5,FALSE)&amp;TEXT(A1886,"-h"),TempDelta[],4,FALSE)</f>
        <v>1.4937142814908708</v>
      </c>
      <c r="R1886">
        <v>10</v>
      </c>
      <c r="S1886" s="112">
        <v>1500</v>
      </c>
      <c r="T1886" s="5">
        <f>VLOOKUP(TEXT(A1886,"yy-mm")&amp;"-"&amp;IF(AND(WEEKDAY(A1886)&gt;1,WEEKDAY(A1886)&lt;7),"Wkd",TEXT(A1886,"Ddd"))&amp;"-"&amp;TEXT(A1886,"hh"),LoadTable[],3,FALSE)*0.92</f>
        <v>292.66046400000005</v>
      </c>
      <c r="U1886" s="113">
        <f t="shared" si="1996"/>
        <v>29.266046400000004</v>
      </c>
      <c r="V1886">
        <f t="shared" ref="V1886:W1886" si="2027">V1862</f>
        <v>3.4</v>
      </c>
      <c r="W1886">
        <f t="shared" si="2027"/>
        <v>3</v>
      </c>
      <c r="X1886" s="9">
        <v>-22.4482267166665</v>
      </c>
      <c r="Y1886" s="39"/>
    </row>
    <row r="1887" spans="1:25" ht="15" thickBot="1">
      <c r="A1887" s="149">
        <f t="shared" si="1978"/>
        <v>45914.49999999741</v>
      </c>
      <c r="B1887" s="30">
        <f t="shared" si="2005"/>
        <v>8000</v>
      </c>
      <c r="C1887" s="8">
        <v>25000</v>
      </c>
      <c r="D1887" s="187">
        <v>0</v>
      </c>
      <c r="E1887" s="187">
        <v>700</v>
      </c>
      <c r="F1887" s="187">
        <v>15000</v>
      </c>
      <c r="G1887" s="30">
        <f t="shared" si="2006"/>
        <v>2400</v>
      </c>
      <c r="H1887" s="8">
        <v>25000</v>
      </c>
      <c r="I1887" s="30">
        <f t="shared" si="2007"/>
        <v>8000</v>
      </c>
      <c r="J1887" s="187">
        <v>40000</v>
      </c>
      <c r="K1887" s="30">
        <f t="shared" si="2008"/>
        <v>8000</v>
      </c>
      <c r="L1887" s="187">
        <v>40000</v>
      </c>
      <c r="M1887" s="110">
        <v>9.5</v>
      </c>
      <c r="N1887" s="9">
        <f>VLOOKUP(DATE(YEAR(A1887),MONTH(A1887),DAY(A1887)),FY24_Temp[],3,FALSE)</f>
        <v>15.49</v>
      </c>
      <c r="O1887" s="110">
        <f t="shared" si="1994"/>
        <v>11.5</v>
      </c>
      <c r="P1887" s="110">
        <f t="shared" si="1995"/>
        <v>19.5</v>
      </c>
      <c r="Q1887" s="79">
        <f>VLOOKUP(VLOOKUP(DATEVALUE(TEXT(A1887,"m/d/yyyy")),FY24_Temp[],5,FALSE)&amp;TEXT(A1887,"-h"),TempDelta[],4,FALSE)</f>
        <v>1.3148571423121862</v>
      </c>
      <c r="R1887">
        <v>10</v>
      </c>
      <c r="S1887" s="112">
        <v>1500</v>
      </c>
      <c r="T1887" s="5">
        <f>VLOOKUP(TEXT(A1887,"yy-mm")&amp;"-"&amp;IF(AND(WEEKDAY(A1887)&gt;1,WEEKDAY(A1887)&lt;7),"Wkd",TEXT(A1887,"Ddd"))&amp;"-"&amp;TEXT(A1887,"hh"),LoadTable[],3,FALSE)*0.92</f>
        <v>292.66046400000005</v>
      </c>
      <c r="U1887" s="113">
        <f t="shared" si="1996"/>
        <v>29.266046400000004</v>
      </c>
      <c r="V1887">
        <f t="shared" ref="V1887:W1887" si="2028">V1863</f>
        <v>3.1</v>
      </c>
      <c r="W1887">
        <f t="shared" si="2028"/>
        <v>2.9</v>
      </c>
      <c r="X1887" s="9">
        <v>-22.526021266666501</v>
      </c>
      <c r="Y1887" s="39"/>
    </row>
    <row r="1888" spans="1:25" ht="15" thickBot="1">
      <c r="A1888" s="149">
        <f t="shared" si="1978"/>
        <v>45914.541666664074</v>
      </c>
      <c r="B1888" s="30">
        <f t="shared" si="2005"/>
        <v>8000</v>
      </c>
      <c r="C1888" s="8">
        <v>25000</v>
      </c>
      <c r="D1888" s="187">
        <v>0</v>
      </c>
      <c r="E1888" s="187">
        <v>700</v>
      </c>
      <c r="F1888" s="187">
        <v>15000</v>
      </c>
      <c r="G1888" s="30">
        <f t="shared" si="2006"/>
        <v>2400</v>
      </c>
      <c r="H1888" s="8">
        <v>25000</v>
      </c>
      <c r="I1888" s="30">
        <f t="shared" si="2007"/>
        <v>8000</v>
      </c>
      <c r="J1888" s="187">
        <v>40000</v>
      </c>
      <c r="K1888" s="30">
        <f t="shared" si="2008"/>
        <v>8000</v>
      </c>
      <c r="L1888" s="187">
        <v>40000</v>
      </c>
      <c r="M1888" s="110">
        <v>9.5</v>
      </c>
      <c r="N1888" s="9">
        <f>VLOOKUP(DATE(YEAR(A1888),MONTH(A1888),DAY(A1888)),FY24_Temp[],3,FALSE)</f>
        <v>15.49</v>
      </c>
      <c r="O1888" s="110">
        <f t="shared" si="1994"/>
        <v>11.5</v>
      </c>
      <c r="P1888" s="110">
        <f t="shared" si="1995"/>
        <v>19.5</v>
      </c>
      <c r="Q1888" s="79">
        <f>VLOOKUP(VLOOKUP(DATEVALUE(TEXT(A1888,"m/d/yyyy")),FY24_Temp[],5,FALSE)&amp;TEXT(A1888,"-h"),TempDelta[],4,FALSE)</f>
        <v>1.1432857002530779</v>
      </c>
      <c r="R1888">
        <v>10</v>
      </c>
      <c r="S1888" s="112">
        <v>1500</v>
      </c>
      <c r="T1888" s="5">
        <f>VLOOKUP(TEXT(A1888,"yy-mm")&amp;"-"&amp;IF(AND(WEEKDAY(A1888)&gt;1,WEEKDAY(A1888)&lt;7),"Wkd",TEXT(A1888,"Ddd"))&amp;"-"&amp;TEXT(A1888,"hh"),LoadTable[],3,FALSE)*0.92</f>
        <v>292.60324000000008</v>
      </c>
      <c r="U1888" s="113">
        <f t="shared" si="1996"/>
        <v>29.260324000000008</v>
      </c>
      <c r="V1888">
        <f t="shared" ref="V1888:W1888" si="2029">V1864</f>
        <v>3.2</v>
      </c>
      <c r="W1888">
        <f t="shared" si="2029"/>
        <v>2.9</v>
      </c>
      <c r="X1888" s="9">
        <v>-22.603815816666501</v>
      </c>
      <c r="Y1888" s="39"/>
    </row>
    <row r="1889" spans="1:25" ht="15" thickBot="1">
      <c r="A1889" s="149">
        <f t="shared" si="1978"/>
        <v>45914.583333330738</v>
      </c>
      <c r="B1889" s="30">
        <f t="shared" si="2005"/>
        <v>8000</v>
      </c>
      <c r="C1889" s="8">
        <v>25000</v>
      </c>
      <c r="D1889" s="187">
        <v>0</v>
      </c>
      <c r="E1889" s="187">
        <v>700</v>
      </c>
      <c r="F1889" s="187">
        <v>15000</v>
      </c>
      <c r="G1889" s="30">
        <f t="shared" si="2006"/>
        <v>2400</v>
      </c>
      <c r="H1889" s="8">
        <v>25000</v>
      </c>
      <c r="I1889" s="30">
        <f t="shared" si="2007"/>
        <v>8000</v>
      </c>
      <c r="J1889" s="187">
        <v>40000</v>
      </c>
      <c r="K1889" s="30">
        <f t="shared" si="2008"/>
        <v>8000</v>
      </c>
      <c r="L1889" s="187">
        <v>40000</v>
      </c>
      <c r="M1889" s="110">
        <v>9.5</v>
      </c>
      <c r="N1889" s="9">
        <f>VLOOKUP(DATE(YEAR(A1889),MONTH(A1889),DAY(A1889)),FY24_Temp[],3,FALSE)</f>
        <v>15.49</v>
      </c>
      <c r="O1889" s="110">
        <f t="shared" si="1994"/>
        <v>11.5</v>
      </c>
      <c r="P1889" s="110">
        <f t="shared" si="1995"/>
        <v>19.5</v>
      </c>
      <c r="Q1889" s="79">
        <f>VLOOKUP(VLOOKUP(DATEVALUE(TEXT(A1889,"m/d/yyyy")),FY24_Temp[],5,FALSE)&amp;TEXT(A1889,"-h"),TempDelta[],4,FALSE)</f>
        <v>0.98585713761193416</v>
      </c>
      <c r="R1889">
        <v>10</v>
      </c>
      <c r="S1889" s="112">
        <v>1500</v>
      </c>
      <c r="T1889" s="5">
        <f>VLOOKUP(TEXT(A1889,"yy-mm")&amp;"-"&amp;IF(AND(WEEKDAY(A1889)&gt;1,WEEKDAY(A1889)&lt;7),"Wkd",TEXT(A1889,"Ddd"))&amp;"-"&amp;TEXT(A1889,"hh"),LoadTable[],3,FALSE)*0.92</f>
        <v>341.35680000000008</v>
      </c>
      <c r="U1889" s="113">
        <f t="shared" si="1996"/>
        <v>34.135680000000008</v>
      </c>
      <c r="V1889">
        <f t="shared" ref="V1889:W1889" si="2030">V1865</f>
        <v>3.5</v>
      </c>
      <c r="W1889">
        <f t="shared" si="2030"/>
        <v>2.9</v>
      </c>
      <c r="X1889" s="9">
        <v>-22.681610366666501</v>
      </c>
      <c r="Y1889" s="39"/>
    </row>
    <row r="1890" spans="1:25" ht="15" thickBot="1">
      <c r="A1890" s="149">
        <f t="shared" si="1978"/>
        <v>45914.624999997402</v>
      </c>
      <c r="B1890" s="30">
        <f t="shared" si="2005"/>
        <v>8000</v>
      </c>
      <c r="C1890" s="8">
        <v>25000</v>
      </c>
      <c r="D1890" s="187">
        <v>0</v>
      </c>
      <c r="E1890" s="187">
        <v>700</v>
      </c>
      <c r="F1890" s="187">
        <v>15000</v>
      </c>
      <c r="G1890" s="30">
        <f t="shared" si="2006"/>
        <v>2400</v>
      </c>
      <c r="H1890" s="8">
        <v>25000</v>
      </c>
      <c r="I1890" s="30">
        <f t="shared" si="2007"/>
        <v>8000</v>
      </c>
      <c r="J1890" s="187">
        <v>40000</v>
      </c>
      <c r="K1890" s="30">
        <f t="shared" si="2008"/>
        <v>8000</v>
      </c>
      <c r="L1890" s="187">
        <v>40000</v>
      </c>
      <c r="M1890" s="110">
        <v>9.5</v>
      </c>
      <c r="N1890" s="9">
        <f>VLOOKUP(DATE(YEAR(A1890),MONTH(A1890),DAY(A1890)),FY24_Temp[],3,FALSE)</f>
        <v>15.49</v>
      </c>
      <c r="O1890" s="110">
        <f t="shared" si="1994"/>
        <v>11.5</v>
      </c>
      <c r="P1890" s="110">
        <f t="shared" si="1995"/>
        <v>19.5</v>
      </c>
      <c r="Q1890" s="79">
        <f>VLOOKUP(VLOOKUP(DATEVALUE(TEXT(A1890,"m/d/yyyy")),FY24_Temp[],5,FALSE)&amp;TEXT(A1890,"-h"),TempDelta[],4,FALSE)</f>
        <v>0.49378571685935768</v>
      </c>
      <c r="R1890">
        <v>10</v>
      </c>
      <c r="S1890" s="112">
        <v>1500</v>
      </c>
      <c r="T1890" s="5">
        <f>VLOOKUP(TEXT(A1890,"yy-mm")&amp;"-"&amp;IF(AND(WEEKDAY(A1890)&gt;1,WEEKDAY(A1890)&lt;7),"Wkd",TEXT(A1890,"Ddd"))&amp;"-"&amp;TEXT(A1890,"hh"),LoadTable[],3,FALSE)*0.92</f>
        <v>574.54532098648792</v>
      </c>
      <c r="U1890" s="113">
        <f t="shared" si="1996"/>
        <v>57.454532098648791</v>
      </c>
      <c r="V1890">
        <f t="shared" ref="V1890:W1890" si="2031">V1866</f>
        <v>3.2</v>
      </c>
      <c r="W1890">
        <f t="shared" si="2031"/>
        <v>2.9</v>
      </c>
      <c r="X1890" s="9">
        <v>-22.759404916666501</v>
      </c>
      <c r="Y1890" s="39"/>
    </row>
    <row r="1891" spans="1:25" ht="15" thickBot="1">
      <c r="A1891" s="149">
        <f t="shared" si="1978"/>
        <v>45914.666666664067</v>
      </c>
      <c r="B1891" s="30">
        <f t="shared" si="2005"/>
        <v>8000</v>
      </c>
      <c r="C1891" s="8">
        <v>25000</v>
      </c>
      <c r="D1891" s="187">
        <v>0</v>
      </c>
      <c r="E1891" s="187">
        <v>700</v>
      </c>
      <c r="F1891" s="187">
        <v>15000</v>
      </c>
      <c r="G1891" s="30">
        <f t="shared" si="2006"/>
        <v>2400</v>
      </c>
      <c r="H1891" s="8">
        <v>25000</v>
      </c>
      <c r="I1891" s="30">
        <f t="shared" si="2007"/>
        <v>8000</v>
      </c>
      <c r="J1891" s="187">
        <v>40000</v>
      </c>
      <c r="K1891" s="30">
        <f t="shared" si="2008"/>
        <v>8000</v>
      </c>
      <c r="L1891" s="187">
        <v>40000</v>
      </c>
      <c r="M1891" s="110">
        <v>9.5</v>
      </c>
      <c r="N1891" s="9">
        <f>VLOOKUP(DATE(YEAR(A1891),MONTH(A1891),DAY(A1891)),FY24_Temp[],3,FALSE)</f>
        <v>15.49</v>
      </c>
      <c r="O1891" s="110">
        <f t="shared" si="1994"/>
        <v>11.5</v>
      </c>
      <c r="P1891" s="110">
        <f t="shared" si="1995"/>
        <v>19.5</v>
      </c>
      <c r="Q1891" s="79">
        <f>VLOOKUP(VLOOKUP(DATEVALUE(TEXT(A1891,"m/d/yyyy")),FY24_Temp[],5,FALSE)&amp;TEXT(A1891,"-h"),TempDelta[],4,FALSE)</f>
        <v>0.57192856445908546</v>
      </c>
      <c r="R1891">
        <v>10</v>
      </c>
      <c r="S1891" s="112">
        <v>1500</v>
      </c>
      <c r="T1891" s="5">
        <f>VLOOKUP(TEXT(A1891,"yy-mm")&amp;"-"&amp;IF(AND(WEEKDAY(A1891)&gt;1,WEEKDAY(A1891)&lt;7),"Wkd",TEXT(A1891,"Ddd"))&amp;"-"&amp;TEXT(A1891,"hh"),LoadTable[],3,FALSE)*0.92</f>
        <v>641.47602521827605</v>
      </c>
      <c r="U1891" s="113">
        <f t="shared" si="1996"/>
        <v>64.147602521827608</v>
      </c>
      <c r="V1891">
        <f t="shared" ref="V1891:W1891" si="2032">V1867</f>
        <v>3.5</v>
      </c>
      <c r="W1891">
        <f t="shared" si="2032"/>
        <v>3</v>
      </c>
      <c r="X1891" s="9">
        <v>-22.837199466666501</v>
      </c>
      <c r="Y1891" s="39"/>
    </row>
    <row r="1892" spans="1:25" ht="15" thickBot="1">
      <c r="A1892" s="149">
        <f t="shared" si="1978"/>
        <v>45914.708333330731</v>
      </c>
      <c r="B1892" s="30">
        <f t="shared" si="2005"/>
        <v>8000</v>
      </c>
      <c r="C1892" s="8">
        <v>25000</v>
      </c>
      <c r="D1892" s="187">
        <v>0</v>
      </c>
      <c r="E1892" s="187">
        <v>700</v>
      </c>
      <c r="F1892" s="187">
        <v>15000</v>
      </c>
      <c r="G1892" s="30">
        <f t="shared" si="2006"/>
        <v>2400</v>
      </c>
      <c r="H1892" s="8">
        <v>25000</v>
      </c>
      <c r="I1892" s="30">
        <f t="shared" si="2007"/>
        <v>8000</v>
      </c>
      <c r="J1892" s="187">
        <v>40000</v>
      </c>
      <c r="K1892" s="30">
        <f t="shared" si="2008"/>
        <v>8000</v>
      </c>
      <c r="L1892" s="187">
        <v>40000</v>
      </c>
      <c r="M1892" s="110">
        <v>9.5</v>
      </c>
      <c r="N1892" s="9">
        <f>VLOOKUP(DATE(YEAR(A1892),MONTH(A1892),DAY(A1892)),FY24_Temp[],3,FALSE)</f>
        <v>15.49</v>
      </c>
      <c r="O1892" s="110">
        <f t="shared" si="1994"/>
        <v>11.5</v>
      </c>
      <c r="P1892" s="110">
        <f t="shared" si="1995"/>
        <v>19.5</v>
      </c>
      <c r="Q1892" s="79">
        <f>VLOOKUP(VLOOKUP(DATEVALUE(TEXT(A1892,"m/d/yyyy")),FY24_Temp[],5,FALSE)&amp;TEXT(A1892,"-h"),TempDelta[],4,FALSE)</f>
        <v>0.84400000103882378</v>
      </c>
      <c r="R1892">
        <v>10</v>
      </c>
      <c r="S1892" s="112">
        <v>1500</v>
      </c>
      <c r="T1892" s="5">
        <f>VLOOKUP(TEXT(A1892,"yy-mm")&amp;"-"&amp;IF(AND(WEEKDAY(A1892)&gt;1,WEEKDAY(A1892)&lt;7),"Wkd",TEXT(A1892,"Ddd"))&amp;"-"&amp;TEXT(A1892,"hh"),LoadTable[],3,FALSE)*0.92</f>
        <v>641.47602521827605</v>
      </c>
      <c r="U1892" s="113">
        <f t="shared" si="1996"/>
        <v>64.147602521827608</v>
      </c>
      <c r="V1892">
        <f t="shared" ref="V1892:W1892" si="2033">V1868</f>
        <v>3.6</v>
      </c>
      <c r="W1892">
        <f t="shared" si="2033"/>
        <v>3</v>
      </c>
      <c r="X1892" s="9">
        <v>-22.914994016666501</v>
      </c>
      <c r="Y1892" s="39"/>
    </row>
    <row r="1893" spans="1:25" ht="15" thickBot="1">
      <c r="A1893" s="149">
        <f t="shared" si="1978"/>
        <v>45914.749999997395</v>
      </c>
      <c r="B1893" s="30">
        <f t="shared" si="2005"/>
        <v>5000</v>
      </c>
      <c r="C1893" s="8">
        <v>25000</v>
      </c>
      <c r="D1893" s="187">
        <v>0</v>
      </c>
      <c r="E1893" s="187">
        <v>700</v>
      </c>
      <c r="F1893" s="187">
        <v>15000</v>
      </c>
      <c r="G1893" s="30">
        <f t="shared" si="2006"/>
        <v>2400</v>
      </c>
      <c r="H1893" s="8">
        <v>25000</v>
      </c>
      <c r="I1893" s="30">
        <f t="shared" si="2007"/>
        <v>5000</v>
      </c>
      <c r="J1893" s="187">
        <v>40000</v>
      </c>
      <c r="K1893" s="30">
        <f t="shared" si="2008"/>
        <v>5000</v>
      </c>
      <c r="L1893" s="187">
        <v>40000</v>
      </c>
      <c r="M1893" s="110">
        <v>9.5</v>
      </c>
      <c r="N1893" s="9">
        <f>VLOOKUP(DATE(YEAR(A1893),MONTH(A1893),DAY(A1893)),FY24_Temp[],3,FALSE)</f>
        <v>15.49</v>
      </c>
      <c r="O1893" s="110">
        <f t="shared" si="1994"/>
        <v>11.5</v>
      </c>
      <c r="P1893" s="110">
        <f t="shared" si="1995"/>
        <v>19.5</v>
      </c>
      <c r="Q1893" s="79">
        <f>VLOOKUP(VLOOKUP(DATEVALUE(TEXT(A1893,"m/d/yyyy")),FY24_Temp[],5,FALSE)&amp;TEXT(A1893,"-h"),TempDelta[],4,FALSE)</f>
        <v>1.1615714260510035</v>
      </c>
      <c r="R1893">
        <v>10</v>
      </c>
      <c r="S1893" s="112">
        <v>1500</v>
      </c>
      <c r="T1893" s="5">
        <f>VLOOKUP(TEXT(A1893,"yy-mm")&amp;"-"&amp;IF(AND(WEEKDAY(A1893)&gt;1,WEEKDAY(A1893)&lt;7),"Wkd",TEXT(A1893,"Ddd"))&amp;"-"&amp;TEXT(A1893,"hh"),LoadTable[],3,FALSE)*0.92</f>
        <v>641.47602521827605</v>
      </c>
      <c r="U1893" s="113">
        <f t="shared" si="1996"/>
        <v>64.147602521827608</v>
      </c>
      <c r="V1893">
        <f t="shared" ref="V1893:W1893" si="2034">V1869</f>
        <v>2.9</v>
      </c>
      <c r="W1893">
        <f t="shared" si="2034"/>
        <v>3</v>
      </c>
      <c r="X1893" s="9">
        <v>-22.992788566666501</v>
      </c>
      <c r="Y1893" s="39"/>
    </row>
    <row r="1894" spans="1:25" ht="15" thickBot="1">
      <c r="A1894" s="149">
        <f t="shared" si="1978"/>
        <v>45914.791666664059</v>
      </c>
      <c r="B1894" s="30">
        <f t="shared" si="2005"/>
        <v>5000</v>
      </c>
      <c r="C1894" s="8">
        <v>25000</v>
      </c>
      <c r="D1894" s="187">
        <v>0</v>
      </c>
      <c r="E1894" s="187">
        <v>700</v>
      </c>
      <c r="F1894" s="187">
        <v>15000</v>
      </c>
      <c r="G1894" s="30">
        <f t="shared" si="2006"/>
        <v>2400</v>
      </c>
      <c r="H1894" s="8">
        <v>25000</v>
      </c>
      <c r="I1894" s="30">
        <f t="shared" si="2007"/>
        <v>5000</v>
      </c>
      <c r="J1894" s="187">
        <v>40000</v>
      </c>
      <c r="K1894" s="30">
        <f t="shared" si="2008"/>
        <v>5000</v>
      </c>
      <c r="L1894" s="187">
        <v>40000</v>
      </c>
      <c r="M1894" s="110">
        <v>9.5</v>
      </c>
      <c r="N1894" s="9">
        <f>VLOOKUP(DATE(YEAR(A1894),MONTH(A1894),DAY(A1894)),FY24_Temp[],3,FALSE)</f>
        <v>15.49</v>
      </c>
      <c r="O1894" s="110">
        <f t="shared" si="1994"/>
        <v>11.5</v>
      </c>
      <c r="P1894" s="110">
        <f t="shared" si="1995"/>
        <v>19.5</v>
      </c>
      <c r="Q1894" s="79">
        <f>VLOOKUP(VLOOKUP(DATEVALUE(TEXT(A1894,"m/d/yyyy")),FY24_Temp[],5,FALSE)&amp;TEXT(A1894,"-h"),TempDelta[],4,FALSE)</f>
        <v>1.2906428532941001</v>
      </c>
      <c r="R1894">
        <v>10</v>
      </c>
      <c r="S1894" s="112">
        <v>1500</v>
      </c>
      <c r="T1894" s="5">
        <f>VLOOKUP(TEXT(A1894,"yy-mm")&amp;"-"&amp;IF(AND(WEEKDAY(A1894)&gt;1,WEEKDAY(A1894)&lt;7),"Wkd",TEXT(A1894,"Ddd"))&amp;"-"&amp;TEXT(A1894,"hh"),LoadTable[],3,FALSE)*0.92</f>
        <v>639.45388251315194</v>
      </c>
      <c r="U1894" s="113">
        <f t="shared" si="1996"/>
        <v>63.945388251315194</v>
      </c>
      <c r="V1894">
        <f t="shared" ref="V1894:W1894" si="2035">V1870</f>
        <v>3</v>
      </c>
      <c r="W1894">
        <f t="shared" si="2035"/>
        <v>3</v>
      </c>
      <c r="X1894" s="9">
        <v>-23.070583116666501</v>
      </c>
      <c r="Y1894" s="39"/>
    </row>
    <row r="1895" spans="1:25" ht="15" thickBot="1">
      <c r="A1895" s="149">
        <f t="shared" si="1978"/>
        <v>45914.833333330724</v>
      </c>
      <c r="B1895" s="30">
        <f t="shared" si="2005"/>
        <v>5000</v>
      </c>
      <c r="C1895" s="8">
        <v>25000</v>
      </c>
      <c r="D1895" s="187">
        <v>0</v>
      </c>
      <c r="E1895" s="187">
        <v>700</v>
      </c>
      <c r="F1895" s="187">
        <v>15000</v>
      </c>
      <c r="G1895" s="30">
        <f t="shared" si="2006"/>
        <v>2400</v>
      </c>
      <c r="H1895" s="8">
        <v>25000</v>
      </c>
      <c r="I1895" s="30">
        <f t="shared" si="2007"/>
        <v>5000</v>
      </c>
      <c r="J1895" s="187">
        <v>40000</v>
      </c>
      <c r="K1895" s="30">
        <f t="shared" si="2008"/>
        <v>5000</v>
      </c>
      <c r="L1895" s="187">
        <v>40000</v>
      </c>
      <c r="M1895" s="110">
        <v>9.5</v>
      </c>
      <c r="N1895" s="9">
        <f>VLOOKUP(DATE(YEAR(A1895),MONTH(A1895),DAY(A1895)),FY24_Temp[],3,FALSE)</f>
        <v>15.49</v>
      </c>
      <c r="O1895" s="110">
        <f t="shared" si="1994"/>
        <v>11.5</v>
      </c>
      <c r="P1895" s="110">
        <f t="shared" si="1995"/>
        <v>19.5</v>
      </c>
      <c r="Q1895" s="79">
        <f>VLOOKUP(VLOOKUP(DATEVALUE(TEXT(A1895,"m/d/yyyy")),FY24_Temp[],5,FALSE)&amp;TEXT(A1895,"-h"),TempDelta[],4,FALSE)</f>
        <v>1.3774285869938987</v>
      </c>
      <c r="R1895">
        <v>10</v>
      </c>
      <c r="S1895" s="112">
        <v>1500</v>
      </c>
      <c r="T1895" s="5">
        <f>VLOOKUP(TEXT(A1895,"yy-mm")&amp;"-"&amp;IF(AND(WEEKDAY(A1895)&gt;1,WEEKDAY(A1895)&lt;7),"Wkd",TEXT(A1895,"Ddd"))&amp;"-"&amp;TEXT(A1895,"hh"),LoadTable[],3,FALSE)*0.92</f>
        <v>584.83549237023499</v>
      </c>
      <c r="U1895" s="113">
        <f t="shared" si="1996"/>
        <v>58.483549237023496</v>
      </c>
      <c r="V1895">
        <f t="shared" ref="V1895:W1895" si="2036">V1871</f>
        <v>2.8</v>
      </c>
      <c r="W1895">
        <f t="shared" si="2036"/>
        <v>3.1</v>
      </c>
      <c r="X1895" s="9">
        <v>-23.148377666666502</v>
      </c>
      <c r="Y1895" s="39"/>
    </row>
    <row r="1896" spans="1:25" ht="15" thickBot="1">
      <c r="A1896" s="149">
        <f t="shared" si="1978"/>
        <v>45914.874999997388</v>
      </c>
      <c r="B1896" s="30">
        <f t="shared" si="2005"/>
        <v>5000</v>
      </c>
      <c r="C1896" s="8">
        <v>25000</v>
      </c>
      <c r="D1896" s="187">
        <v>0</v>
      </c>
      <c r="E1896" s="187">
        <v>700</v>
      </c>
      <c r="F1896" s="187">
        <v>15000</v>
      </c>
      <c r="G1896" s="30">
        <f t="shared" si="2006"/>
        <v>2400</v>
      </c>
      <c r="H1896" s="8">
        <v>25000</v>
      </c>
      <c r="I1896" s="30">
        <f t="shared" si="2007"/>
        <v>5000</v>
      </c>
      <c r="J1896" s="187">
        <v>40000</v>
      </c>
      <c r="K1896" s="30">
        <f t="shared" si="2008"/>
        <v>5000</v>
      </c>
      <c r="L1896" s="187">
        <v>40000</v>
      </c>
      <c r="M1896" s="110">
        <v>9.5</v>
      </c>
      <c r="N1896" s="9">
        <f>VLOOKUP(DATE(YEAR(A1896),MONTH(A1896),DAY(A1896)),FY24_Temp[],3,FALSE)</f>
        <v>15.49</v>
      </c>
      <c r="O1896" s="110">
        <f t="shared" si="1994"/>
        <v>11.5</v>
      </c>
      <c r="P1896" s="110">
        <f t="shared" si="1995"/>
        <v>19.5</v>
      </c>
      <c r="Q1896" s="79">
        <f>VLOOKUP(VLOOKUP(DATEVALUE(TEXT(A1896,"m/d/yyyy")),FY24_Temp[],5,FALSE)&amp;TEXT(A1896,"-h"),TempDelta[],4,FALSE)</f>
        <v>1.3976428466183799</v>
      </c>
      <c r="R1896">
        <v>10</v>
      </c>
      <c r="S1896" s="112">
        <v>1500</v>
      </c>
      <c r="T1896" s="5">
        <f>VLOOKUP(TEXT(A1896,"yy-mm")&amp;"-"&amp;IF(AND(WEEKDAY(A1896)&gt;1,WEEKDAY(A1896)&lt;7),"Wkd",TEXT(A1896,"Ddd"))&amp;"-"&amp;TEXT(A1896,"hh"),LoadTable[],3,FALSE)*0.92</f>
        <v>515.78096925471493</v>
      </c>
      <c r="U1896" s="113">
        <f t="shared" si="1996"/>
        <v>51.578096925471492</v>
      </c>
      <c r="V1896">
        <f t="shared" ref="V1896:W1896" si="2037">V1872</f>
        <v>3.5</v>
      </c>
      <c r="W1896">
        <f t="shared" si="2037"/>
        <v>3.1</v>
      </c>
      <c r="X1896" s="9">
        <v>-23.226172216666502</v>
      </c>
      <c r="Y1896" s="39"/>
    </row>
    <row r="1897" spans="1:25" ht="15" thickBot="1">
      <c r="A1897" s="149">
        <f t="shared" si="1978"/>
        <v>45914.916666664052</v>
      </c>
      <c r="B1897" s="30">
        <f t="shared" si="2005"/>
        <v>5000</v>
      </c>
      <c r="C1897" s="8">
        <v>25000</v>
      </c>
      <c r="D1897" s="187">
        <v>0</v>
      </c>
      <c r="E1897" s="187">
        <v>700</v>
      </c>
      <c r="F1897" s="187">
        <v>15000</v>
      </c>
      <c r="G1897" s="30">
        <f t="shared" si="2006"/>
        <v>2400</v>
      </c>
      <c r="H1897" s="8">
        <v>25000</v>
      </c>
      <c r="I1897" s="30">
        <f t="shared" si="2007"/>
        <v>5000</v>
      </c>
      <c r="J1897" s="187">
        <v>40000</v>
      </c>
      <c r="K1897" s="30">
        <f t="shared" si="2008"/>
        <v>5000</v>
      </c>
      <c r="L1897" s="187">
        <v>40000</v>
      </c>
      <c r="M1897" s="110">
        <v>9.5</v>
      </c>
      <c r="N1897" s="9">
        <f>VLOOKUP(DATE(YEAR(A1897),MONTH(A1897),DAY(A1897)),FY24_Temp[],3,FALSE)</f>
        <v>15.49</v>
      </c>
      <c r="O1897" s="110">
        <f t="shared" si="1994"/>
        <v>11.5</v>
      </c>
      <c r="P1897" s="110">
        <f t="shared" si="1995"/>
        <v>19.5</v>
      </c>
      <c r="Q1897" s="79">
        <f>VLOOKUP(VLOOKUP(DATEVALUE(TEXT(A1897,"m/d/yyyy")),FY24_Temp[],5,FALSE)&amp;TEXT(A1897,"-h"),TempDelta[],4,FALSE)</f>
        <v>1.873142855507987</v>
      </c>
      <c r="R1897">
        <v>10</v>
      </c>
      <c r="S1897" s="112">
        <v>1500</v>
      </c>
      <c r="T1897" s="5">
        <f>VLOOKUP(TEXT(A1897,"yy-mm")&amp;"-"&amp;IF(AND(WEEKDAY(A1897)&gt;1,WEEKDAY(A1897)&lt;7),"Wkd",TEXT(A1897,"Ddd"))&amp;"-"&amp;TEXT(A1897,"hh"),LoadTable[],3,FALSE)*0.92</f>
        <v>357.4610490891456</v>
      </c>
      <c r="U1897" s="113">
        <f t="shared" si="1996"/>
        <v>35.74610490891456</v>
      </c>
      <c r="V1897">
        <f t="shared" ref="V1897:W1897" si="2038">V1873</f>
        <v>2.9</v>
      </c>
      <c r="W1897">
        <f t="shared" si="2038"/>
        <v>3.1</v>
      </c>
      <c r="X1897" s="9">
        <v>-23.303966766666498</v>
      </c>
      <c r="Y1897" s="39"/>
    </row>
    <row r="1898" spans="1:25" ht="15" thickBot="1">
      <c r="A1898" s="149">
        <f t="shared" si="1978"/>
        <v>45914.958333330716</v>
      </c>
      <c r="B1898" s="30">
        <f t="shared" si="2005"/>
        <v>5000</v>
      </c>
      <c r="C1898" s="8">
        <v>25000</v>
      </c>
      <c r="D1898" s="187">
        <v>0</v>
      </c>
      <c r="E1898" s="187">
        <v>700</v>
      </c>
      <c r="F1898" s="187">
        <v>15000</v>
      </c>
      <c r="G1898" s="30">
        <f t="shared" si="2006"/>
        <v>2400</v>
      </c>
      <c r="H1898" s="8">
        <v>25000</v>
      </c>
      <c r="I1898" s="30">
        <f t="shared" si="2007"/>
        <v>5000</v>
      </c>
      <c r="J1898" s="187">
        <v>40000</v>
      </c>
      <c r="K1898" s="30">
        <f t="shared" si="2008"/>
        <v>5000</v>
      </c>
      <c r="L1898" s="187">
        <v>40000</v>
      </c>
      <c r="M1898" s="110">
        <v>9.5</v>
      </c>
      <c r="N1898" s="9">
        <f>VLOOKUP(DATE(YEAR(A1898),MONTH(A1898),DAY(A1898)),FY24_Temp[],3,FALSE)</f>
        <v>15.49</v>
      </c>
      <c r="O1898" s="110">
        <f t="shared" si="1994"/>
        <v>11.5</v>
      </c>
      <c r="P1898" s="110">
        <f t="shared" si="1995"/>
        <v>19.5</v>
      </c>
      <c r="Q1898" s="79">
        <f>VLOOKUP(VLOOKUP(DATEVALUE(TEXT(A1898,"m/d/yyyy")),FY24_Temp[],5,FALSE)&amp;TEXT(A1898,"-h"),TempDelta[],4,FALSE)</f>
        <v>2.0031428507396152</v>
      </c>
      <c r="R1898">
        <v>10</v>
      </c>
      <c r="S1898" s="112">
        <v>1500</v>
      </c>
      <c r="T1898" s="5">
        <f>VLOOKUP(TEXT(A1898,"yy-mm")&amp;"-"&amp;IF(AND(WEEKDAY(A1898)&gt;1,WEEKDAY(A1898)&lt;7),"Wkd",TEXT(A1898,"Ddd"))&amp;"-"&amp;TEXT(A1898,"hh"),LoadTable[],3,FALSE)*0.92</f>
        <v>316.63916103217565</v>
      </c>
      <c r="U1898" s="113">
        <f t="shared" si="1996"/>
        <v>31.663916103217566</v>
      </c>
      <c r="V1898">
        <f t="shared" ref="V1898:W1898" si="2039">V1874</f>
        <v>3.6</v>
      </c>
      <c r="W1898">
        <f t="shared" si="2039"/>
        <v>3.1</v>
      </c>
      <c r="X1898" s="9">
        <v>-23.381761316666498</v>
      </c>
      <c r="Y1898" s="39"/>
    </row>
    <row r="1899" spans="1:25" ht="15" thickBot="1">
      <c r="A1899" s="149">
        <f t="shared" si="1978"/>
        <v>45914.999999997381</v>
      </c>
      <c r="B1899" s="30">
        <f t="shared" si="2005"/>
        <v>5000</v>
      </c>
      <c r="C1899" s="8">
        <v>25000</v>
      </c>
      <c r="D1899" s="187">
        <v>0</v>
      </c>
      <c r="E1899" s="187">
        <v>700</v>
      </c>
      <c r="F1899" s="187">
        <v>15000</v>
      </c>
      <c r="G1899" s="30">
        <f t="shared" si="2006"/>
        <v>2400</v>
      </c>
      <c r="H1899" s="8">
        <v>25000</v>
      </c>
      <c r="I1899" s="30">
        <f t="shared" si="2007"/>
        <v>5000</v>
      </c>
      <c r="J1899" s="187">
        <v>40000</v>
      </c>
      <c r="K1899" s="30">
        <f t="shared" si="2008"/>
        <v>5000</v>
      </c>
      <c r="L1899" s="187">
        <v>40000</v>
      </c>
      <c r="M1899" s="110">
        <v>9.5</v>
      </c>
      <c r="N1899" s="9">
        <f>VLOOKUP(DATE(YEAR(A1899),MONTH(A1899),DAY(A1899)),FY24_Temp[],3,FALSE)</f>
        <v>15.49</v>
      </c>
      <c r="O1899" s="110">
        <f t="shared" si="1994"/>
        <v>11.5</v>
      </c>
      <c r="P1899" s="110">
        <f t="shared" si="1995"/>
        <v>19.5</v>
      </c>
      <c r="Q1899" s="79">
        <f>VLOOKUP(VLOOKUP(DATEVALUE(TEXT(A1899,"m/d/yyyy")),FY24_Temp[],5,FALSE)&amp;TEXT(A1899,"-h"),TempDelta[],4,FALSE)</f>
        <v>2.099285670689174</v>
      </c>
      <c r="R1899">
        <v>10</v>
      </c>
      <c r="S1899" s="112">
        <v>1500</v>
      </c>
      <c r="T1899" s="5">
        <f>VLOOKUP(TEXT(A1899,"yy-mm")&amp;"-"&amp;IF(AND(WEEKDAY(A1899)&gt;1,WEEKDAY(A1899)&lt;7),"Wkd",TEXT(A1899,"Ddd"))&amp;"-"&amp;TEXT(A1899,"hh"),LoadTable[],3,FALSE)*0.92</f>
        <v>289.0624787084426</v>
      </c>
      <c r="U1899" s="113">
        <f t="shared" si="1996"/>
        <v>28.906247870844261</v>
      </c>
      <c r="V1899">
        <f t="shared" ref="V1899:W1899" si="2040">V1875</f>
        <v>3</v>
      </c>
      <c r="W1899">
        <f t="shared" si="2040"/>
        <v>3.2</v>
      </c>
      <c r="X1899" s="9">
        <v>-23.459555866666499</v>
      </c>
      <c r="Y1899" s="39"/>
    </row>
    <row r="1900" spans="1:25" ht="15" thickBot="1">
      <c r="A1900" s="149">
        <f t="shared" si="1978"/>
        <v>45915.041666664045</v>
      </c>
      <c r="B1900" s="30">
        <f t="shared" si="2005"/>
        <v>5000</v>
      </c>
      <c r="C1900" s="8">
        <v>25000</v>
      </c>
      <c r="D1900" s="187">
        <v>0</v>
      </c>
      <c r="E1900" s="187">
        <v>700</v>
      </c>
      <c r="F1900" s="187">
        <v>15000</v>
      </c>
      <c r="G1900" s="30">
        <f t="shared" si="2006"/>
        <v>2400</v>
      </c>
      <c r="H1900" s="8">
        <v>25000</v>
      </c>
      <c r="I1900" s="30">
        <f t="shared" si="2007"/>
        <v>5000</v>
      </c>
      <c r="J1900" s="187">
        <v>40000</v>
      </c>
      <c r="K1900" s="30">
        <f t="shared" si="2008"/>
        <v>5000</v>
      </c>
      <c r="L1900" s="187">
        <v>40000</v>
      </c>
      <c r="M1900" s="110">
        <v>9.5</v>
      </c>
      <c r="N1900" s="9">
        <f>VLOOKUP(DATE(YEAR(A1900),MONTH(A1900),DAY(A1900)),FY24_Temp[],3,FALSE)</f>
        <v>15.49</v>
      </c>
      <c r="O1900" s="110">
        <f t="shared" si="1994"/>
        <v>11.5</v>
      </c>
      <c r="P1900" s="110">
        <f t="shared" si="1995"/>
        <v>19.5</v>
      </c>
      <c r="Q1900" s="79">
        <f>VLOOKUP(VLOOKUP(DATEVALUE(TEXT(A1900,"m/d/yyyy")),FY24_Temp[],5,FALSE)&amp;TEXT(A1900,"-h"),TempDelta[],4,FALSE)</f>
        <v>2.1752857140132358</v>
      </c>
      <c r="R1900">
        <v>10</v>
      </c>
      <c r="S1900" s="112">
        <v>1500</v>
      </c>
      <c r="T1900" s="5">
        <f>VLOOKUP(TEXT(A1900,"yy-mm")&amp;"-"&amp;IF(AND(WEEKDAY(A1900)&gt;1,WEEKDAY(A1900)&lt;7),"Wkd",TEXT(A1900,"Ddd"))&amp;"-"&amp;TEXT(A1900,"hh"),LoadTable[],3,FALSE)*0.92</f>
        <v>289.0624787084426</v>
      </c>
      <c r="U1900" s="113">
        <f t="shared" si="1996"/>
        <v>28.906247870844261</v>
      </c>
      <c r="V1900">
        <f t="shared" ref="V1900:W1900" si="2041">V1876</f>
        <v>2.6</v>
      </c>
      <c r="W1900">
        <f t="shared" si="2041"/>
        <v>3.2</v>
      </c>
      <c r="X1900" s="9">
        <v>-23.537350416666499</v>
      </c>
      <c r="Y1900" s="39"/>
    </row>
    <row r="1901" spans="1:25" ht="15" thickBot="1">
      <c r="A1901" s="149">
        <f t="shared" si="1978"/>
        <v>45915.083333330709</v>
      </c>
      <c r="B1901" s="30">
        <f t="shared" si="2005"/>
        <v>5000</v>
      </c>
      <c r="C1901" s="8">
        <v>25000</v>
      </c>
      <c r="D1901" s="187">
        <v>0</v>
      </c>
      <c r="E1901" s="187">
        <v>700</v>
      </c>
      <c r="F1901" s="187">
        <v>15000</v>
      </c>
      <c r="G1901" s="30">
        <f t="shared" si="2006"/>
        <v>2400</v>
      </c>
      <c r="H1901" s="8">
        <v>25000</v>
      </c>
      <c r="I1901" s="30">
        <f t="shared" si="2007"/>
        <v>5000</v>
      </c>
      <c r="J1901" s="187">
        <v>40000</v>
      </c>
      <c r="K1901" s="30">
        <f t="shared" si="2008"/>
        <v>5000</v>
      </c>
      <c r="L1901" s="187">
        <v>40000</v>
      </c>
      <c r="M1901" s="110">
        <v>9.5</v>
      </c>
      <c r="N1901" s="9">
        <f>VLOOKUP(DATE(YEAR(A1901),MONTH(A1901),DAY(A1901)),FY24_Temp[],3,FALSE)</f>
        <v>15.49</v>
      </c>
      <c r="O1901" s="110">
        <f t="shared" si="1994"/>
        <v>11.5</v>
      </c>
      <c r="P1901" s="110">
        <f t="shared" si="1995"/>
        <v>19.5</v>
      </c>
      <c r="Q1901" s="79">
        <f>VLOOKUP(VLOOKUP(DATEVALUE(TEXT(A1901,"m/d/yyyy")),FY24_Temp[],5,FALSE)&amp;TEXT(A1901,"-h"),TempDelta[],4,FALSE)</f>
        <v>2.2037143026079451</v>
      </c>
      <c r="R1901">
        <v>10</v>
      </c>
      <c r="S1901" s="112">
        <v>1500</v>
      </c>
      <c r="T1901" s="5">
        <f>VLOOKUP(TEXT(A1901,"yy-mm")&amp;"-"&amp;IF(AND(WEEKDAY(A1901)&gt;1,WEEKDAY(A1901)&lt;7),"Wkd",TEXT(A1901,"Ddd"))&amp;"-"&amp;TEXT(A1901,"hh"),LoadTable[],3,FALSE)*0.92</f>
        <v>289.0624787084426</v>
      </c>
      <c r="U1901" s="113">
        <f t="shared" si="1996"/>
        <v>28.906247870844261</v>
      </c>
      <c r="V1901">
        <f t="shared" ref="V1901:W1901" si="2042">V1877</f>
        <v>2.8</v>
      </c>
      <c r="W1901">
        <f t="shared" si="2042"/>
        <v>3.2</v>
      </c>
      <c r="X1901" s="9">
        <v>-23.615144966666499</v>
      </c>
      <c r="Y1901" s="39"/>
    </row>
    <row r="1902" spans="1:25" ht="15" thickBot="1">
      <c r="A1902" s="149">
        <f t="shared" si="1978"/>
        <v>45915.124999997373</v>
      </c>
      <c r="B1902" s="30">
        <f t="shared" si="2005"/>
        <v>5000</v>
      </c>
      <c r="C1902" s="8">
        <v>25000</v>
      </c>
      <c r="D1902" s="187">
        <v>0</v>
      </c>
      <c r="E1902" s="187">
        <v>700</v>
      </c>
      <c r="F1902" s="187">
        <v>15000</v>
      </c>
      <c r="G1902" s="30">
        <f t="shared" si="2006"/>
        <v>2400</v>
      </c>
      <c r="H1902" s="8">
        <v>25000</v>
      </c>
      <c r="I1902" s="30">
        <f t="shared" si="2007"/>
        <v>5000</v>
      </c>
      <c r="J1902" s="187">
        <v>40000</v>
      </c>
      <c r="K1902" s="30">
        <f t="shared" si="2008"/>
        <v>5000</v>
      </c>
      <c r="L1902" s="187">
        <v>40000</v>
      </c>
      <c r="M1902" s="110">
        <v>9.5</v>
      </c>
      <c r="N1902" s="9">
        <f>VLOOKUP(DATE(YEAR(A1902),MONTH(A1902),DAY(A1902)),FY24_Temp[],3,FALSE)</f>
        <v>15.49</v>
      </c>
      <c r="O1902" s="110">
        <f t="shared" si="1994"/>
        <v>11.5</v>
      </c>
      <c r="P1902" s="110">
        <f t="shared" si="1995"/>
        <v>19.5</v>
      </c>
      <c r="Q1902" s="79">
        <f>VLOOKUP(VLOOKUP(DATEVALUE(TEXT(A1902,"m/d/yyyy")),FY24_Temp[],5,FALSE)&amp;TEXT(A1902,"-h"),TempDelta[],4,FALSE)</f>
        <v>2.2029999664851596</v>
      </c>
      <c r="R1902">
        <v>10</v>
      </c>
      <c r="S1902" s="112">
        <v>1500</v>
      </c>
      <c r="T1902" s="5">
        <f>VLOOKUP(TEXT(A1902,"yy-mm")&amp;"-"&amp;IF(AND(WEEKDAY(A1902)&gt;1,WEEKDAY(A1902)&lt;7),"Wkd",TEXT(A1902,"Ddd"))&amp;"-"&amp;TEXT(A1902,"hh"),LoadTable[],3,FALSE)*0.92</f>
        <v>289.05894152419745</v>
      </c>
      <c r="U1902" s="113">
        <f t="shared" si="1996"/>
        <v>28.905894152419744</v>
      </c>
      <c r="V1902">
        <f t="shared" ref="V1902:W1902" si="2043">V1878</f>
        <v>2.7</v>
      </c>
      <c r="W1902">
        <f t="shared" si="2043"/>
        <v>3.2</v>
      </c>
      <c r="X1902" s="9">
        <v>-23.692939516666499</v>
      </c>
      <c r="Y1902" s="39"/>
    </row>
    <row r="1903" spans="1:25" ht="15" thickBot="1">
      <c r="A1903" s="149">
        <f t="shared" si="1978"/>
        <v>45915.166666664038</v>
      </c>
      <c r="B1903" s="30">
        <f t="shared" si="2005"/>
        <v>5000</v>
      </c>
      <c r="C1903" s="8">
        <v>25000</v>
      </c>
      <c r="D1903" s="187">
        <v>0</v>
      </c>
      <c r="E1903" s="187">
        <v>700</v>
      </c>
      <c r="F1903" s="187">
        <v>15000</v>
      </c>
      <c r="G1903" s="30">
        <f t="shared" si="2006"/>
        <v>2400</v>
      </c>
      <c r="H1903" s="8">
        <v>25000</v>
      </c>
      <c r="I1903" s="30">
        <f t="shared" si="2007"/>
        <v>5000</v>
      </c>
      <c r="J1903" s="187">
        <v>40000</v>
      </c>
      <c r="K1903" s="30">
        <f t="shared" si="2008"/>
        <v>5000</v>
      </c>
      <c r="L1903" s="187">
        <v>40000</v>
      </c>
      <c r="M1903" s="110">
        <v>9.5</v>
      </c>
      <c r="N1903" s="9">
        <f>VLOOKUP(DATE(YEAR(A1903),MONTH(A1903),DAY(A1903)),FY24_Temp[],3,FALSE)</f>
        <v>15.49</v>
      </c>
      <c r="O1903" s="110">
        <f t="shared" si="1994"/>
        <v>11.5</v>
      </c>
      <c r="P1903" s="110">
        <f t="shared" si="1995"/>
        <v>19.5</v>
      </c>
      <c r="Q1903" s="79">
        <f>VLOOKUP(VLOOKUP(DATEVALUE(TEXT(A1903,"m/d/yyyy")),FY24_Temp[],5,FALSE)&amp;TEXT(A1903,"-h"),TempDelta[],4,FALSE)</f>
        <v>2.2338571548461914</v>
      </c>
      <c r="R1903">
        <v>10</v>
      </c>
      <c r="S1903" s="112">
        <v>1500</v>
      </c>
      <c r="T1903" s="5">
        <f>VLOOKUP(TEXT(A1903,"yy-mm")&amp;"-"&amp;IF(AND(WEEKDAY(A1903)&gt;1,WEEKDAY(A1903)&lt;7),"Wkd",TEXT(A1903,"Ddd"))&amp;"-"&amp;TEXT(A1903,"hh"),LoadTable[],3,FALSE)*0.92</f>
        <v>289.05894152419745</v>
      </c>
      <c r="U1903" s="113">
        <f t="shared" si="1996"/>
        <v>28.905894152419744</v>
      </c>
      <c r="V1903">
        <f t="shared" ref="V1903:W1903" si="2044">V1879</f>
        <v>3</v>
      </c>
      <c r="W1903">
        <f t="shared" si="2044"/>
        <v>3.1</v>
      </c>
      <c r="X1903" s="9">
        <v>-23.770734066666499</v>
      </c>
      <c r="Y1903" s="39"/>
    </row>
    <row r="1904" spans="1:25" ht="15" thickBot="1">
      <c r="A1904" s="149">
        <f t="shared" si="1978"/>
        <v>45915.208333330702</v>
      </c>
      <c r="B1904" s="30">
        <f t="shared" si="2005"/>
        <v>5000</v>
      </c>
      <c r="C1904" s="8">
        <v>25000</v>
      </c>
      <c r="D1904" s="187">
        <v>0</v>
      </c>
      <c r="E1904" s="187">
        <v>700</v>
      </c>
      <c r="F1904" s="187">
        <v>15000</v>
      </c>
      <c r="G1904" s="30">
        <f t="shared" si="2006"/>
        <v>2400</v>
      </c>
      <c r="H1904" s="8">
        <v>25000</v>
      </c>
      <c r="I1904" s="30">
        <f t="shared" si="2007"/>
        <v>5000</v>
      </c>
      <c r="J1904" s="187">
        <v>40000</v>
      </c>
      <c r="K1904" s="30">
        <f t="shared" si="2008"/>
        <v>5000</v>
      </c>
      <c r="L1904" s="187">
        <v>40000</v>
      </c>
      <c r="M1904" s="110">
        <v>9.5</v>
      </c>
      <c r="N1904" s="9">
        <f>VLOOKUP(DATE(YEAR(A1904),MONTH(A1904),DAY(A1904)),FY24_Temp[],3,FALSE)</f>
        <v>15.49</v>
      </c>
      <c r="O1904" s="110">
        <f t="shared" si="1994"/>
        <v>11.5</v>
      </c>
      <c r="P1904" s="110">
        <f t="shared" si="1995"/>
        <v>19.5</v>
      </c>
      <c r="Q1904" s="79">
        <f>VLOOKUP(VLOOKUP(DATEVALUE(TEXT(A1904,"m/d/yyyy")),FY24_Temp[],5,FALSE)&amp;TEXT(A1904,"-h"),TempDelta[],4,FALSE)</f>
        <v>2.3308571066175188</v>
      </c>
      <c r="R1904">
        <v>10</v>
      </c>
      <c r="S1904" s="112">
        <v>1500</v>
      </c>
      <c r="T1904" s="5">
        <f>VLOOKUP(TEXT(A1904,"yy-mm")&amp;"-"&amp;IF(AND(WEEKDAY(A1904)&gt;1,WEEKDAY(A1904)&lt;7),"Wkd",TEXT(A1904,"Ddd"))&amp;"-"&amp;TEXT(A1904,"hh"),LoadTable[],3,FALSE)*0.92</f>
        <v>289.05894152419745</v>
      </c>
      <c r="U1904" s="113">
        <f t="shared" si="1996"/>
        <v>28.905894152419744</v>
      </c>
      <c r="V1904">
        <f t="shared" ref="V1904:W1904" si="2045">V1880</f>
        <v>2.9</v>
      </c>
      <c r="W1904">
        <f t="shared" si="2045"/>
        <v>3.1</v>
      </c>
      <c r="X1904" s="9">
        <v>-23.848528616666499</v>
      </c>
      <c r="Y1904" s="39"/>
    </row>
    <row r="1905" spans="1:25" ht="15" thickBot="1">
      <c r="A1905" s="149">
        <f t="shared" si="1978"/>
        <v>45915.249999997366</v>
      </c>
      <c r="B1905" s="30">
        <f t="shared" si="2005"/>
        <v>8000</v>
      </c>
      <c r="C1905" s="8">
        <v>25000</v>
      </c>
      <c r="D1905" s="187">
        <v>0</v>
      </c>
      <c r="E1905" s="187">
        <v>700</v>
      </c>
      <c r="F1905" s="187">
        <v>15000</v>
      </c>
      <c r="G1905" s="30">
        <f t="shared" si="2006"/>
        <v>2400</v>
      </c>
      <c r="H1905" s="8">
        <v>25000</v>
      </c>
      <c r="I1905" s="30">
        <f t="shared" si="2007"/>
        <v>8000</v>
      </c>
      <c r="J1905" s="187">
        <v>40000</v>
      </c>
      <c r="K1905" s="30">
        <f t="shared" si="2008"/>
        <v>8000</v>
      </c>
      <c r="L1905" s="187">
        <v>40000</v>
      </c>
      <c r="M1905" s="110">
        <v>9.5</v>
      </c>
      <c r="N1905" s="9">
        <f>VLOOKUP(DATE(YEAR(A1905),MONTH(A1905),DAY(A1905)),FY24_Temp[],3,FALSE)</f>
        <v>15.49</v>
      </c>
      <c r="O1905" s="110">
        <f t="shared" si="1994"/>
        <v>11.5</v>
      </c>
      <c r="P1905" s="110">
        <f t="shared" si="1995"/>
        <v>19.5</v>
      </c>
      <c r="Q1905" s="79">
        <f>VLOOKUP(VLOOKUP(DATEVALUE(TEXT(A1905,"m/d/yyyy")),FY24_Temp[],5,FALSE)&amp;TEXT(A1905,"-h"),TempDelta[],4,FALSE)</f>
        <v>2.2878571578434537</v>
      </c>
      <c r="R1905">
        <v>10</v>
      </c>
      <c r="S1905" s="112">
        <v>1500</v>
      </c>
      <c r="T1905" s="5">
        <f>VLOOKUP(TEXT(A1905,"yy-mm")&amp;"-"&amp;IF(AND(WEEKDAY(A1905)&gt;1,WEEKDAY(A1905)&lt;7),"Wkd",TEXT(A1905,"Ddd"))&amp;"-"&amp;TEXT(A1905,"hh"),LoadTable[],3,FALSE)*0.92</f>
        <v>291.12479999999999</v>
      </c>
      <c r="U1905" s="113">
        <f t="shared" si="1996"/>
        <v>29.112479999999998</v>
      </c>
      <c r="V1905">
        <f t="shared" ref="V1905:W1905" si="2046">V1881</f>
        <v>2.5</v>
      </c>
      <c r="W1905">
        <f t="shared" si="2046"/>
        <v>3.1</v>
      </c>
      <c r="X1905" s="9">
        <v>-23.926323166666499</v>
      </c>
      <c r="Y1905" s="39"/>
    </row>
    <row r="1906" spans="1:25" ht="15" thickBot="1">
      <c r="A1906" s="149">
        <f t="shared" si="1978"/>
        <v>45915.29166666403</v>
      </c>
      <c r="B1906" s="30">
        <f t="shared" si="2005"/>
        <v>8000</v>
      </c>
      <c r="C1906" s="8">
        <v>25000</v>
      </c>
      <c r="D1906" s="187">
        <v>0</v>
      </c>
      <c r="E1906" s="187">
        <v>700</v>
      </c>
      <c r="F1906" s="187">
        <v>15000</v>
      </c>
      <c r="G1906" s="30">
        <f t="shared" si="2006"/>
        <v>2400</v>
      </c>
      <c r="H1906" s="8">
        <v>25000</v>
      </c>
      <c r="I1906" s="30">
        <f t="shared" si="2007"/>
        <v>8000</v>
      </c>
      <c r="J1906" s="187">
        <v>40000</v>
      </c>
      <c r="K1906" s="30">
        <f t="shared" si="2008"/>
        <v>8000</v>
      </c>
      <c r="L1906" s="187">
        <v>40000</v>
      </c>
      <c r="M1906" s="110">
        <v>9.5</v>
      </c>
      <c r="N1906" s="9">
        <f>VLOOKUP(DATE(YEAR(A1906),MONTH(A1906),DAY(A1906)),FY24_Temp[],3,FALSE)</f>
        <v>15.49</v>
      </c>
      <c r="O1906" s="110">
        <f t="shared" si="1994"/>
        <v>11.5</v>
      </c>
      <c r="P1906" s="110">
        <f t="shared" si="1995"/>
        <v>19.5</v>
      </c>
      <c r="Q1906" s="79">
        <f>VLOOKUP(VLOOKUP(DATEVALUE(TEXT(A1906,"m/d/yyyy")),FY24_Temp[],5,FALSE)&amp;TEXT(A1906,"-h"),TempDelta[],4,FALSE)</f>
        <v>2.1535714353833879</v>
      </c>
      <c r="R1906">
        <v>10</v>
      </c>
      <c r="S1906" s="112">
        <v>1500</v>
      </c>
      <c r="T1906" s="5">
        <f>VLOOKUP(TEXT(A1906,"yy-mm")&amp;"-"&amp;IF(AND(WEEKDAY(A1906)&gt;1,WEEKDAY(A1906)&lt;7),"Wkd",TEXT(A1906,"Ddd"))&amp;"-"&amp;TEXT(A1906,"hh"),LoadTable[],3,FALSE)*0.92</f>
        <v>291.12479999999999</v>
      </c>
      <c r="U1906" s="113">
        <f t="shared" si="1996"/>
        <v>29.112479999999998</v>
      </c>
      <c r="V1906">
        <f t="shared" ref="V1906:W1906" si="2047">V1882</f>
        <v>2.5</v>
      </c>
      <c r="W1906">
        <f t="shared" si="2047"/>
        <v>3.1</v>
      </c>
      <c r="X1906" s="9">
        <v>-24.004117716666499</v>
      </c>
      <c r="Y1906" s="39"/>
    </row>
    <row r="1907" spans="1:25" ht="15" thickBot="1">
      <c r="A1907" s="149">
        <f t="shared" si="1978"/>
        <v>45915.333333330695</v>
      </c>
      <c r="B1907" s="30">
        <f t="shared" si="2005"/>
        <v>8000</v>
      </c>
      <c r="C1907" s="8">
        <v>25000</v>
      </c>
      <c r="D1907" s="187">
        <v>0</v>
      </c>
      <c r="E1907" s="187">
        <v>700</v>
      </c>
      <c r="F1907" s="187">
        <v>15000</v>
      </c>
      <c r="G1907" s="30">
        <f t="shared" si="2006"/>
        <v>2400</v>
      </c>
      <c r="H1907" s="8">
        <v>25000</v>
      </c>
      <c r="I1907" s="30">
        <f t="shared" si="2007"/>
        <v>8000</v>
      </c>
      <c r="J1907" s="187">
        <v>40000</v>
      </c>
      <c r="K1907" s="30">
        <f t="shared" si="2008"/>
        <v>8000</v>
      </c>
      <c r="L1907" s="187">
        <v>40000</v>
      </c>
      <c r="M1907" s="110">
        <v>9.5</v>
      </c>
      <c r="N1907" s="9">
        <f>VLOOKUP(DATE(YEAR(A1907),MONTH(A1907),DAY(A1907)),FY24_Temp[],3,FALSE)</f>
        <v>15.49</v>
      </c>
      <c r="O1907" s="110">
        <f t="shared" si="1994"/>
        <v>11.5</v>
      </c>
      <c r="P1907" s="110">
        <f t="shared" si="1995"/>
        <v>19.5</v>
      </c>
      <c r="Q1907" s="79">
        <f>VLOOKUP(VLOOKUP(DATEVALUE(TEXT(A1907,"m/d/yyyy")),FY24_Temp[],5,FALSE)&amp;TEXT(A1907,"-h"),TempDelta[],4,FALSE)</f>
        <v>1.9890000138963972</v>
      </c>
      <c r="R1907">
        <v>10</v>
      </c>
      <c r="S1907" s="112">
        <v>1500</v>
      </c>
      <c r="T1907" s="5">
        <f>VLOOKUP(TEXT(A1907,"yy-mm")&amp;"-"&amp;IF(AND(WEEKDAY(A1907)&gt;1,WEEKDAY(A1907)&lt;7),"Wkd",TEXT(A1907,"Ddd"))&amp;"-"&amp;TEXT(A1907,"hh"),LoadTable[],3,FALSE)*0.92</f>
        <v>291.12479999999999</v>
      </c>
      <c r="U1907" s="113">
        <f t="shared" si="1996"/>
        <v>29.112479999999998</v>
      </c>
      <c r="V1907">
        <f t="shared" ref="V1907:W1907" si="2048">V1883</f>
        <v>3.2</v>
      </c>
      <c r="W1907">
        <f t="shared" si="2048"/>
        <v>3</v>
      </c>
      <c r="X1907" s="9">
        <v>-24.0819122666665</v>
      </c>
      <c r="Y1907" s="39"/>
    </row>
    <row r="1908" spans="1:25" ht="15" thickBot="1">
      <c r="A1908" s="149">
        <f t="shared" si="1978"/>
        <v>45915.374999997359</v>
      </c>
      <c r="B1908" s="30">
        <f t="shared" si="2005"/>
        <v>8000</v>
      </c>
      <c r="C1908" s="8">
        <v>25000</v>
      </c>
      <c r="D1908" s="187">
        <v>0</v>
      </c>
      <c r="E1908" s="187">
        <v>700</v>
      </c>
      <c r="F1908" s="187">
        <v>15000</v>
      </c>
      <c r="G1908" s="30">
        <f t="shared" si="2006"/>
        <v>2400</v>
      </c>
      <c r="H1908" s="8">
        <v>25000</v>
      </c>
      <c r="I1908" s="30">
        <f t="shared" si="2007"/>
        <v>8000</v>
      </c>
      <c r="J1908" s="187">
        <v>40000</v>
      </c>
      <c r="K1908" s="30">
        <f t="shared" si="2008"/>
        <v>8000</v>
      </c>
      <c r="L1908" s="187">
        <v>40000</v>
      </c>
      <c r="M1908" s="110">
        <v>9.5</v>
      </c>
      <c r="N1908" s="9">
        <f>VLOOKUP(DATE(YEAR(A1908),MONTH(A1908),DAY(A1908)),FY24_Temp[],3,FALSE)</f>
        <v>15.49</v>
      </c>
      <c r="O1908" s="110">
        <f t="shared" si="1994"/>
        <v>11.5</v>
      </c>
      <c r="P1908" s="110">
        <f t="shared" si="1995"/>
        <v>19.5</v>
      </c>
      <c r="Q1908" s="79">
        <f>VLOOKUP(VLOOKUP(DATEVALUE(TEXT(A1908,"m/d/yyyy")),FY24_Temp[],5,FALSE)&amp;TEXT(A1908,"-h"),TempDelta[],4,FALSE)</f>
        <v>1.8358571359089442</v>
      </c>
      <c r="R1908">
        <v>10</v>
      </c>
      <c r="S1908" s="112">
        <v>1500</v>
      </c>
      <c r="T1908" s="5">
        <f>VLOOKUP(TEXT(A1908,"yy-mm")&amp;"-"&amp;IF(AND(WEEKDAY(A1908)&gt;1,WEEKDAY(A1908)&lt;7),"Wkd",TEXT(A1908,"Ddd"))&amp;"-"&amp;TEXT(A1908,"hh"),LoadTable[],3,FALSE)*0.92</f>
        <v>291.12479999999999</v>
      </c>
      <c r="U1908" s="113">
        <f t="shared" si="1996"/>
        <v>29.112479999999998</v>
      </c>
      <c r="V1908">
        <f t="shared" ref="V1908:W1908" si="2049">V1884</f>
        <v>2.9</v>
      </c>
      <c r="W1908">
        <f t="shared" si="2049"/>
        <v>3</v>
      </c>
      <c r="X1908" s="9">
        <v>-24.1597068166665</v>
      </c>
      <c r="Y1908" s="39"/>
    </row>
    <row r="1909" spans="1:25" ht="15" thickBot="1">
      <c r="A1909" s="149">
        <f t="shared" ref="A1909:A1972" si="2050">A1908+TIME(1,0,0)</f>
        <v>45915.416666664023</v>
      </c>
      <c r="B1909" s="30">
        <f t="shared" si="2005"/>
        <v>8000</v>
      </c>
      <c r="C1909" s="8">
        <v>25000</v>
      </c>
      <c r="D1909" s="187">
        <v>0</v>
      </c>
      <c r="E1909" s="187">
        <v>700</v>
      </c>
      <c r="F1909" s="187">
        <v>15000</v>
      </c>
      <c r="G1909" s="30">
        <f t="shared" si="2006"/>
        <v>2400</v>
      </c>
      <c r="H1909" s="8">
        <v>25000</v>
      </c>
      <c r="I1909" s="30">
        <f t="shared" si="2007"/>
        <v>8000</v>
      </c>
      <c r="J1909" s="187">
        <v>40000</v>
      </c>
      <c r="K1909" s="30">
        <f t="shared" si="2008"/>
        <v>8000</v>
      </c>
      <c r="L1909" s="187">
        <v>40000</v>
      </c>
      <c r="M1909" s="110">
        <v>9.5</v>
      </c>
      <c r="N1909" s="9">
        <f>VLOOKUP(DATE(YEAR(A1909),MONTH(A1909),DAY(A1909)),FY24_Temp[],3,FALSE)</f>
        <v>15.49</v>
      </c>
      <c r="O1909" s="110">
        <f t="shared" si="1994"/>
        <v>11.5</v>
      </c>
      <c r="P1909" s="110">
        <f t="shared" si="1995"/>
        <v>19.5</v>
      </c>
      <c r="Q1909" s="79">
        <f>VLOOKUP(VLOOKUP(DATEVALUE(TEXT(A1909,"m/d/yyyy")),FY24_Temp[],5,FALSE)&amp;TEXT(A1909,"-h"),TempDelta[],4,FALSE)</f>
        <v>1.6792856965746199</v>
      </c>
      <c r="R1909">
        <v>10</v>
      </c>
      <c r="S1909" s="112">
        <v>1500</v>
      </c>
      <c r="T1909" s="5">
        <f>VLOOKUP(TEXT(A1909,"yy-mm")&amp;"-"&amp;IF(AND(WEEKDAY(A1909)&gt;1,WEEKDAY(A1909)&lt;7),"Wkd",TEXT(A1909,"Ddd"))&amp;"-"&amp;TEXT(A1909,"hh"),LoadTable[],3,FALSE)*0.92</f>
        <v>290.74956158350585</v>
      </c>
      <c r="U1909" s="113">
        <f t="shared" si="1996"/>
        <v>29.074956158350584</v>
      </c>
      <c r="V1909">
        <f t="shared" ref="V1909:W1909" si="2051">V1885</f>
        <v>2.9</v>
      </c>
      <c r="W1909">
        <f t="shared" si="2051"/>
        <v>3</v>
      </c>
      <c r="X1909" s="9">
        <v>-24.2375013666665</v>
      </c>
      <c r="Y1909" s="39"/>
    </row>
    <row r="1910" spans="1:25" ht="15" thickBot="1">
      <c r="A1910" s="149">
        <f t="shared" si="2050"/>
        <v>45915.458333330687</v>
      </c>
      <c r="B1910" s="30">
        <f t="shared" si="2005"/>
        <v>8000</v>
      </c>
      <c r="C1910" s="8">
        <v>25000</v>
      </c>
      <c r="D1910" s="187">
        <v>0</v>
      </c>
      <c r="E1910" s="187">
        <v>700</v>
      </c>
      <c r="F1910" s="187">
        <v>15000</v>
      </c>
      <c r="G1910" s="30">
        <f t="shared" si="2006"/>
        <v>2400</v>
      </c>
      <c r="H1910" s="8">
        <v>25000</v>
      </c>
      <c r="I1910" s="30">
        <f t="shared" si="2007"/>
        <v>8000</v>
      </c>
      <c r="J1910" s="187">
        <v>40000</v>
      </c>
      <c r="K1910" s="30">
        <f t="shared" si="2008"/>
        <v>8000</v>
      </c>
      <c r="L1910" s="187">
        <v>40000</v>
      </c>
      <c r="M1910" s="110">
        <v>9.5</v>
      </c>
      <c r="N1910" s="9">
        <f>VLOOKUP(DATE(YEAR(A1910),MONTH(A1910),DAY(A1910)),FY24_Temp[],3,FALSE)</f>
        <v>15.49</v>
      </c>
      <c r="O1910" s="110">
        <f t="shared" si="1994"/>
        <v>11.5</v>
      </c>
      <c r="P1910" s="110">
        <f t="shared" si="1995"/>
        <v>19.5</v>
      </c>
      <c r="Q1910" s="79">
        <f>VLOOKUP(VLOOKUP(DATEVALUE(TEXT(A1910,"m/d/yyyy")),FY24_Temp[],5,FALSE)&amp;TEXT(A1910,"-h"),TempDelta[],4,FALSE)</f>
        <v>1.4937142814908708</v>
      </c>
      <c r="R1910">
        <v>10</v>
      </c>
      <c r="S1910" s="112">
        <v>1500</v>
      </c>
      <c r="T1910" s="5">
        <f>VLOOKUP(TEXT(A1910,"yy-mm")&amp;"-"&amp;IF(AND(WEEKDAY(A1910)&gt;1,WEEKDAY(A1910)&lt;7),"Wkd",TEXT(A1910,"Ddd"))&amp;"-"&amp;TEXT(A1910,"hh"),LoadTable[],3,FALSE)*0.92</f>
        <v>290.74956158350585</v>
      </c>
      <c r="U1910" s="113">
        <f t="shared" si="1996"/>
        <v>29.074956158350584</v>
      </c>
      <c r="V1910">
        <f t="shared" ref="V1910:W1910" si="2052">V1886</f>
        <v>3.4</v>
      </c>
      <c r="W1910">
        <f t="shared" si="2052"/>
        <v>3</v>
      </c>
      <c r="X1910" s="9">
        <v>-24.3152959166665</v>
      </c>
      <c r="Y1910" s="39"/>
    </row>
    <row r="1911" spans="1:25" ht="15" thickBot="1">
      <c r="A1911" s="149">
        <f t="shared" si="2050"/>
        <v>45915.499999997352</v>
      </c>
      <c r="B1911" s="30">
        <f t="shared" si="2005"/>
        <v>8000</v>
      </c>
      <c r="C1911" s="8">
        <v>25000</v>
      </c>
      <c r="D1911" s="187">
        <v>0</v>
      </c>
      <c r="E1911" s="187">
        <v>700</v>
      </c>
      <c r="F1911" s="187">
        <v>15000</v>
      </c>
      <c r="G1911" s="30">
        <f t="shared" si="2006"/>
        <v>2400</v>
      </c>
      <c r="H1911" s="8">
        <v>25000</v>
      </c>
      <c r="I1911" s="30">
        <f t="shared" si="2007"/>
        <v>8000</v>
      </c>
      <c r="J1911" s="187">
        <v>40000</v>
      </c>
      <c r="K1911" s="30">
        <f t="shared" si="2008"/>
        <v>8000</v>
      </c>
      <c r="L1911" s="187">
        <v>40000</v>
      </c>
      <c r="M1911" s="110">
        <v>9.5</v>
      </c>
      <c r="N1911" s="9">
        <f>VLOOKUP(DATE(YEAR(A1911),MONTH(A1911),DAY(A1911)),FY24_Temp[],3,FALSE)</f>
        <v>15.49</v>
      </c>
      <c r="O1911" s="110">
        <f t="shared" si="1994"/>
        <v>11.5</v>
      </c>
      <c r="P1911" s="110">
        <f t="shared" si="1995"/>
        <v>19.5</v>
      </c>
      <c r="Q1911" s="79">
        <f>VLOOKUP(VLOOKUP(DATEVALUE(TEXT(A1911,"m/d/yyyy")),FY24_Temp[],5,FALSE)&amp;TEXT(A1911,"-h"),TempDelta[],4,FALSE)</f>
        <v>1.3148571423121862</v>
      </c>
      <c r="R1911">
        <v>10</v>
      </c>
      <c r="S1911" s="112">
        <v>1500</v>
      </c>
      <c r="T1911" s="5">
        <f>VLOOKUP(TEXT(A1911,"yy-mm")&amp;"-"&amp;IF(AND(WEEKDAY(A1911)&gt;1,WEEKDAY(A1911)&lt;7),"Wkd",TEXT(A1911,"Ddd"))&amp;"-"&amp;TEXT(A1911,"hh"),LoadTable[],3,FALSE)*0.92</f>
        <v>290.74956158350585</v>
      </c>
      <c r="U1911" s="113">
        <f t="shared" si="1996"/>
        <v>29.074956158350584</v>
      </c>
      <c r="V1911">
        <f t="shared" ref="V1911:W1911" si="2053">V1887</f>
        <v>3.1</v>
      </c>
      <c r="W1911">
        <f t="shared" si="2053"/>
        <v>2.9</v>
      </c>
      <c r="X1911" s="9">
        <v>-24.3930904666665</v>
      </c>
      <c r="Y1911" s="39"/>
    </row>
    <row r="1912" spans="1:25" ht="15" thickBot="1">
      <c r="A1912" s="149">
        <f t="shared" si="2050"/>
        <v>45915.541666664016</v>
      </c>
      <c r="B1912" s="30">
        <f t="shared" si="2005"/>
        <v>8000</v>
      </c>
      <c r="C1912" s="8">
        <v>25000</v>
      </c>
      <c r="D1912" s="187">
        <v>0</v>
      </c>
      <c r="E1912" s="187">
        <v>700</v>
      </c>
      <c r="F1912" s="187">
        <v>15000</v>
      </c>
      <c r="G1912" s="30">
        <f t="shared" si="2006"/>
        <v>2400</v>
      </c>
      <c r="H1912" s="8">
        <v>25000</v>
      </c>
      <c r="I1912" s="30">
        <f t="shared" si="2007"/>
        <v>8000</v>
      </c>
      <c r="J1912" s="187">
        <v>40000</v>
      </c>
      <c r="K1912" s="30">
        <f t="shared" si="2008"/>
        <v>8000</v>
      </c>
      <c r="L1912" s="187">
        <v>40000</v>
      </c>
      <c r="M1912" s="110">
        <v>9.5</v>
      </c>
      <c r="N1912" s="9">
        <f>VLOOKUP(DATE(YEAR(A1912),MONTH(A1912),DAY(A1912)),FY24_Temp[],3,FALSE)</f>
        <v>15.49</v>
      </c>
      <c r="O1912" s="110">
        <f t="shared" si="1994"/>
        <v>11.5</v>
      </c>
      <c r="P1912" s="110">
        <f t="shared" si="1995"/>
        <v>19.5</v>
      </c>
      <c r="Q1912" s="79">
        <f>VLOOKUP(VLOOKUP(DATEVALUE(TEXT(A1912,"m/d/yyyy")),FY24_Temp[],5,FALSE)&amp;TEXT(A1912,"-h"),TempDelta[],4,FALSE)</f>
        <v>1.1432857002530779</v>
      </c>
      <c r="R1912">
        <v>10</v>
      </c>
      <c r="S1912" s="112">
        <v>1500</v>
      </c>
      <c r="T1912" s="5">
        <f>VLOOKUP(TEXT(A1912,"yy-mm")&amp;"-"&amp;IF(AND(WEEKDAY(A1912)&gt;1,WEEKDAY(A1912)&lt;7),"Wkd",TEXT(A1912,"Ddd"))&amp;"-"&amp;TEXT(A1912,"hh"),LoadTable[],3,FALSE)*0.92</f>
        <v>290.72204920255348</v>
      </c>
      <c r="U1912" s="113">
        <f t="shared" si="1996"/>
        <v>29.072204920255349</v>
      </c>
      <c r="V1912">
        <f t="shared" ref="V1912:W1912" si="2054">V1888</f>
        <v>3.2</v>
      </c>
      <c r="W1912">
        <f t="shared" si="2054"/>
        <v>2.9</v>
      </c>
      <c r="X1912" s="9">
        <v>-24.4708850166665</v>
      </c>
      <c r="Y1912" s="39"/>
    </row>
    <row r="1913" spans="1:25" ht="15" thickBot="1">
      <c r="A1913" s="149">
        <f t="shared" si="2050"/>
        <v>45915.58333333068</v>
      </c>
      <c r="B1913" s="30">
        <f t="shared" si="2005"/>
        <v>8000</v>
      </c>
      <c r="C1913" s="8">
        <v>25000</v>
      </c>
      <c r="D1913" s="187">
        <v>0</v>
      </c>
      <c r="E1913" s="187">
        <v>700</v>
      </c>
      <c r="F1913" s="187">
        <v>15000</v>
      </c>
      <c r="G1913" s="30">
        <f t="shared" si="2006"/>
        <v>2400</v>
      </c>
      <c r="H1913" s="8">
        <v>25000</v>
      </c>
      <c r="I1913" s="30">
        <f t="shared" si="2007"/>
        <v>8000</v>
      </c>
      <c r="J1913" s="187">
        <v>40000</v>
      </c>
      <c r="K1913" s="30">
        <f t="shared" si="2008"/>
        <v>8000</v>
      </c>
      <c r="L1913" s="187">
        <v>40000</v>
      </c>
      <c r="M1913" s="110">
        <v>9.5</v>
      </c>
      <c r="N1913" s="9">
        <f>VLOOKUP(DATE(YEAR(A1913),MONTH(A1913),DAY(A1913)),FY24_Temp[],3,FALSE)</f>
        <v>15.49</v>
      </c>
      <c r="O1913" s="110">
        <f t="shared" si="1994"/>
        <v>11.5</v>
      </c>
      <c r="P1913" s="110">
        <f t="shared" si="1995"/>
        <v>19.5</v>
      </c>
      <c r="Q1913" s="79">
        <f>VLOOKUP(VLOOKUP(DATEVALUE(TEXT(A1913,"m/d/yyyy")),FY24_Temp[],5,FALSE)&amp;TEXT(A1913,"-h"),TempDelta[],4,FALSE)</f>
        <v>0.98585713761193416</v>
      </c>
      <c r="R1913">
        <v>10</v>
      </c>
      <c r="S1913" s="112">
        <v>1500</v>
      </c>
      <c r="T1913" s="5">
        <f>VLOOKUP(TEXT(A1913,"yy-mm")&amp;"-"&amp;IF(AND(WEEKDAY(A1913)&gt;1,WEEKDAY(A1913)&lt;7),"Wkd",TEXT(A1913,"Ddd"))&amp;"-"&amp;TEXT(A1913,"hh"),LoadTable[],3,FALSE)*0.92</f>
        <v>363.28132000000005</v>
      </c>
      <c r="U1913" s="113">
        <f t="shared" si="1996"/>
        <v>36.328132000000004</v>
      </c>
      <c r="V1913">
        <f t="shared" ref="V1913:W1913" si="2055">V1889</f>
        <v>3.5</v>
      </c>
      <c r="W1913">
        <f t="shared" si="2055"/>
        <v>2.9</v>
      </c>
      <c r="X1913" s="9">
        <v>-24.5486795666665</v>
      </c>
      <c r="Y1913" s="39"/>
    </row>
    <row r="1914" spans="1:25" ht="15" thickBot="1">
      <c r="A1914" s="149">
        <f t="shared" si="2050"/>
        <v>45915.624999997344</v>
      </c>
      <c r="B1914" s="30">
        <f t="shared" si="2005"/>
        <v>8000</v>
      </c>
      <c r="C1914" s="8">
        <v>25000</v>
      </c>
      <c r="D1914" s="187">
        <v>0</v>
      </c>
      <c r="E1914" s="187">
        <v>700</v>
      </c>
      <c r="F1914" s="187">
        <v>15000</v>
      </c>
      <c r="G1914" s="30">
        <f t="shared" si="2006"/>
        <v>2400</v>
      </c>
      <c r="H1914" s="8">
        <v>25000</v>
      </c>
      <c r="I1914" s="30">
        <f t="shared" si="2007"/>
        <v>8000</v>
      </c>
      <c r="J1914" s="187">
        <v>40000</v>
      </c>
      <c r="K1914" s="30">
        <f t="shared" si="2008"/>
        <v>8000</v>
      </c>
      <c r="L1914" s="187">
        <v>40000</v>
      </c>
      <c r="M1914" s="110">
        <v>9.5</v>
      </c>
      <c r="N1914" s="9">
        <f>VLOOKUP(DATE(YEAR(A1914),MONTH(A1914),DAY(A1914)),FY24_Temp[],3,FALSE)</f>
        <v>15.49</v>
      </c>
      <c r="O1914" s="110">
        <f t="shared" si="1994"/>
        <v>11.5</v>
      </c>
      <c r="P1914" s="110">
        <f t="shared" si="1995"/>
        <v>19.5</v>
      </c>
      <c r="Q1914" s="79">
        <f>VLOOKUP(VLOOKUP(DATEVALUE(TEXT(A1914,"m/d/yyyy")),FY24_Temp[],5,FALSE)&amp;TEXT(A1914,"-h"),TempDelta[],4,FALSE)</f>
        <v>0.49378571685935768</v>
      </c>
      <c r="R1914">
        <v>10</v>
      </c>
      <c r="S1914" s="112">
        <v>1500</v>
      </c>
      <c r="T1914" s="5">
        <f>VLOOKUP(TEXT(A1914,"yy-mm")&amp;"-"&amp;IF(AND(WEEKDAY(A1914)&gt;1,WEEKDAY(A1914)&lt;7),"Wkd",TEXT(A1914,"Ddd"))&amp;"-"&amp;TEXT(A1914,"hh"),LoadTable[],3,FALSE)*0.92</f>
        <v>570.3300004440199</v>
      </c>
      <c r="U1914" s="113">
        <f t="shared" si="1996"/>
        <v>57.033000044401987</v>
      </c>
      <c r="V1914">
        <f t="shared" ref="V1914:W1914" si="2056">V1890</f>
        <v>3.2</v>
      </c>
      <c r="W1914">
        <f t="shared" si="2056"/>
        <v>2.9</v>
      </c>
      <c r="X1914" s="9">
        <v>-24.6264741166665</v>
      </c>
      <c r="Y1914" s="39"/>
    </row>
    <row r="1915" spans="1:25" ht="15" thickBot="1">
      <c r="A1915" s="149">
        <f t="shared" si="2050"/>
        <v>45915.666666664009</v>
      </c>
      <c r="B1915" s="30">
        <f t="shared" si="2005"/>
        <v>8000</v>
      </c>
      <c r="C1915" s="8">
        <v>25000</v>
      </c>
      <c r="D1915" s="187">
        <v>0</v>
      </c>
      <c r="E1915" s="187">
        <v>700</v>
      </c>
      <c r="F1915" s="187">
        <v>15000</v>
      </c>
      <c r="G1915" s="30">
        <f t="shared" si="2006"/>
        <v>2400</v>
      </c>
      <c r="H1915" s="8">
        <v>25000</v>
      </c>
      <c r="I1915" s="30">
        <f t="shared" si="2007"/>
        <v>8000</v>
      </c>
      <c r="J1915" s="187">
        <v>40000</v>
      </c>
      <c r="K1915" s="30">
        <f t="shared" si="2008"/>
        <v>8000</v>
      </c>
      <c r="L1915" s="187">
        <v>40000</v>
      </c>
      <c r="M1915" s="110">
        <v>9.5</v>
      </c>
      <c r="N1915" s="9">
        <f>VLOOKUP(DATE(YEAR(A1915),MONTH(A1915),DAY(A1915)),FY24_Temp[],3,FALSE)</f>
        <v>15.49</v>
      </c>
      <c r="O1915" s="110">
        <f t="shared" si="1994"/>
        <v>11.5</v>
      </c>
      <c r="P1915" s="110">
        <f t="shared" si="1995"/>
        <v>19.5</v>
      </c>
      <c r="Q1915" s="79">
        <f>VLOOKUP(VLOOKUP(DATEVALUE(TEXT(A1915,"m/d/yyyy")),FY24_Temp[],5,FALSE)&amp;TEXT(A1915,"-h"),TempDelta[],4,FALSE)</f>
        <v>0.57192856445908546</v>
      </c>
      <c r="R1915">
        <v>10</v>
      </c>
      <c r="S1915" s="112">
        <v>1500</v>
      </c>
      <c r="T1915" s="5">
        <f>VLOOKUP(TEXT(A1915,"yy-mm")&amp;"-"&amp;IF(AND(WEEKDAY(A1915)&gt;1,WEEKDAY(A1915)&lt;7),"Wkd",TEXT(A1915,"Ddd"))&amp;"-"&amp;TEXT(A1915,"hh"),LoadTable[],3,FALSE)*0.92</f>
        <v>602.16876690131596</v>
      </c>
      <c r="U1915" s="113">
        <f t="shared" si="1996"/>
        <v>60.216876690131599</v>
      </c>
      <c r="V1915">
        <f t="shared" ref="V1915:W1915" si="2057">V1891</f>
        <v>3.5</v>
      </c>
      <c r="W1915">
        <f t="shared" si="2057"/>
        <v>3</v>
      </c>
      <c r="X1915" s="9">
        <v>-24.704268666666501</v>
      </c>
      <c r="Y1915" s="39"/>
    </row>
    <row r="1916" spans="1:25" ht="15" thickBot="1">
      <c r="A1916" s="149">
        <f t="shared" si="2050"/>
        <v>45915.708333330673</v>
      </c>
      <c r="B1916" s="30">
        <f t="shared" si="2005"/>
        <v>8000</v>
      </c>
      <c r="C1916" s="8">
        <v>25000</v>
      </c>
      <c r="D1916" s="187">
        <v>0</v>
      </c>
      <c r="E1916" s="187">
        <v>700</v>
      </c>
      <c r="F1916" s="187">
        <v>15000</v>
      </c>
      <c r="G1916" s="30">
        <f t="shared" si="2006"/>
        <v>2400</v>
      </c>
      <c r="H1916" s="8">
        <v>25000</v>
      </c>
      <c r="I1916" s="30">
        <f t="shared" si="2007"/>
        <v>8000</v>
      </c>
      <c r="J1916" s="187">
        <v>40000</v>
      </c>
      <c r="K1916" s="30">
        <f t="shared" si="2008"/>
        <v>8000</v>
      </c>
      <c r="L1916" s="187">
        <v>40000</v>
      </c>
      <c r="M1916" s="110">
        <v>9.5</v>
      </c>
      <c r="N1916" s="9">
        <f>VLOOKUP(DATE(YEAR(A1916),MONTH(A1916),DAY(A1916)),FY24_Temp[],3,FALSE)</f>
        <v>15.49</v>
      </c>
      <c r="O1916" s="110">
        <f t="shared" si="1994"/>
        <v>11.5</v>
      </c>
      <c r="P1916" s="110">
        <f t="shared" si="1995"/>
        <v>19.5</v>
      </c>
      <c r="Q1916" s="79">
        <f>VLOOKUP(VLOOKUP(DATEVALUE(TEXT(A1916,"m/d/yyyy")),FY24_Temp[],5,FALSE)&amp;TEXT(A1916,"-h"),TempDelta[],4,FALSE)</f>
        <v>0.84400000103882378</v>
      </c>
      <c r="R1916">
        <v>10</v>
      </c>
      <c r="S1916" s="112">
        <v>1500</v>
      </c>
      <c r="T1916" s="5">
        <f>VLOOKUP(TEXT(A1916,"yy-mm")&amp;"-"&amp;IF(AND(WEEKDAY(A1916)&gt;1,WEEKDAY(A1916)&lt;7),"Wkd",TEXT(A1916,"Ddd"))&amp;"-"&amp;TEXT(A1916,"hh"),LoadTable[],3,FALSE)*0.92</f>
        <v>602.16876690131596</v>
      </c>
      <c r="U1916" s="113">
        <f t="shared" si="1996"/>
        <v>60.216876690131599</v>
      </c>
      <c r="V1916">
        <f t="shared" ref="V1916:W1916" si="2058">V1892</f>
        <v>3.6</v>
      </c>
      <c r="W1916">
        <f t="shared" si="2058"/>
        <v>3</v>
      </c>
      <c r="X1916" s="9">
        <v>-24.782063216666501</v>
      </c>
      <c r="Y1916" s="39"/>
    </row>
    <row r="1917" spans="1:25" ht="15" thickBot="1">
      <c r="A1917" s="149">
        <f t="shared" si="2050"/>
        <v>45915.749999997337</v>
      </c>
      <c r="B1917" s="30">
        <f t="shared" si="2005"/>
        <v>5000</v>
      </c>
      <c r="C1917" s="8">
        <v>25000</v>
      </c>
      <c r="D1917" s="187">
        <v>0</v>
      </c>
      <c r="E1917" s="187">
        <v>700</v>
      </c>
      <c r="F1917" s="187">
        <v>15000</v>
      </c>
      <c r="G1917" s="30">
        <f t="shared" si="2006"/>
        <v>2400</v>
      </c>
      <c r="H1917" s="8">
        <v>25000</v>
      </c>
      <c r="I1917" s="30">
        <f t="shared" si="2007"/>
        <v>5000</v>
      </c>
      <c r="J1917" s="187">
        <v>40000</v>
      </c>
      <c r="K1917" s="30">
        <f t="shared" si="2008"/>
        <v>5000</v>
      </c>
      <c r="L1917" s="187">
        <v>40000</v>
      </c>
      <c r="M1917" s="110">
        <v>9.5</v>
      </c>
      <c r="N1917" s="9">
        <f>VLOOKUP(DATE(YEAR(A1917),MONTH(A1917),DAY(A1917)),FY24_Temp[],3,FALSE)</f>
        <v>15.49</v>
      </c>
      <c r="O1917" s="110">
        <f t="shared" si="1994"/>
        <v>11.5</v>
      </c>
      <c r="P1917" s="110">
        <f t="shared" si="1995"/>
        <v>19.5</v>
      </c>
      <c r="Q1917" s="79">
        <f>VLOOKUP(VLOOKUP(DATEVALUE(TEXT(A1917,"m/d/yyyy")),FY24_Temp[],5,FALSE)&amp;TEXT(A1917,"-h"),TempDelta[],4,FALSE)</f>
        <v>1.1615714260510035</v>
      </c>
      <c r="R1917">
        <v>10</v>
      </c>
      <c r="S1917" s="112">
        <v>1500</v>
      </c>
      <c r="T1917" s="5">
        <f>VLOOKUP(TEXT(A1917,"yy-mm")&amp;"-"&amp;IF(AND(WEEKDAY(A1917)&gt;1,WEEKDAY(A1917)&lt;7),"Wkd",TEXT(A1917,"Ddd"))&amp;"-"&amp;TEXT(A1917,"hh"),LoadTable[],3,FALSE)*0.92</f>
        <v>602.16876690131596</v>
      </c>
      <c r="U1917" s="113">
        <f t="shared" si="1996"/>
        <v>60.216876690131599</v>
      </c>
      <c r="V1917">
        <f t="shared" ref="V1917:W1917" si="2059">V1893</f>
        <v>2.9</v>
      </c>
      <c r="W1917">
        <f t="shared" si="2059"/>
        <v>3</v>
      </c>
      <c r="X1917" s="9">
        <v>-24.859857766666501</v>
      </c>
      <c r="Y1917" s="39"/>
    </row>
    <row r="1918" spans="1:25" ht="15" thickBot="1">
      <c r="A1918" s="149">
        <f t="shared" si="2050"/>
        <v>45915.791666664001</v>
      </c>
      <c r="B1918" s="30">
        <f t="shared" si="2005"/>
        <v>5000</v>
      </c>
      <c r="C1918" s="8">
        <v>25000</v>
      </c>
      <c r="D1918" s="187">
        <v>0</v>
      </c>
      <c r="E1918" s="187">
        <v>700</v>
      </c>
      <c r="F1918" s="187">
        <v>15000</v>
      </c>
      <c r="G1918" s="30">
        <f t="shared" si="2006"/>
        <v>2400</v>
      </c>
      <c r="H1918" s="8">
        <v>25000</v>
      </c>
      <c r="I1918" s="30">
        <f t="shared" si="2007"/>
        <v>5000</v>
      </c>
      <c r="J1918" s="187">
        <v>40000</v>
      </c>
      <c r="K1918" s="30">
        <f t="shared" si="2008"/>
        <v>5000</v>
      </c>
      <c r="L1918" s="187">
        <v>40000</v>
      </c>
      <c r="M1918" s="110">
        <v>9.5</v>
      </c>
      <c r="N1918" s="9">
        <f>VLOOKUP(DATE(YEAR(A1918),MONTH(A1918),DAY(A1918)),FY24_Temp[],3,FALSE)</f>
        <v>15.49</v>
      </c>
      <c r="O1918" s="110">
        <f t="shared" si="1994"/>
        <v>11.5</v>
      </c>
      <c r="P1918" s="110">
        <f t="shared" si="1995"/>
        <v>19.5</v>
      </c>
      <c r="Q1918" s="79">
        <f>VLOOKUP(VLOOKUP(DATEVALUE(TEXT(A1918,"m/d/yyyy")),FY24_Temp[],5,FALSE)&amp;TEXT(A1918,"-h"),TempDelta[],4,FALSE)</f>
        <v>1.2906428532941001</v>
      </c>
      <c r="R1918">
        <v>10</v>
      </c>
      <c r="S1918" s="112">
        <v>1500</v>
      </c>
      <c r="T1918" s="5">
        <f>VLOOKUP(TEXT(A1918,"yy-mm")&amp;"-"&amp;IF(AND(WEEKDAY(A1918)&gt;1,WEEKDAY(A1918)&lt;7),"Wkd",TEXT(A1918,"Ddd"))&amp;"-"&amp;TEXT(A1918,"hh"),LoadTable[],3,FALSE)*0.92</f>
        <v>600.14662419619219</v>
      </c>
      <c r="U1918" s="113">
        <f t="shared" si="1996"/>
        <v>60.014662419619221</v>
      </c>
      <c r="V1918">
        <f t="shared" ref="V1918:W1918" si="2060">V1894</f>
        <v>3</v>
      </c>
      <c r="W1918">
        <f t="shared" si="2060"/>
        <v>3</v>
      </c>
      <c r="X1918" s="9">
        <v>-24.937652316666501</v>
      </c>
      <c r="Y1918" s="39"/>
    </row>
    <row r="1919" spans="1:25" ht="15" thickBot="1">
      <c r="A1919" s="149">
        <f t="shared" si="2050"/>
        <v>45915.833333330665</v>
      </c>
      <c r="B1919" s="30">
        <f t="shared" si="2005"/>
        <v>5000</v>
      </c>
      <c r="C1919" s="8">
        <v>25000</v>
      </c>
      <c r="D1919" s="187">
        <v>0</v>
      </c>
      <c r="E1919" s="187">
        <v>700</v>
      </c>
      <c r="F1919" s="187">
        <v>15000</v>
      </c>
      <c r="G1919" s="30">
        <f t="shared" si="2006"/>
        <v>2400</v>
      </c>
      <c r="H1919" s="8">
        <v>25000</v>
      </c>
      <c r="I1919" s="30">
        <f t="shared" si="2007"/>
        <v>5000</v>
      </c>
      <c r="J1919" s="187">
        <v>40000</v>
      </c>
      <c r="K1919" s="30">
        <f t="shared" si="2008"/>
        <v>5000</v>
      </c>
      <c r="L1919" s="187">
        <v>40000</v>
      </c>
      <c r="M1919" s="110">
        <v>9.5</v>
      </c>
      <c r="N1919" s="9">
        <f>VLOOKUP(DATE(YEAR(A1919),MONTH(A1919),DAY(A1919)),FY24_Temp[],3,FALSE)</f>
        <v>15.49</v>
      </c>
      <c r="O1919" s="110">
        <f t="shared" si="1994"/>
        <v>11.5</v>
      </c>
      <c r="P1919" s="110">
        <f t="shared" si="1995"/>
        <v>19.5</v>
      </c>
      <c r="Q1919" s="79">
        <f>VLOOKUP(VLOOKUP(DATEVALUE(TEXT(A1919,"m/d/yyyy")),FY24_Temp[],5,FALSE)&amp;TEXT(A1919,"-h"),TempDelta[],4,FALSE)</f>
        <v>1.3774285869938987</v>
      </c>
      <c r="R1919">
        <v>10</v>
      </c>
      <c r="S1919" s="112">
        <v>1500</v>
      </c>
      <c r="T1919" s="5">
        <f>VLOOKUP(TEXT(A1919,"yy-mm")&amp;"-"&amp;IF(AND(WEEKDAY(A1919)&gt;1,WEEKDAY(A1919)&lt;7),"Wkd",TEXT(A1919,"Ddd"))&amp;"-"&amp;TEXT(A1919,"hh"),LoadTable[],3,FALSE)*0.92</f>
        <v>600.14662419619219</v>
      </c>
      <c r="U1919" s="113">
        <f t="shared" si="1996"/>
        <v>60.014662419619221</v>
      </c>
      <c r="V1919">
        <f t="shared" ref="V1919:W1919" si="2061">V1895</f>
        <v>2.8</v>
      </c>
      <c r="W1919">
        <f t="shared" si="2061"/>
        <v>3.1</v>
      </c>
      <c r="X1919" s="9">
        <v>-25.015446866666501</v>
      </c>
      <c r="Y1919" s="39"/>
    </row>
    <row r="1920" spans="1:25" ht="15" thickBot="1">
      <c r="A1920" s="149">
        <f t="shared" si="2050"/>
        <v>45915.87499999733</v>
      </c>
      <c r="B1920" s="30">
        <f t="shared" si="2005"/>
        <v>5000</v>
      </c>
      <c r="C1920" s="8">
        <v>25000</v>
      </c>
      <c r="D1920" s="187">
        <v>0</v>
      </c>
      <c r="E1920" s="187">
        <v>700</v>
      </c>
      <c r="F1920" s="187">
        <v>15000</v>
      </c>
      <c r="G1920" s="30">
        <f t="shared" si="2006"/>
        <v>2400</v>
      </c>
      <c r="H1920" s="8">
        <v>25000</v>
      </c>
      <c r="I1920" s="30">
        <f t="shared" si="2007"/>
        <v>5000</v>
      </c>
      <c r="J1920" s="187">
        <v>40000</v>
      </c>
      <c r="K1920" s="30">
        <f t="shared" si="2008"/>
        <v>5000</v>
      </c>
      <c r="L1920" s="187">
        <v>40000</v>
      </c>
      <c r="M1920" s="110">
        <v>9.5</v>
      </c>
      <c r="N1920" s="9">
        <f>VLOOKUP(DATE(YEAR(A1920),MONTH(A1920),DAY(A1920)),FY24_Temp[],3,FALSE)</f>
        <v>15.49</v>
      </c>
      <c r="O1920" s="110">
        <f t="shared" si="1994"/>
        <v>11.5</v>
      </c>
      <c r="P1920" s="110">
        <f t="shared" si="1995"/>
        <v>19.5</v>
      </c>
      <c r="Q1920" s="79">
        <f>VLOOKUP(VLOOKUP(DATEVALUE(TEXT(A1920,"m/d/yyyy")),FY24_Temp[],5,FALSE)&amp;TEXT(A1920,"-h"),TempDelta[],4,FALSE)</f>
        <v>1.3976428466183799</v>
      </c>
      <c r="R1920">
        <v>10</v>
      </c>
      <c r="S1920" s="112">
        <v>1500</v>
      </c>
      <c r="T1920" s="5">
        <f>VLOOKUP(TEXT(A1920,"yy-mm")&amp;"-"&amp;IF(AND(WEEKDAY(A1920)&gt;1,WEEKDAY(A1920)&lt;7),"Wkd",TEXT(A1920,"Ddd"))&amp;"-"&amp;TEXT(A1920,"hh"),LoadTable[],3,FALSE)*0.92</f>
        <v>523.94879142973434</v>
      </c>
      <c r="U1920" s="113">
        <f t="shared" si="1996"/>
        <v>52.394879142973437</v>
      </c>
      <c r="V1920">
        <f t="shared" ref="V1920:W1920" si="2062">V1896</f>
        <v>3.5</v>
      </c>
      <c r="W1920">
        <f t="shared" si="2062"/>
        <v>3.1</v>
      </c>
      <c r="X1920" s="9">
        <v>-25.093241416666501</v>
      </c>
      <c r="Y1920" s="39"/>
    </row>
    <row r="1921" spans="1:25" ht="15" thickBot="1">
      <c r="A1921" s="149">
        <f t="shared" si="2050"/>
        <v>45915.916666663994</v>
      </c>
      <c r="B1921" s="30">
        <f t="shared" si="2005"/>
        <v>5000</v>
      </c>
      <c r="C1921" s="8">
        <v>25000</v>
      </c>
      <c r="D1921" s="187">
        <v>0</v>
      </c>
      <c r="E1921" s="187">
        <v>700</v>
      </c>
      <c r="F1921" s="187">
        <v>15000</v>
      </c>
      <c r="G1921" s="30">
        <f t="shared" si="2006"/>
        <v>2400</v>
      </c>
      <c r="H1921" s="8">
        <v>25000</v>
      </c>
      <c r="I1921" s="30">
        <f t="shared" si="2007"/>
        <v>5000</v>
      </c>
      <c r="J1921" s="187">
        <v>40000</v>
      </c>
      <c r="K1921" s="30">
        <f t="shared" si="2008"/>
        <v>5000</v>
      </c>
      <c r="L1921" s="187">
        <v>40000</v>
      </c>
      <c r="M1921" s="110">
        <v>9.5</v>
      </c>
      <c r="N1921" s="9">
        <f>VLOOKUP(DATE(YEAR(A1921),MONTH(A1921),DAY(A1921)),FY24_Temp[],3,FALSE)</f>
        <v>15.49</v>
      </c>
      <c r="O1921" s="110">
        <f t="shared" si="1994"/>
        <v>11.5</v>
      </c>
      <c r="P1921" s="110">
        <f t="shared" si="1995"/>
        <v>19.5</v>
      </c>
      <c r="Q1921" s="79">
        <f>VLOOKUP(VLOOKUP(DATEVALUE(TEXT(A1921,"m/d/yyyy")),FY24_Temp[],5,FALSE)&amp;TEXT(A1921,"-h"),TempDelta[],4,FALSE)</f>
        <v>1.873142855507987</v>
      </c>
      <c r="R1921">
        <v>10</v>
      </c>
      <c r="S1921" s="112">
        <v>1500</v>
      </c>
      <c r="T1921" s="5">
        <f>VLOOKUP(TEXT(A1921,"yy-mm")&amp;"-"&amp;IF(AND(WEEKDAY(A1921)&gt;1,WEEKDAY(A1921)&lt;7),"Wkd",TEXT(A1921,"Ddd"))&amp;"-"&amp;TEXT(A1921,"hh"),LoadTable[],3,FALSE)*0.92</f>
        <v>421.91858468239752</v>
      </c>
      <c r="U1921" s="113">
        <f t="shared" si="1996"/>
        <v>42.191858468239751</v>
      </c>
      <c r="V1921">
        <f t="shared" ref="V1921:W1921" si="2063">V1897</f>
        <v>2.9</v>
      </c>
      <c r="W1921">
        <f t="shared" si="2063"/>
        <v>3.1</v>
      </c>
      <c r="X1921" s="9">
        <v>-25.171035966666501</v>
      </c>
      <c r="Y1921" s="39"/>
    </row>
    <row r="1922" spans="1:25" ht="15" thickBot="1">
      <c r="A1922" s="149">
        <f t="shared" si="2050"/>
        <v>45915.958333330658</v>
      </c>
      <c r="B1922" s="30">
        <f t="shared" si="2005"/>
        <v>5000</v>
      </c>
      <c r="C1922" s="8">
        <v>25000</v>
      </c>
      <c r="D1922" s="187">
        <v>0</v>
      </c>
      <c r="E1922" s="187">
        <v>700</v>
      </c>
      <c r="F1922" s="187">
        <v>15000</v>
      </c>
      <c r="G1922" s="30">
        <f t="shared" si="2006"/>
        <v>2400</v>
      </c>
      <c r="H1922" s="8">
        <v>25000</v>
      </c>
      <c r="I1922" s="30">
        <f t="shared" si="2007"/>
        <v>5000</v>
      </c>
      <c r="J1922" s="187">
        <v>40000</v>
      </c>
      <c r="K1922" s="30">
        <f t="shared" si="2008"/>
        <v>5000</v>
      </c>
      <c r="L1922" s="187">
        <v>40000</v>
      </c>
      <c r="M1922" s="110">
        <v>9.5</v>
      </c>
      <c r="N1922" s="9">
        <f>VLOOKUP(DATE(YEAR(A1922),MONTH(A1922),DAY(A1922)),FY24_Temp[],3,FALSE)</f>
        <v>15.49</v>
      </c>
      <c r="O1922" s="110">
        <f t="shared" si="1994"/>
        <v>11.5</v>
      </c>
      <c r="P1922" s="110">
        <f t="shared" si="1995"/>
        <v>19.5</v>
      </c>
      <c r="Q1922" s="79">
        <f>VLOOKUP(VLOOKUP(DATEVALUE(TEXT(A1922,"m/d/yyyy")),FY24_Temp[],5,FALSE)&amp;TEXT(A1922,"-h"),TempDelta[],4,FALSE)</f>
        <v>2.0031428507396152</v>
      </c>
      <c r="R1922">
        <v>10</v>
      </c>
      <c r="S1922" s="112">
        <v>1500</v>
      </c>
      <c r="T1922" s="5">
        <f>VLOOKUP(TEXT(A1922,"yy-mm")&amp;"-"&amp;IF(AND(WEEKDAY(A1922)&gt;1,WEEKDAY(A1922)&lt;7),"Wkd",TEXT(A1922,"Ddd"))&amp;"-"&amp;TEXT(A1922,"hh"),LoadTable[],3,FALSE)*0.92</f>
        <v>289.33527113913209</v>
      </c>
      <c r="U1922" s="113">
        <f t="shared" si="1996"/>
        <v>28.933527113913208</v>
      </c>
      <c r="V1922">
        <f t="shared" ref="V1922:W1922" si="2064">V1898</f>
        <v>3.6</v>
      </c>
      <c r="W1922">
        <f t="shared" si="2064"/>
        <v>3.1</v>
      </c>
      <c r="X1922" s="9">
        <v>-25.248830516666501</v>
      </c>
      <c r="Y1922" s="39"/>
    </row>
    <row r="1923" spans="1:25" ht="15" thickBot="1">
      <c r="A1923" s="149">
        <f t="shared" si="2050"/>
        <v>45915.999999997322</v>
      </c>
      <c r="B1923" s="30">
        <f t="shared" si="2005"/>
        <v>5000</v>
      </c>
      <c r="C1923" s="8">
        <v>25000</v>
      </c>
      <c r="D1923" s="187">
        <v>0</v>
      </c>
      <c r="E1923" s="187">
        <v>700</v>
      </c>
      <c r="F1923" s="187">
        <v>15000</v>
      </c>
      <c r="G1923" s="30">
        <f t="shared" si="2006"/>
        <v>2400</v>
      </c>
      <c r="H1923" s="8">
        <v>25000</v>
      </c>
      <c r="I1923" s="30">
        <f t="shared" si="2007"/>
        <v>5000</v>
      </c>
      <c r="J1923" s="187">
        <v>40000</v>
      </c>
      <c r="K1923" s="30">
        <f t="shared" si="2008"/>
        <v>5000</v>
      </c>
      <c r="L1923" s="187">
        <v>40000</v>
      </c>
      <c r="M1923" s="110">
        <v>9.5</v>
      </c>
      <c r="N1923" s="9">
        <f>VLOOKUP(DATE(YEAR(A1923),MONTH(A1923),DAY(A1923)),FY24_Temp[],3,FALSE)</f>
        <v>15.49</v>
      </c>
      <c r="O1923" s="110">
        <f t="shared" si="1994"/>
        <v>11.5</v>
      </c>
      <c r="P1923" s="110">
        <f t="shared" si="1995"/>
        <v>19.5</v>
      </c>
      <c r="Q1923" s="79">
        <f>VLOOKUP(VLOOKUP(DATEVALUE(TEXT(A1923,"m/d/yyyy")),FY24_Temp[],5,FALSE)&amp;TEXT(A1923,"-h"),TempDelta[],4,FALSE)</f>
        <v>2.099285670689174</v>
      </c>
      <c r="R1923">
        <v>10</v>
      </c>
      <c r="S1923" s="112">
        <v>1500</v>
      </c>
      <c r="T1923" s="5">
        <f>VLOOKUP(TEXT(A1923,"yy-mm")&amp;"-"&amp;IF(AND(WEEKDAY(A1923)&gt;1,WEEKDAY(A1923)&lt;7),"Wkd",TEXT(A1923,"Ddd"))&amp;"-"&amp;TEXT(A1923,"hh"),LoadTable[],3,FALSE)*0.92</f>
        <v>289.0624787084426</v>
      </c>
      <c r="U1923" s="113">
        <f t="shared" si="1996"/>
        <v>28.906247870844261</v>
      </c>
      <c r="V1923">
        <f t="shared" ref="V1923:W1923" si="2065">V1899</f>
        <v>3</v>
      </c>
      <c r="W1923">
        <f t="shared" si="2065"/>
        <v>3.2</v>
      </c>
      <c r="X1923" s="9">
        <v>-25.326625066666502</v>
      </c>
      <c r="Y1923" s="39"/>
    </row>
    <row r="1924" spans="1:25" ht="15" thickBot="1">
      <c r="A1924" s="149">
        <f t="shared" si="2050"/>
        <v>45916.041666663987</v>
      </c>
      <c r="B1924" s="30">
        <f t="shared" si="2005"/>
        <v>5000</v>
      </c>
      <c r="C1924" s="8">
        <v>25000</v>
      </c>
      <c r="D1924" s="187">
        <v>0</v>
      </c>
      <c r="E1924" s="187">
        <v>700</v>
      </c>
      <c r="F1924" s="187">
        <v>15000</v>
      </c>
      <c r="G1924" s="30">
        <f t="shared" si="2006"/>
        <v>2400</v>
      </c>
      <c r="H1924" s="8">
        <v>25000</v>
      </c>
      <c r="I1924" s="30">
        <f t="shared" si="2007"/>
        <v>5000</v>
      </c>
      <c r="J1924" s="187">
        <v>40000</v>
      </c>
      <c r="K1924" s="30">
        <f t="shared" si="2008"/>
        <v>5000</v>
      </c>
      <c r="L1924" s="187">
        <v>40000</v>
      </c>
      <c r="M1924" s="110">
        <v>9.5</v>
      </c>
      <c r="N1924" s="9">
        <f>VLOOKUP(DATE(YEAR(A1924),MONTH(A1924),DAY(A1924)),FY24_Temp[],3,FALSE)</f>
        <v>15.49</v>
      </c>
      <c r="O1924" s="110">
        <f t="shared" ref="O1924:O1987" si="2066">15.5-4</f>
        <v>11.5</v>
      </c>
      <c r="P1924" s="110">
        <f t="shared" ref="P1924:P1987" si="2067">15.5+4</f>
        <v>19.5</v>
      </c>
      <c r="Q1924" s="79">
        <f>VLOOKUP(VLOOKUP(DATEVALUE(TEXT(A1924,"m/d/yyyy")),FY24_Temp[],5,FALSE)&amp;TEXT(A1924,"-h"),TempDelta[],4,FALSE)</f>
        <v>2.1752857140132358</v>
      </c>
      <c r="R1924">
        <v>10</v>
      </c>
      <c r="S1924" s="112">
        <v>1500</v>
      </c>
      <c r="T1924" s="5">
        <f>VLOOKUP(TEXT(A1924,"yy-mm")&amp;"-"&amp;IF(AND(WEEKDAY(A1924)&gt;1,WEEKDAY(A1924)&lt;7),"Wkd",TEXT(A1924,"Ddd"))&amp;"-"&amp;TEXT(A1924,"hh"),LoadTable[],3,FALSE)*0.92</f>
        <v>289.0624787084426</v>
      </c>
      <c r="U1924" s="113">
        <f t="shared" ref="U1924:U1987" si="2068">T1924/10</f>
        <v>28.906247870844261</v>
      </c>
      <c r="V1924">
        <f t="shared" ref="V1924:W1924" si="2069">V1900</f>
        <v>2.6</v>
      </c>
      <c r="W1924">
        <f t="shared" si="2069"/>
        <v>3.2</v>
      </c>
      <c r="X1924" s="9">
        <v>-25.404419616666502</v>
      </c>
      <c r="Y1924" s="39"/>
    </row>
    <row r="1925" spans="1:25" ht="15" thickBot="1">
      <c r="A1925" s="149">
        <f t="shared" si="2050"/>
        <v>45916.083333330651</v>
      </c>
      <c r="B1925" s="30">
        <f t="shared" si="2005"/>
        <v>5000</v>
      </c>
      <c r="C1925" s="8">
        <v>25000</v>
      </c>
      <c r="D1925" s="187">
        <v>0</v>
      </c>
      <c r="E1925" s="187">
        <v>700</v>
      </c>
      <c r="F1925" s="187">
        <v>15000</v>
      </c>
      <c r="G1925" s="30">
        <f t="shared" si="2006"/>
        <v>2400</v>
      </c>
      <c r="H1925" s="8">
        <v>25000</v>
      </c>
      <c r="I1925" s="30">
        <f t="shared" si="2007"/>
        <v>5000</v>
      </c>
      <c r="J1925" s="187">
        <v>40000</v>
      </c>
      <c r="K1925" s="30">
        <f t="shared" si="2008"/>
        <v>5000</v>
      </c>
      <c r="L1925" s="187">
        <v>40000</v>
      </c>
      <c r="M1925" s="110">
        <v>9.5</v>
      </c>
      <c r="N1925" s="9">
        <f>VLOOKUP(DATE(YEAR(A1925),MONTH(A1925),DAY(A1925)),FY24_Temp[],3,FALSE)</f>
        <v>15.49</v>
      </c>
      <c r="O1925" s="110">
        <f t="shared" si="2066"/>
        <v>11.5</v>
      </c>
      <c r="P1925" s="110">
        <f t="shared" si="2067"/>
        <v>19.5</v>
      </c>
      <c r="Q1925" s="79">
        <f>VLOOKUP(VLOOKUP(DATEVALUE(TEXT(A1925,"m/d/yyyy")),FY24_Temp[],5,FALSE)&amp;TEXT(A1925,"-h"),TempDelta[],4,FALSE)</f>
        <v>2.2037143026079451</v>
      </c>
      <c r="R1925">
        <v>10</v>
      </c>
      <c r="S1925" s="112">
        <v>1500</v>
      </c>
      <c r="T1925" s="5">
        <f>VLOOKUP(TEXT(A1925,"yy-mm")&amp;"-"&amp;IF(AND(WEEKDAY(A1925)&gt;1,WEEKDAY(A1925)&lt;7),"Wkd",TEXT(A1925,"Ddd"))&amp;"-"&amp;TEXT(A1925,"hh"),LoadTable[],3,FALSE)*0.92</f>
        <v>289.0624787084426</v>
      </c>
      <c r="U1925" s="113">
        <f t="shared" si="2068"/>
        <v>28.906247870844261</v>
      </c>
      <c r="V1925">
        <f t="shared" ref="V1925:W1925" si="2070">V1901</f>
        <v>2.8</v>
      </c>
      <c r="W1925">
        <f t="shared" si="2070"/>
        <v>3.2</v>
      </c>
      <c r="X1925" s="9">
        <v>-25.482214166666498</v>
      </c>
      <c r="Y1925" s="39"/>
    </row>
    <row r="1926" spans="1:25" ht="15" thickBot="1">
      <c r="A1926" s="149">
        <f t="shared" si="2050"/>
        <v>45916.124999997315</v>
      </c>
      <c r="B1926" s="30">
        <f t="shared" si="2005"/>
        <v>5000</v>
      </c>
      <c r="C1926" s="8">
        <v>25000</v>
      </c>
      <c r="D1926" s="187">
        <v>0</v>
      </c>
      <c r="E1926" s="187">
        <v>700</v>
      </c>
      <c r="F1926" s="187">
        <v>15000</v>
      </c>
      <c r="G1926" s="30">
        <f t="shared" si="2006"/>
        <v>2400</v>
      </c>
      <c r="H1926" s="8">
        <v>25000</v>
      </c>
      <c r="I1926" s="30">
        <f t="shared" si="2007"/>
        <v>5000</v>
      </c>
      <c r="J1926" s="187">
        <v>40000</v>
      </c>
      <c r="K1926" s="30">
        <f t="shared" si="2008"/>
        <v>5000</v>
      </c>
      <c r="L1926" s="187">
        <v>40000</v>
      </c>
      <c r="M1926" s="110">
        <v>9.5</v>
      </c>
      <c r="N1926" s="9">
        <f>VLOOKUP(DATE(YEAR(A1926),MONTH(A1926),DAY(A1926)),FY24_Temp[],3,FALSE)</f>
        <v>15.49</v>
      </c>
      <c r="O1926" s="110">
        <f t="shared" si="2066"/>
        <v>11.5</v>
      </c>
      <c r="P1926" s="110">
        <f t="shared" si="2067"/>
        <v>19.5</v>
      </c>
      <c r="Q1926" s="79">
        <f>VLOOKUP(VLOOKUP(DATEVALUE(TEXT(A1926,"m/d/yyyy")),FY24_Temp[],5,FALSE)&amp;TEXT(A1926,"-h"),TempDelta[],4,FALSE)</f>
        <v>2.2029999664851596</v>
      </c>
      <c r="R1926">
        <v>10</v>
      </c>
      <c r="S1926" s="112">
        <v>1500</v>
      </c>
      <c r="T1926" s="5">
        <f>VLOOKUP(TEXT(A1926,"yy-mm")&amp;"-"&amp;IF(AND(WEEKDAY(A1926)&gt;1,WEEKDAY(A1926)&lt;7),"Wkd",TEXT(A1926,"Ddd"))&amp;"-"&amp;TEXT(A1926,"hh"),LoadTable[],3,FALSE)*0.92</f>
        <v>289.05894152419745</v>
      </c>
      <c r="U1926" s="113">
        <f t="shared" si="2068"/>
        <v>28.905894152419744</v>
      </c>
      <c r="V1926">
        <f t="shared" ref="V1926:W1926" si="2071">V1902</f>
        <v>2.7</v>
      </c>
      <c r="W1926">
        <f t="shared" si="2071"/>
        <v>3.2</v>
      </c>
      <c r="X1926" s="9">
        <v>-25.560008716666498</v>
      </c>
      <c r="Y1926" s="39"/>
    </row>
    <row r="1927" spans="1:25" ht="15" thickBot="1">
      <c r="A1927" s="149">
        <f t="shared" si="2050"/>
        <v>45916.166666663979</v>
      </c>
      <c r="B1927" s="30">
        <f t="shared" si="2005"/>
        <v>5000</v>
      </c>
      <c r="C1927" s="8">
        <v>25000</v>
      </c>
      <c r="D1927" s="187">
        <v>0</v>
      </c>
      <c r="E1927" s="187">
        <v>700</v>
      </c>
      <c r="F1927" s="187">
        <v>15000</v>
      </c>
      <c r="G1927" s="30">
        <f t="shared" si="2006"/>
        <v>2400</v>
      </c>
      <c r="H1927" s="8">
        <v>25000</v>
      </c>
      <c r="I1927" s="30">
        <f t="shared" si="2007"/>
        <v>5000</v>
      </c>
      <c r="J1927" s="187">
        <v>40000</v>
      </c>
      <c r="K1927" s="30">
        <f t="shared" si="2008"/>
        <v>5000</v>
      </c>
      <c r="L1927" s="187">
        <v>40000</v>
      </c>
      <c r="M1927" s="110">
        <v>9.5</v>
      </c>
      <c r="N1927" s="9">
        <f>VLOOKUP(DATE(YEAR(A1927),MONTH(A1927),DAY(A1927)),FY24_Temp[],3,FALSE)</f>
        <v>15.49</v>
      </c>
      <c r="O1927" s="110">
        <f t="shared" si="2066"/>
        <v>11.5</v>
      </c>
      <c r="P1927" s="110">
        <f t="shared" si="2067"/>
        <v>19.5</v>
      </c>
      <c r="Q1927" s="79">
        <f>VLOOKUP(VLOOKUP(DATEVALUE(TEXT(A1927,"m/d/yyyy")),FY24_Temp[],5,FALSE)&amp;TEXT(A1927,"-h"),TempDelta[],4,FALSE)</f>
        <v>2.2338571548461914</v>
      </c>
      <c r="R1927">
        <v>10</v>
      </c>
      <c r="S1927" s="112">
        <v>1500</v>
      </c>
      <c r="T1927" s="5">
        <f>VLOOKUP(TEXT(A1927,"yy-mm")&amp;"-"&amp;IF(AND(WEEKDAY(A1927)&gt;1,WEEKDAY(A1927)&lt;7),"Wkd",TEXT(A1927,"Ddd"))&amp;"-"&amp;TEXT(A1927,"hh"),LoadTable[],3,FALSE)*0.92</f>
        <v>289.05894152419745</v>
      </c>
      <c r="U1927" s="113">
        <f t="shared" si="2068"/>
        <v>28.905894152419744</v>
      </c>
      <c r="V1927">
        <f t="shared" ref="V1927:W1927" si="2072">V1903</f>
        <v>3</v>
      </c>
      <c r="W1927">
        <f t="shared" si="2072"/>
        <v>3.1</v>
      </c>
      <c r="X1927" s="9">
        <v>-25.637803266666499</v>
      </c>
      <c r="Y1927" s="39"/>
    </row>
    <row r="1928" spans="1:25" ht="15" thickBot="1">
      <c r="A1928" s="149">
        <f t="shared" si="2050"/>
        <v>45916.208333330644</v>
      </c>
      <c r="B1928" s="30">
        <f t="shared" si="2005"/>
        <v>5000</v>
      </c>
      <c r="C1928" s="8">
        <v>25000</v>
      </c>
      <c r="D1928" s="187">
        <v>0</v>
      </c>
      <c r="E1928" s="187">
        <v>700</v>
      </c>
      <c r="F1928" s="187">
        <v>15000</v>
      </c>
      <c r="G1928" s="30">
        <f t="shared" si="2006"/>
        <v>2400</v>
      </c>
      <c r="H1928" s="8">
        <v>25000</v>
      </c>
      <c r="I1928" s="30">
        <f t="shared" si="2007"/>
        <v>5000</v>
      </c>
      <c r="J1928" s="187">
        <v>40000</v>
      </c>
      <c r="K1928" s="30">
        <f t="shared" si="2008"/>
        <v>5000</v>
      </c>
      <c r="L1928" s="187">
        <v>40000</v>
      </c>
      <c r="M1928" s="110">
        <v>9.5</v>
      </c>
      <c r="N1928" s="9">
        <f>VLOOKUP(DATE(YEAR(A1928),MONTH(A1928),DAY(A1928)),FY24_Temp[],3,FALSE)</f>
        <v>15.49</v>
      </c>
      <c r="O1928" s="110">
        <f t="shared" si="2066"/>
        <v>11.5</v>
      </c>
      <c r="P1928" s="110">
        <f t="shared" si="2067"/>
        <v>19.5</v>
      </c>
      <c r="Q1928" s="79">
        <f>VLOOKUP(VLOOKUP(DATEVALUE(TEXT(A1928,"m/d/yyyy")),FY24_Temp[],5,FALSE)&amp;TEXT(A1928,"-h"),TempDelta[],4,FALSE)</f>
        <v>2.3308571066175188</v>
      </c>
      <c r="R1928">
        <v>10</v>
      </c>
      <c r="S1928" s="112">
        <v>1500</v>
      </c>
      <c r="T1928" s="5">
        <f>VLOOKUP(TEXT(A1928,"yy-mm")&amp;"-"&amp;IF(AND(WEEKDAY(A1928)&gt;1,WEEKDAY(A1928)&lt;7),"Wkd",TEXT(A1928,"Ddd"))&amp;"-"&amp;TEXT(A1928,"hh"),LoadTable[],3,FALSE)*0.92</f>
        <v>289.05894152419745</v>
      </c>
      <c r="U1928" s="113">
        <f t="shared" si="2068"/>
        <v>28.905894152419744</v>
      </c>
      <c r="V1928">
        <f t="shared" ref="V1928:W1928" si="2073">V1904</f>
        <v>2.9</v>
      </c>
      <c r="W1928">
        <f t="shared" si="2073"/>
        <v>3.1</v>
      </c>
      <c r="X1928" s="9">
        <v>-25.715597816666499</v>
      </c>
      <c r="Y1928" s="39"/>
    </row>
    <row r="1929" spans="1:25" ht="15" thickBot="1">
      <c r="A1929" s="149">
        <f t="shared" si="2050"/>
        <v>45916.249999997308</v>
      </c>
      <c r="B1929" s="30">
        <f t="shared" si="2005"/>
        <v>8000</v>
      </c>
      <c r="C1929" s="8">
        <v>25000</v>
      </c>
      <c r="D1929" s="187">
        <v>0</v>
      </c>
      <c r="E1929" s="187">
        <v>700</v>
      </c>
      <c r="F1929" s="187">
        <v>15000</v>
      </c>
      <c r="G1929" s="30">
        <f t="shared" si="2006"/>
        <v>2400</v>
      </c>
      <c r="H1929" s="8">
        <v>25000</v>
      </c>
      <c r="I1929" s="30">
        <f t="shared" si="2007"/>
        <v>8000</v>
      </c>
      <c r="J1929" s="187">
        <v>40000</v>
      </c>
      <c r="K1929" s="30">
        <f t="shared" si="2008"/>
        <v>8000</v>
      </c>
      <c r="L1929" s="187">
        <v>40000</v>
      </c>
      <c r="M1929" s="110">
        <v>9.5</v>
      </c>
      <c r="N1929" s="9">
        <f>VLOOKUP(DATE(YEAR(A1929),MONTH(A1929),DAY(A1929)),FY24_Temp[],3,FALSE)</f>
        <v>15.49</v>
      </c>
      <c r="O1929" s="110">
        <f t="shared" si="2066"/>
        <v>11.5</v>
      </c>
      <c r="P1929" s="110">
        <f t="shared" si="2067"/>
        <v>19.5</v>
      </c>
      <c r="Q1929" s="79">
        <f>VLOOKUP(VLOOKUP(DATEVALUE(TEXT(A1929,"m/d/yyyy")),FY24_Temp[],5,FALSE)&amp;TEXT(A1929,"-h"),TempDelta[],4,FALSE)</f>
        <v>2.2878571578434537</v>
      </c>
      <c r="R1929">
        <v>10</v>
      </c>
      <c r="S1929" s="112">
        <v>1500</v>
      </c>
      <c r="T1929" s="5">
        <f>VLOOKUP(TEXT(A1929,"yy-mm")&amp;"-"&amp;IF(AND(WEEKDAY(A1929)&gt;1,WEEKDAY(A1929)&lt;7),"Wkd",TEXT(A1929,"Ddd"))&amp;"-"&amp;TEXT(A1929,"hh"),LoadTable[],3,FALSE)*0.92</f>
        <v>291.12479999999999</v>
      </c>
      <c r="U1929" s="113">
        <f t="shared" si="2068"/>
        <v>29.112479999999998</v>
      </c>
      <c r="V1929">
        <f t="shared" ref="V1929:W1929" si="2074">V1905</f>
        <v>2.5</v>
      </c>
      <c r="W1929">
        <f t="shared" si="2074"/>
        <v>3.1</v>
      </c>
      <c r="X1929" s="9">
        <v>-25.793392366666499</v>
      </c>
      <c r="Y1929" s="39"/>
    </row>
    <row r="1930" spans="1:25" ht="15" thickBot="1">
      <c r="A1930" s="149">
        <f t="shared" si="2050"/>
        <v>45916.291666663972</v>
      </c>
      <c r="B1930" s="30">
        <f t="shared" si="2005"/>
        <v>8000</v>
      </c>
      <c r="C1930" s="8">
        <v>25000</v>
      </c>
      <c r="D1930" s="187">
        <v>0</v>
      </c>
      <c r="E1930" s="187">
        <v>700</v>
      </c>
      <c r="F1930" s="187">
        <v>15000</v>
      </c>
      <c r="G1930" s="30">
        <f t="shared" si="2006"/>
        <v>2400</v>
      </c>
      <c r="H1930" s="8">
        <v>25000</v>
      </c>
      <c r="I1930" s="30">
        <f t="shared" si="2007"/>
        <v>8000</v>
      </c>
      <c r="J1930" s="187">
        <v>40000</v>
      </c>
      <c r="K1930" s="30">
        <f t="shared" si="2008"/>
        <v>8000</v>
      </c>
      <c r="L1930" s="187">
        <v>40000</v>
      </c>
      <c r="M1930" s="110">
        <v>9.5</v>
      </c>
      <c r="N1930" s="9">
        <f>VLOOKUP(DATE(YEAR(A1930),MONTH(A1930),DAY(A1930)),FY24_Temp[],3,FALSE)</f>
        <v>15.49</v>
      </c>
      <c r="O1930" s="110">
        <f t="shared" si="2066"/>
        <v>11.5</v>
      </c>
      <c r="P1930" s="110">
        <f t="shared" si="2067"/>
        <v>19.5</v>
      </c>
      <c r="Q1930" s="79">
        <f>VLOOKUP(VLOOKUP(DATEVALUE(TEXT(A1930,"m/d/yyyy")),FY24_Temp[],5,FALSE)&amp;TEXT(A1930,"-h"),TempDelta[],4,FALSE)</f>
        <v>2.1535714353833879</v>
      </c>
      <c r="R1930">
        <v>10</v>
      </c>
      <c r="S1930" s="112">
        <v>1500</v>
      </c>
      <c r="T1930" s="5">
        <f>VLOOKUP(TEXT(A1930,"yy-mm")&amp;"-"&amp;IF(AND(WEEKDAY(A1930)&gt;1,WEEKDAY(A1930)&lt;7),"Wkd",TEXT(A1930,"Ddd"))&amp;"-"&amp;TEXT(A1930,"hh"),LoadTable[],3,FALSE)*0.92</f>
        <v>291.12479999999999</v>
      </c>
      <c r="U1930" s="113">
        <f t="shared" si="2068"/>
        <v>29.112479999999998</v>
      </c>
      <c r="V1930">
        <f t="shared" ref="V1930:W1930" si="2075">V1906</f>
        <v>2.5</v>
      </c>
      <c r="W1930">
        <f t="shared" si="2075"/>
        <v>3.1</v>
      </c>
      <c r="X1930" s="9">
        <v>-25.871186916666499</v>
      </c>
      <c r="Y1930" s="39"/>
    </row>
    <row r="1931" spans="1:25" ht="15" thickBot="1">
      <c r="A1931" s="149">
        <f t="shared" si="2050"/>
        <v>45916.333333330636</v>
      </c>
      <c r="B1931" s="30">
        <f t="shared" si="2005"/>
        <v>8000</v>
      </c>
      <c r="C1931" s="8">
        <v>25000</v>
      </c>
      <c r="D1931" s="187">
        <v>0</v>
      </c>
      <c r="E1931" s="187">
        <v>700</v>
      </c>
      <c r="F1931" s="187">
        <v>15000</v>
      </c>
      <c r="G1931" s="30">
        <f t="shared" si="2006"/>
        <v>2400</v>
      </c>
      <c r="H1931" s="8">
        <v>25000</v>
      </c>
      <c r="I1931" s="30">
        <f t="shared" si="2007"/>
        <v>8000</v>
      </c>
      <c r="J1931" s="187">
        <v>40000</v>
      </c>
      <c r="K1931" s="30">
        <f t="shared" si="2008"/>
        <v>8000</v>
      </c>
      <c r="L1931" s="187">
        <v>40000</v>
      </c>
      <c r="M1931" s="110">
        <v>9.5</v>
      </c>
      <c r="N1931" s="9">
        <f>VLOOKUP(DATE(YEAR(A1931),MONTH(A1931),DAY(A1931)),FY24_Temp[],3,FALSE)</f>
        <v>15.49</v>
      </c>
      <c r="O1931" s="110">
        <f t="shared" si="2066"/>
        <v>11.5</v>
      </c>
      <c r="P1931" s="110">
        <f t="shared" si="2067"/>
        <v>19.5</v>
      </c>
      <c r="Q1931" s="79">
        <f>VLOOKUP(VLOOKUP(DATEVALUE(TEXT(A1931,"m/d/yyyy")),FY24_Temp[],5,FALSE)&amp;TEXT(A1931,"-h"),TempDelta[],4,FALSE)</f>
        <v>1.9890000138963972</v>
      </c>
      <c r="R1931">
        <v>10</v>
      </c>
      <c r="S1931" s="112">
        <v>1500</v>
      </c>
      <c r="T1931" s="5">
        <f>VLOOKUP(TEXT(A1931,"yy-mm")&amp;"-"&amp;IF(AND(WEEKDAY(A1931)&gt;1,WEEKDAY(A1931)&lt;7),"Wkd",TEXT(A1931,"Ddd"))&amp;"-"&amp;TEXT(A1931,"hh"),LoadTable[],3,FALSE)*0.92</f>
        <v>291.12479999999999</v>
      </c>
      <c r="U1931" s="113">
        <f t="shared" si="2068"/>
        <v>29.112479999999998</v>
      </c>
      <c r="V1931">
        <f t="shared" ref="V1931:W1931" si="2076">V1907</f>
        <v>3.2</v>
      </c>
      <c r="W1931">
        <f t="shared" si="2076"/>
        <v>3</v>
      </c>
      <c r="X1931" s="9">
        <v>-25.948981466666499</v>
      </c>
      <c r="Y1931" s="39"/>
    </row>
    <row r="1932" spans="1:25" ht="15" thickBot="1">
      <c r="A1932" s="149">
        <f t="shared" si="2050"/>
        <v>45916.374999997301</v>
      </c>
      <c r="B1932" s="30">
        <f t="shared" ref="B1932:B1995" si="2077">B1908</f>
        <v>8000</v>
      </c>
      <c r="C1932" s="8">
        <v>25000</v>
      </c>
      <c r="D1932" s="187">
        <v>0</v>
      </c>
      <c r="E1932" s="187">
        <v>700</v>
      </c>
      <c r="F1932" s="187">
        <v>15000</v>
      </c>
      <c r="G1932" s="30">
        <f t="shared" ref="G1932:G1995" si="2078">G1908</f>
        <v>2400</v>
      </c>
      <c r="H1932" s="8">
        <v>25000</v>
      </c>
      <c r="I1932" s="30">
        <f t="shared" ref="I1932:I1995" si="2079">I1908</f>
        <v>8000</v>
      </c>
      <c r="J1932" s="187">
        <v>40000</v>
      </c>
      <c r="K1932" s="30">
        <f t="shared" ref="K1932:K1995" si="2080">K1908</f>
        <v>8000</v>
      </c>
      <c r="L1932" s="187">
        <v>40000</v>
      </c>
      <c r="M1932" s="110">
        <v>9.5</v>
      </c>
      <c r="N1932" s="9">
        <f>VLOOKUP(DATE(YEAR(A1932),MONTH(A1932),DAY(A1932)),FY24_Temp[],3,FALSE)</f>
        <v>15.49</v>
      </c>
      <c r="O1932" s="110">
        <f t="shared" si="2066"/>
        <v>11.5</v>
      </c>
      <c r="P1932" s="110">
        <f t="shared" si="2067"/>
        <v>19.5</v>
      </c>
      <c r="Q1932" s="79">
        <f>VLOOKUP(VLOOKUP(DATEVALUE(TEXT(A1932,"m/d/yyyy")),FY24_Temp[],5,FALSE)&amp;TEXT(A1932,"-h"),TempDelta[],4,FALSE)</f>
        <v>1.8358571359089442</v>
      </c>
      <c r="R1932">
        <v>10</v>
      </c>
      <c r="S1932" s="112">
        <v>1500</v>
      </c>
      <c r="T1932" s="5">
        <f>VLOOKUP(TEXT(A1932,"yy-mm")&amp;"-"&amp;IF(AND(WEEKDAY(A1932)&gt;1,WEEKDAY(A1932)&lt;7),"Wkd",TEXT(A1932,"Ddd"))&amp;"-"&amp;TEXT(A1932,"hh"),LoadTable[],3,FALSE)*0.92</f>
        <v>291.12479999999999</v>
      </c>
      <c r="U1932" s="113">
        <f t="shared" si="2068"/>
        <v>29.112479999999998</v>
      </c>
      <c r="V1932">
        <f t="shared" ref="V1932:W1932" si="2081">V1908</f>
        <v>2.9</v>
      </c>
      <c r="W1932">
        <f t="shared" si="2081"/>
        <v>3</v>
      </c>
      <c r="X1932" s="9">
        <v>-26.026776016666499</v>
      </c>
      <c r="Y1932" s="39"/>
    </row>
    <row r="1933" spans="1:25" ht="15" thickBot="1">
      <c r="A1933" s="149">
        <f t="shared" si="2050"/>
        <v>45916.416666663965</v>
      </c>
      <c r="B1933" s="30">
        <f t="shared" si="2077"/>
        <v>8000</v>
      </c>
      <c r="C1933" s="8">
        <v>25000</v>
      </c>
      <c r="D1933" s="187">
        <v>0</v>
      </c>
      <c r="E1933" s="187">
        <v>700</v>
      </c>
      <c r="F1933" s="187">
        <v>15000</v>
      </c>
      <c r="G1933" s="30">
        <f t="shared" si="2078"/>
        <v>2400</v>
      </c>
      <c r="H1933" s="8">
        <v>25000</v>
      </c>
      <c r="I1933" s="30">
        <f t="shared" si="2079"/>
        <v>8000</v>
      </c>
      <c r="J1933" s="187">
        <v>40000</v>
      </c>
      <c r="K1933" s="30">
        <f t="shared" si="2080"/>
        <v>8000</v>
      </c>
      <c r="L1933" s="187">
        <v>40000</v>
      </c>
      <c r="M1933" s="110">
        <v>9.5</v>
      </c>
      <c r="N1933" s="9">
        <f>VLOOKUP(DATE(YEAR(A1933),MONTH(A1933),DAY(A1933)),FY24_Temp[],3,FALSE)</f>
        <v>15.49</v>
      </c>
      <c r="O1933" s="110">
        <f t="shared" si="2066"/>
        <v>11.5</v>
      </c>
      <c r="P1933" s="110">
        <f t="shared" si="2067"/>
        <v>19.5</v>
      </c>
      <c r="Q1933" s="79">
        <f>VLOOKUP(VLOOKUP(DATEVALUE(TEXT(A1933,"m/d/yyyy")),FY24_Temp[],5,FALSE)&amp;TEXT(A1933,"-h"),TempDelta[],4,FALSE)</f>
        <v>1.6792856965746199</v>
      </c>
      <c r="R1933">
        <v>10</v>
      </c>
      <c r="S1933" s="112">
        <v>1500</v>
      </c>
      <c r="T1933" s="5">
        <f>VLOOKUP(TEXT(A1933,"yy-mm")&amp;"-"&amp;IF(AND(WEEKDAY(A1933)&gt;1,WEEKDAY(A1933)&lt;7),"Wkd",TEXT(A1933,"Ddd"))&amp;"-"&amp;TEXT(A1933,"hh"),LoadTable[],3,FALSE)*0.92</f>
        <v>290.74956158350585</v>
      </c>
      <c r="U1933" s="113">
        <f t="shared" si="2068"/>
        <v>29.074956158350584</v>
      </c>
      <c r="V1933">
        <f t="shared" ref="V1933:W1933" si="2082">V1909</f>
        <v>2.9</v>
      </c>
      <c r="W1933">
        <f t="shared" si="2082"/>
        <v>3</v>
      </c>
      <c r="X1933" s="9">
        <v>-26.104570566666499</v>
      </c>
      <c r="Y1933" s="39"/>
    </row>
    <row r="1934" spans="1:25" ht="15" thickBot="1">
      <c r="A1934" s="149">
        <f t="shared" si="2050"/>
        <v>45916.458333330629</v>
      </c>
      <c r="B1934" s="30">
        <f t="shared" si="2077"/>
        <v>8000</v>
      </c>
      <c r="C1934" s="8">
        <v>25000</v>
      </c>
      <c r="D1934" s="187">
        <v>0</v>
      </c>
      <c r="E1934" s="187">
        <v>700</v>
      </c>
      <c r="F1934" s="187">
        <v>15000</v>
      </c>
      <c r="G1934" s="30">
        <f t="shared" si="2078"/>
        <v>2400</v>
      </c>
      <c r="H1934" s="8">
        <v>25000</v>
      </c>
      <c r="I1934" s="30">
        <f t="shared" si="2079"/>
        <v>8000</v>
      </c>
      <c r="J1934" s="187">
        <v>40000</v>
      </c>
      <c r="K1934" s="30">
        <f t="shared" si="2080"/>
        <v>8000</v>
      </c>
      <c r="L1934" s="187">
        <v>40000</v>
      </c>
      <c r="M1934" s="110">
        <v>9.5</v>
      </c>
      <c r="N1934" s="9">
        <f>VLOOKUP(DATE(YEAR(A1934),MONTH(A1934),DAY(A1934)),FY24_Temp[],3,FALSE)</f>
        <v>15.49</v>
      </c>
      <c r="O1934" s="110">
        <f t="shared" si="2066"/>
        <v>11.5</v>
      </c>
      <c r="P1934" s="110">
        <f t="shared" si="2067"/>
        <v>19.5</v>
      </c>
      <c r="Q1934" s="79">
        <f>VLOOKUP(VLOOKUP(DATEVALUE(TEXT(A1934,"m/d/yyyy")),FY24_Temp[],5,FALSE)&amp;TEXT(A1934,"-h"),TempDelta[],4,FALSE)</f>
        <v>1.4937142814908708</v>
      </c>
      <c r="R1934">
        <v>10</v>
      </c>
      <c r="S1934" s="112">
        <v>1500</v>
      </c>
      <c r="T1934" s="5">
        <f>VLOOKUP(TEXT(A1934,"yy-mm")&amp;"-"&amp;IF(AND(WEEKDAY(A1934)&gt;1,WEEKDAY(A1934)&lt;7),"Wkd",TEXT(A1934,"Ddd"))&amp;"-"&amp;TEXT(A1934,"hh"),LoadTable[],3,FALSE)*0.92</f>
        <v>290.74956158350585</v>
      </c>
      <c r="U1934" s="113">
        <f t="shared" si="2068"/>
        <v>29.074956158350584</v>
      </c>
      <c r="V1934">
        <f t="shared" ref="V1934:W1934" si="2083">V1910</f>
        <v>3.4</v>
      </c>
      <c r="W1934">
        <f t="shared" si="2083"/>
        <v>3</v>
      </c>
      <c r="X1934" s="9">
        <v>-26.182365116666499</v>
      </c>
      <c r="Y1934" s="39"/>
    </row>
    <row r="1935" spans="1:25" ht="15" thickBot="1">
      <c r="A1935" s="149">
        <f t="shared" si="2050"/>
        <v>45916.499999997293</v>
      </c>
      <c r="B1935" s="30">
        <f t="shared" si="2077"/>
        <v>8000</v>
      </c>
      <c r="C1935" s="8">
        <v>25000</v>
      </c>
      <c r="D1935" s="187">
        <v>0</v>
      </c>
      <c r="E1935" s="187">
        <v>700</v>
      </c>
      <c r="F1935" s="187">
        <v>15000</v>
      </c>
      <c r="G1935" s="30">
        <f t="shared" si="2078"/>
        <v>2400</v>
      </c>
      <c r="H1935" s="8">
        <v>25000</v>
      </c>
      <c r="I1935" s="30">
        <f t="shared" si="2079"/>
        <v>8000</v>
      </c>
      <c r="J1935" s="187">
        <v>40000</v>
      </c>
      <c r="K1935" s="30">
        <f t="shared" si="2080"/>
        <v>8000</v>
      </c>
      <c r="L1935" s="187">
        <v>40000</v>
      </c>
      <c r="M1935" s="110">
        <v>9.5</v>
      </c>
      <c r="N1935" s="9">
        <f>VLOOKUP(DATE(YEAR(A1935),MONTH(A1935),DAY(A1935)),FY24_Temp[],3,FALSE)</f>
        <v>15.49</v>
      </c>
      <c r="O1935" s="110">
        <f t="shared" si="2066"/>
        <v>11.5</v>
      </c>
      <c r="P1935" s="110">
        <f t="shared" si="2067"/>
        <v>19.5</v>
      </c>
      <c r="Q1935" s="79">
        <f>VLOOKUP(VLOOKUP(DATEVALUE(TEXT(A1935,"m/d/yyyy")),FY24_Temp[],5,FALSE)&amp;TEXT(A1935,"-h"),TempDelta[],4,FALSE)</f>
        <v>1.3148571423121862</v>
      </c>
      <c r="R1935">
        <v>10</v>
      </c>
      <c r="S1935" s="112">
        <v>1500</v>
      </c>
      <c r="T1935" s="5">
        <f>VLOOKUP(TEXT(A1935,"yy-mm")&amp;"-"&amp;IF(AND(WEEKDAY(A1935)&gt;1,WEEKDAY(A1935)&lt;7),"Wkd",TEXT(A1935,"Ddd"))&amp;"-"&amp;TEXT(A1935,"hh"),LoadTable[],3,FALSE)*0.92</f>
        <v>290.74956158350585</v>
      </c>
      <c r="U1935" s="113">
        <f t="shared" si="2068"/>
        <v>29.074956158350584</v>
      </c>
      <c r="V1935">
        <f t="shared" ref="V1935:W1935" si="2084">V1911</f>
        <v>3.1</v>
      </c>
      <c r="W1935">
        <f t="shared" si="2084"/>
        <v>2.9</v>
      </c>
      <c r="X1935" s="9">
        <v>-26.2601596666665</v>
      </c>
      <c r="Y1935" s="39"/>
    </row>
    <row r="1936" spans="1:25" ht="15" thickBot="1">
      <c r="A1936" s="149">
        <f t="shared" si="2050"/>
        <v>45916.541666663958</v>
      </c>
      <c r="B1936" s="30">
        <f t="shared" si="2077"/>
        <v>8000</v>
      </c>
      <c r="C1936" s="8">
        <v>25000</v>
      </c>
      <c r="D1936" s="187">
        <v>0</v>
      </c>
      <c r="E1936" s="187">
        <v>700</v>
      </c>
      <c r="F1936" s="187">
        <v>15000</v>
      </c>
      <c r="G1936" s="30">
        <f t="shared" si="2078"/>
        <v>2400</v>
      </c>
      <c r="H1936" s="8">
        <v>25000</v>
      </c>
      <c r="I1936" s="30">
        <f t="shared" si="2079"/>
        <v>8000</v>
      </c>
      <c r="J1936" s="187">
        <v>40000</v>
      </c>
      <c r="K1936" s="30">
        <f t="shared" si="2080"/>
        <v>8000</v>
      </c>
      <c r="L1936" s="187">
        <v>40000</v>
      </c>
      <c r="M1936" s="110">
        <v>9.5</v>
      </c>
      <c r="N1936" s="9">
        <f>VLOOKUP(DATE(YEAR(A1936),MONTH(A1936),DAY(A1936)),FY24_Temp[],3,FALSE)</f>
        <v>15.49</v>
      </c>
      <c r="O1936" s="110">
        <f t="shared" si="2066"/>
        <v>11.5</v>
      </c>
      <c r="P1936" s="110">
        <f t="shared" si="2067"/>
        <v>19.5</v>
      </c>
      <c r="Q1936" s="79">
        <f>VLOOKUP(VLOOKUP(DATEVALUE(TEXT(A1936,"m/d/yyyy")),FY24_Temp[],5,FALSE)&amp;TEXT(A1936,"-h"),TempDelta[],4,FALSE)</f>
        <v>1.1432857002530779</v>
      </c>
      <c r="R1936">
        <v>10</v>
      </c>
      <c r="S1936" s="112">
        <v>1500</v>
      </c>
      <c r="T1936" s="5">
        <f>VLOOKUP(TEXT(A1936,"yy-mm")&amp;"-"&amp;IF(AND(WEEKDAY(A1936)&gt;1,WEEKDAY(A1936)&lt;7),"Wkd",TEXT(A1936,"Ddd"))&amp;"-"&amp;TEXT(A1936,"hh"),LoadTable[],3,FALSE)*0.92</f>
        <v>290.72204920255348</v>
      </c>
      <c r="U1936" s="113">
        <f t="shared" si="2068"/>
        <v>29.072204920255349</v>
      </c>
      <c r="V1936">
        <f t="shared" ref="V1936:W1936" si="2085">V1912</f>
        <v>3.2</v>
      </c>
      <c r="W1936">
        <f t="shared" si="2085"/>
        <v>2.9</v>
      </c>
      <c r="X1936" s="9">
        <v>-26.3379542166665</v>
      </c>
      <c r="Y1936" s="39"/>
    </row>
    <row r="1937" spans="1:25" ht="15" thickBot="1">
      <c r="A1937" s="149">
        <f t="shared" si="2050"/>
        <v>45916.583333330622</v>
      </c>
      <c r="B1937" s="30">
        <f t="shared" si="2077"/>
        <v>8000</v>
      </c>
      <c r="C1937" s="8">
        <v>25000</v>
      </c>
      <c r="D1937" s="187">
        <v>0</v>
      </c>
      <c r="E1937" s="187">
        <v>700</v>
      </c>
      <c r="F1937" s="187">
        <v>15000</v>
      </c>
      <c r="G1937" s="30">
        <f t="shared" si="2078"/>
        <v>2400</v>
      </c>
      <c r="H1937" s="8">
        <v>25000</v>
      </c>
      <c r="I1937" s="30">
        <f t="shared" si="2079"/>
        <v>8000</v>
      </c>
      <c r="J1937" s="187">
        <v>40000</v>
      </c>
      <c r="K1937" s="30">
        <f t="shared" si="2080"/>
        <v>8000</v>
      </c>
      <c r="L1937" s="187">
        <v>40000</v>
      </c>
      <c r="M1937" s="110">
        <v>9.5</v>
      </c>
      <c r="N1937" s="9">
        <f>VLOOKUP(DATE(YEAR(A1937),MONTH(A1937),DAY(A1937)),FY24_Temp[],3,FALSE)</f>
        <v>15.49</v>
      </c>
      <c r="O1937" s="110">
        <f t="shared" si="2066"/>
        <v>11.5</v>
      </c>
      <c r="P1937" s="110">
        <f t="shared" si="2067"/>
        <v>19.5</v>
      </c>
      <c r="Q1937" s="79">
        <f>VLOOKUP(VLOOKUP(DATEVALUE(TEXT(A1937,"m/d/yyyy")),FY24_Temp[],5,FALSE)&amp;TEXT(A1937,"-h"),TempDelta[],4,FALSE)</f>
        <v>0.98585713761193416</v>
      </c>
      <c r="R1937">
        <v>10</v>
      </c>
      <c r="S1937" s="112">
        <v>1500</v>
      </c>
      <c r="T1937" s="5">
        <f>VLOOKUP(TEXT(A1937,"yy-mm")&amp;"-"&amp;IF(AND(WEEKDAY(A1937)&gt;1,WEEKDAY(A1937)&lt;7),"Wkd",TEXT(A1937,"Ddd"))&amp;"-"&amp;TEXT(A1937,"hh"),LoadTable[],3,FALSE)*0.92</f>
        <v>363.28132000000005</v>
      </c>
      <c r="U1937" s="113">
        <f t="shared" si="2068"/>
        <v>36.328132000000004</v>
      </c>
      <c r="V1937">
        <f t="shared" ref="V1937:W1937" si="2086">V1913</f>
        <v>3.5</v>
      </c>
      <c r="W1937">
        <f t="shared" si="2086"/>
        <v>2.9</v>
      </c>
      <c r="X1937" s="9">
        <v>-26.4157487666665</v>
      </c>
      <c r="Y1937" s="39"/>
    </row>
    <row r="1938" spans="1:25" ht="15" thickBot="1">
      <c r="A1938" s="149">
        <f t="shared" si="2050"/>
        <v>45916.624999997286</v>
      </c>
      <c r="B1938" s="30">
        <f t="shared" si="2077"/>
        <v>8000</v>
      </c>
      <c r="C1938" s="8">
        <v>25000</v>
      </c>
      <c r="D1938" s="187">
        <v>0</v>
      </c>
      <c r="E1938" s="187">
        <v>700</v>
      </c>
      <c r="F1938" s="187">
        <v>15000</v>
      </c>
      <c r="G1938" s="30">
        <f t="shared" si="2078"/>
        <v>2400</v>
      </c>
      <c r="H1938" s="8">
        <v>25000</v>
      </c>
      <c r="I1938" s="30">
        <f t="shared" si="2079"/>
        <v>8000</v>
      </c>
      <c r="J1938" s="187">
        <v>40000</v>
      </c>
      <c r="K1938" s="30">
        <f t="shared" si="2080"/>
        <v>8000</v>
      </c>
      <c r="L1938" s="187">
        <v>40000</v>
      </c>
      <c r="M1938" s="110">
        <v>9.5</v>
      </c>
      <c r="N1938" s="9">
        <f>VLOOKUP(DATE(YEAR(A1938),MONTH(A1938),DAY(A1938)),FY24_Temp[],3,FALSE)</f>
        <v>15.49</v>
      </c>
      <c r="O1938" s="110">
        <f t="shared" si="2066"/>
        <v>11.5</v>
      </c>
      <c r="P1938" s="110">
        <f t="shared" si="2067"/>
        <v>19.5</v>
      </c>
      <c r="Q1938" s="79">
        <f>VLOOKUP(VLOOKUP(DATEVALUE(TEXT(A1938,"m/d/yyyy")),FY24_Temp[],5,FALSE)&amp;TEXT(A1938,"-h"),TempDelta[],4,FALSE)</f>
        <v>0.49378571685935768</v>
      </c>
      <c r="R1938">
        <v>10</v>
      </c>
      <c r="S1938" s="112">
        <v>1500</v>
      </c>
      <c r="T1938" s="5">
        <f>VLOOKUP(TEXT(A1938,"yy-mm")&amp;"-"&amp;IF(AND(WEEKDAY(A1938)&gt;1,WEEKDAY(A1938)&lt;7),"Wkd",TEXT(A1938,"Ddd"))&amp;"-"&amp;TEXT(A1938,"hh"),LoadTable[],3,FALSE)*0.92</f>
        <v>570.3300004440199</v>
      </c>
      <c r="U1938" s="113">
        <f t="shared" si="2068"/>
        <v>57.033000044401987</v>
      </c>
      <c r="V1938">
        <f t="shared" ref="V1938:W1938" si="2087">V1914</f>
        <v>3.2</v>
      </c>
      <c r="W1938">
        <f t="shared" si="2087"/>
        <v>2.9</v>
      </c>
      <c r="X1938" s="9">
        <v>-26.4935433166665</v>
      </c>
      <c r="Y1938" s="39"/>
    </row>
    <row r="1939" spans="1:25" ht="15" thickBot="1">
      <c r="A1939" s="149">
        <f t="shared" si="2050"/>
        <v>45916.66666666395</v>
      </c>
      <c r="B1939" s="30">
        <f t="shared" si="2077"/>
        <v>8000</v>
      </c>
      <c r="C1939" s="8">
        <v>25000</v>
      </c>
      <c r="D1939" s="187">
        <v>0</v>
      </c>
      <c r="E1939" s="187">
        <v>700</v>
      </c>
      <c r="F1939" s="187">
        <v>15000</v>
      </c>
      <c r="G1939" s="30">
        <f t="shared" si="2078"/>
        <v>2400</v>
      </c>
      <c r="H1939" s="8">
        <v>25000</v>
      </c>
      <c r="I1939" s="30">
        <f t="shared" si="2079"/>
        <v>8000</v>
      </c>
      <c r="J1939" s="187">
        <v>40000</v>
      </c>
      <c r="K1939" s="30">
        <f t="shared" si="2080"/>
        <v>8000</v>
      </c>
      <c r="L1939" s="187">
        <v>40000</v>
      </c>
      <c r="M1939" s="110">
        <v>9.5</v>
      </c>
      <c r="N1939" s="9">
        <f>VLOOKUP(DATE(YEAR(A1939),MONTH(A1939),DAY(A1939)),FY24_Temp[],3,FALSE)</f>
        <v>15.49</v>
      </c>
      <c r="O1939" s="110">
        <f t="shared" si="2066"/>
        <v>11.5</v>
      </c>
      <c r="P1939" s="110">
        <f t="shared" si="2067"/>
        <v>19.5</v>
      </c>
      <c r="Q1939" s="79">
        <f>VLOOKUP(VLOOKUP(DATEVALUE(TEXT(A1939,"m/d/yyyy")),FY24_Temp[],5,FALSE)&amp;TEXT(A1939,"-h"),TempDelta[],4,FALSE)</f>
        <v>0.57192856445908546</v>
      </c>
      <c r="R1939">
        <v>10</v>
      </c>
      <c r="S1939" s="112">
        <v>1500</v>
      </c>
      <c r="T1939" s="5">
        <f>VLOOKUP(TEXT(A1939,"yy-mm")&amp;"-"&amp;IF(AND(WEEKDAY(A1939)&gt;1,WEEKDAY(A1939)&lt;7),"Wkd",TEXT(A1939,"Ddd"))&amp;"-"&amp;TEXT(A1939,"hh"),LoadTable[],3,FALSE)*0.92</f>
        <v>602.16876690131596</v>
      </c>
      <c r="U1939" s="113">
        <f t="shared" si="2068"/>
        <v>60.216876690131599</v>
      </c>
      <c r="V1939">
        <f t="shared" ref="V1939:W1939" si="2088">V1915</f>
        <v>3.5</v>
      </c>
      <c r="W1939">
        <f t="shared" si="2088"/>
        <v>3</v>
      </c>
      <c r="X1939" s="9">
        <v>-26.5713378666665</v>
      </c>
      <c r="Y1939" s="39"/>
    </row>
    <row r="1940" spans="1:25" ht="15" thickBot="1">
      <c r="A1940" s="149">
        <f t="shared" si="2050"/>
        <v>45916.708333330615</v>
      </c>
      <c r="B1940" s="30">
        <f t="shared" si="2077"/>
        <v>8000</v>
      </c>
      <c r="C1940" s="8">
        <v>25000</v>
      </c>
      <c r="D1940" s="187">
        <v>0</v>
      </c>
      <c r="E1940" s="187">
        <v>700</v>
      </c>
      <c r="F1940" s="187">
        <v>15000</v>
      </c>
      <c r="G1940" s="30">
        <f t="shared" si="2078"/>
        <v>2400</v>
      </c>
      <c r="H1940" s="8">
        <v>25000</v>
      </c>
      <c r="I1940" s="30">
        <f t="shared" si="2079"/>
        <v>8000</v>
      </c>
      <c r="J1940" s="187">
        <v>40000</v>
      </c>
      <c r="K1940" s="30">
        <f t="shared" si="2080"/>
        <v>8000</v>
      </c>
      <c r="L1940" s="187">
        <v>40000</v>
      </c>
      <c r="M1940" s="110">
        <v>9.5</v>
      </c>
      <c r="N1940" s="9">
        <f>VLOOKUP(DATE(YEAR(A1940),MONTH(A1940),DAY(A1940)),FY24_Temp[],3,FALSE)</f>
        <v>15.49</v>
      </c>
      <c r="O1940" s="110">
        <f t="shared" si="2066"/>
        <v>11.5</v>
      </c>
      <c r="P1940" s="110">
        <f t="shared" si="2067"/>
        <v>19.5</v>
      </c>
      <c r="Q1940" s="79">
        <f>VLOOKUP(VLOOKUP(DATEVALUE(TEXT(A1940,"m/d/yyyy")),FY24_Temp[],5,FALSE)&amp;TEXT(A1940,"-h"),TempDelta[],4,FALSE)</f>
        <v>0.84400000103882378</v>
      </c>
      <c r="R1940">
        <v>10</v>
      </c>
      <c r="S1940" s="112">
        <v>1500</v>
      </c>
      <c r="T1940" s="5">
        <f>VLOOKUP(TEXT(A1940,"yy-mm")&amp;"-"&amp;IF(AND(WEEKDAY(A1940)&gt;1,WEEKDAY(A1940)&lt;7),"Wkd",TEXT(A1940,"Ddd"))&amp;"-"&amp;TEXT(A1940,"hh"),LoadTable[],3,FALSE)*0.92</f>
        <v>602.16876690131596</v>
      </c>
      <c r="U1940" s="113">
        <f t="shared" si="2068"/>
        <v>60.216876690131599</v>
      </c>
      <c r="V1940">
        <f t="shared" ref="V1940:W1940" si="2089">V1916</f>
        <v>3.6</v>
      </c>
      <c r="W1940">
        <f t="shared" si="2089"/>
        <v>3</v>
      </c>
      <c r="X1940" s="9">
        <v>-26.6491324166665</v>
      </c>
      <c r="Y1940" s="39"/>
    </row>
    <row r="1941" spans="1:25" ht="15" thickBot="1">
      <c r="A1941" s="149">
        <f t="shared" si="2050"/>
        <v>45916.749999997279</v>
      </c>
      <c r="B1941" s="30">
        <f t="shared" si="2077"/>
        <v>5000</v>
      </c>
      <c r="C1941" s="8">
        <v>25000</v>
      </c>
      <c r="D1941" s="187">
        <v>0</v>
      </c>
      <c r="E1941" s="187">
        <v>700</v>
      </c>
      <c r="F1941" s="187">
        <v>15000</v>
      </c>
      <c r="G1941" s="30">
        <f t="shared" si="2078"/>
        <v>2400</v>
      </c>
      <c r="H1941" s="8">
        <v>25000</v>
      </c>
      <c r="I1941" s="30">
        <f t="shared" si="2079"/>
        <v>5000</v>
      </c>
      <c r="J1941" s="187">
        <v>40000</v>
      </c>
      <c r="K1941" s="30">
        <f t="shared" si="2080"/>
        <v>5000</v>
      </c>
      <c r="L1941" s="187">
        <v>40000</v>
      </c>
      <c r="M1941" s="110">
        <v>9.5</v>
      </c>
      <c r="N1941" s="9">
        <f>VLOOKUP(DATE(YEAR(A1941),MONTH(A1941),DAY(A1941)),FY24_Temp[],3,FALSE)</f>
        <v>15.49</v>
      </c>
      <c r="O1941" s="110">
        <f t="shared" si="2066"/>
        <v>11.5</v>
      </c>
      <c r="P1941" s="110">
        <f t="shared" si="2067"/>
        <v>19.5</v>
      </c>
      <c r="Q1941" s="79">
        <f>VLOOKUP(VLOOKUP(DATEVALUE(TEXT(A1941,"m/d/yyyy")),FY24_Temp[],5,FALSE)&amp;TEXT(A1941,"-h"),TempDelta[],4,FALSE)</f>
        <v>1.1615714260510035</v>
      </c>
      <c r="R1941">
        <v>10</v>
      </c>
      <c r="S1941" s="112">
        <v>1500</v>
      </c>
      <c r="T1941" s="5">
        <f>VLOOKUP(TEXT(A1941,"yy-mm")&amp;"-"&amp;IF(AND(WEEKDAY(A1941)&gt;1,WEEKDAY(A1941)&lt;7),"Wkd",TEXT(A1941,"Ddd"))&amp;"-"&amp;TEXT(A1941,"hh"),LoadTable[],3,FALSE)*0.92</f>
        <v>602.16876690131596</v>
      </c>
      <c r="U1941" s="113">
        <f t="shared" si="2068"/>
        <v>60.216876690131599</v>
      </c>
      <c r="V1941">
        <f t="shared" ref="V1941:W1941" si="2090">V1917</f>
        <v>2.9</v>
      </c>
      <c r="W1941">
        <f t="shared" si="2090"/>
        <v>3</v>
      </c>
      <c r="X1941" s="9">
        <v>-26.7269269666665</v>
      </c>
      <c r="Y1941" s="39"/>
    </row>
    <row r="1942" spans="1:25" ht="15" thickBot="1">
      <c r="A1942" s="149">
        <f t="shared" si="2050"/>
        <v>45916.791666663943</v>
      </c>
      <c r="B1942" s="30">
        <f t="shared" si="2077"/>
        <v>5000</v>
      </c>
      <c r="C1942" s="8">
        <v>25000</v>
      </c>
      <c r="D1942" s="187">
        <v>0</v>
      </c>
      <c r="E1942" s="187">
        <v>700</v>
      </c>
      <c r="F1942" s="187">
        <v>15000</v>
      </c>
      <c r="G1942" s="30">
        <f t="shared" si="2078"/>
        <v>2400</v>
      </c>
      <c r="H1942" s="8">
        <v>25000</v>
      </c>
      <c r="I1942" s="30">
        <f t="shared" si="2079"/>
        <v>5000</v>
      </c>
      <c r="J1942" s="187">
        <v>40000</v>
      </c>
      <c r="K1942" s="30">
        <f t="shared" si="2080"/>
        <v>5000</v>
      </c>
      <c r="L1942" s="187">
        <v>40000</v>
      </c>
      <c r="M1942" s="110">
        <v>9.5</v>
      </c>
      <c r="N1942" s="9">
        <f>VLOOKUP(DATE(YEAR(A1942),MONTH(A1942),DAY(A1942)),FY24_Temp[],3,FALSE)</f>
        <v>15.49</v>
      </c>
      <c r="O1942" s="110">
        <f t="shared" si="2066"/>
        <v>11.5</v>
      </c>
      <c r="P1942" s="110">
        <f t="shared" si="2067"/>
        <v>19.5</v>
      </c>
      <c r="Q1942" s="79">
        <f>VLOOKUP(VLOOKUP(DATEVALUE(TEXT(A1942,"m/d/yyyy")),FY24_Temp[],5,FALSE)&amp;TEXT(A1942,"-h"),TempDelta[],4,FALSE)</f>
        <v>1.2906428532941001</v>
      </c>
      <c r="R1942">
        <v>10</v>
      </c>
      <c r="S1942" s="112">
        <v>1500</v>
      </c>
      <c r="T1942" s="5">
        <f>VLOOKUP(TEXT(A1942,"yy-mm")&amp;"-"&amp;IF(AND(WEEKDAY(A1942)&gt;1,WEEKDAY(A1942)&lt;7),"Wkd",TEXT(A1942,"Ddd"))&amp;"-"&amp;TEXT(A1942,"hh"),LoadTable[],3,FALSE)*0.92</f>
        <v>600.14662419619219</v>
      </c>
      <c r="U1942" s="113">
        <f t="shared" si="2068"/>
        <v>60.014662419619221</v>
      </c>
      <c r="V1942">
        <f t="shared" ref="V1942:W1942" si="2091">V1918</f>
        <v>3</v>
      </c>
      <c r="W1942">
        <f t="shared" si="2091"/>
        <v>3</v>
      </c>
      <c r="X1942" s="9">
        <v>-26.8047215166665</v>
      </c>
      <c r="Y1942" s="39"/>
    </row>
    <row r="1943" spans="1:25" ht="15" thickBot="1">
      <c r="A1943" s="149">
        <f t="shared" si="2050"/>
        <v>45916.833333330607</v>
      </c>
      <c r="B1943" s="30">
        <f t="shared" si="2077"/>
        <v>5000</v>
      </c>
      <c r="C1943" s="8">
        <v>25000</v>
      </c>
      <c r="D1943" s="187">
        <v>0</v>
      </c>
      <c r="E1943" s="187">
        <v>700</v>
      </c>
      <c r="F1943" s="187">
        <v>15000</v>
      </c>
      <c r="G1943" s="30">
        <f t="shared" si="2078"/>
        <v>2400</v>
      </c>
      <c r="H1943" s="8">
        <v>25000</v>
      </c>
      <c r="I1943" s="30">
        <f t="shared" si="2079"/>
        <v>5000</v>
      </c>
      <c r="J1943" s="187">
        <v>40000</v>
      </c>
      <c r="K1943" s="30">
        <f t="shared" si="2080"/>
        <v>5000</v>
      </c>
      <c r="L1943" s="187">
        <v>40000</v>
      </c>
      <c r="M1943" s="110">
        <v>9.5</v>
      </c>
      <c r="N1943" s="9">
        <f>VLOOKUP(DATE(YEAR(A1943),MONTH(A1943),DAY(A1943)),FY24_Temp[],3,FALSE)</f>
        <v>15.49</v>
      </c>
      <c r="O1943" s="110">
        <f t="shared" si="2066"/>
        <v>11.5</v>
      </c>
      <c r="P1943" s="110">
        <f t="shared" si="2067"/>
        <v>19.5</v>
      </c>
      <c r="Q1943" s="79">
        <f>VLOOKUP(VLOOKUP(DATEVALUE(TEXT(A1943,"m/d/yyyy")),FY24_Temp[],5,FALSE)&amp;TEXT(A1943,"-h"),TempDelta[],4,FALSE)</f>
        <v>1.3774285869938987</v>
      </c>
      <c r="R1943">
        <v>10</v>
      </c>
      <c r="S1943" s="112">
        <v>1500</v>
      </c>
      <c r="T1943" s="5">
        <f>VLOOKUP(TEXT(A1943,"yy-mm")&amp;"-"&amp;IF(AND(WEEKDAY(A1943)&gt;1,WEEKDAY(A1943)&lt;7),"Wkd",TEXT(A1943,"Ddd"))&amp;"-"&amp;TEXT(A1943,"hh"),LoadTable[],3,FALSE)*0.92</f>
        <v>600.14662419619219</v>
      </c>
      <c r="U1943" s="113">
        <f t="shared" si="2068"/>
        <v>60.014662419619221</v>
      </c>
      <c r="V1943">
        <f t="shared" ref="V1943:W1943" si="2092">V1919</f>
        <v>2.8</v>
      </c>
      <c r="W1943">
        <f t="shared" si="2092"/>
        <v>3.1</v>
      </c>
      <c r="X1943" s="9">
        <v>-26.882516066666501</v>
      </c>
      <c r="Y1943" s="39"/>
    </row>
    <row r="1944" spans="1:25" ht="15" thickBot="1">
      <c r="A1944" s="149">
        <f t="shared" si="2050"/>
        <v>45916.874999997272</v>
      </c>
      <c r="B1944" s="30">
        <f t="shared" si="2077"/>
        <v>5000</v>
      </c>
      <c r="C1944" s="8">
        <v>25000</v>
      </c>
      <c r="D1944" s="187">
        <v>0</v>
      </c>
      <c r="E1944" s="187">
        <v>700</v>
      </c>
      <c r="F1944" s="187">
        <v>15000</v>
      </c>
      <c r="G1944" s="30">
        <f t="shared" si="2078"/>
        <v>2400</v>
      </c>
      <c r="H1944" s="8">
        <v>25000</v>
      </c>
      <c r="I1944" s="30">
        <f t="shared" si="2079"/>
        <v>5000</v>
      </c>
      <c r="J1944" s="187">
        <v>40000</v>
      </c>
      <c r="K1944" s="30">
        <f t="shared" si="2080"/>
        <v>5000</v>
      </c>
      <c r="L1944" s="187">
        <v>40000</v>
      </c>
      <c r="M1944" s="110">
        <v>9.5</v>
      </c>
      <c r="N1944" s="9">
        <f>VLOOKUP(DATE(YEAR(A1944),MONTH(A1944),DAY(A1944)),FY24_Temp[],3,FALSE)</f>
        <v>15.49</v>
      </c>
      <c r="O1944" s="110">
        <f t="shared" si="2066"/>
        <v>11.5</v>
      </c>
      <c r="P1944" s="110">
        <f t="shared" si="2067"/>
        <v>19.5</v>
      </c>
      <c r="Q1944" s="79">
        <f>VLOOKUP(VLOOKUP(DATEVALUE(TEXT(A1944,"m/d/yyyy")),FY24_Temp[],5,FALSE)&amp;TEXT(A1944,"-h"),TempDelta[],4,FALSE)</f>
        <v>1.3976428466183799</v>
      </c>
      <c r="R1944">
        <v>10</v>
      </c>
      <c r="S1944" s="112">
        <v>1500</v>
      </c>
      <c r="T1944" s="5">
        <f>VLOOKUP(TEXT(A1944,"yy-mm")&amp;"-"&amp;IF(AND(WEEKDAY(A1944)&gt;1,WEEKDAY(A1944)&lt;7),"Wkd",TEXT(A1944,"Ddd"))&amp;"-"&amp;TEXT(A1944,"hh"),LoadTable[],3,FALSE)*0.92</f>
        <v>523.94879142973434</v>
      </c>
      <c r="U1944" s="113">
        <f t="shared" si="2068"/>
        <v>52.394879142973437</v>
      </c>
      <c r="V1944">
        <f t="shared" ref="V1944:W1944" si="2093">V1920</f>
        <v>3.5</v>
      </c>
      <c r="W1944">
        <f t="shared" si="2093"/>
        <v>3.1</v>
      </c>
      <c r="X1944" s="9">
        <v>-26.960310616666501</v>
      </c>
      <c r="Y1944" s="39"/>
    </row>
    <row r="1945" spans="1:25" ht="15" thickBot="1">
      <c r="A1945" s="149">
        <f t="shared" si="2050"/>
        <v>45916.916666663936</v>
      </c>
      <c r="B1945" s="30">
        <f t="shared" si="2077"/>
        <v>5000</v>
      </c>
      <c r="C1945" s="8">
        <v>25000</v>
      </c>
      <c r="D1945" s="187">
        <v>0</v>
      </c>
      <c r="E1945" s="187">
        <v>700</v>
      </c>
      <c r="F1945" s="187">
        <v>15000</v>
      </c>
      <c r="G1945" s="30">
        <f t="shared" si="2078"/>
        <v>2400</v>
      </c>
      <c r="H1945" s="8">
        <v>25000</v>
      </c>
      <c r="I1945" s="30">
        <f t="shared" si="2079"/>
        <v>5000</v>
      </c>
      <c r="J1945" s="187">
        <v>40000</v>
      </c>
      <c r="K1945" s="30">
        <f t="shared" si="2080"/>
        <v>5000</v>
      </c>
      <c r="L1945" s="187">
        <v>40000</v>
      </c>
      <c r="M1945" s="110">
        <v>9.5</v>
      </c>
      <c r="N1945" s="9">
        <f>VLOOKUP(DATE(YEAR(A1945),MONTH(A1945),DAY(A1945)),FY24_Temp[],3,FALSE)</f>
        <v>15.49</v>
      </c>
      <c r="O1945" s="110">
        <f t="shared" si="2066"/>
        <v>11.5</v>
      </c>
      <c r="P1945" s="110">
        <f t="shared" si="2067"/>
        <v>19.5</v>
      </c>
      <c r="Q1945" s="79">
        <f>VLOOKUP(VLOOKUP(DATEVALUE(TEXT(A1945,"m/d/yyyy")),FY24_Temp[],5,FALSE)&amp;TEXT(A1945,"-h"),TempDelta[],4,FALSE)</f>
        <v>1.873142855507987</v>
      </c>
      <c r="R1945">
        <v>10</v>
      </c>
      <c r="S1945" s="112">
        <v>1500</v>
      </c>
      <c r="T1945" s="5">
        <f>VLOOKUP(TEXT(A1945,"yy-mm")&amp;"-"&amp;IF(AND(WEEKDAY(A1945)&gt;1,WEEKDAY(A1945)&lt;7),"Wkd",TEXT(A1945,"Ddd"))&amp;"-"&amp;TEXT(A1945,"hh"),LoadTable[],3,FALSE)*0.92</f>
        <v>421.91858468239752</v>
      </c>
      <c r="U1945" s="113">
        <f t="shared" si="2068"/>
        <v>42.191858468239751</v>
      </c>
      <c r="V1945">
        <f t="shared" ref="V1945:W1945" si="2094">V1921</f>
        <v>2.9</v>
      </c>
      <c r="W1945">
        <f t="shared" si="2094"/>
        <v>3.1</v>
      </c>
      <c r="X1945" s="9">
        <v>-27.038105166666501</v>
      </c>
      <c r="Y1945" s="39"/>
    </row>
    <row r="1946" spans="1:25" ht="15" thickBot="1">
      <c r="A1946" s="149">
        <f t="shared" si="2050"/>
        <v>45916.9583333306</v>
      </c>
      <c r="B1946" s="30">
        <f t="shared" si="2077"/>
        <v>5000</v>
      </c>
      <c r="C1946" s="8">
        <v>25000</v>
      </c>
      <c r="D1946" s="187">
        <v>0</v>
      </c>
      <c r="E1946" s="187">
        <v>700</v>
      </c>
      <c r="F1946" s="187">
        <v>15000</v>
      </c>
      <c r="G1946" s="30">
        <f t="shared" si="2078"/>
        <v>2400</v>
      </c>
      <c r="H1946" s="8">
        <v>25000</v>
      </c>
      <c r="I1946" s="30">
        <f t="shared" si="2079"/>
        <v>5000</v>
      </c>
      <c r="J1946" s="187">
        <v>40000</v>
      </c>
      <c r="K1946" s="30">
        <f t="shared" si="2080"/>
        <v>5000</v>
      </c>
      <c r="L1946" s="187">
        <v>40000</v>
      </c>
      <c r="M1946" s="110">
        <v>9.5</v>
      </c>
      <c r="N1946" s="9">
        <f>VLOOKUP(DATE(YEAR(A1946),MONTH(A1946),DAY(A1946)),FY24_Temp[],3,FALSE)</f>
        <v>15.49</v>
      </c>
      <c r="O1946" s="110">
        <f t="shared" si="2066"/>
        <v>11.5</v>
      </c>
      <c r="P1946" s="110">
        <f t="shared" si="2067"/>
        <v>19.5</v>
      </c>
      <c r="Q1946" s="79">
        <f>VLOOKUP(VLOOKUP(DATEVALUE(TEXT(A1946,"m/d/yyyy")),FY24_Temp[],5,FALSE)&amp;TEXT(A1946,"-h"),TempDelta[],4,FALSE)</f>
        <v>2.0031428507396152</v>
      </c>
      <c r="R1946">
        <v>10</v>
      </c>
      <c r="S1946" s="112">
        <v>1500</v>
      </c>
      <c r="T1946" s="5">
        <f>VLOOKUP(TEXT(A1946,"yy-mm")&amp;"-"&amp;IF(AND(WEEKDAY(A1946)&gt;1,WEEKDAY(A1946)&lt;7),"Wkd",TEXT(A1946,"Ddd"))&amp;"-"&amp;TEXT(A1946,"hh"),LoadTable[],3,FALSE)*0.92</f>
        <v>289.33527113913209</v>
      </c>
      <c r="U1946" s="113">
        <f t="shared" si="2068"/>
        <v>28.933527113913208</v>
      </c>
      <c r="V1946">
        <f t="shared" ref="V1946:W1946" si="2095">V1922</f>
        <v>3.6</v>
      </c>
      <c r="W1946">
        <f t="shared" si="2095"/>
        <v>3.1</v>
      </c>
      <c r="X1946" s="9">
        <v>-27.115899716666501</v>
      </c>
      <c r="Y1946" s="39"/>
    </row>
    <row r="1947" spans="1:25" ht="15" thickBot="1">
      <c r="A1947" s="149">
        <f t="shared" si="2050"/>
        <v>45916.999999997264</v>
      </c>
      <c r="B1947" s="30">
        <f t="shared" si="2077"/>
        <v>5000</v>
      </c>
      <c r="C1947" s="8">
        <v>25000</v>
      </c>
      <c r="D1947" s="187">
        <v>0</v>
      </c>
      <c r="E1947" s="187">
        <v>700</v>
      </c>
      <c r="F1947" s="187">
        <v>15000</v>
      </c>
      <c r="G1947" s="30">
        <f t="shared" si="2078"/>
        <v>2400</v>
      </c>
      <c r="H1947" s="8">
        <v>25000</v>
      </c>
      <c r="I1947" s="30">
        <f t="shared" si="2079"/>
        <v>5000</v>
      </c>
      <c r="J1947" s="187">
        <v>40000</v>
      </c>
      <c r="K1947" s="30">
        <f t="shared" si="2080"/>
        <v>5000</v>
      </c>
      <c r="L1947" s="187">
        <v>40000</v>
      </c>
      <c r="M1947" s="110">
        <v>9.5</v>
      </c>
      <c r="N1947" s="9">
        <f>VLOOKUP(DATE(YEAR(A1947),MONTH(A1947),DAY(A1947)),FY24_Temp[],3,FALSE)</f>
        <v>15.49</v>
      </c>
      <c r="O1947" s="110">
        <f t="shared" si="2066"/>
        <v>11.5</v>
      </c>
      <c r="P1947" s="110">
        <f t="shared" si="2067"/>
        <v>19.5</v>
      </c>
      <c r="Q1947" s="79">
        <f>VLOOKUP(VLOOKUP(DATEVALUE(TEXT(A1947,"m/d/yyyy")),FY24_Temp[],5,FALSE)&amp;TEXT(A1947,"-h"),TempDelta[],4,FALSE)</f>
        <v>2.099285670689174</v>
      </c>
      <c r="R1947">
        <v>10</v>
      </c>
      <c r="S1947" s="112">
        <v>1500</v>
      </c>
      <c r="T1947" s="5">
        <f>VLOOKUP(TEXT(A1947,"yy-mm")&amp;"-"&amp;IF(AND(WEEKDAY(A1947)&gt;1,WEEKDAY(A1947)&lt;7),"Wkd",TEXT(A1947,"Ddd"))&amp;"-"&amp;TEXT(A1947,"hh"),LoadTable[],3,FALSE)*0.92</f>
        <v>289.0624787084426</v>
      </c>
      <c r="U1947" s="113">
        <f t="shared" si="2068"/>
        <v>28.906247870844261</v>
      </c>
      <c r="V1947">
        <f t="shared" ref="V1947:W1947" si="2096">V1923</f>
        <v>3</v>
      </c>
      <c r="W1947">
        <f t="shared" si="2096"/>
        <v>3.2</v>
      </c>
      <c r="X1947" s="9">
        <v>-27.193694266666501</v>
      </c>
      <c r="Y1947" s="39"/>
    </row>
    <row r="1948" spans="1:25" ht="15" thickBot="1">
      <c r="A1948" s="149">
        <f t="shared" si="2050"/>
        <v>45917.041666663928</v>
      </c>
      <c r="B1948" s="30">
        <f t="shared" si="2077"/>
        <v>5000</v>
      </c>
      <c r="C1948" s="8">
        <v>25000</v>
      </c>
      <c r="D1948" s="187">
        <v>0</v>
      </c>
      <c r="E1948" s="187">
        <v>700</v>
      </c>
      <c r="F1948" s="187">
        <v>15000</v>
      </c>
      <c r="G1948" s="30">
        <f t="shared" si="2078"/>
        <v>2400</v>
      </c>
      <c r="H1948" s="8">
        <v>25000</v>
      </c>
      <c r="I1948" s="30">
        <f t="shared" si="2079"/>
        <v>5000</v>
      </c>
      <c r="J1948" s="187">
        <v>40000</v>
      </c>
      <c r="K1948" s="30">
        <f t="shared" si="2080"/>
        <v>5000</v>
      </c>
      <c r="L1948" s="187">
        <v>40000</v>
      </c>
      <c r="M1948" s="110">
        <v>9.5</v>
      </c>
      <c r="N1948" s="9">
        <f>VLOOKUP(DATE(YEAR(A1948),MONTH(A1948),DAY(A1948)),FY24_Temp[],3,FALSE)</f>
        <v>15.49</v>
      </c>
      <c r="O1948" s="110">
        <f t="shared" si="2066"/>
        <v>11.5</v>
      </c>
      <c r="P1948" s="110">
        <f t="shared" si="2067"/>
        <v>19.5</v>
      </c>
      <c r="Q1948" s="79">
        <f>VLOOKUP(VLOOKUP(DATEVALUE(TEXT(A1948,"m/d/yyyy")),FY24_Temp[],5,FALSE)&amp;TEXT(A1948,"-h"),TempDelta[],4,FALSE)</f>
        <v>2.1752857140132358</v>
      </c>
      <c r="R1948">
        <v>10</v>
      </c>
      <c r="S1948" s="112">
        <v>1500</v>
      </c>
      <c r="T1948" s="5">
        <f>VLOOKUP(TEXT(A1948,"yy-mm")&amp;"-"&amp;IF(AND(WEEKDAY(A1948)&gt;1,WEEKDAY(A1948)&lt;7),"Wkd",TEXT(A1948,"Ddd"))&amp;"-"&amp;TEXT(A1948,"hh"),LoadTable[],3,FALSE)*0.92</f>
        <v>289.0624787084426</v>
      </c>
      <c r="U1948" s="113">
        <f t="shared" si="2068"/>
        <v>28.906247870844261</v>
      </c>
      <c r="V1948">
        <f t="shared" ref="V1948:W1948" si="2097">V1924</f>
        <v>2.6</v>
      </c>
      <c r="W1948">
        <f t="shared" si="2097"/>
        <v>3.2</v>
      </c>
      <c r="X1948" s="9">
        <v>-27.271488816666501</v>
      </c>
      <c r="Y1948" s="39"/>
    </row>
    <row r="1949" spans="1:25" ht="15" thickBot="1">
      <c r="A1949" s="149">
        <f t="shared" si="2050"/>
        <v>45917.083333330593</v>
      </c>
      <c r="B1949" s="30">
        <f t="shared" si="2077"/>
        <v>5000</v>
      </c>
      <c r="C1949" s="8">
        <v>25000</v>
      </c>
      <c r="D1949" s="187">
        <v>0</v>
      </c>
      <c r="E1949" s="187">
        <v>700</v>
      </c>
      <c r="F1949" s="187">
        <v>15000</v>
      </c>
      <c r="G1949" s="30">
        <f t="shared" si="2078"/>
        <v>2400</v>
      </c>
      <c r="H1949" s="8">
        <v>25000</v>
      </c>
      <c r="I1949" s="30">
        <f t="shared" si="2079"/>
        <v>5000</v>
      </c>
      <c r="J1949" s="187">
        <v>40000</v>
      </c>
      <c r="K1949" s="30">
        <f t="shared" si="2080"/>
        <v>5000</v>
      </c>
      <c r="L1949" s="187">
        <v>40000</v>
      </c>
      <c r="M1949" s="110">
        <v>9.5</v>
      </c>
      <c r="N1949" s="9">
        <f>VLOOKUP(DATE(YEAR(A1949),MONTH(A1949),DAY(A1949)),FY24_Temp[],3,FALSE)</f>
        <v>15.49</v>
      </c>
      <c r="O1949" s="110">
        <f t="shared" si="2066"/>
        <v>11.5</v>
      </c>
      <c r="P1949" s="110">
        <f t="shared" si="2067"/>
        <v>19.5</v>
      </c>
      <c r="Q1949" s="79">
        <f>VLOOKUP(VLOOKUP(DATEVALUE(TEXT(A1949,"m/d/yyyy")),FY24_Temp[],5,FALSE)&amp;TEXT(A1949,"-h"),TempDelta[],4,FALSE)</f>
        <v>2.2037143026079451</v>
      </c>
      <c r="R1949">
        <v>10</v>
      </c>
      <c r="S1949" s="112">
        <v>1500</v>
      </c>
      <c r="T1949" s="5">
        <f>VLOOKUP(TEXT(A1949,"yy-mm")&amp;"-"&amp;IF(AND(WEEKDAY(A1949)&gt;1,WEEKDAY(A1949)&lt;7),"Wkd",TEXT(A1949,"Ddd"))&amp;"-"&amp;TEXT(A1949,"hh"),LoadTable[],3,FALSE)*0.92</f>
        <v>289.0624787084426</v>
      </c>
      <c r="U1949" s="113">
        <f t="shared" si="2068"/>
        <v>28.906247870844261</v>
      </c>
      <c r="V1949">
        <f t="shared" ref="V1949:W1949" si="2098">V1925</f>
        <v>2.8</v>
      </c>
      <c r="W1949">
        <f t="shared" si="2098"/>
        <v>3.2</v>
      </c>
      <c r="X1949" s="9">
        <v>-27.349283366666501</v>
      </c>
      <c r="Y1949" s="39"/>
    </row>
    <row r="1950" spans="1:25" ht="15" thickBot="1">
      <c r="A1950" s="149">
        <f t="shared" si="2050"/>
        <v>45917.124999997257</v>
      </c>
      <c r="B1950" s="30">
        <f t="shared" si="2077"/>
        <v>5000</v>
      </c>
      <c r="C1950" s="8">
        <v>25000</v>
      </c>
      <c r="D1950" s="187">
        <v>0</v>
      </c>
      <c r="E1950" s="187">
        <v>700</v>
      </c>
      <c r="F1950" s="187">
        <v>15000</v>
      </c>
      <c r="G1950" s="30">
        <f t="shared" si="2078"/>
        <v>2400</v>
      </c>
      <c r="H1950" s="8">
        <v>25000</v>
      </c>
      <c r="I1950" s="30">
        <f t="shared" si="2079"/>
        <v>5000</v>
      </c>
      <c r="J1950" s="187">
        <v>40000</v>
      </c>
      <c r="K1950" s="30">
        <f t="shared" si="2080"/>
        <v>5000</v>
      </c>
      <c r="L1950" s="187">
        <v>40000</v>
      </c>
      <c r="M1950" s="110">
        <v>9.5</v>
      </c>
      <c r="N1950" s="9">
        <f>VLOOKUP(DATE(YEAR(A1950),MONTH(A1950),DAY(A1950)),FY24_Temp[],3,FALSE)</f>
        <v>15.49</v>
      </c>
      <c r="O1950" s="110">
        <f t="shared" si="2066"/>
        <v>11.5</v>
      </c>
      <c r="P1950" s="110">
        <f t="shared" si="2067"/>
        <v>19.5</v>
      </c>
      <c r="Q1950" s="79">
        <f>VLOOKUP(VLOOKUP(DATEVALUE(TEXT(A1950,"m/d/yyyy")),FY24_Temp[],5,FALSE)&amp;TEXT(A1950,"-h"),TempDelta[],4,FALSE)</f>
        <v>2.2029999664851596</v>
      </c>
      <c r="R1950">
        <v>10</v>
      </c>
      <c r="S1950" s="112">
        <v>1500</v>
      </c>
      <c r="T1950" s="5">
        <f>VLOOKUP(TEXT(A1950,"yy-mm")&amp;"-"&amp;IF(AND(WEEKDAY(A1950)&gt;1,WEEKDAY(A1950)&lt;7),"Wkd",TEXT(A1950,"Ddd"))&amp;"-"&amp;TEXT(A1950,"hh"),LoadTable[],3,FALSE)*0.92</f>
        <v>289.05894152419745</v>
      </c>
      <c r="U1950" s="113">
        <f t="shared" si="2068"/>
        <v>28.905894152419744</v>
      </c>
      <c r="V1950">
        <f t="shared" ref="V1950:W1950" si="2099">V1926</f>
        <v>2.7</v>
      </c>
      <c r="W1950">
        <f t="shared" si="2099"/>
        <v>3.2</v>
      </c>
      <c r="X1950" s="9">
        <v>-27.427077916666502</v>
      </c>
      <c r="Y1950" s="39"/>
    </row>
    <row r="1951" spans="1:25" ht="15" thickBot="1">
      <c r="A1951" s="149">
        <f t="shared" si="2050"/>
        <v>45917.166666663921</v>
      </c>
      <c r="B1951" s="30">
        <f t="shared" si="2077"/>
        <v>5000</v>
      </c>
      <c r="C1951" s="8">
        <v>25000</v>
      </c>
      <c r="D1951" s="187">
        <v>0</v>
      </c>
      <c r="E1951" s="187">
        <v>700</v>
      </c>
      <c r="F1951" s="187">
        <v>15000</v>
      </c>
      <c r="G1951" s="30">
        <f t="shared" si="2078"/>
        <v>2400</v>
      </c>
      <c r="H1951" s="8">
        <v>25000</v>
      </c>
      <c r="I1951" s="30">
        <f t="shared" si="2079"/>
        <v>5000</v>
      </c>
      <c r="J1951" s="187">
        <v>40000</v>
      </c>
      <c r="K1951" s="30">
        <f t="shared" si="2080"/>
        <v>5000</v>
      </c>
      <c r="L1951" s="187">
        <v>40000</v>
      </c>
      <c r="M1951" s="110">
        <v>9.5</v>
      </c>
      <c r="N1951" s="9">
        <f>VLOOKUP(DATE(YEAR(A1951),MONTH(A1951),DAY(A1951)),FY24_Temp[],3,FALSE)</f>
        <v>15.49</v>
      </c>
      <c r="O1951" s="110">
        <f t="shared" si="2066"/>
        <v>11.5</v>
      </c>
      <c r="P1951" s="110">
        <f t="shared" si="2067"/>
        <v>19.5</v>
      </c>
      <c r="Q1951" s="79">
        <f>VLOOKUP(VLOOKUP(DATEVALUE(TEXT(A1951,"m/d/yyyy")),FY24_Temp[],5,FALSE)&amp;TEXT(A1951,"-h"),TempDelta[],4,FALSE)</f>
        <v>2.2338571548461914</v>
      </c>
      <c r="R1951">
        <v>10</v>
      </c>
      <c r="S1951" s="112">
        <v>1500</v>
      </c>
      <c r="T1951" s="5">
        <f>VLOOKUP(TEXT(A1951,"yy-mm")&amp;"-"&amp;IF(AND(WEEKDAY(A1951)&gt;1,WEEKDAY(A1951)&lt;7),"Wkd",TEXT(A1951,"Ddd"))&amp;"-"&amp;TEXT(A1951,"hh"),LoadTable[],3,FALSE)*0.92</f>
        <v>289.05894152419745</v>
      </c>
      <c r="U1951" s="113">
        <f t="shared" si="2068"/>
        <v>28.905894152419744</v>
      </c>
      <c r="V1951">
        <f t="shared" ref="V1951:W1951" si="2100">V1927</f>
        <v>3</v>
      </c>
      <c r="W1951">
        <f t="shared" si="2100"/>
        <v>3.1</v>
      </c>
      <c r="X1951" s="9">
        <v>-27.504872466666502</v>
      </c>
      <c r="Y1951" s="39"/>
    </row>
    <row r="1952" spans="1:25" ht="15" thickBot="1">
      <c r="A1952" s="149">
        <f t="shared" si="2050"/>
        <v>45917.208333330585</v>
      </c>
      <c r="B1952" s="30">
        <f t="shared" si="2077"/>
        <v>5000</v>
      </c>
      <c r="C1952" s="8">
        <v>25000</v>
      </c>
      <c r="D1952" s="187">
        <v>0</v>
      </c>
      <c r="E1952" s="187">
        <v>700</v>
      </c>
      <c r="F1952" s="187">
        <v>15000</v>
      </c>
      <c r="G1952" s="30">
        <f t="shared" si="2078"/>
        <v>2400</v>
      </c>
      <c r="H1952" s="8">
        <v>25000</v>
      </c>
      <c r="I1952" s="30">
        <f t="shared" si="2079"/>
        <v>5000</v>
      </c>
      <c r="J1952" s="187">
        <v>40000</v>
      </c>
      <c r="K1952" s="30">
        <f t="shared" si="2080"/>
        <v>5000</v>
      </c>
      <c r="L1952" s="187">
        <v>40000</v>
      </c>
      <c r="M1952" s="110">
        <v>9.5</v>
      </c>
      <c r="N1952" s="9">
        <f>VLOOKUP(DATE(YEAR(A1952),MONTH(A1952),DAY(A1952)),FY24_Temp[],3,FALSE)</f>
        <v>15.49</v>
      </c>
      <c r="O1952" s="110">
        <f t="shared" si="2066"/>
        <v>11.5</v>
      </c>
      <c r="P1952" s="110">
        <f t="shared" si="2067"/>
        <v>19.5</v>
      </c>
      <c r="Q1952" s="79">
        <f>VLOOKUP(VLOOKUP(DATEVALUE(TEXT(A1952,"m/d/yyyy")),FY24_Temp[],5,FALSE)&amp;TEXT(A1952,"-h"),TempDelta[],4,FALSE)</f>
        <v>2.3308571066175188</v>
      </c>
      <c r="R1952">
        <v>10</v>
      </c>
      <c r="S1952" s="112">
        <v>1500</v>
      </c>
      <c r="T1952" s="5">
        <f>VLOOKUP(TEXT(A1952,"yy-mm")&amp;"-"&amp;IF(AND(WEEKDAY(A1952)&gt;1,WEEKDAY(A1952)&lt;7),"Wkd",TEXT(A1952,"Ddd"))&amp;"-"&amp;TEXT(A1952,"hh"),LoadTable[],3,FALSE)*0.92</f>
        <v>289.05894152419745</v>
      </c>
      <c r="U1952" s="113">
        <f t="shared" si="2068"/>
        <v>28.905894152419744</v>
      </c>
      <c r="V1952">
        <f t="shared" ref="V1952:W1952" si="2101">V1928</f>
        <v>2.9</v>
      </c>
      <c r="W1952">
        <f t="shared" si="2101"/>
        <v>3.1</v>
      </c>
      <c r="X1952" s="9">
        <v>-27.582667016666498</v>
      </c>
      <c r="Y1952" s="39"/>
    </row>
    <row r="1953" spans="1:25" ht="15" thickBot="1">
      <c r="A1953" s="149">
        <f t="shared" si="2050"/>
        <v>45917.24999999725</v>
      </c>
      <c r="B1953" s="30">
        <f t="shared" si="2077"/>
        <v>8000</v>
      </c>
      <c r="C1953" s="8">
        <v>25000</v>
      </c>
      <c r="D1953" s="187">
        <v>0</v>
      </c>
      <c r="E1953" s="187">
        <v>700</v>
      </c>
      <c r="F1953" s="187">
        <v>15000</v>
      </c>
      <c r="G1953" s="30">
        <f t="shared" si="2078"/>
        <v>2400</v>
      </c>
      <c r="H1953" s="8">
        <v>25000</v>
      </c>
      <c r="I1953" s="30">
        <f t="shared" si="2079"/>
        <v>8000</v>
      </c>
      <c r="J1953" s="187">
        <v>40000</v>
      </c>
      <c r="K1953" s="30">
        <f t="shared" si="2080"/>
        <v>8000</v>
      </c>
      <c r="L1953" s="187">
        <v>40000</v>
      </c>
      <c r="M1953" s="110">
        <v>9.5</v>
      </c>
      <c r="N1953" s="9">
        <f>VLOOKUP(DATE(YEAR(A1953),MONTH(A1953),DAY(A1953)),FY24_Temp[],3,FALSE)</f>
        <v>15.49</v>
      </c>
      <c r="O1953" s="110">
        <f t="shared" si="2066"/>
        <v>11.5</v>
      </c>
      <c r="P1953" s="110">
        <f t="shared" si="2067"/>
        <v>19.5</v>
      </c>
      <c r="Q1953" s="79">
        <f>VLOOKUP(VLOOKUP(DATEVALUE(TEXT(A1953,"m/d/yyyy")),FY24_Temp[],5,FALSE)&amp;TEXT(A1953,"-h"),TempDelta[],4,FALSE)</f>
        <v>2.2878571578434537</v>
      </c>
      <c r="R1953">
        <v>10</v>
      </c>
      <c r="S1953" s="112">
        <v>1500</v>
      </c>
      <c r="T1953" s="5">
        <f>VLOOKUP(TEXT(A1953,"yy-mm")&amp;"-"&amp;IF(AND(WEEKDAY(A1953)&gt;1,WEEKDAY(A1953)&lt;7),"Wkd",TEXT(A1953,"Ddd"))&amp;"-"&amp;TEXT(A1953,"hh"),LoadTable[],3,FALSE)*0.92</f>
        <v>291.12479999999999</v>
      </c>
      <c r="U1953" s="113">
        <f t="shared" si="2068"/>
        <v>29.112479999999998</v>
      </c>
      <c r="V1953">
        <f t="shared" ref="V1953:W1953" si="2102">V1929</f>
        <v>2.5</v>
      </c>
      <c r="W1953">
        <f t="shared" si="2102"/>
        <v>3.1</v>
      </c>
      <c r="X1953" s="9">
        <v>-27.660461566666498</v>
      </c>
      <c r="Y1953" s="39"/>
    </row>
    <row r="1954" spans="1:25" ht="15" thickBot="1">
      <c r="A1954" s="149">
        <f t="shared" si="2050"/>
        <v>45917.291666663914</v>
      </c>
      <c r="B1954" s="30">
        <f t="shared" si="2077"/>
        <v>8000</v>
      </c>
      <c r="C1954" s="8">
        <v>25000</v>
      </c>
      <c r="D1954" s="187">
        <v>0</v>
      </c>
      <c r="E1954" s="187">
        <v>700</v>
      </c>
      <c r="F1954" s="187">
        <v>15000</v>
      </c>
      <c r="G1954" s="30">
        <f t="shared" si="2078"/>
        <v>2400</v>
      </c>
      <c r="H1954" s="8">
        <v>25000</v>
      </c>
      <c r="I1954" s="30">
        <f t="shared" si="2079"/>
        <v>8000</v>
      </c>
      <c r="J1954" s="187">
        <v>40000</v>
      </c>
      <c r="K1954" s="30">
        <f t="shared" si="2080"/>
        <v>8000</v>
      </c>
      <c r="L1954" s="187">
        <v>40000</v>
      </c>
      <c r="M1954" s="110">
        <v>9.5</v>
      </c>
      <c r="N1954" s="9">
        <f>VLOOKUP(DATE(YEAR(A1954),MONTH(A1954),DAY(A1954)),FY24_Temp[],3,FALSE)</f>
        <v>15.49</v>
      </c>
      <c r="O1954" s="110">
        <f t="shared" si="2066"/>
        <v>11.5</v>
      </c>
      <c r="P1954" s="110">
        <f t="shared" si="2067"/>
        <v>19.5</v>
      </c>
      <c r="Q1954" s="79">
        <f>VLOOKUP(VLOOKUP(DATEVALUE(TEXT(A1954,"m/d/yyyy")),FY24_Temp[],5,FALSE)&amp;TEXT(A1954,"-h"),TempDelta[],4,FALSE)</f>
        <v>2.1535714353833879</v>
      </c>
      <c r="R1954">
        <v>10</v>
      </c>
      <c r="S1954" s="112">
        <v>1500</v>
      </c>
      <c r="T1954" s="5">
        <f>VLOOKUP(TEXT(A1954,"yy-mm")&amp;"-"&amp;IF(AND(WEEKDAY(A1954)&gt;1,WEEKDAY(A1954)&lt;7),"Wkd",TEXT(A1954,"Ddd"))&amp;"-"&amp;TEXT(A1954,"hh"),LoadTable[],3,FALSE)*0.92</f>
        <v>291.12479999999999</v>
      </c>
      <c r="U1954" s="113">
        <f t="shared" si="2068"/>
        <v>29.112479999999998</v>
      </c>
      <c r="V1954">
        <f t="shared" ref="V1954:W1954" si="2103">V1930</f>
        <v>2.5</v>
      </c>
      <c r="W1954">
        <f t="shared" si="2103"/>
        <v>3.1</v>
      </c>
      <c r="X1954" s="9">
        <v>-27.738256116666498</v>
      </c>
      <c r="Y1954" s="39"/>
    </row>
    <row r="1955" spans="1:25" ht="15" thickBot="1">
      <c r="A1955" s="149">
        <f t="shared" si="2050"/>
        <v>45917.333333330578</v>
      </c>
      <c r="B1955" s="30">
        <f t="shared" si="2077"/>
        <v>8000</v>
      </c>
      <c r="C1955" s="8">
        <v>25000</v>
      </c>
      <c r="D1955" s="187">
        <v>0</v>
      </c>
      <c r="E1955" s="187">
        <v>700</v>
      </c>
      <c r="F1955" s="187">
        <v>15000</v>
      </c>
      <c r="G1955" s="30">
        <f t="shared" si="2078"/>
        <v>2400</v>
      </c>
      <c r="H1955" s="8">
        <v>25000</v>
      </c>
      <c r="I1955" s="30">
        <f t="shared" si="2079"/>
        <v>8000</v>
      </c>
      <c r="J1955" s="187">
        <v>40000</v>
      </c>
      <c r="K1955" s="30">
        <f t="shared" si="2080"/>
        <v>8000</v>
      </c>
      <c r="L1955" s="187">
        <v>40000</v>
      </c>
      <c r="M1955" s="110">
        <v>9.5</v>
      </c>
      <c r="N1955" s="9">
        <f>VLOOKUP(DATE(YEAR(A1955),MONTH(A1955),DAY(A1955)),FY24_Temp[],3,FALSE)</f>
        <v>15.49</v>
      </c>
      <c r="O1955" s="110">
        <f t="shared" si="2066"/>
        <v>11.5</v>
      </c>
      <c r="P1955" s="110">
        <f t="shared" si="2067"/>
        <v>19.5</v>
      </c>
      <c r="Q1955" s="79">
        <f>VLOOKUP(VLOOKUP(DATEVALUE(TEXT(A1955,"m/d/yyyy")),FY24_Temp[],5,FALSE)&amp;TEXT(A1955,"-h"),TempDelta[],4,FALSE)</f>
        <v>1.9890000138963972</v>
      </c>
      <c r="R1955">
        <v>10</v>
      </c>
      <c r="S1955" s="112">
        <v>1500</v>
      </c>
      <c r="T1955" s="5">
        <f>VLOOKUP(TEXT(A1955,"yy-mm")&amp;"-"&amp;IF(AND(WEEKDAY(A1955)&gt;1,WEEKDAY(A1955)&lt;7),"Wkd",TEXT(A1955,"Ddd"))&amp;"-"&amp;TEXT(A1955,"hh"),LoadTable[],3,FALSE)*0.92</f>
        <v>291.12479999999999</v>
      </c>
      <c r="U1955" s="113">
        <f t="shared" si="2068"/>
        <v>29.112479999999998</v>
      </c>
      <c r="V1955">
        <f t="shared" ref="V1955:W1955" si="2104">V1931</f>
        <v>3.2</v>
      </c>
      <c r="W1955">
        <f t="shared" si="2104"/>
        <v>3</v>
      </c>
      <c r="X1955" s="9">
        <v>-27.816050666666499</v>
      </c>
      <c r="Y1955" s="39"/>
    </row>
    <row r="1956" spans="1:25" ht="15" thickBot="1">
      <c r="A1956" s="149">
        <f t="shared" si="2050"/>
        <v>45917.374999997242</v>
      </c>
      <c r="B1956" s="30">
        <f t="shared" si="2077"/>
        <v>8000</v>
      </c>
      <c r="C1956" s="8">
        <v>25000</v>
      </c>
      <c r="D1956" s="187">
        <v>0</v>
      </c>
      <c r="E1956" s="187">
        <v>700</v>
      </c>
      <c r="F1956" s="187">
        <v>15000</v>
      </c>
      <c r="G1956" s="30">
        <f t="shared" si="2078"/>
        <v>2400</v>
      </c>
      <c r="H1956" s="8">
        <v>25000</v>
      </c>
      <c r="I1956" s="30">
        <f t="shared" si="2079"/>
        <v>8000</v>
      </c>
      <c r="J1956" s="187">
        <v>40000</v>
      </c>
      <c r="K1956" s="30">
        <f t="shared" si="2080"/>
        <v>8000</v>
      </c>
      <c r="L1956" s="187">
        <v>40000</v>
      </c>
      <c r="M1956" s="110">
        <v>9.5</v>
      </c>
      <c r="N1956" s="9">
        <f>VLOOKUP(DATE(YEAR(A1956),MONTH(A1956),DAY(A1956)),FY24_Temp[],3,FALSE)</f>
        <v>15.49</v>
      </c>
      <c r="O1956" s="110">
        <f t="shared" si="2066"/>
        <v>11.5</v>
      </c>
      <c r="P1956" s="110">
        <f t="shared" si="2067"/>
        <v>19.5</v>
      </c>
      <c r="Q1956" s="79">
        <f>VLOOKUP(VLOOKUP(DATEVALUE(TEXT(A1956,"m/d/yyyy")),FY24_Temp[],5,FALSE)&amp;TEXT(A1956,"-h"),TempDelta[],4,FALSE)</f>
        <v>1.8358571359089442</v>
      </c>
      <c r="R1956">
        <v>10</v>
      </c>
      <c r="S1956" s="112">
        <v>1500</v>
      </c>
      <c r="T1956" s="5">
        <f>VLOOKUP(TEXT(A1956,"yy-mm")&amp;"-"&amp;IF(AND(WEEKDAY(A1956)&gt;1,WEEKDAY(A1956)&lt;7),"Wkd",TEXT(A1956,"Ddd"))&amp;"-"&amp;TEXT(A1956,"hh"),LoadTable[],3,FALSE)*0.92</f>
        <v>291.12479999999999</v>
      </c>
      <c r="U1956" s="113">
        <f t="shared" si="2068"/>
        <v>29.112479999999998</v>
      </c>
      <c r="V1956">
        <f t="shared" ref="V1956:W1956" si="2105">V1932</f>
        <v>2.9</v>
      </c>
      <c r="W1956">
        <f t="shared" si="2105"/>
        <v>3</v>
      </c>
      <c r="X1956" s="9">
        <v>-27.893845216666499</v>
      </c>
      <c r="Y1956" s="39"/>
    </row>
    <row r="1957" spans="1:25" ht="15" thickBot="1">
      <c r="A1957" s="149">
        <f t="shared" si="2050"/>
        <v>45917.416666663907</v>
      </c>
      <c r="B1957" s="30">
        <f t="shared" si="2077"/>
        <v>8000</v>
      </c>
      <c r="C1957" s="8">
        <v>25000</v>
      </c>
      <c r="D1957" s="187">
        <v>0</v>
      </c>
      <c r="E1957" s="187">
        <v>700</v>
      </c>
      <c r="F1957" s="187">
        <v>15000</v>
      </c>
      <c r="G1957" s="30">
        <f t="shared" si="2078"/>
        <v>2400</v>
      </c>
      <c r="H1957" s="8">
        <v>25000</v>
      </c>
      <c r="I1957" s="30">
        <f t="shared" si="2079"/>
        <v>8000</v>
      </c>
      <c r="J1957" s="187">
        <v>40000</v>
      </c>
      <c r="K1957" s="30">
        <f t="shared" si="2080"/>
        <v>8000</v>
      </c>
      <c r="L1957" s="187">
        <v>40000</v>
      </c>
      <c r="M1957" s="110">
        <v>9.5</v>
      </c>
      <c r="N1957" s="9">
        <f>VLOOKUP(DATE(YEAR(A1957),MONTH(A1957),DAY(A1957)),FY24_Temp[],3,FALSE)</f>
        <v>15.49</v>
      </c>
      <c r="O1957" s="110">
        <f t="shared" si="2066"/>
        <v>11.5</v>
      </c>
      <c r="P1957" s="110">
        <f t="shared" si="2067"/>
        <v>19.5</v>
      </c>
      <c r="Q1957" s="79">
        <f>VLOOKUP(VLOOKUP(DATEVALUE(TEXT(A1957,"m/d/yyyy")),FY24_Temp[],5,FALSE)&amp;TEXT(A1957,"-h"),TempDelta[],4,FALSE)</f>
        <v>1.6792856965746199</v>
      </c>
      <c r="R1957">
        <v>10</v>
      </c>
      <c r="S1957" s="112">
        <v>1500</v>
      </c>
      <c r="T1957" s="5">
        <f>VLOOKUP(TEXT(A1957,"yy-mm")&amp;"-"&amp;IF(AND(WEEKDAY(A1957)&gt;1,WEEKDAY(A1957)&lt;7),"Wkd",TEXT(A1957,"Ddd"))&amp;"-"&amp;TEXT(A1957,"hh"),LoadTable[],3,FALSE)*0.92</f>
        <v>290.74956158350585</v>
      </c>
      <c r="U1957" s="113">
        <f t="shared" si="2068"/>
        <v>29.074956158350584</v>
      </c>
      <c r="V1957">
        <f t="shared" ref="V1957:W1957" si="2106">V1933</f>
        <v>2.9</v>
      </c>
      <c r="W1957">
        <f t="shared" si="2106"/>
        <v>3</v>
      </c>
      <c r="X1957" s="9">
        <v>-27.971639766666499</v>
      </c>
      <c r="Y1957" s="39"/>
    </row>
    <row r="1958" spans="1:25" ht="15" thickBot="1">
      <c r="A1958" s="149">
        <f t="shared" si="2050"/>
        <v>45917.458333330571</v>
      </c>
      <c r="B1958" s="30">
        <f t="shared" si="2077"/>
        <v>8000</v>
      </c>
      <c r="C1958" s="8">
        <v>25000</v>
      </c>
      <c r="D1958" s="187">
        <v>0</v>
      </c>
      <c r="E1958" s="187">
        <v>700</v>
      </c>
      <c r="F1958" s="187">
        <v>15000</v>
      </c>
      <c r="G1958" s="30">
        <f t="shared" si="2078"/>
        <v>2400</v>
      </c>
      <c r="H1958" s="8">
        <v>25000</v>
      </c>
      <c r="I1958" s="30">
        <f t="shared" si="2079"/>
        <v>8000</v>
      </c>
      <c r="J1958" s="187">
        <v>40000</v>
      </c>
      <c r="K1958" s="30">
        <f t="shared" si="2080"/>
        <v>8000</v>
      </c>
      <c r="L1958" s="187">
        <v>40000</v>
      </c>
      <c r="M1958" s="110">
        <v>9.5</v>
      </c>
      <c r="N1958" s="9">
        <f>VLOOKUP(DATE(YEAR(A1958),MONTH(A1958),DAY(A1958)),FY24_Temp[],3,FALSE)</f>
        <v>15.49</v>
      </c>
      <c r="O1958" s="110">
        <f t="shared" si="2066"/>
        <v>11.5</v>
      </c>
      <c r="P1958" s="110">
        <f t="shared" si="2067"/>
        <v>19.5</v>
      </c>
      <c r="Q1958" s="79">
        <f>VLOOKUP(VLOOKUP(DATEVALUE(TEXT(A1958,"m/d/yyyy")),FY24_Temp[],5,FALSE)&amp;TEXT(A1958,"-h"),TempDelta[],4,FALSE)</f>
        <v>1.4937142814908708</v>
      </c>
      <c r="R1958">
        <v>10</v>
      </c>
      <c r="S1958" s="112">
        <v>1500</v>
      </c>
      <c r="T1958" s="5">
        <f>VLOOKUP(TEXT(A1958,"yy-mm")&amp;"-"&amp;IF(AND(WEEKDAY(A1958)&gt;1,WEEKDAY(A1958)&lt;7),"Wkd",TEXT(A1958,"Ddd"))&amp;"-"&amp;TEXT(A1958,"hh"),LoadTable[],3,FALSE)*0.92</f>
        <v>290.74956158350585</v>
      </c>
      <c r="U1958" s="113">
        <f t="shared" si="2068"/>
        <v>29.074956158350584</v>
      </c>
      <c r="V1958">
        <f t="shared" ref="V1958:W1958" si="2107">V1934</f>
        <v>3.4</v>
      </c>
      <c r="W1958">
        <f t="shared" si="2107"/>
        <v>3</v>
      </c>
      <c r="X1958" s="9">
        <v>-28.049434316666499</v>
      </c>
      <c r="Y1958" s="39"/>
    </row>
    <row r="1959" spans="1:25" ht="15" thickBot="1">
      <c r="A1959" s="149">
        <f t="shared" si="2050"/>
        <v>45917.499999997235</v>
      </c>
      <c r="B1959" s="30">
        <f t="shared" si="2077"/>
        <v>8000</v>
      </c>
      <c r="C1959" s="8">
        <v>25000</v>
      </c>
      <c r="D1959" s="187">
        <v>0</v>
      </c>
      <c r="E1959" s="187">
        <v>700</v>
      </c>
      <c r="F1959" s="187">
        <v>15000</v>
      </c>
      <c r="G1959" s="30">
        <f t="shared" si="2078"/>
        <v>2400</v>
      </c>
      <c r="H1959" s="8">
        <v>25000</v>
      </c>
      <c r="I1959" s="30">
        <f t="shared" si="2079"/>
        <v>8000</v>
      </c>
      <c r="J1959" s="187">
        <v>40000</v>
      </c>
      <c r="K1959" s="30">
        <f t="shared" si="2080"/>
        <v>8000</v>
      </c>
      <c r="L1959" s="187">
        <v>40000</v>
      </c>
      <c r="M1959" s="110">
        <v>9.5</v>
      </c>
      <c r="N1959" s="9">
        <f>VLOOKUP(DATE(YEAR(A1959),MONTH(A1959),DAY(A1959)),FY24_Temp[],3,FALSE)</f>
        <v>15.49</v>
      </c>
      <c r="O1959" s="110">
        <f t="shared" si="2066"/>
        <v>11.5</v>
      </c>
      <c r="P1959" s="110">
        <f t="shared" si="2067"/>
        <v>19.5</v>
      </c>
      <c r="Q1959" s="79">
        <f>VLOOKUP(VLOOKUP(DATEVALUE(TEXT(A1959,"m/d/yyyy")),FY24_Temp[],5,FALSE)&amp;TEXT(A1959,"-h"),TempDelta[],4,FALSE)</f>
        <v>1.3148571423121862</v>
      </c>
      <c r="R1959">
        <v>10</v>
      </c>
      <c r="S1959" s="112">
        <v>1500</v>
      </c>
      <c r="T1959" s="5">
        <f>VLOOKUP(TEXT(A1959,"yy-mm")&amp;"-"&amp;IF(AND(WEEKDAY(A1959)&gt;1,WEEKDAY(A1959)&lt;7),"Wkd",TEXT(A1959,"Ddd"))&amp;"-"&amp;TEXT(A1959,"hh"),LoadTable[],3,FALSE)*0.92</f>
        <v>290.74956158350585</v>
      </c>
      <c r="U1959" s="113">
        <f t="shared" si="2068"/>
        <v>29.074956158350584</v>
      </c>
      <c r="V1959">
        <f t="shared" ref="V1959:W1959" si="2108">V1935</f>
        <v>3.1</v>
      </c>
      <c r="W1959">
        <f t="shared" si="2108"/>
        <v>2.9</v>
      </c>
      <c r="X1959" s="9">
        <v>-28.127228866666499</v>
      </c>
      <c r="Y1959" s="39"/>
    </row>
    <row r="1960" spans="1:25" ht="15" thickBot="1">
      <c r="A1960" s="149">
        <f t="shared" si="2050"/>
        <v>45917.541666663899</v>
      </c>
      <c r="B1960" s="30">
        <f t="shared" si="2077"/>
        <v>8000</v>
      </c>
      <c r="C1960" s="8">
        <v>25000</v>
      </c>
      <c r="D1960" s="187">
        <v>0</v>
      </c>
      <c r="E1960" s="187">
        <v>700</v>
      </c>
      <c r="F1960" s="187">
        <v>15000</v>
      </c>
      <c r="G1960" s="30">
        <f t="shared" si="2078"/>
        <v>2400</v>
      </c>
      <c r="H1960" s="8">
        <v>25000</v>
      </c>
      <c r="I1960" s="30">
        <f t="shared" si="2079"/>
        <v>8000</v>
      </c>
      <c r="J1960" s="187">
        <v>40000</v>
      </c>
      <c r="K1960" s="30">
        <f t="shared" si="2080"/>
        <v>8000</v>
      </c>
      <c r="L1960" s="187">
        <v>40000</v>
      </c>
      <c r="M1960" s="110">
        <v>9.5</v>
      </c>
      <c r="N1960" s="9">
        <f>VLOOKUP(DATE(YEAR(A1960),MONTH(A1960),DAY(A1960)),FY24_Temp[],3,FALSE)</f>
        <v>15.49</v>
      </c>
      <c r="O1960" s="110">
        <f t="shared" si="2066"/>
        <v>11.5</v>
      </c>
      <c r="P1960" s="110">
        <f t="shared" si="2067"/>
        <v>19.5</v>
      </c>
      <c r="Q1960" s="79">
        <f>VLOOKUP(VLOOKUP(DATEVALUE(TEXT(A1960,"m/d/yyyy")),FY24_Temp[],5,FALSE)&amp;TEXT(A1960,"-h"),TempDelta[],4,FALSE)</f>
        <v>1.1432857002530779</v>
      </c>
      <c r="R1960">
        <v>10</v>
      </c>
      <c r="S1960" s="112">
        <v>1500</v>
      </c>
      <c r="T1960" s="5">
        <f>VLOOKUP(TEXT(A1960,"yy-mm")&amp;"-"&amp;IF(AND(WEEKDAY(A1960)&gt;1,WEEKDAY(A1960)&lt;7),"Wkd",TEXT(A1960,"Ddd"))&amp;"-"&amp;TEXT(A1960,"hh"),LoadTable[],3,FALSE)*0.92</f>
        <v>290.72204920255348</v>
      </c>
      <c r="U1960" s="113">
        <f t="shared" si="2068"/>
        <v>29.072204920255349</v>
      </c>
      <c r="V1960">
        <f t="shared" ref="V1960:W1960" si="2109">V1936</f>
        <v>3.2</v>
      </c>
      <c r="W1960">
        <f t="shared" si="2109"/>
        <v>2.9</v>
      </c>
      <c r="X1960" s="9">
        <v>-28.205023416666499</v>
      </c>
      <c r="Y1960" s="39"/>
    </row>
    <row r="1961" spans="1:25" ht="15" thickBot="1">
      <c r="A1961" s="149">
        <f t="shared" si="2050"/>
        <v>45917.583333330564</v>
      </c>
      <c r="B1961" s="30">
        <f t="shared" si="2077"/>
        <v>8000</v>
      </c>
      <c r="C1961" s="8">
        <v>25000</v>
      </c>
      <c r="D1961" s="187">
        <v>0</v>
      </c>
      <c r="E1961" s="187">
        <v>700</v>
      </c>
      <c r="F1961" s="187">
        <v>15000</v>
      </c>
      <c r="G1961" s="30">
        <f t="shared" si="2078"/>
        <v>2400</v>
      </c>
      <c r="H1961" s="8">
        <v>25000</v>
      </c>
      <c r="I1961" s="30">
        <f t="shared" si="2079"/>
        <v>8000</v>
      </c>
      <c r="J1961" s="187">
        <v>40000</v>
      </c>
      <c r="K1961" s="30">
        <f t="shared" si="2080"/>
        <v>8000</v>
      </c>
      <c r="L1961" s="187">
        <v>40000</v>
      </c>
      <c r="M1961" s="110">
        <v>9.5</v>
      </c>
      <c r="N1961" s="9">
        <f>VLOOKUP(DATE(YEAR(A1961),MONTH(A1961),DAY(A1961)),FY24_Temp[],3,FALSE)</f>
        <v>15.49</v>
      </c>
      <c r="O1961" s="110">
        <f t="shared" si="2066"/>
        <v>11.5</v>
      </c>
      <c r="P1961" s="110">
        <f t="shared" si="2067"/>
        <v>19.5</v>
      </c>
      <c r="Q1961" s="79">
        <f>VLOOKUP(VLOOKUP(DATEVALUE(TEXT(A1961,"m/d/yyyy")),FY24_Temp[],5,FALSE)&amp;TEXT(A1961,"-h"),TempDelta[],4,FALSE)</f>
        <v>0.98585713761193416</v>
      </c>
      <c r="R1961">
        <v>10</v>
      </c>
      <c r="S1961" s="112">
        <v>1500</v>
      </c>
      <c r="T1961" s="5">
        <f>VLOOKUP(TEXT(A1961,"yy-mm")&amp;"-"&amp;IF(AND(WEEKDAY(A1961)&gt;1,WEEKDAY(A1961)&lt;7),"Wkd",TEXT(A1961,"Ddd"))&amp;"-"&amp;TEXT(A1961,"hh"),LoadTable[],3,FALSE)*0.92</f>
        <v>363.28132000000005</v>
      </c>
      <c r="U1961" s="113">
        <f t="shared" si="2068"/>
        <v>36.328132000000004</v>
      </c>
      <c r="V1961">
        <f t="shared" ref="V1961:W1961" si="2110">V1937</f>
        <v>3.5</v>
      </c>
      <c r="W1961">
        <f t="shared" si="2110"/>
        <v>2.9</v>
      </c>
      <c r="X1961" s="9">
        <v>-28.282817966666499</v>
      </c>
      <c r="Y1961" s="39"/>
    </row>
    <row r="1962" spans="1:25" ht="15" thickBot="1">
      <c r="A1962" s="149">
        <f t="shared" si="2050"/>
        <v>45917.624999997228</v>
      </c>
      <c r="B1962" s="30">
        <f t="shared" si="2077"/>
        <v>8000</v>
      </c>
      <c r="C1962" s="8">
        <v>25000</v>
      </c>
      <c r="D1962" s="187">
        <v>0</v>
      </c>
      <c r="E1962" s="187">
        <v>700</v>
      </c>
      <c r="F1962" s="187">
        <v>15000</v>
      </c>
      <c r="G1962" s="30">
        <f t="shared" si="2078"/>
        <v>2400</v>
      </c>
      <c r="H1962" s="8">
        <v>25000</v>
      </c>
      <c r="I1962" s="30">
        <f t="shared" si="2079"/>
        <v>8000</v>
      </c>
      <c r="J1962" s="187">
        <v>40000</v>
      </c>
      <c r="K1962" s="30">
        <f t="shared" si="2080"/>
        <v>8000</v>
      </c>
      <c r="L1962" s="187">
        <v>40000</v>
      </c>
      <c r="M1962" s="110">
        <v>9.5</v>
      </c>
      <c r="N1962" s="9">
        <f>VLOOKUP(DATE(YEAR(A1962),MONTH(A1962),DAY(A1962)),FY24_Temp[],3,FALSE)</f>
        <v>15.49</v>
      </c>
      <c r="O1962" s="110">
        <f t="shared" si="2066"/>
        <v>11.5</v>
      </c>
      <c r="P1962" s="110">
        <f t="shared" si="2067"/>
        <v>19.5</v>
      </c>
      <c r="Q1962" s="79">
        <f>VLOOKUP(VLOOKUP(DATEVALUE(TEXT(A1962,"m/d/yyyy")),FY24_Temp[],5,FALSE)&amp;TEXT(A1962,"-h"),TempDelta[],4,FALSE)</f>
        <v>0.49378571685935768</v>
      </c>
      <c r="R1962">
        <v>10</v>
      </c>
      <c r="S1962" s="112">
        <v>1500</v>
      </c>
      <c r="T1962" s="5">
        <f>VLOOKUP(TEXT(A1962,"yy-mm")&amp;"-"&amp;IF(AND(WEEKDAY(A1962)&gt;1,WEEKDAY(A1962)&lt;7),"Wkd",TEXT(A1962,"Ddd"))&amp;"-"&amp;TEXT(A1962,"hh"),LoadTable[],3,FALSE)*0.92</f>
        <v>570.3300004440199</v>
      </c>
      <c r="U1962" s="113">
        <f t="shared" si="2068"/>
        <v>57.033000044401987</v>
      </c>
      <c r="V1962">
        <f t="shared" ref="V1962:W1962" si="2111">V1938</f>
        <v>3.2</v>
      </c>
      <c r="W1962">
        <f t="shared" si="2111"/>
        <v>2.9</v>
      </c>
      <c r="X1962" s="9">
        <v>-28.3606125166665</v>
      </c>
      <c r="Y1962" s="39"/>
    </row>
    <row r="1963" spans="1:25" ht="15" thickBot="1">
      <c r="A1963" s="149">
        <f t="shared" si="2050"/>
        <v>45917.666666663892</v>
      </c>
      <c r="B1963" s="30">
        <f t="shared" si="2077"/>
        <v>8000</v>
      </c>
      <c r="C1963" s="8">
        <v>25000</v>
      </c>
      <c r="D1963" s="187">
        <v>0</v>
      </c>
      <c r="E1963" s="187">
        <v>700</v>
      </c>
      <c r="F1963" s="187">
        <v>15000</v>
      </c>
      <c r="G1963" s="30">
        <f t="shared" si="2078"/>
        <v>2400</v>
      </c>
      <c r="H1963" s="8">
        <v>25000</v>
      </c>
      <c r="I1963" s="30">
        <f t="shared" si="2079"/>
        <v>8000</v>
      </c>
      <c r="J1963" s="187">
        <v>40000</v>
      </c>
      <c r="K1963" s="30">
        <f t="shared" si="2080"/>
        <v>8000</v>
      </c>
      <c r="L1963" s="187">
        <v>40000</v>
      </c>
      <c r="M1963" s="110">
        <v>9.5</v>
      </c>
      <c r="N1963" s="9">
        <f>VLOOKUP(DATE(YEAR(A1963),MONTH(A1963),DAY(A1963)),FY24_Temp[],3,FALSE)</f>
        <v>15.49</v>
      </c>
      <c r="O1963" s="110">
        <f t="shared" si="2066"/>
        <v>11.5</v>
      </c>
      <c r="P1963" s="110">
        <f t="shared" si="2067"/>
        <v>19.5</v>
      </c>
      <c r="Q1963" s="79">
        <f>VLOOKUP(VLOOKUP(DATEVALUE(TEXT(A1963,"m/d/yyyy")),FY24_Temp[],5,FALSE)&amp;TEXT(A1963,"-h"),TempDelta[],4,FALSE)</f>
        <v>0.57192856445908546</v>
      </c>
      <c r="R1963">
        <v>10</v>
      </c>
      <c r="S1963" s="112">
        <v>1500</v>
      </c>
      <c r="T1963" s="5">
        <f>VLOOKUP(TEXT(A1963,"yy-mm")&amp;"-"&amp;IF(AND(WEEKDAY(A1963)&gt;1,WEEKDAY(A1963)&lt;7),"Wkd",TEXT(A1963,"Ddd"))&amp;"-"&amp;TEXT(A1963,"hh"),LoadTable[],3,FALSE)*0.92</f>
        <v>602.16876690131596</v>
      </c>
      <c r="U1963" s="113">
        <f t="shared" si="2068"/>
        <v>60.216876690131599</v>
      </c>
      <c r="V1963">
        <f t="shared" ref="V1963:W1963" si="2112">V1939</f>
        <v>3.5</v>
      </c>
      <c r="W1963">
        <f t="shared" si="2112"/>
        <v>3</v>
      </c>
      <c r="X1963" s="9">
        <v>-28.4384070666665</v>
      </c>
      <c r="Y1963" s="39"/>
    </row>
    <row r="1964" spans="1:25" ht="15" thickBot="1">
      <c r="A1964" s="149">
        <f t="shared" si="2050"/>
        <v>45917.708333330556</v>
      </c>
      <c r="B1964" s="30">
        <f t="shared" si="2077"/>
        <v>8000</v>
      </c>
      <c r="C1964" s="8">
        <v>25000</v>
      </c>
      <c r="D1964" s="187">
        <v>0</v>
      </c>
      <c r="E1964" s="187">
        <v>700</v>
      </c>
      <c r="F1964" s="187">
        <v>15000</v>
      </c>
      <c r="G1964" s="30">
        <f t="shared" si="2078"/>
        <v>2400</v>
      </c>
      <c r="H1964" s="8">
        <v>25000</v>
      </c>
      <c r="I1964" s="30">
        <f t="shared" si="2079"/>
        <v>8000</v>
      </c>
      <c r="J1964" s="187">
        <v>40000</v>
      </c>
      <c r="K1964" s="30">
        <f t="shared" si="2080"/>
        <v>8000</v>
      </c>
      <c r="L1964" s="187">
        <v>40000</v>
      </c>
      <c r="M1964" s="110">
        <v>9.5</v>
      </c>
      <c r="N1964" s="9">
        <f>VLOOKUP(DATE(YEAR(A1964),MONTH(A1964),DAY(A1964)),FY24_Temp[],3,FALSE)</f>
        <v>15.49</v>
      </c>
      <c r="O1964" s="110">
        <f t="shared" si="2066"/>
        <v>11.5</v>
      </c>
      <c r="P1964" s="110">
        <f t="shared" si="2067"/>
        <v>19.5</v>
      </c>
      <c r="Q1964" s="79">
        <f>VLOOKUP(VLOOKUP(DATEVALUE(TEXT(A1964,"m/d/yyyy")),FY24_Temp[],5,FALSE)&amp;TEXT(A1964,"-h"),TempDelta[],4,FALSE)</f>
        <v>0.84400000103882378</v>
      </c>
      <c r="R1964">
        <v>10</v>
      </c>
      <c r="S1964" s="112">
        <v>1500</v>
      </c>
      <c r="T1964" s="5">
        <f>VLOOKUP(TEXT(A1964,"yy-mm")&amp;"-"&amp;IF(AND(WEEKDAY(A1964)&gt;1,WEEKDAY(A1964)&lt;7),"Wkd",TEXT(A1964,"Ddd"))&amp;"-"&amp;TEXT(A1964,"hh"),LoadTable[],3,FALSE)*0.92</f>
        <v>602.16876690131596</v>
      </c>
      <c r="U1964" s="113">
        <f t="shared" si="2068"/>
        <v>60.216876690131599</v>
      </c>
      <c r="V1964">
        <f t="shared" ref="V1964:W1964" si="2113">V1940</f>
        <v>3.6</v>
      </c>
      <c r="W1964">
        <f t="shared" si="2113"/>
        <v>3</v>
      </c>
      <c r="X1964" s="9">
        <v>-28.5162016166665</v>
      </c>
      <c r="Y1964" s="39"/>
    </row>
    <row r="1965" spans="1:25" ht="15" thickBot="1">
      <c r="A1965" s="149">
        <f t="shared" si="2050"/>
        <v>45917.749999997221</v>
      </c>
      <c r="B1965" s="30">
        <f t="shared" si="2077"/>
        <v>5000</v>
      </c>
      <c r="C1965" s="8">
        <v>25000</v>
      </c>
      <c r="D1965" s="187">
        <v>0</v>
      </c>
      <c r="E1965" s="187">
        <v>700</v>
      </c>
      <c r="F1965" s="187">
        <v>15000</v>
      </c>
      <c r="G1965" s="30">
        <f t="shared" si="2078"/>
        <v>2400</v>
      </c>
      <c r="H1965" s="8">
        <v>25000</v>
      </c>
      <c r="I1965" s="30">
        <f t="shared" si="2079"/>
        <v>5000</v>
      </c>
      <c r="J1965" s="187">
        <v>40000</v>
      </c>
      <c r="K1965" s="30">
        <f t="shared" si="2080"/>
        <v>5000</v>
      </c>
      <c r="L1965" s="187">
        <v>40000</v>
      </c>
      <c r="M1965" s="110">
        <v>9.5</v>
      </c>
      <c r="N1965" s="9">
        <f>VLOOKUP(DATE(YEAR(A1965),MONTH(A1965),DAY(A1965)),FY24_Temp[],3,FALSE)</f>
        <v>15.49</v>
      </c>
      <c r="O1965" s="110">
        <f t="shared" si="2066"/>
        <v>11.5</v>
      </c>
      <c r="P1965" s="110">
        <f t="shared" si="2067"/>
        <v>19.5</v>
      </c>
      <c r="Q1965" s="79">
        <f>VLOOKUP(VLOOKUP(DATEVALUE(TEXT(A1965,"m/d/yyyy")),FY24_Temp[],5,FALSE)&amp;TEXT(A1965,"-h"),TempDelta[],4,FALSE)</f>
        <v>1.1615714260510035</v>
      </c>
      <c r="R1965">
        <v>10</v>
      </c>
      <c r="S1965" s="112">
        <v>1500</v>
      </c>
      <c r="T1965" s="5">
        <f>VLOOKUP(TEXT(A1965,"yy-mm")&amp;"-"&amp;IF(AND(WEEKDAY(A1965)&gt;1,WEEKDAY(A1965)&lt;7),"Wkd",TEXT(A1965,"Ddd"))&amp;"-"&amp;TEXT(A1965,"hh"),LoadTable[],3,FALSE)*0.92</f>
        <v>602.16876690131596</v>
      </c>
      <c r="U1965" s="113">
        <f t="shared" si="2068"/>
        <v>60.216876690131599</v>
      </c>
      <c r="V1965">
        <f t="shared" ref="V1965:W1965" si="2114">V1941</f>
        <v>2.9</v>
      </c>
      <c r="W1965">
        <f t="shared" si="2114"/>
        <v>3</v>
      </c>
      <c r="X1965" s="9">
        <v>-28.5939961666665</v>
      </c>
      <c r="Y1965" s="39"/>
    </row>
    <row r="1966" spans="1:25" ht="15" thickBot="1">
      <c r="A1966" s="149">
        <f t="shared" si="2050"/>
        <v>45917.791666663885</v>
      </c>
      <c r="B1966" s="30">
        <f t="shared" si="2077"/>
        <v>5000</v>
      </c>
      <c r="C1966" s="8">
        <v>25000</v>
      </c>
      <c r="D1966" s="187">
        <v>0</v>
      </c>
      <c r="E1966" s="187">
        <v>700</v>
      </c>
      <c r="F1966" s="187">
        <v>15000</v>
      </c>
      <c r="G1966" s="30">
        <f t="shared" si="2078"/>
        <v>2400</v>
      </c>
      <c r="H1966" s="8">
        <v>25000</v>
      </c>
      <c r="I1966" s="30">
        <f t="shared" si="2079"/>
        <v>5000</v>
      </c>
      <c r="J1966" s="187">
        <v>40000</v>
      </c>
      <c r="K1966" s="30">
        <f t="shared" si="2080"/>
        <v>5000</v>
      </c>
      <c r="L1966" s="187">
        <v>40000</v>
      </c>
      <c r="M1966" s="110">
        <v>9.5</v>
      </c>
      <c r="N1966" s="9">
        <f>VLOOKUP(DATE(YEAR(A1966),MONTH(A1966),DAY(A1966)),FY24_Temp[],3,FALSE)</f>
        <v>15.49</v>
      </c>
      <c r="O1966" s="110">
        <f t="shared" si="2066"/>
        <v>11.5</v>
      </c>
      <c r="P1966" s="110">
        <f t="shared" si="2067"/>
        <v>19.5</v>
      </c>
      <c r="Q1966" s="79">
        <f>VLOOKUP(VLOOKUP(DATEVALUE(TEXT(A1966,"m/d/yyyy")),FY24_Temp[],5,FALSE)&amp;TEXT(A1966,"-h"),TempDelta[],4,FALSE)</f>
        <v>1.2906428532941001</v>
      </c>
      <c r="R1966">
        <v>10</v>
      </c>
      <c r="S1966" s="112">
        <v>1500</v>
      </c>
      <c r="T1966" s="5">
        <f>VLOOKUP(TEXT(A1966,"yy-mm")&amp;"-"&amp;IF(AND(WEEKDAY(A1966)&gt;1,WEEKDAY(A1966)&lt;7),"Wkd",TEXT(A1966,"Ddd"))&amp;"-"&amp;TEXT(A1966,"hh"),LoadTable[],3,FALSE)*0.92</f>
        <v>600.14662419619219</v>
      </c>
      <c r="U1966" s="113">
        <f t="shared" si="2068"/>
        <v>60.014662419619221</v>
      </c>
      <c r="V1966">
        <f t="shared" ref="V1966:W1966" si="2115">V1942</f>
        <v>3</v>
      </c>
      <c r="W1966">
        <f t="shared" si="2115"/>
        <v>3</v>
      </c>
      <c r="X1966" s="9">
        <v>-28.6717907166665</v>
      </c>
      <c r="Y1966" s="39"/>
    </row>
    <row r="1967" spans="1:25" ht="15" thickBot="1">
      <c r="A1967" s="149">
        <f t="shared" si="2050"/>
        <v>45917.833333330549</v>
      </c>
      <c r="B1967" s="30">
        <f t="shared" si="2077"/>
        <v>5000</v>
      </c>
      <c r="C1967" s="8">
        <v>25000</v>
      </c>
      <c r="D1967" s="187">
        <v>0</v>
      </c>
      <c r="E1967" s="187">
        <v>700</v>
      </c>
      <c r="F1967" s="187">
        <v>15000</v>
      </c>
      <c r="G1967" s="30">
        <f t="shared" si="2078"/>
        <v>2400</v>
      </c>
      <c r="H1967" s="8">
        <v>25000</v>
      </c>
      <c r="I1967" s="30">
        <f t="shared" si="2079"/>
        <v>5000</v>
      </c>
      <c r="J1967" s="187">
        <v>40000</v>
      </c>
      <c r="K1967" s="30">
        <f t="shared" si="2080"/>
        <v>5000</v>
      </c>
      <c r="L1967" s="187">
        <v>40000</v>
      </c>
      <c r="M1967" s="110">
        <v>9.5</v>
      </c>
      <c r="N1967" s="9">
        <f>VLOOKUP(DATE(YEAR(A1967),MONTH(A1967),DAY(A1967)),FY24_Temp[],3,FALSE)</f>
        <v>15.49</v>
      </c>
      <c r="O1967" s="110">
        <f t="shared" si="2066"/>
        <v>11.5</v>
      </c>
      <c r="P1967" s="110">
        <f t="shared" si="2067"/>
        <v>19.5</v>
      </c>
      <c r="Q1967" s="79">
        <f>VLOOKUP(VLOOKUP(DATEVALUE(TEXT(A1967,"m/d/yyyy")),FY24_Temp[],5,FALSE)&amp;TEXT(A1967,"-h"),TempDelta[],4,FALSE)</f>
        <v>1.3774285869938987</v>
      </c>
      <c r="R1967">
        <v>10</v>
      </c>
      <c r="S1967" s="112">
        <v>1500</v>
      </c>
      <c r="T1967" s="5">
        <f>VLOOKUP(TEXT(A1967,"yy-mm")&amp;"-"&amp;IF(AND(WEEKDAY(A1967)&gt;1,WEEKDAY(A1967)&lt;7),"Wkd",TEXT(A1967,"Ddd"))&amp;"-"&amp;TEXT(A1967,"hh"),LoadTable[],3,FALSE)*0.92</f>
        <v>600.14662419619219</v>
      </c>
      <c r="U1967" s="113">
        <f t="shared" si="2068"/>
        <v>60.014662419619221</v>
      </c>
      <c r="V1967">
        <f t="shared" ref="V1967:W1967" si="2116">V1943</f>
        <v>2.8</v>
      </c>
      <c r="W1967">
        <f t="shared" si="2116"/>
        <v>3.1</v>
      </c>
      <c r="X1967" s="9">
        <v>-28.7495852666665</v>
      </c>
      <c r="Y1967" s="39"/>
    </row>
    <row r="1968" spans="1:25" ht="15" thickBot="1">
      <c r="A1968" s="149">
        <f t="shared" si="2050"/>
        <v>45917.874999997213</v>
      </c>
      <c r="B1968" s="30">
        <f t="shared" si="2077"/>
        <v>5000</v>
      </c>
      <c r="C1968" s="8">
        <v>25000</v>
      </c>
      <c r="D1968" s="187">
        <v>0</v>
      </c>
      <c r="E1968" s="187">
        <v>700</v>
      </c>
      <c r="F1968" s="187">
        <v>15000</v>
      </c>
      <c r="G1968" s="30">
        <f t="shared" si="2078"/>
        <v>2400</v>
      </c>
      <c r="H1968" s="8">
        <v>25000</v>
      </c>
      <c r="I1968" s="30">
        <f t="shared" si="2079"/>
        <v>5000</v>
      </c>
      <c r="J1968" s="187">
        <v>40000</v>
      </c>
      <c r="K1968" s="30">
        <f t="shared" si="2080"/>
        <v>5000</v>
      </c>
      <c r="L1968" s="187">
        <v>40000</v>
      </c>
      <c r="M1968" s="110">
        <v>9.5</v>
      </c>
      <c r="N1968" s="9">
        <f>VLOOKUP(DATE(YEAR(A1968),MONTH(A1968),DAY(A1968)),FY24_Temp[],3,FALSE)</f>
        <v>15.49</v>
      </c>
      <c r="O1968" s="110">
        <f t="shared" si="2066"/>
        <v>11.5</v>
      </c>
      <c r="P1968" s="110">
        <f t="shared" si="2067"/>
        <v>19.5</v>
      </c>
      <c r="Q1968" s="79">
        <f>VLOOKUP(VLOOKUP(DATEVALUE(TEXT(A1968,"m/d/yyyy")),FY24_Temp[],5,FALSE)&amp;TEXT(A1968,"-h"),TempDelta[],4,FALSE)</f>
        <v>1.3976428466183799</v>
      </c>
      <c r="R1968">
        <v>10</v>
      </c>
      <c r="S1968" s="112">
        <v>1500</v>
      </c>
      <c r="T1968" s="5">
        <f>VLOOKUP(TEXT(A1968,"yy-mm")&amp;"-"&amp;IF(AND(WEEKDAY(A1968)&gt;1,WEEKDAY(A1968)&lt;7),"Wkd",TEXT(A1968,"Ddd"))&amp;"-"&amp;TEXT(A1968,"hh"),LoadTable[],3,FALSE)*0.92</f>
        <v>523.94879142973434</v>
      </c>
      <c r="U1968" s="113">
        <f t="shared" si="2068"/>
        <v>52.394879142973437</v>
      </c>
      <c r="V1968">
        <f t="shared" ref="V1968:W1968" si="2117">V1944</f>
        <v>3.5</v>
      </c>
      <c r="W1968">
        <f t="shared" si="2117"/>
        <v>3.1</v>
      </c>
      <c r="X1968" s="9">
        <v>-28.8273798166665</v>
      </c>
      <c r="Y1968" s="39"/>
    </row>
    <row r="1969" spans="1:25" ht="15" thickBot="1">
      <c r="A1969" s="149">
        <f t="shared" si="2050"/>
        <v>45917.916666663878</v>
      </c>
      <c r="B1969" s="30">
        <f t="shared" si="2077"/>
        <v>5000</v>
      </c>
      <c r="C1969" s="8">
        <v>25000</v>
      </c>
      <c r="D1969" s="187">
        <v>0</v>
      </c>
      <c r="E1969" s="187">
        <v>700</v>
      </c>
      <c r="F1969" s="187">
        <v>15000</v>
      </c>
      <c r="G1969" s="30">
        <f t="shared" si="2078"/>
        <v>2400</v>
      </c>
      <c r="H1969" s="8">
        <v>25000</v>
      </c>
      <c r="I1969" s="30">
        <f t="shared" si="2079"/>
        <v>5000</v>
      </c>
      <c r="J1969" s="187">
        <v>40000</v>
      </c>
      <c r="K1969" s="30">
        <f t="shared" si="2080"/>
        <v>5000</v>
      </c>
      <c r="L1969" s="187">
        <v>40000</v>
      </c>
      <c r="M1969" s="110">
        <v>9.5</v>
      </c>
      <c r="N1969" s="9">
        <f>VLOOKUP(DATE(YEAR(A1969),MONTH(A1969),DAY(A1969)),FY24_Temp[],3,FALSE)</f>
        <v>15.49</v>
      </c>
      <c r="O1969" s="110">
        <f t="shared" si="2066"/>
        <v>11.5</v>
      </c>
      <c r="P1969" s="110">
        <f t="shared" si="2067"/>
        <v>19.5</v>
      </c>
      <c r="Q1969" s="79">
        <f>VLOOKUP(VLOOKUP(DATEVALUE(TEXT(A1969,"m/d/yyyy")),FY24_Temp[],5,FALSE)&amp;TEXT(A1969,"-h"),TempDelta[],4,FALSE)</f>
        <v>1.873142855507987</v>
      </c>
      <c r="R1969">
        <v>10</v>
      </c>
      <c r="S1969" s="112">
        <v>1500</v>
      </c>
      <c r="T1969" s="5">
        <f>VLOOKUP(TEXT(A1969,"yy-mm")&amp;"-"&amp;IF(AND(WEEKDAY(A1969)&gt;1,WEEKDAY(A1969)&lt;7),"Wkd",TEXT(A1969,"Ddd"))&amp;"-"&amp;TEXT(A1969,"hh"),LoadTable[],3,FALSE)*0.92</f>
        <v>421.91858468239752</v>
      </c>
      <c r="U1969" s="113">
        <f t="shared" si="2068"/>
        <v>42.191858468239751</v>
      </c>
      <c r="V1969">
        <f t="shared" ref="V1969:W1969" si="2118">V1945</f>
        <v>2.9</v>
      </c>
      <c r="W1969">
        <f t="shared" si="2118"/>
        <v>3.1</v>
      </c>
      <c r="X1969" s="9">
        <v>-28.9051743666665</v>
      </c>
      <c r="Y1969" s="39"/>
    </row>
    <row r="1970" spans="1:25" ht="15" thickBot="1">
      <c r="A1970" s="149">
        <f t="shared" si="2050"/>
        <v>45917.958333330542</v>
      </c>
      <c r="B1970" s="30">
        <f t="shared" si="2077"/>
        <v>5000</v>
      </c>
      <c r="C1970" s="8">
        <v>25000</v>
      </c>
      <c r="D1970" s="187">
        <v>0</v>
      </c>
      <c r="E1970" s="187">
        <v>700</v>
      </c>
      <c r="F1970" s="187">
        <v>15000</v>
      </c>
      <c r="G1970" s="30">
        <f t="shared" si="2078"/>
        <v>2400</v>
      </c>
      <c r="H1970" s="41">
        <v>25000</v>
      </c>
      <c r="I1970" s="30">
        <f t="shared" si="2079"/>
        <v>5000</v>
      </c>
      <c r="J1970" s="187">
        <v>40000</v>
      </c>
      <c r="K1970" s="30">
        <f t="shared" si="2080"/>
        <v>5000</v>
      </c>
      <c r="L1970" s="187">
        <v>40000</v>
      </c>
      <c r="M1970" s="110">
        <v>9.5</v>
      </c>
      <c r="N1970" s="9">
        <f>VLOOKUP(DATE(YEAR(A1970),MONTH(A1970),DAY(A1970)),FY24_Temp[],3,FALSE)</f>
        <v>15.49</v>
      </c>
      <c r="O1970" s="110">
        <f t="shared" si="2066"/>
        <v>11.5</v>
      </c>
      <c r="P1970" s="110">
        <f t="shared" si="2067"/>
        <v>19.5</v>
      </c>
      <c r="Q1970" s="85">
        <f>VLOOKUP(VLOOKUP(DATEVALUE(TEXT(A1970,"m/d/yyyy")),FY24_Temp[],5,FALSE)&amp;TEXT(A1970,"-h"),TempDelta[],4,FALSE)</f>
        <v>2.0031428507396152</v>
      </c>
      <c r="R1970">
        <v>10</v>
      </c>
      <c r="S1970" s="112">
        <v>1500</v>
      </c>
      <c r="T1970" s="97">
        <f>VLOOKUP(TEXT(A1970,"yy-mm")&amp;"-"&amp;IF(AND(WEEKDAY(A1970)&gt;1,WEEKDAY(A1970)&lt;7),"Wkd",TEXT(A1970,"Ddd"))&amp;"-"&amp;TEXT(A1970,"hh"),LoadTable[],3,FALSE)*0.92</f>
        <v>289.33527113913209</v>
      </c>
      <c r="U1970" s="113">
        <f t="shared" si="2068"/>
        <v>28.933527113913208</v>
      </c>
      <c r="V1970">
        <f t="shared" ref="V1970:W1970" si="2119">V1946</f>
        <v>3.6</v>
      </c>
      <c r="W1970">
        <f t="shared" si="2119"/>
        <v>3.1</v>
      </c>
      <c r="X1970" s="84">
        <v>-28.982968916666501</v>
      </c>
      <c r="Y1970" s="39"/>
    </row>
    <row r="1971" spans="1:25" ht="15" thickBot="1">
      <c r="A1971" s="149">
        <f t="shared" si="2050"/>
        <v>45917.999999997206</v>
      </c>
      <c r="B1971" s="30">
        <f t="shared" si="2077"/>
        <v>5000</v>
      </c>
      <c r="C1971" s="8">
        <v>25000</v>
      </c>
      <c r="D1971" s="187">
        <v>0</v>
      </c>
      <c r="E1971" s="187">
        <v>700</v>
      </c>
      <c r="F1971" s="187">
        <v>15000</v>
      </c>
      <c r="G1971" s="30">
        <f t="shared" si="2078"/>
        <v>2400</v>
      </c>
      <c r="H1971" s="8">
        <v>25000</v>
      </c>
      <c r="I1971" s="30">
        <f t="shared" si="2079"/>
        <v>5000</v>
      </c>
      <c r="J1971" s="187">
        <v>40000</v>
      </c>
      <c r="K1971" s="30">
        <f t="shared" si="2080"/>
        <v>5000</v>
      </c>
      <c r="L1971" s="187">
        <v>40000</v>
      </c>
      <c r="M1971" s="110">
        <v>9.5</v>
      </c>
      <c r="N1971" s="9">
        <f>VLOOKUP(DATE(YEAR(A1971),MONTH(A1971),DAY(A1971)),FY24_Temp[],3,FALSE)</f>
        <v>15.49</v>
      </c>
      <c r="O1971" s="110">
        <f t="shared" si="2066"/>
        <v>11.5</v>
      </c>
      <c r="P1971" s="110">
        <f t="shared" si="2067"/>
        <v>19.5</v>
      </c>
      <c r="Q1971" s="79">
        <f>VLOOKUP(VLOOKUP(DATEVALUE(TEXT(A1971,"m/d/yyyy")),FY24_Temp[],5,FALSE)&amp;TEXT(A1971,"-h"),TempDelta[],4,FALSE)</f>
        <v>2.099285670689174</v>
      </c>
      <c r="R1971">
        <v>10</v>
      </c>
      <c r="S1971" s="112">
        <v>1500</v>
      </c>
      <c r="T1971" s="5">
        <f>VLOOKUP(TEXT(A1971,"yy-mm")&amp;"-"&amp;IF(AND(WEEKDAY(A1971)&gt;1,WEEKDAY(A1971)&lt;7),"Wkd",TEXT(A1971,"Ddd"))&amp;"-"&amp;TEXT(A1971,"hh"),LoadTable[],3,FALSE)*0.92</f>
        <v>289.0624787084426</v>
      </c>
      <c r="U1971" s="113">
        <f t="shared" si="2068"/>
        <v>28.906247870844261</v>
      </c>
      <c r="V1971">
        <f t="shared" ref="V1971:W1971" si="2120">V1947</f>
        <v>3</v>
      </c>
      <c r="W1971">
        <f t="shared" si="2120"/>
        <v>3.2</v>
      </c>
      <c r="X1971" s="9">
        <v>-29.060763466666501</v>
      </c>
      <c r="Y1971" s="39"/>
    </row>
    <row r="1972" spans="1:25" ht="15" thickBot="1">
      <c r="A1972" s="149">
        <f t="shared" si="2050"/>
        <v>45918.04166666387</v>
      </c>
      <c r="B1972" s="30">
        <f t="shared" si="2077"/>
        <v>5000</v>
      </c>
      <c r="C1972" s="8">
        <v>25000</v>
      </c>
      <c r="D1972" s="187">
        <v>0</v>
      </c>
      <c r="E1972" s="187">
        <v>700</v>
      </c>
      <c r="F1972" s="187">
        <v>15000</v>
      </c>
      <c r="G1972" s="30">
        <f t="shared" si="2078"/>
        <v>2400</v>
      </c>
      <c r="H1972" s="42">
        <v>25000</v>
      </c>
      <c r="I1972" s="30">
        <f t="shared" si="2079"/>
        <v>5000</v>
      </c>
      <c r="J1972" s="187">
        <v>40000</v>
      </c>
      <c r="K1972" s="30">
        <f t="shared" si="2080"/>
        <v>5000</v>
      </c>
      <c r="L1972" s="187">
        <v>40000</v>
      </c>
      <c r="M1972" s="110">
        <v>9.5</v>
      </c>
      <c r="N1972" s="9">
        <f>VLOOKUP(DATE(YEAR(A1972),MONTH(A1972),DAY(A1972)),FY24_Temp[],3,FALSE)</f>
        <v>15.49</v>
      </c>
      <c r="O1972" s="110">
        <f t="shared" si="2066"/>
        <v>11.5</v>
      </c>
      <c r="P1972" s="110">
        <f t="shared" si="2067"/>
        <v>19.5</v>
      </c>
      <c r="Q1972" s="87">
        <f>VLOOKUP(VLOOKUP(DATEVALUE(TEXT(A1972,"m/d/yyyy")),FY24_Temp[],5,FALSE)&amp;TEXT(A1972,"-h"),TempDelta[],4,FALSE)</f>
        <v>2.1752857140132358</v>
      </c>
      <c r="R1972">
        <v>10</v>
      </c>
      <c r="S1972" s="112">
        <v>1500</v>
      </c>
      <c r="T1972" s="98">
        <f>VLOOKUP(TEXT(A1972,"yy-mm")&amp;"-"&amp;IF(AND(WEEKDAY(A1972)&gt;1,WEEKDAY(A1972)&lt;7),"Wkd",TEXT(A1972,"Ddd"))&amp;"-"&amp;TEXT(A1972,"hh"),LoadTable[],3,FALSE)*0.92</f>
        <v>289.0624787084426</v>
      </c>
      <c r="U1972" s="113">
        <f t="shared" si="2068"/>
        <v>28.906247870844261</v>
      </c>
      <c r="V1972">
        <f t="shared" ref="V1972:W1972" si="2121">V1948</f>
        <v>2.6</v>
      </c>
      <c r="W1972">
        <f t="shared" si="2121"/>
        <v>3.2</v>
      </c>
      <c r="X1972" s="86">
        <v>-29.138558016666501</v>
      </c>
      <c r="Y1972" s="39"/>
    </row>
    <row r="1973" spans="1:25" ht="15" thickBot="1">
      <c r="A1973" s="149">
        <f t="shared" ref="A1973:A2036" si="2122">A1972+TIME(1,0,0)</f>
        <v>45918.083333330535</v>
      </c>
      <c r="B1973" s="30">
        <f t="shared" si="2077"/>
        <v>5000</v>
      </c>
      <c r="C1973" s="8">
        <v>25000</v>
      </c>
      <c r="D1973" s="187">
        <v>0</v>
      </c>
      <c r="E1973" s="187">
        <v>700</v>
      </c>
      <c r="F1973" s="187">
        <v>15000</v>
      </c>
      <c r="G1973" s="30">
        <f t="shared" si="2078"/>
        <v>2400</v>
      </c>
      <c r="H1973" s="8">
        <v>25000</v>
      </c>
      <c r="I1973" s="30">
        <f t="shared" si="2079"/>
        <v>5000</v>
      </c>
      <c r="J1973" s="187">
        <v>40000</v>
      </c>
      <c r="K1973" s="30">
        <f t="shared" si="2080"/>
        <v>5000</v>
      </c>
      <c r="L1973" s="187">
        <v>40000</v>
      </c>
      <c r="M1973" s="110">
        <v>9.5</v>
      </c>
      <c r="N1973" s="9">
        <f>VLOOKUP(DATE(YEAR(A1973),MONTH(A1973),DAY(A1973)),FY24_Temp[],3,FALSE)</f>
        <v>15.49</v>
      </c>
      <c r="O1973" s="110">
        <f t="shared" si="2066"/>
        <v>11.5</v>
      </c>
      <c r="P1973" s="110">
        <f t="shared" si="2067"/>
        <v>19.5</v>
      </c>
      <c r="Q1973" s="79">
        <f>VLOOKUP(VLOOKUP(DATEVALUE(TEXT(A1973,"m/d/yyyy")),FY24_Temp[],5,FALSE)&amp;TEXT(A1973,"-h"),TempDelta[],4,FALSE)</f>
        <v>2.2037143026079451</v>
      </c>
      <c r="R1973">
        <v>10</v>
      </c>
      <c r="S1973" s="112">
        <v>1500</v>
      </c>
      <c r="T1973" s="5">
        <f>VLOOKUP(TEXT(A1973,"yy-mm")&amp;"-"&amp;IF(AND(WEEKDAY(A1973)&gt;1,WEEKDAY(A1973)&lt;7),"Wkd",TEXT(A1973,"Ddd"))&amp;"-"&amp;TEXT(A1973,"hh"),LoadTable[],3,FALSE)*0.92</f>
        <v>289.0624787084426</v>
      </c>
      <c r="U1973" s="113">
        <f t="shared" si="2068"/>
        <v>28.906247870844261</v>
      </c>
      <c r="V1973">
        <f t="shared" ref="V1973:W1973" si="2123">V1949</f>
        <v>2.8</v>
      </c>
      <c r="W1973">
        <f t="shared" si="2123"/>
        <v>3.2</v>
      </c>
      <c r="X1973" s="9">
        <v>-29.216352566666501</v>
      </c>
      <c r="Y1973" s="39"/>
    </row>
    <row r="1974" spans="1:25" ht="15" thickBot="1">
      <c r="A1974" s="149">
        <f t="shared" si="2122"/>
        <v>45918.124999997199</v>
      </c>
      <c r="B1974" s="30">
        <f t="shared" si="2077"/>
        <v>5000</v>
      </c>
      <c r="C1974" s="8">
        <v>25000</v>
      </c>
      <c r="D1974" s="187">
        <v>0</v>
      </c>
      <c r="E1974" s="187">
        <v>700</v>
      </c>
      <c r="F1974" s="187">
        <v>15000</v>
      </c>
      <c r="G1974" s="30">
        <f t="shared" si="2078"/>
        <v>2400</v>
      </c>
      <c r="H1974" s="8">
        <v>25000</v>
      </c>
      <c r="I1974" s="30">
        <f t="shared" si="2079"/>
        <v>5000</v>
      </c>
      <c r="J1974" s="187">
        <v>40000</v>
      </c>
      <c r="K1974" s="30">
        <f t="shared" si="2080"/>
        <v>5000</v>
      </c>
      <c r="L1974" s="187">
        <v>40000</v>
      </c>
      <c r="M1974" s="110">
        <v>9.5</v>
      </c>
      <c r="N1974" s="9">
        <f>VLOOKUP(DATE(YEAR(A1974),MONTH(A1974),DAY(A1974)),FY24_Temp[],3,FALSE)</f>
        <v>15.49</v>
      </c>
      <c r="O1974" s="110">
        <f t="shared" si="2066"/>
        <v>11.5</v>
      </c>
      <c r="P1974" s="110">
        <f t="shared" si="2067"/>
        <v>19.5</v>
      </c>
      <c r="Q1974" s="79">
        <f>VLOOKUP(VLOOKUP(DATEVALUE(TEXT(A1974,"m/d/yyyy")),FY24_Temp[],5,FALSE)&amp;TEXT(A1974,"-h"),TempDelta[],4,FALSE)</f>
        <v>2.2029999664851596</v>
      </c>
      <c r="R1974">
        <v>10</v>
      </c>
      <c r="S1974" s="112">
        <v>1500</v>
      </c>
      <c r="T1974" s="5">
        <f>VLOOKUP(TEXT(A1974,"yy-mm")&amp;"-"&amp;IF(AND(WEEKDAY(A1974)&gt;1,WEEKDAY(A1974)&lt;7),"Wkd",TEXT(A1974,"Ddd"))&amp;"-"&amp;TEXT(A1974,"hh"),LoadTable[],3,FALSE)*0.92</f>
        <v>289.05894152419745</v>
      </c>
      <c r="U1974" s="113">
        <f t="shared" si="2068"/>
        <v>28.905894152419744</v>
      </c>
      <c r="V1974">
        <f t="shared" ref="V1974:W1974" si="2124">V1950</f>
        <v>2.7</v>
      </c>
      <c r="W1974">
        <f t="shared" si="2124"/>
        <v>3.2</v>
      </c>
      <c r="X1974" s="9">
        <v>-29.294147116666501</v>
      </c>
      <c r="Y1974" s="39"/>
    </row>
    <row r="1975" spans="1:25" ht="15" thickBot="1">
      <c r="A1975" s="149">
        <f t="shared" si="2122"/>
        <v>45918.166666663863</v>
      </c>
      <c r="B1975" s="30">
        <f t="shared" si="2077"/>
        <v>5000</v>
      </c>
      <c r="C1975" s="8">
        <v>25000</v>
      </c>
      <c r="D1975" s="187">
        <v>0</v>
      </c>
      <c r="E1975" s="187">
        <v>700</v>
      </c>
      <c r="F1975" s="187">
        <v>15000</v>
      </c>
      <c r="G1975" s="30">
        <f t="shared" si="2078"/>
        <v>2400</v>
      </c>
      <c r="H1975" s="8">
        <v>25000</v>
      </c>
      <c r="I1975" s="30">
        <f t="shared" si="2079"/>
        <v>5000</v>
      </c>
      <c r="J1975" s="187">
        <v>40000</v>
      </c>
      <c r="K1975" s="30">
        <f t="shared" si="2080"/>
        <v>5000</v>
      </c>
      <c r="L1975" s="187">
        <v>40000</v>
      </c>
      <c r="M1975" s="110">
        <v>9.5</v>
      </c>
      <c r="N1975" s="9">
        <f>VLOOKUP(DATE(YEAR(A1975),MONTH(A1975),DAY(A1975)),FY24_Temp[],3,FALSE)</f>
        <v>15.49</v>
      </c>
      <c r="O1975" s="110">
        <f t="shared" si="2066"/>
        <v>11.5</v>
      </c>
      <c r="P1975" s="110">
        <f t="shared" si="2067"/>
        <v>19.5</v>
      </c>
      <c r="Q1975" s="79">
        <f>VLOOKUP(VLOOKUP(DATEVALUE(TEXT(A1975,"m/d/yyyy")),FY24_Temp[],5,FALSE)&amp;TEXT(A1975,"-h"),TempDelta[],4,FALSE)</f>
        <v>2.2338571548461914</v>
      </c>
      <c r="R1975">
        <v>10</v>
      </c>
      <c r="S1975" s="112">
        <v>1500</v>
      </c>
      <c r="T1975" s="5">
        <f>VLOOKUP(TEXT(A1975,"yy-mm")&amp;"-"&amp;IF(AND(WEEKDAY(A1975)&gt;1,WEEKDAY(A1975)&lt;7),"Wkd",TEXT(A1975,"Ddd"))&amp;"-"&amp;TEXT(A1975,"hh"),LoadTable[],3,FALSE)*0.92</f>
        <v>289.05894152419745</v>
      </c>
      <c r="U1975" s="113">
        <f t="shared" si="2068"/>
        <v>28.905894152419744</v>
      </c>
      <c r="V1975">
        <f t="shared" ref="V1975:W1975" si="2125">V1951</f>
        <v>3</v>
      </c>
      <c r="W1975">
        <f t="shared" si="2125"/>
        <v>3.1</v>
      </c>
      <c r="X1975" s="9">
        <v>-29.371941666666501</v>
      </c>
      <c r="Y1975" s="39"/>
    </row>
    <row r="1976" spans="1:25" ht="15" thickBot="1">
      <c r="A1976" s="149">
        <f t="shared" si="2122"/>
        <v>45918.208333330527</v>
      </c>
      <c r="B1976" s="30">
        <f t="shared" si="2077"/>
        <v>5000</v>
      </c>
      <c r="C1976" s="8">
        <v>25000</v>
      </c>
      <c r="D1976" s="187">
        <v>0</v>
      </c>
      <c r="E1976" s="187">
        <v>700</v>
      </c>
      <c r="F1976" s="187">
        <v>15000</v>
      </c>
      <c r="G1976" s="30">
        <f t="shared" si="2078"/>
        <v>2400</v>
      </c>
      <c r="H1976" s="8">
        <v>25000</v>
      </c>
      <c r="I1976" s="30">
        <f t="shared" si="2079"/>
        <v>5000</v>
      </c>
      <c r="J1976" s="187">
        <v>40000</v>
      </c>
      <c r="K1976" s="30">
        <f t="shared" si="2080"/>
        <v>5000</v>
      </c>
      <c r="L1976" s="187">
        <v>40000</v>
      </c>
      <c r="M1976" s="110">
        <v>9.5</v>
      </c>
      <c r="N1976" s="9">
        <f>VLOOKUP(DATE(YEAR(A1976),MONTH(A1976),DAY(A1976)),FY24_Temp[],3,FALSE)</f>
        <v>15.49</v>
      </c>
      <c r="O1976" s="110">
        <f t="shared" si="2066"/>
        <v>11.5</v>
      </c>
      <c r="P1976" s="110">
        <f t="shared" si="2067"/>
        <v>19.5</v>
      </c>
      <c r="Q1976" s="79">
        <f>VLOOKUP(VLOOKUP(DATEVALUE(TEXT(A1976,"m/d/yyyy")),FY24_Temp[],5,FALSE)&amp;TEXT(A1976,"-h"),TempDelta[],4,FALSE)</f>
        <v>2.3308571066175188</v>
      </c>
      <c r="R1976">
        <v>10</v>
      </c>
      <c r="S1976" s="112">
        <v>1500</v>
      </c>
      <c r="T1976" s="5">
        <f>VLOOKUP(TEXT(A1976,"yy-mm")&amp;"-"&amp;IF(AND(WEEKDAY(A1976)&gt;1,WEEKDAY(A1976)&lt;7),"Wkd",TEXT(A1976,"Ddd"))&amp;"-"&amp;TEXT(A1976,"hh"),LoadTable[],3,FALSE)*0.92</f>
        <v>289.05894152419745</v>
      </c>
      <c r="U1976" s="113">
        <f t="shared" si="2068"/>
        <v>28.905894152419744</v>
      </c>
      <c r="V1976">
        <f t="shared" ref="V1976:W1976" si="2126">V1952</f>
        <v>2.9</v>
      </c>
      <c r="W1976">
        <f t="shared" si="2126"/>
        <v>3.1</v>
      </c>
      <c r="X1976" s="9">
        <v>-29.449736216666501</v>
      </c>
      <c r="Y1976" s="39"/>
    </row>
    <row r="1977" spans="1:25" ht="15" thickBot="1">
      <c r="A1977" s="149">
        <f t="shared" si="2122"/>
        <v>45918.249999997191</v>
      </c>
      <c r="B1977" s="30">
        <f t="shared" si="2077"/>
        <v>8000</v>
      </c>
      <c r="C1977" s="8">
        <v>25000</v>
      </c>
      <c r="D1977" s="187">
        <v>0</v>
      </c>
      <c r="E1977" s="187">
        <v>700</v>
      </c>
      <c r="F1977" s="187">
        <v>15000</v>
      </c>
      <c r="G1977" s="30">
        <f t="shared" si="2078"/>
        <v>2400</v>
      </c>
      <c r="H1977" s="8">
        <v>25000</v>
      </c>
      <c r="I1977" s="30">
        <f t="shared" si="2079"/>
        <v>8000</v>
      </c>
      <c r="J1977" s="187">
        <v>40000</v>
      </c>
      <c r="K1977" s="30">
        <f t="shared" si="2080"/>
        <v>8000</v>
      </c>
      <c r="L1977" s="187">
        <v>40000</v>
      </c>
      <c r="M1977" s="110">
        <v>9.5</v>
      </c>
      <c r="N1977" s="9">
        <f>VLOOKUP(DATE(YEAR(A1977),MONTH(A1977),DAY(A1977)),FY24_Temp[],3,FALSE)</f>
        <v>15.49</v>
      </c>
      <c r="O1977" s="110">
        <f t="shared" si="2066"/>
        <v>11.5</v>
      </c>
      <c r="P1977" s="110">
        <f t="shared" si="2067"/>
        <v>19.5</v>
      </c>
      <c r="Q1977" s="79">
        <f>VLOOKUP(VLOOKUP(DATEVALUE(TEXT(A1977,"m/d/yyyy")),FY24_Temp[],5,FALSE)&amp;TEXT(A1977,"-h"),TempDelta[],4,FALSE)</f>
        <v>2.2878571578434537</v>
      </c>
      <c r="R1977">
        <v>10</v>
      </c>
      <c r="S1977" s="112">
        <v>1500</v>
      </c>
      <c r="T1977" s="5">
        <f>VLOOKUP(TEXT(A1977,"yy-mm")&amp;"-"&amp;IF(AND(WEEKDAY(A1977)&gt;1,WEEKDAY(A1977)&lt;7),"Wkd",TEXT(A1977,"Ddd"))&amp;"-"&amp;TEXT(A1977,"hh"),LoadTable[],3,FALSE)*0.92</f>
        <v>291.12479999999999</v>
      </c>
      <c r="U1977" s="113">
        <f t="shared" si="2068"/>
        <v>29.112479999999998</v>
      </c>
      <c r="V1977">
        <f t="shared" ref="V1977:W1977" si="2127">V1953</f>
        <v>2.5</v>
      </c>
      <c r="W1977">
        <f t="shared" si="2127"/>
        <v>3.1</v>
      </c>
      <c r="X1977" s="9">
        <v>-29.527530766666501</v>
      </c>
      <c r="Y1977" s="39"/>
    </row>
    <row r="1978" spans="1:25" ht="15" thickBot="1">
      <c r="A1978" s="149">
        <f t="shared" si="2122"/>
        <v>45918.291666663856</v>
      </c>
      <c r="B1978" s="30">
        <f t="shared" si="2077"/>
        <v>8000</v>
      </c>
      <c r="C1978" s="8">
        <v>25000</v>
      </c>
      <c r="D1978" s="187">
        <v>0</v>
      </c>
      <c r="E1978" s="187">
        <v>700</v>
      </c>
      <c r="F1978" s="187">
        <v>15000</v>
      </c>
      <c r="G1978" s="30">
        <f t="shared" si="2078"/>
        <v>2400</v>
      </c>
      <c r="H1978" s="8">
        <v>25000</v>
      </c>
      <c r="I1978" s="30">
        <f t="shared" si="2079"/>
        <v>8000</v>
      </c>
      <c r="J1978" s="187">
        <v>40000</v>
      </c>
      <c r="K1978" s="30">
        <f t="shared" si="2080"/>
        <v>8000</v>
      </c>
      <c r="L1978" s="187">
        <v>40000</v>
      </c>
      <c r="M1978" s="110">
        <v>9.5</v>
      </c>
      <c r="N1978" s="9">
        <f>VLOOKUP(DATE(YEAR(A1978),MONTH(A1978),DAY(A1978)),FY24_Temp[],3,FALSE)</f>
        <v>15.49</v>
      </c>
      <c r="O1978" s="110">
        <f t="shared" si="2066"/>
        <v>11.5</v>
      </c>
      <c r="P1978" s="110">
        <f t="shared" si="2067"/>
        <v>19.5</v>
      </c>
      <c r="Q1978" s="79">
        <f>VLOOKUP(VLOOKUP(DATEVALUE(TEXT(A1978,"m/d/yyyy")),FY24_Temp[],5,FALSE)&amp;TEXT(A1978,"-h"),TempDelta[],4,FALSE)</f>
        <v>2.1535714353833879</v>
      </c>
      <c r="R1978">
        <v>10</v>
      </c>
      <c r="S1978" s="112">
        <v>1500</v>
      </c>
      <c r="T1978" s="5">
        <f>VLOOKUP(TEXT(A1978,"yy-mm")&amp;"-"&amp;IF(AND(WEEKDAY(A1978)&gt;1,WEEKDAY(A1978)&lt;7),"Wkd",TEXT(A1978,"Ddd"))&amp;"-"&amp;TEXT(A1978,"hh"),LoadTable[],3,FALSE)*0.92</f>
        <v>291.12479999999999</v>
      </c>
      <c r="U1978" s="113">
        <f t="shared" si="2068"/>
        <v>29.112479999999998</v>
      </c>
      <c r="V1978">
        <f t="shared" ref="V1978:W1978" si="2128">V1954</f>
        <v>2.5</v>
      </c>
      <c r="W1978">
        <f t="shared" si="2128"/>
        <v>3.1</v>
      </c>
      <c r="X1978" s="9">
        <v>-29.605325316666502</v>
      </c>
      <c r="Y1978" s="39"/>
    </row>
    <row r="1979" spans="1:25" ht="15" thickBot="1">
      <c r="A1979" s="149">
        <f t="shared" si="2122"/>
        <v>45918.33333333052</v>
      </c>
      <c r="B1979" s="30">
        <f t="shared" si="2077"/>
        <v>8000</v>
      </c>
      <c r="C1979" s="8">
        <v>25000</v>
      </c>
      <c r="D1979" s="187">
        <v>0</v>
      </c>
      <c r="E1979" s="187">
        <v>700</v>
      </c>
      <c r="F1979" s="187">
        <v>15000</v>
      </c>
      <c r="G1979" s="30">
        <f t="shared" si="2078"/>
        <v>2400</v>
      </c>
      <c r="H1979" s="8">
        <v>25000</v>
      </c>
      <c r="I1979" s="30">
        <f t="shared" si="2079"/>
        <v>8000</v>
      </c>
      <c r="J1979" s="187">
        <v>40000</v>
      </c>
      <c r="K1979" s="30">
        <f t="shared" si="2080"/>
        <v>8000</v>
      </c>
      <c r="L1979" s="187">
        <v>40000</v>
      </c>
      <c r="M1979" s="110">
        <v>9.5</v>
      </c>
      <c r="N1979" s="9">
        <f>VLOOKUP(DATE(YEAR(A1979),MONTH(A1979),DAY(A1979)),FY24_Temp[],3,FALSE)</f>
        <v>15.49</v>
      </c>
      <c r="O1979" s="110">
        <f t="shared" si="2066"/>
        <v>11.5</v>
      </c>
      <c r="P1979" s="110">
        <f t="shared" si="2067"/>
        <v>19.5</v>
      </c>
      <c r="Q1979" s="79">
        <f>VLOOKUP(VLOOKUP(DATEVALUE(TEXT(A1979,"m/d/yyyy")),FY24_Temp[],5,FALSE)&amp;TEXT(A1979,"-h"),TempDelta[],4,FALSE)</f>
        <v>1.9890000138963972</v>
      </c>
      <c r="R1979">
        <v>10</v>
      </c>
      <c r="S1979" s="112">
        <v>1500</v>
      </c>
      <c r="T1979" s="5">
        <f>VLOOKUP(TEXT(A1979,"yy-mm")&amp;"-"&amp;IF(AND(WEEKDAY(A1979)&gt;1,WEEKDAY(A1979)&lt;7),"Wkd",TEXT(A1979,"Ddd"))&amp;"-"&amp;TEXT(A1979,"hh"),LoadTable[],3,FALSE)*0.92</f>
        <v>291.12479999999999</v>
      </c>
      <c r="U1979" s="113">
        <f t="shared" si="2068"/>
        <v>29.112479999999998</v>
      </c>
      <c r="V1979">
        <f t="shared" ref="V1979:W1979" si="2129">V1955</f>
        <v>3.2</v>
      </c>
      <c r="W1979">
        <f t="shared" si="2129"/>
        <v>3</v>
      </c>
      <c r="X1979" s="9">
        <v>-29.683119866666502</v>
      </c>
      <c r="Y1979" s="39"/>
    </row>
    <row r="1980" spans="1:25" ht="15" thickBot="1">
      <c r="A1980" s="149">
        <f t="shared" si="2122"/>
        <v>45918.374999997184</v>
      </c>
      <c r="B1980" s="30">
        <f t="shared" si="2077"/>
        <v>8000</v>
      </c>
      <c r="C1980" s="8">
        <v>25000</v>
      </c>
      <c r="D1980" s="187">
        <v>0</v>
      </c>
      <c r="E1980" s="187">
        <v>700</v>
      </c>
      <c r="F1980" s="187">
        <v>15000</v>
      </c>
      <c r="G1980" s="30">
        <f t="shared" si="2078"/>
        <v>2400</v>
      </c>
      <c r="H1980" s="8">
        <v>25000</v>
      </c>
      <c r="I1980" s="30">
        <f t="shared" si="2079"/>
        <v>8000</v>
      </c>
      <c r="J1980" s="187">
        <v>40000</v>
      </c>
      <c r="K1980" s="30">
        <f t="shared" si="2080"/>
        <v>8000</v>
      </c>
      <c r="L1980" s="187">
        <v>40000</v>
      </c>
      <c r="M1980" s="110">
        <v>9.5</v>
      </c>
      <c r="N1980" s="9">
        <f>VLOOKUP(DATE(YEAR(A1980),MONTH(A1980),DAY(A1980)),FY24_Temp[],3,FALSE)</f>
        <v>15.49</v>
      </c>
      <c r="O1980" s="110">
        <f t="shared" si="2066"/>
        <v>11.5</v>
      </c>
      <c r="P1980" s="110">
        <f t="shared" si="2067"/>
        <v>19.5</v>
      </c>
      <c r="Q1980" s="79">
        <f>VLOOKUP(VLOOKUP(DATEVALUE(TEXT(A1980,"m/d/yyyy")),FY24_Temp[],5,FALSE)&amp;TEXT(A1980,"-h"),TempDelta[],4,FALSE)</f>
        <v>1.8358571359089442</v>
      </c>
      <c r="R1980">
        <v>10</v>
      </c>
      <c r="S1980" s="112">
        <v>1500</v>
      </c>
      <c r="T1980" s="5">
        <f>VLOOKUP(TEXT(A1980,"yy-mm")&amp;"-"&amp;IF(AND(WEEKDAY(A1980)&gt;1,WEEKDAY(A1980)&lt;7),"Wkd",TEXT(A1980,"Ddd"))&amp;"-"&amp;TEXT(A1980,"hh"),LoadTable[],3,FALSE)*0.92</f>
        <v>291.12479999999999</v>
      </c>
      <c r="U1980" s="113">
        <f t="shared" si="2068"/>
        <v>29.112479999999998</v>
      </c>
      <c r="V1980">
        <f t="shared" ref="V1980:W1980" si="2130">V1956</f>
        <v>2.9</v>
      </c>
      <c r="W1980">
        <f t="shared" si="2130"/>
        <v>3</v>
      </c>
      <c r="X1980" s="9">
        <v>-29.760914416666498</v>
      </c>
      <c r="Y1980" s="39"/>
    </row>
    <row r="1981" spans="1:25" ht="15" thickBot="1">
      <c r="A1981" s="149">
        <f t="shared" si="2122"/>
        <v>45918.416666663848</v>
      </c>
      <c r="B1981" s="30">
        <f t="shared" si="2077"/>
        <v>8000</v>
      </c>
      <c r="C1981" s="8">
        <v>25000</v>
      </c>
      <c r="D1981" s="187">
        <v>0</v>
      </c>
      <c r="E1981" s="187">
        <v>700</v>
      </c>
      <c r="F1981" s="187">
        <v>15000</v>
      </c>
      <c r="G1981" s="30">
        <f t="shared" si="2078"/>
        <v>2400</v>
      </c>
      <c r="H1981" s="8">
        <v>25000</v>
      </c>
      <c r="I1981" s="30">
        <f t="shared" si="2079"/>
        <v>8000</v>
      </c>
      <c r="J1981" s="187">
        <v>40000</v>
      </c>
      <c r="K1981" s="30">
        <f t="shared" si="2080"/>
        <v>8000</v>
      </c>
      <c r="L1981" s="187">
        <v>40000</v>
      </c>
      <c r="M1981" s="110">
        <v>9.5</v>
      </c>
      <c r="N1981" s="9">
        <f>VLOOKUP(DATE(YEAR(A1981),MONTH(A1981),DAY(A1981)),FY24_Temp[],3,FALSE)</f>
        <v>15.49</v>
      </c>
      <c r="O1981" s="110">
        <f t="shared" si="2066"/>
        <v>11.5</v>
      </c>
      <c r="P1981" s="110">
        <f t="shared" si="2067"/>
        <v>19.5</v>
      </c>
      <c r="Q1981" s="79">
        <f>VLOOKUP(VLOOKUP(DATEVALUE(TEXT(A1981,"m/d/yyyy")),FY24_Temp[],5,FALSE)&amp;TEXT(A1981,"-h"),TempDelta[],4,FALSE)</f>
        <v>1.6792856965746199</v>
      </c>
      <c r="R1981">
        <v>10</v>
      </c>
      <c r="S1981" s="112">
        <v>1500</v>
      </c>
      <c r="T1981" s="5">
        <f>VLOOKUP(TEXT(A1981,"yy-mm")&amp;"-"&amp;IF(AND(WEEKDAY(A1981)&gt;1,WEEKDAY(A1981)&lt;7),"Wkd",TEXT(A1981,"Ddd"))&amp;"-"&amp;TEXT(A1981,"hh"),LoadTable[],3,FALSE)*0.92</f>
        <v>290.74956158350585</v>
      </c>
      <c r="U1981" s="113">
        <f t="shared" si="2068"/>
        <v>29.074956158350584</v>
      </c>
      <c r="V1981">
        <f t="shared" ref="V1981:W1981" si="2131">V1957</f>
        <v>2.9</v>
      </c>
      <c r="W1981">
        <f t="shared" si="2131"/>
        <v>3</v>
      </c>
      <c r="X1981" s="9">
        <v>-29.838708966666498</v>
      </c>
      <c r="Y1981" s="39"/>
    </row>
    <row r="1982" spans="1:25" ht="15" thickBot="1">
      <c r="A1982" s="149">
        <f t="shared" si="2122"/>
        <v>45918.458333330513</v>
      </c>
      <c r="B1982" s="30">
        <f t="shared" si="2077"/>
        <v>8000</v>
      </c>
      <c r="C1982" s="8">
        <v>25000</v>
      </c>
      <c r="D1982" s="187">
        <v>0</v>
      </c>
      <c r="E1982" s="187">
        <v>700</v>
      </c>
      <c r="F1982" s="187">
        <v>15000</v>
      </c>
      <c r="G1982" s="30">
        <f t="shared" si="2078"/>
        <v>2400</v>
      </c>
      <c r="H1982" s="8">
        <v>25000</v>
      </c>
      <c r="I1982" s="30">
        <f t="shared" si="2079"/>
        <v>8000</v>
      </c>
      <c r="J1982" s="187">
        <v>40000</v>
      </c>
      <c r="K1982" s="30">
        <f t="shared" si="2080"/>
        <v>8000</v>
      </c>
      <c r="L1982" s="187">
        <v>40000</v>
      </c>
      <c r="M1982" s="110">
        <v>9.5</v>
      </c>
      <c r="N1982" s="9">
        <f>VLOOKUP(DATE(YEAR(A1982),MONTH(A1982),DAY(A1982)),FY24_Temp[],3,FALSE)</f>
        <v>15.49</v>
      </c>
      <c r="O1982" s="110">
        <f t="shared" si="2066"/>
        <v>11.5</v>
      </c>
      <c r="P1982" s="110">
        <f t="shared" si="2067"/>
        <v>19.5</v>
      </c>
      <c r="Q1982" s="79">
        <f>VLOOKUP(VLOOKUP(DATEVALUE(TEXT(A1982,"m/d/yyyy")),FY24_Temp[],5,FALSE)&amp;TEXT(A1982,"-h"),TempDelta[],4,FALSE)</f>
        <v>1.4937142814908708</v>
      </c>
      <c r="R1982">
        <v>10</v>
      </c>
      <c r="S1982" s="112">
        <v>1500</v>
      </c>
      <c r="T1982" s="5">
        <f>VLOOKUP(TEXT(A1982,"yy-mm")&amp;"-"&amp;IF(AND(WEEKDAY(A1982)&gt;1,WEEKDAY(A1982)&lt;7),"Wkd",TEXT(A1982,"Ddd"))&amp;"-"&amp;TEXT(A1982,"hh"),LoadTable[],3,FALSE)*0.92</f>
        <v>290.74956158350585</v>
      </c>
      <c r="U1982" s="113">
        <f t="shared" si="2068"/>
        <v>29.074956158350584</v>
      </c>
      <c r="V1982">
        <f t="shared" ref="V1982:W1982" si="2132">V1958</f>
        <v>3.4</v>
      </c>
      <c r="W1982">
        <f t="shared" si="2132"/>
        <v>3</v>
      </c>
      <c r="X1982" s="9">
        <v>-29.916503516666499</v>
      </c>
      <c r="Y1982" s="39"/>
    </row>
    <row r="1983" spans="1:25" ht="15" thickBot="1">
      <c r="A1983" s="149">
        <f t="shared" si="2122"/>
        <v>45918.499999997177</v>
      </c>
      <c r="B1983" s="30">
        <f t="shared" si="2077"/>
        <v>8000</v>
      </c>
      <c r="C1983" s="8">
        <v>25000</v>
      </c>
      <c r="D1983" s="187">
        <v>0</v>
      </c>
      <c r="E1983" s="187">
        <v>700</v>
      </c>
      <c r="F1983" s="187">
        <v>15000</v>
      </c>
      <c r="G1983" s="30">
        <f t="shared" si="2078"/>
        <v>2400</v>
      </c>
      <c r="H1983" s="8">
        <v>25000</v>
      </c>
      <c r="I1983" s="30">
        <f t="shared" si="2079"/>
        <v>8000</v>
      </c>
      <c r="J1983" s="187">
        <v>40000</v>
      </c>
      <c r="K1983" s="30">
        <f t="shared" si="2080"/>
        <v>8000</v>
      </c>
      <c r="L1983" s="187">
        <v>40000</v>
      </c>
      <c r="M1983" s="110">
        <v>9.5</v>
      </c>
      <c r="N1983" s="9">
        <f>VLOOKUP(DATE(YEAR(A1983),MONTH(A1983),DAY(A1983)),FY24_Temp[],3,FALSE)</f>
        <v>15.49</v>
      </c>
      <c r="O1983" s="110">
        <f t="shared" si="2066"/>
        <v>11.5</v>
      </c>
      <c r="P1983" s="110">
        <f t="shared" si="2067"/>
        <v>19.5</v>
      </c>
      <c r="Q1983" s="79">
        <f>VLOOKUP(VLOOKUP(DATEVALUE(TEXT(A1983,"m/d/yyyy")),FY24_Temp[],5,FALSE)&amp;TEXT(A1983,"-h"),TempDelta[],4,FALSE)</f>
        <v>1.3148571423121862</v>
      </c>
      <c r="R1983">
        <v>10</v>
      </c>
      <c r="S1983" s="112">
        <v>1500</v>
      </c>
      <c r="T1983" s="5">
        <f>VLOOKUP(TEXT(A1983,"yy-mm")&amp;"-"&amp;IF(AND(WEEKDAY(A1983)&gt;1,WEEKDAY(A1983)&lt;7),"Wkd",TEXT(A1983,"Ddd"))&amp;"-"&amp;TEXT(A1983,"hh"),LoadTable[],3,FALSE)*0.92</f>
        <v>290.74956158350585</v>
      </c>
      <c r="U1983" s="113">
        <f t="shared" si="2068"/>
        <v>29.074956158350584</v>
      </c>
      <c r="V1983">
        <f t="shared" ref="V1983:W1983" si="2133">V1959</f>
        <v>3.1</v>
      </c>
      <c r="W1983">
        <f t="shared" si="2133"/>
        <v>2.9</v>
      </c>
      <c r="X1983" s="9">
        <v>-29.994298066666499</v>
      </c>
      <c r="Y1983" s="39"/>
    </row>
    <row r="1984" spans="1:25" ht="15" thickBot="1">
      <c r="A1984" s="149">
        <f t="shared" si="2122"/>
        <v>45918.541666663841</v>
      </c>
      <c r="B1984" s="30">
        <f t="shared" si="2077"/>
        <v>8000</v>
      </c>
      <c r="C1984" s="8">
        <v>25000</v>
      </c>
      <c r="D1984" s="187">
        <v>0</v>
      </c>
      <c r="E1984" s="187">
        <v>700</v>
      </c>
      <c r="F1984" s="187">
        <v>15000</v>
      </c>
      <c r="G1984" s="30">
        <f t="shared" si="2078"/>
        <v>2400</v>
      </c>
      <c r="H1984" s="8">
        <v>25000</v>
      </c>
      <c r="I1984" s="30">
        <f t="shared" si="2079"/>
        <v>8000</v>
      </c>
      <c r="J1984" s="187">
        <v>40000</v>
      </c>
      <c r="K1984" s="30">
        <f t="shared" si="2080"/>
        <v>8000</v>
      </c>
      <c r="L1984" s="187">
        <v>40000</v>
      </c>
      <c r="M1984" s="110">
        <v>9.5</v>
      </c>
      <c r="N1984" s="9">
        <f>VLOOKUP(DATE(YEAR(A1984),MONTH(A1984),DAY(A1984)),FY24_Temp[],3,FALSE)</f>
        <v>15.49</v>
      </c>
      <c r="O1984" s="110">
        <f t="shared" si="2066"/>
        <v>11.5</v>
      </c>
      <c r="P1984" s="110">
        <f t="shared" si="2067"/>
        <v>19.5</v>
      </c>
      <c r="Q1984" s="79">
        <f>VLOOKUP(VLOOKUP(DATEVALUE(TEXT(A1984,"m/d/yyyy")),FY24_Temp[],5,FALSE)&amp;TEXT(A1984,"-h"),TempDelta[],4,FALSE)</f>
        <v>1.1432857002530779</v>
      </c>
      <c r="R1984">
        <v>10</v>
      </c>
      <c r="S1984" s="112">
        <v>1500</v>
      </c>
      <c r="T1984" s="5">
        <f>VLOOKUP(TEXT(A1984,"yy-mm")&amp;"-"&amp;IF(AND(WEEKDAY(A1984)&gt;1,WEEKDAY(A1984)&lt;7),"Wkd",TEXT(A1984,"Ddd"))&amp;"-"&amp;TEXT(A1984,"hh"),LoadTable[],3,FALSE)*0.92</f>
        <v>290.72204920255348</v>
      </c>
      <c r="U1984" s="113">
        <f t="shared" si="2068"/>
        <v>29.072204920255349</v>
      </c>
      <c r="V1984">
        <f t="shared" ref="V1984:W1984" si="2134">V1960</f>
        <v>3.2</v>
      </c>
      <c r="W1984">
        <f t="shared" si="2134"/>
        <v>2.9</v>
      </c>
      <c r="X1984" s="9">
        <v>-30.072092616666499</v>
      </c>
      <c r="Y1984" s="39"/>
    </row>
    <row r="1985" spans="1:25" ht="15" thickBot="1">
      <c r="A1985" s="149">
        <f t="shared" si="2122"/>
        <v>45918.583333330505</v>
      </c>
      <c r="B1985" s="30">
        <f t="shared" si="2077"/>
        <v>8000</v>
      </c>
      <c r="C1985" s="8">
        <v>25000</v>
      </c>
      <c r="D1985" s="187">
        <v>0</v>
      </c>
      <c r="E1985" s="187">
        <v>700</v>
      </c>
      <c r="F1985" s="187">
        <v>15000</v>
      </c>
      <c r="G1985" s="30">
        <f t="shared" si="2078"/>
        <v>2400</v>
      </c>
      <c r="H1985" s="8">
        <v>25000</v>
      </c>
      <c r="I1985" s="30">
        <f t="shared" si="2079"/>
        <v>8000</v>
      </c>
      <c r="J1985" s="187">
        <v>40000</v>
      </c>
      <c r="K1985" s="30">
        <f t="shared" si="2080"/>
        <v>8000</v>
      </c>
      <c r="L1985" s="187">
        <v>40000</v>
      </c>
      <c r="M1985" s="110">
        <v>9.5</v>
      </c>
      <c r="N1985" s="9">
        <f>VLOOKUP(DATE(YEAR(A1985),MONTH(A1985),DAY(A1985)),FY24_Temp[],3,FALSE)</f>
        <v>15.49</v>
      </c>
      <c r="O1985" s="110">
        <f t="shared" si="2066"/>
        <v>11.5</v>
      </c>
      <c r="P1985" s="110">
        <f t="shared" si="2067"/>
        <v>19.5</v>
      </c>
      <c r="Q1985" s="79">
        <f>VLOOKUP(VLOOKUP(DATEVALUE(TEXT(A1985,"m/d/yyyy")),FY24_Temp[],5,FALSE)&amp;TEXT(A1985,"-h"),TempDelta[],4,FALSE)</f>
        <v>0.98585713761193416</v>
      </c>
      <c r="R1985">
        <v>10</v>
      </c>
      <c r="S1985" s="112">
        <v>1500</v>
      </c>
      <c r="T1985" s="5">
        <f>VLOOKUP(TEXT(A1985,"yy-mm")&amp;"-"&amp;IF(AND(WEEKDAY(A1985)&gt;1,WEEKDAY(A1985)&lt;7),"Wkd",TEXT(A1985,"Ddd"))&amp;"-"&amp;TEXT(A1985,"hh"),LoadTable[],3,FALSE)*0.92</f>
        <v>363.28132000000005</v>
      </c>
      <c r="U1985" s="113">
        <f t="shared" si="2068"/>
        <v>36.328132000000004</v>
      </c>
      <c r="V1985">
        <f t="shared" ref="V1985:W1985" si="2135">V1961</f>
        <v>3.5</v>
      </c>
      <c r="W1985">
        <f t="shared" si="2135"/>
        <v>2.9</v>
      </c>
      <c r="X1985" s="9">
        <v>-30.149887166666499</v>
      </c>
      <c r="Y1985" s="39"/>
    </row>
    <row r="1986" spans="1:25" ht="15" thickBot="1">
      <c r="A1986" s="149">
        <f t="shared" si="2122"/>
        <v>45918.62499999717</v>
      </c>
      <c r="B1986" s="30">
        <f t="shared" si="2077"/>
        <v>8000</v>
      </c>
      <c r="C1986" s="8">
        <v>25000</v>
      </c>
      <c r="D1986" s="187">
        <v>0</v>
      </c>
      <c r="E1986" s="187">
        <v>700</v>
      </c>
      <c r="F1986" s="187">
        <v>15000</v>
      </c>
      <c r="G1986" s="30">
        <f t="shared" si="2078"/>
        <v>2400</v>
      </c>
      <c r="H1986" s="8">
        <v>25000</v>
      </c>
      <c r="I1986" s="30">
        <f t="shared" si="2079"/>
        <v>8000</v>
      </c>
      <c r="J1986" s="187">
        <v>40000</v>
      </c>
      <c r="K1986" s="30">
        <f t="shared" si="2080"/>
        <v>8000</v>
      </c>
      <c r="L1986" s="187">
        <v>40000</v>
      </c>
      <c r="M1986" s="110">
        <v>9.5</v>
      </c>
      <c r="N1986" s="9">
        <f>VLOOKUP(DATE(YEAR(A1986),MONTH(A1986),DAY(A1986)),FY24_Temp[],3,FALSE)</f>
        <v>15.49</v>
      </c>
      <c r="O1986" s="110">
        <f t="shared" si="2066"/>
        <v>11.5</v>
      </c>
      <c r="P1986" s="110">
        <f t="shared" si="2067"/>
        <v>19.5</v>
      </c>
      <c r="Q1986" s="79">
        <f>VLOOKUP(VLOOKUP(DATEVALUE(TEXT(A1986,"m/d/yyyy")),FY24_Temp[],5,FALSE)&amp;TEXT(A1986,"-h"),TempDelta[],4,FALSE)</f>
        <v>0.49378571685935768</v>
      </c>
      <c r="R1986">
        <v>10</v>
      </c>
      <c r="S1986" s="112">
        <v>1500</v>
      </c>
      <c r="T1986" s="5">
        <f>VLOOKUP(TEXT(A1986,"yy-mm")&amp;"-"&amp;IF(AND(WEEKDAY(A1986)&gt;1,WEEKDAY(A1986)&lt;7),"Wkd",TEXT(A1986,"Ddd"))&amp;"-"&amp;TEXT(A1986,"hh"),LoadTable[],3,FALSE)*0.92</f>
        <v>570.3300004440199</v>
      </c>
      <c r="U1986" s="113">
        <f t="shared" si="2068"/>
        <v>57.033000044401987</v>
      </c>
      <c r="V1986">
        <f t="shared" ref="V1986:W1986" si="2136">V1962</f>
        <v>3.2</v>
      </c>
      <c r="W1986">
        <f t="shared" si="2136"/>
        <v>2.9</v>
      </c>
      <c r="X1986" s="9">
        <v>-30.227681716666499</v>
      </c>
      <c r="Y1986" s="39"/>
    </row>
    <row r="1987" spans="1:25" ht="15" thickBot="1">
      <c r="A1987" s="149">
        <f t="shared" si="2122"/>
        <v>45918.666666663834</v>
      </c>
      <c r="B1987" s="30">
        <f t="shared" si="2077"/>
        <v>8000</v>
      </c>
      <c r="C1987" s="8">
        <v>25000</v>
      </c>
      <c r="D1987" s="187">
        <v>0</v>
      </c>
      <c r="E1987" s="187">
        <v>700</v>
      </c>
      <c r="F1987" s="187">
        <v>15000</v>
      </c>
      <c r="G1987" s="30">
        <f t="shared" si="2078"/>
        <v>2400</v>
      </c>
      <c r="H1987" s="8">
        <v>25000</v>
      </c>
      <c r="I1987" s="30">
        <f t="shared" si="2079"/>
        <v>8000</v>
      </c>
      <c r="J1987" s="187">
        <v>40000</v>
      </c>
      <c r="K1987" s="30">
        <f t="shared" si="2080"/>
        <v>8000</v>
      </c>
      <c r="L1987" s="187">
        <v>40000</v>
      </c>
      <c r="M1987" s="110">
        <v>9.5</v>
      </c>
      <c r="N1987" s="9">
        <f>VLOOKUP(DATE(YEAR(A1987),MONTH(A1987),DAY(A1987)),FY24_Temp[],3,FALSE)</f>
        <v>15.49</v>
      </c>
      <c r="O1987" s="110">
        <f t="shared" si="2066"/>
        <v>11.5</v>
      </c>
      <c r="P1987" s="110">
        <f t="shared" si="2067"/>
        <v>19.5</v>
      </c>
      <c r="Q1987" s="79">
        <f>VLOOKUP(VLOOKUP(DATEVALUE(TEXT(A1987,"m/d/yyyy")),FY24_Temp[],5,FALSE)&amp;TEXT(A1987,"-h"),TempDelta[],4,FALSE)</f>
        <v>0.57192856445908546</v>
      </c>
      <c r="R1987">
        <v>10</v>
      </c>
      <c r="S1987" s="112">
        <v>1500</v>
      </c>
      <c r="T1987" s="5">
        <f>VLOOKUP(TEXT(A1987,"yy-mm")&amp;"-"&amp;IF(AND(WEEKDAY(A1987)&gt;1,WEEKDAY(A1987)&lt;7),"Wkd",TEXT(A1987,"Ddd"))&amp;"-"&amp;TEXT(A1987,"hh"),LoadTable[],3,FALSE)*0.92</f>
        <v>602.16876690131596</v>
      </c>
      <c r="U1987" s="113">
        <f t="shared" si="2068"/>
        <v>60.216876690131599</v>
      </c>
      <c r="V1987">
        <f t="shared" ref="V1987:W1987" si="2137">V1963</f>
        <v>3.5</v>
      </c>
      <c r="W1987">
        <f t="shared" si="2137"/>
        <v>3</v>
      </c>
      <c r="X1987" s="9">
        <v>-30.305476266666499</v>
      </c>
      <c r="Y1987" s="39"/>
    </row>
    <row r="1988" spans="1:25" ht="15" thickBot="1">
      <c r="A1988" s="149">
        <f t="shared" si="2122"/>
        <v>45918.708333330498</v>
      </c>
      <c r="B1988" s="30">
        <f t="shared" si="2077"/>
        <v>8000</v>
      </c>
      <c r="C1988" s="8">
        <v>25000</v>
      </c>
      <c r="D1988" s="187">
        <v>0</v>
      </c>
      <c r="E1988" s="187">
        <v>700</v>
      </c>
      <c r="F1988" s="187">
        <v>15000</v>
      </c>
      <c r="G1988" s="30">
        <f t="shared" si="2078"/>
        <v>2400</v>
      </c>
      <c r="H1988" s="8">
        <v>25000</v>
      </c>
      <c r="I1988" s="30">
        <f t="shared" si="2079"/>
        <v>8000</v>
      </c>
      <c r="J1988" s="187">
        <v>40000</v>
      </c>
      <c r="K1988" s="30">
        <f t="shared" si="2080"/>
        <v>8000</v>
      </c>
      <c r="L1988" s="187">
        <v>40000</v>
      </c>
      <c r="M1988" s="110">
        <v>9.5</v>
      </c>
      <c r="N1988" s="9">
        <f>VLOOKUP(DATE(YEAR(A1988),MONTH(A1988),DAY(A1988)),FY24_Temp[],3,FALSE)</f>
        <v>15.49</v>
      </c>
      <c r="O1988" s="110">
        <f t="shared" ref="O1988:O2051" si="2138">15.5-4</f>
        <v>11.5</v>
      </c>
      <c r="P1988" s="110">
        <f t="shared" ref="P1988:P2051" si="2139">15.5+4</f>
        <v>19.5</v>
      </c>
      <c r="Q1988" s="79">
        <f>VLOOKUP(VLOOKUP(DATEVALUE(TEXT(A1988,"m/d/yyyy")),FY24_Temp[],5,FALSE)&amp;TEXT(A1988,"-h"),TempDelta[],4,FALSE)</f>
        <v>0.84400000103882378</v>
      </c>
      <c r="R1988">
        <v>10</v>
      </c>
      <c r="S1988" s="112">
        <v>1500</v>
      </c>
      <c r="T1988" s="5">
        <f>VLOOKUP(TEXT(A1988,"yy-mm")&amp;"-"&amp;IF(AND(WEEKDAY(A1988)&gt;1,WEEKDAY(A1988)&lt;7),"Wkd",TEXT(A1988,"Ddd"))&amp;"-"&amp;TEXT(A1988,"hh"),LoadTable[],3,FALSE)*0.92</f>
        <v>602.16876690131596</v>
      </c>
      <c r="U1988" s="113">
        <f t="shared" ref="U1988:U2051" si="2140">T1988/10</f>
        <v>60.216876690131599</v>
      </c>
      <c r="V1988">
        <f t="shared" ref="V1988:W1988" si="2141">V1964</f>
        <v>3.6</v>
      </c>
      <c r="W1988">
        <f t="shared" si="2141"/>
        <v>3</v>
      </c>
      <c r="X1988" s="9">
        <v>-30.383270816666499</v>
      </c>
      <c r="Y1988" s="39"/>
    </row>
    <row r="1989" spans="1:25" ht="15" thickBot="1">
      <c r="A1989" s="149">
        <f t="shared" si="2122"/>
        <v>45918.749999997162</v>
      </c>
      <c r="B1989" s="30">
        <f t="shared" si="2077"/>
        <v>5000</v>
      </c>
      <c r="C1989" s="8">
        <v>25000</v>
      </c>
      <c r="D1989" s="187">
        <v>0</v>
      </c>
      <c r="E1989" s="187">
        <v>700</v>
      </c>
      <c r="F1989" s="187">
        <v>15000</v>
      </c>
      <c r="G1989" s="30">
        <f t="shared" si="2078"/>
        <v>2400</v>
      </c>
      <c r="H1989" s="8">
        <v>25000</v>
      </c>
      <c r="I1989" s="30">
        <f t="shared" si="2079"/>
        <v>5000</v>
      </c>
      <c r="J1989" s="187">
        <v>40000</v>
      </c>
      <c r="K1989" s="30">
        <f t="shared" si="2080"/>
        <v>5000</v>
      </c>
      <c r="L1989" s="187">
        <v>40000</v>
      </c>
      <c r="M1989" s="110">
        <v>9.5</v>
      </c>
      <c r="N1989" s="9">
        <f>VLOOKUP(DATE(YEAR(A1989),MONTH(A1989),DAY(A1989)),FY24_Temp[],3,FALSE)</f>
        <v>15.49</v>
      </c>
      <c r="O1989" s="110">
        <f t="shared" si="2138"/>
        <v>11.5</v>
      </c>
      <c r="P1989" s="110">
        <f t="shared" si="2139"/>
        <v>19.5</v>
      </c>
      <c r="Q1989" s="79">
        <f>VLOOKUP(VLOOKUP(DATEVALUE(TEXT(A1989,"m/d/yyyy")),FY24_Temp[],5,FALSE)&amp;TEXT(A1989,"-h"),TempDelta[],4,FALSE)</f>
        <v>1.1615714260510035</v>
      </c>
      <c r="R1989">
        <v>10</v>
      </c>
      <c r="S1989" s="112">
        <v>1500</v>
      </c>
      <c r="T1989" s="5">
        <f>VLOOKUP(TEXT(A1989,"yy-mm")&amp;"-"&amp;IF(AND(WEEKDAY(A1989)&gt;1,WEEKDAY(A1989)&lt;7),"Wkd",TEXT(A1989,"Ddd"))&amp;"-"&amp;TEXT(A1989,"hh"),LoadTable[],3,FALSE)*0.92</f>
        <v>602.16876690131596</v>
      </c>
      <c r="U1989" s="113">
        <f t="shared" si="2140"/>
        <v>60.216876690131599</v>
      </c>
      <c r="V1989">
        <f t="shared" ref="V1989:W1989" si="2142">V1965</f>
        <v>2.9</v>
      </c>
      <c r="W1989">
        <f t="shared" si="2142"/>
        <v>3</v>
      </c>
      <c r="X1989" s="9">
        <v>-30.461065366666499</v>
      </c>
      <c r="Y1989" s="39"/>
    </row>
    <row r="1990" spans="1:25" ht="15" thickBot="1">
      <c r="A1990" s="149">
        <f t="shared" si="2122"/>
        <v>45918.791666663827</v>
      </c>
      <c r="B1990" s="30">
        <f t="shared" si="2077"/>
        <v>5000</v>
      </c>
      <c r="C1990" s="8">
        <v>25000</v>
      </c>
      <c r="D1990" s="187">
        <v>0</v>
      </c>
      <c r="E1990" s="187">
        <v>700</v>
      </c>
      <c r="F1990" s="187">
        <v>15000</v>
      </c>
      <c r="G1990" s="30">
        <f t="shared" si="2078"/>
        <v>2400</v>
      </c>
      <c r="H1990" s="8">
        <v>25000</v>
      </c>
      <c r="I1990" s="30">
        <f t="shared" si="2079"/>
        <v>5000</v>
      </c>
      <c r="J1990" s="187">
        <v>40000</v>
      </c>
      <c r="K1990" s="30">
        <f t="shared" si="2080"/>
        <v>5000</v>
      </c>
      <c r="L1990" s="187">
        <v>40000</v>
      </c>
      <c r="M1990" s="110">
        <v>9.5</v>
      </c>
      <c r="N1990" s="9">
        <f>VLOOKUP(DATE(YEAR(A1990),MONTH(A1990),DAY(A1990)),FY24_Temp[],3,FALSE)</f>
        <v>15.49</v>
      </c>
      <c r="O1990" s="110">
        <f t="shared" si="2138"/>
        <v>11.5</v>
      </c>
      <c r="P1990" s="110">
        <f t="shared" si="2139"/>
        <v>19.5</v>
      </c>
      <c r="Q1990" s="79">
        <f>VLOOKUP(VLOOKUP(DATEVALUE(TEXT(A1990,"m/d/yyyy")),FY24_Temp[],5,FALSE)&amp;TEXT(A1990,"-h"),TempDelta[],4,FALSE)</f>
        <v>1.2906428532941001</v>
      </c>
      <c r="R1990">
        <v>10</v>
      </c>
      <c r="S1990" s="112">
        <v>1500</v>
      </c>
      <c r="T1990" s="5">
        <f>VLOOKUP(TEXT(A1990,"yy-mm")&amp;"-"&amp;IF(AND(WEEKDAY(A1990)&gt;1,WEEKDAY(A1990)&lt;7),"Wkd",TEXT(A1990,"Ddd"))&amp;"-"&amp;TEXT(A1990,"hh"),LoadTable[],3,FALSE)*0.92</f>
        <v>600.14662419619219</v>
      </c>
      <c r="U1990" s="113">
        <f t="shared" si="2140"/>
        <v>60.014662419619221</v>
      </c>
      <c r="V1990">
        <f t="shared" ref="V1990:W1990" si="2143">V1966</f>
        <v>3</v>
      </c>
      <c r="W1990">
        <f t="shared" si="2143"/>
        <v>3</v>
      </c>
      <c r="X1990" s="9">
        <v>-30.5388599166665</v>
      </c>
      <c r="Y1990" s="39"/>
    </row>
    <row r="1991" spans="1:25" ht="15" thickBot="1">
      <c r="A1991" s="149">
        <f t="shared" si="2122"/>
        <v>45918.833333330491</v>
      </c>
      <c r="B1991" s="30">
        <f t="shared" si="2077"/>
        <v>5000</v>
      </c>
      <c r="C1991" s="8">
        <v>25000</v>
      </c>
      <c r="D1991" s="187">
        <v>0</v>
      </c>
      <c r="E1991" s="187">
        <v>700</v>
      </c>
      <c r="F1991" s="187">
        <v>15000</v>
      </c>
      <c r="G1991" s="30">
        <f t="shared" si="2078"/>
        <v>2400</v>
      </c>
      <c r="H1991" s="8">
        <v>25000</v>
      </c>
      <c r="I1991" s="30">
        <f t="shared" si="2079"/>
        <v>5000</v>
      </c>
      <c r="J1991" s="187">
        <v>40000</v>
      </c>
      <c r="K1991" s="30">
        <f t="shared" si="2080"/>
        <v>5000</v>
      </c>
      <c r="L1991" s="187">
        <v>40000</v>
      </c>
      <c r="M1991" s="110">
        <v>9.5</v>
      </c>
      <c r="N1991" s="9">
        <f>VLOOKUP(DATE(YEAR(A1991),MONTH(A1991),DAY(A1991)),FY24_Temp[],3,FALSE)</f>
        <v>15.49</v>
      </c>
      <c r="O1991" s="110">
        <f t="shared" si="2138"/>
        <v>11.5</v>
      </c>
      <c r="P1991" s="110">
        <f t="shared" si="2139"/>
        <v>19.5</v>
      </c>
      <c r="Q1991" s="79">
        <f>VLOOKUP(VLOOKUP(DATEVALUE(TEXT(A1991,"m/d/yyyy")),FY24_Temp[],5,FALSE)&amp;TEXT(A1991,"-h"),TempDelta[],4,FALSE)</f>
        <v>1.3774285869938987</v>
      </c>
      <c r="R1991">
        <v>10</v>
      </c>
      <c r="S1991" s="112">
        <v>1500</v>
      </c>
      <c r="T1991" s="5">
        <f>VLOOKUP(TEXT(A1991,"yy-mm")&amp;"-"&amp;IF(AND(WEEKDAY(A1991)&gt;1,WEEKDAY(A1991)&lt;7),"Wkd",TEXT(A1991,"Ddd"))&amp;"-"&amp;TEXT(A1991,"hh"),LoadTable[],3,FALSE)*0.92</f>
        <v>600.14662419619219</v>
      </c>
      <c r="U1991" s="113">
        <f t="shared" si="2140"/>
        <v>60.014662419619221</v>
      </c>
      <c r="V1991">
        <f t="shared" ref="V1991:W1991" si="2144">V1967</f>
        <v>2.8</v>
      </c>
      <c r="W1991">
        <f t="shared" si="2144"/>
        <v>3.1</v>
      </c>
      <c r="X1991" s="9">
        <v>-30.6166544666665</v>
      </c>
      <c r="Y1991" s="39"/>
    </row>
    <row r="1992" spans="1:25" ht="15" thickBot="1">
      <c r="A1992" s="149">
        <f t="shared" si="2122"/>
        <v>45918.874999997155</v>
      </c>
      <c r="B1992" s="30">
        <f t="shared" si="2077"/>
        <v>5000</v>
      </c>
      <c r="C1992" s="8">
        <v>25000</v>
      </c>
      <c r="D1992" s="187">
        <v>0</v>
      </c>
      <c r="E1992" s="187">
        <v>700</v>
      </c>
      <c r="F1992" s="187">
        <v>15000</v>
      </c>
      <c r="G1992" s="30">
        <f t="shared" si="2078"/>
        <v>2400</v>
      </c>
      <c r="H1992" s="8">
        <v>25000</v>
      </c>
      <c r="I1992" s="30">
        <f t="shared" si="2079"/>
        <v>5000</v>
      </c>
      <c r="J1992" s="187">
        <v>40000</v>
      </c>
      <c r="K1992" s="30">
        <f t="shared" si="2080"/>
        <v>5000</v>
      </c>
      <c r="L1992" s="187">
        <v>40000</v>
      </c>
      <c r="M1992" s="110">
        <v>9.5</v>
      </c>
      <c r="N1992" s="9">
        <f>VLOOKUP(DATE(YEAR(A1992),MONTH(A1992),DAY(A1992)),FY24_Temp[],3,FALSE)</f>
        <v>15.49</v>
      </c>
      <c r="O1992" s="110">
        <f t="shared" si="2138"/>
        <v>11.5</v>
      </c>
      <c r="P1992" s="110">
        <f t="shared" si="2139"/>
        <v>19.5</v>
      </c>
      <c r="Q1992" s="79">
        <f>VLOOKUP(VLOOKUP(DATEVALUE(TEXT(A1992,"m/d/yyyy")),FY24_Temp[],5,FALSE)&amp;TEXT(A1992,"-h"),TempDelta[],4,FALSE)</f>
        <v>1.3976428466183799</v>
      </c>
      <c r="R1992">
        <v>10</v>
      </c>
      <c r="S1992" s="112">
        <v>1500</v>
      </c>
      <c r="T1992" s="5">
        <f>VLOOKUP(TEXT(A1992,"yy-mm")&amp;"-"&amp;IF(AND(WEEKDAY(A1992)&gt;1,WEEKDAY(A1992)&lt;7),"Wkd",TEXT(A1992,"Ddd"))&amp;"-"&amp;TEXT(A1992,"hh"),LoadTable[],3,FALSE)*0.92</f>
        <v>523.94879142973434</v>
      </c>
      <c r="U1992" s="113">
        <f t="shared" si="2140"/>
        <v>52.394879142973437</v>
      </c>
      <c r="V1992">
        <f t="shared" ref="V1992:W1992" si="2145">V1968</f>
        <v>3.5</v>
      </c>
      <c r="W1992">
        <f t="shared" si="2145"/>
        <v>3.1</v>
      </c>
      <c r="X1992" s="9">
        <v>-30.6944490166665</v>
      </c>
      <c r="Y1992" s="39"/>
    </row>
    <row r="1993" spans="1:25" ht="15" thickBot="1">
      <c r="A1993" s="149">
        <f t="shared" si="2122"/>
        <v>45918.916666663819</v>
      </c>
      <c r="B1993" s="30">
        <f t="shared" si="2077"/>
        <v>5000</v>
      </c>
      <c r="C1993" s="8">
        <v>25000</v>
      </c>
      <c r="D1993" s="187">
        <v>0</v>
      </c>
      <c r="E1993" s="187">
        <v>700</v>
      </c>
      <c r="F1993" s="187">
        <v>15000</v>
      </c>
      <c r="G1993" s="30">
        <f t="shared" si="2078"/>
        <v>2400</v>
      </c>
      <c r="H1993" s="8">
        <v>25000</v>
      </c>
      <c r="I1993" s="30">
        <f t="shared" si="2079"/>
        <v>5000</v>
      </c>
      <c r="J1993" s="187">
        <v>40000</v>
      </c>
      <c r="K1993" s="30">
        <f t="shared" si="2080"/>
        <v>5000</v>
      </c>
      <c r="L1993" s="187">
        <v>40000</v>
      </c>
      <c r="M1993" s="110">
        <v>9.5</v>
      </c>
      <c r="N1993" s="9">
        <f>VLOOKUP(DATE(YEAR(A1993),MONTH(A1993),DAY(A1993)),FY24_Temp[],3,FALSE)</f>
        <v>15.49</v>
      </c>
      <c r="O1993" s="110">
        <f t="shared" si="2138"/>
        <v>11.5</v>
      </c>
      <c r="P1993" s="110">
        <f t="shared" si="2139"/>
        <v>19.5</v>
      </c>
      <c r="Q1993" s="79">
        <f>VLOOKUP(VLOOKUP(DATEVALUE(TEXT(A1993,"m/d/yyyy")),FY24_Temp[],5,FALSE)&amp;TEXT(A1993,"-h"),TempDelta[],4,FALSE)</f>
        <v>1.873142855507987</v>
      </c>
      <c r="R1993">
        <v>10</v>
      </c>
      <c r="S1993" s="112">
        <v>1500</v>
      </c>
      <c r="T1993" s="5">
        <f>VLOOKUP(TEXT(A1993,"yy-mm")&amp;"-"&amp;IF(AND(WEEKDAY(A1993)&gt;1,WEEKDAY(A1993)&lt;7),"Wkd",TEXT(A1993,"Ddd"))&amp;"-"&amp;TEXT(A1993,"hh"),LoadTable[],3,FALSE)*0.92</f>
        <v>421.91858468239752</v>
      </c>
      <c r="U1993" s="113">
        <f t="shared" si="2140"/>
        <v>42.191858468239751</v>
      </c>
      <c r="V1993">
        <f t="shared" ref="V1993:W1993" si="2146">V1969</f>
        <v>2.9</v>
      </c>
      <c r="W1993">
        <f t="shared" si="2146"/>
        <v>3.1</v>
      </c>
      <c r="X1993" s="9">
        <v>-30.7722435666665</v>
      </c>
      <c r="Y1993" s="39"/>
    </row>
    <row r="1994" spans="1:25" ht="15" thickBot="1">
      <c r="A1994" s="149">
        <f t="shared" si="2122"/>
        <v>45918.958333330484</v>
      </c>
      <c r="B1994" s="30">
        <f t="shared" si="2077"/>
        <v>5000</v>
      </c>
      <c r="C1994" s="41">
        <v>25000</v>
      </c>
      <c r="D1994" s="187">
        <v>0</v>
      </c>
      <c r="E1994" s="187">
        <v>700</v>
      </c>
      <c r="F1994" s="187">
        <v>15000</v>
      </c>
      <c r="G1994" s="30">
        <f t="shared" si="2078"/>
        <v>2400</v>
      </c>
      <c r="H1994" s="8">
        <v>25000</v>
      </c>
      <c r="I1994" s="30">
        <f t="shared" si="2079"/>
        <v>5000</v>
      </c>
      <c r="J1994" s="187">
        <v>40000</v>
      </c>
      <c r="K1994" s="30">
        <f t="shared" si="2080"/>
        <v>5000</v>
      </c>
      <c r="L1994" s="187">
        <v>40000</v>
      </c>
      <c r="M1994" s="110">
        <v>9.5</v>
      </c>
      <c r="N1994" s="9">
        <f>VLOOKUP(DATE(YEAR(A1994),MONTH(A1994),DAY(A1994)),FY24_Temp[],3,FALSE)</f>
        <v>15.49</v>
      </c>
      <c r="O1994" s="110">
        <f t="shared" si="2138"/>
        <v>11.5</v>
      </c>
      <c r="P1994" s="110">
        <f t="shared" si="2139"/>
        <v>19.5</v>
      </c>
      <c r="Q1994" s="79">
        <f>VLOOKUP(VLOOKUP(DATEVALUE(TEXT(A1994,"m/d/yyyy")),FY24_Temp[],5,FALSE)&amp;TEXT(A1994,"-h"),TempDelta[],4,FALSE)</f>
        <v>2.0031428507396152</v>
      </c>
      <c r="R1994">
        <v>10</v>
      </c>
      <c r="S1994" s="112">
        <v>1500</v>
      </c>
      <c r="T1994" s="5">
        <f>VLOOKUP(TEXT(A1994,"yy-mm")&amp;"-"&amp;IF(AND(WEEKDAY(A1994)&gt;1,WEEKDAY(A1994)&lt;7),"Wkd",TEXT(A1994,"Ddd"))&amp;"-"&amp;TEXT(A1994,"hh"),LoadTable[],3,FALSE)*0.92</f>
        <v>289.33527113913209</v>
      </c>
      <c r="U1994" s="113">
        <f t="shared" si="2140"/>
        <v>28.933527113913208</v>
      </c>
      <c r="V1994">
        <f t="shared" ref="V1994:W1994" si="2147">V1970</f>
        <v>3.6</v>
      </c>
      <c r="W1994">
        <f t="shared" si="2147"/>
        <v>3.1</v>
      </c>
      <c r="X1994" s="9">
        <v>-30.8500381166665</v>
      </c>
      <c r="Y1994" s="39"/>
    </row>
    <row r="1995" spans="1:25" ht="15" thickBot="1">
      <c r="A1995" s="148">
        <f t="shared" si="2122"/>
        <v>45918.999999997148</v>
      </c>
      <c r="B1995" s="116">
        <f t="shared" si="2077"/>
        <v>5000</v>
      </c>
      <c r="C1995" s="8">
        <v>25000</v>
      </c>
      <c r="D1995" s="187">
        <v>0</v>
      </c>
      <c r="E1995" s="187">
        <v>700</v>
      </c>
      <c r="F1995" s="187">
        <v>15000</v>
      </c>
      <c r="G1995" s="109">
        <f t="shared" si="2078"/>
        <v>2400</v>
      </c>
      <c r="H1995" s="109">
        <v>25000</v>
      </c>
      <c r="I1995" s="30">
        <f t="shared" si="2079"/>
        <v>5000</v>
      </c>
      <c r="J1995" s="187">
        <v>40000</v>
      </c>
      <c r="K1995" s="109">
        <f t="shared" si="2080"/>
        <v>5000</v>
      </c>
      <c r="L1995" s="187">
        <v>40000</v>
      </c>
      <c r="M1995" s="110">
        <v>9.5</v>
      </c>
      <c r="N1995" s="110">
        <f>VLOOKUP(DATE(YEAR(A1995),MONTH(A1995),DAY(A1995)),FY24_Temp[],3,FALSE)</f>
        <v>15.49</v>
      </c>
      <c r="O1995" s="110">
        <f t="shared" si="2138"/>
        <v>11.5</v>
      </c>
      <c r="P1995" s="110">
        <f t="shared" si="2139"/>
        <v>19.5</v>
      </c>
      <c r="Q1995" s="111">
        <f>VLOOKUP(VLOOKUP(DATEVALUE(TEXT(A1995,"m/d/yyyy")),FY24_Temp[],5,FALSE)&amp;TEXT(A1995,"-h"),TempDelta[],4,FALSE)</f>
        <v>2.099285670689174</v>
      </c>
      <c r="R1995" s="112">
        <v>10</v>
      </c>
      <c r="S1995" s="112">
        <v>1500</v>
      </c>
      <c r="T1995" s="99">
        <f>VLOOKUP(TEXT(A1995,"yy-mm")&amp;"-"&amp;IF(AND(WEEKDAY(A1995)&gt;1,WEEKDAY(A1995)&lt;7),"Wkd",TEXT(A1995,"Ddd"))&amp;"-"&amp;TEXT(A1995,"hh"),LoadTable[],3,FALSE)*0.92</f>
        <v>289.0624787084426</v>
      </c>
      <c r="U1995" s="113">
        <f t="shared" si="2140"/>
        <v>28.906247870844261</v>
      </c>
      <c r="V1995" s="112">
        <f t="shared" ref="V1995:W1995" si="2148">V1971</f>
        <v>3</v>
      </c>
      <c r="W1995" s="112">
        <f t="shared" si="2148"/>
        <v>3.2</v>
      </c>
      <c r="X1995" s="114">
        <v>-30.9278326666665</v>
      </c>
      <c r="Y1995" s="39"/>
    </row>
    <row r="1996" spans="1:25" ht="15" thickBot="1">
      <c r="A1996" s="149">
        <f t="shared" si="2122"/>
        <v>45919.041666663812</v>
      </c>
      <c r="B1996" s="30">
        <f t="shared" ref="B1996:B2059" si="2149">B1972</f>
        <v>5000</v>
      </c>
      <c r="C1996" s="42">
        <v>25000</v>
      </c>
      <c r="D1996" s="187">
        <v>0</v>
      </c>
      <c r="E1996" s="187">
        <v>700</v>
      </c>
      <c r="F1996" s="187">
        <v>15000</v>
      </c>
      <c r="G1996" s="30">
        <f t="shared" ref="G1996:G2059" si="2150">G1972</f>
        <v>2400</v>
      </c>
      <c r="H1996" s="8">
        <v>25000</v>
      </c>
      <c r="I1996" s="30">
        <f t="shared" ref="I1996:I2059" si="2151">I1972</f>
        <v>5000</v>
      </c>
      <c r="J1996" s="187">
        <v>40000</v>
      </c>
      <c r="K1996" s="30">
        <f t="shared" ref="K1996:K2059" si="2152">K1972</f>
        <v>5000</v>
      </c>
      <c r="L1996" s="187">
        <v>40000</v>
      </c>
      <c r="M1996" s="110">
        <v>9.5</v>
      </c>
      <c r="N1996" s="9">
        <f>VLOOKUP(DATE(YEAR(A1996),MONTH(A1996),DAY(A1996)),FY24_Temp[],3,FALSE)</f>
        <v>15.49</v>
      </c>
      <c r="O1996" s="110">
        <f t="shared" si="2138"/>
        <v>11.5</v>
      </c>
      <c r="P1996" s="110">
        <f t="shared" si="2139"/>
        <v>19.5</v>
      </c>
      <c r="Q1996" s="79">
        <f>VLOOKUP(VLOOKUP(DATEVALUE(TEXT(A1996,"m/d/yyyy")),FY24_Temp[],5,FALSE)&amp;TEXT(A1996,"-h"),TempDelta[],4,FALSE)</f>
        <v>2.1752857140132358</v>
      </c>
      <c r="R1996">
        <v>10</v>
      </c>
      <c r="S1996" s="112">
        <v>1500</v>
      </c>
      <c r="T1996" s="5">
        <f>VLOOKUP(TEXT(A1996,"yy-mm")&amp;"-"&amp;IF(AND(WEEKDAY(A1996)&gt;1,WEEKDAY(A1996)&lt;7),"Wkd",TEXT(A1996,"Ddd"))&amp;"-"&amp;TEXT(A1996,"hh"),LoadTable[],3,FALSE)*0.92</f>
        <v>289.0624787084426</v>
      </c>
      <c r="U1996" s="113">
        <f t="shared" si="2140"/>
        <v>28.906247870844261</v>
      </c>
      <c r="V1996">
        <f t="shared" ref="V1996:W1996" si="2153">V1972</f>
        <v>2.6</v>
      </c>
      <c r="W1996">
        <f t="shared" si="2153"/>
        <v>3.2</v>
      </c>
      <c r="X1996" s="9">
        <v>-31.0056272166665</v>
      </c>
      <c r="Y1996" s="39"/>
    </row>
    <row r="1997" spans="1:25" ht="15" thickBot="1">
      <c r="A1997" s="149">
        <f t="shared" si="2122"/>
        <v>45919.083333330476</v>
      </c>
      <c r="B1997" s="30">
        <f t="shared" si="2149"/>
        <v>5000</v>
      </c>
      <c r="C1997" s="8">
        <v>25000</v>
      </c>
      <c r="D1997" s="187">
        <v>0</v>
      </c>
      <c r="E1997" s="187">
        <v>700</v>
      </c>
      <c r="F1997" s="187">
        <v>15000</v>
      </c>
      <c r="G1997" s="30">
        <f t="shared" si="2150"/>
        <v>2400</v>
      </c>
      <c r="H1997" s="8">
        <v>25000</v>
      </c>
      <c r="I1997" s="30">
        <f t="shared" si="2151"/>
        <v>5000</v>
      </c>
      <c r="J1997" s="187">
        <v>40000</v>
      </c>
      <c r="K1997" s="30">
        <f t="shared" si="2152"/>
        <v>5000</v>
      </c>
      <c r="L1997" s="187">
        <v>40000</v>
      </c>
      <c r="M1997" s="110">
        <v>9.5</v>
      </c>
      <c r="N1997" s="9">
        <f>VLOOKUP(DATE(YEAR(A1997),MONTH(A1997),DAY(A1997)),FY24_Temp[],3,FALSE)</f>
        <v>15.49</v>
      </c>
      <c r="O1997" s="110">
        <f t="shared" si="2138"/>
        <v>11.5</v>
      </c>
      <c r="P1997" s="110">
        <f t="shared" si="2139"/>
        <v>19.5</v>
      </c>
      <c r="Q1997" s="79">
        <f>VLOOKUP(VLOOKUP(DATEVALUE(TEXT(A1997,"m/d/yyyy")),FY24_Temp[],5,FALSE)&amp;TEXT(A1997,"-h"),TempDelta[],4,FALSE)</f>
        <v>2.2037143026079451</v>
      </c>
      <c r="R1997">
        <v>10</v>
      </c>
      <c r="S1997" s="112">
        <v>1500</v>
      </c>
      <c r="T1997" s="5">
        <f>VLOOKUP(TEXT(A1997,"yy-mm")&amp;"-"&amp;IF(AND(WEEKDAY(A1997)&gt;1,WEEKDAY(A1997)&lt;7),"Wkd",TEXT(A1997,"Ddd"))&amp;"-"&amp;TEXT(A1997,"hh"),LoadTable[],3,FALSE)*0.92</f>
        <v>289.0624787084426</v>
      </c>
      <c r="U1997" s="113">
        <f t="shared" si="2140"/>
        <v>28.906247870844261</v>
      </c>
      <c r="V1997">
        <f t="shared" ref="V1997:W1997" si="2154">V1973</f>
        <v>2.8</v>
      </c>
      <c r="W1997">
        <f t="shared" si="2154"/>
        <v>3.2</v>
      </c>
      <c r="X1997" s="9">
        <v>-31.0834217666665</v>
      </c>
      <c r="Y1997" s="39"/>
    </row>
    <row r="1998" spans="1:25" ht="15" thickBot="1">
      <c r="A1998" s="149">
        <f t="shared" si="2122"/>
        <v>45919.124999997141</v>
      </c>
      <c r="B1998" s="30">
        <f t="shared" si="2149"/>
        <v>5000</v>
      </c>
      <c r="C1998" s="8">
        <v>25000</v>
      </c>
      <c r="D1998" s="187">
        <v>0</v>
      </c>
      <c r="E1998" s="187">
        <v>700</v>
      </c>
      <c r="F1998" s="187">
        <v>15000</v>
      </c>
      <c r="G1998" s="30">
        <f t="shared" si="2150"/>
        <v>2400</v>
      </c>
      <c r="H1998" s="8">
        <v>25000</v>
      </c>
      <c r="I1998" s="30">
        <f t="shared" si="2151"/>
        <v>5000</v>
      </c>
      <c r="J1998" s="187">
        <v>40000</v>
      </c>
      <c r="K1998" s="30">
        <f t="shared" si="2152"/>
        <v>5000</v>
      </c>
      <c r="L1998" s="187">
        <v>40000</v>
      </c>
      <c r="M1998" s="110">
        <v>9.5</v>
      </c>
      <c r="N1998" s="9">
        <f>VLOOKUP(DATE(YEAR(A1998),MONTH(A1998),DAY(A1998)),FY24_Temp[],3,FALSE)</f>
        <v>15.49</v>
      </c>
      <c r="O1998" s="110">
        <f t="shared" si="2138"/>
        <v>11.5</v>
      </c>
      <c r="P1998" s="110">
        <f t="shared" si="2139"/>
        <v>19.5</v>
      </c>
      <c r="Q1998" s="79">
        <f>VLOOKUP(VLOOKUP(DATEVALUE(TEXT(A1998,"m/d/yyyy")),FY24_Temp[],5,FALSE)&amp;TEXT(A1998,"-h"),TempDelta[],4,FALSE)</f>
        <v>2.2029999664851596</v>
      </c>
      <c r="R1998">
        <v>10</v>
      </c>
      <c r="S1998" s="112">
        <v>1500</v>
      </c>
      <c r="T1998" s="5">
        <f>VLOOKUP(TEXT(A1998,"yy-mm")&amp;"-"&amp;IF(AND(WEEKDAY(A1998)&gt;1,WEEKDAY(A1998)&lt;7),"Wkd",TEXT(A1998,"Ddd"))&amp;"-"&amp;TEXT(A1998,"hh"),LoadTable[],3,FALSE)*0.92</f>
        <v>289.05894152419745</v>
      </c>
      <c r="U1998" s="113">
        <f t="shared" si="2140"/>
        <v>28.905894152419744</v>
      </c>
      <c r="V1998">
        <f t="shared" ref="V1998:W1998" si="2155">V1974</f>
        <v>2.7</v>
      </c>
      <c r="W1998">
        <f t="shared" si="2155"/>
        <v>3.2</v>
      </c>
      <c r="X1998" s="9">
        <v>-31.161216316666501</v>
      </c>
      <c r="Y1998" s="39"/>
    </row>
    <row r="1999" spans="1:25" ht="15" thickBot="1">
      <c r="A1999" s="149">
        <f t="shared" si="2122"/>
        <v>45919.166666663805</v>
      </c>
      <c r="B1999" s="30">
        <f t="shared" si="2149"/>
        <v>5000</v>
      </c>
      <c r="C1999" s="8">
        <v>25000</v>
      </c>
      <c r="D1999" s="187">
        <v>0</v>
      </c>
      <c r="E1999" s="187">
        <v>700</v>
      </c>
      <c r="F1999" s="187">
        <v>15000</v>
      </c>
      <c r="G1999" s="30">
        <f t="shared" si="2150"/>
        <v>2400</v>
      </c>
      <c r="H1999" s="8">
        <v>25000</v>
      </c>
      <c r="I1999" s="30">
        <f t="shared" si="2151"/>
        <v>5000</v>
      </c>
      <c r="J1999" s="187">
        <v>40000</v>
      </c>
      <c r="K1999" s="30">
        <f t="shared" si="2152"/>
        <v>5000</v>
      </c>
      <c r="L1999" s="187">
        <v>40000</v>
      </c>
      <c r="M1999" s="110">
        <v>9.5</v>
      </c>
      <c r="N1999" s="9">
        <f>VLOOKUP(DATE(YEAR(A1999),MONTH(A1999),DAY(A1999)),FY24_Temp[],3,FALSE)</f>
        <v>15.49</v>
      </c>
      <c r="O1999" s="110">
        <f t="shared" si="2138"/>
        <v>11.5</v>
      </c>
      <c r="P1999" s="110">
        <f t="shared" si="2139"/>
        <v>19.5</v>
      </c>
      <c r="Q1999" s="79">
        <f>VLOOKUP(VLOOKUP(DATEVALUE(TEXT(A1999,"m/d/yyyy")),FY24_Temp[],5,FALSE)&amp;TEXT(A1999,"-h"),TempDelta[],4,FALSE)</f>
        <v>2.2338571548461914</v>
      </c>
      <c r="R1999">
        <v>10</v>
      </c>
      <c r="S1999" s="112">
        <v>1500</v>
      </c>
      <c r="T1999" s="5">
        <f>VLOOKUP(TEXT(A1999,"yy-mm")&amp;"-"&amp;IF(AND(WEEKDAY(A1999)&gt;1,WEEKDAY(A1999)&lt;7),"Wkd",TEXT(A1999,"Ddd"))&amp;"-"&amp;TEXT(A1999,"hh"),LoadTable[],3,FALSE)*0.92</f>
        <v>289.05894152419745</v>
      </c>
      <c r="U1999" s="113">
        <f t="shared" si="2140"/>
        <v>28.905894152419744</v>
      </c>
      <c r="V1999">
        <f t="shared" ref="V1999:W1999" si="2156">V1975</f>
        <v>3</v>
      </c>
      <c r="W1999">
        <f t="shared" si="2156"/>
        <v>3.1</v>
      </c>
      <c r="X1999" s="9">
        <v>-31.239010866666501</v>
      </c>
      <c r="Y1999" s="39"/>
    </row>
    <row r="2000" spans="1:25" ht="15" thickBot="1">
      <c r="A2000" s="149">
        <f t="shared" si="2122"/>
        <v>45919.208333330469</v>
      </c>
      <c r="B2000" s="30">
        <f t="shared" si="2149"/>
        <v>5000</v>
      </c>
      <c r="C2000" s="8">
        <v>25000</v>
      </c>
      <c r="D2000" s="187">
        <v>0</v>
      </c>
      <c r="E2000" s="187">
        <v>700</v>
      </c>
      <c r="F2000" s="187">
        <v>15000</v>
      </c>
      <c r="G2000" s="30">
        <f t="shared" si="2150"/>
        <v>2400</v>
      </c>
      <c r="H2000" s="8">
        <v>25000</v>
      </c>
      <c r="I2000" s="30">
        <f t="shared" si="2151"/>
        <v>5000</v>
      </c>
      <c r="J2000" s="187">
        <v>40000</v>
      </c>
      <c r="K2000" s="30">
        <f t="shared" si="2152"/>
        <v>5000</v>
      </c>
      <c r="L2000" s="187">
        <v>40000</v>
      </c>
      <c r="M2000" s="110">
        <v>9.5</v>
      </c>
      <c r="N2000" s="9">
        <f>VLOOKUP(DATE(YEAR(A2000),MONTH(A2000),DAY(A2000)),FY24_Temp[],3,FALSE)</f>
        <v>15.49</v>
      </c>
      <c r="O2000" s="110">
        <f t="shared" si="2138"/>
        <v>11.5</v>
      </c>
      <c r="P2000" s="110">
        <f t="shared" si="2139"/>
        <v>19.5</v>
      </c>
      <c r="Q2000" s="79">
        <f>VLOOKUP(VLOOKUP(DATEVALUE(TEXT(A2000,"m/d/yyyy")),FY24_Temp[],5,FALSE)&amp;TEXT(A2000,"-h"),TempDelta[],4,FALSE)</f>
        <v>2.3308571066175188</v>
      </c>
      <c r="R2000">
        <v>10</v>
      </c>
      <c r="S2000" s="112">
        <v>1500</v>
      </c>
      <c r="T2000" s="5">
        <f>VLOOKUP(TEXT(A2000,"yy-mm")&amp;"-"&amp;IF(AND(WEEKDAY(A2000)&gt;1,WEEKDAY(A2000)&lt;7),"Wkd",TEXT(A2000,"Ddd"))&amp;"-"&amp;TEXT(A2000,"hh"),LoadTable[],3,FALSE)*0.92</f>
        <v>289.05894152419745</v>
      </c>
      <c r="U2000" s="113">
        <f t="shared" si="2140"/>
        <v>28.905894152419744</v>
      </c>
      <c r="V2000">
        <f t="shared" ref="V2000:W2000" si="2157">V1976</f>
        <v>2.9</v>
      </c>
      <c r="W2000">
        <f t="shared" si="2157"/>
        <v>3.1</v>
      </c>
      <c r="X2000" s="9">
        <v>-31.316805416666501</v>
      </c>
      <c r="Y2000" s="39"/>
    </row>
    <row r="2001" spans="1:25" ht="15" thickBot="1">
      <c r="A2001" s="149">
        <f t="shared" si="2122"/>
        <v>45919.249999997133</v>
      </c>
      <c r="B2001" s="30">
        <f t="shared" si="2149"/>
        <v>8000</v>
      </c>
      <c r="C2001" s="8">
        <v>25000</v>
      </c>
      <c r="D2001" s="187">
        <v>0</v>
      </c>
      <c r="E2001" s="187">
        <v>700</v>
      </c>
      <c r="F2001" s="187">
        <v>15000</v>
      </c>
      <c r="G2001" s="30">
        <f t="shared" si="2150"/>
        <v>2400</v>
      </c>
      <c r="H2001" s="8">
        <v>25000</v>
      </c>
      <c r="I2001" s="30">
        <f t="shared" si="2151"/>
        <v>8000</v>
      </c>
      <c r="J2001" s="187">
        <v>40000</v>
      </c>
      <c r="K2001" s="30">
        <f t="shared" si="2152"/>
        <v>8000</v>
      </c>
      <c r="L2001" s="187">
        <v>40000</v>
      </c>
      <c r="M2001" s="110">
        <v>9.5</v>
      </c>
      <c r="N2001" s="9">
        <f>VLOOKUP(DATE(YEAR(A2001),MONTH(A2001),DAY(A2001)),FY24_Temp[],3,FALSE)</f>
        <v>15.49</v>
      </c>
      <c r="O2001" s="110">
        <f t="shared" si="2138"/>
        <v>11.5</v>
      </c>
      <c r="P2001" s="110">
        <f t="shared" si="2139"/>
        <v>19.5</v>
      </c>
      <c r="Q2001" s="79">
        <f>VLOOKUP(VLOOKUP(DATEVALUE(TEXT(A2001,"m/d/yyyy")),FY24_Temp[],5,FALSE)&amp;TEXT(A2001,"-h"),TempDelta[],4,FALSE)</f>
        <v>2.2878571578434537</v>
      </c>
      <c r="R2001">
        <v>10</v>
      </c>
      <c r="S2001" s="112">
        <v>1500</v>
      </c>
      <c r="T2001" s="5">
        <f>VLOOKUP(TEXT(A2001,"yy-mm")&amp;"-"&amp;IF(AND(WEEKDAY(A2001)&gt;1,WEEKDAY(A2001)&lt;7),"Wkd",TEXT(A2001,"Ddd"))&amp;"-"&amp;TEXT(A2001,"hh"),LoadTable[],3,FALSE)*0.92</f>
        <v>291.12479999999999</v>
      </c>
      <c r="U2001" s="113">
        <f t="shared" si="2140"/>
        <v>29.112479999999998</v>
      </c>
      <c r="V2001">
        <f t="shared" ref="V2001:W2001" si="2158">V1977</f>
        <v>2.5</v>
      </c>
      <c r="W2001">
        <f t="shared" si="2158"/>
        <v>3.1</v>
      </c>
      <c r="X2001" s="9">
        <v>-31.394599966666501</v>
      </c>
      <c r="Y2001" s="39"/>
    </row>
    <row r="2002" spans="1:25" ht="15" thickBot="1">
      <c r="A2002" s="149">
        <f t="shared" si="2122"/>
        <v>45919.291666663798</v>
      </c>
      <c r="B2002" s="30">
        <f t="shared" si="2149"/>
        <v>8000</v>
      </c>
      <c r="C2002" s="8">
        <v>25000</v>
      </c>
      <c r="D2002" s="187">
        <v>0</v>
      </c>
      <c r="E2002" s="187">
        <v>700</v>
      </c>
      <c r="F2002" s="187">
        <v>15000</v>
      </c>
      <c r="G2002" s="30">
        <f t="shared" si="2150"/>
        <v>2400</v>
      </c>
      <c r="H2002" s="8">
        <v>25000</v>
      </c>
      <c r="I2002" s="30">
        <f t="shared" si="2151"/>
        <v>8000</v>
      </c>
      <c r="J2002" s="187">
        <v>40000</v>
      </c>
      <c r="K2002" s="30">
        <f t="shared" si="2152"/>
        <v>8000</v>
      </c>
      <c r="L2002" s="187">
        <v>40000</v>
      </c>
      <c r="M2002" s="110">
        <v>9.5</v>
      </c>
      <c r="N2002" s="9">
        <f>VLOOKUP(DATE(YEAR(A2002),MONTH(A2002),DAY(A2002)),FY24_Temp[],3,FALSE)</f>
        <v>15.49</v>
      </c>
      <c r="O2002" s="110">
        <f t="shared" si="2138"/>
        <v>11.5</v>
      </c>
      <c r="P2002" s="110">
        <f t="shared" si="2139"/>
        <v>19.5</v>
      </c>
      <c r="Q2002" s="79">
        <f>VLOOKUP(VLOOKUP(DATEVALUE(TEXT(A2002,"m/d/yyyy")),FY24_Temp[],5,FALSE)&amp;TEXT(A2002,"-h"),TempDelta[],4,FALSE)</f>
        <v>2.1535714353833879</v>
      </c>
      <c r="R2002">
        <v>10</v>
      </c>
      <c r="S2002" s="112">
        <v>1500</v>
      </c>
      <c r="T2002" s="5">
        <f>VLOOKUP(TEXT(A2002,"yy-mm")&amp;"-"&amp;IF(AND(WEEKDAY(A2002)&gt;1,WEEKDAY(A2002)&lt;7),"Wkd",TEXT(A2002,"Ddd"))&amp;"-"&amp;TEXT(A2002,"hh"),LoadTable[],3,FALSE)*0.92</f>
        <v>291.12479999999999</v>
      </c>
      <c r="U2002" s="113">
        <f t="shared" si="2140"/>
        <v>29.112479999999998</v>
      </c>
      <c r="V2002">
        <f t="shared" ref="V2002:W2002" si="2159">V1978</f>
        <v>2.5</v>
      </c>
      <c r="W2002">
        <f t="shared" si="2159"/>
        <v>3.1</v>
      </c>
      <c r="X2002" s="9">
        <v>-31.472394516666501</v>
      </c>
      <c r="Y2002" s="39"/>
    </row>
    <row r="2003" spans="1:25" ht="15" thickBot="1">
      <c r="A2003" s="149">
        <f t="shared" si="2122"/>
        <v>45919.333333330462</v>
      </c>
      <c r="B2003" s="30">
        <f t="shared" si="2149"/>
        <v>8000</v>
      </c>
      <c r="C2003" s="8">
        <v>25000</v>
      </c>
      <c r="D2003" s="187">
        <v>0</v>
      </c>
      <c r="E2003" s="187">
        <v>700</v>
      </c>
      <c r="F2003" s="187">
        <v>15000</v>
      </c>
      <c r="G2003" s="30">
        <f t="shared" si="2150"/>
        <v>2400</v>
      </c>
      <c r="H2003" s="8">
        <v>25000</v>
      </c>
      <c r="I2003" s="30">
        <f t="shared" si="2151"/>
        <v>8000</v>
      </c>
      <c r="J2003" s="187">
        <v>40000</v>
      </c>
      <c r="K2003" s="30">
        <f t="shared" si="2152"/>
        <v>8000</v>
      </c>
      <c r="L2003" s="187">
        <v>40000</v>
      </c>
      <c r="M2003" s="110">
        <v>9.5</v>
      </c>
      <c r="N2003" s="9">
        <f>VLOOKUP(DATE(YEAR(A2003),MONTH(A2003),DAY(A2003)),FY24_Temp[],3,FALSE)</f>
        <v>15.49</v>
      </c>
      <c r="O2003" s="110">
        <f t="shared" si="2138"/>
        <v>11.5</v>
      </c>
      <c r="P2003" s="110">
        <f t="shared" si="2139"/>
        <v>19.5</v>
      </c>
      <c r="Q2003" s="79">
        <f>VLOOKUP(VLOOKUP(DATEVALUE(TEXT(A2003,"m/d/yyyy")),FY24_Temp[],5,FALSE)&amp;TEXT(A2003,"-h"),TempDelta[],4,FALSE)</f>
        <v>1.9890000138963972</v>
      </c>
      <c r="R2003">
        <v>10</v>
      </c>
      <c r="S2003" s="112">
        <v>1500</v>
      </c>
      <c r="T2003" s="5">
        <f>VLOOKUP(TEXT(A2003,"yy-mm")&amp;"-"&amp;IF(AND(WEEKDAY(A2003)&gt;1,WEEKDAY(A2003)&lt;7),"Wkd",TEXT(A2003,"Ddd"))&amp;"-"&amp;TEXT(A2003,"hh"),LoadTable[],3,FALSE)*0.92</f>
        <v>291.12479999999999</v>
      </c>
      <c r="U2003" s="113">
        <f t="shared" si="2140"/>
        <v>29.112479999999998</v>
      </c>
      <c r="V2003">
        <f t="shared" ref="V2003:W2003" si="2160">V1979</f>
        <v>3.2</v>
      </c>
      <c r="W2003">
        <f t="shared" si="2160"/>
        <v>3</v>
      </c>
      <c r="X2003" s="9">
        <v>-31.550189066666501</v>
      </c>
      <c r="Y2003" s="39"/>
    </row>
    <row r="2004" spans="1:25" ht="15" thickBot="1">
      <c r="A2004" s="149">
        <f t="shared" si="2122"/>
        <v>45919.374999997126</v>
      </c>
      <c r="B2004" s="30">
        <f t="shared" si="2149"/>
        <v>8000</v>
      </c>
      <c r="C2004" s="8">
        <v>25000</v>
      </c>
      <c r="D2004" s="187">
        <v>0</v>
      </c>
      <c r="E2004" s="187">
        <v>700</v>
      </c>
      <c r="F2004" s="187">
        <v>15000</v>
      </c>
      <c r="G2004" s="30">
        <f t="shared" si="2150"/>
        <v>2400</v>
      </c>
      <c r="H2004" s="8">
        <v>25000</v>
      </c>
      <c r="I2004" s="30">
        <f t="shared" si="2151"/>
        <v>8000</v>
      </c>
      <c r="J2004" s="187">
        <v>40000</v>
      </c>
      <c r="K2004" s="30">
        <f t="shared" si="2152"/>
        <v>8000</v>
      </c>
      <c r="L2004" s="187">
        <v>40000</v>
      </c>
      <c r="M2004" s="110">
        <v>9.5</v>
      </c>
      <c r="N2004" s="9">
        <f>VLOOKUP(DATE(YEAR(A2004),MONTH(A2004),DAY(A2004)),FY24_Temp[],3,FALSE)</f>
        <v>15.49</v>
      </c>
      <c r="O2004" s="110">
        <f t="shared" si="2138"/>
        <v>11.5</v>
      </c>
      <c r="P2004" s="110">
        <f t="shared" si="2139"/>
        <v>19.5</v>
      </c>
      <c r="Q2004" s="79">
        <f>VLOOKUP(VLOOKUP(DATEVALUE(TEXT(A2004,"m/d/yyyy")),FY24_Temp[],5,FALSE)&amp;TEXT(A2004,"-h"),TempDelta[],4,FALSE)</f>
        <v>1.8358571359089442</v>
      </c>
      <c r="R2004">
        <v>10</v>
      </c>
      <c r="S2004" s="112">
        <v>1500</v>
      </c>
      <c r="T2004" s="5">
        <f>VLOOKUP(TEXT(A2004,"yy-mm")&amp;"-"&amp;IF(AND(WEEKDAY(A2004)&gt;1,WEEKDAY(A2004)&lt;7),"Wkd",TEXT(A2004,"Ddd"))&amp;"-"&amp;TEXT(A2004,"hh"),LoadTable[],3,FALSE)*0.92</f>
        <v>291.12479999999999</v>
      </c>
      <c r="U2004" s="113">
        <f t="shared" si="2140"/>
        <v>29.112479999999998</v>
      </c>
      <c r="V2004">
        <f t="shared" ref="V2004:W2004" si="2161">V1980</f>
        <v>2.9</v>
      </c>
      <c r="W2004">
        <f t="shared" si="2161"/>
        <v>3</v>
      </c>
      <c r="X2004" s="9">
        <v>-31.627983616666501</v>
      </c>
      <c r="Y2004" s="39"/>
    </row>
    <row r="2005" spans="1:25" ht="15" thickBot="1">
      <c r="A2005" s="149">
        <f t="shared" si="2122"/>
        <v>45919.41666666379</v>
      </c>
      <c r="B2005" s="30">
        <f t="shared" si="2149"/>
        <v>8000</v>
      </c>
      <c r="C2005" s="8">
        <v>25000</v>
      </c>
      <c r="D2005" s="187">
        <v>0</v>
      </c>
      <c r="E2005" s="187">
        <v>700</v>
      </c>
      <c r="F2005" s="187">
        <v>15000</v>
      </c>
      <c r="G2005" s="30">
        <f t="shared" si="2150"/>
        <v>2400</v>
      </c>
      <c r="H2005" s="8">
        <v>25000</v>
      </c>
      <c r="I2005" s="30">
        <f t="shared" si="2151"/>
        <v>8000</v>
      </c>
      <c r="J2005" s="187">
        <v>40000</v>
      </c>
      <c r="K2005" s="30">
        <f t="shared" si="2152"/>
        <v>8000</v>
      </c>
      <c r="L2005" s="187">
        <v>40000</v>
      </c>
      <c r="M2005" s="110">
        <v>9.5</v>
      </c>
      <c r="N2005" s="9">
        <f>VLOOKUP(DATE(YEAR(A2005),MONTH(A2005),DAY(A2005)),FY24_Temp[],3,FALSE)</f>
        <v>15.49</v>
      </c>
      <c r="O2005" s="110">
        <f t="shared" si="2138"/>
        <v>11.5</v>
      </c>
      <c r="P2005" s="110">
        <f t="shared" si="2139"/>
        <v>19.5</v>
      </c>
      <c r="Q2005" s="79">
        <f>VLOOKUP(VLOOKUP(DATEVALUE(TEXT(A2005,"m/d/yyyy")),FY24_Temp[],5,FALSE)&amp;TEXT(A2005,"-h"),TempDelta[],4,FALSE)</f>
        <v>1.6792856965746199</v>
      </c>
      <c r="R2005">
        <v>10</v>
      </c>
      <c r="S2005" s="112">
        <v>1500</v>
      </c>
      <c r="T2005" s="5">
        <f>VLOOKUP(TEXT(A2005,"yy-mm")&amp;"-"&amp;IF(AND(WEEKDAY(A2005)&gt;1,WEEKDAY(A2005)&lt;7),"Wkd",TEXT(A2005,"Ddd"))&amp;"-"&amp;TEXT(A2005,"hh"),LoadTable[],3,FALSE)*0.92</f>
        <v>290.74956158350585</v>
      </c>
      <c r="U2005" s="113">
        <f t="shared" si="2140"/>
        <v>29.074956158350584</v>
      </c>
      <c r="V2005">
        <f t="shared" ref="V2005:W2005" si="2162">V1981</f>
        <v>2.9</v>
      </c>
      <c r="W2005">
        <f t="shared" si="2162"/>
        <v>3</v>
      </c>
      <c r="X2005" s="9">
        <v>-31.705778166666502</v>
      </c>
      <c r="Y2005" s="39"/>
    </row>
    <row r="2006" spans="1:25" ht="15" thickBot="1">
      <c r="A2006" s="149">
        <f t="shared" si="2122"/>
        <v>45919.458333330454</v>
      </c>
      <c r="B2006" s="30">
        <f t="shared" si="2149"/>
        <v>8000</v>
      </c>
      <c r="C2006" s="8">
        <v>25000</v>
      </c>
      <c r="D2006" s="187">
        <v>0</v>
      </c>
      <c r="E2006" s="187">
        <v>700</v>
      </c>
      <c r="F2006" s="187">
        <v>15000</v>
      </c>
      <c r="G2006" s="30">
        <f t="shared" si="2150"/>
        <v>2400</v>
      </c>
      <c r="H2006" s="8">
        <v>25000</v>
      </c>
      <c r="I2006" s="30">
        <f t="shared" si="2151"/>
        <v>8000</v>
      </c>
      <c r="J2006" s="187">
        <v>40000</v>
      </c>
      <c r="K2006" s="30">
        <f t="shared" si="2152"/>
        <v>8000</v>
      </c>
      <c r="L2006" s="187">
        <v>40000</v>
      </c>
      <c r="M2006" s="110">
        <v>9.5</v>
      </c>
      <c r="N2006" s="9">
        <f>VLOOKUP(DATE(YEAR(A2006),MONTH(A2006),DAY(A2006)),FY24_Temp[],3,FALSE)</f>
        <v>15.49</v>
      </c>
      <c r="O2006" s="110">
        <f t="shared" si="2138"/>
        <v>11.5</v>
      </c>
      <c r="P2006" s="110">
        <f t="shared" si="2139"/>
        <v>19.5</v>
      </c>
      <c r="Q2006" s="79">
        <f>VLOOKUP(VLOOKUP(DATEVALUE(TEXT(A2006,"m/d/yyyy")),FY24_Temp[],5,FALSE)&amp;TEXT(A2006,"-h"),TempDelta[],4,FALSE)</f>
        <v>1.4937142814908708</v>
      </c>
      <c r="R2006">
        <v>10</v>
      </c>
      <c r="S2006" s="112">
        <v>1500</v>
      </c>
      <c r="T2006" s="5">
        <f>VLOOKUP(TEXT(A2006,"yy-mm")&amp;"-"&amp;IF(AND(WEEKDAY(A2006)&gt;1,WEEKDAY(A2006)&lt;7),"Wkd",TEXT(A2006,"Ddd"))&amp;"-"&amp;TEXT(A2006,"hh"),LoadTable[],3,FALSE)*0.92</f>
        <v>290.74956158350585</v>
      </c>
      <c r="U2006" s="113">
        <f t="shared" si="2140"/>
        <v>29.074956158350584</v>
      </c>
      <c r="V2006">
        <f t="shared" ref="V2006:W2006" si="2163">V1982</f>
        <v>3.4</v>
      </c>
      <c r="W2006">
        <f t="shared" si="2163"/>
        <v>3</v>
      </c>
      <c r="X2006" s="9">
        <v>-31.783572716666502</v>
      </c>
      <c r="Y2006" s="39"/>
    </row>
    <row r="2007" spans="1:25" ht="15" thickBot="1">
      <c r="A2007" s="149">
        <f t="shared" si="2122"/>
        <v>45919.499999997119</v>
      </c>
      <c r="B2007" s="30">
        <f t="shared" si="2149"/>
        <v>8000</v>
      </c>
      <c r="C2007" s="8">
        <v>25000</v>
      </c>
      <c r="D2007" s="187">
        <v>0</v>
      </c>
      <c r="E2007" s="187">
        <v>700</v>
      </c>
      <c r="F2007" s="187">
        <v>15000</v>
      </c>
      <c r="G2007" s="30">
        <f t="shared" si="2150"/>
        <v>2400</v>
      </c>
      <c r="H2007" s="8">
        <v>25000</v>
      </c>
      <c r="I2007" s="30">
        <f t="shared" si="2151"/>
        <v>8000</v>
      </c>
      <c r="J2007" s="187">
        <v>40000</v>
      </c>
      <c r="K2007" s="30">
        <f t="shared" si="2152"/>
        <v>8000</v>
      </c>
      <c r="L2007" s="187">
        <v>40000</v>
      </c>
      <c r="M2007" s="110">
        <v>9.5</v>
      </c>
      <c r="N2007" s="9">
        <f>VLOOKUP(DATE(YEAR(A2007),MONTH(A2007),DAY(A2007)),FY24_Temp[],3,FALSE)</f>
        <v>15.49</v>
      </c>
      <c r="O2007" s="110">
        <f t="shared" si="2138"/>
        <v>11.5</v>
      </c>
      <c r="P2007" s="110">
        <f t="shared" si="2139"/>
        <v>19.5</v>
      </c>
      <c r="Q2007" s="79">
        <f>VLOOKUP(VLOOKUP(DATEVALUE(TEXT(A2007,"m/d/yyyy")),FY24_Temp[],5,FALSE)&amp;TEXT(A2007,"-h"),TempDelta[],4,FALSE)</f>
        <v>1.3148571423121862</v>
      </c>
      <c r="R2007">
        <v>10</v>
      </c>
      <c r="S2007" s="112">
        <v>1500</v>
      </c>
      <c r="T2007" s="5">
        <f>VLOOKUP(TEXT(A2007,"yy-mm")&amp;"-"&amp;IF(AND(WEEKDAY(A2007)&gt;1,WEEKDAY(A2007)&lt;7),"Wkd",TEXT(A2007,"Ddd"))&amp;"-"&amp;TEXT(A2007,"hh"),LoadTable[],3,FALSE)*0.92</f>
        <v>290.74956158350585</v>
      </c>
      <c r="U2007" s="113">
        <f t="shared" si="2140"/>
        <v>29.074956158350584</v>
      </c>
      <c r="V2007">
        <f t="shared" ref="V2007:W2007" si="2164">V1983</f>
        <v>3.1</v>
      </c>
      <c r="W2007">
        <f t="shared" si="2164"/>
        <v>2.9</v>
      </c>
      <c r="X2007" s="9">
        <v>-31.861367266666502</v>
      </c>
      <c r="Y2007" s="39"/>
    </row>
    <row r="2008" spans="1:25" ht="15" thickBot="1">
      <c r="A2008" s="149">
        <f t="shared" si="2122"/>
        <v>45919.541666663783</v>
      </c>
      <c r="B2008" s="30">
        <f t="shared" si="2149"/>
        <v>8000</v>
      </c>
      <c r="C2008" s="8">
        <v>25000</v>
      </c>
      <c r="D2008" s="187">
        <v>0</v>
      </c>
      <c r="E2008" s="187">
        <v>700</v>
      </c>
      <c r="F2008" s="187">
        <v>15000</v>
      </c>
      <c r="G2008" s="30">
        <f t="shared" si="2150"/>
        <v>2400</v>
      </c>
      <c r="H2008" s="8">
        <v>25000</v>
      </c>
      <c r="I2008" s="30">
        <f t="shared" si="2151"/>
        <v>8000</v>
      </c>
      <c r="J2008" s="187">
        <v>40000</v>
      </c>
      <c r="K2008" s="30">
        <f t="shared" si="2152"/>
        <v>8000</v>
      </c>
      <c r="L2008" s="187">
        <v>40000</v>
      </c>
      <c r="M2008" s="110">
        <v>9.5</v>
      </c>
      <c r="N2008" s="9">
        <f>VLOOKUP(DATE(YEAR(A2008),MONTH(A2008),DAY(A2008)),FY24_Temp[],3,FALSE)</f>
        <v>15.49</v>
      </c>
      <c r="O2008" s="110">
        <f t="shared" si="2138"/>
        <v>11.5</v>
      </c>
      <c r="P2008" s="110">
        <f t="shared" si="2139"/>
        <v>19.5</v>
      </c>
      <c r="Q2008" s="79">
        <f>VLOOKUP(VLOOKUP(DATEVALUE(TEXT(A2008,"m/d/yyyy")),FY24_Temp[],5,FALSE)&amp;TEXT(A2008,"-h"),TempDelta[],4,FALSE)</f>
        <v>1.1432857002530779</v>
      </c>
      <c r="R2008">
        <v>10</v>
      </c>
      <c r="S2008" s="112">
        <v>1500</v>
      </c>
      <c r="T2008" s="5">
        <f>VLOOKUP(TEXT(A2008,"yy-mm")&amp;"-"&amp;IF(AND(WEEKDAY(A2008)&gt;1,WEEKDAY(A2008)&lt;7),"Wkd",TEXT(A2008,"Ddd"))&amp;"-"&amp;TEXT(A2008,"hh"),LoadTable[],3,FALSE)*0.92</f>
        <v>290.72204920255348</v>
      </c>
      <c r="U2008" s="113">
        <f t="shared" si="2140"/>
        <v>29.072204920255349</v>
      </c>
      <c r="V2008">
        <f t="shared" ref="V2008:W2008" si="2165">V1984</f>
        <v>3.2</v>
      </c>
      <c r="W2008">
        <f t="shared" si="2165"/>
        <v>2.9</v>
      </c>
      <c r="X2008" s="9">
        <v>-31.939161816666498</v>
      </c>
      <c r="Y2008" s="39"/>
    </row>
    <row r="2009" spans="1:25" ht="15" thickBot="1">
      <c r="A2009" s="149">
        <f t="shared" si="2122"/>
        <v>45919.583333330447</v>
      </c>
      <c r="B2009" s="30">
        <f t="shared" si="2149"/>
        <v>8000</v>
      </c>
      <c r="C2009" s="8">
        <v>25000</v>
      </c>
      <c r="D2009" s="187">
        <v>0</v>
      </c>
      <c r="E2009" s="187">
        <v>700</v>
      </c>
      <c r="F2009" s="187">
        <v>15000</v>
      </c>
      <c r="G2009" s="30">
        <f t="shared" si="2150"/>
        <v>2400</v>
      </c>
      <c r="H2009" s="8">
        <v>25000</v>
      </c>
      <c r="I2009" s="30">
        <f t="shared" si="2151"/>
        <v>8000</v>
      </c>
      <c r="J2009" s="187">
        <v>40000</v>
      </c>
      <c r="K2009" s="30">
        <f t="shared" si="2152"/>
        <v>8000</v>
      </c>
      <c r="L2009" s="187">
        <v>40000</v>
      </c>
      <c r="M2009" s="110">
        <v>9.5</v>
      </c>
      <c r="N2009" s="9">
        <f>VLOOKUP(DATE(YEAR(A2009),MONTH(A2009),DAY(A2009)),FY24_Temp[],3,FALSE)</f>
        <v>15.49</v>
      </c>
      <c r="O2009" s="110">
        <f t="shared" si="2138"/>
        <v>11.5</v>
      </c>
      <c r="P2009" s="110">
        <f t="shared" si="2139"/>
        <v>19.5</v>
      </c>
      <c r="Q2009" s="79">
        <f>VLOOKUP(VLOOKUP(DATEVALUE(TEXT(A2009,"m/d/yyyy")),FY24_Temp[],5,FALSE)&amp;TEXT(A2009,"-h"),TempDelta[],4,FALSE)</f>
        <v>0.98585713761193416</v>
      </c>
      <c r="R2009">
        <v>10</v>
      </c>
      <c r="S2009" s="112">
        <v>1500</v>
      </c>
      <c r="T2009" s="5">
        <f>VLOOKUP(TEXT(A2009,"yy-mm")&amp;"-"&amp;IF(AND(WEEKDAY(A2009)&gt;1,WEEKDAY(A2009)&lt;7),"Wkd",TEXT(A2009,"Ddd"))&amp;"-"&amp;TEXT(A2009,"hh"),LoadTable[],3,FALSE)*0.92</f>
        <v>363.28132000000005</v>
      </c>
      <c r="U2009" s="113">
        <f t="shared" si="2140"/>
        <v>36.328132000000004</v>
      </c>
      <c r="V2009">
        <f t="shared" ref="V2009:W2009" si="2166">V1985</f>
        <v>3.5</v>
      </c>
      <c r="W2009">
        <f t="shared" si="2166"/>
        <v>2.9</v>
      </c>
      <c r="X2009" s="9">
        <v>-32.016956366666498</v>
      </c>
      <c r="Y2009" s="39"/>
    </row>
    <row r="2010" spans="1:25" ht="15" thickBot="1">
      <c r="A2010" s="149">
        <f t="shared" si="2122"/>
        <v>45919.624999997111</v>
      </c>
      <c r="B2010" s="30">
        <f t="shared" si="2149"/>
        <v>8000</v>
      </c>
      <c r="C2010" s="8">
        <v>25000</v>
      </c>
      <c r="D2010" s="187">
        <v>0</v>
      </c>
      <c r="E2010" s="187">
        <v>700</v>
      </c>
      <c r="F2010" s="187">
        <v>15000</v>
      </c>
      <c r="G2010" s="30">
        <f t="shared" si="2150"/>
        <v>2400</v>
      </c>
      <c r="H2010" s="8">
        <v>25000</v>
      </c>
      <c r="I2010" s="30">
        <f t="shared" si="2151"/>
        <v>8000</v>
      </c>
      <c r="J2010" s="187">
        <v>40000</v>
      </c>
      <c r="K2010" s="30">
        <f t="shared" si="2152"/>
        <v>8000</v>
      </c>
      <c r="L2010" s="187">
        <v>40000</v>
      </c>
      <c r="M2010" s="110">
        <v>9.5</v>
      </c>
      <c r="N2010" s="9">
        <f>VLOOKUP(DATE(YEAR(A2010),MONTH(A2010),DAY(A2010)),FY24_Temp[],3,FALSE)</f>
        <v>15.49</v>
      </c>
      <c r="O2010" s="110">
        <f t="shared" si="2138"/>
        <v>11.5</v>
      </c>
      <c r="P2010" s="110">
        <f t="shared" si="2139"/>
        <v>19.5</v>
      </c>
      <c r="Q2010" s="79">
        <f>VLOOKUP(VLOOKUP(DATEVALUE(TEXT(A2010,"m/d/yyyy")),FY24_Temp[],5,FALSE)&amp;TEXT(A2010,"-h"),TempDelta[],4,FALSE)</f>
        <v>0.49378571685935768</v>
      </c>
      <c r="R2010">
        <v>10</v>
      </c>
      <c r="S2010" s="112">
        <v>1500</v>
      </c>
      <c r="T2010" s="5">
        <f>VLOOKUP(TEXT(A2010,"yy-mm")&amp;"-"&amp;IF(AND(WEEKDAY(A2010)&gt;1,WEEKDAY(A2010)&lt;7),"Wkd",TEXT(A2010,"Ddd"))&amp;"-"&amp;TEXT(A2010,"hh"),LoadTable[],3,FALSE)*0.92</f>
        <v>570.3300004440199</v>
      </c>
      <c r="U2010" s="113">
        <f t="shared" si="2140"/>
        <v>57.033000044401987</v>
      </c>
      <c r="V2010">
        <f t="shared" ref="V2010:W2010" si="2167">V1986</f>
        <v>3.2</v>
      </c>
      <c r="W2010">
        <f t="shared" si="2167"/>
        <v>2.9</v>
      </c>
      <c r="X2010" s="9">
        <v>-32.094750916666499</v>
      </c>
      <c r="Y2010" s="39"/>
    </row>
    <row r="2011" spans="1:25" ht="15" thickBot="1">
      <c r="A2011" s="149">
        <f t="shared" si="2122"/>
        <v>45919.666666663776</v>
      </c>
      <c r="B2011" s="30">
        <f t="shared" si="2149"/>
        <v>8000</v>
      </c>
      <c r="C2011" s="8">
        <v>25000</v>
      </c>
      <c r="D2011" s="187">
        <v>0</v>
      </c>
      <c r="E2011" s="187">
        <v>700</v>
      </c>
      <c r="F2011" s="187">
        <v>15000</v>
      </c>
      <c r="G2011" s="30">
        <f t="shared" si="2150"/>
        <v>2400</v>
      </c>
      <c r="H2011" s="8">
        <v>25000</v>
      </c>
      <c r="I2011" s="30">
        <f t="shared" si="2151"/>
        <v>8000</v>
      </c>
      <c r="J2011" s="187">
        <v>40000</v>
      </c>
      <c r="K2011" s="30">
        <f t="shared" si="2152"/>
        <v>8000</v>
      </c>
      <c r="L2011" s="187">
        <v>40000</v>
      </c>
      <c r="M2011" s="110">
        <v>9.5</v>
      </c>
      <c r="N2011" s="9">
        <f>VLOOKUP(DATE(YEAR(A2011),MONTH(A2011),DAY(A2011)),FY24_Temp[],3,FALSE)</f>
        <v>15.49</v>
      </c>
      <c r="O2011" s="110">
        <f t="shared" si="2138"/>
        <v>11.5</v>
      </c>
      <c r="P2011" s="110">
        <f t="shared" si="2139"/>
        <v>19.5</v>
      </c>
      <c r="Q2011" s="79">
        <f>VLOOKUP(VLOOKUP(DATEVALUE(TEXT(A2011,"m/d/yyyy")),FY24_Temp[],5,FALSE)&amp;TEXT(A2011,"-h"),TempDelta[],4,FALSE)</f>
        <v>0.57192856445908546</v>
      </c>
      <c r="R2011">
        <v>10</v>
      </c>
      <c r="S2011" s="112">
        <v>1500</v>
      </c>
      <c r="T2011" s="5">
        <f>VLOOKUP(TEXT(A2011,"yy-mm")&amp;"-"&amp;IF(AND(WEEKDAY(A2011)&gt;1,WEEKDAY(A2011)&lt;7),"Wkd",TEXT(A2011,"Ddd"))&amp;"-"&amp;TEXT(A2011,"hh"),LoadTable[],3,FALSE)*0.92</f>
        <v>602.16876690131596</v>
      </c>
      <c r="U2011" s="113">
        <f t="shared" si="2140"/>
        <v>60.216876690131599</v>
      </c>
      <c r="V2011">
        <f t="shared" ref="V2011:W2011" si="2168">V1987</f>
        <v>3.5</v>
      </c>
      <c r="W2011">
        <f t="shared" si="2168"/>
        <v>3</v>
      </c>
      <c r="X2011" s="9">
        <v>-32.172545466666399</v>
      </c>
      <c r="Y2011" s="39"/>
    </row>
    <row r="2012" spans="1:25" ht="15" thickBot="1">
      <c r="A2012" s="149">
        <f t="shared" si="2122"/>
        <v>45919.70833333044</v>
      </c>
      <c r="B2012" s="30">
        <f t="shared" si="2149"/>
        <v>8000</v>
      </c>
      <c r="C2012" s="8">
        <v>25000</v>
      </c>
      <c r="D2012" s="187">
        <v>0</v>
      </c>
      <c r="E2012" s="187">
        <v>700</v>
      </c>
      <c r="F2012" s="187">
        <v>15000</v>
      </c>
      <c r="G2012" s="30">
        <f t="shared" si="2150"/>
        <v>2400</v>
      </c>
      <c r="H2012" s="8">
        <v>25000</v>
      </c>
      <c r="I2012" s="30">
        <f t="shared" si="2151"/>
        <v>8000</v>
      </c>
      <c r="J2012" s="187">
        <v>40000</v>
      </c>
      <c r="K2012" s="30">
        <f t="shared" si="2152"/>
        <v>8000</v>
      </c>
      <c r="L2012" s="187">
        <v>40000</v>
      </c>
      <c r="M2012" s="110">
        <v>9.5</v>
      </c>
      <c r="N2012" s="9">
        <f>VLOOKUP(DATE(YEAR(A2012),MONTH(A2012),DAY(A2012)),FY24_Temp[],3,FALSE)</f>
        <v>15.49</v>
      </c>
      <c r="O2012" s="110">
        <f t="shared" si="2138"/>
        <v>11.5</v>
      </c>
      <c r="P2012" s="110">
        <f t="shared" si="2139"/>
        <v>19.5</v>
      </c>
      <c r="Q2012" s="79">
        <f>VLOOKUP(VLOOKUP(DATEVALUE(TEXT(A2012,"m/d/yyyy")),FY24_Temp[],5,FALSE)&amp;TEXT(A2012,"-h"),TempDelta[],4,FALSE)</f>
        <v>0.84400000103882378</v>
      </c>
      <c r="R2012">
        <v>10</v>
      </c>
      <c r="S2012" s="112">
        <v>1500</v>
      </c>
      <c r="T2012" s="5">
        <f>VLOOKUP(TEXT(A2012,"yy-mm")&amp;"-"&amp;IF(AND(WEEKDAY(A2012)&gt;1,WEEKDAY(A2012)&lt;7),"Wkd",TEXT(A2012,"Ddd"))&amp;"-"&amp;TEXT(A2012,"hh"),LoadTable[],3,FALSE)*0.92</f>
        <v>602.16876690131596</v>
      </c>
      <c r="U2012" s="113">
        <f t="shared" si="2140"/>
        <v>60.216876690131599</v>
      </c>
      <c r="V2012">
        <f t="shared" ref="V2012:W2012" si="2169">V1988</f>
        <v>3.6</v>
      </c>
      <c r="W2012">
        <f t="shared" si="2169"/>
        <v>3</v>
      </c>
      <c r="X2012" s="9">
        <v>-32.250340016666399</v>
      </c>
      <c r="Y2012" s="39"/>
    </row>
    <row r="2013" spans="1:25" ht="15" thickBot="1">
      <c r="A2013" s="149">
        <f t="shared" si="2122"/>
        <v>45919.749999997104</v>
      </c>
      <c r="B2013" s="30">
        <f t="shared" si="2149"/>
        <v>5000</v>
      </c>
      <c r="C2013" s="8">
        <v>25000</v>
      </c>
      <c r="D2013" s="187">
        <v>0</v>
      </c>
      <c r="E2013" s="187">
        <v>700</v>
      </c>
      <c r="F2013" s="187">
        <v>15000</v>
      </c>
      <c r="G2013" s="30">
        <f t="shared" si="2150"/>
        <v>2400</v>
      </c>
      <c r="H2013" s="8">
        <v>25000</v>
      </c>
      <c r="I2013" s="30">
        <f t="shared" si="2151"/>
        <v>5000</v>
      </c>
      <c r="J2013" s="187">
        <v>40000</v>
      </c>
      <c r="K2013" s="30">
        <f t="shared" si="2152"/>
        <v>5000</v>
      </c>
      <c r="L2013" s="187">
        <v>40000</v>
      </c>
      <c r="M2013" s="110">
        <v>9.5</v>
      </c>
      <c r="N2013" s="9">
        <f>VLOOKUP(DATE(YEAR(A2013),MONTH(A2013),DAY(A2013)),FY24_Temp[],3,FALSE)</f>
        <v>15.49</v>
      </c>
      <c r="O2013" s="110">
        <f t="shared" si="2138"/>
        <v>11.5</v>
      </c>
      <c r="P2013" s="110">
        <f t="shared" si="2139"/>
        <v>19.5</v>
      </c>
      <c r="Q2013" s="79">
        <f>VLOOKUP(VLOOKUP(DATEVALUE(TEXT(A2013,"m/d/yyyy")),FY24_Temp[],5,FALSE)&amp;TEXT(A2013,"-h"),TempDelta[],4,FALSE)</f>
        <v>1.1615714260510035</v>
      </c>
      <c r="R2013">
        <v>10</v>
      </c>
      <c r="S2013" s="112">
        <v>1500</v>
      </c>
      <c r="T2013" s="5">
        <f>VLOOKUP(TEXT(A2013,"yy-mm")&amp;"-"&amp;IF(AND(WEEKDAY(A2013)&gt;1,WEEKDAY(A2013)&lt;7),"Wkd",TEXT(A2013,"Ddd"))&amp;"-"&amp;TEXT(A2013,"hh"),LoadTable[],3,FALSE)*0.92</f>
        <v>602.16876690131596</v>
      </c>
      <c r="U2013" s="113">
        <f t="shared" si="2140"/>
        <v>60.216876690131599</v>
      </c>
      <c r="V2013">
        <f t="shared" ref="V2013:W2013" si="2170">V1989</f>
        <v>2.9</v>
      </c>
      <c r="W2013">
        <f t="shared" si="2170"/>
        <v>3</v>
      </c>
      <c r="X2013" s="9">
        <v>-32.3281345666664</v>
      </c>
      <c r="Y2013" s="39"/>
    </row>
    <row r="2014" spans="1:25" ht="15" thickBot="1">
      <c r="A2014" s="149">
        <f t="shared" si="2122"/>
        <v>45919.791666663768</v>
      </c>
      <c r="B2014" s="30">
        <f t="shared" si="2149"/>
        <v>5000</v>
      </c>
      <c r="C2014" s="8">
        <v>25000</v>
      </c>
      <c r="D2014" s="187">
        <v>0</v>
      </c>
      <c r="E2014" s="187">
        <v>700</v>
      </c>
      <c r="F2014" s="187">
        <v>15000</v>
      </c>
      <c r="G2014" s="30">
        <f t="shared" si="2150"/>
        <v>2400</v>
      </c>
      <c r="H2014" s="8">
        <v>25000</v>
      </c>
      <c r="I2014" s="30">
        <f t="shared" si="2151"/>
        <v>5000</v>
      </c>
      <c r="J2014" s="187">
        <v>40000</v>
      </c>
      <c r="K2014" s="30">
        <f t="shared" si="2152"/>
        <v>5000</v>
      </c>
      <c r="L2014" s="187">
        <v>40000</v>
      </c>
      <c r="M2014" s="110">
        <v>9.5</v>
      </c>
      <c r="N2014" s="9">
        <f>VLOOKUP(DATE(YEAR(A2014),MONTH(A2014),DAY(A2014)),FY24_Temp[],3,FALSE)</f>
        <v>15.49</v>
      </c>
      <c r="O2014" s="110">
        <f t="shared" si="2138"/>
        <v>11.5</v>
      </c>
      <c r="P2014" s="110">
        <f t="shared" si="2139"/>
        <v>19.5</v>
      </c>
      <c r="Q2014" s="79">
        <f>VLOOKUP(VLOOKUP(DATEVALUE(TEXT(A2014,"m/d/yyyy")),FY24_Temp[],5,FALSE)&amp;TEXT(A2014,"-h"),TempDelta[],4,FALSE)</f>
        <v>1.2906428532941001</v>
      </c>
      <c r="R2014">
        <v>10</v>
      </c>
      <c r="S2014" s="112">
        <v>1500</v>
      </c>
      <c r="T2014" s="5">
        <f>VLOOKUP(TEXT(A2014,"yy-mm")&amp;"-"&amp;IF(AND(WEEKDAY(A2014)&gt;1,WEEKDAY(A2014)&lt;7),"Wkd",TEXT(A2014,"Ddd"))&amp;"-"&amp;TEXT(A2014,"hh"),LoadTable[],3,FALSE)*0.92</f>
        <v>600.14662419619219</v>
      </c>
      <c r="U2014" s="113">
        <f t="shared" si="2140"/>
        <v>60.014662419619221</v>
      </c>
      <c r="V2014">
        <f t="shared" ref="V2014:W2014" si="2171">V1990</f>
        <v>3</v>
      </c>
      <c r="W2014">
        <f t="shared" si="2171"/>
        <v>3</v>
      </c>
      <c r="X2014" s="9">
        <v>-32.4059291166664</v>
      </c>
      <c r="Y2014" s="39"/>
    </row>
    <row r="2015" spans="1:25" ht="15" thickBot="1">
      <c r="A2015" s="149">
        <f t="shared" si="2122"/>
        <v>45919.833333330433</v>
      </c>
      <c r="B2015" s="30">
        <f t="shared" si="2149"/>
        <v>5000</v>
      </c>
      <c r="C2015" s="8">
        <v>25000</v>
      </c>
      <c r="D2015" s="187">
        <v>0</v>
      </c>
      <c r="E2015" s="187">
        <v>700</v>
      </c>
      <c r="F2015" s="187">
        <v>15000</v>
      </c>
      <c r="G2015" s="30">
        <f t="shared" si="2150"/>
        <v>2400</v>
      </c>
      <c r="H2015" s="8">
        <v>25000</v>
      </c>
      <c r="I2015" s="30">
        <f t="shared" si="2151"/>
        <v>5000</v>
      </c>
      <c r="J2015" s="187">
        <v>40000</v>
      </c>
      <c r="K2015" s="30">
        <f t="shared" si="2152"/>
        <v>5000</v>
      </c>
      <c r="L2015" s="187">
        <v>40000</v>
      </c>
      <c r="M2015" s="110">
        <v>9.5</v>
      </c>
      <c r="N2015" s="9">
        <f>VLOOKUP(DATE(YEAR(A2015),MONTH(A2015),DAY(A2015)),FY24_Temp[],3,FALSE)</f>
        <v>15.49</v>
      </c>
      <c r="O2015" s="110">
        <f t="shared" si="2138"/>
        <v>11.5</v>
      </c>
      <c r="P2015" s="110">
        <f t="shared" si="2139"/>
        <v>19.5</v>
      </c>
      <c r="Q2015" s="79">
        <f>VLOOKUP(VLOOKUP(DATEVALUE(TEXT(A2015,"m/d/yyyy")),FY24_Temp[],5,FALSE)&amp;TEXT(A2015,"-h"),TempDelta[],4,FALSE)</f>
        <v>1.3774285869938987</v>
      </c>
      <c r="R2015">
        <v>10</v>
      </c>
      <c r="S2015" s="112">
        <v>1500</v>
      </c>
      <c r="T2015" s="5">
        <f>VLOOKUP(TEXT(A2015,"yy-mm")&amp;"-"&amp;IF(AND(WEEKDAY(A2015)&gt;1,WEEKDAY(A2015)&lt;7),"Wkd",TEXT(A2015,"Ddd"))&amp;"-"&amp;TEXT(A2015,"hh"),LoadTable[],3,FALSE)*0.92</f>
        <v>600.14662419619219</v>
      </c>
      <c r="U2015" s="113">
        <f t="shared" si="2140"/>
        <v>60.014662419619221</v>
      </c>
      <c r="V2015">
        <f t="shared" ref="V2015:W2015" si="2172">V1991</f>
        <v>2.8</v>
      </c>
      <c r="W2015">
        <f t="shared" si="2172"/>
        <v>3.1</v>
      </c>
      <c r="X2015" s="9">
        <v>-32.4837236666664</v>
      </c>
      <c r="Y2015" s="39"/>
    </row>
    <row r="2016" spans="1:25" ht="15" thickBot="1">
      <c r="A2016" s="149">
        <f t="shared" si="2122"/>
        <v>45919.874999997097</v>
      </c>
      <c r="B2016" s="30">
        <f t="shared" si="2149"/>
        <v>5000</v>
      </c>
      <c r="C2016" s="8">
        <v>25000</v>
      </c>
      <c r="D2016" s="187">
        <v>0</v>
      </c>
      <c r="E2016" s="187">
        <v>700</v>
      </c>
      <c r="F2016" s="187">
        <v>15000</v>
      </c>
      <c r="G2016" s="30">
        <f t="shared" si="2150"/>
        <v>2400</v>
      </c>
      <c r="H2016" s="8">
        <v>25000</v>
      </c>
      <c r="I2016" s="30">
        <f t="shared" si="2151"/>
        <v>5000</v>
      </c>
      <c r="J2016" s="187">
        <v>40000</v>
      </c>
      <c r="K2016" s="30">
        <f t="shared" si="2152"/>
        <v>5000</v>
      </c>
      <c r="L2016" s="187">
        <v>40000</v>
      </c>
      <c r="M2016" s="110">
        <v>9.5</v>
      </c>
      <c r="N2016" s="9">
        <f>VLOOKUP(DATE(YEAR(A2016),MONTH(A2016),DAY(A2016)),FY24_Temp[],3,FALSE)</f>
        <v>15.49</v>
      </c>
      <c r="O2016" s="110">
        <f t="shared" si="2138"/>
        <v>11.5</v>
      </c>
      <c r="P2016" s="110">
        <f t="shared" si="2139"/>
        <v>19.5</v>
      </c>
      <c r="Q2016" s="79">
        <f>VLOOKUP(VLOOKUP(DATEVALUE(TEXT(A2016,"m/d/yyyy")),FY24_Temp[],5,FALSE)&amp;TEXT(A2016,"-h"),TempDelta[],4,FALSE)</f>
        <v>1.3976428466183799</v>
      </c>
      <c r="R2016">
        <v>10</v>
      </c>
      <c r="S2016" s="112">
        <v>1500</v>
      </c>
      <c r="T2016" s="5">
        <f>VLOOKUP(TEXT(A2016,"yy-mm")&amp;"-"&amp;IF(AND(WEEKDAY(A2016)&gt;1,WEEKDAY(A2016)&lt;7),"Wkd",TEXT(A2016,"Ddd"))&amp;"-"&amp;TEXT(A2016,"hh"),LoadTable[],3,FALSE)*0.92</f>
        <v>523.94879142973434</v>
      </c>
      <c r="U2016" s="113">
        <f t="shared" si="2140"/>
        <v>52.394879142973437</v>
      </c>
      <c r="V2016">
        <f t="shared" ref="V2016:W2016" si="2173">V1992</f>
        <v>3.5</v>
      </c>
      <c r="W2016">
        <f t="shared" si="2173"/>
        <v>3.1</v>
      </c>
      <c r="X2016" s="9">
        <v>-32.5615182166664</v>
      </c>
      <c r="Y2016" s="39"/>
    </row>
    <row r="2017" spans="1:25" ht="15" thickBot="1">
      <c r="A2017" s="149">
        <f t="shared" si="2122"/>
        <v>45919.916666663761</v>
      </c>
      <c r="B2017" s="30">
        <f t="shared" si="2149"/>
        <v>5000</v>
      </c>
      <c r="C2017" s="8">
        <v>25000</v>
      </c>
      <c r="D2017" s="187">
        <v>0</v>
      </c>
      <c r="E2017" s="187">
        <v>700</v>
      </c>
      <c r="F2017" s="187">
        <v>15000</v>
      </c>
      <c r="G2017" s="30">
        <f t="shared" si="2150"/>
        <v>2400</v>
      </c>
      <c r="H2017" s="8">
        <v>25000</v>
      </c>
      <c r="I2017" s="30">
        <f t="shared" si="2151"/>
        <v>5000</v>
      </c>
      <c r="J2017" s="187">
        <v>40000</v>
      </c>
      <c r="K2017" s="30">
        <f t="shared" si="2152"/>
        <v>5000</v>
      </c>
      <c r="L2017" s="187">
        <v>40000</v>
      </c>
      <c r="M2017" s="110">
        <v>9.5</v>
      </c>
      <c r="N2017" s="9">
        <f>VLOOKUP(DATE(YEAR(A2017),MONTH(A2017),DAY(A2017)),FY24_Temp[],3,FALSE)</f>
        <v>15.49</v>
      </c>
      <c r="O2017" s="110">
        <f t="shared" si="2138"/>
        <v>11.5</v>
      </c>
      <c r="P2017" s="110">
        <f t="shared" si="2139"/>
        <v>19.5</v>
      </c>
      <c r="Q2017" s="79">
        <f>VLOOKUP(VLOOKUP(DATEVALUE(TEXT(A2017,"m/d/yyyy")),FY24_Temp[],5,FALSE)&amp;TEXT(A2017,"-h"),TempDelta[],4,FALSE)</f>
        <v>1.873142855507987</v>
      </c>
      <c r="R2017">
        <v>10</v>
      </c>
      <c r="S2017" s="112">
        <v>1500</v>
      </c>
      <c r="T2017" s="5">
        <f>VLOOKUP(TEXT(A2017,"yy-mm")&amp;"-"&amp;IF(AND(WEEKDAY(A2017)&gt;1,WEEKDAY(A2017)&lt;7),"Wkd",TEXT(A2017,"Ddd"))&amp;"-"&amp;TEXT(A2017,"hh"),LoadTable[],3,FALSE)*0.92</f>
        <v>421.91858468239752</v>
      </c>
      <c r="U2017" s="113">
        <f t="shared" si="2140"/>
        <v>42.191858468239751</v>
      </c>
      <c r="V2017">
        <f t="shared" ref="V2017:W2017" si="2174">V1993</f>
        <v>2.9</v>
      </c>
      <c r="W2017">
        <f t="shared" si="2174"/>
        <v>3.1</v>
      </c>
      <c r="X2017" s="9">
        <v>-32.6393127666664</v>
      </c>
      <c r="Y2017" s="39"/>
    </row>
    <row r="2018" spans="1:25" ht="15" thickBot="1">
      <c r="A2018" s="149">
        <f t="shared" si="2122"/>
        <v>45919.958333330425</v>
      </c>
      <c r="B2018" s="30">
        <f t="shared" si="2149"/>
        <v>5000</v>
      </c>
      <c r="C2018" s="8">
        <v>25000</v>
      </c>
      <c r="D2018" s="187">
        <v>0</v>
      </c>
      <c r="E2018" s="187">
        <v>700</v>
      </c>
      <c r="F2018" s="187">
        <v>15000</v>
      </c>
      <c r="G2018" s="30">
        <f t="shared" si="2150"/>
        <v>2400</v>
      </c>
      <c r="H2018" s="8">
        <v>25000</v>
      </c>
      <c r="I2018" s="30">
        <f t="shared" si="2151"/>
        <v>5000</v>
      </c>
      <c r="J2018" s="187">
        <v>40000</v>
      </c>
      <c r="K2018" s="30">
        <f t="shared" si="2152"/>
        <v>5000</v>
      </c>
      <c r="L2018" s="187">
        <v>40000</v>
      </c>
      <c r="M2018" s="110">
        <v>9.5</v>
      </c>
      <c r="N2018" s="9">
        <f>VLOOKUP(DATE(YEAR(A2018),MONTH(A2018),DAY(A2018)),FY24_Temp[],3,FALSE)</f>
        <v>15.49</v>
      </c>
      <c r="O2018" s="110">
        <f t="shared" si="2138"/>
        <v>11.5</v>
      </c>
      <c r="P2018" s="110">
        <f t="shared" si="2139"/>
        <v>19.5</v>
      </c>
      <c r="Q2018" s="79">
        <f>VLOOKUP(VLOOKUP(DATEVALUE(TEXT(A2018,"m/d/yyyy")),FY24_Temp[],5,FALSE)&amp;TEXT(A2018,"-h"),TempDelta[],4,FALSE)</f>
        <v>2.0031428507396152</v>
      </c>
      <c r="R2018">
        <v>10</v>
      </c>
      <c r="S2018" s="112">
        <v>1500</v>
      </c>
      <c r="T2018" s="5">
        <f>VLOOKUP(TEXT(A2018,"yy-mm")&amp;"-"&amp;IF(AND(WEEKDAY(A2018)&gt;1,WEEKDAY(A2018)&lt;7),"Wkd",TEXT(A2018,"Ddd"))&amp;"-"&amp;TEXT(A2018,"hh"),LoadTable[],3,FALSE)*0.92</f>
        <v>289.33527113913209</v>
      </c>
      <c r="U2018" s="113">
        <f t="shared" si="2140"/>
        <v>28.933527113913208</v>
      </c>
      <c r="V2018">
        <f t="shared" ref="V2018:W2018" si="2175">V1994</f>
        <v>3.6</v>
      </c>
      <c r="W2018">
        <f t="shared" si="2175"/>
        <v>3.1</v>
      </c>
      <c r="X2018" s="9">
        <v>-32.7171073166664</v>
      </c>
      <c r="Y2018" s="39"/>
    </row>
    <row r="2019" spans="1:25" ht="15" thickBot="1">
      <c r="A2019" s="149">
        <f t="shared" si="2122"/>
        <v>45919.99999999709</v>
      </c>
      <c r="B2019" s="30">
        <f t="shared" si="2149"/>
        <v>5000</v>
      </c>
      <c r="C2019" s="109">
        <v>25000</v>
      </c>
      <c r="D2019" s="187">
        <v>0</v>
      </c>
      <c r="E2019" s="187">
        <v>700</v>
      </c>
      <c r="F2019" s="187">
        <v>15000</v>
      </c>
      <c r="G2019" s="30">
        <f t="shared" si="2150"/>
        <v>2400</v>
      </c>
      <c r="H2019" s="8">
        <v>25000</v>
      </c>
      <c r="I2019" s="30">
        <f t="shared" si="2151"/>
        <v>5000</v>
      </c>
      <c r="J2019" s="187">
        <v>40000</v>
      </c>
      <c r="K2019" s="30">
        <f t="shared" si="2152"/>
        <v>5000</v>
      </c>
      <c r="L2019" s="187">
        <v>40000</v>
      </c>
      <c r="M2019" s="110">
        <v>9.5</v>
      </c>
      <c r="N2019" s="9">
        <f>VLOOKUP(DATE(YEAR(A2019),MONTH(A2019),DAY(A2019)),FY24_Temp[],3,FALSE)</f>
        <v>16.8</v>
      </c>
      <c r="O2019" s="110">
        <f t="shared" si="2138"/>
        <v>11.5</v>
      </c>
      <c r="P2019" s="110">
        <f t="shared" si="2139"/>
        <v>19.5</v>
      </c>
      <c r="Q2019" s="79">
        <f>VLOOKUP(VLOOKUP(DATEVALUE(TEXT(A2019,"m/d/yyyy")),FY24_Temp[],5,FALSE)&amp;TEXT(A2019,"-h"),TempDelta[],4,FALSE)</f>
        <v>1.8245714221681868</v>
      </c>
      <c r="R2019">
        <v>10</v>
      </c>
      <c r="S2019" s="112">
        <v>1500</v>
      </c>
      <c r="T2019" s="5">
        <f>VLOOKUP(TEXT(A2019,"yy-mm")&amp;"-"&amp;IF(AND(WEEKDAY(A2019)&gt;1,WEEKDAY(A2019)&lt;7),"Wkd",TEXT(A2019,"Ddd"))&amp;"-"&amp;TEXT(A2019,"hh"),LoadTable[],3,FALSE)*0.92</f>
        <v>289.32996596071712</v>
      </c>
      <c r="U2019" s="113">
        <f t="shared" si="2140"/>
        <v>28.93299659607171</v>
      </c>
      <c r="V2019">
        <f t="shared" ref="V2019:W2019" si="2176">V1995</f>
        <v>3</v>
      </c>
      <c r="W2019">
        <f t="shared" si="2176"/>
        <v>3.2</v>
      </c>
      <c r="X2019" s="9">
        <v>-32.7949018666664</v>
      </c>
      <c r="Y2019" s="39"/>
    </row>
    <row r="2020" spans="1:25" ht="15" thickBot="1">
      <c r="A2020" s="149">
        <f t="shared" si="2122"/>
        <v>45920.041666663754</v>
      </c>
      <c r="B2020" s="30">
        <f t="shared" si="2149"/>
        <v>5000</v>
      </c>
      <c r="C2020" s="8">
        <v>25000</v>
      </c>
      <c r="D2020" s="187">
        <v>0</v>
      </c>
      <c r="E2020" s="187">
        <v>700</v>
      </c>
      <c r="F2020" s="187">
        <v>15000</v>
      </c>
      <c r="G2020" s="30">
        <f t="shared" si="2150"/>
        <v>2400</v>
      </c>
      <c r="H2020" s="8">
        <v>25000</v>
      </c>
      <c r="I2020" s="30">
        <f t="shared" si="2151"/>
        <v>5000</v>
      </c>
      <c r="J2020" s="187">
        <v>40000</v>
      </c>
      <c r="K2020" s="30">
        <f t="shared" si="2152"/>
        <v>5000</v>
      </c>
      <c r="L2020" s="187">
        <v>40000</v>
      </c>
      <c r="M2020" s="110">
        <v>9.5</v>
      </c>
      <c r="N2020" s="9">
        <f>VLOOKUP(DATE(YEAR(A2020),MONTH(A2020),DAY(A2020)),FY24_Temp[],3,FALSE)</f>
        <v>16.8</v>
      </c>
      <c r="O2020" s="110">
        <f t="shared" si="2138"/>
        <v>11.5</v>
      </c>
      <c r="P2020" s="110">
        <f t="shared" si="2139"/>
        <v>19.5</v>
      </c>
      <c r="Q2020" s="79">
        <f>VLOOKUP(VLOOKUP(DATEVALUE(TEXT(A2020,"m/d/yyyy")),FY24_Temp[],5,FALSE)&amp;TEXT(A2020,"-h"),TempDelta[],4,FALSE)</f>
        <v>1.8974285977227348</v>
      </c>
      <c r="R2020">
        <v>10</v>
      </c>
      <c r="S2020" s="112">
        <v>1500</v>
      </c>
      <c r="T2020" s="5">
        <f>VLOOKUP(TEXT(A2020,"yy-mm")&amp;"-"&amp;IF(AND(WEEKDAY(A2020)&gt;1,WEEKDAY(A2020)&lt;7),"Wkd",TEXT(A2020,"Ddd"))&amp;"-"&amp;TEXT(A2020,"hh"),LoadTable[],3,FALSE)*0.92</f>
        <v>289.32996596071712</v>
      </c>
      <c r="U2020" s="113">
        <f t="shared" si="2140"/>
        <v>28.93299659607171</v>
      </c>
      <c r="V2020">
        <f t="shared" ref="V2020:W2020" si="2177">V1996</f>
        <v>2.6</v>
      </c>
      <c r="W2020">
        <f t="shared" si="2177"/>
        <v>3.2</v>
      </c>
      <c r="X2020" s="9">
        <v>-32.8726964166664</v>
      </c>
      <c r="Y2020" s="39"/>
    </row>
    <row r="2021" spans="1:25" ht="15" thickBot="1">
      <c r="A2021" s="149">
        <f t="shared" si="2122"/>
        <v>45920.083333330418</v>
      </c>
      <c r="B2021" s="30">
        <f t="shared" si="2149"/>
        <v>5000</v>
      </c>
      <c r="C2021" s="8">
        <v>25000</v>
      </c>
      <c r="D2021" s="187">
        <v>0</v>
      </c>
      <c r="E2021" s="187">
        <v>700</v>
      </c>
      <c r="F2021" s="187">
        <v>15000</v>
      </c>
      <c r="G2021" s="30">
        <f t="shared" si="2150"/>
        <v>2400</v>
      </c>
      <c r="H2021" s="8">
        <v>25000</v>
      </c>
      <c r="I2021" s="30">
        <f t="shared" si="2151"/>
        <v>5000</v>
      </c>
      <c r="J2021" s="187">
        <v>40000</v>
      </c>
      <c r="K2021" s="30">
        <f t="shared" si="2152"/>
        <v>5000</v>
      </c>
      <c r="L2021" s="187">
        <v>40000</v>
      </c>
      <c r="M2021" s="110">
        <v>9.5</v>
      </c>
      <c r="N2021" s="9">
        <f>VLOOKUP(DATE(YEAR(A2021),MONTH(A2021),DAY(A2021)),FY24_Temp[],3,FALSE)</f>
        <v>16.8</v>
      </c>
      <c r="O2021" s="110">
        <f t="shared" si="2138"/>
        <v>11.5</v>
      </c>
      <c r="P2021" s="110">
        <f t="shared" si="2139"/>
        <v>19.5</v>
      </c>
      <c r="Q2021" s="79">
        <f>VLOOKUP(VLOOKUP(DATEVALUE(TEXT(A2021,"m/d/yyyy")),FY24_Temp[],5,FALSE)&amp;TEXT(A2021,"-h"),TempDelta[],4,FALSE)</f>
        <v>1.9182857445308141</v>
      </c>
      <c r="R2021">
        <v>10</v>
      </c>
      <c r="S2021" s="112">
        <v>1500</v>
      </c>
      <c r="T2021" s="5">
        <f>VLOOKUP(TEXT(A2021,"yy-mm")&amp;"-"&amp;IF(AND(WEEKDAY(A2021)&gt;1,WEEKDAY(A2021)&lt;7),"Wkd",TEXT(A2021,"Ddd"))&amp;"-"&amp;TEXT(A2021,"hh"),LoadTable[],3,FALSE)*0.92</f>
        <v>289.32996596071712</v>
      </c>
      <c r="U2021" s="113">
        <f t="shared" si="2140"/>
        <v>28.93299659607171</v>
      </c>
      <c r="V2021">
        <f t="shared" ref="V2021:W2021" si="2178">V1997</f>
        <v>2.8</v>
      </c>
      <c r="W2021">
        <f t="shared" si="2178"/>
        <v>3.2</v>
      </c>
      <c r="X2021" s="9">
        <v>-32.950490966666401</v>
      </c>
      <c r="Y2021" s="39"/>
    </row>
    <row r="2022" spans="1:25" ht="15" thickBot="1">
      <c r="A2022" s="149">
        <f t="shared" si="2122"/>
        <v>45920.124999997082</v>
      </c>
      <c r="B2022" s="30">
        <f t="shared" si="2149"/>
        <v>5000</v>
      </c>
      <c r="C2022" s="8">
        <v>25000</v>
      </c>
      <c r="D2022" s="187">
        <v>0</v>
      </c>
      <c r="E2022" s="187">
        <v>700</v>
      </c>
      <c r="F2022" s="187">
        <v>15000</v>
      </c>
      <c r="G2022" s="30">
        <f t="shared" si="2150"/>
        <v>2400</v>
      </c>
      <c r="H2022" s="8">
        <v>25000</v>
      </c>
      <c r="I2022" s="30">
        <f t="shared" si="2151"/>
        <v>5000</v>
      </c>
      <c r="J2022" s="187">
        <v>40000</v>
      </c>
      <c r="K2022" s="30">
        <f t="shared" si="2152"/>
        <v>5000</v>
      </c>
      <c r="L2022" s="187">
        <v>40000</v>
      </c>
      <c r="M2022" s="110">
        <v>9.5</v>
      </c>
      <c r="N2022" s="9">
        <f>VLOOKUP(DATE(YEAR(A2022),MONTH(A2022),DAY(A2022)),FY24_Temp[],3,FALSE)</f>
        <v>16.8</v>
      </c>
      <c r="O2022" s="110">
        <f t="shared" si="2138"/>
        <v>11.5</v>
      </c>
      <c r="P2022" s="110">
        <f t="shared" si="2139"/>
        <v>19.5</v>
      </c>
      <c r="Q2022" s="79">
        <f>VLOOKUP(VLOOKUP(DATEVALUE(TEXT(A2022,"m/d/yyyy")),FY24_Temp[],5,FALSE)&amp;TEXT(A2022,"-h"),TempDelta[],4,FALSE)</f>
        <v>1.9078571796417236</v>
      </c>
      <c r="R2022">
        <v>10</v>
      </c>
      <c r="S2022" s="112">
        <v>1500</v>
      </c>
      <c r="T2022" s="5">
        <f>VLOOKUP(TEXT(A2022,"yy-mm")&amp;"-"&amp;IF(AND(WEEKDAY(A2022)&gt;1,WEEKDAY(A2022)&lt;7),"Wkd",TEXT(A2022,"Ddd"))&amp;"-"&amp;TEXT(A2022,"hh"),LoadTable[],3,FALSE)*0.92</f>
        <v>289.3264287764718</v>
      </c>
      <c r="U2022" s="113">
        <f t="shared" si="2140"/>
        <v>28.932642877647179</v>
      </c>
      <c r="V2022">
        <f t="shared" ref="V2022:W2022" si="2179">V1998</f>
        <v>2.7</v>
      </c>
      <c r="W2022">
        <f t="shared" si="2179"/>
        <v>3.2</v>
      </c>
      <c r="X2022" s="9">
        <v>-33.028285516666401</v>
      </c>
      <c r="Y2022" s="39"/>
    </row>
    <row r="2023" spans="1:25" ht="15" thickBot="1">
      <c r="A2023" s="149">
        <f t="shared" si="2122"/>
        <v>45920.166666663747</v>
      </c>
      <c r="B2023" s="30">
        <f t="shared" si="2149"/>
        <v>5000</v>
      </c>
      <c r="C2023" s="8">
        <v>25000</v>
      </c>
      <c r="D2023" s="187">
        <v>0</v>
      </c>
      <c r="E2023" s="187">
        <v>700</v>
      </c>
      <c r="F2023" s="187">
        <v>15000</v>
      </c>
      <c r="G2023" s="30">
        <f t="shared" si="2150"/>
        <v>2400</v>
      </c>
      <c r="H2023" s="8">
        <v>25000</v>
      </c>
      <c r="I2023" s="30">
        <f t="shared" si="2151"/>
        <v>5000</v>
      </c>
      <c r="J2023" s="187">
        <v>40000</v>
      </c>
      <c r="K2023" s="30">
        <f t="shared" si="2152"/>
        <v>5000</v>
      </c>
      <c r="L2023" s="187">
        <v>40000</v>
      </c>
      <c r="M2023" s="110">
        <v>9.5</v>
      </c>
      <c r="N2023" s="9">
        <f>VLOOKUP(DATE(YEAR(A2023),MONTH(A2023),DAY(A2023)),FY24_Temp[],3,FALSE)</f>
        <v>16.8</v>
      </c>
      <c r="O2023" s="110">
        <f t="shared" si="2138"/>
        <v>11.5</v>
      </c>
      <c r="P2023" s="110">
        <f t="shared" si="2139"/>
        <v>19.5</v>
      </c>
      <c r="Q2023" s="79">
        <f>VLOOKUP(VLOOKUP(DATEVALUE(TEXT(A2023,"m/d/yyyy")),FY24_Temp[],5,FALSE)&amp;TEXT(A2023,"-h"),TempDelta[],4,FALSE)</f>
        <v>1.9279999732971191</v>
      </c>
      <c r="R2023">
        <v>10</v>
      </c>
      <c r="S2023" s="112">
        <v>1500</v>
      </c>
      <c r="T2023" s="5">
        <f>VLOOKUP(TEXT(A2023,"yy-mm")&amp;"-"&amp;IF(AND(WEEKDAY(A2023)&gt;1,WEEKDAY(A2023)&lt;7),"Wkd",TEXT(A2023,"Ddd"))&amp;"-"&amp;TEXT(A2023,"hh"),LoadTable[],3,FALSE)*0.92</f>
        <v>289.3264287764718</v>
      </c>
      <c r="U2023" s="113">
        <f t="shared" si="2140"/>
        <v>28.932642877647179</v>
      </c>
      <c r="V2023">
        <f t="shared" ref="V2023:W2023" si="2180">V1999</f>
        <v>3</v>
      </c>
      <c r="W2023">
        <f t="shared" si="2180"/>
        <v>3.1</v>
      </c>
      <c r="X2023" s="9">
        <v>-33.106080066666401</v>
      </c>
      <c r="Y2023" s="39"/>
    </row>
    <row r="2024" spans="1:25" ht="15" thickBot="1">
      <c r="A2024" s="149">
        <f t="shared" si="2122"/>
        <v>45920.208333330411</v>
      </c>
      <c r="B2024" s="30">
        <f t="shared" si="2149"/>
        <v>5000</v>
      </c>
      <c r="C2024" s="8">
        <v>25000</v>
      </c>
      <c r="D2024" s="187">
        <v>0</v>
      </c>
      <c r="E2024" s="187">
        <v>700</v>
      </c>
      <c r="F2024" s="187">
        <v>15000</v>
      </c>
      <c r="G2024" s="30">
        <f t="shared" si="2150"/>
        <v>2400</v>
      </c>
      <c r="H2024" s="8">
        <v>25000</v>
      </c>
      <c r="I2024" s="30">
        <f t="shared" si="2151"/>
        <v>5000</v>
      </c>
      <c r="J2024" s="187">
        <v>40000</v>
      </c>
      <c r="K2024" s="30">
        <f t="shared" si="2152"/>
        <v>5000</v>
      </c>
      <c r="L2024" s="187">
        <v>40000</v>
      </c>
      <c r="M2024" s="110">
        <v>9.5</v>
      </c>
      <c r="N2024" s="9">
        <f>VLOOKUP(DATE(YEAR(A2024),MONTH(A2024),DAY(A2024)),FY24_Temp[],3,FALSE)</f>
        <v>16.8</v>
      </c>
      <c r="O2024" s="110">
        <f t="shared" si="2138"/>
        <v>11.5</v>
      </c>
      <c r="P2024" s="110">
        <f t="shared" si="2139"/>
        <v>19.5</v>
      </c>
      <c r="Q2024" s="79">
        <f>VLOOKUP(VLOOKUP(DATEVALUE(TEXT(A2024,"m/d/yyyy")),FY24_Temp[],5,FALSE)&amp;TEXT(A2024,"-h"),TempDelta[],4,FALSE)</f>
        <v>2.012714283806937</v>
      </c>
      <c r="R2024">
        <v>10</v>
      </c>
      <c r="S2024" s="112">
        <v>1500</v>
      </c>
      <c r="T2024" s="5">
        <f>VLOOKUP(TEXT(A2024,"yy-mm")&amp;"-"&amp;IF(AND(WEEKDAY(A2024)&gt;1,WEEKDAY(A2024)&lt;7),"Wkd",TEXT(A2024,"Ddd"))&amp;"-"&amp;TEXT(A2024,"hh"),LoadTable[],3,FALSE)*0.92</f>
        <v>289.3264287764718</v>
      </c>
      <c r="U2024" s="113">
        <f t="shared" si="2140"/>
        <v>28.932642877647179</v>
      </c>
      <c r="V2024">
        <f t="shared" ref="V2024:W2024" si="2181">V2000</f>
        <v>2.9</v>
      </c>
      <c r="W2024">
        <f t="shared" si="2181"/>
        <v>3.1</v>
      </c>
      <c r="X2024" s="9">
        <v>-33.183874616666401</v>
      </c>
      <c r="Y2024" s="39"/>
    </row>
    <row r="2025" spans="1:25" ht="15" thickBot="1">
      <c r="A2025" s="149">
        <f t="shared" si="2122"/>
        <v>45920.249999997075</v>
      </c>
      <c r="B2025" s="30">
        <f t="shared" si="2149"/>
        <v>8000</v>
      </c>
      <c r="C2025" s="8">
        <v>25000</v>
      </c>
      <c r="D2025" s="187">
        <v>0</v>
      </c>
      <c r="E2025" s="187">
        <v>700</v>
      </c>
      <c r="F2025" s="187">
        <v>15000</v>
      </c>
      <c r="G2025" s="30">
        <f t="shared" si="2150"/>
        <v>2400</v>
      </c>
      <c r="H2025" s="8">
        <v>25000</v>
      </c>
      <c r="I2025" s="30">
        <f t="shared" si="2151"/>
        <v>8000</v>
      </c>
      <c r="J2025" s="187">
        <v>40000</v>
      </c>
      <c r="K2025" s="30">
        <f t="shared" si="2152"/>
        <v>8000</v>
      </c>
      <c r="L2025" s="187">
        <v>40000</v>
      </c>
      <c r="M2025" s="110">
        <v>9.5</v>
      </c>
      <c r="N2025" s="9">
        <f>VLOOKUP(DATE(YEAR(A2025),MONTH(A2025),DAY(A2025)),FY24_Temp[],3,FALSE)</f>
        <v>16.8</v>
      </c>
      <c r="O2025" s="110">
        <f t="shared" si="2138"/>
        <v>11.5</v>
      </c>
      <c r="P2025" s="110">
        <f t="shared" si="2139"/>
        <v>19.5</v>
      </c>
      <c r="Q2025" s="79">
        <f>VLOOKUP(VLOOKUP(DATEVALUE(TEXT(A2025,"m/d/yyyy")),FY24_Temp[],5,FALSE)&amp;TEXT(A2025,"-h"),TempDelta[],4,FALSE)</f>
        <v>1.9665714332035609</v>
      </c>
      <c r="R2025">
        <v>10</v>
      </c>
      <c r="S2025" s="112">
        <v>1500</v>
      </c>
      <c r="T2025" s="5">
        <f>VLOOKUP(TEXT(A2025,"yy-mm")&amp;"-"&amp;IF(AND(WEEKDAY(A2025)&gt;1,WEEKDAY(A2025)&lt;7),"Wkd",TEXT(A2025,"Ddd"))&amp;"-"&amp;TEXT(A2025,"hh"),LoadTable[],3,FALSE)*0.92</f>
        <v>289.3264287764718</v>
      </c>
      <c r="U2025" s="113">
        <f t="shared" si="2140"/>
        <v>28.932642877647179</v>
      </c>
      <c r="V2025">
        <f t="shared" ref="V2025:W2025" si="2182">V2001</f>
        <v>2.5</v>
      </c>
      <c r="W2025">
        <f t="shared" si="2182"/>
        <v>3.1</v>
      </c>
      <c r="X2025" s="9">
        <v>-33.261669166666401</v>
      </c>
      <c r="Y2025" s="39"/>
    </row>
    <row r="2026" spans="1:25" ht="15" thickBot="1">
      <c r="A2026" s="149">
        <f t="shared" si="2122"/>
        <v>45920.291666663739</v>
      </c>
      <c r="B2026" s="30">
        <f t="shared" si="2149"/>
        <v>8000</v>
      </c>
      <c r="C2026" s="8">
        <v>25000</v>
      </c>
      <c r="D2026" s="187">
        <v>0</v>
      </c>
      <c r="E2026" s="187">
        <v>700</v>
      </c>
      <c r="F2026" s="187">
        <v>15000</v>
      </c>
      <c r="G2026" s="30">
        <f t="shared" si="2150"/>
        <v>2400</v>
      </c>
      <c r="H2026" s="8">
        <v>25000</v>
      </c>
      <c r="I2026" s="30">
        <f t="shared" si="2151"/>
        <v>8000</v>
      </c>
      <c r="J2026" s="187">
        <v>40000</v>
      </c>
      <c r="K2026" s="30">
        <f t="shared" si="2152"/>
        <v>8000</v>
      </c>
      <c r="L2026" s="187">
        <v>40000</v>
      </c>
      <c r="M2026" s="110">
        <v>9.5</v>
      </c>
      <c r="N2026" s="9">
        <f>VLOOKUP(DATE(YEAR(A2026),MONTH(A2026),DAY(A2026)),FY24_Temp[],3,FALSE)</f>
        <v>16.8</v>
      </c>
      <c r="O2026" s="110">
        <f t="shared" si="2138"/>
        <v>11.5</v>
      </c>
      <c r="P2026" s="110">
        <f t="shared" si="2139"/>
        <v>19.5</v>
      </c>
      <c r="Q2026" s="79">
        <f>VLOOKUP(VLOOKUP(DATEVALUE(TEXT(A2026,"m/d/yyyy")),FY24_Temp[],5,FALSE)&amp;TEXT(A2026,"-h"),TempDelta[],4,FALSE)</f>
        <v>1.8381428548267909</v>
      </c>
      <c r="R2026">
        <v>10</v>
      </c>
      <c r="S2026" s="112">
        <v>1500</v>
      </c>
      <c r="T2026" s="5">
        <f>VLOOKUP(TEXT(A2026,"yy-mm")&amp;"-"&amp;IF(AND(WEEKDAY(A2026)&gt;1,WEEKDAY(A2026)&lt;7),"Wkd",TEXT(A2026,"Ddd"))&amp;"-"&amp;TEXT(A2026,"hh"),LoadTable[],3,FALSE)*0.92</f>
        <v>289.3264287764718</v>
      </c>
      <c r="U2026" s="113">
        <f t="shared" si="2140"/>
        <v>28.932642877647179</v>
      </c>
      <c r="V2026">
        <f t="shared" ref="V2026:W2026" si="2183">V2002</f>
        <v>2.5</v>
      </c>
      <c r="W2026">
        <f t="shared" si="2183"/>
        <v>3.1</v>
      </c>
      <c r="X2026" s="9">
        <v>-33.339463716666401</v>
      </c>
      <c r="Y2026" s="39"/>
    </row>
    <row r="2027" spans="1:25" ht="15" thickBot="1">
      <c r="A2027" s="149">
        <f t="shared" si="2122"/>
        <v>45920.333333330404</v>
      </c>
      <c r="B2027" s="30">
        <f t="shared" si="2149"/>
        <v>8000</v>
      </c>
      <c r="C2027" s="8">
        <v>25000</v>
      </c>
      <c r="D2027" s="187">
        <v>0</v>
      </c>
      <c r="E2027" s="187">
        <v>700</v>
      </c>
      <c r="F2027" s="187">
        <v>15000</v>
      </c>
      <c r="G2027" s="30">
        <f t="shared" si="2150"/>
        <v>2400</v>
      </c>
      <c r="H2027" s="8">
        <v>25000</v>
      </c>
      <c r="I2027" s="30">
        <f t="shared" si="2151"/>
        <v>8000</v>
      </c>
      <c r="J2027" s="187">
        <v>40000</v>
      </c>
      <c r="K2027" s="30">
        <f t="shared" si="2152"/>
        <v>8000</v>
      </c>
      <c r="L2027" s="187">
        <v>40000</v>
      </c>
      <c r="M2027" s="110">
        <v>9.5</v>
      </c>
      <c r="N2027" s="9">
        <f>VLOOKUP(DATE(YEAR(A2027),MONTH(A2027),DAY(A2027)),FY24_Temp[],3,FALSE)</f>
        <v>16.8</v>
      </c>
      <c r="O2027" s="110">
        <f t="shared" si="2138"/>
        <v>11.5</v>
      </c>
      <c r="P2027" s="110">
        <f t="shared" si="2139"/>
        <v>19.5</v>
      </c>
      <c r="Q2027" s="79">
        <f>VLOOKUP(VLOOKUP(DATEVALUE(TEXT(A2027,"m/d/yyyy")),FY24_Temp[],5,FALSE)&amp;TEXT(A2027,"-h"),TempDelta[],4,FALSE)</f>
        <v>1.6827142919812883</v>
      </c>
      <c r="R2027">
        <v>10</v>
      </c>
      <c r="S2027" s="112">
        <v>1500</v>
      </c>
      <c r="T2027" s="5">
        <f>VLOOKUP(TEXT(A2027,"yy-mm")&amp;"-"&amp;IF(AND(WEEKDAY(A2027)&gt;1,WEEKDAY(A2027)&lt;7),"Wkd",TEXT(A2027,"Ddd"))&amp;"-"&amp;TEXT(A2027,"hh"),LoadTable[],3,FALSE)*0.92</f>
        <v>289.32996596071712</v>
      </c>
      <c r="U2027" s="113">
        <f t="shared" si="2140"/>
        <v>28.93299659607171</v>
      </c>
      <c r="V2027">
        <f t="shared" ref="V2027:W2027" si="2184">V2003</f>
        <v>3.2</v>
      </c>
      <c r="W2027">
        <f t="shared" si="2184"/>
        <v>3</v>
      </c>
      <c r="X2027" s="9">
        <v>-33.417258266666401</v>
      </c>
      <c r="Y2027" s="39"/>
    </row>
    <row r="2028" spans="1:25" ht="15" thickBot="1">
      <c r="A2028" s="149">
        <f t="shared" si="2122"/>
        <v>45920.374999997068</v>
      </c>
      <c r="B2028" s="30">
        <f t="shared" si="2149"/>
        <v>8000</v>
      </c>
      <c r="C2028" s="8">
        <v>25000</v>
      </c>
      <c r="D2028" s="187">
        <v>0</v>
      </c>
      <c r="E2028" s="187">
        <v>700</v>
      </c>
      <c r="F2028" s="187">
        <v>15000</v>
      </c>
      <c r="G2028" s="30">
        <f t="shared" si="2150"/>
        <v>2400</v>
      </c>
      <c r="H2028" s="8">
        <v>25000</v>
      </c>
      <c r="I2028" s="30">
        <f t="shared" si="2151"/>
        <v>8000</v>
      </c>
      <c r="J2028" s="187">
        <v>40000</v>
      </c>
      <c r="K2028" s="30">
        <f t="shared" si="2152"/>
        <v>8000</v>
      </c>
      <c r="L2028" s="187">
        <v>40000</v>
      </c>
      <c r="M2028" s="110">
        <v>9.5</v>
      </c>
      <c r="N2028" s="9">
        <f>VLOOKUP(DATE(YEAR(A2028),MONTH(A2028),DAY(A2028)),FY24_Temp[],3,FALSE)</f>
        <v>16.8</v>
      </c>
      <c r="O2028" s="110">
        <f t="shared" si="2138"/>
        <v>11.5</v>
      </c>
      <c r="P2028" s="110">
        <f t="shared" si="2139"/>
        <v>19.5</v>
      </c>
      <c r="Q2028" s="79">
        <f>VLOOKUP(VLOOKUP(DATEVALUE(TEXT(A2028,"m/d/yyyy")),FY24_Temp[],5,FALSE)&amp;TEXT(A2028,"-h"),TempDelta[],4,FALSE)</f>
        <v>1.5467142888477869</v>
      </c>
      <c r="R2028">
        <v>10</v>
      </c>
      <c r="S2028" s="112">
        <v>1500</v>
      </c>
      <c r="T2028" s="5">
        <f>VLOOKUP(TEXT(A2028,"yy-mm")&amp;"-"&amp;IF(AND(WEEKDAY(A2028)&gt;1,WEEKDAY(A2028)&lt;7),"Wkd",TEXT(A2028,"Ddd"))&amp;"-"&amp;TEXT(A2028,"hh"),LoadTable[],3,FALSE)*0.92</f>
        <v>289.32996596071712</v>
      </c>
      <c r="U2028" s="113">
        <f t="shared" si="2140"/>
        <v>28.93299659607171</v>
      </c>
      <c r="V2028">
        <f t="shared" ref="V2028:W2028" si="2185">V2004</f>
        <v>2.9</v>
      </c>
      <c r="W2028">
        <f t="shared" si="2185"/>
        <v>3</v>
      </c>
      <c r="X2028" s="9">
        <v>-33.495052816666401</v>
      </c>
      <c r="Y2028" s="39"/>
    </row>
    <row r="2029" spans="1:25" ht="15" thickBot="1">
      <c r="A2029" s="149">
        <f t="shared" si="2122"/>
        <v>45920.416666663732</v>
      </c>
      <c r="B2029" s="30">
        <f t="shared" si="2149"/>
        <v>8000</v>
      </c>
      <c r="C2029" s="8">
        <v>25000</v>
      </c>
      <c r="D2029" s="187">
        <v>0</v>
      </c>
      <c r="E2029" s="187">
        <v>700</v>
      </c>
      <c r="F2029" s="187">
        <v>15000</v>
      </c>
      <c r="G2029" s="30">
        <f t="shared" si="2150"/>
        <v>2400</v>
      </c>
      <c r="H2029" s="8">
        <v>25000</v>
      </c>
      <c r="I2029" s="30">
        <f t="shared" si="2151"/>
        <v>8000</v>
      </c>
      <c r="J2029" s="187">
        <v>40000</v>
      </c>
      <c r="K2029" s="30">
        <f t="shared" si="2152"/>
        <v>8000</v>
      </c>
      <c r="L2029" s="187">
        <v>40000</v>
      </c>
      <c r="M2029" s="110">
        <v>9.5</v>
      </c>
      <c r="N2029" s="9">
        <f>VLOOKUP(DATE(YEAR(A2029),MONTH(A2029),DAY(A2029)),FY24_Temp[],3,FALSE)</f>
        <v>16.8</v>
      </c>
      <c r="O2029" s="110">
        <f t="shared" si="2138"/>
        <v>11.5</v>
      </c>
      <c r="P2029" s="110">
        <f t="shared" si="2139"/>
        <v>19.5</v>
      </c>
      <c r="Q2029" s="79">
        <f>VLOOKUP(VLOOKUP(DATEVALUE(TEXT(A2029,"m/d/yyyy")),FY24_Temp[],5,FALSE)&amp;TEXT(A2029,"-h"),TempDelta[],4,FALSE)</f>
        <v>1.4074285881859916</v>
      </c>
      <c r="R2029">
        <v>10</v>
      </c>
      <c r="S2029" s="112">
        <v>1500</v>
      </c>
      <c r="T2029" s="5">
        <f>VLOOKUP(TEXT(A2029,"yy-mm")&amp;"-"&amp;IF(AND(WEEKDAY(A2029)&gt;1,WEEKDAY(A2029)&lt;7),"Wkd",TEXT(A2029,"Ddd"))&amp;"-"&amp;TEXT(A2029,"hh"),LoadTable[],3,FALSE)*0.92</f>
        <v>289.32996596071712</v>
      </c>
      <c r="U2029" s="113">
        <f t="shared" si="2140"/>
        <v>28.93299659607171</v>
      </c>
      <c r="V2029">
        <f t="shared" ref="V2029:W2029" si="2186">V2005</f>
        <v>2.9</v>
      </c>
      <c r="W2029">
        <f t="shared" si="2186"/>
        <v>3</v>
      </c>
      <c r="X2029" s="9">
        <v>-33.572847366666402</v>
      </c>
      <c r="Y2029" s="39"/>
    </row>
    <row r="2030" spans="1:25" ht="15" thickBot="1">
      <c r="A2030" s="149">
        <f t="shared" si="2122"/>
        <v>45920.458333330396</v>
      </c>
      <c r="B2030" s="30">
        <f t="shared" si="2149"/>
        <v>8000</v>
      </c>
      <c r="C2030" s="8">
        <v>25000</v>
      </c>
      <c r="D2030" s="187">
        <v>0</v>
      </c>
      <c r="E2030" s="187">
        <v>700</v>
      </c>
      <c r="F2030" s="187">
        <v>15000</v>
      </c>
      <c r="G2030" s="30">
        <f t="shared" si="2150"/>
        <v>2400</v>
      </c>
      <c r="H2030" s="8">
        <v>25000</v>
      </c>
      <c r="I2030" s="30">
        <f t="shared" si="2151"/>
        <v>8000</v>
      </c>
      <c r="J2030" s="187">
        <v>40000</v>
      </c>
      <c r="K2030" s="30">
        <f t="shared" si="2152"/>
        <v>8000</v>
      </c>
      <c r="L2030" s="187">
        <v>40000</v>
      </c>
      <c r="M2030" s="110">
        <v>9.5</v>
      </c>
      <c r="N2030" s="9">
        <f>VLOOKUP(DATE(YEAR(A2030),MONTH(A2030),DAY(A2030)),FY24_Temp[],3,FALSE)</f>
        <v>16.8</v>
      </c>
      <c r="O2030" s="110">
        <f t="shared" si="2138"/>
        <v>11.5</v>
      </c>
      <c r="P2030" s="110">
        <f t="shared" si="2139"/>
        <v>19.5</v>
      </c>
      <c r="Q2030" s="79">
        <f>VLOOKUP(VLOOKUP(DATEVALUE(TEXT(A2030,"m/d/yyyy")),FY24_Temp[],5,FALSE)&amp;TEXT(A2030,"-h"),TempDelta[],4,FALSE)</f>
        <v>1.2401428733553206</v>
      </c>
      <c r="R2030">
        <v>10</v>
      </c>
      <c r="S2030" s="112">
        <v>1500</v>
      </c>
      <c r="T2030" s="5">
        <f>VLOOKUP(TEXT(A2030,"yy-mm")&amp;"-"&amp;IF(AND(WEEKDAY(A2030)&gt;1,WEEKDAY(A2030)&lt;7),"Wkd",TEXT(A2030,"Ddd"))&amp;"-"&amp;TEXT(A2030,"hh"),LoadTable[],3,FALSE)*0.92</f>
        <v>289.32996596071712</v>
      </c>
      <c r="U2030" s="113">
        <f t="shared" si="2140"/>
        <v>28.93299659607171</v>
      </c>
      <c r="V2030">
        <f t="shared" ref="V2030:W2030" si="2187">V2006</f>
        <v>3.4</v>
      </c>
      <c r="W2030">
        <f t="shared" si="2187"/>
        <v>3</v>
      </c>
      <c r="X2030" s="9">
        <v>-33.650641916666402</v>
      </c>
      <c r="Y2030" s="39"/>
    </row>
    <row r="2031" spans="1:25" ht="15" thickBot="1">
      <c r="A2031" s="149">
        <f t="shared" si="2122"/>
        <v>45920.499999997061</v>
      </c>
      <c r="B2031" s="30">
        <f t="shared" si="2149"/>
        <v>8000</v>
      </c>
      <c r="C2031" s="8">
        <v>25000</v>
      </c>
      <c r="D2031" s="187">
        <v>0</v>
      </c>
      <c r="E2031" s="187">
        <v>700</v>
      </c>
      <c r="F2031" s="187">
        <v>15000</v>
      </c>
      <c r="G2031" s="30">
        <f t="shared" si="2150"/>
        <v>2400</v>
      </c>
      <c r="H2031" s="8">
        <v>25000</v>
      </c>
      <c r="I2031" s="30">
        <f t="shared" si="2151"/>
        <v>8000</v>
      </c>
      <c r="J2031" s="187">
        <v>40000</v>
      </c>
      <c r="K2031" s="30">
        <f t="shared" si="2152"/>
        <v>8000</v>
      </c>
      <c r="L2031" s="187">
        <v>40000</v>
      </c>
      <c r="M2031" s="110">
        <v>9.5</v>
      </c>
      <c r="N2031" s="9">
        <f>VLOOKUP(DATE(YEAR(A2031),MONTH(A2031),DAY(A2031)),FY24_Temp[],3,FALSE)</f>
        <v>16.8</v>
      </c>
      <c r="O2031" s="110">
        <f t="shared" si="2138"/>
        <v>11.5</v>
      </c>
      <c r="P2031" s="110">
        <f t="shared" si="2139"/>
        <v>19.5</v>
      </c>
      <c r="Q2031" s="79">
        <f>VLOOKUP(VLOOKUP(DATEVALUE(TEXT(A2031,"m/d/yyyy")),FY24_Temp[],5,FALSE)&amp;TEXT(A2031,"-h"),TempDelta[],4,FALSE)</f>
        <v>1.0797142812183924</v>
      </c>
      <c r="R2031">
        <v>10</v>
      </c>
      <c r="S2031" s="112">
        <v>1500</v>
      </c>
      <c r="T2031" s="5">
        <f>VLOOKUP(TEXT(A2031,"yy-mm")&amp;"-"&amp;IF(AND(WEEKDAY(A2031)&gt;1,WEEKDAY(A2031)&lt;7),"Wkd",TEXT(A2031,"Ddd"))&amp;"-"&amp;TEXT(A2031,"hh"),LoadTable[],3,FALSE)*0.92</f>
        <v>289.32996596071712</v>
      </c>
      <c r="U2031" s="113">
        <f t="shared" si="2140"/>
        <v>28.93299659607171</v>
      </c>
      <c r="V2031">
        <f t="shared" ref="V2031:W2031" si="2188">V2007</f>
        <v>3.1</v>
      </c>
      <c r="W2031">
        <f t="shared" si="2188"/>
        <v>2.9</v>
      </c>
      <c r="X2031" s="9">
        <v>-33.728436466666402</v>
      </c>
      <c r="Y2031" s="39"/>
    </row>
    <row r="2032" spans="1:25" ht="15" thickBot="1">
      <c r="A2032" s="149">
        <f t="shared" si="2122"/>
        <v>45920.541666663725</v>
      </c>
      <c r="B2032" s="30">
        <f t="shared" si="2149"/>
        <v>8000</v>
      </c>
      <c r="C2032" s="8">
        <v>25000</v>
      </c>
      <c r="D2032" s="187">
        <v>0</v>
      </c>
      <c r="E2032" s="187">
        <v>700</v>
      </c>
      <c r="F2032" s="187">
        <v>15000</v>
      </c>
      <c r="G2032" s="30">
        <f t="shared" si="2150"/>
        <v>2400</v>
      </c>
      <c r="H2032" s="8">
        <v>25000</v>
      </c>
      <c r="I2032" s="30">
        <f t="shared" si="2151"/>
        <v>8000</v>
      </c>
      <c r="J2032" s="187">
        <v>40000</v>
      </c>
      <c r="K2032" s="30">
        <f t="shared" si="2152"/>
        <v>8000</v>
      </c>
      <c r="L2032" s="187">
        <v>40000</v>
      </c>
      <c r="M2032" s="110">
        <v>9.5</v>
      </c>
      <c r="N2032" s="9">
        <f>VLOOKUP(DATE(YEAR(A2032),MONTH(A2032),DAY(A2032)),FY24_Temp[],3,FALSE)</f>
        <v>16.8</v>
      </c>
      <c r="O2032" s="110">
        <f t="shared" si="2138"/>
        <v>11.5</v>
      </c>
      <c r="P2032" s="110">
        <f t="shared" si="2139"/>
        <v>19.5</v>
      </c>
      <c r="Q2032" s="79">
        <f>VLOOKUP(VLOOKUP(DATEVALUE(TEXT(A2032,"m/d/yyyy")),FY24_Temp[],5,FALSE)&amp;TEXT(A2032,"-h"),TempDelta[],4,FALSE)</f>
        <v>0.92499999489103046</v>
      </c>
      <c r="R2032">
        <v>10</v>
      </c>
      <c r="S2032" s="112">
        <v>1500</v>
      </c>
      <c r="T2032" s="5">
        <f>VLOOKUP(TEXT(A2032,"yy-mm")&amp;"-"&amp;IF(AND(WEEKDAY(A2032)&gt;1,WEEKDAY(A2032)&lt;7),"Wkd",TEXT(A2032,"Ddd"))&amp;"-"&amp;TEXT(A2032,"hh"),LoadTable[],3,FALSE)*0.92</f>
        <v>289.32996596071712</v>
      </c>
      <c r="U2032" s="113">
        <f t="shared" si="2140"/>
        <v>28.93299659607171</v>
      </c>
      <c r="V2032">
        <f t="shared" ref="V2032:W2032" si="2189">V2008</f>
        <v>3.2</v>
      </c>
      <c r="W2032">
        <f t="shared" si="2189"/>
        <v>2.9</v>
      </c>
      <c r="X2032" s="9">
        <v>-33.806231016666402</v>
      </c>
      <c r="Y2032" s="39"/>
    </row>
    <row r="2033" spans="1:25" ht="15" thickBot="1">
      <c r="A2033" s="149">
        <f t="shared" si="2122"/>
        <v>45920.583333330389</v>
      </c>
      <c r="B2033" s="30">
        <f t="shared" si="2149"/>
        <v>8000</v>
      </c>
      <c r="C2033" s="8">
        <v>25000</v>
      </c>
      <c r="D2033" s="187">
        <v>0</v>
      </c>
      <c r="E2033" s="187">
        <v>700</v>
      </c>
      <c r="F2033" s="187">
        <v>15000</v>
      </c>
      <c r="G2033" s="30">
        <f t="shared" si="2150"/>
        <v>2400</v>
      </c>
      <c r="H2033" s="8">
        <v>25000</v>
      </c>
      <c r="I2033" s="30">
        <f t="shared" si="2151"/>
        <v>8000</v>
      </c>
      <c r="J2033" s="187">
        <v>40000</v>
      </c>
      <c r="K2033" s="30">
        <f t="shared" si="2152"/>
        <v>8000</v>
      </c>
      <c r="L2033" s="187">
        <v>40000</v>
      </c>
      <c r="M2033" s="110">
        <v>9.5</v>
      </c>
      <c r="N2033" s="9">
        <f>VLOOKUP(DATE(YEAR(A2033),MONTH(A2033),DAY(A2033)),FY24_Temp[],3,FALSE)</f>
        <v>16.8</v>
      </c>
      <c r="O2033" s="110">
        <f t="shared" si="2138"/>
        <v>11.5</v>
      </c>
      <c r="P2033" s="110">
        <f t="shared" si="2139"/>
        <v>19.5</v>
      </c>
      <c r="Q2033" s="79">
        <f>VLOOKUP(VLOOKUP(DATEVALUE(TEXT(A2033,"m/d/yyyy")),FY24_Temp[],5,FALSE)&amp;TEXT(A2033,"-h"),TempDelta[],4,FALSE)</f>
        <v>0.77985713311604088</v>
      </c>
      <c r="R2033">
        <v>10</v>
      </c>
      <c r="S2033" s="112">
        <v>1500</v>
      </c>
      <c r="T2033" s="5">
        <f>VLOOKUP(TEXT(A2033,"yy-mm")&amp;"-"&amp;IF(AND(WEEKDAY(A2033)&gt;1,WEEKDAY(A2033)&lt;7),"Wkd",TEXT(A2033,"Ddd"))&amp;"-"&amp;TEXT(A2033,"hh"),LoadTable[],3,FALSE)*0.92</f>
        <v>358.02812000000006</v>
      </c>
      <c r="U2033" s="113">
        <f t="shared" si="2140"/>
        <v>35.802812000000003</v>
      </c>
      <c r="V2033">
        <f t="shared" ref="V2033:W2033" si="2190">V2009</f>
        <v>3.5</v>
      </c>
      <c r="W2033">
        <f t="shared" si="2190"/>
        <v>2.9</v>
      </c>
      <c r="X2033" s="9">
        <v>-33.884025566666402</v>
      </c>
      <c r="Y2033" s="39"/>
    </row>
    <row r="2034" spans="1:25" ht="15" thickBot="1">
      <c r="A2034" s="149">
        <f t="shared" si="2122"/>
        <v>45920.624999997053</v>
      </c>
      <c r="B2034" s="30">
        <f t="shared" si="2149"/>
        <v>8000</v>
      </c>
      <c r="C2034" s="8">
        <v>25000</v>
      </c>
      <c r="D2034" s="187">
        <v>0</v>
      </c>
      <c r="E2034" s="187">
        <v>700</v>
      </c>
      <c r="F2034" s="187">
        <v>15000</v>
      </c>
      <c r="G2034" s="30">
        <f t="shared" si="2150"/>
        <v>2400</v>
      </c>
      <c r="H2034" s="8">
        <v>25000</v>
      </c>
      <c r="I2034" s="30">
        <f t="shared" si="2151"/>
        <v>8000</v>
      </c>
      <c r="J2034" s="187">
        <v>40000</v>
      </c>
      <c r="K2034" s="30">
        <f t="shared" si="2152"/>
        <v>8000</v>
      </c>
      <c r="L2034" s="187">
        <v>40000</v>
      </c>
      <c r="M2034" s="110">
        <v>9.5</v>
      </c>
      <c r="N2034" s="9">
        <f>VLOOKUP(DATE(YEAR(A2034),MONTH(A2034),DAY(A2034)),FY24_Temp[],3,FALSE)</f>
        <v>16.8</v>
      </c>
      <c r="O2034" s="110">
        <f t="shared" si="2138"/>
        <v>11.5</v>
      </c>
      <c r="P2034" s="110">
        <f t="shared" si="2139"/>
        <v>19.5</v>
      </c>
      <c r="Q2034" s="79">
        <f>VLOOKUP(VLOOKUP(DATEVALUE(TEXT(A2034,"m/d/yyyy")),FY24_Temp[],5,FALSE)&amp;TEXT(A2034,"-h"),TempDelta[],4,FALSE)</f>
        <v>0.30699999923152582</v>
      </c>
      <c r="R2034">
        <v>10</v>
      </c>
      <c r="S2034" s="112">
        <v>1500</v>
      </c>
      <c r="T2034" s="5">
        <f>VLOOKUP(TEXT(A2034,"yy-mm")&amp;"-"&amp;IF(AND(WEEKDAY(A2034)&gt;1,WEEKDAY(A2034)&lt;7),"Wkd",TEXT(A2034,"Ddd"))&amp;"-"&amp;TEXT(A2034,"hh"),LoadTable[],3,FALSE)*0.92</f>
        <v>570.47816246622074</v>
      </c>
      <c r="U2034" s="113">
        <f t="shared" si="2140"/>
        <v>57.047816246622077</v>
      </c>
      <c r="V2034">
        <f t="shared" ref="V2034:W2034" si="2191">V2010</f>
        <v>3.2</v>
      </c>
      <c r="W2034">
        <f t="shared" si="2191"/>
        <v>2.9</v>
      </c>
      <c r="X2034" s="9">
        <v>-33.961820116666402</v>
      </c>
      <c r="Y2034" s="39"/>
    </row>
    <row r="2035" spans="1:25" ht="15" thickBot="1">
      <c r="A2035" s="149">
        <f t="shared" si="2122"/>
        <v>45920.666666663717</v>
      </c>
      <c r="B2035" s="30">
        <f t="shared" si="2149"/>
        <v>8000</v>
      </c>
      <c r="C2035" s="8">
        <v>25000</v>
      </c>
      <c r="D2035" s="187">
        <v>0</v>
      </c>
      <c r="E2035" s="187">
        <v>700</v>
      </c>
      <c r="F2035" s="187">
        <v>15000</v>
      </c>
      <c r="G2035" s="30">
        <f t="shared" si="2150"/>
        <v>2400</v>
      </c>
      <c r="H2035" s="8">
        <v>25000</v>
      </c>
      <c r="I2035" s="30">
        <f t="shared" si="2151"/>
        <v>8000</v>
      </c>
      <c r="J2035" s="187">
        <v>40000</v>
      </c>
      <c r="K2035" s="30">
        <f t="shared" si="2152"/>
        <v>8000</v>
      </c>
      <c r="L2035" s="187">
        <v>40000</v>
      </c>
      <c r="M2035" s="110">
        <v>9.5</v>
      </c>
      <c r="N2035" s="9">
        <f>VLOOKUP(DATE(YEAR(A2035),MONTH(A2035),DAY(A2035)),FY24_Temp[],3,FALSE)</f>
        <v>16.8</v>
      </c>
      <c r="O2035" s="110">
        <f t="shared" si="2138"/>
        <v>11.5</v>
      </c>
      <c r="P2035" s="110">
        <f t="shared" si="2139"/>
        <v>19.5</v>
      </c>
      <c r="Q2035" s="79">
        <f>VLOOKUP(VLOOKUP(DATEVALUE(TEXT(A2035,"m/d/yyyy")),FY24_Temp[],5,FALSE)&amp;TEXT(A2035,"-h"),TempDelta[],4,FALSE)</f>
        <v>0.38057142476152095</v>
      </c>
      <c r="R2035">
        <v>10</v>
      </c>
      <c r="S2035" s="112">
        <v>1500</v>
      </c>
      <c r="T2035" s="5">
        <f>VLOOKUP(TEXT(A2035,"yy-mm")&amp;"-"&amp;IF(AND(WEEKDAY(A2035)&gt;1,WEEKDAY(A2035)&lt;7),"Wkd",TEXT(A2035,"Ddd"))&amp;"-"&amp;TEXT(A2035,"hh"),LoadTable[],3,FALSE)*0.92</f>
        <v>600.51223261108817</v>
      </c>
      <c r="U2035" s="113">
        <f t="shared" si="2140"/>
        <v>60.051223261108817</v>
      </c>
      <c r="V2035">
        <f t="shared" ref="V2035:W2035" si="2192">V2011</f>
        <v>3.5</v>
      </c>
      <c r="W2035">
        <f t="shared" si="2192"/>
        <v>3</v>
      </c>
      <c r="X2035" s="9">
        <v>-34.039614666666402</v>
      </c>
      <c r="Y2035" s="39"/>
    </row>
    <row r="2036" spans="1:25" ht="15" thickBot="1">
      <c r="A2036" s="149">
        <f t="shared" si="2122"/>
        <v>45920.708333330382</v>
      </c>
      <c r="B2036" s="30">
        <f t="shared" si="2149"/>
        <v>8000</v>
      </c>
      <c r="C2036" s="8">
        <v>25000</v>
      </c>
      <c r="D2036" s="187">
        <v>0</v>
      </c>
      <c r="E2036" s="187">
        <v>700</v>
      </c>
      <c r="F2036" s="187">
        <v>15000</v>
      </c>
      <c r="G2036" s="30">
        <f t="shared" si="2150"/>
        <v>2400</v>
      </c>
      <c r="H2036" s="8">
        <v>25000</v>
      </c>
      <c r="I2036" s="30">
        <f t="shared" si="2151"/>
        <v>8000</v>
      </c>
      <c r="J2036" s="187">
        <v>40000</v>
      </c>
      <c r="K2036" s="30">
        <f t="shared" si="2152"/>
        <v>8000</v>
      </c>
      <c r="L2036" s="187">
        <v>40000</v>
      </c>
      <c r="M2036" s="110">
        <v>9.5</v>
      </c>
      <c r="N2036" s="9">
        <f>VLOOKUP(DATE(YEAR(A2036),MONTH(A2036),DAY(A2036)),FY24_Temp[],3,FALSE)</f>
        <v>16.8</v>
      </c>
      <c r="O2036" s="110">
        <f t="shared" si="2138"/>
        <v>11.5</v>
      </c>
      <c r="P2036" s="110">
        <f t="shared" si="2139"/>
        <v>19.5</v>
      </c>
      <c r="Q2036" s="79">
        <f>VLOOKUP(VLOOKUP(DATEVALUE(TEXT(A2036,"m/d/yyyy")),FY24_Temp[],5,FALSE)&amp;TEXT(A2036,"-h"),TempDelta[],4,FALSE)</f>
        <v>0.65464284856404575</v>
      </c>
      <c r="R2036">
        <v>10</v>
      </c>
      <c r="S2036" s="112">
        <v>1500</v>
      </c>
      <c r="T2036" s="5">
        <f>VLOOKUP(TEXT(A2036,"yy-mm")&amp;"-"&amp;IF(AND(WEEKDAY(A2036)&gt;1,WEEKDAY(A2036)&lt;7),"Wkd",TEXT(A2036,"Ddd"))&amp;"-"&amp;TEXT(A2036,"hh"),LoadTable[],3,FALSE)*0.92</f>
        <v>600.51223261108817</v>
      </c>
      <c r="U2036" s="113">
        <f t="shared" si="2140"/>
        <v>60.051223261108817</v>
      </c>
      <c r="V2036">
        <f t="shared" ref="V2036:W2036" si="2193">V2012</f>
        <v>3.6</v>
      </c>
      <c r="W2036">
        <f t="shared" si="2193"/>
        <v>3</v>
      </c>
      <c r="X2036" s="9">
        <v>-34.117409216666402</v>
      </c>
      <c r="Y2036" s="39"/>
    </row>
    <row r="2037" spans="1:25" ht="15" thickBot="1">
      <c r="A2037" s="149">
        <f t="shared" ref="A2037:A2100" si="2194">A2036+TIME(1,0,0)</f>
        <v>45920.749999997046</v>
      </c>
      <c r="B2037" s="30">
        <f t="shared" si="2149"/>
        <v>5000</v>
      </c>
      <c r="C2037" s="8">
        <v>25000</v>
      </c>
      <c r="D2037" s="187">
        <v>0</v>
      </c>
      <c r="E2037" s="187">
        <v>700</v>
      </c>
      <c r="F2037" s="187">
        <v>15000</v>
      </c>
      <c r="G2037" s="30">
        <f t="shared" si="2150"/>
        <v>2400</v>
      </c>
      <c r="H2037" s="8">
        <v>25000</v>
      </c>
      <c r="I2037" s="30">
        <f t="shared" si="2151"/>
        <v>5000</v>
      </c>
      <c r="J2037" s="187">
        <v>40000</v>
      </c>
      <c r="K2037" s="30">
        <f t="shared" si="2152"/>
        <v>5000</v>
      </c>
      <c r="L2037" s="187">
        <v>40000</v>
      </c>
      <c r="M2037" s="110">
        <v>9.5</v>
      </c>
      <c r="N2037" s="9">
        <f>VLOOKUP(DATE(YEAR(A2037),MONTH(A2037),DAY(A2037)),FY24_Temp[],3,FALSE)</f>
        <v>16.8</v>
      </c>
      <c r="O2037" s="110">
        <f t="shared" si="2138"/>
        <v>11.5</v>
      </c>
      <c r="P2037" s="110">
        <f t="shared" si="2139"/>
        <v>19.5</v>
      </c>
      <c r="Q2037" s="79">
        <f>VLOOKUP(VLOOKUP(DATEVALUE(TEXT(A2037,"m/d/yyyy")),FY24_Temp[],5,FALSE)&amp;TEXT(A2037,"-h"),TempDelta[],4,FALSE)</f>
        <v>0.96042857638427193</v>
      </c>
      <c r="R2037">
        <v>10</v>
      </c>
      <c r="S2037" s="112">
        <v>1500</v>
      </c>
      <c r="T2037" s="5">
        <f>VLOOKUP(TEXT(A2037,"yy-mm")&amp;"-"&amp;IF(AND(WEEKDAY(A2037)&gt;1,WEEKDAY(A2037)&lt;7),"Wkd",TEXT(A2037,"Ddd"))&amp;"-"&amp;TEXT(A2037,"hh"),LoadTable[],3,FALSE)*0.92</f>
        <v>600.51223261108817</v>
      </c>
      <c r="U2037" s="113">
        <f t="shared" si="2140"/>
        <v>60.051223261108817</v>
      </c>
      <c r="V2037">
        <f t="shared" ref="V2037:W2037" si="2195">V2013</f>
        <v>2.9</v>
      </c>
      <c r="W2037">
        <f t="shared" si="2195"/>
        <v>3</v>
      </c>
      <c r="X2037" s="9">
        <v>-34.195203766666403</v>
      </c>
      <c r="Y2037" s="39"/>
    </row>
    <row r="2038" spans="1:25" ht="15" thickBot="1">
      <c r="A2038" s="149">
        <f t="shared" si="2194"/>
        <v>45920.79166666371</v>
      </c>
      <c r="B2038" s="30">
        <f t="shared" si="2149"/>
        <v>5000</v>
      </c>
      <c r="C2038" s="8">
        <v>25000</v>
      </c>
      <c r="D2038" s="187">
        <v>0</v>
      </c>
      <c r="E2038" s="187">
        <v>700</v>
      </c>
      <c r="F2038" s="187">
        <v>15000</v>
      </c>
      <c r="G2038" s="30">
        <f t="shared" si="2150"/>
        <v>2400</v>
      </c>
      <c r="H2038" s="8">
        <v>25000</v>
      </c>
      <c r="I2038" s="30">
        <f t="shared" si="2151"/>
        <v>5000</v>
      </c>
      <c r="J2038" s="187">
        <v>40000</v>
      </c>
      <c r="K2038" s="30">
        <f t="shared" si="2152"/>
        <v>5000</v>
      </c>
      <c r="L2038" s="187">
        <v>40000</v>
      </c>
      <c r="M2038" s="110">
        <v>9.5</v>
      </c>
      <c r="N2038" s="9">
        <f>VLOOKUP(DATE(YEAR(A2038),MONTH(A2038),DAY(A2038)),FY24_Temp[],3,FALSE)</f>
        <v>16.8</v>
      </c>
      <c r="O2038" s="110">
        <f t="shared" si="2138"/>
        <v>11.5</v>
      </c>
      <c r="P2038" s="110">
        <f t="shared" si="2139"/>
        <v>19.5</v>
      </c>
      <c r="Q2038" s="79">
        <f>VLOOKUP(VLOOKUP(DATEVALUE(TEXT(A2038,"m/d/yyyy")),FY24_Temp[],5,FALSE)&amp;TEXT(A2038,"-h"),TempDelta[],4,FALSE)</f>
        <v>1.0787142855780465</v>
      </c>
      <c r="R2038">
        <v>10</v>
      </c>
      <c r="S2038" s="112">
        <v>1500</v>
      </c>
      <c r="T2038" s="5">
        <f>VLOOKUP(TEXT(A2038,"yy-mm")&amp;"-"&amp;IF(AND(WEEKDAY(A2038)&gt;1,WEEKDAY(A2038)&lt;7),"Wkd",TEXT(A2038,"Ddd"))&amp;"-"&amp;TEXT(A2038,"hh"),LoadTable[],3,FALSE)*0.92</f>
        <v>577.06992853688268</v>
      </c>
      <c r="U2038" s="113">
        <f t="shared" si="2140"/>
        <v>57.70699285368827</v>
      </c>
      <c r="V2038">
        <f t="shared" ref="V2038:W2038" si="2196">V2014</f>
        <v>3</v>
      </c>
      <c r="W2038">
        <f t="shared" si="2196"/>
        <v>3</v>
      </c>
      <c r="X2038" s="9">
        <v>-34.272998316666403</v>
      </c>
      <c r="Y2038" s="39"/>
    </row>
    <row r="2039" spans="1:25" ht="15" thickBot="1">
      <c r="A2039" s="149">
        <f t="shared" si="2194"/>
        <v>45920.833333330374</v>
      </c>
      <c r="B2039" s="30">
        <f t="shared" si="2149"/>
        <v>5000</v>
      </c>
      <c r="C2039" s="8">
        <v>25000</v>
      </c>
      <c r="D2039" s="187">
        <v>0</v>
      </c>
      <c r="E2039" s="187">
        <v>700</v>
      </c>
      <c r="F2039" s="187">
        <v>15000</v>
      </c>
      <c r="G2039" s="30">
        <f t="shared" si="2150"/>
        <v>2400</v>
      </c>
      <c r="H2039" s="8">
        <v>25000</v>
      </c>
      <c r="I2039" s="30">
        <f t="shared" si="2151"/>
        <v>5000</v>
      </c>
      <c r="J2039" s="187">
        <v>40000</v>
      </c>
      <c r="K2039" s="30">
        <f t="shared" si="2152"/>
        <v>5000</v>
      </c>
      <c r="L2039" s="187">
        <v>40000</v>
      </c>
      <c r="M2039" s="110">
        <v>9.5</v>
      </c>
      <c r="N2039" s="9">
        <f>VLOOKUP(DATE(YEAR(A2039),MONTH(A2039),DAY(A2039)),FY24_Temp[],3,FALSE)</f>
        <v>16.8</v>
      </c>
      <c r="O2039" s="110">
        <f t="shared" si="2138"/>
        <v>11.5</v>
      </c>
      <c r="P2039" s="110">
        <f t="shared" si="2139"/>
        <v>19.5</v>
      </c>
      <c r="Q2039" s="79">
        <f>VLOOKUP(VLOOKUP(DATEVALUE(TEXT(A2039,"m/d/yyyy")),FY24_Temp[],5,FALSE)&amp;TEXT(A2039,"-h"),TempDelta[],4,FALSE)</f>
        <v>1.1579285774912154</v>
      </c>
      <c r="R2039">
        <v>10</v>
      </c>
      <c r="S2039" s="112">
        <v>1500</v>
      </c>
      <c r="T2039" s="5">
        <f>VLOOKUP(TEXT(A2039,"yy-mm")&amp;"-"&amp;IF(AND(WEEKDAY(A2039)&gt;1,WEEKDAY(A2039)&lt;7),"Wkd",TEXT(A2039,"Ddd"))&amp;"-"&amp;TEXT(A2039,"hh"),LoadTable[],3,FALSE)*0.92</f>
        <v>545.96065022111975</v>
      </c>
      <c r="U2039" s="113">
        <f t="shared" si="2140"/>
        <v>54.596065022111972</v>
      </c>
      <c r="V2039">
        <f t="shared" ref="V2039:W2039" si="2197">V2015</f>
        <v>2.8</v>
      </c>
      <c r="W2039">
        <f t="shared" si="2197"/>
        <v>3.1</v>
      </c>
      <c r="X2039" s="9">
        <v>-34.350792866666403</v>
      </c>
      <c r="Y2039" s="39"/>
    </row>
    <row r="2040" spans="1:25" ht="15" thickBot="1">
      <c r="A2040" s="149">
        <f t="shared" si="2194"/>
        <v>45920.874999997039</v>
      </c>
      <c r="B2040" s="30">
        <f t="shared" si="2149"/>
        <v>5000</v>
      </c>
      <c r="C2040" s="8">
        <v>25000</v>
      </c>
      <c r="D2040" s="187">
        <v>0</v>
      </c>
      <c r="E2040" s="187">
        <v>700</v>
      </c>
      <c r="F2040" s="187">
        <v>15000</v>
      </c>
      <c r="G2040" s="30">
        <f t="shared" si="2150"/>
        <v>2400</v>
      </c>
      <c r="H2040" s="8">
        <v>25000</v>
      </c>
      <c r="I2040" s="30">
        <f t="shared" si="2151"/>
        <v>5000</v>
      </c>
      <c r="J2040" s="187">
        <v>40000</v>
      </c>
      <c r="K2040" s="30">
        <f t="shared" si="2152"/>
        <v>5000</v>
      </c>
      <c r="L2040" s="187">
        <v>40000</v>
      </c>
      <c r="M2040" s="110">
        <v>9.5</v>
      </c>
      <c r="N2040" s="9">
        <f>VLOOKUP(DATE(YEAR(A2040),MONTH(A2040),DAY(A2040)),FY24_Temp[],3,FALSE)</f>
        <v>16.8</v>
      </c>
      <c r="O2040" s="110">
        <f t="shared" si="2138"/>
        <v>11.5</v>
      </c>
      <c r="P2040" s="110">
        <f t="shared" si="2139"/>
        <v>19.5</v>
      </c>
      <c r="Q2040" s="79">
        <f>VLOOKUP(VLOOKUP(DATEVALUE(TEXT(A2040,"m/d/yyyy")),FY24_Temp[],5,FALSE)&amp;TEXT(A2040,"-h"),TempDelta[],4,FALSE)</f>
        <v>1.1765714372907365</v>
      </c>
      <c r="R2040">
        <v>10</v>
      </c>
      <c r="S2040" s="112">
        <v>1500</v>
      </c>
      <c r="T2040" s="5">
        <f>VLOOKUP(TEXT(A2040,"yy-mm")&amp;"-"&amp;IF(AND(WEEKDAY(A2040)&gt;1,WEEKDAY(A2040)&lt;7),"Wkd",TEXT(A2040,"Ddd"))&amp;"-"&amp;TEXT(A2040,"hh"),LoadTable[],3,FALSE)*0.92</f>
        <v>458.2982585895578</v>
      </c>
      <c r="U2040" s="113">
        <f t="shared" si="2140"/>
        <v>45.829825858955779</v>
      </c>
      <c r="V2040">
        <f t="shared" ref="V2040:W2040" si="2198">V2016</f>
        <v>3.5</v>
      </c>
      <c r="W2040">
        <f t="shared" si="2198"/>
        <v>3.1</v>
      </c>
      <c r="X2040" s="9">
        <v>-34.428587416666403</v>
      </c>
      <c r="Y2040" s="39"/>
    </row>
    <row r="2041" spans="1:25" ht="15" thickBot="1">
      <c r="A2041" s="149">
        <f t="shared" si="2194"/>
        <v>45920.916666663703</v>
      </c>
      <c r="B2041" s="30">
        <f t="shared" si="2149"/>
        <v>5000</v>
      </c>
      <c r="C2041" s="8">
        <v>25000</v>
      </c>
      <c r="D2041" s="187">
        <v>0</v>
      </c>
      <c r="E2041" s="187">
        <v>700</v>
      </c>
      <c r="F2041" s="187">
        <v>15000</v>
      </c>
      <c r="G2041" s="30">
        <f t="shared" si="2150"/>
        <v>2400</v>
      </c>
      <c r="H2041" s="8">
        <v>25000</v>
      </c>
      <c r="I2041" s="30">
        <f t="shared" si="2151"/>
        <v>5000</v>
      </c>
      <c r="J2041" s="187">
        <v>40000</v>
      </c>
      <c r="K2041" s="30">
        <f t="shared" si="2152"/>
        <v>5000</v>
      </c>
      <c r="L2041" s="187">
        <v>40000</v>
      </c>
      <c r="M2041" s="110">
        <v>9.5</v>
      </c>
      <c r="N2041" s="9">
        <f>VLOOKUP(DATE(YEAR(A2041),MONTH(A2041),DAY(A2041)),FY24_Temp[],3,FALSE)</f>
        <v>16.8</v>
      </c>
      <c r="O2041" s="110">
        <f t="shared" si="2138"/>
        <v>11.5</v>
      </c>
      <c r="P2041" s="110">
        <f t="shared" si="2139"/>
        <v>19.5</v>
      </c>
      <c r="Q2041" s="79">
        <f>VLOOKUP(VLOOKUP(DATEVALUE(TEXT(A2041,"m/d/yyyy")),FY24_Temp[],5,FALSE)&amp;TEXT(A2041,"-h"),TempDelta[],4,FALSE)</f>
        <v>1.6277142763137817</v>
      </c>
      <c r="R2041">
        <v>10</v>
      </c>
      <c r="S2041" s="112">
        <v>1500</v>
      </c>
      <c r="T2041" s="5">
        <f>VLOOKUP(TEXT(A2041,"yy-mm")&amp;"-"&amp;IF(AND(WEEKDAY(A2041)&gt;1,WEEKDAY(A2041)&lt;7),"Wkd",TEXT(A2041,"Ddd"))&amp;"-"&amp;TEXT(A2041,"hh"),LoadTable[],3,FALSE)*0.92</f>
        <v>318.99288300079945</v>
      </c>
      <c r="U2041" s="113">
        <f t="shared" si="2140"/>
        <v>31.899288300079945</v>
      </c>
      <c r="V2041">
        <f t="shared" ref="V2041:W2041" si="2199">V2017</f>
        <v>2.9</v>
      </c>
      <c r="W2041">
        <f t="shared" si="2199"/>
        <v>3.1</v>
      </c>
      <c r="X2041" s="9">
        <v>-34.506381966666403</v>
      </c>
      <c r="Y2041" s="39"/>
    </row>
    <row r="2042" spans="1:25" ht="15" thickBot="1">
      <c r="A2042" s="149">
        <f t="shared" si="2194"/>
        <v>45920.958333330367</v>
      </c>
      <c r="B2042" s="30">
        <f t="shared" si="2149"/>
        <v>5000</v>
      </c>
      <c r="C2042" s="8">
        <v>25000</v>
      </c>
      <c r="D2042" s="187">
        <v>0</v>
      </c>
      <c r="E2042" s="187">
        <v>700</v>
      </c>
      <c r="F2042" s="187">
        <v>15000</v>
      </c>
      <c r="G2042" s="30">
        <f t="shared" si="2150"/>
        <v>2400</v>
      </c>
      <c r="H2042" s="8">
        <v>25000</v>
      </c>
      <c r="I2042" s="30">
        <f t="shared" si="2151"/>
        <v>5000</v>
      </c>
      <c r="J2042" s="187">
        <v>40000</v>
      </c>
      <c r="K2042" s="30">
        <f t="shared" si="2152"/>
        <v>5000</v>
      </c>
      <c r="L2042" s="187">
        <v>40000</v>
      </c>
      <c r="M2042" s="110">
        <v>9.5</v>
      </c>
      <c r="N2042" s="9">
        <f>VLOOKUP(DATE(YEAR(A2042),MONTH(A2042),DAY(A2042)),FY24_Temp[],3,FALSE)</f>
        <v>16.8</v>
      </c>
      <c r="O2042" s="110">
        <f t="shared" si="2138"/>
        <v>11.5</v>
      </c>
      <c r="P2042" s="110">
        <f t="shared" si="2139"/>
        <v>19.5</v>
      </c>
      <c r="Q2042" s="79">
        <f>VLOOKUP(VLOOKUP(DATEVALUE(TEXT(A2042,"m/d/yyyy")),FY24_Temp[],5,FALSE)&amp;TEXT(A2042,"-h"),TempDelta[],4,FALSE)</f>
        <v>1.758285709789821</v>
      </c>
      <c r="R2042">
        <v>10</v>
      </c>
      <c r="S2042" s="112">
        <v>1500</v>
      </c>
      <c r="T2042" s="5">
        <f>VLOOKUP(TEXT(A2042,"yy-mm")&amp;"-"&amp;IF(AND(WEEKDAY(A2042)&gt;1,WEEKDAY(A2042)&lt;7),"Wkd",TEXT(A2042,"Ddd"))&amp;"-"&amp;TEXT(A2042,"hh"),LoadTable[],3,FALSE)*0.92</f>
        <v>295.00084596071707</v>
      </c>
      <c r="U2042" s="113">
        <f t="shared" si="2140"/>
        <v>29.500084596071709</v>
      </c>
      <c r="V2042">
        <f t="shared" ref="V2042:W2042" si="2200">V2018</f>
        <v>3.6</v>
      </c>
      <c r="W2042">
        <f t="shared" si="2200"/>
        <v>3.1</v>
      </c>
      <c r="X2042" s="9">
        <v>-34.584176516666403</v>
      </c>
      <c r="Y2042" s="39"/>
    </row>
    <row r="2043" spans="1:25" ht="15" thickBot="1">
      <c r="A2043" s="149">
        <f t="shared" si="2194"/>
        <v>45920.999999997031</v>
      </c>
      <c r="B2043" s="30">
        <f t="shared" si="2149"/>
        <v>5000</v>
      </c>
      <c r="C2043" s="8">
        <v>25000</v>
      </c>
      <c r="D2043" s="187">
        <v>0</v>
      </c>
      <c r="E2043" s="187">
        <v>700</v>
      </c>
      <c r="F2043" s="187">
        <v>15000</v>
      </c>
      <c r="G2043" s="30">
        <f t="shared" si="2150"/>
        <v>2400</v>
      </c>
      <c r="H2043" s="8">
        <v>25000</v>
      </c>
      <c r="I2043" s="30">
        <f t="shared" si="2151"/>
        <v>5000</v>
      </c>
      <c r="J2043" s="187">
        <v>40000</v>
      </c>
      <c r="K2043" s="30">
        <f t="shared" si="2152"/>
        <v>5000</v>
      </c>
      <c r="L2043" s="187">
        <v>40000</v>
      </c>
      <c r="M2043" s="110">
        <v>9.5</v>
      </c>
      <c r="N2043" s="9">
        <f>VLOOKUP(DATE(YEAR(A2043),MONTH(A2043),DAY(A2043)),FY24_Temp[],3,FALSE)</f>
        <v>16.8</v>
      </c>
      <c r="O2043" s="110">
        <f t="shared" si="2138"/>
        <v>11.5</v>
      </c>
      <c r="P2043" s="110">
        <f t="shared" si="2139"/>
        <v>19.5</v>
      </c>
      <c r="Q2043" s="79">
        <f>VLOOKUP(VLOOKUP(DATEVALUE(TEXT(A2043,"m/d/yyyy")),FY24_Temp[],5,FALSE)&amp;TEXT(A2043,"-h"),TempDelta[],4,FALSE)</f>
        <v>1.8245714221681868</v>
      </c>
      <c r="R2043">
        <v>10</v>
      </c>
      <c r="S2043" s="112">
        <v>1500</v>
      </c>
      <c r="T2043" s="5">
        <f>VLOOKUP(TEXT(A2043,"yy-mm")&amp;"-"&amp;IF(AND(WEEKDAY(A2043)&gt;1,WEEKDAY(A2043)&lt;7),"Wkd",TEXT(A2043,"Ddd"))&amp;"-"&amp;TEXT(A2043,"hh"),LoadTable[],3,FALSE)*0.92</f>
        <v>289.32996596071712</v>
      </c>
      <c r="U2043" s="113">
        <f t="shared" si="2140"/>
        <v>28.93299659607171</v>
      </c>
      <c r="V2043">
        <f t="shared" ref="V2043:W2043" si="2201">V2019</f>
        <v>3</v>
      </c>
      <c r="W2043">
        <f t="shared" si="2201"/>
        <v>3.2</v>
      </c>
      <c r="X2043" s="9">
        <v>-34.661971066666403</v>
      </c>
      <c r="Y2043" s="39"/>
    </row>
    <row r="2044" spans="1:25" ht="15" thickBot="1">
      <c r="A2044" s="149">
        <f t="shared" si="2194"/>
        <v>45921.041666663696</v>
      </c>
      <c r="B2044" s="30">
        <f t="shared" si="2149"/>
        <v>5000</v>
      </c>
      <c r="C2044" s="8">
        <v>25000</v>
      </c>
      <c r="D2044" s="187">
        <v>0</v>
      </c>
      <c r="E2044" s="187">
        <v>700</v>
      </c>
      <c r="F2044" s="187">
        <v>15000</v>
      </c>
      <c r="G2044" s="30">
        <f t="shared" si="2150"/>
        <v>2400</v>
      </c>
      <c r="H2044" s="8">
        <v>25000</v>
      </c>
      <c r="I2044" s="30">
        <f t="shared" si="2151"/>
        <v>5000</v>
      </c>
      <c r="J2044" s="187">
        <v>40000</v>
      </c>
      <c r="K2044" s="30">
        <f t="shared" si="2152"/>
        <v>5000</v>
      </c>
      <c r="L2044" s="187">
        <v>40000</v>
      </c>
      <c r="M2044" s="110">
        <v>9.5</v>
      </c>
      <c r="N2044" s="9">
        <f>VLOOKUP(DATE(YEAR(A2044),MONTH(A2044),DAY(A2044)),FY24_Temp[],3,FALSE)</f>
        <v>16.8</v>
      </c>
      <c r="O2044" s="110">
        <f t="shared" si="2138"/>
        <v>11.5</v>
      </c>
      <c r="P2044" s="110">
        <f t="shared" si="2139"/>
        <v>19.5</v>
      </c>
      <c r="Q2044" s="79">
        <f>VLOOKUP(VLOOKUP(DATEVALUE(TEXT(A2044,"m/d/yyyy")),FY24_Temp[],5,FALSE)&amp;TEXT(A2044,"-h"),TempDelta[],4,FALSE)</f>
        <v>1.8974285977227348</v>
      </c>
      <c r="R2044">
        <v>10</v>
      </c>
      <c r="S2044" s="112">
        <v>1500</v>
      </c>
      <c r="T2044" s="5">
        <f>VLOOKUP(TEXT(A2044,"yy-mm")&amp;"-"&amp;IF(AND(WEEKDAY(A2044)&gt;1,WEEKDAY(A2044)&lt;7),"Wkd",TEXT(A2044,"Ddd"))&amp;"-"&amp;TEXT(A2044,"hh"),LoadTable[],3,FALSE)*0.92</f>
        <v>289.32996596071712</v>
      </c>
      <c r="U2044" s="113">
        <f t="shared" si="2140"/>
        <v>28.93299659607171</v>
      </c>
      <c r="V2044">
        <f t="shared" ref="V2044:W2044" si="2202">V2020</f>
        <v>2.6</v>
      </c>
      <c r="W2044">
        <f t="shared" si="2202"/>
        <v>3.2</v>
      </c>
      <c r="X2044" s="9">
        <v>-34.739765616666404</v>
      </c>
      <c r="Y2044" s="39"/>
    </row>
    <row r="2045" spans="1:25" ht="15" thickBot="1">
      <c r="A2045" s="149">
        <f t="shared" si="2194"/>
        <v>45921.08333333036</v>
      </c>
      <c r="B2045" s="30">
        <f t="shared" si="2149"/>
        <v>5000</v>
      </c>
      <c r="C2045" s="8">
        <v>25000</v>
      </c>
      <c r="D2045" s="187">
        <v>0</v>
      </c>
      <c r="E2045" s="187">
        <v>700</v>
      </c>
      <c r="F2045" s="187">
        <v>15000</v>
      </c>
      <c r="G2045" s="30">
        <f t="shared" si="2150"/>
        <v>2400</v>
      </c>
      <c r="H2045" s="8">
        <v>25000</v>
      </c>
      <c r="I2045" s="30">
        <f t="shared" si="2151"/>
        <v>5000</v>
      </c>
      <c r="J2045" s="187">
        <v>40000</v>
      </c>
      <c r="K2045" s="30">
        <f t="shared" si="2152"/>
        <v>5000</v>
      </c>
      <c r="L2045" s="187">
        <v>40000</v>
      </c>
      <c r="M2045" s="110">
        <v>9.5</v>
      </c>
      <c r="N2045" s="9">
        <f>VLOOKUP(DATE(YEAR(A2045),MONTH(A2045),DAY(A2045)),FY24_Temp[],3,FALSE)</f>
        <v>16.8</v>
      </c>
      <c r="O2045" s="110">
        <f t="shared" si="2138"/>
        <v>11.5</v>
      </c>
      <c r="P2045" s="110">
        <f t="shared" si="2139"/>
        <v>19.5</v>
      </c>
      <c r="Q2045" s="79">
        <f>VLOOKUP(VLOOKUP(DATEVALUE(TEXT(A2045,"m/d/yyyy")),FY24_Temp[],5,FALSE)&amp;TEXT(A2045,"-h"),TempDelta[],4,FALSE)</f>
        <v>1.9182857445308141</v>
      </c>
      <c r="R2045">
        <v>10</v>
      </c>
      <c r="S2045" s="112">
        <v>1500</v>
      </c>
      <c r="T2045" s="5">
        <f>VLOOKUP(TEXT(A2045,"yy-mm")&amp;"-"&amp;IF(AND(WEEKDAY(A2045)&gt;1,WEEKDAY(A2045)&lt;7),"Wkd",TEXT(A2045,"Ddd"))&amp;"-"&amp;TEXT(A2045,"hh"),LoadTable[],3,FALSE)*0.92</f>
        <v>316.63916103217559</v>
      </c>
      <c r="U2045" s="113">
        <f t="shared" si="2140"/>
        <v>31.663916103217559</v>
      </c>
      <c r="V2045">
        <f t="shared" ref="V2045:W2045" si="2203">V2021</f>
        <v>2.8</v>
      </c>
      <c r="W2045">
        <f t="shared" si="2203"/>
        <v>3.2</v>
      </c>
      <c r="X2045" s="9">
        <v>-34.817560166666397</v>
      </c>
      <c r="Y2045" s="39"/>
    </row>
    <row r="2046" spans="1:25" ht="15" thickBot="1">
      <c r="A2046" s="149">
        <f t="shared" si="2194"/>
        <v>45921.124999997024</v>
      </c>
      <c r="B2046" s="30">
        <f t="shared" si="2149"/>
        <v>5000</v>
      </c>
      <c r="C2046" s="8">
        <v>25000</v>
      </c>
      <c r="D2046" s="187">
        <v>0</v>
      </c>
      <c r="E2046" s="187">
        <v>700</v>
      </c>
      <c r="F2046" s="187">
        <v>15000</v>
      </c>
      <c r="G2046" s="30">
        <f t="shared" si="2150"/>
        <v>2400</v>
      </c>
      <c r="H2046" s="8">
        <v>25000</v>
      </c>
      <c r="I2046" s="30">
        <f t="shared" si="2151"/>
        <v>5000</v>
      </c>
      <c r="J2046" s="187">
        <v>40000</v>
      </c>
      <c r="K2046" s="30">
        <f t="shared" si="2152"/>
        <v>5000</v>
      </c>
      <c r="L2046" s="187">
        <v>40000</v>
      </c>
      <c r="M2046" s="110">
        <v>9.5</v>
      </c>
      <c r="N2046" s="9">
        <f>VLOOKUP(DATE(YEAR(A2046),MONTH(A2046),DAY(A2046)),FY24_Temp[],3,FALSE)</f>
        <v>16.8</v>
      </c>
      <c r="O2046" s="110">
        <f t="shared" si="2138"/>
        <v>11.5</v>
      </c>
      <c r="P2046" s="110">
        <f t="shared" si="2139"/>
        <v>19.5</v>
      </c>
      <c r="Q2046" s="79">
        <f>VLOOKUP(VLOOKUP(DATEVALUE(TEXT(A2046,"m/d/yyyy")),FY24_Temp[],5,FALSE)&amp;TEXT(A2046,"-h"),TempDelta[],4,FALSE)</f>
        <v>1.9078571796417236</v>
      </c>
      <c r="R2046">
        <v>10</v>
      </c>
      <c r="S2046" s="112">
        <v>1500</v>
      </c>
      <c r="T2046" s="5">
        <f>VLOOKUP(TEXT(A2046,"yy-mm")&amp;"-"&amp;IF(AND(WEEKDAY(A2046)&gt;1,WEEKDAY(A2046)&lt;7),"Wkd",TEXT(A2046,"Ddd"))&amp;"-"&amp;TEXT(A2046,"hh"),LoadTable[],3,FALSE)*0.92</f>
        <v>316.63562384793033</v>
      </c>
      <c r="U2046" s="113">
        <f t="shared" si="2140"/>
        <v>31.663562384793032</v>
      </c>
      <c r="V2046">
        <f t="shared" ref="V2046:W2046" si="2204">V2022</f>
        <v>2.7</v>
      </c>
      <c r="W2046">
        <f t="shared" si="2204"/>
        <v>3.2</v>
      </c>
      <c r="X2046" s="9">
        <v>-34.895354716666397</v>
      </c>
      <c r="Y2046" s="39"/>
    </row>
    <row r="2047" spans="1:25" ht="15" thickBot="1">
      <c r="A2047" s="149">
        <f t="shared" si="2194"/>
        <v>45921.166666663688</v>
      </c>
      <c r="B2047" s="30">
        <f t="shared" si="2149"/>
        <v>5000</v>
      </c>
      <c r="C2047" s="8">
        <v>25000</v>
      </c>
      <c r="D2047" s="187">
        <v>0</v>
      </c>
      <c r="E2047" s="187">
        <v>700</v>
      </c>
      <c r="F2047" s="187">
        <v>15000</v>
      </c>
      <c r="G2047" s="30">
        <f t="shared" si="2150"/>
        <v>2400</v>
      </c>
      <c r="H2047" s="8">
        <v>25000</v>
      </c>
      <c r="I2047" s="30">
        <f t="shared" si="2151"/>
        <v>5000</v>
      </c>
      <c r="J2047" s="187">
        <v>40000</v>
      </c>
      <c r="K2047" s="30">
        <f t="shared" si="2152"/>
        <v>5000</v>
      </c>
      <c r="L2047" s="187">
        <v>40000</v>
      </c>
      <c r="M2047" s="110">
        <v>9.5</v>
      </c>
      <c r="N2047" s="9">
        <f>VLOOKUP(DATE(YEAR(A2047),MONTH(A2047),DAY(A2047)),FY24_Temp[],3,FALSE)</f>
        <v>16.8</v>
      </c>
      <c r="O2047" s="110">
        <f t="shared" si="2138"/>
        <v>11.5</v>
      </c>
      <c r="P2047" s="110">
        <f t="shared" si="2139"/>
        <v>19.5</v>
      </c>
      <c r="Q2047" s="79">
        <f>VLOOKUP(VLOOKUP(DATEVALUE(TEXT(A2047,"m/d/yyyy")),FY24_Temp[],5,FALSE)&amp;TEXT(A2047,"-h"),TempDelta[],4,FALSE)</f>
        <v>1.9279999732971191</v>
      </c>
      <c r="R2047">
        <v>10</v>
      </c>
      <c r="S2047" s="112">
        <v>1500</v>
      </c>
      <c r="T2047" s="5">
        <f>VLOOKUP(TEXT(A2047,"yy-mm")&amp;"-"&amp;IF(AND(WEEKDAY(A2047)&gt;1,WEEKDAY(A2047)&lt;7),"Wkd",TEXT(A2047,"Ddd"))&amp;"-"&amp;TEXT(A2047,"hh"),LoadTable[],3,FALSE)*0.92</f>
        <v>316.63562384793033</v>
      </c>
      <c r="U2047" s="113">
        <f t="shared" si="2140"/>
        <v>31.663562384793032</v>
      </c>
      <c r="V2047">
        <f t="shared" ref="V2047:W2047" si="2205">V2023</f>
        <v>3</v>
      </c>
      <c r="W2047">
        <f t="shared" si="2205"/>
        <v>3.1</v>
      </c>
      <c r="X2047" s="9">
        <v>-34.973149266666397</v>
      </c>
      <c r="Y2047" s="39"/>
    </row>
    <row r="2048" spans="1:25" ht="15" thickBot="1">
      <c r="A2048" s="149">
        <f t="shared" si="2194"/>
        <v>45921.208333330353</v>
      </c>
      <c r="B2048" s="30">
        <f t="shared" si="2149"/>
        <v>5000</v>
      </c>
      <c r="C2048" s="8">
        <v>25000</v>
      </c>
      <c r="D2048" s="187">
        <v>0</v>
      </c>
      <c r="E2048" s="187">
        <v>700</v>
      </c>
      <c r="F2048" s="187">
        <v>15000</v>
      </c>
      <c r="G2048" s="30">
        <f t="shared" si="2150"/>
        <v>2400</v>
      </c>
      <c r="H2048" s="8">
        <v>25000</v>
      </c>
      <c r="I2048" s="30">
        <f t="shared" si="2151"/>
        <v>5000</v>
      </c>
      <c r="J2048" s="187">
        <v>40000</v>
      </c>
      <c r="K2048" s="30">
        <f t="shared" si="2152"/>
        <v>5000</v>
      </c>
      <c r="L2048" s="187">
        <v>40000</v>
      </c>
      <c r="M2048" s="110">
        <v>9.5</v>
      </c>
      <c r="N2048" s="9">
        <f>VLOOKUP(DATE(YEAR(A2048),MONTH(A2048),DAY(A2048)),FY24_Temp[],3,FALSE)</f>
        <v>16.8</v>
      </c>
      <c r="O2048" s="110">
        <f t="shared" si="2138"/>
        <v>11.5</v>
      </c>
      <c r="P2048" s="110">
        <f t="shared" si="2139"/>
        <v>19.5</v>
      </c>
      <c r="Q2048" s="79">
        <f>VLOOKUP(VLOOKUP(DATEVALUE(TEXT(A2048,"m/d/yyyy")),FY24_Temp[],5,FALSE)&amp;TEXT(A2048,"-h"),TempDelta[],4,FALSE)</f>
        <v>2.012714283806937</v>
      </c>
      <c r="R2048">
        <v>10</v>
      </c>
      <c r="S2048" s="112">
        <v>1500</v>
      </c>
      <c r="T2048" s="5">
        <f>VLOOKUP(TEXT(A2048,"yy-mm")&amp;"-"&amp;IF(AND(WEEKDAY(A2048)&gt;1,WEEKDAY(A2048)&lt;7),"Wkd",TEXT(A2048,"Ddd"))&amp;"-"&amp;TEXT(A2048,"hh"),LoadTable[],3,FALSE)*0.92</f>
        <v>309.7379444418799</v>
      </c>
      <c r="U2048" s="113">
        <f t="shared" si="2140"/>
        <v>30.973794444187991</v>
      </c>
      <c r="V2048">
        <f t="shared" ref="V2048:W2048" si="2206">V2024</f>
        <v>2.9</v>
      </c>
      <c r="W2048">
        <f t="shared" si="2206"/>
        <v>3.1</v>
      </c>
      <c r="X2048" s="9">
        <v>-35.050943816666397</v>
      </c>
      <c r="Y2048" s="39"/>
    </row>
    <row r="2049" spans="1:25" ht="15" thickBot="1">
      <c r="A2049" s="149">
        <f t="shared" si="2194"/>
        <v>45921.249999997017</v>
      </c>
      <c r="B2049" s="30">
        <f t="shared" si="2149"/>
        <v>8000</v>
      </c>
      <c r="C2049" s="8">
        <v>25000</v>
      </c>
      <c r="D2049" s="187">
        <v>0</v>
      </c>
      <c r="E2049" s="187">
        <v>700</v>
      </c>
      <c r="F2049" s="187">
        <v>15000</v>
      </c>
      <c r="G2049" s="30">
        <f t="shared" si="2150"/>
        <v>2400</v>
      </c>
      <c r="H2049" s="8">
        <v>25000</v>
      </c>
      <c r="I2049" s="30">
        <f t="shared" si="2151"/>
        <v>8000</v>
      </c>
      <c r="J2049" s="187">
        <v>40000</v>
      </c>
      <c r="K2049" s="30">
        <f t="shared" si="2152"/>
        <v>8000</v>
      </c>
      <c r="L2049" s="187">
        <v>40000</v>
      </c>
      <c r="M2049" s="110">
        <v>9.5</v>
      </c>
      <c r="N2049" s="9">
        <f>VLOOKUP(DATE(YEAR(A2049),MONTH(A2049),DAY(A2049)),FY24_Temp[],3,FALSE)</f>
        <v>16.8</v>
      </c>
      <c r="O2049" s="110">
        <f t="shared" si="2138"/>
        <v>11.5</v>
      </c>
      <c r="P2049" s="110">
        <f t="shared" si="2139"/>
        <v>19.5</v>
      </c>
      <c r="Q2049" s="79">
        <f>VLOOKUP(VLOOKUP(DATEVALUE(TEXT(A2049,"m/d/yyyy")),FY24_Temp[],5,FALSE)&amp;TEXT(A2049,"-h"),TempDelta[],4,FALSE)</f>
        <v>1.9665714332035609</v>
      </c>
      <c r="R2049">
        <v>10</v>
      </c>
      <c r="S2049" s="112">
        <v>1500</v>
      </c>
      <c r="T2049" s="5">
        <f>VLOOKUP(TEXT(A2049,"yy-mm")&amp;"-"&amp;IF(AND(WEEKDAY(A2049)&gt;1,WEEKDAY(A2049)&lt;7),"Wkd",TEXT(A2049,"Ddd"))&amp;"-"&amp;TEXT(A2049,"hh"),LoadTable[],3,FALSE)*0.92</f>
        <v>309.7379444418799</v>
      </c>
      <c r="U2049" s="113">
        <f t="shared" si="2140"/>
        <v>30.973794444187991</v>
      </c>
      <c r="V2049">
        <f t="shared" ref="V2049:W2049" si="2207">V2025</f>
        <v>2.5</v>
      </c>
      <c r="W2049">
        <f t="shared" si="2207"/>
        <v>3.1</v>
      </c>
      <c r="X2049" s="9">
        <v>-35.128738366666397</v>
      </c>
      <c r="Y2049" s="39"/>
    </row>
    <row r="2050" spans="1:25" ht="15" thickBot="1">
      <c r="A2050" s="149">
        <f t="shared" si="2194"/>
        <v>45921.291666663681</v>
      </c>
      <c r="B2050" s="30">
        <f t="shared" si="2149"/>
        <v>8000</v>
      </c>
      <c r="C2050" s="8">
        <v>25000</v>
      </c>
      <c r="D2050" s="187">
        <v>0</v>
      </c>
      <c r="E2050" s="187">
        <v>700</v>
      </c>
      <c r="F2050" s="187">
        <v>15000</v>
      </c>
      <c r="G2050" s="30">
        <f t="shared" si="2150"/>
        <v>2400</v>
      </c>
      <c r="H2050" s="8">
        <v>25000</v>
      </c>
      <c r="I2050" s="30">
        <f t="shared" si="2151"/>
        <v>8000</v>
      </c>
      <c r="J2050" s="187">
        <v>40000</v>
      </c>
      <c r="K2050" s="30">
        <f t="shared" si="2152"/>
        <v>8000</v>
      </c>
      <c r="L2050" s="187">
        <v>40000</v>
      </c>
      <c r="M2050" s="110">
        <v>9.5</v>
      </c>
      <c r="N2050" s="9">
        <f>VLOOKUP(DATE(YEAR(A2050),MONTH(A2050),DAY(A2050)),FY24_Temp[],3,FALSE)</f>
        <v>16.8</v>
      </c>
      <c r="O2050" s="110">
        <f t="shared" si="2138"/>
        <v>11.5</v>
      </c>
      <c r="P2050" s="110">
        <f t="shared" si="2139"/>
        <v>19.5</v>
      </c>
      <c r="Q2050" s="79">
        <f>VLOOKUP(VLOOKUP(DATEVALUE(TEXT(A2050,"m/d/yyyy")),FY24_Temp[],5,FALSE)&amp;TEXT(A2050,"-h"),TempDelta[],4,FALSE)</f>
        <v>1.8381428548267909</v>
      </c>
      <c r="R2050">
        <v>10</v>
      </c>
      <c r="S2050" s="112">
        <v>1500</v>
      </c>
      <c r="T2050" s="5">
        <f>VLOOKUP(TEXT(A2050,"yy-mm")&amp;"-"&amp;IF(AND(WEEKDAY(A2050)&gt;1,WEEKDAY(A2050)&lt;7),"Wkd",TEXT(A2050,"Ddd"))&amp;"-"&amp;TEXT(A2050,"hh"),LoadTable[],3,FALSE)*0.92</f>
        <v>297.89621158432834</v>
      </c>
      <c r="U2050" s="113">
        <f t="shared" si="2140"/>
        <v>29.789621158432833</v>
      </c>
      <c r="V2050">
        <f t="shared" ref="V2050:W2050" si="2208">V2026</f>
        <v>2.5</v>
      </c>
      <c r="W2050">
        <f t="shared" si="2208"/>
        <v>3.1</v>
      </c>
      <c r="X2050" s="9">
        <v>-35.206532916666397</v>
      </c>
      <c r="Y2050" s="39"/>
    </row>
    <row r="2051" spans="1:25" ht="15" thickBot="1">
      <c r="A2051" s="149">
        <f t="shared" si="2194"/>
        <v>45921.333333330345</v>
      </c>
      <c r="B2051" s="30">
        <f t="shared" si="2149"/>
        <v>8000</v>
      </c>
      <c r="C2051" s="8">
        <v>25000</v>
      </c>
      <c r="D2051" s="187">
        <v>0</v>
      </c>
      <c r="E2051" s="187">
        <v>700</v>
      </c>
      <c r="F2051" s="187">
        <v>15000</v>
      </c>
      <c r="G2051" s="30">
        <f t="shared" si="2150"/>
        <v>2400</v>
      </c>
      <c r="H2051" s="8">
        <v>25000</v>
      </c>
      <c r="I2051" s="30">
        <f t="shared" si="2151"/>
        <v>8000</v>
      </c>
      <c r="J2051" s="187">
        <v>40000</v>
      </c>
      <c r="K2051" s="30">
        <f t="shared" si="2152"/>
        <v>8000</v>
      </c>
      <c r="L2051" s="187">
        <v>40000</v>
      </c>
      <c r="M2051" s="110">
        <v>9.5</v>
      </c>
      <c r="N2051" s="9">
        <f>VLOOKUP(DATE(YEAR(A2051),MONTH(A2051),DAY(A2051)),FY24_Temp[],3,FALSE)</f>
        <v>16.8</v>
      </c>
      <c r="O2051" s="110">
        <f t="shared" si="2138"/>
        <v>11.5</v>
      </c>
      <c r="P2051" s="110">
        <f t="shared" si="2139"/>
        <v>19.5</v>
      </c>
      <c r="Q2051" s="79">
        <f>VLOOKUP(VLOOKUP(DATEVALUE(TEXT(A2051,"m/d/yyyy")),FY24_Temp[],5,FALSE)&amp;TEXT(A2051,"-h"),TempDelta[],4,FALSE)</f>
        <v>1.6827142919812883</v>
      </c>
      <c r="R2051">
        <v>10</v>
      </c>
      <c r="S2051" s="112">
        <v>1500</v>
      </c>
      <c r="T2051" s="5">
        <f>VLOOKUP(TEXT(A2051,"yy-mm")&amp;"-"&amp;IF(AND(WEEKDAY(A2051)&gt;1,WEEKDAY(A2051)&lt;7),"Wkd",TEXT(A2051,"Ddd"))&amp;"-"&amp;TEXT(A2051,"hh"),LoadTable[],3,FALSE)*0.92</f>
        <v>297.8997487685736</v>
      </c>
      <c r="U2051" s="113">
        <f t="shared" si="2140"/>
        <v>29.789974876857361</v>
      </c>
      <c r="V2051">
        <f t="shared" ref="V2051:W2051" si="2209">V2027</f>
        <v>3.2</v>
      </c>
      <c r="W2051">
        <f t="shared" si="2209"/>
        <v>3</v>
      </c>
      <c r="X2051" s="9">
        <v>-35.284327466666397</v>
      </c>
      <c r="Y2051" s="39"/>
    </row>
    <row r="2052" spans="1:25" ht="15" thickBot="1">
      <c r="A2052" s="149">
        <f t="shared" si="2194"/>
        <v>45921.37499999701</v>
      </c>
      <c r="B2052" s="30">
        <f t="shared" si="2149"/>
        <v>8000</v>
      </c>
      <c r="C2052" s="8">
        <v>25000</v>
      </c>
      <c r="D2052" s="187">
        <v>0</v>
      </c>
      <c r="E2052" s="187">
        <v>700</v>
      </c>
      <c r="F2052" s="187">
        <v>15000</v>
      </c>
      <c r="G2052" s="30">
        <f t="shared" si="2150"/>
        <v>2400</v>
      </c>
      <c r="H2052" s="8">
        <v>25000</v>
      </c>
      <c r="I2052" s="30">
        <f t="shared" si="2151"/>
        <v>8000</v>
      </c>
      <c r="J2052" s="187">
        <v>40000</v>
      </c>
      <c r="K2052" s="30">
        <f t="shared" si="2152"/>
        <v>8000</v>
      </c>
      <c r="L2052" s="187">
        <v>40000</v>
      </c>
      <c r="M2052" s="110">
        <v>9.5</v>
      </c>
      <c r="N2052" s="9">
        <f>VLOOKUP(DATE(YEAR(A2052),MONTH(A2052),DAY(A2052)),FY24_Temp[],3,FALSE)</f>
        <v>16.8</v>
      </c>
      <c r="O2052" s="110">
        <f t="shared" ref="O2052:O2115" si="2210">15.5-4</f>
        <v>11.5</v>
      </c>
      <c r="P2052" s="110">
        <f t="shared" ref="P2052:P2115" si="2211">15.5+4</f>
        <v>19.5</v>
      </c>
      <c r="Q2052" s="79">
        <f>VLOOKUP(VLOOKUP(DATEVALUE(TEXT(A2052,"m/d/yyyy")),FY24_Temp[],5,FALSE)&amp;TEXT(A2052,"-h"),TempDelta[],4,FALSE)</f>
        <v>1.5467142888477869</v>
      </c>
      <c r="R2052">
        <v>10</v>
      </c>
      <c r="S2052" s="112">
        <v>1500</v>
      </c>
      <c r="T2052" s="5">
        <f>VLOOKUP(TEXT(A2052,"yy-mm")&amp;"-"&amp;IF(AND(WEEKDAY(A2052)&gt;1,WEEKDAY(A2052)&lt;7),"Wkd",TEXT(A2052,"Ddd"))&amp;"-"&amp;TEXT(A2052,"hh"),LoadTable[],3,FALSE)*0.92</f>
        <v>291.87724476857363</v>
      </c>
      <c r="U2052" s="113">
        <f t="shared" ref="U2052:U2115" si="2212">T2052/10</f>
        <v>29.187724476857362</v>
      </c>
      <c r="V2052">
        <f t="shared" ref="V2052:W2052" si="2213">V2028</f>
        <v>2.9</v>
      </c>
      <c r="W2052">
        <f t="shared" si="2213"/>
        <v>3</v>
      </c>
      <c r="X2052" s="9">
        <v>-35.362122016666397</v>
      </c>
      <c r="Y2052" s="39"/>
    </row>
    <row r="2053" spans="1:25" ht="15" thickBot="1">
      <c r="A2053" s="149">
        <f t="shared" si="2194"/>
        <v>45921.416666663674</v>
      </c>
      <c r="B2053" s="30">
        <f t="shared" si="2149"/>
        <v>8000</v>
      </c>
      <c r="C2053" s="8">
        <v>25000</v>
      </c>
      <c r="D2053" s="187">
        <v>0</v>
      </c>
      <c r="E2053" s="187">
        <v>700</v>
      </c>
      <c r="F2053" s="187">
        <v>15000</v>
      </c>
      <c r="G2053" s="30">
        <f t="shared" si="2150"/>
        <v>2400</v>
      </c>
      <c r="H2053" s="8">
        <v>25000</v>
      </c>
      <c r="I2053" s="30">
        <f t="shared" si="2151"/>
        <v>8000</v>
      </c>
      <c r="J2053" s="187">
        <v>40000</v>
      </c>
      <c r="K2053" s="30">
        <f t="shared" si="2152"/>
        <v>8000</v>
      </c>
      <c r="L2053" s="187">
        <v>40000</v>
      </c>
      <c r="M2053" s="110">
        <v>9.5</v>
      </c>
      <c r="N2053" s="9">
        <f>VLOOKUP(DATE(YEAR(A2053),MONTH(A2053),DAY(A2053)),FY24_Temp[],3,FALSE)</f>
        <v>16.8</v>
      </c>
      <c r="O2053" s="110">
        <f t="shared" si="2210"/>
        <v>11.5</v>
      </c>
      <c r="P2053" s="110">
        <f t="shared" si="2211"/>
        <v>19.5</v>
      </c>
      <c r="Q2053" s="79">
        <f>VLOOKUP(VLOOKUP(DATEVALUE(TEXT(A2053,"m/d/yyyy")),FY24_Temp[],5,FALSE)&amp;TEXT(A2053,"-h"),TempDelta[],4,FALSE)</f>
        <v>1.4074285881859916</v>
      </c>
      <c r="R2053">
        <v>10</v>
      </c>
      <c r="S2053" s="112">
        <v>1500</v>
      </c>
      <c r="T2053" s="5">
        <f>VLOOKUP(TEXT(A2053,"yy-mm")&amp;"-"&amp;IF(AND(WEEKDAY(A2053)&gt;1,WEEKDAY(A2053)&lt;7),"Wkd",TEXT(A2053,"Ddd"))&amp;"-"&amp;TEXT(A2053,"hh"),LoadTable[],3,FALSE)*0.92</f>
        <v>290.0418447685737</v>
      </c>
      <c r="U2053" s="113">
        <f t="shared" si="2212"/>
        <v>29.004184476857368</v>
      </c>
      <c r="V2053">
        <f t="shared" ref="V2053:W2053" si="2214">V2029</f>
        <v>2.9</v>
      </c>
      <c r="W2053">
        <f t="shared" si="2214"/>
        <v>3</v>
      </c>
      <c r="X2053" s="9">
        <v>-35.439916566666398</v>
      </c>
      <c r="Y2053" s="39"/>
    </row>
    <row r="2054" spans="1:25" ht="15" thickBot="1">
      <c r="A2054" s="149">
        <f t="shared" si="2194"/>
        <v>45921.458333330338</v>
      </c>
      <c r="B2054" s="30">
        <f t="shared" si="2149"/>
        <v>8000</v>
      </c>
      <c r="C2054" s="8">
        <v>25000</v>
      </c>
      <c r="D2054" s="187">
        <v>0</v>
      </c>
      <c r="E2054" s="187">
        <v>700</v>
      </c>
      <c r="F2054" s="187">
        <v>15000</v>
      </c>
      <c r="G2054" s="30">
        <f t="shared" si="2150"/>
        <v>2400</v>
      </c>
      <c r="H2054" s="8">
        <v>25000</v>
      </c>
      <c r="I2054" s="30">
        <f t="shared" si="2151"/>
        <v>8000</v>
      </c>
      <c r="J2054" s="187">
        <v>40000</v>
      </c>
      <c r="K2054" s="30">
        <f t="shared" si="2152"/>
        <v>8000</v>
      </c>
      <c r="L2054" s="187">
        <v>40000</v>
      </c>
      <c r="M2054" s="110">
        <v>9.5</v>
      </c>
      <c r="N2054" s="9">
        <f>VLOOKUP(DATE(YEAR(A2054),MONTH(A2054),DAY(A2054)),FY24_Temp[],3,FALSE)</f>
        <v>16.8</v>
      </c>
      <c r="O2054" s="110">
        <f t="shared" si="2210"/>
        <v>11.5</v>
      </c>
      <c r="P2054" s="110">
        <f t="shared" si="2211"/>
        <v>19.5</v>
      </c>
      <c r="Q2054" s="79">
        <f>VLOOKUP(VLOOKUP(DATEVALUE(TEXT(A2054,"m/d/yyyy")),FY24_Temp[],5,FALSE)&amp;TEXT(A2054,"-h"),TempDelta[],4,FALSE)</f>
        <v>1.2401428733553206</v>
      </c>
      <c r="R2054">
        <v>10</v>
      </c>
      <c r="S2054" s="112">
        <v>1500</v>
      </c>
      <c r="T2054" s="5">
        <f>VLOOKUP(TEXT(A2054,"yy-mm")&amp;"-"&amp;IF(AND(WEEKDAY(A2054)&gt;1,WEEKDAY(A2054)&lt;7),"Wkd",TEXT(A2054,"Ddd"))&amp;"-"&amp;TEXT(A2054,"hh"),LoadTable[],3,FALSE)*0.92</f>
        <v>292.66046400000005</v>
      </c>
      <c r="U2054" s="113">
        <f t="shared" si="2212"/>
        <v>29.266046400000004</v>
      </c>
      <c r="V2054">
        <f t="shared" ref="V2054:W2054" si="2215">V2030</f>
        <v>3.4</v>
      </c>
      <c r="W2054">
        <f t="shared" si="2215"/>
        <v>3</v>
      </c>
      <c r="X2054" s="9">
        <v>-35.517711116666398</v>
      </c>
      <c r="Y2054" s="39"/>
    </row>
    <row r="2055" spans="1:25" ht="15" thickBot="1">
      <c r="A2055" s="149">
        <f t="shared" si="2194"/>
        <v>45921.499999997002</v>
      </c>
      <c r="B2055" s="30">
        <f t="shared" si="2149"/>
        <v>8000</v>
      </c>
      <c r="C2055" s="8">
        <v>25000</v>
      </c>
      <c r="D2055" s="187">
        <v>0</v>
      </c>
      <c r="E2055" s="187">
        <v>700</v>
      </c>
      <c r="F2055" s="187">
        <v>15000</v>
      </c>
      <c r="G2055" s="30">
        <f t="shared" si="2150"/>
        <v>2400</v>
      </c>
      <c r="H2055" s="8">
        <v>25000</v>
      </c>
      <c r="I2055" s="30">
        <f t="shared" si="2151"/>
        <v>8000</v>
      </c>
      <c r="J2055" s="187">
        <v>40000</v>
      </c>
      <c r="K2055" s="30">
        <f t="shared" si="2152"/>
        <v>8000</v>
      </c>
      <c r="L2055" s="187">
        <v>40000</v>
      </c>
      <c r="M2055" s="110">
        <v>9.5</v>
      </c>
      <c r="N2055" s="9">
        <f>VLOOKUP(DATE(YEAR(A2055),MONTH(A2055),DAY(A2055)),FY24_Temp[],3,FALSE)</f>
        <v>16.8</v>
      </c>
      <c r="O2055" s="110">
        <f t="shared" si="2210"/>
        <v>11.5</v>
      </c>
      <c r="P2055" s="110">
        <f t="shared" si="2211"/>
        <v>19.5</v>
      </c>
      <c r="Q2055" s="79">
        <f>VLOOKUP(VLOOKUP(DATEVALUE(TEXT(A2055,"m/d/yyyy")),FY24_Temp[],5,FALSE)&amp;TEXT(A2055,"-h"),TempDelta[],4,FALSE)</f>
        <v>1.0797142812183924</v>
      </c>
      <c r="R2055">
        <v>10</v>
      </c>
      <c r="S2055" s="112">
        <v>1500</v>
      </c>
      <c r="T2055" s="5">
        <f>VLOOKUP(TEXT(A2055,"yy-mm")&amp;"-"&amp;IF(AND(WEEKDAY(A2055)&gt;1,WEEKDAY(A2055)&lt;7),"Wkd",TEXT(A2055,"Ddd"))&amp;"-"&amp;TEXT(A2055,"hh"),LoadTable[],3,FALSE)*0.92</f>
        <v>292.66046400000005</v>
      </c>
      <c r="U2055" s="113">
        <f t="shared" si="2212"/>
        <v>29.266046400000004</v>
      </c>
      <c r="V2055">
        <f t="shared" ref="V2055:W2055" si="2216">V2031</f>
        <v>3.1</v>
      </c>
      <c r="W2055">
        <f t="shared" si="2216"/>
        <v>2.9</v>
      </c>
      <c r="X2055" s="9">
        <v>-35.595505666666398</v>
      </c>
      <c r="Y2055" s="39"/>
    </row>
    <row r="2056" spans="1:25" ht="15" thickBot="1">
      <c r="A2056" s="149">
        <f t="shared" si="2194"/>
        <v>45921.541666663667</v>
      </c>
      <c r="B2056" s="30">
        <f t="shared" si="2149"/>
        <v>8000</v>
      </c>
      <c r="C2056" s="8">
        <v>25000</v>
      </c>
      <c r="D2056" s="187">
        <v>0</v>
      </c>
      <c r="E2056" s="187">
        <v>700</v>
      </c>
      <c r="F2056" s="187">
        <v>15000</v>
      </c>
      <c r="G2056" s="30">
        <f t="shared" si="2150"/>
        <v>2400</v>
      </c>
      <c r="H2056" s="8">
        <v>25000</v>
      </c>
      <c r="I2056" s="30">
        <f t="shared" si="2151"/>
        <v>8000</v>
      </c>
      <c r="J2056" s="187">
        <v>40000</v>
      </c>
      <c r="K2056" s="30">
        <f t="shared" si="2152"/>
        <v>8000</v>
      </c>
      <c r="L2056" s="187">
        <v>40000</v>
      </c>
      <c r="M2056" s="110">
        <v>9.5</v>
      </c>
      <c r="N2056" s="9">
        <f>VLOOKUP(DATE(YEAR(A2056),MONTH(A2056),DAY(A2056)),FY24_Temp[],3,FALSE)</f>
        <v>16.8</v>
      </c>
      <c r="O2056" s="110">
        <f t="shared" si="2210"/>
        <v>11.5</v>
      </c>
      <c r="P2056" s="110">
        <f t="shared" si="2211"/>
        <v>19.5</v>
      </c>
      <c r="Q2056" s="79">
        <f>VLOOKUP(VLOOKUP(DATEVALUE(TEXT(A2056,"m/d/yyyy")),FY24_Temp[],5,FALSE)&amp;TEXT(A2056,"-h"),TempDelta[],4,FALSE)</f>
        <v>0.92499999489103046</v>
      </c>
      <c r="R2056">
        <v>10</v>
      </c>
      <c r="S2056" s="112">
        <v>1500</v>
      </c>
      <c r="T2056" s="5">
        <f>VLOOKUP(TEXT(A2056,"yy-mm")&amp;"-"&amp;IF(AND(WEEKDAY(A2056)&gt;1,WEEKDAY(A2056)&lt;7),"Wkd",TEXT(A2056,"Ddd"))&amp;"-"&amp;TEXT(A2056,"hh"),LoadTable[],3,FALSE)*0.92</f>
        <v>292.60324000000008</v>
      </c>
      <c r="U2056" s="113">
        <f t="shared" si="2212"/>
        <v>29.260324000000008</v>
      </c>
      <c r="V2056">
        <f t="shared" ref="V2056:W2056" si="2217">V2032</f>
        <v>3.2</v>
      </c>
      <c r="W2056">
        <f t="shared" si="2217"/>
        <v>2.9</v>
      </c>
      <c r="X2056" s="9">
        <v>-35.673300216666398</v>
      </c>
      <c r="Y2056" s="39"/>
    </row>
    <row r="2057" spans="1:25" ht="15" thickBot="1">
      <c r="A2057" s="149">
        <f t="shared" si="2194"/>
        <v>45921.583333330331</v>
      </c>
      <c r="B2057" s="30">
        <f t="shared" si="2149"/>
        <v>8000</v>
      </c>
      <c r="C2057" s="8">
        <v>25000</v>
      </c>
      <c r="D2057" s="187">
        <v>0</v>
      </c>
      <c r="E2057" s="187">
        <v>700</v>
      </c>
      <c r="F2057" s="187">
        <v>15000</v>
      </c>
      <c r="G2057" s="30">
        <f t="shared" si="2150"/>
        <v>2400</v>
      </c>
      <c r="H2057" s="8">
        <v>25000</v>
      </c>
      <c r="I2057" s="30">
        <f t="shared" si="2151"/>
        <v>8000</v>
      </c>
      <c r="J2057" s="187">
        <v>40000</v>
      </c>
      <c r="K2057" s="30">
        <f t="shared" si="2152"/>
        <v>8000</v>
      </c>
      <c r="L2057" s="187">
        <v>40000</v>
      </c>
      <c r="M2057" s="110">
        <v>9.5</v>
      </c>
      <c r="N2057" s="9">
        <f>VLOOKUP(DATE(YEAR(A2057),MONTH(A2057),DAY(A2057)),FY24_Temp[],3,FALSE)</f>
        <v>16.8</v>
      </c>
      <c r="O2057" s="110">
        <f t="shared" si="2210"/>
        <v>11.5</v>
      </c>
      <c r="P2057" s="110">
        <f t="shared" si="2211"/>
        <v>19.5</v>
      </c>
      <c r="Q2057" s="79">
        <f>VLOOKUP(VLOOKUP(DATEVALUE(TEXT(A2057,"m/d/yyyy")),FY24_Temp[],5,FALSE)&amp;TEXT(A2057,"-h"),TempDelta[],4,FALSE)</f>
        <v>0.77985713311604088</v>
      </c>
      <c r="R2057">
        <v>10</v>
      </c>
      <c r="S2057" s="112">
        <v>1500</v>
      </c>
      <c r="T2057" s="5">
        <f>VLOOKUP(TEXT(A2057,"yy-mm")&amp;"-"&amp;IF(AND(WEEKDAY(A2057)&gt;1,WEEKDAY(A2057)&lt;7),"Wkd",TEXT(A2057,"Ddd"))&amp;"-"&amp;TEXT(A2057,"hh"),LoadTable[],3,FALSE)*0.92</f>
        <v>341.35680000000008</v>
      </c>
      <c r="U2057" s="113">
        <f t="shared" si="2212"/>
        <v>34.135680000000008</v>
      </c>
      <c r="V2057">
        <f t="shared" ref="V2057:W2057" si="2218">V2033</f>
        <v>3.5</v>
      </c>
      <c r="W2057">
        <f t="shared" si="2218"/>
        <v>2.9</v>
      </c>
      <c r="X2057" s="9">
        <v>-35.751094766666398</v>
      </c>
      <c r="Y2057" s="39"/>
    </row>
    <row r="2058" spans="1:25" ht="15" thickBot="1">
      <c r="A2058" s="149">
        <f t="shared" si="2194"/>
        <v>45921.624999996995</v>
      </c>
      <c r="B2058" s="30">
        <f t="shared" si="2149"/>
        <v>8000</v>
      </c>
      <c r="C2058" s="8">
        <v>25000</v>
      </c>
      <c r="D2058" s="187">
        <v>0</v>
      </c>
      <c r="E2058" s="187">
        <v>700</v>
      </c>
      <c r="F2058" s="187">
        <v>15000</v>
      </c>
      <c r="G2058" s="30">
        <f t="shared" si="2150"/>
        <v>2400</v>
      </c>
      <c r="H2058" s="8">
        <v>25000</v>
      </c>
      <c r="I2058" s="30">
        <f t="shared" si="2151"/>
        <v>8000</v>
      </c>
      <c r="J2058" s="187">
        <v>40000</v>
      </c>
      <c r="K2058" s="30">
        <f t="shared" si="2152"/>
        <v>8000</v>
      </c>
      <c r="L2058" s="187">
        <v>40000</v>
      </c>
      <c r="M2058" s="110">
        <v>9.5</v>
      </c>
      <c r="N2058" s="9">
        <f>VLOOKUP(DATE(YEAR(A2058),MONTH(A2058),DAY(A2058)),FY24_Temp[],3,FALSE)</f>
        <v>16.8</v>
      </c>
      <c r="O2058" s="110">
        <f t="shared" si="2210"/>
        <v>11.5</v>
      </c>
      <c r="P2058" s="110">
        <f t="shared" si="2211"/>
        <v>19.5</v>
      </c>
      <c r="Q2058" s="79">
        <f>VLOOKUP(VLOOKUP(DATEVALUE(TEXT(A2058,"m/d/yyyy")),FY24_Temp[],5,FALSE)&amp;TEXT(A2058,"-h"),TempDelta[],4,FALSE)</f>
        <v>0.30699999923152582</v>
      </c>
      <c r="R2058">
        <v>10</v>
      </c>
      <c r="S2058" s="112">
        <v>1500</v>
      </c>
      <c r="T2058" s="5">
        <f>VLOOKUP(TEXT(A2058,"yy-mm")&amp;"-"&amp;IF(AND(WEEKDAY(A2058)&gt;1,WEEKDAY(A2058)&lt;7),"Wkd",TEXT(A2058,"Ddd"))&amp;"-"&amp;TEXT(A2058,"hh"),LoadTable[],3,FALSE)*0.92</f>
        <v>574.54532098648792</v>
      </c>
      <c r="U2058" s="113">
        <f t="shared" si="2212"/>
        <v>57.454532098648791</v>
      </c>
      <c r="V2058">
        <f t="shared" ref="V2058:W2058" si="2219">V2034</f>
        <v>3.2</v>
      </c>
      <c r="W2058">
        <f t="shared" si="2219"/>
        <v>2.9</v>
      </c>
      <c r="X2058" s="9">
        <v>-35.828889316666398</v>
      </c>
      <c r="Y2058" s="39"/>
    </row>
    <row r="2059" spans="1:25" ht="15" thickBot="1">
      <c r="A2059" s="149">
        <f t="shared" si="2194"/>
        <v>45921.666666663659</v>
      </c>
      <c r="B2059" s="30">
        <f t="shared" si="2149"/>
        <v>8000</v>
      </c>
      <c r="C2059" s="8">
        <v>25000</v>
      </c>
      <c r="D2059" s="187">
        <v>0</v>
      </c>
      <c r="E2059" s="187">
        <v>700</v>
      </c>
      <c r="F2059" s="187">
        <v>15000</v>
      </c>
      <c r="G2059" s="30">
        <f t="shared" si="2150"/>
        <v>2400</v>
      </c>
      <c r="H2059" s="8">
        <v>25000</v>
      </c>
      <c r="I2059" s="30">
        <f t="shared" si="2151"/>
        <v>8000</v>
      </c>
      <c r="J2059" s="187">
        <v>40000</v>
      </c>
      <c r="K2059" s="30">
        <f t="shared" si="2152"/>
        <v>8000</v>
      </c>
      <c r="L2059" s="187">
        <v>40000</v>
      </c>
      <c r="M2059" s="110">
        <v>9.5</v>
      </c>
      <c r="N2059" s="9">
        <f>VLOOKUP(DATE(YEAR(A2059),MONTH(A2059),DAY(A2059)),FY24_Temp[],3,FALSE)</f>
        <v>16.8</v>
      </c>
      <c r="O2059" s="110">
        <f t="shared" si="2210"/>
        <v>11.5</v>
      </c>
      <c r="P2059" s="110">
        <f t="shared" si="2211"/>
        <v>19.5</v>
      </c>
      <c r="Q2059" s="79">
        <f>VLOOKUP(VLOOKUP(DATEVALUE(TEXT(A2059,"m/d/yyyy")),FY24_Temp[],5,FALSE)&amp;TEXT(A2059,"-h"),TempDelta[],4,FALSE)</f>
        <v>0.38057142476152095</v>
      </c>
      <c r="R2059">
        <v>10</v>
      </c>
      <c r="S2059" s="112">
        <v>1500</v>
      </c>
      <c r="T2059" s="5">
        <f>VLOOKUP(TEXT(A2059,"yy-mm")&amp;"-"&amp;IF(AND(WEEKDAY(A2059)&gt;1,WEEKDAY(A2059)&lt;7),"Wkd",TEXT(A2059,"Ddd"))&amp;"-"&amp;TEXT(A2059,"hh"),LoadTable[],3,FALSE)*0.92</f>
        <v>641.47602521827605</v>
      </c>
      <c r="U2059" s="113">
        <f t="shared" si="2212"/>
        <v>64.147602521827608</v>
      </c>
      <c r="V2059">
        <f t="shared" ref="V2059:W2059" si="2220">V2035</f>
        <v>3.5</v>
      </c>
      <c r="W2059">
        <f t="shared" si="2220"/>
        <v>3</v>
      </c>
      <c r="X2059" s="9">
        <v>-35.906683866666398</v>
      </c>
      <c r="Y2059" s="39"/>
    </row>
    <row r="2060" spans="1:25" ht="15" thickBot="1">
      <c r="A2060" s="149">
        <f t="shared" si="2194"/>
        <v>45921.708333330324</v>
      </c>
      <c r="B2060" s="30">
        <f t="shared" ref="B2060:B2123" si="2221">B2036</f>
        <v>8000</v>
      </c>
      <c r="C2060" s="8">
        <v>25000</v>
      </c>
      <c r="D2060" s="187">
        <v>0</v>
      </c>
      <c r="E2060" s="187">
        <v>700</v>
      </c>
      <c r="F2060" s="187">
        <v>15000</v>
      </c>
      <c r="G2060" s="30">
        <f t="shared" ref="G2060:G2123" si="2222">G2036</f>
        <v>2400</v>
      </c>
      <c r="H2060" s="8">
        <v>25000</v>
      </c>
      <c r="I2060" s="30">
        <f t="shared" ref="I2060:I2123" si="2223">I2036</f>
        <v>8000</v>
      </c>
      <c r="J2060" s="187">
        <v>40000</v>
      </c>
      <c r="K2060" s="30">
        <f t="shared" ref="K2060:K2123" si="2224">K2036</f>
        <v>8000</v>
      </c>
      <c r="L2060" s="187">
        <v>40000</v>
      </c>
      <c r="M2060" s="110">
        <v>9.5</v>
      </c>
      <c r="N2060" s="9">
        <f>VLOOKUP(DATE(YEAR(A2060),MONTH(A2060),DAY(A2060)),FY24_Temp[],3,FALSE)</f>
        <v>16.8</v>
      </c>
      <c r="O2060" s="110">
        <f t="shared" si="2210"/>
        <v>11.5</v>
      </c>
      <c r="P2060" s="110">
        <f t="shared" si="2211"/>
        <v>19.5</v>
      </c>
      <c r="Q2060" s="79">
        <f>VLOOKUP(VLOOKUP(DATEVALUE(TEXT(A2060,"m/d/yyyy")),FY24_Temp[],5,FALSE)&amp;TEXT(A2060,"-h"),TempDelta[],4,FALSE)</f>
        <v>0.65464284856404575</v>
      </c>
      <c r="R2060">
        <v>10</v>
      </c>
      <c r="S2060" s="112">
        <v>1500</v>
      </c>
      <c r="T2060" s="5">
        <f>VLOOKUP(TEXT(A2060,"yy-mm")&amp;"-"&amp;IF(AND(WEEKDAY(A2060)&gt;1,WEEKDAY(A2060)&lt;7),"Wkd",TEXT(A2060,"Ddd"))&amp;"-"&amp;TEXT(A2060,"hh"),LoadTable[],3,FALSE)*0.92</f>
        <v>641.47602521827605</v>
      </c>
      <c r="U2060" s="113">
        <f t="shared" si="2212"/>
        <v>64.147602521827608</v>
      </c>
      <c r="V2060">
        <f t="shared" ref="V2060:W2060" si="2225">V2036</f>
        <v>3.6</v>
      </c>
      <c r="W2060">
        <f t="shared" si="2225"/>
        <v>3</v>
      </c>
      <c r="X2060" s="9">
        <v>-35.984478416666398</v>
      </c>
      <c r="Y2060" s="39"/>
    </row>
    <row r="2061" spans="1:25" ht="15" thickBot="1">
      <c r="A2061" s="149">
        <f t="shared" si="2194"/>
        <v>45921.749999996988</v>
      </c>
      <c r="B2061" s="30">
        <f t="shared" si="2221"/>
        <v>5000</v>
      </c>
      <c r="C2061" s="8">
        <v>25000</v>
      </c>
      <c r="D2061" s="187">
        <v>0</v>
      </c>
      <c r="E2061" s="187">
        <v>700</v>
      </c>
      <c r="F2061" s="187">
        <v>15000</v>
      </c>
      <c r="G2061" s="30">
        <f t="shared" si="2222"/>
        <v>2400</v>
      </c>
      <c r="H2061" s="8">
        <v>25000</v>
      </c>
      <c r="I2061" s="30">
        <f t="shared" si="2223"/>
        <v>5000</v>
      </c>
      <c r="J2061" s="187">
        <v>40000</v>
      </c>
      <c r="K2061" s="30">
        <f t="shared" si="2224"/>
        <v>5000</v>
      </c>
      <c r="L2061" s="187">
        <v>40000</v>
      </c>
      <c r="M2061" s="110">
        <v>9.5</v>
      </c>
      <c r="N2061" s="9">
        <f>VLOOKUP(DATE(YEAR(A2061),MONTH(A2061),DAY(A2061)),FY24_Temp[],3,FALSE)</f>
        <v>16.8</v>
      </c>
      <c r="O2061" s="110">
        <f t="shared" si="2210"/>
        <v>11.5</v>
      </c>
      <c r="P2061" s="110">
        <f t="shared" si="2211"/>
        <v>19.5</v>
      </c>
      <c r="Q2061" s="79">
        <f>VLOOKUP(VLOOKUP(DATEVALUE(TEXT(A2061,"m/d/yyyy")),FY24_Temp[],5,FALSE)&amp;TEXT(A2061,"-h"),TempDelta[],4,FALSE)</f>
        <v>0.96042857638427193</v>
      </c>
      <c r="R2061">
        <v>10</v>
      </c>
      <c r="S2061" s="112">
        <v>1500</v>
      </c>
      <c r="T2061" s="5">
        <f>VLOOKUP(TEXT(A2061,"yy-mm")&amp;"-"&amp;IF(AND(WEEKDAY(A2061)&gt;1,WEEKDAY(A2061)&lt;7),"Wkd",TEXT(A2061,"Ddd"))&amp;"-"&amp;TEXT(A2061,"hh"),LoadTable[],3,FALSE)*0.92</f>
        <v>641.47602521827605</v>
      </c>
      <c r="U2061" s="113">
        <f t="shared" si="2212"/>
        <v>64.147602521827608</v>
      </c>
      <c r="V2061">
        <f t="shared" ref="V2061:W2061" si="2226">V2037</f>
        <v>2.9</v>
      </c>
      <c r="W2061">
        <f t="shared" si="2226"/>
        <v>3</v>
      </c>
      <c r="X2061" s="9">
        <v>-36.062272966666399</v>
      </c>
      <c r="Y2061" s="39"/>
    </row>
    <row r="2062" spans="1:25" ht="15" thickBot="1">
      <c r="A2062" s="149">
        <f t="shared" si="2194"/>
        <v>45921.791666663652</v>
      </c>
      <c r="B2062" s="30">
        <f t="shared" si="2221"/>
        <v>5000</v>
      </c>
      <c r="C2062" s="8">
        <v>25000</v>
      </c>
      <c r="D2062" s="187">
        <v>0</v>
      </c>
      <c r="E2062" s="187">
        <v>700</v>
      </c>
      <c r="F2062" s="187">
        <v>15000</v>
      </c>
      <c r="G2062" s="30">
        <f t="shared" si="2222"/>
        <v>2400</v>
      </c>
      <c r="H2062" s="8">
        <v>25000</v>
      </c>
      <c r="I2062" s="30">
        <f t="shared" si="2223"/>
        <v>5000</v>
      </c>
      <c r="J2062" s="187">
        <v>40000</v>
      </c>
      <c r="K2062" s="30">
        <f t="shared" si="2224"/>
        <v>5000</v>
      </c>
      <c r="L2062" s="187">
        <v>40000</v>
      </c>
      <c r="M2062" s="110">
        <v>9.5</v>
      </c>
      <c r="N2062" s="9">
        <f>VLOOKUP(DATE(YEAR(A2062),MONTH(A2062),DAY(A2062)),FY24_Temp[],3,FALSE)</f>
        <v>16.8</v>
      </c>
      <c r="O2062" s="110">
        <f t="shared" si="2210"/>
        <v>11.5</v>
      </c>
      <c r="P2062" s="110">
        <f t="shared" si="2211"/>
        <v>19.5</v>
      </c>
      <c r="Q2062" s="79">
        <f>VLOOKUP(VLOOKUP(DATEVALUE(TEXT(A2062,"m/d/yyyy")),FY24_Temp[],5,FALSE)&amp;TEXT(A2062,"-h"),TempDelta[],4,FALSE)</f>
        <v>1.0787142855780465</v>
      </c>
      <c r="R2062">
        <v>10</v>
      </c>
      <c r="S2062" s="112">
        <v>1500</v>
      </c>
      <c r="T2062" s="5">
        <f>VLOOKUP(TEXT(A2062,"yy-mm")&amp;"-"&amp;IF(AND(WEEKDAY(A2062)&gt;1,WEEKDAY(A2062)&lt;7),"Wkd",TEXT(A2062,"Ddd"))&amp;"-"&amp;TEXT(A2062,"hh"),LoadTable[],3,FALSE)*0.92</f>
        <v>639.45388251315194</v>
      </c>
      <c r="U2062" s="113">
        <f t="shared" si="2212"/>
        <v>63.945388251315194</v>
      </c>
      <c r="V2062">
        <f t="shared" ref="V2062:W2062" si="2227">V2038</f>
        <v>3</v>
      </c>
      <c r="W2062">
        <f t="shared" si="2227"/>
        <v>3</v>
      </c>
      <c r="X2062" s="9">
        <v>-36.140067516666399</v>
      </c>
      <c r="Y2062" s="39"/>
    </row>
    <row r="2063" spans="1:25" ht="15" thickBot="1">
      <c r="A2063" s="149">
        <f t="shared" si="2194"/>
        <v>45921.833333330316</v>
      </c>
      <c r="B2063" s="30">
        <f t="shared" si="2221"/>
        <v>5000</v>
      </c>
      <c r="C2063" s="8">
        <v>25000</v>
      </c>
      <c r="D2063" s="187">
        <v>0</v>
      </c>
      <c r="E2063" s="187">
        <v>700</v>
      </c>
      <c r="F2063" s="187">
        <v>15000</v>
      </c>
      <c r="G2063" s="30">
        <f t="shared" si="2222"/>
        <v>2400</v>
      </c>
      <c r="H2063" s="8">
        <v>25000</v>
      </c>
      <c r="I2063" s="30">
        <f t="shared" si="2223"/>
        <v>5000</v>
      </c>
      <c r="J2063" s="187">
        <v>40000</v>
      </c>
      <c r="K2063" s="30">
        <f t="shared" si="2224"/>
        <v>5000</v>
      </c>
      <c r="L2063" s="187">
        <v>40000</v>
      </c>
      <c r="M2063" s="110">
        <v>9.5</v>
      </c>
      <c r="N2063" s="9">
        <f>VLOOKUP(DATE(YEAR(A2063),MONTH(A2063),DAY(A2063)),FY24_Temp[],3,FALSE)</f>
        <v>16.8</v>
      </c>
      <c r="O2063" s="110">
        <f t="shared" si="2210"/>
        <v>11.5</v>
      </c>
      <c r="P2063" s="110">
        <f t="shared" si="2211"/>
        <v>19.5</v>
      </c>
      <c r="Q2063" s="79">
        <f>VLOOKUP(VLOOKUP(DATEVALUE(TEXT(A2063,"m/d/yyyy")),FY24_Temp[],5,FALSE)&amp;TEXT(A2063,"-h"),TempDelta[],4,FALSE)</f>
        <v>1.1579285774912154</v>
      </c>
      <c r="R2063">
        <v>10</v>
      </c>
      <c r="S2063" s="112">
        <v>1500</v>
      </c>
      <c r="T2063" s="5">
        <f>VLOOKUP(TEXT(A2063,"yy-mm")&amp;"-"&amp;IF(AND(WEEKDAY(A2063)&gt;1,WEEKDAY(A2063)&lt;7),"Wkd",TEXT(A2063,"Ddd"))&amp;"-"&amp;TEXT(A2063,"hh"),LoadTable[],3,FALSE)*0.92</f>
        <v>584.83549237023499</v>
      </c>
      <c r="U2063" s="113">
        <f t="shared" si="2212"/>
        <v>58.483549237023496</v>
      </c>
      <c r="V2063">
        <f t="shared" ref="V2063:W2063" si="2228">V2039</f>
        <v>2.8</v>
      </c>
      <c r="W2063">
        <f t="shared" si="2228"/>
        <v>3.1</v>
      </c>
      <c r="X2063" s="9">
        <v>-36.217862066666399</v>
      </c>
      <c r="Y2063" s="39"/>
    </row>
    <row r="2064" spans="1:25" ht="15" thickBot="1">
      <c r="A2064" s="149">
        <f t="shared" si="2194"/>
        <v>45921.87499999698</v>
      </c>
      <c r="B2064" s="30">
        <f t="shared" si="2221"/>
        <v>5000</v>
      </c>
      <c r="C2064" s="8">
        <v>25000</v>
      </c>
      <c r="D2064" s="187">
        <v>0</v>
      </c>
      <c r="E2064" s="187">
        <v>700</v>
      </c>
      <c r="F2064" s="187">
        <v>15000</v>
      </c>
      <c r="G2064" s="30">
        <f t="shared" si="2222"/>
        <v>2400</v>
      </c>
      <c r="H2064" s="8">
        <v>25000</v>
      </c>
      <c r="I2064" s="30">
        <f t="shared" si="2223"/>
        <v>5000</v>
      </c>
      <c r="J2064" s="187">
        <v>40000</v>
      </c>
      <c r="K2064" s="30">
        <f t="shared" si="2224"/>
        <v>5000</v>
      </c>
      <c r="L2064" s="187">
        <v>40000</v>
      </c>
      <c r="M2064" s="110">
        <v>9.5</v>
      </c>
      <c r="N2064" s="9">
        <f>VLOOKUP(DATE(YEAR(A2064),MONTH(A2064),DAY(A2064)),FY24_Temp[],3,FALSE)</f>
        <v>16.8</v>
      </c>
      <c r="O2064" s="110">
        <f t="shared" si="2210"/>
        <v>11.5</v>
      </c>
      <c r="P2064" s="110">
        <f t="shared" si="2211"/>
        <v>19.5</v>
      </c>
      <c r="Q2064" s="79">
        <f>VLOOKUP(VLOOKUP(DATEVALUE(TEXT(A2064,"m/d/yyyy")),FY24_Temp[],5,FALSE)&amp;TEXT(A2064,"-h"),TempDelta[],4,FALSE)</f>
        <v>1.1765714372907365</v>
      </c>
      <c r="R2064">
        <v>10</v>
      </c>
      <c r="S2064" s="112">
        <v>1500</v>
      </c>
      <c r="T2064" s="5">
        <f>VLOOKUP(TEXT(A2064,"yy-mm")&amp;"-"&amp;IF(AND(WEEKDAY(A2064)&gt;1,WEEKDAY(A2064)&lt;7),"Wkd",TEXT(A2064,"Ddd"))&amp;"-"&amp;TEXT(A2064,"hh"),LoadTable[],3,FALSE)*0.92</f>
        <v>515.78096925471493</v>
      </c>
      <c r="U2064" s="113">
        <f t="shared" si="2212"/>
        <v>51.578096925471492</v>
      </c>
      <c r="V2064">
        <f t="shared" ref="V2064:W2064" si="2229">V2040</f>
        <v>3.5</v>
      </c>
      <c r="W2064">
        <f t="shared" si="2229"/>
        <v>3.1</v>
      </c>
      <c r="X2064" s="9">
        <v>-36.295656616666399</v>
      </c>
      <c r="Y2064" s="39"/>
    </row>
    <row r="2065" spans="1:25" ht="15" thickBot="1">
      <c r="A2065" s="149">
        <f t="shared" si="2194"/>
        <v>45921.916666663645</v>
      </c>
      <c r="B2065" s="30">
        <f t="shared" si="2221"/>
        <v>5000</v>
      </c>
      <c r="C2065" s="8">
        <v>25000</v>
      </c>
      <c r="D2065" s="187">
        <v>0</v>
      </c>
      <c r="E2065" s="187">
        <v>700</v>
      </c>
      <c r="F2065" s="187">
        <v>15000</v>
      </c>
      <c r="G2065" s="30">
        <f t="shared" si="2222"/>
        <v>2400</v>
      </c>
      <c r="H2065" s="8">
        <v>25000</v>
      </c>
      <c r="I2065" s="30">
        <f t="shared" si="2223"/>
        <v>5000</v>
      </c>
      <c r="J2065" s="187">
        <v>40000</v>
      </c>
      <c r="K2065" s="30">
        <f t="shared" si="2224"/>
        <v>5000</v>
      </c>
      <c r="L2065" s="187">
        <v>40000</v>
      </c>
      <c r="M2065" s="110">
        <v>9.5</v>
      </c>
      <c r="N2065" s="9">
        <f>VLOOKUP(DATE(YEAR(A2065),MONTH(A2065),DAY(A2065)),FY24_Temp[],3,FALSE)</f>
        <v>16.8</v>
      </c>
      <c r="O2065" s="110">
        <f t="shared" si="2210"/>
        <v>11.5</v>
      </c>
      <c r="P2065" s="110">
        <f t="shared" si="2211"/>
        <v>19.5</v>
      </c>
      <c r="Q2065" s="79">
        <f>VLOOKUP(VLOOKUP(DATEVALUE(TEXT(A2065,"m/d/yyyy")),FY24_Temp[],5,FALSE)&amp;TEXT(A2065,"-h"),TempDelta[],4,FALSE)</f>
        <v>1.6277142763137817</v>
      </c>
      <c r="R2065">
        <v>10</v>
      </c>
      <c r="S2065" s="112">
        <v>1500</v>
      </c>
      <c r="T2065" s="5">
        <f>VLOOKUP(TEXT(A2065,"yy-mm")&amp;"-"&amp;IF(AND(WEEKDAY(A2065)&gt;1,WEEKDAY(A2065)&lt;7),"Wkd",TEXT(A2065,"Ddd"))&amp;"-"&amp;TEXT(A2065,"hh"),LoadTable[],3,FALSE)*0.92</f>
        <v>357.4610490891456</v>
      </c>
      <c r="U2065" s="113">
        <f t="shared" si="2212"/>
        <v>35.74610490891456</v>
      </c>
      <c r="V2065">
        <f t="shared" ref="V2065:W2065" si="2230">V2041</f>
        <v>2.9</v>
      </c>
      <c r="W2065">
        <f t="shared" si="2230"/>
        <v>3.1</v>
      </c>
      <c r="X2065" s="9">
        <v>-36.373451166666399</v>
      </c>
      <c r="Y2065" s="39"/>
    </row>
    <row r="2066" spans="1:25" ht="15" thickBot="1">
      <c r="A2066" s="149">
        <f t="shared" si="2194"/>
        <v>45921.958333330309</v>
      </c>
      <c r="B2066" s="30">
        <f t="shared" si="2221"/>
        <v>5000</v>
      </c>
      <c r="C2066" s="8">
        <v>25000</v>
      </c>
      <c r="D2066" s="187">
        <v>0</v>
      </c>
      <c r="E2066" s="187">
        <v>700</v>
      </c>
      <c r="F2066" s="187">
        <v>15000</v>
      </c>
      <c r="G2066" s="30">
        <f t="shared" si="2222"/>
        <v>2400</v>
      </c>
      <c r="H2066" s="8">
        <v>25000</v>
      </c>
      <c r="I2066" s="30">
        <f t="shared" si="2223"/>
        <v>5000</v>
      </c>
      <c r="J2066" s="187">
        <v>40000</v>
      </c>
      <c r="K2066" s="30">
        <f t="shared" si="2224"/>
        <v>5000</v>
      </c>
      <c r="L2066" s="187">
        <v>40000</v>
      </c>
      <c r="M2066" s="110">
        <v>9.5</v>
      </c>
      <c r="N2066" s="9">
        <f>VLOOKUP(DATE(YEAR(A2066),MONTH(A2066),DAY(A2066)),FY24_Temp[],3,FALSE)</f>
        <v>16.8</v>
      </c>
      <c r="O2066" s="110">
        <f t="shared" si="2210"/>
        <v>11.5</v>
      </c>
      <c r="P2066" s="110">
        <f t="shared" si="2211"/>
        <v>19.5</v>
      </c>
      <c r="Q2066" s="79">
        <f>VLOOKUP(VLOOKUP(DATEVALUE(TEXT(A2066,"m/d/yyyy")),FY24_Temp[],5,FALSE)&amp;TEXT(A2066,"-h"),TempDelta[],4,FALSE)</f>
        <v>1.758285709789821</v>
      </c>
      <c r="R2066">
        <v>10</v>
      </c>
      <c r="S2066" s="112">
        <v>1500</v>
      </c>
      <c r="T2066" s="5">
        <f>VLOOKUP(TEXT(A2066,"yy-mm")&amp;"-"&amp;IF(AND(WEEKDAY(A2066)&gt;1,WEEKDAY(A2066)&lt;7),"Wkd",TEXT(A2066,"Ddd"))&amp;"-"&amp;TEXT(A2066,"hh"),LoadTable[],3,FALSE)*0.92</f>
        <v>316.63916103217565</v>
      </c>
      <c r="U2066" s="113">
        <f t="shared" si="2212"/>
        <v>31.663916103217566</v>
      </c>
      <c r="V2066">
        <f t="shared" ref="V2066:W2066" si="2231">V2042</f>
        <v>3.6</v>
      </c>
      <c r="W2066">
        <f t="shared" si="2231"/>
        <v>3.1</v>
      </c>
      <c r="X2066" s="9">
        <v>-36.451245716666399</v>
      </c>
      <c r="Y2066" s="39"/>
    </row>
    <row r="2067" spans="1:25" ht="15" thickBot="1">
      <c r="A2067" s="149">
        <f t="shared" si="2194"/>
        <v>45921.999999996973</v>
      </c>
      <c r="B2067" s="30">
        <f t="shared" si="2221"/>
        <v>5000</v>
      </c>
      <c r="C2067" s="8">
        <v>25000</v>
      </c>
      <c r="D2067" s="187">
        <v>0</v>
      </c>
      <c r="E2067" s="187">
        <v>700</v>
      </c>
      <c r="F2067" s="187">
        <v>15000</v>
      </c>
      <c r="G2067" s="30">
        <f t="shared" si="2222"/>
        <v>2400</v>
      </c>
      <c r="H2067" s="8">
        <v>25000</v>
      </c>
      <c r="I2067" s="30">
        <f t="shared" si="2223"/>
        <v>5000</v>
      </c>
      <c r="J2067" s="187">
        <v>40000</v>
      </c>
      <c r="K2067" s="30">
        <f t="shared" si="2224"/>
        <v>5000</v>
      </c>
      <c r="L2067" s="187">
        <v>40000</v>
      </c>
      <c r="M2067" s="110">
        <v>9.5</v>
      </c>
      <c r="N2067" s="9">
        <f>VLOOKUP(DATE(YEAR(A2067),MONTH(A2067),DAY(A2067)),FY24_Temp[],3,FALSE)</f>
        <v>16.8</v>
      </c>
      <c r="O2067" s="110">
        <f t="shared" si="2210"/>
        <v>11.5</v>
      </c>
      <c r="P2067" s="110">
        <f t="shared" si="2211"/>
        <v>19.5</v>
      </c>
      <c r="Q2067" s="79">
        <f>VLOOKUP(VLOOKUP(DATEVALUE(TEXT(A2067,"m/d/yyyy")),FY24_Temp[],5,FALSE)&amp;TEXT(A2067,"-h"),TempDelta[],4,FALSE)</f>
        <v>1.8245714221681868</v>
      </c>
      <c r="R2067">
        <v>10</v>
      </c>
      <c r="S2067" s="112">
        <v>1500</v>
      </c>
      <c r="T2067" s="5">
        <f>VLOOKUP(TEXT(A2067,"yy-mm")&amp;"-"&amp;IF(AND(WEEKDAY(A2067)&gt;1,WEEKDAY(A2067)&lt;7),"Wkd",TEXT(A2067,"Ddd"))&amp;"-"&amp;TEXT(A2067,"hh"),LoadTable[],3,FALSE)*0.92</f>
        <v>289.0624787084426</v>
      </c>
      <c r="U2067" s="113">
        <f t="shared" si="2212"/>
        <v>28.906247870844261</v>
      </c>
      <c r="V2067">
        <f t="shared" ref="V2067:W2067" si="2232">V2043</f>
        <v>3</v>
      </c>
      <c r="W2067">
        <f t="shared" si="2232"/>
        <v>3.2</v>
      </c>
      <c r="X2067" s="9">
        <v>-36.529040266666399</v>
      </c>
      <c r="Y2067" s="39"/>
    </row>
    <row r="2068" spans="1:25" ht="15" thickBot="1">
      <c r="A2068" s="149">
        <f t="shared" si="2194"/>
        <v>45922.041666663637</v>
      </c>
      <c r="B2068" s="30">
        <f t="shared" si="2221"/>
        <v>5000</v>
      </c>
      <c r="C2068" s="8">
        <v>25000</v>
      </c>
      <c r="D2068" s="187">
        <v>0</v>
      </c>
      <c r="E2068" s="187">
        <v>700</v>
      </c>
      <c r="F2068" s="187">
        <v>15000</v>
      </c>
      <c r="G2068" s="30">
        <f t="shared" si="2222"/>
        <v>2400</v>
      </c>
      <c r="H2068" s="8">
        <v>25000</v>
      </c>
      <c r="I2068" s="30">
        <f t="shared" si="2223"/>
        <v>5000</v>
      </c>
      <c r="J2068" s="187">
        <v>40000</v>
      </c>
      <c r="K2068" s="30">
        <f t="shared" si="2224"/>
        <v>5000</v>
      </c>
      <c r="L2068" s="187">
        <v>40000</v>
      </c>
      <c r="M2068" s="110">
        <v>9.5</v>
      </c>
      <c r="N2068" s="9">
        <f>VLOOKUP(DATE(YEAR(A2068),MONTH(A2068),DAY(A2068)),FY24_Temp[],3,FALSE)</f>
        <v>16.8</v>
      </c>
      <c r="O2068" s="110">
        <f t="shared" si="2210"/>
        <v>11.5</v>
      </c>
      <c r="P2068" s="110">
        <f t="shared" si="2211"/>
        <v>19.5</v>
      </c>
      <c r="Q2068" s="79">
        <f>VLOOKUP(VLOOKUP(DATEVALUE(TEXT(A2068,"m/d/yyyy")),FY24_Temp[],5,FALSE)&amp;TEXT(A2068,"-h"),TempDelta[],4,FALSE)</f>
        <v>1.8974285977227348</v>
      </c>
      <c r="R2068">
        <v>10</v>
      </c>
      <c r="S2068" s="112">
        <v>1500</v>
      </c>
      <c r="T2068" s="5">
        <f>VLOOKUP(TEXT(A2068,"yy-mm")&amp;"-"&amp;IF(AND(WEEKDAY(A2068)&gt;1,WEEKDAY(A2068)&lt;7),"Wkd",TEXT(A2068,"Ddd"))&amp;"-"&amp;TEXT(A2068,"hh"),LoadTable[],3,FALSE)*0.92</f>
        <v>289.0624787084426</v>
      </c>
      <c r="U2068" s="113">
        <f t="shared" si="2212"/>
        <v>28.906247870844261</v>
      </c>
      <c r="V2068">
        <f t="shared" ref="V2068:W2068" si="2233">V2044</f>
        <v>2.6</v>
      </c>
      <c r="W2068">
        <f t="shared" si="2233"/>
        <v>3.2</v>
      </c>
      <c r="X2068" s="9">
        <v>-36.606834816666399</v>
      </c>
      <c r="Y2068" s="39"/>
    </row>
    <row r="2069" spans="1:25" ht="15" thickBot="1">
      <c r="A2069" s="149">
        <f t="shared" si="2194"/>
        <v>45922.083333330302</v>
      </c>
      <c r="B2069" s="30">
        <f t="shared" si="2221"/>
        <v>5000</v>
      </c>
      <c r="C2069" s="8">
        <v>25000</v>
      </c>
      <c r="D2069" s="187">
        <v>0</v>
      </c>
      <c r="E2069" s="187">
        <v>700</v>
      </c>
      <c r="F2069" s="187">
        <v>15000</v>
      </c>
      <c r="G2069" s="30">
        <f t="shared" si="2222"/>
        <v>2400</v>
      </c>
      <c r="H2069" s="8">
        <v>25000</v>
      </c>
      <c r="I2069" s="30">
        <f t="shared" si="2223"/>
        <v>5000</v>
      </c>
      <c r="J2069" s="187">
        <v>40000</v>
      </c>
      <c r="K2069" s="30">
        <f t="shared" si="2224"/>
        <v>5000</v>
      </c>
      <c r="L2069" s="187">
        <v>40000</v>
      </c>
      <c r="M2069" s="110">
        <v>9.5</v>
      </c>
      <c r="N2069" s="9">
        <f>VLOOKUP(DATE(YEAR(A2069),MONTH(A2069),DAY(A2069)),FY24_Temp[],3,FALSE)</f>
        <v>16.8</v>
      </c>
      <c r="O2069" s="110">
        <f t="shared" si="2210"/>
        <v>11.5</v>
      </c>
      <c r="P2069" s="110">
        <f t="shared" si="2211"/>
        <v>19.5</v>
      </c>
      <c r="Q2069" s="79">
        <f>VLOOKUP(VLOOKUP(DATEVALUE(TEXT(A2069,"m/d/yyyy")),FY24_Temp[],5,FALSE)&amp;TEXT(A2069,"-h"),TempDelta[],4,FALSE)</f>
        <v>1.9182857445308141</v>
      </c>
      <c r="R2069">
        <v>10</v>
      </c>
      <c r="S2069" s="112">
        <v>1500</v>
      </c>
      <c r="T2069" s="5">
        <f>VLOOKUP(TEXT(A2069,"yy-mm")&amp;"-"&amp;IF(AND(WEEKDAY(A2069)&gt;1,WEEKDAY(A2069)&lt;7),"Wkd",TEXT(A2069,"Ddd"))&amp;"-"&amp;TEXT(A2069,"hh"),LoadTable[],3,FALSE)*0.92</f>
        <v>289.0624787084426</v>
      </c>
      <c r="U2069" s="113">
        <f t="shared" si="2212"/>
        <v>28.906247870844261</v>
      </c>
      <c r="V2069">
        <f t="shared" ref="V2069:W2069" si="2234">V2045</f>
        <v>2.8</v>
      </c>
      <c r="W2069">
        <f t="shared" si="2234"/>
        <v>3.2</v>
      </c>
      <c r="X2069" s="9">
        <v>-36.6846293666664</v>
      </c>
      <c r="Y2069" s="39"/>
    </row>
    <row r="2070" spans="1:25" ht="15" thickBot="1">
      <c r="A2070" s="149">
        <f t="shared" si="2194"/>
        <v>45922.124999996966</v>
      </c>
      <c r="B2070" s="30">
        <f t="shared" si="2221"/>
        <v>5000</v>
      </c>
      <c r="C2070" s="8">
        <v>25000</v>
      </c>
      <c r="D2070" s="187">
        <v>0</v>
      </c>
      <c r="E2070" s="187">
        <v>700</v>
      </c>
      <c r="F2070" s="187">
        <v>15000</v>
      </c>
      <c r="G2070" s="30">
        <f t="shared" si="2222"/>
        <v>2400</v>
      </c>
      <c r="H2070" s="8">
        <v>25000</v>
      </c>
      <c r="I2070" s="30">
        <f t="shared" si="2223"/>
        <v>5000</v>
      </c>
      <c r="J2070" s="187">
        <v>40000</v>
      </c>
      <c r="K2070" s="30">
        <f t="shared" si="2224"/>
        <v>5000</v>
      </c>
      <c r="L2070" s="187">
        <v>40000</v>
      </c>
      <c r="M2070" s="110">
        <v>9.5</v>
      </c>
      <c r="N2070" s="9">
        <f>VLOOKUP(DATE(YEAR(A2070),MONTH(A2070),DAY(A2070)),FY24_Temp[],3,FALSE)</f>
        <v>16.8</v>
      </c>
      <c r="O2070" s="110">
        <f t="shared" si="2210"/>
        <v>11.5</v>
      </c>
      <c r="P2070" s="110">
        <f t="shared" si="2211"/>
        <v>19.5</v>
      </c>
      <c r="Q2070" s="79">
        <f>VLOOKUP(VLOOKUP(DATEVALUE(TEXT(A2070,"m/d/yyyy")),FY24_Temp[],5,FALSE)&amp;TEXT(A2070,"-h"),TempDelta[],4,FALSE)</f>
        <v>1.9078571796417236</v>
      </c>
      <c r="R2070">
        <v>10</v>
      </c>
      <c r="S2070" s="112">
        <v>1500</v>
      </c>
      <c r="T2070" s="5">
        <f>VLOOKUP(TEXT(A2070,"yy-mm")&amp;"-"&amp;IF(AND(WEEKDAY(A2070)&gt;1,WEEKDAY(A2070)&lt;7),"Wkd",TEXT(A2070,"Ddd"))&amp;"-"&amp;TEXT(A2070,"hh"),LoadTable[],3,FALSE)*0.92</f>
        <v>289.05894152419745</v>
      </c>
      <c r="U2070" s="113">
        <f t="shared" si="2212"/>
        <v>28.905894152419744</v>
      </c>
      <c r="V2070">
        <f t="shared" ref="V2070:W2070" si="2235">V2046</f>
        <v>2.7</v>
      </c>
      <c r="W2070">
        <f t="shared" si="2235"/>
        <v>3.2</v>
      </c>
      <c r="X2070" s="9">
        <v>-36.7624239166664</v>
      </c>
      <c r="Y2070" s="39"/>
    </row>
    <row r="2071" spans="1:25" ht="15" thickBot="1">
      <c r="A2071" s="149">
        <f t="shared" si="2194"/>
        <v>45922.16666666363</v>
      </c>
      <c r="B2071" s="30">
        <f t="shared" si="2221"/>
        <v>5000</v>
      </c>
      <c r="C2071" s="8">
        <v>25000</v>
      </c>
      <c r="D2071" s="187">
        <v>0</v>
      </c>
      <c r="E2071" s="187">
        <v>700</v>
      </c>
      <c r="F2071" s="187">
        <v>15000</v>
      </c>
      <c r="G2071" s="30">
        <f t="shared" si="2222"/>
        <v>2400</v>
      </c>
      <c r="H2071" s="8">
        <v>25000</v>
      </c>
      <c r="I2071" s="30">
        <f t="shared" si="2223"/>
        <v>5000</v>
      </c>
      <c r="J2071" s="187">
        <v>40000</v>
      </c>
      <c r="K2071" s="30">
        <f t="shared" si="2224"/>
        <v>5000</v>
      </c>
      <c r="L2071" s="187">
        <v>40000</v>
      </c>
      <c r="M2071" s="110">
        <v>9.5</v>
      </c>
      <c r="N2071" s="9">
        <f>VLOOKUP(DATE(YEAR(A2071),MONTH(A2071),DAY(A2071)),FY24_Temp[],3,FALSE)</f>
        <v>16.8</v>
      </c>
      <c r="O2071" s="110">
        <f t="shared" si="2210"/>
        <v>11.5</v>
      </c>
      <c r="P2071" s="110">
        <f t="shared" si="2211"/>
        <v>19.5</v>
      </c>
      <c r="Q2071" s="79">
        <f>VLOOKUP(VLOOKUP(DATEVALUE(TEXT(A2071,"m/d/yyyy")),FY24_Temp[],5,FALSE)&amp;TEXT(A2071,"-h"),TempDelta[],4,FALSE)</f>
        <v>1.9279999732971191</v>
      </c>
      <c r="R2071">
        <v>10</v>
      </c>
      <c r="S2071" s="112">
        <v>1500</v>
      </c>
      <c r="T2071" s="5">
        <f>VLOOKUP(TEXT(A2071,"yy-mm")&amp;"-"&amp;IF(AND(WEEKDAY(A2071)&gt;1,WEEKDAY(A2071)&lt;7),"Wkd",TEXT(A2071,"Ddd"))&amp;"-"&amp;TEXT(A2071,"hh"),LoadTable[],3,FALSE)*0.92</f>
        <v>289.05894152419745</v>
      </c>
      <c r="U2071" s="113">
        <f t="shared" si="2212"/>
        <v>28.905894152419744</v>
      </c>
      <c r="V2071">
        <f t="shared" ref="V2071:W2071" si="2236">V2047</f>
        <v>3</v>
      </c>
      <c r="W2071">
        <f t="shared" si="2236"/>
        <v>3.1</v>
      </c>
      <c r="X2071" s="9">
        <v>-36.8402184666664</v>
      </c>
      <c r="Y2071" s="39"/>
    </row>
    <row r="2072" spans="1:25" ht="15" thickBot="1">
      <c r="A2072" s="149">
        <f t="shared" si="2194"/>
        <v>45922.208333330294</v>
      </c>
      <c r="B2072" s="30">
        <f t="shared" si="2221"/>
        <v>5000</v>
      </c>
      <c r="C2072" s="8">
        <v>25000</v>
      </c>
      <c r="D2072" s="187">
        <v>0</v>
      </c>
      <c r="E2072" s="187">
        <v>700</v>
      </c>
      <c r="F2072" s="187">
        <v>15000</v>
      </c>
      <c r="G2072" s="30">
        <f t="shared" si="2222"/>
        <v>2400</v>
      </c>
      <c r="H2072" s="8">
        <v>25000</v>
      </c>
      <c r="I2072" s="30">
        <f t="shared" si="2223"/>
        <v>5000</v>
      </c>
      <c r="J2072" s="187">
        <v>40000</v>
      </c>
      <c r="K2072" s="30">
        <f t="shared" si="2224"/>
        <v>5000</v>
      </c>
      <c r="L2072" s="187">
        <v>40000</v>
      </c>
      <c r="M2072" s="110">
        <v>9.5</v>
      </c>
      <c r="N2072" s="9">
        <f>VLOOKUP(DATE(YEAR(A2072),MONTH(A2072),DAY(A2072)),FY24_Temp[],3,FALSE)</f>
        <v>16.8</v>
      </c>
      <c r="O2072" s="110">
        <f t="shared" si="2210"/>
        <v>11.5</v>
      </c>
      <c r="P2072" s="110">
        <f t="shared" si="2211"/>
        <v>19.5</v>
      </c>
      <c r="Q2072" s="79">
        <f>VLOOKUP(VLOOKUP(DATEVALUE(TEXT(A2072,"m/d/yyyy")),FY24_Temp[],5,FALSE)&amp;TEXT(A2072,"-h"),TempDelta[],4,FALSE)</f>
        <v>2.012714283806937</v>
      </c>
      <c r="R2072">
        <v>10</v>
      </c>
      <c r="S2072" s="112">
        <v>1500</v>
      </c>
      <c r="T2072" s="5">
        <f>VLOOKUP(TEXT(A2072,"yy-mm")&amp;"-"&amp;IF(AND(WEEKDAY(A2072)&gt;1,WEEKDAY(A2072)&lt;7),"Wkd",TEXT(A2072,"Ddd"))&amp;"-"&amp;TEXT(A2072,"hh"),LoadTable[],3,FALSE)*0.92</f>
        <v>289.05894152419745</v>
      </c>
      <c r="U2072" s="113">
        <f t="shared" si="2212"/>
        <v>28.905894152419744</v>
      </c>
      <c r="V2072">
        <f t="shared" ref="V2072:W2072" si="2237">V2048</f>
        <v>2.9</v>
      </c>
      <c r="W2072">
        <f t="shared" si="2237"/>
        <v>3.1</v>
      </c>
      <c r="X2072" s="9">
        <v>-36.9180130166664</v>
      </c>
      <c r="Y2072" s="39"/>
    </row>
    <row r="2073" spans="1:25" ht="15" thickBot="1">
      <c r="A2073" s="149">
        <f t="shared" si="2194"/>
        <v>45922.249999996959</v>
      </c>
      <c r="B2073" s="30">
        <f t="shared" si="2221"/>
        <v>8000</v>
      </c>
      <c r="C2073" s="8">
        <v>25000</v>
      </c>
      <c r="D2073" s="187">
        <v>0</v>
      </c>
      <c r="E2073" s="187">
        <v>700</v>
      </c>
      <c r="F2073" s="187">
        <v>15000</v>
      </c>
      <c r="G2073" s="30">
        <f t="shared" si="2222"/>
        <v>2400</v>
      </c>
      <c r="H2073" s="8">
        <v>25000</v>
      </c>
      <c r="I2073" s="30">
        <f t="shared" si="2223"/>
        <v>8000</v>
      </c>
      <c r="J2073" s="187">
        <v>40000</v>
      </c>
      <c r="K2073" s="30">
        <f t="shared" si="2224"/>
        <v>8000</v>
      </c>
      <c r="L2073" s="187">
        <v>40000</v>
      </c>
      <c r="M2073" s="110">
        <v>9.5</v>
      </c>
      <c r="N2073" s="9">
        <f>VLOOKUP(DATE(YEAR(A2073),MONTH(A2073),DAY(A2073)),FY24_Temp[],3,FALSE)</f>
        <v>16.8</v>
      </c>
      <c r="O2073" s="110">
        <f t="shared" si="2210"/>
        <v>11.5</v>
      </c>
      <c r="P2073" s="110">
        <f t="shared" si="2211"/>
        <v>19.5</v>
      </c>
      <c r="Q2073" s="79">
        <f>VLOOKUP(VLOOKUP(DATEVALUE(TEXT(A2073,"m/d/yyyy")),FY24_Temp[],5,FALSE)&amp;TEXT(A2073,"-h"),TempDelta[],4,FALSE)</f>
        <v>1.9665714332035609</v>
      </c>
      <c r="R2073">
        <v>10</v>
      </c>
      <c r="S2073" s="112">
        <v>1500</v>
      </c>
      <c r="T2073" s="5">
        <f>VLOOKUP(TEXT(A2073,"yy-mm")&amp;"-"&amp;IF(AND(WEEKDAY(A2073)&gt;1,WEEKDAY(A2073)&lt;7),"Wkd",TEXT(A2073,"Ddd"))&amp;"-"&amp;TEXT(A2073,"hh"),LoadTable[],3,FALSE)*0.92</f>
        <v>291.12479999999999</v>
      </c>
      <c r="U2073" s="113">
        <f t="shared" si="2212"/>
        <v>29.112479999999998</v>
      </c>
      <c r="V2073">
        <f t="shared" ref="V2073:W2073" si="2238">V2049</f>
        <v>2.5</v>
      </c>
      <c r="W2073">
        <f t="shared" si="2238"/>
        <v>3.1</v>
      </c>
      <c r="X2073" s="9">
        <v>-36.9958075666664</v>
      </c>
      <c r="Y2073" s="39"/>
    </row>
    <row r="2074" spans="1:25" ht="15" thickBot="1">
      <c r="A2074" s="149">
        <f t="shared" si="2194"/>
        <v>45922.291666663623</v>
      </c>
      <c r="B2074" s="30">
        <f t="shared" si="2221"/>
        <v>8000</v>
      </c>
      <c r="C2074" s="8">
        <v>25000</v>
      </c>
      <c r="D2074" s="187">
        <v>0</v>
      </c>
      <c r="E2074" s="187">
        <v>700</v>
      </c>
      <c r="F2074" s="187">
        <v>15000</v>
      </c>
      <c r="G2074" s="30">
        <f t="shared" si="2222"/>
        <v>2400</v>
      </c>
      <c r="H2074" s="8">
        <v>25000</v>
      </c>
      <c r="I2074" s="30">
        <f t="shared" si="2223"/>
        <v>8000</v>
      </c>
      <c r="J2074" s="187">
        <v>40000</v>
      </c>
      <c r="K2074" s="30">
        <f t="shared" si="2224"/>
        <v>8000</v>
      </c>
      <c r="L2074" s="187">
        <v>40000</v>
      </c>
      <c r="M2074" s="110">
        <v>9.5</v>
      </c>
      <c r="N2074" s="9">
        <f>VLOOKUP(DATE(YEAR(A2074),MONTH(A2074),DAY(A2074)),FY24_Temp[],3,FALSE)</f>
        <v>16.8</v>
      </c>
      <c r="O2074" s="110">
        <f t="shared" si="2210"/>
        <v>11.5</v>
      </c>
      <c r="P2074" s="110">
        <f t="shared" si="2211"/>
        <v>19.5</v>
      </c>
      <c r="Q2074" s="79">
        <f>VLOOKUP(VLOOKUP(DATEVALUE(TEXT(A2074,"m/d/yyyy")),FY24_Temp[],5,FALSE)&amp;TEXT(A2074,"-h"),TempDelta[],4,FALSE)</f>
        <v>1.8381428548267909</v>
      </c>
      <c r="R2074">
        <v>10</v>
      </c>
      <c r="S2074" s="112">
        <v>1500</v>
      </c>
      <c r="T2074" s="5">
        <f>VLOOKUP(TEXT(A2074,"yy-mm")&amp;"-"&amp;IF(AND(WEEKDAY(A2074)&gt;1,WEEKDAY(A2074)&lt;7),"Wkd",TEXT(A2074,"Ddd"))&amp;"-"&amp;TEXT(A2074,"hh"),LoadTable[],3,FALSE)*0.92</f>
        <v>291.12479999999999</v>
      </c>
      <c r="U2074" s="113">
        <f t="shared" si="2212"/>
        <v>29.112479999999998</v>
      </c>
      <c r="V2074">
        <f t="shared" ref="V2074:W2074" si="2239">V2050</f>
        <v>2.5</v>
      </c>
      <c r="W2074">
        <f t="shared" si="2239"/>
        <v>3.1</v>
      </c>
      <c r="X2074" s="9">
        <v>-37.0736021166664</v>
      </c>
      <c r="Y2074" s="39"/>
    </row>
    <row r="2075" spans="1:25" ht="15" thickBot="1">
      <c r="A2075" s="149">
        <f t="shared" si="2194"/>
        <v>45922.333333330287</v>
      </c>
      <c r="B2075" s="30">
        <f t="shared" si="2221"/>
        <v>8000</v>
      </c>
      <c r="C2075" s="8">
        <v>25000</v>
      </c>
      <c r="D2075" s="187">
        <v>0</v>
      </c>
      <c r="E2075" s="187">
        <v>700</v>
      </c>
      <c r="F2075" s="187">
        <v>15000</v>
      </c>
      <c r="G2075" s="30">
        <f t="shared" si="2222"/>
        <v>2400</v>
      </c>
      <c r="H2075" s="8">
        <v>25000</v>
      </c>
      <c r="I2075" s="30">
        <f t="shared" si="2223"/>
        <v>8000</v>
      </c>
      <c r="J2075" s="187">
        <v>40000</v>
      </c>
      <c r="K2075" s="30">
        <f t="shared" si="2224"/>
        <v>8000</v>
      </c>
      <c r="L2075" s="187">
        <v>40000</v>
      </c>
      <c r="M2075" s="110">
        <v>9.5</v>
      </c>
      <c r="N2075" s="9">
        <f>VLOOKUP(DATE(YEAR(A2075),MONTH(A2075),DAY(A2075)),FY24_Temp[],3,FALSE)</f>
        <v>16.8</v>
      </c>
      <c r="O2075" s="110">
        <f t="shared" si="2210"/>
        <v>11.5</v>
      </c>
      <c r="P2075" s="110">
        <f t="shared" si="2211"/>
        <v>19.5</v>
      </c>
      <c r="Q2075" s="79">
        <f>VLOOKUP(VLOOKUP(DATEVALUE(TEXT(A2075,"m/d/yyyy")),FY24_Temp[],5,FALSE)&amp;TEXT(A2075,"-h"),TempDelta[],4,FALSE)</f>
        <v>1.6827142919812883</v>
      </c>
      <c r="R2075">
        <v>10</v>
      </c>
      <c r="S2075" s="112">
        <v>1500</v>
      </c>
      <c r="T2075" s="5">
        <f>VLOOKUP(TEXT(A2075,"yy-mm")&amp;"-"&amp;IF(AND(WEEKDAY(A2075)&gt;1,WEEKDAY(A2075)&lt;7),"Wkd",TEXT(A2075,"Ddd"))&amp;"-"&amp;TEXT(A2075,"hh"),LoadTable[],3,FALSE)*0.92</f>
        <v>291.12479999999999</v>
      </c>
      <c r="U2075" s="113">
        <f t="shared" si="2212"/>
        <v>29.112479999999998</v>
      </c>
      <c r="V2075">
        <f t="shared" ref="V2075:W2075" si="2240">V2051</f>
        <v>3.2</v>
      </c>
      <c r="W2075">
        <f t="shared" si="2240"/>
        <v>3</v>
      </c>
      <c r="X2075" s="9">
        <v>-37.1513966666664</v>
      </c>
      <c r="Y2075" s="39"/>
    </row>
    <row r="2076" spans="1:25" ht="15" thickBot="1">
      <c r="A2076" s="149">
        <f t="shared" si="2194"/>
        <v>45922.374999996951</v>
      </c>
      <c r="B2076" s="30">
        <f t="shared" si="2221"/>
        <v>8000</v>
      </c>
      <c r="C2076" s="8">
        <v>25000</v>
      </c>
      <c r="D2076" s="187">
        <v>0</v>
      </c>
      <c r="E2076" s="187">
        <v>700</v>
      </c>
      <c r="F2076" s="187">
        <v>15000</v>
      </c>
      <c r="G2076" s="30">
        <f t="shared" si="2222"/>
        <v>2400</v>
      </c>
      <c r="H2076" s="8">
        <v>25000</v>
      </c>
      <c r="I2076" s="30">
        <f t="shared" si="2223"/>
        <v>8000</v>
      </c>
      <c r="J2076" s="187">
        <v>40000</v>
      </c>
      <c r="K2076" s="30">
        <f t="shared" si="2224"/>
        <v>8000</v>
      </c>
      <c r="L2076" s="187">
        <v>40000</v>
      </c>
      <c r="M2076" s="110">
        <v>9.5</v>
      </c>
      <c r="N2076" s="9">
        <f>VLOOKUP(DATE(YEAR(A2076),MONTH(A2076),DAY(A2076)),FY24_Temp[],3,FALSE)</f>
        <v>16.8</v>
      </c>
      <c r="O2076" s="110">
        <f t="shared" si="2210"/>
        <v>11.5</v>
      </c>
      <c r="P2076" s="110">
        <f t="shared" si="2211"/>
        <v>19.5</v>
      </c>
      <c r="Q2076" s="79">
        <f>VLOOKUP(VLOOKUP(DATEVALUE(TEXT(A2076,"m/d/yyyy")),FY24_Temp[],5,FALSE)&amp;TEXT(A2076,"-h"),TempDelta[],4,FALSE)</f>
        <v>1.5467142888477869</v>
      </c>
      <c r="R2076">
        <v>10</v>
      </c>
      <c r="S2076" s="112">
        <v>1500</v>
      </c>
      <c r="T2076" s="5">
        <f>VLOOKUP(TEXT(A2076,"yy-mm")&amp;"-"&amp;IF(AND(WEEKDAY(A2076)&gt;1,WEEKDAY(A2076)&lt;7),"Wkd",TEXT(A2076,"Ddd"))&amp;"-"&amp;TEXT(A2076,"hh"),LoadTable[],3,FALSE)*0.92</f>
        <v>291.12479999999999</v>
      </c>
      <c r="U2076" s="113">
        <f t="shared" si="2212"/>
        <v>29.112479999999998</v>
      </c>
      <c r="V2076">
        <f t="shared" ref="V2076:W2076" si="2241">V2052</f>
        <v>2.9</v>
      </c>
      <c r="W2076">
        <f t="shared" si="2241"/>
        <v>3</v>
      </c>
      <c r="X2076" s="9">
        <v>-37.229191216666401</v>
      </c>
      <c r="Y2076" s="39"/>
    </row>
    <row r="2077" spans="1:25" ht="15" thickBot="1">
      <c r="A2077" s="149">
        <f t="shared" si="2194"/>
        <v>45922.416666663616</v>
      </c>
      <c r="B2077" s="30">
        <f t="shared" si="2221"/>
        <v>8000</v>
      </c>
      <c r="C2077" s="8">
        <v>25000</v>
      </c>
      <c r="D2077" s="187">
        <v>0</v>
      </c>
      <c r="E2077" s="187">
        <v>700</v>
      </c>
      <c r="F2077" s="187">
        <v>15000</v>
      </c>
      <c r="G2077" s="30">
        <f t="shared" si="2222"/>
        <v>2400</v>
      </c>
      <c r="H2077" s="8">
        <v>25000</v>
      </c>
      <c r="I2077" s="30">
        <f t="shared" si="2223"/>
        <v>8000</v>
      </c>
      <c r="J2077" s="187">
        <v>40000</v>
      </c>
      <c r="K2077" s="30">
        <f t="shared" si="2224"/>
        <v>8000</v>
      </c>
      <c r="L2077" s="187">
        <v>40000</v>
      </c>
      <c r="M2077" s="110">
        <v>9.5</v>
      </c>
      <c r="N2077" s="9">
        <f>VLOOKUP(DATE(YEAR(A2077),MONTH(A2077),DAY(A2077)),FY24_Temp[],3,FALSE)</f>
        <v>16.8</v>
      </c>
      <c r="O2077" s="110">
        <f t="shared" si="2210"/>
        <v>11.5</v>
      </c>
      <c r="P2077" s="110">
        <f t="shared" si="2211"/>
        <v>19.5</v>
      </c>
      <c r="Q2077" s="79">
        <f>VLOOKUP(VLOOKUP(DATEVALUE(TEXT(A2077,"m/d/yyyy")),FY24_Temp[],5,FALSE)&amp;TEXT(A2077,"-h"),TempDelta[],4,FALSE)</f>
        <v>1.4074285881859916</v>
      </c>
      <c r="R2077">
        <v>10</v>
      </c>
      <c r="S2077" s="112">
        <v>1500</v>
      </c>
      <c r="T2077" s="5">
        <f>VLOOKUP(TEXT(A2077,"yy-mm")&amp;"-"&amp;IF(AND(WEEKDAY(A2077)&gt;1,WEEKDAY(A2077)&lt;7),"Wkd",TEXT(A2077,"Ddd"))&amp;"-"&amp;TEXT(A2077,"hh"),LoadTable[],3,FALSE)*0.92</f>
        <v>290.74956158350585</v>
      </c>
      <c r="U2077" s="113">
        <f t="shared" si="2212"/>
        <v>29.074956158350584</v>
      </c>
      <c r="V2077">
        <f t="shared" ref="V2077:W2077" si="2242">V2053</f>
        <v>2.9</v>
      </c>
      <c r="W2077">
        <f t="shared" si="2242"/>
        <v>3</v>
      </c>
      <c r="X2077" s="9">
        <v>-37.306985766666401</v>
      </c>
      <c r="Y2077" s="39"/>
    </row>
    <row r="2078" spans="1:25" ht="15" thickBot="1">
      <c r="A2078" s="149">
        <f t="shared" si="2194"/>
        <v>45922.45833333028</v>
      </c>
      <c r="B2078" s="30">
        <f t="shared" si="2221"/>
        <v>8000</v>
      </c>
      <c r="C2078" s="8">
        <v>25000</v>
      </c>
      <c r="D2078" s="187">
        <v>0</v>
      </c>
      <c r="E2078" s="187">
        <v>700</v>
      </c>
      <c r="F2078" s="187">
        <v>15000</v>
      </c>
      <c r="G2078" s="30">
        <f t="shared" si="2222"/>
        <v>2400</v>
      </c>
      <c r="H2078" s="8">
        <v>25000</v>
      </c>
      <c r="I2078" s="30">
        <f t="shared" si="2223"/>
        <v>8000</v>
      </c>
      <c r="J2078" s="187">
        <v>40000</v>
      </c>
      <c r="K2078" s="30">
        <f t="shared" si="2224"/>
        <v>8000</v>
      </c>
      <c r="L2078" s="187">
        <v>40000</v>
      </c>
      <c r="M2078" s="110">
        <v>9.5</v>
      </c>
      <c r="N2078" s="9">
        <f>VLOOKUP(DATE(YEAR(A2078),MONTH(A2078),DAY(A2078)),FY24_Temp[],3,FALSE)</f>
        <v>16.8</v>
      </c>
      <c r="O2078" s="110">
        <f t="shared" si="2210"/>
        <v>11.5</v>
      </c>
      <c r="P2078" s="110">
        <f t="shared" si="2211"/>
        <v>19.5</v>
      </c>
      <c r="Q2078" s="79">
        <f>VLOOKUP(VLOOKUP(DATEVALUE(TEXT(A2078,"m/d/yyyy")),FY24_Temp[],5,FALSE)&amp;TEXT(A2078,"-h"),TempDelta[],4,FALSE)</f>
        <v>1.2401428733553206</v>
      </c>
      <c r="R2078">
        <v>10</v>
      </c>
      <c r="S2078" s="112">
        <v>1500</v>
      </c>
      <c r="T2078" s="5">
        <f>VLOOKUP(TEXT(A2078,"yy-mm")&amp;"-"&amp;IF(AND(WEEKDAY(A2078)&gt;1,WEEKDAY(A2078)&lt;7),"Wkd",TEXT(A2078,"Ddd"))&amp;"-"&amp;TEXT(A2078,"hh"),LoadTable[],3,FALSE)*0.92</f>
        <v>290.74956158350585</v>
      </c>
      <c r="U2078" s="113">
        <f t="shared" si="2212"/>
        <v>29.074956158350584</v>
      </c>
      <c r="V2078">
        <f t="shared" ref="V2078:W2078" si="2243">V2054</f>
        <v>3.4</v>
      </c>
      <c r="W2078">
        <f t="shared" si="2243"/>
        <v>3</v>
      </c>
      <c r="X2078" s="9">
        <v>-37.384780316666401</v>
      </c>
      <c r="Y2078" s="39"/>
    </row>
    <row r="2079" spans="1:25" ht="15" thickBot="1">
      <c r="A2079" s="149">
        <f t="shared" si="2194"/>
        <v>45922.499999996944</v>
      </c>
      <c r="B2079" s="30">
        <f t="shared" si="2221"/>
        <v>8000</v>
      </c>
      <c r="C2079" s="8">
        <v>25000</v>
      </c>
      <c r="D2079" s="187">
        <v>0</v>
      </c>
      <c r="E2079" s="187">
        <v>700</v>
      </c>
      <c r="F2079" s="187">
        <v>15000</v>
      </c>
      <c r="G2079" s="30">
        <f t="shared" si="2222"/>
        <v>2400</v>
      </c>
      <c r="H2079" s="8">
        <v>25000</v>
      </c>
      <c r="I2079" s="30">
        <f t="shared" si="2223"/>
        <v>8000</v>
      </c>
      <c r="J2079" s="187">
        <v>40000</v>
      </c>
      <c r="K2079" s="30">
        <f t="shared" si="2224"/>
        <v>8000</v>
      </c>
      <c r="L2079" s="187">
        <v>40000</v>
      </c>
      <c r="M2079" s="110">
        <v>9.5</v>
      </c>
      <c r="N2079" s="9">
        <f>VLOOKUP(DATE(YEAR(A2079),MONTH(A2079),DAY(A2079)),FY24_Temp[],3,FALSE)</f>
        <v>16.8</v>
      </c>
      <c r="O2079" s="110">
        <f t="shared" si="2210"/>
        <v>11.5</v>
      </c>
      <c r="P2079" s="110">
        <f t="shared" si="2211"/>
        <v>19.5</v>
      </c>
      <c r="Q2079" s="79">
        <f>VLOOKUP(VLOOKUP(DATEVALUE(TEXT(A2079,"m/d/yyyy")),FY24_Temp[],5,FALSE)&amp;TEXT(A2079,"-h"),TempDelta[],4,FALSE)</f>
        <v>1.0797142812183924</v>
      </c>
      <c r="R2079">
        <v>10</v>
      </c>
      <c r="S2079" s="112">
        <v>1500</v>
      </c>
      <c r="T2079" s="5">
        <f>VLOOKUP(TEXT(A2079,"yy-mm")&amp;"-"&amp;IF(AND(WEEKDAY(A2079)&gt;1,WEEKDAY(A2079)&lt;7),"Wkd",TEXT(A2079,"Ddd"))&amp;"-"&amp;TEXT(A2079,"hh"),LoadTable[],3,FALSE)*0.92</f>
        <v>290.74956158350585</v>
      </c>
      <c r="U2079" s="113">
        <f t="shared" si="2212"/>
        <v>29.074956158350584</v>
      </c>
      <c r="V2079">
        <f t="shared" ref="V2079:W2079" si="2244">V2055</f>
        <v>3.1</v>
      </c>
      <c r="W2079">
        <f t="shared" si="2244"/>
        <v>2.9</v>
      </c>
      <c r="X2079" s="9">
        <v>-37.462574866666401</v>
      </c>
      <c r="Y2079" s="39"/>
    </row>
    <row r="2080" spans="1:25" ht="15" thickBot="1">
      <c r="A2080" s="149">
        <f t="shared" si="2194"/>
        <v>45922.541666663608</v>
      </c>
      <c r="B2080" s="30">
        <f t="shared" si="2221"/>
        <v>8000</v>
      </c>
      <c r="C2080" s="8">
        <v>25000</v>
      </c>
      <c r="D2080" s="187">
        <v>0</v>
      </c>
      <c r="E2080" s="187">
        <v>700</v>
      </c>
      <c r="F2080" s="187">
        <v>15000</v>
      </c>
      <c r="G2080" s="30">
        <f t="shared" si="2222"/>
        <v>2400</v>
      </c>
      <c r="H2080" s="8">
        <v>25000</v>
      </c>
      <c r="I2080" s="30">
        <f t="shared" si="2223"/>
        <v>8000</v>
      </c>
      <c r="J2080" s="187">
        <v>40000</v>
      </c>
      <c r="K2080" s="30">
        <f t="shared" si="2224"/>
        <v>8000</v>
      </c>
      <c r="L2080" s="187">
        <v>40000</v>
      </c>
      <c r="M2080" s="110">
        <v>9.5</v>
      </c>
      <c r="N2080" s="9">
        <f>VLOOKUP(DATE(YEAR(A2080),MONTH(A2080),DAY(A2080)),FY24_Temp[],3,FALSE)</f>
        <v>16.8</v>
      </c>
      <c r="O2080" s="110">
        <f t="shared" si="2210"/>
        <v>11.5</v>
      </c>
      <c r="P2080" s="110">
        <f t="shared" si="2211"/>
        <v>19.5</v>
      </c>
      <c r="Q2080" s="79">
        <f>VLOOKUP(VLOOKUP(DATEVALUE(TEXT(A2080,"m/d/yyyy")),FY24_Temp[],5,FALSE)&amp;TEXT(A2080,"-h"),TempDelta[],4,FALSE)</f>
        <v>0.92499999489103046</v>
      </c>
      <c r="R2080">
        <v>10</v>
      </c>
      <c r="S2080" s="112">
        <v>1500</v>
      </c>
      <c r="T2080" s="5">
        <f>VLOOKUP(TEXT(A2080,"yy-mm")&amp;"-"&amp;IF(AND(WEEKDAY(A2080)&gt;1,WEEKDAY(A2080)&lt;7),"Wkd",TEXT(A2080,"Ddd"))&amp;"-"&amp;TEXT(A2080,"hh"),LoadTable[],3,FALSE)*0.92</f>
        <v>290.72204920255348</v>
      </c>
      <c r="U2080" s="113">
        <f t="shared" si="2212"/>
        <v>29.072204920255349</v>
      </c>
      <c r="V2080">
        <f t="shared" ref="V2080:W2080" si="2245">V2056</f>
        <v>3.2</v>
      </c>
      <c r="W2080">
        <f t="shared" si="2245"/>
        <v>2.9</v>
      </c>
      <c r="X2080" s="9">
        <v>-37.540369416666401</v>
      </c>
      <c r="Y2080" s="39"/>
    </row>
    <row r="2081" spans="1:25" ht="15" thickBot="1">
      <c r="A2081" s="149">
        <f t="shared" si="2194"/>
        <v>45922.583333330273</v>
      </c>
      <c r="B2081" s="30">
        <f t="shared" si="2221"/>
        <v>8000</v>
      </c>
      <c r="C2081" s="8">
        <v>25000</v>
      </c>
      <c r="D2081" s="187">
        <v>0</v>
      </c>
      <c r="E2081" s="187">
        <v>700</v>
      </c>
      <c r="F2081" s="187">
        <v>15000</v>
      </c>
      <c r="G2081" s="30">
        <f t="shared" si="2222"/>
        <v>2400</v>
      </c>
      <c r="H2081" s="8">
        <v>25000</v>
      </c>
      <c r="I2081" s="30">
        <f t="shared" si="2223"/>
        <v>8000</v>
      </c>
      <c r="J2081" s="187">
        <v>40000</v>
      </c>
      <c r="K2081" s="30">
        <f t="shared" si="2224"/>
        <v>8000</v>
      </c>
      <c r="L2081" s="187">
        <v>40000</v>
      </c>
      <c r="M2081" s="110">
        <v>9.5</v>
      </c>
      <c r="N2081" s="9">
        <f>VLOOKUP(DATE(YEAR(A2081),MONTH(A2081),DAY(A2081)),FY24_Temp[],3,FALSE)</f>
        <v>16.8</v>
      </c>
      <c r="O2081" s="110">
        <f t="shared" si="2210"/>
        <v>11.5</v>
      </c>
      <c r="P2081" s="110">
        <f t="shared" si="2211"/>
        <v>19.5</v>
      </c>
      <c r="Q2081" s="79">
        <f>VLOOKUP(VLOOKUP(DATEVALUE(TEXT(A2081,"m/d/yyyy")),FY24_Temp[],5,FALSE)&amp;TEXT(A2081,"-h"),TempDelta[],4,FALSE)</f>
        <v>0.77985713311604088</v>
      </c>
      <c r="R2081">
        <v>10</v>
      </c>
      <c r="S2081" s="112">
        <v>1500</v>
      </c>
      <c r="T2081" s="5">
        <f>VLOOKUP(TEXT(A2081,"yy-mm")&amp;"-"&amp;IF(AND(WEEKDAY(A2081)&gt;1,WEEKDAY(A2081)&lt;7),"Wkd",TEXT(A2081,"Ddd"))&amp;"-"&amp;TEXT(A2081,"hh"),LoadTable[],3,FALSE)*0.92</f>
        <v>363.28132000000005</v>
      </c>
      <c r="U2081" s="113">
        <f t="shared" si="2212"/>
        <v>36.328132000000004</v>
      </c>
      <c r="V2081">
        <f t="shared" ref="V2081:W2081" si="2246">V2057</f>
        <v>3.5</v>
      </c>
      <c r="W2081">
        <f t="shared" si="2246"/>
        <v>2.9</v>
      </c>
      <c r="X2081" s="9">
        <v>-37.618163966666401</v>
      </c>
      <c r="Y2081" s="39"/>
    </row>
    <row r="2082" spans="1:25" ht="15" thickBot="1">
      <c r="A2082" s="149">
        <f t="shared" si="2194"/>
        <v>45922.624999996937</v>
      </c>
      <c r="B2082" s="30">
        <f t="shared" si="2221"/>
        <v>8000</v>
      </c>
      <c r="C2082" s="8">
        <v>25000</v>
      </c>
      <c r="D2082" s="187">
        <v>0</v>
      </c>
      <c r="E2082" s="187">
        <v>700</v>
      </c>
      <c r="F2082" s="187">
        <v>15000</v>
      </c>
      <c r="G2082" s="30">
        <f t="shared" si="2222"/>
        <v>2400</v>
      </c>
      <c r="H2082" s="8">
        <v>25000</v>
      </c>
      <c r="I2082" s="30">
        <f t="shared" si="2223"/>
        <v>8000</v>
      </c>
      <c r="J2082" s="187">
        <v>40000</v>
      </c>
      <c r="K2082" s="30">
        <f t="shared" si="2224"/>
        <v>8000</v>
      </c>
      <c r="L2082" s="187">
        <v>40000</v>
      </c>
      <c r="M2082" s="110">
        <v>9.5</v>
      </c>
      <c r="N2082" s="9">
        <f>VLOOKUP(DATE(YEAR(A2082),MONTH(A2082),DAY(A2082)),FY24_Temp[],3,FALSE)</f>
        <v>16.8</v>
      </c>
      <c r="O2082" s="110">
        <f t="shared" si="2210"/>
        <v>11.5</v>
      </c>
      <c r="P2082" s="110">
        <f t="shared" si="2211"/>
        <v>19.5</v>
      </c>
      <c r="Q2082" s="79">
        <f>VLOOKUP(VLOOKUP(DATEVALUE(TEXT(A2082,"m/d/yyyy")),FY24_Temp[],5,FALSE)&amp;TEXT(A2082,"-h"),TempDelta[],4,FALSE)</f>
        <v>0.30699999923152582</v>
      </c>
      <c r="R2082">
        <v>10</v>
      </c>
      <c r="S2082" s="112">
        <v>1500</v>
      </c>
      <c r="T2082" s="5">
        <f>VLOOKUP(TEXT(A2082,"yy-mm")&amp;"-"&amp;IF(AND(WEEKDAY(A2082)&gt;1,WEEKDAY(A2082)&lt;7),"Wkd",TEXT(A2082,"Ddd"))&amp;"-"&amp;TEXT(A2082,"hh"),LoadTable[],3,FALSE)*0.92</f>
        <v>570.3300004440199</v>
      </c>
      <c r="U2082" s="113">
        <f t="shared" si="2212"/>
        <v>57.033000044401987</v>
      </c>
      <c r="V2082">
        <f t="shared" ref="V2082:W2082" si="2247">V2058</f>
        <v>3.2</v>
      </c>
      <c r="W2082">
        <f t="shared" si="2247"/>
        <v>2.9</v>
      </c>
      <c r="X2082" s="9">
        <v>-37.695958516666401</v>
      </c>
      <c r="Y2082" s="39"/>
    </row>
    <row r="2083" spans="1:25" ht="15" thickBot="1">
      <c r="A2083" s="149">
        <f t="shared" si="2194"/>
        <v>45922.666666663601</v>
      </c>
      <c r="B2083" s="30">
        <f t="shared" si="2221"/>
        <v>8000</v>
      </c>
      <c r="C2083" s="8">
        <v>25000</v>
      </c>
      <c r="D2083" s="187">
        <v>0</v>
      </c>
      <c r="E2083" s="187">
        <v>700</v>
      </c>
      <c r="F2083" s="187">
        <v>15000</v>
      </c>
      <c r="G2083" s="30">
        <f t="shared" si="2222"/>
        <v>2400</v>
      </c>
      <c r="H2083" s="8">
        <v>25000</v>
      </c>
      <c r="I2083" s="30">
        <f t="shared" si="2223"/>
        <v>8000</v>
      </c>
      <c r="J2083" s="187">
        <v>40000</v>
      </c>
      <c r="K2083" s="30">
        <f t="shared" si="2224"/>
        <v>8000</v>
      </c>
      <c r="L2083" s="187">
        <v>40000</v>
      </c>
      <c r="M2083" s="110">
        <v>9.5</v>
      </c>
      <c r="N2083" s="9">
        <f>VLOOKUP(DATE(YEAR(A2083),MONTH(A2083),DAY(A2083)),FY24_Temp[],3,FALSE)</f>
        <v>16.8</v>
      </c>
      <c r="O2083" s="110">
        <f t="shared" si="2210"/>
        <v>11.5</v>
      </c>
      <c r="P2083" s="110">
        <f t="shared" si="2211"/>
        <v>19.5</v>
      </c>
      <c r="Q2083" s="79">
        <f>VLOOKUP(VLOOKUP(DATEVALUE(TEXT(A2083,"m/d/yyyy")),FY24_Temp[],5,FALSE)&amp;TEXT(A2083,"-h"),TempDelta[],4,FALSE)</f>
        <v>0.38057142476152095</v>
      </c>
      <c r="R2083">
        <v>10</v>
      </c>
      <c r="S2083" s="112">
        <v>1500</v>
      </c>
      <c r="T2083" s="5">
        <f>VLOOKUP(TEXT(A2083,"yy-mm")&amp;"-"&amp;IF(AND(WEEKDAY(A2083)&gt;1,WEEKDAY(A2083)&lt;7),"Wkd",TEXT(A2083,"Ddd"))&amp;"-"&amp;TEXT(A2083,"hh"),LoadTable[],3,FALSE)*0.92</f>
        <v>602.16876690131596</v>
      </c>
      <c r="U2083" s="113">
        <f t="shared" si="2212"/>
        <v>60.216876690131599</v>
      </c>
      <c r="V2083">
        <f t="shared" ref="V2083:W2083" si="2248">V2059</f>
        <v>3.5</v>
      </c>
      <c r="W2083">
        <f t="shared" si="2248"/>
        <v>3</v>
      </c>
      <c r="X2083" s="9">
        <v>-37.773753066666401</v>
      </c>
      <c r="Y2083" s="39"/>
    </row>
    <row r="2084" spans="1:25" ht="15" thickBot="1">
      <c r="A2084" s="149">
        <f t="shared" si="2194"/>
        <v>45922.708333330265</v>
      </c>
      <c r="B2084" s="30">
        <f t="shared" si="2221"/>
        <v>8000</v>
      </c>
      <c r="C2084" s="8">
        <v>25000</v>
      </c>
      <c r="D2084" s="187">
        <v>0</v>
      </c>
      <c r="E2084" s="187">
        <v>700</v>
      </c>
      <c r="F2084" s="187">
        <v>15000</v>
      </c>
      <c r="G2084" s="30">
        <f t="shared" si="2222"/>
        <v>2400</v>
      </c>
      <c r="H2084" s="8">
        <v>25000</v>
      </c>
      <c r="I2084" s="30">
        <f t="shared" si="2223"/>
        <v>8000</v>
      </c>
      <c r="J2084" s="187">
        <v>40000</v>
      </c>
      <c r="K2084" s="30">
        <f t="shared" si="2224"/>
        <v>8000</v>
      </c>
      <c r="L2084" s="187">
        <v>40000</v>
      </c>
      <c r="M2084" s="110">
        <v>9.5</v>
      </c>
      <c r="N2084" s="9">
        <f>VLOOKUP(DATE(YEAR(A2084),MONTH(A2084),DAY(A2084)),FY24_Temp[],3,FALSE)</f>
        <v>16.8</v>
      </c>
      <c r="O2084" s="110">
        <f t="shared" si="2210"/>
        <v>11.5</v>
      </c>
      <c r="P2084" s="110">
        <f t="shared" si="2211"/>
        <v>19.5</v>
      </c>
      <c r="Q2084" s="79">
        <f>VLOOKUP(VLOOKUP(DATEVALUE(TEXT(A2084,"m/d/yyyy")),FY24_Temp[],5,FALSE)&amp;TEXT(A2084,"-h"),TempDelta[],4,FALSE)</f>
        <v>0.65464284856404575</v>
      </c>
      <c r="R2084">
        <v>10</v>
      </c>
      <c r="S2084" s="112">
        <v>1500</v>
      </c>
      <c r="T2084" s="5">
        <f>VLOOKUP(TEXT(A2084,"yy-mm")&amp;"-"&amp;IF(AND(WEEKDAY(A2084)&gt;1,WEEKDAY(A2084)&lt;7),"Wkd",TEXT(A2084,"Ddd"))&amp;"-"&amp;TEXT(A2084,"hh"),LoadTable[],3,FALSE)*0.92</f>
        <v>602.16876690131596</v>
      </c>
      <c r="U2084" s="113">
        <f t="shared" si="2212"/>
        <v>60.216876690131599</v>
      </c>
      <c r="V2084">
        <f t="shared" ref="V2084:W2084" si="2249">V2060</f>
        <v>3.6</v>
      </c>
      <c r="W2084">
        <f t="shared" si="2249"/>
        <v>3</v>
      </c>
      <c r="X2084" s="9">
        <v>-37.851547616666402</v>
      </c>
      <c r="Y2084" s="39"/>
    </row>
    <row r="2085" spans="1:25" ht="15" thickBot="1">
      <c r="A2085" s="149">
        <f t="shared" si="2194"/>
        <v>45922.74999999693</v>
      </c>
      <c r="B2085" s="30">
        <f t="shared" si="2221"/>
        <v>5000</v>
      </c>
      <c r="C2085" s="8">
        <v>25000</v>
      </c>
      <c r="D2085" s="187">
        <v>0</v>
      </c>
      <c r="E2085" s="187">
        <v>700</v>
      </c>
      <c r="F2085" s="187">
        <v>15000</v>
      </c>
      <c r="G2085" s="30">
        <f t="shared" si="2222"/>
        <v>2400</v>
      </c>
      <c r="H2085" s="8">
        <v>25000</v>
      </c>
      <c r="I2085" s="30">
        <f t="shared" si="2223"/>
        <v>5000</v>
      </c>
      <c r="J2085" s="187">
        <v>40000</v>
      </c>
      <c r="K2085" s="30">
        <f t="shared" si="2224"/>
        <v>5000</v>
      </c>
      <c r="L2085" s="187">
        <v>40000</v>
      </c>
      <c r="M2085" s="110">
        <v>9.5</v>
      </c>
      <c r="N2085" s="9">
        <f>VLOOKUP(DATE(YEAR(A2085),MONTH(A2085),DAY(A2085)),FY24_Temp[],3,FALSE)</f>
        <v>16.8</v>
      </c>
      <c r="O2085" s="110">
        <f t="shared" si="2210"/>
        <v>11.5</v>
      </c>
      <c r="P2085" s="110">
        <f t="shared" si="2211"/>
        <v>19.5</v>
      </c>
      <c r="Q2085" s="79">
        <f>VLOOKUP(VLOOKUP(DATEVALUE(TEXT(A2085,"m/d/yyyy")),FY24_Temp[],5,FALSE)&amp;TEXT(A2085,"-h"),TempDelta[],4,FALSE)</f>
        <v>0.96042857638427193</v>
      </c>
      <c r="R2085">
        <v>10</v>
      </c>
      <c r="S2085" s="112">
        <v>1500</v>
      </c>
      <c r="T2085" s="5">
        <f>VLOOKUP(TEXT(A2085,"yy-mm")&amp;"-"&amp;IF(AND(WEEKDAY(A2085)&gt;1,WEEKDAY(A2085)&lt;7),"Wkd",TEXT(A2085,"Ddd"))&amp;"-"&amp;TEXT(A2085,"hh"),LoadTable[],3,FALSE)*0.92</f>
        <v>602.16876690131596</v>
      </c>
      <c r="U2085" s="113">
        <f t="shared" si="2212"/>
        <v>60.216876690131599</v>
      </c>
      <c r="V2085">
        <f t="shared" ref="V2085:W2085" si="2250">V2061</f>
        <v>2.9</v>
      </c>
      <c r="W2085">
        <f t="shared" si="2250"/>
        <v>3</v>
      </c>
      <c r="X2085" s="9">
        <v>-37.929342166666402</v>
      </c>
      <c r="Y2085" s="39"/>
    </row>
    <row r="2086" spans="1:25" ht="15" thickBot="1">
      <c r="A2086" s="149">
        <f t="shared" si="2194"/>
        <v>45922.791666663594</v>
      </c>
      <c r="B2086" s="30">
        <f t="shared" si="2221"/>
        <v>5000</v>
      </c>
      <c r="C2086" s="8">
        <v>25000</v>
      </c>
      <c r="D2086" s="187">
        <v>0</v>
      </c>
      <c r="E2086" s="187">
        <v>700</v>
      </c>
      <c r="F2086" s="187">
        <v>15000</v>
      </c>
      <c r="G2086" s="30">
        <f t="shared" si="2222"/>
        <v>2400</v>
      </c>
      <c r="H2086" s="8">
        <v>25000</v>
      </c>
      <c r="I2086" s="30">
        <f t="shared" si="2223"/>
        <v>5000</v>
      </c>
      <c r="J2086" s="187">
        <v>40000</v>
      </c>
      <c r="K2086" s="30">
        <f t="shared" si="2224"/>
        <v>5000</v>
      </c>
      <c r="L2086" s="187">
        <v>40000</v>
      </c>
      <c r="M2086" s="110">
        <v>9.5</v>
      </c>
      <c r="N2086" s="9">
        <f>VLOOKUP(DATE(YEAR(A2086),MONTH(A2086),DAY(A2086)),FY24_Temp[],3,FALSE)</f>
        <v>16.8</v>
      </c>
      <c r="O2086" s="110">
        <f t="shared" si="2210"/>
        <v>11.5</v>
      </c>
      <c r="P2086" s="110">
        <f t="shared" si="2211"/>
        <v>19.5</v>
      </c>
      <c r="Q2086" s="79">
        <f>VLOOKUP(VLOOKUP(DATEVALUE(TEXT(A2086,"m/d/yyyy")),FY24_Temp[],5,FALSE)&amp;TEXT(A2086,"-h"),TempDelta[],4,FALSE)</f>
        <v>1.0787142855780465</v>
      </c>
      <c r="R2086">
        <v>10</v>
      </c>
      <c r="S2086" s="112">
        <v>1500</v>
      </c>
      <c r="T2086" s="5">
        <f>VLOOKUP(TEXT(A2086,"yy-mm")&amp;"-"&amp;IF(AND(WEEKDAY(A2086)&gt;1,WEEKDAY(A2086)&lt;7),"Wkd",TEXT(A2086,"Ddd"))&amp;"-"&amp;TEXT(A2086,"hh"),LoadTable[],3,FALSE)*0.92</f>
        <v>600.14662419619219</v>
      </c>
      <c r="U2086" s="113">
        <f t="shared" si="2212"/>
        <v>60.014662419619221</v>
      </c>
      <c r="V2086">
        <f t="shared" ref="V2086:W2086" si="2251">V2062</f>
        <v>3</v>
      </c>
      <c r="W2086">
        <f t="shared" si="2251"/>
        <v>3</v>
      </c>
      <c r="X2086" s="9">
        <v>-38.007136716666402</v>
      </c>
      <c r="Y2086" s="39"/>
    </row>
    <row r="2087" spans="1:25" ht="15" thickBot="1">
      <c r="A2087" s="149">
        <f t="shared" si="2194"/>
        <v>45922.833333330258</v>
      </c>
      <c r="B2087" s="30">
        <f t="shared" si="2221"/>
        <v>5000</v>
      </c>
      <c r="C2087" s="8">
        <v>25000</v>
      </c>
      <c r="D2087" s="187">
        <v>0</v>
      </c>
      <c r="E2087" s="187">
        <v>700</v>
      </c>
      <c r="F2087" s="187">
        <v>15000</v>
      </c>
      <c r="G2087" s="30">
        <f t="shared" si="2222"/>
        <v>2400</v>
      </c>
      <c r="H2087" s="8">
        <v>25000</v>
      </c>
      <c r="I2087" s="30">
        <f t="shared" si="2223"/>
        <v>5000</v>
      </c>
      <c r="J2087" s="187">
        <v>40000</v>
      </c>
      <c r="K2087" s="30">
        <f t="shared" si="2224"/>
        <v>5000</v>
      </c>
      <c r="L2087" s="187">
        <v>40000</v>
      </c>
      <c r="M2087" s="110">
        <v>9.5</v>
      </c>
      <c r="N2087" s="9">
        <f>VLOOKUP(DATE(YEAR(A2087),MONTH(A2087),DAY(A2087)),FY24_Temp[],3,FALSE)</f>
        <v>16.8</v>
      </c>
      <c r="O2087" s="110">
        <f t="shared" si="2210"/>
        <v>11.5</v>
      </c>
      <c r="P2087" s="110">
        <f t="shared" si="2211"/>
        <v>19.5</v>
      </c>
      <c r="Q2087" s="79">
        <f>VLOOKUP(VLOOKUP(DATEVALUE(TEXT(A2087,"m/d/yyyy")),FY24_Temp[],5,FALSE)&amp;TEXT(A2087,"-h"),TempDelta[],4,FALSE)</f>
        <v>1.1579285774912154</v>
      </c>
      <c r="R2087">
        <v>10</v>
      </c>
      <c r="S2087" s="112">
        <v>1500</v>
      </c>
      <c r="T2087" s="5">
        <f>VLOOKUP(TEXT(A2087,"yy-mm")&amp;"-"&amp;IF(AND(WEEKDAY(A2087)&gt;1,WEEKDAY(A2087)&lt;7),"Wkd",TEXT(A2087,"Ddd"))&amp;"-"&amp;TEXT(A2087,"hh"),LoadTable[],3,FALSE)*0.92</f>
        <v>600.14662419619219</v>
      </c>
      <c r="U2087" s="113">
        <f t="shared" si="2212"/>
        <v>60.014662419619221</v>
      </c>
      <c r="V2087">
        <f t="shared" ref="V2087:W2087" si="2252">V2063</f>
        <v>2.8</v>
      </c>
      <c r="W2087">
        <f t="shared" si="2252"/>
        <v>3.1</v>
      </c>
      <c r="X2087" s="9">
        <v>-38.084931266666402</v>
      </c>
      <c r="Y2087" s="39"/>
    </row>
    <row r="2088" spans="1:25" ht="15" thickBot="1">
      <c r="A2088" s="149">
        <f t="shared" si="2194"/>
        <v>45922.874999996922</v>
      </c>
      <c r="B2088" s="30">
        <f t="shared" si="2221"/>
        <v>5000</v>
      </c>
      <c r="C2088" s="8">
        <v>25000</v>
      </c>
      <c r="D2088" s="187">
        <v>0</v>
      </c>
      <c r="E2088" s="187">
        <v>700</v>
      </c>
      <c r="F2088" s="187">
        <v>15000</v>
      </c>
      <c r="G2088" s="30">
        <f t="shared" si="2222"/>
        <v>2400</v>
      </c>
      <c r="H2088" s="8">
        <v>25000</v>
      </c>
      <c r="I2088" s="30">
        <f t="shared" si="2223"/>
        <v>5000</v>
      </c>
      <c r="J2088" s="187">
        <v>40000</v>
      </c>
      <c r="K2088" s="30">
        <f t="shared" si="2224"/>
        <v>5000</v>
      </c>
      <c r="L2088" s="187">
        <v>40000</v>
      </c>
      <c r="M2088" s="110">
        <v>9.5</v>
      </c>
      <c r="N2088" s="9">
        <f>VLOOKUP(DATE(YEAR(A2088),MONTH(A2088),DAY(A2088)),FY24_Temp[],3,FALSE)</f>
        <v>16.8</v>
      </c>
      <c r="O2088" s="110">
        <f t="shared" si="2210"/>
        <v>11.5</v>
      </c>
      <c r="P2088" s="110">
        <f t="shared" si="2211"/>
        <v>19.5</v>
      </c>
      <c r="Q2088" s="79">
        <f>VLOOKUP(VLOOKUP(DATEVALUE(TEXT(A2088,"m/d/yyyy")),FY24_Temp[],5,FALSE)&amp;TEXT(A2088,"-h"),TempDelta[],4,FALSE)</f>
        <v>1.1765714372907365</v>
      </c>
      <c r="R2088">
        <v>10</v>
      </c>
      <c r="S2088" s="112">
        <v>1500</v>
      </c>
      <c r="T2088" s="5">
        <f>VLOOKUP(TEXT(A2088,"yy-mm")&amp;"-"&amp;IF(AND(WEEKDAY(A2088)&gt;1,WEEKDAY(A2088)&lt;7),"Wkd",TEXT(A2088,"Ddd"))&amp;"-"&amp;TEXT(A2088,"hh"),LoadTable[],3,FALSE)*0.92</f>
        <v>523.94879142973434</v>
      </c>
      <c r="U2088" s="113">
        <f t="shared" si="2212"/>
        <v>52.394879142973437</v>
      </c>
      <c r="V2088">
        <f t="shared" ref="V2088:W2088" si="2253">V2064</f>
        <v>3.5</v>
      </c>
      <c r="W2088">
        <f t="shared" si="2253"/>
        <v>3.1</v>
      </c>
      <c r="X2088" s="9">
        <v>-38.162725816666402</v>
      </c>
      <c r="Y2088" s="39"/>
    </row>
    <row r="2089" spans="1:25" ht="15" thickBot="1">
      <c r="A2089" s="149">
        <f t="shared" si="2194"/>
        <v>45922.916666663587</v>
      </c>
      <c r="B2089" s="30">
        <f t="shared" si="2221"/>
        <v>5000</v>
      </c>
      <c r="C2089" s="8">
        <v>25000</v>
      </c>
      <c r="D2089" s="187">
        <v>0</v>
      </c>
      <c r="E2089" s="187">
        <v>700</v>
      </c>
      <c r="F2089" s="187">
        <v>15000</v>
      </c>
      <c r="G2089" s="30">
        <f t="shared" si="2222"/>
        <v>2400</v>
      </c>
      <c r="H2089" s="8">
        <v>25000</v>
      </c>
      <c r="I2089" s="30">
        <f t="shared" si="2223"/>
        <v>5000</v>
      </c>
      <c r="J2089" s="187">
        <v>40000</v>
      </c>
      <c r="K2089" s="30">
        <f t="shared" si="2224"/>
        <v>5000</v>
      </c>
      <c r="L2089" s="187">
        <v>40000</v>
      </c>
      <c r="M2089" s="110">
        <v>9.5</v>
      </c>
      <c r="N2089" s="9">
        <f>VLOOKUP(DATE(YEAR(A2089),MONTH(A2089),DAY(A2089)),FY24_Temp[],3,FALSE)</f>
        <v>16.8</v>
      </c>
      <c r="O2089" s="110">
        <f t="shared" si="2210"/>
        <v>11.5</v>
      </c>
      <c r="P2089" s="110">
        <f t="shared" si="2211"/>
        <v>19.5</v>
      </c>
      <c r="Q2089" s="79">
        <f>VLOOKUP(VLOOKUP(DATEVALUE(TEXT(A2089,"m/d/yyyy")),FY24_Temp[],5,FALSE)&amp;TEXT(A2089,"-h"),TempDelta[],4,FALSE)</f>
        <v>1.6277142763137817</v>
      </c>
      <c r="R2089">
        <v>10</v>
      </c>
      <c r="S2089" s="112">
        <v>1500</v>
      </c>
      <c r="T2089" s="5">
        <f>VLOOKUP(TEXT(A2089,"yy-mm")&amp;"-"&amp;IF(AND(WEEKDAY(A2089)&gt;1,WEEKDAY(A2089)&lt;7),"Wkd",TEXT(A2089,"Ddd"))&amp;"-"&amp;TEXT(A2089,"hh"),LoadTable[],3,FALSE)*0.92</f>
        <v>421.91858468239752</v>
      </c>
      <c r="U2089" s="113">
        <f t="shared" si="2212"/>
        <v>42.191858468239751</v>
      </c>
      <c r="V2089">
        <f t="shared" ref="V2089:W2089" si="2254">V2065</f>
        <v>2.9</v>
      </c>
      <c r="W2089">
        <f t="shared" si="2254"/>
        <v>3.1</v>
      </c>
      <c r="X2089" s="9">
        <v>-38.240520366666402</v>
      </c>
      <c r="Y2089" s="39"/>
    </row>
    <row r="2090" spans="1:25" ht="15" thickBot="1">
      <c r="A2090" s="149">
        <f t="shared" si="2194"/>
        <v>45922.958333330251</v>
      </c>
      <c r="B2090" s="30">
        <f t="shared" si="2221"/>
        <v>5000</v>
      </c>
      <c r="C2090" s="8">
        <v>25000</v>
      </c>
      <c r="D2090" s="187">
        <v>0</v>
      </c>
      <c r="E2090" s="187">
        <v>700</v>
      </c>
      <c r="F2090" s="187">
        <v>15000</v>
      </c>
      <c r="G2090" s="30">
        <f t="shared" si="2222"/>
        <v>2400</v>
      </c>
      <c r="H2090" s="8">
        <v>25000</v>
      </c>
      <c r="I2090" s="30">
        <f t="shared" si="2223"/>
        <v>5000</v>
      </c>
      <c r="J2090" s="187">
        <v>40000</v>
      </c>
      <c r="K2090" s="30">
        <f t="shared" si="2224"/>
        <v>5000</v>
      </c>
      <c r="L2090" s="187">
        <v>40000</v>
      </c>
      <c r="M2090" s="110">
        <v>9.5</v>
      </c>
      <c r="N2090" s="9">
        <f>VLOOKUP(DATE(YEAR(A2090),MONTH(A2090),DAY(A2090)),FY24_Temp[],3,FALSE)</f>
        <v>16.8</v>
      </c>
      <c r="O2090" s="110">
        <f t="shared" si="2210"/>
        <v>11.5</v>
      </c>
      <c r="P2090" s="110">
        <f t="shared" si="2211"/>
        <v>19.5</v>
      </c>
      <c r="Q2090" s="79">
        <f>VLOOKUP(VLOOKUP(DATEVALUE(TEXT(A2090,"m/d/yyyy")),FY24_Temp[],5,FALSE)&amp;TEXT(A2090,"-h"),TempDelta[],4,FALSE)</f>
        <v>1.758285709789821</v>
      </c>
      <c r="R2090">
        <v>10</v>
      </c>
      <c r="S2090" s="112">
        <v>1500</v>
      </c>
      <c r="T2090" s="5">
        <f>VLOOKUP(TEXT(A2090,"yy-mm")&amp;"-"&amp;IF(AND(WEEKDAY(A2090)&gt;1,WEEKDAY(A2090)&lt;7),"Wkd",TEXT(A2090,"Ddd"))&amp;"-"&amp;TEXT(A2090,"hh"),LoadTable[],3,FALSE)*0.92</f>
        <v>289.33527113913209</v>
      </c>
      <c r="U2090" s="113">
        <f t="shared" si="2212"/>
        <v>28.933527113913208</v>
      </c>
      <c r="V2090">
        <f t="shared" ref="V2090:W2090" si="2255">V2066</f>
        <v>3.6</v>
      </c>
      <c r="W2090">
        <f t="shared" si="2255"/>
        <v>3.1</v>
      </c>
      <c r="X2090" s="9">
        <v>-38.318314916666402</v>
      </c>
      <c r="Y2090" s="39"/>
    </row>
    <row r="2091" spans="1:25" ht="15" thickBot="1">
      <c r="A2091" s="149">
        <f t="shared" si="2194"/>
        <v>45922.999999996915</v>
      </c>
      <c r="B2091" s="30">
        <f t="shared" si="2221"/>
        <v>5000</v>
      </c>
      <c r="C2091" s="8">
        <v>25000</v>
      </c>
      <c r="D2091" s="187">
        <v>0</v>
      </c>
      <c r="E2091" s="187">
        <v>700</v>
      </c>
      <c r="F2091" s="187">
        <v>15000</v>
      </c>
      <c r="G2091" s="30">
        <f t="shared" si="2222"/>
        <v>2400</v>
      </c>
      <c r="H2091" s="8">
        <v>25000</v>
      </c>
      <c r="I2091" s="30">
        <f t="shared" si="2223"/>
        <v>5000</v>
      </c>
      <c r="J2091" s="187">
        <v>40000</v>
      </c>
      <c r="K2091" s="30">
        <f t="shared" si="2224"/>
        <v>5000</v>
      </c>
      <c r="L2091" s="187">
        <v>40000</v>
      </c>
      <c r="M2091" s="110">
        <v>9.5</v>
      </c>
      <c r="N2091" s="9">
        <f>VLOOKUP(DATE(YEAR(A2091),MONTH(A2091),DAY(A2091)),FY24_Temp[],3,FALSE)</f>
        <v>16.8</v>
      </c>
      <c r="O2091" s="110">
        <f t="shared" si="2210"/>
        <v>11.5</v>
      </c>
      <c r="P2091" s="110">
        <f t="shared" si="2211"/>
        <v>19.5</v>
      </c>
      <c r="Q2091" s="79">
        <f>VLOOKUP(VLOOKUP(DATEVALUE(TEXT(A2091,"m/d/yyyy")),FY24_Temp[],5,FALSE)&amp;TEXT(A2091,"-h"),TempDelta[],4,FALSE)</f>
        <v>1.8245714221681868</v>
      </c>
      <c r="R2091">
        <v>10</v>
      </c>
      <c r="S2091" s="112">
        <v>1500</v>
      </c>
      <c r="T2091" s="5">
        <f>VLOOKUP(TEXT(A2091,"yy-mm")&amp;"-"&amp;IF(AND(WEEKDAY(A2091)&gt;1,WEEKDAY(A2091)&lt;7),"Wkd",TEXT(A2091,"Ddd"))&amp;"-"&amp;TEXT(A2091,"hh"),LoadTable[],3,FALSE)*0.92</f>
        <v>289.0624787084426</v>
      </c>
      <c r="U2091" s="113">
        <f t="shared" si="2212"/>
        <v>28.906247870844261</v>
      </c>
      <c r="V2091">
        <f t="shared" ref="V2091:W2091" si="2256">V2067</f>
        <v>3</v>
      </c>
      <c r="W2091">
        <f t="shared" si="2256"/>
        <v>3.2</v>
      </c>
      <c r="X2091" s="9">
        <v>-38.396109466666402</v>
      </c>
      <c r="Y2091" s="39"/>
    </row>
    <row r="2092" spans="1:25" ht="15" thickBot="1">
      <c r="A2092" s="149">
        <f t="shared" si="2194"/>
        <v>45923.041666663579</v>
      </c>
      <c r="B2092" s="30">
        <f t="shared" si="2221"/>
        <v>5000</v>
      </c>
      <c r="C2092" s="8">
        <v>25000</v>
      </c>
      <c r="D2092" s="187">
        <v>0</v>
      </c>
      <c r="E2092" s="187">
        <v>700</v>
      </c>
      <c r="F2092" s="187">
        <v>15000</v>
      </c>
      <c r="G2092" s="30">
        <f t="shared" si="2222"/>
        <v>2400</v>
      </c>
      <c r="H2092" s="8">
        <v>25000</v>
      </c>
      <c r="I2092" s="30">
        <f t="shared" si="2223"/>
        <v>5000</v>
      </c>
      <c r="J2092" s="187">
        <v>40000</v>
      </c>
      <c r="K2092" s="30">
        <f t="shared" si="2224"/>
        <v>5000</v>
      </c>
      <c r="L2092" s="187">
        <v>40000</v>
      </c>
      <c r="M2092" s="110">
        <v>9.5</v>
      </c>
      <c r="N2092" s="9">
        <f>VLOOKUP(DATE(YEAR(A2092),MONTH(A2092),DAY(A2092)),FY24_Temp[],3,FALSE)</f>
        <v>16.8</v>
      </c>
      <c r="O2092" s="110">
        <f t="shared" si="2210"/>
        <v>11.5</v>
      </c>
      <c r="P2092" s="110">
        <f t="shared" si="2211"/>
        <v>19.5</v>
      </c>
      <c r="Q2092" s="79">
        <f>VLOOKUP(VLOOKUP(DATEVALUE(TEXT(A2092,"m/d/yyyy")),FY24_Temp[],5,FALSE)&amp;TEXT(A2092,"-h"),TempDelta[],4,FALSE)</f>
        <v>1.8974285977227348</v>
      </c>
      <c r="R2092">
        <v>10</v>
      </c>
      <c r="S2092" s="112">
        <v>1500</v>
      </c>
      <c r="T2092" s="5">
        <f>VLOOKUP(TEXT(A2092,"yy-mm")&amp;"-"&amp;IF(AND(WEEKDAY(A2092)&gt;1,WEEKDAY(A2092)&lt;7),"Wkd",TEXT(A2092,"Ddd"))&amp;"-"&amp;TEXT(A2092,"hh"),LoadTable[],3,FALSE)*0.92</f>
        <v>289.0624787084426</v>
      </c>
      <c r="U2092" s="113">
        <f t="shared" si="2212"/>
        <v>28.906247870844261</v>
      </c>
      <c r="V2092">
        <f t="shared" ref="V2092:W2092" si="2257">V2068</f>
        <v>2.6</v>
      </c>
      <c r="W2092">
        <f t="shared" si="2257"/>
        <v>3.2</v>
      </c>
      <c r="X2092" s="9">
        <v>-38.473904016666403</v>
      </c>
      <c r="Y2092" s="39"/>
    </row>
    <row r="2093" spans="1:25" ht="15" thickBot="1">
      <c r="A2093" s="149">
        <f t="shared" si="2194"/>
        <v>45923.083333330243</v>
      </c>
      <c r="B2093" s="30">
        <f t="shared" si="2221"/>
        <v>5000</v>
      </c>
      <c r="C2093" s="8">
        <v>25000</v>
      </c>
      <c r="D2093" s="187">
        <v>0</v>
      </c>
      <c r="E2093" s="187">
        <v>700</v>
      </c>
      <c r="F2093" s="187">
        <v>15000</v>
      </c>
      <c r="G2093" s="30">
        <f t="shared" si="2222"/>
        <v>2400</v>
      </c>
      <c r="H2093" s="8">
        <v>25000</v>
      </c>
      <c r="I2093" s="30">
        <f t="shared" si="2223"/>
        <v>5000</v>
      </c>
      <c r="J2093" s="187">
        <v>40000</v>
      </c>
      <c r="K2093" s="30">
        <f t="shared" si="2224"/>
        <v>5000</v>
      </c>
      <c r="L2093" s="187">
        <v>40000</v>
      </c>
      <c r="M2093" s="110">
        <v>9.5</v>
      </c>
      <c r="N2093" s="9">
        <f>VLOOKUP(DATE(YEAR(A2093),MONTH(A2093),DAY(A2093)),FY24_Temp[],3,FALSE)</f>
        <v>16.8</v>
      </c>
      <c r="O2093" s="110">
        <f t="shared" si="2210"/>
        <v>11.5</v>
      </c>
      <c r="P2093" s="110">
        <f t="shared" si="2211"/>
        <v>19.5</v>
      </c>
      <c r="Q2093" s="79">
        <f>VLOOKUP(VLOOKUP(DATEVALUE(TEXT(A2093,"m/d/yyyy")),FY24_Temp[],5,FALSE)&amp;TEXT(A2093,"-h"),TempDelta[],4,FALSE)</f>
        <v>1.9182857445308141</v>
      </c>
      <c r="R2093">
        <v>10</v>
      </c>
      <c r="S2093" s="112">
        <v>1500</v>
      </c>
      <c r="T2093" s="5">
        <f>VLOOKUP(TEXT(A2093,"yy-mm")&amp;"-"&amp;IF(AND(WEEKDAY(A2093)&gt;1,WEEKDAY(A2093)&lt;7),"Wkd",TEXT(A2093,"Ddd"))&amp;"-"&amp;TEXT(A2093,"hh"),LoadTable[],3,FALSE)*0.92</f>
        <v>289.0624787084426</v>
      </c>
      <c r="U2093" s="113">
        <f t="shared" si="2212"/>
        <v>28.906247870844261</v>
      </c>
      <c r="V2093">
        <f t="shared" ref="V2093:W2093" si="2258">V2069</f>
        <v>2.8</v>
      </c>
      <c r="W2093">
        <f t="shared" si="2258"/>
        <v>3.2</v>
      </c>
      <c r="X2093" s="9">
        <v>-38.551698566666403</v>
      </c>
      <c r="Y2093" s="39"/>
    </row>
    <row r="2094" spans="1:25" ht="15" thickBot="1">
      <c r="A2094" s="149">
        <f t="shared" si="2194"/>
        <v>45923.124999996908</v>
      </c>
      <c r="B2094" s="30">
        <f t="shared" si="2221"/>
        <v>5000</v>
      </c>
      <c r="C2094" s="8">
        <v>25000</v>
      </c>
      <c r="D2094" s="187">
        <v>0</v>
      </c>
      <c r="E2094" s="187">
        <v>700</v>
      </c>
      <c r="F2094" s="187">
        <v>15000</v>
      </c>
      <c r="G2094" s="30">
        <f t="shared" si="2222"/>
        <v>2400</v>
      </c>
      <c r="H2094" s="8">
        <v>25000</v>
      </c>
      <c r="I2094" s="30">
        <f t="shared" si="2223"/>
        <v>5000</v>
      </c>
      <c r="J2094" s="187">
        <v>40000</v>
      </c>
      <c r="K2094" s="30">
        <f t="shared" si="2224"/>
        <v>5000</v>
      </c>
      <c r="L2094" s="187">
        <v>40000</v>
      </c>
      <c r="M2094" s="110">
        <v>9.5</v>
      </c>
      <c r="N2094" s="9">
        <f>VLOOKUP(DATE(YEAR(A2094),MONTH(A2094),DAY(A2094)),FY24_Temp[],3,FALSE)</f>
        <v>16.8</v>
      </c>
      <c r="O2094" s="110">
        <f t="shared" si="2210"/>
        <v>11.5</v>
      </c>
      <c r="P2094" s="110">
        <f t="shared" si="2211"/>
        <v>19.5</v>
      </c>
      <c r="Q2094" s="79">
        <f>VLOOKUP(VLOOKUP(DATEVALUE(TEXT(A2094,"m/d/yyyy")),FY24_Temp[],5,FALSE)&amp;TEXT(A2094,"-h"),TempDelta[],4,FALSE)</f>
        <v>1.9078571796417236</v>
      </c>
      <c r="R2094">
        <v>10</v>
      </c>
      <c r="S2094" s="112">
        <v>1500</v>
      </c>
      <c r="T2094" s="5">
        <f>VLOOKUP(TEXT(A2094,"yy-mm")&amp;"-"&amp;IF(AND(WEEKDAY(A2094)&gt;1,WEEKDAY(A2094)&lt;7),"Wkd",TEXT(A2094,"Ddd"))&amp;"-"&amp;TEXT(A2094,"hh"),LoadTable[],3,FALSE)*0.92</f>
        <v>289.05894152419745</v>
      </c>
      <c r="U2094" s="113">
        <f t="shared" si="2212"/>
        <v>28.905894152419744</v>
      </c>
      <c r="V2094">
        <f t="shared" ref="V2094:W2094" si="2259">V2070</f>
        <v>2.7</v>
      </c>
      <c r="W2094">
        <f t="shared" si="2259"/>
        <v>3.2</v>
      </c>
      <c r="X2094" s="9">
        <v>-38.629493116666403</v>
      </c>
      <c r="Y2094" s="39"/>
    </row>
    <row r="2095" spans="1:25" ht="15" thickBot="1">
      <c r="A2095" s="149">
        <f t="shared" si="2194"/>
        <v>45923.166666663572</v>
      </c>
      <c r="B2095" s="30">
        <f t="shared" si="2221"/>
        <v>5000</v>
      </c>
      <c r="C2095" s="8">
        <v>25000</v>
      </c>
      <c r="D2095" s="187">
        <v>0</v>
      </c>
      <c r="E2095" s="187">
        <v>700</v>
      </c>
      <c r="F2095" s="187">
        <v>15000</v>
      </c>
      <c r="G2095" s="30">
        <f t="shared" si="2222"/>
        <v>2400</v>
      </c>
      <c r="H2095" s="8">
        <v>25000</v>
      </c>
      <c r="I2095" s="30">
        <f t="shared" si="2223"/>
        <v>5000</v>
      </c>
      <c r="J2095" s="187">
        <v>40000</v>
      </c>
      <c r="K2095" s="30">
        <f t="shared" si="2224"/>
        <v>5000</v>
      </c>
      <c r="L2095" s="187">
        <v>40000</v>
      </c>
      <c r="M2095" s="110">
        <v>9.5</v>
      </c>
      <c r="N2095" s="9">
        <f>VLOOKUP(DATE(YEAR(A2095),MONTH(A2095),DAY(A2095)),FY24_Temp[],3,FALSE)</f>
        <v>16.8</v>
      </c>
      <c r="O2095" s="110">
        <f t="shared" si="2210"/>
        <v>11.5</v>
      </c>
      <c r="P2095" s="110">
        <f t="shared" si="2211"/>
        <v>19.5</v>
      </c>
      <c r="Q2095" s="79">
        <f>VLOOKUP(VLOOKUP(DATEVALUE(TEXT(A2095,"m/d/yyyy")),FY24_Temp[],5,FALSE)&amp;TEXT(A2095,"-h"),TempDelta[],4,FALSE)</f>
        <v>1.9279999732971191</v>
      </c>
      <c r="R2095">
        <v>10</v>
      </c>
      <c r="S2095" s="112">
        <v>1500</v>
      </c>
      <c r="T2095" s="5">
        <f>VLOOKUP(TEXT(A2095,"yy-mm")&amp;"-"&amp;IF(AND(WEEKDAY(A2095)&gt;1,WEEKDAY(A2095)&lt;7),"Wkd",TEXT(A2095,"Ddd"))&amp;"-"&amp;TEXT(A2095,"hh"),LoadTable[],3,FALSE)*0.92</f>
        <v>289.05894152419745</v>
      </c>
      <c r="U2095" s="113">
        <f t="shared" si="2212"/>
        <v>28.905894152419744</v>
      </c>
      <c r="V2095">
        <f t="shared" ref="V2095:W2095" si="2260">V2071</f>
        <v>3</v>
      </c>
      <c r="W2095">
        <f t="shared" si="2260"/>
        <v>3.1</v>
      </c>
      <c r="X2095" s="9">
        <v>-38.707287666666403</v>
      </c>
      <c r="Y2095" s="39"/>
    </row>
    <row r="2096" spans="1:25" ht="15" thickBot="1">
      <c r="A2096" s="149">
        <f t="shared" si="2194"/>
        <v>45923.208333330236</v>
      </c>
      <c r="B2096" s="30">
        <f t="shared" si="2221"/>
        <v>5000</v>
      </c>
      <c r="C2096" s="8">
        <v>25000</v>
      </c>
      <c r="D2096" s="187">
        <v>0</v>
      </c>
      <c r="E2096" s="187">
        <v>700</v>
      </c>
      <c r="F2096" s="187">
        <v>15000</v>
      </c>
      <c r="G2096" s="30">
        <f t="shared" si="2222"/>
        <v>2400</v>
      </c>
      <c r="H2096" s="8">
        <v>25000</v>
      </c>
      <c r="I2096" s="30">
        <f t="shared" si="2223"/>
        <v>5000</v>
      </c>
      <c r="J2096" s="187">
        <v>40000</v>
      </c>
      <c r="K2096" s="30">
        <f t="shared" si="2224"/>
        <v>5000</v>
      </c>
      <c r="L2096" s="187">
        <v>40000</v>
      </c>
      <c r="M2096" s="110">
        <v>9.5</v>
      </c>
      <c r="N2096" s="9">
        <f>VLOOKUP(DATE(YEAR(A2096),MONTH(A2096),DAY(A2096)),FY24_Temp[],3,FALSE)</f>
        <v>16.8</v>
      </c>
      <c r="O2096" s="110">
        <f t="shared" si="2210"/>
        <v>11.5</v>
      </c>
      <c r="P2096" s="110">
        <f t="shared" si="2211"/>
        <v>19.5</v>
      </c>
      <c r="Q2096" s="79">
        <f>VLOOKUP(VLOOKUP(DATEVALUE(TEXT(A2096,"m/d/yyyy")),FY24_Temp[],5,FALSE)&amp;TEXT(A2096,"-h"),TempDelta[],4,FALSE)</f>
        <v>2.012714283806937</v>
      </c>
      <c r="R2096">
        <v>10</v>
      </c>
      <c r="S2096" s="112">
        <v>1500</v>
      </c>
      <c r="T2096" s="5">
        <f>VLOOKUP(TEXT(A2096,"yy-mm")&amp;"-"&amp;IF(AND(WEEKDAY(A2096)&gt;1,WEEKDAY(A2096)&lt;7),"Wkd",TEXT(A2096,"Ddd"))&amp;"-"&amp;TEXT(A2096,"hh"),LoadTable[],3,FALSE)*0.92</f>
        <v>289.05894152419745</v>
      </c>
      <c r="U2096" s="113">
        <f t="shared" si="2212"/>
        <v>28.905894152419744</v>
      </c>
      <c r="V2096">
        <f t="shared" ref="V2096:W2096" si="2261">V2072</f>
        <v>2.9</v>
      </c>
      <c r="W2096">
        <f t="shared" si="2261"/>
        <v>3.1</v>
      </c>
      <c r="X2096" s="9">
        <v>-38.785082216666403</v>
      </c>
      <c r="Y2096" s="39"/>
    </row>
    <row r="2097" spans="1:25" ht="15" thickBot="1">
      <c r="A2097" s="149">
        <f t="shared" si="2194"/>
        <v>45923.2499999969</v>
      </c>
      <c r="B2097" s="30">
        <f t="shared" si="2221"/>
        <v>8000</v>
      </c>
      <c r="C2097" s="8">
        <v>25000</v>
      </c>
      <c r="D2097" s="187">
        <v>0</v>
      </c>
      <c r="E2097" s="187">
        <v>700</v>
      </c>
      <c r="F2097" s="187">
        <v>15000</v>
      </c>
      <c r="G2097" s="30">
        <f t="shared" si="2222"/>
        <v>2400</v>
      </c>
      <c r="H2097" s="8">
        <v>25000</v>
      </c>
      <c r="I2097" s="30">
        <f t="shared" si="2223"/>
        <v>8000</v>
      </c>
      <c r="J2097" s="187">
        <v>40000</v>
      </c>
      <c r="K2097" s="30">
        <f t="shared" si="2224"/>
        <v>8000</v>
      </c>
      <c r="L2097" s="187">
        <v>40000</v>
      </c>
      <c r="M2097" s="110">
        <v>9.5</v>
      </c>
      <c r="N2097" s="9">
        <f>VLOOKUP(DATE(YEAR(A2097),MONTH(A2097),DAY(A2097)),FY24_Temp[],3,FALSE)</f>
        <v>16.8</v>
      </c>
      <c r="O2097" s="110">
        <f t="shared" si="2210"/>
        <v>11.5</v>
      </c>
      <c r="P2097" s="110">
        <f t="shared" si="2211"/>
        <v>19.5</v>
      </c>
      <c r="Q2097" s="79">
        <f>VLOOKUP(VLOOKUP(DATEVALUE(TEXT(A2097,"m/d/yyyy")),FY24_Temp[],5,FALSE)&amp;TEXT(A2097,"-h"),TempDelta[],4,FALSE)</f>
        <v>1.9665714332035609</v>
      </c>
      <c r="R2097">
        <v>10</v>
      </c>
      <c r="S2097" s="112">
        <v>1500</v>
      </c>
      <c r="T2097" s="5">
        <f>VLOOKUP(TEXT(A2097,"yy-mm")&amp;"-"&amp;IF(AND(WEEKDAY(A2097)&gt;1,WEEKDAY(A2097)&lt;7),"Wkd",TEXT(A2097,"Ddd"))&amp;"-"&amp;TEXT(A2097,"hh"),LoadTable[],3,FALSE)*0.92</f>
        <v>291.12479999999999</v>
      </c>
      <c r="U2097" s="113">
        <f t="shared" si="2212"/>
        <v>29.112479999999998</v>
      </c>
      <c r="V2097">
        <f t="shared" ref="V2097:W2097" si="2262">V2073</f>
        <v>2.5</v>
      </c>
      <c r="W2097">
        <f t="shared" si="2262"/>
        <v>3.1</v>
      </c>
      <c r="X2097" s="9">
        <v>-38.862876766666403</v>
      </c>
      <c r="Y2097" s="39"/>
    </row>
    <row r="2098" spans="1:25" ht="15" thickBot="1">
      <c r="A2098" s="149">
        <f t="shared" si="2194"/>
        <v>45923.291666663565</v>
      </c>
      <c r="B2098" s="30">
        <f t="shared" si="2221"/>
        <v>8000</v>
      </c>
      <c r="C2098" s="8">
        <v>25000</v>
      </c>
      <c r="D2098" s="187">
        <v>0</v>
      </c>
      <c r="E2098" s="187">
        <v>700</v>
      </c>
      <c r="F2098" s="187">
        <v>15000</v>
      </c>
      <c r="G2098" s="30">
        <f t="shared" si="2222"/>
        <v>2400</v>
      </c>
      <c r="H2098" s="8">
        <v>25000</v>
      </c>
      <c r="I2098" s="30">
        <f t="shared" si="2223"/>
        <v>8000</v>
      </c>
      <c r="J2098" s="187">
        <v>40000</v>
      </c>
      <c r="K2098" s="30">
        <f t="shared" si="2224"/>
        <v>8000</v>
      </c>
      <c r="L2098" s="187">
        <v>40000</v>
      </c>
      <c r="M2098" s="110">
        <v>9.5</v>
      </c>
      <c r="N2098" s="9">
        <f>VLOOKUP(DATE(YEAR(A2098),MONTH(A2098),DAY(A2098)),FY24_Temp[],3,FALSE)</f>
        <v>16.8</v>
      </c>
      <c r="O2098" s="110">
        <f t="shared" si="2210"/>
        <v>11.5</v>
      </c>
      <c r="P2098" s="110">
        <f t="shared" si="2211"/>
        <v>19.5</v>
      </c>
      <c r="Q2098" s="79">
        <f>VLOOKUP(VLOOKUP(DATEVALUE(TEXT(A2098,"m/d/yyyy")),FY24_Temp[],5,FALSE)&amp;TEXT(A2098,"-h"),TempDelta[],4,FALSE)</f>
        <v>1.8381428548267909</v>
      </c>
      <c r="R2098">
        <v>10</v>
      </c>
      <c r="S2098" s="112">
        <v>1500</v>
      </c>
      <c r="T2098" s="5">
        <f>VLOOKUP(TEXT(A2098,"yy-mm")&amp;"-"&amp;IF(AND(WEEKDAY(A2098)&gt;1,WEEKDAY(A2098)&lt;7),"Wkd",TEXT(A2098,"Ddd"))&amp;"-"&amp;TEXT(A2098,"hh"),LoadTable[],3,FALSE)*0.92</f>
        <v>291.12479999999999</v>
      </c>
      <c r="U2098" s="113">
        <f t="shared" si="2212"/>
        <v>29.112479999999998</v>
      </c>
      <c r="V2098">
        <f t="shared" ref="V2098:W2098" si="2263">V2074</f>
        <v>2.5</v>
      </c>
      <c r="W2098">
        <f t="shared" si="2263"/>
        <v>3.1</v>
      </c>
      <c r="X2098" s="9">
        <v>-38.940671316666403</v>
      </c>
      <c r="Y2098" s="39"/>
    </row>
    <row r="2099" spans="1:25" ht="15" thickBot="1">
      <c r="A2099" s="149">
        <f t="shared" si="2194"/>
        <v>45923.333333330229</v>
      </c>
      <c r="B2099" s="30">
        <f t="shared" si="2221"/>
        <v>8000</v>
      </c>
      <c r="C2099" s="8">
        <v>25000</v>
      </c>
      <c r="D2099" s="187">
        <v>0</v>
      </c>
      <c r="E2099" s="187">
        <v>700</v>
      </c>
      <c r="F2099" s="187">
        <v>15000</v>
      </c>
      <c r="G2099" s="30">
        <f t="shared" si="2222"/>
        <v>2400</v>
      </c>
      <c r="H2099" s="8">
        <v>25000</v>
      </c>
      <c r="I2099" s="30">
        <f t="shared" si="2223"/>
        <v>8000</v>
      </c>
      <c r="J2099" s="187">
        <v>40000</v>
      </c>
      <c r="K2099" s="30">
        <f t="shared" si="2224"/>
        <v>8000</v>
      </c>
      <c r="L2099" s="187">
        <v>40000</v>
      </c>
      <c r="M2099" s="110">
        <v>9.5</v>
      </c>
      <c r="N2099" s="9">
        <f>VLOOKUP(DATE(YEAR(A2099),MONTH(A2099),DAY(A2099)),FY24_Temp[],3,FALSE)</f>
        <v>16.8</v>
      </c>
      <c r="O2099" s="110">
        <f t="shared" si="2210"/>
        <v>11.5</v>
      </c>
      <c r="P2099" s="110">
        <f t="shared" si="2211"/>
        <v>19.5</v>
      </c>
      <c r="Q2099" s="79">
        <f>VLOOKUP(VLOOKUP(DATEVALUE(TEXT(A2099,"m/d/yyyy")),FY24_Temp[],5,FALSE)&amp;TEXT(A2099,"-h"),TempDelta[],4,FALSE)</f>
        <v>1.6827142919812883</v>
      </c>
      <c r="R2099">
        <v>10</v>
      </c>
      <c r="S2099" s="112">
        <v>1500</v>
      </c>
      <c r="T2099" s="5">
        <f>VLOOKUP(TEXT(A2099,"yy-mm")&amp;"-"&amp;IF(AND(WEEKDAY(A2099)&gt;1,WEEKDAY(A2099)&lt;7),"Wkd",TEXT(A2099,"Ddd"))&amp;"-"&amp;TEXT(A2099,"hh"),LoadTable[],3,FALSE)*0.92</f>
        <v>291.12479999999999</v>
      </c>
      <c r="U2099" s="113">
        <f t="shared" si="2212"/>
        <v>29.112479999999998</v>
      </c>
      <c r="V2099">
        <f t="shared" ref="V2099:W2099" si="2264">V2075</f>
        <v>3.2</v>
      </c>
      <c r="W2099">
        <f t="shared" si="2264"/>
        <v>3</v>
      </c>
      <c r="X2099" s="9">
        <v>-39.018465866666403</v>
      </c>
      <c r="Y2099" s="39"/>
    </row>
    <row r="2100" spans="1:25" ht="15" thickBot="1">
      <c r="A2100" s="149">
        <f t="shared" si="2194"/>
        <v>45923.374999996893</v>
      </c>
      <c r="B2100" s="30">
        <f t="shared" si="2221"/>
        <v>8000</v>
      </c>
      <c r="C2100" s="8">
        <v>25000</v>
      </c>
      <c r="D2100" s="187">
        <v>0</v>
      </c>
      <c r="E2100" s="187">
        <v>700</v>
      </c>
      <c r="F2100" s="187">
        <v>15000</v>
      </c>
      <c r="G2100" s="30">
        <f t="shared" si="2222"/>
        <v>2400</v>
      </c>
      <c r="H2100" s="8">
        <v>25000</v>
      </c>
      <c r="I2100" s="30">
        <f t="shared" si="2223"/>
        <v>8000</v>
      </c>
      <c r="J2100" s="187">
        <v>40000</v>
      </c>
      <c r="K2100" s="30">
        <f t="shared" si="2224"/>
        <v>8000</v>
      </c>
      <c r="L2100" s="187">
        <v>40000</v>
      </c>
      <c r="M2100" s="110">
        <v>9.5</v>
      </c>
      <c r="N2100" s="9">
        <f>VLOOKUP(DATE(YEAR(A2100),MONTH(A2100),DAY(A2100)),FY24_Temp[],3,FALSE)</f>
        <v>16.8</v>
      </c>
      <c r="O2100" s="110">
        <f t="shared" si="2210"/>
        <v>11.5</v>
      </c>
      <c r="P2100" s="110">
        <f t="shared" si="2211"/>
        <v>19.5</v>
      </c>
      <c r="Q2100" s="79">
        <f>VLOOKUP(VLOOKUP(DATEVALUE(TEXT(A2100,"m/d/yyyy")),FY24_Temp[],5,FALSE)&amp;TEXT(A2100,"-h"),TempDelta[],4,FALSE)</f>
        <v>1.5467142888477869</v>
      </c>
      <c r="R2100">
        <v>10</v>
      </c>
      <c r="S2100" s="112">
        <v>1500</v>
      </c>
      <c r="T2100" s="5">
        <f>VLOOKUP(TEXT(A2100,"yy-mm")&amp;"-"&amp;IF(AND(WEEKDAY(A2100)&gt;1,WEEKDAY(A2100)&lt;7),"Wkd",TEXT(A2100,"Ddd"))&amp;"-"&amp;TEXT(A2100,"hh"),LoadTable[],3,FALSE)*0.92</f>
        <v>291.12479999999999</v>
      </c>
      <c r="U2100" s="113">
        <f t="shared" si="2212"/>
        <v>29.112479999999998</v>
      </c>
      <c r="V2100">
        <f t="shared" ref="V2100:W2100" si="2265">V2076</f>
        <v>2.9</v>
      </c>
      <c r="W2100">
        <f t="shared" si="2265"/>
        <v>3</v>
      </c>
      <c r="X2100" s="9">
        <v>-39.096260416666397</v>
      </c>
      <c r="Y2100" s="39"/>
    </row>
    <row r="2101" spans="1:25" ht="15" thickBot="1">
      <c r="A2101" s="149">
        <f t="shared" ref="A2101:A2164" si="2266">A2100+TIME(1,0,0)</f>
        <v>45923.416666663557</v>
      </c>
      <c r="B2101" s="30">
        <f t="shared" si="2221"/>
        <v>8000</v>
      </c>
      <c r="C2101" s="8">
        <v>25000</v>
      </c>
      <c r="D2101" s="187">
        <v>0</v>
      </c>
      <c r="E2101" s="187">
        <v>700</v>
      </c>
      <c r="F2101" s="187">
        <v>15000</v>
      </c>
      <c r="G2101" s="30">
        <f t="shared" si="2222"/>
        <v>2400</v>
      </c>
      <c r="H2101" s="8">
        <v>25000</v>
      </c>
      <c r="I2101" s="30">
        <f t="shared" si="2223"/>
        <v>8000</v>
      </c>
      <c r="J2101" s="187">
        <v>40000</v>
      </c>
      <c r="K2101" s="30">
        <f t="shared" si="2224"/>
        <v>8000</v>
      </c>
      <c r="L2101" s="187">
        <v>40000</v>
      </c>
      <c r="M2101" s="110">
        <v>9.5</v>
      </c>
      <c r="N2101" s="9">
        <f>VLOOKUP(DATE(YEAR(A2101),MONTH(A2101),DAY(A2101)),FY24_Temp[],3,FALSE)</f>
        <v>16.8</v>
      </c>
      <c r="O2101" s="110">
        <f t="shared" si="2210"/>
        <v>11.5</v>
      </c>
      <c r="P2101" s="110">
        <f t="shared" si="2211"/>
        <v>19.5</v>
      </c>
      <c r="Q2101" s="79">
        <f>VLOOKUP(VLOOKUP(DATEVALUE(TEXT(A2101,"m/d/yyyy")),FY24_Temp[],5,FALSE)&amp;TEXT(A2101,"-h"),TempDelta[],4,FALSE)</f>
        <v>1.4074285881859916</v>
      </c>
      <c r="R2101">
        <v>10</v>
      </c>
      <c r="S2101" s="112">
        <v>1500</v>
      </c>
      <c r="T2101" s="5">
        <f>VLOOKUP(TEXT(A2101,"yy-mm")&amp;"-"&amp;IF(AND(WEEKDAY(A2101)&gt;1,WEEKDAY(A2101)&lt;7),"Wkd",TEXT(A2101,"Ddd"))&amp;"-"&amp;TEXT(A2101,"hh"),LoadTable[],3,FALSE)*0.92</f>
        <v>290.74956158350585</v>
      </c>
      <c r="U2101" s="113">
        <f t="shared" si="2212"/>
        <v>29.074956158350584</v>
      </c>
      <c r="V2101">
        <f t="shared" ref="V2101:W2101" si="2267">V2077</f>
        <v>2.9</v>
      </c>
      <c r="W2101">
        <f t="shared" si="2267"/>
        <v>3</v>
      </c>
      <c r="X2101" s="9">
        <v>-39.174054966666397</v>
      </c>
      <c r="Y2101" s="39"/>
    </row>
    <row r="2102" spans="1:25" ht="15" thickBot="1">
      <c r="A2102" s="149">
        <f t="shared" si="2266"/>
        <v>45923.458333330222</v>
      </c>
      <c r="B2102" s="30">
        <f t="shared" si="2221"/>
        <v>8000</v>
      </c>
      <c r="C2102" s="8">
        <v>25000</v>
      </c>
      <c r="D2102" s="187">
        <v>0</v>
      </c>
      <c r="E2102" s="187">
        <v>700</v>
      </c>
      <c r="F2102" s="187">
        <v>15000</v>
      </c>
      <c r="G2102" s="30">
        <f t="shared" si="2222"/>
        <v>2400</v>
      </c>
      <c r="H2102" s="8">
        <v>25000</v>
      </c>
      <c r="I2102" s="30">
        <f t="shared" si="2223"/>
        <v>8000</v>
      </c>
      <c r="J2102" s="187">
        <v>40000</v>
      </c>
      <c r="K2102" s="30">
        <f t="shared" si="2224"/>
        <v>8000</v>
      </c>
      <c r="L2102" s="187">
        <v>40000</v>
      </c>
      <c r="M2102" s="110">
        <v>9.5</v>
      </c>
      <c r="N2102" s="9">
        <f>VLOOKUP(DATE(YEAR(A2102),MONTH(A2102),DAY(A2102)),FY24_Temp[],3,FALSE)</f>
        <v>16.8</v>
      </c>
      <c r="O2102" s="110">
        <f t="shared" si="2210"/>
        <v>11.5</v>
      </c>
      <c r="P2102" s="110">
        <f t="shared" si="2211"/>
        <v>19.5</v>
      </c>
      <c r="Q2102" s="79">
        <f>VLOOKUP(VLOOKUP(DATEVALUE(TEXT(A2102,"m/d/yyyy")),FY24_Temp[],5,FALSE)&amp;TEXT(A2102,"-h"),TempDelta[],4,FALSE)</f>
        <v>1.2401428733553206</v>
      </c>
      <c r="R2102">
        <v>10</v>
      </c>
      <c r="S2102" s="112">
        <v>1500</v>
      </c>
      <c r="T2102" s="5">
        <f>VLOOKUP(TEXT(A2102,"yy-mm")&amp;"-"&amp;IF(AND(WEEKDAY(A2102)&gt;1,WEEKDAY(A2102)&lt;7),"Wkd",TEXT(A2102,"Ddd"))&amp;"-"&amp;TEXT(A2102,"hh"),LoadTable[],3,FALSE)*0.92</f>
        <v>290.74956158350585</v>
      </c>
      <c r="U2102" s="113">
        <f t="shared" si="2212"/>
        <v>29.074956158350584</v>
      </c>
      <c r="V2102">
        <f t="shared" ref="V2102:W2102" si="2268">V2078</f>
        <v>3.4</v>
      </c>
      <c r="W2102">
        <f t="shared" si="2268"/>
        <v>3</v>
      </c>
      <c r="X2102" s="9">
        <v>-39.251849516666397</v>
      </c>
      <c r="Y2102" s="39"/>
    </row>
    <row r="2103" spans="1:25" ht="15" thickBot="1">
      <c r="A2103" s="149">
        <f t="shared" si="2266"/>
        <v>45923.499999996886</v>
      </c>
      <c r="B2103" s="30">
        <f t="shared" si="2221"/>
        <v>8000</v>
      </c>
      <c r="C2103" s="8">
        <v>25000</v>
      </c>
      <c r="D2103" s="187">
        <v>0</v>
      </c>
      <c r="E2103" s="187">
        <v>700</v>
      </c>
      <c r="F2103" s="187">
        <v>15000</v>
      </c>
      <c r="G2103" s="30">
        <f t="shared" si="2222"/>
        <v>2400</v>
      </c>
      <c r="H2103" s="8">
        <v>25000</v>
      </c>
      <c r="I2103" s="30">
        <f t="shared" si="2223"/>
        <v>8000</v>
      </c>
      <c r="J2103" s="187">
        <v>40000</v>
      </c>
      <c r="K2103" s="30">
        <f t="shared" si="2224"/>
        <v>8000</v>
      </c>
      <c r="L2103" s="187">
        <v>40000</v>
      </c>
      <c r="M2103" s="110">
        <v>9.5</v>
      </c>
      <c r="N2103" s="9">
        <f>VLOOKUP(DATE(YEAR(A2103),MONTH(A2103),DAY(A2103)),FY24_Temp[],3,FALSE)</f>
        <v>16.8</v>
      </c>
      <c r="O2103" s="110">
        <f t="shared" si="2210"/>
        <v>11.5</v>
      </c>
      <c r="P2103" s="110">
        <f t="shared" si="2211"/>
        <v>19.5</v>
      </c>
      <c r="Q2103" s="79">
        <f>VLOOKUP(VLOOKUP(DATEVALUE(TEXT(A2103,"m/d/yyyy")),FY24_Temp[],5,FALSE)&amp;TEXT(A2103,"-h"),TempDelta[],4,FALSE)</f>
        <v>1.0797142812183924</v>
      </c>
      <c r="R2103">
        <v>10</v>
      </c>
      <c r="S2103" s="112">
        <v>1500</v>
      </c>
      <c r="T2103" s="5">
        <f>VLOOKUP(TEXT(A2103,"yy-mm")&amp;"-"&amp;IF(AND(WEEKDAY(A2103)&gt;1,WEEKDAY(A2103)&lt;7),"Wkd",TEXT(A2103,"Ddd"))&amp;"-"&amp;TEXT(A2103,"hh"),LoadTable[],3,FALSE)*0.92</f>
        <v>290.74956158350585</v>
      </c>
      <c r="U2103" s="113">
        <f t="shared" si="2212"/>
        <v>29.074956158350584</v>
      </c>
      <c r="V2103">
        <f t="shared" ref="V2103:W2103" si="2269">V2079</f>
        <v>3.1</v>
      </c>
      <c r="W2103">
        <f t="shared" si="2269"/>
        <v>2.9</v>
      </c>
      <c r="X2103" s="9">
        <v>-39.329644066666397</v>
      </c>
      <c r="Y2103" s="39"/>
    </row>
    <row r="2104" spans="1:25" ht="15" thickBot="1">
      <c r="A2104" s="149">
        <f t="shared" si="2266"/>
        <v>45923.54166666355</v>
      </c>
      <c r="B2104" s="30">
        <f t="shared" si="2221"/>
        <v>8000</v>
      </c>
      <c r="C2104" s="8">
        <v>25000</v>
      </c>
      <c r="D2104" s="187">
        <v>0</v>
      </c>
      <c r="E2104" s="187">
        <v>700</v>
      </c>
      <c r="F2104" s="187">
        <v>15000</v>
      </c>
      <c r="G2104" s="30">
        <f t="shared" si="2222"/>
        <v>2400</v>
      </c>
      <c r="H2104" s="8">
        <v>25000</v>
      </c>
      <c r="I2104" s="30">
        <f t="shared" si="2223"/>
        <v>8000</v>
      </c>
      <c r="J2104" s="187">
        <v>40000</v>
      </c>
      <c r="K2104" s="30">
        <f t="shared" si="2224"/>
        <v>8000</v>
      </c>
      <c r="L2104" s="187">
        <v>40000</v>
      </c>
      <c r="M2104" s="110">
        <v>9.5</v>
      </c>
      <c r="N2104" s="9">
        <f>VLOOKUP(DATE(YEAR(A2104),MONTH(A2104),DAY(A2104)),FY24_Temp[],3,FALSE)</f>
        <v>16.8</v>
      </c>
      <c r="O2104" s="110">
        <f t="shared" si="2210"/>
        <v>11.5</v>
      </c>
      <c r="P2104" s="110">
        <f t="shared" si="2211"/>
        <v>19.5</v>
      </c>
      <c r="Q2104" s="79">
        <f>VLOOKUP(VLOOKUP(DATEVALUE(TEXT(A2104,"m/d/yyyy")),FY24_Temp[],5,FALSE)&amp;TEXT(A2104,"-h"),TempDelta[],4,FALSE)</f>
        <v>0.92499999489103046</v>
      </c>
      <c r="R2104">
        <v>10</v>
      </c>
      <c r="S2104" s="112">
        <v>1500</v>
      </c>
      <c r="T2104" s="5">
        <f>VLOOKUP(TEXT(A2104,"yy-mm")&amp;"-"&amp;IF(AND(WEEKDAY(A2104)&gt;1,WEEKDAY(A2104)&lt;7),"Wkd",TEXT(A2104,"Ddd"))&amp;"-"&amp;TEXT(A2104,"hh"),LoadTable[],3,FALSE)*0.92</f>
        <v>290.72204920255348</v>
      </c>
      <c r="U2104" s="113">
        <f t="shared" si="2212"/>
        <v>29.072204920255349</v>
      </c>
      <c r="V2104">
        <f t="shared" ref="V2104:W2104" si="2270">V2080</f>
        <v>3.2</v>
      </c>
      <c r="W2104">
        <f t="shared" si="2270"/>
        <v>2.9</v>
      </c>
      <c r="X2104" s="9">
        <v>-39.407438616666397</v>
      </c>
      <c r="Y2104" s="39"/>
    </row>
    <row r="2105" spans="1:25" ht="15" thickBot="1">
      <c r="A2105" s="149">
        <f t="shared" si="2266"/>
        <v>45923.583333330214</v>
      </c>
      <c r="B2105" s="30">
        <f t="shared" si="2221"/>
        <v>8000</v>
      </c>
      <c r="C2105" s="8">
        <v>25000</v>
      </c>
      <c r="D2105" s="187">
        <v>0</v>
      </c>
      <c r="E2105" s="187">
        <v>700</v>
      </c>
      <c r="F2105" s="187">
        <v>15000</v>
      </c>
      <c r="G2105" s="30">
        <f t="shared" si="2222"/>
        <v>2400</v>
      </c>
      <c r="H2105" s="8">
        <v>25000</v>
      </c>
      <c r="I2105" s="30">
        <f t="shared" si="2223"/>
        <v>8000</v>
      </c>
      <c r="J2105" s="187">
        <v>40000</v>
      </c>
      <c r="K2105" s="30">
        <f t="shared" si="2224"/>
        <v>8000</v>
      </c>
      <c r="L2105" s="187">
        <v>40000</v>
      </c>
      <c r="M2105" s="110">
        <v>9.5</v>
      </c>
      <c r="N2105" s="9">
        <f>VLOOKUP(DATE(YEAR(A2105),MONTH(A2105),DAY(A2105)),FY24_Temp[],3,FALSE)</f>
        <v>16.8</v>
      </c>
      <c r="O2105" s="110">
        <f t="shared" si="2210"/>
        <v>11.5</v>
      </c>
      <c r="P2105" s="110">
        <f t="shared" si="2211"/>
        <v>19.5</v>
      </c>
      <c r="Q2105" s="79">
        <f>VLOOKUP(VLOOKUP(DATEVALUE(TEXT(A2105,"m/d/yyyy")),FY24_Temp[],5,FALSE)&amp;TEXT(A2105,"-h"),TempDelta[],4,FALSE)</f>
        <v>0.77985713311604088</v>
      </c>
      <c r="R2105">
        <v>10</v>
      </c>
      <c r="S2105" s="112">
        <v>1500</v>
      </c>
      <c r="T2105" s="5">
        <f>VLOOKUP(TEXT(A2105,"yy-mm")&amp;"-"&amp;IF(AND(WEEKDAY(A2105)&gt;1,WEEKDAY(A2105)&lt;7),"Wkd",TEXT(A2105,"Ddd"))&amp;"-"&amp;TEXT(A2105,"hh"),LoadTable[],3,FALSE)*0.92</f>
        <v>363.28132000000005</v>
      </c>
      <c r="U2105" s="113">
        <f t="shared" si="2212"/>
        <v>36.328132000000004</v>
      </c>
      <c r="V2105">
        <f t="shared" ref="V2105:W2105" si="2271">V2081</f>
        <v>3.5</v>
      </c>
      <c r="W2105">
        <f t="shared" si="2271"/>
        <v>2.9</v>
      </c>
      <c r="X2105" s="9">
        <v>-39.485233166666397</v>
      </c>
      <c r="Y2105" s="39"/>
    </row>
    <row r="2106" spans="1:25" ht="15" thickBot="1">
      <c r="A2106" s="149">
        <f t="shared" si="2266"/>
        <v>45923.624999996879</v>
      </c>
      <c r="B2106" s="30">
        <f t="shared" si="2221"/>
        <v>8000</v>
      </c>
      <c r="C2106" s="8">
        <v>25000</v>
      </c>
      <c r="D2106" s="187">
        <v>0</v>
      </c>
      <c r="E2106" s="187">
        <v>700</v>
      </c>
      <c r="F2106" s="187">
        <v>15000</v>
      </c>
      <c r="G2106" s="30">
        <f t="shared" si="2222"/>
        <v>2400</v>
      </c>
      <c r="H2106" s="8">
        <v>25000</v>
      </c>
      <c r="I2106" s="30">
        <f t="shared" si="2223"/>
        <v>8000</v>
      </c>
      <c r="J2106" s="187">
        <v>40000</v>
      </c>
      <c r="K2106" s="30">
        <f t="shared" si="2224"/>
        <v>8000</v>
      </c>
      <c r="L2106" s="187">
        <v>40000</v>
      </c>
      <c r="M2106" s="110">
        <v>9.5</v>
      </c>
      <c r="N2106" s="9">
        <f>VLOOKUP(DATE(YEAR(A2106),MONTH(A2106),DAY(A2106)),FY24_Temp[],3,FALSE)</f>
        <v>16.8</v>
      </c>
      <c r="O2106" s="110">
        <f t="shared" si="2210"/>
        <v>11.5</v>
      </c>
      <c r="P2106" s="110">
        <f t="shared" si="2211"/>
        <v>19.5</v>
      </c>
      <c r="Q2106" s="79">
        <f>VLOOKUP(VLOOKUP(DATEVALUE(TEXT(A2106,"m/d/yyyy")),FY24_Temp[],5,FALSE)&amp;TEXT(A2106,"-h"),TempDelta[],4,FALSE)</f>
        <v>0.30699999923152582</v>
      </c>
      <c r="R2106">
        <v>10</v>
      </c>
      <c r="S2106" s="112">
        <v>1500</v>
      </c>
      <c r="T2106" s="5">
        <f>VLOOKUP(TEXT(A2106,"yy-mm")&amp;"-"&amp;IF(AND(WEEKDAY(A2106)&gt;1,WEEKDAY(A2106)&lt;7),"Wkd",TEXT(A2106,"Ddd"))&amp;"-"&amp;TEXT(A2106,"hh"),LoadTable[],3,FALSE)*0.92</f>
        <v>570.3300004440199</v>
      </c>
      <c r="U2106" s="113">
        <f t="shared" si="2212"/>
        <v>57.033000044401987</v>
      </c>
      <c r="V2106">
        <f t="shared" ref="V2106:W2106" si="2272">V2082</f>
        <v>3.2</v>
      </c>
      <c r="W2106">
        <f t="shared" si="2272"/>
        <v>2.9</v>
      </c>
      <c r="X2106" s="9">
        <v>-39.563027716666397</v>
      </c>
      <c r="Y2106" s="39"/>
    </row>
    <row r="2107" spans="1:25" ht="15" thickBot="1">
      <c r="A2107" s="149">
        <f t="shared" si="2266"/>
        <v>45923.666666663543</v>
      </c>
      <c r="B2107" s="30">
        <f t="shared" si="2221"/>
        <v>8000</v>
      </c>
      <c r="C2107" s="8">
        <v>25000</v>
      </c>
      <c r="D2107" s="187">
        <v>0</v>
      </c>
      <c r="E2107" s="187">
        <v>700</v>
      </c>
      <c r="F2107" s="187">
        <v>15000</v>
      </c>
      <c r="G2107" s="30">
        <f t="shared" si="2222"/>
        <v>2400</v>
      </c>
      <c r="H2107" s="8">
        <v>25000</v>
      </c>
      <c r="I2107" s="30">
        <f t="shared" si="2223"/>
        <v>8000</v>
      </c>
      <c r="J2107" s="187">
        <v>40000</v>
      </c>
      <c r="K2107" s="30">
        <f t="shared" si="2224"/>
        <v>8000</v>
      </c>
      <c r="L2107" s="187">
        <v>40000</v>
      </c>
      <c r="M2107" s="110">
        <v>9.5</v>
      </c>
      <c r="N2107" s="9">
        <f>VLOOKUP(DATE(YEAR(A2107),MONTH(A2107),DAY(A2107)),FY24_Temp[],3,FALSE)</f>
        <v>16.8</v>
      </c>
      <c r="O2107" s="110">
        <f t="shared" si="2210"/>
        <v>11.5</v>
      </c>
      <c r="P2107" s="110">
        <f t="shared" si="2211"/>
        <v>19.5</v>
      </c>
      <c r="Q2107" s="79">
        <f>VLOOKUP(VLOOKUP(DATEVALUE(TEXT(A2107,"m/d/yyyy")),FY24_Temp[],5,FALSE)&amp;TEXT(A2107,"-h"),TempDelta[],4,FALSE)</f>
        <v>0.38057142476152095</v>
      </c>
      <c r="R2107">
        <v>10</v>
      </c>
      <c r="S2107" s="112">
        <v>1500</v>
      </c>
      <c r="T2107" s="5">
        <f>VLOOKUP(TEXT(A2107,"yy-mm")&amp;"-"&amp;IF(AND(WEEKDAY(A2107)&gt;1,WEEKDAY(A2107)&lt;7),"Wkd",TEXT(A2107,"Ddd"))&amp;"-"&amp;TEXT(A2107,"hh"),LoadTable[],3,FALSE)*0.92</f>
        <v>602.16876690131596</v>
      </c>
      <c r="U2107" s="113">
        <f t="shared" si="2212"/>
        <v>60.216876690131599</v>
      </c>
      <c r="V2107">
        <f t="shared" ref="V2107:W2107" si="2273">V2083</f>
        <v>3.5</v>
      </c>
      <c r="W2107">
        <f t="shared" si="2273"/>
        <v>3</v>
      </c>
      <c r="X2107" s="9">
        <v>-39.640822266666397</v>
      </c>
      <c r="Y2107" s="39"/>
    </row>
    <row r="2108" spans="1:25" ht="15" thickBot="1">
      <c r="A2108" s="149">
        <f t="shared" si="2266"/>
        <v>45923.708333330207</v>
      </c>
      <c r="B2108" s="30">
        <f t="shared" si="2221"/>
        <v>8000</v>
      </c>
      <c r="C2108" s="8">
        <v>25000</v>
      </c>
      <c r="D2108" s="187">
        <v>0</v>
      </c>
      <c r="E2108" s="187">
        <v>700</v>
      </c>
      <c r="F2108" s="187">
        <v>15000</v>
      </c>
      <c r="G2108" s="30">
        <f t="shared" si="2222"/>
        <v>2400</v>
      </c>
      <c r="H2108" s="8">
        <v>25000</v>
      </c>
      <c r="I2108" s="30">
        <f t="shared" si="2223"/>
        <v>8000</v>
      </c>
      <c r="J2108" s="187">
        <v>40000</v>
      </c>
      <c r="K2108" s="30">
        <f t="shared" si="2224"/>
        <v>8000</v>
      </c>
      <c r="L2108" s="187">
        <v>40000</v>
      </c>
      <c r="M2108" s="110">
        <v>9.5</v>
      </c>
      <c r="N2108" s="9">
        <f>VLOOKUP(DATE(YEAR(A2108),MONTH(A2108),DAY(A2108)),FY24_Temp[],3,FALSE)</f>
        <v>16.8</v>
      </c>
      <c r="O2108" s="110">
        <f t="shared" si="2210"/>
        <v>11.5</v>
      </c>
      <c r="P2108" s="110">
        <f t="shared" si="2211"/>
        <v>19.5</v>
      </c>
      <c r="Q2108" s="79">
        <f>VLOOKUP(VLOOKUP(DATEVALUE(TEXT(A2108,"m/d/yyyy")),FY24_Temp[],5,FALSE)&amp;TEXT(A2108,"-h"),TempDelta[],4,FALSE)</f>
        <v>0.65464284856404575</v>
      </c>
      <c r="R2108">
        <v>10</v>
      </c>
      <c r="S2108" s="112">
        <v>1500</v>
      </c>
      <c r="T2108" s="5">
        <f>VLOOKUP(TEXT(A2108,"yy-mm")&amp;"-"&amp;IF(AND(WEEKDAY(A2108)&gt;1,WEEKDAY(A2108)&lt;7),"Wkd",TEXT(A2108,"Ddd"))&amp;"-"&amp;TEXT(A2108,"hh"),LoadTable[],3,FALSE)*0.92</f>
        <v>602.16876690131596</v>
      </c>
      <c r="U2108" s="113">
        <f t="shared" si="2212"/>
        <v>60.216876690131599</v>
      </c>
      <c r="V2108">
        <f t="shared" ref="V2108:W2108" si="2274">V2084</f>
        <v>3.6</v>
      </c>
      <c r="W2108">
        <f t="shared" si="2274"/>
        <v>3</v>
      </c>
      <c r="X2108" s="9">
        <v>-39.718616816666398</v>
      </c>
      <c r="Y2108" s="39"/>
    </row>
    <row r="2109" spans="1:25" ht="15" thickBot="1">
      <c r="A2109" s="149">
        <f t="shared" si="2266"/>
        <v>45923.749999996871</v>
      </c>
      <c r="B2109" s="30">
        <f t="shared" si="2221"/>
        <v>5000</v>
      </c>
      <c r="C2109" s="8">
        <v>25000</v>
      </c>
      <c r="D2109" s="187">
        <v>0</v>
      </c>
      <c r="E2109" s="187">
        <v>700</v>
      </c>
      <c r="F2109" s="187">
        <v>15000</v>
      </c>
      <c r="G2109" s="30">
        <f t="shared" si="2222"/>
        <v>2400</v>
      </c>
      <c r="H2109" s="8">
        <v>25000</v>
      </c>
      <c r="I2109" s="30">
        <f t="shared" si="2223"/>
        <v>5000</v>
      </c>
      <c r="J2109" s="187">
        <v>40000</v>
      </c>
      <c r="K2109" s="30">
        <f t="shared" si="2224"/>
        <v>5000</v>
      </c>
      <c r="L2109" s="187">
        <v>40000</v>
      </c>
      <c r="M2109" s="110">
        <v>9.5</v>
      </c>
      <c r="N2109" s="9">
        <f>VLOOKUP(DATE(YEAR(A2109),MONTH(A2109),DAY(A2109)),FY24_Temp[],3,FALSE)</f>
        <v>16.8</v>
      </c>
      <c r="O2109" s="110">
        <f t="shared" si="2210"/>
        <v>11.5</v>
      </c>
      <c r="P2109" s="110">
        <f t="shared" si="2211"/>
        <v>19.5</v>
      </c>
      <c r="Q2109" s="79">
        <f>VLOOKUP(VLOOKUP(DATEVALUE(TEXT(A2109,"m/d/yyyy")),FY24_Temp[],5,FALSE)&amp;TEXT(A2109,"-h"),TempDelta[],4,FALSE)</f>
        <v>0.96042857638427193</v>
      </c>
      <c r="R2109">
        <v>10</v>
      </c>
      <c r="S2109" s="112">
        <v>1500</v>
      </c>
      <c r="T2109" s="5">
        <f>VLOOKUP(TEXT(A2109,"yy-mm")&amp;"-"&amp;IF(AND(WEEKDAY(A2109)&gt;1,WEEKDAY(A2109)&lt;7),"Wkd",TEXT(A2109,"Ddd"))&amp;"-"&amp;TEXT(A2109,"hh"),LoadTable[],3,FALSE)*0.92</f>
        <v>602.16876690131596</v>
      </c>
      <c r="U2109" s="113">
        <f t="shared" si="2212"/>
        <v>60.216876690131599</v>
      </c>
      <c r="V2109">
        <f t="shared" ref="V2109:W2109" si="2275">V2085</f>
        <v>2.9</v>
      </c>
      <c r="W2109">
        <f t="shared" si="2275"/>
        <v>3</v>
      </c>
      <c r="X2109" s="9">
        <v>-39.796411366666398</v>
      </c>
      <c r="Y2109" s="39"/>
    </row>
    <row r="2110" spans="1:25" ht="15" thickBot="1">
      <c r="A2110" s="149">
        <f t="shared" si="2266"/>
        <v>45923.791666663536</v>
      </c>
      <c r="B2110" s="30">
        <f t="shared" si="2221"/>
        <v>5000</v>
      </c>
      <c r="C2110" s="8">
        <v>25000</v>
      </c>
      <c r="D2110" s="187">
        <v>0</v>
      </c>
      <c r="E2110" s="187">
        <v>700</v>
      </c>
      <c r="F2110" s="187">
        <v>15000</v>
      </c>
      <c r="G2110" s="30">
        <f t="shared" si="2222"/>
        <v>2400</v>
      </c>
      <c r="H2110" s="8">
        <v>25000</v>
      </c>
      <c r="I2110" s="30">
        <f t="shared" si="2223"/>
        <v>5000</v>
      </c>
      <c r="J2110" s="187">
        <v>40000</v>
      </c>
      <c r="K2110" s="30">
        <f t="shared" si="2224"/>
        <v>5000</v>
      </c>
      <c r="L2110" s="187">
        <v>40000</v>
      </c>
      <c r="M2110" s="110">
        <v>9.5</v>
      </c>
      <c r="N2110" s="9">
        <f>VLOOKUP(DATE(YEAR(A2110),MONTH(A2110),DAY(A2110)),FY24_Temp[],3,FALSE)</f>
        <v>16.8</v>
      </c>
      <c r="O2110" s="110">
        <f t="shared" si="2210"/>
        <v>11.5</v>
      </c>
      <c r="P2110" s="110">
        <f t="shared" si="2211"/>
        <v>19.5</v>
      </c>
      <c r="Q2110" s="79">
        <f>VLOOKUP(VLOOKUP(DATEVALUE(TEXT(A2110,"m/d/yyyy")),FY24_Temp[],5,FALSE)&amp;TEXT(A2110,"-h"),TempDelta[],4,FALSE)</f>
        <v>1.0787142855780465</v>
      </c>
      <c r="R2110">
        <v>10</v>
      </c>
      <c r="S2110" s="112">
        <v>1500</v>
      </c>
      <c r="T2110" s="5">
        <f>VLOOKUP(TEXT(A2110,"yy-mm")&amp;"-"&amp;IF(AND(WEEKDAY(A2110)&gt;1,WEEKDAY(A2110)&lt;7),"Wkd",TEXT(A2110,"Ddd"))&amp;"-"&amp;TEXT(A2110,"hh"),LoadTable[],3,FALSE)*0.92</f>
        <v>600.14662419619219</v>
      </c>
      <c r="U2110" s="113">
        <f t="shared" si="2212"/>
        <v>60.014662419619221</v>
      </c>
      <c r="V2110">
        <f t="shared" ref="V2110:W2110" si="2276">V2086</f>
        <v>3</v>
      </c>
      <c r="W2110">
        <f t="shared" si="2276"/>
        <v>3</v>
      </c>
      <c r="X2110" s="9">
        <v>-39.874205916666398</v>
      </c>
      <c r="Y2110" s="39"/>
    </row>
    <row r="2111" spans="1:25" ht="15" thickBot="1">
      <c r="A2111" s="149">
        <f t="shared" si="2266"/>
        <v>45923.8333333302</v>
      </c>
      <c r="B2111" s="30">
        <f t="shared" si="2221"/>
        <v>5000</v>
      </c>
      <c r="C2111" s="8">
        <v>25000</v>
      </c>
      <c r="D2111" s="187">
        <v>0</v>
      </c>
      <c r="E2111" s="187">
        <v>700</v>
      </c>
      <c r="F2111" s="187">
        <v>15000</v>
      </c>
      <c r="G2111" s="30">
        <f t="shared" si="2222"/>
        <v>2400</v>
      </c>
      <c r="H2111" s="8">
        <v>25000</v>
      </c>
      <c r="I2111" s="30">
        <f t="shared" si="2223"/>
        <v>5000</v>
      </c>
      <c r="J2111" s="187">
        <v>40000</v>
      </c>
      <c r="K2111" s="30">
        <f t="shared" si="2224"/>
        <v>5000</v>
      </c>
      <c r="L2111" s="187">
        <v>40000</v>
      </c>
      <c r="M2111" s="110">
        <v>9.5</v>
      </c>
      <c r="N2111" s="9">
        <f>VLOOKUP(DATE(YEAR(A2111),MONTH(A2111),DAY(A2111)),FY24_Temp[],3,FALSE)</f>
        <v>16.8</v>
      </c>
      <c r="O2111" s="110">
        <f t="shared" si="2210"/>
        <v>11.5</v>
      </c>
      <c r="P2111" s="110">
        <f t="shared" si="2211"/>
        <v>19.5</v>
      </c>
      <c r="Q2111" s="79">
        <f>VLOOKUP(VLOOKUP(DATEVALUE(TEXT(A2111,"m/d/yyyy")),FY24_Temp[],5,FALSE)&amp;TEXT(A2111,"-h"),TempDelta[],4,FALSE)</f>
        <v>1.1579285774912154</v>
      </c>
      <c r="R2111">
        <v>10</v>
      </c>
      <c r="S2111" s="112">
        <v>1500</v>
      </c>
      <c r="T2111" s="5">
        <f>VLOOKUP(TEXT(A2111,"yy-mm")&amp;"-"&amp;IF(AND(WEEKDAY(A2111)&gt;1,WEEKDAY(A2111)&lt;7),"Wkd",TEXT(A2111,"Ddd"))&amp;"-"&amp;TEXT(A2111,"hh"),LoadTable[],3,FALSE)*0.92</f>
        <v>600.14662419619219</v>
      </c>
      <c r="U2111" s="113">
        <f t="shared" si="2212"/>
        <v>60.014662419619221</v>
      </c>
      <c r="V2111">
        <f t="shared" ref="V2111:W2111" si="2277">V2087</f>
        <v>2.8</v>
      </c>
      <c r="W2111">
        <f t="shared" si="2277"/>
        <v>3.1</v>
      </c>
      <c r="X2111" s="9">
        <v>-39.952000466666398</v>
      </c>
      <c r="Y2111" s="39"/>
    </row>
    <row r="2112" spans="1:25" ht="15" thickBot="1">
      <c r="A2112" s="149">
        <f t="shared" si="2266"/>
        <v>45923.874999996864</v>
      </c>
      <c r="B2112" s="30">
        <f t="shared" si="2221"/>
        <v>5000</v>
      </c>
      <c r="C2112" s="8">
        <v>25000</v>
      </c>
      <c r="D2112" s="187">
        <v>0</v>
      </c>
      <c r="E2112" s="187">
        <v>700</v>
      </c>
      <c r="F2112" s="187">
        <v>15000</v>
      </c>
      <c r="G2112" s="30">
        <f t="shared" si="2222"/>
        <v>2400</v>
      </c>
      <c r="H2112" s="8">
        <v>25000</v>
      </c>
      <c r="I2112" s="30">
        <f t="shared" si="2223"/>
        <v>5000</v>
      </c>
      <c r="J2112" s="187">
        <v>40000</v>
      </c>
      <c r="K2112" s="30">
        <f t="shared" si="2224"/>
        <v>5000</v>
      </c>
      <c r="L2112" s="187">
        <v>40000</v>
      </c>
      <c r="M2112" s="110">
        <v>9.5</v>
      </c>
      <c r="N2112" s="9">
        <f>VLOOKUP(DATE(YEAR(A2112),MONTH(A2112),DAY(A2112)),FY24_Temp[],3,FALSE)</f>
        <v>16.8</v>
      </c>
      <c r="O2112" s="110">
        <f t="shared" si="2210"/>
        <v>11.5</v>
      </c>
      <c r="P2112" s="110">
        <f t="shared" si="2211"/>
        <v>19.5</v>
      </c>
      <c r="Q2112" s="79">
        <f>VLOOKUP(VLOOKUP(DATEVALUE(TEXT(A2112,"m/d/yyyy")),FY24_Temp[],5,FALSE)&amp;TEXT(A2112,"-h"),TempDelta[],4,FALSE)</f>
        <v>1.1765714372907365</v>
      </c>
      <c r="R2112">
        <v>10</v>
      </c>
      <c r="S2112" s="112">
        <v>1500</v>
      </c>
      <c r="T2112" s="5">
        <f>VLOOKUP(TEXT(A2112,"yy-mm")&amp;"-"&amp;IF(AND(WEEKDAY(A2112)&gt;1,WEEKDAY(A2112)&lt;7),"Wkd",TEXT(A2112,"Ddd"))&amp;"-"&amp;TEXT(A2112,"hh"),LoadTable[],3,FALSE)*0.92</f>
        <v>523.94879142973434</v>
      </c>
      <c r="U2112" s="113">
        <f t="shared" si="2212"/>
        <v>52.394879142973437</v>
      </c>
      <c r="V2112">
        <f t="shared" ref="V2112:W2112" si="2278">V2088</f>
        <v>3.5</v>
      </c>
      <c r="W2112">
        <f t="shared" si="2278"/>
        <v>3.1</v>
      </c>
      <c r="X2112" s="9">
        <v>-40.029795016666398</v>
      </c>
      <c r="Y2112" s="39"/>
    </row>
    <row r="2113" spans="1:25" ht="15" thickBot="1">
      <c r="A2113" s="149">
        <f t="shared" si="2266"/>
        <v>45923.916666663528</v>
      </c>
      <c r="B2113" s="30">
        <f t="shared" si="2221"/>
        <v>5000</v>
      </c>
      <c r="C2113" s="8">
        <v>25000</v>
      </c>
      <c r="D2113" s="187">
        <v>0</v>
      </c>
      <c r="E2113" s="187">
        <v>700</v>
      </c>
      <c r="F2113" s="187">
        <v>15000</v>
      </c>
      <c r="G2113" s="30">
        <f t="shared" si="2222"/>
        <v>2400</v>
      </c>
      <c r="H2113" s="8">
        <v>25000</v>
      </c>
      <c r="I2113" s="30">
        <f t="shared" si="2223"/>
        <v>5000</v>
      </c>
      <c r="J2113" s="187">
        <v>40000</v>
      </c>
      <c r="K2113" s="30">
        <f t="shared" si="2224"/>
        <v>5000</v>
      </c>
      <c r="L2113" s="187">
        <v>40000</v>
      </c>
      <c r="M2113" s="110">
        <v>9.5</v>
      </c>
      <c r="N2113" s="9">
        <f>VLOOKUP(DATE(YEAR(A2113),MONTH(A2113),DAY(A2113)),FY24_Temp[],3,FALSE)</f>
        <v>16.8</v>
      </c>
      <c r="O2113" s="110">
        <f t="shared" si="2210"/>
        <v>11.5</v>
      </c>
      <c r="P2113" s="110">
        <f t="shared" si="2211"/>
        <v>19.5</v>
      </c>
      <c r="Q2113" s="79">
        <f>VLOOKUP(VLOOKUP(DATEVALUE(TEXT(A2113,"m/d/yyyy")),FY24_Temp[],5,FALSE)&amp;TEXT(A2113,"-h"),TempDelta[],4,FALSE)</f>
        <v>1.6277142763137817</v>
      </c>
      <c r="R2113">
        <v>10</v>
      </c>
      <c r="S2113" s="112">
        <v>1500</v>
      </c>
      <c r="T2113" s="5">
        <f>VLOOKUP(TEXT(A2113,"yy-mm")&amp;"-"&amp;IF(AND(WEEKDAY(A2113)&gt;1,WEEKDAY(A2113)&lt;7),"Wkd",TEXT(A2113,"Ddd"))&amp;"-"&amp;TEXT(A2113,"hh"),LoadTable[],3,FALSE)*0.92</f>
        <v>421.91858468239752</v>
      </c>
      <c r="U2113" s="113">
        <f t="shared" si="2212"/>
        <v>42.191858468239751</v>
      </c>
      <c r="V2113">
        <f t="shared" ref="V2113:W2113" si="2279">V2089</f>
        <v>2.9</v>
      </c>
      <c r="W2113">
        <f t="shared" si="2279"/>
        <v>3.1</v>
      </c>
      <c r="X2113" s="9">
        <v>-40.107589566666398</v>
      </c>
      <c r="Y2113" s="39"/>
    </row>
    <row r="2114" spans="1:25" ht="15" thickBot="1">
      <c r="A2114" s="149">
        <f t="shared" si="2266"/>
        <v>45923.958333330193</v>
      </c>
      <c r="B2114" s="30">
        <f t="shared" si="2221"/>
        <v>5000</v>
      </c>
      <c r="C2114" s="8">
        <v>25000</v>
      </c>
      <c r="D2114" s="187">
        <v>0</v>
      </c>
      <c r="E2114" s="187">
        <v>700</v>
      </c>
      <c r="F2114" s="187">
        <v>15000</v>
      </c>
      <c r="G2114" s="30">
        <f t="shared" si="2222"/>
        <v>2400</v>
      </c>
      <c r="H2114" s="8">
        <v>25000</v>
      </c>
      <c r="I2114" s="30">
        <f t="shared" si="2223"/>
        <v>5000</v>
      </c>
      <c r="J2114" s="187">
        <v>40000</v>
      </c>
      <c r="K2114" s="30">
        <f t="shared" si="2224"/>
        <v>5000</v>
      </c>
      <c r="L2114" s="187">
        <v>40000</v>
      </c>
      <c r="M2114" s="110">
        <v>9.5</v>
      </c>
      <c r="N2114" s="9">
        <f>VLOOKUP(DATE(YEAR(A2114),MONTH(A2114),DAY(A2114)),FY24_Temp[],3,FALSE)</f>
        <v>16.8</v>
      </c>
      <c r="O2114" s="110">
        <f t="shared" si="2210"/>
        <v>11.5</v>
      </c>
      <c r="P2114" s="110">
        <f t="shared" si="2211"/>
        <v>19.5</v>
      </c>
      <c r="Q2114" s="79">
        <f>VLOOKUP(VLOOKUP(DATEVALUE(TEXT(A2114,"m/d/yyyy")),FY24_Temp[],5,FALSE)&amp;TEXT(A2114,"-h"),TempDelta[],4,FALSE)</f>
        <v>1.758285709789821</v>
      </c>
      <c r="R2114">
        <v>10</v>
      </c>
      <c r="S2114" s="112">
        <v>1500</v>
      </c>
      <c r="T2114" s="5">
        <f>VLOOKUP(TEXT(A2114,"yy-mm")&amp;"-"&amp;IF(AND(WEEKDAY(A2114)&gt;1,WEEKDAY(A2114)&lt;7),"Wkd",TEXT(A2114,"Ddd"))&amp;"-"&amp;TEXT(A2114,"hh"),LoadTable[],3,FALSE)*0.92</f>
        <v>289.33527113913209</v>
      </c>
      <c r="U2114" s="113">
        <f t="shared" si="2212"/>
        <v>28.933527113913208</v>
      </c>
      <c r="V2114">
        <f t="shared" ref="V2114:W2114" si="2280">V2090</f>
        <v>3.6</v>
      </c>
      <c r="W2114">
        <f t="shared" si="2280"/>
        <v>3.1</v>
      </c>
      <c r="X2114" s="9">
        <v>-40.185384116666398</v>
      </c>
      <c r="Y2114" s="39"/>
    </row>
    <row r="2115" spans="1:25" ht="15" thickBot="1">
      <c r="A2115" s="149">
        <f t="shared" si="2266"/>
        <v>45923.999999996857</v>
      </c>
      <c r="B2115" s="30">
        <f t="shared" si="2221"/>
        <v>5000</v>
      </c>
      <c r="C2115" s="8">
        <v>25000</v>
      </c>
      <c r="D2115" s="187">
        <v>0</v>
      </c>
      <c r="E2115" s="187">
        <v>700</v>
      </c>
      <c r="F2115" s="187">
        <v>15000</v>
      </c>
      <c r="G2115" s="30">
        <f t="shared" si="2222"/>
        <v>2400</v>
      </c>
      <c r="H2115" s="8">
        <v>25000</v>
      </c>
      <c r="I2115" s="30">
        <f t="shared" si="2223"/>
        <v>5000</v>
      </c>
      <c r="J2115" s="187">
        <v>40000</v>
      </c>
      <c r="K2115" s="30">
        <f t="shared" si="2224"/>
        <v>5000</v>
      </c>
      <c r="L2115" s="187">
        <v>40000</v>
      </c>
      <c r="M2115" s="110">
        <v>9.5</v>
      </c>
      <c r="N2115" s="9">
        <f>VLOOKUP(DATE(YEAR(A2115),MONTH(A2115),DAY(A2115)),FY24_Temp[],3,FALSE)</f>
        <v>16.8</v>
      </c>
      <c r="O2115" s="110">
        <f t="shared" si="2210"/>
        <v>11.5</v>
      </c>
      <c r="P2115" s="110">
        <f t="shared" si="2211"/>
        <v>19.5</v>
      </c>
      <c r="Q2115" s="79">
        <f>VLOOKUP(VLOOKUP(DATEVALUE(TEXT(A2115,"m/d/yyyy")),FY24_Temp[],5,FALSE)&amp;TEXT(A2115,"-h"),TempDelta[],4,FALSE)</f>
        <v>1.8245714221681868</v>
      </c>
      <c r="R2115">
        <v>10</v>
      </c>
      <c r="S2115" s="112">
        <v>1500</v>
      </c>
      <c r="T2115" s="5">
        <f>VLOOKUP(TEXT(A2115,"yy-mm")&amp;"-"&amp;IF(AND(WEEKDAY(A2115)&gt;1,WEEKDAY(A2115)&lt;7),"Wkd",TEXT(A2115,"Ddd"))&amp;"-"&amp;TEXT(A2115,"hh"),LoadTable[],3,FALSE)*0.92</f>
        <v>289.0624787084426</v>
      </c>
      <c r="U2115" s="113">
        <f t="shared" si="2212"/>
        <v>28.906247870844261</v>
      </c>
      <c r="V2115">
        <f t="shared" ref="V2115:W2115" si="2281">V2091</f>
        <v>3</v>
      </c>
      <c r="W2115">
        <f t="shared" si="2281"/>
        <v>3.2</v>
      </c>
      <c r="X2115" s="9">
        <v>-40.263178666666398</v>
      </c>
      <c r="Y2115" s="39"/>
    </row>
    <row r="2116" spans="1:25" ht="15" thickBot="1">
      <c r="A2116" s="149">
        <f t="shared" si="2266"/>
        <v>45924.041666663521</v>
      </c>
      <c r="B2116" s="30">
        <f t="shared" si="2221"/>
        <v>5000</v>
      </c>
      <c r="C2116" s="8">
        <v>25000</v>
      </c>
      <c r="D2116" s="187">
        <v>0</v>
      </c>
      <c r="E2116" s="187">
        <v>700</v>
      </c>
      <c r="F2116" s="187">
        <v>15000</v>
      </c>
      <c r="G2116" s="30">
        <f t="shared" si="2222"/>
        <v>2400</v>
      </c>
      <c r="H2116" s="8">
        <v>25000</v>
      </c>
      <c r="I2116" s="30">
        <f t="shared" si="2223"/>
        <v>5000</v>
      </c>
      <c r="J2116" s="187">
        <v>40000</v>
      </c>
      <c r="K2116" s="30">
        <f t="shared" si="2224"/>
        <v>5000</v>
      </c>
      <c r="L2116" s="187">
        <v>40000</v>
      </c>
      <c r="M2116" s="110">
        <v>9.5</v>
      </c>
      <c r="N2116" s="9">
        <f>VLOOKUP(DATE(YEAR(A2116),MONTH(A2116),DAY(A2116)),FY24_Temp[],3,FALSE)</f>
        <v>16.8</v>
      </c>
      <c r="O2116" s="110">
        <f t="shared" ref="O2116:O2179" si="2282">15.5-4</f>
        <v>11.5</v>
      </c>
      <c r="P2116" s="110">
        <f t="shared" ref="P2116:P2179" si="2283">15.5+4</f>
        <v>19.5</v>
      </c>
      <c r="Q2116" s="79">
        <f>VLOOKUP(VLOOKUP(DATEVALUE(TEXT(A2116,"m/d/yyyy")),FY24_Temp[],5,FALSE)&amp;TEXT(A2116,"-h"),TempDelta[],4,FALSE)</f>
        <v>1.8974285977227348</v>
      </c>
      <c r="R2116">
        <v>10</v>
      </c>
      <c r="S2116" s="112">
        <v>1500</v>
      </c>
      <c r="T2116" s="5">
        <f>VLOOKUP(TEXT(A2116,"yy-mm")&amp;"-"&amp;IF(AND(WEEKDAY(A2116)&gt;1,WEEKDAY(A2116)&lt;7),"Wkd",TEXT(A2116,"Ddd"))&amp;"-"&amp;TEXT(A2116,"hh"),LoadTable[],3,FALSE)*0.92</f>
        <v>289.0624787084426</v>
      </c>
      <c r="U2116" s="113">
        <f t="shared" ref="U2116:U2179" si="2284">T2116/10</f>
        <v>28.906247870844261</v>
      </c>
      <c r="V2116">
        <f t="shared" ref="V2116:W2116" si="2285">V2092</f>
        <v>2.6</v>
      </c>
      <c r="W2116">
        <f t="shared" si="2285"/>
        <v>3.2</v>
      </c>
      <c r="X2116" s="9">
        <v>-40.340973216666399</v>
      </c>
      <c r="Y2116" s="39"/>
    </row>
    <row r="2117" spans="1:25" ht="15" thickBot="1">
      <c r="A2117" s="149">
        <f t="shared" si="2266"/>
        <v>45924.083333330185</v>
      </c>
      <c r="B2117" s="30">
        <f t="shared" si="2221"/>
        <v>5000</v>
      </c>
      <c r="C2117" s="8">
        <v>25000</v>
      </c>
      <c r="D2117" s="187">
        <v>0</v>
      </c>
      <c r="E2117" s="187">
        <v>700</v>
      </c>
      <c r="F2117" s="187">
        <v>15000</v>
      </c>
      <c r="G2117" s="30">
        <f t="shared" si="2222"/>
        <v>2400</v>
      </c>
      <c r="H2117" s="8">
        <v>25000</v>
      </c>
      <c r="I2117" s="30">
        <f t="shared" si="2223"/>
        <v>5000</v>
      </c>
      <c r="J2117" s="187">
        <v>40000</v>
      </c>
      <c r="K2117" s="30">
        <f t="shared" si="2224"/>
        <v>5000</v>
      </c>
      <c r="L2117" s="187">
        <v>40000</v>
      </c>
      <c r="M2117" s="110">
        <v>9.5</v>
      </c>
      <c r="N2117" s="9">
        <f>VLOOKUP(DATE(YEAR(A2117),MONTH(A2117),DAY(A2117)),FY24_Temp[],3,FALSE)</f>
        <v>16.8</v>
      </c>
      <c r="O2117" s="110">
        <f t="shared" si="2282"/>
        <v>11.5</v>
      </c>
      <c r="P2117" s="110">
        <f t="shared" si="2283"/>
        <v>19.5</v>
      </c>
      <c r="Q2117" s="79">
        <f>VLOOKUP(VLOOKUP(DATEVALUE(TEXT(A2117,"m/d/yyyy")),FY24_Temp[],5,FALSE)&amp;TEXT(A2117,"-h"),TempDelta[],4,FALSE)</f>
        <v>1.9182857445308141</v>
      </c>
      <c r="R2117">
        <v>10</v>
      </c>
      <c r="S2117" s="112">
        <v>1500</v>
      </c>
      <c r="T2117" s="5">
        <f>VLOOKUP(TEXT(A2117,"yy-mm")&amp;"-"&amp;IF(AND(WEEKDAY(A2117)&gt;1,WEEKDAY(A2117)&lt;7),"Wkd",TEXT(A2117,"Ddd"))&amp;"-"&amp;TEXT(A2117,"hh"),LoadTable[],3,FALSE)*0.92</f>
        <v>289.0624787084426</v>
      </c>
      <c r="U2117" s="113">
        <f t="shared" si="2284"/>
        <v>28.906247870844261</v>
      </c>
      <c r="V2117">
        <f t="shared" ref="V2117:W2117" si="2286">V2093</f>
        <v>2.8</v>
      </c>
      <c r="W2117">
        <f t="shared" si="2286"/>
        <v>3.2</v>
      </c>
      <c r="X2117" s="9">
        <v>-40.418767766666399</v>
      </c>
      <c r="Y2117" s="39"/>
    </row>
    <row r="2118" spans="1:25" ht="15" thickBot="1">
      <c r="A2118" s="149">
        <f t="shared" si="2266"/>
        <v>45924.12499999685</v>
      </c>
      <c r="B2118" s="30">
        <f t="shared" si="2221"/>
        <v>5000</v>
      </c>
      <c r="C2118" s="8">
        <v>25000</v>
      </c>
      <c r="D2118" s="187">
        <v>0</v>
      </c>
      <c r="E2118" s="187">
        <v>700</v>
      </c>
      <c r="F2118" s="187">
        <v>15000</v>
      </c>
      <c r="G2118" s="30">
        <f t="shared" si="2222"/>
        <v>2400</v>
      </c>
      <c r="H2118" s="8">
        <v>25000</v>
      </c>
      <c r="I2118" s="30">
        <f t="shared" si="2223"/>
        <v>5000</v>
      </c>
      <c r="J2118" s="187">
        <v>40000</v>
      </c>
      <c r="K2118" s="30">
        <f t="shared" si="2224"/>
        <v>5000</v>
      </c>
      <c r="L2118" s="187">
        <v>40000</v>
      </c>
      <c r="M2118" s="110">
        <v>9.5</v>
      </c>
      <c r="N2118" s="9">
        <f>VLOOKUP(DATE(YEAR(A2118),MONTH(A2118),DAY(A2118)),FY24_Temp[],3,FALSE)</f>
        <v>16.8</v>
      </c>
      <c r="O2118" s="110">
        <f t="shared" si="2282"/>
        <v>11.5</v>
      </c>
      <c r="P2118" s="110">
        <f t="shared" si="2283"/>
        <v>19.5</v>
      </c>
      <c r="Q2118" s="79">
        <f>VLOOKUP(VLOOKUP(DATEVALUE(TEXT(A2118,"m/d/yyyy")),FY24_Temp[],5,FALSE)&amp;TEXT(A2118,"-h"),TempDelta[],4,FALSE)</f>
        <v>1.9078571796417236</v>
      </c>
      <c r="R2118">
        <v>10</v>
      </c>
      <c r="S2118" s="112">
        <v>1500</v>
      </c>
      <c r="T2118" s="5">
        <f>VLOOKUP(TEXT(A2118,"yy-mm")&amp;"-"&amp;IF(AND(WEEKDAY(A2118)&gt;1,WEEKDAY(A2118)&lt;7),"Wkd",TEXT(A2118,"Ddd"))&amp;"-"&amp;TEXT(A2118,"hh"),LoadTable[],3,FALSE)*0.92</f>
        <v>289.05894152419745</v>
      </c>
      <c r="U2118" s="113">
        <f t="shared" si="2284"/>
        <v>28.905894152419744</v>
      </c>
      <c r="V2118">
        <f t="shared" ref="V2118:W2118" si="2287">V2094</f>
        <v>2.7</v>
      </c>
      <c r="W2118">
        <f t="shared" si="2287"/>
        <v>3.2</v>
      </c>
      <c r="X2118" s="9">
        <v>-40.496562316666399</v>
      </c>
      <c r="Y2118" s="39"/>
    </row>
    <row r="2119" spans="1:25" ht="15" thickBot="1">
      <c r="A2119" s="149">
        <f t="shared" si="2266"/>
        <v>45924.166666663514</v>
      </c>
      <c r="B2119" s="30">
        <f t="shared" si="2221"/>
        <v>5000</v>
      </c>
      <c r="C2119" s="8">
        <v>25000</v>
      </c>
      <c r="D2119" s="187">
        <v>0</v>
      </c>
      <c r="E2119" s="187">
        <v>700</v>
      </c>
      <c r="F2119" s="187">
        <v>15000</v>
      </c>
      <c r="G2119" s="30">
        <f t="shared" si="2222"/>
        <v>2400</v>
      </c>
      <c r="H2119" s="8">
        <v>25000</v>
      </c>
      <c r="I2119" s="30">
        <f t="shared" si="2223"/>
        <v>5000</v>
      </c>
      <c r="J2119" s="187">
        <v>40000</v>
      </c>
      <c r="K2119" s="30">
        <f t="shared" si="2224"/>
        <v>5000</v>
      </c>
      <c r="L2119" s="187">
        <v>40000</v>
      </c>
      <c r="M2119" s="110">
        <v>9.5</v>
      </c>
      <c r="N2119" s="9">
        <f>VLOOKUP(DATE(YEAR(A2119),MONTH(A2119),DAY(A2119)),FY24_Temp[],3,FALSE)</f>
        <v>16.8</v>
      </c>
      <c r="O2119" s="110">
        <f t="shared" si="2282"/>
        <v>11.5</v>
      </c>
      <c r="P2119" s="110">
        <f t="shared" si="2283"/>
        <v>19.5</v>
      </c>
      <c r="Q2119" s="79">
        <f>VLOOKUP(VLOOKUP(DATEVALUE(TEXT(A2119,"m/d/yyyy")),FY24_Temp[],5,FALSE)&amp;TEXT(A2119,"-h"),TempDelta[],4,FALSE)</f>
        <v>1.9279999732971191</v>
      </c>
      <c r="R2119">
        <v>10</v>
      </c>
      <c r="S2119" s="112">
        <v>1500</v>
      </c>
      <c r="T2119" s="5">
        <f>VLOOKUP(TEXT(A2119,"yy-mm")&amp;"-"&amp;IF(AND(WEEKDAY(A2119)&gt;1,WEEKDAY(A2119)&lt;7),"Wkd",TEXT(A2119,"Ddd"))&amp;"-"&amp;TEXT(A2119,"hh"),LoadTable[],3,FALSE)*0.92</f>
        <v>289.05894152419745</v>
      </c>
      <c r="U2119" s="113">
        <f t="shared" si="2284"/>
        <v>28.905894152419744</v>
      </c>
      <c r="V2119">
        <f t="shared" ref="V2119:W2119" si="2288">V2095</f>
        <v>3</v>
      </c>
      <c r="W2119">
        <f t="shared" si="2288"/>
        <v>3.1</v>
      </c>
      <c r="X2119" s="9">
        <v>-40.574356866666399</v>
      </c>
      <c r="Y2119" s="39"/>
    </row>
    <row r="2120" spans="1:25" ht="15" thickBot="1">
      <c r="A2120" s="149">
        <f t="shared" si="2266"/>
        <v>45924.208333330178</v>
      </c>
      <c r="B2120" s="30">
        <f t="shared" si="2221"/>
        <v>5000</v>
      </c>
      <c r="C2120" s="8">
        <v>25000</v>
      </c>
      <c r="D2120" s="187">
        <v>0</v>
      </c>
      <c r="E2120" s="187">
        <v>700</v>
      </c>
      <c r="F2120" s="187">
        <v>15000</v>
      </c>
      <c r="G2120" s="30">
        <f t="shared" si="2222"/>
        <v>2400</v>
      </c>
      <c r="H2120" s="8">
        <v>25000</v>
      </c>
      <c r="I2120" s="30">
        <f t="shared" si="2223"/>
        <v>5000</v>
      </c>
      <c r="J2120" s="187">
        <v>40000</v>
      </c>
      <c r="K2120" s="30">
        <f t="shared" si="2224"/>
        <v>5000</v>
      </c>
      <c r="L2120" s="187">
        <v>40000</v>
      </c>
      <c r="M2120" s="110">
        <v>9.5</v>
      </c>
      <c r="N2120" s="9">
        <f>VLOOKUP(DATE(YEAR(A2120),MONTH(A2120),DAY(A2120)),FY24_Temp[],3,FALSE)</f>
        <v>16.8</v>
      </c>
      <c r="O2120" s="110">
        <f t="shared" si="2282"/>
        <v>11.5</v>
      </c>
      <c r="P2120" s="110">
        <f t="shared" si="2283"/>
        <v>19.5</v>
      </c>
      <c r="Q2120" s="79">
        <f>VLOOKUP(VLOOKUP(DATEVALUE(TEXT(A2120,"m/d/yyyy")),FY24_Temp[],5,FALSE)&amp;TEXT(A2120,"-h"),TempDelta[],4,FALSE)</f>
        <v>2.012714283806937</v>
      </c>
      <c r="R2120">
        <v>10</v>
      </c>
      <c r="S2120" s="112">
        <v>1500</v>
      </c>
      <c r="T2120" s="5">
        <f>VLOOKUP(TEXT(A2120,"yy-mm")&amp;"-"&amp;IF(AND(WEEKDAY(A2120)&gt;1,WEEKDAY(A2120)&lt;7),"Wkd",TEXT(A2120,"Ddd"))&amp;"-"&amp;TEXT(A2120,"hh"),LoadTable[],3,FALSE)*0.92</f>
        <v>289.05894152419745</v>
      </c>
      <c r="U2120" s="113">
        <f t="shared" si="2284"/>
        <v>28.905894152419744</v>
      </c>
      <c r="V2120">
        <f t="shared" ref="V2120:W2120" si="2289">V2096</f>
        <v>2.9</v>
      </c>
      <c r="W2120">
        <f t="shared" si="2289"/>
        <v>3.1</v>
      </c>
      <c r="X2120" s="9">
        <v>-40.652151416666399</v>
      </c>
      <c r="Y2120" s="39"/>
    </row>
    <row r="2121" spans="1:25" ht="15" thickBot="1">
      <c r="A2121" s="149">
        <f t="shared" si="2266"/>
        <v>45924.249999996842</v>
      </c>
      <c r="B2121" s="30">
        <f t="shared" si="2221"/>
        <v>8000</v>
      </c>
      <c r="C2121" s="8">
        <v>25000</v>
      </c>
      <c r="D2121" s="187">
        <v>0</v>
      </c>
      <c r="E2121" s="187">
        <v>700</v>
      </c>
      <c r="F2121" s="187">
        <v>15000</v>
      </c>
      <c r="G2121" s="30">
        <f t="shared" si="2222"/>
        <v>2400</v>
      </c>
      <c r="H2121" s="8">
        <v>25000</v>
      </c>
      <c r="I2121" s="30">
        <f t="shared" si="2223"/>
        <v>8000</v>
      </c>
      <c r="J2121" s="187">
        <v>40000</v>
      </c>
      <c r="K2121" s="30">
        <f t="shared" si="2224"/>
        <v>8000</v>
      </c>
      <c r="L2121" s="187">
        <v>40000</v>
      </c>
      <c r="M2121" s="110">
        <v>9.5</v>
      </c>
      <c r="N2121" s="9">
        <f>VLOOKUP(DATE(YEAR(A2121),MONTH(A2121),DAY(A2121)),FY24_Temp[],3,FALSE)</f>
        <v>16.8</v>
      </c>
      <c r="O2121" s="110">
        <f t="shared" si="2282"/>
        <v>11.5</v>
      </c>
      <c r="P2121" s="110">
        <f t="shared" si="2283"/>
        <v>19.5</v>
      </c>
      <c r="Q2121" s="79">
        <f>VLOOKUP(VLOOKUP(DATEVALUE(TEXT(A2121,"m/d/yyyy")),FY24_Temp[],5,FALSE)&amp;TEXT(A2121,"-h"),TempDelta[],4,FALSE)</f>
        <v>1.9665714332035609</v>
      </c>
      <c r="R2121">
        <v>10</v>
      </c>
      <c r="S2121" s="112">
        <v>1500</v>
      </c>
      <c r="T2121" s="5">
        <f>VLOOKUP(TEXT(A2121,"yy-mm")&amp;"-"&amp;IF(AND(WEEKDAY(A2121)&gt;1,WEEKDAY(A2121)&lt;7),"Wkd",TEXT(A2121,"Ddd"))&amp;"-"&amp;TEXT(A2121,"hh"),LoadTable[],3,FALSE)*0.92</f>
        <v>291.12479999999999</v>
      </c>
      <c r="U2121" s="113">
        <f t="shared" si="2284"/>
        <v>29.112479999999998</v>
      </c>
      <c r="V2121">
        <f t="shared" ref="V2121:W2121" si="2290">V2097</f>
        <v>2.5</v>
      </c>
      <c r="W2121">
        <f t="shared" si="2290"/>
        <v>3.1</v>
      </c>
      <c r="X2121" s="9">
        <v>-40.729945966666399</v>
      </c>
      <c r="Y2121" s="39"/>
    </row>
    <row r="2122" spans="1:25" ht="15" thickBot="1">
      <c r="A2122" s="149">
        <f t="shared" si="2266"/>
        <v>45924.291666663506</v>
      </c>
      <c r="B2122" s="30">
        <f t="shared" si="2221"/>
        <v>8000</v>
      </c>
      <c r="C2122" s="8">
        <v>25000</v>
      </c>
      <c r="D2122" s="187">
        <v>0</v>
      </c>
      <c r="E2122" s="187">
        <v>700</v>
      </c>
      <c r="F2122" s="187">
        <v>15000</v>
      </c>
      <c r="G2122" s="30">
        <f t="shared" si="2222"/>
        <v>2400</v>
      </c>
      <c r="H2122" s="8">
        <v>25000</v>
      </c>
      <c r="I2122" s="30">
        <f t="shared" si="2223"/>
        <v>8000</v>
      </c>
      <c r="J2122" s="187">
        <v>40000</v>
      </c>
      <c r="K2122" s="30">
        <f t="shared" si="2224"/>
        <v>8000</v>
      </c>
      <c r="L2122" s="187">
        <v>40000</v>
      </c>
      <c r="M2122" s="110">
        <v>9.5</v>
      </c>
      <c r="N2122" s="9">
        <f>VLOOKUP(DATE(YEAR(A2122),MONTH(A2122),DAY(A2122)),FY24_Temp[],3,FALSE)</f>
        <v>16.8</v>
      </c>
      <c r="O2122" s="110">
        <f t="shared" si="2282"/>
        <v>11.5</v>
      </c>
      <c r="P2122" s="110">
        <f t="shared" si="2283"/>
        <v>19.5</v>
      </c>
      <c r="Q2122" s="79">
        <f>VLOOKUP(VLOOKUP(DATEVALUE(TEXT(A2122,"m/d/yyyy")),FY24_Temp[],5,FALSE)&amp;TEXT(A2122,"-h"),TempDelta[],4,FALSE)</f>
        <v>1.8381428548267909</v>
      </c>
      <c r="R2122">
        <v>10</v>
      </c>
      <c r="S2122" s="112">
        <v>1500</v>
      </c>
      <c r="T2122" s="5">
        <f>VLOOKUP(TEXT(A2122,"yy-mm")&amp;"-"&amp;IF(AND(WEEKDAY(A2122)&gt;1,WEEKDAY(A2122)&lt;7),"Wkd",TEXT(A2122,"Ddd"))&amp;"-"&amp;TEXT(A2122,"hh"),LoadTable[],3,FALSE)*0.92</f>
        <v>291.12479999999999</v>
      </c>
      <c r="U2122" s="113">
        <f t="shared" si="2284"/>
        <v>29.112479999999998</v>
      </c>
      <c r="V2122">
        <f t="shared" ref="V2122:W2122" si="2291">V2098</f>
        <v>2.5</v>
      </c>
      <c r="W2122">
        <f t="shared" si="2291"/>
        <v>3.1</v>
      </c>
      <c r="X2122" s="9">
        <v>-40.807740516666399</v>
      </c>
      <c r="Y2122" s="39"/>
    </row>
    <row r="2123" spans="1:25" ht="15" thickBot="1">
      <c r="A2123" s="149">
        <f t="shared" si="2266"/>
        <v>45924.333333330171</v>
      </c>
      <c r="B2123" s="30">
        <f t="shared" si="2221"/>
        <v>8000</v>
      </c>
      <c r="C2123" s="8">
        <v>25000</v>
      </c>
      <c r="D2123" s="187">
        <v>0</v>
      </c>
      <c r="E2123" s="187">
        <v>700</v>
      </c>
      <c r="F2123" s="187">
        <v>15000</v>
      </c>
      <c r="G2123" s="30">
        <f t="shared" si="2222"/>
        <v>2400</v>
      </c>
      <c r="H2123" s="8">
        <v>25000</v>
      </c>
      <c r="I2123" s="30">
        <f t="shared" si="2223"/>
        <v>8000</v>
      </c>
      <c r="J2123" s="187">
        <v>40000</v>
      </c>
      <c r="K2123" s="30">
        <f t="shared" si="2224"/>
        <v>8000</v>
      </c>
      <c r="L2123" s="187">
        <v>40000</v>
      </c>
      <c r="M2123" s="110">
        <v>9.5</v>
      </c>
      <c r="N2123" s="9">
        <f>VLOOKUP(DATE(YEAR(A2123),MONTH(A2123),DAY(A2123)),FY24_Temp[],3,FALSE)</f>
        <v>16.8</v>
      </c>
      <c r="O2123" s="110">
        <f t="shared" si="2282"/>
        <v>11.5</v>
      </c>
      <c r="P2123" s="110">
        <f t="shared" si="2283"/>
        <v>19.5</v>
      </c>
      <c r="Q2123" s="79">
        <f>VLOOKUP(VLOOKUP(DATEVALUE(TEXT(A2123,"m/d/yyyy")),FY24_Temp[],5,FALSE)&amp;TEXT(A2123,"-h"),TempDelta[],4,FALSE)</f>
        <v>1.6827142919812883</v>
      </c>
      <c r="R2123">
        <v>10</v>
      </c>
      <c r="S2123" s="112">
        <v>1500</v>
      </c>
      <c r="T2123" s="5">
        <f>VLOOKUP(TEXT(A2123,"yy-mm")&amp;"-"&amp;IF(AND(WEEKDAY(A2123)&gt;1,WEEKDAY(A2123)&lt;7),"Wkd",TEXT(A2123,"Ddd"))&amp;"-"&amp;TEXT(A2123,"hh"),LoadTable[],3,FALSE)*0.92</f>
        <v>291.12479999999999</v>
      </c>
      <c r="U2123" s="113">
        <f t="shared" si="2284"/>
        <v>29.112479999999998</v>
      </c>
      <c r="V2123">
        <f t="shared" ref="V2123:W2123" si="2292">V2099</f>
        <v>3.2</v>
      </c>
      <c r="W2123">
        <f t="shared" si="2292"/>
        <v>3</v>
      </c>
      <c r="X2123" s="9">
        <v>-40.885535066666399</v>
      </c>
      <c r="Y2123" s="39"/>
    </row>
    <row r="2124" spans="1:25" ht="15" thickBot="1">
      <c r="A2124" s="149">
        <f t="shared" si="2266"/>
        <v>45924.374999996835</v>
      </c>
      <c r="B2124" s="30">
        <f t="shared" ref="B2124:B2187" si="2293">B2100</f>
        <v>8000</v>
      </c>
      <c r="C2124" s="8">
        <v>25000</v>
      </c>
      <c r="D2124" s="187">
        <v>0</v>
      </c>
      <c r="E2124" s="187">
        <v>700</v>
      </c>
      <c r="F2124" s="187">
        <v>15000</v>
      </c>
      <c r="G2124" s="30">
        <f t="shared" ref="G2124:G2185" si="2294">G2100</f>
        <v>2400</v>
      </c>
      <c r="H2124" s="8">
        <v>25000</v>
      </c>
      <c r="I2124" s="30">
        <f t="shared" ref="I2124:I2187" si="2295">I2100</f>
        <v>8000</v>
      </c>
      <c r="J2124" s="187">
        <v>40000</v>
      </c>
      <c r="K2124" s="30">
        <f t="shared" ref="K2124:K2187" si="2296">K2100</f>
        <v>8000</v>
      </c>
      <c r="L2124" s="187">
        <v>40000</v>
      </c>
      <c r="M2124" s="110">
        <v>9.5</v>
      </c>
      <c r="N2124" s="9">
        <f>VLOOKUP(DATE(YEAR(A2124),MONTH(A2124),DAY(A2124)),FY24_Temp[],3,FALSE)</f>
        <v>16.8</v>
      </c>
      <c r="O2124" s="110">
        <f t="shared" si="2282"/>
        <v>11.5</v>
      </c>
      <c r="P2124" s="110">
        <f t="shared" si="2283"/>
        <v>19.5</v>
      </c>
      <c r="Q2124" s="79">
        <f>VLOOKUP(VLOOKUP(DATEVALUE(TEXT(A2124,"m/d/yyyy")),FY24_Temp[],5,FALSE)&amp;TEXT(A2124,"-h"),TempDelta[],4,FALSE)</f>
        <v>1.5467142888477869</v>
      </c>
      <c r="R2124">
        <v>10</v>
      </c>
      <c r="S2124" s="112">
        <v>1500</v>
      </c>
      <c r="T2124" s="5">
        <f>VLOOKUP(TEXT(A2124,"yy-mm")&amp;"-"&amp;IF(AND(WEEKDAY(A2124)&gt;1,WEEKDAY(A2124)&lt;7),"Wkd",TEXT(A2124,"Ddd"))&amp;"-"&amp;TEXT(A2124,"hh"),LoadTable[],3,FALSE)*0.92</f>
        <v>291.12479999999999</v>
      </c>
      <c r="U2124" s="113">
        <f t="shared" si="2284"/>
        <v>29.112479999999998</v>
      </c>
      <c r="V2124">
        <f t="shared" ref="V2124:W2124" si="2297">V2100</f>
        <v>2.9</v>
      </c>
      <c r="W2124">
        <f t="shared" si="2297"/>
        <v>3</v>
      </c>
      <c r="X2124" s="9">
        <v>-40.9633296166664</v>
      </c>
      <c r="Y2124" s="39"/>
    </row>
    <row r="2125" spans="1:25" ht="15" thickBot="1">
      <c r="A2125" s="149">
        <f t="shared" si="2266"/>
        <v>45924.416666663499</v>
      </c>
      <c r="B2125" s="30">
        <f t="shared" si="2293"/>
        <v>8000</v>
      </c>
      <c r="C2125" s="8">
        <v>25000</v>
      </c>
      <c r="D2125" s="187">
        <v>0</v>
      </c>
      <c r="E2125" s="187">
        <v>700</v>
      </c>
      <c r="F2125" s="187">
        <v>15000</v>
      </c>
      <c r="G2125" s="30">
        <f t="shared" si="2294"/>
        <v>2400</v>
      </c>
      <c r="H2125" s="8">
        <v>25000</v>
      </c>
      <c r="I2125" s="30">
        <f t="shared" si="2295"/>
        <v>8000</v>
      </c>
      <c r="J2125" s="187">
        <v>40000</v>
      </c>
      <c r="K2125" s="30">
        <f t="shared" si="2296"/>
        <v>8000</v>
      </c>
      <c r="L2125" s="187">
        <v>40000</v>
      </c>
      <c r="M2125" s="110">
        <v>9.5</v>
      </c>
      <c r="N2125" s="9">
        <f>VLOOKUP(DATE(YEAR(A2125),MONTH(A2125),DAY(A2125)),FY24_Temp[],3,FALSE)</f>
        <v>16.8</v>
      </c>
      <c r="O2125" s="110">
        <f t="shared" si="2282"/>
        <v>11.5</v>
      </c>
      <c r="P2125" s="110">
        <f t="shared" si="2283"/>
        <v>19.5</v>
      </c>
      <c r="Q2125" s="79">
        <f>VLOOKUP(VLOOKUP(DATEVALUE(TEXT(A2125,"m/d/yyyy")),FY24_Temp[],5,FALSE)&amp;TEXT(A2125,"-h"),TempDelta[],4,FALSE)</f>
        <v>1.4074285881859916</v>
      </c>
      <c r="R2125">
        <v>10</v>
      </c>
      <c r="S2125" s="112">
        <v>1500</v>
      </c>
      <c r="T2125" s="5">
        <f>VLOOKUP(TEXT(A2125,"yy-mm")&amp;"-"&amp;IF(AND(WEEKDAY(A2125)&gt;1,WEEKDAY(A2125)&lt;7),"Wkd",TEXT(A2125,"Ddd"))&amp;"-"&amp;TEXT(A2125,"hh"),LoadTable[],3,FALSE)*0.92</f>
        <v>290.74956158350585</v>
      </c>
      <c r="U2125" s="113">
        <f t="shared" si="2284"/>
        <v>29.074956158350584</v>
      </c>
      <c r="V2125">
        <f t="shared" ref="V2125:W2125" si="2298">V2101</f>
        <v>2.9</v>
      </c>
      <c r="W2125">
        <f t="shared" si="2298"/>
        <v>3</v>
      </c>
      <c r="X2125" s="9">
        <v>-41.0411241666664</v>
      </c>
      <c r="Y2125" s="39"/>
    </row>
    <row r="2126" spans="1:25" ht="15" thickBot="1">
      <c r="A2126" s="149">
        <f t="shared" si="2266"/>
        <v>45924.458333330163</v>
      </c>
      <c r="B2126" s="30">
        <f t="shared" si="2293"/>
        <v>8000</v>
      </c>
      <c r="C2126" s="8">
        <v>25000</v>
      </c>
      <c r="D2126" s="187">
        <v>0</v>
      </c>
      <c r="E2126" s="187">
        <v>700</v>
      </c>
      <c r="F2126" s="187">
        <v>15000</v>
      </c>
      <c r="G2126" s="30">
        <f t="shared" si="2294"/>
        <v>2400</v>
      </c>
      <c r="H2126" s="8">
        <v>25000</v>
      </c>
      <c r="I2126" s="30">
        <f t="shared" si="2295"/>
        <v>8000</v>
      </c>
      <c r="J2126" s="187">
        <v>40000</v>
      </c>
      <c r="K2126" s="30">
        <f t="shared" si="2296"/>
        <v>8000</v>
      </c>
      <c r="L2126" s="187">
        <v>40000</v>
      </c>
      <c r="M2126" s="110">
        <v>9.5</v>
      </c>
      <c r="N2126" s="9">
        <f>VLOOKUP(DATE(YEAR(A2126),MONTH(A2126),DAY(A2126)),FY24_Temp[],3,FALSE)</f>
        <v>16.8</v>
      </c>
      <c r="O2126" s="110">
        <f t="shared" si="2282"/>
        <v>11.5</v>
      </c>
      <c r="P2126" s="110">
        <f t="shared" si="2283"/>
        <v>19.5</v>
      </c>
      <c r="Q2126" s="79">
        <f>VLOOKUP(VLOOKUP(DATEVALUE(TEXT(A2126,"m/d/yyyy")),FY24_Temp[],5,FALSE)&amp;TEXT(A2126,"-h"),TempDelta[],4,FALSE)</f>
        <v>1.2401428733553206</v>
      </c>
      <c r="R2126">
        <v>10</v>
      </c>
      <c r="S2126" s="112">
        <v>1500</v>
      </c>
      <c r="T2126" s="5">
        <f>VLOOKUP(TEXT(A2126,"yy-mm")&amp;"-"&amp;IF(AND(WEEKDAY(A2126)&gt;1,WEEKDAY(A2126)&lt;7),"Wkd",TEXT(A2126,"Ddd"))&amp;"-"&amp;TEXT(A2126,"hh"),LoadTable[],3,FALSE)*0.92</f>
        <v>290.74956158350585</v>
      </c>
      <c r="U2126" s="113">
        <f t="shared" si="2284"/>
        <v>29.074956158350584</v>
      </c>
      <c r="V2126">
        <f t="shared" ref="V2126:W2126" si="2299">V2102</f>
        <v>3.4</v>
      </c>
      <c r="W2126">
        <f t="shared" si="2299"/>
        <v>3</v>
      </c>
      <c r="X2126" s="9">
        <v>-41.1189187166664</v>
      </c>
      <c r="Y2126" s="39"/>
    </row>
    <row r="2127" spans="1:25" ht="15" thickBot="1">
      <c r="A2127" s="149">
        <f t="shared" si="2266"/>
        <v>45924.499999996828</v>
      </c>
      <c r="B2127" s="30">
        <f t="shared" si="2293"/>
        <v>8000</v>
      </c>
      <c r="C2127" s="8">
        <v>25000</v>
      </c>
      <c r="D2127" s="187">
        <v>0</v>
      </c>
      <c r="E2127" s="187">
        <v>700</v>
      </c>
      <c r="F2127" s="187">
        <v>15000</v>
      </c>
      <c r="G2127" s="30">
        <f t="shared" si="2294"/>
        <v>2400</v>
      </c>
      <c r="H2127" s="8">
        <v>25000</v>
      </c>
      <c r="I2127" s="30">
        <f t="shared" si="2295"/>
        <v>8000</v>
      </c>
      <c r="J2127" s="187">
        <v>40000</v>
      </c>
      <c r="K2127" s="30">
        <f t="shared" si="2296"/>
        <v>8000</v>
      </c>
      <c r="L2127" s="187">
        <v>40000</v>
      </c>
      <c r="M2127" s="110">
        <v>9.5</v>
      </c>
      <c r="N2127" s="9">
        <f>VLOOKUP(DATE(YEAR(A2127),MONTH(A2127),DAY(A2127)),FY24_Temp[],3,FALSE)</f>
        <v>16.8</v>
      </c>
      <c r="O2127" s="110">
        <f t="shared" si="2282"/>
        <v>11.5</v>
      </c>
      <c r="P2127" s="110">
        <f t="shared" si="2283"/>
        <v>19.5</v>
      </c>
      <c r="Q2127" s="79">
        <f>VLOOKUP(VLOOKUP(DATEVALUE(TEXT(A2127,"m/d/yyyy")),FY24_Temp[],5,FALSE)&amp;TEXT(A2127,"-h"),TempDelta[],4,FALSE)</f>
        <v>1.0797142812183924</v>
      </c>
      <c r="R2127">
        <v>10</v>
      </c>
      <c r="S2127" s="112">
        <v>1500</v>
      </c>
      <c r="T2127" s="5">
        <f>VLOOKUP(TEXT(A2127,"yy-mm")&amp;"-"&amp;IF(AND(WEEKDAY(A2127)&gt;1,WEEKDAY(A2127)&lt;7),"Wkd",TEXT(A2127,"Ddd"))&amp;"-"&amp;TEXT(A2127,"hh"),LoadTable[],3,FALSE)*0.92</f>
        <v>290.74956158350585</v>
      </c>
      <c r="U2127" s="113">
        <f t="shared" si="2284"/>
        <v>29.074956158350584</v>
      </c>
      <c r="V2127">
        <f t="shared" ref="V2127:W2127" si="2300">V2103</f>
        <v>3.1</v>
      </c>
      <c r="W2127">
        <f t="shared" si="2300"/>
        <v>2.9</v>
      </c>
      <c r="X2127" s="9">
        <v>-41.1967132666664</v>
      </c>
      <c r="Y2127" s="39"/>
    </row>
    <row r="2128" spans="1:25" ht="15" thickBot="1">
      <c r="A2128" s="149">
        <f t="shared" si="2266"/>
        <v>45924.541666663492</v>
      </c>
      <c r="B2128" s="30">
        <f t="shared" si="2293"/>
        <v>8000</v>
      </c>
      <c r="C2128" s="8">
        <v>25000</v>
      </c>
      <c r="D2128" s="187">
        <v>0</v>
      </c>
      <c r="E2128" s="187">
        <v>700</v>
      </c>
      <c r="F2128" s="187">
        <v>15000</v>
      </c>
      <c r="G2128" s="30">
        <f t="shared" si="2294"/>
        <v>2400</v>
      </c>
      <c r="H2128" s="8">
        <v>25000</v>
      </c>
      <c r="I2128" s="30">
        <f t="shared" si="2295"/>
        <v>8000</v>
      </c>
      <c r="J2128" s="187">
        <v>40000</v>
      </c>
      <c r="K2128" s="30">
        <f t="shared" si="2296"/>
        <v>8000</v>
      </c>
      <c r="L2128" s="187">
        <v>40000</v>
      </c>
      <c r="M2128" s="110">
        <v>9.5</v>
      </c>
      <c r="N2128" s="9">
        <f>VLOOKUP(DATE(YEAR(A2128),MONTH(A2128),DAY(A2128)),FY24_Temp[],3,FALSE)</f>
        <v>16.8</v>
      </c>
      <c r="O2128" s="110">
        <f t="shared" si="2282"/>
        <v>11.5</v>
      </c>
      <c r="P2128" s="110">
        <f t="shared" si="2283"/>
        <v>19.5</v>
      </c>
      <c r="Q2128" s="79">
        <f>VLOOKUP(VLOOKUP(DATEVALUE(TEXT(A2128,"m/d/yyyy")),FY24_Temp[],5,FALSE)&amp;TEXT(A2128,"-h"),TempDelta[],4,FALSE)</f>
        <v>0.92499999489103046</v>
      </c>
      <c r="R2128">
        <v>10</v>
      </c>
      <c r="S2128" s="112">
        <v>1500</v>
      </c>
      <c r="T2128" s="5">
        <f>VLOOKUP(TEXT(A2128,"yy-mm")&amp;"-"&amp;IF(AND(WEEKDAY(A2128)&gt;1,WEEKDAY(A2128)&lt;7),"Wkd",TEXT(A2128,"Ddd"))&amp;"-"&amp;TEXT(A2128,"hh"),LoadTable[],3,FALSE)*0.92</f>
        <v>290.72204920255348</v>
      </c>
      <c r="U2128" s="113">
        <f t="shared" si="2284"/>
        <v>29.072204920255349</v>
      </c>
      <c r="V2128">
        <f t="shared" ref="V2128:W2128" si="2301">V2104</f>
        <v>3.2</v>
      </c>
      <c r="W2128">
        <f t="shared" si="2301"/>
        <v>2.9</v>
      </c>
      <c r="X2128" s="9">
        <v>-41.2745078166664</v>
      </c>
      <c r="Y2128" s="39"/>
    </row>
    <row r="2129" spans="1:25" ht="15" thickBot="1">
      <c r="A2129" s="149">
        <f t="shared" si="2266"/>
        <v>45924.583333330156</v>
      </c>
      <c r="B2129" s="30">
        <f t="shared" si="2293"/>
        <v>8000</v>
      </c>
      <c r="C2129" s="8">
        <v>25000</v>
      </c>
      <c r="D2129" s="187">
        <v>0</v>
      </c>
      <c r="E2129" s="187">
        <v>700</v>
      </c>
      <c r="F2129" s="187">
        <v>15000</v>
      </c>
      <c r="G2129" s="30">
        <f t="shared" si="2294"/>
        <v>2400</v>
      </c>
      <c r="H2129" s="8">
        <v>25000</v>
      </c>
      <c r="I2129" s="30">
        <f t="shared" si="2295"/>
        <v>8000</v>
      </c>
      <c r="J2129" s="187">
        <v>40000</v>
      </c>
      <c r="K2129" s="30">
        <f t="shared" si="2296"/>
        <v>8000</v>
      </c>
      <c r="L2129" s="187">
        <v>40000</v>
      </c>
      <c r="M2129" s="110">
        <v>9.5</v>
      </c>
      <c r="N2129" s="9">
        <f>VLOOKUP(DATE(YEAR(A2129),MONTH(A2129),DAY(A2129)),FY24_Temp[],3,FALSE)</f>
        <v>16.8</v>
      </c>
      <c r="O2129" s="110">
        <f t="shared" si="2282"/>
        <v>11.5</v>
      </c>
      <c r="P2129" s="110">
        <f t="shared" si="2283"/>
        <v>19.5</v>
      </c>
      <c r="Q2129" s="79">
        <f>VLOOKUP(VLOOKUP(DATEVALUE(TEXT(A2129,"m/d/yyyy")),FY24_Temp[],5,FALSE)&amp;TEXT(A2129,"-h"),TempDelta[],4,FALSE)</f>
        <v>0.77985713311604088</v>
      </c>
      <c r="R2129">
        <v>10</v>
      </c>
      <c r="S2129" s="112">
        <v>1500</v>
      </c>
      <c r="T2129" s="5">
        <f>VLOOKUP(TEXT(A2129,"yy-mm")&amp;"-"&amp;IF(AND(WEEKDAY(A2129)&gt;1,WEEKDAY(A2129)&lt;7),"Wkd",TEXT(A2129,"Ddd"))&amp;"-"&amp;TEXT(A2129,"hh"),LoadTable[],3,FALSE)*0.92</f>
        <v>363.28132000000005</v>
      </c>
      <c r="U2129" s="113">
        <f t="shared" si="2284"/>
        <v>36.328132000000004</v>
      </c>
      <c r="V2129">
        <f t="shared" ref="V2129:W2129" si="2302">V2105</f>
        <v>3.5</v>
      </c>
      <c r="W2129">
        <f t="shared" si="2302"/>
        <v>2.9</v>
      </c>
      <c r="X2129" s="9">
        <v>-41.3523023666664</v>
      </c>
      <c r="Y2129" s="39"/>
    </row>
    <row r="2130" spans="1:25" ht="15" thickBot="1">
      <c r="A2130" s="149">
        <f t="shared" si="2266"/>
        <v>45924.62499999682</v>
      </c>
      <c r="B2130" s="30">
        <f t="shared" si="2293"/>
        <v>8000</v>
      </c>
      <c r="C2130" s="8">
        <v>25000</v>
      </c>
      <c r="D2130" s="187">
        <v>0</v>
      </c>
      <c r="E2130" s="187">
        <v>700</v>
      </c>
      <c r="F2130" s="187">
        <v>15000</v>
      </c>
      <c r="G2130" s="30">
        <f t="shared" si="2294"/>
        <v>2400</v>
      </c>
      <c r="H2130" s="8">
        <v>25000</v>
      </c>
      <c r="I2130" s="30">
        <f t="shared" si="2295"/>
        <v>8000</v>
      </c>
      <c r="J2130" s="187">
        <v>40000</v>
      </c>
      <c r="K2130" s="30">
        <f t="shared" si="2296"/>
        <v>8000</v>
      </c>
      <c r="L2130" s="187">
        <v>40000</v>
      </c>
      <c r="M2130" s="110">
        <v>9.5</v>
      </c>
      <c r="N2130" s="9">
        <f>VLOOKUP(DATE(YEAR(A2130),MONTH(A2130),DAY(A2130)),FY24_Temp[],3,FALSE)</f>
        <v>16.8</v>
      </c>
      <c r="O2130" s="110">
        <f t="shared" si="2282"/>
        <v>11.5</v>
      </c>
      <c r="P2130" s="110">
        <f t="shared" si="2283"/>
        <v>19.5</v>
      </c>
      <c r="Q2130" s="79">
        <f>VLOOKUP(VLOOKUP(DATEVALUE(TEXT(A2130,"m/d/yyyy")),FY24_Temp[],5,FALSE)&amp;TEXT(A2130,"-h"),TempDelta[],4,FALSE)</f>
        <v>0.30699999923152582</v>
      </c>
      <c r="R2130">
        <v>10</v>
      </c>
      <c r="S2130" s="112">
        <v>1500</v>
      </c>
      <c r="T2130" s="5">
        <f>VLOOKUP(TEXT(A2130,"yy-mm")&amp;"-"&amp;IF(AND(WEEKDAY(A2130)&gt;1,WEEKDAY(A2130)&lt;7),"Wkd",TEXT(A2130,"Ddd"))&amp;"-"&amp;TEXT(A2130,"hh"),LoadTable[],3,FALSE)*0.92</f>
        <v>570.3300004440199</v>
      </c>
      <c r="U2130" s="113">
        <f t="shared" si="2284"/>
        <v>57.033000044401987</v>
      </c>
      <c r="V2130">
        <f t="shared" ref="V2130:W2130" si="2303">V2106</f>
        <v>3.2</v>
      </c>
      <c r="W2130">
        <f t="shared" si="2303"/>
        <v>2.9</v>
      </c>
      <c r="X2130" s="9">
        <v>-41.4300969166664</v>
      </c>
      <c r="Y2130" s="39"/>
    </row>
    <row r="2131" spans="1:25" ht="15" thickBot="1">
      <c r="A2131" s="149">
        <f t="shared" si="2266"/>
        <v>45924.666666663485</v>
      </c>
      <c r="B2131" s="30">
        <f t="shared" si="2293"/>
        <v>8000</v>
      </c>
      <c r="C2131" s="8">
        <v>25000</v>
      </c>
      <c r="D2131" s="187">
        <v>0</v>
      </c>
      <c r="E2131" s="187">
        <v>700</v>
      </c>
      <c r="F2131" s="187">
        <v>15000</v>
      </c>
      <c r="G2131" s="30">
        <f t="shared" si="2294"/>
        <v>2400</v>
      </c>
      <c r="H2131" s="8">
        <v>25000</v>
      </c>
      <c r="I2131" s="30">
        <f t="shared" si="2295"/>
        <v>8000</v>
      </c>
      <c r="J2131" s="187">
        <v>40000</v>
      </c>
      <c r="K2131" s="30">
        <f t="shared" si="2296"/>
        <v>8000</v>
      </c>
      <c r="L2131" s="187">
        <v>40000</v>
      </c>
      <c r="M2131" s="110">
        <v>9.5</v>
      </c>
      <c r="N2131" s="9">
        <f>VLOOKUP(DATE(YEAR(A2131),MONTH(A2131),DAY(A2131)),FY24_Temp[],3,FALSE)</f>
        <v>16.8</v>
      </c>
      <c r="O2131" s="110">
        <f t="shared" si="2282"/>
        <v>11.5</v>
      </c>
      <c r="P2131" s="110">
        <f t="shared" si="2283"/>
        <v>19.5</v>
      </c>
      <c r="Q2131" s="79">
        <f>VLOOKUP(VLOOKUP(DATEVALUE(TEXT(A2131,"m/d/yyyy")),FY24_Temp[],5,FALSE)&amp;TEXT(A2131,"-h"),TempDelta[],4,FALSE)</f>
        <v>0.38057142476152095</v>
      </c>
      <c r="R2131">
        <v>10</v>
      </c>
      <c r="S2131" s="112">
        <v>1500</v>
      </c>
      <c r="T2131" s="5">
        <f>VLOOKUP(TEXT(A2131,"yy-mm")&amp;"-"&amp;IF(AND(WEEKDAY(A2131)&gt;1,WEEKDAY(A2131)&lt;7),"Wkd",TEXT(A2131,"Ddd"))&amp;"-"&amp;TEXT(A2131,"hh"),LoadTable[],3,FALSE)*0.92</f>
        <v>602.16876690131596</v>
      </c>
      <c r="U2131" s="113">
        <f t="shared" si="2284"/>
        <v>60.216876690131599</v>
      </c>
      <c r="V2131">
        <f t="shared" ref="V2131:W2131" si="2304">V2107</f>
        <v>3.5</v>
      </c>
      <c r="W2131">
        <f t="shared" si="2304"/>
        <v>3</v>
      </c>
      <c r="X2131" s="9">
        <v>-41.507891466666401</v>
      </c>
      <c r="Y2131" s="39"/>
    </row>
    <row r="2132" spans="1:25" ht="15" thickBot="1">
      <c r="A2132" s="149">
        <f t="shared" si="2266"/>
        <v>45924.708333330149</v>
      </c>
      <c r="B2132" s="30">
        <f t="shared" si="2293"/>
        <v>8000</v>
      </c>
      <c r="C2132" s="8">
        <v>25000</v>
      </c>
      <c r="D2132" s="187">
        <v>0</v>
      </c>
      <c r="E2132" s="187">
        <v>700</v>
      </c>
      <c r="F2132" s="187">
        <v>15000</v>
      </c>
      <c r="G2132" s="30">
        <f t="shared" si="2294"/>
        <v>2400</v>
      </c>
      <c r="H2132" s="8">
        <v>25000</v>
      </c>
      <c r="I2132" s="30">
        <f t="shared" si="2295"/>
        <v>8000</v>
      </c>
      <c r="J2132" s="187">
        <v>40000</v>
      </c>
      <c r="K2132" s="30">
        <f t="shared" si="2296"/>
        <v>8000</v>
      </c>
      <c r="L2132" s="187">
        <v>40000</v>
      </c>
      <c r="M2132" s="110">
        <v>9.5</v>
      </c>
      <c r="N2132" s="9">
        <f>VLOOKUP(DATE(YEAR(A2132),MONTH(A2132),DAY(A2132)),FY24_Temp[],3,FALSE)</f>
        <v>16.8</v>
      </c>
      <c r="O2132" s="110">
        <f t="shared" si="2282"/>
        <v>11.5</v>
      </c>
      <c r="P2132" s="110">
        <f t="shared" si="2283"/>
        <v>19.5</v>
      </c>
      <c r="Q2132" s="79">
        <f>VLOOKUP(VLOOKUP(DATEVALUE(TEXT(A2132,"m/d/yyyy")),FY24_Temp[],5,FALSE)&amp;TEXT(A2132,"-h"),TempDelta[],4,FALSE)</f>
        <v>0.65464284856404575</v>
      </c>
      <c r="R2132">
        <v>10</v>
      </c>
      <c r="S2132" s="112">
        <v>1500</v>
      </c>
      <c r="T2132" s="5">
        <f>VLOOKUP(TEXT(A2132,"yy-mm")&amp;"-"&amp;IF(AND(WEEKDAY(A2132)&gt;1,WEEKDAY(A2132)&lt;7),"Wkd",TEXT(A2132,"Ddd"))&amp;"-"&amp;TEXT(A2132,"hh"),LoadTable[],3,FALSE)*0.92</f>
        <v>602.16876690131596</v>
      </c>
      <c r="U2132" s="113">
        <f t="shared" si="2284"/>
        <v>60.216876690131599</v>
      </c>
      <c r="V2132">
        <f t="shared" ref="V2132:W2132" si="2305">V2108</f>
        <v>3.6</v>
      </c>
      <c r="W2132">
        <f t="shared" si="2305"/>
        <v>3</v>
      </c>
      <c r="X2132" s="9">
        <v>-41.585686016666401</v>
      </c>
      <c r="Y2132" s="39"/>
    </row>
    <row r="2133" spans="1:25" ht="15" thickBot="1">
      <c r="A2133" s="149">
        <f t="shared" si="2266"/>
        <v>45924.749999996813</v>
      </c>
      <c r="B2133" s="30">
        <f t="shared" si="2293"/>
        <v>5000</v>
      </c>
      <c r="C2133" s="8">
        <v>25000</v>
      </c>
      <c r="D2133" s="187">
        <v>0</v>
      </c>
      <c r="E2133" s="187">
        <v>700</v>
      </c>
      <c r="F2133" s="187">
        <v>15000</v>
      </c>
      <c r="G2133" s="30">
        <f t="shared" si="2294"/>
        <v>2400</v>
      </c>
      <c r="H2133" s="8">
        <v>25000</v>
      </c>
      <c r="I2133" s="30">
        <f t="shared" si="2295"/>
        <v>5000</v>
      </c>
      <c r="J2133" s="187">
        <v>40000</v>
      </c>
      <c r="K2133" s="30">
        <f t="shared" si="2296"/>
        <v>5000</v>
      </c>
      <c r="L2133" s="187">
        <v>40000</v>
      </c>
      <c r="M2133" s="110">
        <v>9.5</v>
      </c>
      <c r="N2133" s="9">
        <f>VLOOKUP(DATE(YEAR(A2133),MONTH(A2133),DAY(A2133)),FY24_Temp[],3,FALSE)</f>
        <v>16.8</v>
      </c>
      <c r="O2133" s="110">
        <f t="shared" si="2282"/>
        <v>11.5</v>
      </c>
      <c r="P2133" s="110">
        <f t="shared" si="2283"/>
        <v>19.5</v>
      </c>
      <c r="Q2133" s="79">
        <f>VLOOKUP(VLOOKUP(DATEVALUE(TEXT(A2133,"m/d/yyyy")),FY24_Temp[],5,FALSE)&amp;TEXT(A2133,"-h"),TempDelta[],4,FALSE)</f>
        <v>0.96042857638427193</v>
      </c>
      <c r="R2133">
        <v>10</v>
      </c>
      <c r="S2133" s="112">
        <v>1500</v>
      </c>
      <c r="T2133" s="5">
        <f>VLOOKUP(TEXT(A2133,"yy-mm")&amp;"-"&amp;IF(AND(WEEKDAY(A2133)&gt;1,WEEKDAY(A2133)&lt;7),"Wkd",TEXT(A2133,"Ddd"))&amp;"-"&amp;TEXT(A2133,"hh"),LoadTable[],3,FALSE)*0.92</f>
        <v>602.16876690131596</v>
      </c>
      <c r="U2133" s="113">
        <f t="shared" si="2284"/>
        <v>60.216876690131599</v>
      </c>
      <c r="V2133">
        <f t="shared" ref="V2133:W2133" si="2306">V2109</f>
        <v>2.9</v>
      </c>
      <c r="W2133">
        <f t="shared" si="2306"/>
        <v>3</v>
      </c>
      <c r="X2133" s="9">
        <v>-41.663480566666401</v>
      </c>
      <c r="Y2133" s="39"/>
    </row>
    <row r="2134" spans="1:25" ht="15" thickBot="1">
      <c r="A2134" s="149">
        <f t="shared" si="2266"/>
        <v>45924.791666663477</v>
      </c>
      <c r="B2134" s="30">
        <f t="shared" si="2293"/>
        <v>5000</v>
      </c>
      <c r="C2134" s="8">
        <v>25000</v>
      </c>
      <c r="D2134" s="187">
        <v>0</v>
      </c>
      <c r="E2134" s="187">
        <v>700</v>
      </c>
      <c r="F2134" s="187">
        <v>15000</v>
      </c>
      <c r="G2134" s="30">
        <f t="shared" si="2294"/>
        <v>2400</v>
      </c>
      <c r="H2134" s="8">
        <v>25000</v>
      </c>
      <c r="I2134" s="30">
        <f t="shared" si="2295"/>
        <v>5000</v>
      </c>
      <c r="J2134" s="187">
        <v>40000</v>
      </c>
      <c r="K2134" s="30">
        <f t="shared" si="2296"/>
        <v>5000</v>
      </c>
      <c r="L2134" s="187">
        <v>40000</v>
      </c>
      <c r="M2134" s="110">
        <v>9.5</v>
      </c>
      <c r="N2134" s="9">
        <f>VLOOKUP(DATE(YEAR(A2134),MONTH(A2134),DAY(A2134)),FY24_Temp[],3,FALSE)</f>
        <v>16.8</v>
      </c>
      <c r="O2134" s="110">
        <f t="shared" si="2282"/>
        <v>11.5</v>
      </c>
      <c r="P2134" s="110">
        <f t="shared" si="2283"/>
        <v>19.5</v>
      </c>
      <c r="Q2134" s="79">
        <f>VLOOKUP(VLOOKUP(DATEVALUE(TEXT(A2134,"m/d/yyyy")),FY24_Temp[],5,FALSE)&amp;TEXT(A2134,"-h"),TempDelta[],4,FALSE)</f>
        <v>1.0787142855780465</v>
      </c>
      <c r="R2134">
        <v>10</v>
      </c>
      <c r="S2134" s="112">
        <v>1500</v>
      </c>
      <c r="T2134" s="5">
        <f>VLOOKUP(TEXT(A2134,"yy-mm")&amp;"-"&amp;IF(AND(WEEKDAY(A2134)&gt;1,WEEKDAY(A2134)&lt;7),"Wkd",TEXT(A2134,"Ddd"))&amp;"-"&amp;TEXT(A2134,"hh"),LoadTable[],3,FALSE)*0.92</f>
        <v>600.14662419619219</v>
      </c>
      <c r="U2134" s="113">
        <f t="shared" si="2284"/>
        <v>60.014662419619221</v>
      </c>
      <c r="V2134">
        <f t="shared" ref="V2134:W2134" si="2307">V2110</f>
        <v>3</v>
      </c>
      <c r="W2134">
        <f t="shared" si="2307"/>
        <v>3</v>
      </c>
      <c r="X2134" s="9">
        <v>-41.741275116666401</v>
      </c>
      <c r="Y2134" s="39"/>
    </row>
    <row r="2135" spans="1:25" ht="15" thickBot="1">
      <c r="A2135" s="149">
        <f t="shared" si="2266"/>
        <v>45924.833333330142</v>
      </c>
      <c r="B2135" s="30">
        <f t="shared" si="2293"/>
        <v>5000</v>
      </c>
      <c r="C2135" s="8">
        <v>25000</v>
      </c>
      <c r="D2135" s="187">
        <v>0</v>
      </c>
      <c r="E2135" s="187">
        <v>700</v>
      </c>
      <c r="F2135" s="187">
        <v>15000</v>
      </c>
      <c r="G2135" s="30">
        <f t="shared" si="2294"/>
        <v>2400</v>
      </c>
      <c r="H2135" s="8">
        <v>25000</v>
      </c>
      <c r="I2135" s="30">
        <f t="shared" si="2295"/>
        <v>5000</v>
      </c>
      <c r="J2135" s="187">
        <v>40000</v>
      </c>
      <c r="K2135" s="30">
        <f t="shared" si="2296"/>
        <v>5000</v>
      </c>
      <c r="L2135" s="187">
        <v>40000</v>
      </c>
      <c r="M2135" s="110">
        <v>9.5</v>
      </c>
      <c r="N2135" s="9">
        <f>VLOOKUP(DATE(YEAR(A2135),MONTH(A2135),DAY(A2135)),FY24_Temp[],3,FALSE)</f>
        <v>16.8</v>
      </c>
      <c r="O2135" s="110">
        <f t="shared" si="2282"/>
        <v>11.5</v>
      </c>
      <c r="P2135" s="110">
        <f t="shared" si="2283"/>
        <v>19.5</v>
      </c>
      <c r="Q2135" s="79">
        <f>VLOOKUP(VLOOKUP(DATEVALUE(TEXT(A2135,"m/d/yyyy")),FY24_Temp[],5,FALSE)&amp;TEXT(A2135,"-h"),TempDelta[],4,FALSE)</f>
        <v>1.1579285774912154</v>
      </c>
      <c r="R2135">
        <v>10</v>
      </c>
      <c r="S2135" s="112">
        <v>1500</v>
      </c>
      <c r="T2135" s="5">
        <f>VLOOKUP(TEXT(A2135,"yy-mm")&amp;"-"&amp;IF(AND(WEEKDAY(A2135)&gt;1,WEEKDAY(A2135)&lt;7),"Wkd",TEXT(A2135,"Ddd"))&amp;"-"&amp;TEXT(A2135,"hh"),LoadTable[],3,FALSE)*0.92</f>
        <v>600.14662419619219</v>
      </c>
      <c r="U2135" s="113">
        <f t="shared" si="2284"/>
        <v>60.014662419619221</v>
      </c>
      <c r="V2135">
        <f t="shared" ref="V2135:W2135" si="2308">V2111</f>
        <v>2.8</v>
      </c>
      <c r="W2135">
        <f t="shared" si="2308"/>
        <v>3.1</v>
      </c>
      <c r="X2135" s="9">
        <v>-41.819069666666401</v>
      </c>
      <c r="Y2135" s="39"/>
    </row>
    <row r="2136" spans="1:25" ht="15" thickBot="1">
      <c r="A2136" s="149">
        <f t="shared" si="2266"/>
        <v>45924.874999996806</v>
      </c>
      <c r="B2136" s="30">
        <f t="shared" si="2293"/>
        <v>5000</v>
      </c>
      <c r="C2136" s="8">
        <v>25000</v>
      </c>
      <c r="D2136" s="187">
        <v>0</v>
      </c>
      <c r="E2136" s="187">
        <v>700</v>
      </c>
      <c r="F2136" s="187">
        <v>15000</v>
      </c>
      <c r="G2136" s="30">
        <f t="shared" si="2294"/>
        <v>2400</v>
      </c>
      <c r="H2136" s="8">
        <v>25000</v>
      </c>
      <c r="I2136" s="30">
        <f t="shared" si="2295"/>
        <v>5000</v>
      </c>
      <c r="J2136" s="187">
        <v>40000</v>
      </c>
      <c r="K2136" s="30">
        <f t="shared" si="2296"/>
        <v>5000</v>
      </c>
      <c r="L2136" s="187">
        <v>40000</v>
      </c>
      <c r="M2136" s="110">
        <v>9.5</v>
      </c>
      <c r="N2136" s="9">
        <f>VLOOKUP(DATE(YEAR(A2136),MONTH(A2136),DAY(A2136)),FY24_Temp[],3,FALSE)</f>
        <v>16.8</v>
      </c>
      <c r="O2136" s="110">
        <f t="shared" si="2282"/>
        <v>11.5</v>
      </c>
      <c r="P2136" s="110">
        <f t="shared" si="2283"/>
        <v>19.5</v>
      </c>
      <c r="Q2136" s="79">
        <f>VLOOKUP(VLOOKUP(DATEVALUE(TEXT(A2136,"m/d/yyyy")),FY24_Temp[],5,FALSE)&amp;TEXT(A2136,"-h"),TempDelta[],4,FALSE)</f>
        <v>1.1765714372907365</v>
      </c>
      <c r="R2136">
        <v>10</v>
      </c>
      <c r="S2136" s="112">
        <v>1500</v>
      </c>
      <c r="T2136" s="5">
        <f>VLOOKUP(TEXT(A2136,"yy-mm")&amp;"-"&amp;IF(AND(WEEKDAY(A2136)&gt;1,WEEKDAY(A2136)&lt;7),"Wkd",TEXT(A2136,"Ddd"))&amp;"-"&amp;TEXT(A2136,"hh"),LoadTable[],3,FALSE)*0.92</f>
        <v>523.94879142973434</v>
      </c>
      <c r="U2136" s="113">
        <f t="shared" si="2284"/>
        <v>52.394879142973437</v>
      </c>
      <c r="V2136">
        <f t="shared" ref="V2136:W2136" si="2309">V2112</f>
        <v>3.5</v>
      </c>
      <c r="W2136">
        <f t="shared" si="2309"/>
        <v>3.1</v>
      </c>
      <c r="X2136" s="9">
        <v>-41.896864216666401</v>
      </c>
      <c r="Y2136" s="39"/>
    </row>
    <row r="2137" spans="1:25" ht="15" thickBot="1">
      <c r="A2137" s="149">
        <f t="shared" si="2266"/>
        <v>45924.91666666347</v>
      </c>
      <c r="B2137" s="30">
        <f t="shared" si="2293"/>
        <v>5000</v>
      </c>
      <c r="C2137" s="8">
        <v>25000</v>
      </c>
      <c r="D2137" s="187">
        <v>0</v>
      </c>
      <c r="E2137" s="187">
        <v>700</v>
      </c>
      <c r="F2137" s="187">
        <v>15000</v>
      </c>
      <c r="G2137" s="30">
        <f t="shared" si="2294"/>
        <v>2400</v>
      </c>
      <c r="H2137" s="8">
        <v>25000</v>
      </c>
      <c r="I2137" s="30">
        <f t="shared" si="2295"/>
        <v>5000</v>
      </c>
      <c r="J2137" s="187">
        <v>40000</v>
      </c>
      <c r="K2137" s="30">
        <f t="shared" si="2296"/>
        <v>5000</v>
      </c>
      <c r="L2137" s="187">
        <v>40000</v>
      </c>
      <c r="M2137" s="110">
        <v>9.5</v>
      </c>
      <c r="N2137" s="9">
        <f>VLOOKUP(DATE(YEAR(A2137),MONTH(A2137),DAY(A2137)),FY24_Temp[],3,FALSE)</f>
        <v>16.8</v>
      </c>
      <c r="O2137" s="110">
        <f t="shared" si="2282"/>
        <v>11.5</v>
      </c>
      <c r="P2137" s="110">
        <f t="shared" si="2283"/>
        <v>19.5</v>
      </c>
      <c r="Q2137" s="79">
        <f>VLOOKUP(VLOOKUP(DATEVALUE(TEXT(A2137,"m/d/yyyy")),FY24_Temp[],5,FALSE)&amp;TEXT(A2137,"-h"),TempDelta[],4,FALSE)</f>
        <v>1.6277142763137817</v>
      </c>
      <c r="R2137">
        <v>10</v>
      </c>
      <c r="S2137" s="112">
        <v>1500</v>
      </c>
      <c r="T2137" s="5">
        <f>VLOOKUP(TEXT(A2137,"yy-mm")&amp;"-"&amp;IF(AND(WEEKDAY(A2137)&gt;1,WEEKDAY(A2137)&lt;7),"Wkd",TEXT(A2137,"Ddd"))&amp;"-"&amp;TEXT(A2137,"hh"),LoadTable[],3,FALSE)*0.92</f>
        <v>421.91858468239752</v>
      </c>
      <c r="U2137" s="113">
        <f t="shared" si="2284"/>
        <v>42.191858468239751</v>
      </c>
      <c r="V2137">
        <f t="shared" ref="V2137:W2137" si="2310">V2113</f>
        <v>2.9</v>
      </c>
      <c r="W2137">
        <f t="shared" si="2310"/>
        <v>3.1</v>
      </c>
      <c r="X2137" s="9">
        <v>-41.974658766666401</v>
      </c>
      <c r="Y2137" s="39"/>
    </row>
    <row r="2138" spans="1:25" ht="15" thickBot="1">
      <c r="A2138" s="149">
        <f t="shared" si="2266"/>
        <v>45924.958333330134</v>
      </c>
      <c r="B2138" s="30">
        <f t="shared" si="2293"/>
        <v>5000</v>
      </c>
      <c r="C2138" s="8">
        <v>25000</v>
      </c>
      <c r="D2138" s="187">
        <v>0</v>
      </c>
      <c r="E2138" s="187">
        <v>700</v>
      </c>
      <c r="F2138" s="187">
        <v>15000</v>
      </c>
      <c r="G2138" s="30">
        <f t="shared" si="2294"/>
        <v>2400</v>
      </c>
      <c r="H2138" s="41">
        <v>25000</v>
      </c>
      <c r="I2138" s="30">
        <f t="shared" si="2295"/>
        <v>5000</v>
      </c>
      <c r="J2138" s="187">
        <v>40000</v>
      </c>
      <c r="K2138" s="30">
        <f t="shared" si="2296"/>
        <v>5000</v>
      </c>
      <c r="L2138" s="187">
        <v>40000</v>
      </c>
      <c r="M2138" s="110">
        <v>9.5</v>
      </c>
      <c r="N2138" s="9">
        <f>VLOOKUP(DATE(YEAR(A2138),MONTH(A2138),DAY(A2138)),FY24_Temp[],3,FALSE)</f>
        <v>16.8</v>
      </c>
      <c r="O2138" s="110">
        <f t="shared" si="2282"/>
        <v>11.5</v>
      </c>
      <c r="P2138" s="110">
        <f t="shared" si="2283"/>
        <v>19.5</v>
      </c>
      <c r="Q2138" s="85">
        <f>VLOOKUP(VLOOKUP(DATEVALUE(TEXT(A2138,"m/d/yyyy")),FY24_Temp[],5,FALSE)&amp;TEXT(A2138,"-h"),TempDelta[],4,FALSE)</f>
        <v>1.758285709789821</v>
      </c>
      <c r="R2138">
        <v>10</v>
      </c>
      <c r="S2138" s="112">
        <v>1500</v>
      </c>
      <c r="T2138" s="97">
        <f>VLOOKUP(TEXT(A2138,"yy-mm")&amp;"-"&amp;IF(AND(WEEKDAY(A2138)&gt;1,WEEKDAY(A2138)&lt;7),"Wkd",TEXT(A2138,"Ddd"))&amp;"-"&amp;TEXT(A2138,"hh"),LoadTable[],3,FALSE)*0.92</f>
        <v>289.33527113913209</v>
      </c>
      <c r="U2138" s="113">
        <f t="shared" si="2284"/>
        <v>28.933527113913208</v>
      </c>
      <c r="V2138">
        <f t="shared" ref="V2138:W2138" si="2311">V2114</f>
        <v>3.6</v>
      </c>
      <c r="W2138">
        <f t="shared" si="2311"/>
        <v>3.1</v>
      </c>
      <c r="X2138" s="84">
        <v>-42.052453316666401</v>
      </c>
      <c r="Y2138" s="39"/>
    </row>
    <row r="2139" spans="1:25" ht="15" thickBot="1">
      <c r="A2139" s="149">
        <f t="shared" si="2266"/>
        <v>45924.999999996799</v>
      </c>
      <c r="B2139" s="30">
        <f t="shared" si="2293"/>
        <v>5000</v>
      </c>
      <c r="C2139" s="8">
        <v>25000</v>
      </c>
      <c r="D2139" s="187">
        <v>0</v>
      </c>
      <c r="E2139" s="187">
        <v>700</v>
      </c>
      <c r="F2139" s="187">
        <v>15000</v>
      </c>
      <c r="G2139" s="30">
        <f t="shared" si="2294"/>
        <v>2400</v>
      </c>
      <c r="H2139" s="8">
        <v>25000</v>
      </c>
      <c r="I2139" s="30">
        <f t="shared" si="2295"/>
        <v>5000</v>
      </c>
      <c r="J2139" s="187">
        <v>40000</v>
      </c>
      <c r="K2139" s="30">
        <f t="shared" si="2296"/>
        <v>5000</v>
      </c>
      <c r="L2139" s="187">
        <v>40000</v>
      </c>
      <c r="M2139" s="110">
        <v>9.5</v>
      </c>
      <c r="N2139" s="9">
        <f>VLOOKUP(DATE(YEAR(A2139),MONTH(A2139),DAY(A2139)),FY24_Temp[],3,FALSE)</f>
        <v>16.8</v>
      </c>
      <c r="O2139" s="110">
        <f t="shared" si="2282"/>
        <v>11.5</v>
      </c>
      <c r="P2139" s="110">
        <f t="shared" si="2283"/>
        <v>19.5</v>
      </c>
      <c r="Q2139" s="79">
        <f>VLOOKUP(VLOOKUP(DATEVALUE(TEXT(A2139,"m/d/yyyy")),FY24_Temp[],5,FALSE)&amp;TEXT(A2139,"-h"),TempDelta[],4,FALSE)</f>
        <v>1.8245714221681868</v>
      </c>
      <c r="R2139">
        <v>10</v>
      </c>
      <c r="S2139" s="112">
        <v>1500</v>
      </c>
      <c r="T2139" s="5">
        <f>VLOOKUP(TEXT(A2139,"yy-mm")&amp;"-"&amp;IF(AND(WEEKDAY(A2139)&gt;1,WEEKDAY(A2139)&lt;7),"Wkd",TEXT(A2139,"Ddd"))&amp;"-"&amp;TEXT(A2139,"hh"),LoadTable[],3,FALSE)*0.92</f>
        <v>289.0624787084426</v>
      </c>
      <c r="U2139" s="113">
        <f t="shared" si="2284"/>
        <v>28.906247870844261</v>
      </c>
      <c r="V2139">
        <f t="shared" ref="V2139:W2139" si="2312">V2115</f>
        <v>3</v>
      </c>
      <c r="W2139">
        <f t="shared" si="2312"/>
        <v>3.2</v>
      </c>
      <c r="X2139" s="9">
        <v>-42.130247866666402</v>
      </c>
      <c r="Y2139" s="39"/>
    </row>
    <row r="2140" spans="1:25" ht="15" thickBot="1">
      <c r="A2140" s="149">
        <f t="shared" si="2266"/>
        <v>45925.041666663463</v>
      </c>
      <c r="B2140" s="30">
        <f t="shared" si="2293"/>
        <v>5000</v>
      </c>
      <c r="C2140" s="8">
        <v>25000</v>
      </c>
      <c r="D2140" s="187">
        <v>0</v>
      </c>
      <c r="E2140" s="187">
        <v>700</v>
      </c>
      <c r="F2140" s="187">
        <v>15000</v>
      </c>
      <c r="G2140" s="30">
        <f t="shared" si="2294"/>
        <v>2400</v>
      </c>
      <c r="H2140" s="42">
        <v>25000</v>
      </c>
      <c r="I2140" s="30">
        <f t="shared" si="2295"/>
        <v>5000</v>
      </c>
      <c r="J2140" s="187">
        <v>40000</v>
      </c>
      <c r="K2140" s="30">
        <f t="shared" si="2296"/>
        <v>5000</v>
      </c>
      <c r="L2140" s="187">
        <v>40000</v>
      </c>
      <c r="M2140" s="110">
        <v>9.5</v>
      </c>
      <c r="N2140" s="9">
        <f>VLOOKUP(DATE(YEAR(A2140),MONTH(A2140),DAY(A2140)),FY24_Temp[],3,FALSE)</f>
        <v>16.8</v>
      </c>
      <c r="O2140" s="110">
        <f t="shared" si="2282"/>
        <v>11.5</v>
      </c>
      <c r="P2140" s="110">
        <f t="shared" si="2283"/>
        <v>19.5</v>
      </c>
      <c r="Q2140" s="87">
        <f>VLOOKUP(VLOOKUP(DATEVALUE(TEXT(A2140,"m/d/yyyy")),FY24_Temp[],5,FALSE)&amp;TEXT(A2140,"-h"),TempDelta[],4,FALSE)</f>
        <v>1.8974285977227348</v>
      </c>
      <c r="R2140">
        <v>10</v>
      </c>
      <c r="S2140" s="112">
        <v>1500</v>
      </c>
      <c r="T2140" s="98">
        <f>VLOOKUP(TEXT(A2140,"yy-mm")&amp;"-"&amp;IF(AND(WEEKDAY(A2140)&gt;1,WEEKDAY(A2140)&lt;7),"Wkd",TEXT(A2140,"Ddd"))&amp;"-"&amp;TEXT(A2140,"hh"),LoadTable[],3,FALSE)*0.92</f>
        <v>289.0624787084426</v>
      </c>
      <c r="U2140" s="113">
        <f t="shared" si="2284"/>
        <v>28.906247870844261</v>
      </c>
      <c r="V2140">
        <f t="shared" ref="V2140:W2140" si="2313">V2116</f>
        <v>2.6</v>
      </c>
      <c r="W2140">
        <f t="shared" si="2313"/>
        <v>3.2</v>
      </c>
      <c r="X2140" s="86">
        <v>-42.208042416666302</v>
      </c>
      <c r="Y2140" s="39"/>
    </row>
    <row r="2141" spans="1:25" ht="15" thickBot="1">
      <c r="A2141" s="149">
        <f t="shared" si="2266"/>
        <v>45925.083333330127</v>
      </c>
      <c r="B2141" s="30">
        <f t="shared" si="2293"/>
        <v>5000</v>
      </c>
      <c r="C2141" s="8">
        <v>25000</v>
      </c>
      <c r="D2141" s="187">
        <v>0</v>
      </c>
      <c r="E2141" s="187">
        <v>700</v>
      </c>
      <c r="F2141" s="187">
        <v>15000</v>
      </c>
      <c r="G2141" s="30">
        <f t="shared" si="2294"/>
        <v>2400</v>
      </c>
      <c r="H2141" s="8">
        <v>25000</v>
      </c>
      <c r="I2141" s="30">
        <f t="shared" si="2295"/>
        <v>5000</v>
      </c>
      <c r="J2141" s="187">
        <v>40000</v>
      </c>
      <c r="K2141" s="30">
        <f t="shared" si="2296"/>
        <v>5000</v>
      </c>
      <c r="L2141" s="187">
        <v>40000</v>
      </c>
      <c r="M2141" s="110">
        <v>9.5</v>
      </c>
      <c r="N2141" s="9">
        <f>VLOOKUP(DATE(YEAR(A2141),MONTH(A2141),DAY(A2141)),FY24_Temp[],3,FALSE)</f>
        <v>16.8</v>
      </c>
      <c r="O2141" s="110">
        <f t="shared" si="2282"/>
        <v>11.5</v>
      </c>
      <c r="P2141" s="110">
        <f t="shared" si="2283"/>
        <v>19.5</v>
      </c>
      <c r="Q2141" s="79">
        <f>VLOOKUP(VLOOKUP(DATEVALUE(TEXT(A2141,"m/d/yyyy")),FY24_Temp[],5,FALSE)&amp;TEXT(A2141,"-h"),TempDelta[],4,FALSE)</f>
        <v>1.9182857445308141</v>
      </c>
      <c r="R2141">
        <v>10</v>
      </c>
      <c r="S2141" s="112">
        <v>1500</v>
      </c>
      <c r="T2141" s="5">
        <f>VLOOKUP(TEXT(A2141,"yy-mm")&amp;"-"&amp;IF(AND(WEEKDAY(A2141)&gt;1,WEEKDAY(A2141)&lt;7),"Wkd",TEXT(A2141,"Ddd"))&amp;"-"&amp;TEXT(A2141,"hh"),LoadTable[],3,FALSE)*0.92</f>
        <v>289.0624787084426</v>
      </c>
      <c r="U2141" s="113">
        <f t="shared" si="2284"/>
        <v>28.906247870844261</v>
      </c>
      <c r="V2141">
        <f t="shared" ref="V2141:W2141" si="2314">V2117</f>
        <v>2.8</v>
      </c>
      <c r="W2141">
        <f t="shared" si="2314"/>
        <v>3.2</v>
      </c>
      <c r="X2141" s="9">
        <v>-42.285836966666302</v>
      </c>
      <c r="Y2141" s="39"/>
    </row>
    <row r="2142" spans="1:25" ht="15" thickBot="1">
      <c r="A2142" s="149">
        <f t="shared" si="2266"/>
        <v>45925.124999996791</v>
      </c>
      <c r="B2142" s="30">
        <f t="shared" si="2293"/>
        <v>5000</v>
      </c>
      <c r="C2142" s="8">
        <v>25000</v>
      </c>
      <c r="D2142" s="187">
        <v>0</v>
      </c>
      <c r="E2142" s="187">
        <v>700</v>
      </c>
      <c r="F2142" s="187">
        <v>15000</v>
      </c>
      <c r="G2142" s="30">
        <f t="shared" si="2294"/>
        <v>2400</v>
      </c>
      <c r="H2142" s="8">
        <v>25000</v>
      </c>
      <c r="I2142" s="30">
        <f t="shared" si="2295"/>
        <v>5000</v>
      </c>
      <c r="J2142" s="187">
        <v>40000</v>
      </c>
      <c r="K2142" s="30">
        <f t="shared" si="2296"/>
        <v>5000</v>
      </c>
      <c r="L2142" s="187">
        <v>40000</v>
      </c>
      <c r="M2142" s="110">
        <v>9.5</v>
      </c>
      <c r="N2142" s="9">
        <f>VLOOKUP(DATE(YEAR(A2142),MONTH(A2142),DAY(A2142)),FY24_Temp[],3,FALSE)</f>
        <v>16.8</v>
      </c>
      <c r="O2142" s="110">
        <f t="shared" si="2282"/>
        <v>11.5</v>
      </c>
      <c r="P2142" s="110">
        <f t="shared" si="2283"/>
        <v>19.5</v>
      </c>
      <c r="Q2142" s="79">
        <f>VLOOKUP(VLOOKUP(DATEVALUE(TEXT(A2142,"m/d/yyyy")),FY24_Temp[],5,FALSE)&amp;TEXT(A2142,"-h"),TempDelta[],4,FALSE)</f>
        <v>1.9078571796417236</v>
      </c>
      <c r="R2142">
        <v>10</v>
      </c>
      <c r="S2142" s="112">
        <v>1500</v>
      </c>
      <c r="T2142" s="5">
        <f>VLOOKUP(TEXT(A2142,"yy-mm")&amp;"-"&amp;IF(AND(WEEKDAY(A2142)&gt;1,WEEKDAY(A2142)&lt;7),"Wkd",TEXT(A2142,"Ddd"))&amp;"-"&amp;TEXT(A2142,"hh"),LoadTable[],3,FALSE)*0.92</f>
        <v>289.05894152419745</v>
      </c>
      <c r="U2142" s="113">
        <f t="shared" si="2284"/>
        <v>28.905894152419744</v>
      </c>
      <c r="V2142">
        <f t="shared" ref="V2142:W2142" si="2315">V2118</f>
        <v>2.7</v>
      </c>
      <c r="W2142">
        <f t="shared" si="2315"/>
        <v>3.2</v>
      </c>
      <c r="X2142" s="9">
        <v>-42.363631516666302</v>
      </c>
      <c r="Y2142" s="39"/>
    </row>
    <row r="2143" spans="1:25" ht="15" thickBot="1">
      <c r="A2143" s="149">
        <f t="shared" si="2266"/>
        <v>45925.166666663456</v>
      </c>
      <c r="B2143" s="30">
        <f t="shared" si="2293"/>
        <v>5000</v>
      </c>
      <c r="C2143" s="8">
        <v>25000</v>
      </c>
      <c r="D2143" s="187">
        <v>0</v>
      </c>
      <c r="E2143" s="187">
        <v>700</v>
      </c>
      <c r="F2143" s="187">
        <v>15000</v>
      </c>
      <c r="G2143" s="30">
        <f t="shared" si="2294"/>
        <v>2400</v>
      </c>
      <c r="H2143" s="8">
        <v>25000</v>
      </c>
      <c r="I2143" s="30">
        <f t="shared" si="2295"/>
        <v>5000</v>
      </c>
      <c r="J2143" s="187">
        <v>40000</v>
      </c>
      <c r="K2143" s="30">
        <f t="shared" si="2296"/>
        <v>5000</v>
      </c>
      <c r="L2143" s="187">
        <v>40000</v>
      </c>
      <c r="M2143" s="110">
        <v>9.5</v>
      </c>
      <c r="N2143" s="9">
        <f>VLOOKUP(DATE(YEAR(A2143),MONTH(A2143),DAY(A2143)),FY24_Temp[],3,FALSE)</f>
        <v>16.8</v>
      </c>
      <c r="O2143" s="110">
        <f t="shared" si="2282"/>
        <v>11.5</v>
      </c>
      <c r="P2143" s="110">
        <f t="shared" si="2283"/>
        <v>19.5</v>
      </c>
      <c r="Q2143" s="79">
        <f>VLOOKUP(VLOOKUP(DATEVALUE(TEXT(A2143,"m/d/yyyy")),FY24_Temp[],5,FALSE)&amp;TEXT(A2143,"-h"),TempDelta[],4,FALSE)</f>
        <v>1.9279999732971191</v>
      </c>
      <c r="R2143">
        <v>10</v>
      </c>
      <c r="S2143" s="112">
        <v>1500</v>
      </c>
      <c r="T2143" s="5">
        <f>VLOOKUP(TEXT(A2143,"yy-mm")&amp;"-"&amp;IF(AND(WEEKDAY(A2143)&gt;1,WEEKDAY(A2143)&lt;7),"Wkd",TEXT(A2143,"Ddd"))&amp;"-"&amp;TEXT(A2143,"hh"),LoadTable[],3,FALSE)*0.92</f>
        <v>289.05894152419745</v>
      </c>
      <c r="U2143" s="113">
        <f t="shared" si="2284"/>
        <v>28.905894152419744</v>
      </c>
      <c r="V2143">
        <f t="shared" ref="V2143:W2143" si="2316">V2119</f>
        <v>3</v>
      </c>
      <c r="W2143">
        <f t="shared" si="2316"/>
        <v>3.1</v>
      </c>
      <c r="X2143" s="9">
        <v>-42.441426066666303</v>
      </c>
      <c r="Y2143" s="39"/>
    </row>
    <row r="2144" spans="1:25" ht="15" thickBot="1">
      <c r="A2144" s="149">
        <f t="shared" si="2266"/>
        <v>45925.20833333012</v>
      </c>
      <c r="B2144" s="30">
        <f t="shared" si="2293"/>
        <v>5000</v>
      </c>
      <c r="C2144" s="8">
        <v>25000</v>
      </c>
      <c r="D2144" s="187">
        <v>0</v>
      </c>
      <c r="E2144" s="187">
        <v>700</v>
      </c>
      <c r="F2144" s="187">
        <v>15000</v>
      </c>
      <c r="G2144" s="30">
        <f t="shared" si="2294"/>
        <v>2400</v>
      </c>
      <c r="H2144" s="8">
        <v>25000</v>
      </c>
      <c r="I2144" s="30">
        <f t="shared" si="2295"/>
        <v>5000</v>
      </c>
      <c r="J2144" s="187">
        <v>40000</v>
      </c>
      <c r="K2144" s="30">
        <f t="shared" si="2296"/>
        <v>5000</v>
      </c>
      <c r="L2144" s="187">
        <v>40000</v>
      </c>
      <c r="M2144" s="110">
        <v>9.5</v>
      </c>
      <c r="N2144" s="9">
        <f>VLOOKUP(DATE(YEAR(A2144),MONTH(A2144),DAY(A2144)),FY24_Temp[],3,FALSE)</f>
        <v>16.8</v>
      </c>
      <c r="O2144" s="110">
        <f t="shared" si="2282"/>
        <v>11.5</v>
      </c>
      <c r="P2144" s="110">
        <f t="shared" si="2283"/>
        <v>19.5</v>
      </c>
      <c r="Q2144" s="79">
        <f>VLOOKUP(VLOOKUP(DATEVALUE(TEXT(A2144,"m/d/yyyy")),FY24_Temp[],5,FALSE)&amp;TEXT(A2144,"-h"),TempDelta[],4,FALSE)</f>
        <v>2.012714283806937</v>
      </c>
      <c r="R2144">
        <v>10</v>
      </c>
      <c r="S2144" s="112">
        <v>1500</v>
      </c>
      <c r="T2144" s="5">
        <f>VLOOKUP(TEXT(A2144,"yy-mm")&amp;"-"&amp;IF(AND(WEEKDAY(A2144)&gt;1,WEEKDAY(A2144)&lt;7),"Wkd",TEXT(A2144,"Ddd"))&amp;"-"&amp;TEXT(A2144,"hh"),LoadTable[],3,FALSE)*0.92</f>
        <v>289.05894152419745</v>
      </c>
      <c r="U2144" s="113">
        <f t="shared" si="2284"/>
        <v>28.905894152419744</v>
      </c>
      <c r="V2144">
        <f t="shared" ref="V2144:W2144" si="2317">V2120</f>
        <v>2.9</v>
      </c>
      <c r="W2144">
        <f t="shared" si="2317"/>
        <v>3.1</v>
      </c>
      <c r="X2144" s="9">
        <v>-42.519220616666303</v>
      </c>
      <c r="Y2144" s="39"/>
    </row>
    <row r="2145" spans="1:25" ht="15" thickBot="1">
      <c r="A2145" s="149">
        <f t="shared" si="2266"/>
        <v>45925.249999996784</v>
      </c>
      <c r="B2145" s="30">
        <f t="shared" si="2293"/>
        <v>8000</v>
      </c>
      <c r="C2145" s="8">
        <v>25000</v>
      </c>
      <c r="D2145" s="187">
        <v>0</v>
      </c>
      <c r="E2145" s="187">
        <v>700</v>
      </c>
      <c r="F2145" s="187">
        <v>15000</v>
      </c>
      <c r="G2145" s="30">
        <f t="shared" si="2294"/>
        <v>2400</v>
      </c>
      <c r="H2145" s="8">
        <v>25000</v>
      </c>
      <c r="I2145" s="30">
        <f t="shared" si="2295"/>
        <v>8000</v>
      </c>
      <c r="J2145" s="187">
        <v>40000</v>
      </c>
      <c r="K2145" s="30">
        <f t="shared" si="2296"/>
        <v>8000</v>
      </c>
      <c r="L2145" s="187">
        <v>40000</v>
      </c>
      <c r="M2145" s="110">
        <v>9.5</v>
      </c>
      <c r="N2145" s="9">
        <f>VLOOKUP(DATE(YEAR(A2145),MONTH(A2145),DAY(A2145)),FY24_Temp[],3,FALSE)</f>
        <v>16.8</v>
      </c>
      <c r="O2145" s="110">
        <f t="shared" si="2282"/>
        <v>11.5</v>
      </c>
      <c r="P2145" s="110">
        <f t="shared" si="2283"/>
        <v>19.5</v>
      </c>
      <c r="Q2145" s="79">
        <f>VLOOKUP(VLOOKUP(DATEVALUE(TEXT(A2145,"m/d/yyyy")),FY24_Temp[],5,FALSE)&amp;TEXT(A2145,"-h"),TempDelta[],4,FALSE)</f>
        <v>1.9665714332035609</v>
      </c>
      <c r="R2145">
        <v>10</v>
      </c>
      <c r="S2145" s="112">
        <v>1500</v>
      </c>
      <c r="T2145" s="5">
        <f>VLOOKUP(TEXT(A2145,"yy-mm")&amp;"-"&amp;IF(AND(WEEKDAY(A2145)&gt;1,WEEKDAY(A2145)&lt;7),"Wkd",TEXT(A2145,"Ddd"))&amp;"-"&amp;TEXT(A2145,"hh"),LoadTable[],3,FALSE)*0.92</f>
        <v>291.12479999999999</v>
      </c>
      <c r="U2145" s="113">
        <f t="shared" si="2284"/>
        <v>29.112479999999998</v>
      </c>
      <c r="V2145">
        <f t="shared" ref="V2145:W2145" si="2318">V2121</f>
        <v>2.5</v>
      </c>
      <c r="W2145">
        <f t="shared" si="2318"/>
        <v>3.1</v>
      </c>
      <c r="X2145" s="9">
        <v>-42.597015166666303</v>
      </c>
      <c r="Y2145" s="39"/>
    </row>
    <row r="2146" spans="1:25" ht="15" thickBot="1">
      <c r="A2146" s="149">
        <f t="shared" si="2266"/>
        <v>45925.291666663448</v>
      </c>
      <c r="B2146" s="30">
        <f t="shared" si="2293"/>
        <v>8000</v>
      </c>
      <c r="C2146" s="8">
        <v>25000</v>
      </c>
      <c r="D2146" s="187">
        <v>0</v>
      </c>
      <c r="E2146" s="187">
        <v>700</v>
      </c>
      <c r="F2146" s="187">
        <v>15000</v>
      </c>
      <c r="G2146" s="30">
        <f t="shared" si="2294"/>
        <v>2400</v>
      </c>
      <c r="H2146" s="8">
        <v>25000</v>
      </c>
      <c r="I2146" s="30">
        <f t="shared" si="2295"/>
        <v>8000</v>
      </c>
      <c r="J2146" s="187">
        <v>40000</v>
      </c>
      <c r="K2146" s="30">
        <f t="shared" si="2296"/>
        <v>8000</v>
      </c>
      <c r="L2146" s="187">
        <v>40000</v>
      </c>
      <c r="M2146" s="110">
        <v>9.5</v>
      </c>
      <c r="N2146" s="9">
        <f>VLOOKUP(DATE(YEAR(A2146),MONTH(A2146),DAY(A2146)),FY24_Temp[],3,FALSE)</f>
        <v>16.8</v>
      </c>
      <c r="O2146" s="110">
        <f t="shared" si="2282"/>
        <v>11.5</v>
      </c>
      <c r="P2146" s="110">
        <f t="shared" si="2283"/>
        <v>19.5</v>
      </c>
      <c r="Q2146" s="79">
        <f>VLOOKUP(VLOOKUP(DATEVALUE(TEXT(A2146,"m/d/yyyy")),FY24_Temp[],5,FALSE)&amp;TEXT(A2146,"-h"),TempDelta[],4,FALSE)</f>
        <v>1.8381428548267909</v>
      </c>
      <c r="R2146">
        <v>10</v>
      </c>
      <c r="S2146" s="112">
        <v>1500</v>
      </c>
      <c r="T2146" s="5">
        <f>VLOOKUP(TEXT(A2146,"yy-mm")&amp;"-"&amp;IF(AND(WEEKDAY(A2146)&gt;1,WEEKDAY(A2146)&lt;7),"Wkd",TEXT(A2146,"Ddd"))&amp;"-"&amp;TEXT(A2146,"hh"),LoadTable[],3,FALSE)*0.92</f>
        <v>291.12479999999999</v>
      </c>
      <c r="U2146" s="113">
        <f t="shared" si="2284"/>
        <v>29.112479999999998</v>
      </c>
      <c r="V2146">
        <f t="shared" ref="V2146:W2146" si="2319">V2122</f>
        <v>2.5</v>
      </c>
      <c r="W2146">
        <f t="shared" si="2319"/>
        <v>3.1</v>
      </c>
      <c r="X2146" s="9">
        <v>-42.674809716666303</v>
      </c>
      <c r="Y2146" s="39"/>
    </row>
    <row r="2147" spans="1:25" ht="15" thickBot="1">
      <c r="A2147" s="149">
        <f t="shared" si="2266"/>
        <v>45925.333333330113</v>
      </c>
      <c r="B2147" s="30">
        <f t="shared" si="2293"/>
        <v>8000</v>
      </c>
      <c r="C2147" s="8">
        <v>25000</v>
      </c>
      <c r="D2147" s="187">
        <v>0</v>
      </c>
      <c r="E2147" s="187">
        <v>700</v>
      </c>
      <c r="F2147" s="187">
        <v>15000</v>
      </c>
      <c r="G2147" s="30">
        <f t="shared" si="2294"/>
        <v>2400</v>
      </c>
      <c r="H2147" s="8">
        <v>25000</v>
      </c>
      <c r="I2147" s="30">
        <f t="shared" si="2295"/>
        <v>8000</v>
      </c>
      <c r="J2147" s="187">
        <v>40000</v>
      </c>
      <c r="K2147" s="30">
        <f t="shared" si="2296"/>
        <v>8000</v>
      </c>
      <c r="L2147" s="187">
        <v>40000</v>
      </c>
      <c r="M2147" s="110">
        <v>9.5</v>
      </c>
      <c r="N2147" s="9">
        <f>VLOOKUP(DATE(YEAR(A2147),MONTH(A2147),DAY(A2147)),FY24_Temp[],3,FALSE)</f>
        <v>16.8</v>
      </c>
      <c r="O2147" s="110">
        <f t="shared" si="2282"/>
        <v>11.5</v>
      </c>
      <c r="P2147" s="110">
        <f t="shared" si="2283"/>
        <v>19.5</v>
      </c>
      <c r="Q2147" s="79">
        <f>VLOOKUP(VLOOKUP(DATEVALUE(TEXT(A2147,"m/d/yyyy")),FY24_Temp[],5,FALSE)&amp;TEXT(A2147,"-h"),TempDelta[],4,FALSE)</f>
        <v>1.6827142919812883</v>
      </c>
      <c r="R2147">
        <v>10</v>
      </c>
      <c r="S2147" s="112">
        <v>1500</v>
      </c>
      <c r="T2147" s="5">
        <f>VLOOKUP(TEXT(A2147,"yy-mm")&amp;"-"&amp;IF(AND(WEEKDAY(A2147)&gt;1,WEEKDAY(A2147)&lt;7),"Wkd",TEXT(A2147,"Ddd"))&amp;"-"&amp;TEXT(A2147,"hh"),LoadTable[],3,FALSE)*0.92</f>
        <v>291.12479999999999</v>
      </c>
      <c r="U2147" s="113">
        <f t="shared" si="2284"/>
        <v>29.112479999999998</v>
      </c>
      <c r="V2147">
        <f t="shared" ref="V2147:W2147" si="2320">V2123</f>
        <v>3.2</v>
      </c>
      <c r="W2147">
        <f t="shared" si="2320"/>
        <v>3</v>
      </c>
      <c r="X2147" s="9">
        <v>-42.752604266666303</v>
      </c>
      <c r="Y2147" s="39"/>
    </row>
    <row r="2148" spans="1:25" ht="15" thickBot="1">
      <c r="A2148" s="149">
        <f t="shared" si="2266"/>
        <v>45925.374999996777</v>
      </c>
      <c r="B2148" s="30">
        <f t="shared" si="2293"/>
        <v>8000</v>
      </c>
      <c r="C2148" s="8">
        <v>25000</v>
      </c>
      <c r="D2148" s="187">
        <v>0</v>
      </c>
      <c r="E2148" s="187">
        <v>700</v>
      </c>
      <c r="F2148" s="187">
        <v>15000</v>
      </c>
      <c r="G2148" s="30">
        <f t="shared" si="2294"/>
        <v>2400</v>
      </c>
      <c r="H2148" s="8">
        <v>25000</v>
      </c>
      <c r="I2148" s="30">
        <f t="shared" si="2295"/>
        <v>8000</v>
      </c>
      <c r="J2148" s="187">
        <v>40000</v>
      </c>
      <c r="K2148" s="30">
        <f t="shared" si="2296"/>
        <v>8000</v>
      </c>
      <c r="L2148" s="187">
        <v>40000</v>
      </c>
      <c r="M2148" s="110">
        <v>9.5</v>
      </c>
      <c r="N2148" s="9">
        <f>VLOOKUP(DATE(YEAR(A2148),MONTH(A2148),DAY(A2148)),FY24_Temp[],3,FALSE)</f>
        <v>16.8</v>
      </c>
      <c r="O2148" s="110">
        <f t="shared" si="2282"/>
        <v>11.5</v>
      </c>
      <c r="P2148" s="110">
        <f t="shared" si="2283"/>
        <v>19.5</v>
      </c>
      <c r="Q2148" s="79">
        <f>VLOOKUP(VLOOKUP(DATEVALUE(TEXT(A2148,"m/d/yyyy")),FY24_Temp[],5,FALSE)&amp;TEXT(A2148,"-h"),TempDelta[],4,FALSE)</f>
        <v>1.5467142888477869</v>
      </c>
      <c r="R2148">
        <v>10</v>
      </c>
      <c r="S2148" s="112">
        <v>1500</v>
      </c>
      <c r="T2148" s="5">
        <f>VLOOKUP(TEXT(A2148,"yy-mm")&amp;"-"&amp;IF(AND(WEEKDAY(A2148)&gt;1,WEEKDAY(A2148)&lt;7),"Wkd",TEXT(A2148,"Ddd"))&amp;"-"&amp;TEXT(A2148,"hh"),LoadTable[],3,FALSE)*0.92</f>
        <v>291.12479999999999</v>
      </c>
      <c r="U2148" s="113">
        <f t="shared" si="2284"/>
        <v>29.112479999999998</v>
      </c>
      <c r="V2148">
        <f t="shared" ref="V2148:W2148" si="2321">V2124</f>
        <v>2.9</v>
      </c>
      <c r="W2148">
        <f t="shared" si="2321"/>
        <v>3</v>
      </c>
      <c r="X2148" s="9">
        <v>-42.830398816666303</v>
      </c>
      <c r="Y2148" s="39"/>
    </row>
    <row r="2149" spans="1:25" ht="15" thickBot="1">
      <c r="A2149" s="149">
        <f t="shared" si="2266"/>
        <v>45925.416666663441</v>
      </c>
      <c r="B2149" s="30">
        <f t="shared" si="2293"/>
        <v>8000</v>
      </c>
      <c r="C2149" s="8">
        <v>25000</v>
      </c>
      <c r="D2149" s="187">
        <v>0</v>
      </c>
      <c r="E2149" s="187">
        <v>700</v>
      </c>
      <c r="F2149" s="187">
        <v>15000</v>
      </c>
      <c r="G2149" s="30">
        <f t="shared" si="2294"/>
        <v>2400</v>
      </c>
      <c r="H2149" s="8">
        <v>25000</v>
      </c>
      <c r="I2149" s="30">
        <f t="shared" si="2295"/>
        <v>8000</v>
      </c>
      <c r="J2149" s="187">
        <v>40000</v>
      </c>
      <c r="K2149" s="30">
        <f t="shared" si="2296"/>
        <v>8000</v>
      </c>
      <c r="L2149" s="187">
        <v>40000</v>
      </c>
      <c r="M2149" s="110">
        <v>9.5</v>
      </c>
      <c r="N2149" s="9">
        <f>VLOOKUP(DATE(YEAR(A2149),MONTH(A2149),DAY(A2149)),FY24_Temp[],3,FALSE)</f>
        <v>16.8</v>
      </c>
      <c r="O2149" s="110">
        <f t="shared" si="2282"/>
        <v>11.5</v>
      </c>
      <c r="P2149" s="110">
        <f t="shared" si="2283"/>
        <v>19.5</v>
      </c>
      <c r="Q2149" s="79">
        <f>VLOOKUP(VLOOKUP(DATEVALUE(TEXT(A2149,"m/d/yyyy")),FY24_Temp[],5,FALSE)&amp;TEXT(A2149,"-h"),TempDelta[],4,FALSE)</f>
        <v>1.4074285881859916</v>
      </c>
      <c r="R2149">
        <v>10</v>
      </c>
      <c r="S2149" s="112">
        <v>1500</v>
      </c>
      <c r="T2149" s="5">
        <f>VLOOKUP(TEXT(A2149,"yy-mm")&amp;"-"&amp;IF(AND(WEEKDAY(A2149)&gt;1,WEEKDAY(A2149)&lt;7),"Wkd",TEXT(A2149,"Ddd"))&amp;"-"&amp;TEXT(A2149,"hh"),LoadTable[],3,FALSE)*0.92</f>
        <v>290.74956158350585</v>
      </c>
      <c r="U2149" s="113">
        <f t="shared" si="2284"/>
        <v>29.074956158350584</v>
      </c>
      <c r="V2149">
        <f t="shared" ref="V2149:W2149" si="2322">V2125</f>
        <v>2.9</v>
      </c>
      <c r="W2149">
        <f t="shared" si="2322"/>
        <v>3</v>
      </c>
      <c r="X2149" s="9">
        <v>-42.908193366666303</v>
      </c>
      <c r="Y2149" s="39"/>
    </row>
    <row r="2150" spans="1:25" ht="15" thickBot="1">
      <c r="A2150" s="149">
        <f t="shared" si="2266"/>
        <v>45925.458333330105</v>
      </c>
      <c r="B2150" s="30">
        <f t="shared" si="2293"/>
        <v>8000</v>
      </c>
      <c r="C2150" s="8">
        <v>25000</v>
      </c>
      <c r="D2150" s="187">
        <v>0</v>
      </c>
      <c r="E2150" s="187">
        <v>700</v>
      </c>
      <c r="F2150" s="187">
        <v>15000</v>
      </c>
      <c r="G2150" s="30">
        <f t="shared" si="2294"/>
        <v>2400</v>
      </c>
      <c r="H2150" s="8">
        <v>25000</v>
      </c>
      <c r="I2150" s="30">
        <f t="shared" si="2295"/>
        <v>8000</v>
      </c>
      <c r="J2150" s="187">
        <v>40000</v>
      </c>
      <c r="K2150" s="30">
        <f t="shared" si="2296"/>
        <v>8000</v>
      </c>
      <c r="L2150" s="187">
        <v>40000</v>
      </c>
      <c r="M2150" s="110">
        <v>9.5</v>
      </c>
      <c r="N2150" s="9">
        <f>VLOOKUP(DATE(YEAR(A2150),MONTH(A2150),DAY(A2150)),FY24_Temp[],3,FALSE)</f>
        <v>16.8</v>
      </c>
      <c r="O2150" s="110">
        <f t="shared" si="2282"/>
        <v>11.5</v>
      </c>
      <c r="P2150" s="110">
        <f t="shared" si="2283"/>
        <v>19.5</v>
      </c>
      <c r="Q2150" s="79">
        <f>VLOOKUP(VLOOKUP(DATEVALUE(TEXT(A2150,"m/d/yyyy")),FY24_Temp[],5,FALSE)&amp;TEXT(A2150,"-h"),TempDelta[],4,FALSE)</f>
        <v>1.2401428733553206</v>
      </c>
      <c r="R2150">
        <v>10</v>
      </c>
      <c r="S2150" s="112">
        <v>1500</v>
      </c>
      <c r="T2150" s="5">
        <f>VLOOKUP(TEXT(A2150,"yy-mm")&amp;"-"&amp;IF(AND(WEEKDAY(A2150)&gt;1,WEEKDAY(A2150)&lt;7),"Wkd",TEXT(A2150,"Ddd"))&amp;"-"&amp;TEXT(A2150,"hh"),LoadTable[],3,FALSE)*0.92</f>
        <v>290.74956158350585</v>
      </c>
      <c r="U2150" s="113">
        <f t="shared" si="2284"/>
        <v>29.074956158350584</v>
      </c>
      <c r="V2150">
        <f t="shared" ref="V2150:W2150" si="2323">V2126</f>
        <v>3.4</v>
      </c>
      <c r="W2150">
        <f t="shared" si="2323"/>
        <v>3</v>
      </c>
      <c r="X2150" s="9">
        <v>-42.985987916666303</v>
      </c>
      <c r="Y2150" s="39"/>
    </row>
    <row r="2151" spans="1:25" ht="15" thickBot="1">
      <c r="A2151" s="149">
        <f t="shared" si="2266"/>
        <v>45925.499999996769</v>
      </c>
      <c r="B2151" s="30">
        <f t="shared" si="2293"/>
        <v>8000</v>
      </c>
      <c r="C2151" s="8">
        <v>25000</v>
      </c>
      <c r="D2151" s="187">
        <v>0</v>
      </c>
      <c r="E2151" s="187">
        <v>700</v>
      </c>
      <c r="F2151" s="187">
        <v>15000</v>
      </c>
      <c r="G2151" s="30">
        <f t="shared" si="2294"/>
        <v>2400</v>
      </c>
      <c r="H2151" s="8">
        <v>25000</v>
      </c>
      <c r="I2151" s="30">
        <f t="shared" si="2295"/>
        <v>8000</v>
      </c>
      <c r="J2151" s="187">
        <v>40000</v>
      </c>
      <c r="K2151" s="30">
        <f t="shared" si="2296"/>
        <v>8000</v>
      </c>
      <c r="L2151" s="187">
        <v>40000</v>
      </c>
      <c r="M2151" s="110">
        <v>9.5</v>
      </c>
      <c r="N2151" s="9">
        <f>VLOOKUP(DATE(YEAR(A2151),MONTH(A2151),DAY(A2151)),FY24_Temp[],3,FALSE)</f>
        <v>16.8</v>
      </c>
      <c r="O2151" s="110">
        <f t="shared" si="2282"/>
        <v>11.5</v>
      </c>
      <c r="P2151" s="110">
        <f t="shared" si="2283"/>
        <v>19.5</v>
      </c>
      <c r="Q2151" s="79">
        <f>VLOOKUP(VLOOKUP(DATEVALUE(TEXT(A2151,"m/d/yyyy")),FY24_Temp[],5,FALSE)&amp;TEXT(A2151,"-h"),TempDelta[],4,FALSE)</f>
        <v>1.0797142812183924</v>
      </c>
      <c r="R2151">
        <v>10</v>
      </c>
      <c r="S2151" s="112">
        <v>1500</v>
      </c>
      <c r="T2151" s="5">
        <f>VLOOKUP(TEXT(A2151,"yy-mm")&amp;"-"&amp;IF(AND(WEEKDAY(A2151)&gt;1,WEEKDAY(A2151)&lt;7),"Wkd",TEXT(A2151,"Ddd"))&amp;"-"&amp;TEXT(A2151,"hh"),LoadTable[],3,FALSE)*0.92</f>
        <v>290.74956158350585</v>
      </c>
      <c r="U2151" s="113">
        <f t="shared" si="2284"/>
        <v>29.074956158350584</v>
      </c>
      <c r="V2151">
        <f t="shared" ref="V2151:W2151" si="2324">V2127</f>
        <v>3.1</v>
      </c>
      <c r="W2151">
        <f t="shared" si="2324"/>
        <v>2.9</v>
      </c>
      <c r="X2151" s="9">
        <v>-43.063782466666297</v>
      </c>
      <c r="Y2151" s="39"/>
    </row>
    <row r="2152" spans="1:25" ht="15" thickBot="1">
      <c r="A2152" s="149">
        <f t="shared" si="2266"/>
        <v>45925.541666663434</v>
      </c>
      <c r="B2152" s="30">
        <f t="shared" si="2293"/>
        <v>8000</v>
      </c>
      <c r="C2152" s="8">
        <v>25000</v>
      </c>
      <c r="D2152" s="187">
        <v>0</v>
      </c>
      <c r="E2152" s="187">
        <v>700</v>
      </c>
      <c r="F2152" s="187">
        <v>15000</v>
      </c>
      <c r="G2152" s="30">
        <f t="shared" si="2294"/>
        <v>2400</v>
      </c>
      <c r="H2152" s="8">
        <v>25000</v>
      </c>
      <c r="I2152" s="30">
        <f t="shared" si="2295"/>
        <v>8000</v>
      </c>
      <c r="J2152" s="187">
        <v>40000</v>
      </c>
      <c r="K2152" s="30">
        <f t="shared" si="2296"/>
        <v>8000</v>
      </c>
      <c r="L2152" s="187">
        <v>40000</v>
      </c>
      <c r="M2152" s="110">
        <v>9.5</v>
      </c>
      <c r="N2152" s="9">
        <f>VLOOKUP(DATE(YEAR(A2152),MONTH(A2152),DAY(A2152)),FY24_Temp[],3,FALSE)</f>
        <v>16.8</v>
      </c>
      <c r="O2152" s="110">
        <f t="shared" si="2282"/>
        <v>11.5</v>
      </c>
      <c r="P2152" s="110">
        <f t="shared" si="2283"/>
        <v>19.5</v>
      </c>
      <c r="Q2152" s="79">
        <f>VLOOKUP(VLOOKUP(DATEVALUE(TEXT(A2152,"m/d/yyyy")),FY24_Temp[],5,FALSE)&amp;TEXT(A2152,"-h"),TempDelta[],4,FALSE)</f>
        <v>0.92499999489103046</v>
      </c>
      <c r="R2152">
        <v>10</v>
      </c>
      <c r="S2152" s="112">
        <v>1500</v>
      </c>
      <c r="T2152" s="5">
        <f>VLOOKUP(TEXT(A2152,"yy-mm")&amp;"-"&amp;IF(AND(WEEKDAY(A2152)&gt;1,WEEKDAY(A2152)&lt;7),"Wkd",TEXT(A2152,"Ddd"))&amp;"-"&amp;TEXT(A2152,"hh"),LoadTable[],3,FALSE)*0.92</f>
        <v>290.72204920255348</v>
      </c>
      <c r="U2152" s="113">
        <f t="shared" si="2284"/>
        <v>29.072204920255349</v>
      </c>
      <c r="V2152">
        <f t="shared" ref="V2152:W2152" si="2325">V2128</f>
        <v>3.2</v>
      </c>
      <c r="W2152">
        <f t="shared" si="2325"/>
        <v>2.9</v>
      </c>
      <c r="X2152" s="9">
        <v>-43.141577016666297</v>
      </c>
      <c r="Y2152" s="39"/>
    </row>
    <row r="2153" spans="1:25" ht="15" thickBot="1">
      <c r="A2153" s="149">
        <f t="shared" si="2266"/>
        <v>45925.583333330098</v>
      </c>
      <c r="B2153" s="30">
        <f t="shared" si="2293"/>
        <v>8000</v>
      </c>
      <c r="C2153" s="8">
        <v>25000</v>
      </c>
      <c r="D2153" s="187">
        <v>0</v>
      </c>
      <c r="E2153" s="187">
        <v>700</v>
      </c>
      <c r="F2153" s="187">
        <v>15000</v>
      </c>
      <c r="G2153" s="30">
        <f t="shared" si="2294"/>
        <v>2400</v>
      </c>
      <c r="H2153" s="8">
        <v>25000</v>
      </c>
      <c r="I2153" s="30">
        <f t="shared" si="2295"/>
        <v>8000</v>
      </c>
      <c r="J2153" s="187">
        <v>40000</v>
      </c>
      <c r="K2153" s="30">
        <f t="shared" si="2296"/>
        <v>8000</v>
      </c>
      <c r="L2153" s="187">
        <v>40000</v>
      </c>
      <c r="M2153" s="110">
        <v>9.5</v>
      </c>
      <c r="N2153" s="9">
        <f>VLOOKUP(DATE(YEAR(A2153),MONTH(A2153),DAY(A2153)),FY24_Temp[],3,FALSE)</f>
        <v>16.8</v>
      </c>
      <c r="O2153" s="110">
        <f t="shared" si="2282"/>
        <v>11.5</v>
      </c>
      <c r="P2153" s="110">
        <f t="shared" si="2283"/>
        <v>19.5</v>
      </c>
      <c r="Q2153" s="79">
        <f>VLOOKUP(VLOOKUP(DATEVALUE(TEXT(A2153,"m/d/yyyy")),FY24_Temp[],5,FALSE)&amp;TEXT(A2153,"-h"),TempDelta[],4,FALSE)</f>
        <v>0.77985713311604088</v>
      </c>
      <c r="R2153">
        <v>10</v>
      </c>
      <c r="S2153" s="112">
        <v>1500</v>
      </c>
      <c r="T2153" s="5">
        <f>VLOOKUP(TEXT(A2153,"yy-mm")&amp;"-"&amp;IF(AND(WEEKDAY(A2153)&gt;1,WEEKDAY(A2153)&lt;7),"Wkd",TEXT(A2153,"Ddd"))&amp;"-"&amp;TEXT(A2153,"hh"),LoadTable[],3,FALSE)*0.92</f>
        <v>363.28132000000005</v>
      </c>
      <c r="U2153" s="113">
        <f t="shared" si="2284"/>
        <v>36.328132000000004</v>
      </c>
      <c r="V2153">
        <f t="shared" ref="V2153:W2153" si="2326">V2129</f>
        <v>3.5</v>
      </c>
      <c r="W2153">
        <f t="shared" si="2326"/>
        <v>2.9</v>
      </c>
      <c r="X2153" s="9">
        <v>-43.219371566666297</v>
      </c>
      <c r="Y2153" s="39"/>
    </row>
    <row r="2154" spans="1:25" ht="15" thickBot="1">
      <c r="A2154" s="149">
        <f t="shared" si="2266"/>
        <v>45925.624999996762</v>
      </c>
      <c r="B2154" s="30">
        <f t="shared" si="2293"/>
        <v>8000</v>
      </c>
      <c r="C2154" s="8">
        <v>25000</v>
      </c>
      <c r="D2154" s="187">
        <v>0</v>
      </c>
      <c r="E2154" s="187">
        <v>700</v>
      </c>
      <c r="F2154" s="187">
        <v>15000</v>
      </c>
      <c r="G2154" s="30">
        <f t="shared" si="2294"/>
        <v>2400</v>
      </c>
      <c r="H2154" s="8">
        <v>25000</v>
      </c>
      <c r="I2154" s="30">
        <f t="shared" si="2295"/>
        <v>8000</v>
      </c>
      <c r="J2154" s="187">
        <v>40000</v>
      </c>
      <c r="K2154" s="30">
        <f t="shared" si="2296"/>
        <v>8000</v>
      </c>
      <c r="L2154" s="187">
        <v>40000</v>
      </c>
      <c r="M2154" s="110">
        <v>9.5</v>
      </c>
      <c r="N2154" s="9">
        <f>VLOOKUP(DATE(YEAR(A2154),MONTH(A2154),DAY(A2154)),FY24_Temp[],3,FALSE)</f>
        <v>16.8</v>
      </c>
      <c r="O2154" s="110">
        <f t="shared" si="2282"/>
        <v>11.5</v>
      </c>
      <c r="P2154" s="110">
        <f t="shared" si="2283"/>
        <v>19.5</v>
      </c>
      <c r="Q2154" s="79">
        <f>VLOOKUP(VLOOKUP(DATEVALUE(TEXT(A2154,"m/d/yyyy")),FY24_Temp[],5,FALSE)&amp;TEXT(A2154,"-h"),TempDelta[],4,FALSE)</f>
        <v>0.30699999923152582</v>
      </c>
      <c r="R2154">
        <v>10</v>
      </c>
      <c r="S2154" s="112">
        <v>1500</v>
      </c>
      <c r="T2154" s="5">
        <f>VLOOKUP(TEXT(A2154,"yy-mm")&amp;"-"&amp;IF(AND(WEEKDAY(A2154)&gt;1,WEEKDAY(A2154)&lt;7),"Wkd",TEXT(A2154,"Ddd"))&amp;"-"&amp;TEXT(A2154,"hh"),LoadTable[],3,FALSE)*0.92</f>
        <v>570.3300004440199</v>
      </c>
      <c r="U2154" s="113">
        <f t="shared" si="2284"/>
        <v>57.033000044401987</v>
      </c>
      <c r="V2154">
        <f t="shared" ref="V2154:W2154" si="2327">V2130</f>
        <v>3.2</v>
      </c>
      <c r="W2154">
        <f t="shared" si="2327"/>
        <v>2.9</v>
      </c>
      <c r="X2154" s="9">
        <v>-43.297166116666297</v>
      </c>
      <c r="Y2154" s="39"/>
    </row>
    <row r="2155" spans="1:25" ht="15" thickBot="1">
      <c r="A2155" s="149">
        <f t="shared" si="2266"/>
        <v>45925.666666663426</v>
      </c>
      <c r="B2155" s="30">
        <f t="shared" si="2293"/>
        <v>8000</v>
      </c>
      <c r="C2155" s="8">
        <v>25000</v>
      </c>
      <c r="D2155" s="187">
        <v>0</v>
      </c>
      <c r="E2155" s="187">
        <v>700</v>
      </c>
      <c r="F2155" s="187">
        <v>15000</v>
      </c>
      <c r="G2155" s="30">
        <f t="shared" si="2294"/>
        <v>2400</v>
      </c>
      <c r="H2155" s="8">
        <v>25000</v>
      </c>
      <c r="I2155" s="30">
        <f t="shared" si="2295"/>
        <v>8000</v>
      </c>
      <c r="J2155" s="187">
        <v>40000</v>
      </c>
      <c r="K2155" s="30">
        <f t="shared" si="2296"/>
        <v>8000</v>
      </c>
      <c r="L2155" s="187">
        <v>40000</v>
      </c>
      <c r="M2155" s="110">
        <v>9.5</v>
      </c>
      <c r="N2155" s="9">
        <f>VLOOKUP(DATE(YEAR(A2155),MONTH(A2155),DAY(A2155)),FY24_Temp[],3,FALSE)</f>
        <v>16.8</v>
      </c>
      <c r="O2155" s="110">
        <f t="shared" si="2282"/>
        <v>11.5</v>
      </c>
      <c r="P2155" s="110">
        <f t="shared" si="2283"/>
        <v>19.5</v>
      </c>
      <c r="Q2155" s="79">
        <f>VLOOKUP(VLOOKUP(DATEVALUE(TEXT(A2155,"m/d/yyyy")),FY24_Temp[],5,FALSE)&amp;TEXT(A2155,"-h"),TempDelta[],4,FALSE)</f>
        <v>0.38057142476152095</v>
      </c>
      <c r="R2155">
        <v>10</v>
      </c>
      <c r="S2155" s="112">
        <v>1500</v>
      </c>
      <c r="T2155" s="5">
        <f>VLOOKUP(TEXT(A2155,"yy-mm")&amp;"-"&amp;IF(AND(WEEKDAY(A2155)&gt;1,WEEKDAY(A2155)&lt;7),"Wkd",TEXT(A2155,"Ddd"))&amp;"-"&amp;TEXT(A2155,"hh"),LoadTable[],3,FALSE)*0.92</f>
        <v>602.16876690131596</v>
      </c>
      <c r="U2155" s="113">
        <f t="shared" si="2284"/>
        <v>60.216876690131599</v>
      </c>
      <c r="V2155">
        <f t="shared" ref="V2155:W2155" si="2328">V2131</f>
        <v>3.5</v>
      </c>
      <c r="W2155">
        <f t="shared" si="2328"/>
        <v>3</v>
      </c>
      <c r="X2155" s="9">
        <v>-43.374960666666297</v>
      </c>
      <c r="Y2155" s="39"/>
    </row>
    <row r="2156" spans="1:25" ht="15" thickBot="1">
      <c r="A2156" s="149">
        <f t="shared" si="2266"/>
        <v>45925.708333330091</v>
      </c>
      <c r="B2156" s="30">
        <f t="shared" si="2293"/>
        <v>8000</v>
      </c>
      <c r="C2156" s="8">
        <v>25000</v>
      </c>
      <c r="D2156" s="187">
        <v>0</v>
      </c>
      <c r="E2156" s="187">
        <v>700</v>
      </c>
      <c r="F2156" s="187">
        <v>15000</v>
      </c>
      <c r="G2156" s="30">
        <f t="shared" si="2294"/>
        <v>2400</v>
      </c>
      <c r="H2156" s="8">
        <v>25000</v>
      </c>
      <c r="I2156" s="30">
        <f t="shared" si="2295"/>
        <v>8000</v>
      </c>
      <c r="J2156" s="187">
        <v>40000</v>
      </c>
      <c r="K2156" s="30">
        <f t="shared" si="2296"/>
        <v>8000</v>
      </c>
      <c r="L2156" s="187">
        <v>40000</v>
      </c>
      <c r="M2156" s="110">
        <v>9.5</v>
      </c>
      <c r="N2156" s="9">
        <f>VLOOKUP(DATE(YEAR(A2156),MONTH(A2156),DAY(A2156)),FY24_Temp[],3,FALSE)</f>
        <v>16.8</v>
      </c>
      <c r="O2156" s="110">
        <f t="shared" si="2282"/>
        <v>11.5</v>
      </c>
      <c r="P2156" s="110">
        <f t="shared" si="2283"/>
        <v>19.5</v>
      </c>
      <c r="Q2156" s="79">
        <f>VLOOKUP(VLOOKUP(DATEVALUE(TEXT(A2156,"m/d/yyyy")),FY24_Temp[],5,FALSE)&amp;TEXT(A2156,"-h"),TempDelta[],4,FALSE)</f>
        <v>0.65464284856404575</v>
      </c>
      <c r="R2156">
        <v>10</v>
      </c>
      <c r="S2156" s="112">
        <v>1500</v>
      </c>
      <c r="T2156" s="5">
        <f>VLOOKUP(TEXT(A2156,"yy-mm")&amp;"-"&amp;IF(AND(WEEKDAY(A2156)&gt;1,WEEKDAY(A2156)&lt;7),"Wkd",TEXT(A2156,"Ddd"))&amp;"-"&amp;TEXT(A2156,"hh"),LoadTable[],3,FALSE)*0.92</f>
        <v>602.16876690131596</v>
      </c>
      <c r="U2156" s="113">
        <f t="shared" si="2284"/>
        <v>60.216876690131599</v>
      </c>
      <c r="V2156">
        <f t="shared" ref="V2156:W2156" si="2329">V2132</f>
        <v>3.6</v>
      </c>
      <c r="W2156">
        <f t="shared" si="2329"/>
        <v>3</v>
      </c>
      <c r="X2156" s="9">
        <v>-43.452755216666297</v>
      </c>
      <c r="Y2156" s="39"/>
    </row>
    <row r="2157" spans="1:25" ht="15" thickBot="1">
      <c r="A2157" s="149">
        <f t="shared" si="2266"/>
        <v>45925.749999996755</v>
      </c>
      <c r="B2157" s="30">
        <f t="shared" si="2293"/>
        <v>5000</v>
      </c>
      <c r="C2157" s="8">
        <v>25000</v>
      </c>
      <c r="D2157" s="187">
        <v>0</v>
      </c>
      <c r="E2157" s="187">
        <v>700</v>
      </c>
      <c r="F2157" s="187">
        <v>15000</v>
      </c>
      <c r="G2157" s="30">
        <f t="shared" si="2294"/>
        <v>2400</v>
      </c>
      <c r="H2157" s="8">
        <v>25000</v>
      </c>
      <c r="I2157" s="30">
        <f t="shared" si="2295"/>
        <v>5000</v>
      </c>
      <c r="J2157" s="187">
        <v>40000</v>
      </c>
      <c r="K2157" s="30">
        <f t="shared" si="2296"/>
        <v>5000</v>
      </c>
      <c r="L2157" s="187">
        <v>40000</v>
      </c>
      <c r="M2157" s="110">
        <v>9.5</v>
      </c>
      <c r="N2157" s="9">
        <f>VLOOKUP(DATE(YEAR(A2157),MONTH(A2157),DAY(A2157)),FY24_Temp[],3,FALSE)</f>
        <v>16.8</v>
      </c>
      <c r="O2157" s="110">
        <f t="shared" si="2282"/>
        <v>11.5</v>
      </c>
      <c r="P2157" s="110">
        <f t="shared" si="2283"/>
        <v>19.5</v>
      </c>
      <c r="Q2157" s="79">
        <f>VLOOKUP(VLOOKUP(DATEVALUE(TEXT(A2157,"m/d/yyyy")),FY24_Temp[],5,FALSE)&amp;TEXT(A2157,"-h"),TempDelta[],4,FALSE)</f>
        <v>0.96042857638427193</v>
      </c>
      <c r="R2157">
        <v>10</v>
      </c>
      <c r="S2157" s="112">
        <v>1500</v>
      </c>
      <c r="T2157" s="5">
        <f>VLOOKUP(TEXT(A2157,"yy-mm")&amp;"-"&amp;IF(AND(WEEKDAY(A2157)&gt;1,WEEKDAY(A2157)&lt;7),"Wkd",TEXT(A2157,"Ddd"))&amp;"-"&amp;TEXT(A2157,"hh"),LoadTable[],3,FALSE)*0.92</f>
        <v>602.16876690131596</v>
      </c>
      <c r="U2157" s="113">
        <f t="shared" si="2284"/>
        <v>60.216876690131599</v>
      </c>
      <c r="V2157">
        <f t="shared" ref="V2157:W2157" si="2330">V2133</f>
        <v>2.9</v>
      </c>
      <c r="W2157">
        <f t="shared" si="2330"/>
        <v>3</v>
      </c>
      <c r="X2157" s="9">
        <v>-43.530549766666297</v>
      </c>
      <c r="Y2157" s="39"/>
    </row>
    <row r="2158" spans="1:25" ht="15" thickBot="1">
      <c r="A2158" s="149">
        <f t="shared" si="2266"/>
        <v>45925.791666663419</v>
      </c>
      <c r="B2158" s="30">
        <f t="shared" si="2293"/>
        <v>5000</v>
      </c>
      <c r="C2158" s="8">
        <v>25000</v>
      </c>
      <c r="D2158" s="187">
        <v>0</v>
      </c>
      <c r="E2158" s="187">
        <v>700</v>
      </c>
      <c r="F2158" s="187">
        <v>15000</v>
      </c>
      <c r="G2158" s="30">
        <f t="shared" si="2294"/>
        <v>2400</v>
      </c>
      <c r="H2158" s="8">
        <v>25000</v>
      </c>
      <c r="I2158" s="30">
        <f t="shared" si="2295"/>
        <v>5000</v>
      </c>
      <c r="J2158" s="187">
        <v>40000</v>
      </c>
      <c r="K2158" s="30">
        <f t="shared" si="2296"/>
        <v>5000</v>
      </c>
      <c r="L2158" s="187">
        <v>40000</v>
      </c>
      <c r="M2158" s="110">
        <v>9.5</v>
      </c>
      <c r="N2158" s="9">
        <f>VLOOKUP(DATE(YEAR(A2158),MONTH(A2158),DAY(A2158)),FY24_Temp[],3,FALSE)</f>
        <v>16.8</v>
      </c>
      <c r="O2158" s="110">
        <f t="shared" si="2282"/>
        <v>11.5</v>
      </c>
      <c r="P2158" s="110">
        <f t="shared" si="2283"/>
        <v>19.5</v>
      </c>
      <c r="Q2158" s="79">
        <f>VLOOKUP(VLOOKUP(DATEVALUE(TEXT(A2158,"m/d/yyyy")),FY24_Temp[],5,FALSE)&amp;TEXT(A2158,"-h"),TempDelta[],4,FALSE)</f>
        <v>1.0787142855780465</v>
      </c>
      <c r="R2158">
        <v>10</v>
      </c>
      <c r="S2158" s="112">
        <v>1500</v>
      </c>
      <c r="T2158" s="5">
        <f>VLOOKUP(TEXT(A2158,"yy-mm")&amp;"-"&amp;IF(AND(WEEKDAY(A2158)&gt;1,WEEKDAY(A2158)&lt;7),"Wkd",TEXT(A2158,"Ddd"))&amp;"-"&amp;TEXT(A2158,"hh"),LoadTable[],3,FALSE)*0.92</f>
        <v>600.14662419619219</v>
      </c>
      <c r="U2158" s="113">
        <f t="shared" si="2284"/>
        <v>60.014662419619221</v>
      </c>
      <c r="V2158">
        <f t="shared" ref="V2158:W2158" si="2331">V2134</f>
        <v>3</v>
      </c>
      <c r="W2158">
        <f t="shared" si="2331"/>
        <v>3</v>
      </c>
      <c r="X2158" s="9">
        <v>-43.608344316666297</v>
      </c>
      <c r="Y2158" s="39"/>
    </row>
    <row r="2159" spans="1:25" ht="15" thickBot="1">
      <c r="A2159" s="149">
        <f t="shared" si="2266"/>
        <v>45925.833333330083</v>
      </c>
      <c r="B2159" s="30">
        <f t="shared" si="2293"/>
        <v>5000</v>
      </c>
      <c r="C2159" s="8">
        <v>25000</v>
      </c>
      <c r="D2159" s="187">
        <v>0</v>
      </c>
      <c r="E2159" s="187">
        <v>700</v>
      </c>
      <c r="F2159" s="187">
        <v>15000</v>
      </c>
      <c r="G2159" s="30">
        <f t="shared" si="2294"/>
        <v>2400</v>
      </c>
      <c r="H2159" s="8">
        <v>25000</v>
      </c>
      <c r="I2159" s="30">
        <f t="shared" si="2295"/>
        <v>5000</v>
      </c>
      <c r="J2159" s="187">
        <v>40000</v>
      </c>
      <c r="K2159" s="30">
        <f t="shared" si="2296"/>
        <v>5000</v>
      </c>
      <c r="L2159" s="187">
        <v>40000</v>
      </c>
      <c r="M2159" s="110">
        <v>9.5</v>
      </c>
      <c r="N2159" s="9">
        <f>VLOOKUP(DATE(YEAR(A2159),MONTH(A2159),DAY(A2159)),FY24_Temp[],3,FALSE)</f>
        <v>16.8</v>
      </c>
      <c r="O2159" s="110">
        <f t="shared" si="2282"/>
        <v>11.5</v>
      </c>
      <c r="P2159" s="110">
        <f t="shared" si="2283"/>
        <v>19.5</v>
      </c>
      <c r="Q2159" s="79">
        <f>VLOOKUP(VLOOKUP(DATEVALUE(TEXT(A2159,"m/d/yyyy")),FY24_Temp[],5,FALSE)&amp;TEXT(A2159,"-h"),TempDelta[],4,FALSE)</f>
        <v>1.1579285774912154</v>
      </c>
      <c r="R2159">
        <v>10</v>
      </c>
      <c r="S2159" s="112">
        <v>1500</v>
      </c>
      <c r="T2159" s="5">
        <f>VLOOKUP(TEXT(A2159,"yy-mm")&amp;"-"&amp;IF(AND(WEEKDAY(A2159)&gt;1,WEEKDAY(A2159)&lt;7),"Wkd",TEXT(A2159,"Ddd"))&amp;"-"&amp;TEXT(A2159,"hh"),LoadTable[],3,FALSE)*0.92</f>
        <v>600.14662419619219</v>
      </c>
      <c r="U2159" s="113">
        <f t="shared" si="2284"/>
        <v>60.014662419619221</v>
      </c>
      <c r="V2159">
        <f t="shared" ref="V2159:W2159" si="2332">V2135</f>
        <v>2.8</v>
      </c>
      <c r="W2159">
        <f t="shared" si="2332"/>
        <v>3.1</v>
      </c>
      <c r="X2159" s="9">
        <v>-43.686138866666298</v>
      </c>
      <c r="Y2159" s="39"/>
    </row>
    <row r="2160" spans="1:25" ht="15" thickBot="1">
      <c r="A2160" s="149">
        <f t="shared" si="2266"/>
        <v>45925.874999996748</v>
      </c>
      <c r="B2160" s="30">
        <f t="shared" si="2293"/>
        <v>5000</v>
      </c>
      <c r="C2160" s="8">
        <v>25000</v>
      </c>
      <c r="D2160" s="187">
        <v>0</v>
      </c>
      <c r="E2160" s="187">
        <v>700</v>
      </c>
      <c r="F2160" s="187">
        <v>15000</v>
      </c>
      <c r="G2160" s="30">
        <f t="shared" si="2294"/>
        <v>2400</v>
      </c>
      <c r="H2160" s="8">
        <v>25000</v>
      </c>
      <c r="I2160" s="30">
        <f t="shared" si="2295"/>
        <v>5000</v>
      </c>
      <c r="J2160" s="187">
        <v>40000</v>
      </c>
      <c r="K2160" s="30">
        <f t="shared" si="2296"/>
        <v>5000</v>
      </c>
      <c r="L2160" s="187">
        <v>40000</v>
      </c>
      <c r="M2160" s="110">
        <v>9.5</v>
      </c>
      <c r="N2160" s="9">
        <f>VLOOKUP(DATE(YEAR(A2160),MONTH(A2160),DAY(A2160)),FY24_Temp[],3,FALSE)</f>
        <v>16.8</v>
      </c>
      <c r="O2160" s="110">
        <f t="shared" si="2282"/>
        <v>11.5</v>
      </c>
      <c r="P2160" s="110">
        <f t="shared" si="2283"/>
        <v>19.5</v>
      </c>
      <c r="Q2160" s="79">
        <f>VLOOKUP(VLOOKUP(DATEVALUE(TEXT(A2160,"m/d/yyyy")),FY24_Temp[],5,FALSE)&amp;TEXT(A2160,"-h"),TempDelta[],4,FALSE)</f>
        <v>1.1765714372907365</v>
      </c>
      <c r="R2160">
        <v>10</v>
      </c>
      <c r="S2160" s="112">
        <v>1500</v>
      </c>
      <c r="T2160" s="5">
        <f>VLOOKUP(TEXT(A2160,"yy-mm")&amp;"-"&amp;IF(AND(WEEKDAY(A2160)&gt;1,WEEKDAY(A2160)&lt;7),"Wkd",TEXT(A2160,"Ddd"))&amp;"-"&amp;TEXT(A2160,"hh"),LoadTable[],3,FALSE)*0.92</f>
        <v>523.94879142973434</v>
      </c>
      <c r="U2160" s="113">
        <f t="shared" si="2284"/>
        <v>52.394879142973437</v>
      </c>
      <c r="V2160">
        <f t="shared" ref="V2160:W2160" si="2333">V2136</f>
        <v>3.5</v>
      </c>
      <c r="W2160">
        <f t="shared" si="2333"/>
        <v>3.1</v>
      </c>
      <c r="X2160" s="9">
        <v>-43.763933416666298</v>
      </c>
      <c r="Y2160" s="39"/>
    </row>
    <row r="2161" spans="1:25" ht="15" thickBot="1">
      <c r="A2161" s="149">
        <f t="shared" si="2266"/>
        <v>45925.916666663412</v>
      </c>
      <c r="B2161" s="30">
        <f t="shared" si="2293"/>
        <v>5000</v>
      </c>
      <c r="C2161" s="8">
        <v>25000</v>
      </c>
      <c r="D2161" s="187">
        <v>0</v>
      </c>
      <c r="E2161" s="187">
        <v>700</v>
      </c>
      <c r="F2161" s="187">
        <v>15000</v>
      </c>
      <c r="G2161" s="30">
        <f t="shared" si="2294"/>
        <v>2400</v>
      </c>
      <c r="H2161" s="8">
        <v>25000</v>
      </c>
      <c r="I2161" s="30">
        <f t="shared" si="2295"/>
        <v>5000</v>
      </c>
      <c r="J2161" s="187">
        <v>40000</v>
      </c>
      <c r="K2161" s="30">
        <f t="shared" si="2296"/>
        <v>5000</v>
      </c>
      <c r="L2161" s="187">
        <v>40000</v>
      </c>
      <c r="M2161" s="110">
        <v>9.5</v>
      </c>
      <c r="N2161" s="9">
        <f>VLOOKUP(DATE(YEAR(A2161),MONTH(A2161),DAY(A2161)),FY24_Temp[],3,FALSE)</f>
        <v>16.8</v>
      </c>
      <c r="O2161" s="110">
        <f t="shared" si="2282"/>
        <v>11.5</v>
      </c>
      <c r="P2161" s="110">
        <f t="shared" si="2283"/>
        <v>19.5</v>
      </c>
      <c r="Q2161" s="79">
        <f>VLOOKUP(VLOOKUP(DATEVALUE(TEXT(A2161,"m/d/yyyy")),FY24_Temp[],5,FALSE)&amp;TEXT(A2161,"-h"),TempDelta[],4,FALSE)</f>
        <v>1.6277142763137817</v>
      </c>
      <c r="R2161">
        <v>10</v>
      </c>
      <c r="S2161" s="112">
        <v>1500</v>
      </c>
      <c r="T2161" s="5">
        <f>VLOOKUP(TEXT(A2161,"yy-mm")&amp;"-"&amp;IF(AND(WEEKDAY(A2161)&gt;1,WEEKDAY(A2161)&lt;7),"Wkd",TEXT(A2161,"Ddd"))&amp;"-"&amp;TEXT(A2161,"hh"),LoadTable[],3,FALSE)*0.92</f>
        <v>421.91858468239752</v>
      </c>
      <c r="U2161" s="113">
        <f t="shared" si="2284"/>
        <v>42.191858468239751</v>
      </c>
      <c r="V2161">
        <f t="shared" ref="V2161:W2161" si="2334">V2137</f>
        <v>2.9</v>
      </c>
      <c r="W2161">
        <f t="shared" si="2334"/>
        <v>3.1</v>
      </c>
      <c r="X2161" s="9">
        <v>-43.841727966666298</v>
      </c>
      <c r="Y2161" s="39"/>
    </row>
    <row r="2162" spans="1:25" ht="15" thickBot="1">
      <c r="A2162" s="149">
        <f t="shared" si="2266"/>
        <v>45925.958333330076</v>
      </c>
      <c r="B2162" s="30">
        <f t="shared" si="2293"/>
        <v>5000</v>
      </c>
      <c r="C2162" s="41">
        <v>25000</v>
      </c>
      <c r="D2162" s="187">
        <v>0</v>
      </c>
      <c r="E2162" s="187">
        <v>700</v>
      </c>
      <c r="F2162" s="187">
        <v>15000</v>
      </c>
      <c r="G2162" s="30">
        <f t="shared" si="2294"/>
        <v>2400</v>
      </c>
      <c r="H2162" s="8">
        <v>25000</v>
      </c>
      <c r="I2162" s="30">
        <f t="shared" si="2295"/>
        <v>5000</v>
      </c>
      <c r="J2162" s="187">
        <v>40000</v>
      </c>
      <c r="K2162" s="30">
        <f t="shared" si="2296"/>
        <v>5000</v>
      </c>
      <c r="L2162" s="187">
        <v>40000</v>
      </c>
      <c r="M2162" s="110">
        <v>9.5</v>
      </c>
      <c r="N2162" s="9">
        <f>VLOOKUP(DATE(YEAR(A2162),MONTH(A2162),DAY(A2162)),FY24_Temp[],3,FALSE)</f>
        <v>16.8</v>
      </c>
      <c r="O2162" s="110">
        <f t="shared" si="2282"/>
        <v>11.5</v>
      </c>
      <c r="P2162" s="110">
        <f t="shared" si="2283"/>
        <v>19.5</v>
      </c>
      <c r="Q2162" s="79">
        <f>VLOOKUP(VLOOKUP(DATEVALUE(TEXT(A2162,"m/d/yyyy")),FY24_Temp[],5,FALSE)&amp;TEXT(A2162,"-h"),TempDelta[],4,FALSE)</f>
        <v>1.758285709789821</v>
      </c>
      <c r="R2162">
        <v>10</v>
      </c>
      <c r="S2162" s="112">
        <v>1500</v>
      </c>
      <c r="T2162" s="5">
        <f>VLOOKUP(TEXT(A2162,"yy-mm")&amp;"-"&amp;IF(AND(WEEKDAY(A2162)&gt;1,WEEKDAY(A2162)&lt;7),"Wkd",TEXT(A2162,"Ddd"))&amp;"-"&amp;TEXT(A2162,"hh"),LoadTable[],3,FALSE)*0.92</f>
        <v>289.33527113913209</v>
      </c>
      <c r="U2162" s="113">
        <f t="shared" si="2284"/>
        <v>28.933527113913208</v>
      </c>
      <c r="V2162">
        <f t="shared" ref="V2162:W2162" si="2335">V2138</f>
        <v>3.6</v>
      </c>
      <c r="W2162">
        <f t="shared" si="2335"/>
        <v>3.1</v>
      </c>
      <c r="X2162" s="9">
        <v>-43.919522516666298</v>
      </c>
      <c r="Y2162" s="39"/>
    </row>
    <row r="2163" spans="1:25" ht="15" thickBot="1">
      <c r="A2163" s="149">
        <f t="shared" si="2266"/>
        <v>45925.99999999674</v>
      </c>
      <c r="B2163" s="30">
        <f t="shared" si="2293"/>
        <v>5000</v>
      </c>
      <c r="C2163" s="8">
        <v>25000</v>
      </c>
      <c r="D2163" s="187">
        <v>0</v>
      </c>
      <c r="E2163" s="187">
        <v>700</v>
      </c>
      <c r="F2163" s="187">
        <v>15000</v>
      </c>
      <c r="G2163" s="30">
        <f t="shared" si="2294"/>
        <v>2400</v>
      </c>
      <c r="H2163" s="8">
        <v>25000</v>
      </c>
      <c r="I2163" s="30">
        <f t="shared" si="2295"/>
        <v>5000</v>
      </c>
      <c r="J2163" s="187">
        <v>40000</v>
      </c>
      <c r="K2163" s="30">
        <f t="shared" si="2296"/>
        <v>5000</v>
      </c>
      <c r="L2163" s="187">
        <v>40000</v>
      </c>
      <c r="M2163" s="110">
        <v>9.5</v>
      </c>
      <c r="N2163" s="9">
        <f>VLOOKUP(DATE(YEAR(A2163),MONTH(A2163),DAY(A2163)),FY24_Temp[],3,FALSE)</f>
        <v>16.8</v>
      </c>
      <c r="O2163" s="110">
        <f t="shared" si="2282"/>
        <v>11.5</v>
      </c>
      <c r="P2163" s="110">
        <f t="shared" si="2283"/>
        <v>19.5</v>
      </c>
      <c r="Q2163" s="79">
        <f>VLOOKUP(VLOOKUP(DATEVALUE(TEXT(A2163,"m/d/yyyy")),FY24_Temp[],5,FALSE)&amp;TEXT(A2163,"-h"),TempDelta[],4,FALSE)</f>
        <v>1.8245714221681868</v>
      </c>
      <c r="R2163">
        <v>10</v>
      </c>
      <c r="S2163" s="112">
        <v>1500</v>
      </c>
      <c r="T2163" s="5">
        <f>VLOOKUP(TEXT(A2163,"yy-mm")&amp;"-"&amp;IF(AND(WEEKDAY(A2163)&gt;1,WEEKDAY(A2163)&lt;7),"Wkd",TEXT(A2163,"Ddd"))&amp;"-"&amp;TEXT(A2163,"hh"),LoadTable[],3,FALSE)*0.92</f>
        <v>289.0624787084426</v>
      </c>
      <c r="U2163" s="113">
        <f t="shared" si="2284"/>
        <v>28.906247870844261</v>
      </c>
      <c r="V2163">
        <f t="shared" ref="V2163:W2163" si="2336">V2139</f>
        <v>3</v>
      </c>
      <c r="W2163">
        <f t="shared" si="2336"/>
        <v>3.2</v>
      </c>
      <c r="X2163" s="9">
        <v>-43.997317066666298</v>
      </c>
      <c r="Y2163" s="39"/>
    </row>
    <row r="2164" spans="1:25" ht="15" thickBot="1">
      <c r="A2164" s="149">
        <f t="shared" si="2266"/>
        <v>45926.041666663405</v>
      </c>
      <c r="B2164" s="30">
        <f t="shared" si="2293"/>
        <v>5000</v>
      </c>
      <c r="C2164" s="42">
        <v>25000</v>
      </c>
      <c r="D2164" s="187">
        <v>0</v>
      </c>
      <c r="E2164" s="187">
        <v>700</v>
      </c>
      <c r="F2164" s="187">
        <v>15000</v>
      </c>
      <c r="G2164" s="30">
        <f t="shared" si="2294"/>
        <v>2400</v>
      </c>
      <c r="H2164" s="8">
        <v>25000</v>
      </c>
      <c r="I2164" s="30">
        <f t="shared" si="2295"/>
        <v>5000</v>
      </c>
      <c r="J2164" s="187">
        <v>40000</v>
      </c>
      <c r="K2164" s="30">
        <f t="shared" si="2296"/>
        <v>5000</v>
      </c>
      <c r="L2164" s="187">
        <v>40000</v>
      </c>
      <c r="M2164" s="110">
        <v>9.5</v>
      </c>
      <c r="N2164" s="9">
        <f>VLOOKUP(DATE(YEAR(A2164),MONTH(A2164),DAY(A2164)),FY24_Temp[],3,FALSE)</f>
        <v>16.8</v>
      </c>
      <c r="O2164" s="110">
        <f t="shared" si="2282"/>
        <v>11.5</v>
      </c>
      <c r="P2164" s="110">
        <f t="shared" si="2283"/>
        <v>19.5</v>
      </c>
      <c r="Q2164" s="79">
        <f>VLOOKUP(VLOOKUP(DATEVALUE(TEXT(A2164,"m/d/yyyy")),FY24_Temp[],5,FALSE)&amp;TEXT(A2164,"-h"),TempDelta[],4,FALSE)</f>
        <v>1.8974285977227348</v>
      </c>
      <c r="R2164">
        <v>10</v>
      </c>
      <c r="S2164" s="112">
        <v>1500</v>
      </c>
      <c r="T2164" s="5">
        <f>VLOOKUP(TEXT(A2164,"yy-mm")&amp;"-"&amp;IF(AND(WEEKDAY(A2164)&gt;1,WEEKDAY(A2164)&lt;7),"Wkd",TEXT(A2164,"Ddd"))&amp;"-"&amp;TEXT(A2164,"hh"),LoadTable[],3,FALSE)*0.92</f>
        <v>289.0624787084426</v>
      </c>
      <c r="U2164" s="113">
        <f t="shared" si="2284"/>
        <v>28.906247870844261</v>
      </c>
      <c r="V2164">
        <f t="shared" ref="V2164:W2164" si="2337">V2140</f>
        <v>2.6</v>
      </c>
      <c r="W2164">
        <f t="shared" si="2337"/>
        <v>3.2</v>
      </c>
      <c r="X2164" s="9">
        <v>-44.075111616666298</v>
      </c>
      <c r="Y2164" s="39"/>
    </row>
    <row r="2165" spans="1:25" ht="15" thickBot="1">
      <c r="A2165" s="149">
        <f t="shared" ref="A2165:A2228" si="2338">A2164+TIME(1,0,0)</f>
        <v>45926.083333330069</v>
      </c>
      <c r="B2165" s="30">
        <f t="shared" si="2293"/>
        <v>5000</v>
      </c>
      <c r="C2165" s="8">
        <v>25000</v>
      </c>
      <c r="D2165" s="187">
        <v>0</v>
      </c>
      <c r="E2165" s="187">
        <v>700</v>
      </c>
      <c r="F2165" s="187">
        <v>15000</v>
      </c>
      <c r="G2165" s="30">
        <f t="shared" si="2294"/>
        <v>2400</v>
      </c>
      <c r="H2165" s="8">
        <v>25000</v>
      </c>
      <c r="I2165" s="30">
        <f t="shared" si="2295"/>
        <v>5000</v>
      </c>
      <c r="J2165" s="187">
        <v>40000</v>
      </c>
      <c r="K2165" s="30">
        <f t="shared" si="2296"/>
        <v>5000</v>
      </c>
      <c r="L2165" s="187">
        <v>40000</v>
      </c>
      <c r="M2165" s="110">
        <v>9.5</v>
      </c>
      <c r="N2165" s="9">
        <f>VLOOKUP(DATE(YEAR(A2165),MONTH(A2165),DAY(A2165)),FY24_Temp[],3,FALSE)</f>
        <v>16.8</v>
      </c>
      <c r="O2165" s="110">
        <f t="shared" si="2282"/>
        <v>11.5</v>
      </c>
      <c r="P2165" s="110">
        <f t="shared" si="2283"/>
        <v>19.5</v>
      </c>
      <c r="Q2165" s="79">
        <f>VLOOKUP(VLOOKUP(DATEVALUE(TEXT(A2165,"m/d/yyyy")),FY24_Temp[],5,FALSE)&amp;TEXT(A2165,"-h"),TempDelta[],4,FALSE)</f>
        <v>1.9182857445308141</v>
      </c>
      <c r="R2165">
        <v>10</v>
      </c>
      <c r="S2165" s="112">
        <v>1500</v>
      </c>
      <c r="T2165" s="5">
        <f>VLOOKUP(TEXT(A2165,"yy-mm")&amp;"-"&amp;IF(AND(WEEKDAY(A2165)&gt;1,WEEKDAY(A2165)&lt;7),"Wkd",TEXT(A2165,"Ddd"))&amp;"-"&amp;TEXT(A2165,"hh"),LoadTable[],3,FALSE)*0.92</f>
        <v>289.0624787084426</v>
      </c>
      <c r="U2165" s="113">
        <f t="shared" si="2284"/>
        <v>28.906247870844261</v>
      </c>
      <c r="V2165">
        <f t="shared" ref="V2165:W2165" si="2339">V2141</f>
        <v>2.8</v>
      </c>
      <c r="W2165">
        <f t="shared" si="2339"/>
        <v>3.2</v>
      </c>
      <c r="X2165" s="9">
        <v>-44.152906166666298</v>
      </c>
      <c r="Y2165" s="39"/>
    </row>
    <row r="2166" spans="1:25" ht="15" thickBot="1">
      <c r="A2166" s="149">
        <f t="shared" si="2338"/>
        <v>45926.124999996733</v>
      </c>
      <c r="B2166" s="30">
        <f t="shared" si="2293"/>
        <v>5000</v>
      </c>
      <c r="C2166" s="8">
        <v>25000</v>
      </c>
      <c r="D2166" s="187">
        <v>0</v>
      </c>
      <c r="E2166" s="187">
        <v>700</v>
      </c>
      <c r="F2166" s="187">
        <v>15000</v>
      </c>
      <c r="G2166" s="30">
        <f t="shared" si="2294"/>
        <v>2400</v>
      </c>
      <c r="H2166" s="8">
        <v>25000</v>
      </c>
      <c r="I2166" s="30">
        <f t="shared" si="2295"/>
        <v>5000</v>
      </c>
      <c r="J2166" s="187">
        <v>40000</v>
      </c>
      <c r="K2166" s="30">
        <f t="shared" si="2296"/>
        <v>5000</v>
      </c>
      <c r="L2166" s="187">
        <v>40000</v>
      </c>
      <c r="M2166" s="110">
        <v>9.5</v>
      </c>
      <c r="N2166" s="9">
        <f>VLOOKUP(DATE(YEAR(A2166),MONTH(A2166),DAY(A2166)),FY24_Temp[],3,FALSE)</f>
        <v>16.8</v>
      </c>
      <c r="O2166" s="110">
        <f t="shared" si="2282"/>
        <v>11.5</v>
      </c>
      <c r="P2166" s="110">
        <f t="shared" si="2283"/>
        <v>19.5</v>
      </c>
      <c r="Q2166" s="79">
        <f>VLOOKUP(VLOOKUP(DATEVALUE(TEXT(A2166,"m/d/yyyy")),FY24_Temp[],5,FALSE)&amp;TEXT(A2166,"-h"),TempDelta[],4,FALSE)</f>
        <v>1.9078571796417236</v>
      </c>
      <c r="R2166">
        <v>10</v>
      </c>
      <c r="S2166" s="112">
        <v>1500</v>
      </c>
      <c r="T2166" s="5">
        <f>VLOOKUP(TEXT(A2166,"yy-mm")&amp;"-"&amp;IF(AND(WEEKDAY(A2166)&gt;1,WEEKDAY(A2166)&lt;7),"Wkd",TEXT(A2166,"Ddd"))&amp;"-"&amp;TEXT(A2166,"hh"),LoadTable[],3,FALSE)*0.92</f>
        <v>289.05894152419745</v>
      </c>
      <c r="U2166" s="113">
        <f t="shared" si="2284"/>
        <v>28.905894152419744</v>
      </c>
      <c r="V2166">
        <f t="shared" ref="V2166:W2166" si="2340">V2142</f>
        <v>2.7</v>
      </c>
      <c r="W2166">
        <f t="shared" si="2340"/>
        <v>3.2</v>
      </c>
      <c r="X2166" s="9">
        <v>-44.230700716666298</v>
      </c>
      <c r="Y2166" s="39"/>
    </row>
    <row r="2167" spans="1:25" ht="15" thickBot="1">
      <c r="A2167" s="149">
        <f t="shared" si="2338"/>
        <v>45926.166666663397</v>
      </c>
      <c r="B2167" s="30">
        <f t="shared" si="2293"/>
        <v>5000</v>
      </c>
      <c r="C2167" s="8">
        <v>25000</v>
      </c>
      <c r="D2167" s="187">
        <v>0</v>
      </c>
      <c r="E2167" s="187">
        <v>700</v>
      </c>
      <c r="F2167" s="187">
        <v>15000</v>
      </c>
      <c r="G2167" s="30">
        <f t="shared" si="2294"/>
        <v>2400</v>
      </c>
      <c r="H2167" s="8">
        <v>25000</v>
      </c>
      <c r="I2167" s="30">
        <f t="shared" si="2295"/>
        <v>5000</v>
      </c>
      <c r="J2167" s="187">
        <v>40000</v>
      </c>
      <c r="K2167" s="30">
        <f t="shared" si="2296"/>
        <v>5000</v>
      </c>
      <c r="L2167" s="187">
        <v>40000</v>
      </c>
      <c r="M2167" s="110">
        <v>9.5</v>
      </c>
      <c r="N2167" s="9">
        <f>VLOOKUP(DATE(YEAR(A2167),MONTH(A2167),DAY(A2167)),FY24_Temp[],3,FALSE)</f>
        <v>16.8</v>
      </c>
      <c r="O2167" s="110">
        <f t="shared" si="2282"/>
        <v>11.5</v>
      </c>
      <c r="P2167" s="110">
        <f t="shared" si="2283"/>
        <v>19.5</v>
      </c>
      <c r="Q2167" s="79">
        <f>VLOOKUP(VLOOKUP(DATEVALUE(TEXT(A2167,"m/d/yyyy")),FY24_Temp[],5,FALSE)&amp;TEXT(A2167,"-h"),TempDelta[],4,FALSE)</f>
        <v>1.9279999732971191</v>
      </c>
      <c r="R2167">
        <v>10</v>
      </c>
      <c r="S2167" s="112">
        <v>1500</v>
      </c>
      <c r="T2167" s="5">
        <f>VLOOKUP(TEXT(A2167,"yy-mm")&amp;"-"&amp;IF(AND(WEEKDAY(A2167)&gt;1,WEEKDAY(A2167)&lt;7),"Wkd",TEXT(A2167,"Ddd"))&amp;"-"&amp;TEXT(A2167,"hh"),LoadTable[],3,FALSE)*0.92</f>
        <v>289.05894152419745</v>
      </c>
      <c r="U2167" s="113">
        <f t="shared" si="2284"/>
        <v>28.905894152419744</v>
      </c>
      <c r="V2167">
        <f t="shared" ref="V2167:W2167" si="2341">V2143</f>
        <v>3</v>
      </c>
      <c r="W2167">
        <f t="shared" si="2341"/>
        <v>3.1</v>
      </c>
      <c r="X2167" s="9">
        <v>-44.308495266666299</v>
      </c>
      <c r="Y2167" s="39"/>
    </row>
    <row r="2168" spans="1:25" ht="15" thickBot="1">
      <c r="A2168" s="149">
        <f t="shared" si="2338"/>
        <v>45926.208333330062</v>
      </c>
      <c r="B2168" s="30">
        <f t="shared" si="2293"/>
        <v>5000</v>
      </c>
      <c r="C2168" s="8">
        <v>25000</v>
      </c>
      <c r="D2168" s="187">
        <v>0</v>
      </c>
      <c r="E2168" s="187">
        <v>700</v>
      </c>
      <c r="F2168" s="187">
        <v>15000</v>
      </c>
      <c r="G2168" s="30">
        <f t="shared" si="2294"/>
        <v>2400</v>
      </c>
      <c r="H2168" s="8">
        <v>25000</v>
      </c>
      <c r="I2168" s="30">
        <f t="shared" si="2295"/>
        <v>5000</v>
      </c>
      <c r="J2168" s="187">
        <v>40000</v>
      </c>
      <c r="K2168" s="30">
        <f t="shared" si="2296"/>
        <v>5000</v>
      </c>
      <c r="L2168" s="187">
        <v>40000</v>
      </c>
      <c r="M2168" s="110">
        <v>9.5</v>
      </c>
      <c r="N2168" s="9">
        <f>VLOOKUP(DATE(YEAR(A2168),MONTH(A2168),DAY(A2168)),FY24_Temp[],3,FALSE)</f>
        <v>16.8</v>
      </c>
      <c r="O2168" s="110">
        <f t="shared" si="2282"/>
        <v>11.5</v>
      </c>
      <c r="P2168" s="110">
        <f t="shared" si="2283"/>
        <v>19.5</v>
      </c>
      <c r="Q2168" s="79">
        <f>VLOOKUP(VLOOKUP(DATEVALUE(TEXT(A2168,"m/d/yyyy")),FY24_Temp[],5,FALSE)&amp;TEXT(A2168,"-h"),TempDelta[],4,FALSE)</f>
        <v>2.012714283806937</v>
      </c>
      <c r="R2168">
        <v>10</v>
      </c>
      <c r="S2168" s="112">
        <v>1500</v>
      </c>
      <c r="T2168" s="5">
        <f>VLOOKUP(TEXT(A2168,"yy-mm")&amp;"-"&amp;IF(AND(WEEKDAY(A2168)&gt;1,WEEKDAY(A2168)&lt;7),"Wkd",TEXT(A2168,"Ddd"))&amp;"-"&amp;TEXT(A2168,"hh"),LoadTable[],3,FALSE)*0.92</f>
        <v>289.05894152419745</v>
      </c>
      <c r="U2168" s="113">
        <f t="shared" si="2284"/>
        <v>28.905894152419744</v>
      </c>
      <c r="V2168">
        <f t="shared" ref="V2168:W2168" si="2342">V2144</f>
        <v>2.9</v>
      </c>
      <c r="W2168">
        <f t="shared" si="2342"/>
        <v>3.1</v>
      </c>
      <c r="X2168" s="9">
        <v>-44.386289816666299</v>
      </c>
      <c r="Y2168" s="39"/>
    </row>
    <row r="2169" spans="1:25" ht="15" thickBot="1">
      <c r="A2169" s="149">
        <f t="shared" si="2338"/>
        <v>45926.249999996726</v>
      </c>
      <c r="B2169" s="30">
        <f t="shared" si="2293"/>
        <v>8000</v>
      </c>
      <c r="C2169" s="8">
        <v>25000</v>
      </c>
      <c r="D2169" s="187">
        <v>0</v>
      </c>
      <c r="E2169" s="187">
        <v>700</v>
      </c>
      <c r="F2169" s="187">
        <v>15000</v>
      </c>
      <c r="G2169" s="30">
        <f t="shared" si="2294"/>
        <v>2400</v>
      </c>
      <c r="H2169" s="8">
        <v>25000</v>
      </c>
      <c r="I2169" s="30">
        <f t="shared" si="2295"/>
        <v>8000</v>
      </c>
      <c r="J2169" s="187">
        <v>40000</v>
      </c>
      <c r="K2169" s="30">
        <f t="shared" si="2296"/>
        <v>8000</v>
      </c>
      <c r="L2169" s="187">
        <v>40000</v>
      </c>
      <c r="M2169" s="110">
        <v>9.5</v>
      </c>
      <c r="N2169" s="9">
        <f>VLOOKUP(DATE(YEAR(A2169),MONTH(A2169),DAY(A2169)),FY24_Temp[],3,FALSE)</f>
        <v>16.8</v>
      </c>
      <c r="O2169" s="110">
        <f t="shared" si="2282"/>
        <v>11.5</v>
      </c>
      <c r="P2169" s="110">
        <f t="shared" si="2283"/>
        <v>19.5</v>
      </c>
      <c r="Q2169" s="79">
        <f>VLOOKUP(VLOOKUP(DATEVALUE(TEXT(A2169,"m/d/yyyy")),FY24_Temp[],5,FALSE)&amp;TEXT(A2169,"-h"),TempDelta[],4,FALSE)</f>
        <v>1.9665714332035609</v>
      </c>
      <c r="R2169">
        <v>10</v>
      </c>
      <c r="S2169" s="112">
        <v>1500</v>
      </c>
      <c r="T2169" s="5">
        <f>VLOOKUP(TEXT(A2169,"yy-mm")&amp;"-"&amp;IF(AND(WEEKDAY(A2169)&gt;1,WEEKDAY(A2169)&lt;7),"Wkd",TEXT(A2169,"Ddd"))&amp;"-"&amp;TEXT(A2169,"hh"),LoadTable[],3,FALSE)*0.92</f>
        <v>291.12479999999999</v>
      </c>
      <c r="U2169" s="113">
        <f t="shared" si="2284"/>
        <v>29.112479999999998</v>
      </c>
      <c r="V2169">
        <f t="shared" ref="V2169:W2169" si="2343">V2145</f>
        <v>2.5</v>
      </c>
      <c r="W2169">
        <f t="shared" si="2343"/>
        <v>3.1</v>
      </c>
      <c r="X2169" s="9">
        <v>-44.464084366666299</v>
      </c>
      <c r="Y2169" s="39"/>
    </row>
    <row r="2170" spans="1:25" ht="15" thickBot="1">
      <c r="A2170" s="149">
        <f t="shared" si="2338"/>
        <v>45926.29166666339</v>
      </c>
      <c r="B2170" s="30">
        <f t="shared" si="2293"/>
        <v>8000</v>
      </c>
      <c r="C2170" s="8">
        <v>25000</v>
      </c>
      <c r="D2170" s="187">
        <v>0</v>
      </c>
      <c r="E2170" s="187">
        <v>700</v>
      </c>
      <c r="F2170" s="187">
        <v>15000</v>
      </c>
      <c r="G2170" s="30">
        <f t="shared" si="2294"/>
        <v>2400</v>
      </c>
      <c r="H2170" s="8">
        <v>25000</v>
      </c>
      <c r="I2170" s="30">
        <f t="shared" si="2295"/>
        <v>8000</v>
      </c>
      <c r="J2170" s="187">
        <v>40000</v>
      </c>
      <c r="K2170" s="30">
        <f t="shared" si="2296"/>
        <v>8000</v>
      </c>
      <c r="L2170" s="187">
        <v>40000</v>
      </c>
      <c r="M2170" s="110">
        <v>9.5</v>
      </c>
      <c r="N2170" s="9">
        <f>VLOOKUP(DATE(YEAR(A2170),MONTH(A2170),DAY(A2170)),FY24_Temp[],3,FALSE)</f>
        <v>16.8</v>
      </c>
      <c r="O2170" s="110">
        <f t="shared" si="2282"/>
        <v>11.5</v>
      </c>
      <c r="P2170" s="110">
        <f t="shared" si="2283"/>
        <v>19.5</v>
      </c>
      <c r="Q2170" s="79">
        <f>VLOOKUP(VLOOKUP(DATEVALUE(TEXT(A2170,"m/d/yyyy")),FY24_Temp[],5,FALSE)&amp;TEXT(A2170,"-h"),TempDelta[],4,FALSE)</f>
        <v>1.8381428548267909</v>
      </c>
      <c r="R2170">
        <v>10</v>
      </c>
      <c r="S2170" s="112">
        <v>1500</v>
      </c>
      <c r="T2170" s="5">
        <f>VLOOKUP(TEXT(A2170,"yy-mm")&amp;"-"&amp;IF(AND(WEEKDAY(A2170)&gt;1,WEEKDAY(A2170)&lt;7),"Wkd",TEXT(A2170,"Ddd"))&amp;"-"&amp;TEXT(A2170,"hh"),LoadTable[],3,FALSE)*0.92</f>
        <v>291.12479999999999</v>
      </c>
      <c r="U2170" s="113">
        <f t="shared" si="2284"/>
        <v>29.112479999999998</v>
      </c>
      <c r="V2170">
        <f t="shared" ref="V2170:W2170" si="2344">V2146</f>
        <v>2.5</v>
      </c>
      <c r="W2170">
        <f t="shared" si="2344"/>
        <v>3.1</v>
      </c>
      <c r="X2170" s="9">
        <v>-44.541878916666299</v>
      </c>
      <c r="Y2170" s="39"/>
    </row>
    <row r="2171" spans="1:25" ht="15" thickBot="1">
      <c r="A2171" s="149">
        <f t="shared" si="2338"/>
        <v>45926.333333330054</v>
      </c>
      <c r="B2171" s="30">
        <f t="shared" si="2293"/>
        <v>8000</v>
      </c>
      <c r="C2171" s="8">
        <v>25000</v>
      </c>
      <c r="D2171" s="187">
        <v>0</v>
      </c>
      <c r="E2171" s="187">
        <v>700</v>
      </c>
      <c r="F2171" s="187">
        <v>15000</v>
      </c>
      <c r="G2171" s="30">
        <f t="shared" si="2294"/>
        <v>2400</v>
      </c>
      <c r="H2171" s="8">
        <v>25000</v>
      </c>
      <c r="I2171" s="30">
        <f t="shared" si="2295"/>
        <v>8000</v>
      </c>
      <c r="J2171" s="187">
        <v>40000</v>
      </c>
      <c r="K2171" s="30">
        <f t="shared" si="2296"/>
        <v>8000</v>
      </c>
      <c r="L2171" s="187">
        <v>40000</v>
      </c>
      <c r="M2171" s="110">
        <v>9.5</v>
      </c>
      <c r="N2171" s="9">
        <f>VLOOKUP(DATE(YEAR(A2171),MONTH(A2171),DAY(A2171)),FY24_Temp[],3,FALSE)</f>
        <v>16.8</v>
      </c>
      <c r="O2171" s="110">
        <f t="shared" si="2282"/>
        <v>11.5</v>
      </c>
      <c r="P2171" s="110">
        <f t="shared" si="2283"/>
        <v>19.5</v>
      </c>
      <c r="Q2171" s="79">
        <f>VLOOKUP(VLOOKUP(DATEVALUE(TEXT(A2171,"m/d/yyyy")),FY24_Temp[],5,FALSE)&amp;TEXT(A2171,"-h"),TempDelta[],4,FALSE)</f>
        <v>1.6827142919812883</v>
      </c>
      <c r="R2171">
        <v>10</v>
      </c>
      <c r="S2171" s="112">
        <v>1500</v>
      </c>
      <c r="T2171" s="5">
        <f>VLOOKUP(TEXT(A2171,"yy-mm")&amp;"-"&amp;IF(AND(WEEKDAY(A2171)&gt;1,WEEKDAY(A2171)&lt;7),"Wkd",TEXT(A2171,"Ddd"))&amp;"-"&amp;TEXT(A2171,"hh"),LoadTable[],3,FALSE)*0.92</f>
        <v>291.12479999999999</v>
      </c>
      <c r="U2171" s="113">
        <f t="shared" si="2284"/>
        <v>29.112479999999998</v>
      </c>
      <c r="V2171">
        <f t="shared" ref="V2171:W2171" si="2345">V2147</f>
        <v>3.2</v>
      </c>
      <c r="W2171">
        <f t="shared" si="2345"/>
        <v>3</v>
      </c>
      <c r="X2171" s="9">
        <v>-44.619673466666299</v>
      </c>
      <c r="Y2171" s="39"/>
    </row>
    <row r="2172" spans="1:25" ht="15" thickBot="1">
      <c r="A2172" s="149">
        <f t="shared" si="2338"/>
        <v>45926.374999996719</v>
      </c>
      <c r="B2172" s="30">
        <f t="shared" si="2293"/>
        <v>8000</v>
      </c>
      <c r="C2172" s="8">
        <v>25000</v>
      </c>
      <c r="D2172" s="187">
        <v>0</v>
      </c>
      <c r="E2172" s="187">
        <v>700</v>
      </c>
      <c r="F2172" s="187">
        <v>15000</v>
      </c>
      <c r="G2172" s="30">
        <f t="shared" si="2294"/>
        <v>2400</v>
      </c>
      <c r="H2172" s="8">
        <v>25000</v>
      </c>
      <c r="I2172" s="30">
        <f t="shared" si="2295"/>
        <v>8000</v>
      </c>
      <c r="J2172" s="187">
        <v>40000</v>
      </c>
      <c r="K2172" s="30">
        <f t="shared" si="2296"/>
        <v>8000</v>
      </c>
      <c r="L2172" s="187">
        <v>40000</v>
      </c>
      <c r="M2172" s="110">
        <v>9.5</v>
      </c>
      <c r="N2172" s="9">
        <f>VLOOKUP(DATE(YEAR(A2172),MONTH(A2172),DAY(A2172)),FY24_Temp[],3,FALSE)</f>
        <v>16.8</v>
      </c>
      <c r="O2172" s="110">
        <f t="shared" si="2282"/>
        <v>11.5</v>
      </c>
      <c r="P2172" s="110">
        <f t="shared" si="2283"/>
        <v>19.5</v>
      </c>
      <c r="Q2172" s="79">
        <f>VLOOKUP(VLOOKUP(DATEVALUE(TEXT(A2172,"m/d/yyyy")),FY24_Temp[],5,FALSE)&amp;TEXT(A2172,"-h"),TempDelta[],4,FALSE)</f>
        <v>1.5467142888477869</v>
      </c>
      <c r="R2172">
        <v>10</v>
      </c>
      <c r="S2172" s="112">
        <v>1500</v>
      </c>
      <c r="T2172" s="5">
        <f>VLOOKUP(TEXT(A2172,"yy-mm")&amp;"-"&amp;IF(AND(WEEKDAY(A2172)&gt;1,WEEKDAY(A2172)&lt;7),"Wkd",TEXT(A2172,"Ddd"))&amp;"-"&amp;TEXT(A2172,"hh"),LoadTable[],3,FALSE)*0.92</f>
        <v>291.12479999999999</v>
      </c>
      <c r="U2172" s="113">
        <f t="shared" si="2284"/>
        <v>29.112479999999998</v>
      </c>
      <c r="V2172">
        <f t="shared" ref="V2172:W2172" si="2346">V2148</f>
        <v>2.9</v>
      </c>
      <c r="W2172">
        <f t="shared" si="2346"/>
        <v>3</v>
      </c>
      <c r="X2172" s="9">
        <v>-44.697468016666299</v>
      </c>
      <c r="Y2172" s="39"/>
    </row>
    <row r="2173" spans="1:25" ht="15" thickBot="1">
      <c r="A2173" s="149">
        <f t="shared" si="2338"/>
        <v>45926.416666663383</v>
      </c>
      <c r="B2173" s="30">
        <f t="shared" si="2293"/>
        <v>8000</v>
      </c>
      <c r="C2173" s="8">
        <v>25000</v>
      </c>
      <c r="D2173" s="187">
        <v>0</v>
      </c>
      <c r="E2173" s="187">
        <v>700</v>
      </c>
      <c r="F2173" s="187">
        <v>15000</v>
      </c>
      <c r="G2173" s="30">
        <f t="shared" si="2294"/>
        <v>2400</v>
      </c>
      <c r="H2173" s="8">
        <v>25000</v>
      </c>
      <c r="I2173" s="30">
        <f t="shared" si="2295"/>
        <v>8000</v>
      </c>
      <c r="J2173" s="187">
        <v>40000</v>
      </c>
      <c r="K2173" s="30">
        <f t="shared" si="2296"/>
        <v>8000</v>
      </c>
      <c r="L2173" s="187">
        <v>40000</v>
      </c>
      <c r="M2173" s="110">
        <v>9.5</v>
      </c>
      <c r="N2173" s="9">
        <f>VLOOKUP(DATE(YEAR(A2173),MONTH(A2173),DAY(A2173)),FY24_Temp[],3,FALSE)</f>
        <v>16.8</v>
      </c>
      <c r="O2173" s="110">
        <f t="shared" si="2282"/>
        <v>11.5</v>
      </c>
      <c r="P2173" s="110">
        <f t="shared" si="2283"/>
        <v>19.5</v>
      </c>
      <c r="Q2173" s="79">
        <f>VLOOKUP(VLOOKUP(DATEVALUE(TEXT(A2173,"m/d/yyyy")),FY24_Temp[],5,FALSE)&amp;TEXT(A2173,"-h"),TempDelta[],4,FALSE)</f>
        <v>1.4074285881859916</v>
      </c>
      <c r="R2173">
        <v>10</v>
      </c>
      <c r="S2173" s="112">
        <v>1500</v>
      </c>
      <c r="T2173" s="5">
        <f>VLOOKUP(TEXT(A2173,"yy-mm")&amp;"-"&amp;IF(AND(WEEKDAY(A2173)&gt;1,WEEKDAY(A2173)&lt;7),"Wkd",TEXT(A2173,"Ddd"))&amp;"-"&amp;TEXT(A2173,"hh"),LoadTable[],3,FALSE)*0.92</f>
        <v>290.74956158350585</v>
      </c>
      <c r="U2173" s="113">
        <f t="shared" si="2284"/>
        <v>29.074956158350584</v>
      </c>
      <c r="V2173">
        <f t="shared" ref="V2173:W2173" si="2347">V2149</f>
        <v>2.9</v>
      </c>
      <c r="W2173">
        <f t="shared" si="2347"/>
        <v>3</v>
      </c>
      <c r="X2173" s="9">
        <v>-44.775262566666299</v>
      </c>
      <c r="Y2173" s="39"/>
    </row>
    <row r="2174" spans="1:25" ht="15" thickBot="1">
      <c r="A2174" s="149">
        <f t="shared" si="2338"/>
        <v>45926.458333330047</v>
      </c>
      <c r="B2174" s="30">
        <f t="shared" si="2293"/>
        <v>8000</v>
      </c>
      <c r="C2174" s="8">
        <v>25000</v>
      </c>
      <c r="D2174" s="187">
        <v>0</v>
      </c>
      <c r="E2174" s="187">
        <v>700</v>
      </c>
      <c r="F2174" s="187">
        <v>15000</v>
      </c>
      <c r="G2174" s="30">
        <f t="shared" si="2294"/>
        <v>2400</v>
      </c>
      <c r="H2174" s="8">
        <v>25000</v>
      </c>
      <c r="I2174" s="30">
        <f t="shared" si="2295"/>
        <v>8000</v>
      </c>
      <c r="J2174" s="187">
        <v>40000</v>
      </c>
      <c r="K2174" s="30">
        <f t="shared" si="2296"/>
        <v>8000</v>
      </c>
      <c r="L2174" s="187">
        <v>40000</v>
      </c>
      <c r="M2174" s="110">
        <v>9.5</v>
      </c>
      <c r="N2174" s="9">
        <f>VLOOKUP(DATE(YEAR(A2174),MONTH(A2174),DAY(A2174)),FY24_Temp[],3,FALSE)</f>
        <v>16.8</v>
      </c>
      <c r="O2174" s="110">
        <f t="shared" si="2282"/>
        <v>11.5</v>
      </c>
      <c r="P2174" s="110">
        <f t="shared" si="2283"/>
        <v>19.5</v>
      </c>
      <c r="Q2174" s="79">
        <f>VLOOKUP(VLOOKUP(DATEVALUE(TEXT(A2174,"m/d/yyyy")),FY24_Temp[],5,FALSE)&amp;TEXT(A2174,"-h"),TempDelta[],4,FALSE)</f>
        <v>1.2401428733553206</v>
      </c>
      <c r="R2174">
        <v>10</v>
      </c>
      <c r="S2174" s="112">
        <v>1500</v>
      </c>
      <c r="T2174" s="5">
        <f>VLOOKUP(TEXT(A2174,"yy-mm")&amp;"-"&amp;IF(AND(WEEKDAY(A2174)&gt;1,WEEKDAY(A2174)&lt;7),"Wkd",TEXT(A2174,"Ddd"))&amp;"-"&amp;TEXT(A2174,"hh"),LoadTable[],3,FALSE)*0.92</f>
        <v>290.74956158350585</v>
      </c>
      <c r="U2174" s="113">
        <f t="shared" si="2284"/>
        <v>29.074956158350584</v>
      </c>
      <c r="V2174">
        <f t="shared" ref="V2174:W2174" si="2348">V2150</f>
        <v>3.4</v>
      </c>
      <c r="W2174">
        <f t="shared" si="2348"/>
        <v>3</v>
      </c>
      <c r="X2174" s="9">
        <v>-44.853057116666299</v>
      </c>
      <c r="Y2174" s="39"/>
    </row>
    <row r="2175" spans="1:25" ht="15" thickBot="1">
      <c r="A2175" s="149">
        <f t="shared" si="2338"/>
        <v>45926.499999996711</v>
      </c>
      <c r="B2175" s="30">
        <f t="shared" si="2293"/>
        <v>8000</v>
      </c>
      <c r="C2175" s="8">
        <v>25000</v>
      </c>
      <c r="D2175" s="187">
        <v>0</v>
      </c>
      <c r="E2175" s="187">
        <v>700</v>
      </c>
      <c r="F2175" s="187">
        <v>15000</v>
      </c>
      <c r="G2175" s="30">
        <f t="shared" si="2294"/>
        <v>2400</v>
      </c>
      <c r="H2175" s="8">
        <v>25000</v>
      </c>
      <c r="I2175" s="30">
        <f t="shared" si="2295"/>
        <v>8000</v>
      </c>
      <c r="J2175" s="187">
        <v>40000</v>
      </c>
      <c r="K2175" s="30">
        <f t="shared" si="2296"/>
        <v>8000</v>
      </c>
      <c r="L2175" s="187">
        <v>40000</v>
      </c>
      <c r="M2175" s="110">
        <v>9.5</v>
      </c>
      <c r="N2175" s="9">
        <f>VLOOKUP(DATE(YEAR(A2175),MONTH(A2175),DAY(A2175)),FY24_Temp[],3,FALSE)</f>
        <v>16.8</v>
      </c>
      <c r="O2175" s="110">
        <f t="shared" si="2282"/>
        <v>11.5</v>
      </c>
      <c r="P2175" s="110">
        <f t="shared" si="2283"/>
        <v>19.5</v>
      </c>
      <c r="Q2175" s="79">
        <f>VLOOKUP(VLOOKUP(DATEVALUE(TEXT(A2175,"m/d/yyyy")),FY24_Temp[],5,FALSE)&amp;TEXT(A2175,"-h"),TempDelta[],4,FALSE)</f>
        <v>1.0797142812183924</v>
      </c>
      <c r="R2175">
        <v>10</v>
      </c>
      <c r="S2175" s="112">
        <v>1500</v>
      </c>
      <c r="T2175" s="5">
        <f>VLOOKUP(TEXT(A2175,"yy-mm")&amp;"-"&amp;IF(AND(WEEKDAY(A2175)&gt;1,WEEKDAY(A2175)&lt;7),"Wkd",TEXT(A2175,"Ddd"))&amp;"-"&amp;TEXT(A2175,"hh"),LoadTable[],3,FALSE)*0.92</f>
        <v>290.74956158350585</v>
      </c>
      <c r="U2175" s="113">
        <f t="shared" si="2284"/>
        <v>29.074956158350584</v>
      </c>
      <c r="V2175">
        <f t="shared" ref="V2175:W2175" si="2349">V2151</f>
        <v>3.1</v>
      </c>
      <c r="W2175">
        <f t="shared" si="2349"/>
        <v>2.9</v>
      </c>
      <c r="X2175" s="9">
        <v>-44.9308516666663</v>
      </c>
      <c r="Y2175" s="39"/>
    </row>
    <row r="2176" spans="1:25" ht="15" thickBot="1">
      <c r="A2176" s="149">
        <f t="shared" si="2338"/>
        <v>45926.541666663376</v>
      </c>
      <c r="B2176" s="30">
        <f t="shared" si="2293"/>
        <v>8000</v>
      </c>
      <c r="C2176" s="8">
        <v>25000</v>
      </c>
      <c r="D2176" s="187">
        <v>0</v>
      </c>
      <c r="E2176" s="187">
        <v>700</v>
      </c>
      <c r="F2176" s="187">
        <v>15000</v>
      </c>
      <c r="G2176" s="30">
        <f t="shared" si="2294"/>
        <v>2400</v>
      </c>
      <c r="H2176" s="8">
        <v>25000</v>
      </c>
      <c r="I2176" s="30">
        <f t="shared" si="2295"/>
        <v>8000</v>
      </c>
      <c r="J2176" s="187">
        <v>40000</v>
      </c>
      <c r="K2176" s="30">
        <f t="shared" si="2296"/>
        <v>8000</v>
      </c>
      <c r="L2176" s="187">
        <v>40000</v>
      </c>
      <c r="M2176" s="110">
        <v>9.5</v>
      </c>
      <c r="N2176" s="9">
        <f>VLOOKUP(DATE(YEAR(A2176),MONTH(A2176),DAY(A2176)),FY24_Temp[],3,FALSE)</f>
        <v>16.8</v>
      </c>
      <c r="O2176" s="110">
        <f t="shared" si="2282"/>
        <v>11.5</v>
      </c>
      <c r="P2176" s="110">
        <f t="shared" si="2283"/>
        <v>19.5</v>
      </c>
      <c r="Q2176" s="79">
        <f>VLOOKUP(VLOOKUP(DATEVALUE(TEXT(A2176,"m/d/yyyy")),FY24_Temp[],5,FALSE)&amp;TEXT(A2176,"-h"),TempDelta[],4,FALSE)</f>
        <v>0.92499999489103046</v>
      </c>
      <c r="R2176">
        <v>10</v>
      </c>
      <c r="S2176" s="112">
        <v>1500</v>
      </c>
      <c r="T2176" s="5">
        <f>VLOOKUP(TEXT(A2176,"yy-mm")&amp;"-"&amp;IF(AND(WEEKDAY(A2176)&gt;1,WEEKDAY(A2176)&lt;7),"Wkd",TEXT(A2176,"Ddd"))&amp;"-"&amp;TEXT(A2176,"hh"),LoadTable[],3,FALSE)*0.92</f>
        <v>290.72204920255348</v>
      </c>
      <c r="U2176" s="113">
        <f t="shared" si="2284"/>
        <v>29.072204920255349</v>
      </c>
      <c r="V2176">
        <f t="shared" ref="V2176:W2176" si="2350">V2152</f>
        <v>3.2</v>
      </c>
      <c r="W2176">
        <f t="shared" si="2350"/>
        <v>2.9</v>
      </c>
      <c r="X2176" s="9">
        <v>-45.0086462166663</v>
      </c>
      <c r="Y2176" s="39"/>
    </row>
    <row r="2177" spans="1:25" ht="15" thickBot="1">
      <c r="A2177" s="149">
        <f t="shared" si="2338"/>
        <v>45926.58333333004</v>
      </c>
      <c r="B2177" s="30">
        <f t="shared" si="2293"/>
        <v>8000</v>
      </c>
      <c r="C2177" s="8">
        <v>25000</v>
      </c>
      <c r="D2177" s="187">
        <v>0</v>
      </c>
      <c r="E2177" s="187">
        <v>700</v>
      </c>
      <c r="F2177" s="187">
        <v>15000</v>
      </c>
      <c r="G2177" s="30">
        <f t="shared" si="2294"/>
        <v>2400</v>
      </c>
      <c r="H2177" s="8">
        <v>25000</v>
      </c>
      <c r="I2177" s="30">
        <f t="shared" si="2295"/>
        <v>8000</v>
      </c>
      <c r="J2177" s="187">
        <v>40000</v>
      </c>
      <c r="K2177" s="30">
        <f t="shared" si="2296"/>
        <v>8000</v>
      </c>
      <c r="L2177" s="187">
        <v>40000</v>
      </c>
      <c r="M2177" s="110">
        <v>9.5</v>
      </c>
      <c r="N2177" s="9">
        <f>VLOOKUP(DATE(YEAR(A2177),MONTH(A2177),DAY(A2177)),FY24_Temp[],3,FALSE)</f>
        <v>16.8</v>
      </c>
      <c r="O2177" s="110">
        <f t="shared" si="2282"/>
        <v>11.5</v>
      </c>
      <c r="P2177" s="110">
        <f t="shared" si="2283"/>
        <v>19.5</v>
      </c>
      <c r="Q2177" s="79">
        <f>VLOOKUP(VLOOKUP(DATEVALUE(TEXT(A2177,"m/d/yyyy")),FY24_Temp[],5,FALSE)&amp;TEXT(A2177,"-h"),TempDelta[],4,FALSE)</f>
        <v>0.77985713311604088</v>
      </c>
      <c r="R2177">
        <v>10</v>
      </c>
      <c r="S2177" s="112">
        <v>1500</v>
      </c>
      <c r="T2177" s="5">
        <f>VLOOKUP(TEXT(A2177,"yy-mm")&amp;"-"&amp;IF(AND(WEEKDAY(A2177)&gt;1,WEEKDAY(A2177)&lt;7),"Wkd",TEXT(A2177,"Ddd"))&amp;"-"&amp;TEXT(A2177,"hh"),LoadTable[],3,FALSE)*0.92</f>
        <v>363.28132000000005</v>
      </c>
      <c r="U2177" s="113">
        <f t="shared" si="2284"/>
        <v>36.328132000000004</v>
      </c>
      <c r="V2177">
        <f t="shared" ref="V2177:W2177" si="2351">V2153</f>
        <v>3.5</v>
      </c>
      <c r="W2177">
        <f t="shared" si="2351"/>
        <v>2.9</v>
      </c>
      <c r="X2177" s="9">
        <v>-45.0864407666663</v>
      </c>
      <c r="Y2177" s="39"/>
    </row>
    <row r="2178" spans="1:25" ht="15" thickBot="1">
      <c r="A2178" s="149">
        <f t="shared" si="2338"/>
        <v>45926.624999996704</v>
      </c>
      <c r="B2178" s="30">
        <f t="shared" si="2293"/>
        <v>8000</v>
      </c>
      <c r="C2178" s="8">
        <v>25000</v>
      </c>
      <c r="D2178" s="187">
        <v>0</v>
      </c>
      <c r="E2178" s="187">
        <v>700</v>
      </c>
      <c r="F2178" s="187">
        <v>15000</v>
      </c>
      <c r="G2178" s="30">
        <f t="shared" si="2294"/>
        <v>2400</v>
      </c>
      <c r="H2178" s="8">
        <v>25000</v>
      </c>
      <c r="I2178" s="30">
        <f t="shared" si="2295"/>
        <v>8000</v>
      </c>
      <c r="J2178" s="187">
        <v>40000</v>
      </c>
      <c r="K2178" s="30">
        <f t="shared" si="2296"/>
        <v>8000</v>
      </c>
      <c r="L2178" s="187">
        <v>40000</v>
      </c>
      <c r="M2178" s="110">
        <v>9.5</v>
      </c>
      <c r="N2178" s="9">
        <f>VLOOKUP(DATE(YEAR(A2178),MONTH(A2178),DAY(A2178)),FY24_Temp[],3,FALSE)</f>
        <v>16.8</v>
      </c>
      <c r="O2178" s="110">
        <f t="shared" si="2282"/>
        <v>11.5</v>
      </c>
      <c r="P2178" s="110">
        <f t="shared" si="2283"/>
        <v>19.5</v>
      </c>
      <c r="Q2178" s="79">
        <f>VLOOKUP(VLOOKUP(DATEVALUE(TEXT(A2178,"m/d/yyyy")),FY24_Temp[],5,FALSE)&amp;TEXT(A2178,"-h"),TempDelta[],4,FALSE)</f>
        <v>0.30699999923152582</v>
      </c>
      <c r="R2178">
        <v>10</v>
      </c>
      <c r="S2178" s="112">
        <v>1500</v>
      </c>
      <c r="T2178" s="5">
        <f>VLOOKUP(TEXT(A2178,"yy-mm")&amp;"-"&amp;IF(AND(WEEKDAY(A2178)&gt;1,WEEKDAY(A2178)&lt;7),"Wkd",TEXT(A2178,"Ddd"))&amp;"-"&amp;TEXT(A2178,"hh"),LoadTable[],3,FALSE)*0.92</f>
        <v>570.3300004440199</v>
      </c>
      <c r="U2178" s="113">
        <f t="shared" si="2284"/>
        <v>57.033000044401987</v>
      </c>
      <c r="V2178">
        <f t="shared" ref="V2178:W2178" si="2352">V2154</f>
        <v>3.2</v>
      </c>
      <c r="W2178">
        <f t="shared" si="2352"/>
        <v>2.9</v>
      </c>
      <c r="X2178" s="9">
        <v>-45.1642353166663</v>
      </c>
      <c r="Y2178" s="39"/>
    </row>
    <row r="2179" spans="1:25" ht="15" thickBot="1">
      <c r="A2179" s="149">
        <f t="shared" si="2338"/>
        <v>45926.666666663368</v>
      </c>
      <c r="B2179" s="30">
        <f t="shared" si="2293"/>
        <v>8000</v>
      </c>
      <c r="C2179" s="8">
        <v>25000</v>
      </c>
      <c r="D2179" s="187">
        <v>0</v>
      </c>
      <c r="E2179" s="187">
        <v>700</v>
      </c>
      <c r="F2179" s="187">
        <v>15000</v>
      </c>
      <c r="G2179" s="30">
        <f t="shared" si="2294"/>
        <v>2400</v>
      </c>
      <c r="H2179" s="8">
        <v>25000</v>
      </c>
      <c r="I2179" s="30">
        <f t="shared" si="2295"/>
        <v>8000</v>
      </c>
      <c r="J2179" s="187">
        <v>40000</v>
      </c>
      <c r="K2179" s="30">
        <f t="shared" si="2296"/>
        <v>8000</v>
      </c>
      <c r="L2179" s="187">
        <v>40000</v>
      </c>
      <c r="M2179" s="110">
        <v>9.5</v>
      </c>
      <c r="N2179" s="9">
        <f>VLOOKUP(DATE(YEAR(A2179),MONTH(A2179),DAY(A2179)),FY24_Temp[],3,FALSE)</f>
        <v>16.8</v>
      </c>
      <c r="O2179" s="110">
        <f t="shared" si="2282"/>
        <v>11.5</v>
      </c>
      <c r="P2179" s="110">
        <f t="shared" si="2283"/>
        <v>19.5</v>
      </c>
      <c r="Q2179" s="79">
        <f>VLOOKUP(VLOOKUP(DATEVALUE(TEXT(A2179,"m/d/yyyy")),FY24_Temp[],5,FALSE)&amp;TEXT(A2179,"-h"),TempDelta[],4,FALSE)</f>
        <v>0.38057142476152095</v>
      </c>
      <c r="R2179">
        <v>10</v>
      </c>
      <c r="S2179" s="112">
        <v>1500</v>
      </c>
      <c r="T2179" s="5">
        <f>VLOOKUP(TEXT(A2179,"yy-mm")&amp;"-"&amp;IF(AND(WEEKDAY(A2179)&gt;1,WEEKDAY(A2179)&lt;7),"Wkd",TEXT(A2179,"Ddd"))&amp;"-"&amp;TEXT(A2179,"hh"),LoadTable[],3,FALSE)*0.92</f>
        <v>602.16876690131596</v>
      </c>
      <c r="U2179" s="113">
        <f t="shared" si="2284"/>
        <v>60.216876690131599</v>
      </c>
      <c r="V2179">
        <f t="shared" ref="V2179:W2179" si="2353">V2155</f>
        <v>3.5</v>
      </c>
      <c r="W2179">
        <f t="shared" si="2353"/>
        <v>3</v>
      </c>
      <c r="X2179" s="9">
        <v>-45.2420298666663</v>
      </c>
      <c r="Y2179" s="39"/>
    </row>
    <row r="2180" spans="1:25" ht="15" thickBot="1">
      <c r="A2180" s="149">
        <f t="shared" si="2338"/>
        <v>45926.708333330032</v>
      </c>
      <c r="B2180" s="30">
        <f t="shared" si="2293"/>
        <v>8000</v>
      </c>
      <c r="C2180" s="8">
        <v>25000</v>
      </c>
      <c r="D2180" s="187">
        <v>0</v>
      </c>
      <c r="E2180" s="187">
        <v>700</v>
      </c>
      <c r="F2180" s="187">
        <v>15000</v>
      </c>
      <c r="G2180" s="30">
        <f t="shared" si="2294"/>
        <v>2400</v>
      </c>
      <c r="H2180" s="8">
        <v>25000</v>
      </c>
      <c r="I2180" s="30">
        <f t="shared" si="2295"/>
        <v>8000</v>
      </c>
      <c r="J2180" s="187">
        <v>40000</v>
      </c>
      <c r="K2180" s="30">
        <f t="shared" si="2296"/>
        <v>8000</v>
      </c>
      <c r="L2180" s="187">
        <v>40000</v>
      </c>
      <c r="M2180" s="110">
        <v>9.5</v>
      </c>
      <c r="N2180" s="9">
        <f>VLOOKUP(DATE(YEAR(A2180),MONTH(A2180),DAY(A2180)),FY24_Temp[],3,FALSE)</f>
        <v>16.8</v>
      </c>
      <c r="O2180" s="110">
        <f t="shared" ref="O2180:O2243" si="2354">15.5-4</f>
        <v>11.5</v>
      </c>
      <c r="P2180" s="110">
        <f t="shared" ref="P2180:P2243" si="2355">15.5+4</f>
        <v>19.5</v>
      </c>
      <c r="Q2180" s="79">
        <f>VLOOKUP(VLOOKUP(DATEVALUE(TEXT(A2180,"m/d/yyyy")),FY24_Temp[],5,FALSE)&amp;TEXT(A2180,"-h"),TempDelta[],4,FALSE)</f>
        <v>0.65464284856404575</v>
      </c>
      <c r="R2180">
        <v>10</v>
      </c>
      <c r="S2180" s="112">
        <v>1500</v>
      </c>
      <c r="T2180" s="5">
        <f>VLOOKUP(TEXT(A2180,"yy-mm")&amp;"-"&amp;IF(AND(WEEKDAY(A2180)&gt;1,WEEKDAY(A2180)&lt;7),"Wkd",TEXT(A2180,"Ddd"))&amp;"-"&amp;TEXT(A2180,"hh"),LoadTable[],3,FALSE)*0.92</f>
        <v>602.16876690131596</v>
      </c>
      <c r="U2180" s="113">
        <f t="shared" ref="U2180:U2243" si="2356">T2180/10</f>
        <v>60.216876690131599</v>
      </c>
      <c r="V2180">
        <f t="shared" ref="V2180:W2180" si="2357">V2156</f>
        <v>3.6</v>
      </c>
      <c r="W2180">
        <f t="shared" si="2357"/>
        <v>3</v>
      </c>
      <c r="X2180" s="9">
        <v>-45.3198244166663</v>
      </c>
      <c r="Y2180" s="39"/>
    </row>
    <row r="2181" spans="1:25" ht="15" thickBot="1">
      <c r="A2181" s="149">
        <f t="shared" si="2338"/>
        <v>45926.749999996697</v>
      </c>
      <c r="B2181" s="30">
        <f t="shared" si="2293"/>
        <v>5000</v>
      </c>
      <c r="C2181" s="8">
        <v>25000</v>
      </c>
      <c r="D2181" s="187">
        <v>0</v>
      </c>
      <c r="E2181" s="187">
        <v>700</v>
      </c>
      <c r="F2181" s="187">
        <v>15000</v>
      </c>
      <c r="G2181" s="30">
        <f t="shared" si="2294"/>
        <v>2400</v>
      </c>
      <c r="H2181" s="8">
        <v>25000</v>
      </c>
      <c r="I2181" s="30">
        <f t="shared" si="2295"/>
        <v>5000</v>
      </c>
      <c r="J2181" s="187">
        <v>40000</v>
      </c>
      <c r="K2181" s="30">
        <f t="shared" si="2296"/>
        <v>5000</v>
      </c>
      <c r="L2181" s="187">
        <v>40000</v>
      </c>
      <c r="M2181" s="110">
        <v>9.5</v>
      </c>
      <c r="N2181" s="9">
        <f>VLOOKUP(DATE(YEAR(A2181),MONTH(A2181),DAY(A2181)),FY24_Temp[],3,FALSE)</f>
        <v>16.8</v>
      </c>
      <c r="O2181" s="110">
        <f t="shared" si="2354"/>
        <v>11.5</v>
      </c>
      <c r="P2181" s="110">
        <f t="shared" si="2355"/>
        <v>19.5</v>
      </c>
      <c r="Q2181" s="79">
        <f>VLOOKUP(VLOOKUP(DATEVALUE(TEXT(A2181,"m/d/yyyy")),FY24_Temp[],5,FALSE)&amp;TEXT(A2181,"-h"),TempDelta[],4,FALSE)</f>
        <v>0.96042857638427193</v>
      </c>
      <c r="R2181">
        <v>10</v>
      </c>
      <c r="S2181" s="112">
        <v>1500</v>
      </c>
      <c r="T2181" s="5">
        <f>VLOOKUP(TEXT(A2181,"yy-mm")&amp;"-"&amp;IF(AND(WEEKDAY(A2181)&gt;1,WEEKDAY(A2181)&lt;7),"Wkd",TEXT(A2181,"Ddd"))&amp;"-"&amp;TEXT(A2181,"hh"),LoadTable[],3,FALSE)*0.92</f>
        <v>602.16876690131596</v>
      </c>
      <c r="U2181" s="113">
        <f t="shared" si="2356"/>
        <v>60.216876690131599</v>
      </c>
      <c r="V2181">
        <f t="shared" ref="V2181:W2181" si="2358">V2157</f>
        <v>2.9</v>
      </c>
      <c r="W2181">
        <f t="shared" si="2358"/>
        <v>3</v>
      </c>
      <c r="X2181" s="9">
        <v>-45.3976189666663</v>
      </c>
      <c r="Y2181" s="39"/>
    </row>
    <row r="2182" spans="1:25" ht="15" thickBot="1">
      <c r="A2182" s="149">
        <f t="shared" si="2338"/>
        <v>45926.791666663361</v>
      </c>
      <c r="B2182" s="30">
        <f t="shared" si="2293"/>
        <v>5000</v>
      </c>
      <c r="C2182" s="8">
        <v>25000</v>
      </c>
      <c r="D2182" s="187">
        <v>0</v>
      </c>
      <c r="E2182" s="187">
        <v>700</v>
      </c>
      <c r="F2182" s="187">
        <v>15000</v>
      </c>
      <c r="G2182" s="30">
        <f t="shared" si="2294"/>
        <v>2400</v>
      </c>
      <c r="H2182" s="8">
        <v>25000</v>
      </c>
      <c r="I2182" s="30">
        <f t="shared" si="2295"/>
        <v>5000</v>
      </c>
      <c r="J2182" s="187">
        <v>40000</v>
      </c>
      <c r="K2182" s="30">
        <f t="shared" si="2296"/>
        <v>5000</v>
      </c>
      <c r="L2182" s="187">
        <v>40000</v>
      </c>
      <c r="M2182" s="110">
        <v>9.5</v>
      </c>
      <c r="N2182" s="9">
        <f>VLOOKUP(DATE(YEAR(A2182),MONTH(A2182),DAY(A2182)),FY24_Temp[],3,FALSE)</f>
        <v>16.8</v>
      </c>
      <c r="O2182" s="110">
        <f t="shared" si="2354"/>
        <v>11.5</v>
      </c>
      <c r="P2182" s="110">
        <f t="shared" si="2355"/>
        <v>19.5</v>
      </c>
      <c r="Q2182" s="79">
        <f>VLOOKUP(VLOOKUP(DATEVALUE(TEXT(A2182,"m/d/yyyy")),FY24_Temp[],5,FALSE)&amp;TEXT(A2182,"-h"),TempDelta[],4,FALSE)</f>
        <v>1.0787142855780465</v>
      </c>
      <c r="R2182">
        <v>10</v>
      </c>
      <c r="S2182" s="112">
        <v>1500</v>
      </c>
      <c r="T2182" s="5">
        <f>VLOOKUP(TEXT(A2182,"yy-mm")&amp;"-"&amp;IF(AND(WEEKDAY(A2182)&gt;1,WEEKDAY(A2182)&lt;7),"Wkd",TEXT(A2182,"Ddd"))&amp;"-"&amp;TEXT(A2182,"hh"),LoadTable[],3,FALSE)*0.92</f>
        <v>600.14662419619219</v>
      </c>
      <c r="U2182" s="113">
        <f t="shared" si="2356"/>
        <v>60.014662419619221</v>
      </c>
      <c r="V2182">
        <f t="shared" ref="V2182:W2182" si="2359">V2158</f>
        <v>3</v>
      </c>
      <c r="W2182">
        <f t="shared" si="2359"/>
        <v>3</v>
      </c>
      <c r="X2182" s="9">
        <v>-45.4754135166663</v>
      </c>
      <c r="Y2182" s="39"/>
    </row>
    <row r="2183" spans="1:25" ht="15" thickBot="1">
      <c r="A2183" s="149">
        <f t="shared" si="2338"/>
        <v>45926.833333330025</v>
      </c>
      <c r="B2183" s="30">
        <f t="shared" si="2293"/>
        <v>5000</v>
      </c>
      <c r="C2183" s="8">
        <v>25000</v>
      </c>
      <c r="D2183" s="187">
        <v>0</v>
      </c>
      <c r="E2183" s="187">
        <v>700</v>
      </c>
      <c r="F2183" s="187">
        <v>15000</v>
      </c>
      <c r="G2183" s="30">
        <f t="shared" si="2294"/>
        <v>2400</v>
      </c>
      <c r="H2183" s="8">
        <v>25000</v>
      </c>
      <c r="I2183" s="30">
        <f t="shared" si="2295"/>
        <v>5000</v>
      </c>
      <c r="J2183" s="187">
        <v>40000</v>
      </c>
      <c r="K2183" s="30">
        <f t="shared" si="2296"/>
        <v>5000</v>
      </c>
      <c r="L2183" s="187">
        <v>40000</v>
      </c>
      <c r="M2183" s="110">
        <v>9.5</v>
      </c>
      <c r="N2183" s="9">
        <f>VLOOKUP(DATE(YEAR(A2183),MONTH(A2183),DAY(A2183)),FY24_Temp[],3,FALSE)</f>
        <v>16.8</v>
      </c>
      <c r="O2183" s="110">
        <f t="shared" si="2354"/>
        <v>11.5</v>
      </c>
      <c r="P2183" s="110">
        <f t="shared" si="2355"/>
        <v>19.5</v>
      </c>
      <c r="Q2183" s="79">
        <f>VLOOKUP(VLOOKUP(DATEVALUE(TEXT(A2183,"m/d/yyyy")),FY24_Temp[],5,FALSE)&amp;TEXT(A2183,"-h"),TempDelta[],4,FALSE)</f>
        <v>1.1579285774912154</v>
      </c>
      <c r="R2183">
        <v>10</v>
      </c>
      <c r="S2183" s="112">
        <v>1500</v>
      </c>
      <c r="T2183" s="5">
        <f>VLOOKUP(TEXT(A2183,"yy-mm")&amp;"-"&amp;IF(AND(WEEKDAY(A2183)&gt;1,WEEKDAY(A2183)&lt;7),"Wkd",TEXT(A2183,"Ddd"))&amp;"-"&amp;TEXT(A2183,"hh"),LoadTable[],3,FALSE)*0.92</f>
        <v>600.14662419619219</v>
      </c>
      <c r="U2183" s="113">
        <f t="shared" si="2356"/>
        <v>60.014662419619221</v>
      </c>
      <c r="V2183">
        <f t="shared" ref="V2183:W2183" si="2360">V2159</f>
        <v>2.8</v>
      </c>
      <c r="W2183">
        <f t="shared" si="2360"/>
        <v>3.1</v>
      </c>
      <c r="X2183" s="9">
        <v>-45.553208066666301</v>
      </c>
      <c r="Y2183" s="39"/>
    </row>
    <row r="2184" spans="1:25" ht="15" thickBot="1">
      <c r="A2184" s="149">
        <f t="shared" si="2338"/>
        <v>45926.874999996689</v>
      </c>
      <c r="B2184" s="30">
        <f t="shared" si="2293"/>
        <v>5000</v>
      </c>
      <c r="C2184" s="8">
        <v>25000</v>
      </c>
      <c r="D2184" s="187">
        <v>0</v>
      </c>
      <c r="E2184" s="187">
        <v>700</v>
      </c>
      <c r="F2184" s="187">
        <v>15000</v>
      </c>
      <c r="G2184" s="30">
        <f t="shared" si="2294"/>
        <v>2400</v>
      </c>
      <c r="H2184" s="8">
        <v>25000</v>
      </c>
      <c r="I2184" s="30">
        <f t="shared" si="2295"/>
        <v>5000</v>
      </c>
      <c r="J2184" s="187">
        <v>40000</v>
      </c>
      <c r="K2184" s="30">
        <f t="shared" si="2296"/>
        <v>5000</v>
      </c>
      <c r="L2184" s="187">
        <v>40000</v>
      </c>
      <c r="M2184" s="110">
        <v>9.5</v>
      </c>
      <c r="N2184" s="9">
        <f>VLOOKUP(DATE(YEAR(A2184),MONTH(A2184),DAY(A2184)),FY24_Temp[],3,FALSE)</f>
        <v>16.8</v>
      </c>
      <c r="O2184" s="110">
        <f t="shared" si="2354"/>
        <v>11.5</v>
      </c>
      <c r="P2184" s="110">
        <f t="shared" si="2355"/>
        <v>19.5</v>
      </c>
      <c r="Q2184" s="79">
        <f>VLOOKUP(VLOOKUP(DATEVALUE(TEXT(A2184,"m/d/yyyy")),FY24_Temp[],5,FALSE)&amp;TEXT(A2184,"-h"),TempDelta[],4,FALSE)</f>
        <v>1.1765714372907365</v>
      </c>
      <c r="R2184">
        <v>10</v>
      </c>
      <c r="S2184" s="112">
        <v>1500</v>
      </c>
      <c r="T2184" s="5">
        <f>VLOOKUP(TEXT(A2184,"yy-mm")&amp;"-"&amp;IF(AND(WEEKDAY(A2184)&gt;1,WEEKDAY(A2184)&lt;7),"Wkd",TEXT(A2184,"Ddd"))&amp;"-"&amp;TEXT(A2184,"hh"),LoadTable[],3,FALSE)*0.92</f>
        <v>523.94879142973434</v>
      </c>
      <c r="U2184" s="113">
        <f t="shared" si="2356"/>
        <v>52.394879142973437</v>
      </c>
      <c r="V2184">
        <f t="shared" ref="V2184:W2184" si="2361">V2160</f>
        <v>3.5</v>
      </c>
      <c r="W2184">
        <f t="shared" si="2361"/>
        <v>3.1</v>
      </c>
      <c r="X2184" s="9">
        <v>-45.631002616666301</v>
      </c>
      <c r="Y2184" s="39"/>
    </row>
    <row r="2185" spans="1:25" ht="15" thickBot="1">
      <c r="A2185" s="149">
        <f t="shared" si="2338"/>
        <v>45926.916666663354</v>
      </c>
      <c r="B2185" s="30">
        <f t="shared" si="2293"/>
        <v>5000</v>
      </c>
      <c r="C2185" s="8">
        <v>25000</v>
      </c>
      <c r="D2185" s="187">
        <v>0</v>
      </c>
      <c r="E2185" s="187">
        <v>700</v>
      </c>
      <c r="F2185" s="187">
        <v>15000</v>
      </c>
      <c r="G2185" s="30">
        <f t="shared" si="2294"/>
        <v>2400</v>
      </c>
      <c r="H2185" s="8">
        <v>25000</v>
      </c>
      <c r="I2185" s="30">
        <f t="shared" si="2295"/>
        <v>5000</v>
      </c>
      <c r="J2185" s="187">
        <v>40000</v>
      </c>
      <c r="K2185" s="30">
        <f t="shared" si="2296"/>
        <v>5000</v>
      </c>
      <c r="L2185" s="187">
        <v>40000</v>
      </c>
      <c r="M2185" s="110">
        <v>9.5</v>
      </c>
      <c r="N2185" s="9">
        <f>VLOOKUP(DATE(YEAR(A2185),MONTH(A2185),DAY(A2185)),FY24_Temp[],3,FALSE)</f>
        <v>16.8</v>
      </c>
      <c r="O2185" s="110">
        <f t="shared" si="2354"/>
        <v>11.5</v>
      </c>
      <c r="P2185" s="110">
        <f t="shared" si="2355"/>
        <v>19.5</v>
      </c>
      <c r="Q2185" s="79">
        <f>VLOOKUP(VLOOKUP(DATEVALUE(TEXT(A2185,"m/d/yyyy")),FY24_Temp[],5,FALSE)&amp;TEXT(A2185,"-h"),TempDelta[],4,FALSE)</f>
        <v>1.6277142763137817</v>
      </c>
      <c r="R2185">
        <v>10</v>
      </c>
      <c r="S2185" s="112">
        <v>1500</v>
      </c>
      <c r="T2185" s="5">
        <f>VLOOKUP(TEXT(A2185,"yy-mm")&amp;"-"&amp;IF(AND(WEEKDAY(A2185)&gt;1,WEEKDAY(A2185)&lt;7),"Wkd",TEXT(A2185,"Ddd"))&amp;"-"&amp;TEXT(A2185,"hh"),LoadTable[],3,FALSE)*0.92</f>
        <v>421.91858468239752</v>
      </c>
      <c r="U2185" s="113">
        <f t="shared" si="2356"/>
        <v>42.191858468239751</v>
      </c>
      <c r="V2185">
        <f t="shared" ref="V2185:W2185" si="2362">V2161</f>
        <v>2.9</v>
      </c>
      <c r="W2185">
        <f t="shared" si="2362"/>
        <v>3.1</v>
      </c>
      <c r="X2185" s="9">
        <v>-45.708797166666301</v>
      </c>
      <c r="Y2185" s="39"/>
    </row>
    <row r="2186" spans="1:25" ht="15" thickBot="1">
      <c r="A2186" s="149">
        <f t="shared" si="2338"/>
        <v>45926.958333330018</v>
      </c>
      <c r="B2186" s="30">
        <f t="shared" si="2293"/>
        <v>5000</v>
      </c>
      <c r="C2186" s="41">
        <v>25000</v>
      </c>
      <c r="D2186" s="187">
        <v>0</v>
      </c>
      <c r="E2186" s="187">
        <v>700</v>
      </c>
      <c r="F2186" s="187">
        <v>15000</v>
      </c>
      <c r="G2186" s="30">
        <v>2470</v>
      </c>
      <c r="H2186" s="41">
        <v>25000</v>
      </c>
      <c r="I2186" s="30">
        <f t="shared" si="2295"/>
        <v>5000</v>
      </c>
      <c r="J2186" s="187">
        <v>40000</v>
      </c>
      <c r="K2186" s="30">
        <f t="shared" si="2296"/>
        <v>5000</v>
      </c>
      <c r="L2186" s="187">
        <v>40000</v>
      </c>
      <c r="M2186" s="110">
        <v>9.5</v>
      </c>
      <c r="N2186" s="84">
        <f>VLOOKUP(DATE(YEAR(A2186),MONTH(A2186),DAY(A2186)),FY24_Temp[],3,FALSE)</f>
        <v>16.8</v>
      </c>
      <c r="O2186" s="110">
        <f t="shared" si="2354"/>
        <v>11.5</v>
      </c>
      <c r="P2186" s="110">
        <f t="shared" si="2355"/>
        <v>19.5</v>
      </c>
      <c r="Q2186" s="85">
        <f>VLOOKUP(VLOOKUP(DATEVALUE(TEXT(A2186,"m/d/yyyy")),FY24_Temp[],5,FALSE)&amp;TEXT(A2186,"-h"),TempDelta[],4,FALSE)</f>
        <v>1.758285709789821</v>
      </c>
      <c r="R2186">
        <v>10</v>
      </c>
      <c r="S2186" s="112">
        <v>1500</v>
      </c>
      <c r="T2186" s="97">
        <f>VLOOKUP(TEXT(A2186,"yy-mm")&amp;"-"&amp;IF(AND(WEEKDAY(A2186)&gt;1,WEEKDAY(A2186)&lt;7),"Wkd",TEXT(A2186,"Ddd"))&amp;"-"&amp;TEXT(A2186,"hh"),LoadTable[],3,FALSE)*0.92</f>
        <v>289.33527113913209</v>
      </c>
      <c r="U2186" s="113">
        <f t="shared" si="2356"/>
        <v>28.933527113913208</v>
      </c>
      <c r="V2186">
        <f t="shared" ref="V2186:W2186" si="2363">V2162</f>
        <v>3.6</v>
      </c>
      <c r="W2186">
        <f t="shared" si="2363"/>
        <v>3.1</v>
      </c>
      <c r="X2186" s="84">
        <v>-45.786591716666301</v>
      </c>
      <c r="Y2186" s="39"/>
    </row>
    <row r="2187" spans="1:25" ht="15" thickBot="1">
      <c r="A2187" s="148">
        <f t="shared" si="2338"/>
        <v>45926.999999996682</v>
      </c>
      <c r="B2187" s="151">
        <f t="shared" si="2293"/>
        <v>5000</v>
      </c>
      <c r="C2187" s="109">
        <v>25000</v>
      </c>
      <c r="D2187" s="187">
        <v>0</v>
      </c>
      <c r="E2187" s="187">
        <v>700</v>
      </c>
      <c r="F2187" s="187">
        <v>15000</v>
      </c>
      <c r="G2187" s="151">
        <v>2470</v>
      </c>
      <c r="H2187" s="109">
        <v>25000</v>
      </c>
      <c r="I2187" s="151">
        <f t="shared" si="2295"/>
        <v>5000</v>
      </c>
      <c r="J2187" s="187">
        <v>40000</v>
      </c>
      <c r="K2187" s="151">
        <f t="shared" si="2296"/>
        <v>5000</v>
      </c>
      <c r="L2187" s="187">
        <v>40000</v>
      </c>
      <c r="M2187" s="110">
        <v>9.5</v>
      </c>
      <c r="N2187" s="110">
        <f>VLOOKUP(DATE(YEAR(A2187),MONTH(A2187),DAY(A2187)),FY24_Temp[],3,FALSE)</f>
        <v>17.399999999999999</v>
      </c>
      <c r="O2187" s="110">
        <f t="shared" si="2354"/>
        <v>11.5</v>
      </c>
      <c r="P2187" s="110">
        <f t="shared" si="2355"/>
        <v>19.5</v>
      </c>
      <c r="Q2187" s="111">
        <f>VLOOKUP(VLOOKUP(DATEVALUE(TEXT(A2187,"m/d/yyyy")),FY24_Temp[],5,FALSE)&amp;TEXT(A2187,"-h"),TempDelta[],4,FALSE)</f>
        <v>1.804142855</v>
      </c>
      <c r="R2187" s="112">
        <v>10</v>
      </c>
      <c r="S2187" s="112">
        <v>1500</v>
      </c>
      <c r="T2187" s="99">
        <f>VLOOKUP(TEXT(A2187,"yy-mm")&amp;"-"&amp;IF(AND(WEEKDAY(A2187)&gt;1,WEEKDAY(A2187)&lt;7),"Wkd",TEXT(A2187,"Ddd"))&amp;"-"&amp;TEXT(A2187,"hh"),LoadTable[],3,FALSE)*0.92</f>
        <v>289.32996596071712</v>
      </c>
      <c r="U2187" s="113">
        <f t="shared" si="2356"/>
        <v>28.93299659607171</v>
      </c>
      <c r="V2187" s="112">
        <f t="shared" ref="V2187:W2187" si="2364">V2163</f>
        <v>3</v>
      </c>
      <c r="W2187" s="112">
        <f t="shared" si="2364"/>
        <v>3.2</v>
      </c>
      <c r="X2187" s="114">
        <v>-45.864386266666301</v>
      </c>
      <c r="Y2187" s="39"/>
    </row>
    <row r="2188" spans="1:25" ht="15" thickBot="1">
      <c r="A2188" s="149">
        <f t="shared" si="2338"/>
        <v>45927.041666663346</v>
      </c>
      <c r="B2188" s="30">
        <f t="shared" ref="B2188:B2251" si="2365">B2164</f>
        <v>5000</v>
      </c>
      <c r="C2188" s="42">
        <v>25000</v>
      </c>
      <c r="D2188" s="187">
        <v>0</v>
      </c>
      <c r="E2188" s="187">
        <v>700</v>
      </c>
      <c r="F2188" s="187">
        <v>15000</v>
      </c>
      <c r="G2188" s="151">
        <v>2470</v>
      </c>
      <c r="H2188" s="42">
        <v>25000</v>
      </c>
      <c r="I2188" s="30">
        <f t="shared" ref="I2188:I2251" si="2366">I2164</f>
        <v>5000</v>
      </c>
      <c r="J2188" s="187">
        <v>40000</v>
      </c>
      <c r="K2188" s="30">
        <f t="shared" ref="K2188:K2251" si="2367">K2164</f>
        <v>5000</v>
      </c>
      <c r="L2188" s="187">
        <v>40000</v>
      </c>
      <c r="M2188" s="110">
        <v>9.5</v>
      </c>
      <c r="N2188" s="86">
        <f>VLOOKUP(DATE(YEAR(A2188),MONTH(A2188),DAY(A2188)),FY24_Temp[],3,FALSE)</f>
        <v>17.399999999999999</v>
      </c>
      <c r="O2188" s="110">
        <f t="shared" si="2354"/>
        <v>11.5</v>
      </c>
      <c r="P2188" s="110">
        <f t="shared" si="2355"/>
        <v>19.5</v>
      </c>
      <c r="Q2188" s="87">
        <f>VLOOKUP(VLOOKUP(DATEVALUE(TEXT(A2188,"m/d/yyyy")),FY24_Temp[],5,FALSE)&amp;TEXT(A2188,"-h"),TempDelta[],4,FALSE)</f>
        <v>1.804142855</v>
      </c>
      <c r="R2188">
        <v>10</v>
      </c>
      <c r="S2188" s="112">
        <v>1500</v>
      </c>
      <c r="T2188" s="98">
        <f>VLOOKUP(TEXT(A2188,"yy-mm")&amp;"-"&amp;IF(AND(WEEKDAY(A2188)&gt;1,WEEKDAY(A2188)&lt;7),"Wkd",TEXT(A2188,"Ddd"))&amp;"-"&amp;TEXT(A2188,"hh"),LoadTable[],3,FALSE)*0.92</f>
        <v>289.32996596071712</v>
      </c>
      <c r="U2188" s="113">
        <f t="shared" si="2356"/>
        <v>28.93299659607171</v>
      </c>
      <c r="V2188">
        <f t="shared" ref="V2188:W2188" si="2368">V2164</f>
        <v>2.6</v>
      </c>
      <c r="W2188">
        <f t="shared" si="2368"/>
        <v>3.2</v>
      </c>
      <c r="X2188" s="86">
        <v>-45.942180816666301</v>
      </c>
      <c r="Y2188" s="39"/>
    </row>
    <row r="2189" spans="1:25" ht="15" thickBot="1">
      <c r="A2189" s="149">
        <f t="shared" si="2338"/>
        <v>45927.083333330011</v>
      </c>
      <c r="B2189" s="30">
        <f t="shared" si="2365"/>
        <v>5000</v>
      </c>
      <c r="C2189" s="8">
        <v>25000</v>
      </c>
      <c r="D2189" s="187">
        <v>0</v>
      </c>
      <c r="E2189" s="187">
        <v>700</v>
      </c>
      <c r="F2189" s="187">
        <v>15000</v>
      </c>
      <c r="G2189" s="151">
        <v>2470</v>
      </c>
      <c r="H2189" s="8">
        <v>25000</v>
      </c>
      <c r="I2189" s="30">
        <f t="shared" si="2366"/>
        <v>5000</v>
      </c>
      <c r="J2189" s="187">
        <v>40000</v>
      </c>
      <c r="K2189" s="30">
        <f t="shared" si="2367"/>
        <v>5000</v>
      </c>
      <c r="L2189" s="187">
        <v>40000</v>
      </c>
      <c r="M2189" s="110">
        <v>9.5</v>
      </c>
      <c r="N2189" s="9">
        <f>VLOOKUP(DATE(YEAR(A2189),MONTH(A2189),DAY(A2189)),FY24_Temp[],3,FALSE)</f>
        <v>17.399999999999999</v>
      </c>
      <c r="O2189" s="110">
        <f t="shared" si="2354"/>
        <v>11.5</v>
      </c>
      <c r="P2189" s="110">
        <f t="shared" si="2355"/>
        <v>19.5</v>
      </c>
      <c r="Q2189" s="79">
        <f>VLOOKUP(VLOOKUP(DATEVALUE(TEXT(A2189,"m/d/yyyy")),FY24_Temp[],5,FALSE)&amp;TEXT(A2189,"-h"),TempDelta[],4,FALSE)</f>
        <v>1.804142855</v>
      </c>
      <c r="R2189">
        <v>10</v>
      </c>
      <c r="S2189" s="112">
        <v>1500</v>
      </c>
      <c r="T2189" s="5">
        <f>VLOOKUP(TEXT(A2189,"yy-mm")&amp;"-"&amp;IF(AND(WEEKDAY(A2189)&gt;1,WEEKDAY(A2189)&lt;7),"Wkd",TEXT(A2189,"Ddd"))&amp;"-"&amp;TEXT(A2189,"hh"),LoadTable[],3,FALSE)*0.92</f>
        <v>289.32996596071712</v>
      </c>
      <c r="U2189" s="113">
        <f t="shared" si="2356"/>
        <v>28.93299659607171</v>
      </c>
      <c r="V2189">
        <f t="shared" ref="V2189:W2189" si="2369">V2165</f>
        <v>2.8</v>
      </c>
      <c r="W2189">
        <f t="shared" si="2369"/>
        <v>3.2</v>
      </c>
      <c r="X2189" s="9">
        <v>-46.019975366666301</v>
      </c>
      <c r="Y2189" s="39"/>
    </row>
    <row r="2190" spans="1:25" ht="15" thickBot="1">
      <c r="A2190" s="149">
        <f t="shared" si="2338"/>
        <v>45927.124999996675</v>
      </c>
      <c r="B2190" s="30">
        <f t="shared" si="2365"/>
        <v>5000</v>
      </c>
      <c r="C2190" s="8">
        <v>25000</v>
      </c>
      <c r="D2190" s="187">
        <v>0</v>
      </c>
      <c r="E2190" s="187">
        <v>700</v>
      </c>
      <c r="F2190" s="187">
        <v>15000</v>
      </c>
      <c r="G2190" s="151">
        <v>2470</v>
      </c>
      <c r="H2190" s="8">
        <v>25000</v>
      </c>
      <c r="I2190" s="30">
        <f t="shared" si="2366"/>
        <v>5000</v>
      </c>
      <c r="J2190" s="187">
        <v>40000</v>
      </c>
      <c r="K2190" s="30">
        <f t="shared" si="2367"/>
        <v>5000</v>
      </c>
      <c r="L2190" s="187">
        <v>40000</v>
      </c>
      <c r="M2190" s="110">
        <v>9.5</v>
      </c>
      <c r="N2190" s="9">
        <f>VLOOKUP(DATE(YEAR(A2190),MONTH(A2190),DAY(A2190)),FY24_Temp[],3,FALSE)</f>
        <v>17.399999999999999</v>
      </c>
      <c r="O2190" s="110">
        <f t="shared" si="2354"/>
        <v>11.5</v>
      </c>
      <c r="P2190" s="110">
        <f t="shared" si="2355"/>
        <v>19.5</v>
      </c>
      <c r="Q2190" s="79">
        <f>VLOOKUP(VLOOKUP(DATEVALUE(TEXT(A2190,"m/d/yyyy")),FY24_Temp[],5,FALSE)&amp;TEXT(A2190,"-h"),TempDelta[],4,FALSE)</f>
        <v>1.804142855</v>
      </c>
      <c r="R2190">
        <v>10</v>
      </c>
      <c r="S2190" s="112">
        <v>1500</v>
      </c>
      <c r="T2190" s="5">
        <f>VLOOKUP(TEXT(A2190,"yy-mm")&amp;"-"&amp;IF(AND(WEEKDAY(A2190)&gt;1,WEEKDAY(A2190)&lt;7),"Wkd",TEXT(A2190,"Ddd"))&amp;"-"&amp;TEXT(A2190,"hh"),LoadTable[],3,FALSE)*0.92</f>
        <v>289.3264287764718</v>
      </c>
      <c r="U2190" s="113">
        <f t="shared" si="2356"/>
        <v>28.932642877647179</v>
      </c>
      <c r="V2190">
        <f t="shared" ref="V2190:W2190" si="2370">V2166</f>
        <v>2.7</v>
      </c>
      <c r="W2190">
        <f t="shared" si="2370"/>
        <v>3.2</v>
      </c>
      <c r="X2190" s="9">
        <v>-46.097769916666302</v>
      </c>
      <c r="Y2190" s="39"/>
    </row>
    <row r="2191" spans="1:25" ht="15" thickBot="1">
      <c r="A2191" s="149">
        <f t="shared" si="2338"/>
        <v>45927.166666663339</v>
      </c>
      <c r="B2191" s="30">
        <f t="shared" si="2365"/>
        <v>5000</v>
      </c>
      <c r="C2191" s="8">
        <v>25000</v>
      </c>
      <c r="D2191" s="187">
        <v>0</v>
      </c>
      <c r="E2191" s="187">
        <v>700</v>
      </c>
      <c r="F2191" s="187">
        <v>15000</v>
      </c>
      <c r="G2191" s="151">
        <v>2470</v>
      </c>
      <c r="H2191" s="8">
        <v>25000</v>
      </c>
      <c r="I2191" s="30">
        <f t="shared" si="2366"/>
        <v>5000</v>
      </c>
      <c r="J2191" s="187">
        <v>40000</v>
      </c>
      <c r="K2191" s="30">
        <f t="shared" si="2367"/>
        <v>5000</v>
      </c>
      <c r="L2191" s="187">
        <v>40000</v>
      </c>
      <c r="M2191" s="110">
        <v>9.5</v>
      </c>
      <c r="N2191" s="9">
        <f>VLOOKUP(DATE(YEAR(A2191),MONTH(A2191),DAY(A2191)),FY24_Temp[],3,FALSE)</f>
        <v>17.399999999999999</v>
      </c>
      <c r="O2191" s="110">
        <f t="shared" si="2354"/>
        <v>11.5</v>
      </c>
      <c r="P2191" s="110">
        <f t="shared" si="2355"/>
        <v>19.5</v>
      </c>
      <c r="Q2191" s="79">
        <f>VLOOKUP(VLOOKUP(DATEVALUE(TEXT(A2191,"m/d/yyyy")),FY24_Temp[],5,FALSE)&amp;TEXT(A2191,"-h"),TempDelta[],4,FALSE)</f>
        <v>1.804142855</v>
      </c>
      <c r="R2191">
        <v>10</v>
      </c>
      <c r="S2191" s="112">
        <v>1500</v>
      </c>
      <c r="T2191" s="5">
        <f>VLOOKUP(TEXT(A2191,"yy-mm")&amp;"-"&amp;IF(AND(WEEKDAY(A2191)&gt;1,WEEKDAY(A2191)&lt;7),"Wkd",TEXT(A2191,"Ddd"))&amp;"-"&amp;TEXT(A2191,"hh"),LoadTable[],3,FALSE)*0.92</f>
        <v>289.3264287764718</v>
      </c>
      <c r="U2191" s="113">
        <f t="shared" si="2356"/>
        <v>28.932642877647179</v>
      </c>
      <c r="V2191">
        <f t="shared" ref="V2191:W2191" si="2371">V2167</f>
        <v>3</v>
      </c>
      <c r="W2191">
        <f t="shared" si="2371"/>
        <v>3.1</v>
      </c>
      <c r="X2191" s="9">
        <v>-46.175564466666302</v>
      </c>
      <c r="Y2191" s="39"/>
    </row>
    <row r="2192" spans="1:25" ht="15" thickBot="1">
      <c r="A2192" s="149">
        <f t="shared" si="2338"/>
        <v>45927.208333330003</v>
      </c>
      <c r="B2192" s="30">
        <f t="shared" si="2365"/>
        <v>5000</v>
      </c>
      <c r="C2192" s="8">
        <v>25000</v>
      </c>
      <c r="D2192" s="187">
        <v>0</v>
      </c>
      <c r="E2192" s="187">
        <v>700</v>
      </c>
      <c r="F2192" s="187">
        <v>15000</v>
      </c>
      <c r="G2192" s="151">
        <v>2470</v>
      </c>
      <c r="H2192" s="8">
        <v>25000</v>
      </c>
      <c r="I2192" s="30">
        <f t="shared" si="2366"/>
        <v>5000</v>
      </c>
      <c r="J2192" s="187">
        <v>40000</v>
      </c>
      <c r="K2192" s="30">
        <f t="shared" si="2367"/>
        <v>5000</v>
      </c>
      <c r="L2192" s="187">
        <v>40000</v>
      </c>
      <c r="M2192" s="110">
        <v>9.5</v>
      </c>
      <c r="N2192" s="9">
        <f>VLOOKUP(DATE(YEAR(A2192),MONTH(A2192),DAY(A2192)),FY24_Temp[],3,FALSE)</f>
        <v>17.399999999999999</v>
      </c>
      <c r="O2192" s="110">
        <f t="shared" si="2354"/>
        <v>11.5</v>
      </c>
      <c r="P2192" s="110">
        <f t="shared" si="2355"/>
        <v>19.5</v>
      </c>
      <c r="Q2192" s="79">
        <f>VLOOKUP(VLOOKUP(DATEVALUE(TEXT(A2192,"m/d/yyyy")),FY24_Temp[],5,FALSE)&amp;TEXT(A2192,"-h"),TempDelta[],4,FALSE)</f>
        <v>1.804142855</v>
      </c>
      <c r="R2192">
        <v>10</v>
      </c>
      <c r="S2192" s="112">
        <v>1500</v>
      </c>
      <c r="T2192" s="5">
        <f>VLOOKUP(TEXT(A2192,"yy-mm")&amp;"-"&amp;IF(AND(WEEKDAY(A2192)&gt;1,WEEKDAY(A2192)&lt;7),"Wkd",TEXT(A2192,"Ddd"))&amp;"-"&amp;TEXT(A2192,"hh"),LoadTable[],3,FALSE)*0.92</f>
        <v>289.3264287764718</v>
      </c>
      <c r="U2192" s="113">
        <f t="shared" si="2356"/>
        <v>28.932642877647179</v>
      </c>
      <c r="V2192">
        <f t="shared" ref="V2192:W2192" si="2372">V2168</f>
        <v>2.9</v>
      </c>
      <c r="W2192">
        <f t="shared" si="2372"/>
        <v>3.1</v>
      </c>
      <c r="X2192" s="9">
        <v>-46.253359016666302</v>
      </c>
      <c r="Y2192" s="39"/>
    </row>
    <row r="2193" spans="1:25" ht="15" thickBot="1">
      <c r="A2193" s="149">
        <f t="shared" si="2338"/>
        <v>45927.249999996668</v>
      </c>
      <c r="B2193" s="30">
        <f t="shared" si="2365"/>
        <v>8000</v>
      </c>
      <c r="C2193" s="8">
        <v>25000</v>
      </c>
      <c r="D2193" s="187">
        <v>0</v>
      </c>
      <c r="E2193" s="187">
        <v>700</v>
      </c>
      <c r="F2193" s="187">
        <v>15000</v>
      </c>
      <c r="G2193" s="151">
        <v>2470</v>
      </c>
      <c r="H2193" s="8">
        <v>25000</v>
      </c>
      <c r="I2193" s="30">
        <f t="shared" si="2366"/>
        <v>8000</v>
      </c>
      <c r="J2193" s="187">
        <v>40000</v>
      </c>
      <c r="K2193" s="30">
        <f t="shared" si="2367"/>
        <v>8000</v>
      </c>
      <c r="L2193" s="187">
        <v>40000</v>
      </c>
      <c r="M2193" s="110">
        <v>9.5</v>
      </c>
      <c r="N2193" s="9">
        <f>VLOOKUP(DATE(YEAR(A2193),MONTH(A2193),DAY(A2193)),FY24_Temp[],3,FALSE)</f>
        <v>17.399999999999999</v>
      </c>
      <c r="O2193" s="110">
        <f t="shared" si="2354"/>
        <v>11.5</v>
      </c>
      <c r="P2193" s="110">
        <f t="shared" si="2355"/>
        <v>19.5</v>
      </c>
      <c r="Q2193" s="79">
        <f>VLOOKUP(VLOOKUP(DATEVALUE(TEXT(A2193,"m/d/yyyy")),FY24_Temp[],5,FALSE)&amp;TEXT(A2193,"-h"),TempDelta[],4,FALSE)</f>
        <v>1.6668571404048376</v>
      </c>
      <c r="R2193">
        <v>10</v>
      </c>
      <c r="S2193" s="112">
        <v>1500</v>
      </c>
      <c r="T2193" s="5">
        <f>VLOOKUP(TEXT(A2193,"yy-mm")&amp;"-"&amp;IF(AND(WEEKDAY(A2193)&gt;1,WEEKDAY(A2193)&lt;7),"Wkd",TEXT(A2193,"Ddd"))&amp;"-"&amp;TEXT(A2193,"hh"),LoadTable[],3,FALSE)*0.92</f>
        <v>289.3264287764718</v>
      </c>
      <c r="U2193" s="113">
        <f t="shared" si="2356"/>
        <v>28.932642877647179</v>
      </c>
      <c r="V2193">
        <f t="shared" ref="V2193:W2193" si="2373">V2169</f>
        <v>2.5</v>
      </c>
      <c r="W2193">
        <f t="shared" si="2373"/>
        <v>3.1</v>
      </c>
      <c r="X2193" s="9">
        <v>-46.331153566666302</v>
      </c>
      <c r="Y2193" s="39"/>
    </row>
    <row r="2194" spans="1:25" ht="15" thickBot="1">
      <c r="A2194" s="149">
        <f t="shared" si="2338"/>
        <v>45927.291666663332</v>
      </c>
      <c r="B2194" s="30">
        <f t="shared" si="2365"/>
        <v>8000</v>
      </c>
      <c r="C2194" s="8">
        <v>25000</v>
      </c>
      <c r="D2194" s="187">
        <v>0</v>
      </c>
      <c r="E2194" s="187">
        <v>700</v>
      </c>
      <c r="F2194" s="187">
        <v>15000</v>
      </c>
      <c r="G2194" s="151">
        <v>2470</v>
      </c>
      <c r="H2194" s="8">
        <v>25000</v>
      </c>
      <c r="I2194" s="30">
        <f t="shared" si="2366"/>
        <v>8000</v>
      </c>
      <c r="J2194" s="187">
        <v>40000</v>
      </c>
      <c r="K2194" s="30">
        <f t="shared" si="2367"/>
        <v>8000</v>
      </c>
      <c r="L2194" s="187">
        <v>40000</v>
      </c>
      <c r="M2194" s="110">
        <v>9.5</v>
      </c>
      <c r="N2194" s="9">
        <f>VLOOKUP(DATE(YEAR(A2194),MONTH(A2194),DAY(A2194)),FY24_Temp[],3,FALSE)</f>
        <v>17.399999999999999</v>
      </c>
      <c r="O2194" s="110">
        <f t="shared" si="2354"/>
        <v>11.5</v>
      </c>
      <c r="P2194" s="110">
        <f t="shared" si="2355"/>
        <v>19.5</v>
      </c>
      <c r="Q2194" s="79">
        <f>VLOOKUP(VLOOKUP(DATEVALUE(TEXT(A2194,"m/d/yyyy")),FY24_Temp[],5,FALSE)&amp;TEXT(A2194,"-h"),TempDelta[],4,FALSE)</f>
        <v>1.5237142699105399</v>
      </c>
      <c r="R2194">
        <v>10</v>
      </c>
      <c r="S2194" s="112">
        <v>1500</v>
      </c>
      <c r="T2194" s="5">
        <f>VLOOKUP(TEXT(A2194,"yy-mm")&amp;"-"&amp;IF(AND(WEEKDAY(A2194)&gt;1,WEEKDAY(A2194)&lt;7),"Wkd",TEXT(A2194,"Ddd"))&amp;"-"&amp;TEXT(A2194,"hh"),LoadTable[],3,FALSE)*0.92</f>
        <v>289.3264287764718</v>
      </c>
      <c r="U2194" s="113">
        <f t="shared" si="2356"/>
        <v>28.932642877647179</v>
      </c>
      <c r="V2194">
        <f t="shared" ref="V2194:W2194" si="2374">V2170</f>
        <v>2.5</v>
      </c>
      <c r="W2194">
        <f t="shared" si="2374"/>
        <v>3.1</v>
      </c>
      <c r="X2194" s="9">
        <v>-46.408948116666302</v>
      </c>
      <c r="Y2194" s="39"/>
    </row>
    <row r="2195" spans="1:25" ht="15" thickBot="1">
      <c r="A2195" s="149">
        <f t="shared" si="2338"/>
        <v>45927.333333329996</v>
      </c>
      <c r="B2195" s="30">
        <f t="shared" si="2365"/>
        <v>8000</v>
      </c>
      <c r="C2195" s="8">
        <v>25000</v>
      </c>
      <c r="D2195" s="187">
        <v>0</v>
      </c>
      <c r="E2195" s="187">
        <v>700</v>
      </c>
      <c r="F2195" s="187">
        <v>15000</v>
      </c>
      <c r="G2195" s="151">
        <v>2470</v>
      </c>
      <c r="H2195" s="8">
        <v>25000</v>
      </c>
      <c r="I2195" s="30">
        <f t="shared" si="2366"/>
        <v>8000</v>
      </c>
      <c r="J2195" s="187">
        <v>40000</v>
      </c>
      <c r="K2195" s="30">
        <f t="shared" si="2367"/>
        <v>8000</v>
      </c>
      <c r="L2195" s="187">
        <v>40000</v>
      </c>
      <c r="M2195" s="110">
        <v>9.5</v>
      </c>
      <c r="N2195" s="9">
        <f>VLOOKUP(DATE(YEAR(A2195),MONTH(A2195),DAY(A2195)),FY24_Temp[],3,FALSE)</f>
        <v>17.399999999999999</v>
      </c>
      <c r="O2195" s="110">
        <f t="shared" si="2354"/>
        <v>11.5</v>
      </c>
      <c r="P2195" s="110">
        <f t="shared" si="2355"/>
        <v>19.5</v>
      </c>
      <c r="Q2195" s="79">
        <f>VLOOKUP(VLOOKUP(DATEVALUE(TEXT(A2195,"m/d/yyyy")),FY24_Temp[],5,FALSE)&amp;TEXT(A2195,"-h"),TempDelta[],4,FALSE)</f>
        <v>1.3942857129233224</v>
      </c>
      <c r="R2195">
        <v>10</v>
      </c>
      <c r="S2195" s="112">
        <v>1500</v>
      </c>
      <c r="T2195" s="5">
        <f>VLOOKUP(TEXT(A2195,"yy-mm")&amp;"-"&amp;IF(AND(WEEKDAY(A2195)&gt;1,WEEKDAY(A2195)&lt;7),"Wkd",TEXT(A2195,"Ddd"))&amp;"-"&amp;TEXT(A2195,"hh"),LoadTable[],3,FALSE)*0.92</f>
        <v>289.32996596071712</v>
      </c>
      <c r="U2195" s="113">
        <f t="shared" si="2356"/>
        <v>28.93299659607171</v>
      </c>
      <c r="V2195">
        <f t="shared" ref="V2195:W2195" si="2375">V2171</f>
        <v>3.2</v>
      </c>
      <c r="W2195">
        <f t="shared" si="2375"/>
        <v>3</v>
      </c>
      <c r="X2195" s="9">
        <v>-46.486742666666302</v>
      </c>
      <c r="Y2195" s="39"/>
    </row>
    <row r="2196" spans="1:25" ht="15" thickBot="1">
      <c r="A2196" s="149">
        <f t="shared" si="2338"/>
        <v>45927.37499999666</v>
      </c>
      <c r="B2196" s="30">
        <f t="shared" si="2365"/>
        <v>8000</v>
      </c>
      <c r="C2196" s="8">
        <v>25000</v>
      </c>
      <c r="D2196" s="187">
        <v>0</v>
      </c>
      <c r="E2196" s="187">
        <v>700</v>
      </c>
      <c r="F2196" s="187">
        <v>15000</v>
      </c>
      <c r="G2196" s="151">
        <v>2470</v>
      </c>
      <c r="H2196" s="8">
        <v>25000</v>
      </c>
      <c r="I2196" s="30">
        <f t="shared" si="2366"/>
        <v>8000</v>
      </c>
      <c r="J2196" s="187">
        <v>40000</v>
      </c>
      <c r="K2196" s="30">
        <f t="shared" si="2367"/>
        <v>8000</v>
      </c>
      <c r="L2196" s="187">
        <v>40000</v>
      </c>
      <c r="M2196" s="110">
        <v>9.5</v>
      </c>
      <c r="N2196" s="9">
        <f>VLOOKUP(DATE(YEAR(A2196),MONTH(A2196),DAY(A2196)),FY24_Temp[],3,FALSE)</f>
        <v>17.399999999999999</v>
      </c>
      <c r="O2196" s="110">
        <f t="shared" si="2354"/>
        <v>11.5</v>
      </c>
      <c r="P2196" s="110">
        <f t="shared" si="2355"/>
        <v>19.5</v>
      </c>
      <c r="Q2196" s="79">
        <f>VLOOKUP(VLOOKUP(DATEVALUE(TEXT(A2196,"m/d/yyyy")),FY24_Temp[],5,FALSE)&amp;TEXT(A2196,"-h"),TempDelta[],4,FALSE)</f>
        <v>1.2751428655215673</v>
      </c>
      <c r="R2196">
        <v>10</v>
      </c>
      <c r="S2196" s="112">
        <v>1500</v>
      </c>
      <c r="T2196" s="5">
        <f>VLOOKUP(TEXT(A2196,"yy-mm")&amp;"-"&amp;IF(AND(WEEKDAY(A2196)&gt;1,WEEKDAY(A2196)&lt;7),"Wkd",TEXT(A2196,"Ddd"))&amp;"-"&amp;TEXT(A2196,"hh"),LoadTable[],3,FALSE)*0.92</f>
        <v>289.32996596071712</v>
      </c>
      <c r="U2196" s="113">
        <f t="shared" si="2356"/>
        <v>28.93299659607171</v>
      </c>
      <c r="V2196">
        <f t="shared" ref="V2196:W2196" si="2376">V2172</f>
        <v>2.9</v>
      </c>
      <c r="W2196">
        <f t="shared" si="2376"/>
        <v>3</v>
      </c>
      <c r="X2196" s="9">
        <v>-46.564537216666302</v>
      </c>
      <c r="Y2196" s="39"/>
    </row>
    <row r="2197" spans="1:25" ht="15" thickBot="1">
      <c r="A2197" s="149">
        <f t="shared" si="2338"/>
        <v>45927.416666663325</v>
      </c>
      <c r="B2197" s="30">
        <f t="shared" si="2365"/>
        <v>8000</v>
      </c>
      <c r="C2197" s="8">
        <v>25000</v>
      </c>
      <c r="D2197" s="187">
        <v>0</v>
      </c>
      <c r="E2197" s="187">
        <v>700</v>
      </c>
      <c r="F2197" s="187">
        <v>15000</v>
      </c>
      <c r="G2197" s="151">
        <v>2470</v>
      </c>
      <c r="H2197" s="8">
        <v>25000</v>
      </c>
      <c r="I2197" s="30">
        <f t="shared" si="2366"/>
        <v>8000</v>
      </c>
      <c r="J2197" s="187">
        <v>40000</v>
      </c>
      <c r="K2197" s="30">
        <f t="shared" si="2367"/>
        <v>8000</v>
      </c>
      <c r="L2197" s="187">
        <v>40000</v>
      </c>
      <c r="M2197" s="110">
        <v>9.5</v>
      </c>
      <c r="N2197" s="9">
        <f>VLOOKUP(DATE(YEAR(A2197),MONTH(A2197),DAY(A2197)),FY24_Temp[],3,FALSE)</f>
        <v>17.399999999999999</v>
      </c>
      <c r="O2197" s="110">
        <f t="shared" si="2354"/>
        <v>11.5</v>
      </c>
      <c r="P2197" s="110">
        <f t="shared" si="2355"/>
        <v>19.5</v>
      </c>
      <c r="Q2197" s="79">
        <f>VLOOKUP(VLOOKUP(DATEVALUE(TEXT(A2197,"m/d/yyyy")),FY24_Temp[],5,FALSE)&amp;TEXT(A2197,"-h"),TempDelta[],4,FALSE)</f>
        <v>1.1441428746495927</v>
      </c>
      <c r="R2197">
        <v>10</v>
      </c>
      <c r="S2197" s="112">
        <v>1500</v>
      </c>
      <c r="T2197" s="5">
        <f>VLOOKUP(TEXT(A2197,"yy-mm")&amp;"-"&amp;IF(AND(WEEKDAY(A2197)&gt;1,WEEKDAY(A2197)&lt;7),"Wkd",TEXT(A2197,"Ddd"))&amp;"-"&amp;TEXT(A2197,"hh"),LoadTable[],3,FALSE)*0.92</f>
        <v>289.32996596071712</v>
      </c>
      <c r="U2197" s="113">
        <f t="shared" si="2356"/>
        <v>28.93299659607171</v>
      </c>
      <c r="V2197">
        <f t="shared" ref="V2197:W2197" si="2377">V2173</f>
        <v>2.9</v>
      </c>
      <c r="W2197">
        <f t="shared" si="2377"/>
        <v>3</v>
      </c>
      <c r="X2197" s="9">
        <v>-46.642331766666302</v>
      </c>
      <c r="Y2197" s="39"/>
    </row>
    <row r="2198" spans="1:25" ht="15" thickBot="1">
      <c r="A2198" s="149">
        <f t="shared" si="2338"/>
        <v>45927.458333329989</v>
      </c>
      <c r="B2198" s="30">
        <f t="shared" si="2365"/>
        <v>8000</v>
      </c>
      <c r="C2198" s="8">
        <v>25000</v>
      </c>
      <c r="D2198" s="187">
        <v>0</v>
      </c>
      <c r="E2198" s="187">
        <v>700</v>
      </c>
      <c r="F2198" s="187">
        <v>15000</v>
      </c>
      <c r="G2198" s="151">
        <v>2470</v>
      </c>
      <c r="H2198" s="8">
        <v>25000</v>
      </c>
      <c r="I2198" s="30">
        <f t="shared" si="2366"/>
        <v>8000</v>
      </c>
      <c r="J2198" s="187">
        <v>40000</v>
      </c>
      <c r="K2198" s="30">
        <f t="shared" si="2367"/>
        <v>8000</v>
      </c>
      <c r="L2198" s="187">
        <v>40000</v>
      </c>
      <c r="M2198" s="110">
        <v>9.5</v>
      </c>
      <c r="N2198" s="9">
        <f>VLOOKUP(DATE(YEAR(A2198),MONTH(A2198),DAY(A2198)),FY24_Temp[],3,FALSE)</f>
        <v>17.399999999999999</v>
      </c>
      <c r="O2198" s="110">
        <f t="shared" si="2354"/>
        <v>11.5</v>
      </c>
      <c r="P2198" s="110">
        <f t="shared" si="2355"/>
        <v>19.5</v>
      </c>
      <c r="Q2198" s="79">
        <f>VLOOKUP(VLOOKUP(DATEVALUE(TEXT(A2198,"m/d/yyyy")),FY24_Temp[],5,FALSE)&amp;TEXT(A2198,"-h"),TempDelta[],4,FALSE)</f>
        <v>1.006714301449912</v>
      </c>
      <c r="R2198">
        <v>10</v>
      </c>
      <c r="S2198" s="112">
        <v>1500</v>
      </c>
      <c r="T2198" s="5">
        <f>VLOOKUP(TEXT(A2198,"yy-mm")&amp;"-"&amp;IF(AND(WEEKDAY(A2198)&gt;1,WEEKDAY(A2198)&lt;7),"Wkd",TEXT(A2198,"Ddd"))&amp;"-"&amp;TEXT(A2198,"hh"),LoadTable[],3,FALSE)*0.92</f>
        <v>289.32996596071712</v>
      </c>
      <c r="U2198" s="113">
        <f t="shared" si="2356"/>
        <v>28.93299659607171</v>
      </c>
      <c r="V2198">
        <f t="shared" ref="V2198:W2198" si="2378">V2174</f>
        <v>3.4</v>
      </c>
      <c r="W2198">
        <f t="shared" si="2378"/>
        <v>3</v>
      </c>
      <c r="X2198" s="9">
        <v>-46.720126316666303</v>
      </c>
      <c r="Y2198" s="39"/>
    </row>
    <row r="2199" spans="1:25" ht="15" thickBot="1">
      <c r="A2199" s="149">
        <f t="shared" si="2338"/>
        <v>45927.499999996653</v>
      </c>
      <c r="B2199" s="30">
        <f t="shared" si="2365"/>
        <v>8000</v>
      </c>
      <c r="C2199" s="8">
        <v>25000</v>
      </c>
      <c r="D2199" s="187">
        <v>0</v>
      </c>
      <c r="E2199" s="187">
        <v>700</v>
      </c>
      <c r="F2199" s="187">
        <v>15000</v>
      </c>
      <c r="G2199" s="151">
        <v>2470</v>
      </c>
      <c r="H2199" s="8">
        <v>25000</v>
      </c>
      <c r="I2199" s="30">
        <f t="shared" si="2366"/>
        <v>8000</v>
      </c>
      <c r="J2199" s="187">
        <v>40000</v>
      </c>
      <c r="K2199" s="30">
        <f t="shared" si="2367"/>
        <v>8000</v>
      </c>
      <c r="L2199" s="187">
        <v>40000</v>
      </c>
      <c r="M2199" s="110">
        <v>9.5</v>
      </c>
      <c r="N2199" s="9">
        <f>VLOOKUP(DATE(YEAR(A2199),MONTH(A2199),DAY(A2199)),FY24_Temp[],3,FALSE)</f>
        <v>17.399999999999999</v>
      </c>
      <c r="O2199" s="110">
        <f t="shared" si="2354"/>
        <v>11.5</v>
      </c>
      <c r="P2199" s="110">
        <f t="shared" si="2355"/>
        <v>19.5</v>
      </c>
      <c r="Q2199" s="79">
        <f>VLOOKUP(VLOOKUP(DATEVALUE(TEXT(A2199,"m/d/yyyy")),FY24_Temp[],5,FALSE)&amp;TEXT(A2199,"-h"),TempDelta[],4,FALSE)</f>
        <v>0.87971426759447369</v>
      </c>
      <c r="R2199">
        <v>10</v>
      </c>
      <c r="S2199" s="112">
        <v>1500</v>
      </c>
      <c r="T2199" s="5">
        <f>VLOOKUP(TEXT(A2199,"yy-mm")&amp;"-"&amp;IF(AND(WEEKDAY(A2199)&gt;1,WEEKDAY(A2199)&lt;7),"Wkd",TEXT(A2199,"Ddd"))&amp;"-"&amp;TEXT(A2199,"hh"),LoadTable[],3,FALSE)*0.92</f>
        <v>289.32996596071712</v>
      </c>
      <c r="U2199" s="113">
        <f t="shared" si="2356"/>
        <v>28.93299659607171</v>
      </c>
      <c r="V2199">
        <f t="shared" ref="V2199:W2199" si="2379">V2175</f>
        <v>3.1</v>
      </c>
      <c r="W2199">
        <f t="shared" si="2379"/>
        <v>2.9</v>
      </c>
      <c r="X2199" s="9">
        <v>-46.797920866666303</v>
      </c>
      <c r="Y2199" s="39"/>
    </row>
    <row r="2200" spans="1:25" ht="15" thickBot="1">
      <c r="A2200" s="149">
        <f t="shared" si="2338"/>
        <v>45927.541666663317</v>
      </c>
      <c r="B2200" s="30">
        <f t="shared" si="2365"/>
        <v>8000</v>
      </c>
      <c r="C2200" s="8">
        <v>25000</v>
      </c>
      <c r="D2200" s="187">
        <v>0</v>
      </c>
      <c r="E2200" s="187">
        <v>700</v>
      </c>
      <c r="F2200" s="187">
        <v>15000</v>
      </c>
      <c r="G2200" s="151">
        <v>2470</v>
      </c>
      <c r="H2200" s="8">
        <v>25000</v>
      </c>
      <c r="I2200" s="30">
        <f t="shared" si="2366"/>
        <v>8000</v>
      </c>
      <c r="J2200" s="187">
        <v>40000</v>
      </c>
      <c r="K2200" s="30">
        <f t="shared" si="2367"/>
        <v>8000</v>
      </c>
      <c r="L2200" s="187">
        <v>40000</v>
      </c>
      <c r="M2200" s="110">
        <v>9.5</v>
      </c>
      <c r="N2200" s="9">
        <f>VLOOKUP(DATE(YEAR(A2200),MONTH(A2200),DAY(A2200)),FY24_Temp[],3,FALSE)</f>
        <v>17.399999999999999</v>
      </c>
      <c r="O2200" s="110">
        <f t="shared" si="2354"/>
        <v>11.5</v>
      </c>
      <c r="P2200" s="110">
        <f t="shared" si="2355"/>
        <v>19.5</v>
      </c>
      <c r="Q2200" s="79">
        <f>VLOOKUP(VLOOKUP(DATEVALUE(TEXT(A2200,"m/d/yyyy")),FY24_Temp[],5,FALSE)&amp;TEXT(A2200,"-h"),TempDelta[],4,FALSE)</f>
        <v>0.77128570420401432</v>
      </c>
      <c r="R2200">
        <v>10</v>
      </c>
      <c r="S2200" s="112">
        <v>1500</v>
      </c>
      <c r="T2200" s="5">
        <f>VLOOKUP(TEXT(A2200,"yy-mm")&amp;"-"&amp;IF(AND(WEEKDAY(A2200)&gt;1,WEEKDAY(A2200)&lt;7),"Wkd",TEXT(A2200,"Ddd"))&amp;"-"&amp;TEXT(A2200,"hh"),LoadTable[],3,FALSE)*0.92</f>
        <v>289.32996596071712</v>
      </c>
      <c r="U2200" s="113">
        <f t="shared" si="2356"/>
        <v>28.93299659607171</v>
      </c>
      <c r="V2200">
        <f t="shared" ref="V2200:W2200" si="2380">V2176</f>
        <v>3.2</v>
      </c>
      <c r="W2200">
        <f t="shared" si="2380"/>
        <v>2.9</v>
      </c>
      <c r="X2200" s="9">
        <v>-46.875715416666303</v>
      </c>
      <c r="Y2200" s="39"/>
    </row>
    <row r="2201" spans="1:25" ht="15" thickBot="1">
      <c r="A2201" s="149">
        <f t="shared" si="2338"/>
        <v>45927.583333329982</v>
      </c>
      <c r="B2201" s="30">
        <f t="shared" si="2365"/>
        <v>8000</v>
      </c>
      <c r="C2201" s="8">
        <v>25000</v>
      </c>
      <c r="D2201" s="187">
        <v>0</v>
      </c>
      <c r="E2201" s="187">
        <v>700</v>
      </c>
      <c r="F2201" s="187">
        <v>15000</v>
      </c>
      <c r="G2201" s="151">
        <v>2470</v>
      </c>
      <c r="H2201" s="8">
        <v>25000</v>
      </c>
      <c r="I2201" s="30">
        <f t="shared" si="2366"/>
        <v>8000</v>
      </c>
      <c r="J2201" s="187">
        <v>40000</v>
      </c>
      <c r="K2201" s="30">
        <f t="shared" si="2367"/>
        <v>8000</v>
      </c>
      <c r="L2201" s="187">
        <v>40000</v>
      </c>
      <c r="M2201" s="110">
        <v>9.5</v>
      </c>
      <c r="N2201" s="9">
        <f>VLOOKUP(DATE(YEAR(A2201),MONTH(A2201),DAY(A2201)),FY24_Temp[],3,FALSE)</f>
        <v>17.399999999999999</v>
      </c>
      <c r="O2201" s="110">
        <f t="shared" si="2354"/>
        <v>11.5</v>
      </c>
      <c r="P2201" s="110">
        <f t="shared" si="2355"/>
        <v>19.5</v>
      </c>
      <c r="Q2201" s="79">
        <f>VLOOKUP(VLOOKUP(DATEVALUE(TEXT(A2201,"m/d/yyyy")),FY24_Temp[],5,FALSE)&amp;TEXT(A2201,"-h"),TempDelta[],4,FALSE)</f>
        <v>0.72371428353445866</v>
      </c>
      <c r="R2201">
        <v>10</v>
      </c>
      <c r="S2201" s="112">
        <v>1500</v>
      </c>
      <c r="T2201" s="5">
        <f>VLOOKUP(TEXT(A2201,"yy-mm")&amp;"-"&amp;IF(AND(WEEKDAY(A2201)&gt;1,WEEKDAY(A2201)&lt;7),"Wkd",TEXT(A2201,"Ddd"))&amp;"-"&amp;TEXT(A2201,"hh"),LoadTable[],3,FALSE)*0.92</f>
        <v>358.02812000000006</v>
      </c>
      <c r="U2201" s="113">
        <f t="shared" si="2356"/>
        <v>35.802812000000003</v>
      </c>
      <c r="V2201">
        <f t="shared" ref="V2201:W2201" si="2381">V2177</f>
        <v>3.5</v>
      </c>
      <c r="W2201">
        <f t="shared" si="2381"/>
        <v>2.9</v>
      </c>
      <c r="X2201" s="9">
        <v>-46.953509966666303</v>
      </c>
      <c r="Y2201" s="39"/>
    </row>
    <row r="2202" spans="1:25" ht="15" thickBot="1">
      <c r="A2202" s="149">
        <f t="shared" si="2338"/>
        <v>45927.624999996646</v>
      </c>
      <c r="B2202" s="30">
        <f t="shared" si="2365"/>
        <v>8000</v>
      </c>
      <c r="C2202" s="8">
        <v>25000</v>
      </c>
      <c r="D2202" s="187">
        <v>0</v>
      </c>
      <c r="E2202" s="187">
        <v>700</v>
      </c>
      <c r="F2202" s="187">
        <v>15000</v>
      </c>
      <c r="G2202" s="151">
        <v>2470</v>
      </c>
      <c r="H2202" s="8">
        <v>25000</v>
      </c>
      <c r="I2202" s="30">
        <f t="shared" si="2366"/>
        <v>8000</v>
      </c>
      <c r="J2202" s="187">
        <v>40000</v>
      </c>
      <c r="K2202" s="30">
        <f t="shared" si="2367"/>
        <v>8000</v>
      </c>
      <c r="L2202" s="187">
        <v>40000</v>
      </c>
      <c r="M2202" s="110">
        <v>9.5</v>
      </c>
      <c r="N2202" s="9">
        <f>VLOOKUP(DATE(YEAR(A2202),MONTH(A2202),DAY(A2202)),FY24_Temp[],3,FALSE)</f>
        <v>17.399999999999999</v>
      </c>
      <c r="O2202" s="110">
        <f t="shared" si="2354"/>
        <v>11.5</v>
      </c>
      <c r="P2202" s="110">
        <f t="shared" si="2355"/>
        <v>19.5</v>
      </c>
      <c r="Q2202" s="79">
        <f>VLOOKUP(VLOOKUP(DATEVALUE(TEXT(A2202,"m/d/yyyy")),FY24_Temp[],5,FALSE)&amp;TEXT(A2202,"-h"),TempDelta[],4,FALSE)</f>
        <v>0.35007142781146933</v>
      </c>
      <c r="R2202">
        <v>10</v>
      </c>
      <c r="S2202" s="112">
        <v>1500</v>
      </c>
      <c r="T2202" s="5">
        <f>VLOOKUP(TEXT(A2202,"yy-mm")&amp;"-"&amp;IF(AND(WEEKDAY(A2202)&gt;1,WEEKDAY(A2202)&lt;7),"Wkd",TEXT(A2202,"Ddd"))&amp;"-"&amp;TEXT(A2202,"hh"),LoadTable[],3,FALSE)*0.92</f>
        <v>570.47816246622074</v>
      </c>
      <c r="U2202" s="113">
        <f t="shared" si="2356"/>
        <v>57.047816246622077</v>
      </c>
      <c r="V2202">
        <f t="shared" ref="V2202:W2202" si="2382">V2178</f>
        <v>3.2</v>
      </c>
      <c r="W2202">
        <f t="shared" si="2382"/>
        <v>2.9</v>
      </c>
      <c r="X2202" s="9">
        <v>-47.031304516666303</v>
      </c>
      <c r="Y2202" s="39"/>
    </row>
    <row r="2203" spans="1:25" ht="15" thickBot="1">
      <c r="A2203" s="149">
        <f t="shared" si="2338"/>
        <v>45927.66666666331</v>
      </c>
      <c r="B2203" s="30">
        <f t="shared" si="2365"/>
        <v>8000</v>
      </c>
      <c r="C2203" s="8">
        <v>25000</v>
      </c>
      <c r="D2203" s="187">
        <v>0</v>
      </c>
      <c r="E2203" s="187">
        <v>700</v>
      </c>
      <c r="F2203" s="187">
        <v>15000</v>
      </c>
      <c r="G2203" s="151">
        <v>2470</v>
      </c>
      <c r="H2203" s="8">
        <v>25000</v>
      </c>
      <c r="I2203" s="30">
        <f t="shared" si="2366"/>
        <v>8000</v>
      </c>
      <c r="J2203" s="187">
        <v>40000</v>
      </c>
      <c r="K2203" s="30">
        <f t="shared" si="2367"/>
        <v>8000</v>
      </c>
      <c r="L2203" s="187">
        <v>40000</v>
      </c>
      <c r="M2203" s="110">
        <v>9.5</v>
      </c>
      <c r="N2203" s="9">
        <f>VLOOKUP(DATE(YEAR(A2203),MONTH(A2203),DAY(A2203)),FY24_Temp[],3,FALSE)</f>
        <v>17.399999999999999</v>
      </c>
      <c r="O2203" s="110">
        <f t="shared" si="2354"/>
        <v>11.5</v>
      </c>
      <c r="P2203" s="110">
        <f t="shared" si="2355"/>
        <v>19.5</v>
      </c>
      <c r="Q2203" s="79">
        <f>VLOOKUP(VLOOKUP(DATEVALUE(TEXT(A2203,"m/d/yyyy")),FY24_Temp[],5,FALSE)&amp;TEXT(A2203,"-h"),TempDelta[],4,FALSE)</f>
        <v>0.48392857345087187</v>
      </c>
      <c r="R2203">
        <v>10</v>
      </c>
      <c r="S2203" s="112">
        <v>1500</v>
      </c>
      <c r="T2203" s="5">
        <f>VLOOKUP(TEXT(A2203,"yy-mm")&amp;"-"&amp;IF(AND(WEEKDAY(A2203)&gt;1,WEEKDAY(A2203)&lt;7),"Wkd",TEXT(A2203,"Ddd"))&amp;"-"&amp;TEXT(A2203,"hh"),LoadTable[],3,FALSE)*0.92</f>
        <v>600.51223261108817</v>
      </c>
      <c r="U2203" s="113">
        <f t="shared" si="2356"/>
        <v>60.051223261108817</v>
      </c>
      <c r="V2203">
        <f t="shared" ref="V2203:W2203" si="2383">V2179</f>
        <v>3.5</v>
      </c>
      <c r="W2203">
        <f t="shared" si="2383"/>
        <v>3</v>
      </c>
      <c r="X2203" s="9">
        <v>-47.109099066666303</v>
      </c>
      <c r="Y2203" s="39"/>
    </row>
    <row r="2204" spans="1:25" ht="15" thickBot="1">
      <c r="A2204" s="149">
        <f t="shared" si="2338"/>
        <v>45927.708333329974</v>
      </c>
      <c r="B2204" s="30">
        <f t="shared" si="2365"/>
        <v>8000</v>
      </c>
      <c r="C2204" s="8">
        <v>25000</v>
      </c>
      <c r="D2204" s="187">
        <v>0</v>
      </c>
      <c r="E2204" s="187">
        <v>700</v>
      </c>
      <c r="F2204" s="187">
        <v>15000</v>
      </c>
      <c r="G2204" s="151">
        <v>2470</v>
      </c>
      <c r="H2204" s="8">
        <v>25000</v>
      </c>
      <c r="I2204" s="30">
        <f t="shared" si="2366"/>
        <v>8000</v>
      </c>
      <c r="J2204" s="187">
        <v>40000</v>
      </c>
      <c r="K2204" s="30">
        <f t="shared" si="2367"/>
        <v>8000</v>
      </c>
      <c r="L2204" s="187">
        <v>40000</v>
      </c>
      <c r="M2204" s="110">
        <v>9.5</v>
      </c>
      <c r="N2204" s="9">
        <f>VLOOKUP(DATE(YEAR(A2204),MONTH(A2204),DAY(A2204)),FY24_Temp[],3,FALSE)</f>
        <v>17.399999999999999</v>
      </c>
      <c r="O2204" s="110">
        <f t="shared" si="2354"/>
        <v>11.5</v>
      </c>
      <c r="P2204" s="110">
        <f t="shared" si="2355"/>
        <v>19.5</v>
      </c>
      <c r="Q2204" s="79">
        <f>VLOOKUP(VLOOKUP(DATEVALUE(TEXT(A2204,"m/d/yyyy")),FY24_Temp[],5,FALSE)&amp;TEXT(A2204,"-h"),TempDelta[],4,FALSE)</f>
        <v>0.71807142613189556</v>
      </c>
      <c r="R2204">
        <v>10</v>
      </c>
      <c r="S2204" s="112">
        <v>1500</v>
      </c>
      <c r="T2204" s="5">
        <f>VLOOKUP(TEXT(A2204,"yy-mm")&amp;"-"&amp;IF(AND(WEEKDAY(A2204)&gt;1,WEEKDAY(A2204)&lt;7),"Wkd",TEXT(A2204,"Ddd"))&amp;"-"&amp;TEXT(A2204,"hh"),LoadTable[],3,FALSE)*0.92</f>
        <v>600.51223261108817</v>
      </c>
      <c r="U2204" s="113">
        <f t="shared" si="2356"/>
        <v>60.051223261108817</v>
      </c>
      <c r="V2204">
        <f t="shared" ref="V2204:W2204" si="2384">V2180</f>
        <v>3.6</v>
      </c>
      <c r="W2204">
        <f t="shared" si="2384"/>
        <v>3</v>
      </c>
      <c r="X2204" s="9">
        <v>-47.186893616666303</v>
      </c>
      <c r="Y2204" s="39"/>
    </row>
    <row r="2205" spans="1:25" ht="15" thickBot="1">
      <c r="A2205" s="149">
        <f t="shared" si="2338"/>
        <v>45927.749999996639</v>
      </c>
      <c r="B2205" s="30">
        <f t="shared" si="2365"/>
        <v>5000</v>
      </c>
      <c r="C2205" s="8">
        <v>25000</v>
      </c>
      <c r="D2205" s="187">
        <v>0</v>
      </c>
      <c r="E2205" s="187">
        <v>700</v>
      </c>
      <c r="F2205" s="187">
        <v>15000</v>
      </c>
      <c r="G2205" s="151">
        <v>2470</v>
      </c>
      <c r="H2205" s="8">
        <v>25000</v>
      </c>
      <c r="I2205" s="30">
        <f t="shared" si="2366"/>
        <v>5000</v>
      </c>
      <c r="J2205" s="187">
        <v>40000</v>
      </c>
      <c r="K2205" s="30">
        <f t="shared" si="2367"/>
        <v>5000</v>
      </c>
      <c r="L2205" s="187">
        <v>40000</v>
      </c>
      <c r="M2205" s="110">
        <v>9.5</v>
      </c>
      <c r="N2205" s="9">
        <f>VLOOKUP(DATE(YEAR(A2205),MONTH(A2205),DAY(A2205)),FY24_Temp[],3,FALSE)</f>
        <v>17.399999999999999</v>
      </c>
      <c r="O2205" s="110">
        <f t="shared" si="2354"/>
        <v>11.5</v>
      </c>
      <c r="P2205" s="110">
        <f t="shared" si="2355"/>
        <v>19.5</v>
      </c>
      <c r="Q2205" s="79">
        <f>VLOOKUP(VLOOKUP(DATEVALUE(TEXT(A2205,"m/d/yyyy")),FY24_Temp[],5,FALSE)&amp;TEXT(A2205,"-h"),TempDelta[],4,FALSE)</f>
        <v>0.97985714673995972</v>
      </c>
      <c r="R2205">
        <v>10</v>
      </c>
      <c r="S2205" s="112">
        <v>1500</v>
      </c>
      <c r="T2205" s="5">
        <f>VLOOKUP(TEXT(A2205,"yy-mm")&amp;"-"&amp;IF(AND(WEEKDAY(A2205)&gt;1,WEEKDAY(A2205)&lt;7),"Wkd",TEXT(A2205,"Ddd"))&amp;"-"&amp;TEXT(A2205,"hh"),LoadTable[],3,FALSE)*0.92</f>
        <v>600.51223261108817</v>
      </c>
      <c r="U2205" s="113">
        <f t="shared" si="2356"/>
        <v>60.051223261108817</v>
      </c>
      <c r="V2205">
        <f t="shared" ref="V2205:W2205" si="2385">V2181</f>
        <v>2.9</v>
      </c>
      <c r="W2205">
        <f t="shared" si="2385"/>
        <v>3</v>
      </c>
      <c r="X2205" s="9">
        <v>-47.264688166666303</v>
      </c>
      <c r="Y2205" s="39"/>
    </row>
    <row r="2206" spans="1:25" ht="15" thickBot="1">
      <c r="A2206" s="149">
        <f t="shared" si="2338"/>
        <v>45927.791666663303</v>
      </c>
      <c r="B2206" s="30">
        <f t="shared" si="2365"/>
        <v>5000</v>
      </c>
      <c r="C2206" s="8">
        <v>25000</v>
      </c>
      <c r="D2206" s="187">
        <v>0</v>
      </c>
      <c r="E2206" s="187">
        <v>700</v>
      </c>
      <c r="F2206" s="187">
        <v>15000</v>
      </c>
      <c r="G2206" s="151">
        <v>2470</v>
      </c>
      <c r="H2206" s="8">
        <v>25000</v>
      </c>
      <c r="I2206" s="30">
        <f t="shared" si="2366"/>
        <v>5000</v>
      </c>
      <c r="J2206" s="187">
        <v>40000</v>
      </c>
      <c r="K2206" s="30">
        <f t="shared" si="2367"/>
        <v>5000</v>
      </c>
      <c r="L2206" s="187">
        <v>40000</v>
      </c>
      <c r="M2206" s="110">
        <v>9.5</v>
      </c>
      <c r="N2206" s="9">
        <f>VLOOKUP(DATE(YEAR(A2206),MONTH(A2206),DAY(A2206)),FY24_Temp[],3,FALSE)</f>
        <v>17.399999999999999</v>
      </c>
      <c r="O2206" s="110">
        <f t="shared" si="2354"/>
        <v>11.5</v>
      </c>
      <c r="P2206" s="110">
        <f t="shared" si="2355"/>
        <v>19.5</v>
      </c>
      <c r="Q2206" s="79">
        <f>VLOOKUP(VLOOKUP(DATEVALUE(TEXT(A2206,"m/d/yyyy")),FY24_Temp[],5,FALSE)&amp;TEXT(A2206,"-h"),TempDelta[],4,FALSE)</f>
        <v>1.0494285609040941</v>
      </c>
      <c r="R2206">
        <v>10</v>
      </c>
      <c r="S2206" s="112">
        <v>1500</v>
      </c>
      <c r="T2206" s="5">
        <f>VLOOKUP(TEXT(A2206,"yy-mm")&amp;"-"&amp;IF(AND(WEEKDAY(A2206)&gt;1,WEEKDAY(A2206)&lt;7),"Wkd",TEXT(A2206,"Ddd"))&amp;"-"&amp;TEXT(A2206,"hh"),LoadTable[],3,FALSE)*0.92</f>
        <v>577.06992853688268</v>
      </c>
      <c r="U2206" s="113">
        <f t="shared" si="2356"/>
        <v>57.70699285368827</v>
      </c>
      <c r="V2206">
        <f t="shared" ref="V2206:W2206" si="2386">V2182</f>
        <v>3</v>
      </c>
      <c r="W2206">
        <f t="shared" si="2386"/>
        <v>3</v>
      </c>
      <c r="X2206" s="9">
        <v>-47.342482716666296</v>
      </c>
      <c r="Y2206" s="39"/>
    </row>
    <row r="2207" spans="1:25" ht="15" thickBot="1">
      <c r="A2207" s="149">
        <f t="shared" si="2338"/>
        <v>45927.833333329967</v>
      </c>
      <c r="B2207" s="30">
        <f t="shared" si="2365"/>
        <v>5000</v>
      </c>
      <c r="C2207" s="8">
        <v>25000</v>
      </c>
      <c r="D2207" s="187">
        <v>0</v>
      </c>
      <c r="E2207" s="187">
        <v>700</v>
      </c>
      <c r="F2207" s="187">
        <v>15000</v>
      </c>
      <c r="G2207" s="151">
        <v>2470</v>
      </c>
      <c r="H2207" s="8">
        <v>25000</v>
      </c>
      <c r="I2207" s="30">
        <f t="shared" si="2366"/>
        <v>5000</v>
      </c>
      <c r="J2207" s="187">
        <v>40000</v>
      </c>
      <c r="K2207" s="30">
        <f t="shared" si="2367"/>
        <v>5000</v>
      </c>
      <c r="L2207" s="187">
        <v>40000</v>
      </c>
      <c r="M2207" s="110">
        <v>9.5</v>
      </c>
      <c r="N2207" s="9">
        <f>VLOOKUP(DATE(YEAR(A2207),MONTH(A2207),DAY(A2207)),FY24_Temp[],3,FALSE)</f>
        <v>17.399999999999999</v>
      </c>
      <c r="O2207" s="110">
        <f t="shared" si="2354"/>
        <v>11.5</v>
      </c>
      <c r="P2207" s="110">
        <f t="shared" si="2355"/>
        <v>19.5</v>
      </c>
      <c r="Q2207" s="79">
        <f>VLOOKUP(VLOOKUP(DATEVALUE(TEXT(A2207,"m/d/yyyy")),FY24_Temp[],5,FALSE)&amp;TEXT(A2207,"-h"),TempDelta[],4,FALSE)</f>
        <v>1.1053571232727595</v>
      </c>
      <c r="R2207">
        <v>10</v>
      </c>
      <c r="S2207" s="112">
        <v>1500</v>
      </c>
      <c r="T2207" s="5">
        <f>VLOOKUP(TEXT(A2207,"yy-mm")&amp;"-"&amp;IF(AND(WEEKDAY(A2207)&gt;1,WEEKDAY(A2207)&lt;7),"Wkd",TEXT(A2207,"Ddd"))&amp;"-"&amp;TEXT(A2207,"hh"),LoadTable[],3,FALSE)*0.92</f>
        <v>545.96065022111975</v>
      </c>
      <c r="U2207" s="113">
        <f t="shared" si="2356"/>
        <v>54.596065022111972</v>
      </c>
      <c r="V2207">
        <f t="shared" ref="V2207:W2207" si="2387">V2183</f>
        <v>2.8</v>
      </c>
      <c r="W2207">
        <f t="shared" si="2387"/>
        <v>3.1</v>
      </c>
      <c r="X2207" s="9">
        <v>-47.420277266666297</v>
      </c>
      <c r="Y2207" s="39"/>
    </row>
    <row r="2208" spans="1:25" ht="15" thickBot="1">
      <c r="A2208" s="149">
        <f t="shared" si="2338"/>
        <v>45927.874999996631</v>
      </c>
      <c r="B2208" s="30">
        <f t="shared" si="2365"/>
        <v>5000</v>
      </c>
      <c r="C2208" s="8">
        <v>25000</v>
      </c>
      <c r="D2208" s="187">
        <v>0</v>
      </c>
      <c r="E2208" s="187">
        <v>700</v>
      </c>
      <c r="F2208" s="187">
        <v>15000</v>
      </c>
      <c r="G2208" s="151">
        <v>2470</v>
      </c>
      <c r="H2208" s="8">
        <v>25000</v>
      </c>
      <c r="I2208" s="30">
        <f t="shared" si="2366"/>
        <v>5000</v>
      </c>
      <c r="J2208" s="187">
        <v>40000</v>
      </c>
      <c r="K2208" s="30">
        <f t="shared" si="2367"/>
        <v>5000</v>
      </c>
      <c r="L2208" s="187">
        <v>40000</v>
      </c>
      <c r="M2208" s="110">
        <v>9.5</v>
      </c>
      <c r="N2208" s="9">
        <f>VLOOKUP(DATE(YEAR(A2208),MONTH(A2208),DAY(A2208)),FY24_Temp[],3,FALSE)</f>
        <v>17.399999999999999</v>
      </c>
      <c r="O2208" s="110">
        <f t="shared" si="2354"/>
        <v>11.5</v>
      </c>
      <c r="P2208" s="110">
        <f t="shared" si="2355"/>
        <v>19.5</v>
      </c>
      <c r="Q2208" s="79">
        <f>VLOOKUP(VLOOKUP(DATEVALUE(TEXT(A2208,"m/d/yyyy")),FY24_Temp[],5,FALSE)&amp;TEXT(A2208,"-h"),TempDelta[],4,FALSE)</f>
        <v>1.1162857200418199</v>
      </c>
      <c r="R2208">
        <v>10</v>
      </c>
      <c r="S2208" s="112">
        <v>1500</v>
      </c>
      <c r="T2208" s="5">
        <f>VLOOKUP(TEXT(A2208,"yy-mm")&amp;"-"&amp;IF(AND(WEEKDAY(A2208)&gt;1,WEEKDAY(A2208)&lt;7),"Wkd",TEXT(A2208,"Ddd"))&amp;"-"&amp;TEXT(A2208,"hh"),LoadTable[],3,FALSE)*0.92</f>
        <v>458.2982585895578</v>
      </c>
      <c r="U2208" s="113">
        <f t="shared" si="2356"/>
        <v>45.829825858955779</v>
      </c>
      <c r="V2208">
        <f t="shared" ref="V2208:W2208" si="2388">V2184</f>
        <v>3.5</v>
      </c>
      <c r="W2208">
        <f t="shared" si="2388"/>
        <v>3.1</v>
      </c>
      <c r="X2208" s="9">
        <v>-47.498071816666297</v>
      </c>
      <c r="Y2208" s="39"/>
    </row>
    <row r="2209" spans="1:25" ht="15" thickBot="1">
      <c r="A2209" s="149">
        <f t="shared" si="2338"/>
        <v>45927.916666663295</v>
      </c>
      <c r="B2209" s="30">
        <f t="shared" si="2365"/>
        <v>5000</v>
      </c>
      <c r="C2209" s="8">
        <v>25000</v>
      </c>
      <c r="D2209" s="187">
        <v>0</v>
      </c>
      <c r="E2209" s="187">
        <v>700</v>
      </c>
      <c r="F2209" s="187">
        <v>15000</v>
      </c>
      <c r="G2209" s="151">
        <v>2470</v>
      </c>
      <c r="H2209" s="8">
        <v>25000</v>
      </c>
      <c r="I2209" s="30">
        <f t="shared" si="2366"/>
        <v>5000</v>
      </c>
      <c r="J2209" s="187">
        <v>40000</v>
      </c>
      <c r="K2209" s="30">
        <f t="shared" si="2367"/>
        <v>5000</v>
      </c>
      <c r="L2209" s="187">
        <v>40000</v>
      </c>
      <c r="M2209" s="110">
        <v>9.5</v>
      </c>
      <c r="N2209" s="9">
        <f>VLOOKUP(DATE(YEAR(A2209),MONTH(A2209),DAY(A2209)),FY24_Temp[],3,FALSE)</f>
        <v>17.399999999999999</v>
      </c>
      <c r="O2209" s="110">
        <f t="shared" si="2354"/>
        <v>11.5</v>
      </c>
      <c r="P2209" s="110">
        <f t="shared" si="2355"/>
        <v>19.5</v>
      </c>
      <c r="Q2209" s="79">
        <f>VLOOKUP(VLOOKUP(DATEVALUE(TEXT(A2209,"m/d/yyyy")),FY24_Temp[],5,FALSE)&amp;TEXT(A2209,"-h"),TempDelta[],4,FALSE)</f>
        <v>1.639714275087629</v>
      </c>
      <c r="R2209">
        <v>10</v>
      </c>
      <c r="S2209" s="112">
        <v>1500</v>
      </c>
      <c r="T2209" s="5">
        <f>VLOOKUP(TEXT(A2209,"yy-mm")&amp;"-"&amp;IF(AND(WEEKDAY(A2209)&gt;1,WEEKDAY(A2209)&lt;7),"Wkd",TEXT(A2209,"Ddd"))&amp;"-"&amp;TEXT(A2209,"hh"),LoadTable[],3,FALSE)*0.92</f>
        <v>318.99288300079945</v>
      </c>
      <c r="U2209" s="113">
        <f t="shared" si="2356"/>
        <v>31.899288300079945</v>
      </c>
      <c r="V2209">
        <f t="shared" ref="V2209:W2209" si="2389">V2185</f>
        <v>2.9</v>
      </c>
      <c r="W2209">
        <f t="shared" si="2389"/>
        <v>3.1</v>
      </c>
      <c r="X2209" s="9">
        <v>-47.575866366666297</v>
      </c>
      <c r="Y2209" s="39"/>
    </row>
    <row r="2210" spans="1:25" ht="15" thickBot="1">
      <c r="A2210" s="149">
        <f t="shared" si="2338"/>
        <v>45927.95833332996</v>
      </c>
      <c r="B2210" s="30">
        <f t="shared" si="2365"/>
        <v>5000</v>
      </c>
      <c r="C2210" s="8">
        <v>25000</v>
      </c>
      <c r="D2210" s="187">
        <v>0</v>
      </c>
      <c r="E2210" s="187">
        <v>700</v>
      </c>
      <c r="F2210" s="187">
        <v>15000</v>
      </c>
      <c r="G2210" s="151">
        <v>2470</v>
      </c>
      <c r="H2210" s="8">
        <f>H2186</f>
        <v>25000</v>
      </c>
      <c r="I2210" s="30">
        <f t="shared" si="2366"/>
        <v>5000</v>
      </c>
      <c r="J2210" s="187">
        <v>40000</v>
      </c>
      <c r="K2210" s="30">
        <f t="shared" si="2367"/>
        <v>5000</v>
      </c>
      <c r="L2210" s="187">
        <v>40000</v>
      </c>
      <c r="M2210" s="110">
        <v>9.5</v>
      </c>
      <c r="N2210" s="9">
        <f>VLOOKUP(DATE(YEAR(A2210),MONTH(A2210),DAY(A2210)),FY24_Temp[],3,FALSE)</f>
        <v>17.399999999999999</v>
      </c>
      <c r="O2210" s="110">
        <f t="shared" si="2354"/>
        <v>11.5</v>
      </c>
      <c r="P2210" s="110">
        <f t="shared" si="2355"/>
        <v>19.5</v>
      </c>
      <c r="Q2210" s="79">
        <f>VLOOKUP(VLOOKUP(DATEVALUE(TEXT(A2210,"m/d/yyyy")),FY24_Temp[],5,FALSE)&amp;TEXT(A2210,"-h"),TempDelta[],4,FALSE)</f>
        <v>1.7538571187428065</v>
      </c>
      <c r="R2210">
        <v>10</v>
      </c>
      <c r="S2210" s="112">
        <v>1500</v>
      </c>
      <c r="T2210" s="5">
        <f>VLOOKUP(TEXT(A2210,"yy-mm")&amp;"-"&amp;IF(AND(WEEKDAY(A2210)&gt;1,WEEKDAY(A2210)&lt;7),"Wkd",TEXT(A2210,"Ddd"))&amp;"-"&amp;TEXT(A2210,"hh"),LoadTable[],3,FALSE)*0.92</f>
        <v>295.00084596071707</v>
      </c>
      <c r="U2210" s="113">
        <f t="shared" si="2356"/>
        <v>29.500084596071709</v>
      </c>
      <c r="V2210">
        <f t="shared" ref="V2210:W2210" si="2390">V2186</f>
        <v>3.6</v>
      </c>
      <c r="W2210">
        <f t="shared" si="2390"/>
        <v>3.1</v>
      </c>
      <c r="X2210" s="9">
        <v>-47.653660916666297</v>
      </c>
      <c r="Y2210" s="39"/>
    </row>
    <row r="2211" spans="1:25" ht="15" thickBot="1">
      <c r="A2211" s="149">
        <f t="shared" si="2338"/>
        <v>45927.999999996624</v>
      </c>
      <c r="B2211" s="30">
        <f t="shared" si="2365"/>
        <v>5000</v>
      </c>
      <c r="C2211" s="8">
        <v>25000</v>
      </c>
      <c r="D2211" s="187">
        <v>0</v>
      </c>
      <c r="E2211" s="187">
        <v>700</v>
      </c>
      <c r="F2211" s="187">
        <v>15000</v>
      </c>
      <c r="G2211" s="151">
        <v>2470</v>
      </c>
      <c r="H2211" s="8">
        <f t="shared" ref="H2211:H2251" si="2391">H2187</f>
        <v>25000</v>
      </c>
      <c r="I2211" s="30">
        <f t="shared" si="2366"/>
        <v>5000</v>
      </c>
      <c r="J2211" s="187">
        <v>40000</v>
      </c>
      <c r="K2211" s="30">
        <f t="shared" si="2367"/>
        <v>5000</v>
      </c>
      <c r="L2211" s="187">
        <v>40000</v>
      </c>
      <c r="M2211" s="110">
        <v>9.5</v>
      </c>
      <c r="N2211" s="9">
        <f>VLOOKUP(DATE(YEAR(A2211),MONTH(A2211),DAY(A2211)),FY24_Temp[],3,FALSE)</f>
        <v>17.399999999999999</v>
      </c>
      <c r="O2211" s="110">
        <f t="shared" si="2354"/>
        <v>11.5</v>
      </c>
      <c r="P2211" s="110">
        <f t="shared" si="2355"/>
        <v>19.5</v>
      </c>
      <c r="Q2211" s="79">
        <f>VLOOKUP(VLOOKUP(DATEVALUE(TEXT(A2211,"m/d/yyyy")),FY24_Temp[],5,FALSE)&amp;TEXT(A2211,"-h"),TempDelta[],4,FALSE)</f>
        <v>1.804142855</v>
      </c>
      <c r="R2211">
        <v>10</v>
      </c>
      <c r="S2211" s="112">
        <v>1500</v>
      </c>
      <c r="T2211" s="5">
        <f>VLOOKUP(TEXT(A2211,"yy-mm")&amp;"-"&amp;IF(AND(WEEKDAY(A2211)&gt;1,WEEKDAY(A2211)&lt;7),"Wkd",TEXT(A2211,"Ddd"))&amp;"-"&amp;TEXT(A2211,"hh"),LoadTable[],3,FALSE)*0.92</f>
        <v>289.32996596071712</v>
      </c>
      <c r="U2211" s="113">
        <f t="shared" si="2356"/>
        <v>28.93299659607171</v>
      </c>
      <c r="V2211">
        <f t="shared" ref="V2211:W2211" si="2392">V2187</f>
        <v>3</v>
      </c>
      <c r="W2211">
        <f t="shared" si="2392"/>
        <v>3.2</v>
      </c>
      <c r="X2211" s="9">
        <v>-47.731455466666297</v>
      </c>
      <c r="Y2211" s="39"/>
    </row>
    <row r="2212" spans="1:25" ht="15" thickBot="1">
      <c r="A2212" s="149">
        <f t="shared" si="2338"/>
        <v>45928.041666663288</v>
      </c>
      <c r="B2212" s="30">
        <f t="shared" si="2365"/>
        <v>5000</v>
      </c>
      <c r="C2212" s="8">
        <v>25000</v>
      </c>
      <c r="D2212" s="187">
        <v>0</v>
      </c>
      <c r="E2212" s="187">
        <v>700</v>
      </c>
      <c r="F2212" s="187">
        <v>15000</v>
      </c>
      <c r="G2212" s="151">
        <v>2470</v>
      </c>
      <c r="H2212" s="8">
        <f t="shared" si="2391"/>
        <v>25000</v>
      </c>
      <c r="I2212" s="30">
        <f t="shared" si="2366"/>
        <v>5000</v>
      </c>
      <c r="J2212" s="187">
        <v>40000</v>
      </c>
      <c r="K2212" s="30">
        <f t="shared" si="2367"/>
        <v>5000</v>
      </c>
      <c r="L2212" s="187">
        <v>40000</v>
      </c>
      <c r="M2212" s="110">
        <v>9.5</v>
      </c>
      <c r="N2212" s="9">
        <f>VLOOKUP(DATE(YEAR(A2212),MONTH(A2212),DAY(A2212)),FY24_Temp[],3,FALSE)</f>
        <v>17.399999999999999</v>
      </c>
      <c r="O2212" s="110">
        <f t="shared" si="2354"/>
        <v>11.5</v>
      </c>
      <c r="P2212" s="110">
        <f t="shared" si="2355"/>
        <v>19.5</v>
      </c>
      <c r="Q2212" s="79">
        <f>VLOOKUP(VLOOKUP(DATEVALUE(TEXT(A2212,"m/d/yyyy")),FY24_Temp[],5,FALSE)&amp;TEXT(A2212,"-h"),TempDelta[],4,FALSE)</f>
        <v>1.804142855</v>
      </c>
      <c r="R2212">
        <v>10</v>
      </c>
      <c r="S2212" s="112">
        <v>1500</v>
      </c>
      <c r="T2212" s="5">
        <f>VLOOKUP(TEXT(A2212,"yy-mm")&amp;"-"&amp;IF(AND(WEEKDAY(A2212)&gt;1,WEEKDAY(A2212)&lt;7),"Wkd",TEXT(A2212,"Ddd"))&amp;"-"&amp;TEXT(A2212,"hh"),LoadTable[],3,FALSE)*0.92</f>
        <v>289.32996596071712</v>
      </c>
      <c r="U2212" s="113">
        <f t="shared" si="2356"/>
        <v>28.93299659607171</v>
      </c>
      <c r="V2212">
        <f t="shared" ref="V2212:W2212" si="2393">V2188</f>
        <v>2.6</v>
      </c>
      <c r="W2212">
        <f t="shared" si="2393"/>
        <v>3.2</v>
      </c>
      <c r="X2212" s="9">
        <v>-47.809250016666297</v>
      </c>
      <c r="Y2212" s="39"/>
    </row>
    <row r="2213" spans="1:25" ht="15" thickBot="1">
      <c r="A2213" s="149">
        <f t="shared" si="2338"/>
        <v>45928.083333329952</v>
      </c>
      <c r="B2213" s="30">
        <f t="shared" si="2365"/>
        <v>5000</v>
      </c>
      <c r="C2213" s="8">
        <v>25000</v>
      </c>
      <c r="D2213" s="187">
        <v>0</v>
      </c>
      <c r="E2213" s="187">
        <v>700</v>
      </c>
      <c r="F2213" s="187">
        <v>15000</v>
      </c>
      <c r="G2213" s="151">
        <v>2470</v>
      </c>
      <c r="H2213" s="8">
        <f t="shared" si="2391"/>
        <v>25000</v>
      </c>
      <c r="I2213" s="30">
        <f t="shared" si="2366"/>
        <v>5000</v>
      </c>
      <c r="J2213" s="187">
        <v>40000</v>
      </c>
      <c r="K2213" s="30">
        <f t="shared" si="2367"/>
        <v>5000</v>
      </c>
      <c r="L2213" s="187">
        <v>40000</v>
      </c>
      <c r="M2213" s="110">
        <v>9.5</v>
      </c>
      <c r="N2213" s="9">
        <f>VLOOKUP(DATE(YEAR(A2213),MONTH(A2213),DAY(A2213)),FY24_Temp[],3,FALSE)</f>
        <v>17.399999999999999</v>
      </c>
      <c r="O2213" s="110">
        <f t="shared" si="2354"/>
        <v>11.5</v>
      </c>
      <c r="P2213" s="110">
        <f t="shared" si="2355"/>
        <v>19.5</v>
      </c>
      <c r="Q2213" s="79">
        <f>VLOOKUP(VLOOKUP(DATEVALUE(TEXT(A2213,"m/d/yyyy")),FY24_Temp[],5,FALSE)&amp;TEXT(A2213,"-h"),TempDelta[],4,FALSE)</f>
        <v>1.804142855</v>
      </c>
      <c r="R2213">
        <v>10</v>
      </c>
      <c r="S2213" s="112">
        <v>1500</v>
      </c>
      <c r="T2213" s="5">
        <f>VLOOKUP(TEXT(A2213,"yy-mm")&amp;"-"&amp;IF(AND(WEEKDAY(A2213)&gt;1,WEEKDAY(A2213)&lt;7),"Wkd",TEXT(A2213,"Ddd"))&amp;"-"&amp;TEXT(A2213,"hh"),LoadTable[],3,FALSE)*0.92</f>
        <v>316.63916103217559</v>
      </c>
      <c r="U2213" s="113">
        <f t="shared" si="2356"/>
        <v>31.663916103217559</v>
      </c>
      <c r="V2213">
        <f t="shared" ref="V2213:W2213" si="2394">V2189</f>
        <v>2.8</v>
      </c>
      <c r="W2213">
        <f t="shared" si="2394"/>
        <v>3.2</v>
      </c>
      <c r="X2213" s="9">
        <v>-47.887044566666297</v>
      </c>
      <c r="Y2213" s="39"/>
    </row>
    <row r="2214" spans="1:25" ht="15" thickBot="1">
      <c r="A2214" s="149">
        <f t="shared" si="2338"/>
        <v>45928.124999996617</v>
      </c>
      <c r="B2214" s="30">
        <f t="shared" si="2365"/>
        <v>5000</v>
      </c>
      <c r="C2214" s="8">
        <v>25000</v>
      </c>
      <c r="D2214" s="187">
        <v>0</v>
      </c>
      <c r="E2214" s="187">
        <v>700</v>
      </c>
      <c r="F2214" s="187">
        <v>15000</v>
      </c>
      <c r="G2214" s="151">
        <v>2470</v>
      </c>
      <c r="H2214" s="8">
        <f t="shared" si="2391"/>
        <v>25000</v>
      </c>
      <c r="I2214" s="30">
        <f t="shared" si="2366"/>
        <v>5000</v>
      </c>
      <c r="J2214" s="187">
        <v>40000</v>
      </c>
      <c r="K2214" s="30">
        <f t="shared" si="2367"/>
        <v>5000</v>
      </c>
      <c r="L2214" s="187">
        <v>40000</v>
      </c>
      <c r="M2214" s="110">
        <v>9.5</v>
      </c>
      <c r="N2214" s="9">
        <f>VLOOKUP(DATE(YEAR(A2214),MONTH(A2214),DAY(A2214)),FY24_Temp[],3,FALSE)</f>
        <v>17.399999999999999</v>
      </c>
      <c r="O2214" s="110">
        <f t="shared" si="2354"/>
        <v>11.5</v>
      </c>
      <c r="P2214" s="110">
        <f t="shared" si="2355"/>
        <v>19.5</v>
      </c>
      <c r="Q2214" s="79">
        <f>VLOOKUP(VLOOKUP(DATEVALUE(TEXT(A2214,"m/d/yyyy")),FY24_Temp[],5,FALSE)&amp;TEXT(A2214,"-h"),TempDelta[],4,FALSE)</f>
        <v>1.804142855</v>
      </c>
      <c r="R2214">
        <v>10</v>
      </c>
      <c r="S2214" s="112">
        <v>1500</v>
      </c>
      <c r="T2214" s="5">
        <f>VLOOKUP(TEXT(A2214,"yy-mm")&amp;"-"&amp;IF(AND(WEEKDAY(A2214)&gt;1,WEEKDAY(A2214)&lt;7),"Wkd",TEXT(A2214,"Ddd"))&amp;"-"&amp;TEXT(A2214,"hh"),LoadTable[],3,FALSE)*0.92</f>
        <v>316.63562384793033</v>
      </c>
      <c r="U2214" s="113">
        <f t="shared" si="2356"/>
        <v>31.663562384793032</v>
      </c>
      <c r="V2214">
        <f t="shared" ref="V2214:W2214" si="2395">V2190</f>
        <v>2.7</v>
      </c>
      <c r="W2214">
        <f t="shared" si="2395"/>
        <v>3.2</v>
      </c>
      <c r="X2214" s="9">
        <v>-47.964839116666298</v>
      </c>
      <c r="Y2214" s="39"/>
    </row>
    <row r="2215" spans="1:25" ht="15" thickBot="1">
      <c r="A2215" s="149">
        <f t="shared" si="2338"/>
        <v>45928.166666663281</v>
      </c>
      <c r="B2215" s="30">
        <f t="shared" si="2365"/>
        <v>5000</v>
      </c>
      <c r="C2215" s="8">
        <v>25000</v>
      </c>
      <c r="D2215" s="187">
        <v>0</v>
      </c>
      <c r="E2215" s="187">
        <v>700</v>
      </c>
      <c r="F2215" s="187">
        <v>15000</v>
      </c>
      <c r="G2215" s="151">
        <v>2470</v>
      </c>
      <c r="H2215" s="8">
        <f t="shared" si="2391"/>
        <v>25000</v>
      </c>
      <c r="I2215" s="30">
        <f t="shared" si="2366"/>
        <v>5000</v>
      </c>
      <c r="J2215" s="187">
        <v>40000</v>
      </c>
      <c r="K2215" s="30">
        <f t="shared" si="2367"/>
        <v>5000</v>
      </c>
      <c r="L2215" s="187">
        <v>40000</v>
      </c>
      <c r="M2215" s="110">
        <v>9.5</v>
      </c>
      <c r="N2215" s="9">
        <f>VLOOKUP(DATE(YEAR(A2215),MONTH(A2215),DAY(A2215)),FY24_Temp[],3,FALSE)</f>
        <v>17.399999999999999</v>
      </c>
      <c r="O2215" s="110">
        <f t="shared" si="2354"/>
        <v>11.5</v>
      </c>
      <c r="P2215" s="110">
        <f t="shared" si="2355"/>
        <v>19.5</v>
      </c>
      <c r="Q2215" s="79">
        <f>VLOOKUP(VLOOKUP(DATEVALUE(TEXT(A2215,"m/d/yyyy")),FY24_Temp[],5,FALSE)&amp;TEXT(A2215,"-h"),TempDelta[],4,FALSE)</f>
        <v>1.804142855</v>
      </c>
      <c r="R2215">
        <v>10</v>
      </c>
      <c r="S2215" s="112">
        <v>1500</v>
      </c>
      <c r="T2215" s="5">
        <f>VLOOKUP(TEXT(A2215,"yy-mm")&amp;"-"&amp;IF(AND(WEEKDAY(A2215)&gt;1,WEEKDAY(A2215)&lt;7),"Wkd",TEXT(A2215,"Ddd"))&amp;"-"&amp;TEXT(A2215,"hh"),LoadTable[],3,FALSE)*0.92</f>
        <v>316.63562384793033</v>
      </c>
      <c r="U2215" s="113">
        <f t="shared" si="2356"/>
        <v>31.663562384793032</v>
      </c>
      <c r="V2215">
        <f t="shared" ref="V2215:W2215" si="2396">V2191</f>
        <v>3</v>
      </c>
      <c r="W2215">
        <f t="shared" si="2396"/>
        <v>3.1</v>
      </c>
      <c r="X2215" s="9">
        <v>-48.042633666666298</v>
      </c>
      <c r="Y2215" s="39"/>
    </row>
    <row r="2216" spans="1:25" ht="15" thickBot="1">
      <c r="A2216" s="149">
        <f t="shared" si="2338"/>
        <v>45928.208333329945</v>
      </c>
      <c r="B2216" s="30">
        <f t="shared" si="2365"/>
        <v>5000</v>
      </c>
      <c r="C2216" s="8">
        <v>25000</v>
      </c>
      <c r="D2216" s="187">
        <v>0</v>
      </c>
      <c r="E2216" s="187">
        <v>700</v>
      </c>
      <c r="F2216" s="187">
        <v>15000</v>
      </c>
      <c r="G2216" s="151">
        <v>2470</v>
      </c>
      <c r="H2216" s="8">
        <f t="shared" si="2391"/>
        <v>25000</v>
      </c>
      <c r="I2216" s="30">
        <f t="shared" si="2366"/>
        <v>5000</v>
      </c>
      <c r="J2216" s="187">
        <v>40000</v>
      </c>
      <c r="K2216" s="30">
        <f t="shared" si="2367"/>
        <v>5000</v>
      </c>
      <c r="L2216" s="187">
        <v>40000</v>
      </c>
      <c r="M2216" s="110">
        <v>9.5</v>
      </c>
      <c r="N2216" s="9">
        <f>VLOOKUP(DATE(YEAR(A2216),MONTH(A2216),DAY(A2216)),FY24_Temp[],3,FALSE)</f>
        <v>17.399999999999999</v>
      </c>
      <c r="O2216" s="110">
        <f t="shared" si="2354"/>
        <v>11.5</v>
      </c>
      <c r="P2216" s="110">
        <f t="shared" si="2355"/>
        <v>19.5</v>
      </c>
      <c r="Q2216" s="79">
        <f>VLOOKUP(VLOOKUP(DATEVALUE(TEXT(A2216,"m/d/yyyy")),FY24_Temp[],5,FALSE)&amp;TEXT(A2216,"-h"),TempDelta[],4,FALSE)</f>
        <v>1.804142855</v>
      </c>
      <c r="R2216">
        <v>10</v>
      </c>
      <c r="S2216" s="112">
        <v>1500</v>
      </c>
      <c r="T2216" s="5">
        <f>VLOOKUP(TEXT(A2216,"yy-mm")&amp;"-"&amp;IF(AND(WEEKDAY(A2216)&gt;1,WEEKDAY(A2216)&lt;7),"Wkd",TEXT(A2216,"Ddd"))&amp;"-"&amp;TEXT(A2216,"hh"),LoadTable[],3,FALSE)*0.92</f>
        <v>309.7379444418799</v>
      </c>
      <c r="U2216" s="113">
        <f t="shared" si="2356"/>
        <v>30.973794444187991</v>
      </c>
      <c r="V2216">
        <f t="shared" ref="V2216:W2216" si="2397">V2192</f>
        <v>2.9</v>
      </c>
      <c r="W2216">
        <f t="shared" si="2397"/>
        <v>3.1</v>
      </c>
      <c r="X2216" s="9">
        <v>-48.120428216666298</v>
      </c>
      <c r="Y2216" s="39"/>
    </row>
    <row r="2217" spans="1:25" ht="15" thickBot="1">
      <c r="A2217" s="149">
        <f t="shared" si="2338"/>
        <v>45928.249999996609</v>
      </c>
      <c r="B2217" s="30">
        <f t="shared" si="2365"/>
        <v>8000</v>
      </c>
      <c r="C2217" s="8">
        <v>25000</v>
      </c>
      <c r="D2217" s="187">
        <v>0</v>
      </c>
      <c r="E2217" s="187">
        <v>700</v>
      </c>
      <c r="F2217" s="187">
        <v>15000</v>
      </c>
      <c r="G2217" s="151">
        <v>2470</v>
      </c>
      <c r="H2217" s="8">
        <f t="shared" si="2391"/>
        <v>25000</v>
      </c>
      <c r="I2217" s="30">
        <f t="shared" si="2366"/>
        <v>8000</v>
      </c>
      <c r="J2217" s="187">
        <v>40000</v>
      </c>
      <c r="K2217" s="30">
        <f t="shared" si="2367"/>
        <v>8000</v>
      </c>
      <c r="L2217" s="187">
        <v>40000</v>
      </c>
      <c r="M2217" s="110">
        <v>9.5</v>
      </c>
      <c r="N2217" s="9">
        <f>VLOOKUP(DATE(YEAR(A2217),MONTH(A2217),DAY(A2217)),FY24_Temp[],3,FALSE)</f>
        <v>17.399999999999999</v>
      </c>
      <c r="O2217" s="110">
        <f t="shared" si="2354"/>
        <v>11.5</v>
      </c>
      <c r="P2217" s="110">
        <f t="shared" si="2355"/>
        <v>19.5</v>
      </c>
      <c r="Q2217" s="79">
        <f>VLOOKUP(VLOOKUP(DATEVALUE(TEXT(A2217,"m/d/yyyy")),FY24_Temp[],5,FALSE)&amp;TEXT(A2217,"-h"),TempDelta[],4,FALSE)</f>
        <v>1.6668571404048376</v>
      </c>
      <c r="R2217">
        <v>10</v>
      </c>
      <c r="S2217" s="112">
        <v>1500</v>
      </c>
      <c r="T2217" s="5">
        <f>VLOOKUP(TEXT(A2217,"yy-mm")&amp;"-"&amp;IF(AND(WEEKDAY(A2217)&gt;1,WEEKDAY(A2217)&lt;7),"Wkd",TEXT(A2217,"Ddd"))&amp;"-"&amp;TEXT(A2217,"hh"),LoadTable[],3,FALSE)*0.92</f>
        <v>309.7379444418799</v>
      </c>
      <c r="U2217" s="113">
        <f t="shared" si="2356"/>
        <v>30.973794444187991</v>
      </c>
      <c r="V2217">
        <f t="shared" ref="V2217:W2217" si="2398">V2193</f>
        <v>2.5</v>
      </c>
      <c r="W2217">
        <f t="shared" si="2398"/>
        <v>3.1</v>
      </c>
      <c r="X2217" s="9">
        <v>-48.198222766666298</v>
      </c>
      <c r="Y2217" s="39"/>
    </row>
    <row r="2218" spans="1:25" ht="15" thickBot="1">
      <c r="A2218" s="149">
        <f t="shared" si="2338"/>
        <v>45928.291666663274</v>
      </c>
      <c r="B2218" s="30">
        <f t="shared" si="2365"/>
        <v>8000</v>
      </c>
      <c r="C2218" s="8">
        <v>25000</v>
      </c>
      <c r="D2218" s="187">
        <v>0</v>
      </c>
      <c r="E2218" s="187">
        <v>700</v>
      </c>
      <c r="F2218" s="187">
        <v>15000</v>
      </c>
      <c r="G2218" s="151">
        <v>2470</v>
      </c>
      <c r="H2218" s="8">
        <f t="shared" si="2391"/>
        <v>25000</v>
      </c>
      <c r="I2218" s="30">
        <f t="shared" si="2366"/>
        <v>8000</v>
      </c>
      <c r="J2218" s="187">
        <v>40000</v>
      </c>
      <c r="K2218" s="30">
        <f t="shared" si="2367"/>
        <v>8000</v>
      </c>
      <c r="L2218" s="187">
        <v>40000</v>
      </c>
      <c r="M2218" s="110">
        <v>9.5</v>
      </c>
      <c r="N2218" s="9">
        <f>VLOOKUP(DATE(YEAR(A2218),MONTH(A2218),DAY(A2218)),FY24_Temp[],3,FALSE)</f>
        <v>17.399999999999999</v>
      </c>
      <c r="O2218" s="110">
        <f t="shared" si="2354"/>
        <v>11.5</v>
      </c>
      <c r="P2218" s="110">
        <f t="shared" si="2355"/>
        <v>19.5</v>
      </c>
      <c r="Q2218" s="79">
        <f>VLOOKUP(VLOOKUP(DATEVALUE(TEXT(A2218,"m/d/yyyy")),FY24_Temp[],5,FALSE)&amp;TEXT(A2218,"-h"),TempDelta[],4,FALSE)</f>
        <v>1.5237142699105399</v>
      </c>
      <c r="R2218">
        <v>10</v>
      </c>
      <c r="S2218" s="112">
        <v>1500</v>
      </c>
      <c r="T2218" s="5">
        <f>VLOOKUP(TEXT(A2218,"yy-mm")&amp;"-"&amp;IF(AND(WEEKDAY(A2218)&gt;1,WEEKDAY(A2218)&lt;7),"Wkd",TEXT(A2218,"Ddd"))&amp;"-"&amp;TEXT(A2218,"hh"),LoadTable[],3,FALSE)*0.92</f>
        <v>297.89621158432834</v>
      </c>
      <c r="U2218" s="113">
        <f t="shared" si="2356"/>
        <v>29.789621158432833</v>
      </c>
      <c r="V2218">
        <f t="shared" ref="V2218:W2218" si="2399">V2194</f>
        <v>2.5</v>
      </c>
      <c r="W2218">
        <f t="shared" si="2399"/>
        <v>3.1</v>
      </c>
      <c r="X2218" s="9">
        <v>-48.276017316666298</v>
      </c>
      <c r="Y2218" s="39"/>
    </row>
    <row r="2219" spans="1:25" ht="15" thickBot="1">
      <c r="A2219" s="149">
        <f t="shared" si="2338"/>
        <v>45928.333333329938</v>
      </c>
      <c r="B2219" s="30">
        <f t="shared" si="2365"/>
        <v>8000</v>
      </c>
      <c r="C2219" s="8">
        <v>25000</v>
      </c>
      <c r="D2219" s="187">
        <v>0</v>
      </c>
      <c r="E2219" s="187">
        <v>700</v>
      </c>
      <c r="F2219" s="187">
        <v>15000</v>
      </c>
      <c r="G2219" s="151">
        <v>2470</v>
      </c>
      <c r="H2219" s="8">
        <f t="shared" si="2391"/>
        <v>25000</v>
      </c>
      <c r="I2219" s="30">
        <f t="shared" si="2366"/>
        <v>8000</v>
      </c>
      <c r="J2219" s="187">
        <v>40000</v>
      </c>
      <c r="K2219" s="30">
        <f t="shared" si="2367"/>
        <v>8000</v>
      </c>
      <c r="L2219" s="187">
        <v>40000</v>
      </c>
      <c r="M2219" s="110">
        <v>9.5</v>
      </c>
      <c r="N2219" s="9">
        <f>VLOOKUP(DATE(YEAR(A2219),MONTH(A2219),DAY(A2219)),FY24_Temp[],3,FALSE)</f>
        <v>17.399999999999999</v>
      </c>
      <c r="O2219" s="110">
        <f t="shared" si="2354"/>
        <v>11.5</v>
      </c>
      <c r="P2219" s="110">
        <f t="shared" si="2355"/>
        <v>19.5</v>
      </c>
      <c r="Q2219" s="79">
        <f>VLOOKUP(VLOOKUP(DATEVALUE(TEXT(A2219,"m/d/yyyy")),FY24_Temp[],5,FALSE)&amp;TEXT(A2219,"-h"),TempDelta[],4,FALSE)</f>
        <v>1.3942857129233224</v>
      </c>
      <c r="R2219">
        <v>10</v>
      </c>
      <c r="S2219" s="112">
        <v>1500</v>
      </c>
      <c r="T2219" s="5">
        <f>VLOOKUP(TEXT(A2219,"yy-mm")&amp;"-"&amp;IF(AND(WEEKDAY(A2219)&gt;1,WEEKDAY(A2219)&lt;7),"Wkd",TEXT(A2219,"Ddd"))&amp;"-"&amp;TEXT(A2219,"hh"),LoadTable[],3,FALSE)*0.92</f>
        <v>297.8997487685736</v>
      </c>
      <c r="U2219" s="113">
        <f t="shared" si="2356"/>
        <v>29.789974876857361</v>
      </c>
      <c r="V2219">
        <f t="shared" ref="V2219:W2219" si="2400">V2195</f>
        <v>3.2</v>
      </c>
      <c r="W2219">
        <f t="shared" si="2400"/>
        <v>3</v>
      </c>
      <c r="X2219" s="9">
        <v>-48.353811866666298</v>
      </c>
      <c r="Y2219" s="39"/>
    </row>
    <row r="2220" spans="1:25" ht="15" thickBot="1">
      <c r="A2220" s="149">
        <f t="shared" si="2338"/>
        <v>45928.374999996602</v>
      </c>
      <c r="B2220" s="30">
        <f t="shared" si="2365"/>
        <v>8000</v>
      </c>
      <c r="C2220" s="8">
        <v>25000</v>
      </c>
      <c r="D2220" s="187">
        <v>0</v>
      </c>
      <c r="E2220" s="187">
        <v>700</v>
      </c>
      <c r="F2220" s="187">
        <v>15000</v>
      </c>
      <c r="G2220" s="151">
        <v>2470</v>
      </c>
      <c r="H2220" s="8">
        <f t="shared" si="2391"/>
        <v>25000</v>
      </c>
      <c r="I2220" s="30">
        <f t="shared" si="2366"/>
        <v>8000</v>
      </c>
      <c r="J2220" s="187">
        <v>40000</v>
      </c>
      <c r="K2220" s="30">
        <f t="shared" si="2367"/>
        <v>8000</v>
      </c>
      <c r="L2220" s="187">
        <v>40000</v>
      </c>
      <c r="M2220" s="110">
        <v>9.5</v>
      </c>
      <c r="N2220" s="9">
        <f>VLOOKUP(DATE(YEAR(A2220),MONTH(A2220),DAY(A2220)),FY24_Temp[],3,FALSE)</f>
        <v>17.399999999999999</v>
      </c>
      <c r="O2220" s="110">
        <f t="shared" si="2354"/>
        <v>11.5</v>
      </c>
      <c r="P2220" s="110">
        <f t="shared" si="2355"/>
        <v>19.5</v>
      </c>
      <c r="Q2220" s="79">
        <f>VLOOKUP(VLOOKUP(DATEVALUE(TEXT(A2220,"m/d/yyyy")),FY24_Temp[],5,FALSE)&amp;TEXT(A2220,"-h"),TempDelta[],4,FALSE)</f>
        <v>1.2751428655215673</v>
      </c>
      <c r="R2220">
        <v>10</v>
      </c>
      <c r="S2220" s="112">
        <v>1500</v>
      </c>
      <c r="T2220" s="5">
        <f>VLOOKUP(TEXT(A2220,"yy-mm")&amp;"-"&amp;IF(AND(WEEKDAY(A2220)&gt;1,WEEKDAY(A2220)&lt;7),"Wkd",TEXT(A2220,"Ddd"))&amp;"-"&amp;TEXT(A2220,"hh"),LoadTable[],3,FALSE)*0.92</f>
        <v>291.87724476857363</v>
      </c>
      <c r="U2220" s="113">
        <f t="shared" si="2356"/>
        <v>29.187724476857362</v>
      </c>
      <c r="V2220">
        <f t="shared" ref="V2220:W2220" si="2401">V2196</f>
        <v>2.9</v>
      </c>
      <c r="W2220">
        <f t="shared" si="2401"/>
        <v>3</v>
      </c>
      <c r="X2220" s="9">
        <v>-48.431606416666298</v>
      </c>
      <c r="Y2220" s="39"/>
    </row>
    <row r="2221" spans="1:25" ht="15" thickBot="1">
      <c r="A2221" s="149">
        <f t="shared" si="2338"/>
        <v>45928.416666663266</v>
      </c>
      <c r="B2221" s="30">
        <f t="shared" si="2365"/>
        <v>8000</v>
      </c>
      <c r="C2221" s="8">
        <v>25000</v>
      </c>
      <c r="D2221" s="187">
        <v>0</v>
      </c>
      <c r="E2221" s="187">
        <v>700</v>
      </c>
      <c r="F2221" s="187">
        <v>15000</v>
      </c>
      <c r="G2221" s="151">
        <v>2470</v>
      </c>
      <c r="H2221" s="8">
        <f t="shared" si="2391"/>
        <v>25000</v>
      </c>
      <c r="I2221" s="30">
        <f t="shared" si="2366"/>
        <v>8000</v>
      </c>
      <c r="J2221" s="187">
        <v>40000</v>
      </c>
      <c r="K2221" s="30">
        <f t="shared" si="2367"/>
        <v>8000</v>
      </c>
      <c r="L2221" s="187">
        <v>40000</v>
      </c>
      <c r="M2221" s="110">
        <v>9.5</v>
      </c>
      <c r="N2221" s="9">
        <f>VLOOKUP(DATE(YEAR(A2221),MONTH(A2221),DAY(A2221)),FY24_Temp[],3,FALSE)</f>
        <v>17.399999999999999</v>
      </c>
      <c r="O2221" s="110">
        <f t="shared" si="2354"/>
        <v>11.5</v>
      </c>
      <c r="P2221" s="110">
        <f t="shared" si="2355"/>
        <v>19.5</v>
      </c>
      <c r="Q2221" s="79">
        <f>VLOOKUP(VLOOKUP(DATEVALUE(TEXT(A2221,"m/d/yyyy")),FY24_Temp[],5,FALSE)&amp;TEXT(A2221,"-h"),TempDelta[],4,FALSE)</f>
        <v>1.1441428746495927</v>
      </c>
      <c r="R2221">
        <v>10</v>
      </c>
      <c r="S2221" s="112">
        <v>1500</v>
      </c>
      <c r="T2221" s="5">
        <f>VLOOKUP(TEXT(A2221,"yy-mm")&amp;"-"&amp;IF(AND(WEEKDAY(A2221)&gt;1,WEEKDAY(A2221)&lt;7),"Wkd",TEXT(A2221,"Ddd"))&amp;"-"&amp;TEXT(A2221,"hh"),LoadTable[],3,FALSE)*0.92</f>
        <v>290.0418447685737</v>
      </c>
      <c r="U2221" s="113">
        <f t="shared" si="2356"/>
        <v>29.004184476857368</v>
      </c>
      <c r="V2221">
        <f t="shared" ref="V2221:W2221" si="2402">V2197</f>
        <v>2.9</v>
      </c>
      <c r="W2221">
        <f t="shared" si="2402"/>
        <v>3</v>
      </c>
      <c r="X2221" s="9">
        <v>-48.509400966666298</v>
      </c>
      <c r="Y2221" s="39"/>
    </row>
    <row r="2222" spans="1:25" ht="15" thickBot="1">
      <c r="A2222" s="149">
        <f t="shared" si="2338"/>
        <v>45928.458333329931</v>
      </c>
      <c r="B2222" s="30">
        <f t="shared" si="2365"/>
        <v>8000</v>
      </c>
      <c r="C2222" s="8">
        <v>25000</v>
      </c>
      <c r="D2222" s="187">
        <v>0</v>
      </c>
      <c r="E2222" s="187">
        <v>700</v>
      </c>
      <c r="F2222" s="187">
        <v>15000</v>
      </c>
      <c r="G2222" s="151">
        <v>2470</v>
      </c>
      <c r="H2222" s="8">
        <f t="shared" si="2391"/>
        <v>25000</v>
      </c>
      <c r="I2222" s="30">
        <f t="shared" si="2366"/>
        <v>8000</v>
      </c>
      <c r="J2222" s="187">
        <v>40000</v>
      </c>
      <c r="K2222" s="30">
        <f t="shared" si="2367"/>
        <v>8000</v>
      </c>
      <c r="L2222" s="187">
        <v>40000</v>
      </c>
      <c r="M2222" s="110">
        <v>9.5</v>
      </c>
      <c r="N2222" s="9">
        <f>VLOOKUP(DATE(YEAR(A2222),MONTH(A2222),DAY(A2222)),FY24_Temp[],3,FALSE)</f>
        <v>17.399999999999999</v>
      </c>
      <c r="O2222" s="110">
        <f t="shared" si="2354"/>
        <v>11.5</v>
      </c>
      <c r="P2222" s="110">
        <f t="shared" si="2355"/>
        <v>19.5</v>
      </c>
      <c r="Q2222" s="79">
        <f>VLOOKUP(VLOOKUP(DATEVALUE(TEXT(A2222,"m/d/yyyy")),FY24_Temp[],5,FALSE)&amp;TEXT(A2222,"-h"),TempDelta[],4,FALSE)</f>
        <v>1.006714301449912</v>
      </c>
      <c r="R2222">
        <v>10</v>
      </c>
      <c r="S2222" s="112">
        <v>1500</v>
      </c>
      <c r="T2222" s="5">
        <f>VLOOKUP(TEXT(A2222,"yy-mm")&amp;"-"&amp;IF(AND(WEEKDAY(A2222)&gt;1,WEEKDAY(A2222)&lt;7),"Wkd",TEXT(A2222,"Ddd"))&amp;"-"&amp;TEXT(A2222,"hh"),LoadTable[],3,FALSE)*0.92</f>
        <v>292.66046400000005</v>
      </c>
      <c r="U2222" s="113">
        <f t="shared" si="2356"/>
        <v>29.266046400000004</v>
      </c>
      <c r="V2222">
        <f t="shared" ref="V2222:W2222" si="2403">V2198</f>
        <v>3.4</v>
      </c>
      <c r="W2222">
        <f t="shared" si="2403"/>
        <v>3</v>
      </c>
      <c r="X2222" s="9">
        <v>-48.587195516666299</v>
      </c>
      <c r="Y2222" s="39"/>
    </row>
    <row r="2223" spans="1:25" ht="15" thickBot="1">
      <c r="A2223" s="149">
        <f t="shared" si="2338"/>
        <v>45928.499999996595</v>
      </c>
      <c r="B2223" s="30">
        <f t="shared" si="2365"/>
        <v>8000</v>
      </c>
      <c r="C2223" s="8">
        <v>25000</v>
      </c>
      <c r="D2223" s="187">
        <v>0</v>
      </c>
      <c r="E2223" s="187">
        <v>700</v>
      </c>
      <c r="F2223" s="187">
        <v>15000</v>
      </c>
      <c r="G2223" s="151">
        <v>2470</v>
      </c>
      <c r="H2223" s="8">
        <f t="shared" si="2391"/>
        <v>25000</v>
      </c>
      <c r="I2223" s="30">
        <f t="shared" si="2366"/>
        <v>8000</v>
      </c>
      <c r="J2223" s="187">
        <v>40000</v>
      </c>
      <c r="K2223" s="30">
        <f t="shared" si="2367"/>
        <v>8000</v>
      </c>
      <c r="L2223" s="187">
        <v>40000</v>
      </c>
      <c r="M2223" s="110">
        <v>9.5</v>
      </c>
      <c r="N2223" s="9">
        <f>VLOOKUP(DATE(YEAR(A2223),MONTH(A2223),DAY(A2223)),FY24_Temp[],3,FALSE)</f>
        <v>17.399999999999999</v>
      </c>
      <c r="O2223" s="110">
        <f t="shared" si="2354"/>
        <v>11.5</v>
      </c>
      <c r="P2223" s="110">
        <f t="shared" si="2355"/>
        <v>19.5</v>
      </c>
      <c r="Q2223" s="79">
        <f>VLOOKUP(VLOOKUP(DATEVALUE(TEXT(A2223,"m/d/yyyy")),FY24_Temp[],5,FALSE)&amp;TEXT(A2223,"-h"),TempDelta[],4,FALSE)</f>
        <v>0.87971426759447369</v>
      </c>
      <c r="R2223">
        <v>10</v>
      </c>
      <c r="S2223" s="112">
        <v>1500</v>
      </c>
      <c r="T2223" s="5">
        <f>VLOOKUP(TEXT(A2223,"yy-mm")&amp;"-"&amp;IF(AND(WEEKDAY(A2223)&gt;1,WEEKDAY(A2223)&lt;7),"Wkd",TEXT(A2223,"Ddd"))&amp;"-"&amp;TEXT(A2223,"hh"),LoadTable[],3,FALSE)*0.92</f>
        <v>292.66046400000005</v>
      </c>
      <c r="U2223" s="113">
        <f t="shared" si="2356"/>
        <v>29.266046400000004</v>
      </c>
      <c r="V2223">
        <f t="shared" ref="V2223:W2223" si="2404">V2199</f>
        <v>3.1</v>
      </c>
      <c r="W2223">
        <f t="shared" si="2404"/>
        <v>2.9</v>
      </c>
      <c r="X2223" s="9">
        <v>-48.664990066666299</v>
      </c>
      <c r="Y2223" s="39"/>
    </row>
    <row r="2224" spans="1:25" ht="15" thickBot="1">
      <c r="A2224" s="149">
        <f t="shared" si="2338"/>
        <v>45928.541666663259</v>
      </c>
      <c r="B2224" s="30">
        <f t="shared" si="2365"/>
        <v>8000</v>
      </c>
      <c r="C2224" s="8">
        <v>25000</v>
      </c>
      <c r="D2224" s="187">
        <v>0</v>
      </c>
      <c r="E2224" s="187">
        <v>700</v>
      </c>
      <c r="F2224" s="187">
        <v>15000</v>
      </c>
      <c r="G2224" s="151">
        <v>2470</v>
      </c>
      <c r="H2224" s="8">
        <f t="shared" si="2391"/>
        <v>25000</v>
      </c>
      <c r="I2224" s="30">
        <f t="shared" si="2366"/>
        <v>8000</v>
      </c>
      <c r="J2224" s="187">
        <v>40000</v>
      </c>
      <c r="K2224" s="30">
        <f t="shared" si="2367"/>
        <v>8000</v>
      </c>
      <c r="L2224" s="187">
        <v>40000</v>
      </c>
      <c r="M2224" s="110">
        <v>9.5</v>
      </c>
      <c r="N2224" s="9">
        <f>VLOOKUP(DATE(YEAR(A2224),MONTH(A2224),DAY(A2224)),FY24_Temp[],3,FALSE)</f>
        <v>17.399999999999999</v>
      </c>
      <c r="O2224" s="110">
        <f t="shared" si="2354"/>
        <v>11.5</v>
      </c>
      <c r="P2224" s="110">
        <f t="shared" si="2355"/>
        <v>19.5</v>
      </c>
      <c r="Q2224" s="79">
        <f>VLOOKUP(VLOOKUP(DATEVALUE(TEXT(A2224,"m/d/yyyy")),FY24_Temp[],5,FALSE)&amp;TEXT(A2224,"-h"),TempDelta[],4,FALSE)</f>
        <v>0.77128570420401432</v>
      </c>
      <c r="R2224">
        <v>10</v>
      </c>
      <c r="S2224" s="112">
        <v>1500</v>
      </c>
      <c r="T2224" s="5">
        <f>VLOOKUP(TEXT(A2224,"yy-mm")&amp;"-"&amp;IF(AND(WEEKDAY(A2224)&gt;1,WEEKDAY(A2224)&lt;7),"Wkd",TEXT(A2224,"Ddd"))&amp;"-"&amp;TEXT(A2224,"hh"),LoadTable[],3,FALSE)*0.92</f>
        <v>292.60324000000008</v>
      </c>
      <c r="U2224" s="113">
        <f t="shared" si="2356"/>
        <v>29.260324000000008</v>
      </c>
      <c r="V2224">
        <f t="shared" ref="V2224:W2224" si="2405">V2200</f>
        <v>3.2</v>
      </c>
      <c r="W2224">
        <f t="shared" si="2405"/>
        <v>2.9</v>
      </c>
      <c r="X2224" s="9">
        <v>-48.742784616666299</v>
      </c>
      <c r="Y2224" s="39"/>
    </row>
    <row r="2225" spans="1:25" ht="15" thickBot="1">
      <c r="A2225" s="149">
        <f t="shared" si="2338"/>
        <v>45928.583333329923</v>
      </c>
      <c r="B2225" s="30">
        <f t="shared" si="2365"/>
        <v>8000</v>
      </c>
      <c r="C2225" s="8">
        <v>25000</v>
      </c>
      <c r="D2225" s="187">
        <v>0</v>
      </c>
      <c r="E2225" s="187">
        <v>700</v>
      </c>
      <c r="F2225" s="187">
        <v>15000</v>
      </c>
      <c r="G2225" s="151">
        <v>2470</v>
      </c>
      <c r="H2225" s="8">
        <f t="shared" si="2391"/>
        <v>25000</v>
      </c>
      <c r="I2225" s="30">
        <f t="shared" si="2366"/>
        <v>8000</v>
      </c>
      <c r="J2225" s="187">
        <v>40000</v>
      </c>
      <c r="K2225" s="30">
        <f t="shared" si="2367"/>
        <v>8000</v>
      </c>
      <c r="L2225" s="187">
        <v>40000</v>
      </c>
      <c r="M2225" s="110">
        <v>9.5</v>
      </c>
      <c r="N2225" s="9">
        <f>VLOOKUP(DATE(YEAR(A2225),MONTH(A2225),DAY(A2225)),FY24_Temp[],3,FALSE)</f>
        <v>17.399999999999999</v>
      </c>
      <c r="O2225" s="110">
        <f t="shared" si="2354"/>
        <v>11.5</v>
      </c>
      <c r="P2225" s="110">
        <f t="shared" si="2355"/>
        <v>19.5</v>
      </c>
      <c r="Q2225" s="79">
        <f>VLOOKUP(VLOOKUP(DATEVALUE(TEXT(A2225,"m/d/yyyy")),FY24_Temp[],5,FALSE)&amp;TEXT(A2225,"-h"),TempDelta[],4,FALSE)</f>
        <v>0.72371428353445866</v>
      </c>
      <c r="R2225">
        <v>10</v>
      </c>
      <c r="S2225" s="112">
        <v>1500</v>
      </c>
      <c r="T2225" s="5">
        <f>VLOOKUP(TEXT(A2225,"yy-mm")&amp;"-"&amp;IF(AND(WEEKDAY(A2225)&gt;1,WEEKDAY(A2225)&lt;7),"Wkd",TEXT(A2225,"Ddd"))&amp;"-"&amp;TEXT(A2225,"hh"),LoadTable[],3,FALSE)*0.92</f>
        <v>341.35680000000008</v>
      </c>
      <c r="U2225" s="113">
        <f t="shared" si="2356"/>
        <v>34.135680000000008</v>
      </c>
      <c r="V2225">
        <f t="shared" ref="V2225:W2225" si="2406">V2201</f>
        <v>3.5</v>
      </c>
      <c r="W2225">
        <f t="shared" si="2406"/>
        <v>2.9</v>
      </c>
      <c r="X2225" s="9">
        <v>-48.820579166666299</v>
      </c>
      <c r="Y2225" s="39"/>
    </row>
    <row r="2226" spans="1:25" ht="15" thickBot="1">
      <c r="A2226" s="149">
        <f t="shared" si="2338"/>
        <v>45928.624999996588</v>
      </c>
      <c r="B2226" s="30">
        <f t="shared" si="2365"/>
        <v>8000</v>
      </c>
      <c r="C2226" s="8">
        <v>25000</v>
      </c>
      <c r="D2226" s="187">
        <v>0</v>
      </c>
      <c r="E2226" s="187">
        <v>700</v>
      </c>
      <c r="F2226" s="187">
        <v>15000</v>
      </c>
      <c r="G2226" s="151">
        <v>2470</v>
      </c>
      <c r="H2226" s="8">
        <f t="shared" si="2391"/>
        <v>25000</v>
      </c>
      <c r="I2226" s="30">
        <f t="shared" si="2366"/>
        <v>8000</v>
      </c>
      <c r="J2226" s="187">
        <v>40000</v>
      </c>
      <c r="K2226" s="30">
        <f t="shared" si="2367"/>
        <v>8000</v>
      </c>
      <c r="L2226" s="187">
        <v>40000</v>
      </c>
      <c r="M2226" s="110">
        <v>9.5</v>
      </c>
      <c r="N2226" s="9">
        <f>VLOOKUP(DATE(YEAR(A2226),MONTH(A2226),DAY(A2226)),FY24_Temp[],3,FALSE)</f>
        <v>17.399999999999999</v>
      </c>
      <c r="O2226" s="110">
        <f t="shared" si="2354"/>
        <v>11.5</v>
      </c>
      <c r="P2226" s="110">
        <f t="shared" si="2355"/>
        <v>19.5</v>
      </c>
      <c r="Q2226" s="79">
        <f>VLOOKUP(VLOOKUP(DATEVALUE(TEXT(A2226,"m/d/yyyy")),FY24_Temp[],5,FALSE)&amp;TEXT(A2226,"-h"),TempDelta[],4,FALSE)</f>
        <v>0.35007142781146933</v>
      </c>
      <c r="R2226">
        <v>10</v>
      </c>
      <c r="S2226" s="112">
        <v>1500</v>
      </c>
      <c r="T2226" s="5">
        <f>VLOOKUP(TEXT(A2226,"yy-mm")&amp;"-"&amp;IF(AND(WEEKDAY(A2226)&gt;1,WEEKDAY(A2226)&lt;7),"Wkd",TEXT(A2226,"Ddd"))&amp;"-"&amp;TEXT(A2226,"hh"),LoadTable[],3,FALSE)*0.92</f>
        <v>574.54532098648792</v>
      </c>
      <c r="U2226" s="113">
        <f t="shared" si="2356"/>
        <v>57.454532098648791</v>
      </c>
      <c r="V2226">
        <f t="shared" ref="V2226:W2226" si="2407">V2202</f>
        <v>3.2</v>
      </c>
      <c r="W2226">
        <f t="shared" si="2407"/>
        <v>2.9</v>
      </c>
      <c r="X2226" s="9">
        <v>-48.898373716666299</v>
      </c>
      <c r="Y2226" s="39"/>
    </row>
    <row r="2227" spans="1:25" ht="15" thickBot="1">
      <c r="A2227" s="149">
        <f t="shared" si="2338"/>
        <v>45928.666666663252</v>
      </c>
      <c r="B2227" s="30">
        <f t="shared" si="2365"/>
        <v>8000</v>
      </c>
      <c r="C2227" s="8">
        <v>25000</v>
      </c>
      <c r="D2227" s="187">
        <v>0</v>
      </c>
      <c r="E2227" s="187">
        <v>700</v>
      </c>
      <c r="F2227" s="187">
        <v>15000</v>
      </c>
      <c r="G2227" s="151">
        <v>2470</v>
      </c>
      <c r="H2227" s="8">
        <f t="shared" si="2391"/>
        <v>25000</v>
      </c>
      <c r="I2227" s="30">
        <f t="shared" si="2366"/>
        <v>8000</v>
      </c>
      <c r="J2227" s="187">
        <v>40000</v>
      </c>
      <c r="K2227" s="30">
        <f t="shared" si="2367"/>
        <v>8000</v>
      </c>
      <c r="L2227" s="187">
        <v>40000</v>
      </c>
      <c r="M2227" s="110">
        <v>9.5</v>
      </c>
      <c r="N2227" s="9">
        <f>VLOOKUP(DATE(YEAR(A2227),MONTH(A2227),DAY(A2227)),FY24_Temp[],3,FALSE)</f>
        <v>17.399999999999999</v>
      </c>
      <c r="O2227" s="110">
        <f t="shared" si="2354"/>
        <v>11.5</v>
      </c>
      <c r="P2227" s="110">
        <f t="shared" si="2355"/>
        <v>19.5</v>
      </c>
      <c r="Q2227" s="79">
        <f>VLOOKUP(VLOOKUP(DATEVALUE(TEXT(A2227,"m/d/yyyy")),FY24_Temp[],5,FALSE)&amp;TEXT(A2227,"-h"),TempDelta[],4,FALSE)</f>
        <v>0.48392857345087187</v>
      </c>
      <c r="R2227">
        <v>10</v>
      </c>
      <c r="S2227" s="112">
        <v>1500</v>
      </c>
      <c r="T2227" s="5">
        <f>VLOOKUP(TEXT(A2227,"yy-mm")&amp;"-"&amp;IF(AND(WEEKDAY(A2227)&gt;1,WEEKDAY(A2227)&lt;7),"Wkd",TEXT(A2227,"Ddd"))&amp;"-"&amp;TEXT(A2227,"hh"),LoadTable[],3,FALSE)*0.92</f>
        <v>641.47602521827605</v>
      </c>
      <c r="U2227" s="113">
        <f t="shared" si="2356"/>
        <v>64.147602521827608</v>
      </c>
      <c r="V2227">
        <f t="shared" ref="V2227:W2227" si="2408">V2203</f>
        <v>3.5</v>
      </c>
      <c r="W2227">
        <f t="shared" si="2408"/>
        <v>3</v>
      </c>
      <c r="X2227" s="9">
        <v>-48.976168266666299</v>
      </c>
      <c r="Y2227" s="39"/>
    </row>
    <row r="2228" spans="1:25" ht="15" thickBot="1">
      <c r="A2228" s="149">
        <f t="shared" si="2338"/>
        <v>45928.708333329916</v>
      </c>
      <c r="B2228" s="30">
        <f t="shared" si="2365"/>
        <v>8000</v>
      </c>
      <c r="C2228" s="8">
        <v>25000</v>
      </c>
      <c r="D2228" s="187">
        <v>0</v>
      </c>
      <c r="E2228" s="187">
        <v>700</v>
      </c>
      <c r="F2228" s="187">
        <v>15000</v>
      </c>
      <c r="G2228" s="151">
        <v>2470</v>
      </c>
      <c r="H2228" s="8">
        <f t="shared" si="2391"/>
        <v>25000</v>
      </c>
      <c r="I2228" s="30">
        <f t="shared" si="2366"/>
        <v>8000</v>
      </c>
      <c r="J2228" s="187">
        <v>40000</v>
      </c>
      <c r="K2228" s="30">
        <f t="shared" si="2367"/>
        <v>8000</v>
      </c>
      <c r="L2228" s="187">
        <v>40000</v>
      </c>
      <c r="M2228" s="110">
        <v>9.5</v>
      </c>
      <c r="N2228" s="9">
        <f>VLOOKUP(DATE(YEAR(A2228),MONTH(A2228),DAY(A2228)),FY24_Temp[],3,FALSE)</f>
        <v>17.399999999999999</v>
      </c>
      <c r="O2228" s="110">
        <f t="shared" si="2354"/>
        <v>11.5</v>
      </c>
      <c r="P2228" s="110">
        <f t="shared" si="2355"/>
        <v>19.5</v>
      </c>
      <c r="Q2228" s="79">
        <f>VLOOKUP(VLOOKUP(DATEVALUE(TEXT(A2228,"m/d/yyyy")),FY24_Temp[],5,FALSE)&amp;TEXT(A2228,"-h"),TempDelta[],4,FALSE)</f>
        <v>0.71807142613189556</v>
      </c>
      <c r="R2228">
        <v>10</v>
      </c>
      <c r="S2228" s="112">
        <v>1500</v>
      </c>
      <c r="T2228" s="5">
        <f>VLOOKUP(TEXT(A2228,"yy-mm")&amp;"-"&amp;IF(AND(WEEKDAY(A2228)&gt;1,WEEKDAY(A2228)&lt;7),"Wkd",TEXT(A2228,"Ddd"))&amp;"-"&amp;TEXT(A2228,"hh"),LoadTable[],3,FALSE)*0.92</f>
        <v>641.47602521827605</v>
      </c>
      <c r="U2228" s="113">
        <f t="shared" si="2356"/>
        <v>64.147602521827608</v>
      </c>
      <c r="V2228">
        <f t="shared" ref="V2228:W2228" si="2409">V2204</f>
        <v>3.6</v>
      </c>
      <c r="W2228">
        <f t="shared" si="2409"/>
        <v>3</v>
      </c>
      <c r="X2228" s="9">
        <v>-49.053962816666299</v>
      </c>
      <c r="Y2228" s="39"/>
    </row>
    <row r="2229" spans="1:25" ht="15" thickBot="1">
      <c r="A2229" s="149">
        <f t="shared" ref="A2229:A2292" si="2410">A2228+TIME(1,0,0)</f>
        <v>45928.74999999658</v>
      </c>
      <c r="B2229" s="30">
        <f t="shared" si="2365"/>
        <v>5000</v>
      </c>
      <c r="C2229" s="8">
        <v>25000</v>
      </c>
      <c r="D2229" s="187">
        <v>0</v>
      </c>
      <c r="E2229" s="187">
        <v>700</v>
      </c>
      <c r="F2229" s="187">
        <v>15000</v>
      </c>
      <c r="G2229" s="151">
        <v>2470</v>
      </c>
      <c r="H2229" s="8">
        <f t="shared" si="2391"/>
        <v>25000</v>
      </c>
      <c r="I2229" s="30">
        <f t="shared" si="2366"/>
        <v>5000</v>
      </c>
      <c r="J2229" s="187">
        <v>40000</v>
      </c>
      <c r="K2229" s="30">
        <f t="shared" si="2367"/>
        <v>5000</v>
      </c>
      <c r="L2229" s="187">
        <v>40000</v>
      </c>
      <c r="M2229" s="110">
        <v>9.5</v>
      </c>
      <c r="N2229" s="9">
        <f>VLOOKUP(DATE(YEAR(A2229),MONTH(A2229),DAY(A2229)),FY24_Temp[],3,FALSE)</f>
        <v>17.399999999999999</v>
      </c>
      <c r="O2229" s="110">
        <f t="shared" si="2354"/>
        <v>11.5</v>
      </c>
      <c r="P2229" s="110">
        <f t="shared" si="2355"/>
        <v>19.5</v>
      </c>
      <c r="Q2229" s="79">
        <f>VLOOKUP(VLOOKUP(DATEVALUE(TEXT(A2229,"m/d/yyyy")),FY24_Temp[],5,FALSE)&amp;TEXT(A2229,"-h"),TempDelta[],4,FALSE)</f>
        <v>0.97985714673995972</v>
      </c>
      <c r="R2229">
        <v>10</v>
      </c>
      <c r="S2229" s="112">
        <v>1500</v>
      </c>
      <c r="T2229" s="5">
        <f>VLOOKUP(TEXT(A2229,"yy-mm")&amp;"-"&amp;IF(AND(WEEKDAY(A2229)&gt;1,WEEKDAY(A2229)&lt;7),"Wkd",TEXT(A2229,"Ddd"))&amp;"-"&amp;TEXT(A2229,"hh"),LoadTable[],3,FALSE)*0.92</f>
        <v>641.47602521827605</v>
      </c>
      <c r="U2229" s="113">
        <f t="shared" si="2356"/>
        <v>64.147602521827608</v>
      </c>
      <c r="V2229">
        <f t="shared" ref="V2229:W2229" si="2411">V2205</f>
        <v>2.9</v>
      </c>
      <c r="W2229">
        <f t="shared" si="2411"/>
        <v>3</v>
      </c>
      <c r="X2229" s="9">
        <v>-49.131757366666299</v>
      </c>
      <c r="Y2229" s="39"/>
    </row>
    <row r="2230" spans="1:25" ht="15" thickBot="1">
      <c r="A2230" s="149">
        <f t="shared" si="2410"/>
        <v>45928.791666663245</v>
      </c>
      <c r="B2230" s="30">
        <f t="shared" si="2365"/>
        <v>5000</v>
      </c>
      <c r="C2230" s="8">
        <v>25000</v>
      </c>
      <c r="D2230" s="187">
        <v>0</v>
      </c>
      <c r="E2230" s="187">
        <v>700</v>
      </c>
      <c r="F2230" s="187">
        <v>15000</v>
      </c>
      <c r="G2230" s="151">
        <v>2470</v>
      </c>
      <c r="H2230" s="8">
        <f t="shared" si="2391"/>
        <v>25000</v>
      </c>
      <c r="I2230" s="30">
        <f t="shared" si="2366"/>
        <v>5000</v>
      </c>
      <c r="J2230" s="187">
        <v>40000</v>
      </c>
      <c r="K2230" s="30">
        <f t="shared" si="2367"/>
        <v>5000</v>
      </c>
      <c r="L2230" s="187">
        <v>40000</v>
      </c>
      <c r="M2230" s="110">
        <v>9.5</v>
      </c>
      <c r="N2230" s="9">
        <f>VLOOKUP(DATE(YEAR(A2230),MONTH(A2230),DAY(A2230)),FY24_Temp[],3,FALSE)</f>
        <v>17.399999999999999</v>
      </c>
      <c r="O2230" s="110">
        <f t="shared" si="2354"/>
        <v>11.5</v>
      </c>
      <c r="P2230" s="110">
        <f t="shared" si="2355"/>
        <v>19.5</v>
      </c>
      <c r="Q2230" s="79">
        <f>VLOOKUP(VLOOKUP(DATEVALUE(TEXT(A2230,"m/d/yyyy")),FY24_Temp[],5,FALSE)&amp;TEXT(A2230,"-h"),TempDelta[],4,FALSE)</f>
        <v>1.0494285609040941</v>
      </c>
      <c r="R2230">
        <v>10</v>
      </c>
      <c r="S2230" s="112">
        <v>1500</v>
      </c>
      <c r="T2230" s="5">
        <f>VLOOKUP(TEXT(A2230,"yy-mm")&amp;"-"&amp;IF(AND(WEEKDAY(A2230)&gt;1,WEEKDAY(A2230)&lt;7),"Wkd",TEXT(A2230,"Ddd"))&amp;"-"&amp;TEXT(A2230,"hh"),LoadTable[],3,FALSE)*0.92</f>
        <v>639.45388251315194</v>
      </c>
      <c r="U2230" s="113">
        <f t="shared" si="2356"/>
        <v>63.945388251315194</v>
      </c>
      <c r="V2230">
        <f t="shared" ref="V2230:W2230" si="2412">V2206</f>
        <v>3</v>
      </c>
      <c r="W2230">
        <f t="shared" si="2412"/>
        <v>3</v>
      </c>
      <c r="X2230" s="9">
        <v>-49.2095519166663</v>
      </c>
      <c r="Y2230" s="39"/>
    </row>
    <row r="2231" spans="1:25" ht="15" thickBot="1">
      <c r="A2231" s="149">
        <f t="shared" si="2410"/>
        <v>45928.833333329909</v>
      </c>
      <c r="B2231" s="30">
        <f t="shared" si="2365"/>
        <v>5000</v>
      </c>
      <c r="C2231" s="8">
        <v>25000</v>
      </c>
      <c r="D2231" s="187">
        <v>0</v>
      </c>
      <c r="E2231" s="187">
        <v>700</v>
      </c>
      <c r="F2231" s="187">
        <v>15000</v>
      </c>
      <c r="G2231" s="151">
        <v>2470</v>
      </c>
      <c r="H2231" s="8">
        <f t="shared" si="2391"/>
        <v>25000</v>
      </c>
      <c r="I2231" s="30">
        <f t="shared" si="2366"/>
        <v>5000</v>
      </c>
      <c r="J2231" s="187">
        <v>40000</v>
      </c>
      <c r="K2231" s="30">
        <f t="shared" si="2367"/>
        <v>5000</v>
      </c>
      <c r="L2231" s="187">
        <v>40000</v>
      </c>
      <c r="M2231" s="110">
        <v>9.5</v>
      </c>
      <c r="N2231" s="9">
        <f>VLOOKUP(DATE(YEAR(A2231),MONTH(A2231),DAY(A2231)),FY24_Temp[],3,FALSE)</f>
        <v>17.399999999999999</v>
      </c>
      <c r="O2231" s="110">
        <f t="shared" si="2354"/>
        <v>11.5</v>
      </c>
      <c r="P2231" s="110">
        <f t="shared" si="2355"/>
        <v>19.5</v>
      </c>
      <c r="Q2231" s="79">
        <f>VLOOKUP(VLOOKUP(DATEVALUE(TEXT(A2231,"m/d/yyyy")),FY24_Temp[],5,FALSE)&amp;TEXT(A2231,"-h"),TempDelta[],4,FALSE)</f>
        <v>1.1053571232727595</v>
      </c>
      <c r="R2231">
        <v>10</v>
      </c>
      <c r="S2231" s="112">
        <v>1500</v>
      </c>
      <c r="T2231" s="5">
        <f>VLOOKUP(TEXT(A2231,"yy-mm")&amp;"-"&amp;IF(AND(WEEKDAY(A2231)&gt;1,WEEKDAY(A2231)&lt;7),"Wkd",TEXT(A2231,"Ddd"))&amp;"-"&amp;TEXT(A2231,"hh"),LoadTable[],3,FALSE)*0.92</f>
        <v>584.83549237023499</v>
      </c>
      <c r="U2231" s="113">
        <f t="shared" si="2356"/>
        <v>58.483549237023496</v>
      </c>
      <c r="V2231">
        <f t="shared" ref="V2231:W2231" si="2413">V2207</f>
        <v>2.8</v>
      </c>
      <c r="W2231">
        <f t="shared" si="2413"/>
        <v>3.1</v>
      </c>
      <c r="X2231" s="9">
        <v>-49.2873464666663</v>
      </c>
      <c r="Y2231" s="39"/>
    </row>
    <row r="2232" spans="1:25" ht="15" thickBot="1">
      <c r="A2232" s="149">
        <f t="shared" si="2410"/>
        <v>45928.874999996573</v>
      </c>
      <c r="B2232" s="30">
        <f t="shared" si="2365"/>
        <v>5000</v>
      </c>
      <c r="C2232" s="8">
        <v>25000</v>
      </c>
      <c r="D2232" s="187">
        <v>0</v>
      </c>
      <c r="E2232" s="187">
        <v>700</v>
      </c>
      <c r="F2232" s="187">
        <v>15000</v>
      </c>
      <c r="G2232" s="151">
        <v>2470</v>
      </c>
      <c r="H2232" s="8">
        <f t="shared" si="2391"/>
        <v>25000</v>
      </c>
      <c r="I2232" s="30">
        <f t="shared" si="2366"/>
        <v>5000</v>
      </c>
      <c r="J2232" s="187">
        <v>40000</v>
      </c>
      <c r="K2232" s="30">
        <f t="shared" si="2367"/>
        <v>5000</v>
      </c>
      <c r="L2232" s="187">
        <v>40000</v>
      </c>
      <c r="M2232" s="110">
        <v>9.5</v>
      </c>
      <c r="N2232" s="9">
        <f>VLOOKUP(DATE(YEAR(A2232),MONTH(A2232),DAY(A2232)),FY24_Temp[],3,FALSE)</f>
        <v>17.399999999999999</v>
      </c>
      <c r="O2232" s="110">
        <f t="shared" si="2354"/>
        <v>11.5</v>
      </c>
      <c r="P2232" s="110">
        <f t="shared" si="2355"/>
        <v>19.5</v>
      </c>
      <c r="Q2232" s="79">
        <f>VLOOKUP(VLOOKUP(DATEVALUE(TEXT(A2232,"m/d/yyyy")),FY24_Temp[],5,FALSE)&amp;TEXT(A2232,"-h"),TempDelta[],4,FALSE)</f>
        <v>1.1162857200418199</v>
      </c>
      <c r="R2232">
        <v>10</v>
      </c>
      <c r="S2232" s="112">
        <v>1500</v>
      </c>
      <c r="T2232" s="5">
        <f>VLOOKUP(TEXT(A2232,"yy-mm")&amp;"-"&amp;IF(AND(WEEKDAY(A2232)&gt;1,WEEKDAY(A2232)&lt;7),"Wkd",TEXT(A2232,"Ddd"))&amp;"-"&amp;TEXT(A2232,"hh"),LoadTable[],3,FALSE)*0.92</f>
        <v>515.78096925471493</v>
      </c>
      <c r="U2232" s="113">
        <f t="shared" si="2356"/>
        <v>51.578096925471492</v>
      </c>
      <c r="V2232">
        <f t="shared" ref="V2232:W2232" si="2414">V2208</f>
        <v>3.5</v>
      </c>
      <c r="W2232">
        <f t="shared" si="2414"/>
        <v>3.1</v>
      </c>
      <c r="X2232" s="9">
        <v>-49.3651410166663</v>
      </c>
      <c r="Y2232" s="39"/>
    </row>
    <row r="2233" spans="1:25" ht="15" thickBot="1">
      <c r="A2233" s="149">
        <f t="shared" si="2410"/>
        <v>45928.916666663237</v>
      </c>
      <c r="B2233" s="30">
        <f t="shared" si="2365"/>
        <v>5000</v>
      </c>
      <c r="C2233" s="8">
        <v>25000</v>
      </c>
      <c r="D2233" s="187">
        <v>0</v>
      </c>
      <c r="E2233" s="187">
        <v>700</v>
      </c>
      <c r="F2233" s="187">
        <v>15000</v>
      </c>
      <c r="G2233" s="151">
        <v>2470</v>
      </c>
      <c r="H2233" s="8">
        <f t="shared" si="2391"/>
        <v>25000</v>
      </c>
      <c r="I2233" s="30">
        <f t="shared" si="2366"/>
        <v>5000</v>
      </c>
      <c r="J2233" s="187">
        <v>40000</v>
      </c>
      <c r="K2233" s="30">
        <f t="shared" si="2367"/>
        <v>5000</v>
      </c>
      <c r="L2233" s="187">
        <v>40000</v>
      </c>
      <c r="M2233" s="110">
        <v>9.5</v>
      </c>
      <c r="N2233" s="9">
        <f>VLOOKUP(DATE(YEAR(A2233),MONTH(A2233),DAY(A2233)),FY24_Temp[],3,FALSE)</f>
        <v>17.399999999999999</v>
      </c>
      <c r="O2233" s="110">
        <f t="shared" si="2354"/>
        <v>11.5</v>
      </c>
      <c r="P2233" s="110">
        <f t="shared" si="2355"/>
        <v>19.5</v>
      </c>
      <c r="Q2233" s="79">
        <f>VLOOKUP(VLOOKUP(DATEVALUE(TEXT(A2233,"m/d/yyyy")),FY24_Temp[],5,FALSE)&amp;TEXT(A2233,"-h"),TempDelta[],4,FALSE)</f>
        <v>1.639714275087629</v>
      </c>
      <c r="R2233">
        <v>10</v>
      </c>
      <c r="S2233" s="112">
        <v>1500</v>
      </c>
      <c r="T2233" s="5">
        <f>VLOOKUP(TEXT(A2233,"yy-mm")&amp;"-"&amp;IF(AND(WEEKDAY(A2233)&gt;1,WEEKDAY(A2233)&lt;7),"Wkd",TEXT(A2233,"Ddd"))&amp;"-"&amp;TEXT(A2233,"hh"),LoadTable[],3,FALSE)*0.92</f>
        <v>357.4610490891456</v>
      </c>
      <c r="U2233" s="113">
        <f t="shared" si="2356"/>
        <v>35.74610490891456</v>
      </c>
      <c r="V2233">
        <f t="shared" ref="V2233:W2233" si="2415">V2209</f>
        <v>2.9</v>
      </c>
      <c r="W2233">
        <f t="shared" si="2415"/>
        <v>3.1</v>
      </c>
      <c r="X2233" s="9">
        <v>-49.4429355666663</v>
      </c>
      <c r="Y2233" s="39"/>
    </row>
    <row r="2234" spans="1:25" ht="15" thickBot="1">
      <c r="A2234" s="149">
        <f t="shared" si="2410"/>
        <v>45928.958333329902</v>
      </c>
      <c r="B2234" s="30">
        <f t="shared" si="2365"/>
        <v>5000</v>
      </c>
      <c r="C2234" s="8">
        <v>25000</v>
      </c>
      <c r="D2234" s="187">
        <v>0</v>
      </c>
      <c r="E2234" s="187">
        <v>700</v>
      </c>
      <c r="F2234" s="187">
        <v>15000</v>
      </c>
      <c r="G2234" s="151">
        <v>2470</v>
      </c>
      <c r="H2234" s="8">
        <f t="shared" si="2391"/>
        <v>25000</v>
      </c>
      <c r="I2234" s="30">
        <f t="shared" si="2366"/>
        <v>5000</v>
      </c>
      <c r="J2234" s="187">
        <v>40000</v>
      </c>
      <c r="K2234" s="30">
        <f t="shared" si="2367"/>
        <v>5000</v>
      </c>
      <c r="L2234" s="187">
        <v>40000</v>
      </c>
      <c r="M2234" s="110">
        <v>9.5</v>
      </c>
      <c r="N2234" s="9">
        <f>VLOOKUP(DATE(YEAR(A2234),MONTH(A2234),DAY(A2234)),FY24_Temp[],3,FALSE)</f>
        <v>17.399999999999999</v>
      </c>
      <c r="O2234" s="110">
        <f t="shared" si="2354"/>
        <v>11.5</v>
      </c>
      <c r="P2234" s="110">
        <f t="shared" si="2355"/>
        <v>19.5</v>
      </c>
      <c r="Q2234" s="79">
        <f>VLOOKUP(VLOOKUP(DATEVALUE(TEXT(A2234,"m/d/yyyy")),FY24_Temp[],5,FALSE)&amp;TEXT(A2234,"-h"),TempDelta[],4,FALSE)</f>
        <v>1.7538571187428065</v>
      </c>
      <c r="R2234">
        <v>10</v>
      </c>
      <c r="S2234" s="112">
        <v>1500</v>
      </c>
      <c r="T2234" s="5">
        <f>VLOOKUP(TEXT(A2234,"yy-mm")&amp;"-"&amp;IF(AND(WEEKDAY(A2234)&gt;1,WEEKDAY(A2234)&lt;7),"Wkd",TEXT(A2234,"Ddd"))&amp;"-"&amp;TEXT(A2234,"hh"),LoadTable[],3,FALSE)*0.92</f>
        <v>316.63916103217565</v>
      </c>
      <c r="U2234" s="113">
        <f t="shared" si="2356"/>
        <v>31.663916103217566</v>
      </c>
      <c r="V2234">
        <f t="shared" ref="V2234:W2234" si="2416">V2210</f>
        <v>3.6</v>
      </c>
      <c r="W2234">
        <f t="shared" si="2416"/>
        <v>3.1</v>
      </c>
      <c r="X2234" s="9">
        <v>-49.5207301166663</v>
      </c>
      <c r="Y2234" s="39"/>
    </row>
    <row r="2235" spans="1:25" ht="15" thickBot="1">
      <c r="A2235" s="149">
        <f t="shared" si="2410"/>
        <v>45928.999999996566</v>
      </c>
      <c r="B2235" s="30">
        <f t="shared" si="2365"/>
        <v>5000</v>
      </c>
      <c r="C2235" s="8">
        <v>25000</v>
      </c>
      <c r="D2235" s="187">
        <v>0</v>
      </c>
      <c r="E2235" s="187">
        <v>700</v>
      </c>
      <c r="F2235" s="187">
        <v>15000</v>
      </c>
      <c r="G2235" s="151">
        <v>2470</v>
      </c>
      <c r="H2235" s="8">
        <f t="shared" si="2391"/>
        <v>25000</v>
      </c>
      <c r="I2235" s="30">
        <f t="shared" si="2366"/>
        <v>5000</v>
      </c>
      <c r="J2235" s="187">
        <v>40000</v>
      </c>
      <c r="K2235" s="30">
        <f t="shared" si="2367"/>
        <v>5000</v>
      </c>
      <c r="L2235" s="187">
        <v>40000</v>
      </c>
      <c r="M2235" s="110">
        <v>9.5</v>
      </c>
      <c r="N2235" s="9">
        <f>VLOOKUP(DATE(YEAR(A2235),MONTH(A2235),DAY(A2235)),FY24_Temp[],3,FALSE)</f>
        <v>17.399999999999999</v>
      </c>
      <c r="O2235" s="110">
        <f t="shared" si="2354"/>
        <v>11.5</v>
      </c>
      <c r="P2235" s="110">
        <f t="shared" si="2355"/>
        <v>19.5</v>
      </c>
      <c r="Q2235" s="79">
        <f>VLOOKUP(VLOOKUP(DATEVALUE(TEXT(A2235,"m/d/yyyy")),FY24_Temp[],5,FALSE)&amp;TEXT(A2235,"-h"),TempDelta[],4,FALSE)</f>
        <v>1.804142855</v>
      </c>
      <c r="R2235">
        <v>10</v>
      </c>
      <c r="S2235" s="112">
        <v>1500</v>
      </c>
      <c r="T2235" s="5">
        <f>VLOOKUP(TEXT(A2235,"yy-mm")&amp;"-"&amp;IF(AND(WEEKDAY(A2235)&gt;1,WEEKDAY(A2235)&lt;7),"Wkd",TEXT(A2235,"Ddd"))&amp;"-"&amp;TEXT(A2235,"hh"),LoadTable[],3,FALSE)*0.92</f>
        <v>289.0624787084426</v>
      </c>
      <c r="U2235" s="113">
        <f t="shared" si="2356"/>
        <v>28.906247870844261</v>
      </c>
      <c r="V2235">
        <f t="shared" ref="V2235:W2235" si="2417">V2211</f>
        <v>3</v>
      </c>
      <c r="W2235">
        <f t="shared" si="2417"/>
        <v>3.2</v>
      </c>
      <c r="X2235" s="9">
        <v>-49.5985246666663</v>
      </c>
      <c r="Y2235" s="39"/>
    </row>
    <row r="2236" spans="1:25" ht="15" thickBot="1">
      <c r="A2236" s="149">
        <f t="shared" si="2410"/>
        <v>45929.04166666323</v>
      </c>
      <c r="B2236" s="30">
        <f t="shared" si="2365"/>
        <v>5000</v>
      </c>
      <c r="C2236" s="8">
        <v>25000</v>
      </c>
      <c r="D2236" s="187">
        <v>0</v>
      </c>
      <c r="E2236" s="187">
        <v>700</v>
      </c>
      <c r="F2236" s="187">
        <v>15000</v>
      </c>
      <c r="G2236" s="151">
        <v>2470</v>
      </c>
      <c r="H2236" s="8">
        <f t="shared" si="2391"/>
        <v>25000</v>
      </c>
      <c r="I2236" s="30">
        <f t="shared" si="2366"/>
        <v>5000</v>
      </c>
      <c r="J2236" s="187">
        <v>40000</v>
      </c>
      <c r="K2236" s="30">
        <f t="shared" si="2367"/>
        <v>5000</v>
      </c>
      <c r="L2236" s="187">
        <v>40000</v>
      </c>
      <c r="M2236" s="110">
        <v>9.5</v>
      </c>
      <c r="N2236" s="9">
        <f>VLOOKUP(DATE(YEAR(A2236),MONTH(A2236),DAY(A2236)),FY24_Temp[],3,FALSE)</f>
        <v>17.399999999999999</v>
      </c>
      <c r="O2236" s="110">
        <f t="shared" si="2354"/>
        <v>11.5</v>
      </c>
      <c r="P2236" s="110">
        <f t="shared" si="2355"/>
        <v>19.5</v>
      </c>
      <c r="Q2236" s="79">
        <f>VLOOKUP(VLOOKUP(DATEVALUE(TEXT(A2236,"m/d/yyyy")),FY24_Temp[],5,FALSE)&amp;TEXT(A2236,"-h"),TempDelta[],4,FALSE)</f>
        <v>1.804142855</v>
      </c>
      <c r="R2236">
        <v>10</v>
      </c>
      <c r="S2236" s="112">
        <v>1500</v>
      </c>
      <c r="T2236" s="5">
        <f>VLOOKUP(TEXT(A2236,"yy-mm")&amp;"-"&amp;IF(AND(WEEKDAY(A2236)&gt;1,WEEKDAY(A2236)&lt;7),"Wkd",TEXT(A2236,"Ddd"))&amp;"-"&amp;TEXT(A2236,"hh"),LoadTable[],3,FALSE)*0.92</f>
        <v>289.0624787084426</v>
      </c>
      <c r="U2236" s="113">
        <f t="shared" si="2356"/>
        <v>28.906247870844261</v>
      </c>
      <c r="V2236">
        <f t="shared" ref="V2236:W2236" si="2418">V2212</f>
        <v>2.6</v>
      </c>
      <c r="W2236">
        <f t="shared" si="2418"/>
        <v>3.2</v>
      </c>
      <c r="X2236" s="9">
        <v>-49.6763192166663</v>
      </c>
      <c r="Y2236" s="39"/>
    </row>
    <row r="2237" spans="1:25" ht="15" thickBot="1">
      <c r="A2237" s="149">
        <f t="shared" si="2410"/>
        <v>45929.083333329894</v>
      </c>
      <c r="B2237" s="30">
        <f t="shared" si="2365"/>
        <v>5000</v>
      </c>
      <c r="C2237" s="8">
        <v>25000</v>
      </c>
      <c r="D2237" s="187">
        <v>0</v>
      </c>
      <c r="E2237" s="187">
        <v>700</v>
      </c>
      <c r="F2237" s="187">
        <v>15000</v>
      </c>
      <c r="G2237" s="151">
        <v>2470</v>
      </c>
      <c r="H2237" s="8">
        <f t="shared" si="2391"/>
        <v>25000</v>
      </c>
      <c r="I2237" s="30">
        <f t="shared" si="2366"/>
        <v>5000</v>
      </c>
      <c r="J2237" s="187">
        <v>40000</v>
      </c>
      <c r="K2237" s="30">
        <f t="shared" si="2367"/>
        <v>5000</v>
      </c>
      <c r="L2237" s="187">
        <v>40000</v>
      </c>
      <c r="M2237" s="110">
        <v>9.5</v>
      </c>
      <c r="N2237" s="9">
        <f>VLOOKUP(DATE(YEAR(A2237),MONTH(A2237),DAY(A2237)),FY24_Temp[],3,FALSE)</f>
        <v>17.399999999999999</v>
      </c>
      <c r="O2237" s="110">
        <f t="shared" si="2354"/>
        <v>11.5</v>
      </c>
      <c r="P2237" s="110">
        <f t="shared" si="2355"/>
        <v>19.5</v>
      </c>
      <c r="Q2237" s="79">
        <f>VLOOKUP(VLOOKUP(DATEVALUE(TEXT(A2237,"m/d/yyyy")),FY24_Temp[],5,FALSE)&amp;TEXT(A2237,"-h"),TempDelta[],4,FALSE)</f>
        <v>1.804142855</v>
      </c>
      <c r="R2237">
        <v>10</v>
      </c>
      <c r="S2237" s="112">
        <v>1500</v>
      </c>
      <c r="T2237" s="5">
        <f>VLOOKUP(TEXT(A2237,"yy-mm")&amp;"-"&amp;IF(AND(WEEKDAY(A2237)&gt;1,WEEKDAY(A2237)&lt;7),"Wkd",TEXT(A2237,"Ddd"))&amp;"-"&amp;TEXT(A2237,"hh"),LoadTable[],3,FALSE)*0.92</f>
        <v>289.0624787084426</v>
      </c>
      <c r="U2237" s="113">
        <f t="shared" si="2356"/>
        <v>28.906247870844261</v>
      </c>
      <c r="V2237">
        <f t="shared" ref="V2237:W2237" si="2419">V2213</f>
        <v>2.8</v>
      </c>
      <c r="W2237">
        <f t="shared" si="2419"/>
        <v>3.2</v>
      </c>
      <c r="X2237" s="9">
        <v>-49.7541137666663</v>
      </c>
      <c r="Y2237" s="39"/>
    </row>
    <row r="2238" spans="1:25" ht="15" thickBot="1">
      <c r="A2238" s="149">
        <f t="shared" si="2410"/>
        <v>45929.124999996558</v>
      </c>
      <c r="B2238" s="30">
        <f t="shared" si="2365"/>
        <v>5000</v>
      </c>
      <c r="C2238" s="8">
        <v>25000</v>
      </c>
      <c r="D2238" s="187">
        <v>0</v>
      </c>
      <c r="E2238" s="187">
        <v>700</v>
      </c>
      <c r="F2238" s="187">
        <v>15000</v>
      </c>
      <c r="G2238" s="151">
        <v>2470</v>
      </c>
      <c r="H2238" s="8">
        <f t="shared" si="2391"/>
        <v>25000</v>
      </c>
      <c r="I2238" s="30">
        <f t="shared" si="2366"/>
        <v>5000</v>
      </c>
      <c r="J2238" s="187">
        <v>40000</v>
      </c>
      <c r="K2238" s="30">
        <f t="shared" si="2367"/>
        <v>5000</v>
      </c>
      <c r="L2238" s="187">
        <v>40000</v>
      </c>
      <c r="M2238" s="110">
        <v>9.5</v>
      </c>
      <c r="N2238" s="9">
        <f>VLOOKUP(DATE(YEAR(A2238),MONTH(A2238),DAY(A2238)),FY24_Temp[],3,FALSE)</f>
        <v>17.399999999999999</v>
      </c>
      <c r="O2238" s="110">
        <f t="shared" si="2354"/>
        <v>11.5</v>
      </c>
      <c r="P2238" s="110">
        <f t="shared" si="2355"/>
        <v>19.5</v>
      </c>
      <c r="Q2238" s="79">
        <f>VLOOKUP(VLOOKUP(DATEVALUE(TEXT(A2238,"m/d/yyyy")),FY24_Temp[],5,FALSE)&amp;TEXT(A2238,"-h"),TempDelta[],4,FALSE)</f>
        <v>1.804142855</v>
      </c>
      <c r="R2238">
        <v>10</v>
      </c>
      <c r="S2238" s="112">
        <v>1500</v>
      </c>
      <c r="T2238" s="5">
        <f>VLOOKUP(TEXT(A2238,"yy-mm")&amp;"-"&amp;IF(AND(WEEKDAY(A2238)&gt;1,WEEKDAY(A2238)&lt;7),"Wkd",TEXT(A2238,"Ddd"))&amp;"-"&amp;TEXT(A2238,"hh"),LoadTable[],3,FALSE)*0.92</f>
        <v>289.05894152419745</v>
      </c>
      <c r="U2238" s="113">
        <f t="shared" si="2356"/>
        <v>28.905894152419744</v>
      </c>
      <c r="V2238">
        <f t="shared" ref="V2238:W2238" si="2420">V2214</f>
        <v>2.7</v>
      </c>
      <c r="W2238">
        <f t="shared" si="2420"/>
        <v>3.2</v>
      </c>
      <c r="X2238" s="9">
        <v>-49.831908316666301</v>
      </c>
      <c r="Y2238" s="39"/>
    </row>
    <row r="2239" spans="1:25" ht="15" thickBot="1">
      <c r="A2239" s="149">
        <f t="shared" si="2410"/>
        <v>45929.166666663223</v>
      </c>
      <c r="B2239" s="30">
        <f t="shared" si="2365"/>
        <v>5000</v>
      </c>
      <c r="C2239" s="8">
        <v>25000</v>
      </c>
      <c r="D2239" s="187">
        <v>0</v>
      </c>
      <c r="E2239" s="187">
        <v>700</v>
      </c>
      <c r="F2239" s="187">
        <v>15000</v>
      </c>
      <c r="G2239" s="151">
        <v>2470</v>
      </c>
      <c r="H2239" s="8">
        <f t="shared" si="2391"/>
        <v>25000</v>
      </c>
      <c r="I2239" s="30">
        <f t="shared" si="2366"/>
        <v>5000</v>
      </c>
      <c r="J2239" s="187">
        <v>40000</v>
      </c>
      <c r="K2239" s="30">
        <f t="shared" si="2367"/>
        <v>5000</v>
      </c>
      <c r="L2239" s="187">
        <v>40000</v>
      </c>
      <c r="M2239" s="110">
        <v>9.5</v>
      </c>
      <c r="N2239" s="9">
        <f>VLOOKUP(DATE(YEAR(A2239),MONTH(A2239),DAY(A2239)),FY24_Temp[],3,FALSE)</f>
        <v>17.399999999999999</v>
      </c>
      <c r="O2239" s="110">
        <f t="shared" si="2354"/>
        <v>11.5</v>
      </c>
      <c r="P2239" s="110">
        <f t="shared" si="2355"/>
        <v>19.5</v>
      </c>
      <c r="Q2239" s="79">
        <f>VLOOKUP(VLOOKUP(DATEVALUE(TEXT(A2239,"m/d/yyyy")),FY24_Temp[],5,FALSE)&amp;TEXT(A2239,"-h"),TempDelta[],4,FALSE)</f>
        <v>1.804142855</v>
      </c>
      <c r="R2239">
        <v>10</v>
      </c>
      <c r="S2239" s="112">
        <v>1500</v>
      </c>
      <c r="T2239" s="5">
        <f>VLOOKUP(TEXT(A2239,"yy-mm")&amp;"-"&amp;IF(AND(WEEKDAY(A2239)&gt;1,WEEKDAY(A2239)&lt;7),"Wkd",TEXT(A2239,"Ddd"))&amp;"-"&amp;TEXT(A2239,"hh"),LoadTable[],3,FALSE)*0.92</f>
        <v>289.05894152419745</v>
      </c>
      <c r="U2239" s="113">
        <f t="shared" si="2356"/>
        <v>28.905894152419744</v>
      </c>
      <c r="V2239">
        <f t="shared" ref="V2239:W2239" si="2421">V2215</f>
        <v>3</v>
      </c>
      <c r="W2239">
        <f t="shared" si="2421"/>
        <v>3.1</v>
      </c>
      <c r="X2239" s="9">
        <v>-49.909702866666301</v>
      </c>
      <c r="Y2239" s="39"/>
    </row>
    <row r="2240" spans="1:25" ht="15" thickBot="1">
      <c r="A2240" s="149">
        <f t="shared" si="2410"/>
        <v>45929.208333329887</v>
      </c>
      <c r="B2240" s="30">
        <f t="shared" si="2365"/>
        <v>5000</v>
      </c>
      <c r="C2240" s="8">
        <v>25000</v>
      </c>
      <c r="D2240" s="187">
        <v>0</v>
      </c>
      <c r="E2240" s="187">
        <v>700</v>
      </c>
      <c r="F2240" s="187">
        <v>15000</v>
      </c>
      <c r="G2240" s="151">
        <v>2470</v>
      </c>
      <c r="H2240" s="8">
        <f t="shared" si="2391"/>
        <v>25000</v>
      </c>
      <c r="I2240" s="30">
        <f t="shared" si="2366"/>
        <v>5000</v>
      </c>
      <c r="J2240" s="187">
        <v>40000</v>
      </c>
      <c r="K2240" s="30">
        <f t="shared" si="2367"/>
        <v>5000</v>
      </c>
      <c r="L2240" s="187">
        <v>40000</v>
      </c>
      <c r="M2240" s="110">
        <v>9.5</v>
      </c>
      <c r="N2240" s="9">
        <f>VLOOKUP(DATE(YEAR(A2240),MONTH(A2240),DAY(A2240)),FY24_Temp[],3,FALSE)</f>
        <v>17.399999999999999</v>
      </c>
      <c r="O2240" s="110">
        <f t="shared" si="2354"/>
        <v>11.5</v>
      </c>
      <c r="P2240" s="110">
        <f t="shared" si="2355"/>
        <v>19.5</v>
      </c>
      <c r="Q2240" s="79">
        <f>VLOOKUP(VLOOKUP(DATEVALUE(TEXT(A2240,"m/d/yyyy")),FY24_Temp[],5,FALSE)&amp;TEXT(A2240,"-h"),TempDelta[],4,FALSE)</f>
        <v>1.804142855</v>
      </c>
      <c r="R2240">
        <v>10</v>
      </c>
      <c r="S2240" s="112">
        <v>1500</v>
      </c>
      <c r="T2240" s="5">
        <f>VLOOKUP(TEXT(A2240,"yy-mm")&amp;"-"&amp;IF(AND(WEEKDAY(A2240)&gt;1,WEEKDAY(A2240)&lt;7),"Wkd",TEXT(A2240,"Ddd"))&amp;"-"&amp;TEXT(A2240,"hh"),LoadTable[],3,FALSE)*0.92</f>
        <v>289.05894152419745</v>
      </c>
      <c r="U2240" s="113">
        <f t="shared" si="2356"/>
        <v>28.905894152419744</v>
      </c>
      <c r="V2240">
        <f t="shared" ref="V2240:W2240" si="2422">V2216</f>
        <v>2.9</v>
      </c>
      <c r="W2240">
        <f t="shared" si="2422"/>
        <v>3.1</v>
      </c>
      <c r="X2240" s="9">
        <v>-49.987497416666301</v>
      </c>
      <c r="Y2240" s="39"/>
    </row>
    <row r="2241" spans="1:25" ht="15" thickBot="1">
      <c r="A2241" s="149">
        <f t="shared" si="2410"/>
        <v>45929.249999996551</v>
      </c>
      <c r="B2241" s="30">
        <f t="shared" si="2365"/>
        <v>8000</v>
      </c>
      <c r="C2241" s="8">
        <v>25000</v>
      </c>
      <c r="D2241" s="187">
        <v>0</v>
      </c>
      <c r="E2241" s="187">
        <v>700</v>
      </c>
      <c r="F2241" s="187">
        <v>15000</v>
      </c>
      <c r="G2241" s="151">
        <v>2470</v>
      </c>
      <c r="H2241" s="8">
        <f t="shared" si="2391"/>
        <v>25000</v>
      </c>
      <c r="I2241" s="30">
        <f t="shared" si="2366"/>
        <v>8000</v>
      </c>
      <c r="J2241" s="187">
        <v>40000</v>
      </c>
      <c r="K2241" s="30">
        <f t="shared" si="2367"/>
        <v>8000</v>
      </c>
      <c r="L2241" s="187">
        <v>40000</v>
      </c>
      <c r="M2241" s="110">
        <v>9.5</v>
      </c>
      <c r="N2241" s="9">
        <f>VLOOKUP(DATE(YEAR(A2241),MONTH(A2241),DAY(A2241)),FY24_Temp[],3,FALSE)</f>
        <v>17.399999999999999</v>
      </c>
      <c r="O2241" s="110">
        <f t="shared" si="2354"/>
        <v>11.5</v>
      </c>
      <c r="P2241" s="110">
        <f t="shared" si="2355"/>
        <v>19.5</v>
      </c>
      <c r="Q2241" s="79">
        <f>VLOOKUP(VLOOKUP(DATEVALUE(TEXT(A2241,"m/d/yyyy")),FY24_Temp[],5,FALSE)&amp;TEXT(A2241,"-h"),TempDelta[],4,FALSE)</f>
        <v>1.6668571404048376</v>
      </c>
      <c r="R2241">
        <v>10</v>
      </c>
      <c r="S2241" s="112">
        <v>1500</v>
      </c>
      <c r="T2241" s="5">
        <f>VLOOKUP(TEXT(A2241,"yy-mm")&amp;"-"&amp;IF(AND(WEEKDAY(A2241)&gt;1,WEEKDAY(A2241)&lt;7),"Wkd",TEXT(A2241,"Ddd"))&amp;"-"&amp;TEXT(A2241,"hh"),LoadTable[],3,FALSE)*0.92</f>
        <v>291.12479999999999</v>
      </c>
      <c r="U2241" s="113">
        <f t="shared" si="2356"/>
        <v>29.112479999999998</v>
      </c>
      <c r="V2241">
        <f t="shared" ref="V2241:W2241" si="2423">V2217</f>
        <v>2.5</v>
      </c>
      <c r="W2241">
        <f t="shared" si="2423"/>
        <v>3.1</v>
      </c>
      <c r="X2241" s="9">
        <v>-50.065291966666301</v>
      </c>
      <c r="Y2241" s="39"/>
    </row>
    <row r="2242" spans="1:25" ht="15" thickBot="1">
      <c r="A2242" s="149">
        <f t="shared" si="2410"/>
        <v>45929.291666663215</v>
      </c>
      <c r="B2242" s="30">
        <f t="shared" si="2365"/>
        <v>8000</v>
      </c>
      <c r="C2242" s="8">
        <v>25000</v>
      </c>
      <c r="D2242" s="187">
        <v>0</v>
      </c>
      <c r="E2242" s="187">
        <v>700</v>
      </c>
      <c r="F2242" s="187">
        <v>15000</v>
      </c>
      <c r="G2242" s="151">
        <v>2470</v>
      </c>
      <c r="H2242" s="8">
        <f t="shared" si="2391"/>
        <v>25000</v>
      </c>
      <c r="I2242" s="30">
        <f t="shared" si="2366"/>
        <v>8000</v>
      </c>
      <c r="J2242" s="187">
        <v>40000</v>
      </c>
      <c r="K2242" s="30">
        <f t="shared" si="2367"/>
        <v>8000</v>
      </c>
      <c r="L2242" s="187">
        <v>40000</v>
      </c>
      <c r="M2242" s="110">
        <v>9.5</v>
      </c>
      <c r="N2242" s="9">
        <f>VLOOKUP(DATE(YEAR(A2242),MONTH(A2242),DAY(A2242)),FY24_Temp[],3,FALSE)</f>
        <v>17.399999999999999</v>
      </c>
      <c r="O2242" s="110">
        <f t="shared" si="2354"/>
        <v>11.5</v>
      </c>
      <c r="P2242" s="110">
        <f t="shared" si="2355"/>
        <v>19.5</v>
      </c>
      <c r="Q2242" s="79">
        <f>VLOOKUP(VLOOKUP(DATEVALUE(TEXT(A2242,"m/d/yyyy")),FY24_Temp[],5,FALSE)&amp;TEXT(A2242,"-h"),TempDelta[],4,FALSE)</f>
        <v>1.5237142699105399</v>
      </c>
      <c r="R2242">
        <v>10</v>
      </c>
      <c r="S2242" s="112">
        <v>1500</v>
      </c>
      <c r="T2242" s="5">
        <f>VLOOKUP(TEXT(A2242,"yy-mm")&amp;"-"&amp;IF(AND(WEEKDAY(A2242)&gt;1,WEEKDAY(A2242)&lt;7),"Wkd",TEXT(A2242,"Ddd"))&amp;"-"&amp;TEXT(A2242,"hh"),LoadTable[],3,FALSE)*0.92</f>
        <v>291.12479999999999</v>
      </c>
      <c r="U2242" s="113">
        <f t="shared" si="2356"/>
        <v>29.112479999999998</v>
      </c>
      <c r="V2242">
        <f t="shared" ref="V2242:W2242" si="2424">V2218</f>
        <v>2.5</v>
      </c>
      <c r="W2242">
        <f t="shared" si="2424"/>
        <v>3.1</v>
      </c>
      <c r="X2242" s="9">
        <v>-50.143086516666301</v>
      </c>
      <c r="Y2242" s="39"/>
    </row>
    <row r="2243" spans="1:25" ht="15" thickBot="1">
      <c r="A2243" s="149">
        <f t="shared" si="2410"/>
        <v>45929.33333332988</v>
      </c>
      <c r="B2243" s="30">
        <f t="shared" si="2365"/>
        <v>8000</v>
      </c>
      <c r="C2243" s="8">
        <v>25000</v>
      </c>
      <c r="D2243" s="187">
        <v>0</v>
      </c>
      <c r="E2243" s="187">
        <v>700</v>
      </c>
      <c r="F2243" s="187">
        <v>15000</v>
      </c>
      <c r="G2243" s="151">
        <v>2470</v>
      </c>
      <c r="H2243" s="8">
        <f t="shared" si="2391"/>
        <v>25000</v>
      </c>
      <c r="I2243" s="30">
        <f t="shared" si="2366"/>
        <v>8000</v>
      </c>
      <c r="J2243" s="187">
        <v>40000</v>
      </c>
      <c r="K2243" s="30">
        <f t="shared" si="2367"/>
        <v>8000</v>
      </c>
      <c r="L2243" s="187">
        <v>40000</v>
      </c>
      <c r="M2243" s="110">
        <v>9.5</v>
      </c>
      <c r="N2243" s="9">
        <f>VLOOKUP(DATE(YEAR(A2243),MONTH(A2243),DAY(A2243)),FY24_Temp[],3,FALSE)</f>
        <v>17.399999999999999</v>
      </c>
      <c r="O2243" s="110">
        <f t="shared" si="2354"/>
        <v>11.5</v>
      </c>
      <c r="P2243" s="110">
        <f t="shared" si="2355"/>
        <v>19.5</v>
      </c>
      <c r="Q2243" s="79">
        <f>VLOOKUP(VLOOKUP(DATEVALUE(TEXT(A2243,"m/d/yyyy")),FY24_Temp[],5,FALSE)&amp;TEXT(A2243,"-h"),TempDelta[],4,FALSE)</f>
        <v>1.3942857129233224</v>
      </c>
      <c r="R2243">
        <v>10</v>
      </c>
      <c r="S2243" s="112">
        <v>1500</v>
      </c>
      <c r="T2243" s="5">
        <f>VLOOKUP(TEXT(A2243,"yy-mm")&amp;"-"&amp;IF(AND(WEEKDAY(A2243)&gt;1,WEEKDAY(A2243)&lt;7),"Wkd",TEXT(A2243,"Ddd"))&amp;"-"&amp;TEXT(A2243,"hh"),LoadTable[],3,FALSE)*0.92</f>
        <v>291.12479999999999</v>
      </c>
      <c r="U2243" s="113">
        <f t="shared" si="2356"/>
        <v>29.112479999999998</v>
      </c>
      <c r="V2243">
        <f t="shared" ref="V2243:W2243" si="2425">V2219</f>
        <v>3.2</v>
      </c>
      <c r="W2243">
        <f t="shared" si="2425"/>
        <v>3</v>
      </c>
      <c r="X2243" s="9">
        <v>-50.220881066666301</v>
      </c>
      <c r="Y2243" s="39"/>
    </row>
    <row r="2244" spans="1:25" ht="15" thickBot="1">
      <c r="A2244" s="149">
        <f t="shared" si="2410"/>
        <v>45929.374999996544</v>
      </c>
      <c r="B2244" s="30">
        <f t="shared" si="2365"/>
        <v>8000</v>
      </c>
      <c r="C2244" s="8">
        <v>25000</v>
      </c>
      <c r="D2244" s="187">
        <v>0</v>
      </c>
      <c r="E2244" s="187">
        <v>700</v>
      </c>
      <c r="F2244" s="187">
        <v>15000</v>
      </c>
      <c r="G2244" s="151">
        <v>2470</v>
      </c>
      <c r="H2244" s="8">
        <f t="shared" si="2391"/>
        <v>25000</v>
      </c>
      <c r="I2244" s="30">
        <f t="shared" si="2366"/>
        <v>8000</v>
      </c>
      <c r="J2244" s="187">
        <v>40000</v>
      </c>
      <c r="K2244" s="30">
        <f t="shared" si="2367"/>
        <v>8000</v>
      </c>
      <c r="L2244" s="187">
        <v>40000</v>
      </c>
      <c r="M2244" s="110">
        <v>9.5</v>
      </c>
      <c r="N2244" s="9">
        <f>VLOOKUP(DATE(YEAR(A2244),MONTH(A2244),DAY(A2244)),FY24_Temp[],3,FALSE)</f>
        <v>17.399999999999999</v>
      </c>
      <c r="O2244" s="110">
        <f t="shared" ref="O2244:O2307" si="2426">15.5-4</f>
        <v>11.5</v>
      </c>
      <c r="P2244" s="110">
        <f t="shared" ref="P2244:P2307" si="2427">15.5+4</f>
        <v>19.5</v>
      </c>
      <c r="Q2244" s="79">
        <f>VLOOKUP(VLOOKUP(DATEVALUE(TEXT(A2244,"m/d/yyyy")),FY24_Temp[],5,FALSE)&amp;TEXT(A2244,"-h"),TempDelta[],4,FALSE)</f>
        <v>1.2751428655215673</v>
      </c>
      <c r="R2244">
        <v>10</v>
      </c>
      <c r="S2244" s="112">
        <v>1500</v>
      </c>
      <c r="T2244" s="5">
        <f>VLOOKUP(TEXT(A2244,"yy-mm")&amp;"-"&amp;IF(AND(WEEKDAY(A2244)&gt;1,WEEKDAY(A2244)&lt;7),"Wkd",TEXT(A2244,"Ddd"))&amp;"-"&amp;TEXT(A2244,"hh"),LoadTable[],3,FALSE)*0.92</f>
        <v>291.12479999999999</v>
      </c>
      <c r="U2244" s="113">
        <f t="shared" ref="U2244:U2307" si="2428">T2244/10</f>
        <v>29.112479999999998</v>
      </c>
      <c r="V2244">
        <f t="shared" ref="V2244:W2244" si="2429">V2220</f>
        <v>2.9</v>
      </c>
      <c r="W2244">
        <f t="shared" si="2429"/>
        <v>3</v>
      </c>
      <c r="X2244" s="9">
        <v>-50.298675616666301</v>
      </c>
      <c r="Y2244" s="39"/>
    </row>
    <row r="2245" spans="1:25" ht="15" thickBot="1">
      <c r="A2245" s="149">
        <f t="shared" si="2410"/>
        <v>45929.416666663208</v>
      </c>
      <c r="B2245" s="30">
        <f t="shared" si="2365"/>
        <v>8000</v>
      </c>
      <c r="C2245" s="8">
        <v>25000</v>
      </c>
      <c r="D2245" s="187">
        <v>0</v>
      </c>
      <c r="E2245" s="187">
        <v>700</v>
      </c>
      <c r="F2245" s="187">
        <v>15000</v>
      </c>
      <c r="G2245" s="151">
        <v>2470</v>
      </c>
      <c r="H2245" s="8">
        <f t="shared" si="2391"/>
        <v>25000</v>
      </c>
      <c r="I2245" s="30">
        <f t="shared" si="2366"/>
        <v>8000</v>
      </c>
      <c r="J2245" s="187">
        <v>40000</v>
      </c>
      <c r="K2245" s="30">
        <f t="shared" si="2367"/>
        <v>8000</v>
      </c>
      <c r="L2245" s="187">
        <v>40000</v>
      </c>
      <c r="M2245" s="110">
        <v>9.5</v>
      </c>
      <c r="N2245" s="9">
        <f>VLOOKUP(DATE(YEAR(A2245),MONTH(A2245),DAY(A2245)),FY24_Temp[],3,FALSE)</f>
        <v>17.399999999999999</v>
      </c>
      <c r="O2245" s="110">
        <f t="shared" si="2426"/>
        <v>11.5</v>
      </c>
      <c r="P2245" s="110">
        <f t="shared" si="2427"/>
        <v>19.5</v>
      </c>
      <c r="Q2245" s="79">
        <f>VLOOKUP(VLOOKUP(DATEVALUE(TEXT(A2245,"m/d/yyyy")),FY24_Temp[],5,FALSE)&amp;TEXT(A2245,"-h"),TempDelta[],4,FALSE)</f>
        <v>1.1441428746495927</v>
      </c>
      <c r="R2245">
        <v>10</v>
      </c>
      <c r="S2245" s="112">
        <v>1500</v>
      </c>
      <c r="T2245" s="5">
        <f>VLOOKUP(TEXT(A2245,"yy-mm")&amp;"-"&amp;IF(AND(WEEKDAY(A2245)&gt;1,WEEKDAY(A2245)&lt;7),"Wkd",TEXT(A2245,"Ddd"))&amp;"-"&amp;TEXT(A2245,"hh"),LoadTable[],3,FALSE)*0.92</f>
        <v>290.74956158350585</v>
      </c>
      <c r="U2245" s="113">
        <f t="shared" si="2428"/>
        <v>29.074956158350584</v>
      </c>
      <c r="V2245">
        <f t="shared" ref="V2245:W2245" si="2430">V2221</f>
        <v>2.9</v>
      </c>
      <c r="W2245">
        <f t="shared" si="2430"/>
        <v>3</v>
      </c>
      <c r="X2245" s="9">
        <v>-50.376470166666302</v>
      </c>
      <c r="Y2245" s="39"/>
    </row>
    <row r="2246" spans="1:25" ht="15" thickBot="1">
      <c r="A2246" s="149">
        <f t="shared" si="2410"/>
        <v>45929.458333329872</v>
      </c>
      <c r="B2246" s="30">
        <f t="shared" si="2365"/>
        <v>8000</v>
      </c>
      <c r="C2246" s="8">
        <v>25000</v>
      </c>
      <c r="D2246" s="187">
        <v>0</v>
      </c>
      <c r="E2246" s="187">
        <v>700</v>
      </c>
      <c r="F2246" s="187">
        <v>15000</v>
      </c>
      <c r="G2246" s="151">
        <v>2470</v>
      </c>
      <c r="H2246" s="8">
        <f t="shared" si="2391"/>
        <v>25000</v>
      </c>
      <c r="I2246" s="30">
        <f t="shared" si="2366"/>
        <v>8000</v>
      </c>
      <c r="J2246" s="187">
        <v>40000</v>
      </c>
      <c r="K2246" s="30">
        <f t="shared" si="2367"/>
        <v>8000</v>
      </c>
      <c r="L2246" s="187">
        <v>40000</v>
      </c>
      <c r="M2246" s="110">
        <v>9.5</v>
      </c>
      <c r="N2246" s="9">
        <f>VLOOKUP(DATE(YEAR(A2246),MONTH(A2246),DAY(A2246)),FY24_Temp[],3,FALSE)</f>
        <v>17.399999999999999</v>
      </c>
      <c r="O2246" s="110">
        <f t="shared" si="2426"/>
        <v>11.5</v>
      </c>
      <c r="P2246" s="110">
        <f t="shared" si="2427"/>
        <v>19.5</v>
      </c>
      <c r="Q2246" s="79">
        <f>VLOOKUP(VLOOKUP(DATEVALUE(TEXT(A2246,"m/d/yyyy")),FY24_Temp[],5,FALSE)&amp;TEXT(A2246,"-h"),TempDelta[],4,FALSE)</f>
        <v>1.006714301449912</v>
      </c>
      <c r="R2246">
        <v>10</v>
      </c>
      <c r="S2246" s="112">
        <v>1500</v>
      </c>
      <c r="T2246" s="5">
        <f>VLOOKUP(TEXT(A2246,"yy-mm")&amp;"-"&amp;IF(AND(WEEKDAY(A2246)&gt;1,WEEKDAY(A2246)&lt;7),"Wkd",TEXT(A2246,"Ddd"))&amp;"-"&amp;TEXT(A2246,"hh"),LoadTable[],3,FALSE)*0.92</f>
        <v>290.74956158350585</v>
      </c>
      <c r="U2246" s="113">
        <f t="shared" si="2428"/>
        <v>29.074956158350584</v>
      </c>
      <c r="V2246">
        <f t="shared" ref="V2246:W2246" si="2431">V2222</f>
        <v>3.4</v>
      </c>
      <c r="W2246">
        <f t="shared" si="2431"/>
        <v>3</v>
      </c>
      <c r="X2246" s="9">
        <v>-50.454264716666302</v>
      </c>
      <c r="Y2246" s="39"/>
    </row>
    <row r="2247" spans="1:25" ht="15" thickBot="1">
      <c r="A2247" s="149">
        <f t="shared" si="2410"/>
        <v>45929.499999996537</v>
      </c>
      <c r="B2247" s="30">
        <f t="shared" si="2365"/>
        <v>8000</v>
      </c>
      <c r="C2247" s="8">
        <v>25000</v>
      </c>
      <c r="D2247" s="187">
        <v>0</v>
      </c>
      <c r="E2247" s="187">
        <v>700</v>
      </c>
      <c r="F2247" s="187">
        <v>15000</v>
      </c>
      <c r="G2247" s="151">
        <v>2470</v>
      </c>
      <c r="H2247" s="8">
        <f t="shared" si="2391"/>
        <v>25000</v>
      </c>
      <c r="I2247" s="30">
        <f t="shared" si="2366"/>
        <v>8000</v>
      </c>
      <c r="J2247" s="187">
        <v>40000</v>
      </c>
      <c r="K2247" s="30">
        <f t="shared" si="2367"/>
        <v>8000</v>
      </c>
      <c r="L2247" s="187">
        <v>40000</v>
      </c>
      <c r="M2247" s="110">
        <v>9.5</v>
      </c>
      <c r="N2247" s="9">
        <f>VLOOKUP(DATE(YEAR(A2247),MONTH(A2247),DAY(A2247)),FY24_Temp[],3,FALSE)</f>
        <v>17.399999999999999</v>
      </c>
      <c r="O2247" s="110">
        <f t="shared" si="2426"/>
        <v>11.5</v>
      </c>
      <c r="P2247" s="110">
        <f t="shared" si="2427"/>
        <v>19.5</v>
      </c>
      <c r="Q2247" s="79">
        <f>VLOOKUP(VLOOKUP(DATEVALUE(TEXT(A2247,"m/d/yyyy")),FY24_Temp[],5,FALSE)&amp;TEXT(A2247,"-h"),TempDelta[],4,FALSE)</f>
        <v>0.87971426759447369</v>
      </c>
      <c r="R2247">
        <v>10</v>
      </c>
      <c r="S2247" s="112">
        <v>1500</v>
      </c>
      <c r="T2247" s="5">
        <f>VLOOKUP(TEXT(A2247,"yy-mm")&amp;"-"&amp;IF(AND(WEEKDAY(A2247)&gt;1,WEEKDAY(A2247)&lt;7),"Wkd",TEXT(A2247,"Ddd"))&amp;"-"&amp;TEXT(A2247,"hh"),LoadTable[],3,FALSE)*0.92</f>
        <v>290.74956158350585</v>
      </c>
      <c r="U2247" s="113">
        <f t="shared" si="2428"/>
        <v>29.074956158350584</v>
      </c>
      <c r="V2247">
        <f t="shared" ref="V2247:W2247" si="2432">V2223</f>
        <v>3.1</v>
      </c>
      <c r="W2247">
        <f t="shared" si="2432"/>
        <v>2.9</v>
      </c>
      <c r="X2247" s="9">
        <v>-50.532059266666302</v>
      </c>
      <c r="Y2247" s="39"/>
    </row>
    <row r="2248" spans="1:25" ht="15" thickBot="1">
      <c r="A2248" s="149">
        <f t="shared" si="2410"/>
        <v>45929.541666663201</v>
      </c>
      <c r="B2248" s="30">
        <f t="shared" si="2365"/>
        <v>8000</v>
      </c>
      <c r="C2248" s="8">
        <v>25000</v>
      </c>
      <c r="D2248" s="187">
        <v>0</v>
      </c>
      <c r="E2248" s="187">
        <v>700</v>
      </c>
      <c r="F2248" s="187">
        <v>15000</v>
      </c>
      <c r="G2248" s="151">
        <v>2470</v>
      </c>
      <c r="H2248" s="8">
        <f t="shared" si="2391"/>
        <v>25000</v>
      </c>
      <c r="I2248" s="30">
        <f t="shared" si="2366"/>
        <v>8000</v>
      </c>
      <c r="J2248" s="187">
        <v>40000</v>
      </c>
      <c r="K2248" s="30">
        <f t="shared" si="2367"/>
        <v>8000</v>
      </c>
      <c r="L2248" s="187">
        <v>40000</v>
      </c>
      <c r="M2248" s="110">
        <v>9.5</v>
      </c>
      <c r="N2248" s="9">
        <f>VLOOKUP(DATE(YEAR(A2248),MONTH(A2248),DAY(A2248)),FY24_Temp[],3,FALSE)</f>
        <v>17.399999999999999</v>
      </c>
      <c r="O2248" s="110">
        <f t="shared" si="2426"/>
        <v>11.5</v>
      </c>
      <c r="P2248" s="110">
        <f t="shared" si="2427"/>
        <v>19.5</v>
      </c>
      <c r="Q2248" s="79">
        <f>VLOOKUP(VLOOKUP(DATEVALUE(TEXT(A2248,"m/d/yyyy")),FY24_Temp[],5,FALSE)&amp;TEXT(A2248,"-h"),TempDelta[],4,FALSE)</f>
        <v>0.77128570420401432</v>
      </c>
      <c r="R2248">
        <v>10</v>
      </c>
      <c r="S2248" s="112">
        <v>1500</v>
      </c>
      <c r="T2248" s="5">
        <f>VLOOKUP(TEXT(A2248,"yy-mm")&amp;"-"&amp;IF(AND(WEEKDAY(A2248)&gt;1,WEEKDAY(A2248)&lt;7),"Wkd",TEXT(A2248,"Ddd"))&amp;"-"&amp;TEXT(A2248,"hh"),LoadTable[],3,FALSE)*0.92</f>
        <v>290.72204920255348</v>
      </c>
      <c r="U2248" s="113">
        <f t="shared" si="2428"/>
        <v>29.072204920255349</v>
      </c>
      <c r="V2248">
        <f t="shared" ref="V2248:W2248" si="2433">V2224</f>
        <v>3.2</v>
      </c>
      <c r="W2248">
        <f t="shared" si="2433"/>
        <v>2.9</v>
      </c>
      <c r="X2248" s="9">
        <v>-50.609853816666302</v>
      </c>
      <c r="Y2248" s="39"/>
    </row>
    <row r="2249" spans="1:25" ht="15" thickBot="1">
      <c r="A2249" s="149">
        <f t="shared" si="2410"/>
        <v>45929.583333329865</v>
      </c>
      <c r="B2249" s="30">
        <f t="shared" si="2365"/>
        <v>8000</v>
      </c>
      <c r="C2249" s="8">
        <v>25000</v>
      </c>
      <c r="D2249" s="187">
        <v>0</v>
      </c>
      <c r="E2249" s="187">
        <v>700</v>
      </c>
      <c r="F2249" s="187">
        <v>15000</v>
      </c>
      <c r="G2249" s="151">
        <v>2470</v>
      </c>
      <c r="H2249" s="8">
        <f t="shared" si="2391"/>
        <v>25000</v>
      </c>
      <c r="I2249" s="30">
        <f t="shared" si="2366"/>
        <v>8000</v>
      </c>
      <c r="J2249" s="187">
        <v>40000</v>
      </c>
      <c r="K2249" s="30">
        <f t="shared" si="2367"/>
        <v>8000</v>
      </c>
      <c r="L2249" s="187">
        <v>40000</v>
      </c>
      <c r="M2249" s="110">
        <v>9.5</v>
      </c>
      <c r="N2249" s="9">
        <f>VLOOKUP(DATE(YEAR(A2249),MONTH(A2249),DAY(A2249)),FY24_Temp[],3,FALSE)</f>
        <v>17.399999999999999</v>
      </c>
      <c r="O2249" s="110">
        <f t="shared" si="2426"/>
        <v>11.5</v>
      </c>
      <c r="P2249" s="110">
        <f t="shared" si="2427"/>
        <v>19.5</v>
      </c>
      <c r="Q2249" s="79">
        <f>VLOOKUP(VLOOKUP(DATEVALUE(TEXT(A2249,"m/d/yyyy")),FY24_Temp[],5,FALSE)&amp;TEXT(A2249,"-h"),TempDelta[],4,FALSE)</f>
        <v>0.72371428353445866</v>
      </c>
      <c r="R2249">
        <v>10</v>
      </c>
      <c r="S2249" s="112">
        <v>1500</v>
      </c>
      <c r="T2249" s="5">
        <f>VLOOKUP(TEXT(A2249,"yy-mm")&amp;"-"&amp;IF(AND(WEEKDAY(A2249)&gt;1,WEEKDAY(A2249)&lt;7),"Wkd",TEXT(A2249,"Ddd"))&amp;"-"&amp;TEXT(A2249,"hh"),LoadTable[],3,FALSE)*0.92</f>
        <v>363.28132000000005</v>
      </c>
      <c r="U2249" s="113">
        <f t="shared" si="2428"/>
        <v>36.328132000000004</v>
      </c>
      <c r="V2249">
        <f t="shared" ref="V2249:W2249" si="2434">V2225</f>
        <v>3.5</v>
      </c>
      <c r="W2249">
        <f t="shared" si="2434"/>
        <v>2.9</v>
      </c>
      <c r="X2249" s="9">
        <v>-50.687648366666302</v>
      </c>
      <c r="Y2249" s="39"/>
    </row>
    <row r="2250" spans="1:25" ht="15" thickBot="1">
      <c r="A2250" s="149">
        <f t="shared" si="2410"/>
        <v>45929.624999996529</v>
      </c>
      <c r="B2250" s="30">
        <f t="shared" si="2365"/>
        <v>8000</v>
      </c>
      <c r="C2250" s="8">
        <v>25000</v>
      </c>
      <c r="D2250" s="187">
        <v>0</v>
      </c>
      <c r="E2250" s="187">
        <v>700</v>
      </c>
      <c r="F2250" s="187">
        <v>15000</v>
      </c>
      <c r="G2250" s="151">
        <v>2470</v>
      </c>
      <c r="H2250" s="8">
        <f t="shared" si="2391"/>
        <v>25000</v>
      </c>
      <c r="I2250" s="30">
        <f t="shared" si="2366"/>
        <v>8000</v>
      </c>
      <c r="J2250" s="187">
        <v>40000</v>
      </c>
      <c r="K2250" s="30">
        <f t="shared" si="2367"/>
        <v>8000</v>
      </c>
      <c r="L2250" s="187">
        <v>40000</v>
      </c>
      <c r="M2250" s="110">
        <v>9.5</v>
      </c>
      <c r="N2250" s="9">
        <f>VLOOKUP(DATE(YEAR(A2250),MONTH(A2250),DAY(A2250)),FY24_Temp[],3,FALSE)</f>
        <v>17.399999999999999</v>
      </c>
      <c r="O2250" s="110">
        <f t="shared" si="2426"/>
        <v>11.5</v>
      </c>
      <c r="P2250" s="110">
        <f t="shared" si="2427"/>
        <v>19.5</v>
      </c>
      <c r="Q2250" s="79">
        <f>VLOOKUP(VLOOKUP(DATEVALUE(TEXT(A2250,"m/d/yyyy")),FY24_Temp[],5,FALSE)&amp;TEXT(A2250,"-h"),TempDelta[],4,FALSE)</f>
        <v>0.35007142781146933</v>
      </c>
      <c r="R2250">
        <v>10</v>
      </c>
      <c r="S2250" s="112">
        <v>1500</v>
      </c>
      <c r="T2250" s="5">
        <f>VLOOKUP(TEXT(A2250,"yy-mm")&amp;"-"&amp;IF(AND(WEEKDAY(A2250)&gt;1,WEEKDAY(A2250)&lt;7),"Wkd",TEXT(A2250,"Ddd"))&amp;"-"&amp;TEXT(A2250,"hh"),LoadTable[],3,FALSE)*0.92</f>
        <v>570.3300004440199</v>
      </c>
      <c r="U2250" s="113">
        <f t="shared" si="2428"/>
        <v>57.033000044401987</v>
      </c>
      <c r="V2250">
        <f t="shared" ref="V2250:W2250" si="2435">V2226</f>
        <v>3.2</v>
      </c>
      <c r="W2250">
        <f t="shared" si="2435"/>
        <v>2.9</v>
      </c>
      <c r="X2250" s="9">
        <v>-50.765442916666302</v>
      </c>
      <c r="Y2250" s="39"/>
    </row>
    <row r="2251" spans="1:25" ht="15" thickBot="1">
      <c r="A2251" s="149">
        <f t="shared" si="2410"/>
        <v>45929.666666663194</v>
      </c>
      <c r="B2251" s="30">
        <f t="shared" si="2365"/>
        <v>8000</v>
      </c>
      <c r="C2251" s="8">
        <v>25000</v>
      </c>
      <c r="D2251" s="187">
        <v>0</v>
      </c>
      <c r="E2251" s="187">
        <v>700</v>
      </c>
      <c r="F2251" s="187">
        <v>15000</v>
      </c>
      <c r="G2251" s="151">
        <v>2470</v>
      </c>
      <c r="H2251" s="8">
        <f t="shared" si="2391"/>
        <v>25000</v>
      </c>
      <c r="I2251" s="30">
        <f t="shared" si="2366"/>
        <v>8000</v>
      </c>
      <c r="J2251" s="187">
        <v>40000</v>
      </c>
      <c r="K2251" s="30">
        <f t="shared" si="2367"/>
        <v>8000</v>
      </c>
      <c r="L2251" s="187">
        <v>40000</v>
      </c>
      <c r="M2251" s="110">
        <v>9.5</v>
      </c>
      <c r="N2251" s="9">
        <f>VLOOKUP(DATE(YEAR(A2251),MONTH(A2251),DAY(A2251)),FY24_Temp[],3,FALSE)</f>
        <v>17.399999999999999</v>
      </c>
      <c r="O2251" s="110">
        <f t="shared" si="2426"/>
        <v>11.5</v>
      </c>
      <c r="P2251" s="110">
        <f t="shared" si="2427"/>
        <v>19.5</v>
      </c>
      <c r="Q2251" s="79">
        <f>VLOOKUP(VLOOKUP(DATEVALUE(TEXT(A2251,"m/d/yyyy")),FY24_Temp[],5,FALSE)&amp;TEXT(A2251,"-h"),TempDelta[],4,FALSE)</f>
        <v>0.48392857345087187</v>
      </c>
      <c r="R2251">
        <v>10</v>
      </c>
      <c r="S2251" s="112">
        <v>1500</v>
      </c>
      <c r="T2251" s="5">
        <f>VLOOKUP(TEXT(A2251,"yy-mm")&amp;"-"&amp;IF(AND(WEEKDAY(A2251)&gt;1,WEEKDAY(A2251)&lt;7),"Wkd",TEXT(A2251,"Ddd"))&amp;"-"&amp;TEXT(A2251,"hh"),LoadTable[],3,FALSE)*0.92</f>
        <v>602.16876690131596</v>
      </c>
      <c r="U2251" s="113">
        <f t="shared" si="2428"/>
        <v>60.216876690131599</v>
      </c>
      <c r="V2251">
        <f t="shared" ref="V2251:W2251" si="2436">V2227</f>
        <v>3.5</v>
      </c>
      <c r="W2251">
        <f t="shared" si="2436"/>
        <v>3</v>
      </c>
      <c r="X2251" s="9">
        <v>-50.843237466666302</v>
      </c>
      <c r="Y2251" s="39"/>
    </row>
    <row r="2252" spans="1:25" ht="15" thickBot="1">
      <c r="A2252" s="149">
        <f t="shared" si="2410"/>
        <v>45929.708333329858</v>
      </c>
      <c r="B2252" s="30">
        <f t="shared" ref="B2252:B2315" si="2437">B2228</f>
        <v>8000</v>
      </c>
      <c r="C2252" s="8">
        <v>25000</v>
      </c>
      <c r="D2252" s="187">
        <v>0</v>
      </c>
      <c r="E2252" s="187">
        <v>700</v>
      </c>
      <c r="F2252" s="187">
        <v>15000</v>
      </c>
      <c r="G2252" s="151">
        <v>2470</v>
      </c>
      <c r="H2252" s="8">
        <f t="shared" ref="H2252:H2315" si="2438">H2228</f>
        <v>25000</v>
      </c>
      <c r="I2252" s="30">
        <f t="shared" ref="I2252:I2315" si="2439">I2228</f>
        <v>8000</v>
      </c>
      <c r="J2252" s="187">
        <v>40000</v>
      </c>
      <c r="K2252" s="30">
        <f t="shared" ref="K2252:K2315" si="2440">K2228</f>
        <v>8000</v>
      </c>
      <c r="L2252" s="187">
        <v>40000</v>
      </c>
      <c r="M2252" s="110">
        <v>9.5</v>
      </c>
      <c r="N2252" s="9">
        <f>VLOOKUP(DATE(YEAR(A2252),MONTH(A2252),DAY(A2252)),FY24_Temp[],3,FALSE)</f>
        <v>17.399999999999999</v>
      </c>
      <c r="O2252" s="110">
        <f t="shared" si="2426"/>
        <v>11.5</v>
      </c>
      <c r="P2252" s="110">
        <f t="shared" si="2427"/>
        <v>19.5</v>
      </c>
      <c r="Q2252" s="79">
        <f>VLOOKUP(VLOOKUP(DATEVALUE(TEXT(A2252,"m/d/yyyy")),FY24_Temp[],5,FALSE)&amp;TEXT(A2252,"-h"),TempDelta[],4,FALSE)</f>
        <v>0.71807142613189556</v>
      </c>
      <c r="R2252">
        <v>10</v>
      </c>
      <c r="S2252" s="112">
        <v>1500</v>
      </c>
      <c r="T2252" s="5">
        <f>VLOOKUP(TEXT(A2252,"yy-mm")&amp;"-"&amp;IF(AND(WEEKDAY(A2252)&gt;1,WEEKDAY(A2252)&lt;7),"Wkd",TEXT(A2252,"Ddd"))&amp;"-"&amp;TEXT(A2252,"hh"),LoadTable[],3,FALSE)*0.92</f>
        <v>602.16876690131596</v>
      </c>
      <c r="U2252" s="113">
        <f t="shared" si="2428"/>
        <v>60.216876690131599</v>
      </c>
      <c r="V2252">
        <f t="shared" ref="V2252:W2252" si="2441">V2228</f>
        <v>3.6</v>
      </c>
      <c r="W2252">
        <f t="shared" si="2441"/>
        <v>3</v>
      </c>
      <c r="X2252" s="9">
        <v>-50.921032016666302</v>
      </c>
      <c r="Y2252" s="39"/>
    </row>
    <row r="2253" spans="1:25" ht="15" thickBot="1">
      <c r="A2253" s="149">
        <f t="shared" si="2410"/>
        <v>45929.749999996522</v>
      </c>
      <c r="B2253" s="30">
        <f t="shared" si="2437"/>
        <v>5000</v>
      </c>
      <c r="C2253" s="8">
        <v>25000</v>
      </c>
      <c r="D2253" s="187">
        <v>0</v>
      </c>
      <c r="E2253" s="187">
        <v>700</v>
      </c>
      <c r="F2253" s="187">
        <v>15000</v>
      </c>
      <c r="G2253" s="151">
        <v>2470</v>
      </c>
      <c r="H2253" s="8">
        <f t="shared" si="2438"/>
        <v>25000</v>
      </c>
      <c r="I2253" s="30">
        <f t="shared" si="2439"/>
        <v>5000</v>
      </c>
      <c r="J2253" s="187">
        <v>40000</v>
      </c>
      <c r="K2253" s="30">
        <f t="shared" si="2440"/>
        <v>5000</v>
      </c>
      <c r="L2253" s="187">
        <v>40000</v>
      </c>
      <c r="M2253" s="110">
        <v>9.5</v>
      </c>
      <c r="N2253" s="9">
        <f>VLOOKUP(DATE(YEAR(A2253),MONTH(A2253),DAY(A2253)),FY24_Temp[],3,FALSE)</f>
        <v>17.399999999999999</v>
      </c>
      <c r="O2253" s="110">
        <f t="shared" si="2426"/>
        <v>11.5</v>
      </c>
      <c r="P2253" s="110">
        <f t="shared" si="2427"/>
        <v>19.5</v>
      </c>
      <c r="Q2253" s="79">
        <f>VLOOKUP(VLOOKUP(DATEVALUE(TEXT(A2253,"m/d/yyyy")),FY24_Temp[],5,FALSE)&amp;TEXT(A2253,"-h"),TempDelta[],4,FALSE)</f>
        <v>0.97985714673995972</v>
      </c>
      <c r="R2253">
        <v>10</v>
      </c>
      <c r="S2253" s="112">
        <v>1500</v>
      </c>
      <c r="T2253" s="5">
        <f>VLOOKUP(TEXT(A2253,"yy-mm")&amp;"-"&amp;IF(AND(WEEKDAY(A2253)&gt;1,WEEKDAY(A2253)&lt;7),"Wkd",TEXT(A2253,"Ddd"))&amp;"-"&amp;TEXT(A2253,"hh"),LoadTable[],3,FALSE)*0.92</f>
        <v>602.16876690131596</v>
      </c>
      <c r="U2253" s="113">
        <f t="shared" si="2428"/>
        <v>60.216876690131599</v>
      </c>
      <c r="V2253">
        <f t="shared" ref="V2253:W2253" si="2442">V2229</f>
        <v>2.9</v>
      </c>
      <c r="W2253">
        <f t="shared" si="2442"/>
        <v>3</v>
      </c>
      <c r="X2253" s="9">
        <v>-50.998826566666303</v>
      </c>
      <c r="Y2253" s="39"/>
    </row>
    <row r="2254" spans="1:25" ht="15" thickBot="1">
      <c r="A2254" s="149">
        <f t="shared" si="2410"/>
        <v>45929.791666663186</v>
      </c>
      <c r="B2254" s="30">
        <f t="shared" si="2437"/>
        <v>5000</v>
      </c>
      <c r="C2254" s="8">
        <v>25000</v>
      </c>
      <c r="D2254" s="187">
        <v>0</v>
      </c>
      <c r="E2254" s="187">
        <v>700</v>
      </c>
      <c r="F2254" s="187">
        <v>15000</v>
      </c>
      <c r="G2254" s="151">
        <v>2470</v>
      </c>
      <c r="H2254" s="8">
        <f t="shared" si="2438"/>
        <v>25000</v>
      </c>
      <c r="I2254" s="30">
        <f t="shared" si="2439"/>
        <v>5000</v>
      </c>
      <c r="J2254" s="187">
        <v>40000</v>
      </c>
      <c r="K2254" s="30">
        <f t="shared" si="2440"/>
        <v>5000</v>
      </c>
      <c r="L2254" s="187">
        <v>40000</v>
      </c>
      <c r="M2254" s="110">
        <v>9.5</v>
      </c>
      <c r="N2254" s="9">
        <f>VLOOKUP(DATE(YEAR(A2254),MONTH(A2254),DAY(A2254)),FY24_Temp[],3,FALSE)</f>
        <v>17.399999999999999</v>
      </c>
      <c r="O2254" s="110">
        <f t="shared" si="2426"/>
        <v>11.5</v>
      </c>
      <c r="P2254" s="110">
        <f t="shared" si="2427"/>
        <v>19.5</v>
      </c>
      <c r="Q2254" s="79">
        <f>VLOOKUP(VLOOKUP(DATEVALUE(TEXT(A2254,"m/d/yyyy")),FY24_Temp[],5,FALSE)&amp;TEXT(A2254,"-h"),TempDelta[],4,FALSE)</f>
        <v>1.0494285609040941</v>
      </c>
      <c r="R2254">
        <v>10</v>
      </c>
      <c r="S2254" s="112">
        <v>1500</v>
      </c>
      <c r="T2254" s="5">
        <f>VLOOKUP(TEXT(A2254,"yy-mm")&amp;"-"&amp;IF(AND(WEEKDAY(A2254)&gt;1,WEEKDAY(A2254)&lt;7),"Wkd",TEXT(A2254,"Ddd"))&amp;"-"&amp;TEXT(A2254,"hh"),LoadTable[],3,FALSE)*0.92</f>
        <v>600.14662419619219</v>
      </c>
      <c r="U2254" s="113">
        <f t="shared" si="2428"/>
        <v>60.014662419619221</v>
      </c>
      <c r="V2254">
        <f t="shared" ref="V2254:W2254" si="2443">V2230</f>
        <v>3</v>
      </c>
      <c r="W2254">
        <f t="shared" si="2443"/>
        <v>3</v>
      </c>
      <c r="X2254" s="9">
        <v>-51.076621116666303</v>
      </c>
      <c r="Y2254" s="39"/>
    </row>
    <row r="2255" spans="1:25" ht="15" thickBot="1">
      <c r="A2255" s="149">
        <f t="shared" si="2410"/>
        <v>45929.833333329851</v>
      </c>
      <c r="B2255" s="30">
        <f t="shared" si="2437"/>
        <v>5000</v>
      </c>
      <c r="C2255" s="8">
        <v>25000</v>
      </c>
      <c r="D2255" s="187">
        <v>0</v>
      </c>
      <c r="E2255" s="187">
        <v>700</v>
      </c>
      <c r="F2255" s="187">
        <v>15000</v>
      </c>
      <c r="G2255" s="151">
        <v>2470</v>
      </c>
      <c r="H2255" s="8">
        <f t="shared" si="2438"/>
        <v>25000</v>
      </c>
      <c r="I2255" s="30">
        <f t="shared" si="2439"/>
        <v>5000</v>
      </c>
      <c r="J2255" s="187">
        <v>40000</v>
      </c>
      <c r="K2255" s="30">
        <f t="shared" si="2440"/>
        <v>5000</v>
      </c>
      <c r="L2255" s="187">
        <v>40000</v>
      </c>
      <c r="M2255" s="110">
        <v>9.5</v>
      </c>
      <c r="N2255" s="9">
        <f>VLOOKUP(DATE(YEAR(A2255),MONTH(A2255),DAY(A2255)),FY24_Temp[],3,FALSE)</f>
        <v>17.399999999999999</v>
      </c>
      <c r="O2255" s="110">
        <f t="shared" si="2426"/>
        <v>11.5</v>
      </c>
      <c r="P2255" s="110">
        <f t="shared" si="2427"/>
        <v>19.5</v>
      </c>
      <c r="Q2255" s="79">
        <f>VLOOKUP(VLOOKUP(DATEVALUE(TEXT(A2255,"m/d/yyyy")),FY24_Temp[],5,FALSE)&amp;TEXT(A2255,"-h"),TempDelta[],4,FALSE)</f>
        <v>1.1053571232727595</v>
      </c>
      <c r="R2255">
        <v>10</v>
      </c>
      <c r="S2255" s="112">
        <v>1500</v>
      </c>
      <c r="T2255" s="5">
        <f>VLOOKUP(TEXT(A2255,"yy-mm")&amp;"-"&amp;IF(AND(WEEKDAY(A2255)&gt;1,WEEKDAY(A2255)&lt;7),"Wkd",TEXT(A2255,"Ddd"))&amp;"-"&amp;TEXT(A2255,"hh"),LoadTable[],3,FALSE)*0.92</f>
        <v>600.14662419619219</v>
      </c>
      <c r="U2255" s="113">
        <f t="shared" si="2428"/>
        <v>60.014662419619221</v>
      </c>
      <c r="V2255">
        <f t="shared" ref="V2255:W2255" si="2444">V2231</f>
        <v>2.8</v>
      </c>
      <c r="W2255">
        <f t="shared" si="2444"/>
        <v>3.1</v>
      </c>
      <c r="X2255" s="9">
        <v>-51.154415666666303</v>
      </c>
      <c r="Y2255" s="39"/>
    </row>
    <row r="2256" spans="1:25" ht="15" thickBot="1">
      <c r="A2256" s="149">
        <f t="shared" si="2410"/>
        <v>45929.874999996515</v>
      </c>
      <c r="B2256" s="30">
        <f t="shared" si="2437"/>
        <v>5000</v>
      </c>
      <c r="C2256" s="8">
        <v>25000</v>
      </c>
      <c r="D2256" s="187">
        <v>0</v>
      </c>
      <c r="E2256" s="187">
        <v>700</v>
      </c>
      <c r="F2256" s="187">
        <v>15000</v>
      </c>
      <c r="G2256" s="151">
        <v>2470</v>
      </c>
      <c r="H2256" s="8">
        <f t="shared" si="2438"/>
        <v>25000</v>
      </c>
      <c r="I2256" s="30">
        <f t="shared" si="2439"/>
        <v>5000</v>
      </c>
      <c r="J2256" s="187">
        <v>40000</v>
      </c>
      <c r="K2256" s="30">
        <f t="shared" si="2440"/>
        <v>5000</v>
      </c>
      <c r="L2256" s="187">
        <v>40000</v>
      </c>
      <c r="M2256" s="110">
        <v>9.5</v>
      </c>
      <c r="N2256" s="9">
        <f>VLOOKUP(DATE(YEAR(A2256),MONTH(A2256),DAY(A2256)),FY24_Temp[],3,FALSE)</f>
        <v>17.399999999999999</v>
      </c>
      <c r="O2256" s="110">
        <f t="shared" si="2426"/>
        <v>11.5</v>
      </c>
      <c r="P2256" s="110">
        <f t="shared" si="2427"/>
        <v>19.5</v>
      </c>
      <c r="Q2256" s="79">
        <f>VLOOKUP(VLOOKUP(DATEVALUE(TEXT(A2256,"m/d/yyyy")),FY24_Temp[],5,FALSE)&amp;TEXT(A2256,"-h"),TempDelta[],4,FALSE)</f>
        <v>1.1162857200418199</v>
      </c>
      <c r="R2256">
        <v>10</v>
      </c>
      <c r="S2256" s="112">
        <v>1500</v>
      </c>
      <c r="T2256" s="5">
        <f>VLOOKUP(TEXT(A2256,"yy-mm")&amp;"-"&amp;IF(AND(WEEKDAY(A2256)&gt;1,WEEKDAY(A2256)&lt;7),"Wkd",TEXT(A2256,"Ddd"))&amp;"-"&amp;TEXT(A2256,"hh"),LoadTable[],3,FALSE)*0.92</f>
        <v>523.94879142973434</v>
      </c>
      <c r="U2256" s="113">
        <f t="shared" si="2428"/>
        <v>52.394879142973437</v>
      </c>
      <c r="V2256">
        <f t="shared" ref="V2256:W2256" si="2445">V2232</f>
        <v>3.5</v>
      </c>
      <c r="W2256">
        <f t="shared" si="2445"/>
        <v>3.1</v>
      </c>
      <c r="X2256" s="9">
        <v>-51.232210216666303</v>
      </c>
      <c r="Y2256" s="39"/>
    </row>
    <row r="2257" spans="1:25" ht="15" thickBot="1">
      <c r="A2257" s="149">
        <f t="shared" si="2410"/>
        <v>45929.916666663179</v>
      </c>
      <c r="B2257" s="30">
        <f t="shared" si="2437"/>
        <v>5000</v>
      </c>
      <c r="C2257" s="8">
        <v>25000</v>
      </c>
      <c r="D2257" s="187">
        <v>0</v>
      </c>
      <c r="E2257" s="187">
        <v>700</v>
      </c>
      <c r="F2257" s="187">
        <v>15000</v>
      </c>
      <c r="G2257" s="151">
        <v>2470</v>
      </c>
      <c r="H2257" s="8">
        <f t="shared" si="2438"/>
        <v>25000</v>
      </c>
      <c r="I2257" s="30">
        <f t="shared" si="2439"/>
        <v>5000</v>
      </c>
      <c r="J2257" s="187">
        <v>40000</v>
      </c>
      <c r="K2257" s="30">
        <f t="shared" si="2440"/>
        <v>5000</v>
      </c>
      <c r="L2257" s="187">
        <v>40000</v>
      </c>
      <c r="M2257" s="110">
        <v>9.5</v>
      </c>
      <c r="N2257" s="9">
        <f>VLOOKUP(DATE(YEAR(A2257),MONTH(A2257),DAY(A2257)),FY24_Temp[],3,FALSE)</f>
        <v>17.399999999999999</v>
      </c>
      <c r="O2257" s="110">
        <f t="shared" si="2426"/>
        <v>11.5</v>
      </c>
      <c r="P2257" s="110">
        <f t="shared" si="2427"/>
        <v>19.5</v>
      </c>
      <c r="Q2257" s="79">
        <f>VLOOKUP(VLOOKUP(DATEVALUE(TEXT(A2257,"m/d/yyyy")),FY24_Temp[],5,FALSE)&amp;TEXT(A2257,"-h"),TempDelta[],4,FALSE)</f>
        <v>1.639714275087629</v>
      </c>
      <c r="R2257">
        <v>10</v>
      </c>
      <c r="S2257" s="112">
        <v>1500</v>
      </c>
      <c r="T2257" s="5">
        <f>VLOOKUP(TEXT(A2257,"yy-mm")&amp;"-"&amp;IF(AND(WEEKDAY(A2257)&gt;1,WEEKDAY(A2257)&lt;7),"Wkd",TEXT(A2257,"Ddd"))&amp;"-"&amp;TEXT(A2257,"hh"),LoadTable[],3,FALSE)*0.92</f>
        <v>421.91858468239752</v>
      </c>
      <c r="U2257" s="113">
        <f t="shared" si="2428"/>
        <v>42.191858468239751</v>
      </c>
      <c r="V2257">
        <f t="shared" ref="V2257:W2257" si="2446">V2233</f>
        <v>2.9</v>
      </c>
      <c r="W2257">
        <f t="shared" si="2446"/>
        <v>3.1</v>
      </c>
      <c r="X2257" s="9">
        <v>-51.310004766666303</v>
      </c>
      <c r="Y2257" s="39"/>
    </row>
    <row r="2258" spans="1:25" ht="15" thickBot="1">
      <c r="A2258" s="149">
        <f t="shared" si="2410"/>
        <v>45929.958333329843</v>
      </c>
      <c r="B2258" s="30">
        <f t="shared" si="2437"/>
        <v>5000</v>
      </c>
      <c r="C2258" s="8">
        <v>25000</v>
      </c>
      <c r="D2258" s="187">
        <v>0</v>
      </c>
      <c r="E2258" s="187">
        <v>700</v>
      </c>
      <c r="F2258" s="187">
        <v>15000</v>
      </c>
      <c r="G2258" s="151">
        <v>2470</v>
      </c>
      <c r="H2258" s="8">
        <f t="shared" si="2438"/>
        <v>25000</v>
      </c>
      <c r="I2258" s="30">
        <f t="shared" si="2439"/>
        <v>5000</v>
      </c>
      <c r="J2258" s="187">
        <v>40000</v>
      </c>
      <c r="K2258" s="30">
        <f t="shared" si="2440"/>
        <v>5000</v>
      </c>
      <c r="L2258" s="187">
        <v>40000</v>
      </c>
      <c r="M2258" s="110">
        <v>9.5</v>
      </c>
      <c r="N2258" s="9">
        <f>VLOOKUP(DATE(YEAR(A2258),MONTH(A2258),DAY(A2258)),FY24_Temp[],3,FALSE)</f>
        <v>17.399999999999999</v>
      </c>
      <c r="O2258" s="110">
        <f t="shared" si="2426"/>
        <v>11.5</v>
      </c>
      <c r="P2258" s="110">
        <f t="shared" si="2427"/>
        <v>19.5</v>
      </c>
      <c r="Q2258" s="79">
        <f>VLOOKUP(VLOOKUP(DATEVALUE(TEXT(A2258,"m/d/yyyy")),FY24_Temp[],5,FALSE)&amp;TEXT(A2258,"-h"),TempDelta[],4,FALSE)</f>
        <v>1.7538571187428065</v>
      </c>
      <c r="R2258">
        <v>10</v>
      </c>
      <c r="S2258" s="112">
        <v>1500</v>
      </c>
      <c r="T2258" s="5">
        <f>VLOOKUP(TEXT(A2258,"yy-mm")&amp;"-"&amp;IF(AND(WEEKDAY(A2258)&gt;1,WEEKDAY(A2258)&lt;7),"Wkd",TEXT(A2258,"Ddd"))&amp;"-"&amp;TEXT(A2258,"hh"),LoadTable[],3,FALSE)*0.92</f>
        <v>289.33527113913209</v>
      </c>
      <c r="U2258" s="113">
        <f t="shared" si="2428"/>
        <v>28.933527113913208</v>
      </c>
      <c r="V2258">
        <f t="shared" ref="V2258:W2258" si="2447">V2234</f>
        <v>3.6</v>
      </c>
      <c r="W2258">
        <f t="shared" si="2447"/>
        <v>3.1</v>
      </c>
      <c r="X2258" s="9">
        <v>-51.387799316666303</v>
      </c>
      <c r="Y2258" s="39"/>
    </row>
    <row r="2259" spans="1:25" ht="15" thickBot="1">
      <c r="A2259" s="149">
        <f t="shared" si="2410"/>
        <v>45929.999999996508</v>
      </c>
      <c r="B2259" s="30">
        <f t="shared" si="2437"/>
        <v>5000</v>
      </c>
      <c r="C2259" s="8">
        <v>25000</v>
      </c>
      <c r="D2259" s="187">
        <v>0</v>
      </c>
      <c r="E2259" s="187">
        <v>700</v>
      </c>
      <c r="F2259" s="187">
        <v>15000</v>
      </c>
      <c r="G2259" s="151">
        <v>2470</v>
      </c>
      <c r="H2259" s="8">
        <f t="shared" si="2438"/>
        <v>25000</v>
      </c>
      <c r="I2259" s="30">
        <f t="shared" si="2439"/>
        <v>5000</v>
      </c>
      <c r="J2259" s="187">
        <v>40000</v>
      </c>
      <c r="K2259" s="30">
        <f t="shared" si="2440"/>
        <v>5000</v>
      </c>
      <c r="L2259" s="187">
        <v>40000</v>
      </c>
      <c r="M2259" s="110">
        <v>9.5</v>
      </c>
      <c r="N2259" s="9">
        <f>VLOOKUP(DATE(YEAR(A2259),MONTH(A2259),DAY(A2259)),FY24_Temp[],3,FALSE)</f>
        <v>17.399999999999999</v>
      </c>
      <c r="O2259" s="110">
        <f t="shared" si="2426"/>
        <v>11.5</v>
      </c>
      <c r="P2259" s="110">
        <f t="shared" si="2427"/>
        <v>19.5</v>
      </c>
      <c r="Q2259" s="79">
        <f>VLOOKUP(VLOOKUP(DATEVALUE(TEXT(A2259,"m/d/yyyy")),FY24_Temp[],5,FALSE)&amp;TEXT(A2259,"-h"),TempDelta[],4,FALSE)</f>
        <v>1.804142855</v>
      </c>
      <c r="R2259">
        <v>10</v>
      </c>
      <c r="S2259" s="112">
        <v>1500</v>
      </c>
      <c r="T2259" s="5">
        <f>VLOOKUP(TEXT(A2259,"yy-mm")&amp;"-"&amp;IF(AND(WEEKDAY(A2259)&gt;1,WEEKDAY(A2259)&lt;7),"Wkd",TEXT(A2259,"Ddd"))&amp;"-"&amp;TEXT(A2259,"hh"),LoadTable[],3,FALSE)*0.92</f>
        <v>289.0624787084426</v>
      </c>
      <c r="U2259" s="113">
        <f t="shared" si="2428"/>
        <v>28.906247870844261</v>
      </c>
      <c r="V2259">
        <f t="shared" ref="V2259:W2259" si="2448">V2235</f>
        <v>3</v>
      </c>
      <c r="W2259">
        <f t="shared" si="2448"/>
        <v>3.2</v>
      </c>
      <c r="X2259" s="9">
        <v>-51.465593866666303</v>
      </c>
      <c r="Y2259" s="39"/>
    </row>
    <row r="2260" spans="1:25" ht="15" thickBot="1">
      <c r="A2260" s="149">
        <f t="shared" si="2410"/>
        <v>45930.041666663172</v>
      </c>
      <c r="B2260" s="30">
        <f t="shared" si="2437"/>
        <v>5000</v>
      </c>
      <c r="C2260" s="8">
        <v>25000</v>
      </c>
      <c r="D2260" s="187">
        <v>0</v>
      </c>
      <c r="E2260" s="187">
        <v>700</v>
      </c>
      <c r="F2260" s="187">
        <v>15000</v>
      </c>
      <c r="G2260" s="151">
        <v>2470</v>
      </c>
      <c r="H2260" s="8">
        <f t="shared" si="2438"/>
        <v>25000</v>
      </c>
      <c r="I2260" s="30">
        <f t="shared" si="2439"/>
        <v>5000</v>
      </c>
      <c r="J2260" s="187">
        <v>40000</v>
      </c>
      <c r="K2260" s="30">
        <f t="shared" si="2440"/>
        <v>5000</v>
      </c>
      <c r="L2260" s="187">
        <v>40000</v>
      </c>
      <c r="M2260" s="110">
        <v>9.5</v>
      </c>
      <c r="N2260" s="9">
        <f>VLOOKUP(DATE(YEAR(A2260),MONTH(A2260),DAY(A2260)),FY24_Temp[],3,FALSE)</f>
        <v>17.399999999999999</v>
      </c>
      <c r="O2260" s="110">
        <f t="shared" si="2426"/>
        <v>11.5</v>
      </c>
      <c r="P2260" s="110">
        <f t="shared" si="2427"/>
        <v>19.5</v>
      </c>
      <c r="Q2260" s="79">
        <f>VLOOKUP(VLOOKUP(DATEVALUE(TEXT(A2260,"m/d/yyyy")),FY24_Temp[],5,FALSE)&amp;TEXT(A2260,"-h"),TempDelta[],4,FALSE)</f>
        <v>1.804142855</v>
      </c>
      <c r="R2260">
        <v>10</v>
      </c>
      <c r="S2260" s="112">
        <v>1500</v>
      </c>
      <c r="T2260" s="5">
        <f>VLOOKUP(TEXT(A2260,"yy-mm")&amp;"-"&amp;IF(AND(WEEKDAY(A2260)&gt;1,WEEKDAY(A2260)&lt;7),"Wkd",TEXT(A2260,"Ddd"))&amp;"-"&amp;TEXT(A2260,"hh"),LoadTable[],3,FALSE)*0.92</f>
        <v>289.0624787084426</v>
      </c>
      <c r="U2260" s="113">
        <f t="shared" si="2428"/>
        <v>28.906247870844261</v>
      </c>
      <c r="V2260">
        <f t="shared" ref="V2260:W2260" si="2449">V2236</f>
        <v>2.6</v>
      </c>
      <c r="W2260">
        <f t="shared" si="2449"/>
        <v>3.2</v>
      </c>
      <c r="X2260" s="9">
        <v>-51.543388416666303</v>
      </c>
      <c r="Y2260" s="39"/>
    </row>
    <row r="2261" spans="1:25" ht="15" thickBot="1">
      <c r="A2261" s="149">
        <f t="shared" si="2410"/>
        <v>45930.083333329836</v>
      </c>
      <c r="B2261" s="30">
        <f t="shared" si="2437"/>
        <v>5000</v>
      </c>
      <c r="C2261" s="8">
        <v>25000</v>
      </c>
      <c r="D2261" s="187">
        <v>0</v>
      </c>
      <c r="E2261" s="187">
        <v>700</v>
      </c>
      <c r="F2261" s="187">
        <v>15000</v>
      </c>
      <c r="G2261" s="151">
        <v>2470</v>
      </c>
      <c r="H2261" s="8">
        <f t="shared" si="2438"/>
        <v>25000</v>
      </c>
      <c r="I2261" s="30">
        <f t="shared" si="2439"/>
        <v>5000</v>
      </c>
      <c r="J2261" s="187">
        <v>40000</v>
      </c>
      <c r="K2261" s="30">
        <f t="shared" si="2440"/>
        <v>5000</v>
      </c>
      <c r="L2261" s="187">
        <v>40000</v>
      </c>
      <c r="M2261" s="110">
        <v>9.5</v>
      </c>
      <c r="N2261" s="9">
        <f>VLOOKUP(DATE(YEAR(A2261),MONTH(A2261),DAY(A2261)),FY24_Temp[],3,FALSE)</f>
        <v>17.399999999999999</v>
      </c>
      <c r="O2261" s="110">
        <f t="shared" si="2426"/>
        <v>11.5</v>
      </c>
      <c r="P2261" s="110">
        <f t="shared" si="2427"/>
        <v>19.5</v>
      </c>
      <c r="Q2261" s="79">
        <f>VLOOKUP(VLOOKUP(DATEVALUE(TEXT(A2261,"m/d/yyyy")),FY24_Temp[],5,FALSE)&amp;TEXT(A2261,"-h"),TempDelta[],4,FALSE)</f>
        <v>1.804142855</v>
      </c>
      <c r="R2261">
        <v>10</v>
      </c>
      <c r="S2261" s="112">
        <v>1500</v>
      </c>
      <c r="T2261" s="5">
        <f>VLOOKUP(TEXT(A2261,"yy-mm")&amp;"-"&amp;IF(AND(WEEKDAY(A2261)&gt;1,WEEKDAY(A2261)&lt;7),"Wkd",TEXT(A2261,"Ddd"))&amp;"-"&amp;TEXT(A2261,"hh"),LoadTable[],3,FALSE)*0.92</f>
        <v>289.0624787084426</v>
      </c>
      <c r="U2261" s="113">
        <f t="shared" si="2428"/>
        <v>28.906247870844261</v>
      </c>
      <c r="V2261">
        <f t="shared" ref="V2261:W2261" si="2450">V2237</f>
        <v>2.8</v>
      </c>
      <c r="W2261">
        <f t="shared" si="2450"/>
        <v>3.2</v>
      </c>
      <c r="X2261" s="9">
        <v>-51.621182966666296</v>
      </c>
      <c r="Y2261" s="39"/>
    </row>
    <row r="2262" spans="1:25" ht="15" thickBot="1">
      <c r="A2262" s="149">
        <f t="shared" si="2410"/>
        <v>45930.1249999965</v>
      </c>
      <c r="B2262" s="30">
        <f t="shared" si="2437"/>
        <v>5000</v>
      </c>
      <c r="C2262" s="8">
        <v>25000</v>
      </c>
      <c r="D2262" s="187">
        <v>0</v>
      </c>
      <c r="E2262" s="187">
        <v>700</v>
      </c>
      <c r="F2262" s="187">
        <v>15000</v>
      </c>
      <c r="G2262" s="151">
        <v>2470</v>
      </c>
      <c r="H2262" s="8">
        <f t="shared" si="2438"/>
        <v>25000</v>
      </c>
      <c r="I2262" s="30">
        <f t="shared" si="2439"/>
        <v>5000</v>
      </c>
      <c r="J2262" s="187">
        <v>40000</v>
      </c>
      <c r="K2262" s="30">
        <f t="shared" si="2440"/>
        <v>5000</v>
      </c>
      <c r="L2262" s="187">
        <v>40000</v>
      </c>
      <c r="M2262" s="110">
        <v>9.5</v>
      </c>
      <c r="N2262" s="9">
        <f>VLOOKUP(DATE(YEAR(A2262),MONTH(A2262),DAY(A2262)),FY24_Temp[],3,FALSE)</f>
        <v>17.399999999999999</v>
      </c>
      <c r="O2262" s="110">
        <f t="shared" si="2426"/>
        <v>11.5</v>
      </c>
      <c r="P2262" s="110">
        <f t="shared" si="2427"/>
        <v>19.5</v>
      </c>
      <c r="Q2262" s="79">
        <f>VLOOKUP(VLOOKUP(DATEVALUE(TEXT(A2262,"m/d/yyyy")),FY24_Temp[],5,FALSE)&amp;TEXT(A2262,"-h"),TempDelta[],4,FALSE)</f>
        <v>1.804142855</v>
      </c>
      <c r="R2262">
        <v>10</v>
      </c>
      <c r="S2262" s="112">
        <v>1500</v>
      </c>
      <c r="T2262" s="5">
        <f>VLOOKUP(TEXT(A2262,"yy-mm")&amp;"-"&amp;IF(AND(WEEKDAY(A2262)&gt;1,WEEKDAY(A2262)&lt;7),"Wkd",TEXT(A2262,"Ddd"))&amp;"-"&amp;TEXT(A2262,"hh"),LoadTable[],3,FALSE)*0.92</f>
        <v>289.05894152419745</v>
      </c>
      <c r="U2262" s="113">
        <f t="shared" si="2428"/>
        <v>28.905894152419744</v>
      </c>
      <c r="V2262">
        <f t="shared" ref="V2262:W2262" si="2451">V2238</f>
        <v>2.7</v>
      </c>
      <c r="W2262">
        <f t="shared" si="2451"/>
        <v>3.2</v>
      </c>
      <c r="X2262" s="9">
        <v>-51.698977516666297</v>
      </c>
      <c r="Y2262" s="39"/>
    </row>
    <row r="2263" spans="1:25" ht="15" thickBot="1">
      <c r="A2263" s="149">
        <f t="shared" si="2410"/>
        <v>45930.166666663165</v>
      </c>
      <c r="B2263" s="30">
        <f t="shared" si="2437"/>
        <v>5000</v>
      </c>
      <c r="C2263" s="8">
        <v>25000</v>
      </c>
      <c r="D2263" s="187">
        <v>0</v>
      </c>
      <c r="E2263" s="187">
        <v>700</v>
      </c>
      <c r="F2263" s="187">
        <v>15000</v>
      </c>
      <c r="G2263" s="151">
        <v>2470</v>
      </c>
      <c r="H2263" s="8">
        <f t="shared" si="2438"/>
        <v>25000</v>
      </c>
      <c r="I2263" s="30">
        <f t="shared" si="2439"/>
        <v>5000</v>
      </c>
      <c r="J2263" s="187">
        <v>40000</v>
      </c>
      <c r="K2263" s="30">
        <f t="shared" si="2440"/>
        <v>5000</v>
      </c>
      <c r="L2263" s="187">
        <v>40000</v>
      </c>
      <c r="M2263" s="110">
        <v>9.5</v>
      </c>
      <c r="N2263" s="9">
        <f>VLOOKUP(DATE(YEAR(A2263),MONTH(A2263),DAY(A2263)),FY24_Temp[],3,FALSE)</f>
        <v>17.399999999999999</v>
      </c>
      <c r="O2263" s="110">
        <f t="shared" si="2426"/>
        <v>11.5</v>
      </c>
      <c r="P2263" s="110">
        <f t="shared" si="2427"/>
        <v>19.5</v>
      </c>
      <c r="Q2263" s="79">
        <f>VLOOKUP(VLOOKUP(DATEVALUE(TEXT(A2263,"m/d/yyyy")),FY24_Temp[],5,FALSE)&amp;TEXT(A2263,"-h"),TempDelta[],4,FALSE)</f>
        <v>1.804142855</v>
      </c>
      <c r="R2263">
        <v>10</v>
      </c>
      <c r="S2263" s="112">
        <v>1500</v>
      </c>
      <c r="T2263" s="5">
        <f>VLOOKUP(TEXT(A2263,"yy-mm")&amp;"-"&amp;IF(AND(WEEKDAY(A2263)&gt;1,WEEKDAY(A2263)&lt;7),"Wkd",TEXT(A2263,"Ddd"))&amp;"-"&amp;TEXT(A2263,"hh"),LoadTable[],3,FALSE)*0.92</f>
        <v>289.05894152419745</v>
      </c>
      <c r="U2263" s="113">
        <f t="shared" si="2428"/>
        <v>28.905894152419744</v>
      </c>
      <c r="V2263">
        <f t="shared" ref="V2263:W2263" si="2452">V2239</f>
        <v>3</v>
      </c>
      <c r="W2263">
        <f t="shared" si="2452"/>
        <v>3.1</v>
      </c>
      <c r="X2263" s="9">
        <v>-51.776772066666297</v>
      </c>
      <c r="Y2263" s="39"/>
    </row>
    <row r="2264" spans="1:25" ht="15" thickBot="1">
      <c r="A2264" s="149">
        <f t="shared" si="2410"/>
        <v>45930.208333329829</v>
      </c>
      <c r="B2264" s="30">
        <f t="shared" si="2437"/>
        <v>5000</v>
      </c>
      <c r="C2264" s="8">
        <v>25000</v>
      </c>
      <c r="D2264" s="187">
        <v>0</v>
      </c>
      <c r="E2264" s="187">
        <v>700</v>
      </c>
      <c r="F2264" s="187">
        <v>15000</v>
      </c>
      <c r="G2264" s="151">
        <v>2470</v>
      </c>
      <c r="H2264" s="8">
        <f t="shared" si="2438"/>
        <v>25000</v>
      </c>
      <c r="I2264" s="30">
        <f t="shared" si="2439"/>
        <v>5000</v>
      </c>
      <c r="J2264" s="187">
        <v>40000</v>
      </c>
      <c r="K2264" s="30">
        <f t="shared" si="2440"/>
        <v>5000</v>
      </c>
      <c r="L2264" s="187">
        <v>40000</v>
      </c>
      <c r="M2264" s="110">
        <v>9.5</v>
      </c>
      <c r="N2264" s="9">
        <f>VLOOKUP(DATE(YEAR(A2264),MONTH(A2264),DAY(A2264)),FY24_Temp[],3,FALSE)</f>
        <v>17.399999999999999</v>
      </c>
      <c r="O2264" s="110">
        <f t="shared" si="2426"/>
        <v>11.5</v>
      </c>
      <c r="P2264" s="110">
        <f t="shared" si="2427"/>
        <v>19.5</v>
      </c>
      <c r="Q2264" s="79">
        <f>VLOOKUP(VLOOKUP(DATEVALUE(TEXT(A2264,"m/d/yyyy")),FY24_Temp[],5,FALSE)&amp;TEXT(A2264,"-h"),TempDelta[],4,FALSE)</f>
        <v>1.804142855</v>
      </c>
      <c r="R2264">
        <v>10</v>
      </c>
      <c r="S2264" s="112">
        <v>1500</v>
      </c>
      <c r="T2264" s="5">
        <f>VLOOKUP(TEXT(A2264,"yy-mm")&amp;"-"&amp;IF(AND(WEEKDAY(A2264)&gt;1,WEEKDAY(A2264)&lt;7),"Wkd",TEXT(A2264,"Ddd"))&amp;"-"&amp;TEXT(A2264,"hh"),LoadTable[],3,FALSE)*0.92</f>
        <v>289.05894152419745</v>
      </c>
      <c r="U2264" s="113">
        <f t="shared" si="2428"/>
        <v>28.905894152419744</v>
      </c>
      <c r="V2264">
        <f t="shared" ref="V2264:W2264" si="2453">V2240</f>
        <v>2.9</v>
      </c>
      <c r="W2264">
        <f t="shared" si="2453"/>
        <v>3.1</v>
      </c>
      <c r="X2264" s="9">
        <v>-51.854566616666297</v>
      </c>
      <c r="Y2264" s="39"/>
    </row>
    <row r="2265" spans="1:25" ht="15" thickBot="1">
      <c r="A2265" s="149">
        <f t="shared" si="2410"/>
        <v>45930.249999996493</v>
      </c>
      <c r="B2265" s="30">
        <f t="shared" si="2437"/>
        <v>8000</v>
      </c>
      <c r="C2265" s="8">
        <v>25000</v>
      </c>
      <c r="D2265" s="187">
        <v>0</v>
      </c>
      <c r="E2265" s="187">
        <v>700</v>
      </c>
      <c r="F2265" s="187">
        <v>15000</v>
      </c>
      <c r="G2265" s="151">
        <v>2470</v>
      </c>
      <c r="H2265" s="8">
        <f t="shared" si="2438"/>
        <v>25000</v>
      </c>
      <c r="I2265" s="30">
        <f t="shared" si="2439"/>
        <v>8000</v>
      </c>
      <c r="J2265" s="187">
        <v>40000</v>
      </c>
      <c r="K2265" s="30">
        <f t="shared" si="2440"/>
        <v>8000</v>
      </c>
      <c r="L2265" s="187">
        <v>40000</v>
      </c>
      <c r="M2265" s="110">
        <v>9.5</v>
      </c>
      <c r="N2265" s="9">
        <f>VLOOKUP(DATE(YEAR(A2265),MONTH(A2265),DAY(A2265)),FY24_Temp[],3,FALSE)</f>
        <v>17.399999999999999</v>
      </c>
      <c r="O2265" s="110">
        <f t="shared" si="2426"/>
        <v>11.5</v>
      </c>
      <c r="P2265" s="110">
        <f t="shared" si="2427"/>
        <v>19.5</v>
      </c>
      <c r="Q2265" s="79">
        <f>VLOOKUP(VLOOKUP(DATEVALUE(TEXT(A2265,"m/d/yyyy")),FY24_Temp[],5,FALSE)&amp;TEXT(A2265,"-h"),TempDelta[],4,FALSE)</f>
        <v>1.6668571404048376</v>
      </c>
      <c r="R2265">
        <v>10</v>
      </c>
      <c r="S2265" s="112">
        <v>1500</v>
      </c>
      <c r="T2265" s="5">
        <f>VLOOKUP(TEXT(A2265,"yy-mm")&amp;"-"&amp;IF(AND(WEEKDAY(A2265)&gt;1,WEEKDAY(A2265)&lt;7),"Wkd",TEXT(A2265,"Ddd"))&amp;"-"&amp;TEXT(A2265,"hh"),LoadTable[],3,FALSE)*0.92</f>
        <v>291.12479999999999</v>
      </c>
      <c r="U2265" s="113">
        <f t="shared" si="2428"/>
        <v>29.112479999999998</v>
      </c>
      <c r="V2265">
        <f t="shared" ref="V2265:W2265" si="2454">V2241</f>
        <v>2.5</v>
      </c>
      <c r="W2265">
        <f t="shared" si="2454"/>
        <v>3.1</v>
      </c>
      <c r="X2265" s="9">
        <v>-51.932361166666297</v>
      </c>
      <c r="Y2265" s="39"/>
    </row>
    <row r="2266" spans="1:25" ht="15" thickBot="1">
      <c r="A2266" s="149">
        <f t="shared" si="2410"/>
        <v>45930.291666663157</v>
      </c>
      <c r="B2266" s="30">
        <f t="shared" si="2437"/>
        <v>8000</v>
      </c>
      <c r="C2266" s="8">
        <v>25000</v>
      </c>
      <c r="D2266" s="187">
        <v>0</v>
      </c>
      <c r="E2266" s="187">
        <v>700</v>
      </c>
      <c r="F2266" s="187">
        <v>15000</v>
      </c>
      <c r="G2266" s="151">
        <v>2470</v>
      </c>
      <c r="H2266" s="8">
        <f t="shared" si="2438"/>
        <v>25000</v>
      </c>
      <c r="I2266" s="30">
        <f t="shared" si="2439"/>
        <v>8000</v>
      </c>
      <c r="J2266" s="187">
        <v>40000</v>
      </c>
      <c r="K2266" s="30">
        <f t="shared" si="2440"/>
        <v>8000</v>
      </c>
      <c r="L2266" s="187">
        <v>40000</v>
      </c>
      <c r="M2266" s="110">
        <v>9.5</v>
      </c>
      <c r="N2266" s="9">
        <f>VLOOKUP(DATE(YEAR(A2266),MONTH(A2266),DAY(A2266)),FY24_Temp[],3,FALSE)</f>
        <v>17.399999999999999</v>
      </c>
      <c r="O2266" s="110">
        <f t="shared" si="2426"/>
        <v>11.5</v>
      </c>
      <c r="P2266" s="110">
        <f t="shared" si="2427"/>
        <v>19.5</v>
      </c>
      <c r="Q2266" s="79">
        <f>VLOOKUP(VLOOKUP(DATEVALUE(TEXT(A2266,"m/d/yyyy")),FY24_Temp[],5,FALSE)&amp;TEXT(A2266,"-h"),TempDelta[],4,FALSE)</f>
        <v>1.5237142699105399</v>
      </c>
      <c r="R2266">
        <v>10</v>
      </c>
      <c r="S2266" s="112">
        <v>1500</v>
      </c>
      <c r="T2266" s="5">
        <f>VLOOKUP(TEXT(A2266,"yy-mm")&amp;"-"&amp;IF(AND(WEEKDAY(A2266)&gt;1,WEEKDAY(A2266)&lt;7),"Wkd",TEXT(A2266,"Ddd"))&amp;"-"&amp;TEXT(A2266,"hh"),LoadTable[],3,FALSE)*0.92</f>
        <v>291.12479999999999</v>
      </c>
      <c r="U2266" s="113">
        <f t="shared" si="2428"/>
        <v>29.112479999999998</v>
      </c>
      <c r="V2266">
        <f t="shared" ref="V2266:W2266" si="2455">V2242</f>
        <v>2.5</v>
      </c>
      <c r="W2266">
        <f t="shared" si="2455"/>
        <v>3.1</v>
      </c>
      <c r="X2266" s="9">
        <v>-52.010155716666297</v>
      </c>
      <c r="Y2266" s="39"/>
    </row>
    <row r="2267" spans="1:25" ht="15" thickBot="1">
      <c r="A2267" s="149">
        <f t="shared" si="2410"/>
        <v>45930.333333329821</v>
      </c>
      <c r="B2267" s="30">
        <f t="shared" si="2437"/>
        <v>8000</v>
      </c>
      <c r="C2267" s="8">
        <v>25000</v>
      </c>
      <c r="D2267" s="187">
        <v>0</v>
      </c>
      <c r="E2267" s="187">
        <v>700</v>
      </c>
      <c r="F2267" s="187">
        <v>15000</v>
      </c>
      <c r="G2267" s="151">
        <v>2470</v>
      </c>
      <c r="H2267" s="8">
        <f t="shared" si="2438"/>
        <v>25000</v>
      </c>
      <c r="I2267" s="30">
        <f t="shared" si="2439"/>
        <v>8000</v>
      </c>
      <c r="J2267" s="187">
        <v>40000</v>
      </c>
      <c r="K2267" s="30">
        <f t="shared" si="2440"/>
        <v>8000</v>
      </c>
      <c r="L2267" s="187">
        <v>40000</v>
      </c>
      <c r="M2267" s="110">
        <v>9.5</v>
      </c>
      <c r="N2267" s="9">
        <f>VLOOKUP(DATE(YEAR(A2267),MONTH(A2267),DAY(A2267)),FY24_Temp[],3,FALSE)</f>
        <v>17.399999999999999</v>
      </c>
      <c r="O2267" s="110">
        <f t="shared" si="2426"/>
        <v>11.5</v>
      </c>
      <c r="P2267" s="110">
        <f t="shared" si="2427"/>
        <v>19.5</v>
      </c>
      <c r="Q2267" s="79">
        <f>VLOOKUP(VLOOKUP(DATEVALUE(TEXT(A2267,"m/d/yyyy")),FY24_Temp[],5,FALSE)&amp;TEXT(A2267,"-h"),TempDelta[],4,FALSE)</f>
        <v>1.3942857129233224</v>
      </c>
      <c r="R2267">
        <v>10</v>
      </c>
      <c r="S2267" s="112">
        <v>1500</v>
      </c>
      <c r="T2267" s="5">
        <f>VLOOKUP(TEXT(A2267,"yy-mm")&amp;"-"&amp;IF(AND(WEEKDAY(A2267)&gt;1,WEEKDAY(A2267)&lt;7),"Wkd",TEXT(A2267,"Ddd"))&amp;"-"&amp;TEXT(A2267,"hh"),LoadTable[],3,FALSE)*0.92</f>
        <v>291.12479999999999</v>
      </c>
      <c r="U2267" s="113">
        <f t="shared" si="2428"/>
        <v>29.112479999999998</v>
      </c>
      <c r="V2267">
        <f t="shared" ref="V2267:W2267" si="2456">V2243</f>
        <v>3.2</v>
      </c>
      <c r="W2267">
        <f t="shared" si="2456"/>
        <v>3</v>
      </c>
      <c r="X2267" s="9">
        <v>-52.087950266666297</v>
      </c>
      <c r="Y2267" s="39"/>
    </row>
    <row r="2268" spans="1:25" ht="15" thickBot="1">
      <c r="A2268" s="149">
        <f t="shared" si="2410"/>
        <v>45930.374999996486</v>
      </c>
      <c r="B2268" s="30">
        <f t="shared" si="2437"/>
        <v>8000</v>
      </c>
      <c r="C2268" s="8">
        <v>25000</v>
      </c>
      <c r="D2268" s="187">
        <v>0</v>
      </c>
      <c r="E2268" s="187">
        <v>700</v>
      </c>
      <c r="F2268" s="187">
        <v>15000</v>
      </c>
      <c r="G2268" s="151">
        <v>2470</v>
      </c>
      <c r="H2268" s="8">
        <f t="shared" si="2438"/>
        <v>25000</v>
      </c>
      <c r="I2268" s="30">
        <f t="shared" si="2439"/>
        <v>8000</v>
      </c>
      <c r="J2268" s="187">
        <v>40000</v>
      </c>
      <c r="K2268" s="30">
        <f t="shared" si="2440"/>
        <v>8000</v>
      </c>
      <c r="L2268" s="187">
        <v>40000</v>
      </c>
      <c r="M2268" s="110">
        <v>9.5</v>
      </c>
      <c r="N2268" s="9">
        <f>VLOOKUP(DATE(YEAR(A2268),MONTH(A2268),DAY(A2268)),FY24_Temp[],3,FALSE)</f>
        <v>17.399999999999999</v>
      </c>
      <c r="O2268" s="110">
        <f t="shared" si="2426"/>
        <v>11.5</v>
      </c>
      <c r="P2268" s="110">
        <f t="shared" si="2427"/>
        <v>19.5</v>
      </c>
      <c r="Q2268" s="79">
        <f>VLOOKUP(VLOOKUP(DATEVALUE(TEXT(A2268,"m/d/yyyy")),FY24_Temp[],5,FALSE)&amp;TEXT(A2268,"-h"),TempDelta[],4,FALSE)</f>
        <v>1.2751428655215673</v>
      </c>
      <c r="R2268">
        <v>10</v>
      </c>
      <c r="S2268" s="112">
        <v>1500</v>
      </c>
      <c r="T2268" s="5">
        <f>VLOOKUP(TEXT(A2268,"yy-mm")&amp;"-"&amp;IF(AND(WEEKDAY(A2268)&gt;1,WEEKDAY(A2268)&lt;7),"Wkd",TEXT(A2268,"Ddd"))&amp;"-"&amp;TEXT(A2268,"hh"),LoadTable[],3,FALSE)*0.92</f>
        <v>291.12479999999999</v>
      </c>
      <c r="U2268" s="113">
        <f t="shared" si="2428"/>
        <v>29.112479999999998</v>
      </c>
      <c r="V2268">
        <f t="shared" ref="V2268:W2268" si="2457">V2244</f>
        <v>2.9</v>
      </c>
      <c r="W2268">
        <f t="shared" si="2457"/>
        <v>3</v>
      </c>
      <c r="X2268" s="9">
        <v>-52.165744816666198</v>
      </c>
      <c r="Y2268" s="39"/>
    </row>
    <row r="2269" spans="1:25" ht="15" thickBot="1">
      <c r="A2269" s="149">
        <f t="shared" si="2410"/>
        <v>45930.41666666315</v>
      </c>
      <c r="B2269" s="30">
        <f t="shared" si="2437"/>
        <v>8000</v>
      </c>
      <c r="C2269" s="8">
        <v>25000</v>
      </c>
      <c r="D2269" s="187">
        <v>0</v>
      </c>
      <c r="E2269" s="187">
        <v>700</v>
      </c>
      <c r="F2269" s="187">
        <v>15000</v>
      </c>
      <c r="G2269" s="151">
        <v>2470</v>
      </c>
      <c r="H2269" s="8">
        <f t="shared" si="2438"/>
        <v>25000</v>
      </c>
      <c r="I2269" s="30">
        <f t="shared" si="2439"/>
        <v>8000</v>
      </c>
      <c r="J2269" s="187">
        <v>40000</v>
      </c>
      <c r="K2269" s="30">
        <f t="shared" si="2440"/>
        <v>8000</v>
      </c>
      <c r="L2269" s="187">
        <v>40000</v>
      </c>
      <c r="M2269" s="110">
        <v>9.5</v>
      </c>
      <c r="N2269" s="9">
        <f>VLOOKUP(DATE(YEAR(A2269),MONTH(A2269),DAY(A2269)),FY24_Temp[],3,FALSE)</f>
        <v>17.399999999999999</v>
      </c>
      <c r="O2269" s="110">
        <f t="shared" si="2426"/>
        <v>11.5</v>
      </c>
      <c r="P2269" s="110">
        <f t="shared" si="2427"/>
        <v>19.5</v>
      </c>
      <c r="Q2269" s="79">
        <f>VLOOKUP(VLOOKUP(DATEVALUE(TEXT(A2269,"m/d/yyyy")),FY24_Temp[],5,FALSE)&amp;TEXT(A2269,"-h"),TempDelta[],4,FALSE)</f>
        <v>1.1441428746495927</v>
      </c>
      <c r="R2269">
        <v>10</v>
      </c>
      <c r="S2269" s="112">
        <v>1500</v>
      </c>
      <c r="T2269" s="5">
        <f>VLOOKUP(TEXT(A2269,"yy-mm")&amp;"-"&amp;IF(AND(WEEKDAY(A2269)&gt;1,WEEKDAY(A2269)&lt;7),"Wkd",TEXT(A2269,"Ddd"))&amp;"-"&amp;TEXT(A2269,"hh"),LoadTable[],3,FALSE)*0.92</f>
        <v>290.74956158350585</v>
      </c>
      <c r="U2269" s="113">
        <f t="shared" si="2428"/>
        <v>29.074956158350584</v>
      </c>
      <c r="V2269">
        <f t="shared" ref="V2269:W2269" si="2458">V2245</f>
        <v>2.9</v>
      </c>
      <c r="W2269">
        <f t="shared" si="2458"/>
        <v>3</v>
      </c>
      <c r="X2269" s="9">
        <v>-52.243539366666297</v>
      </c>
      <c r="Y2269" s="39"/>
    </row>
    <row r="2270" spans="1:25" ht="15" thickBot="1">
      <c r="A2270" s="149">
        <f t="shared" si="2410"/>
        <v>45930.458333329814</v>
      </c>
      <c r="B2270" s="30">
        <f t="shared" si="2437"/>
        <v>8000</v>
      </c>
      <c r="C2270" s="8">
        <v>25000</v>
      </c>
      <c r="D2270" s="187">
        <v>0</v>
      </c>
      <c r="E2270" s="187">
        <v>700</v>
      </c>
      <c r="F2270" s="187">
        <v>15000</v>
      </c>
      <c r="G2270" s="151">
        <v>2470</v>
      </c>
      <c r="H2270" s="8">
        <f t="shared" si="2438"/>
        <v>25000</v>
      </c>
      <c r="I2270" s="30">
        <f t="shared" si="2439"/>
        <v>8000</v>
      </c>
      <c r="J2270" s="187">
        <v>40000</v>
      </c>
      <c r="K2270" s="30">
        <f t="shared" si="2440"/>
        <v>8000</v>
      </c>
      <c r="L2270" s="187">
        <v>40000</v>
      </c>
      <c r="M2270" s="110">
        <v>9.5</v>
      </c>
      <c r="N2270" s="9">
        <f>VLOOKUP(DATE(YEAR(A2270),MONTH(A2270),DAY(A2270)),FY24_Temp[],3,FALSE)</f>
        <v>17.399999999999999</v>
      </c>
      <c r="O2270" s="110">
        <f t="shared" si="2426"/>
        <v>11.5</v>
      </c>
      <c r="P2270" s="110">
        <f t="shared" si="2427"/>
        <v>19.5</v>
      </c>
      <c r="Q2270" s="79">
        <f>VLOOKUP(VLOOKUP(DATEVALUE(TEXT(A2270,"m/d/yyyy")),FY24_Temp[],5,FALSE)&amp;TEXT(A2270,"-h"),TempDelta[],4,FALSE)</f>
        <v>1.006714301449912</v>
      </c>
      <c r="R2270">
        <v>10</v>
      </c>
      <c r="S2270" s="112">
        <v>1500</v>
      </c>
      <c r="T2270" s="5">
        <f>VLOOKUP(TEXT(A2270,"yy-mm")&amp;"-"&amp;IF(AND(WEEKDAY(A2270)&gt;1,WEEKDAY(A2270)&lt;7),"Wkd",TEXT(A2270,"Ddd"))&amp;"-"&amp;TEXT(A2270,"hh"),LoadTable[],3,FALSE)*0.92</f>
        <v>290.74956158350585</v>
      </c>
      <c r="U2270" s="113">
        <f t="shared" si="2428"/>
        <v>29.074956158350584</v>
      </c>
      <c r="V2270">
        <f t="shared" ref="V2270:W2270" si="2459">V2246</f>
        <v>3.4</v>
      </c>
      <c r="W2270">
        <f t="shared" si="2459"/>
        <v>3</v>
      </c>
      <c r="X2270" s="9">
        <v>-52.321333916666298</v>
      </c>
      <c r="Y2270" s="39"/>
    </row>
    <row r="2271" spans="1:25" ht="15" thickBot="1">
      <c r="A2271" s="149">
        <f t="shared" si="2410"/>
        <v>45930.499999996478</v>
      </c>
      <c r="B2271" s="30">
        <f t="shared" si="2437"/>
        <v>8000</v>
      </c>
      <c r="C2271" s="8">
        <v>25000</v>
      </c>
      <c r="D2271" s="187">
        <v>0</v>
      </c>
      <c r="E2271" s="187">
        <v>700</v>
      </c>
      <c r="F2271" s="187">
        <v>15000</v>
      </c>
      <c r="G2271" s="151">
        <v>2470</v>
      </c>
      <c r="H2271" s="8">
        <f t="shared" si="2438"/>
        <v>25000</v>
      </c>
      <c r="I2271" s="30">
        <f t="shared" si="2439"/>
        <v>8000</v>
      </c>
      <c r="J2271" s="187">
        <v>40000</v>
      </c>
      <c r="K2271" s="30">
        <f t="shared" si="2440"/>
        <v>8000</v>
      </c>
      <c r="L2271" s="187">
        <v>40000</v>
      </c>
      <c r="M2271" s="110">
        <v>9.5</v>
      </c>
      <c r="N2271" s="9">
        <f>VLOOKUP(DATE(YEAR(A2271),MONTH(A2271),DAY(A2271)),FY24_Temp[],3,FALSE)</f>
        <v>17.399999999999999</v>
      </c>
      <c r="O2271" s="110">
        <f t="shared" si="2426"/>
        <v>11.5</v>
      </c>
      <c r="P2271" s="110">
        <f t="shared" si="2427"/>
        <v>19.5</v>
      </c>
      <c r="Q2271" s="79">
        <f>VLOOKUP(VLOOKUP(DATEVALUE(TEXT(A2271,"m/d/yyyy")),FY24_Temp[],5,FALSE)&amp;TEXT(A2271,"-h"),TempDelta[],4,FALSE)</f>
        <v>0.87971426759447369</v>
      </c>
      <c r="R2271">
        <v>10</v>
      </c>
      <c r="S2271" s="112">
        <v>1500</v>
      </c>
      <c r="T2271" s="5">
        <f>VLOOKUP(TEXT(A2271,"yy-mm")&amp;"-"&amp;IF(AND(WEEKDAY(A2271)&gt;1,WEEKDAY(A2271)&lt;7),"Wkd",TEXT(A2271,"Ddd"))&amp;"-"&amp;TEXT(A2271,"hh"),LoadTable[],3,FALSE)*0.92</f>
        <v>290.74956158350585</v>
      </c>
      <c r="U2271" s="113">
        <f t="shared" si="2428"/>
        <v>29.074956158350584</v>
      </c>
      <c r="V2271">
        <f t="shared" ref="V2271:W2271" si="2460">V2247</f>
        <v>3.1</v>
      </c>
      <c r="W2271">
        <f t="shared" si="2460"/>
        <v>2.9</v>
      </c>
      <c r="X2271" s="9">
        <v>-52.399128466666298</v>
      </c>
      <c r="Y2271" s="39"/>
    </row>
    <row r="2272" spans="1:25" ht="15" thickBot="1">
      <c r="A2272" s="149">
        <f t="shared" si="2410"/>
        <v>45930.541666663143</v>
      </c>
      <c r="B2272" s="30">
        <f t="shared" si="2437"/>
        <v>8000</v>
      </c>
      <c r="C2272" s="8">
        <v>25000</v>
      </c>
      <c r="D2272" s="187">
        <v>0</v>
      </c>
      <c r="E2272" s="187">
        <v>700</v>
      </c>
      <c r="F2272" s="187">
        <v>15000</v>
      </c>
      <c r="G2272" s="151">
        <v>2470</v>
      </c>
      <c r="H2272" s="8">
        <f t="shared" si="2438"/>
        <v>25000</v>
      </c>
      <c r="I2272" s="30">
        <f t="shared" si="2439"/>
        <v>8000</v>
      </c>
      <c r="J2272" s="187">
        <v>40000</v>
      </c>
      <c r="K2272" s="30">
        <f t="shared" si="2440"/>
        <v>8000</v>
      </c>
      <c r="L2272" s="187">
        <v>40000</v>
      </c>
      <c r="M2272" s="110">
        <v>9.5</v>
      </c>
      <c r="N2272" s="9">
        <f>VLOOKUP(DATE(YEAR(A2272),MONTH(A2272),DAY(A2272)),FY24_Temp[],3,FALSE)</f>
        <v>17.399999999999999</v>
      </c>
      <c r="O2272" s="110">
        <f t="shared" si="2426"/>
        <v>11.5</v>
      </c>
      <c r="P2272" s="110">
        <f t="shared" si="2427"/>
        <v>19.5</v>
      </c>
      <c r="Q2272" s="79">
        <f>VLOOKUP(VLOOKUP(DATEVALUE(TEXT(A2272,"m/d/yyyy")),FY24_Temp[],5,FALSE)&amp;TEXT(A2272,"-h"),TempDelta[],4,FALSE)</f>
        <v>0.77128570420401432</v>
      </c>
      <c r="R2272">
        <v>10</v>
      </c>
      <c r="S2272" s="112">
        <v>1500</v>
      </c>
      <c r="T2272" s="5">
        <f>VLOOKUP(TEXT(A2272,"yy-mm")&amp;"-"&amp;IF(AND(WEEKDAY(A2272)&gt;1,WEEKDAY(A2272)&lt;7),"Wkd",TEXT(A2272,"Ddd"))&amp;"-"&amp;TEXT(A2272,"hh"),LoadTable[],3,FALSE)*0.92</f>
        <v>290.72204920255348</v>
      </c>
      <c r="U2272" s="113">
        <f t="shared" si="2428"/>
        <v>29.072204920255349</v>
      </c>
      <c r="V2272">
        <f t="shared" ref="V2272:W2272" si="2461">V2248</f>
        <v>3.2</v>
      </c>
      <c r="W2272">
        <f t="shared" si="2461"/>
        <v>2.9</v>
      </c>
      <c r="X2272" s="9">
        <v>-52.476923016666298</v>
      </c>
      <c r="Y2272" s="39"/>
    </row>
    <row r="2273" spans="1:25" ht="15" thickBot="1">
      <c r="A2273" s="149">
        <f t="shared" si="2410"/>
        <v>45930.583333329807</v>
      </c>
      <c r="B2273" s="30">
        <f t="shared" si="2437"/>
        <v>8000</v>
      </c>
      <c r="C2273" s="8">
        <v>25000</v>
      </c>
      <c r="D2273" s="187">
        <v>0</v>
      </c>
      <c r="E2273" s="187">
        <v>700</v>
      </c>
      <c r="F2273" s="187">
        <v>15000</v>
      </c>
      <c r="G2273" s="151">
        <v>2470</v>
      </c>
      <c r="H2273" s="8">
        <f t="shared" si="2438"/>
        <v>25000</v>
      </c>
      <c r="I2273" s="30">
        <f t="shared" si="2439"/>
        <v>8000</v>
      </c>
      <c r="J2273" s="187">
        <v>40000</v>
      </c>
      <c r="K2273" s="30">
        <f t="shared" si="2440"/>
        <v>8000</v>
      </c>
      <c r="L2273" s="187">
        <v>40000</v>
      </c>
      <c r="M2273" s="110">
        <v>9.5</v>
      </c>
      <c r="N2273" s="9">
        <f>VLOOKUP(DATE(YEAR(A2273),MONTH(A2273),DAY(A2273)),FY24_Temp[],3,FALSE)</f>
        <v>17.399999999999999</v>
      </c>
      <c r="O2273" s="110">
        <f t="shared" si="2426"/>
        <v>11.5</v>
      </c>
      <c r="P2273" s="110">
        <f t="shared" si="2427"/>
        <v>19.5</v>
      </c>
      <c r="Q2273" s="79">
        <f>VLOOKUP(VLOOKUP(DATEVALUE(TEXT(A2273,"m/d/yyyy")),FY24_Temp[],5,FALSE)&amp;TEXT(A2273,"-h"),TempDelta[],4,FALSE)</f>
        <v>0.72371428353445866</v>
      </c>
      <c r="R2273">
        <v>10</v>
      </c>
      <c r="S2273" s="112">
        <v>1500</v>
      </c>
      <c r="T2273" s="5">
        <f>VLOOKUP(TEXT(A2273,"yy-mm")&amp;"-"&amp;IF(AND(WEEKDAY(A2273)&gt;1,WEEKDAY(A2273)&lt;7),"Wkd",TEXT(A2273,"Ddd"))&amp;"-"&amp;TEXT(A2273,"hh"),LoadTable[],3,FALSE)*0.92</f>
        <v>363.28132000000005</v>
      </c>
      <c r="U2273" s="113">
        <f t="shared" si="2428"/>
        <v>36.328132000000004</v>
      </c>
      <c r="V2273">
        <f t="shared" ref="V2273:W2273" si="2462">V2249</f>
        <v>3.5</v>
      </c>
      <c r="W2273">
        <f t="shared" si="2462"/>
        <v>2.9</v>
      </c>
      <c r="X2273" s="9">
        <v>-52.554717566666298</v>
      </c>
      <c r="Y2273" s="39"/>
    </row>
    <row r="2274" spans="1:25" ht="15" thickBot="1">
      <c r="A2274" s="149">
        <f t="shared" si="2410"/>
        <v>45930.624999996471</v>
      </c>
      <c r="B2274" s="30">
        <f t="shared" si="2437"/>
        <v>8000</v>
      </c>
      <c r="C2274" s="8">
        <v>25000</v>
      </c>
      <c r="D2274" s="187">
        <v>0</v>
      </c>
      <c r="E2274" s="187">
        <v>700</v>
      </c>
      <c r="F2274" s="187">
        <v>15000</v>
      </c>
      <c r="G2274" s="151">
        <v>2470</v>
      </c>
      <c r="H2274" s="8">
        <f t="shared" si="2438"/>
        <v>25000</v>
      </c>
      <c r="I2274" s="30">
        <f t="shared" si="2439"/>
        <v>8000</v>
      </c>
      <c r="J2274" s="187">
        <v>40000</v>
      </c>
      <c r="K2274" s="30">
        <f t="shared" si="2440"/>
        <v>8000</v>
      </c>
      <c r="L2274" s="187">
        <v>40000</v>
      </c>
      <c r="M2274" s="110">
        <v>9.5</v>
      </c>
      <c r="N2274" s="9">
        <f>VLOOKUP(DATE(YEAR(A2274),MONTH(A2274),DAY(A2274)),FY24_Temp[],3,FALSE)</f>
        <v>17.399999999999999</v>
      </c>
      <c r="O2274" s="110">
        <f t="shared" si="2426"/>
        <v>11.5</v>
      </c>
      <c r="P2274" s="110">
        <f t="shared" si="2427"/>
        <v>19.5</v>
      </c>
      <c r="Q2274" s="79">
        <f>VLOOKUP(VLOOKUP(DATEVALUE(TEXT(A2274,"m/d/yyyy")),FY24_Temp[],5,FALSE)&amp;TEXT(A2274,"-h"),TempDelta[],4,FALSE)</f>
        <v>0.35007142781146933</v>
      </c>
      <c r="R2274">
        <v>10</v>
      </c>
      <c r="S2274" s="112">
        <v>1500</v>
      </c>
      <c r="T2274" s="5">
        <f>VLOOKUP(TEXT(A2274,"yy-mm")&amp;"-"&amp;IF(AND(WEEKDAY(A2274)&gt;1,WEEKDAY(A2274)&lt;7),"Wkd",TEXT(A2274,"Ddd"))&amp;"-"&amp;TEXT(A2274,"hh"),LoadTable[],3,FALSE)*0.92</f>
        <v>570.3300004440199</v>
      </c>
      <c r="U2274" s="113">
        <f t="shared" si="2428"/>
        <v>57.033000044401987</v>
      </c>
      <c r="V2274">
        <f t="shared" ref="V2274:W2274" si="2463">V2250</f>
        <v>3.2</v>
      </c>
      <c r="W2274">
        <f t="shared" si="2463"/>
        <v>2.9</v>
      </c>
      <c r="X2274" s="9">
        <v>-52.632512116666298</v>
      </c>
      <c r="Y2274" s="39"/>
    </row>
    <row r="2275" spans="1:25" ht="15" thickBot="1">
      <c r="A2275" s="149">
        <f t="shared" si="2410"/>
        <v>45930.666666663135</v>
      </c>
      <c r="B2275" s="30">
        <f t="shared" si="2437"/>
        <v>8000</v>
      </c>
      <c r="C2275" s="8">
        <v>25000</v>
      </c>
      <c r="D2275" s="187">
        <v>0</v>
      </c>
      <c r="E2275" s="187">
        <v>700</v>
      </c>
      <c r="F2275" s="187">
        <v>15000</v>
      </c>
      <c r="G2275" s="151">
        <v>2470</v>
      </c>
      <c r="H2275" s="8">
        <f t="shared" si="2438"/>
        <v>25000</v>
      </c>
      <c r="I2275" s="30">
        <f t="shared" si="2439"/>
        <v>8000</v>
      </c>
      <c r="J2275" s="187">
        <v>40000</v>
      </c>
      <c r="K2275" s="30">
        <f t="shared" si="2440"/>
        <v>8000</v>
      </c>
      <c r="L2275" s="187">
        <v>40000</v>
      </c>
      <c r="M2275" s="110">
        <v>9.5</v>
      </c>
      <c r="N2275" s="9">
        <f>VLOOKUP(DATE(YEAR(A2275),MONTH(A2275),DAY(A2275)),FY24_Temp[],3,FALSE)</f>
        <v>17.399999999999999</v>
      </c>
      <c r="O2275" s="110">
        <f t="shared" si="2426"/>
        <v>11.5</v>
      </c>
      <c r="P2275" s="110">
        <f t="shared" si="2427"/>
        <v>19.5</v>
      </c>
      <c r="Q2275" s="79">
        <f>VLOOKUP(VLOOKUP(DATEVALUE(TEXT(A2275,"m/d/yyyy")),FY24_Temp[],5,FALSE)&amp;TEXT(A2275,"-h"),TempDelta[],4,FALSE)</f>
        <v>0.48392857345087187</v>
      </c>
      <c r="R2275">
        <v>10</v>
      </c>
      <c r="S2275" s="112">
        <v>1500</v>
      </c>
      <c r="T2275" s="5">
        <f>VLOOKUP(TEXT(A2275,"yy-mm")&amp;"-"&amp;IF(AND(WEEKDAY(A2275)&gt;1,WEEKDAY(A2275)&lt;7),"Wkd",TEXT(A2275,"Ddd"))&amp;"-"&amp;TEXT(A2275,"hh"),LoadTable[],3,FALSE)*0.92</f>
        <v>602.16876690131596</v>
      </c>
      <c r="U2275" s="113">
        <f t="shared" si="2428"/>
        <v>60.216876690131599</v>
      </c>
      <c r="V2275">
        <f t="shared" ref="V2275:W2275" si="2464">V2251</f>
        <v>3.5</v>
      </c>
      <c r="W2275">
        <f t="shared" si="2464"/>
        <v>3</v>
      </c>
      <c r="X2275" s="9">
        <v>-52.710306666666298</v>
      </c>
      <c r="Y2275" s="39"/>
    </row>
    <row r="2276" spans="1:25" ht="15" thickBot="1">
      <c r="A2276" s="149">
        <f t="shared" si="2410"/>
        <v>45930.7083333298</v>
      </c>
      <c r="B2276" s="30">
        <f t="shared" si="2437"/>
        <v>8000</v>
      </c>
      <c r="C2276" s="8">
        <v>25000</v>
      </c>
      <c r="D2276" s="187">
        <v>0</v>
      </c>
      <c r="E2276" s="187">
        <v>700</v>
      </c>
      <c r="F2276" s="187">
        <v>15000</v>
      </c>
      <c r="G2276" s="151">
        <v>2470</v>
      </c>
      <c r="H2276" s="8">
        <f t="shared" si="2438"/>
        <v>25000</v>
      </c>
      <c r="I2276" s="30">
        <f t="shared" si="2439"/>
        <v>8000</v>
      </c>
      <c r="J2276" s="187">
        <v>40000</v>
      </c>
      <c r="K2276" s="30">
        <f t="shared" si="2440"/>
        <v>8000</v>
      </c>
      <c r="L2276" s="187">
        <v>40000</v>
      </c>
      <c r="M2276" s="110">
        <v>9.5</v>
      </c>
      <c r="N2276" s="9">
        <f>VLOOKUP(DATE(YEAR(A2276),MONTH(A2276),DAY(A2276)),FY24_Temp[],3,FALSE)</f>
        <v>17.399999999999999</v>
      </c>
      <c r="O2276" s="110">
        <f t="shared" si="2426"/>
        <v>11.5</v>
      </c>
      <c r="P2276" s="110">
        <f t="shared" si="2427"/>
        <v>19.5</v>
      </c>
      <c r="Q2276" s="79">
        <f>VLOOKUP(VLOOKUP(DATEVALUE(TEXT(A2276,"m/d/yyyy")),FY24_Temp[],5,FALSE)&amp;TEXT(A2276,"-h"),TempDelta[],4,FALSE)</f>
        <v>0.71807142613189556</v>
      </c>
      <c r="R2276">
        <v>10</v>
      </c>
      <c r="S2276" s="112">
        <v>1500</v>
      </c>
      <c r="T2276" s="5">
        <f>VLOOKUP(TEXT(A2276,"yy-mm")&amp;"-"&amp;IF(AND(WEEKDAY(A2276)&gt;1,WEEKDAY(A2276)&lt;7),"Wkd",TEXT(A2276,"Ddd"))&amp;"-"&amp;TEXT(A2276,"hh"),LoadTable[],3,FALSE)*0.92</f>
        <v>602.16876690131596</v>
      </c>
      <c r="U2276" s="113">
        <f t="shared" si="2428"/>
        <v>60.216876690131599</v>
      </c>
      <c r="V2276">
        <f t="shared" ref="V2276:W2276" si="2465">V2252</f>
        <v>3.6</v>
      </c>
      <c r="W2276">
        <f t="shared" si="2465"/>
        <v>3</v>
      </c>
      <c r="X2276" s="9">
        <v>-52.788101216666298</v>
      </c>
      <c r="Y2276" s="39"/>
    </row>
    <row r="2277" spans="1:25" ht="15" thickBot="1">
      <c r="A2277" s="149">
        <f t="shared" si="2410"/>
        <v>45930.749999996464</v>
      </c>
      <c r="B2277" s="30">
        <f t="shared" si="2437"/>
        <v>5000</v>
      </c>
      <c r="C2277" s="8">
        <v>25000</v>
      </c>
      <c r="D2277" s="187">
        <v>0</v>
      </c>
      <c r="E2277" s="187">
        <v>700</v>
      </c>
      <c r="F2277" s="187">
        <v>15000</v>
      </c>
      <c r="G2277" s="151">
        <v>2470</v>
      </c>
      <c r="H2277" s="8">
        <f t="shared" si="2438"/>
        <v>25000</v>
      </c>
      <c r="I2277" s="30">
        <f t="shared" si="2439"/>
        <v>5000</v>
      </c>
      <c r="J2277" s="187">
        <v>40000</v>
      </c>
      <c r="K2277" s="30">
        <f t="shared" si="2440"/>
        <v>5000</v>
      </c>
      <c r="L2277" s="187">
        <v>40000</v>
      </c>
      <c r="M2277" s="110">
        <v>9.5</v>
      </c>
      <c r="N2277" s="9">
        <f>VLOOKUP(DATE(YEAR(A2277),MONTH(A2277),DAY(A2277)),FY24_Temp[],3,FALSE)</f>
        <v>17.399999999999999</v>
      </c>
      <c r="O2277" s="110">
        <f t="shared" si="2426"/>
        <v>11.5</v>
      </c>
      <c r="P2277" s="110">
        <f t="shared" si="2427"/>
        <v>19.5</v>
      </c>
      <c r="Q2277" s="79">
        <f>VLOOKUP(VLOOKUP(DATEVALUE(TEXT(A2277,"m/d/yyyy")),FY24_Temp[],5,FALSE)&amp;TEXT(A2277,"-h"),TempDelta[],4,FALSE)</f>
        <v>0.97985714673995972</v>
      </c>
      <c r="R2277">
        <v>10</v>
      </c>
      <c r="S2277" s="112">
        <v>1500</v>
      </c>
      <c r="T2277" s="5">
        <f>VLOOKUP(TEXT(A2277,"yy-mm")&amp;"-"&amp;IF(AND(WEEKDAY(A2277)&gt;1,WEEKDAY(A2277)&lt;7),"Wkd",TEXT(A2277,"Ddd"))&amp;"-"&amp;TEXT(A2277,"hh"),LoadTable[],3,FALSE)*0.92</f>
        <v>602.16876690131596</v>
      </c>
      <c r="U2277" s="113">
        <f t="shared" si="2428"/>
        <v>60.216876690131599</v>
      </c>
      <c r="V2277">
        <f t="shared" ref="V2277:W2277" si="2466">V2253</f>
        <v>2.9</v>
      </c>
      <c r="W2277">
        <f t="shared" si="2466"/>
        <v>3</v>
      </c>
      <c r="X2277" s="9">
        <v>-52.865895766666199</v>
      </c>
      <c r="Y2277" s="39"/>
    </row>
    <row r="2278" spans="1:25" ht="15" thickBot="1">
      <c r="A2278" s="149">
        <f t="shared" si="2410"/>
        <v>45930.791666663128</v>
      </c>
      <c r="B2278" s="30">
        <f t="shared" si="2437"/>
        <v>5000</v>
      </c>
      <c r="C2278" s="8">
        <v>25000</v>
      </c>
      <c r="D2278" s="187">
        <v>0</v>
      </c>
      <c r="E2278" s="187">
        <v>700</v>
      </c>
      <c r="F2278" s="187">
        <v>15000</v>
      </c>
      <c r="G2278" s="151">
        <v>2470</v>
      </c>
      <c r="H2278" s="8">
        <f t="shared" si="2438"/>
        <v>25000</v>
      </c>
      <c r="I2278" s="30">
        <f t="shared" si="2439"/>
        <v>5000</v>
      </c>
      <c r="J2278" s="187">
        <v>40000</v>
      </c>
      <c r="K2278" s="30">
        <f t="shared" si="2440"/>
        <v>5000</v>
      </c>
      <c r="L2278" s="187">
        <v>40000</v>
      </c>
      <c r="M2278" s="110">
        <v>9.5</v>
      </c>
      <c r="N2278" s="9">
        <f>VLOOKUP(DATE(YEAR(A2278),MONTH(A2278),DAY(A2278)),FY24_Temp[],3,FALSE)</f>
        <v>17.399999999999999</v>
      </c>
      <c r="O2278" s="110">
        <f t="shared" si="2426"/>
        <v>11.5</v>
      </c>
      <c r="P2278" s="110">
        <f t="shared" si="2427"/>
        <v>19.5</v>
      </c>
      <c r="Q2278" s="79">
        <f>VLOOKUP(VLOOKUP(DATEVALUE(TEXT(A2278,"m/d/yyyy")),FY24_Temp[],5,FALSE)&amp;TEXT(A2278,"-h"),TempDelta[],4,FALSE)</f>
        <v>1.0494285609040941</v>
      </c>
      <c r="R2278">
        <v>10</v>
      </c>
      <c r="S2278" s="112">
        <v>1500</v>
      </c>
      <c r="T2278" s="5">
        <f>VLOOKUP(TEXT(A2278,"yy-mm")&amp;"-"&amp;IF(AND(WEEKDAY(A2278)&gt;1,WEEKDAY(A2278)&lt;7),"Wkd",TEXT(A2278,"Ddd"))&amp;"-"&amp;TEXT(A2278,"hh"),LoadTable[],3,FALSE)*0.92</f>
        <v>600.14662419619219</v>
      </c>
      <c r="U2278" s="113">
        <f t="shared" si="2428"/>
        <v>60.014662419619221</v>
      </c>
      <c r="V2278">
        <f t="shared" ref="V2278:W2278" si="2467">V2254</f>
        <v>3</v>
      </c>
      <c r="W2278">
        <f t="shared" si="2467"/>
        <v>3</v>
      </c>
      <c r="X2278" s="9">
        <v>-52.943690316666199</v>
      </c>
      <c r="Y2278" s="39"/>
    </row>
    <row r="2279" spans="1:25" ht="15" thickBot="1">
      <c r="A2279" s="149">
        <f t="shared" si="2410"/>
        <v>45930.833333329792</v>
      </c>
      <c r="B2279" s="30">
        <f t="shared" si="2437"/>
        <v>5000</v>
      </c>
      <c r="C2279" s="8">
        <v>25000</v>
      </c>
      <c r="D2279" s="187">
        <v>0</v>
      </c>
      <c r="E2279" s="187">
        <v>700</v>
      </c>
      <c r="F2279" s="187">
        <v>15000</v>
      </c>
      <c r="G2279" s="151">
        <v>2470</v>
      </c>
      <c r="H2279" s="8">
        <f t="shared" si="2438"/>
        <v>25000</v>
      </c>
      <c r="I2279" s="30">
        <f t="shared" si="2439"/>
        <v>5000</v>
      </c>
      <c r="J2279" s="187">
        <v>40000</v>
      </c>
      <c r="K2279" s="30">
        <f t="shared" si="2440"/>
        <v>5000</v>
      </c>
      <c r="L2279" s="187">
        <v>40000</v>
      </c>
      <c r="M2279" s="110">
        <v>9.5</v>
      </c>
      <c r="N2279" s="9">
        <f>VLOOKUP(DATE(YEAR(A2279),MONTH(A2279),DAY(A2279)),FY24_Temp[],3,FALSE)</f>
        <v>17.399999999999999</v>
      </c>
      <c r="O2279" s="110">
        <f t="shared" si="2426"/>
        <v>11.5</v>
      </c>
      <c r="P2279" s="110">
        <f t="shared" si="2427"/>
        <v>19.5</v>
      </c>
      <c r="Q2279" s="79">
        <f>VLOOKUP(VLOOKUP(DATEVALUE(TEXT(A2279,"m/d/yyyy")),FY24_Temp[],5,FALSE)&amp;TEXT(A2279,"-h"),TempDelta[],4,FALSE)</f>
        <v>1.1053571232727595</v>
      </c>
      <c r="R2279">
        <v>10</v>
      </c>
      <c r="S2279" s="112">
        <v>1500</v>
      </c>
      <c r="T2279" s="5">
        <f>VLOOKUP(TEXT(A2279,"yy-mm")&amp;"-"&amp;IF(AND(WEEKDAY(A2279)&gt;1,WEEKDAY(A2279)&lt;7),"Wkd",TEXT(A2279,"Ddd"))&amp;"-"&amp;TEXT(A2279,"hh"),LoadTable[],3,FALSE)*0.92</f>
        <v>600.14662419619219</v>
      </c>
      <c r="U2279" s="113">
        <f t="shared" si="2428"/>
        <v>60.014662419619221</v>
      </c>
      <c r="V2279">
        <f t="shared" ref="V2279:W2279" si="2468">V2255</f>
        <v>2.8</v>
      </c>
      <c r="W2279">
        <f t="shared" si="2468"/>
        <v>3.1</v>
      </c>
      <c r="X2279" s="9">
        <v>-53.021484866666199</v>
      </c>
      <c r="Y2279" s="39"/>
    </row>
    <row r="2280" spans="1:25" ht="15" thickBot="1">
      <c r="A2280" s="149">
        <f t="shared" si="2410"/>
        <v>45930.874999996457</v>
      </c>
      <c r="B2280" s="30">
        <f t="shared" si="2437"/>
        <v>5000</v>
      </c>
      <c r="C2280" s="8">
        <v>25000</v>
      </c>
      <c r="D2280" s="187">
        <v>0</v>
      </c>
      <c r="E2280" s="187">
        <v>700</v>
      </c>
      <c r="F2280" s="187">
        <v>15000</v>
      </c>
      <c r="G2280" s="151">
        <v>2470</v>
      </c>
      <c r="H2280" s="8">
        <f t="shared" si="2438"/>
        <v>25000</v>
      </c>
      <c r="I2280" s="30">
        <f t="shared" si="2439"/>
        <v>5000</v>
      </c>
      <c r="J2280" s="187">
        <v>40000</v>
      </c>
      <c r="K2280" s="30">
        <f t="shared" si="2440"/>
        <v>5000</v>
      </c>
      <c r="L2280" s="187">
        <v>40000</v>
      </c>
      <c r="M2280" s="110">
        <v>9.5</v>
      </c>
      <c r="N2280" s="9">
        <f>VLOOKUP(DATE(YEAR(A2280),MONTH(A2280),DAY(A2280)),FY24_Temp[],3,FALSE)</f>
        <v>17.399999999999999</v>
      </c>
      <c r="O2280" s="110">
        <f t="shared" si="2426"/>
        <v>11.5</v>
      </c>
      <c r="P2280" s="110">
        <f t="shared" si="2427"/>
        <v>19.5</v>
      </c>
      <c r="Q2280" s="79">
        <f>VLOOKUP(VLOOKUP(DATEVALUE(TEXT(A2280,"m/d/yyyy")),FY24_Temp[],5,FALSE)&amp;TEXT(A2280,"-h"),TempDelta[],4,FALSE)</f>
        <v>1.1162857200418199</v>
      </c>
      <c r="R2280">
        <v>10</v>
      </c>
      <c r="S2280" s="112">
        <v>1500</v>
      </c>
      <c r="T2280" s="5">
        <f>VLOOKUP(TEXT(A2280,"yy-mm")&amp;"-"&amp;IF(AND(WEEKDAY(A2280)&gt;1,WEEKDAY(A2280)&lt;7),"Wkd",TEXT(A2280,"Ddd"))&amp;"-"&amp;TEXT(A2280,"hh"),LoadTable[],3,FALSE)*0.92</f>
        <v>523.94879142973434</v>
      </c>
      <c r="U2280" s="113">
        <f t="shared" si="2428"/>
        <v>52.394879142973437</v>
      </c>
      <c r="V2280">
        <f t="shared" ref="V2280:W2280" si="2469">V2256</f>
        <v>3.5</v>
      </c>
      <c r="W2280">
        <f t="shared" si="2469"/>
        <v>3.1</v>
      </c>
      <c r="X2280" s="9">
        <v>-53.099279416666199</v>
      </c>
      <c r="Y2280" s="39"/>
    </row>
    <row r="2281" spans="1:25" ht="15" thickBot="1">
      <c r="A2281" s="149">
        <f t="shared" si="2410"/>
        <v>45930.916666663121</v>
      </c>
      <c r="B2281" s="30">
        <f t="shared" si="2437"/>
        <v>5000</v>
      </c>
      <c r="C2281" s="8">
        <v>25000</v>
      </c>
      <c r="D2281" s="187">
        <v>0</v>
      </c>
      <c r="E2281" s="187">
        <v>700</v>
      </c>
      <c r="F2281" s="187">
        <v>15000</v>
      </c>
      <c r="G2281" s="151">
        <v>2470</v>
      </c>
      <c r="H2281" s="8">
        <f t="shared" si="2438"/>
        <v>25000</v>
      </c>
      <c r="I2281" s="30">
        <f t="shared" si="2439"/>
        <v>5000</v>
      </c>
      <c r="J2281" s="187">
        <v>40000</v>
      </c>
      <c r="K2281" s="30">
        <f t="shared" si="2440"/>
        <v>5000</v>
      </c>
      <c r="L2281" s="187">
        <v>40000</v>
      </c>
      <c r="M2281" s="110">
        <v>9.5</v>
      </c>
      <c r="N2281" s="9">
        <f>VLOOKUP(DATE(YEAR(A2281),MONTH(A2281),DAY(A2281)),FY24_Temp[],3,FALSE)</f>
        <v>17.399999999999999</v>
      </c>
      <c r="O2281" s="110">
        <f t="shared" si="2426"/>
        <v>11.5</v>
      </c>
      <c r="P2281" s="110">
        <f t="shared" si="2427"/>
        <v>19.5</v>
      </c>
      <c r="Q2281" s="79">
        <f>VLOOKUP(VLOOKUP(DATEVALUE(TEXT(A2281,"m/d/yyyy")),FY24_Temp[],5,FALSE)&amp;TEXT(A2281,"-h"),TempDelta[],4,FALSE)</f>
        <v>1.639714275087629</v>
      </c>
      <c r="R2281">
        <v>10</v>
      </c>
      <c r="S2281" s="112">
        <v>1500</v>
      </c>
      <c r="T2281" s="5">
        <f>VLOOKUP(TEXT(A2281,"yy-mm")&amp;"-"&amp;IF(AND(WEEKDAY(A2281)&gt;1,WEEKDAY(A2281)&lt;7),"Wkd",TEXT(A2281,"Ddd"))&amp;"-"&amp;TEXT(A2281,"hh"),LoadTable[],3,FALSE)*0.92</f>
        <v>421.91858468239752</v>
      </c>
      <c r="U2281" s="113">
        <f t="shared" si="2428"/>
        <v>42.191858468239751</v>
      </c>
      <c r="V2281">
        <f t="shared" ref="V2281:W2281" si="2470">V2257</f>
        <v>2.9</v>
      </c>
      <c r="W2281">
        <f t="shared" si="2470"/>
        <v>3.1</v>
      </c>
      <c r="X2281" s="9">
        <v>-53.1770739666662</v>
      </c>
      <c r="Y2281" s="39"/>
    </row>
    <row r="2282" spans="1:25" ht="15" thickBot="1">
      <c r="A2282" s="149">
        <f t="shared" si="2410"/>
        <v>45930.958333329785</v>
      </c>
      <c r="B2282" s="30">
        <f t="shared" si="2437"/>
        <v>5000</v>
      </c>
      <c r="C2282" s="8">
        <v>25000</v>
      </c>
      <c r="D2282" s="187">
        <v>0</v>
      </c>
      <c r="E2282" s="187">
        <v>700</v>
      </c>
      <c r="F2282" s="187">
        <v>15000</v>
      </c>
      <c r="G2282" s="151">
        <v>2470</v>
      </c>
      <c r="H2282" s="8">
        <f t="shared" si="2438"/>
        <v>25000</v>
      </c>
      <c r="I2282" s="30">
        <f t="shared" si="2439"/>
        <v>5000</v>
      </c>
      <c r="J2282" s="187">
        <v>40000</v>
      </c>
      <c r="K2282" s="30">
        <f t="shared" si="2440"/>
        <v>5000</v>
      </c>
      <c r="L2282" s="187">
        <v>40000</v>
      </c>
      <c r="M2282" s="110">
        <v>9.5</v>
      </c>
      <c r="N2282" s="9">
        <f>VLOOKUP(DATE(YEAR(A2282),MONTH(A2282),DAY(A2282)),FY24_Temp[],3,FALSE)</f>
        <v>17.399999999999999</v>
      </c>
      <c r="O2282" s="110">
        <f t="shared" si="2426"/>
        <v>11.5</v>
      </c>
      <c r="P2282" s="110">
        <f t="shared" si="2427"/>
        <v>19.5</v>
      </c>
      <c r="Q2282" s="79">
        <f>VLOOKUP(VLOOKUP(DATEVALUE(TEXT(A2282,"m/d/yyyy")),FY24_Temp[],5,FALSE)&amp;TEXT(A2282,"-h"),TempDelta[],4,FALSE)</f>
        <v>1.7538571187428065</v>
      </c>
      <c r="R2282">
        <v>10</v>
      </c>
      <c r="S2282" s="112">
        <v>1500</v>
      </c>
      <c r="T2282" s="5">
        <f>VLOOKUP(TEXT(A2282,"yy-mm")&amp;"-"&amp;IF(AND(WEEKDAY(A2282)&gt;1,WEEKDAY(A2282)&lt;7),"Wkd",TEXT(A2282,"Ddd"))&amp;"-"&amp;TEXT(A2282,"hh"),LoadTable[],3,FALSE)*0.92</f>
        <v>289.33527113913209</v>
      </c>
      <c r="U2282" s="113">
        <f t="shared" si="2428"/>
        <v>28.933527113913208</v>
      </c>
      <c r="V2282">
        <f t="shared" ref="V2282:W2282" si="2471">V2258</f>
        <v>3.6</v>
      </c>
      <c r="W2282">
        <f t="shared" si="2471"/>
        <v>3.1</v>
      </c>
      <c r="X2282" s="9">
        <v>-53.2548685166662</v>
      </c>
      <c r="Y2282" s="39"/>
    </row>
    <row r="2283" spans="1:25" ht="15" thickBot="1">
      <c r="A2283" s="149">
        <f t="shared" si="2410"/>
        <v>45930.999999996449</v>
      </c>
      <c r="B2283" s="30">
        <f t="shared" si="2437"/>
        <v>5000</v>
      </c>
      <c r="C2283" s="8">
        <v>25000</v>
      </c>
      <c r="D2283" s="187">
        <v>0</v>
      </c>
      <c r="E2283" s="187">
        <v>700</v>
      </c>
      <c r="F2283" s="187">
        <v>15000</v>
      </c>
      <c r="G2283" s="151">
        <v>2470</v>
      </c>
      <c r="H2283" s="8">
        <f t="shared" si="2438"/>
        <v>25000</v>
      </c>
      <c r="I2283" s="30">
        <f t="shared" si="2439"/>
        <v>5000</v>
      </c>
      <c r="J2283" s="187">
        <v>40000</v>
      </c>
      <c r="K2283" s="30">
        <f t="shared" si="2440"/>
        <v>5000</v>
      </c>
      <c r="L2283" s="187">
        <v>40000</v>
      </c>
      <c r="M2283" s="110">
        <v>9.5</v>
      </c>
      <c r="N2283" s="9">
        <f>VLOOKUP(DATE(YEAR(A2283),MONTH(A2283),DAY(A2283)),FY24_Temp[],3,FALSE)</f>
        <v>17.399999999999999</v>
      </c>
      <c r="O2283" s="110">
        <f t="shared" si="2426"/>
        <v>11.5</v>
      </c>
      <c r="P2283" s="110">
        <f t="shared" si="2427"/>
        <v>19.5</v>
      </c>
      <c r="Q2283" s="79">
        <f>VLOOKUP(VLOOKUP(DATEVALUE(TEXT(A2283,"m/d/yyyy")),FY24_Temp[],5,FALSE)&amp;TEXT(A2283,"-h"),TempDelta[],4,FALSE)</f>
        <v>1.804142855</v>
      </c>
      <c r="R2283">
        <v>10</v>
      </c>
      <c r="S2283" s="112">
        <v>1500</v>
      </c>
      <c r="T2283" s="5">
        <f>VLOOKUP(TEXT(A2283,"yy-mm")&amp;"-"&amp;IF(AND(WEEKDAY(A2283)&gt;1,WEEKDAY(A2283)&lt;7),"Wkd",TEXT(A2283,"Ddd"))&amp;"-"&amp;TEXT(A2283,"hh"),LoadTable[],3,FALSE)*0.92</f>
        <v>209.6772</v>
      </c>
      <c r="U2283" s="113">
        <f t="shared" si="2428"/>
        <v>20.96772</v>
      </c>
      <c r="V2283">
        <f t="shared" ref="V2283:W2283" si="2472">V2259</f>
        <v>3</v>
      </c>
      <c r="W2283">
        <f t="shared" si="2472"/>
        <v>3.2</v>
      </c>
      <c r="X2283" s="9">
        <v>-53.3326630666662</v>
      </c>
      <c r="Y2283" s="39"/>
    </row>
    <row r="2284" spans="1:25" ht="15" thickBot="1">
      <c r="A2284" s="149">
        <f t="shared" si="2410"/>
        <v>45931.041666663114</v>
      </c>
      <c r="B2284" s="30">
        <f t="shared" si="2437"/>
        <v>5000</v>
      </c>
      <c r="C2284" s="8">
        <v>25000</v>
      </c>
      <c r="D2284" s="187">
        <v>0</v>
      </c>
      <c r="E2284" s="187">
        <v>700</v>
      </c>
      <c r="F2284" s="187">
        <v>15000</v>
      </c>
      <c r="G2284" s="151">
        <v>2470</v>
      </c>
      <c r="H2284" s="8">
        <f t="shared" si="2438"/>
        <v>25000</v>
      </c>
      <c r="I2284" s="30">
        <f t="shared" si="2439"/>
        <v>5000</v>
      </c>
      <c r="J2284" s="187">
        <v>40000</v>
      </c>
      <c r="K2284" s="30">
        <f t="shared" si="2440"/>
        <v>5000</v>
      </c>
      <c r="L2284" s="187">
        <v>40000</v>
      </c>
      <c r="M2284" s="110">
        <v>9.5</v>
      </c>
      <c r="N2284" s="9">
        <f>VLOOKUP(DATE(YEAR(A2284),MONTH(A2284),DAY(A2284)),FY24_Temp[],3,FALSE)</f>
        <v>17.399999999999999</v>
      </c>
      <c r="O2284" s="110">
        <f t="shared" si="2426"/>
        <v>11.5</v>
      </c>
      <c r="P2284" s="110">
        <f t="shared" si="2427"/>
        <v>19.5</v>
      </c>
      <c r="Q2284" s="79">
        <f>VLOOKUP(VLOOKUP(DATEVALUE(TEXT(A2284,"m/d/yyyy")),FY24_Temp[],5,FALSE)&amp;TEXT(A2284,"-h"),TempDelta[],4,FALSE)</f>
        <v>1.804142855</v>
      </c>
      <c r="R2284">
        <v>10</v>
      </c>
      <c r="S2284" s="112">
        <v>1500</v>
      </c>
      <c r="T2284" s="5">
        <f>VLOOKUP(TEXT(A2284,"yy-mm")&amp;"-"&amp;IF(AND(WEEKDAY(A2284)&gt;1,WEEKDAY(A2284)&lt;7),"Wkd",TEXT(A2284,"Ddd"))&amp;"-"&amp;TEXT(A2284,"hh"),LoadTable[],3,FALSE)*0.92</f>
        <v>209.6772</v>
      </c>
      <c r="U2284" s="113">
        <f t="shared" si="2428"/>
        <v>20.96772</v>
      </c>
      <c r="V2284">
        <f t="shared" ref="V2284:W2284" si="2473">V2260</f>
        <v>2.6</v>
      </c>
      <c r="W2284">
        <f t="shared" si="2473"/>
        <v>3.2</v>
      </c>
      <c r="X2284" s="9">
        <v>-53.4104576166662</v>
      </c>
      <c r="Y2284" s="39"/>
    </row>
    <row r="2285" spans="1:25" ht="15" thickBot="1">
      <c r="A2285" s="149">
        <f t="shared" si="2410"/>
        <v>45931.083333329778</v>
      </c>
      <c r="B2285" s="30">
        <f t="shared" si="2437"/>
        <v>5000</v>
      </c>
      <c r="C2285" s="8">
        <v>25000</v>
      </c>
      <c r="D2285" s="187">
        <v>0</v>
      </c>
      <c r="E2285" s="187">
        <v>700</v>
      </c>
      <c r="F2285" s="187">
        <v>15000</v>
      </c>
      <c r="G2285" s="151">
        <v>2470</v>
      </c>
      <c r="H2285" s="8">
        <f t="shared" si="2438"/>
        <v>25000</v>
      </c>
      <c r="I2285" s="30">
        <f t="shared" si="2439"/>
        <v>5000</v>
      </c>
      <c r="J2285" s="187">
        <v>40000</v>
      </c>
      <c r="K2285" s="30">
        <f t="shared" si="2440"/>
        <v>5000</v>
      </c>
      <c r="L2285" s="187">
        <v>40000</v>
      </c>
      <c r="M2285" s="110">
        <v>9.5</v>
      </c>
      <c r="N2285" s="9">
        <f>VLOOKUP(DATE(YEAR(A2285),MONTH(A2285),DAY(A2285)),FY24_Temp[],3,FALSE)</f>
        <v>17.399999999999999</v>
      </c>
      <c r="O2285" s="110">
        <f t="shared" si="2426"/>
        <v>11.5</v>
      </c>
      <c r="P2285" s="110">
        <f t="shared" si="2427"/>
        <v>19.5</v>
      </c>
      <c r="Q2285" s="79">
        <f>VLOOKUP(VLOOKUP(DATEVALUE(TEXT(A2285,"m/d/yyyy")),FY24_Temp[],5,FALSE)&amp;TEXT(A2285,"-h"),TempDelta[],4,FALSE)</f>
        <v>1.804142855</v>
      </c>
      <c r="R2285">
        <v>10</v>
      </c>
      <c r="S2285" s="112">
        <v>1500</v>
      </c>
      <c r="T2285" s="5">
        <f>VLOOKUP(TEXT(A2285,"yy-mm")&amp;"-"&amp;IF(AND(WEEKDAY(A2285)&gt;1,WEEKDAY(A2285)&lt;7),"Wkd",TEXT(A2285,"Ddd"))&amp;"-"&amp;TEXT(A2285,"hh"),LoadTable[],3,FALSE)*0.92</f>
        <v>209.6772</v>
      </c>
      <c r="U2285" s="113">
        <f t="shared" si="2428"/>
        <v>20.96772</v>
      </c>
      <c r="V2285">
        <f t="shared" ref="V2285:W2285" si="2474">V2261</f>
        <v>2.8</v>
      </c>
      <c r="W2285">
        <f t="shared" si="2474"/>
        <v>3.2</v>
      </c>
      <c r="X2285" s="9">
        <v>-53.4882521666662</v>
      </c>
      <c r="Y2285" s="39"/>
    </row>
    <row r="2286" spans="1:25" ht="15" thickBot="1">
      <c r="A2286" s="149">
        <f t="shared" si="2410"/>
        <v>45931.124999996442</v>
      </c>
      <c r="B2286" s="30">
        <f t="shared" si="2437"/>
        <v>5000</v>
      </c>
      <c r="C2286" s="8">
        <v>25000</v>
      </c>
      <c r="D2286" s="187">
        <v>0</v>
      </c>
      <c r="E2286" s="187">
        <v>700</v>
      </c>
      <c r="F2286" s="187">
        <v>15000</v>
      </c>
      <c r="G2286" s="151">
        <v>2470</v>
      </c>
      <c r="H2286" s="8">
        <f t="shared" si="2438"/>
        <v>25000</v>
      </c>
      <c r="I2286" s="30">
        <f t="shared" si="2439"/>
        <v>5000</v>
      </c>
      <c r="J2286" s="187">
        <v>40000</v>
      </c>
      <c r="K2286" s="30">
        <f t="shared" si="2440"/>
        <v>5000</v>
      </c>
      <c r="L2286" s="187">
        <v>40000</v>
      </c>
      <c r="M2286" s="110">
        <v>9.5</v>
      </c>
      <c r="N2286" s="9">
        <f>VLOOKUP(DATE(YEAR(A2286),MONTH(A2286),DAY(A2286)),FY24_Temp[],3,FALSE)</f>
        <v>17.399999999999999</v>
      </c>
      <c r="O2286" s="110">
        <f t="shared" si="2426"/>
        <v>11.5</v>
      </c>
      <c r="P2286" s="110">
        <f t="shared" si="2427"/>
        <v>19.5</v>
      </c>
      <c r="Q2286" s="79">
        <f>VLOOKUP(VLOOKUP(DATEVALUE(TEXT(A2286,"m/d/yyyy")),FY24_Temp[],5,FALSE)&amp;TEXT(A2286,"-h"),TempDelta[],4,FALSE)</f>
        <v>1.804142855</v>
      </c>
      <c r="R2286">
        <v>10</v>
      </c>
      <c r="S2286" s="112">
        <v>1500</v>
      </c>
      <c r="T2286" s="5">
        <f>VLOOKUP(TEXT(A2286,"yy-mm")&amp;"-"&amp;IF(AND(WEEKDAY(A2286)&gt;1,WEEKDAY(A2286)&lt;7),"Wkd",TEXT(A2286,"Ddd"))&amp;"-"&amp;TEXT(A2286,"hh"),LoadTable[],3,FALSE)*0.92</f>
        <v>209.6772</v>
      </c>
      <c r="U2286" s="113">
        <f t="shared" si="2428"/>
        <v>20.96772</v>
      </c>
      <c r="V2286">
        <f t="shared" ref="V2286:W2286" si="2475">V2262</f>
        <v>2.7</v>
      </c>
      <c r="W2286">
        <f t="shared" si="2475"/>
        <v>3.2</v>
      </c>
      <c r="X2286" s="9">
        <v>-53.5660467166662</v>
      </c>
      <c r="Y2286" s="39"/>
    </row>
    <row r="2287" spans="1:25" ht="15" thickBot="1">
      <c r="A2287" s="149">
        <f t="shared" si="2410"/>
        <v>45931.166666663106</v>
      </c>
      <c r="B2287" s="30">
        <f t="shared" si="2437"/>
        <v>5000</v>
      </c>
      <c r="C2287" s="8">
        <v>25000</v>
      </c>
      <c r="D2287" s="187">
        <v>0</v>
      </c>
      <c r="E2287" s="187">
        <v>700</v>
      </c>
      <c r="F2287" s="187">
        <v>15000</v>
      </c>
      <c r="G2287" s="151">
        <v>2470</v>
      </c>
      <c r="H2287" s="8">
        <f t="shared" si="2438"/>
        <v>25000</v>
      </c>
      <c r="I2287" s="30">
        <f t="shared" si="2439"/>
        <v>5000</v>
      </c>
      <c r="J2287" s="187">
        <v>40000</v>
      </c>
      <c r="K2287" s="30">
        <f t="shared" si="2440"/>
        <v>5000</v>
      </c>
      <c r="L2287" s="187">
        <v>40000</v>
      </c>
      <c r="M2287" s="110">
        <v>9.5</v>
      </c>
      <c r="N2287" s="9">
        <f>VLOOKUP(DATE(YEAR(A2287),MONTH(A2287),DAY(A2287)),FY24_Temp[],3,FALSE)</f>
        <v>17.399999999999999</v>
      </c>
      <c r="O2287" s="110">
        <f t="shared" si="2426"/>
        <v>11.5</v>
      </c>
      <c r="P2287" s="110">
        <f t="shared" si="2427"/>
        <v>19.5</v>
      </c>
      <c r="Q2287" s="79">
        <f>VLOOKUP(VLOOKUP(DATEVALUE(TEXT(A2287,"m/d/yyyy")),FY24_Temp[],5,FALSE)&amp;TEXT(A2287,"-h"),TempDelta[],4,FALSE)</f>
        <v>1.804142855</v>
      </c>
      <c r="R2287">
        <v>10</v>
      </c>
      <c r="S2287" s="112">
        <v>1500</v>
      </c>
      <c r="T2287" s="5">
        <f>VLOOKUP(TEXT(A2287,"yy-mm")&amp;"-"&amp;IF(AND(WEEKDAY(A2287)&gt;1,WEEKDAY(A2287)&lt;7),"Wkd",TEXT(A2287,"Ddd"))&amp;"-"&amp;TEXT(A2287,"hh"),LoadTable[],3,FALSE)*0.92</f>
        <v>209.6772</v>
      </c>
      <c r="U2287" s="113">
        <f t="shared" si="2428"/>
        <v>20.96772</v>
      </c>
      <c r="V2287">
        <f t="shared" ref="V2287:W2287" si="2476">V2263</f>
        <v>3</v>
      </c>
      <c r="W2287">
        <f t="shared" si="2476"/>
        <v>3.1</v>
      </c>
      <c r="X2287" s="9">
        <v>-53.6438412666662</v>
      </c>
      <c r="Y2287" s="39"/>
    </row>
    <row r="2288" spans="1:25" ht="15" thickBot="1">
      <c r="A2288" s="149">
        <f t="shared" si="2410"/>
        <v>45931.208333329771</v>
      </c>
      <c r="B2288" s="30">
        <f t="shared" si="2437"/>
        <v>5000</v>
      </c>
      <c r="C2288" s="8">
        <v>25000</v>
      </c>
      <c r="D2288" s="187">
        <v>0</v>
      </c>
      <c r="E2288" s="187">
        <v>700</v>
      </c>
      <c r="F2288" s="187">
        <v>15000</v>
      </c>
      <c r="G2288" s="151">
        <v>2470</v>
      </c>
      <c r="H2288" s="8">
        <f t="shared" si="2438"/>
        <v>25000</v>
      </c>
      <c r="I2288" s="30">
        <f t="shared" si="2439"/>
        <v>5000</v>
      </c>
      <c r="J2288" s="187">
        <v>40000</v>
      </c>
      <c r="K2288" s="30">
        <f t="shared" si="2440"/>
        <v>5000</v>
      </c>
      <c r="L2288" s="187">
        <v>40000</v>
      </c>
      <c r="M2288" s="110">
        <v>9.5</v>
      </c>
      <c r="N2288" s="9">
        <f>VLOOKUP(DATE(YEAR(A2288),MONTH(A2288),DAY(A2288)),FY24_Temp[],3,FALSE)</f>
        <v>17.399999999999999</v>
      </c>
      <c r="O2288" s="110">
        <f t="shared" si="2426"/>
        <v>11.5</v>
      </c>
      <c r="P2288" s="110">
        <f t="shared" si="2427"/>
        <v>19.5</v>
      </c>
      <c r="Q2288" s="79">
        <f>VLOOKUP(VLOOKUP(DATEVALUE(TEXT(A2288,"m/d/yyyy")),FY24_Temp[],5,FALSE)&amp;TEXT(A2288,"-h"),TempDelta[],4,FALSE)</f>
        <v>1.804142855</v>
      </c>
      <c r="R2288">
        <v>10</v>
      </c>
      <c r="S2288" s="112">
        <v>1500</v>
      </c>
      <c r="T2288" s="5">
        <f>VLOOKUP(TEXT(A2288,"yy-mm")&amp;"-"&amp;IF(AND(WEEKDAY(A2288)&gt;1,WEEKDAY(A2288)&lt;7),"Wkd",TEXT(A2288,"Ddd"))&amp;"-"&amp;TEXT(A2288,"hh"),LoadTable[],3,FALSE)*0.92</f>
        <v>209.6772</v>
      </c>
      <c r="U2288" s="113">
        <f t="shared" si="2428"/>
        <v>20.96772</v>
      </c>
      <c r="V2288">
        <f t="shared" ref="V2288:W2288" si="2477">V2264</f>
        <v>2.9</v>
      </c>
      <c r="W2288">
        <f t="shared" si="2477"/>
        <v>3.1</v>
      </c>
      <c r="X2288" s="9">
        <v>-53.7216358166662</v>
      </c>
      <c r="Y2288" s="39"/>
    </row>
    <row r="2289" spans="1:25" ht="15" thickBot="1">
      <c r="A2289" s="149">
        <f t="shared" si="2410"/>
        <v>45931.249999996435</v>
      </c>
      <c r="B2289" s="30">
        <f t="shared" si="2437"/>
        <v>8000</v>
      </c>
      <c r="C2289" s="8">
        <v>25000</v>
      </c>
      <c r="D2289" s="187">
        <v>0</v>
      </c>
      <c r="E2289" s="187">
        <v>700</v>
      </c>
      <c r="F2289" s="187">
        <v>15000</v>
      </c>
      <c r="G2289" s="151">
        <v>2470</v>
      </c>
      <c r="H2289" s="8">
        <f t="shared" si="2438"/>
        <v>25000</v>
      </c>
      <c r="I2289" s="30">
        <f t="shared" si="2439"/>
        <v>8000</v>
      </c>
      <c r="J2289" s="187">
        <v>40000</v>
      </c>
      <c r="K2289" s="30">
        <f t="shared" si="2440"/>
        <v>8000</v>
      </c>
      <c r="L2289" s="187">
        <v>40000</v>
      </c>
      <c r="M2289" s="110">
        <v>9.5</v>
      </c>
      <c r="N2289" s="9">
        <f>VLOOKUP(DATE(YEAR(A2289),MONTH(A2289),DAY(A2289)),FY24_Temp[],3,FALSE)</f>
        <v>17.399999999999999</v>
      </c>
      <c r="O2289" s="110">
        <f t="shared" si="2426"/>
        <v>11.5</v>
      </c>
      <c r="P2289" s="110">
        <f t="shared" si="2427"/>
        <v>19.5</v>
      </c>
      <c r="Q2289" s="79">
        <f>VLOOKUP(VLOOKUP(DATEVALUE(TEXT(A2289,"m/d/yyyy")),FY24_Temp[],5,FALSE)&amp;TEXT(A2289,"-h"),TempDelta[],4,FALSE)</f>
        <v>1.6668571404048376</v>
      </c>
      <c r="R2289">
        <v>10</v>
      </c>
      <c r="S2289" s="112">
        <v>1500</v>
      </c>
      <c r="T2289" s="5">
        <f>VLOOKUP(TEXT(A2289,"yy-mm")&amp;"-"&amp;IF(AND(WEEKDAY(A2289)&gt;1,WEEKDAY(A2289)&lt;7),"Wkd",TEXT(A2289,"Ddd"))&amp;"-"&amp;TEXT(A2289,"hh"),LoadTable[],3,FALSE)*0.92</f>
        <v>209.6772</v>
      </c>
      <c r="U2289" s="113">
        <f t="shared" si="2428"/>
        <v>20.96772</v>
      </c>
      <c r="V2289">
        <f t="shared" ref="V2289:W2289" si="2478">V2265</f>
        <v>2.5</v>
      </c>
      <c r="W2289">
        <f t="shared" si="2478"/>
        <v>3.1</v>
      </c>
      <c r="X2289" s="9">
        <v>-53.799430366666201</v>
      </c>
      <c r="Y2289" s="39"/>
    </row>
    <row r="2290" spans="1:25" ht="15" thickBot="1">
      <c r="A2290" s="149">
        <f t="shared" si="2410"/>
        <v>45931.291666663099</v>
      </c>
      <c r="B2290" s="30">
        <f t="shared" si="2437"/>
        <v>8000</v>
      </c>
      <c r="C2290" s="8">
        <v>25000</v>
      </c>
      <c r="D2290" s="187">
        <v>0</v>
      </c>
      <c r="E2290" s="187">
        <v>700</v>
      </c>
      <c r="F2290" s="187">
        <v>15000</v>
      </c>
      <c r="G2290" s="151">
        <v>2470</v>
      </c>
      <c r="H2290" s="8">
        <f t="shared" si="2438"/>
        <v>25000</v>
      </c>
      <c r="I2290" s="30">
        <f t="shared" si="2439"/>
        <v>8000</v>
      </c>
      <c r="J2290" s="187">
        <v>40000</v>
      </c>
      <c r="K2290" s="30">
        <f t="shared" si="2440"/>
        <v>8000</v>
      </c>
      <c r="L2290" s="187">
        <v>40000</v>
      </c>
      <c r="M2290" s="110">
        <v>9.5</v>
      </c>
      <c r="N2290" s="9">
        <f>VLOOKUP(DATE(YEAR(A2290),MONTH(A2290),DAY(A2290)),FY24_Temp[],3,FALSE)</f>
        <v>17.399999999999999</v>
      </c>
      <c r="O2290" s="110">
        <f t="shared" si="2426"/>
        <v>11.5</v>
      </c>
      <c r="P2290" s="110">
        <f t="shared" si="2427"/>
        <v>19.5</v>
      </c>
      <c r="Q2290" s="79">
        <f>VLOOKUP(VLOOKUP(DATEVALUE(TEXT(A2290,"m/d/yyyy")),FY24_Temp[],5,FALSE)&amp;TEXT(A2290,"-h"),TempDelta[],4,FALSE)</f>
        <v>1.5237142699105399</v>
      </c>
      <c r="R2290">
        <v>10</v>
      </c>
      <c r="S2290" s="112">
        <v>1500</v>
      </c>
      <c r="T2290" s="5">
        <f>VLOOKUP(TEXT(A2290,"yy-mm")&amp;"-"&amp;IF(AND(WEEKDAY(A2290)&gt;1,WEEKDAY(A2290)&lt;7),"Wkd",TEXT(A2290,"Ddd"))&amp;"-"&amp;TEXT(A2290,"hh"),LoadTable[],3,FALSE)*0.92</f>
        <v>234.80148</v>
      </c>
      <c r="U2290" s="113">
        <f t="shared" si="2428"/>
        <v>23.480148</v>
      </c>
      <c r="V2290">
        <f t="shared" ref="V2290:W2290" si="2479">V2266</f>
        <v>2.5</v>
      </c>
      <c r="W2290">
        <f t="shared" si="2479"/>
        <v>3.1</v>
      </c>
      <c r="X2290" s="9">
        <v>-53.877224916666201</v>
      </c>
      <c r="Y2290" s="39"/>
    </row>
    <row r="2291" spans="1:25" ht="15" thickBot="1">
      <c r="A2291" s="149">
        <f t="shared" si="2410"/>
        <v>45931.333333329763</v>
      </c>
      <c r="B2291" s="30">
        <f t="shared" si="2437"/>
        <v>8000</v>
      </c>
      <c r="C2291" s="8">
        <v>25000</v>
      </c>
      <c r="D2291" s="187">
        <v>0</v>
      </c>
      <c r="E2291" s="187">
        <v>700</v>
      </c>
      <c r="F2291" s="187">
        <v>15000</v>
      </c>
      <c r="G2291" s="151">
        <v>2470</v>
      </c>
      <c r="H2291" s="8">
        <f t="shared" si="2438"/>
        <v>25000</v>
      </c>
      <c r="I2291" s="30">
        <f t="shared" si="2439"/>
        <v>8000</v>
      </c>
      <c r="J2291" s="187">
        <v>40000</v>
      </c>
      <c r="K2291" s="30">
        <f t="shared" si="2440"/>
        <v>8000</v>
      </c>
      <c r="L2291" s="187">
        <v>40000</v>
      </c>
      <c r="M2291" s="110">
        <v>9.5</v>
      </c>
      <c r="N2291" s="9">
        <f>VLOOKUP(DATE(YEAR(A2291),MONTH(A2291),DAY(A2291)),FY24_Temp[],3,FALSE)</f>
        <v>17.399999999999999</v>
      </c>
      <c r="O2291" s="110">
        <f t="shared" si="2426"/>
        <v>11.5</v>
      </c>
      <c r="P2291" s="110">
        <f t="shared" si="2427"/>
        <v>19.5</v>
      </c>
      <c r="Q2291" s="79">
        <f>VLOOKUP(VLOOKUP(DATEVALUE(TEXT(A2291,"m/d/yyyy")),FY24_Temp[],5,FALSE)&amp;TEXT(A2291,"-h"),TempDelta[],4,FALSE)</f>
        <v>1.3942857129233224</v>
      </c>
      <c r="R2291">
        <v>10</v>
      </c>
      <c r="S2291" s="112">
        <v>1500</v>
      </c>
      <c r="T2291" s="5">
        <f>VLOOKUP(TEXT(A2291,"yy-mm")&amp;"-"&amp;IF(AND(WEEKDAY(A2291)&gt;1,WEEKDAY(A2291)&lt;7),"Wkd",TEXT(A2291,"Ddd"))&amp;"-"&amp;TEXT(A2291,"hh"),LoadTable[],3,FALSE)*0.92</f>
        <v>234.80148</v>
      </c>
      <c r="U2291" s="113">
        <f t="shared" si="2428"/>
        <v>23.480148</v>
      </c>
      <c r="V2291">
        <f t="shared" ref="V2291:W2291" si="2480">V2267</f>
        <v>3.2</v>
      </c>
      <c r="W2291">
        <f t="shared" si="2480"/>
        <v>3</v>
      </c>
      <c r="X2291" s="9">
        <v>-53.955019466666201</v>
      </c>
      <c r="Y2291" s="39"/>
    </row>
    <row r="2292" spans="1:25" ht="15" thickBot="1">
      <c r="A2292" s="149">
        <f t="shared" si="2410"/>
        <v>45931.374999996428</v>
      </c>
      <c r="B2292" s="30">
        <f t="shared" si="2437"/>
        <v>8000</v>
      </c>
      <c r="C2292" s="8">
        <v>25000</v>
      </c>
      <c r="D2292" s="187">
        <v>0</v>
      </c>
      <c r="E2292" s="187">
        <v>700</v>
      </c>
      <c r="F2292" s="187">
        <v>15000</v>
      </c>
      <c r="G2292" s="151">
        <v>2470</v>
      </c>
      <c r="H2292" s="8">
        <f t="shared" si="2438"/>
        <v>25000</v>
      </c>
      <c r="I2292" s="30">
        <f t="shared" si="2439"/>
        <v>8000</v>
      </c>
      <c r="J2292" s="187">
        <v>40000</v>
      </c>
      <c r="K2292" s="30">
        <f t="shared" si="2440"/>
        <v>8000</v>
      </c>
      <c r="L2292" s="187">
        <v>40000</v>
      </c>
      <c r="M2292" s="110">
        <v>9.5</v>
      </c>
      <c r="N2292" s="9">
        <f>VLOOKUP(DATE(YEAR(A2292),MONTH(A2292),DAY(A2292)),FY24_Temp[],3,FALSE)</f>
        <v>17.399999999999999</v>
      </c>
      <c r="O2292" s="110">
        <f t="shared" si="2426"/>
        <v>11.5</v>
      </c>
      <c r="P2292" s="110">
        <f t="shared" si="2427"/>
        <v>19.5</v>
      </c>
      <c r="Q2292" s="79">
        <f>VLOOKUP(VLOOKUP(DATEVALUE(TEXT(A2292,"m/d/yyyy")),FY24_Temp[],5,FALSE)&amp;TEXT(A2292,"-h"),TempDelta[],4,FALSE)</f>
        <v>1.2751428655215673</v>
      </c>
      <c r="R2292">
        <v>10</v>
      </c>
      <c r="S2292" s="112">
        <v>1500</v>
      </c>
      <c r="T2292" s="5">
        <f>VLOOKUP(TEXT(A2292,"yy-mm")&amp;"-"&amp;IF(AND(WEEKDAY(A2292)&gt;1,WEEKDAY(A2292)&lt;7),"Wkd",TEXT(A2292,"Ddd"))&amp;"-"&amp;TEXT(A2292,"hh"),LoadTable[],3,FALSE)*0.92</f>
        <v>234.80148</v>
      </c>
      <c r="U2292" s="113">
        <f t="shared" si="2428"/>
        <v>23.480148</v>
      </c>
      <c r="V2292">
        <f t="shared" ref="V2292:W2292" si="2481">V2268</f>
        <v>2.9</v>
      </c>
      <c r="W2292">
        <f t="shared" si="2481"/>
        <v>3</v>
      </c>
      <c r="X2292" s="9">
        <v>-54.032814016666201</v>
      </c>
      <c r="Y2292" s="39"/>
    </row>
    <row r="2293" spans="1:25" ht="15" thickBot="1">
      <c r="A2293" s="149">
        <f t="shared" ref="A2293:A2356" si="2482">A2292+TIME(1,0,0)</f>
        <v>45931.416666663092</v>
      </c>
      <c r="B2293" s="30">
        <f t="shared" si="2437"/>
        <v>8000</v>
      </c>
      <c r="C2293" s="8">
        <v>25000</v>
      </c>
      <c r="D2293" s="187">
        <v>0</v>
      </c>
      <c r="E2293" s="187">
        <v>700</v>
      </c>
      <c r="F2293" s="187">
        <v>15000</v>
      </c>
      <c r="G2293" s="151">
        <v>2470</v>
      </c>
      <c r="H2293" s="8">
        <f t="shared" si="2438"/>
        <v>25000</v>
      </c>
      <c r="I2293" s="30">
        <f t="shared" si="2439"/>
        <v>8000</v>
      </c>
      <c r="J2293" s="187">
        <v>40000</v>
      </c>
      <c r="K2293" s="30">
        <f t="shared" si="2440"/>
        <v>8000</v>
      </c>
      <c r="L2293" s="187">
        <v>40000</v>
      </c>
      <c r="M2293" s="110">
        <v>9.5</v>
      </c>
      <c r="N2293" s="9">
        <f>VLOOKUP(DATE(YEAR(A2293),MONTH(A2293),DAY(A2293)),FY24_Temp[],3,FALSE)</f>
        <v>17.399999999999999</v>
      </c>
      <c r="O2293" s="110">
        <f t="shared" si="2426"/>
        <v>11.5</v>
      </c>
      <c r="P2293" s="110">
        <f t="shared" si="2427"/>
        <v>19.5</v>
      </c>
      <c r="Q2293" s="79">
        <f>VLOOKUP(VLOOKUP(DATEVALUE(TEXT(A2293,"m/d/yyyy")),FY24_Temp[],5,FALSE)&amp;TEXT(A2293,"-h"),TempDelta[],4,FALSE)</f>
        <v>1.1441428746495927</v>
      </c>
      <c r="R2293">
        <v>10</v>
      </c>
      <c r="S2293" s="112">
        <v>1500</v>
      </c>
      <c r="T2293" s="5">
        <f>VLOOKUP(TEXT(A2293,"yy-mm")&amp;"-"&amp;IF(AND(WEEKDAY(A2293)&gt;1,WEEKDAY(A2293)&lt;7),"Wkd",TEXT(A2293,"Ddd"))&amp;"-"&amp;TEXT(A2293,"hh"),LoadTable[],3,FALSE)*0.92</f>
        <v>234.80148</v>
      </c>
      <c r="U2293" s="113">
        <f t="shared" si="2428"/>
        <v>23.480148</v>
      </c>
      <c r="V2293">
        <f t="shared" ref="V2293:W2293" si="2483">V2269</f>
        <v>2.9</v>
      </c>
      <c r="W2293">
        <f t="shared" si="2483"/>
        <v>3</v>
      </c>
      <c r="X2293" s="9">
        <v>-54.110608566666201</v>
      </c>
      <c r="Y2293" s="39"/>
    </row>
    <row r="2294" spans="1:25" ht="15" thickBot="1">
      <c r="A2294" s="149">
        <f t="shared" si="2482"/>
        <v>45931.458333329756</v>
      </c>
      <c r="B2294" s="30">
        <f t="shared" si="2437"/>
        <v>8000</v>
      </c>
      <c r="C2294" s="8">
        <v>25000</v>
      </c>
      <c r="D2294" s="187">
        <v>0</v>
      </c>
      <c r="E2294" s="187">
        <v>700</v>
      </c>
      <c r="F2294" s="187">
        <v>15000</v>
      </c>
      <c r="G2294" s="151">
        <v>2470</v>
      </c>
      <c r="H2294" s="8">
        <f t="shared" si="2438"/>
        <v>25000</v>
      </c>
      <c r="I2294" s="30">
        <f t="shared" si="2439"/>
        <v>8000</v>
      </c>
      <c r="J2294" s="187">
        <v>40000</v>
      </c>
      <c r="K2294" s="30">
        <f t="shared" si="2440"/>
        <v>8000</v>
      </c>
      <c r="L2294" s="187">
        <v>40000</v>
      </c>
      <c r="M2294" s="110">
        <v>9.5</v>
      </c>
      <c r="N2294" s="9">
        <f>VLOOKUP(DATE(YEAR(A2294),MONTH(A2294),DAY(A2294)),FY24_Temp[],3,FALSE)</f>
        <v>17.399999999999999</v>
      </c>
      <c r="O2294" s="110">
        <f t="shared" si="2426"/>
        <v>11.5</v>
      </c>
      <c r="P2294" s="110">
        <f t="shared" si="2427"/>
        <v>19.5</v>
      </c>
      <c r="Q2294" s="79">
        <f>VLOOKUP(VLOOKUP(DATEVALUE(TEXT(A2294,"m/d/yyyy")),FY24_Temp[],5,FALSE)&amp;TEXT(A2294,"-h"),TempDelta[],4,FALSE)</f>
        <v>1.006714301449912</v>
      </c>
      <c r="R2294">
        <v>10</v>
      </c>
      <c r="S2294" s="112">
        <v>1500</v>
      </c>
      <c r="T2294" s="5">
        <f>VLOOKUP(TEXT(A2294,"yy-mm")&amp;"-"&amp;IF(AND(WEEKDAY(A2294)&gt;1,WEEKDAY(A2294)&lt;7),"Wkd",TEXT(A2294,"Ddd"))&amp;"-"&amp;TEXT(A2294,"hh"),LoadTable[],3,FALSE)*0.92</f>
        <v>234.80148</v>
      </c>
      <c r="U2294" s="113">
        <f t="shared" si="2428"/>
        <v>23.480148</v>
      </c>
      <c r="V2294">
        <f t="shared" ref="V2294:W2294" si="2484">V2270</f>
        <v>3.4</v>
      </c>
      <c r="W2294">
        <f t="shared" si="2484"/>
        <v>3</v>
      </c>
      <c r="X2294" s="9">
        <v>-54.188403116666201</v>
      </c>
      <c r="Y2294" s="39"/>
    </row>
    <row r="2295" spans="1:25" ht="15" thickBot="1">
      <c r="A2295" s="149">
        <f t="shared" si="2482"/>
        <v>45931.49999999642</v>
      </c>
      <c r="B2295" s="30">
        <f t="shared" si="2437"/>
        <v>8000</v>
      </c>
      <c r="C2295" s="8">
        <v>25000</v>
      </c>
      <c r="D2295" s="187">
        <v>0</v>
      </c>
      <c r="E2295" s="187">
        <v>700</v>
      </c>
      <c r="F2295" s="187">
        <v>15000</v>
      </c>
      <c r="G2295" s="151">
        <v>2470</v>
      </c>
      <c r="H2295" s="8">
        <f t="shared" si="2438"/>
        <v>25000</v>
      </c>
      <c r="I2295" s="30">
        <f t="shared" si="2439"/>
        <v>8000</v>
      </c>
      <c r="J2295" s="187">
        <v>40000</v>
      </c>
      <c r="K2295" s="30">
        <f t="shared" si="2440"/>
        <v>8000</v>
      </c>
      <c r="L2295" s="187">
        <v>40000</v>
      </c>
      <c r="M2295" s="110">
        <v>9.5</v>
      </c>
      <c r="N2295" s="9">
        <f>VLOOKUP(DATE(YEAR(A2295),MONTH(A2295),DAY(A2295)),FY24_Temp[],3,FALSE)</f>
        <v>17.399999999999999</v>
      </c>
      <c r="O2295" s="110">
        <f t="shared" si="2426"/>
        <v>11.5</v>
      </c>
      <c r="P2295" s="110">
        <f t="shared" si="2427"/>
        <v>19.5</v>
      </c>
      <c r="Q2295" s="79">
        <f>VLOOKUP(VLOOKUP(DATEVALUE(TEXT(A2295,"m/d/yyyy")),FY24_Temp[],5,FALSE)&amp;TEXT(A2295,"-h"),TempDelta[],4,FALSE)</f>
        <v>0.87971426759447369</v>
      </c>
      <c r="R2295">
        <v>10</v>
      </c>
      <c r="S2295" s="112">
        <v>1500</v>
      </c>
      <c r="T2295" s="5">
        <f>VLOOKUP(TEXT(A2295,"yy-mm")&amp;"-"&amp;IF(AND(WEEKDAY(A2295)&gt;1,WEEKDAY(A2295)&lt;7),"Wkd",TEXT(A2295,"Ddd"))&amp;"-"&amp;TEXT(A2295,"hh"),LoadTable[],3,FALSE)*0.92</f>
        <v>234.80148</v>
      </c>
      <c r="U2295" s="113">
        <f t="shared" si="2428"/>
        <v>23.480148</v>
      </c>
      <c r="V2295">
        <f t="shared" ref="V2295:W2295" si="2485">V2271</f>
        <v>3.1</v>
      </c>
      <c r="W2295">
        <f t="shared" si="2485"/>
        <v>2.9</v>
      </c>
      <c r="X2295" s="9">
        <v>-54.266197666666201</v>
      </c>
      <c r="Y2295" s="39"/>
    </row>
    <row r="2296" spans="1:25" ht="15" thickBot="1">
      <c r="A2296" s="149">
        <f t="shared" si="2482"/>
        <v>45931.541666663084</v>
      </c>
      <c r="B2296" s="30">
        <f t="shared" si="2437"/>
        <v>8000</v>
      </c>
      <c r="C2296" s="8">
        <v>25000</v>
      </c>
      <c r="D2296" s="187">
        <v>0</v>
      </c>
      <c r="E2296" s="187">
        <v>700</v>
      </c>
      <c r="F2296" s="187">
        <v>15000</v>
      </c>
      <c r="G2296" s="151">
        <v>2470</v>
      </c>
      <c r="H2296" s="8">
        <f t="shared" si="2438"/>
        <v>25000</v>
      </c>
      <c r="I2296" s="30">
        <f t="shared" si="2439"/>
        <v>8000</v>
      </c>
      <c r="J2296" s="187">
        <v>40000</v>
      </c>
      <c r="K2296" s="30">
        <f t="shared" si="2440"/>
        <v>8000</v>
      </c>
      <c r="L2296" s="187">
        <v>40000</v>
      </c>
      <c r="M2296" s="110">
        <v>9.5</v>
      </c>
      <c r="N2296" s="9">
        <f>VLOOKUP(DATE(YEAR(A2296),MONTH(A2296),DAY(A2296)),FY24_Temp[],3,FALSE)</f>
        <v>17.399999999999999</v>
      </c>
      <c r="O2296" s="110">
        <f t="shared" si="2426"/>
        <v>11.5</v>
      </c>
      <c r="P2296" s="110">
        <f t="shared" si="2427"/>
        <v>19.5</v>
      </c>
      <c r="Q2296" s="79">
        <f>VLOOKUP(VLOOKUP(DATEVALUE(TEXT(A2296,"m/d/yyyy")),FY24_Temp[],5,FALSE)&amp;TEXT(A2296,"-h"),TempDelta[],4,FALSE)</f>
        <v>0.77128570420401432</v>
      </c>
      <c r="R2296">
        <v>10</v>
      </c>
      <c r="S2296" s="112">
        <v>1500</v>
      </c>
      <c r="T2296" s="5">
        <f>VLOOKUP(TEXT(A2296,"yy-mm")&amp;"-"&amp;IF(AND(WEEKDAY(A2296)&gt;1,WEEKDAY(A2296)&lt;7),"Wkd",TEXT(A2296,"Ddd"))&amp;"-"&amp;TEXT(A2296,"hh"),LoadTable[],3,FALSE)*0.92</f>
        <v>234.80148</v>
      </c>
      <c r="U2296" s="113">
        <f t="shared" si="2428"/>
        <v>23.480148</v>
      </c>
      <c r="V2296">
        <f t="shared" ref="V2296:W2296" si="2486">V2272</f>
        <v>3.2</v>
      </c>
      <c r="W2296">
        <f t="shared" si="2486"/>
        <v>2.9</v>
      </c>
      <c r="X2296" s="9">
        <v>-54.343992216666202</v>
      </c>
      <c r="Y2296" s="39"/>
    </row>
    <row r="2297" spans="1:25" ht="15" thickBot="1">
      <c r="A2297" s="149">
        <f t="shared" si="2482"/>
        <v>45931.583333329749</v>
      </c>
      <c r="B2297" s="30">
        <f t="shared" si="2437"/>
        <v>8000</v>
      </c>
      <c r="C2297" s="8">
        <v>25000</v>
      </c>
      <c r="D2297" s="187">
        <v>0</v>
      </c>
      <c r="E2297" s="187">
        <v>700</v>
      </c>
      <c r="F2297" s="187">
        <v>15000</v>
      </c>
      <c r="G2297" s="151">
        <v>2470</v>
      </c>
      <c r="H2297" s="8">
        <f t="shared" si="2438"/>
        <v>25000</v>
      </c>
      <c r="I2297" s="30">
        <f t="shared" si="2439"/>
        <v>8000</v>
      </c>
      <c r="J2297" s="187">
        <v>40000</v>
      </c>
      <c r="K2297" s="30">
        <f t="shared" si="2440"/>
        <v>8000</v>
      </c>
      <c r="L2297" s="187">
        <v>40000</v>
      </c>
      <c r="M2297" s="110">
        <v>9.5</v>
      </c>
      <c r="N2297" s="9">
        <f>VLOOKUP(DATE(YEAR(A2297),MONTH(A2297),DAY(A2297)),FY24_Temp[],3,FALSE)</f>
        <v>17.399999999999999</v>
      </c>
      <c r="O2297" s="110">
        <f t="shared" si="2426"/>
        <v>11.5</v>
      </c>
      <c r="P2297" s="110">
        <f t="shared" si="2427"/>
        <v>19.5</v>
      </c>
      <c r="Q2297" s="79">
        <f>VLOOKUP(VLOOKUP(DATEVALUE(TEXT(A2297,"m/d/yyyy")),FY24_Temp[],5,FALSE)&amp;TEXT(A2297,"-h"),TempDelta[],4,FALSE)</f>
        <v>0.72371428353445866</v>
      </c>
      <c r="R2297">
        <v>10</v>
      </c>
      <c r="S2297" s="112">
        <v>1500</v>
      </c>
      <c r="T2297" s="5">
        <f>VLOOKUP(TEXT(A2297,"yy-mm")&amp;"-"&amp;IF(AND(WEEKDAY(A2297)&gt;1,WEEKDAY(A2297)&lt;7),"Wkd",TEXT(A2297,"Ddd"))&amp;"-"&amp;TEXT(A2297,"hh"),LoadTable[],3,FALSE)*0.92</f>
        <v>234.80148</v>
      </c>
      <c r="U2297" s="113">
        <f t="shared" si="2428"/>
        <v>23.480148</v>
      </c>
      <c r="V2297">
        <f t="shared" ref="V2297:W2297" si="2487">V2273</f>
        <v>3.5</v>
      </c>
      <c r="W2297">
        <f t="shared" si="2487"/>
        <v>2.9</v>
      </c>
      <c r="X2297" s="9">
        <v>-54.421786766666202</v>
      </c>
      <c r="Y2297" s="39"/>
    </row>
    <row r="2298" spans="1:25" ht="15" thickBot="1">
      <c r="A2298" s="149">
        <f t="shared" si="2482"/>
        <v>45931.624999996413</v>
      </c>
      <c r="B2298" s="30">
        <f t="shared" si="2437"/>
        <v>8000</v>
      </c>
      <c r="C2298" s="8">
        <v>25000</v>
      </c>
      <c r="D2298" s="187">
        <v>0</v>
      </c>
      <c r="E2298" s="187">
        <v>700</v>
      </c>
      <c r="F2298" s="187">
        <v>15000</v>
      </c>
      <c r="G2298" s="151">
        <v>2470</v>
      </c>
      <c r="H2298" s="8">
        <f t="shared" si="2438"/>
        <v>25000</v>
      </c>
      <c r="I2298" s="30">
        <f t="shared" si="2439"/>
        <v>8000</v>
      </c>
      <c r="J2298" s="187">
        <v>40000</v>
      </c>
      <c r="K2298" s="30">
        <f t="shared" si="2440"/>
        <v>8000</v>
      </c>
      <c r="L2298" s="187">
        <v>40000</v>
      </c>
      <c r="M2298" s="110">
        <v>9.5</v>
      </c>
      <c r="N2298" s="9">
        <f>VLOOKUP(DATE(YEAR(A2298),MONTH(A2298),DAY(A2298)),FY24_Temp[],3,FALSE)</f>
        <v>17.399999999999999</v>
      </c>
      <c r="O2298" s="110">
        <f t="shared" si="2426"/>
        <v>11.5</v>
      </c>
      <c r="P2298" s="110">
        <f t="shared" si="2427"/>
        <v>19.5</v>
      </c>
      <c r="Q2298" s="79">
        <f>VLOOKUP(VLOOKUP(DATEVALUE(TEXT(A2298,"m/d/yyyy")),FY24_Temp[],5,FALSE)&amp;TEXT(A2298,"-h"),TempDelta[],4,FALSE)</f>
        <v>0.35007142781146933</v>
      </c>
      <c r="R2298">
        <v>10</v>
      </c>
      <c r="S2298" s="112">
        <v>1500</v>
      </c>
      <c r="T2298" s="5">
        <f>VLOOKUP(TEXT(A2298,"yy-mm")&amp;"-"&amp;IF(AND(WEEKDAY(A2298)&gt;1,WEEKDAY(A2298)&lt;7),"Wkd",TEXT(A2298,"Ddd"))&amp;"-"&amp;TEXT(A2298,"hh"),LoadTable[],3,FALSE)*0.92</f>
        <v>234.80148</v>
      </c>
      <c r="U2298" s="113">
        <f t="shared" si="2428"/>
        <v>23.480148</v>
      </c>
      <c r="V2298">
        <f t="shared" ref="V2298:W2298" si="2488">V2274</f>
        <v>3.2</v>
      </c>
      <c r="W2298">
        <f t="shared" si="2488"/>
        <v>2.9</v>
      </c>
      <c r="X2298" s="9">
        <v>-54.499581316666202</v>
      </c>
      <c r="Y2298" s="39"/>
    </row>
    <row r="2299" spans="1:25" ht="15" thickBot="1">
      <c r="A2299" s="149">
        <f t="shared" si="2482"/>
        <v>45931.666666663077</v>
      </c>
      <c r="B2299" s="30">
        <f t="shared" si="2437"/>
        <v>8000</v>
      </c>
      <c r="C2299" s="8">
        <v>25000</v>
      </c>
      <c r="D2299" s="187">
        <v>0</v>
      </c>
      <c r="E2299" s="187">
        <v>700</v>
      </c>
      <c r="F2299" s="187">
        <v>15000</v>
      </c>
      <c r="G2299" s="151">
        <v>2470</v>
      </c>
      <c r="H2299" s="8">
        <f t="shared" si="2438"/>
        <v>25000</v>
      </c>
      <c r="I2299" s="30">
        <f t="shared" si="2439"/>
        <v>8000</v>
      </c>
      <c r="J2299" s="187">
        <v>40000</v>
      </c>
      <c r="K2299" s="30">
        <f t="shared" si="2440"/>
        <v>8000</v>
      </c>
      <c r="L2299" s="187">
        <v>40000</v>
      </c>
      <c r="M2299" s="110">
        <v>9.5</v>
      </c>
      <c r="N2299" s="9">
        <f>VLOOKUP(DATE(YEAR(A2299),MONTH(A2299),DAY(A2299)),FY24_Temp[],3,FALSE)</f>
        <v>17.399999999999999</v>
      </c>
      <c r="O2299" s="110">
        <f t="shared" si="2426"/>
        <v>11.5</v>
      </c>
      <c r="P2299" s="110">
        <f t="shared" si="2427"/>
        <v>19.5</v>
      </c>
      <c r="Q2299" s="79">
        <f>VLOOKUP(VLOOKUP(DATEVALUE(TEXT(A2299,"m/d/yyyy")),FY24_Temp[],5,FALSE)&amp;TEXT(A2299,"-h"),TempDelta[],4,FALSE)</f>
        <v>0.48392857345087187</v>
      </c>
      <c r="R2299">
        <v>10</v>
      </c>
      <c r="S2299" s="112">
        <v>1500</v>
      </c>
      <c r="T2299" s="5">
        <f>VLOOKUP(TEXT(A2299,"yy-mm")&amp;"-"&amp;IF(AND(WEEKDAY(A2299)&gt;1,WEEKDAY(A2299)&lt;7),"Wkd",TEXT(A2299,"Ddd"))&amp;"-"&amp;TEXT(A2299,"hh"),LoadTable[],3,FALSE)*0.92</f>
        <v>234.80148</v>
      </c>
      <c r="U2299" s="113">
        <f t="shared" si="2428"/>
        <v>23.480148</v>
      </c>
      <c r="V2299">
        <f t="shared" ref="V2299:W2299" si="2489">V2275</f>
        <v>3.5</v>
      </c>
      <c r="W2299">
        <f t="shared" si="2489"/>
        <v>3</v>
      </c>
      <c r="X2299" s="9">
        <v>-54.577375866666202</v>
      </c>
      <c r="Y2299" s="39"/>
    </row>
    <row r="2300" spans="1:25" ht="15" thickBot="1">
      <c r="A2300" s="149">
        <f t="shared" si="2482"/>
        <v>45931.708333329741</v>
      </c>
      <c r="B2300" s="30">
        <f t="shared" si="2437"/>
        <v>8000</v>
      </c>
      <c r="C2300" s="8">
        <v>25000</v>
      </c>
      <c r="D2300" s="187">
        <v>0</v>
      </c>
      <c r="E2300" s="187">
        <v>700</v>
      </c>
      <c r="F2300" s="187">
        <v>15000</v>
      </c>
      <c r="G2300" s="151">
        <v>2470</v>
      </c>
      <c r="H2300" s="8">
        <f t="shared" si="2438"/>
        <v>25000</v>
      </c>
      <c r="I2300" s="30">
        <f t="shared" si="2439"/>
        <v>8000</v>
      </c>
      <c r="J2300" s="187">
        <v>40000</v>
      </c>
      <c r="K2300" s="30">
        <f t="shared" si="2440"/>
        <v>8000</v>
      </c>
      <c r="L2300" s="187">
        <v>40000</v>
      </c>
      <c r="M2300" s="110">
        <v>9.5</v>
      </c>
      <c r="N2300" s="9">
        <f>VLOOKUP(DATE(YEAR(A2300),MONTH(A2300),DAY(A2300)),FY24_Temp[],3,FALSE)</f>
        <v>17.399999999999999</v>
      </c>
      <c r="O2300" s="110">
        <f t="shared" si="2426"/>
        <v>11.5</v>
      </c>
      <c r="P2300" s="110">
        <f t="shared" si="2427"/>
        <v>19.5</v>
      </c>
      <c r="Q2300" s="79">
        <f>VLOOKUP(VLOOKUP(DATEVALUE(TEXT(A2300,"m/d/yyyy")),FY24_Temp[],5,FALSE)&amp;TEXT(A2300,"-h"),TempDelta[],4,FALSE)</f>
        <v>0.71807142613189556</v>
      </c>
      <c r="R2300">
        <v>10</v>
      </c>
      <c r="S2300" s="112">
        <v>1500</v>
      </c>
      <c r="T2300" s="5">
        <f>VLOOKUP(TEXT(A2300,"yy-mm")&amp;"-"&amp;IF(AND(WEEKDAY(A2300)&gt;1,WEEKDAY(A2300)&lt;7),"Wkd",TEXT(A2300,"Ddd"))&amp;"-"&amp;TEXT(A2300,"hh"),LoadTable[],3,FALSE)*0.92</f>
        <v>234.80148</v>
      </c>
      <c r="U2300" s="113">
        <f t="shared" si="2428"/>
        <v>23.480148</v>
      </c>
      <c r="V2300">
        <f t="shared" ref="V2300:W2300" si="2490">V2276</f>
        <v>3.6</v>
      </c>
      <c r="W2300">
        <f t="shared" si="2490"/>
        <v>3</v>
      </c>
      <c r="X2300" s="9">
        <v>-54.655170416666202</v>
      </c>
      <c r="Y2300" s="39"/>
    </row>
    <row r="2301" spans="1:25" ht="15" thickBot="1">
      <c r="A2301" s="149">
        <f t="shared" si="2482"/>
        <v>45931.749999996406</v>
      </c>
      <c r="B2301" s="30">
        <f t="shared" si="2437"/>
        <v>5000</v>
      </c>
      <c r="C2301" s="8">
        <v>25000</v>
      </c>
      <c r="D2301" s="187">
        <v>0</v>
      </c>
      <c r="E2301" s="187">
        <v>700</v>
      </c>
      <c r="F2301" s="187">
        <v>15000</v>
      </c>
      <c r="G2301" s="151">
        <v>2470</v>
      </c>
      <c r="H2301" s="8">
        <f t="shared" si="2438"/>
        <v>25000</v>
      </c>
      <c r="I2301" s="30">
        <f t="shared" si="2439"/>
        <v>5000</v>
      </c>
      <c r="J2301" s="187">
        <v>40000</v>
      </c>
      <c r="K2301" s="30">
        <f t="shared" si="2440"/>
        <v>5000</v>
      </c>
      <c r="L2301" s="187">
        <v>40000</v>
      </c>
      <c r="M2301" s="110">
        <v>9.5</v>
      </c>
      <c r="N2301" s="9">
        <f>VLOOKUP(DATE(YEAR(A2301),MONTH(A2301),DAY(A2301)),FY24_Temp[],3,FALSE)</f>
        <v>17.399999999999999</v>
      </c>
      <c r="O2301" s="110">
        <f t="shared" si="2426"/>
        <v>11.5</v>
      </c>
      <c r="P2301" s="110">
        <f t="shared" si="2427"/>
        <v>19.5</v>
      </c>
      <c r="Q2301" s="79">
        <f>VLOOKUP(VLOOKUP(DATEVALUE(TEXT(A2301,"m/d/yyyy")),FY24_Temp[],5,FALSE)&amp;TEXT(A2301,"-h"),TempDelta[],4,FALSE)</f>
        <v>0.97985714673995972</v>
      </c>
      <c r="R2301">
        <v>10</v>
      </c>
      <c r="S2301" s="112">
        <v>1500</v>
      </c>
      <c r="T2301" s="5">
        <f>VLOOKUP(TEXT(A2301,"yy-mm")&amp;"-"&amp;IF(AND(WEEKDAY(A2301)&gt;1,WEEKDAY(A2301)&lt;7),"Wkd",TEXT(A2301,"Ddd"))&amp;"-"&amp;TEXT(A2301,"hh"),LoadTable[],3,FALSE)*0.92</f>
        <v>303.31295999999998</v>
      </c>
      <c r="U2301" s="113">
        <f t="shared" si="2428"/>
        <v>30.331295999999998</v>
      </c>
      <c r="V2301">
        <f t="shared" ref="V2301:W2301" si="2491">V2277</f>
        <v>2.9</v>
      </c>
      <c r="W2301">
        <f t="shared" si="2491"/>
        <v>3</v>
      </c>
      <c r="X2301" s="9">
        <v>-54.732964966666202</v>
      </c>
      <c r="Y2301" s="39"/>
    </row>
    <row r="2302" spans="1:25" ht="15" thickBot="1">
      <c r="A2302" s="149">
        <f t="shared" si="2482"/>
        <v>45931.79166666307</v>
      </c>
      <c r="B2302" s="30">
        <f t="shared" si="2437"/>
        <v>5000</v>
      </c>
      <c r="C2302" s="8">
        <v>25000</v>
      </c>
      <c r="D2302" s="187">
        <v>0</v>
      </c>
      <c r="E2302" s="187">
        <v>700</v>
      </c>
      <c r="F2302" s="187">
        <v>15000</v>
      </c>
      <c r="G2302" s="151">
        <v>2470</v>
      </c>
      <c r="H2302" s="8">
        <f t="shared" si="2438"/>
        <v>25000</v>
      </c>
      <c r="I2302" s="30">
        <f t="shared" si="2439"/>
        <v>5000</v>
      </c>
      <c r="J2302" s="187">
        <v>40000</v>
      </c>
      <c r="K2302" s="30">
        <f t="shared" si="2440"/>
        <v>5000</v>
      </c>
      <c r="L2302" s="187">
        <v>40000</v>
      </c>
      <c r="M2302" s="110">
        <v>9.5</v>
      </c>
      <c r="N2302" s="9">
        <f>VLOOKUP(DATE(YEAR(A2302),MONTH(A2302),DAY(A2302)),FY24_Temp[],3,FALSE)</f>
        <v>17.399999999999999</v>
      </c>
      <c r="O2302" s="110">
        <f t="shared" si="2426"/>
        <v>11.5</v>
      </c>
      <c r="P2302" s="110">
        <f t="shared" si="2427"/>
        <v>19.5</v>
      </c>
      <c r="Q2302" s="79">
        <f>VLOOKUP(VLOOKUP(DATEVALUE(TEXT(A2302,"m/d/yyyy")),FY24_Temp[],5,FALSE)&amp;TEXT(A2302,"-h"),TempDelta[],4,FALSE)</f>
        <v>1.0494285609040941</v>
      </c>
      <c r="R2302">
        <v>10</v>
      </c>
      <c r="S2302" s="112">
        <v>1500</v>
      </c>
      <c r="T2302" s="5">
        <f>VLOOKUP(TEXT(A2302,"yy-mm")&amp;"-"&amp;IF(AND(WEEKDAY(A2302)&gt;1,WEEKDAY(A2302)&lt;7),"Wkd",TEXT(A2302,"Ddd"))&amp;"-"&amp;TEXT(A2302,"hh"),LoadTable[],3,FALSE)*0.92</f>
        <v>303.31295999999998</v>
      </c>
      <c r="U2302" s="113">
        <f t="shared" si="2428"/>
        <v>30.331295999999998</v>
      </c>
      <c r="V2302">
        <f t="shared" ref="V2302:W2302" si="2492">V2278</f>
        <v>3</v>
      </c>
      <c r="W2302">
        <f t="shared" si="2492"/>
        <v>3</v>
      </c>
      <c r="X2302" s="9">
        <v>-54.810759516666202</v>
      </c>
      <c r="Y2302" s="39"/>
    </row>
    <row r="2303" spans="1:25" ht="15" thickBot="1">
      <c r="A2303" s="149">
        <f t="shared" si="2482"/>
        <v>45931.833333329734</v>
      </c>
      <c r="B2303" s="30">
        <f t="shared" si="2437"/>
        <v>5000</v>
      </c>
      <c r="C2303" s="8">
        <v>25000</v>
      </c>
      <c r="D2303" s="187">
        <v>0</v>
      </c>
      <c r="E2303" s="187">
        <v>700</v>
      </c>
      <c r="F2303" s="187">
        <v>15000</v>
      </c>
      <c r="G2303" s="151">
        <v>2470</v>
      </c>
      <c r="H2303" s="8">
        <f t="shared" si="2438"/>
        <v>25000</v>
      </c>
      <c r="I2303" s="30">
        <f t="shared" si="2439"/>
        <v>5000</v>
      </c>
      <c r="J2303" s="187">
        <v>40000</v>
      </c>
      <c r="K2303" s="30">
        <f t="shared" si="2440"/>
        <v>5000</v>
      </c>
      <c r="L2303" s="187">
        <v>40000</v>
      </c>
      <c r="M2303" s="110">
        <v>9.5</v>
      </c>
      <c r="N2303" s="9">
        <f>VLOOKUP(DATE(YEAR(A2303),MONTH(A2303),DAY(A2303)),FY24_Temp[],3,FALSE)</f>
        <v>17.399999999999999</v>
      </c>
      <c r="O2303" s="110">
        <f t="shared" si="2426"/>
        <v>11.5</v>
      </c>
      <c r="P2303" s="110">
        <f t="shared" si="2427"/>
        <v>19.5</v>
      </c>
      <c r="Q2303" s="79">
        <f>VLOOKUP(VLOOKUP(DATEVALUE(TEXT(A2303,"m/d/yyyy")),FY24_Temp[],5,FALSE)&amp;TEXT(A2303,"-h"),TempDelta[],4,FALSE)</f>
        <v>1.1053571232727595</v>
      </c>
      <c r="R2303">
        <v>10</v>
      </c>
      <c r="S2303" s="112">
        <v>1500</v>
      </c>
      <c r="T2303" s="5">
        <f>VLOOKUP(TEXT(A2303,"yy-mm")&amp;"-"&amp;IF(AND(WEEKDAY(A2303)&gt;1,WEEKDAY(A2303)&lt;7),"Wkd",TEXT(A2303,"Ddd"))&amp;"-"&amp;TEXT(A2303,"hh"),LoadTable[],3,FALSE)*0.92</f>
        <v>303.31295999999998</v>
      </c>
      <c r="U2303" s="113">
        <f t="shared" si="2428"/>
        <v>30.331295999999998</v>
      </c>
      <c r="V2303">
        <f t="shared" ref="V2303:W2303" si="2493">V2279</f>
        <v>2.8</v>
      </c>
      <c r="W2303">
        <f t="shared" si="2493"/>
        <v>3.1</v>
      </c>
      <c r="X2303" s="9">
        <v>-54.888554066666202</v>
      </c>
      <c r="Y2303" s="39"/>
    </row>
    <row r="2304" spans="1:25" ht="15" thickBot="1">
      <c r="A2304" s="149">
        <f t="shared" si="2482"/>
        <v>45931.874999996398</v>
      </c>
      <c r="B2304" s="30">
        <f t="shared" si="2437"/>
        <v>5000</v>
      </c>
      <c r="C2304" s="8">
        <v>25000</v>
      </c>
      <c r="D2304" s="187">
        <v>0</v>
      </c>
      <c r="E2304" s="187">
        <v>700</v>
      </c>
      <c r="F2304" s="187">
        <v>15000</v>
      </c>
      <c r="G2304" s="151">
        <v>2470</v>
      </c>
      <c r="H2304" s="8">
        <f t="shared" si="2438"/>
        <v>25000</v>
      </c>
      <c r="I2304" s="30">
        <f t="shared" si="2439"/>
        <v>5000</v>
      </c>
      <c r="J2304" s="187">
        <v>40000</v>
      </c>
      <c r="K2304" s="30">
        <f t="shared" si="2440"/>
        <v>5000</v>
      </c>
      <c r="L2304" s="187">
        <v>40000</v>
      </c>
      <c r="M2304" s="110">
        <v>9.5</v>
      </c>
      <c r="N2304" s="9">
        <f>VLOOKUP(DATE(YEAR(A2304),MONTH(A2304),DAY(A2304)),FY24_Temp[],3,FALSE)</f>
        <v>17.399999999999999</v>
      </c>
      <c r="O2304" s="110">
        <f t="shared" si="2426"/>
        <v>11.5</v>
      </c>
      <c r="P2304" s="110">
        <f t="shared" si="2427"/>
        <v>19.5</v>
      </c>
      <c r="Q2304" s="79">
        <f>VLOOKUP(VLOOKUP(DATEVALUE(TEXT(A2304,"m/d/yyyy")),FY24_Temp[],5,FALSE)&amp;TEXT(A2304,"-h"),TempDelta[],4,FALSE)</f>
        <v>1.1162857200418199</v>
      </c>
      <c r="R2304">
        <v>10</v>
      </c>
      <c r="S2304" s="112">
        <v>1500</v>
      </c>
      <c r="T2304" s="5">
        <f>VLOOKUP(TEXT(A2304,"yy-mm")&amp;"-"&amp;IF(AND(WEEKDAY(A2304)&gt;1,WEEKDAY(A2304)&lt;7),"Wkd",TEXT(A2304,"Ddd"))&amp;"-"&amp;TEXT(A2304,"hh"),LoadTable[],3,FALSE)*0.92</f>
        <v>229.93744000000001</v>
      </c>
      <c r="U2304" s="113">
        <f t="shared" si="2428"/>
        <v>22.993744</v>
      </c>
      <c r="V2304">
        <f t="shared" ref="V2304:W2304" si="2494">V2280</f>
        <v>3.5</v>
      </c>
      <c r="W2304">
        <f t="shared" si="2494"/>
        <v>3.1</v>
      </c>
      <c r="X2304" s="9">
        <v>-54.966348616666203</v>
      </c>
      <c r="Y2304" s="39"/>
    </row>
    <row r="2305" spans="1:25" ht="15" thickBot="1">
      <c r="A2305" s="149">
        <f t="shared" si="2482"/>
        <v>45931.916666663063</v>
      </c>
      <c r="B2305" s="30">
        <f t="shared" si="2437"/>
        <v>5000</v>
      </c>
      <c r="C2305" s="8">
        <v>25000</v>
      </c>
      <c r="D2305" s="187">
        <v>0</v>
      </c>
      <c r="E2305" s="187">
        <v>700</v>
      </c>
      <c r="F2305" s="187">
        <v>15000</v>
      </c>
      <c r="G2305" s="151">
        <v>2470</v>
      </c>
      <c r="H2305" s="8">
        <f t="shared" si="2438"/>
        <v>25000</v>
      </c>
      <c r="I2305" s="30">
        <f t="shared" si="2439"/>
        <v>5000</v>
      </c>
      <c r="J2305" s="187">
        <v>40000</v>
      </c>
      <c r="K2305" s="30">
        <f t="shared" si="2440"/>
        <v>5000</v>
      </c>
      <c r="L2305" s="187">
        <v>40000</v>
      </c>
      <c r="M2305" s="110">
        <v>9.5</v>
      </c>
      <c r="N2305" s="9">
        <f>VLOOKUP(DATE(YEAR(A2305),MONTH(A2305),DAY(A2305)),FY24_Temp[],3,FALSE)</f>
        <v>17.399999999999999</v>
      </c>
      <c r="O2305" s="110">
        <f t="shared" si="2426"/>
        <v>11.5</v>
      </c>
      <c r="P2305" s="110">
        <f t="shared" si="2427"/>
        <v>19.5</v>
      </c>
      <c r="Q2305" s="79">
        <f>VLOOKUP(VLOOKUP(DATEVALUE(TEXT(A2305,"m/d/yyyy")),FY24_Temp[],5,FALSE)&amp;TEXT(A2305,"-h"),TempDelta[],4,FALSE)</f>
        <v>1.639714275087629</v>
      </c>
      <c r="R2305">
        <v>10</v>
      </c>
      <c r="S2305" s="112">
        <v>1500</v>
      </c>
      <c r="T2305" s="5">
        <f>VLOOKUP(TEXT(A2305,"yy-mm")&amp;"-"&amp;IF(AND(WEEKDAY(A2305)&gt;1,WEEKDAY(A2305)&lt;7),"Wkd",TEXT(A2305,"Ddd"))&amp;"-"&amp;TEXT(A2305,"hh"),LoadTable[],3,FALSE)*0.92</f>
        <v>176.52040000000002</v>
      </c>
      <c r="U2305" s="113">
        <f t="shared" si="2428"/>
        <v>17.652040000000003</v>
      </c>
      <c r="V2305">
        <f t="shared" ref="V2305:W2305" si="2495">V2281</f>
        <v>2.9</v>
      </c>
      <c r="W2305">
        <f t="shared" si="2495"/>
        <v>3.1</v>
      </c>
      <c r="X2305" s="9">
        <v>-55.044143166666203</v>
      </c>
      <c r="Y2305" s="39"/>
    </row>
    <row r="2306" spans="1:25" ht="15" thickBot="1">
      <c r="A2306" s="149">
        <f t="shared" si="2482"/>
        <v>45931.958333329727</v>
      </c>
      <c r="B2306" s="30">
        <f t="shared" si="2437"/>
        <v>5000</v>
      </c>
      <c r="C2306" s="8">
        <v>25000</v>
      </c>
      <c r="D2306" s="187">
        <v>0</v>
      </c>
      <c r="E2306" s="187">
        <v>700</v>
      </c>
      <c r="F2306" s="187">
        <v>15000</v>
      </c>
      <c r="G2306" s="151">
        <v>2470</v>
      </c>
      <c r="H2306" s="8">
        <f t="shared" si="2438"/>
        <v>25000</v>
      </c>
      <c r="I2306" s="30">
        <f t="shared" si="2439"/>
        <v>5000</v>
      </c>
      <c r="J2306" s="187">
        <v>40000</v>
      </c>
      <c r="K2306" s="30">
        <f t="shared" si="2440"/>
        <v>5000</v>
      </c>
      <c r="L2306" s="187">
        <v>40000</v>
      </c>
      <c r="M2306" s="110">
        <v>9.5</v>
      </c>
      <c r="N2306" s="9">
        <f>VLOOKUP(DATE(YEAR(A2306),MONTH(A2306),DAY(A2306)),FY24_Temp[],3,FALSE)</f>
        <v>17.399999999999999</v>
      </c>
      <c r="O2306" s="110">
        <f t="shared" si="2426"/>
        <v>11.5</v>
      </c>
      <c r="P2306" s="110">
        <f t="shared" si="2427"/>
        <v>19.5</v>
      </c>
      <c r="Q2306" s="85">
        <f>VLOOKUP(VLOOKUP(DATEVALUE(TEXT(A2306,"m/d/yyyy")),FY24_Temp[],5,FALSE)&amp;TEXT(A2306,"-h"),TempDelta[],4,FALSE)</f>
        <v>1.7538571187428065</v>
      </c>
      <c r="R2306">
        <v>10</v>
      </c>
      <c r="S2306" s="112">
        <v>1500</v>
      </c>
      <c r="T2306" s="97">
        <f>VLOOKUP(TEXT(A2306,"yy-mm")&amp;"-"&amp;IF(AND(WEEKDAY(A2306)&gt;1,WEEKDAY(A2306)&lt;7),"Wkd",TEXT(A2306,"Ddd"))&amp;"-"&amp;TEXT(A2306,"hh"),LoadTable[],3,FALSE)*0.92</f>
        <v>176.52040000000002</v>
      </c>
      <c r="U2306" s="113">
        <f t="shared" si="2428"/>
        <v>17.652040000000003</v>
      </c>
      <c r="V2306">
        <f t="shared" ref="V2306:W2306" si="2496">V2282</f>
        <v>3.6</v>
      </c>
      <c r="W2306">
        <f t="shared" si="2496"/>
        <v>3.1</v>
      </c>
      <c r="X2306" s="84">
        <v>-55.121937716666203</v>
      </c>
      <c r="Y2306" s="39"/>
    </row>
    <row r="2307" spans="1:25" ht="15" thickBot="1">
      <c r="A2307" s="149">
        <f t="shared" si="2482"/>
        <v>45931.999999996391</v>
      </c>
      <c r="B2307" s="30">
        <f t="shared" si="2437"/>
        <v>5000</v>
      </c>
      <c r="C2307" s="8">
        <v>25000</v>
      </c>
      <c r="D2307" s="187">
        <v>0</v>
      </c>
      <c r="E2307" s="187">
        <v>700</v>
      </c>
      <c r="F2307" s="187">
        <v>15000</v>
      </c>
      <c r="G2307" s="151">
        <v>2470</v>
      </c>
      <c r="H2307" s="8">
        <f t="shared" si="2438"/>
        <v>25000</v>
      </c>
      <c r="I2307" s="30">
        <f t="shared" si="2439"/>
        <v>5000</v>
      </c>
      <c r="J2307" s="187">
        <v>40000</v>
      </c>
      <c r="K2307" s="30">
        <f t="shared" si="2440"/>
        <v>5000</v>
      </c>
      <c r="L2307" s="187">
        <v>40000</v>
      </c>
      <c r="M2307" s="110">
        <v>9.5</v>
      </c>
      <c r="N2307" s="9">
        <f>VLOOKUP(DATE(YEAR(A2307),MONTH(A2307),DAY(A2307)),FY24_Temp[],3,FALSE)</f>
        <v>17.399999999999999</v>
      </c>
      <c r="O2307" s="110">
        <f t="shared" si="2426"/>
        <v>11.5</v>
      </c>
      <c r="P2307" s="110">
        <f t="shared" si="2427"/>
        <v>19.5</v>
      </c>
      <c r="Q2307" s="79">
        <f>VLOOKUP(VLOOKUP(DATEVALUE(TEXT(A2307,"m/d/yyyy")),FY24_Temp[],5,FALSE)&amp;TEXT(A2307,"-h"),TempDelta[],4,FALSE)</f>
        <v>1.804142855</v>
      </c>
      <c r="R2307">
        <v>10</v>
      </c>
      <c r="S2307" s="112">
        <v>1500</v>
      </c>
      <c r="T2307" s="5">
        <f>VLOOKUP(TEXT(A2307,"yy-mm")&amp;"-"&amp;IF(AND(WEEKDAY(A2307)&gt;1,WEEKDAY(A2307)&lt;7),"Wkd",TEXT(A2307,"Ddd"))&amp;"-"&amp;TEXT(A2307,"hh"),LoadTable[],3,FALSE)*0.92</f>
        <v>209.6772</v>
      </c>
      <c r="U2307" s="113">
        <f t="shared" si="2428"/>
        <v>20.96772</v>
      </c>
      <c r="V2307">
        <f t="shared" ref="V2307:W2307" si="2497">V2283</f>
        <v>3</v>
      </c>
      <c r="W2307">
        <f t="shared" si="2497"/>
        <v>3.2</v>
      </c>
      <c r="X2307" s="9">
        <v>-55.199732266666203</v>
      </c>
      <c r="Y2307" s="39"/>
    </row>
    <row r="2308" spans="1:25" ht="15" thickBot="1">
      <c r="A2308" s="149">
        <f t="shared" si="2482"/>
        <v>45932.041666663055</v>
      </c>
      <c r="B2308" s="30">
        <f t="shared" si="2437"/>
        <v>5000</v>
      </c>
      <c r="C2308" s="8">
        <v>25000</v>
      </c>
      <c r="D2308" s="187">
        <v>0</v>
      </c>
      <c r="E2308" s="187">
        <v>700</v>
      </c>
      <c r="F2308" s="187">
        <v>15000</v>
      </c>
      <c r="G2308" s="151">
        <v>2470</v>
      </c>
      <c r="H2308" s="8">
        <f t="shared" si="2438"/>
        <v>25000</v>
      </c>
      <c r="I2308" s="30">
        <f t="shared" si="2439"/>
        <v>5000</v>
      </c>
      <c r="J2308" s="187">
        <v>40000</v>
      </c>
      <c r="K2308" s="30">
        <f t="shared" si="2440"/>
        <v>5000</v>
      </c>
      <c r="L2308" s="187">
        <v>40000</v>
      </c>
      <c r="M2308" s="110">
        <v>9.5</v>
      </c>
      <c r="N2308" s="9">
        <f>VLOOKUP(DATE(YEAR(A2308),MONTH(A2308),DAY(A2308)),FY24_Temp[],3,FALSE)</f>
        <v>17.399999999999999</v>
      </c>
      <c r="O2308" s="110">
        <f t="shared" ref="O2308:O2371" si="2498">15.5-4</f>
        <v>11.5</v>
      </c>
      <c r="P2308" s="110">
        <f t="shared" ref="P2308:P2371" si="2499">15.5+4</f>
        <v>19.5</v>
      </c>
      <c r="Q2308" s="87">
        <f>VLOOKUP(VLOOKUP(DATEVALUE(TEXT(A2308,"m/d/yyyy")),FY24_Temp[],5,FALSE)&amp;TEXT(A2308,"-h"),TempDelta[],4,FALSE)</f>
        <v>1.804142855</v>
      </c>
      <c r="R2308">
        <v>10</v>
      </c>
      <c r="S2308" s="112">
        <v>1500</v>
      </c>
      <c r="T2308" s="98">
        <f>VLOOKUP(TEXT(A2308,"yy-mm")&amp;"-"&amp;IF(AND(WEEKDAY(A2308)&gt;1,WEEKDAY(A2308)&lt;7),"Wkd",TEXT(A2308,"Ddd"))&amp;"-"&amp;TEXT(A2308,"hh"),LoadTable[],3,FALSE)*0.92</f>
        <v>209.6772</v>
      </c>
      <c r="U2308" s="113">
        <f t="shared" ref="U2308:U2371" si="2500">T2308/10</f>
        <v>20.96772</v>
      </c>
      <c r="V2308">
        <f t="shared" ref="V2308:W2308" si="2501">V2284</f>
        <v>2.6</v>
      </c>
      <c r="W2308">
        <f t="shared" si="2501"/>
        <v>3.2</v>
      </c>
      <c r="X2308" s="86">
        <v>-55.277526816666203</v>
      </c>
      <c r="Y2308" s="39"/>
    </row>
    <row r="2309" spans="1:25" ht="15" thickBot="1">
      <c r="A2309" s="149">
        <f t="shared" si="2482"/>
        <v>45932.08333332972</v>
      </c>
      <c r="B2309" s="30">
        <f t="shared" si="2437"/>
        <v>5000</v>
      </c>
      <c r="C2309" s="8">
        <v>25000</v>
      </c>
      <c r="D2309" s="187">
        <v>0</v>
      </c>
      <c r="E2309" s="187">
        <v>700</v>
      </c>
      <c r="F2309" s="187">
        <v>15000</v>
      </c>
      <c r="G2309" s="151">
        <v>2470</v>
      </c>
      <c r="H2309" s="8">
        <f t="shared" si="2438"/>
        <v>25000</v>
      </c>
      <c r="I2309" s="30">
        <f t="shared" si="2439"/>
        <v>5000</v>
      </c>
      <c r="J2309" s="187">
        <v>40000</v>
      </c>
      <c r="K2309" s="30">
        <f t="shared" si="2440"/>
        <v>5000</v>
      </c>
      <c r="L2309" s="187">
        <v>40000</v>
      </c>
      <c r="M2309" s="110">
        <v>9.5</v>
      </c>
      <c r="N2309" s="9">
        <f>VLOOKUP(DATE(YEAR(A2309),MONTH(A2309),DAY(A2309)),FY24_Temp[],3,FALSE)</f>
        <v>17.399999999999999</v>
      </c>
      <c r="O2309" s="110">
        <f t="shared" si="2498"/>
        <v>11.5</v>
      </c>
      <c r="P2309" s="110">
        <f t="shared" si="2499"/>
        <v>19.5</v>
      </c>
      <c r="Q2309" s="79">
        <f>VLOOKUP(VLOOKUP(DATEVALUE(TEXT(A2309,"m/d/yyyy")),FY24_Temp[],5,FALSE)&amp;TEXT(A2309,"-h"),TempDelta[],4,FALSE)</f>
        <v>1.804142855</v>
      </c>
      <c r="R2309">
        <v>10</v>
      </c>
      <c r="S2309" s="112">
        <v>1500</v>
      </c>
      <c r="T2309" s="5">
        <f>VLOOKUP(TEXT(A2309,"yy-mm")&amp;"-"&amp;IF(AND(WEEKDAY(A2309)&gt;1,WEEKDAY(A2309)&lt;7),"Wkd",TEXT(A2309,"Ddd"))&amp;"-"&amp;TEXT(A2309,"hh"),LoadTable[],3,FALSE)*0.92</f>
        <v>209.6772</v>
      </c>
      <c r="U2309" s="113">
        <f t="shared" si="2500"/>
        <v>20.96772</v>
      </c>
      <c r="V2309">
        <f t="shared" ref="V2309:W2309" si="2502">V2285</f>
        <v>2.8</v>
      </c>
      <c r="W2309">
        <f t="shared" si="2502"/>
        <v>3.2</v>
      </c>
      <c r="X2309" s="9">
        <v>-55.355321366666203</v>
      </c>
      <c r="Y2309" s="39"/>
    </row>
    <row r="2310" spans="1:25" ht="15" thickBot="1">
      <c r="A2310" s="149">
        <f t="shared" si="2482"/>
        <v>45932.124999996384</v>
      </c>
      <c r="B2310" s="30">
        <f t="shared" si="2437"/>
        <v>5000</v>
      </c>
      <c r="C2310" s="8">
        <v>25000</v>
      </c>
      <c r="D2310" s="187">
        <v>0</v>
      </c>
      <c r="E2310" s="187">
        <v>700</v>
      </c>
      <c r="F2310" s="187">
        <v>15000</v>
      </c>
      <c r="G2310" s="151">
        <v>2470</v>
      </c>
      <c r="H2310" s="8">
        <f t="shared" si="2438"/>
        <v>25000</v>
      </c>
      <c r="I2310" s="30">
        <f t="shared" si="2439"/>
        <v>5000</v>
      </c>
      <c r="J2310" s="187">
        <v>40000</v>
      </c>
      <c r="K2310" s="30">
        <f t="shared" si="2440"/>
        <v>5000</v>
      </c>
      <c r="L2310" s="187">
        <v>40000</v>
      </c>
      <c r="M2310" s="110">
        <v>9.5</v>
      </c>
      <c r="N2310" s="9">
        <f>VLOOKUP(DATE(YEAR(A2310),MONTH(A2310),DAY(A2310)),FY24_Temp[],3,FALSE)</f>
        <v>17.399999999999999</v>
      </c>
      <c r="O2310" s="110">
        <f t="shared" si="2498"/>
        <v>11.5</v>
      </c>
      <c r="P2310" s="110">
        <f t="shared" si="2499"/>
        <v>19.5</v>
      </c>
      <c r="Q2310" s="79">
        <f>VLOOKUP(VLOOKUP(DATEVALUE(TEXT(A2310,"m/d/yyyy")),FY24_Temp[],5,FALSE)&amp;TEXT(A2310,"-h"),TempDelta[],4,FALSE)</f>
        <v>1.804142855</v>
      </c>
      <c r="R2310">
        <v>10</v>
      </c>
      <c r="S2310" s="112">
        <v>1500</v>
      </c>
      <c r="T2310" s="5">
        <f>VLOOKUP(TEXT(A2310,"yy-mm")&amp;"-"&amp;IF(AND(WEEKDAY(A2310)&gt;1,WEEKDAY(A2310)&lt;7),"Wkd",TEXT(A2310,"Ddd"))&amp;"-"&amp;TEXT(A2310,"hh"),LoadTable[],3,FALSE)*0.92</f>
        <v>209.6772</v>
      </c>
      <c r="U2310" s="113">
        <f t="shared" si="2500"/>
        <v>20.96772</v>
      </c>
      <c r="V2310">
        <f t="shared" ref="V2310:W2310" si="2503">V2286</f>
        <v>2.7</v>
      </c>
      <c r="W2310">
        <f t="shared" si="2503"/>
        <v>3.2</v>
      </c>
      <c r="X2310" s="9">
        <v>-55.433115916666203</v>
      </c>
      <c r="Y2310" s="39"/>
    </row>
    <row r="2311" spans="1:25" ht="15" thickBot="1">
      <c r="A2311" s="149">
        <f t="shared" si="2482"/>
        <v>45932.166666663048</v>
      </c>
      <c r="B2311" s="30">
        <f t="shared" si="2437"/>
        <v>5000</v>
      </c>
      <c r="C2311" s="8">
        <v>25000</v>
      </c>
      <c r="D2311" s="187">
        <v>0</v>
      </c>
      <c r="E2311" s="187">
        <v>700</v>
      </c>
      <c r="F2311" s="187">
        <v>15000</v>
      </c>
      <c r="G2311" s="151">
        <v>2470</v>
      </c>
      <c r="H2311" s="8">
        <f t="shared" si="2438"/>
        <v>25000</v>
      </c>
      <c r="I2311" s="30">
        <f t="shared" si="2439"/>
        <v>5000</v>
      </c>
      <c r="J2311" s="187">
        <v>40000</v>
      </c>
      <c r="K2311" s="30">
        <f t="shared" si="2440"/>
        <v>5000</v>
      </c>
      <c r="L2311" s="187">
        <v>40000</v>
      </c>
      <c r="M2311" s="110">
        <v>9.5</v>
      </c>
      <c r="N2311" s="9">
        <f>VLOOKUP(DATE(YEAR(A2311),MONTH(A2311),DAY(A2311)),FY24_Temp[],3,FALSE)</f>
        <v>17.399999999999999</v>
      </c>
      <c r="O2311" s="110">
        <f t="shared" si="2498"/>
        <v>11.5</v>
      </c>
      <c r="P2311" s="110">
        <f t="shared" si="2499"/>
        <v>19.5</v>
      </c>
      <c r="Q2311" s="79">
        <f>VLOOKUP(VLOOKUP(DATEVALUE(TEXT(A2311,"m/d/yyyy")),FY24_Temp[],5,FALSE)&amp;TEXT(A2311,"-h"),TempDelta[],4,FALSE)</f>
        <v>1.804142855</v>
      </c>
      <c r="R2311">
        <v>10</v>
      </c>
      <c r="S2311" s="112">
        <v>1500</v>
      </c>
      <c r="T2311" s="5">
        <f>VLOOKUP(TEXT(A2311,"yy-mm")&amp;"-"&amp;IF(AND(WEEKDAY(A2311)&gt;1,WEEKDAY(A2311)&lt;7),"Wkd",TEXT(A2311,"Ddd"))&amp;"-"&amp;TEXT(A2311,"hh"),LoadTable[],3,FALSE)*0.92</f>
        <v>209.6772</v>
      </c>
      <c r="U2311" s="113">
        <f t="shared" si="2500"/>
        <v>20.96772</v>
      </c>
      <c r="V2311">
        <f t="shared" ref="V2311:W2311" si="2504">V2287</f>
        <v>3</v>
      </c>
      <c r="W2311">
        <f t="shared" si="2504"/>
        <v>3.1</v>
      </c>
      <c r="X2311" s="9">
        <v>-55.510910466666203</v>
      </c>
      <c r="Y2311" s="39"/>
    </row>
    <row r="2312" spans="1:25" ht="15" thickBot="1">
      <c r="A2312" s="149">
        <f t="shared" si="2482"/>
        <v>45932.208333329712</v>
      </c>
      <c r="B2312" s="30">
        <f t="shared" si="2437"/>
        <v>5000</v>
      </c>
      <c r="C2312" s="8">
        <v>25000</v>
      </c>
      <c r="D2312" s="187">
        <v>0</v>
      </c>
      <c r="E2312" s="187">
        <v>700</v>
      </c>
      <c r="F2312" s="187">
        <v>15000</v>
      </c>
      <c r="G2312" s="151">
        <v>2470</v>
      </c>
      <c r="H2312" s="8">
        <f t="shared" si="2438"/>
        <v>25000</v>
      </c>
      <c r="I2312" s="30">
        <f t="shared" si="2439"/>
        <v>5000</v>
      </c>
      <c r="J2312" s="187">
        <v>40000</v>
      </c>
      <c r="K2312" s="30">
        <f t="shared" si="2440"/>
        <v>5000</v>
      </c>
      <c r="L2312" s="187">
        <v>40000</v>
      </c>
      <c r="M2312" s="110">
        <v>9.5</v>
      </c>
      <c r="N2312" s="9">
        <f>VLOOKUP(DATE(YEAR(A2312),MONTH(A2312),DAY(A2312)),FY24_Temp[],3,FALSE)</f>
        <v>17.399999999999999</v>
      </c>
      <c r="O2312" s="110">
        <f t="shared" si="2498"/>
        <v>11.5</v>
      </c>
      <c r="P2312" s="110">
        <f t="shared" si="2499"/>
        <v>19.5</v>
      </c>
      <c r="Q2312" s="79">
        <f>VLOOKUP(VLOOKUP(DATEVALUE(TEXT(A2312,"m/d/yyyy")),FY24_Temp[],5,FALSE)&amp;TEXT(A2312,"-h"),TempDelta[],4,FALSE)</f>
        <v>1.804142855</v>
      </c>
      <c r="R2312">
        <v>10</v>
      </c>
      <c r="S2312" s="112">
        <v>1500</v>
      </c>
      <c r="T2312" s="5">
        <f>VLOOKUP(TEXT(A2312,"yy-mm")&amp;"-"&amp;IF(AND(WEEKDAY(A2312)&gt;1,WEEKDAY(A2312)&lt;7),"Wkd",TEXT(A2312,"Ddd"))&amp;"-"&amp;TEXT(A2312,"hh"),LoadTable[],3,FALSE)*0.92</f>
        <v>209.6772</v>
      </c>
      <c r="U2312" s="113">
        <f t="shared" si="2500"/>
        <v>20.96772</v>
      </c>
      <c r="V2312">
        <f t="shared" ref="V2312:W2312" si="2505">V2288</f>
        <v>2.9</v>
      </c>
      <c r="W2312">
        <f t="shared" si="2505"/>
        <v>3.1</v>
      </c>
      <c r="X2312" s="9">
        <v>-55.588705016666196</v>
      </c>
      <c r="Y2312" s="39"/>
    </row>
    <row r="2313" spans="1:25" ht="15" thickBot="1">
      <c r="A2313" s="149">
        <f t="shared" si="2482"/>
        <v>45932.249999996377</v>
      </c>
      <c r="B2313" s="30">
        <f t="shared" si="2437"/>
        <v>8000</v>
      </c>
      <c r="C2313" s="8">
        <v>25000</v>
      </c>
      <c r="D2313" s="187">
        <v>0</v>
      </c>
      <c r="E2313" s="187">
        <v>700</v>
      </c>
      <c r="F2313" s="187">
        <v>15000</v>
      </c>
      <c r="G2313" s="151">
        <v>2470</v>
      </c>
      <c r="H2313" s="8">
        <f t="shared" si="2438"/>
        <v>25000</v>
      </c>
      <c r="I2313" s="30">
        <f t="shared" si="2439"/>
        <v>8000</v>
      </c>
      <c r="J2313" s="187">
        <v>40000</v>
      </c>
      <c r="K2313" s="30">
        <f t="shared" si="2440"/>
        <v>8000</v>
      </c>
      <c r="L2313" s="187">
        <v>40000</v>
      </c>
      <c r="M2313" s="110">
        <v>9.5</v>
      </c>
      <c r="N2313" s="9">
        <f>VLOOKUP(DATE(YEAR(A2313),MONTH(A2313),DAY(A2313)),FY24_Temp[],3,FALSE)</f>
        <v>17.399999999999999</v>
      </c>
      <c r="O2313" s="110">
        <f t="shared" si="2498"/>
        <v>11.5</v>
      </c>
      <c r="P2313" s="110">
        <f t="shared" si="2499"/>
        <v>19.5</v>
      </c>
      <c r="Q2313" s="79">
        <f>VLOOKUP(VLOOKUP(DATEVALUE(TEXT(A2313,"m/d/yyyy")),FY24_Temp[],5,FALSE)&amp;TEXT(A2313,"-h"),TempDelta[],4,FALSE)</f>
        <v>1.6668571404048376</v>
      </c>
      <c r="R2313">
        <v>10</v>
      </c>
      <c r="S2313" s="112">
        <v>1500</v>
      </c>
      <c r="T2313" s="5">
        <f>VLOOKUP(TEXT(A2313,"yy-mm")&amp;"-"&amp;IF(AND(WEEKDAY(A2313)&gt;1,WEEKDAY(A2313)&lt;7),"Wkd",TEXT(A2313,"Ddd"))&amp;"-"&amp;TEXT(A2313,"hh"),LoadTable[],3,FALSE)*0.92</f>
        <v>209.6772</v>
      </c>
      <c r="U2313" s="113">
        <f t="shared" si="2500"/>
        <v>20.96772</v>
      </c>
      <c r="V2313">
        <f t="shared" ref="V2313:W2313" si="2506">V2289</f>
        <v>2.5</v>
      </c>
      <c r="W2313">
        <f t="shared" si="2506"/>
        <v>3.1</v>
      </c>
      <c r="X2313" s="9">
        <v>-55.666499566666197</v>
      </c>
      <c r="Y2313" s="39"/>
    </row>
    <row r="2314" spans="1:25" ht="15" thickBot="1">
      <c r="A2314" s="149">
        <f t="shared" si="2482"/>
        <v>45932.291666663041</v>
      </c>
      <c r="B2314" s="30">
        <f t="shared" si="2437"/>
        <v>8000</v>
      </c>
      <c r="C2314" s="8">
        <v>25000</v>
      </c>
      <c r="D2314" s="187">
        <v>0</v>
      </c>
      <c r="E2314" s="187">
        <v>700</v>
      </c>
      <c r="F2314" s="187">
        <v>15000</v>
      </c>
      <c r="G2314" s="151">
        <v>2470</v>
      </c>
      <c r="H2314" s="8">
        <f t="shared" si="2438"/>
        <v>25000</v>
      </c>
      <c r="I2314" s="30">
        <f t="shared" si="2439"/>
        <v>8000</v>
      </c>
      <c r="J2314" s="187">
        <v>40000</v>
      </c>
      <c r="K2314" s="30">
        <f t="shared" si="2440"/>
        <v>8000</v>
      </c>
      <c r="L2314" s="187">
        <v>40000</v>
      </c>
      <c r="M2314" s="110">
        <v>9.5</v>
      </c>
      <c r="N2314" s="9">
        <f>VLOOKUP(DATE(YEAR(A2314),MONTH(A2314),DAY(A2314)),FY24_Temp[],3,FALSE)</f>
        <v>17.399999999999999</v>
      </c>
      <c r="O2314" s="110">
        <f t="shared" si="2498"/>
        <v>11.5</v>
      </c>
      <c r="P2314" s="110">
        <f t="shared" si="2499"/>
        <v>19.5</v>
      </c>
      <c r="Q2314" s="79">
        <f>VLOOKUP(VLOOKUP(DATEVALUE(TEXT(A2314,"m/d/yyyy")),FY24_Temp[],5,FALSE)&amp;TEXT(A2314,"-h"),TempDelta[],4,FALSE)</f>
        <v>1.5237142699105399</v>
      </c>
      <c r="R2314">
        <v>10</v>
      </c>
      <c r="S2314" s="112">
        <v>1500</v>
      </c>
      <c r="T2314" s="5">
        <f>VLOOKUP(TEXT(A2314,"yy-mm")&amp;"-"&amp;IF(AND(WEEKDAY(A2314)&gt;1,WEEKDAY(A2314)&lt;7),"Wkd",TEXT(A2314,"Ddd"))&amp;"-"&amp;TEXT(A2314,"hh"),LoadTable[],3,FALSE)*0.92</f>
        <v>234.80148</v>
      </c>
      <c r="U2314" s="113">
        <f t="shared" si="2500"/>
        <v>23.480148</v>
      </c>
      <c r="V2314">
        <f t="shared" ref="V2314:W2314" si="2507">V2290</f>
        <v>2.5</v>
      </c>
      <c r="W2314">
        <f t="shared" si="2507"/>
        <v>3.1</v>
      </c>
      <c r="X2314" s="9">
        <v>-55.744294116666197</v>
      </c>
      <c r="Y2314" s="39"/>
    </row>
    <row r="2315" spans="1:25" ht="15" thickBot="1">
      <c r="A2315" s="149">
        <f t="shared" si="2482"/>
        <v>45932.333333329705</v>
      </c>
      <c r="B2315" s="30">
        <f t="shared" si="2437"/>
        <v>8000</v>
      </c>
      <c r="C2315" s="8">
        <v>25000</v>
      </c>
      <c r="D2315" s="187">
        <v>0</v>
      </c>
      <c r="E2315" s="187">
        <v>700</v>
      </c>
      <c r="F2315" s="187">
        <v>15000</v>
      </c>
      <c r="G2315" s="151">
        <v>2470</v>
      </c>
      <c r="H2315" s="8">
        <f t="shared" si="2438"/>
        <v>25000</v>
      </c>
      <c r="I2315" s="30">
        <f t="shared" si="2439"/>
        <v>8000</v>
      </c>
      <c r="J2315" s="187">
        <v>40000</v>
      </c>
      <c r="K2315" s="30">
        <f t="shared" si="2440"/>
        <v>8000</v>
      </c>
      <c r="L2315" s="187">
        <v>40000</v>
      </c>
      <c r="M2315" s="110">
        <v>9.5</v>
      </c>
      <c r="N2315" s="9">
        <f>VLOOKUP(DATE(YEAR(A2315),MONTH(A2315),DAY(A2315)),FY24_Temp[],3,FALSE)</f>
        <v>17.399999999999999</v>
      </c>
      <c r="O2315" s="110">
        <f t="shared" si="2498"/>
        <v>11.5</v>
      </c>
      <c r="P2315" s="110">
        <f t="shared" si="2499"/>
        <v>19.5</v>
      </c>
      <c r="Q2315" s="79">
        <f>VLOOKUP(VLOOKUP(DATEVALUE(TEXT(A2315,"m/d/yyyy")),FY24_Temp[],5,FALSE)&amp;TEXT(A2315,"-h"),TempDelta[],4,FALSE)</f>
        <v>1.3942857129233224</v>
      </c>
      <c r="R2315">
        <v>10</v>
      </c>
      <c r="S2315" s="112">
        <v>1500</v>
      </c>
      <c r="T2315" s="5">
        <f>VLOOKUP(TEXT(A2315,"yy-mm")&amp;"-"&amp;IF(AND(WEEKDAY(A2315)&gt;1,WEEKDAY(A2315)&lt;7),"Wkd",TEXT(A2315,"Ddd"))&amp;"-"&amp;TEXT(A2315,"hh"),LoadTable[],3,FALSE)*0.92</f>
        <v>234.80148</v>
      </c>
      <c r="U2315" s="113">
        <f t="shared" si="2500"/>
        <v>23.480148</v>
      </c>
      <c r="V2315">
        <f t="shared" ref="V2315:W2315" si="2508">V2291</f>
        <v>3.2</v>
      </c>
      <c r="W2315">
        <f t="shared" si="2508"/>
        <v>3</v>
      </c>
      <c r="X2315" s="9">
        <v>-55.822088666666197</v>
      </c>
      <c r="Y2315" s="39"/>
    </row>
    <row r="2316" spans="1:25" ht="15" thickBot="1">
      <c r="A2316" s="149">
        <f t="shared" si="2482"/>
        <v>45932.374999996369</v>
      </c>
      <c r="B2316" s="30">
        <f t="shared" ref="B2316:B2379" si="2509">B2292</f>
        <v>8000</v>
      </c>
      <c r="C2316" s="8">
        <v>25000</v>
      </c>
      <c r="D2316" s="187">
        <v>0</v>
      </c>
      <c r="E2316" s="187">
        <v>700</v>
      </c>
      <c r="F2316" s="187">
        <v>15000</v>
      </c>
      <c r="G2316" s="151">
        <v>2470</v>
      </c>
      <c r="H2316" s="8">
        <f t="shared" ref="H2316:H2379" si="2510">H2292</f>
        <v>25000</v>
      </c>
      <c r="I2316" s="30">
        <f t="shared" ref="I2316:I2379" si="2511">I2292</f>
        <v>8000</v>
      </c>
      <c r="J2316" s="187">
        <v>40000</v>
      </c>
      <c r="K2316" s="30">
        <f t="shared" ref="K2316:K2379" si="2512">K2292</f>
        <v>8000</v>
      </c>
      <c r="L2316" s="187">
        <v>40000</v>
      </c>
      <c r="M2316" s="110">
        <v>9.5</v>
      </c>
      <c r="N2316" s="9">
        <f>VLOOKUP(DATE(YEAR(A2316),MONTH(A2316),DAY(A2316)),FY24_Temp[],3,FALSE)</f>
        <v>17.399999999999999</v>
      </c>
      <c r="O2316" s="110">
        <f t="shared" si="2498"/>
        <v>11.5</v>
      </c>
      <c r="P2316" s="110">
        <f t="shared" si="2499"/>
        <v>19.5</v>
      </c>
      <c r="Q2316" s="79">
        <f>VLOOKUP(VLOOKUP(DATEVALUE(TEXT(A2316,"m/d/yyyy")),FY24_Temp[],5,FALSE)&amp;TEXT(A2316,"-h"),TempDelta[],4,FALSE)</f>
        <v>1.2751428655215673</v>
      </c>
      <c r="R2316">
        <v>10</v>
      </c>
      <c r="S2316" s="112">
        <v>1500</v>
      </c>
      <c r="T2316" s="5">
        <f>VLOOKUP(TEXT(A2316,"yy-mm")&amp;"-"&amp;IF(AND(WEEKDAY(A2316)&gt;1,WEEKDAY(A2316)&lt;7),"Wkd",TEXT(A2316,"Ddd"))&amp;"-"&amp;TEXT(A2316,"hh"),LoadTable[],3,FALSE)*0.92</f>
        <v>234.80148</v>
      </c>
      <c r="U2316" s="113">
        <f t="shared" si="2500"/>
        <v>23.480148</v>
      </c>
      <c r="V2316">
        <f t="shared" ref="V2316:W2316" si="2513">V2292</f>
        <v>2.9</v>
      </c>
      <c r="W2316">
        <f t="shared" si="2513"/>
        <v>3</v>
      </c>
      <c r="X2316" s="9">
        <v>-55.899883216666197</v>
      </c>
      <c r="Y2316" s="39"/>
    </row>
    <row r="2317" spans="1:25" ht="15" thickBot="1">
      <c r="A2317" s="149">
        <f t="shared" si="2482"/>
        <v>45932.416666663034</v>
      </c>
      <c r="B2317" s="30">
        <f t="shared" si="2509"/>
        <v>8000</v>
      </c>
      <c r="C2317" s="8">
        <v>25000</v>
      </c>
      <c r="D2317" s="187">
        <v>0</v>
      </c>
      <c r="E2317" s="187">
        <v>700</v>
      </c>
      <c r="F2317" s="187">
        <v>15000</v>
      </c>
      <c r="G2317" s="151">
        <v>2470</v>
      </c>
      <c r="H2317" s="8">
        <f t="shared" si="2510"/>
        <v>25000</v>
      </c>
      <c r="I2317" s="30">
        <f t="shared" si="2511"/>
        <v>8000</v>
      </c>
      <c r="J2317" s="187">
        <v>40000</v>
      </c>
      <c r="K2317" s="30">
        <f t="shared" si="2512"/>
        <v>8000</v>
      </c>
      <c r="L2317" s="187">
        <v>40000</v>
      </c>
      <c r="M2317" s="110">
        <v>9.5</v>
      </c>
      <c r="N2317" s="9">
        <f>VLOOKUP(DATE(YEAR(A2317),MONTH(A2317),DAY(A2317)),FY24_Temp[],3,FALSE)</f>
        <v>17.399999999999999</v>
      </c>
      <c r="O2317" s="110">
        <f t="shared" si="2498"/>
        <v>11.5</v>
      </c>
      <c r="P2317" s="110">
        <f t="shared" si="2499"/>
        <v>19.5</v>
      </c>
      <c r="Q2317" s="79">
        <f>VLOOKUP(VLOOKUP(DATEVALUE(TEXT(A2317,"m/d/yyyy")),FY24_Temp[],5,FALSE)&amp;TEXT(A2317,"-h"),TempDelta[],4,FALSE)</f>
        <v>1.1441428746495927</v>
      </c>
      <c r="R2317">
        <v>10</v>
      </c>
      <c r="S2317" s="112">
        <v>1500</v>
      </c>
      <c r="T2317" s="5">
        <f>VLOOKUP(TEXT(A2317,"yy-mm")&amp;"-"&amp;IF(AND(WEEKDAY(A2317)&gt;1,WEEKDAY(A2317)&lt;7),"Wkd",TEXT(A2317,"Ddd"))&amp;"-"&amp;TEXT(A2317,"hh"),LoadTable[],3,FALSE)*0.92</f>
        <v>234.80148</v>
      </c>
      <c r="U2317" s="113">
        <f t="shared" si="2500"/>
        <v>23.480148</v>
      </c>
      <c r="V2317">
        <f t="shared" ref="V2317:W2317" si="2514">V2293</f>
        <v>2.9</v>
      </c>
      <c r="W2317">
        <f t="shared" si="2514"/>
        <v>3</v>
      </c>
      <c r="X2317" s="9">
        <v>-55.977677766666197</v>
      </c>
      <c r="Y2317" s="39"/>
    </row>
    <row r="2318" spans="1:25" ht="15" thickBot="1">
      <c r="A2318" s="149">
        <f t="shared" si="2482"/>
        <v>45932.458333329698</v>
      </c>
      <c r="B2318" s="30">
        <f t="shared" si="2509"/>
        <v>8000</v>
      </c>
      <c r="C2318" s="8">
        <v>25000</v>
      </c>
      <c r="D2318" s="187">
        <v>0</v>
      </c>
      <c r="E2318" s="187">
        <v>700</v>
      </c>
      <c r="F2318" s="187">
        <v>15000</v>
      </c>
      <c r="G2318" s="151">
        <v>2470</v>
      </c>
      <c r="H2318" s="8">
        <f t="shared" si="2510"/>
        <v>25000</v>
      </c>
      <c r="I2318" s="30">
        <f t="shared" si="2511"/>
        <v>8000</v>
      </c>
      <c r="J2318" s="187">
        <v>40000</v>
      </c>
      <c r="K2318" s="30">
        <f t="shared" si="2512"/>
        <v>8000</v>
      </c>
      <c r="L2318" s="187">
        <v>40000</v>
      </c>
      <c r="M2318" s="110">
        <v>9.5</v>
      </c>
      <c r="N2318" s="9">
        <f>VLOOKUP(DATE(YEAR(A2318),MONTH(A2318),DAY(A2318)),FY24_Temp[],3,FALSE)</f>
        <v>17.399999999999999</v>
      </c>
      <c r="O2318" s="110">
        <f t="shared" si="2498"/>
        <v>11.5</v>
      </c>
      <c r="P2318" s="110">
        <f t="shared" si="2499"/>
        <v>19.5</v>
      </c>
      <c r="Q2318" s="79">
        <f>VLOOKUP(VLOOKUP(DATEVALUE(TEXT(A2318,"m/d/yyyy")),FY24_Temp[],5,FALSE)&amp;TEXT(A2318,"-h"),TempDelta[],4,FALSE)</f>
        <v>1.006714301449912</v>
      </c>
      <c r="R2318">
        <v>10</v>
      </c>
      <c r="S2318" s="112">
        <v>1500</v>
      </c>
      <c r="T2318" s="5">
        <f>VLOOKUP(TEXT(A2318,"yy-mm")&amp;"-"&amp;IF(AND(WEEKDAY(A2318)&gt;1,WEEKDAY(A2318)&lt;7),"Wkd",TEXT(A2318,"Ddd"))&amp;"-"&amp;TEXT(A2318,"hh"),LoadTable[],3,FALSE)*0.92</f>
        <v>234.80148</v>
      </c>
      <c r="U2318" s="113">
        <f t="shared" si="2500"/>
        <v>23.480148</v>
      </c>
      <c r="V2318">
        <f t="shared" ref="V2318:W2318" si="2515">V2294</f>
        <v>3.4</v>
      </c>
      <c r="W2318">
        <f t="shared" si="2515"/>
        <v>3</v>
      </c>
      <c r="X2318" s="9">
        <v>-56.055472316666197</v>
      </c>
      <c r="Y2318" s="39"/>
    </row>
    <row r="2319" spans="1:25" ht="15" thickBot="1">
      <c r="A2319" s="149">
        <f t="shared" si="2482"/>
        <v>45932.499999996362</v>
      </c>
      <c r="B2319" s="30">
        <f t="shared" si="2509"/>
        <v>8000</v>
      </c>
      <c r="C2319" s="8">
        <v>25000</v>
      </c>
      <c r="D2319" s="187">
        <v>0</v>
      </c>
      <c r="E2319" s="187">
        <v>700</v>
      </c>
      <c r="F2319" s="187">
        <v>15000</v>
      </c>
      <c r="G2319" s="151">
        <v>2470</v>
      </c>
      <c r="H2319" s="8">
        <f t="shared" si="2510"/>
        <v>25000</v>
      </c>
      <c r="I2319" s="30">
        <f t="shared" si="2511"/>
        <v>8000</v>
      </c>
      <c r="J2319" s="187">
        <v>40000</v>
      </c>
      <c r="K2319" s="30">
        <f t="shared" si="2512"/>
        <v>8000</v>
      </c>
      <c r="L2319" s="187">
        <v>40000</v>
      </c>
      <c r="M2319" s="110">
        <v>9.5</v>
      </c>
      <c r="N2319" s="9">
        <f>VLOOKUP(DATE(YEAR(A2319),MONTH(A2319),DAY(A2319)),FY24_Temp[],3,FALSE)</f>
        <v>17.399999999999999</v>
      </c>
      <c r="O2319" s="110">
        <f t="shared" si="2498"/>
        <v>11.5</v>
      </c>
      <c r="P2319" s="110">
        <f t="shared" si="2499"/>
        <v>19.5</v>
      </c>
      <c r="Q2319" s="79">
        <f>VLOOKUP(VLOOKUP(DATEVALUE(TEXT(A2319,"m/d/yyyy")),FY24_Temp[],5,FALSE)&amp;TEXT(A2319,"-h"),TempDelta[],4,FALSE)</f>
        <v>0.87971426759447369</v>
      </c>
      <c r="R2319">
        <v>10</v>
      </c>
      <c r="S2319" s="112">
        <v>1500</v>
      </c>
      <c r="T2319" s="5">
        <f>VLOOKUP(TEXT(A2319,"yy-mm")&amp;"-"&amp;IF(AND(WEEKDAY(A2319)&gt;1,WEEKDAY(A2319)&lt;7),"Wkd",TEXT(A2319,"Ddd"))&amp;"-"&amp;TEXT(A2319,"hh"),LoadTable[],3,FALSE)*0.92</f>
        <v>234.80148</v>
      </c>
      <c r="U2319" s="113">
        <f t="shared" si="2500"/>
        <v>23.480148</v>
      </c>
      <c r="V2319">
        <f t="shared" ref="V2319:W2319" si="2516">V2295</f>
        <v>3.1</v>
      </c>
      <c r="W2319">
        <f t="shared" si="2516"/>
        <v>2.9</v>
      </c>
      <c r="X2319" s="9">
        <v>-56.133266866666197</v>
      </c>
      <c r="Y2319" s="39"/>
    </row>
    <row r="2320" spans="1:25" ht="15" thickBot="1">
      <c r="A2320" s="149">
        <f t="shared" si="2482"/>
        <v>45932.541666663026</v>
      </c>
      <c r="B2320" s="30">
        <f t="shared" si="2509"/>
        <v>8000</v>
      </c>
      <c r="C2320" s="8">
        <v>25000</v>
      </c>
      <c r="D2320" s="187">
        <v>0</v>
      </c>
      <c r="E2320" s="187">
        <v>700</v>
      </c>
      <c r="F2320" s="187">
        <v>15000</v>
      </c>
      <c r="G2320" s="151">
        <v>2470</v>
      </c>
      <c r="H2320" s="8">
        <f t="shared" si="2510"/>
        <v>25000</v>
      </c>
      <c r="I2320" s="30">
        <f t="shared" si="2511"/>
        <v>8000</v>
      </c>
      <c r="J2320" s="187">
        <v>40000</v>
      </c>
      <c r="K2320" s="30">
        <f t="shared" si="2512"/>
        <v>8000</v>
      </c>
      <c r="L2320" s="187">
        <v>40000</v>
      </c>
      <c r="M2320" s="110">
        <v>9.5</v>
      </c>
      <c r="N2320" s="9">
        <f>VLOOKUP(DATE(YEAR(A2320),MONTH(A2320),DAY(A2320)),FY24_Temp[],3,FALSE)</f>
        <v>17.399999999999999</v>
      </c>
      <c r="O2320" s="110">
        <f t="shared" si="2498"/>
        <v>11.5</v>
      </c>
      <c r="P2320" s="110">
        <f t="shared" si="2499"/>
        <v>19.5</v>
      </c>
      <c r="Q2320" s="79">
        <f>VLOOKUP(VLOOKUP(DATEVALUE(TEXT(A2320,"m/d/yyyy")),FY24_Temp[],5,FALSE)&amp;TEXT(A2320,"-h"),TempDelta[],4,FALSE)</f>
        <v>0.77128570420401432</v>
      </c>
      <c r="R2320">
        <v>10</v>
      </c>
      <c r="S2320" s="112">
        <v>1500</v>
      </c>
      <c r="T2320" s="5">
        <f>VLOOKUP(TEXT(A2320,"yy-mm")&amp;"-"&amp;IF(AND(WEEKDAY(A2320)&gt;1,WEEKDAY(A2320)&lt;7),"Wkd",TEXT(A2320,"Ddd"))&amp;"-"&amp;TEXT(A2320,"hh"),LoadTable[],3,FALSE)*0.92</f>
        <v>234.80148</v>
      </c>
      <c r="U2320" s="113">
        <f t="shared" si="2500"/>
        <v>23.480148</v>
      </c>
      <c r="V2320">
        <f t="shared" ref="V2320:W2320" si="2517">V2296</f>
        <v>3.2</v>
      </c>
      <c r="W2320">
        <f t="shared" si="2517"/>
        <v>2.9</v>
      </c>
      <c r="X2320" s="9">
        <v>-56.211061416666197</v>
      </c>
      <c r="Y2320" s="39"/>
    </row>
    <row r="2321" spans="1:25" ht="15" thickBot="1">
      <c r="A2321" s="149">
        <f t="shared" si="2482"/>
        <v>45932.583333329691</v>
      </c>
      <c r="B2321" s="30">
        <f t="shared" si="2509"/>
        <v>8000</v>
      </c>
      <c r="C2321" s="8">
        <v>25000</v>
      </c>
      <c r="D2321" s="187">
        <v>0</v>
      </c>
      <c r="E2321" s="187">
        <v>700</v>
      </c>
      <c r="F2321" s="187">
        <v>15000</v>
      </c>
      <c r="G2321" s="151">
        <v>2470</v>
      </c>
      <c r="H2321" s="8">
        <f t="shared" si="2510"/>
        <v>25000</v>
      </c>
      <c r="I2321" s="30">
        <f t="shared" si="2511"/>
        <v>8000</v>
      </c>
      <c r="J2321" s="187">
        <v>40000</v>
      </c>
      <c r="K2321" s="30">
        <f t="shared" si="2512"/>
        <v>8000</v>
      </c>
      <c r="L2321" s="187">
        <v>40000</v>
      </c>
      <c r="M2321" s="110">
        <v>9.5</v>
      </c>
      <c r="N2321" s="9">
        <f>VLOOKUP(DATE(YEAR(A2321),MONTH(A2321),DAY(A2321)),FY24_Temp[],3,FALSE)</f>
        <v>17.399999999999999</v>
      </c>
      <c r="O2321" s="110">
        <f t="shared" si="2498"/>
        <v>11.5</v>
      </c>
      <c r="P2321" s="110">
        <f t="shared" si="2499"/>
        <v>19.5</v>
      </c>
      <c r="Q2321" s="79">
        <f>VLOOKUP(VLOOKUP(DATEVALUE(TEXT(A2321,"m/d/yyyy")),FY24_Temp[],5,FALSE)&amp;TEXT(A2321,"-h"),TempDelta[],4,FALSE)</f>
        <v>0.72371428353445866</v>
      </c>
      <c r="R2321">
        <v>10</v>
      </c>
      <c r="S2321" s="112">
        <v>1500</v>
      </c>
      <c r="T2321" s="5">
        <f>VLOOKUP(TEXT(A2321,"yy-mm")&amp;"-"&amp;IF(AND(WEEKDAY(A2321)&gt;1,WEEKDAY(A2321)&lt;7),"Wkd",TEXT(A2321,"Ddd"))&amp;"-"&amp;TEXT(A2321,"hh"),LoadTable[],3,FALSE)*0.92</f>
        <v>234.80148</v>
      </c>
      <c r="U2321" s="113">
        <f t="shared" si="2500"/>
        <v>23.480148</v>
      </c>
      <c r="V2321">
        <f t="shared" ref="V2321:W2321" si="2518">V2297</f>
        <v>3.5</v>
      </c>
      <c r="W2321">
        <f t="shared" si="2518"/>
        <v>2.9</v>
      </c>
      <c r="X2321" s="9">
        <v>-56.288855966666198</v>
      </c>
      <c r="Y2321" s="39"/>
    </row>
    <row r="2322" spans="1:25" ht="15" thickBot="1">
      <c r="A2322" s="149">
        <f t="shared" si="2482"/>
        <v>45932.624999996355</v>
      </c>
      <c r="B2322" s="30">
        <f t="shared" si="2509"/>
        <v>8000</v>
      </c>
      <c r="C2322" s="8">
        <v>25000</v>
      </c>
      <c r="D2322" s="187">
        <v>0</v>
      </c>
      <c r="E2322" s="187">
        <v>700</v>
      </c>
      <c r="F2322" s="187">
        <v>15000</v>
      </c>
      <c r="G2322" s="151">
        <v>2470</v>
      </c>
      <c r="H2322" s="8">
        <f t="shared" si="2510"/>
        <v>25000</v>
      </c>
      <c r="I2322" s="30">
        <f t="shared" si="2511"/>
        <v>8000</v>
      </c>
      <c r="J2322" s="187">
        <v>40000</v>
      </c>
      <c r="K2322" s="30">
        <f t="shared" si="2512"/>
        <v>8000</v>
      </c>
      <c r="L2322" s="187">
        <v>40000</v>
      </c>
      <c r="M2322" s="110">
        <v>9.5</v>
      </c>
      <c r="N2322" s="9">
        <f>VLOOKUP(DATE(YEAR(A2322),MONTH(A2322),DAY(A2322)),FY24_Temp[],3,FALSE)</f>
        <v>17.399999999999999</v>
      </c>
      <c r="O2322" s="110">
        <f t="shared" si="2498"/>
        <v>11.5</v>
      </c>
      <c r="P2322" s="110">
        <f t="shared" si="2499"/>
        <v>19.5</v>
      </c>
      <c r="Q2322" s="79">
        <f>VLOOKUP(VLOOKUP(DATEVALUE(TEXT(A2322,"m/d/yyyy")),FY24_Temp[],5,FALSE)&amp;TEXT(A2322,"-h"),TempDelta[],4,FALSE)</f>
        <v>0.35007142781146933</v>
      </c>
      <c r="R2322">
        <v>10</v>
      </c>
      <c r="S2322" s="112">
        <v>1500</v>
      </c>
      <c r="T2322" s="5">
        <f>VLOOKUP(TEXT(A2322,"yy-mm")&amp;"-"&amp;IF(AND(WEEKDAY(A2322)&gt;1,WEEKDAY(A2322)&lt;7),"Wkd",TEXT(A2322,"Ddd"))&amp;"-"&amp;TEXT(A2322,"hh"),LoadTable[],3,FALSE)*0.92</f>
        <v>234.80148</v>
      </c>
      <c r="U2322" s="113">
        <f t="shared" si="2500"/>
        <v>23.480148</v>
      </c>
      <c r="V2322">
        <f t="shared" ref="V2322:W2322" si="2519">V2298</f>
        <v>3.2</v>
      </c>
      <c r="W2322">
        <f t="shared" si="2519"/>
        <v>2.9</v>
      </c>
      <c r="X2322" s="9">
        <v>-56.366650516666198</v>
      </c>
      <c r="Y2322" s="39"/>
    </row>
    <row r="2323" spans="1:25" ht="15" thickBot="1">
      <c r="A2323" s="149">
        <f t="shared" si="2482"/>
        <v>45932.666666663019</v>
      </c>
      <c r="B2323" s="30">
        <f t="shared" si="2509"/>
        <v>8000</v>
      </c>
      <c r="C2323" s="8">
        <v>25000</v>
      </c>
      <c r="D2323" s="187">
        <v>0</v>
      </c>
      <c r="E2323" s="187">
        <v>700</v>
      </c>
      <c r="F2323" s="187">
        <v>15000</v>
      </c>
      <c r="G2323" s="151">
        <v>2470</v>
      </c>
      <c r="H2323" s="8">
        <f t="shared" si="2510"/>
        <v>25000</v>
      </c>
      <c r="I2323" s="30">
        <f t="shared" si="2511"/>
        <v>8000</v>
      </c>
      <c r="J2323" s="187">
        <v>40000</v>
      </c>
      <c r="K2323" s="30">
        <f t="shared" si="2512"/>
        <v>8000</v>
      </c>
      <c r="L2323" s="187">
        <v>40000</v>
      </c>
      <c r="M2323" s="110">
        <v>9.5</v>
      </c>
      <c r="N2323" s="9">
        <f>VLOOKUP(DATE(YEAR(A2323),MONTH(A2323),DAY(A2323)),FY24_Temp[],3,FALSE)</f>
        <v>17.399999999999999</v>
      </c>
      <c r="O2323" s="110">
        <f t="shared" si="2498"/>
        <v>11.5</v>
      </c>
      <c r="P2323" s="110">
        <f t="shared" si="2499"/>
        <v>19.5</v>
      </c>
      <c r="Q2323" s="79">
        <f>VLOOKUP(VLOOKUP(DATEVALUE(TEXT(A2323,"m/d/yyyy")),FY24_Temp[],5,FALSE)&amp;TEXT(A2323,"-h"),TempDelta[],4,FALSE)</f>
        <v>0.48392857345087187</v>
      </c>
      <c r="R2323">
        <v>10</v>
      </c>
      <c r="S2323" s="112">
        <v>1500</v>
      </c>
      <c r="T2323" s="5">
        <f>VLOOKUP(TEXT(A2323,"yy-mm")&amp;"-"&amp;IF(AND(WEEKDAY(A2323)&gt;1,WEEKDAY(A2323)&lt;7),"Wkd",TEXT(A2323,"Ddd"))&amp;"-"&amp;TEXT(A2323,"hh"),LoadTable[],3,FALSE)*0.92</f>
        <v>234.80148</v>
      </c>
      <c r="U2323" s="113">
        <f t="shared" si="2500"/>
        <v>23.480148</v>
      </c>
      <c r="V2323">
        <f t="shared" ref="V2323:W2323" si="2520">V2299</f>
        <v>3.5</v>
      </c>
      <c r="W2323">
        <f t="shared" si="2520"/>
        <v>3</v>
      </c>
      <c r="X2323" s="9">
        <v>-56.444445066666198</v>
      </c>
      <c r="Y2323" s="39"/>
    </row>
    <row r="2324" spans="1:25" ht="15" thickBot="1">
      <c r="A2324" s="149">
        <f t="shared" si="2482"/>
        <v>45932.708333329683</v>
      </c>
      <c r="B2324" s="30">
        <f t="shared" si="2509"/>
        <v>8000</v>
      </c>
      <c r="C2324" s="8">
        <v>25000</v>
      </c>
      <c r="D2324" s="187">
        <v>0</v>
      </c>
      <c r="E2324" s="187">
        <v>700</v>
      </c>
      <c r="F2324" s="187">
        <v>15000</v>
      </c>
      <c r="G2324" s="151">
        <v>2470</v>
      </c>
      <c r="H2324" s="8">
        <f t="shared" si="2510"/>
        <v>25000</v>
      </c>
      <c r="I2324" s="30">
        <f t="shared" si="2511"/>
        <v>8000</v>
      </c>
      <c r="J2324" s="187">
        <v>40000</v>
      </c>
      <c r="K2324" s="30">
        <f t="shared" si="2512"/>
        <v>8000</v>
      </c>
      <c r="L2324" s="187">
        <v>40000</v>
      </c>
      <c r="M2324" s="110">
        <v>9.5</v>
      </c>
      <c r="N2324" s="9">
        <f>VLOOKUP(DATE(YEAR(A2324),MONTH(A2324),DAY(A2324)),FY24_Temp[],3,FALSE)</f>
        <v>17.399999999999999</v>
      </c>
      <c r="O2324" s="110">
        <f t="shared" si="2498"/>
        <v>11.5</v>
      </c>
      <c r="P2324" s="110">
        <f t="shared" si="2499"/>
        <v>19.5</v>
      </c>
      <c r="Q2324" s="79">
        <f>VLOOKUP(VLOOKUP(DATEVALUE(TEXT(A2324,"m/d/yyyy")),FY24_Temp[],5,FALSE)&amp;TEXT(A2324,"-h"),TempDelta[],4,FALSE)</f>
        <v>0.71807142613189556</v>
      </c>
      <c r="R2324">
        <v>10</v>
      </c>
      <c r="S2324" s="112">
        <v>1500</v>
      </c>
      <c r="T2324" s="5">
        <f>VLOOKUP(TEXT(A2324,"yy-mm")&amp;"-"&amp;IF(AND(WEEKDAY(A2324)&gt;1,WEEKDAY(A2324)&lt;7),"Wkd",TEXT(A2324,"Ddd"))&amp;"-"&amp;TEXT(A2324,"hh"),LoadTable[],3,FALSE)*0.92</f>
        <v>234.80148</v>
      </c>
      <c r="U2324" s="113">
        <f t="shared" si="2500"/>
        <v>23.480148</v>
      </c>
      <c r="V2324">
        <f t="shared" ref="V2324:W2324" si="2521">V2300</f>
        <v>3.6</v>
      </c>
      <c r="W2324">
        <f t="shared" si="2521"/>
        <v>3</v>
      </c>
      <c r="X2324" s="9">
        <v>-56.522239616666198</v>
      </c>
      <c r="Y2324" s="39"/>
    </row>
    <row r="2325" spans="1:25" ht="15" thickBot="1">
      <c r="A2325" s="149">
        <f t="shared" si="2482"/>
        <v>45932.749999996347</v>
      </c>
      <c r="B2325" s="30">
        <f t="shared" si="2509"/>
        <v>5000</v>
      </c>
      <c r="C2325" s="8">
        <v>25000</v>
      </c>
      <c r="D2325" s="187">
        <v>0</v>
      </c>
      <c r="E2325" s="187">
        <v>700</v>
      </c>
      <c r="F2325" s="187">
        <v>15000</v>
      </c>
      <c r="G2325" s="151">
        <v>2470</v>
      </c>
      <c r="H2325" s="8">
        <f t="shared" si="2510"/>
        <v>25000</v>
      </c>
      <c r="I2325" s="30">
        <f t="shared" si="2511"/>
        <v>5000</v>
      </c>
      <c r="J2325" s="187">
        <v>40000</v>
      </c>
      <c r="K2325" s="30">
        <f t="shared" si="2512"/>
        <v>5000</v>
      </c>
      <c r="L2325" s="187">
        <v>40000</v>
      </c>
      <c r="M2325" s="110">
        <v>9.5</v>
      </c>
      <c r="N2325" s="9">
        <f>VLOOKUP(DATE(YEAR(A2325),MONTH(A2325),DAY(A2325)),FY24_Temp[],3,FALSE)</f>
        <v>17.399999999999999</v>
      </c>
      <c r="O2325" s="110">
        <f t="shared" si="2498"/>
        <v>11.5</v>
      </c>
      <c r="P2325" s="110">
        <f t="shared" si="2499"/>
        <v>19.5</v>
      </c>
      <c r="Q2325" s="79">
        <f>VLOOKUP(VLOOKUP(DATEVALUE(TEXT(A2325,"m/d/yyyy")),FY24_Temp[],5,FALSE)&amp;TEXT(A2325,"-h"),TempDelta[],4,FALSE)</f>
        <v>0.97985714673995972</v>
      </c>
      <c r="R2325">
        <v>10</v>
      </c>
      <c r="S2325" s="112">
        <v>1500</v>
      </c>
      <c r="T2325" s="5">
        <f>VLOOKUP(TEXT(A2325,"yy-mm")&amp;"-"&amp;IF(AND(WEEKDAY(A2325)&gt;1,WEEKDAY(A2325)&lt;7),"Wkd",TEXT(A2325,"Ddd"))&amp;"-"&amp;TEXT(A2325,"hh"),LoadTable[],3,FALSE)*0.92</f>
        <v>303.31295999999998</v>
      </c>
      <c r="U2325" s="113">
        <f t="shared" si="2500"/>
        <v>30.331295999999998</v>
      </c>
      <c r="V2325">
        <f t="shared" ref="V2325:W2325" si="2522">V2301</f>
        <v>2.9</v>
      </c>
      <c r="W2325">
        <f t="shared" si="2522"/>
        <v>3</v>
      </c>
      <c r="X2325" s="9">
        <v>-56.600034166666198</v>
      </c>
      <c r="Y2325" s="39"/>
    </row>
    <row r="2326" spans="1:25" ht="15" thickBot="1">
      <c r="A2326" s="149">
        <f t="shared" si="2482"/>
        <v>45932.791666663012</v>
      </c>
      <c r="B2326" s="30">
        <f t="shared" si="2509"/>
        <v>5000</v>
      </c>
      <c r="C2326" s="8">
        <v>25000</v>
      </c>
      <c r="D2326" s="187">
        <v>0</v>
      </c>
      <c r="E2326" s="187">
        <v>700</v>
      </c>
      <c r="F2326" s="187">
        <v>15000</v>
      </c>
      <c r="G2326" s="151">
        <v>2470</v>
      </c>
      <c r="H2326" s="8">
        <f t="shared" si="2510"/>
        <v>25000</v>
      </c>
      <c r="I2326" s="30">
        <f t="shared" si="2511"/>
        <v>5000</v>
      </c>
      <c r="J2326" s="187">
        <v>40000</v>
      </c>
      <c r="K2326" s="30">
        <f t="shared" si="2512"/>
        <v>5000</v>
      </c>
      <c r="L2326" s="187">
        <v>40000</v>
      </c>
      <c r="M2326" s="110">
        <v>9.5</v>
      </c>
      <c r="N2326" s="9">
        <f>VLOOKUP(DATE(YEAR(A2326),MONTH(A2326),DAY(A2326)),FY24_Temp[],3,FALSE)</f>
        <v>17.399999999999999</v>
      </c>
      <c r="O2326" s="110">
        <f t="shared" si="2498"/>
        <v>11.5</v>
      </c>
      <c r="P2326" s="110">
        <f t="shared" si="2499"/>
        <v>19.5</v>
      </c>
      <c r="Q2326" s="79">
        <f>VLOOKUP(VLOOKUP(DATEVALUE(TEXT(A2326,"m/d/yyyy")),FY24_Temp[],5,FALSE)&amp;TEXT(A2326,"-h"),TempDelta[],4,FALSE)</f>
        <v>1.0494285609040941</v>
      </c>
      <c r="R2326">
        <v>10</v>
      </c>
      <c r="S2326" s="112">
        <v>1500</v>
      </c>
      <c r="T2326" s="5">
        <f>VLOOKUP(TEXT(A2326,"yy-mm")&amp;"-"&amp;IF(AND(WEEKDAY(A2326)&gt;1,WEEKDAY(A2326)&lt;7),"Wkd",TEXT(A2326,"Ddd"))&amp;"-"&amp;TEXT(A2326,"hh"),LoadTable[],3,FALSE)*0.92</f>
        <v>303.31295999999998</v>
      </c>
      <c r="U2326" s="113">
        <f t="shared" si="2500"/>
        <v>30.331295999999998</v>
      </c>
      <c r="V2326">
        <f t="shared" ref="V2326:W2326" si="2523">V2302</f>
        <v>3</v>
      </c>
      <c r="W2326">
        <f t="shared" si="2523"/>
        <v>3</v>
      </c>
      <c r="X2326" s="9">
        <v>-56.677828716666198</v>
      </c>
      <c r="Y2326" s="39"/>
    </row>
    <row r="2327" spans="1:25" ht="15" thickBot="1">
      <c r="A2327" s="149">
        <f t="shared" si="2482"/>
        <v>45932.833333329676</v>
      </c>
      <c r="B2327" s="30">
        <f t="shared" si="2509"/>
        <v>5000</v>
      </c>
      <c r="C2327" s="8">
        <v>25000</v>
      </c>
      <c r="D2327" s="187">
        <v>0</v>
      </c>
      <c r="E2327" s="187">
        <v>700</v>
      </c>
      <c r="F2327" s="187">
        <v>15000</v>
      </c>
      <c r="G2327" s="151">
        <v>2470</v>
      </c>
      <c r="H2327" s="8">
        <f t="shared" si="2510"/>
        <v>25000</v>
      </c>
      <c r="I2327" s="30">
        <f t="shared" si="2511"/>
        <v>5000</v>
      </c>
      <c r="J2327" s="187">
        <v>40000</v>
      </c>
      <c r="K2327" s="30">
        <f t="shared" si="2512"/>
        <v>5000</v>
      </c>
      <c r="L2327" s="187">
        <v>40000</v>
      </c>
      <c r="M2327" s="110">
        <v>9.5</v>
      </c>
      <c r="N2327" s="9">
        <f>VLOOKUP(DATE(YEAR(A2327),MONTH(A2327),DAY(A2327)),FY24_Temp[],3,FALSE)</f>
        <v>17.399999999999999</v>
      </c>
      <c r="O2327" s="110">
        <f t="shared" si="2498"/>
        <v>11.5</v>
      </c>
      <c r="P2327" s="110">
        <f t="shared" si="2499"/>
        <v>19.5</v>
      </c>
      <c r="Q2327" s="79">
        <f>VLOOKUP(VLOOKUP(DATEVALUE(TEXT(A2327,"m/d/yyyy")),FY24_Temp[],5,FALSE)&amp;TEXT(A2327,"-h"),TempDelta[],4,FALSE)</f>
        <v>1.1053571232727595</v>
      </c>
      <c r="R2327">
        <v>10</v>
      </c>
      <c r="S2327" s="112">
        <v>1500</v>
      </c>
      <c r="T2327" s="5">
        <f>VLOOKUP(TEXT(A2327,"yy-mm")&amp;"-"&amp;IF(AND(WEEKDAY(A2327)&gt;1,WEEKDAY(A2327)&lt;7),"Wkd",TEXT(A2327,"Ddd"))&amp;"-"&amp;TEXT(A2327,"hh"),LoadTable[],3,FALSE)*0.92</f>
        <v>303.31295999999998</v>
      </c>
      <c r="U2327" s="113">
        <f t="shared" si="2500"/>
        <v>30.331295999999998</v>
      </c>
      <c r="V2327">
        <f t="shared" ref="V2327:W2327" si="2524">V2303</f>
        <v>2.8</v>
      </c>
      <c r="W2327">
        <f t="shared" si="2524"/>
        <v>3.1</v>
      </c>
      <c r="X2327" s="9">
        <v>-56.755623266666198</v>
      </c>
      <c r="Y2327" s="39"/>
    </row>
    <row r="2328" spans="1:25" ht="15" thickBot="1">
      <c r="A2328" s="149">
        <f t="shared" si="2482"/>
        <v>45932.87499999634</v>
      </c>
      <c r="B2328" s="30">
        <f t="shared" si="2509"/>
        <v>5000</v>
      </c>
      <c r="C2328" s="8">
        <v>25000</v>
      </c>
      <c r="D2328" s="187">
        <v>0</v>
      </c>
      <c r="E2328" s="187">
        <v>700</v>
      </c>
      <c r="F2328" s="187">
        <v>15000</v>
      </c>
      <c r="G2328" s="151">
        <v>2470</v>
      </c>
      <c r="H2328" s="8">
        <f t="shared" si="2510"/>
        <v>25000</v>
      </c>
      <c r="I2328" s="30">
        <f t="shared" si="2511"/>
        <v>5000</v>
      </c>
      <c r="J2328" s="187">
        <v>40000</v>
      </c>
      <c r="K2328" s="30">
        <f t="shared" si="2512"/>
        <v>5000</v>
      </c>
      <c r="L2328" s="187">
        <v>40000</v>
      </c>
      <c r="M2328" s="110">
        <v>9.5</v>
      </c>
      <c r="N2328" s="9">
        <f>VLOOKUP(DATE(YEAR(A2328),MONTH(A2328),DAY(A2328)),FY24_Temp[],3,FALSE)</f>
        <v>17.399999999999999</v>
      </c>
      <c r="O2328" s="110">
        <f t="shared" si="2498"/>
        <v>11.5</v>
      </c>
      <c r="P2328" s="110">
        <f t="shared" si="2499"/>
        <v>19.5</v>
      </c>
      <c r="Q2328" s="79">
        <f>VLOOKUP(VLOOKUP(DATEVALUE(TEXT(A2328,"m/d/yyyy")),FY24_Temp[],5,FALSE)&amp;TEXT(A2328,"-h"),TempDelta[],4,FALSE)</f>
        <v>1.1162857200418199</v>
      </c>
      <c r="R2328">
        <v>10</v>
      </c>
      <c r="S2328" s="112">
        <v>1500</v>
      </c>
      <c r="T2328" s="5">
        <f>VLOOKUP(TEXT(A2328,"yy-mm")&amp;"-"&amp;IF(AND(WEEKDAY(A2328)&gt;1,WEEKDAY(A2328)&lt;7),"Wkd",TEXT(A2328,"Ddd"))&amp;"-"&amp;TEXT(A2328,"hh"),LoadTable[],3,FALSE)*0.92</f>
        <v>229.93744000000001</v>
      </c>
      <c r="U2328" s="113">
        <f t="shared" si="2500"/>
        <v>22.993744</v>
      </c>
      <c r="V2328">
        <f t="shared" ref="V2328:W2328" si="2525">V2304</f>
        <v>3.5</v>
      </c>
      <c r="W2328">
        <f t="shared" si="2525"/>
        <v>3.1</v>
      </c>
      <c r="X2328" s="9">
        <v>-56.833417816666199</v>
      </c>
      <c r="Y2328" s="39"/>
    </row>
    <row r="2329" spans="1:25" ht="15" thickBot="1">
      <c r="A2329" s="149">
        <f t="shared" si="2482"/>
        <v>45932.916666663004</v>
      </c>
      <c r="B2329" s="30">
        <f t="shared" si="2509"/>
        <v>5000</v>
      </c>
      <c r="C2329" s="8">
        <v>25000</v>
      </c>
      <c r="D2329" s="187">
        <v>0</v>
      </c>
      <c r="E2329" s="187">
        <v>700</v>
      </c>
      <c r="F2329" s="187">
        <v>15000</v>
      </c>
      <c r="G2329" s="151">
        <v>2470</v>
      </c>
      <c r="H2329" s="8">
        <f t="shared" si="2510"/>
        <v>25000</v>
      </c>
      <c r="I2329" s="30">
        <f t="shared" si="2511"/>
        <v>5000</v>
      </c>
      <c r="J2329" s="187">
        <v>40000</v>
      </c>
      <c r="K2329" s="30">
        <f t="shared" si="2512"/>
        <v>5000</v>
      </c>
      <c r="L2329" s="187">
        <v>40000</v>
      </c>
      <c r="M2329" s="110">
        <v>9.5</v>
      </c>
      <c r="N2329" s="9">
        <f>VLOOKUP(DATE(YEAR(A2329),MONTH(A2329),DAY(A2329)),FY24_Temp[],3,FALSE)</f>
        <v>17.399999999999999</v>
      </c>
      <c r="O2329" s="110">
        <f t="shared" si="2498"/>
        <v>11.5</v>
      </c>
      <c r="P2329" s="110">
        <f t="shared" si="2499"/>
        <v>19.5</v>
      </c>
      <c r="Q2329" s="79">
        <f>VLOOKUP(VLOOKUP(DATEVALUE(TEXT(A2329,"m/d/yyyy")),FY24_Temp[],5,FALSE)&amp;TEXT(A2329,"-h"),TempDelta[],4,FALSE)</f>
        <v>1.639714275087629</v>
      </c>
      <c r="R2329">
        <v>10</v>
      </c>
      <c r="S2329" s="112">
        <v>1500</v>
      </c>
      <c r="T2329" s="5">
        <f>VLOOKUP(TEXT(A2329,"yy-mm")&amp;"-"&amp;IF(AND(WEEKDAY(A2329)&gt;1,WEEKDAY(A2329)&lt;7),"Wkd",TEXT(A2329,"Ddd"))&amp;"-"&amp;TEXT(A2329,"hh"),LoadTable[],3,FALSE)*0.92</f>
        <v>176.52040000000002</v>
      </c>
      <c r="U2329" s="113">
        <f t="shared" si="2500"/>
        <v>17.652040000000003</v>
      </c>
      <c r="V2329">
        <f t="shared" ref="V2329:W2329" si="2526">V2305</f>
        <v>2.9</v>
      </c>
      <c r="W2329">
        <f t="shared" si="2526"/>
        <v>3.1</v>
      </c>
      <c r="X2329" s="9">
        <v>-56.911212366666199</v>
      </c>
      <c r="Y2329" s="39"/>
    </row>
    <row r="2330" spans="1:25" ht="15" thickBot="1">
      <c r="A2330" s="149">
        <f t="shared" si="2482"/>
        <v>45932.958333329669</v>
      </c>
      <c r="B2330" s="30">
        <f t="shared" si="2509"/>
        <v>5000</v>
      </c>
      <c r="C2330" s="41">
        <v>25000</v>
      </c>
      <c r="D2330" s="187">
        <v>0</v>
      </c>
      <c r="E2330" s="187">
        <v>700</v>
      </c>
      <c r="F2330" s="187">
        <v>15000</v>
      </c>
      <c r="G2330" s="151">
        <v>2470</v>
      </c>
      <c r="H2330" s="8">
        <f t="shared" si="2510"/>
        <v>25000</v>
      </c>
      <c r="I2330" s="30">
        <f t="shared" si="2511"/>
        <v>5000</v>
      </c>
      <c r="J2330" s="187">
        <v>40000</v>
      </c>
      <c r="K2330" s="30">
        <f t="shared" si="2512"/>
        <v>5000</v>
      </c>
      <c r="L2330" s="187">
        <v>40000</v>
      </c>
      <c r="M2330" s="110">
        <v>9.5</v>
      </c>
      <c r="N2330" s="9">
        <f>VLOOKUP(DATE(YEAR(A2330),MONTH(A2330),DAY(A2330)),FY24_Temp[],3,FALSE)</f>
        <v>17.399999999999999</v>
      </c>
      <c r="O2330" s="110">
        <f t="shared" si="2498"/>
        <v>11.5</v>
      </c>
      <c r="P2330" s="110">
        <f t="shared" si="2499"/>
        <v>19.5</v>
      </c>
      <c r="Q2330" s="79">
        <f>VLOOKUP(VLOOKUP(DATEVALUE(TEXT(A2330,"m/d/yyyy")),FY24_Temp[],5,FALSE)&amp;TEXT(A2330,"-h"),TempDelta[],4,FALSE)</f>
        <v>1.7538571187428065</v>
      </c>
      <c r="R2330">
        <v>10</v>
      </c>
      <c r="S2330" s="112">
        <v>1500</v>
      </c>
      <c r="T2330" s="5">
        <f>VLOOKUP(TEXT(A2330,"yy-mm")&amp;"-"&amp;IF(AND(WEEKDAY(A2330)&gt;1,WEEKDAY(A2330)&lt;7),"Wkd",TEXT(A2330,"Ddd"))&amp;"-"&amp;TEXT(A2330,"hh"),LoadTable[],3,FALSE)*0.92</f>
        <v>176.52040000000002</v>
      </c>
      <c r="U2330" s="113">
        <f t="shared" si="2500"/>
        <v>17.652040000000003</v>
      </c>
      <c r="V2330">
        <f t="shared" ref="V2330:W2330" si="2527">V2306</f>
        <v>3.6</v>
      </c>
      <c r="W2330">
        <f t="shared" si="2527"/>
        <v>3.1</v>
      </c>
      <c r="X2330" s="9">
        <v>-56.989006916666199</v>
      </c>
      <c r="Y2330" s="39"/>
    </row>
    <row r="2331" spans="1:25" ht="15" thickBot="1">
      <c r="A2331" s="148">
        <f t="shared" si="2482"/>
        <v>45932.999999996333</v>
      </c>
      <c r="B2331" s="116">
        <f t="shared" si="2509"/>
        <v>5000</v>
      </c>
      <c r="C2331" s="8">
        <v>25000</v>
      </c>
      <c r="D2331" s="187">
        <v>0</v>
      </c>
      <c r="E2331" s="187">
        <v>700</v>
      </c>
      <c r="F2331" s="187">
        <v>15000</v>
      </c>
      <c r="G2331" s="151">
        <v>2470</v>
      </c>
      <c r="H2331" s="8">
        <f t="shared" si="2510"/>
        <v>25000</v>
      </c>
      <c r="I2331" s="30">
        <f t="shared" si="2511"/>
        <v>5000</v>
      </c>
      <c r="J2331" s="187">
        <v>40000</v>
      </c>
      <c r="K2331" s="109">
        <f t="shared" si="2512"/>
        <v>5000</v>
      </c>
      <c r="L2331" s="187">
        <v>40000</v>
      </c>
      <c r="M2331" s="110">
        <v>9.5</v>
      </c>
      <c r="N2331" s="110">
        <f>VLOOKUP(DATE(YEAR(A2331),MONTH(A2331),DAY(A2331)),FY24_Temp[],3,FALSE)</f>
        <v>17.399999999999999</v>
      </c>
      <c r="O2331" s="110">
        <f t="shared" si="2498"/>
        <v>11.5</v>
      </c>
      <c r="P2331" s="110">
        <f t="shared" si="2499"/>
        <v>19.5</v>
      </c>
      <c r="Q2331" s="111">
        <f>VLOOKUP(VLOOKUP(DATEVALUE(TEXT(A2331,"m/d/yyyy")),FY24_Temp[],5,FALSE)&amp;TEXT(A2331,"-h"),TempDelta[],4,FALSE)</f>
        <v>1.804142855</v>
      </c>
      <c r="R2331" s="112">
        <v>10</v>
      </c>
      <c r="S2331" s="112">
        <v>1500</v>
      </c>
      <c r="T2331" s="99">
        <f>VLOOKUP(TEXT(A2331,"yy-mm")&amp;"-"&amp;IF(AND(WEEKDAY(A2331)&gt;1,WEEKDAY(A2331)&lt;7),"Wkd",TEXT(A2331,"Ddd"))&amp;"-"&amp;TEXT(A2331,"hh"),LoadTable[],3,FALSE)*0.92</f>
        <v>209.6772</v>
      </c>
      <c r="U2331" s="113">
        <f t="shared" si="2500"/>
        <v>20.96772</v>
      </c>
      <c r="V2331" s="112">
        <f t="shared" ref="V2331:W2331" si="2528">V2307</f>
        <v>3</v>
      </c>
      <c r="W2331" s="112">
        <f t="shared" si="2528"/>
        <v>3.2</v>
      </c>
      <c r="X2331" s="114">
        <v>-57.066801466666199</v>
      </c>
      <c r="Y2331" s="39"/>
    </row>
    <row r="2332" spans="1:25" ht="15" thickBot="1">
      <c r="A2332" s="149">
        <f t="shared" si="2482"/>
        <v>45933.041666662997</v>
      </c>
      <c r="B2332" s="30">
        <f t="shared" si="2509"/>
        <v>5000</v>
      </c>
      <c r="C2332" s="42">
        <v>25000</v>
      </c>
      <c r="D2332" s="187">
        <v>0</v>
      </c>
      <c r="E2332" s="187">
        <v>700</v>
      </c>
      <c r="F2332" s="187">
        <v>15000</v>
      </c>
      <c r="G2332" s="151">
        <v>2470</v>
      </c>
      <c r="H2332" s="8">
        <f t="shared" si="2510"/>
        <v>25000</v>
      </c>
      <c r="I2332" s="30">
        <f t="shared" si="2511"/>
        <v>5000</v>
      </c>
      <c r="J2332" s="187">
        <v>40000</v>
      </c>
      <c r="K2332" s="30">
        <f t="shared" si="2512"/>
        <v>5000</v>
      </c>
      <c r="L2332" s="187">
        <v>40000</v>
      </c>
      <c r="M2332" s="110">
        <v>9.5</v>
      </c>
      <c r="N2332" s="9">
        <f>VLOOKUP(DATE(YEAR(A2332),MONTH(A2332),DAY(A2332)),FY24_Temp[],3,FALSE)</f>
        <v>17.399999999999999</v>
      </c>
      <c r="O2332" s="110">
        <f t="shared" si="2498"/>
        <v>11.5</v>
      </c>
      <c r="P2332" s="110">
        <f t="shared" si="2499"/>
        <v>19.5</v>
      </c>
      <c r="Q2332" s="79">
        <f>VLOOKUP(VLOOKUP(DATEVALUE(TEXT(A2332,"m/d/yyyy")),FY24_Temp[],5,FALSE)&amp;TEXT(A2332,"-h"),TempDelta[],4,FALSE)</f>
        <v>1.804142855</v>
      </c>
      <c r="R2332">
        <v>10</v>
      </c>
      <c r="S2332" s="112">
        <v>1500</v>
      </c>
      <c r="T2332" s="5">
        <f>VLOOKUP(TEXT(A2332,"yy-mm")&amp;"-"&amp;IF(AND(WEEKDAY(A2332)&gt;1,WEEKDAY(A2332)&lt;7),"Wkd",TEXT(A2332,"Ddd"))&amp;"-"&amp;TEXT(A2332,"hh"),LoadTable[],3,FALSE)*0.92</f>
        <v>209.6772</v>
      </c>
      <c r="U2332" s="113">
        <f t="shared" si="2500"/>
        <v>20.96772</v>
      </c>
      <c r="V2332">
        <f t="shared" ref="V2332:W2332" si="2529">V2308</f>
        <v>2.6</v>
      </c>
      <c r="W2332">
        <f t="shared" si="2529"/>
        <v>3.2</v>
      </c>
      <c r="X2332" s="9">
        <v>-57.144596016666199</v>
      </c>
      <c r="Y2332" s="39"/>
    </row>
    <row r="2333" spans="1:25" ht="15" thickBot="1">
      <c r="A2333" s="149">
        <f t="shared" si="2482"/>
        <v>45933.083333329661</v>
      </c>
      <c r="B2333" s="30">
        <f t="shared" si="2509"/>
        <v>5000</v>
      </c>
      <c r="C2333" s="8">
        <v>25000</v>
      </c>
      <c r="D2333" s="187">
        <v>0</v>
      </c>
      <c r="E2333" s="187">
        <v>700</v>
      </c>
      <c r="F2333" s="187">
        <v>15000</v>
      </c>
      <c r="G2333" s="151">
        <v>2470</v>
      </c>
      <c r="H2333" s="8">
        <f t="shared" si="2510"/>
        <v>25000</v>
      </c>
      <c r="I2333" s="30">
        <f t="shared" si="2511"/>
        <v>5000</v>
      </c>
      <c r="J2333" s="187">
        <v>40000</v>
      </c>
      <c r="K2333" s="30">
        <f t="shared" si="2512"/>
        <v>5000</v>
      </c>
      <c r="L2333" s="187">
        <v>40000</v>
      </c>
      <c r="M2333" s="110">
        <v>9.5</v>
      </c>
      <c r="N2333" s="9">
        <f>VLOOKUP(DATE(YEAR(A2333),MONTH(A2333),DAY(A2333)),FY24_Temp[],3,FALSE)</f>
        <v>17.399999999999999</v>
      </c>
      <c r="O2333" s="110">
        <f t="shared" si="2498"/>
        <v>11.5</v>
      </c>
      <c r="P2333" s="110">
        <f t="shared" si="2499"/>
        <v>19.5</v>
      </c>
      <c r="Q2333" s="79">
        <f>VLOOKUP(VLOOKUP(DATEVALUE(TEXT(A2333,"m/d/yyyy")),FY24_Temp[],5,FALSE)&amp;TEXT(A2333,"-h"),TempDelta[],4,FALSE)</f>
        <v>1.804142855</v>
      </c>
      <c r="R2333">
        <v>10</v>
      </c>
      <c r="S2333" s="112">
        <v>1500</v>
      </c>
      <c r="T2333" s="5">
        <f>VLOOKUP(TEXT(A2333,"yy-mm")&amp;"-"&amp;IF(AND(WEEKDAY(A2333)&gt;1,WEEKDAY(A2333)&lt;7),"Wkd",TEXT(A2333,"Ddd"))&amp;"-"&amp;TEXT(A2333,"hh"),LoadTable[],3,FALSE)*0.92</f>
        <v>209.6772</v>
      </c>
      <c r="U2333" s="113">
        <f t="shared" si="2500"/>
        <v>20.96772</v>
      </c>
      <c r="V2333">
        <f t="shared" ref="V2333:W2333" si="2530">V2309</f>
        <v>2.8</v>
      </c>
      <c r="W2333">
        <f t="shared" si="2530"/>
        <v>3.2</v>
      </c>
      <c r="X2333" s="9">
        <v>-57.222390566666199</v>
      </c>
      <c r="Y2333" s="39"/>
    </row>
    <row r="2334" spans="1:25" ht="15" thickBot="1">
      <c r="A2334" s="149">
        <f t="shared" si="2482"/>
        <v>45933.124999996326</v>
      </c>
      <c r="B2334" s="30">
        <f t="shared" si="2509"/>
        <v>5000</v>
      </c>
      <c r="C2334" s="8">
        <v>25000</v>
      </c>
      <c r="D2334" s="187">
        <v>0</v>
      </c>
      <c r="E2334" s="187">
        <v>700</v>
      </c>
      <c r="F2334" s="187">
        <v>15000</v>
      </c>
      <c r="G2334" s="151">
        <v>2470</v>
      </c>
      <c r="H2334" s="8">
        <f t="shared" si="2510"/>
        <v>25000</v>
      </c>
      <c r="I2334" s="30">
        <f t="shared" si="2511"/>
        <v>5000</v>
      </c>
      <c r="J2334" s="187">
        <v>40000</v>
      </c>
      <c r="K2334" s="30">
        <f t="shared" si="2512"/>
        <v>5000</v>
      </c>
      <c r="L2334" s="187">
        <v>40000</v>
      </c>
      <c r="M2334" s="110">
        <v>9.5</v>
      </c>
      <c r="N2334" s="9">
        <f>VLOOKUP(DATE(YEAR(A2334),MONTH(A2334),DAY(A2334)),FY24_Temp[],3,FALSE)</f>
        <v>17.399999999999999</v>
      </c>
      <c r="O2334" s="110">
        <f t="shared" si="2498"/>
        <v>11.5</v>
      </c>
      <c r="P2334" s="110">
        <f t="shared" si="2499"/>
        <v>19.5</v>
      </c>
      <c r="Q2334" s="79">
        <f>VLOOKUP(VLOOKUP(DATEVALUE(TEXT(A2334,"m/d/yyyy")),FY24_Temp[],5,FALSE)&amp;TEXT(A2334,"-h"),TempDelta[],4,FALSE)</f>
        <v>1.804142855</v>
      </c>
      <c r="R2334">
        <v>10</v>
      </c>
      <c r="S2334" s="112">
        <v>1500</v>
      </c>
      <c r="T2334" s="5">
        <f>VLOOKUP(TEXT(A2334,"yy-mm")&amp;"-"&amp;IF(AND(WEEKDAY(A2334)&gt;1,WEEKDAY(A2334)&lt;7),"Wkd",TEXT(A2334,"Ddd"))&amp;"-"&amp;TEXT(A2334,"hh"),LoadTable[],3,FALSE)*0.92</f>
        <v>209.6772</v>
      </c>
      <c r="U2334" s="113">
        <f t="shared" si="2500"/>
        <v>20.96772</v>
      </c>
      <c r="V2334">
        <f t="shared" ref="V2334:W2334" si="2531">V2310</f>
        <v>2.7</v>
      </c>
      <c r="W2334">
        <f t="shared" si="2531"/>
        <v>3.2</v>
      </c>
      <c r="X2334" s="9">
        <v>-57.300185116666199</v>
      </c>
      <c r="Y2334" s="39"/>
    </row>
    <row r="2335" spans="1:25" ht="15" thickBot="1">
      <c r="A2335" s="149">
        <f t="shared" si="2482"/>
        <v>45933.16666666299</v>
      </c>
      <c r="B2335" s="30">
        <f t="shared" si="2509"/>
        <v>5000</v>
      </c>
      <c r="C2335" s="8">
        <v>25000</v>
      </c>
      <c r="D2335" s="187">
        <v>0</v>
      </c>
      <c r="E2335" s="187">
        <v>700</v>
      </c>
      <c r="F2335" s="187">
        <v>15000</v>
      </c>
      <c r="G2335" s="151">
        <v>2470</v>
      </c>
      <c r="H2335" s="8">
        <f t="shared" si="2510"/>
        <v>25000</v>
      </c>
      <c r="I2335" s="30">
        <f t="shared" si="2511"/>
        <v>5000</v>
      </c>
      <c r="J2335" s="187">
        <v>40000</v>
      </c>
      <c r="K2335" s="30">
        <f t="shared" si="2512"/>
        <v>5000</v>
      </c>
      <c r="L2335" s="187">
        <v>40000</v>
      </c>
      <c r="M2335" s="110">
        <v>9.5</v>
      </c>
      <c r="N2335" s="9">
        <f>VLOOKUP(DATE(YEAR(A2335),MONTH(A2335),DAY(A2335)),FY24_Temp[],3,FALSE)</f>
        <v>17.399999999999999</v>
      </c>
      <c r="O2335" s="110">
        <f t="shared" si="2498"/>
        <v>11.5</v>
      </c>
      <c r="P2335" s="110">
        <f t="shared" si="2499"/>
        <v>19.5</v>
      </c>
      <c r="Q2335" s="79">
        <f>VLOOKUP(VLOOKUP(DATEVALUE(TEXT(A2335,"m/d/yyyy")),FY24_Temp[],5,FALSE)&amp;TEXT(A2335,"-h"),TempDelta[],4,FALSE)</f>
        <v>1.804142855</v>
      </c>
      <c r="R2335">
        <v>10</v>
      </c>
      <c r="S2335" s="112">
        <v>1500</v>
      </c>
      <c r="T2335" s="5">
        <f>VLOOKUP(TEXT(A2335,"yy-mm")&amp;"-"&amp;IF(AND(WEEKDAY(A2335)&gt;1,WEEKDAY(A2335)&lt;7),"Wkd",TEXT(A2335,"Ddd"))&amp;"-"&amp;TEXT(A2335,"hh"),LoadTable[],3,FALSE)*0.92</f>
        <v>209.6772</v>
      </c>
      <c r="U2335" s="113">
        <f t="shared" si="2500"/>
        <v>20.96772</v>
      </c>
      <c r="V2335">
        <f t="shared" ref="V2335:W2335" si="2532">V2311</f>
        <v>3</v>
      </c>
      <c r="W2335">
        <f t="shared" si="2532"/>
        <v>3.1</v>
      </c>
      <c r="X2335" s="9">
        <v>-57.377979666666199</v>
      </c>
      <c r="Y2335" s="39"/>
    </row>
    <row r="2336" spans="1:25" ht="15" thickBot="1">
      <c r="A2336" s="149">
        <f t="shared" si="2482"/>
        <v>45933.208333329654</v>
      </c>
      <c r="B2336" s="30">
        <f t="shared" si="2509"/>
        <v>5000</v>
      </c>
      <c r="C2336" s="8">
        <v>25000</v>
      </c>
      <c r="D2336" s="187">
        <v>0</v>
      </c>
      <c r="E2336" s="187">
        <v>700</v>
      </c>
      <c r="F2336" s="187">
        <v>15000</v>
      </c>
      <c r="G2336" s="151">
        <v>2470</v>
      </c>
      <c r="H2336" s="8">
        <f t="shared" si="2510"/>
        <v>25000</v>
      </c>
      <c r="I2336" s="30">
        <f t="shared" si="2511"/>
        <v>5000</v>
      </c>
      <c r="J2336" s="187">
        <v>40000</v>
      </c>
      <c r="K2336" s="30">
        <f t="shared" si="2512"/>
        <v>5000</v>
      </c>
      <c r="L2336" s="187">
        <v>40000</v>
      </c>
      <c r="M2336" s="110">
        <v>9.5</v>
      </c>
      <c r="N2336" s="9">
        <f>VLOOKUP(DATE(YEAR(A2336),MONTH(A2336),DAY(A2336)),FY24_Temp[],3,FALSE)</f>
        <v>17.399999999999999</v>
      </c>
      <c r="O2336" s="110">
        <f t="shared" si="2498"/>
        <v>11.5</v>
      </c>
      <c r="P2336" s="110">
        <f t="shared" si="2499"/>
        <v>19.5</v>
      </c>
      <c r="Q2336" s="79">
        <f>VLOOKUP(VLOOKUP(DATEVALUE(TEXT(A2336,"m/d/yyyy")),FY24_Temp[],5,FALSE)&amp;TEXT(A2336,"-h"),TempDelta[],4,FALSE)</f>
        <v>1.804142855</v>
      </c>
      <c r="R2336">
        <v>10</v>
      </c>
      <c r="S2336" s="112">
        <v>1500</v>
      </c>
      <c r="T2336" s="5">
        <f>VLOOKUP(TEXT(A2336,"yy-mm")&amp;"-"&amp;IF(AND(WEEKDAY(A2336)&gt;1,WEEKDAY(A2336)&lt;7),"Wkd",TEXT(A2336,"Ddd"))&amp;"-"&amp;TEXT(A2336,"hh"),LoadTable[],3,FALSE)*0.92</f>
        <v>209.6772</v>
      </c>
      <c r="U2336" s="113">
        <f t="shared" si="2500"/>
        <v>20.96772</v>
      </c>
      <c r="V2336">
        <f t="shared" ref="V2336:W2336" si="2533">V2312</f>
        <v>2.9</v>
      </c>
      <c r="W2336">
        <f t="shared" si="2533"/>
        <v>3.1</v>
      </c>
      <c r="X2336" s="9">
        <v>-57.4557742166662</v>
      </c>
      <c r="Y2336" s="39"/>
    </row>
    <row r="2337" spans="1:25" ht="15" thickBot="1">
      <c r="A2337" s="149">
        <f t="shared" si="2482"/>
        <v>45933.249999996318</v>
      </c>
      <c r="B2337" s="30">
        <f t="shared" si="2509"/>
        <v>8000</v>
      </c>
      <c r="C2337" s="8">
        <v>25000</v>
      </c>
      <c r="D2337" s="187">
        <v>0</v>
      </c>
      <c r="E2337" s="187">
        <v>700</v>
      </c>
      <c r="F2337" s="187">
        <v>15000</v>
      </c>
      <c r="G2337" s="151">
        <v>2470</v>
      </c>
      <c r="H2337" s="8">
        <f t="shared" si="2510"/>
        <v>25000</v>
      </c>
      <c r="I2337" s="30">
        <f t="shared" si="2511"/>
        <v>8000</v>
      </c>
      <c r="J2337" s="187">
        <v>40000</v>
      </c>
      <c r="K2337" s="30">
        <f t="shared" si="2512"/>
        <v>8000</v>
      </c>
      <c r="L2337" s="187">
        <v>40000</v>
      </c>
      <c r="M2337" s="110">
        <v>9.5</v>
      </c>
      <c r="N2337" s="9">
        <f>VLOOKUP(DATE(YEAR(A2337),MONTH(A2337),DAY(A2337)),FY24_Temp[],3,FALSE)</f>
        <v>17.399999999999999</v>
      </c>
      <c r="O2337" s="110">
        <f t="shared" si="2498"/>
        <v>11.5</v>
      </c>
      <c r="P2337" s="110">
        <f t="shared" si="2499"/>
        <v>19.5</v>
      </c>
      <c r="Q2337" s="79">
        <f>VLOOKUP(VLOOKUP(DATEVALUE(TEXT(A2337,"m/d/yyyy")),FY24_Temp[],5,FALSE)&amp;TEXT(A2337,"-h"),TempDelta[],4,FALSE)</f>
        <v>1.6668571404048376</v>
      </c>
      <c r="R2337">
        <v>10</v>
      </c>
      <c r="S2337" s="112">
        <v>1500</v>
      </c>
      <c r="T2337" s="5">
        <f>VLOOKUP(TEXT(A2337,"yy-mm")&amp;"-"&amp;IF(AND(WEEKDAY(A2337)&gt;1,WEEKDAY(A2337)&lt;7),"Wkd",TEXT(A2337,"Ddd"))&amp;"-"&amp;TEXT(A2337,"hh"),LoadTable[],3,FALSE)*0.92</f>
        <v>209.6772</v>
      </c>
      <c r="U2337" s="113">
        <f t="shared" si="2500"/>
        <v>20.96772</v>
      </c>
      <c r="V2337">
        <f t="shared" ref="V2337:W2337" si="2534">V2313</f>
        <v>2.5</v>
      </c>
      <c r="W2337">
        <f t="shared" si="2534"/>
        <v>3.1</v>
      </c>
      <c r="X2337" s="9">
        <v>-57.5335687666662</v>
      </c>
      <c r="Y2337" s="39"/>
    </row>
    <row r="2338" spans="1:25" ht="15" thickBot="1">
      <c r="A2338" s="149">
        <f t="shared" si="2482"/>
        <v>45933.291666662983</v>
      </c>
      <c r="B2338" s="30">
        <f t="shared" si="2509"/>
        <v>8000</v>
      </c>
      <c r="C2338" s="8">
        <v>25000</v>
      </c>
      <c r="D2338" s="187">
        <v>0</v>
      </c>
      <c r="E2338" s="187">
        <v>700</v>
      </c>
      <c r="F2338" s="187">
        <v>15000</v>
      </c>
      <c r="G2338" s="151">
        <v>2470</v>
      </c>
      <c r="H2338" s="8">
        <f t="shared" si="2510"/>
        <v>25000</v>
      </c>
      <c r="I2338" s="30">
        <f t="shared" si="2511"/>
        <v>8000</v>
      </c>
      <c r="J2338" s="187">
        <v>40000</v>
      </c>
      <c r="K2338" s="30">
        <f t="shared" si="2512"/>
        <v>8000</v>
      </c>
      <c r="L2338" s="187">
        <v>40000</v>
      </c>
      <c r="M2338" s="110">
        <v>9.5</v>
      </c>
      <c r="N2338" s="9">
        <f>VLOOKUP(DATE(YEAR(A2338),MONTH(A2338),DAY(A2338)),FY24_Temp[],3,FALSE)</f>
        <v>17.399999999999999</v>
      </c>
      <c r="O2338" s="110">
        <f t="shared" si="2498"/>
        <v>11.5</v>
      </c>
      <c r="P2338" s="110">
        <f t="shared" si="2499"/>
        <v>19.5</v>
      </c>
      <c r="Q2338" s="79">
        <f>VLOOKUP(VLOOKUP(DATEVALUE(TEXT(A2338,"m/d/yyyy")),FY24_Temp[],5,FALSE)&amp;TEXT(A2338,"-h"),TempDelta[],4,FALSE)</f>
        <v>1.5237142699105399</v>
      </c>
      <c r="R2338">
        <v>10</v>
      </c>
      <c r="S2338" s="112">
        <v>1500</v>
      </c>
      <c r="T2338" s="5">
        <f>VLOOKUP(TEXT(A2338,"yy-mm")&amp;"-"&amp;IF(AND(WEEKDAY(A2338)&gt;1,WEEKDAY(A2338)&lt;7),"Wkd",TEXT(A2338,"Ddd"))&amp;"-"&amp;TEXT(A2338,"hh"),LoadTable[],3,FALSE)*0.92</f>
        <v>234.80148</v>
      </c>
      <c r="U2338" s="113">
        <f t="shared" si="2500"/>
        <v>23.480148</v>
      </c>
      <c r="V2338">
        <f t="shared" ref="V2338:W2338" si="2535">V2314</f>
        <v>2.5</v>
      </c>
      <c r="W2338">
        <f t="shared" si="2535"/>
        <v>3.1</v>
      </c>
      <c r="X2338" s="9">
        <v>-57.6113633166662</v>
      </c>
      <c r="Y2338" s="39"/>
    </row>
    <row r="2339" spans="1:25" ht="15" thickBot="1">
      <c r="A2339" s="149">
        <f t="shared" si="2482"/>
        <v>45933.333333329647</v>
      </c>
      <c r="B2339" s="30">
        <f t="shared" si="2509"/>
        <v>8000</v>
      </c>
      <c r="C2339" s="8">
        <v>25000</v>
      </c>
      <c r="D2339" s="187">
        <v>0</v>
      </c>
      <c r="E2339" s="187">
        <v>700</v>
      </c>
      <c r="F2339" s="187">
        <v>15000</v>
      </c>
      <c r="G2339" s="151">
        <v>2470</v>
      </c>
      <c r="H2339" s="8">
        <f t="shared" si="2510"/>
        <v>25000</v>
      </c>
      <c r="I2339" s="30">
        <f t="shared" si="2511"/>
        <v>8000</v>
      </c>
      <c r="J2339" s="187">
        <v>40000</v>
      </c>
      <c r="K2339" s="30">
        <f t="shared" si="2512"/>
        <v>8000</v>
      </c>
      <c r="L2339" s="187">
        <v>40000</v>
      </c>
      <c r="M2339" s="110">
        <v>9.5</v>
      </c>
      <c r="N2339" s="9">
        <f>VLOOKUP(DATE(YEAR(A2339),MONTH(A2339),DAY(A2339)),FY24_Temp[],3,FALSE)</f>
        <v>17.399999999999999</v>
      </c>
      <c r="O2339" s="110">
        <f t="shared" si="2498"/>
        <v>11.5</v>
      </c>
      <c r="P2339" s="110">
        <f t="shared" si="2499"/>
        <v>19.5</v>
      </c>
      <c r="Q2339" s="79">
        <f>VLOOKUP(VLOOKUP(DATEVALUE(TEXT(A2339,"m/d/yyyy")),FY24_Temp[],5,FALSE)&amp;TEXT(A2339,"-h"),TempDelta[],4,FALSE)</f>
        <v>1.3942857129233224</v>
      </c>
      <c r="R2339">
        <v>10</v>
      </c>
      <c r="S2339" s="112">
        <v>1500</v>
      </c>
      <c r="T2339" s="5">
        <f>VLOOKUP(TEXT(A2339,"yy-mm")&amp;"-"&amp;IF(AND(WEEKDAY(A2339)&gt;1,WEEKDAY(A2339)&lt;7),"Wkd",TEXT(A2339,"Ddd"))&amp;"-"&amp;TEXT(A2339,"hh"),LoadTable[],3,FALSE)*0.92</f>
        <v>234.80148</v>
      </c>
      <c r="U2339" s="113">
        <f t="shared" si="2500"/>
        <v>23.480148</v>
      </c>
      <c r="V2339">
        <f t="shared" ref="V2339:W2339" si="2536">V2315</f>
        <v>3.2</v>
      </c>
      <c r="W2339">
        <f t="shared" si="2536"/>
        <v>3</v>
      </c>
      <c r="X2339" s="9">
        <v>-57.6891578666662</v>
      </c>
      <c r="Y2339" s="39"/>
    </row>
    <row r="2340" spans="1:25" ht="15" thickBot="1">
      <c r="A2340" s="149">
        <f t="shared" si="2482"/>
        <v>45933.374999996311</v>
      </c>
      <c r="B2340" s="30">
        <f t="shared" si="2509"/>
        <v>8000</v>
      </c>
      <c r="C2340" s="8">
        <v>25000</v>
      </c>
      <c r="D2340" s="187">
        <v>0</v>
      </c>
      <c r="E2340" s="187">
        <v>700</v>
      </c>
      <c r="F2340" s="187">
        <v>15000</v>
      </c>
      <c r="G2340" s="151">
        <v>2470</v>
      </c>
      <c r="H2340" s="8">
        <f t="shared" si="2510"/>
        <v>25000</v>
      </c>
      <c r="I2340" s="30">
        <f t="shared" si="2511"/>
        <v>8000</v>
      </c>
      <c r="J2340" s="187">
        <v>40000</v>
      </c>
      <c r="K2340" s="30">
        <f t="shared" si="2512"/>
        <v>8000</v>
      </c>
      <c r="L2340" s="187">
        <v>40000</v>
      </c>
      <c r="M2340" s="110">
        <v>9.5</v>
      </c>
      <c r="N2340" s="9">
        <f>VLOOKUP(DATE(YEAR(A2340),MONTH(A2340),DAY(A2340)),FY24_Temp[],3,FALSE)</f>
        <v>17.399999999999999</v>
      </c>
      <c r="O2340" s="110">
        <f t="shared" si="2498"/>
        <v>11.5</v>
      </c>
      <c r="P2340" s="110">
        <f t="shared" si="2499"/>
        <v>19.5</v>
      </c>
      <c r="Q2340" s="79">
        <f>VLOOKUP(VLOOKUP(DATEVALUE(TEXT(A2340,"m/d/yyyy")),FY24_Temp[],5,FALSE)&amp;TEXT(A2340,"-h"),TempDelta[],4,FALSE)</f>
        <v>1.2751428655215673</v>
      </c>
      <c r="R2340">
        <v>10</v>
      </c>
      <c r="S2340" s="112">
        <v>1500</v>
      </c>
      <c r="T2340" s="5">
        <f>VLOOKUP(TEXT(A2340,"yy-mm")&amp;"-"&amp;IF(AND(WEEKDAY(A2340)&gt;1,WEEKDAY(A2340)&lt;7),"Wkd",TEXT(A2340,"Ddd"))&amp;"-"&amp;TEXT(A2340,"hh"),LoadTable[],3,FALSE)*0.92</f>
        <v>234.80148</v>
      </c>
      <c r="U2340" s="113">
        <f t="shared" si="2500"/>
        <v>23.480148</v>
      </c>
      <c r="V2340">
        <f t="shared" ref="V2340:W2340" si="2537">V2316</f>
        <v>2.9</v>
      </c>
      <c r="W2340">
        <f t="shared" si="2537"/>
        <v>3</v>
      </c>
      <c r="X2340" s="9">
        <v>-57.7669524166662</v>
      </c>
      <c r="Y2340" s="39"/>
    </row>
    <row r="2341" spans="1:25" ht="15" thickBot="1">
      <c r="A2341" s="149">
        <f t="shared" si="2482"/>
        <v>45933.416666662975</v>
      </c>
      <c r="B2341" s="30">
        <f t="shared" si="2509"/>
        <v>8000</v>
      </c>
      <c r="C2341" s="8">
        <v>25000</v>
      </c>
      <c r="D2341" s="187">
        <v>0</v>
      </c>
      <c r="E2341" s="187">
        <v>700</v>
      </c>
      <c r="F2341" s="187">
        <v>15000</v>
      </c>
      <c r="G2341" s="151">
        <v>2470</v>
      </c>
      <c r="H2341" s="8">
        <f t="shared" si="2510"/>
        <v>25000</v>
      </c>
      <c r="I2341" s="30">
        <f t="shared" si="2511"/>
        <v>8000</v>
      </c>
      <c r="J2341" s="187">
        <v>40000</v>
      </c>
      <c r="K2341" s="30">
        <f t="shared" si="2512"/>
        <v>8000</v>
      </c>
      <c r="L2341" s="187">
        <v>40000</v>
      </c>
      <c r="M2341" s="110">
        <v>9.5</v>
      </c>
      <c r="N2341" s="9">
        <f>VLOOKUP(DATE(YEAR(A2341),MONTH(A2341),DAY(A2341)),FY24_Temp[],3,FALSE)</f>
        <v>17.399999999999999</v>
      </c>
      <c r="O2341" s="110">
        <f t="shared" si="2498"/>
        <v>11.5</v>
      </c>
      <c r="P2341" s="110">
        <f t="shared" si="2499"/>
        <v>19.5</v>
      </c>
      <c r="Q2341" s="79">
        <f>VLOOKUP(VLOOKUP(DATEVALUE(TEXT(A2341,"m/d/yyyy")),FY24_Temp[],5,FALSE)&amp;TEXT(A2341,"-h"),TempDelta[],4,FALSE)</f>
        <v>1.1441428746495927</v>
      </c>
      <c r="R2341">
        <v>10</v>
      </c>
      <c r="S2341" s="112">
        <v>1500</v>
      </c>
      <c r="T2341" s="5">
        <f>VLOOKUP(TEXT(A2341,"yy-mm")&amp;"-"&amp;IF(AND(WEEKDAY(A2341)&gt;1,WEEKDAY(A2341)&lt;7),"Wkd",TEXT(A2341,"Ddd"))&amp;"-"&amp;TEXT(A2341,"hh"),LoadTable[],3,FALSE)*0.92</f>
        <v>234.80148</v>
      </c>
      <c r="U2341" s="113">
        <f t="shared" si="2500"/>
        <v>23.480148</v>
      </c>
      <c r="V2341">
        <f t="shared" ref="V2341:W2341" si="2538">V2317</f>
        <v>2.9</v>
      </c>
      <c r="W2341">
        <f t="shared" si="2538"/>
        <v>3</v>
      </c>
      <c r="X2341" s="9">
        <v>-57.8447469666662</v>
      </c>
      <c r="Y2341" s="39"/>
    </row>
    <row r="2342" spans="1:25" ht="15" thickBot="1">
      <c r="A2342" s="149">
        <f t="shared" si="2482"/>
        <v>45933.45833332964</v>
      </c>
      <c r="B2342" s="30">
        <f t="shared" si="2509"/>
        <v>8000</v>
      </c>
      <c r="C2342" s="8">
        <v>25000</v>
      </c>
      <c r="D2342" s="187">
        <v>0</v>
      </c>
      <c r="E2342" s="187">
        <v>700</v>
      </c>
      <c r="F2342" s="187">
        <v>15000</v>
      </c>
      <c r="G2342" s="151">
        <v>2470</v>
      </c>
      <c r="H2342" s="8">
        <f t="shared" si="2510"/>
        <v>25000</v>
      </c>
      <c r="I2342" s="30">
        <f t="shared" si="2511"/>
        <v>8000</v>
      </c>
      <c r="J2342" s="187">
        <v>40000</v>
      </c>
      <c r="K2342" s="30">
        <f t="shared" si="2512"/>
        <v>8000</v>
      </c>
      <c r="L2342" s="187">
        <v>40000</v>
      </c>
      <c r="M2342" s="110">
        <v>9.5</v>
      </c>
      <c r="N2342" s="9">
        <f>VLOOKUP(DATE(YEAR(A2342),MONTH(A2342),DAY(A2342)),FY24_Temp[],3,FALSE)</f>
        <v>17.399999999999999</v>
      </c>
      <c r="O2342" s="110">
        <f t="shared" si="2498"/>
        <v>11.5</v>
      </c>
      <c r="P2342" s="110">
        <f t="shared" si="2499"/>
        <v>19.5</v>
      </c>
      <c r="Q2342" s="79">
        <f>VLOOKUP(VLOOKUP(DATEVALUE(TEXT(A2342,"m/d/yyyy")),FY24_Temp[],5,FALSE)&amp;TEXT(A2342,"-h"),TempDelta[],4,FALSE)</f>
        <v>1.006714301449912</v>
      </c>
      <c r="R2342">
        <v>10</v>
      </c>
      <c r="S2342" s="112">
        <v>1500</v>
      </c>
      <c r="T2342" s="5">
        <f>VLOOKUP(TEXT(A2342,"yy-mm")&amp;"-"&amp;IF(AND(WEEKDAY(A2342)&gt;1,WEEKDAY(A2342)&lt;7),"Wkd",TEXT(A2342,"Ddd"))&amp;"-"&amp;TEXT(A2342,"hh"),LoadTable[],3,FALSE)*0.92</f>
        <v>234.80148</v>
      </c>
      <c r="U2342" s="113">
        <f t="shared" si="2500"/>
        <v>23.480148</v>
      </c>
      <c r="V2342">
        <f t="shared" ref="V2342:W2342" si="2539">V2318</f>
        <v>3.4</v>
      </c>
      <c r="W2342">
        <f t="shared" si="2539"/>
        <v>3</v>
      </c>
      <c r="X2342" s="9">
        <v>-57.9225415166662</v>
      </c>
      <c r="Y2342" s="39"/>
    </row>
    <row r="2343" spans="1:25" ht="15" thickBot="1">
      <c r="A2343" s="149">
        <f t="shared" si="2482"/>
        <v>45933.499999996304</v>
      </c>
      <c r="B2343" s="30">
        <f t="shared" si="2509"/>
        <v>8000</v>
      </c>
      <c r="C2343" s="8">
        <v>25000</v>
      </c>
      <c r="D2343" s="187">
        <v>0</v>
      </c>
      <c r="E2343" s="187">
        <v>700</v>
      </c>
      <c r="F2343" s="187">
        <v>15000</v>
      </c>
      <c r="G2343" s="151">
        <v>2470</v>
      </c>
      <c r="H2343" s="8">
        <f t="shared" si="2510"/>
        <v>25000</v>
      </c>
      <c r="I2343" s="30">
        <f t="shared" si="2511"/>
        <v>8000</v>
      </c>
      <c r="J2343" s="187">
        <v>40000</v>
      </c>
      <c r="K2343" s="30">
        <f t="shared" si="2512"/>
        <v>8000</v>
      </c>
      <c r="L2343" s="187">
        <v>40000</v>
      </c>
      <c r="M2343" s="110">
        <v>9.5</v>
      </c>
      <c r="N2343" s="9">
        <f>VLOOKUP(DATE(YEAR(A2343),MONTH(A2343),DAY(A2343)),FY24_Temp[],3,FALSE)</f>
        <v>17.399999999999999</v>
      </c>
      <c r="O2343" s="110">
        <f t="shared" si="2498"/>
        <v>11.5</v>
      </c>
      <c r="P2343" s="110">
        <f t="shared" si="2499"/>
        <v>19.5</v>
      </c>
      <c r="Q2343" s="79">
        <f>VLOOKUP(VLOOKUP(DATEVALUE(TEXT(A2343,"m/d/yyyy")),FY24_Temp[],5,FALSE)&amp;TEXT(A2343,"-h"),TempDelta[],4,FALSE)</f>
        <v>0.87971426759447369</v>
      </c>
      <c r="R2343">
        <v>10</v>
      </c>
      <c r="S2343" s="112">
        <v>1500</v>
      </c>
      <c r="T2343" s="5">
        <f>VLOOKUP(TEXT(A2343,"yy-mm")&amp;"-"&amp;IF(AND(WEEKDAY(A2343)&gt;1,WEEKDAY(A2343)&lt;7),"Wkd",TEXT(A2343,"Ddd"))&amp;"-"&amp;TEXT(A2343,"hh"),LoadTable[],3,FALSE)*0.92</f>
        <v>234.80148</v>
      </c>
      <c r="U2343" s="113">
        <f t="shared" si="2500"/>
        <v>23.480148</v>
      </c>
      <c r="V2343">
        <f t="shared" ref="V2343:W2343" si="2540">V2319</f>
        <v>3.1</v>
      </c>
      <c r="W2343">
        <f t="shared" si="2540"/>
        <v>2.9</v>
      </c>
      <c r="X2343" s="9">
        <v>-58.0003360666662</v>
      </c>
      <c r="Y2343" s="39"/>
    </row>
    <row r="2344" spans="1:25" ht="15" thickBot="1">
      <c r="A2344" s="149">
        <f t="shared" si="2482"/>
        <v>45933.541666662968</v>
      </c>
      <c r="B2344" s="30">
        <f t="shared" si="2509"/>
        <v>8000</v>
      </c>
      <c r="C2344" s="8">
        <v>25000</v>
      </c>
      <c r="D2344" s="187">
        <v>0</v>
      </c>
      <c r="E2344" s="187">
        <v>700</v>
      </c>
      <c r="F2344" s="187">
        <v>15000</v>
      </c>
      <c r="G2344" s="151">
        <v>2470</v>
      </c>
      <c r="H2344" s="8">
        <f t="shared" si="2510"/>
        <v>25000</v>
      </c>
      <c r="I2344" s="30">
        <f t="shared" si="2511"/>
        <v>8000</v>
      </c>
      <c r="J2344" s="187">
        <v>40000</v>
      </c>
      <c r="K2344" s="30">
        <f t="shared" si="2512"/>
        <v>8000</v>
      </c>
      <c r="L2344" s="187">
        <v>40000</v>
      </c>
      <c r="M2344" s="110">
        <v>9.5</v>
      </c>
      <c r="N2344" s="9">
        <f>VLOOKUP(DATE(YEAR(A2344),MONTH(A2344),DAY(A2344)),FY24_Temp[],3,FALSE)</f>
        <v>17.399999999999999</v>
      </c>
      <c r="O2344" s="110">
        <f t="shared" si="2498"/>
        <v>11.5</v>
      </c>
      <c r="P2344" s="110">
        <f t="shared" si="2499"/>
        <v>19.5</v>
      </c>
      <c r="Q2344" s="79">
        <f>VLOOKUP(VLOOKUP(DATEVALUE(TEXT(A2344,"m/d/yyyy")),FY24_Temp[],5,FALSE)&amp;TEXT(A2344,"-h"),TempDelta[],4,FALSE)</f>
        <v>0.77128570420401432</v>
      </c>
      <c r="R2344">
        <v>10</v>
      </c>
      <c r="S2344" s="112">
        <v>1500</v>
      </c>
      <c r="T2344" s="5">
        <f>VLOOKUP(TEXT(A2344,"yy-mm")&amp;"-"&amp;IF(AND(WEEKDAY(A2344)&gt;1,WEEKDAY(A2344)&lt;7),"Wkd",TEXT(A2344,"Ddd"))&amp;"-"&amp;TEXT(A2344,"hh"),LoadTable[],3,FALSE)*0.92</f>
        <v>234.80148</v>
      </c>
      <c r="U2344" s="113">
        <f t="shared" si="2500"/>
        <v>23.480148</v>
      </c>
      <c r="V2344">
        <f t="shared" ref="V2344:W2344" si="2541">V2320</f>
        <v>3.2</v>
      </c>
      <c r="W2344">
        <f t="shared" si="2541"/>
        <v>2.9</v>
      </c>
      <c r="X2344" s="9">
        <v>-58.078130616666201</v>
      </c>
      <c r="Y2344" s="39"/>
    </row>
    <row r="2345" spans="1:25" ht="15" thickBot="1">
      <c r="A2345" s="149">
        <f t="shared" si="2482"/>
        <v>45933.583333329632</v>
      </c>
      <c r="B2345" s="30">
        <f t="shared" si="2509"/>
        <v>8000</v>
      </c>
      <c r="C2345" s="8">
        <v>25000</v>
      </c>
      <c r="D2345" s="187">
        <v>0</v>
      </c>
      <c r="E2345" s="187">
        <v>700</v>
      </c>
      <c r="F2345" s="187">
        <v>15000</v>
      </c>
      <c r="G2345" s="151">
        <v>2470</v>
      </c>
      <c r="H2345" s="8">
        <f t="shared" si="2510"/>
        <v>25000</v>
      </c>
      <c r="I2345" s="30">
        <f t="shared" si="2511"/>
        <v>8000</v>
      </c>
      <c r="J2345" s="187">
        <v>40000</v>
      </c>
      <c r="K2345" s="30">
        <f t="shared" si="2512"/>
        <v>8000</v>
      </c>
      <c r="L2345" s="187">
        <v>40000</v>
      </c>
      <c r="M2345" s="110">
        <v>9.5</v>
      </c>
      <c r="N2345" s="9">
        <f>VLOOKUP(DATE(YEAR(A2345),MONTH(A2345),DAY(A2345)),FY24_Temp[],3,FALSE)</f>
        <v>17.399999999999999</v>
      </c>
      <c r="O2345" s="110">
        <f t="shared" si="2498"/>
        <v>11.5</v>
      </c>
      <c r="P2345" s="110">
        <f t="shared" si="2499"/>
        <v>19.5</v>
      </c>
      <c r="Q2345" s="79">
        <f>VLOOKUP(VLOOKUP(DATEVALUE(TEXT(A2345,"m/d/yyyy")),FY24_Temp[],5,FALSE)&amp;TEXT(A2345,"-h"),TempDelta[],4,FALSE)</f>
        <v>0.72371428353445866</v>
      </c>
      <c r="R2345">
        <v>10</v>
      </c>
      <c r="S2345" s="112">
        <v>1500</v>
      </c>
      <c r="T2345" s="5">
        <f>VLOOKUP(TEXT(A2345,"yy-mm")&amp;"-"&amp;IF(AND(WEEKDAY(A2345)&gt;1,WEEKDAY(A2345)&lt;7),"Wkd",TEXT(A2345,"Ddd"))&amp;"-"&amp;TEXT(A2345,"hh"),LoadTable[],3,FALSE)*0.92</f>
        <v>234.80148</v>
      </c>
      <c r="U2345" s="113">
        <f t="shared" si="2500"/>
        <v>23.480148</v>
      </c>
      <c r="V2345">
        <f t="shared" ref="V2345:W2345" si="2542">V2321</f>
        <v>3.5</v>
      </c>
      <c r="W2345">
        <f t="shared" si="2542"/>
        <v>2.9</v>
      </c>
      <c r="X2345" s="9">
        <v>-58.155925166666201</v>
      </c>
      <c r="Y2345" s="39"/>
    </row>
    <row r="2346" spans="1:25" ht="15" thickBot="1">
      <c r="A2346" s="149">
        <f t="shared" si="2482"/>
        <v>45933.624999996297</v>
      </c>
      <c r="B2346" s="30">
        <f t="shared" si="2509"/>
        <v>8000</v>
      </c>
      <c r="C2346" s="8">
        <v>25000</v>
      </c>
      <c r="D2346" s="187">
        <v>0</v>
      </c>
      <c r="E2346" s="187">
        <v>700</v>
      </c>
      <c r="F2346" s="187">
        <v>15000</v>
      </c>
      <c r="G2346" s="151">
        <v>2470</v>
      </c>
      <c r="H2346" s="8">
        <f t="shared" si="2510"/>
        <v>25000</v>
      </c>
      <c r="I2346" s="30">
        <f t="shared" si="2511"/>
        <v>8000</v>
      </c>
      <c r="J2346" s="187">
        <v>40000</v>
      </c>
      <c r="K2346" s="30">
        <f t="shared" si="2512"/>
        <v>8000</v>
      </c>
      <c r="L2346" s="187">
        <v>40000</v>
      </c>
      <c r="M2346" s="110">
        <v>9.5</v>
      </c>
      <c r="N2346" s="9">
        <f>VLOOKUP(DATE(YEAR(A2346),MONTH(A2346),DAY(A2346)),FY24_Temp[],3,FALSE)</f>
        <v>17.399999999999999</v>
      </c>
      <c r="O2346" s="110">
        <f t="shared" si="2498"/>
        <v>11.5</v>
      </c>
      <c r="P2346" s="110">
        <f t="shared" si="2499"/>
        <v>19.5</v>
      </c>
      <c r="Q2346" s="79">
        <f>VLOOKUP(VLOOKUP(DATEVALUE(TEXT(A2346,"m/d/yyyy")),FY24_Temp[],5,FALSE)&amp;TEXT(A2346,"-h"),TempDelta[],4,FALSE)</f>
        <v>0.35007142781146933</v>
      </c>
      <c r="R2346">
        <v>10</v>
      </c>
      <c r="S2346" s="112">
        <v>1500</v>
      </c>
      <c r="T2346" s="5">
        <f>VLOOKUP(TEXT(A2346,"yy-mm")&amp;"-"&amp;IF(AND(WEEKDAY(A2346)&gt;1,WEEKDAY(A2346)&lt;7),"Wkd",TEXT(A2346,"Ddd"))&amp;"-"&amp;TEXT(A2346,"hh"),LoadTable[],3,FALSE)*0.92</f>
        <v>234.80148</v>
      </c>
      <c r="U2346" s="113">
        <f t="shared" si="2500"/>
        <v>23.480148</v>
      </c>
      <c r="V2346">
        <f t="shared" ref="V2346:W2346" si="2543">V2322</f>
        <v>3.2</v>
      </c>
      <c r="W2346">
        <f t="shared" si="2543"/>
        <v>2.9</v>
      </c>
      <c r="X2346" s="9">
        <v>-58.233719716666201</v>
      </c>
      <c r="Y2346" s="39"/>
    </row>
    <row r="2347" spans="1:25" ht="15" thickBot="1">
      <c r="A2347" s="149">
        <f t="shared" si="2482"/>
        <v>45933.666666662961</v>
      </c>
      <c r="B2347" s="30">
        <f t="shared" si="2509"/>
        <v>8000</v>
      </c>
      <c r="C2347" s="8">
        <v>25000</v>
      </c>
      <c r="D2347" s="187">
        <v>0</v>
      </c>
      <c r="E2347" s="187">
        <v>700</v>
      </c>
      <c r="F2347" s="187">
        <v>15000</v>
      </c>
      <c r="G2347" s="151">
        <v>2470</v>
      </c>
      <c r="H2347" s="8">
        <f t="shared" si="2510"/>
        <v>25000</v>
      </c>
      <c r="I2347" s="30">
        <f t="shared" si="2511"/>
        <v>8000</v>
      </c>
      <c r="J2347" s="187">
        <v>40000</v>
      </c>
      <c r="K2347" s="30">
        <f t="shared" si="2512"/>
        <v>8000</v>
      </c>
      <c r="L2347" s="187">
        <v>40000</v>
      </c>
      <c r="M2347" s="110">
        <v>9.5</v>
      </c>
      <c r="N2347" s="9">
        <f>VLOOKUP(DATE(YEAR(A2347),MONTH(A2347),DAY(A2347)),FY24_Temp[],3,FALSE)</f>
        <v>17.399999999999999</v>
      </c>
      <c r="O2347" s="110">
        <f t="shared" si="2498"/>
        <v>11.5</v>
      </c>
      <c r="P2347" s="110">
        <f t="shared" si="2499"/>
        <v>19.5</v>
      </c>
      <c r="Q2347" s="79">
        <f>VLOOKUP(VLOOKUP(DATEVALUE(TEXT(A2347,"m/d/yyyy")),FY24_Temp[],5,FALSE)&amp;TEXT(A2347,"-h"),TempDelta[],4,FALSE)</f>
        <v>0.48392857345087187</v>
      </c>
      <c r="R2347">
        <v>10</v>
      </c>
      <c r="S2347" s="112">
        <v>1500</v>
      </c>
      <c r="T2347" s="5">
        <f>VLOOKUP(TEXT(A2347,"yy-mm")&amp;"-"&amp;IF(AND(WEEKDAY(A2347)&gt;1,WEEKDAY(A2347)&lt;7),"Wkd",TEXT(A2347,"Ddd"))&amp;"-"&amp;TEXT(A2347,"hh"),LoadTable[],3,FALSE)*0.92</f>
        <v>234.80148</v>
      </c>
      <c r="U2347" s="113">
        <f t="shared" si="2500"/>
        <v>23.480148</v>
      </c>
      <c r="V2347">
        <f t="shared" ref="V2347:W2347" si="2544">V2323</f>
        <v>3.5</v>
      </c>
      <c r="W2347">
        <f t="shared" si="2544"/>
        <v>3</v>
      </c>
      <c r="X2347" s="9">
        <v>-58.311514266666201</v>
      </c>
      <c r="Y2347" s="39"/>
    </row>
    <row r="2348" spans="1:25" ht="15" thickBot="1">
      <c r="A2348" s="149">
        <f t="shared" si="2482"/>
        <v>45933.708333329625</v>
      </c>
      <c r="B2348" s="30">
        <f t="shared" si="2509"/>
        <v>8000</v>
      </c>
      <c r="C2348" s="8">
        <v>25000</v>
      </c>
      <c r="D2348" s="187">
        <v>0</v>
      </c>
      <c r="E2348" s="187">
        <v>700</v>
      </c>
      <c r="F2348" s="187">
        <v>15000</v>
      </c>
      <c r="G2348" s="151">
        <v>2470</v>
      </c>
      <c r="H2348" s="8">
        <f t="shared" si="2510"/>
        <v>25000</v>
      </c>
      <c r="I2348" s="30">
        <f t="shared" si="2511"/>
        <v>8000</v>
      </c>
      <c r="J2348" s="187">
        <v>40000</v>
      </c>
      <c r="K2348" s="30">
        <f t="shared" si="2512"/>
        <v>8000</v>
      </c>
      <c r="L2348" s="187">
        <v>40000</v>
      </c>
      <c r="M2348" s="110">
        <v>9.5</v>
      </c>
      <c r="N2348" s="9">
        <f>VLOOKUP(DATE(YEAR(A2348),MONTH(A2348),DAY(A2348)),FY24_Temp[],3,FALSE)</f>
        <v>17.399999999999999</v>
      </c>
      <c r="O2348" s="110">
        <f t="shared" si="2498"/>
        <v>11.5</v>
      </c>
      <c r="P2348" s="110">
        <f t="shared" si="2499"/>
        <v>19.5</v>
      </c>
      <c r="Q2348" s="79">
        <f>VLOOKUP(VLOOKUP(DATEVALUE(TEXT(A2348,"m/d/yyyy")),FY24_Temp[],5,FALSE)&amp;TEXT(A2348,"-h"),TempDelta[],4,FALSE)</f>
        <v>0.71807142613189556</v>
      </c>
      <c r="R2348">
        <v>10</v>
      </c>
      <c r="S2348" s="112">
        <v>1500</v>
      </c>
      <c r="T2348" s="5">
        <f>VLOOKUP(TEXT(A2348,"yy-mm")&amp;"-"&amp;IF(AND(WEEKDAY(A2348)&gt;1,WEEKDAY(A2348)&lt;7),"Wkd",TEXT(A2348,"Ddd"))&amp;"-"&amp;TEXT(A2348,"hh"),LoadTable[],3,FALSE)*0.92</f>
        <v>234.80148</v>
      </c>
      <c r="U2348" s="113">
        <f t="shared" si="2500"/>
        <v>23.480148</v>
      </c>
      <c r="V2348">
        <f t="shared" ref="V2348:W2348" si="2545">V2324</f>
        <v>3.6</v>
      </c>
      <c r="W2348">
        <f t="shared" si="2545"/>
        <v>3</v>
      </c>
      <c r="X2348" s="9">
        <v>-58.389308816666201</v>
      </c>
      <c r="Y2348" s="39"/>
    </row>
    <row r="2349" spans="1:25" ht="15" thickBot="1">
      <c r="A2349" s="149">
        <f t="shared" si="2482"/>
        <v>45933.749999996289</v>
      </c>
      <c r="B2349" s="30">
        <f t="shared" si="2509"/>
        <v>5000</v>
      </c>
      <c r="C2349" s="8">
        <v>25000</v>
      </c>
      <c r="D2349" s="187">
        <v>0</v>
      </c>
      <c r="E2349" s="187">
        <v>700</v>
      </c>
      <c r="F2349" s="187">
        <v>15000</v>
      </c>
      <c r="G2349" s="151">
        <v>2470</v>
      </c>
      <c r="H2349" s="8">
        <f t="shared" si="2510"/>
        <v>25000</v>
      </c>
      <c r="I2349" s="30">
        <f t="shared" si="2511"/>
        <v>5000</v>
      </c>
      <c r="J2349" s="187">
        <v>40000</v>
      </c>
      <c r="K2349" s="30">
        <f t="shared" si="2512"/>
        <v>5000</v>
      </c>
      <c r="L2349" s="187">
        <v>40000</v>
      </c>
      <c r="M2349" s="110">
        <v>9.5</v>
      </c>
      <c r="N2349" s="9">
        <f>VLOOKUP(DATE(YEAR(A2349),MONTH(A2349),DAY(A2349)),FY24_Temp[],3,FALSE)</f>
        <v>17.399999999999999</v>
      </c>
      <c r="O2349" s="110">
        <f t="shared" si="2498"/>
        <v>11.5</v>
      </c>
      <c r="P2349" s="110">
        <f t="shared" si="2499"/>
        <v>19.5</v>
      </c>
      <c r="Q2349" s="79">
        <f>VLOOKUP(VLOOKUP(DATEVALUE(TEXT(A2349,"m/d/yyyy")),FY24_Temp[],5,FALSE)&amp;TEXT(A2349,"-h"),TempDelta[],4,FALSE)</f>
        <v>0.97985714673995972</v>
      </c>
      <c r="R2349">
        <v>10</v>
      </c>
      <c r="S2349" s="112">
        <v>1500</v>
      </c>
      <c r="T2349" s="5">
        <f>VLOOKUP(TEXT(A2349,"yy-mm")&amp;"-"&amp;IF(AND(WEEKDAY(A2349)&gt;1,WEEKDAY(A2349)&lt;7),"Wkd",TEXT(A2349,"Ddd"))&amp;"-"&amp;TEXT(A2349,"hh"),LoadTable[],3,FALSE)*0.92</f>
        <v>303.31295999999998</v>
      </c>
      <c r="U2349" s="113">
        <f t="shared" si="2500"/>
        <v>30.331295999999998</v>
      </c>
      <c r="V2349">
        <f t="shared" ref="V2349:W2349" si="2546">V2325</f>
        <v>2.9</v>
      </c>
      <c r="W2349">
        <f t="shared" si="2546"/>
        <v>3</v>
      </c>
      <c r="X2349" s="9">
        <v>-58.467103366666201</v>
      </c>
      <c r="Y2349" s="39"/>
    </row>
    <row r="2350" spans="1:25" ht="15" thickBot="1">
      <c r="A2350" s="149">
        <f t="shared" si="2482"/>
        <v>45933.791666662954</v>
      </c>
      <c r="B2350" s="30">
        <f t="shared" si="2509"/>
        <v>5000</v>
      </c>
      <c r="C2350" s="8">
        <v>25000</v>
      </c>
      <c r="D2350" s="187">
        <v>0</v>
      </c>
      <c r="E2350" s="187">
        <v>700</v>
      </c>
      <c r="F2350" s="187">
        <v>15000</v>
      </c>
      <c r="G2350" s="151">
        <v>2470</v>
      </c>
      <c r="H2350" s="8">
        <f t="shared" si="2510"/>
        <v>25000</v>
      </c>
      <c r="I2350" s="30">
        <f t="shared" si="2511"/>
        <v>5000</v>
      </c>
      <c r="J2350" s="187">
        <v>40000</v>
      </c>
      <c r="K2350" s="30">
        <f t="shared" si="2512"/>
        <v>5000</v>
      </c>
      <c r="L2350" s="187">
        <v>40000</v>
      </c>
      <c r="M2350" s="110">
        <v>9.5</v>
      </c>
      <c r="N2350" s="9">
        <f>VLOOKUP(DATE(YEAR(A2350),MONTH(A2350),DAY(A2350)),FY24_Temp[],3,FALSE)</f>
        <v>17.399999999999999</v>
      </c>
      <c r="O2350" s="110">
        <f t="shared" si="2498"/>
        <v>11.5</v>
      </c>
      <c r="P2350" s="110">
        <f t="shared" si="2499"/>
        <v>19.5</v>
      </c>
      <c r="Q2350" s="79">
        <f>VLOOKUP(VLOOKUP(DATEVALUE(TEXT(A2350,"m/d/yyyy")),FY24_Temp[],5,FALSE)&amp;TEXT(A2350,"-h"),TempDelta[],4,FALSE)</f>
        <v>1.0494285609040941</v>
      </c>
      <c r="R2350">
        <v>10</v>
      </c>
      <c r="S2350" s="112">
        <v>1500</v>
      </c>
      <c r="T2350" s="5">
        <f>VLOOKUP(TEXT(A2350,"yy-mm")&amp;"-"&amp;IF(AND(WEEKDAY(A2350)&gt;1,WEEKDAY(A2350)&lt;7),"Wkd",TEXT(A2350,"Ddd"))&amp;"-"&amp;TEXT(A2350,"hh"),LoadTable[],3,FALSE)*0.92</f>
        <v>303.31295999999998</v>
      </c>
      <c r="U2350" s="113">
        <f t="shared" si="2500"/>
        <v>30.331295999999998</v>
      </c>
      <c r="V2350">
        <f t="shared" ref="V2350:W2350" si="2547">V2326</f>
        <v>3</v>
      </c>
      <c r="W2350">
        <f t="shared" si="2547"/>
        <v>3</v>
      </c>
      <c r="X2350" s="9">
        <v>-58.544897916666201</v>
      </c>
      <c r="Y2350" s="39"/>
    </row>
    <row r="2351" spans="1:25" ht="15" thickBot="1">
      <c r="A2351" s="149">
        <f t="shared" si="2482"/>
        <v>45933.833333329618</v>
      </c>
      <c r="B2351" s="30">
        <f t="shared" si="2509"/>
        <v>5000</v>
      </c>
      <c r="C2351" s="8">
        <v>25000</v>
      </c>
      <c r="D2351" s="187">
        <v>0</v>
      </c>
      <c r="E2351" s="187">
        <v>700</v>
      </c>
      <c r="F2351" s="187">
        <v>15000</v>
      </c>
      <c r="G2351" s="151">
        <v>2470</v>
      </c>
      <c r="H2351" s="8">
        <f t="shared" si="2510"/>
        <v>25000</v>
      </c>
      <c r="I2351" s="30">
        <f t="shared" si="2511"/>
        <v>5000</v>
      </c>
      <c r="J2351" s="187">
        <v>40000</v>
      </c>
      <c r="K2351" s="30">
        <f t="shared" si="2512"/>
        <v>5000</v>
      </c>
      <c r="L2351" s="187">
        <v>40000</v>
      </c>
      <c r="M2351" s="110">
        <v>9.5</v>
      </c>
      <c r="N2351" s="9">
        <f>VLOOKUP(DATE(YEAR(A2351),MONTH(A2351),DAY(A2351)),FY24_Temp[],3,FALSE)</f>
        <v>17.399999999999999</v>
      </c>
      <c r="O2351" s="110">
        <f t="shared" si="2498"/>
        <v>11.5</v>
      </c>
      <c r="P2351" s="110">
        <f t="shared" si="2499"/>
        <v>19.5</v>
      </c>
      <c r="Q2351" s="79">
        <f>VLOOKUP(VLOOKUP(DATEVALUE(TEXT(A2351,"m/d/yyyy")),FY24_Temp[],5,FALSE)&amp;TEXT(A2351,"-h"),TempDelta[],4,FALSE)</f>
        <v>1.1053571232727595</v>
      </c>
      <c r="R2351">
        <v>10</v>
      </c>
      <c r="S2351" s="112">
        <v>1500</v>
      </c>
      <c r="T2351" s="5">
        <f>VLOOKUP(TEXT(A2351,"yy-mm")&amp;"-"&amp;IF(AND(WEEKDAY(A2351)&gt;1,WEEKDAY(A2351)&lt;7),"Wkd",TEXT(A2351,"Ddd"))&amp;"-"&amp;TEXT(A2351,"hh"),LoadTable[],3,FALSE)*0.92</f>
        <v>303.31295999999998</v>
      </c>
      <c r="U2351" s="113">
        <f t="shared" si="2500"/>
        <v>30.331295999999998</v>
      </c>
      <c r="V2351">
        <f t="shared" ref="V2351:W2351" si="2548">V2327</f>
        <v>2.8</v>
      </c>
      <c r="W2351">
        <f t="shared" si="2548"/>
        <v>3.1</v>
      </c>
      <c r="X2351" s="9">
        <v>-58.622692466666201</v>
      </c>
      <c r="Y2351" s="39"/>
    </row>
    <row r="2352" spans="1:25" ht="15" thickBot="1">
      <c r="A2352" s="149">
        <f t="shared" si="2482"/>
        <v>45933.874999996282</v>
      </c>
      <c r="B2352" s="30">
        <f t="shared" si="2509"/>
        <v>5000</v>
      </c>
      <c r="C2352" s="8">
        <v>25000</v>
      </c>
      <c r="D2352" s="187">
        <v>0</v>
      </c>
      <c r="E2352" s="187">
        <v>700</v>
      </c>
      <c r="F2352" s="187">
        <v>15000</v>
      </c>
      <c r="G2352" s="151">
        <v>2470</v>
      </c>
      <c r="H2352" s="8">
        <f t="shared" si="2510"/>
        <v>25000</v>
      </c>
      <c r="I2352" s="30">
        <f t="shared" si="2511"/>
        <v>5000</v>
      </c>
      <c r="J2352" s="187">
        <v>40000</v>
      </c>
      <c r="K2352" s="30">
        <f t="shared" si="2512"/>
        <v>5000</v>
      </c>
      <c r="L2352" s="187">
        <v>40000</v>
      </c>
      <c r="M2352" s="110">
        <v>9.5</v>
      </c>
      <c r="N2352" s="9">
        <f>VLOOKUP(DATE(YEAR(A2352),MONTH(A2352),DAY(A2352)),FY24_Temp[],3,FALSE)</f>
        <v>17.399999999999999</v>
      </c>
      <c r="O2352" s="110">
        <f t="shared" si="2498"/>
        <v>11.5</v>
      </c>
      <c r="P2352" s="110">
        <f t="shared" si="2499"/>
        <v>19.5</v>
      </c>
      <c r="Q2352" s="79">
        <f>VLOOKUP(VLOOKUP(DATEVALUE(TEXT(A2352,"m/d/yyyy")),FY24_Temp[],5,FALSE)&amp;TEXT(A2352,"-h"),TempDelta[],4,FALSE)</f>
        <v>1.1162857200418199</v>
      </c>
      <c r="R2352">
        <v>10</v>
      </c>
      <c r="S2352" s="112">
        <v>1500</v>
      </c>
      <c r="T2352" s="5">
        <f>VLOOKUP(TEXT(A2352,"yy-mm")&amp;"-"&amp;IF(AND(WEEKDAY(A2352)&gt;1,WEEKDAY(A2352)&lt;7),"Wkd",TEXT(A2352,"Ddd"))&amp;"-"&amp;TEXT(A2352,"hh"),LoadTable[],3,FALSE)*0.92</f>
        <v>229.93744000000001</v>
      </c>
      <c r="U2352" s="113">
        <f t="shared" si="2500"/>
        <v>22.993744</v>
      </c>
      <c r="V2352">
        <f t="shared" ref="V2352:W2352" si="2549">V2328</f>
        <v>3.5</v>
      </c>
      <c r="W2352">
        <f t="shared" si="2549"/>
        <v>3.1</v>
      </c>
      <c r="X2352" s="9">
        <v>-58.700487016666202</v>
      </c>
      <c r="Y2352" s="39"/>
    </row>
    <row r="2353" spans="1:25" ht="15" thickBot="1">
      <c r="A2353" s="149">
        <f t="shared" si="2482"/>
        <v>45933.916666662946</v>
      </c>
      <c r="B2353" s="30">
        <f t="shared" si="2509"/>
        <v>5000</v>
      </c>
      <c r="C2353" s="8">
        <v>25000</v>
      </c>
      <c r="D2353" s="187">
        <v>0</v>
      </c>
      <c r="E2353" s="187">
        <v>700</v>
      </c>
      <c r="F2353" s="187">
        <v>15000</v>
      </c>
      <c r="G2353" s="151">
        <v>2470</v>
      </c>
      <c r="H2353" s="8">
        <f t="shared" si="2510"/>
        <v>25000</v>
      </c>
      <c r="I2353" s="30">
        <f t="shared" si="2511"/>
        <v>5000</v>
      </c>
      <c r="J2353" s="187">
        <v>40000</v>
      </c>
      <c r="K2353" s="30">
        <f t="shared" si="2512"/>
        <v>5000</v>
      </c>
      <c r="L2353" s="187">
        <v>40000</v>
      </c>
      <c r="M2353" s="110">
        <v>9.5</v>
      </c>
      <c r="N2353" s="9">
        <f>VLOOKUP(DATE(YEAR(A2353),MONTH(A2353),DAY(A2353)),FY24_Temp[],3,FALSE)</f>
        <v>17.399999999999999</v>
      </c>
      <c r="O2353" s="110">
        <f t="shared" si="2498"/>
        <v>11.5</v>
      </c>
      <c r="P2353" s="110">
        <f t="shared" si="2499"/>
        <v>19.5</v>
      </c>
      <c r="Q2353" s="79">
        <f>VLOOKUP(VLOOKUP(DATEVALUE(TEXT(A2353,"m/d/yyyy")),FY24_Temp[],5,FALSE)&amp;TEXT(A2353,"-h"),TempDelta[],4,FALSE)</f>
        <v>1.639714275087629</v>
      </c>
      <c r="R2353">
        <v>10</v>
      </c>
      <c r="S2353" s="112">
        <v>1500</v>
      </c>
      <c r="T2353" s="5">
        <f>VLOOKUP(TEXT(A2353,"yy-mm")&amp;"-"&amp;IF(AND(WEEKDAY(A2353)&gt;1,WEEKDAY(A2353)&lt;7),"Wkd",TEXT(A2353,"Ddd"))&amp;"-"&amp;TEXT(A2353,"hh"),LoadTable[],3,FALSE)*0.92</f>
        <v>176.52040000000002</v>
      </c>
      <c r="U2353" s="113">
        <f t="shared" si="2500"/>
        <v>17.652040000000003</v>
      </c>
      <c r="V2353">
        <f t="shared" ref="V2353:W2353" si="2550">V2329</f>
        <v>2.9</v>
      </c>
      <c r="W2353">
        <f t="shared" si="2550"/>
        <v>3.1</v>
      </c>
      <c r="X2353" s="9">
        <v>-58.778281566666202</v>
      </c>
      <c r="Y2353" s="39"/>
    </row>
    <row r="2354" spans="1:25" ht="15" thickBot="1">
      <c r="A2354" s="149">
        <f t="shared" si="2482"/>
        <v>45933.95833332961</v>
      </c>
      <c r="B2354" s="30">
        <f t="shared" si="2509"/>
        <v>5000</v>
      </c>
      <c r="C2354" s="8">
        <v>25000</v>
      </c>
      <c r="D2354" s="187">
        <v>0</v>
      </c>
      <c r="E2354" s="187">
        <v>700</v>
      </c>
      <c r="F2354" s="187">
        <v>15000</v>
      </c>
      <c r="G2354" s="151">
        <v>2470</v>
      </c>
      <c r="H2354" s="8">
        <f t="shared" si="2510"/>
        <v>25000</v>
      </c>
      <c r="I2354" s="30">
        <f t="shared" si="2511"/>
        <v>5000</v>
      </c>
      <c r="J2354" s="187">
        <v>40000</v>
      </c>
      <c r="K2354" s="30">
        <f t="shared" si="2512"/>
        <v>5000</v>
      </c>
      <c r="L2354" s="187">
        <v>40000</v>
      </c>
      <c r="M2354" s="110">
        <v>9.5</v>
      </c>
      <c r="N2354" s="9">
        <f>VLOOKUP(DATE(YEAR(A2354),MONTH(A2354),DAY(A2354)),FY24_Temp[],3,FALSE)</f>
        <v>17.399999999999999</v>
      </c>
      <c r="O2354" s="110">
        <f t="shared" si="2498"/>
        <v>11.5</v>
      </c>
      <c r="P2354" s="110">
        <f t="shared" si="2499"/>
        <v>19.5</v>
      </c>
      <c r="Q2354" s="79">
        <f>VLOOKUP(VLOOKUP(DATEVALUE(TEXT(A2354,"m/d/yyyy")),FY24_Temp[],5,FALSE)&amp;TEXT(A2354,"-h"),TempDelta[],4,FALSE)</f>
        <v>1.7538571187428065</v>
      </c>
      <c r="R2354">
        <v>10</v>
      </c>
      <c r="S2354" s="112">
        <v>1500</v>
      </c>
      <c r="T2354" s="5">
        <f>VLOOKUP(TEXT(A2354,"yy-mm")&amp;"-"&amp;IF(AND(WEEKDAY(A2354)&gt;1,WEEKDAY(A2354)&lt;7),"Wkd",TEXT(A2354,"Ddd"))&amp;"-"&amp;TEXT(A2354,"hh"),LoadTable[],3,FALSE)*0.92</f>
        <v>176.52040000000002</v>
      </c>
      <c r="U2354" s="113">
        <f t="shared" si="2500"/>
        <v>17.652040000000003</v>
      </c>
      <c r="V2354">
        <f t="shared" ref="V2354:W2354" si="2551">V2330</f>
        <v>3.6</v>
      </c>
      <c r="W2354">
        <f t="shared" si="2551"/>
        <v>3.1</v>
      </c>
      <c r="X2354" s="9">
        <v>-58.856076116666202</v>
      </c>
      <c r="Y2354" s="39"/>
    </row>
    <row r="2355" spans="1:25" ht="15" thickBot="1">
      <c r="A2355" s="149">
        <f t="shared" si="2482"/>
        <v>45933.999999996275</v>
      </c>
      <c r="B2355" s="30">
        <f t="shared" si="2509"/>
        <v>5000</v>
      </c>
      <c r="C2355" s="109">
        <v>25000</v>
      </c>
      <c r="D2355" s="187">
        <v>0</v>
      </c>
      <c r="E2355" s="187">
        <v>700</v>
      </c>
      <c r="F2355" s="187">
        <v>15000</v>
      </c>
      <c r="G2355" s="151">
        <v>2470</v>
      </c>
      <c r="H2355" s="8">
        <f t="shared" si="2510"/>
        <v>25000</v>
      </c>
      <c r="I2355" s="30">
        <f t="shared" si="2511"/>
        <v>5000</v>
      </c>
      <c r="J2355" s="187">
        <v>40000</v>
      </c>
      <c r="K2355" s="30">
        <f t="shared" si="2512"/>
        <v>5000</v>
      </c>
      <c r="L2355" s="187">
        <v>40000</v>
      </c>
      <c r="M2355" s="110">
        <v>9.5</v>
      </c>
      <c r="N2355" s="9">
        <f>VLOOKUP(DATE(YEAR(A2355),MONTH(A2355),DAY(A2355)),FY24_Temp[],3,FALSE)</f>
        <v>17.25</v>
      </c>
      <c r="O2355" s="110">
        <f t="shared" si="2498"/>
        <v>11.5</v>
      </c>
      <c r="P2355" s="110">
        <f t="shared" si="2499"/>
        <v>19.5</v>
      </c>
      <c r="Q2355" s="79">
        <f>VLOOKUP(VLOOKUP(DATEVALUE(TEXT(A2355,"m/d/yyyy")),FY24_Temp[],5,FALSE)&amp;TEXT(A2355,"-h"),TempDelta[],4,FALSE)</f>
        <v>1.3511428662708826</v>
      </c>
      <c r="R2355">
        <v>10</v>
      </c>
      <c r="S2355" s="112">
        <v>1500</v>
      </c>
      <c r="T2355" s="5">
        <f>VLOOKUP(TEXT(A2355,"yy-mm")&amp;"-"&amp;IF(AND(WEEKDAY(A2355)&gt;1,WEEKDAY(A2355)&lt;7),"Wkd",TEXT(A2355,"Ddd"))&amp;"-"&amp;TEXT(A2355,"hh"),LoadTable[],3,FALSE)*0.92</f>
        <v>176.52040000000002</v>
      </c>
      <c r="U2355" s="113">
        <f t="shared" si="2500"/>
        <v>17.652040000000003</v>
      </c>
      <c r="V2355">
        <f t="shared" ref="V2355:W2355" si="2552">V2331</f>
        <v>3</v>
      </c>
      <c r="W2355">
        <f t="shared" si="2552"/>
        <v>3.2</v>
      </c>
      <c r="X2355" s="9">
        <v>-58.933870666666202</v>
      </c>
      <c r="Y2355" s="39"/>
    </row>
    <row r="2356" spans="1:25" ht="15" thickBot="1">
      <c r="A2356" s="149">
        <f t="shared" si="2482"/>
        <v>45934.041666662939</v>
      </c>
      <c r="B2356" s="30">
        <f t="shared" si="2509"/>
        <v>5000</v>
      </c>
      <c r="C2356" s="8">
        <v>25000</v>
      </c>
      <c r="D2356" s="187">
        <v>0</v>
      </c>
      <c r="E2356" s="187">
        <v>700</v>
      </c>
      <c r="F2356" s="187">
        <v>15000</v>
      </c>
      <c r="G2356" s="151">
        <v>2470</v>
      </c>
      <c r="H2356" s="8">
        <f t="shared" si="2510"/>
        <v>25000</v>
      </c>
      <c r="I2356" s="30">
        <f t="shared" si="2511"/>
        <v>5000</v>
      </c>
      <c r="J2356" s="187">
        <v>40000</v>
      </c>
      <c r="K2356" s="30">
        <f t="shared" si="2512"/>
        <v>5000</v>
      </c>
      <c r="L2356" s="187">
        <v>40000</v>
      </c>
      <c r="M2356" s="110">
        <v>9.5</v>
      </c>
      <c r="N2356" s="9">
        <f>VLOOKUP(DATE(YEAR(A2356),MONTH(A2356),DAY(A2356)),FY24_Temp[],3,FALSE)</f>
        <v>17.25</v>
      </c>
      <c r="O2356" s="110">
        <f t="shared" si="2498"/>
        <v>11.5</v>
      </c>
      <c r="P2356" s="110">
        <f t="shared" si="2499"/>
        <v>19.5</v>
      </c>
      <c r="Q2356" s="79">
        <f>VLOOKUP(VLOOKUP(DATEVALUE(TEXT(A2356,"m/d/yyyy")),FY24_Temp[],5,FALSE)&amp;TEXT(A2356,"-h"),TempDelta[],4,FALSE)</f>
        <v>1.3058571474892753</v>
      </c>
      <c r="R2356">
        <v>10</v>
      </c>
      <c r="S2356" s="112">
        <v>1500</v>
      </c>
      <c r="T2356" s="5">
        <f>VLOOKUP(TEXT(A2356,"yy-mm")&amp;"-"&amp;IF(AND(WEEKDAY(A2356)&gt;1,WEEKDAY(A2356)&lt;7),"Wkd",TEXT(A2356,"Ddd"))&amp;"-"&amp;TEXT(A2356,"hh"),LoadTable[],3,FALSE)*0.92</f>
        <v>176.52040000000002</v>
      </c>
      <c r="U2356" s="113">
        <f t="shared" si="2500"/>
        <v>17.652040000000003</v>
      </c>
      <c r="V2356">
        <f t="shared" ref="V2356:W2356" si="2553">V2332</f>
        <v>2.6</v>
      </c>
      <c r="W2356">
        <f t="shared" si="2553"/>
        <v>3.2</v>
      </c>
      <c r="X2356" s="9">
        <v>-59.011665216666202</v>
      </c>
      <c r="Y2356" s="39"/>
    </row>
    <row r="2357" spans="1:25" ht="15" thickBot="1">
      <c r="A2357" s="149">
        <f t="shared" ref="A2357:A2420" si="2554">A2356+TIME(1,0,0)</f>
        <v>45934.083333329603</v>
      </c>
      <c r="B2357" s="30">
        <f t="shared" si="2509"/>
        <v>5000</v>
      </c>
      <c r="C2357" s="8">
        <v>25000</v>
      </c>
      <c r="D2357" s="187">
        <v>0</v>
      </c>
      <c r="E2357" s="187">
        <v>700</v>
      </c>
      <c r="F2357" s="187">
        <v>15000</v>
      </c>
      <c r="G2357" s="151">
        <v>2470</v>
      </c>
      <c r="H2357" s="8">
        <f t="shared" si="2510"/>
        <v>25000</v>
      </c>
      <c r="I2357" s="30">
        <f t="shared" si="2511"/>
        <v>5000</v>
      </c>
      <c r="J2357" s="187">
        <v>40000</v>
      </c>
      <c r="K2357" s="30">
        <f t="shared" si="2512"/>
        <v>5000</v>
      </c>
      <c r="L2357" s="187">
        <v>40000</v>
      </c>
      <c r="M2357" s="110">
        <v>9.5</v>
      </c>
      <c r="N2357" s="9">
        <f>VLOOKUP(DATE(YEAR(A2357),MONTH(A2357),DAY(A2357)),FY24_Temp[],3,FALSE)</f>
        <v>17.25</v>
      </c>
      <c r="O2357" s="110">
        <f t="shared" si="2498"/>
        <v>11.5</v>
      </c>
      <c r="P2357" s="110">
        <f t="shared" si="2499"/>
        <v>19.5</v>
      </c>
      <c r="Q2357" s="79">
        <f>VLOOKUP(VLOOKUP(DATEVALUE(TEXT(A2357,"m/d/yyyy")),FY24_Temp[],5,FALSE)&amp;TEXT(A2357,"-h"),TempDelta[],4,FALSE)</f>
        <v>1.217571428843907</v>
      </c>
      <c r="R2357">
        <v>10</v>
      </c>
      <c r="S2357" s="112">
        <v>1500</v>
      </c>
      <c r="T2357" s="5">
        <f>VLOOKUP(TEXT(A2357,"yy-mm")&amp;"-"&amp;IF(AND(WEEKDAY(A2357)&gt;1,WEEKDAY(A2357)&lt;7),"Wkd",TEXT(A2357,"Ddd"))&amp;"-"&amp;TEXT(A2357,"hh"),LoadTable[],3,FALSE)*0.92</f>
        <v>176.52040000000002</v>
      </c>
      <c r="U2357" s="113">
        <f t="shared" si="2500"/>
        <v>17.652040000000003</v>
      </c>
      <c r="V2357">
        <f t="shared" ref="V2357:W2357" si="2555">V2333</f>
        <v>2.8</v>
      </c>
      <c r="W2357">
        <f t="shared" si="2555"/>
        <v>3.2</v>
      </c>
      <c r="X2357" s="9">
        <v>-59.089459766666202</v>
      </c>
      <c r="Y2357" s="39"/>
    </row>
    <row r="2358" spans="1:25" ht="15" thickBot="1">
      <c r="A2358" s="149">
        <f t="shared" si="2554"/>
        <v>45934.124999996267</v>
      </c>
      <c r="B2358" s="30">
        <f t="shared" si="2509"/>
        <v>5000</v>
      </c>
      <c r="C2358" s="8">
        <v>25000</v>
      </c>
      <c r="D2358" s="187">
        <v>0</v>
      </c>
      <c r="E2358" s="187">
        <v>700</v>
      </c>
      <c r="F2358" s="187">
        <v>15000</v>
      </c>
      <c r="G2358" s="151">
        <v>2470</v>
      </c>
      <c r="H2358" s="8">
        <f t="shared" si="2510"/>
        <v>25000</v>
      </c>
      <c r="I2358" s="30">
        <f t="shared" si="2511"/>
        <v>5000</v>
      </c>
      <c r="J2358" s="187">
        <v>40000</v>
      </c>
      <c r="K2358" s="30">
        <f t="shared" si="2512"/>
        <v>5000</v>
      </c>
      <c r="L2358" s="187">
        <v>40000</v>
      </c>
      <c r="M2358" s="110">
        <v>9.5</v>
      </c>
      <c r="N2358" s="9">
        <f>VLOOKUP(DATE(YEAR(A2358),MONTH(A2358),DAY(A2358)),FY24_Temp[],3,FALSE)</f>
        <v>17.25</v>
      </c>
      <c r="O2358" s="110">
        <f t="shared" si="2498"/>
        <v>11.5</v>
      </c>
      <c r="P2358" s="110">
        <f t="shared" si="2499"/>
        <v>19.5</v>
      </c>
      <c r="Q2358" s="79">
        <f>VLOOKUP(VLOOKUP(DATEVALUE(TEXT(A2358,"m/d/yyyy")),FY24_Temp[],5,FALSE)&amp;TEXT(A2358,"-h"),TempDelta[],4,FALSE)</f>
        <v>1.1134285586220878</v>
      </c>
      <c r="R2358">
        <v>10</v>
      </c>
      <c r="S2358" s="112">
        <v>1500</v>
      </c>
      <c r="T2358" s="5">
        <f>VLOOKUP(TEXT(A2358,"yy-mm")&amp;"-"&amp;IF(AND(WEEKDAY(A2358)&gt;1,WEEKDAY(A2358)&lt;7),"Wkd",TEXT(A2358,"Ddd"))&amp;"-"&amp;TEXT(A2358,"hh"),LoadTable[],3,FALSE)*0.92</f>
        <v>176.52040000000002</v>
      </c>
      <c r="U2358" s="113">
        <f t="shared" si="2500"/>
        <v>17.652040000000003</v>
      </c>
      <c r="V2358">
        <f t="shared" ref="V2358:W2358" si="2556">V2334</f>
        <v>2.7</v>
      </c>
      <c r="W2358">
        <f t="shared" si="2556"/>
        <v>3.2</v>
      </c>
      <c r="X2358" s="9">
        <v>-59.167254316666202</v>
      </c>
      <c r="Y2358" s="39"/>
    </row>
    <row r="2359" spans="1:25" ht="15" thickBot="1">
      <c r="A2359" s="149">
        <f t="shared" si="2554"/>
        <v>45934.166666662932</v>
      </c>
      <c r="B2359" s="30">
        <f t="shared" si="2509"/>
        <v>5000</v>
      </c>
      <c r="C2359" s="8">
        <v>25000</v>
      </c>
      <c r="D2359" s="187">
        <v>0</v>
      </c>
      <c r="E2359" s="187">
        <v>700</v>
      </c>
      <c r="F2359" s="187">
        <v>15000</v>
      </c>
      <c r="G2359" s="151">
        <v>2470</v>
      </c>
      <c r="H2359" s="8">
        <f t="shared" si="2510"/>
        <v>25000</v>
      </c>
      <c r="I2359" s="30">
        <f t="shared" si="2511"/>
        <v>5000</v>
      </c>
      <c r="J2359" s="187">
        <v>40000</v>
      </c>
      <c r="K2359" s="30">
        <f t="shared" si="2512"/>
        <v>5000</v>
      </c>
      <c r="L2359" s="187">
        <v>40000</v>
      </c>
      <c r="M2359" s="110">
        <v>9.5</v>
      </c>
      <c r="N2359" s="9">
        <f>VLOOKUP(DATE(YEAR(A2359),MONTH(A2359),DAY(A2359)),FY24_Temp[],3,FALSE)</f>
        <v>17.25</v>
      </c>
      <c r="O2359" s="110">
        <f t="shared" si="2498"/>
        <v>11.5</v>
      </c>
      <c r="P2359" s="110">
        <f t="shared" si="2499"/>
        <v>19.5</v>
      </c>
      <c r="Q2359" s="79">
        <f>VLOOKUP(VLOOKUP(DATEVALUE(TEXT(A2359,"m/d/yyyy")),FY24_Temp[],5,FALSE)&amp;TEXT(A2359,"-h"),TempDelta[],4,FALSE)</f>
        <v>1.0284285715648107</v>
      </c>
      <c r="R2359">
        <v>10</v>
      </c>
      <c r="S2359" s="112">
        <v>1500</v>
      </c>
      <c r="T2359" s="5">
        <f>VLOOKUP(TEXT(A2359,"yy-mm")&amp;"-"&amp;IF(AND(WEEKDAY(A2359)&gt;1,WEEKDAY(A2359)&lt;7),"Wkd",TEXT(A2359,"Ddd"))&amp;"-"&amp;TEXT(A2359,"hh"),LoadTable[],3,FALSE)*0.92</f>
        <v>176.52040000000002</v>
      </c>
      <c r="U2359" s="113">
        <f t="shared" si="2500"/>
        <v>17.652040000000003</v>
      </c>
      <c r="V2359">
        <f t="shared" ref="V2359:W2359" si="2557">V2335</f>
        <v>3</v>
      </c>
      <c r="W2359">
        <f t="shared" si="2557"/>
        <v>3.1</v>
      </c>
      <c r="X2359" s="9">
        <v>-59.245048866666203</v>
      </c>
      <c r="Y2359" s="39"/>
    </row>
    <row r="2360" spans="1:25" ht="15" thickBot="1">
      <c r="A2360" s="149">
        <f t="shared" si="2554"/>
        <v>45934.208333329596</v>
      </c>
      <c r="B2360" s="30">
        <f t="shared" si="2509"/>
        <v>5000</v>
      </c>
      <c r="C2360" s="8">
        <v>25000</v>
      </c>
      <c r="D2360" s="187">
        <v>0</v>
      </c>
      <c r="E2360" s="187">
        <v>700</v>
      </c>
      <c r="F2360" s="187">
        <v>15000</v>
      </c>
      <c r="G2360" s="151">
        <v>2470</v>
      </c>
      <c r="H2360" s="8">
        <f t="shared" si="2510"/>
        <v>25000</v>
      </c>
      <c r="I2360" s="30">
        <f t="shared" si="2511"/>
        <v>5000</v>
      </c>
      <c r="J2360" s="187">
        <v>40000</v>
      </c>
      <c r="K2360" s="30">
        <f t="shared" si="2512"/>
        <v>5000</v>
      </c>
      <c r="L2360" s="187">
        <v>40000</v>
      </c>
      <c r="M2360" s="110">
        <v>9.5</v>
      </c>
      <c r="N2360" s="9">
        <f>VLOOKUP(DATE(YEAR(A2360),MONTH(A2360),DAY(A2360)),FY24_Temp[],3,FALSE)</f>
        <v>17.25</v>
      </c>
      <c r="O2360" s="110">
        <f t="shared" si="2498"/>
        <v>11.5</v>
      </c>
      <c r="P2360" s="110">
        <f t="shared" si="2499"/>
        <v>19.5</v>
      </c>
      <c r="Q2360" s="79">
        <f>VLOOKUP(VLOOKUP(DATEVALUE(TEXT(A2360,"m/d/yyyy")),FY24_Temp[],5,FALSE)&amp;TEXT(A2360,"-h"),TempDelta[],4,FALSE)</f>
        <v>1.0574285643441337</v>
      </c>
      <c r="R2360">
        <v>10</v>
      </c>
      <c r="S2360" s="112">
        <v>1500</v>
      </c>
      <c r="T2360" s="5">
        <f>VLOOKUP(TEXT(A2360,"yy-mm")&amp;"-"&amp;IF(AND(WEEKDAY(A2360)&gt;1,WEEKDAY(A2360)&lt;7),"Wkd",TEXT(A2360,"Ddd"))&amp;"-"&amp;TEXT(A2360,"hh"),LoadTable[],3,FALSE)*0.92</f>
        <v>176.52040000000002</v>
      </c>
      <c r="U2360" s="113">
        <f t="shared" si="2500"/>
        <v>17.652040000000003</v>
      </c>
      <c r="V2360">
        <f t="shared" ref="V2360:W2360" si="2558">V2336</f>
        <v>2.9</v>
      </c>
      <c r="W2360">
        <f t="shared" si="2558"/>
        <v>3.1</v>
      </c>
      <c r="X2360" s="9">
        <v>-59.322843416666203</v>
      </c>
      <c r="Y2360" s="39"/>
    </row>
    <row r="2361" spans="1:25" ht="15" thickBot="1">
      <c r="A2361" s="149">
        <f t="shared" si="2554"/>
        <v>45934.24999999626</v>
      </c>
      <c r="B2361" s="30">
        <f t="shared" si="2509"/>
        <v>8000</v>
      </c>
      <c r="C2361" s="8">
        <v>25000</v>
      </c>
      <c r="D2361" s="187">
        <v>0</v>
      </c>
      <c r="E2361" s="187">
        <v>700</v>
      </c>
      <c r="F2361" s="187">
        <v>15000</v>
      </c>
      <c r="G2361" s="151">
        <v>2470</v>
      </c>
      <c r="H2361" s="8">
        <f t="shared" si="2510"/>
        <v>25000</v>
      </c>
      <c r="I2361" s="30">
        <f t="shared" si="2511"/>
        <v>8000</v>
      </c>
      <c r="J2361" s="187">
        <v>40000</v>
      </c>
      <c r="K2361" s="30">
        <f t="shared" si="2512"/>
        <v>8000</v>
      </c>
      <c r="L2361" s="187">
        <v>40000</v>
      </c>
      <c r="M2361" s="110">
        <v>9.5</v>
      </c>
      <c r="N2361" s="9">
        <f>VLOOKUP(DATE(YEAR(A2361),MONTH(A2361),DAY(A2361)),FY24_Temp[],3,FALSE)</f>
        <v>17.25</v>
      </c>
      <c r="O2361" s="110">
        <f t="shared" si="2498"/>
        <v>11.5</v>
      </c>
      <c r="P2361" s="110">
        <f t="shared" si="2499"/>
        <v>19.5</v>
      </c>
      <c r="Q2361" s="79">
        <f>VLOOKUP(VLOOKUP(DATEVALUE(TEXT(A2361,"m/d/yyyy")),FY24_Temp[],5,FALSE)&amp;TEXT(A2361,"-h"),TempDelta[],4,FALSE)</f>
        <v>0.9115714345659528</v>
      </c>
      <c r="R2361">
        <v>10</v>
      </c>
      <c r="S2361" s="112">
        <v>1500</v>
      </c>
      <c r="T2361" s="5">
        <f>VLOOKUP(TEXT(A2361,"yy-mm")&amp;"-"&amp;IF(AND(WEEKDAY(A2361)&gt;1,WEEKDAY(A2361)&lt;7),"Wkd",TEXT(A2361,"Ddd"))&amp;"-"&amp;TEXT(A2361,"hh"),LoadTable[],3,FALSE)*0.92</f>
        <v>234.80148</v>
      </c>
      <c r="U2361" s="113">
        <f t="shared" si="2500"/>
        <v>23.480148</v>
      </c>
      <c r="V2361">
        <f t="shared" ref="V2361:W2361" si="2559">V2337</f>
        <v>2.5</v>
      </c>
      <c r="W2361">
        <f t="shared" si="2559"/>
        <v>3.1</v>
      </c>
      <c r="X2361" s="9">
        <v>-59.400637966666203</v>
      </c>
      <c r="Y2361" s="39"/>
    </row>
    <row r="2362" spans="1:25" ht="15" thickBot="1">
      <c r="A2362" s="149">
        <f t="shared" si="2554"/>
        <v>45934.291666662924</v>
      </c>
      <c r="B2362" s="30">
        <f t="shared" si="2509"/>
        <v>8000</v>
      </c>
      <c r="C2362" s="8">
        <v>25000</v>
      </c>
      <c r="D2362" s="187">
        <v>0</v>
      </c>
      <c r="E2362" s="187">
        <v>700</v>
      </c>
      <c r="F2362" s="187">
        <v>15000</v>
      </c>
      <c r="G2362" s="151">
        <v>2470</v>
      </c>
      <c r="H2362" s="8">
        <f t="shared" si="2510"/>
        <v>25000</v>
      </c>
      <c r="I2362" s="30">
        <f t="shared" si="2511"/>
        <v>8000</v>
      </c>
      <c r="J2362" s="187">
        <v>40000</v>
      </c>
      <c r="K2362" s="30">
        <f t="shared" si="2512"/>
        <v>8000</v>
      </c>
      <c r="L2362" s="187">
        <v>40000</v>
      </c>
      <c r="M2362" s="110">
        <v>9.5</v>
      </c>
      <c r="N2362" s="9">
        <f>VLOOKUP(DATE(YEAR(A2362),MONTH(A2362),DAY(A2362)),FY24_Temp[],3,FALSE)</f>
        <v>17.25</v>
      </c>
      <c r="O2362" s="110">
        <f t="shared" si="2498"/>
        <v>11.5</v>
      </c>
      <c r="P2362" s="110">
        <f t="shared" si="2499"/>
        <v>19.5</v>
      </c>
      <c r="Q2362" s="79">
        <f>VLOOKUP(VLOOKUP(DATEVALUE(TEXT(A2362,"m/d/yyyy")),FY24_Temp[],5,FALSE)&amp;TEXT(A2362,"-h"),TempDelta[],4,FALSE)</f>
        <v>0.73142857210976742</v>
      </c>
      <c r="R2362">
        <v>10</v>
      </c>
      <c r="S2362" s="112">
        <v>1500</v>
      </c>
      <c r="T2362" s="5">
        <f>VLOOKUP(TEXT(A2362,"yy-mm")&amp;"-"&amp;IF(AND(WEEKDAY(A2362)&gt;1,WEEKDAY(A2362)&lt;7),"Wkd",TEXT(A2362,"Ddd"))&amp;"-"&amp;TEXT(A2362,"hh"),LoadTable[],3,FALSE)*0.92</f>
        <v>234.80148</v>
      </c>
      <c r="U2362" s="113">
        <f t="shared" si="2500"/>
        <v>23.480148</v>
      </c>
      <c r="V2362">
        <f t="shared" ref="V2362:W2362" si="2560">V2338</f>
        <v>2.5</v>
      </c>
      <c r="W2362">
        <f t="shared" si="2560"/>
        <v>3.1</v>
      </c>
      <c r="X2362" s="9">
        <v>-59.478432516666203</v>
      </c>
      <c r="Y2362" s="39"/>
    </row>
    <row r="2363" spans="1:25" ht="15" thickBot="1">
      <c r="A2363" s="149">
        <f t="shared" si="2554"/>
        <v>45934.333333329589</v>
      </c>
      <c r="B2363" s="30">
        <f t="shared" si="2509"/>
        <v>8000</v>
      </c>
      <c r="C2363" s="8">
        <v>25000</v>
      </c>
      <c r="D2363" s="187">
        <v>0</v>
      </c>
      <c r="E2363" s="187">
        <v>700</v>
      </c>
      <c r="F2363" s="187">
        <v>15000</v>
      </c>
      <c r="G2363" s="151">
        <v>2470</v>
      </c>
      <c r="H2363" s="8">
        <f t="shared" si="2510"/>
        <v>25000</v>
      </c>
      <c r="I2363" s="30">
        <f t="shared" si="2511"/>
        <v>8000</v>
      </c>
      <c r="J2363" s="187">
        <v>40000</v>
      </c>
      <c r="K2363" s="30">
        <f t="shared" si="2512"/>
        <v>8000</v>
      </c>
      <c r="L2363" s="187">
        <v>40000</v>
      </c>
      <c r="M2363" s="110">
        <v>9.5</v>
      </c>
      <c r="N2363" s="9">
        <f>VLOOKUP(DATE(YEAR(A2363),MONTH(A2363),DAY(A2363)),FY24_Temp[],3,FALSE)</f>
        <v>17.25</v>
      </c>
      <c r="O2363" s="110">
        <f t="shared" si="2498"/>
        <v>11.5</v>
      </c>
      <c r="P2363" s="110">
        <f t="shared" si="2499"/>
        <v>19.5</v>
      </c>
      <c r="Q2363" s="79">
        <f>VLOOKUP(VLOOKUP(DATEVALUE(TEXT(A2363,"m/d/yyyy")),FY24_Temp[],5,FALSE)&amp;TEXT(A2363,"-h"),TempDelta[],4,FALSE)</f>
        <v>0.62228572368621826</v>
      </c>
      <c r="R2363">
        <v>10</v>
      </c>
      <c r="S2363" s="112">
        <v>1500</v>
      </c>
      <c r="T2363" s="5">
        <f>VLOOKUP(TEXT(A2363,"yy-mm")&amp;"-"&amp;IF(AND(WEEKDAY(A2363)&gt;1,WEEKDAY(A2363)&lt;7),"Wkd",TEXT(A2363,"Ddd"))&amp;"-"&amp;TEXT(A2363,"hh"),LoadTable[],3,FALSE)*0.92</f>
        <v>234.80148</v>
      </c>
      <c r="U2363" s="113">
        <f t="shared" si="2500"/>
        <v>23.480148</v>
      </c>
      <c r="V2363">
        <f t="shared" ref="V2363:W2363" si="2561">V2339</f>
        <v>3.2</v>
      </c>
      <c r="W2363">
        <f t="shared" si="2561"/>
        <v>3</v>
      </c>
      <c r="X2363" s="9">
        <v>-59.556227066666203</v>
      </c>
      <c r="Y2363" s="39"/>
    </row>
    <row r="2364" spans="1:25" ht="15" thickBot="1">
      <c r="A2364" s="149">
        <f t="shared" si="2554"/>
        <v>45934.374999996253</v>
      </c>
      <c r="B2364" s="30">
        <f t="shared" si="2509"/>
        <v>8000</v>
      </c>
      <c r="C2364" s="8">
        <v>25000</v>
      </c>
      <c r="D2364" s="187">
        <v>0</v>
      </c>
      <c r="E2364" s="187">
        <v>700</v>
      </c>
      <c r="F2364" s="187">
        <v>15000</v>
      </c>
      <c r="G2364" s="151">
        <v>2470</v>
      </c>
      <c r="H2364" s="8">
        <f t="shared" si="2510"/>
        <v>25000</v>
      </c>
      <c r="I2364" s="30">
        <f t="shared" si="2511"/>
        <v>8000</v>
      </c>
      <c r="J2364" s="187">
        <v>40000</v>
      </c>
      <c r="K2364" s="30">
        <f t="shared" si="2512"/>
        <v>8000</v>
      </c>
      <c r="L2364" s="187">
        <v>40000</v>
      </c>
      <c r="M2364" s="110">
        <v>9.5</v>
      </c>
      <c r="N2364" s="9">
        <f>VLOOKUP(DATE(YEAR(A2364),MONTH(A2364),DAY(A2364)),FY24_Temp[],3,FALSE)</f>
        <v>17.25</v>
      </c>
      <c r="O2364" s="110">
        <f t="shared" si="2498"/>
        <v>11.5</v>
      </c>
      <c r="P2364" s="110">
        <f t="shared" si="2499"/>
        <v>19.5</v>
      </c>
      <c r="Q2364" s="79">
        <f>VLOOKUP(VLOOKUP(DATEVALUE(TEXT(A2364,"m/d/yyyy")),FY24_Temp[],5,FALSE)&amp;TEXT(A2364,"-h"),TempDelta[],4,FALSE)</f>
        <v>0.53400000504084999</v>
      </c>
      <c r="R2364">
        <v>10</v>
      </c>
      <c r="S2364" s="112">
        <v>1500</v>
      </c>
      <c r="T2364" s="5">
        <f>VLOOKUP(TEXT(A2364,"yy-mm")&amp;"-"&amp;IF(AND(WEEKDAY(A2364)&gt;1,WEEKDAY(A2364)&lt;7),"Wkd",TEXT(A2364,"Ddd"))&amp;"-"&amp;TEXT(A2364,"hh"),LoadTable[],3,FALSE)*0.92</f>
        <v>234.80148</v>
      </c>
      <c r="U2364" s="113">
        <f t="shared" si="2500"/>
        <v>23.480148</v>
      </c>
      <c r="V2364">
        <f t="shared" ref="V2364:W2364" si="2562">V2340</f>
        <v>2.9</v>
      </c>
      <c r="W2364">
        <f t="shared" si="2562"/>
        <v>3</v>
      </c>
      <c r="X2364" s="9">
        <v>-59.634021616666203</v>
      </c>
      <c r="Y2364" s="39"/>
    </row>
    <row r="2365" spans="1:25" ht="15" thickBot="1">
      <c r="A2365" s="149">
        <f t="shared" si="2554"/>
        <v>45934.416666662917</v>
      </c>
      <c r="B2365" s="30">
        <f t="shared" si="2509"/>
        <v>8000</v>
      </c>
      <c r="C2365" s="8">
        <v>25000</v>
      </c>
      <c r="D2365" s="187">
        <v>0</v>
      </c>
      <c r="E2365" s="187">
        <v>700</v>
      </c>
      <c r="F2365" s="187">
        <v>15000</v>
      </c>
      <c r="G2365" s="151">
        <v>2470</v>
      </c>
      <c r="H2365" s="8">
        <f t="shared" si="2510"/>
        <v>25000</v>
      </c>
      <c r="I2365" s="30">
        <f t="shared" si="2511"/>
        <v>8000</v>
      </c>
      <c r="J2365" s="187">
        <v>40000</v>
      </c>
      <c r="K2365" s="30">
        <f t="shared" si="2512"/>
        <v>8000</v>
      </c>
      <c r="L2365" s="187">
        <v>40000</v>
      </c>
      <c r="M2365" s="110">
        <v>9.5</v>
      </c>
      <c r="N2365" s="9">
        <f>VLOOKUP(DATE(YEAR(A2365),MONTH(A2365),DAY(A2365)),FY24_Temp[],3,FALSE)</f>
        <v>17.25</v>
      </c>
      <c r="O2365" s="110">
        <f t="shared" si="2498"/>
        <v>11.5</v>
      </c>
      <c r="P2365" s="110">
        <f t="shared" si="2499"/>
        <v>19.5</v>
      </c>
      <c r="Q2365" s="79">
        <f>VLOOKUP(VLOOKUP(DATEVALUE(TEXT(A2365,"m/d/yyyy")),FY24_Temp[],5,FALSE)&amp;TEXT(A2365,"-h"),TempDelta[],4,FALSE)</f>
        <v>0.42900000299726215</v>
      </c>
      <c r="R2365">
        <v>10</v>
      </c>
      <c r="S2365" s="112">
        <v>1500</v>
      </c>
      <c r="T2365" s="5">
        <f>VLOOKUP(TEXT(A2365,"yy-mm")&amp;"-"&amp;IF(AND(WEEKDAY(A2365)&gt;1,WEEKDAY(A2365)&lt;7),"Wkd",TEXT(A2365,"Ddd"))&amp;"-"&amp;TEXT(A2365,"hh"),LoadTable[],3,FALSE)*0.92</f>
        <v>234.80148</v>
      </c>
      <c r="U2365" s="113">
        <f t="shared" si="2500"/>
        <v>23.480148</v>
      </c>
      <c r="V2365">
        <f t="shared" ref="V2365:W2365" si="2563">V2341</f>
        <v>2.9</v>
      </c>
      <c r="W2365">
        <f t="shared" si="2563"/>
        <v>3</v>
      </c>
      <c r="X2365" s="9">
        <v>-59.711816166666203</v>
      </c>
      <c r="Y2365" s="39"/>
    </row>
    <row r="2366" spans="1:25" ht="15" thickBot="1">
      <c r="A2366" s="149">
        <f t="shared" si="2554"/>
        <v>45934.458333329581</v>
      </c>
      <c r="B2366" s="30">
        <f t="shared" si="2509"/>
        <v>8000</v>
      </c>
      <c r="C2366" s="8">
        <v>25000</v>
      </c>
      <c r="D2366" s="187">
        <v>0</v>
      </c>
      <c r="E2366" s="187">
        <v>700</v>
      </c>
      <c r="F2366" s="187">
        <v>15000</v>
      </c>
      <c r="G2366" s="151">
        <v>2470</v>
      </c>
      <c r="H2366" s="8">
        <f t="shared" si="2510"/>
        <v>25000</v>
      </c>
      <c r="I2366" s="30">
        <f t="shared" si="2511"/>
        <v>8000</v>
      </c>
      <c r="J2366" s="187">
        <v>40000</v>
      </c>
      <c r="K2366" s="30">
        <f t="shared" si="2512"/>
        <v>8000</v>
      </c>
      <c r="L2366" s="187">
        <v>40000</v>
      </c>
      <c r="M2366" s="110">
        <v>9.5</v>
      </c>
      <c r="N2366" s="9">
        <f>VLOOKUP(DATE(YEAR(A2366),MONTH(A2366),DAY(A2366)),FY24_Temp[],3,FALSE)</f>
        <v>17.25</v>
      </c>
      <c r="O2366" s="110">
        <f t="shared" si="2498"/>
        <v>11.5</v>
      </c>
      <c r="P2366" s="110">
        <f t="shared" si="2499"/>
        <v>19.5</v>
      </c>
      <c r="Q2366" s="79">
        <f>VLOOKUP(VLOOKUP(DATEVALUE(TEXT(A2366,"m/d/yyyy")),FY24_Temp[],5,FALSE)&amp;TEXT(A2366,"-h"),TempDelta[],4,FALSE)</f>
        <v>0.33714285918644499</v>
      </c>
      <c r="R2366">
        <v>10</v>
      </c>
      <c r="S2366" s="112">
        <v>1500</v>
      </c>
      <c r="T2366" s="5">
        <f>VLOOKUP(TEXT(A2366,"yy-mm")&amp;"-"&amp;IF(AND(WEEKDAY(A2366)&gt;1,WEEKDAY(A2366)&lt;7),"Wkd",TEXT(A2366,"Ddd"))&amp;"-"&amp;TEXT(A2366,"hh"),LoadTable[],3,FALSE)*0.92</f>
        <v>234.80148</v>
      </c>
      <c r="U2366" s="113">
        <f t="shared" si="2500"/>
        <v>23.480148</v>
      </c>
      <c r="V2366">
        <f t="shared" ref="V2366:W2366" si="2564">V2342</f>
        <v>3.4</v>
      </c>
      <c r="W2366">
        <f t="shared" si="2564"/>
        <v>3</v>
      </c>
      <c r="X2366" s="9">
        <v>-59.789610716666203</v>
      </c>
      <c r="Y2366" s="39"/>
    </row>
    <row r="2367" spans="1:25" ht="15" thickBot="1">
      <c r="A2367" s="149">
        <f t="shared" si="2554"/>
        <v>45934.499999996246</v>
      </c>
      <c r="B2367" s="30">
        <f t="shared" si="2509"/>
        <v>8000</v>
      </c>
      <c r="C2367" s="8">
        <v>25000</v>
      </c>
      <c r="D2367" s="187">
        <v>0</v>
      </c>
      <c r="E2367" s="187">
        <v>700</v>
      </c>
      <c r="F2367" s="187">
        <v>15000</v>
      </c>
      <c r="G2367" s="151">
        <v>2470</v>
      </c>
      <c r="H2367" s="8">
        <f t="shared" si="2510"/>
        <v>25000</v>
      </c>
      <c r="I2367" s="30">
        <f t="shared" si="2511"/>
        <v>8000</v>
      </c>
      <c r="J2367" s="187">
        <v>40000</v>
      </c>
      <c r="K2367" s="30">
        <f t="shared" si="2512"/>
        <v>8000</v>
      </c>
      <c r="L2367" s="187">
        <v>40000</v>
      </c>
      <c r="M2367" s="110">
        <v>9.5</v>
      </c>
      <c r="N2367" s="9">
        <f>VLOOKUP(DATE(YEAR(A2367),MONTH(A2367),DAY(A2367)),FY24_Temp[],3,FALSE)</f>
        <v>17.25</v>
      </c>
      <c r="O2367" s="110">
        <f t="shared" si="2498"/>
        <v>11.5</v>
      </c>
      <c r="P2367" s="110">
        <f t="shared" si="2499"/>
        <v>19.5</v>
      </c>
      <c r="Q2367" s="79">
        <f>VLOOKUP(VLOOKUP(DATEVALUE(TEXT(A2367,"m/d/yyyy")),FY24_Temp[],5,FALSE)&amp;TEXT(A2367,"-h"),TempDelta[],4,FALSE)</f>
        <v>0.2629999986716679</v>
      </c>
      <c r="R2367">
        <v>10</v>
      </c>
      <c r="S2367" s="112">
        <v>1500</v>
      </c>
      <c r="T2367" s="5">
        <f>VLOOKUP(TEXT(A2367,"yy-mm")&amp;"-"&amp;IF(AND(WEEKDAY(A2367)&gt;1,WEEKDAY(A2367)&lt;7),"Wkd",TEXT(A2367,"Ddd"))&amp;"-"&amp;TEXT(A2367,"hh"),LoadTable[],3,FALSE)*0.92</f>
        <v>234.80148</v>
      </c>
      <c r="U2367" s="113">
        <f t="shared" si="2500"/>
        <v>23.480148</v>
      </c>
      <c r="V2367">
        <f t="shared" ref="V2367:W2367" si="2565">V2343</f>
        <v>3.1</v>
      </c>
      <c r="W2367">
        <f t="shared" si="2565"/>
        <v>2.9</v>
      </c>
      <c r="X2367" s="9">
        <v>-59.867405266666204</v>
      </c>
      <c r="Y2367" s="39"/>
    </row>
    <row r="2368" spans="1:25" ht="15" thickBot="1">
      <c r="A2368" s="149">
        <f t="shared" si="2554"/>
        <v>45934.54166666291</v>
      </c>
      <c r="B2368" s="30">
        <f t="shared" si="2509"/>
        <v>8000</v>
      </c>
      <c r="C2368" s="8">
        <v>25000</v>
      </c>
      <c r="D2368" s="187">
        <v>0</v>
      </c>
      <c r="E2368" s="187">
        <v>700</v>
      </c>
      <c r="F2368" s="187">
        <v>15000</v>
      </c>
      <c r="G2368" s="151">
        <v>2470</v>
      </c>
      <c r="H2368" s="8">
        <f t="shared" si="2510"/>
        <v>25000</v>
      </c>
      <c r="I2368" s="30">
        <f t="shared" si="2511"/>
        <v>8000</v>
      </c>
      <c r="J2368" s="187">
        <v>40000</v>
      </c>
      <c r="K2368" s="30">
        <f t="shared" si="2512"/>
        <v>8000</v>
      </c>
      <c r="L2368" s="187">
        <v>40000</v>
      </c>
      <c r="M2368" s="110">
        <v>9.5</v>
      </c>
      <c r="N2368" s="9">
        <f>VLOOKUP(DATE(YEAR(A2368),MONTH(A2368),DAY(A2368)),FY24_Temp[],3,FALSE)</f>
        <v>17.25</v>
      </c>
      <c r="O2368" s="110">
        <f t="shared" si="2498"/>
        <v>11.5</v>
      </c>
      <c r="P2368" s="110">
        <f t="shared" si="2499"/>
        <v>19.5</v>
      </c>
      <c r="Q2368" s="79">
        <f>VLOOKUP(VLOOKUP(DATEVALUE(TEXT(A2368,"m/d/yyyy")),FY24_Temp[],5,FALSE)&amp;TEXT(A2368,"-h"),TempDelta[],4,FALSE)</f>
        <v>0.22185713904244558</v>
      </c>
      <c r="R2368">
        <v>10</v>
      </c>
      <c r="S2368" s="112">
        <v>1500</v>
      </c>
      <c r="T2368" s="5">
        <f>VLOOKUP(TEXT(A2368,"yy-mm")&amp;"-"&amp;IF(AND(WEEKDAY(A2368)&gt;1,WEEKDAY(A2368)&lt;7),"Wkd",TEXT(A2368,"Ddd"))&amp;"-"&amp;TEXT(A2368,"hh"),LoadTable[],3,FALSE)*0.92</f>
        <v>234.80148</v>
      </c>
      <c r="U2368" s="113">
        <f t="shared" si="2500"/>
        <v>23.480148</v>
      </c>
      <c r="V2368">
        <f t="shared" ref="V2368:W2368" si="2566">V2344</f>
        <v>3.2</v>
      </c>
      <c r="W2368">
        <f t="shared" si="2566"/>
        <v>2.9</v>
      </c>
      <c r="X2368" s="9">
        <v>-59.945199816666197</v>
      </c>
      <c r="Y2368" s="39"/>
    </row>
    <row r="2369" spans="1:25" ht="15" thickBot="1">
      <c r="A2369" s="149">
        <f t="shared" si="2554"/>
        <v>45934.583333329574</v>
      </c>
      <c r="B2369" s="30">
        <f t="shared" si="2509"/>
        <v>8000</v>
      </c>
      <c r="C2369" s="8">
        <v>25000</v>
      </c>
      <c r="D2369" s="187">
        <v>0</v>
      </c>
      <c r="E2369" s="187">
        <v>700</v>
      </c>
      <c r="F2369" s="187">
        <v>15000</v>
      </c>
      <c r="G2369" s="151">
        <v>2470</v>
      </c>
      <c r="H2369" s="8">
        <f t="shared" si="2510"/>
        <v>25000</v>
      </c>
      <c r="I2369" s="30">
        <f t="shared" si="2511"/>
        <v>8000</v>
      </c>
      <c r="J2369" s="187">
        <v>40000</v>
      </c>
      <c r="K2369" s="30">
        <f t="shared" si="2512"/>
        <v>8000</v>
      </c>
      <c r="L2369" s="187">
        <v>40000</v>
      </c>
      <c r="M2369" s="110">
        <v>9.5</v>
      </c>
      <c r="N2369" s="9">
        <f>VLOOKUP(DATE(YEAR(A2369),MONTH(A2369),DAY(A2369)),FY24_Temp[],3,FALSE)</f>
        <v>17.25</v>
      </c>
      <c r="O2369" s="110">
        <f t="shared" si="2498"/>
        <v>11.5</v>
      </c>
      <c r="P2369" s="110">
        <f t="shared" si="2499"/>
        <v>19.5</v>
      </c>
      <c r="Q2369" s="79">
        <f>VLOOKUP(VLOOKUP(DATEVALUE(TEXT(A2369,"m/d/yyyy")),FY24_Temp[],5,FALSE)&amp;TEXT(A2369,"-h"),TempDelta[],4,FALSE)</f>
        <v>0.29271428287029266</v>
      </c>
      <c r="R2369">
        <v>10</v>
      </c>
      <c r="S2369" s="112">
        <v>1500</v>
      </c>
      <c r="T2369" s="5">
        <f>VLOOKUP(TEXT(A2369,"yy-mm")&amp;"-"&amp;IF(AND(WEEKDAY(A2369)&gt;1,WEEKDAY(A2369)&lt;7),"Wkd",TEXT(A2369,"Ddd"))&amp;"-"&amp;TEXT(A2369,"hh"),LoadTable[],3,FALSE)*0.92</f>
        <v>234.80148</v>
      </c>
      <c r="U2369" s="113">
        <f t="shared" si="2500"/>
        <v>23.480148</v>
      </c>
      <c r="V2369">
        <f t="shared" ref="V2369:W2369" si="2567">V2345</f>
        <v>3.5</v>
      </c>
      <c r="W2369">
        <f t="shared" si="2567"/>
        <v>2.9</v>
      </c>
      <c r="X2369" s="9">
        <v>-60.022994366666197</v>
      </c>
      <c r="Y2369" s="39"/>
    </row>
    <row r="2370" spans="1:25" ht="15" thickBot="1">
      <c r="A2370" s="149">
        <f t="shared" si="2554"/>
        <v>45934.624999996238</v>
      </c>
      <c r="B2370" s="30">
        <f t="shared" si="2509"/>
        <v>8000</v>
      </c>
      <c r="C2370" s="8">
        <v>25000</v>
      </c>
      <c r="D2370" s="187">
        <v>0</v>
      </c>
      <c r="E2370" s="187">
        <v>700</v>
      </c>
      <c r="F2370" s="187">
        <v>15000</v>
      </c>
      <c r="G2370" s="151">
        <v>2470</v>
      </c>
      <c r="H2370" s="8">
        <f t="shared" si="2510"/>
        <v>25000</v>
      </c>
      <c r="I2370" s="30">
        <f t="shared" si="2511"/>
        <v>8000</v>
      </c>
      <c r="J2370" s="187">
        <v>40000</v>
      </c>
      <c r="K2370" s="30">
        <f t="shared" si="2512"/>
        <v>8000</v>
      </c>
      <c r="L2370" s="187">
        <v>40000</v>
      </c>
      <c r="M2370" s="110">
        <v>9.5</v>
      </c>
      <c r="N2370" s="9">
        <f>VLOOKUP(DATE(YEAR(A2370),MONTH(A2370),DAY(A2370)),FY24_Temp[],3,FALSE)</f>
        <v>17.25</v>
      </c>
      <c r="O2370" s="110">
        <f t="shared" si="2498"/>
        <v>11.5</v>
      </c>
      <c r="P2370" s="110">
        <f t="shared" si="2499"/>
        <v>19.5</v>
      </c>
      <c r="Q2370" s="79">
        <f>VLOOKUP(VLOOKUP(DATEVALUE(TEXT(A2370,"m/d/yyyy")),FY24_Temp[],5,FALSE)&amp;TEXT(A2370,"-h"),TempDelta[],4,FALSE)</f>
        <v>0.3973571445260729</v>
      </c>
      <c r="R2370">
        <v>10</v>
      </c>
      <c r="S2370" s="112">
        <v>1500</v>
      </c>
      <c r="T2370" s="5">
        <f>VLOOKUP(TEXT(A2370,"yy-mm")&amp;"-"&amp;IF(AND(WEEKDAY(A2370)&gt;1,WEEKDAY(A2370)&lt;7),"Wkd",TEXT(A2370,"Ddd"))&amp;"-"&amp;TEXT(A2370,"hh"),LoadTable[],3,FALSE)*0.92</f>
        <v>234.80148</v>
      </c>
      <c r="U2370" s="113">
        <f t="shared" si="2500"/>
        <v>23.480148</v>
      </c>
      <c r="V2370">
        <f t="shared" ref="V2370:W2370" si="2568">V2346</f>
        <v>3.2</v>
      </c>
      <c r="W2370">
        <f t="shared" si="2568"/>
        <v>2.9</v>
      </c>
      <c r="X2370" s="9">
        <v>-60.100788916666197</v>
      </c>
      <c r="Y2370" s="39"/>
    </row>
    <row r="2371" spans="1:25" ht="15" thickBot="1">
      <c r="A2371" s="149">
        <f t="shared" si="2554"/>
        <v>45934.666666662903</v>
      </c>
      <c r="B2371" s="30">
        <f t="shared" si="2509"/>
        <v>8000</v>
      </c>
      <c r="C2371" s="8">
        <v>25000</v>
      </c>
      <c r="D2371" s="187">
        <v>0</v>
      </c>
      <c r="E2371" s="187">
        <v>700</v>
      </c>
      <c r="F2371" s="187">
        <v>15000</v>
      </c>
      <c r="G2371" s="151">
        <v>2470</v>
      </c>
      <c r="H2371" s="8">
        <f t="shared" si="2510"/>
        <v>25000</v>
      </c>
      <c r="I2371" s="30">
        <f t="shared" si="2511"/>
        <v>8000</v>
      </c>
      <c r="J2371" s="187">
        <v>40000</v>
      </c>
      <c r="K2371" s="30">
        <f t="shared" si="2512"/>
        <v>8000</v>
      </c>
      <c r="L2371" s="187">
        <v>40000</v>
      </c>
      <c r="M2371" s="110">
        <v>9.5</v>
      </c>
      <c r="N2371" s="9">
        <f>VLOOKUP(DATE(YEAR(A2371),MONTH(A2371),DAY(A2371)),FY24_Temp[],3,FALSE)</f>
        <v>17.25</v>
      </c>
      <c r="O2371" s="110">
        <f t="shared" si="2498"/>
        <v>11.5</v>
      </c>
      <c r="P2371" s="110">
        <f t="shared" si="2499"/>
        <v>19.5</v>
      </c>
      <c r="Q2371" s="79">
        <f>VLOOKUP(VLOOKUP(DATEVALUE(TEXT(A2371,"m/d/yyyy")),FY24_Temp[],5,FALSE)&amp;TEXT(A2371,"-h"),TempDelta[],4,FALSE)</f>
        <v>0.63707143068313599</v>
      </c>
      <c r="R2371">
        <v>10</v>
      </c>
      <c r="S2371" s="112">
        <v>1500</v>
      </c>
      <c r="T2371" s="5">
        <f>VLOOKUP(TEXT(A2371,"yy-mm")&amp;"-"&amp;IF(AND(WEEKDAY(A2371)&gt;1,WEEKDAY(A2371)&lt;7),"Wkd",TEXT(A2371,"Ddd"))&amp;"-"&amp;TEXT(A2371,"hh"),LoadTable[],3,FALSE)*0.92</f>
        <v>234.80148</v>
      </c>
      <c r="U2371" s="113">
        <f t="shared" si="2500"/>
        <v>23.480148</v>
      </c>
      <c r="V2371">
        <f t="shared" ref="V2371:W2371" si="2569">V2347</f>
        <v>3.5</v>
      </c>
      <c r="W2371">
        <f t="shared" si="2569"/>
        <v>3</v>
      </c>
      <c r="X2371" s="9">
        <v>-60.178583466666197</v>
      </c>
      <c r="Y2371" s="39"/>
    </row>
    <row r="2372" spans="1:25" ht="15" thickBot="1">
      <c r="A2372" s="149">
        <f t="shared" si="2554"/>
        <v>45934.708333329567</v>
      </c>
      <c r="B2372" s="30">
        <f t="shared" si="2509"/>
        <v>8000</v>
      </c>
      <c r="C2372" s="8">
        <v>25000</v>
      </c>
      <c r="D2372" s="187">
        <v>0</v>
      </c>
      <c r="E2372" s="187">
        <v>700</v>
      </c>
      <c r="F2372" s="187">
        <v>15000</v>
      </c>
      <c r="G2372" s="151">
        <v>2470</v>
      </c>
      <c r="H2372" s="8">
        <f t="shared" si="2510"/>
        <v>25000</v>
      </c>
      <c r="I2372" s="30">
        <f t="shared" si="2511"/>
        <v>8000</v>
      </c>
      <c r="J2372" s="187">
        <v>40000</v>
      </c>
      <c r="K2372" s="30">
        <f t="shared" si="2512"/>
        <v>8000</v>
      </c>
      <c r="L2372" s="187">
        <v>40000</v>
      </c>
      <c r="M2372" s="110">
        <v>9.5</v>
      </c>
      <c r="N2372" s="9">
        <f>VLOOKUP(DATE(YEAR(A2372),MONTH(A2372),DAY(A2372)),FY24_Temp[],3,FALSE)</f>
        <v>17.25</v>
      </c>
      <c r="O2372" s="110">
        <f t="shared" ref="O2372:O2435" si="2570">15.5-4</f>
        <v>11.5</v>
      </c>
      <c r="P2372" s="110">
        <f t="shared" ref="P2372:P2435" si="2571">15.5+4</f>
        <v>19.5</v>
      </c>
      <c r="Q2372" s="79">
        <f>VLOOKUP(VLOOKUP(DATEVALUE(TEXT(A2372,"m/d/yyyy")),FY24_Temp[],5,FALSE)&amp;TEXT(A2372,"-h"),TempDelta[],4,FALSE)</f>
        <v>0.76450000064713619</v>
      </c>
      <c r="R2372">
        <v>10</v>
      </c>
      <c r="S2372" s="112">
        <v>1500</v>
      </c>
      <c r="T2372" s="5">
        <f>VLOOKUP(TEXT(A2372,"yy-mm")&amp;"-"&amp;IF(AND(WEEKDAY(A2372)&gt;1,WEEKDAY(A2372)&lt;7),"Wkd",TEXT(A2372,"Ddd"))&amp;"-"&amp;TEXT(A2372,"hh"),LoadTable[],3,FALSE)*0.92</f>
        <v>234.80148</v>
      </c>
      <c r="U2372" s="113">
        <f t="shared" ref="U2372:U2435" si="2572">T2372/10</f>
        <v>23.480148</v>
      </c>
      <c r="V2372">
        <f t="shared" ref="V2372:W2372" si="2573">V2348</f>
        <v>3.6</v>
      </c>
      <c r="W2372">
        <f t="shared" si="2573"/>
        <v>3</v>
      </c>
      <c r="X2372" s="9">
        <v>-60.256378016666197</v>
      </c>
      <c r="Y2372" s="39"/>
    </row>
    <row r="2373" spans="1:25" ht="15" thickBot="1">
      <c r="A2373" s="149">
        <f t="shared" si="2554"/>
        <v>45934.749999996231</v>
      </c>
      <c r="B2373" s="30">
        <f t="shared" si="2509"/>
        <v>5000</v>
      </c>
      <c r="C2373" s="8">
        <v>25000</v>
      </c>
      <c r="D2373" s="187">
        <v>0</v>
      </c>
      <c r="E2373" s="187">
        <v>700</v>
      </c>
      <c r="F2373" s="187">
        <v>15000</v>
      </c>
      <c r="G2373" s="151">
        <v>2470</v>
      </c>
      <c r="H2373" s="8">
        <f t="shared" si="2510"/>
        <v>25000</v>
      </c>
      <c r="I2373" s="30">
        <f t="shared" si="2511"/>
        <v>5000</v>
      </c>
      <c r="J2373" s="187">
        <v>40000</v>
      </c>
      <c r="K2373" s="30">
        <f t="shared" si="2512"/>
        <v>5000</v>
      </c>
      <c r="L2373" s="187">
        <v>40000</v>
      </c>
      <c r="M2373" s="110">
        <v>9.5</v>
      </c>
      <c r="N2373" s="9">
        <f>VLOOKUP(DATE(YEAR(A2373),MONTH(A2373),DAY(A2373)),FY24_Temp[],3,FALSE)</f>
        <v>17.25</v>
      </c>
      <c r="O2373" s="110">
        <f t="shared" si="2570"/>
        <v>11.5</v>
      </c>
      <c r="P2373" s="110">
        <f t="shared" si="2571"/>
        <v>19.5</v>
      </c>
      <c r="Q2373" s="79">
        <f>VLOOKUP(VLOOKUP(DATEVALUE(TEXT(A2373,"m/d/yyyy")),FY24_Temp[],5,FALSE)&amp;TEXT(A2373,"-h"),TempDelta[],4,FALSE)</f>
        <v>0.91657142128263203</v>
      </c>
      <c r="R2373">
        <v>10</v>
      </c>
      <c r="S2373" s="112">
        <v>1500</v>
      </c>
      <c r="T2373" s="5">
        <f>VLOOKUP(TEXT(A2373,"yy-mm")&amp;"-"&amp;IF(AND(WEEKDAY(A2373)&gt;1,WEEKDAY(A2373)&lt;7),"Wkd",TEXT(A2373,"Ddd"))&amp;"-"&amp;TEXT(A2373,"hh"),LoadTable[],3,FALSE)*0.92</f>
        <v>303.31295999999998</v>
      </c>
      <c r="U2373" s="113">
        <f t="shared" si="2572"/>
        <v>30.331295999999998</v>
      </c>
      <c r="V2373">
        <f t="shared" ref="V2373:W2373" si="2574">V2349</f>
        <v>2.9</v>
      </c>
      <c r="W2373">
        <f t="shared" si="2574"/>
        <v>3</v>
      </c>
      <c r="X2373" s="9">
        <v>-60.334172566666197</v>
      </c>
      <c r="Y2373" s="39"/>
    </row>
    <row r="2374" spans="1:25" ht="15" thickBot="1">
      <c r="A2374" s="149">
        <f t="shared" si="2554"/>
        <v>45934.791666662895</v>
      </c>
      <c r="B2374" s="30">
        <f t="shared" si="2509"/>
        <v>5000</v>
      </c>
      <c r="C2374" s="8">
        <v>25000</v>
      </c>
      <c r="D2374" s="187">
        <v>0</v>
      </c>
      <c r="E2374" s="187">
        <v>700</v>
      </c>
      <c r="F2374" s="187">
        <v>15000</v>
      </c>
      <c r="G2374" s="151">
        <v>2470</v>
      </c>
      <c r="H2374" s="8">
        <f t="shared" si="2510"/>
        <v>25000</v>
      </c>
      <c r="I2374" s="30">
        <f t="shared" si="2511"/>
        <v>5000</v>
      </c>
      <c r="J2374" s="187">
        <v>40000</v>
      </c>
      <c r="K2374" s="30">
        <f t="shared" si="2512"/>
        <v>5000</v>
      </c>
      <c r="L2374" s="187">
        <v>40000</v>
      </c>
      <c r="M2374" s="110">
        <v>9.5</v>
      </c>
      <c r="N2374" s="9">
        <f>VLOOKUP(DATE(YEAR(A2374),MONTH(A2374),DAY(A2374)),FY24_Temp[],3,FALSE)</f>
        <v>17.25</v>
      </c>
      <c r="O2374" s="110">
        <f t="shared" si="2570"/>
        <v>11.5</v>
      </c>
      <c r="P2374" s="110">
        <f t="shared" si="2571"/>
        <v>19.5</v>
      </c>
      <c r="Q2374" s="79">
        <f>VLOOKUP(VLOOKUP(DATEVALUE(TEXT(A2374,"m/d/yyyy")),FY24_Temp[],5,FALSE)&amp;TEXT(A2374,"-h"),TempDelta[],4,FALSE)</f>
        <v>0.91900000827653072</v>
      </c>
      <c r="R2374">
        <v>10</v>
      </c>
      <c r="S2374" s="112">
        <v>1500</v>
      </c>
      <c r="T2374" s="5">
        <f>VLOOKUP(TEXT(A2374,"yy-mm")&amp;"-"&amp;IF(AND(WEEKDAY(A2374)&gt;1,WEEKDAY(A2374)&lt;7),"Wkd",TEXT(A2374,"Ddd"))&amp;"-"&amp;TEXT(A2374,"hh"),LoadTable[],3,FALSE)*0.92</f>
        <v>303.31295999999998</v>
      </c>
      <c r="U2374" s="113">
        <f t="shared" si="2572"/>
        <v>30.331295999999998</v>
      </c>
      <c r="V2374">
        <f t="shared" ref="V2374:W2374" si="2575">V2350</f>
        <v>3</v>
      </c>
      <c r="W2374">
        <f t="shared" si="2575"/>
        <v>3</v>
      </c>
      <c r="X2374" s="9">
        <v>-60.411967116666197</v>
      </c>
      <c r="Y2374" s="39"/>
    </row>
    <row r="2375" spans="1:25" ht="15" thickBot="1">
      <c r="A2375" s="149">
        <f t="shared" si="2554"/>
        <v>45934.83333332956</v>
      </c>
      <c r="B2375" s="30">
        <f t="shared" si="2509"/>
        <v>5000</v>
      </c>
      <c r="C2375" s="8">
        <v>25000</v>
      </c>
      <c r="D2375" s="187">
        <v>0</v>
      </c>
      <c r="E2375" s="187">
        <v>700</v>
      </c>
      <c r="F2375" s="187">
        <v>15000</v>
      </c>
      <c r="G2375" s="151">
        <v>2470</v>
      </c>
      <c r="H2375" s="8">
        <f t="shared" si="2510"/>
        <v>25000</v>
      </c>
      <c r="I2375" s="30">
        <f t="shared" si="2511"/>
        <v>5000</v>
      </c>
      <c r="J2375" s="187">
        <v>40000</v>
      </c>
      <c r="K2375" s="30">
        <f t="shared" si="2512"/>
        <v>5000</v>
      </c>
      <c r="L2375" s="187">
        <v>40000</v>
      </c>
      <c r="M2375" s="110">
        <v>9.5</v>
      </c>
      <c r="N2375" s="9">
        <f>VLOOKUP(DATE(YEAR(A2375),MONTH(A2375),DAY(A2375)),FY24_Temp[],3,FALSE)</f>
        <v>17.25</v>
      </c>
      <c r="O2375" s="110">
        <f t="shared" si="2570"/>
        <v>11.5</v>
      </c>
      <c r="P2375" s="110">
        <f t="shared" si="2571"/>
        <v>19.5</v>
      </c>
      <c r="Q2375" s="79">
        <f>VLOOKUP(VLOOKUP(DATEVALUE(TEXT(A2375,"m/d/yyyy")),FY24_Temp[],5,FALSE)&amp;TEXT(A2375,"-h"),TempDelta[],4,FALSE)</f>
        <v>0.93314285363469807</v>
      </c>
      <c r="R2375">
        <v>10</v>
      </c>
      <c r="S2375" s="112">
        <v>1500</v>
      </c>
      <c r="T2375" s="5">
        <f>VLOOKUP(TEXT(A2375,"yy-mm")&amp;"-"&amp;IF(AND(WEEKDAY(A2375)&gt;1,WEEKDAY(A2375)&lt;7),"Wkd",TEXT(A2375,"Ddd"))&amp;"-"&amp;TEXT(A2375,"hh"),LoadTable[],3,FALSE)*0.92</f>
        <v>303.31295999999998</v>
      </c>
      <c r="U2375" s="113">
        <f t="shared" si="2572"/>
        <v>30.331295999999998</v>
      </c>
      <c r="V2375">
        <f t="shared" ref="V2375:W2375" si="2576">V2351</f>
        <v>2.8</v>
      </c>
      <c r="W2375">
        <f t="shared" si="2576"/>
        <v>3.1</v>
      </c>
      <c r="X2375" s="9">
        <v>-60.489761666666197</v>
      </c>
      <c r="Y2375" s="39"/>
    </row>
    <row r="2376" spans="1:25" ht="15" thickBot="1">
      <c r="A2376" s="149">
        <f t="shared" si="2554"/>
        <v>45934.874999996224</v>
      </c>
      <c r="B2376" s="30">
        <f t="shared" si="2509"/>
        <v>5000</v>
      </c>
      <c r="C2376" s="8">
        <v>25000</v>
      </c>
      <c r="D2376" s="187">
        <v>0</v>
      </c>
      <c r="E2376" s="187">
        <v>700</v>
      </c>
      <c r="F2376" s="187">
        <v>15000</v>
      </c>
      <c r="G2376" s="151">
        <v>2470</v>
      </c>
      <c r="H2376" s="8">
        <f t="shared" si="2510"/>
        <v>25000</v>
      </c>
      <c r="I2376" s="30">
        <f t="shared" si="2511"/>
        <v>5000</v>
      </c>
      <c r="J2376" s="187">
        <v>40000</v>
      </c>
      <c r="K2376" s="30">
        <f t="shared" si="2512"/>
        <v>5000</v>
      </c>
      <c r="L2376" s="187">
        <v>40000</v>
      </c>
      <c r="M2376" s="110">
        <v>9.5</v>
      </c>
      <c r="N2376" s="9">
        <f>VLOOKUP(DATE(YEAR(A2376),MONTH(A2376),DAY(A2376)),FY24_Temp[],3,FALSE)</f>
        <v>17.25</v>
      </c>
      <c r="O2376" s="110">
        <f t="shared" si="2570"/>
        <v>11.5</v>
      </c>
      <c r="P2376" s="110">
        <f t="shared" si="2571"/>
        <v>19.5</v>
      </c>
      <c r="Q2376" s="79">
        <f>VLOOKUP(VLOOKUP(DATEVALUE(TEXT(A2376,"m/d/yyyy")),FY24_Temp[],5,FALSE)&amp;TEXT(A2376,"-h"),TempDelta[],4,FALSE)</f>
        <v>0.92385714820453102</v>
      </c>
      <c r="R2376">
        <v>10</v>
      </c>
      <c r="S2376" s="112">
        <v>1500</v>
      </c>
      <c r="T2376" s="5">
        <f>VLOOKUP(TEXT(A2376,"yy-mm")&amp;"-"&amp;IF(AND(WEEKDAY(A2376)&gt;1,WEEKDAY(A2376)&lt;7),"Wkd",TEXT(A2376,"Ddd"))&amp;"-"&amp;TEXT(A2376,"hh"),LoadTable[],3,FALSE)*0.92</f>
        <v>229.93744000000001</v>
      </c>
      <c r="U2376" s="113">
        <f t="shared" si="2572"/>
        <v>22.993744</v>
      </c>
      <c r="V2376">
        <f t="shared" ref="V2376:W2376" si="2577">V2352</f>
        <v>3.5</v>
      </c>
      <c r="W2376">
        <f t="shared" si="2577"/>
        <v>3.1</v>
      </c>
      <c r="X2376" s="9">
        <v>-60.567556216666198</v>
      </c>
      <c r="Y2376" s="39"/>
    </row>
    <row r="2377" spans="1:25" ht="15" thickBot="1">
      <c r="A2377" s="149">
        <f t="shared" si="2554"/>
        <v>45934.916666662888</v>
      </c>
      <c r="B2377" s="30">
        <f t="shared" si="2509"/>
        <v>5000</v>
      </c>
      <c r="C2377" s="8">
        <v>25000</v>
      </c>
      <c r="D2377" s="187">
        <v>0</v>
      </c>
      <c r="E2377" s="187">
        <v>700</v>
      </c>
      <c r="F2377" s="187">
        <v>15000</v>
      </c>
      <c r="G2377" s="151">
        <v>2470</v>
      </c>
      <c r="H2377" s="8">
        <f t="shared" si="2510"/>
        <v>25000</v>
      </c>
      <c r="I2377" s="30">
        <f t="shared" si="2511"/>
        <v>5000</v>
      </c>
      <c r="J2377" s="187">
        <v>40000</v>
      </c>
      <c r="K2377" s="30">
        <f t="shared" si="2512"/>
        <v>5000</v>
      </c>
      <c r="L2377" s="187">
        <v>40000</v>
      </c>
      <c r="M2377" s="110">
        <v>9.5</v>
      </c>
      <c r="N2377" s="9">
        <f>VLOOKUP(DATE(YEAR(A2377),MONTH(A2377),DAY(A2377)),FY24_Temp[],3,FALSE)</f>
        <v>17.25</v>
      </c>
      <c r="O2377" s="110">
        <f t="shared" si="2570"/>
        <v>11.5</v>
      </c>
      <c r="P2377" s="110">
        <f t="shared" si="2571"/>
        <v>19.5</v>
      </c>
      <c r="Q2377" s="79">
        <f>VLOOKUP(VLOOKUP(DATEVALUE(TEXT(A2377,"m/d/yyyy")),FY24_Temp[],5,FALSE)&amp;TEXT(A2377,"-h"),TempDelta[],4,FALSE)</f>
        <v>1.1424285514014108</v>
      </c>
      <c r="R2377">
        <v>10</v>
      </c>
      <c r="S2377" s="112">
        <v>1500</v>
      </c>
      <c r="T2377" s="5">
        <f>VLOOKUP(TEXT(A2377,"yy-mm")&amp;"-"&amp;IF(AND(WEEKDAY(A2377)&gt;1,WEEKDAY(A2377)&lt;7),"Wkd",TEXT(A2377,"Ddd"))&amp;"-"&amp;TEXT(A2377,"hh"),LoadTable[],3,FALSE)*0.92</f>
        <v>176.52040000000002</v>
      </c>
      <c r="U2377" s="113">
        <f t="shared" si="2572"/>
        <v>17.652040000000003</v>
      </c>
      <c r="V2377">
        <f t="shared" ref="V2377:W2377" si="2578">V2353</f>
        <v>2.9</v>
      </c>
      <c r="W2377">
        <f t="shared" si="2578"/>
        <v>3.1</v>
      </c>
      <c r="X2377" s="9">
        <v>-60.645350766666198</v>
      </c>
      <c r="Y2377" s="39"/>
    </row>
    <row r="2378" spans="1:25" ht="15" thickBot="1">
      <c r="A2378" s="149">
        <f t="shared" si="2554"/>
        <v>45934.958333329552</v>
      </c>
      <c r="B2378" s="30">
        <f t="shared" si="2509"/>
        <v>5000</v>
      </c>
      <c r="C2378" s="8">
        <v>25000</v>
      </c>
      <c r="D2378" s="187">
        <v>0</v>
      </c>
      <c r="E2378" s="187">
        <v>700</v>
      </c>
      <c r="F2378" s="187">
        <v>15000</v>
      </c>
      <c r="G2378" s="151">
        <v>2470</v>
      </c>
      <c r="H2378" s="8">
        <f t="shared" si="2510"/>
        <v>25000</v>
      </c>
      <c r="I2378" s="30">
        <f t="shared" si="2511"/>
        <v>5000</v>
      </c>
      <c r="J2378" s="187">
        <v>40000</v>
      </c>
      <c r="K2378" s="30">
        <f t="shared" si="2512"/>
        <v>5000</v>
      </c>
      <c r="L2378" s="187">
        <v>40000</v>
      </c>
      <c r="M2378" s="110">
        <v>9.5</v>
      </c>
      <c r="N2378" s="9">
        <f>VLOOKUP(DATE(YEAR(A2378),MONTH(A2378),DAY(A2378)),FY24_Temp[],3,FALSE)</f>
        <v>17.25</v>
      </c>
      <c r="O2378" s="110">
        <f t="shared" si="2570"/>
        <v>11.5</v>
      </c>
      <c r="P2378" s="110">
        <f t="shared" si="2571"/>
        <v>19.5</v>
      </c>
      <c r="Q2378" s="79">
        <f>VLOOKUP(VLOOKUP(DATEVALUE(TEXT(A2378,"m/d/yyyy")),FY24_Temp[],5,FALSE)&amp;TEXT(A2378,"-h"),TempDelta[],4,FALSE)</f>
        <v>1.2597142798560006</v>
      </c>
      <c r="R2378">
        <v>10</v>
      </c>
      <c r="S2378" s="112">
        <v>1500</v>
      </c>
      <c r="T2378" s="5">
        <f>VLOOKUP(TEXT(A2378,"yy-mm")&amp;"-"&amp;IF(AND(WEEKDAY(A2378)&gt;1,WEEKDAY(A2378)&lt;7),"Wkd",TEXT(A2378,"Ddd"))&amp;"-"&amp;TEXT(A2378,"hh"),LoadTable[],3,FALSE)*0.92</f>
        <v>176.52040000000002</v>
      </c>
      <c r="U2378" s="113">
        <f t="shared" si="2572"/>
        <v>17.652040000000003</v>
      </c>
      <c r="V2378">
        <f t="shared" ref="V2378:W2378" si="2579">V2354</f>
        <v>3.6</v>
      </c>
      <c r="W2378">
        <f t="shared" si="2579"/>
        <v>3.1</v>
      </c>
      <c r="X2378" s="9">
        <v>-60.723145316666198</v>
      </c>
      <c r="Y2378" s="39"/>
    </row>
    <row r="2379" spans="1:25" ht="15" thickBot="1">
      <c r="A2379" s="149">
        <f t="shared" si="2554"/>
        <v>45934.999999996217</v>
      </c>
      <c r="B2379" s="30">
        <f t="shared" si="2509"/>
        <v>5000</v>
      </c>
      <c r="C2379" s="8">
        <v>25000</v>
      </c>
      <c r="D2379" s="187">
        <v>0</v>
      </c>
      <c r="E2379" s="187">
        <v>700</v>
      </c>
      <c r="F2379" s="187">
        <v>15000</v>
      </c>
      <c r="G2379" s="151">
        <v>2470</v>
      </c>
      <c r="H2379" s="8">
        <f t="shared" si="2510"/>
        <v>25000</v>
      </c>
      <c r="I2379" s="30">
        <f t="shared" si="2511"/>
        <v>5000</v>
      </c>
      <c r="J2379" s="187">
        <v>40000</v>
      </c>
      <c r="K2379" s="30">
        <f t="shared" si="2512"/>
        <v>5000</v>
      </c>
      <c r="L2379" s="187">
        <v>40000</v>
      </c>
      <c r="M2379" s="110">
        <v>9.5</v>
      </c>
      <c r="N2379" s="9">
        <f>VLOOKUP(DATE(YEAR(A2379),MONTH(A2379),DAY(A2379)),FY24_Temp[],3,FALSE)</f>
        <v>17.25</v>
      </c>
      <c r="O2379" s="110">
        <f t="shared" si="2570"/>
        <v>11.5</v>
      </c>
      <c r="P2379" s="110">
        <f t="shared" si="2571"/>
        <v>19.5</v>
      </c>
      <c r="Q2379" s="79">
        <f>VLOOKUP(VLOOKUP(DATEVALUE(TEXT(A2379,"m/d/yyyy")),FY24_Temp[],5,FALSE)&amp;TEXT(A2379,"-h"),TempDelta[],4,FALSE)</f>
        <v>1.3511428662708826</v>
      </c>
      <c r="R2379">
        <v>10</v>
      </c>
      <c r="S2379" s="112">
        <v>1500</v>
      </c>
      <c r="T2379" s="5">
        <f>VLOOKUP(TEXT(A2379,"yy-mm")&amp;"-"&amp;IF(AND(WEEKDAY(A2379)&gt;1,WEEKDAY(A2379)&lt;7),"Wkd",TEXT(A2379,"Ddd"))&amp;"-"&amp;TEXT(A2379,"hh"),LoadTable[],3,FALSE)*0.92</f>
        <v>176.52040000000002</v>
      </c>
      <c r="U2379" s="113">
        <f t="shared" si="2572"/>
        <v>17.652040000000003</v>
      </c>
      <c r="V2379">
        <f t="shared" ref="V2379:W2379" si="2580">V2355</f>
        <v>3</v>
      </c>
      <c r="W2379">
        <f t="shared" si="2580"/>
        <v>3.2</v>
      </c>
      <c r="X2379" s="9">
        <v>-60.800939866666198</v>
      </c>
      <c r="Y2379" s="39"/>
    </row>
    <row r="2380" spans="1:25" ht="15" thickBot="1">
      <c r="A2380" s="149">
        <f t="shared" si="2554"/>
        <v>45935.041666662881</v>
      </c>
      <c r="B2380" s="30">
        <f t="shared" ref="B2380:B2443" si="2581">B2356</f>
        <v>5000</v>
      </c>
      <c r="C2380" s="8">
        <v>25000</v>
      </c>
      <c r="D2380" s="187">
        <v>0</v>
      </c>
      <c r="E2380" s="187">
        <v>700</v>
      </c>
      <c r="F2380" s="187">
        <v>15000</v>
      </c>
      <c r="G2380" s="151">
        <v>2470</v>
      </c>
      <c r="H2380" s="8">
        <f t="shared" ref="G2380:H2443" si="2582">H2356</f>
        <v>25000</v>
      </c>
      <c r="I2380" s="30">
        <f t="shared" ref="I2380:I2443" si="2583">I2356</f>
        <v>5000</v>
      </c>
      <c r="J2380" s="187">
        <v>40000</v>
      </c>
      <c r="K2380" s="30">
        <f t="shared" ref="K2380:K2443" si="2584">K2356</f>
        <v>5000</v>
      </c>
      <c r="L2380" s="187">
        <v>40000</v>
      </c>
      <c r="M2380" s="110">
        <v>9.5</v>
      </c>
      <c r="N2380" s="9">
        <f>VLOOKUP(DATE(YEAR(A2380),MONTH(A2380),DAY(A2380)),FY24_Temp[],3,FALSE)</f>
        <v>17.25</v>
      </c>
      <c r="O2380" s="110">
        <f t="shared" si="2570"/>
        <v>11.5</v>
      </c>
      <c r="P2380" s="110">
        <f t="shared" si="2571"/>
        <v>19.5</v>
      </c>
      <c r="Q2380" s="79">
        <f>VLOOKUP(VLOOKUP(DATEVALUE(TEXT(A2380,"m/d/yyyy")),FY24_Temp[],5,FALSE)&amp;TEXT(A2380,"-h"),TempDelta[],4,FALSE)</f>
        <v>1.3058571474892753</v>
      </c>
      <c r="R2380">
        <v>10</v>
      </c>
      <c r="S2380" s="112">
        <v>1500</v>
      </c>
      <c r="T2380" s="5">
        <f>VLOOKUP(TEXT(A2380,"yy-mm")&amp;"-"&amp;IF(AND(WEEKDAY(A2380)&gt;1,WEEKDAY(A2380)&lt;7),"Wkd",TEXT(A2380,"Ddd"))&amp;"-"&amp;TEXT(A2380,"hh"),LoadTable[],3,FALSE)*0.92</f>
        <v>176.52040000000002</v>
      </c>
      <c r="U2380" s="113">
        <f t="shared" si="2572"/>
        <v>17.652040000000003</v>
      </c>
      <c r="V2380">
        <f t="shared" ref="V2380:W2380" si="2585">V2356</f>
        <v>2.6</v>
      </c>
      <c r="W2380">
        <f t="shared" si="2585"/>
        <v>3.2</v>
      </c>
      <c r="X2380" s="9">
        <v>-60.878734416666198</v>
      </c>
      <c r="Y2380" s="39"/>
    </row>
    <row r="2381" spans="1:25" ht="15" thickBot="1">
      <c r="A2381" s="149">
        <f t="shared" si="2554"/>
        <v>45935.083333329545</v>
      </c>
      <c r="B2381" s="30">
        <f t="shared" si="2581"/>
        <v>5000</v>
      </c>
      <c r="C2381" s="8">
        <v>25000</v>
      </c>
      <c r="D2381" s="187">
        <v>0</v>
      </c>
      <c r="E2381" s="187">
        <v>700</v>
      </c>
      <c r="F2381" s="187">
        <v>15000</v>
      </c>
      <c r="G2381" s="151">
        <v>2470</v>
      </c>
      <c r="H2381" s="8">
        <f t="shared" si="2582"/>
        <v>25000</v>
      </c>
      <c r="I2381" s="30">
        <f t="shared" si="2583"/>
        <v>5000</v>
      </c>
      <c r="J2381" s="187">
        <v>40000</v>
      </c>
      <c r="K2381" s="30">
        <f t="shared" si="2584"/>
        <v>5000</v>
      </c>
      <c r="L2381" s="187">
        <v>40000</v>
      </c>
      <c r="M2381" s="110">
        <v>9.5</v>
      </c>
      <c r="N2381" s="9">
        <f>VLOOKUP(DATE(YEAR(A2381),MONTH(A2381),DAY(A2381)),FY24_Temp[],3,FALSE)</f>
        <v>17.25</v>
      </c>
      <c r="O2381" s="110">
        <f t="shared" si="2570"/>
        <v>11.5</v>
      </c>
      <c r="P2381" s="110">
        <f t="shared" si="2571"/>
        <v>19.5</v>
      </c>
      <c r="Q2381" s="79">
        <f>VLOOKUP(VLOOKUP(DATEVALUE(TEXT(A2381,"m/d/yyyy")),FY24_Temp[],5,FALSE)&amp;TEXT(A2381,"-h"),TempDelta[],4,FALSE)</f>
        <v>1.217571428843907</v>
      </c>
      <c r="R2381">
        <v>10</v>
      </c>
      <c r="S2381" s="112">
        <v>1500</v>
      </c>
      <c r="T2381" s="5">
        <f>VLOOKUP(TEXT(A2381,"yy-mm")&amp;"-"&amp;IF(AND(WEEKDAY(A2381)&gt;1,WEEKDAY(A2381)&lt;7),"Wkd",TEXT(A2381,"Ddd"))&amp;"-"&amp;TEXT(A2381,"hh"),LoadTable[],3,FALSE)*0.92</f>
        <v>176.52040000000002</v>
      </c>
      <c r="U2381" s="113">
        <f t="shared" si="2572"/>
        <v>17.652040000000003</v>
      </c>
      <c r="V2381">
        <f t="shared" ref="V2381:W2381" si="2586">V2357</f>
        <v>2.8</v>
      </c>
      <c r="W2381">
        <f t="shared" si="2586"/>
        <v>3.2</v>
      </c>
      <c r="X2381" s="9">
        <v>-60.956528966666198</v>
      </c>
      <c r="Y2381" s="39"/>
    </row>
    <row r="2382" spans="1:25" ht="15" thickBot="1">
      <c r="A2382" s="149">
        <f t="shared" si="2554"/>
        <v>45935.124999996209</v>
      </c>
      <c r="B2382" s="30">
        <f t="shared" si="2581"/>
        <v>5000</v>
      </c>
      <c r="C2382" s="8">
        <v>25000</v>
      </c>
      <c r="D2382" s="187">
        <v>0</v>
      </c>
      <c r="E2382" s="187">
        <v>700</v>
      </c>
      <c r="F2382" s="187">
        <v>15000</v>
      </c>
      <c r="G2382" s="151">
        <v>2470</v>
      </c>
      <c r="H2382" s="8">
        <f t="shared" si="2582"/>
        <v>25000</v>
      </c>
      <c r="I2382" s="30">
        <f t="shared" si="2583"/>
        <v>5000</v>
      </c>
      <c r="J2382" s="187">
        <v>40000</v>
      </c>
      <c r="K2382" s="30">
        <f t="shared" si="2584"/>
        <v>5000</v>
      </c>
      <c r="L2382" s="187">
        <v>40000</v>
      </c>
      <c r="M2382" s="110">
        <v>9.5</v>
      </c>
      <c r="N2382" s="9">
        <f>VLOOKUP(DATE(YEAR(A2382),MONTH(A2382),DAY(A2382)),FY24_Temp[],3,FALSE)</f>
        <v>17.25</v>
      </c>
      <c r="O2382" s="110">
        <f t="shared" si="2570"/>
        <v>11.5</v>
      </c>
      <c r="P2382" s="110">
        <f t="shared" si="2571"/>
        <v>19.5</v>
      </c>
      <c r="Q2382" s="79">
        <f>VLOOKUP(VLOOKUP(DATEVALUE(TEXT(A2382,"m/d/yyyy")),FY24_Temp[],5,FALSE)&amp;TEXT(A2382,"-h"),TempDelta[],4,FALSE)</f>
        <v>1.1134285586220878</v>
      </c>
      <c r="R2382">
        <v>10</v>
      </c>
      <c r="S2382" s="112">
        <v>1500</v>
      </c>
      <c r="T2382" s="5">
        <f>VLOOKUP(TEXT(A2382,"yy-mm")&amp;"-"&amp;IF(AND(WEEKDAY(A2382)&gt;1,WEEKDAY(A2382)&lt;7),"Wkd",TEXT(A2382,"Ddd"))&amp;"-"&amp;TEXT(A2382,"hh"),LoadTable[],3,FALSE)*0.92</f>
        <v>176.52040000000002</v>
      </c>
      <c r="U2382" s="113">
        <f t="shared" si="2572"/>
        <v>17.652040000000003</v>
      </c>
      <c r="V2382">
        <f t="shared" ref="V2382:W2382" si="2587">V2358</f>
        <v>2.7</v>
      </c>
      <c r="W2382">
        <f t="shared" si="2587"/>
        <v>3.2</v>
      </c>
      <c r="X2382" s="9">
        <v>-61.034323516666198</v>
      </c>
      <c r="Y2382" s="39"/>
    </row>
    <row r="2383" spans="1:25" ht="15" thickBot="1">
      <c r="A2383" s="149">
        <f t="shared" si="2554"/>
        <v>45935.166666662873</v>
      </c>
      <c r="B2383" s="30">
        <f t="shared" si="2581"/>
        <v>5000</v>
      </c>
      <c r="C2383" s="8">
        <v>25000</v>
      </c>
      <c r="D2383" s="187">
        <v>0</v>
      </c>
      <c r="E2383" s="187">
        <v>700</v>
      </c>
      <c r="F2383" s="187">
        <v>15000</v>
      </c>
      <c r="G2383" s="151">
        <v>2470</v>
      </c>
      <c r="H2383" s="8">
        <f t="shared" si="2582"/>
        <v>25000</v>
      </c>
      <c r="I2383" s="30">
        <f t="shared" si="2583"/>
        <v>5000</v>
      </c>
      <c r="J2383" s="187">
        <v>40000</v>
      </c>
      <c r="K2383" s="30">
        <f t="shared" si="2584"/>
        <v>5000</v>
      </c>
      <c r="L2383" s="187">
        <v>40000</v>
      </c>
      <c r="M2383" s="110">
        <v>9.5</v>
      </c>
      <c r="N2383" s="9">
        <f>VLOOKUP(DATE(YEAR(A2383),MONTH(A2383),DAY(A2383)),FY24_Temp[],3,FALSE)</f>
        <v>17.25</v>
      </c>
      <c r="O2383" s="110">
        <f t="shared" si="2570"/>
        <v>11.5</v>
      </c>
      <c r="P2383" s="110">
        <f t="shared" si="2571"/>
        <v>19.5</v>
      </c>
      <c r="Q2383" s="79">
        <f>VLOOKUP(VLOOKUP(DATEVALUE(TEXT(A2383,"m/d/yyyy")),FY24_Temp[],5,FALSE)&amp;TEXT(A2383,"-h"),TempDelta[],4,FALSE)</f>
        <v>1.0284285715648107</v>
      </c>
      <c r="R2383">
        <v>10</v>
      </c>
      <c r="S2383" s="112">
        <v>1500</v>
      </c>
      <c r="T2383" s="5">
        <f>VLOOKUP(TEXT(A2383,"yy-mm")&amp;"-"&amp;IF(AND(WEEKDAY(A2383)&gt;1,WEEKDAY(A2383)&lt;7),"Wkd",TEXT(A2383,"Ddd"))&amp;"-"&amp;TEXT(A2383,"hh"),LoadTable[],3,FALSE)*0.92</f>
        <v>176.52040000000002</v>
      </c>
      <c r="U2383" s="113">
        <f t="shared" si="2572"/>
        <v>17.652040000000003</v>
      </c>
      <c r="V2383">
        <f t="shared" ref="V2383:W2383" si="2588">V2359</f>
        <v>3</v>
      </c>
      <c r="W2383">
        <f t="shared" si="2588"/>
        <v>3.1</v>
      </c>
      <c r="X2383" s="9">
        <v>-61.112118066666199</v>
      </c>
      <c r="Y2383" s="39"/>
    </row>
    <row r="2384" spans="1:25" ht="15" thickBot="1">
      <c r="A2384" s="149">
        <f t="shared" si="2554"/>
        <v>45935.208333329538</v>
      </c>
      <c r="B2384" s="30">
        <f t="shared" si="2581"/>
        <v>5000</v>
      </c>
      <c r="C2384" s="8">
        <v>25000</v>
      </c>
      <c r="D2384" s="187">
        <v>0</v>
      </c>
      <c r="E2384" s="187">
        <v>700</v>
      </c>
      <c r="F2384" s="187">
        <v>15000</v>
      </c>
      <c r="G2384" s="151">
        <v>2470</v>
      </c>
      <c r="H2384" s="8">
        <f t="shared" si="2582"/>
        <v>25000</v>
      </c>
      <c r="I2384" s="30">
        <f t="shared" si="2583"/>
        <v>5000</v>
      </c>
      <c r="J2384" s="187">
        <v>40000</v>
      </c>
      <c r="K2384" s="30">
        <f t="shared" si="2584"/>
        <v>5000</v>
      </c>
      <c r="L2384" s="187">
        <v>40000</v>
      </c>
      <c r="M2384" s="110">
        <v>9.5</v>
      </c>
      <c r="N2384" s="9">
        <f>VLOOKUP(DATE(YEAR(A2384),MONTH(A2384),DAY(A2384)),FY24_Temp[],3,FALSE)</f>
        <v>17.25</v>
      </c>
      <c r="O2384" s="110">
        <f t="shared" si="2570"/>
        <v>11.5</v>
      </c>
      <c r="P2384" s="110">
        <f t="shared" si="2571"/>
        <v>19.5</v>
      </c>
      <c r="Q2384" s="79">
        <f>VLOOKUP(VLOOKUP(DATEVALUE(TEXT(A2384,"m/d/yyyy")),FY24_Temp[],5,FALSE)&amp;TEXT(A2384,"-h"),TempDelta[],4,FALSE)</f>
        <v>1.0574285643441337</v>
      </c>
      <c r="R2384">
        <v>10</v>
      </c>
      <c r="S2384" s="112">
        <v>1500</v>
      </c>
      <c r="T2384" s="5">
        <f>VLOOKUP(TEXT(A2384,"yy-mm")&amp;"-"&amp;IF(AND(WEEKDAY(A2384)&gt;1,WEEKDAY(A2384)&lt;7),"Wkd",TEXT(A2384,"Ddd"))&amp;"-"&amp;TEXT(A2384,"hh"),LoadTable[],3,FALSE)*0.92</f>
        <v>176.52040000000002</v>
      </c>
      <c r="U2384" s="113">
        <f t="shared" si="2572"/>
        <v>17.652040000000003</v>
      </c>
      <c r="V2384">
        <f t="shared" ref="V2384:W2384" si="2589">V2360</f>
        <v>2.9</v>
      </c>
      <c r="W2384">
        <f t="shared" si="2589"/>
        <v>3.1</v>
      </c>
      <c r="X2384" s="9">
        <v>-61.189912616666199</v>
      </c>
      <c r="Y2384" s="39"/>
    </row>
    <row r="2385" spans="1:25" ht="15" thickBot="1">
      <c r="A2385" s="149">
        <f t="shared" si="2554"/>
        <v>45935.249999996202</v>
      </c>
      <c r="B2385" s="30">
        <f t="shared" si="2581"/>
        <v>8000</v>
      </c>
      <c r="C2385" s="8">
        <v>25000</v>
      </c>
      <c r="D2385" s="187">
        <v>0</v>
      </c>
      <c r="E2385" s="187">
        <v>700</v>
      </c>
      <c r="F2385" s="187">
        <v>15000</v>
      </c>
      <c r="G2385" s="151">
        <v>2470</v>
      </c>
      <c r="H2385" s="8">
        <f t="shared" si="2582"/>
        <v>25000</v>
      </c>
      <c r="I2385" s="30">
        <f t="shared" si="2583"/>
        <v>8000</v>
      </c>
      <c r="J2385" s="187">
        <v>40000</v>
      </c>
      <c r="K2385" s="30">
        <f t="shared" si="2584"/>
        <v>8000</v>
      </c>
      <c r="L2385" s="187">
        <v>40000</v>
      </c>
      <c r="M2385" s="110">
        <v>9.5</v>
      </c>
      <c r="N2385" s="9">
        <f>VLOOKUP(DATE(YEAR(A2385),MONTH(A2385),DAY(A2385)),FY24_Temp[],3,FALSE)</f>
        <v>17.25</v>
      </c>
      <c r="O2385" s="110">
        <f t="shared" si="2570"/>
        <v>11.5</v>
      </c>
      <c r="P2385" s="110">
        <f t="shared" si="2571"/>
        <v>19.5</v>
      </c>
      <c r="Q2385" s="79">
        <f>VLOOKUP(VLOOKUP(DATEVALUE(TEXT(A2385,"m/d/yyyy")),FY24_Temp[],5,FALSE)&amp;TEXT(A2385,"-h"),TempDelta[],4,FALSE)</f>
        <v>0.9115714345659528</v>
      </c>
      <c r="R2385">
        <v>10</v>
      </c>
      <c r="S2385" s="112">
        <v>1500</v>
      </c>
      <c r="T2385" s="5">
        <f>VLOOKUP(TEXT(A2385,"yy-mm")&amp;"-"&amp;IF(AND(WEEKDAY(A2385)&gt;1,WEEKDAY(A2385)&lt;7),"Wkd",TEXT(A2385,"Ddd"))&amp;"-"&amp;TEXT(A2385,"hh"),LoadTable[],3,FALSE)*0.92</f>
        <v>234.80148</v>
      </c>
      <c r="U2385" s="113">
        <f t="shared" si="2572"/>
        <v>23.480148</v>
      </c>
      <c r="V2385">
        <f t="shared" ref="V2385:W2385" si="2590">V2361</f>
        <v>2.5</v>
      </c>
      <c r="W2385">
        <f t="shared" si="2590"/>
        <v>3.1</v>
      </c>
      <c r="X2385" s="9">
        <v>-61.267707166666199</v>
      </c>
      <c r="Y2385" s="39"/>
    </row>
    <row r="2386" spans="1:25" ht="15" thickBot="1">
      <c r="A2386" s="149">
        <f t="shared" si="2554"/>
        <v>45935.291666662866</v>
      </c>
      <c r="B2386" s="30">
        <f t="shared" si="2581"/>
        <v>8000</v>
      </c>
      <c r="C2386" s="8">
        <v>25000</v>
      </c>
      <c r="D2386" s="187">
        <v>0</v>
      </c>
      <c r="E2386" s="187">
        <v>700</v>
      </c>
      <c r="F2386" s="187">
        <v>15000</v>
      </c>
      <c r="G2386" s="151">
        <v>2470</v>
      </c>
      <c r="H2386" s="8">
        <f t="shared" si="2582"/>
        <v>25000</v>
      </c>
      <c r="I2386" s="30">
        <f t="shared" si="2583"/>
        <v>8000</v>
      </c>
      <c r="J2386" s="187">
        <v>40000</v>
      </c>
      <c r="K2386" s="30">
        <f t="shared" si="2584"/>
        <v>8000</v>
      </c>
      <c r="L2386" s="187">
        <v>40000</v>
      </c>
      <c r="M2386" s="110">
        <v>9.5</v>
      </c>
      <c r="N2386" s="9">
        <f>VLOOKUP(DATE(YEAR(A2386),MONTH(A2386),DAY(A2386)),FY24_Temp[],3,FALSE)</f>
        <v>17.25</v>
      </c>
      <c r="O2386" s="110">
        <f t="shared" si="2570"/>
        <v>11.5</v>
      </c>
      <c r="P2386" s="110">
        <f t="shared" si="2571"/>
        <v>19.5</v>
      </c>
      <c r="Q2386" s="79">
        <f>VLOOKUP(VLOOKUP(DATEVALUE(TEXT(A2386,"m/d/yyyy")),FY24_Temp[],5,FALSE)&amp;TEXT(A2386,"-h"),TempDelta[],4,FALSE)</f>
        <v>0.73142857210976742</v>
      </c>
      <c r="R2386">
        <v>10</v>
      </c>
      <c r="S2386" s="112">
        <v>1500</v>
      </c>
      <c r="T2386" s="5">
        <f>VLOOKUP(TEXT(A2386,"yy-mm")&amp;"-"&amp;IF(AND(WEEKDAY(A2386)&gt;1,WEEKDAY(A2386)&lt;7),"Wkd",TEXT(A2386,"Ddd"))&amp;"-"&amp;TEXT(A2386,"hh"),LoadTable[],3,FALSE)*0.92</f>
        <v>234.80148</v>
      </c>
      <c r="U2386" s="113">
        <f t="shared" si="2572"/>
        <v>23.480148</v>
      </c>
      <c r="V2386">
        <f t="shared" ref="V2386:W2386" si="2591">V2362</f>
        <v>2.5</v>
      </c>
      <c r="W2386">
        <f t="shared" si="2591"/>
        <v>3.1</v>
      </c>
      <c r="X2386" s="9">
        <v>-61.345501716666199</v>
      </c>
      <c r="Y2386" s="39"/>
    </row>
    <row r="2387" spans="1:25" ht="15" thickBot="1">
      <c r="A2387" s="149">
        <f t="shared" si="2554"/>
        <v>45935.33333332953</v>
      </c>
      <c r="B2387" s="30">
        <f t="shared" si="2581"/>
        <v>8000</v>
      </c>
      <c r="C2387" s="8">
        <v>25000</v>
      </c>
      <c r="D2387" s="187">
        <v>0</v>
      </c>
      <c r="E2387" s="187">
        <v>700</v>
      </c>
      <c r="F2387" s="187">
        <v>15000</v>
      </c>
      <c r="G2387" s="151">
        <v>2470</v>
      </c>
      <c r="H2387" s="8">
        <f t="shared" si="2582"/>
        <v>25000</v>
      </c>
      <c r="I2387" s="30">
        <f t="shared" si="2583"/>
        <v>8000</v>
      </c>
      <c r="J2387" s="187">
        <v>40000</v>
      </c>
      <c r="K2387" s="30">
        <f t="shared" si="2584"/>
        <v>8000</v>
      </c>
      <c r="L2387" s="187">
        <v>40000</v>
      </c>
      <c r="M2387" s="110">
        <v>9.5</v>
      </c>
      <c r="N2387" s="9">
        <f>VLOOKUP(DATE(YEAR(A2387),MONTH(A2387),DAY(A2387)),FY24_Temp[],3,FALSE)</f>
        <v>17.25</v>
      </c>
      <c r="O2387" s="110">
        <f t="shared" si="2570"/>
        <v>11.5</v>
      </c>
      <c r="P2387" s="110">
        <f t="shared" si="2571"/>
        <v>19.5</v>
      </c>
      <c r="Q2387" s="79">
        <f>VLOOKUP(VLOOKUP(DATEVALUE(TEXT(A2387,"m/d/yyyy")),FY24_Temp[],5,FALSE)&amp;TEXT(A2387,"-h"),TempDelta[],4,FALSE)</f>
        <v>0.62228572368621826</v>
      </c>
      <c r="R2387">
        <v>10</v>
      </c>
      <c r="S2387" s="112">
        <v>1500</v>
      </c>
      <c r="T2387" s="5">
        <f>VLOOKUP(TEXT(A2387,"yy-mm")&amp;"-"&amp;IF(AND(WEEKDAY(A2387)&gt;1,WEEKDAY(A2387)&lt;7),"Wkd",TEXT(A2387,"Ddd"))&amp;"-"&amp;TEXT(A2387,"hh"),LoadTable[],3,FALSE)*0.92</f>
        <v>234.80148</v>
      </c>
      <c r="U2387" s="113">
        <f t="shared" si="2572"/>
        <v>23.480148</v>
      </c>
      <c r="V2387">
        <f t="shared" ref="V2387:W2387" si="2592">V2363</f>
        <v>3.2</v>
      </c>
      <c r="W2387">
        <f t="shared" si="2592"/>
        <v>3</v>
      </c>
      <c r="X2387" s="9">
        <v>-61.423296266666199</v>
      </c>
      <c r="Y2387" s="39"/>
    </row>
    <row r="2388" spans="1:25" ht="15" thickBot="1">
      <c r="A2388" s="149">
        <f t="shared" si="2554"/>
        <v>45935.374999996195</v>
      </c>
      <c r="B2388" s="30">
        <f t="shared" si="2581"/>
        <v>8000</v>
      </c>
      <c r="C2388" s="8">
        <v>25000</v>
      </c>
      <c r="D2388" s="187">
        <v>0</v>
      </c>
      <c r="E2388" s="187">
        <v>700</v>
      </c>
      <c r="F2388" s="187">
        <v>15000</v>
      </c>
      <c r="G2388" s="151">
        <v>2470</v>
      </c>
      <c r="H2388" s="8">
        <f t="shared" si="2582"/>
        <v>25000</v>
      </c>
      <c r="I2388" s="30">
        <f t="shared" si="2583"/>
        <v>8000</v>
      </c>
      <c r="J2388" s="187">
        <v>40000</v>
      </c>
      <c r="K2388" s="30">
        <f t="shared" si="2584"/>
        <v>8000</v>
      </c>
      <c r="L2388" s="187">
        <v>40000</v>
      </c>
      <c r="M2388" s="110">
        <v>9.5</v>
      </c>
      <c r="N2388" s="9">
        <f>VLOOKUP(DATE(YEAR(A2388),MONTH(A2388),DAY(A2388)),FY24_Temp[],3,FALSE)</f>
        <v>17.25</v>
      </c>
      <c r="O2388" s="110">
        <f t="shared" si="2570"/>
        <v>11.5</v>
      </c>
      <c r="P2388" s="110">
        <f t="shared" si="2571"/>
        <v>19.5</v>
      </c>
      <c r="Q2388" s="79">
        <f>VLOOKUP(VLOOKUP(DATEVALUE(TEXT(A2388,"m/d/yyyy")),FY24_Temp[],5,FALSE)&amp;TEXT(A2388,"-h"),TempDelta[],4,FALSE)</f>
        <v>0.53400000504084999</v>
      </c>
      <c r="R2388">
        <v>10</v>
      </c>
      <c r="S2388" s="112">
        <v>1500</v>
      </c>
      <c r="T2388" s="5">
        <f>VLOOKUP(TEXT(A2388,"yy-mm")&amp;"-"&amp;IF(AND(WEEKDAY(A2388)&gt;1,WEEKDAY(A2388)&lt;7),"Wkd",TEXT(A2388,"Ddd"))&amp;"-"&amp;TEXT(A2388,"hh"),LoadTable[],3,FALSE)*0.92</f>
        <v>234.80148</v>
      </c>
      <c r="U2388" s="113">
        <f t="shared" si="2572"/>
        <v>23.480148</v>
      </c>
      <c r="V2388">
        <f t="shared" ref="V2388:W2388" si="2593">V2364</f>
        <v>2.9</v>
      </c>
      <c r="W2388">
        <f t="shared" si="2593"/>
        <v>3</v>
      </c>
      <c r="X2388" s="9">
        <v>-61.501090816666199</v>
      </c>
      <c r="Y2388" s="39"/>
    </row>
    <row r="2389" spans="1:25" ht="15" thickBot="1">
      <c r="A2389" s="149">
        <f t="shared" si="2554"/>
        <v>45935.416666662859</v>
      </c>
      <c r="B2389" s="30">
        <f t="shared" si="2581"/>
        <v>8000</v>
      </c>
      <c r="C2389" s="8">
        <v>25000</v>
      </c>
      <c r="D2389" s="187">
        <v>0</v>
      </c>
      <c r="E2389" s="187">
        <v>700</v>
      </c>
      <c r="F2389" s="187">
        <v>15000</v>
      </c>
      <c r="G2389" s="151">
        <v>2470</v>
      </c>
      <c r="H2389" s="8">
        <f t="shared" si="2582"/>
        <v>25000</v>
      </c>
      <c r="I2389" s="30">
        <f t="shared" si="2583"/>
        <v>8000</v>
      </c>
      <c r="J2389" s="187">
        <v>40000</v>
      </c>
      <c r="K2389" s="30">
        <f t="shared" si="2584"/>
        <v>8000</v>
      </c>
      <c r="L2389" s="187">
        <v>40000</v>
      </c>
      <c r="M2389" s="110">
        <v>9.5</v>
      </c>
      <c r="N2389" s="9">
        <f>VLOOKUP(DATE(YEAR(A2389),MONTH(A2389),DAY(A2389)),FY24_Temp[],3,FALSE)</f>
        <v>17.25</v>
      </c>
      <c r="O2389" s="110">
        <f t="shared" si="2570"/>
        <v>11.5</v>
      </c>
      <c r="P2389" s="110">
        <f t="shared" si="2571"/>
        <v>19.5</v>
      </c>
      <c r="Q2389" s="79">
        <f>VLOOKUP(VLOOKUP(DATEVALUE(TEXT(A2389,"m/d/yyyy")),FY24_Temp[],5,FALSE)&amp;TEXT(A2389,"-h"),TempDelta[],4,FALSE)</f>
        <v>0.42900000299726215</v>
      </c>
      <c r="R2389">
        <v>10</v>
      </c>
      <c r="S2389" s="112">
        <v>1500</v>
      </c>
      <c r="T2389" s="5">
        <f>VLOOKUP(TEXT(A2389,"yy-mm")&amp;"-"&amp;IF(AND(WEEKDAY(A2389)&gt;1,WEEKDAY(A2389)&lt;7),"Wkd",TEXT(A2389,"Ddd"))&amp;"-"&amp;TEXT(A2389,"hh"),LoadTable[],3,FALSE)*0.92</f>
        <v>234.80148</v>
      </c>
      <c r="U2389" s="113">
        <f t="shared" si="2572"/>
        <v>23.480148</v>
      </c>
      <c r="V2389">
        <f t="shared" ref="V2389:W2389" si="2594">V2365</f>
        <v>2.9</v>
      </c>
      <c r="W2389">
        <f t="shared" si="2594"/>
        <v>3</v>
      </c>
      <c r="X2389" s="9">
        <v>-61.578885366666199</v>
      </c>
      <c r="Y2389" s="39"/>
    </row>
    <row r="2390" spans="1:25" ht="15" thickBot="1">
      <c r="A2390" s="149">
        <f t="shared" si="2554"/>
        <v>45935.458333329523</v>
      </c>
      <c r="B2390" s="30">
        <f t="shared" si="2581"/>
        <v>8000</v>
      </c>
      <c r="C2390" s="8">
        <v>25000</v>
      </c>
      <c r="D2390" s="187">
        <v>0</v>
      </c>
      <c r="E2390" s="187">
        <v>700</v>
      </c>
      <c r="F2390" s="187">
        <v>15000</v>
      </c>
      <c r="G2390" s="151">
        <v>2470</v>
      </c>
      <c r="H2390" s="8">
        <f t="shared" si="2582"/>
        <v>25000</v>
      </c>
      <c r="I2390" s="30">
        <f t="shared" si="2583"/>
        <v>8000</v>
      </c>
      <c r="J2390" s="187">
        <v>40000</v>
      </c>
      <c r="K2390" s="30">
        <f t="shared" si="2584"/>
        <v>8000</v>
      </c>
      <c r="L2390" s="187">
        <v>40000</v>
      </c>
      <c r="M2390" s="110">
        <v>9.5</v>
      </c>
      <c r="N2390" s="9">
        <f>VLOOKUP(DATE(YEAR(A2390),MONTH(A2390),DAY(A2390)),FY24_Temp[],3,FALSE)</f>
        <v>17.25</v>
      </c>
      <c r="O2390" s="110">
        <f t="shared" si="2570"/>
        <v>11.5</v>
      </c>
      <c r="P2390" s="110">
        <f t="shared" si="2571"/>
        <v>19.5</v>
      </c>
      <c r="Q2390" s="79">
        <f>VLOOKUP(VLOOKUP(DATEVALUE(TEXT(A2390,"m/d/yyyy")),FY24_Temp[],5,FALSE)&amp;TEXT(A2390,"-h"),TempDelta[],4,FALSE)</f>
        <v>0.33714285918644499</v>
      </c>
      <c r="R2390">
        <v>10</v>
      </c>
      <c r="S2390" s="112">
        <v>1500</v>
      </c>
      <c r="T2390" s="5">
        <f>VLOOKUP(TEXT(A2390,"yy-mm")&amp;"-"&amp;IF(AND(WEEKDAY(A2390)&gt;1,WEEKDAY(A2390)&lt;7),"Wkd",TEXT(A2390,"Ddd"))&amp;"-"&amp;TEXT(A2390,"hh"),LoadTable[],3,FALSE)*0.92</f>
        <v>234.80148</v>
      </c>
      <c r="U2390" s="113">
        <f t="shared" si="2572"/>
        <v>23.480148</v>
      </c>
      <c r="V2390">
        <f t="shared" ref="V2390:W2390" si="2595">V2366</f>
        <v>3.4</v>
      </c>
      <c r="W2390">
        <f t="shared" si="2595"/>
        <v>3</v>
      </c>
      <c r="X2390" s="9">
        <v>-61.656679916666199</v>
      </c>
      <c r="Y2390" s="39"/>
    </row>
    <row r="2391" spans="1:25" ht="15" thickBot="1">
      <c r="A2391" s="149">
        <f t="shared" si="2554"/>
        <v>45935.499999996187</v>
      </c>
      <c r="B2391" s="30">
        <f t="shared" si="2581"/>
        <v>8000</v>
      </c>
      <c r="C2391" s="8">
        <v>25000</v>
      </c>
      <c r="D2391" s="187">
        <v>0</v>
      </c>
      <c r="E2391" s="187">
        <v>700</v>
      </c>
      <c r="F2391" s="187">
        <v>15000</v>
      </c>
      <c r="G2391" s="151">
        <v>2470</v>
      </c>
      <c r="H2391" s="8">
        <f t="shared" si="2582"/>
        <v>25000</v>
      </c>
      <c r="I2391" s="30">
        <f t="shared" si="2583"/>
        <v>8000</v>
      </c>
      <c r="J2391" s="187">
        <v>40000</v>
      </c>
      <c r="K2391" s="30">
        <f t="shared" si="2584"/>
        <v>8000</v>
      </c>
      <c r="L2391" s="187">
        <v>40000</v>
      </c>
      <c r="M2391" s="110">
        <v>9.5</v>
      </c>
      <c r="N2391" s="9">
        <f>VLOOKUP(DATE(YEAR(A2391),MONTH(A2391),DAY(A2391)),FY24_Temp[],3,FALSE)</f>
        <v>17.25</v>
      </c>
      <c r="O2391" s="110">
        <f t="shared" si="2570"/>
        <v>11.5</v>
      </c>
      <c r="P2391" s="110">
        <f t="shared" si="2571"/>
        <v>19.5</v>
      </c>
      <c r="Q2391" s="79">
        <f>VLOOKUP(VLOOKUP(DATEVALUE(TEXT(A2391,"m/d/yyyy")),FY24_Temp[],5,FALSE)&amp;TEXT(A2391,"-h"),TempDelta[],4,FALSE)</f>
        <v>0.2629999986716679</v>
      </c>
      <c r="R2391">
        <v>10</v>
      </c>
      <c r="S2391" s="112">
        <v>1500</v>
      </c>
      <c r="T2391" s="5">
        <f>VLOOKUP(TEXT(A2391,"yy-mm")&amp;"-"&amp;IF(AND(WEEKDAY(A2391)&gt;1,WEEKDAY(A2391)&lt;7),"Wkd",TEXT(A2391,"Ddd"))&amp;"-"&amp;TEXT(A2391,"hh"),LoadTable[],3,FALSE)*0.92</f>
        <v>234.80148</v>
      </c>
      <c r="U2391" s="113">
        <f t="shared" si="2572"/>
        <v>23.480148</v>
      </c>
      <c r="V2391">
        <f t="shared" ref="V2391:W2391" si="2596">V2367</f>
        <v>3.1</v>
      </c>
      <c r="W2391">
        <f t="shared" si="2596"/>
        <v>2.9</v>
      </c>
      <c r="X2391" s="9">
        <v>-61.7344744666662</v>
      </c>
      <c r="Y2391" s="39"/>
    </row>
    <row r="2392" spans="1:25" ht="15" thickBot="1">
      <c r="A2392" s="149">
        <f t="shared" si="2554"/>
        <v>45935.541666662852</v>
      </c>
      <c r="B2392" s="30">
        <f t="shared" si="2581"/>
        <v>8000</v>
      </c>
      <c r="C2392" s="8">
        <v>25000</v>
      </c>
      <c r="D2392" s="187">
        <v>0</v>
      </c>
      <c r="E2392" s="187">
        <v>700</v>
      </c>
      <c r="F2392" s="187">
        <v>15000</v>
      </c>
      <c r="G2392" s="151">
        <v>2470</v>
      </c>
      <c r="H2392" s="8">
        <f t="shared" si="2582"/>
        <v>25000</v>
      </c>
      <c r="I2392" s="30">
        <f t="shared" si="2583"/>
        <v>8000</v>
      </c>
      <c r="J2392" s="187">
        <v>40000</v>
      </c>
      <c r="K2392" s="30">
        <f t="shared" si="2584"/>
        <v>8000</v>
      </c>
      <c r="L2392" s="187">
        <v>40000</v>
      </c>
      <c r="M2392" s="110">
        <v>9.5</v>
      </c>
      <c r="N2392" s="9">
        <f>VLOOKUP(DATE(YEAR(A2392),MONTH(A2392),DAY(A2392)),FY24_Temp[],3,FALSE)</f>
        <v>17.25</v>
      </c>
      <c r="O2392" s="110">
        <f t="shared" si="2570"/>
        <v>11.5</v>
      </c>
      <c r="P2392" s="110">
        <f t="shared" si="2571"/>
        <v>19.5</v>
      </c>
      <c r="Q2392" s="79">
        <f>VLOOKUP(VLOOKUP(DATEVALUE(TEXT(A2392,"m/d/yyyy")),FY24_Temp[],5,FALSE)&amp;TEXT(A2392,"-h"),TempDelta[],4,FALSE)</f>
        <v>0.22185713904244558</v>
      </c>
      <c r="R2392">
        <v>10</v>
      </c>
      <c r="S2392" s="112">
        <v>1500</v>
      </c>
      <c r="T2392" s="5">
        <f>VLOOKUP(TEXT(A2392,"yy-mm")&amp;"-"&amp;IF(AND(WEEKDAY(A2392)&gt;1,WEEKDAY(A2392)&lt;7),"Wkd",TEXT(A2392,"Ddd"))&amp;"-"&amp;TEXT(A2392,"hh"),LoadTable[],3,FALSE)*0.92</f>
        <v>234.80148</v>
      </c>
      <c r="U2392" s="113">
        <f t="shared" si="2572"/>
        <v>23.480148</v>
      </c>
      <c r="V2392">
        <f t="shared" ref="V2392:W2392" si="2597">V2368</f>
        <v>3.2</v>
      </c>
      <c r="W2392">
        <f t="shared" si="2597"/>
        <v>2.9</v>
      </c>
      <c r="X2392" s="9">
        <v>-61.8122690166662</v>
      </c>
      <c r="Y2392" s="39"/>
    </row>
    <row r="2393" spans="1:25" ht="15" thickBot="1">
      <c r="A2393" s="149">
        <f t="shared" si="2554"/>
        <v>45935.583333329516</v>
      </c>
      <c r="B2393" s="30">
        <f t="shared" si="2581"/>
        <v>8000</v>
      </c>
      <c r="C2393" s="8">
        <v>25000</v>
      </c>
      <c r="D2393" s="187">
        <v>0</v>
      </c>
      <c r="E2393" s="187">
        <v>700</v>
      </c>
      <c r="F2393" s="187">
        <v>15000</v>
      </c>
      <c r="G2393" s="151">
        <v>2470</v>
      </c>
      <c r="H2393" s="8">
        <f t="shared" si="2582"/>
        <v>25000</v>
      </c>
      <c r="I2393" s="30">
        <f t="shared" si="2583"/>
        <v>8000</v>
      </c>
      <c r="J2393" s="187">
        <v>40000</v>
      </c>
      <c r="K2393" s="30">
        <f t="shared" si="2584"/>
        <v>8000</v>
      </c>
      <c r="L2393" s="187">
        <v>40000</v>
      </c>
      <c r="M2393" s="110">
        <v>9.5</v>
      </c>
      <c r="N2393" s="9">
        <f>VLOOKUP(DATE(YEAR(A2393),MONTH(A2393),DAY(A2393)),FY24_Temp[],3,FALSE)</f>
        <v>17.25</v>
      </c>
      <c r="O2393" s="110">
        <f t="shared" si="2570"/>
        <v>11.5</v>
      </c>
      <c r="P2393" s="110">
        <f t="shared" si="2571"/>
        <v>19.5</v>
      </c>
      <c r="Q2393" s="79">
        <f>VLOOKUP(VLOOKUP(DATEVALUE(TEXT(A2393,"m/d/yyyy")),FY24_Temp[],5,FALSE)&amp;TEXT(A2393,"-h"),TempDelta[],4,FALSE)</f>
        <v>0.29271428287029266</v>
      </c>
      <c r="R2393">
        <v>10</v>
      </c>
      <c r="S2393" s="112">
        <v>1500</v>
      </c>
      <c r="T2393" s="5">
        <f>VLOOKUP(TEXT(A2393,"yy-mm")&amp;"-"&amp;IF(AND(WEEKDAY(A2393)&gt;1,WEEKDAY(A2393)&lt;7),"Wkd",TEXT(A2393,"Ddd"))&amp;"-"&amp;TEXT(A2393,"hh"),LoadTable[],3,FALSE)*0.92</f>
        <v>234.80148</v>
      </c>
      <c r="U2393" s="113">
        <f t="shared" si="2572"/>
        <v>23.480148</v>
      </c>
      <c r="V2393">
        <f t="shared" ref="V2393:W2393" si="2598">V2369</f>
        <v>3.5</v>
      </c>
      <c r="W2393">
        <f t="shared" si="2598"/>
        <v>2.9</v>
      </c>
      <c r="X2393" s="9">
        <v>-61.8900635666662</v>
      </c>
      <c r="Y2393" s="39"/>
    </row>
    <row r="2394" spans="1:25" ht="15" thickBot="1">
      <c r="A2394" s="149">
        <f t="shared" si="2554"/>
        <v>45935.62499999618</v>
      </c>
      <c r="B2394" s="30">
        <f t="shared" si="2581"/>
        <v>8000</v>
      </c>
      <c r="C2394" s="8">
        <v>25000</v>
      </c>
      <c r="D2394" s="187">
        <v>0</v>
      </c>
      <c r="E2394" s="187">
        <v>700</v>
      </c>
      <c r="F2394" s="187">
        <v>15000</v>
      </c>
      <c r="G2394" s="151">
        <v>2470</v>
      </c>
      <c r="H2394" s="8">
        <f t="shared" si="2582"/>
        <v>25000</v>
      </c>
      <c r="I2394" s="30">
        <f t="shared" si="2583"/>
        <v>8000</v>
      </c>
      <c r="J2394" s="187">
        <v>40000</v>
      </c>
      <c r="K2394" s="30">
        <f t="shared" si="2584"/>
        <v>8000</v>
      </c>
      <c r="L2394" s="187">
        <v>40000</v>
      </c>
      <c r="M2394" s="110">
        <v>9.5</v>
      </c>
      <c r="N2394" s="9">
        <f>VLOOKUP(DATE(YEAR(A2394),MONTH(A2394),DAY(A2394)),FY24_Temp[],3,FALSE)</f>
        <v>17.25</v>
      </c>
      <c r="O2394" s="110">
        <f t="shared" si="2570"/>
        <v>11.5</v>
      </c>
      <c r="P2394" s="110">
        <f t="shared" si="2571"/>
        <v>19.5</v>
      </c>
      <c r="Q2394" s="79">
        <f>VLOOKUP(VLOOKUP(DATEVALUE(TEXT(A2394,"m/d/yyyy")),FY24_Temp[],5,FALSE)&amp;TEXT(A2394,"-h"),TempDelta[],4,FALSE)</f>
        <v>0.3973571445260729</v>
      </c>
      <c r="R2394">
        <v>10</v>
      </c>
      <c r="S2394" s="112">
        <v>1500</v>
      </c>
      <c r="T2394" s="5">
        <f>VLOOKUP(TEXT(A2394,"yy-mm")&amp;"-"&amp;IF(AND(WEEKDAY(A2394)&gt;1,WEEKDAY(A2394)&lt;7),"Wkd",TEXT(A2394,"Ddd"))&amp;"-"&amp;TEXT(A2394,"hh"),LoadTable[],3,FALSE)*0.92</f>
        <v>234.80148</v>
      </c>
      <c r="U2394" s="113">
        <f t="shared" si="2572"/>
        <v>23.480148</v>
      </c>
      <c r="V2394">
        <f t="shared" ref="V2394:W2394" si="2599">V2370</f>
        <v>3.2</v>
      </c>
      <c r="W2394">
        <f t="shared" si="2599"/>
        <v>2.9</v>
      </c>
      <c r="X2394" s="9">
        <v>-61.9678581166662</v>
      </c>
      <c r="Y2394" s="39"/>
    </row>
    <row r="2395" spans="1:25" ht="15" thickBot="1">
      <c r="A2395" s="149">
        <f t="shared" si="2554"/>
        <v>45935.666666662844</v>
      </c>
      <c r="B2395" s="30">
        <f t="shared" si="2581"/>
        <v>8000</v>
      </c>
      <c r="C2395" s="8">
        <v>25000</v>
      </c>
      <c r="D2395" s="187">
        <v>0</v>
      </c>
      <c r="E2395" s="187">
        <v>700</v>
      </c>
      <c r="F2395" s="187">
        <v>15000</v>
      </c>
      <c r="G2395" s="151">
        <v>2470</v>
      </c>
      <c r="H2395" s="8">
        <f t="shared" si="2582"/>
        <v>25000</v>
      </c>
      <c r="I2395" s="30">
        <f t="shared" si="2583"/>
        <v>8000</v>
      </c>
      <c r="J2395" s="187">
        <v>40000</v>
      </c>
      <c r="K2395" s="30">
        <f t="shared" si="2584"/>
        <v>8000</v>
      </c>
      <c r="L2395" s="187">
        <v>40000</v>
      </c>
      <c r="M2395" s="110">
        <v>9.5</v>
      </c>
      <c r="N2395" s="9">
        <f>VLOOKUP(DATE(YEAR(A2395),MONTH(A2395),DAY(A2395)),FY24_Temp[],3,FALSE)</f>
        <v>17.25</v>
      </c>
      <c r="O2395" s="110">
        <f t="shared" si="2570"/>
        <v>11.5</v>
      </c>
      <c r="P2395" s="110">
        <f t="shared" si="2571"/>
        <v>19.5</v>
      </c>
      <c r="Q2395" s="79">
        <f>VLOOKUP(VLOOKUP(DATEVALUE(TEXT(A2395,"m/d/yyyy")),FY24_Temp[],5,FALSE)&amp;TEXT(A2395,"-h"),TempDelta[],4,FALSE)</f>
        <v>0.63707143068313599</v>
      </c>
      <c r="R2395">
        <v>10</v>
      </c>
      <c r="S2395" s="112">
        <v>1500</v>
      </c>
      <c r="T2395" s="5">
        <f>VLOOKUP(TEXT(A2395,"yy-mm")&amp;"-"&amp;IF(AND(WEEKDAY(A2395)&gt;1,WEEKDAY(A2395)&lt;7),"Wkd",TEXT(A2395,"Ddd"))&amp;"-"&amp;TEXT(A2395,"hh"),LoadTable[],3,FALSE)*0.92</f>
        <v>234.80148</v>
      </c>
      <c r="U2395" s="113">
        <f t="shared" si="2572"/>
        <v>23.480148</v>
      </c>
      <c r="V2395">
        <f t="shared" ref="V2395:W2395" si="2600">V2371</f>
        <v>3.5</v>
      </c>
      <c r="W2395">
        <f t="shared" si="2600"/>
        <v>3</v>
      </c>
      <c r="X2395" s="9">
        <v>-62.0456526666662</v>
      </c>
      <c r="Y2395" s="39"/>
    </row>
    <row r="2396" spans="1:25" ht="15" thickBot="1">
      <c r="A2396" s="149">
        <f t="shared" si="2554"/>
        <v>45935.708333329509</v>
      </c>
      <c r="B2396" s="30">
        <f t="shared" si="2581"/>
        <v>8000</v>
      </c>
      <c r="C2396" s="8">
        <v>25000</v>
      </c>
      <c r="D2396" s="187">
        <v>0</v>
      </c>
      <c r="E2396" s="187">
        <v>700</v>
      </c>
      <c r="F2396" s="187">
        <v>15000</v>
      </c>
      <c r="G2396" s="151">
        <v>2470</v>
      </c>
      <c r="H2396" s="8">
        <f t="shared" si="2582"/>
        <v>25000</v>
      </c>
      <c r="I2396" s="30">
        <f t="shared" si="2583"/>
        <v>8000</v>
      </c>
      <c r="J2396" s="187">
        <v>40000</v>
      </c>
      <c r="K2396" s="30">
        <f t="shared" si="2584"/>
        <v>8000</v>
      </c>
      <c r="L2396" s="187">
        <v>40000</v>
      </c>
      <c r="M2396" s="110">
        <v>9.5</v>
      </c>
      <c r="N2396" s="9">
        <f>VLOOKUP(DATE(YEAR(A2396),MONTH(A2396),DAY(A2396)),FY24_Temp[],3,FALSE)</f>
        <v>17.25</v>
      </c>
      <c r="O2396" s="110">
        <f t="shared" si="2570"/>
        <v>11.5</v>
      </c>
      <c r="P2396" s="110">
        <f t="shared" si="2571"/>
        <v>19.5</v>
      </c>
      <c r="Q2396" s="79">
        <f>VLOOKUP(VLOOKUP(DATEVALUE(TEXT(A2396,"m/d/yyyy")),FY24_Temp[],5,FALSE)&amp;TEXT(A2396,"-h"),TempDelta[],4,FALSE)</f>
        <v>0.76450000064713619</v>
      </c>
      <c r="R2396">
        <v>10</v>
      </c>
      <c r="S2396" s="112">
        <v>1500</v>
      </c>
      <c r="T2396" s="5">
        <f>VLOOKUP(TEXT(A2396,"yy-mm")&amp;"-"&amp;IF(AND(WEEKDAY(A2396)&gt;1,WEEKDAY(A2396)&lt;7),"Wkd",TEXT(A2396,"Ddd"))&amp;"-"&amp;TEXT(A2396,"hh"),LoadTable[],3,FALSE)*0.92</f>
        <v>234.80148</v>
      </c>
      <c r="U2396" s="113">
        <f t="shared" si="2572"/>
        <v>23.480148</v>
      </c>
      <c r="V2396">
        <f t="shared" ref="V2396:W2396" si="2601">V2372</f>
        <v>3.6</v>
      </c>
      <c r="W2396">
        <f t="shared" si="2601"/>
        <v>3</v>
      </c>
      <c r="X2396" s="9">
        <v>-62.1234472166662</v>
      </c>
      <c r="Y2396" s="39"/>
    </row>
    <row r="2397" spans="1:25" ht="15" thickBot="1">
      <c r="A2397" s="149">
        <f t="shared" si="2554"/>
        <v>45935.749999996173</v>
      </c>
      <c r="B2397" s="30">
        <f t="shared" si="2581"/>
        <v>5000</v>
      </c>
      <c r="C2397" s="8">
        <v>25000</v>
      </c>
      <c r="D2397" s="187">
        <v>0</v>
      </c>
      <c r="E2397" s="187">
        <v>700</v>
      </c>
      <c r="F2397" s="187">
        <v>15000</v>
      </c>
      <c r="G2397" s="151">
        <v>2470</v>
      </c>
      <c r="H2397" s="8">
        <f t="shared" si="2582"/>
        <v>25000</v>
      </c>
      <c r="I2397" s="30">
        <f t="shared" si="2583"/>
        <v>5000</v>
      </c>
      <c r="J2397" s="187">
        <v>40000</v>
      </c>
      <c r="K2397" s="30">
        <f t="shared" si="2584"/>
        <v>5000</v>
      </c>
      <c r="L2397" s="187">
        <v>40000</v>
      </c>
      <c r="M2397" s="110">
        <v>9.5</v>
      </c>
      <c r="N2397" s="9">
        <f>VLOOKUP(DATE(YEAR(A2397),MONTH(A2397),DAY(A2397)),FY24_Temp[],3,FALSE)</f>
        <v>17.25</v>
      </c>
      <c r="O2397" s="110">
        <f t="shared" si="2570"/>
        <v>11.5</v>
      </c>
      <c r="P2397" s="110">
        <f t="shared" si="2571"/>
        <v>19.5</v>
      </c>
      <c r="Q2397" s="79">
        <f>VLOOKUP(VLOOKUP(DATEVALUE(TEXT(A2397,"m/d/yyyy")),FY24_Temp[],5,FALSE)&amp;TEXT(A2397,"-h"),TempDelta[],4,FALSE)</f>
        <v>0.91657142128263203</v>
      </c>
      <c r="R2397">
        <v>10</v>
      </c>
      <c r="S2397" s="112">
        <v>1500</v>
      </c>
      <c r="T2397" s="5">
        <f>VLOOKUP(TEXT(A2397,"yy-mm")&amp;"-"&amp;IF(AND(WEEKDAY(A2397)&gt;1,WEEKDAY(A2397)&lt;7),"Wkd",TEXT(A2397,"Ddd"))&amp;"-"&amp;TEXT(A2397,"hh"),LoadTable[],3,FALSE)*0.92</f>
        <v>303.31295999999998</v>
      </c>
      <c r="U2397" s="113">
        <f t="shared" si="2572"/>
        <v>30.331295999999998</v>
      </c>
      <c r="V2397">
        <f t="shared" ref="V2397:W2397" si="2602">V2373</f>
        <v>2.9</v>
      </c>
      <c r="W2397">
        <f t="shared" si="2602"/>
        <v>3</v>
      </c>
      <c r="X2397" s="9">
        <v>-62.2012417666662</v>
      </c>
      <c r="Y2397" s="39"/>
    </row>
    <row r="2398" spans="1:25" ht="15" thickBot="1">
      <c r="A2398" s="149">
        <f t="shared" si="2554"/>
        <v>45935.791666662837</v>
      </c>
      <c r="B2398" s="30">
        <f t="shared" si="2581"/>
        <v>5000</v>
      </c>
      <c r="C2398" s="8">
        <v>25000</v>
      </c>
      <c r="D2398" s="187">
        <v>0</v>
      </c>
      <c r="E2398" s="187">
        <v>700</v>
      </c>
      <c r="F2398" s="187">
        <v>15000</v>
      </c>
      <c r="G2398" s="151">
        <v>2470</v>
      </c>
      <c r="H2398" s="8">
        <f t="shared" si="2582"/>
        <v>25000</v>
      </c>
      <c r="I2398" s="30">
        <f t="shared" si="2583"/>
        <v>5000</v>
      </c>
      <c r="J2398" s="187">
        <v>40000</v>
      </c>
      <c r="K2398" s="30">
        <f t="shared" si="2584"/>
        <v>5000</v>
      </c>
      <c r="L2398" s="187">
        <v>40000</v>
      </c>
      <c r="M2398" s="110">
        <v>9.5</v>
      </c>
      <c r="N2398" s="9">
        <f>VLOOKUP(DATE(YEAR(A2398),MONTH(A2398),DAY(A2398)),FY24_Temp[],3,FALSE)</f>
        <v>17.25</v>
      </c>
      <c r="O2398" s="110">
        <f t="shared" si="2570"/>
        <v>11.5</v>
      </c>
      <c r="P2398" s="110">
        <f t="shared" si="2571"/>
        <v>19.5</v>
      </c>
      <c r="Q2398" s="79">
        <f>VLOOKUP(VLOOKUP(DATEVALUE(TEXT(A2398,"m/d/yyyy")),FY24_Temp[],5,FALSE)&amp;TEXT(A2398,"-h"),TempDelta[],4,FALSE)</f>
        <v>0.91900000827653072</v>
      </c>
      <c r="R2398">
        <v>10</v>
      </c>
      <c r="S2398" s="112">
        <v>1500</v>
      </c>
      <c r="T2398" s="5">
        <f>VLOOKUP(TEXT(A2398,"yy-mm")&amp;"-"&amp;IF(AND(WEEKDAY(A2398)&gt;1,WEEKDAY(A2398)&lt;7),"Wkd",TEXT(A2398,"Ddd"))&amp;"-"&amp;TEXT(A2398,"hh"),LoadTable[],3,FALSE)*0.92</f>
        <v>303.31295999999998</v>
      </c>
      <c r="U2398" s="113">
        <f t="shared" si="2572"/>
        <v>30.331295999999998</v>
      </c>
      <c r="V2398">
        <f t="shared" ref="V2398:W2398" si="2603">V2374</f>
        <v>3</v>
      </c>
      <c r="W2398">
        <f t="shared" si="2603"/>
        <v>3</v>
      </c>
      <c r="X2398" s="9">
        <v>-62.2790363166662</v>
      </c>
      <c r="Y2398" s="39"/>
    </row>
    <row r="2399" spans="1:25" ht="15" thickBot="1">
      <c r="A2399" s="149">
        <f t="shared" si="2554"/>
        <v>45935.833333329501</v>
      </c>
      <c r="B2399" s="30">
        <f t="shared" si="2581"/>
        <v>5000</v>
      </c>
      <c r="C2399" s="8">
        <v>25000</v>
      </c>
      <c r="D2399" s="187">
        <v>0</v>
      </c>
      <c r="E2399" s="187">
        <v>700</v>
      </c>
      <c r="F2399" s="187">
        <v>15000</v>
      </c>
      <c r="G2399" s="151">
        <v>2470</v>
      </c>
      <c r="H2399" s="8">
        <f t="shared" si="2582"/>
        <v>25000</v>
      </c>
      <c r="I2399" s="30">
        <f t="shared" si="2583"/>
        <v>5000</v>
      </c>
      <c r="J2399" s="187">
        <v>40000</v>
      </c>
      <c r="K2399" s="30">
        <f t="shared" si="2584"/>
        <v>5000</v>
      </c>
      <c r="L2399" s="187">
        <v>40000</v>
      </c>
      <c r="M2399" s="110">
        <v>9.5</v>
      </c>
      <c r="N2399" s="9">
        <f>VLOOKUP(DATE(YEAR(A2399),MONTH(A2399),DAY(A2399)),FY24_Temp[],3,FALSE)</f>
        <v>17.25</v>
      </c>
      <c r="O2399" s="110">
        <f t="shared" si="2570"/>
        <v>11.5</v>
      </c>
      <c r="P2399" s="110">
        <f t="shared" si="2571"/>
        <v>19.5</v>
      </c>
      <c r="Q2399" s="79">
        <f>VLOOKUP(VLOOKUP(DATEVALUE(TEXT(A2399,"m/d/yyyy")),FY24_Temp[],5,FALSE)&amp;TEXT(A2399,"-h"),TempDelta[],4,FALSE)</f>
        <v>0.93314285363469807</v>
      </c>
      <c r="R2399">
        <v>10</v>
      </c>
      <c r="S2399" s="112">
        <v>1500</v>
      </c>
      <c r="T2399" s="5">
        <f>VLOOKUP(TEXT(A2399,"yy-mm")&amp;"-"&amp;IF(AND(WEEKDAY(A2399)&gt;1,WEEKDAY(A2399)&lt;7),"Wkd",TEXT(A2399,"Ddd"))&amp;"-"&amp;TEXT(A2399,"hh"),LoadTable[],3,FALSE)*0.92</f>
        <v>303.31295999999998</v>
      </c>
      <c r="U2399" s="113">
        <f t="shared" si="2572"/>
        <v>30.331295999999998</v>
      </c>
      <c r="V2399">
        <f t="shared" ref="V2399:W2399" si="2604">V2375</f>
        <v>2.8</v>
      </c>
      <c r="W2399">
        <f t="shared" si="2604"/>
        <v>3.1</v>
      </c>
      <c r="X2399" s="9">
        <v>-62.356830866666201</v>
      </c>
      <c r="Y2399" s="39"/>
    </row>
    <row r="2400" spans="1:25" ht="15" thickBot="1">
      <c r="A2400" s="149">
        <f t="shared" si="2554"/>
        <v>45935.874999996166</v>
      </c>
      <c r="B2400" s="30">
        <f t="shared" si="2581"/>
        <v>5000</v>
      </c>
      <c r="C2400" s="8">
        <v>25000</v>
      </c>
      <c r="D2400" s="187">
        <v>0</v>
      </c>
      <c r="E2400" s="187">
        <v>700</v>
      </c>
      <c r="F2400" s="187">
        <v>15000</v>
      </c>
      <c r="G2400" s="151">
        <v>2470</v>
      </c>
      <c r="H2400" s="8">
        <f t="shared" si="2582"/>
        <v>25000</v>
      </c>
      <c r="I2400" s="30">
        <f t="shared" si="2583"/>
        <v>5000</v>
      </c>
      <c r="J2400" s="187">
        <v>40000</v>
      </c>
      <c r="K2400" s="30">
        <f t="shared" si="2584"/>
        <v>5000</v>
      </c>
      <c r="L2400" s="187">
        <v>40000</v>
      </c>
      <c r="M2400" s="110">
        <v>9.5</v>
      </c>
      <c r="N2400" s="9">
        <f>VLOOKUP(DATE(YEAR(A2400),MONTH(A2400),DAY(A2400)),FY24_Temp[],3,FALSE)</f>
        <v>17.25</v>
      </c>
      <c r="O2400" s="110">
        <f t="shared" si="2570"/>
        <v>11.5</v>
      </c>
      <c r="P2400" s="110">
        <f t="shared" si="2571"/>
        <v>19.5</v>
      </c>
      <c r="Q2400" s="79">
        <f>VLOOKUP(VLOOKUP(DATEVALUE(TEXT(A2400,"m/d/yyyy")),FY24_Temp[],5,FALSE)&amp;TEXT(A2400,"-h"),TempDelta[],4,FALSE)</f>
        <v>0.92385714820453102</v>
      </c>
      <c r="R2400">
        <v>10</v>
      </c>
      <c r="S2400" s="112">
        <v>1500</v>
      </c>
      <c r="T2400" s="5">
        <f>VLOOKUP(TEXT(A2400,"yy-mm")&amp;"-"&amp;IF(AND(WEEKDAY(A2400)&gt;1,WEEKDAY(A2400)&lt;7),"Wkd",TEXT(A2400,"Ddd"))&amp;"-"&amp;TEXT(A2400,"hh"),LoadTable[],3,FALSE)*0.92</f>
        <v>229.93744000000001</v>
      </c>
      <c r="U2400" s="113">
        <f t="shared" si="2572"/>
        <v>22.993744</v>
      </c>
      <c r="V2400">
        <f t="shared" ref="V2400:W2400" si="2605">V2376</f>
        <v>3.5</v>
      </c>
      <c r="W2400">
        <f t="shared" si="2605"/>
        <v>3.1</v>
      </c>
      <c r="X2400" s="9">
        <v>-62.434625416666201</v>
      </c>
      <c r="Y2400" s="39"/>
    </row>
    <row r="2401" spans="1:25" ht="15" thickBot="1">
      <c r="A2401" s="149">
        <f t="shared" si="2554"/>
        <v>45935.91666666283</v>
      </c>
      <c r="B2401" s="30">
        <f t="shared" si="2581"/>
        <v>5000</v>
      </c>
      <c r="C2401" s="8">
        <v>25000</v>
      </c>
      <c r="D2401" s="187">
        <v>0</v>
      </c>
      <c r="E2401" s="187">
        <v>700</v>
      </c>
      <c r="F2401" s="187">
        <v>15000</v>
      </c>
      <c r="G2401" s="151">
        <v>2470</v>
      </c>
      <c r="H2401" s="8">
        <f t="shared" si="2582"/>
        <v>25000</v>
      </c>
      <c r="I2401" s="30">
        <f t="shared" si="2583"/>
        <v>5000</v>
      </c>
      <c r="J2401" s="187">
        <v>40000</v>
      </c>
      <c r="K2401" s="30">
        <f t="shared" si="2584"/>
        <v>5000</v>
      </c>
      <c r="L2401" s="187">
        <v>40000</v>
      </c>
      <c r="M2401" s="110">
        <v>9.5</v>
      </c>
      <c r="N2401" s="9">
        <f>VLOOKUP(DATE(YEAR(A2401),MONTH(A2401),DAY(A2401)),FY24_Temp[],3,FALSE)</f>
        <v>17.25</v>
      </c>
      <c r="O2401" s="110">
        <f t="shared" si="2570"/>
        <v>11.5</v>
      </c>
      <c r="P2401" s="110">
        <f t="shared" si="2571"/>
        <v>19.5</v>
      </c>
      <c r="Q2401" s="79">
        <f>VLOOKUP(VLOOKUP(DATEVALUE(TEXT(A2401,"m/d/yyyy")),FY24_Temp[],5,FALSE)&amp;TEXT(A2401,"-h"),TempDelta[],4,FALSE)</f>
        <v>1.1424285514014108</v>
      </c>
      <c r="R2401">
        <v>10</v>
      </c>
      <c r="S2401" s="112">
        <v>1500</v>
      </c>
      <c r="T2401" s="5">
        <f>VLOOKUP(TEXT(A2401,"yy-mm")&amp;"-"&amp;IF(AND(WEEKDAY(A2401)&gt;1,WEEKDAY(A2401)&lt;7),"Wkd",TEXT(A2401,"Ddd"))&amp;"-"&amp;TEXT(A2401,"hh"),LoadTable[],3,FALSE)*0.92</f>
        <v>176.52040000000002</v>
      </c>
      <c r="U2401" s="113">
        <f t="shared" si="2572"/>
        <v>17.652040000000003</v>
      </c>
      <c r="V2401">
        <f t="shared" ref="V2401:W2401" si="2606">V2377</f>
        <v>2.9</v>
      </c>
      <c r="W2401">
        <f t="shared" si="2606"/>
        <v>3.1</v>
      </c>
      <c r="X2401" s="9">
        <v>-62.512419966666201</v>
      </c>
      <c r="Y2401" s="39"/>
    </row>
    <row r="2402" spans="1:25" ht="15" thickBot="1">
      <c r="A2402" s="149">
        <f t="shared" si="2554"/>
        <v>45935.958333329494</v>
      </c>
      <c r="B2402" s="30">
        <f t="shared" si="2581"/>
        <v>5000</v>
      </c>
      <c r="C2402" s="8">
        <v>25000</v>
      </c>
      <c r="D2402" s="187">
        <v>0</v>
      </c>
      <c r="E2402" s="187">
        <v>700</v>
      </c>
      <c r="F2402" s="187">
        <v>15000</v>
      </c>
      <c r="G2402" s="151">
        <v>2470</v>
      </c>
      <c r="H2402" s="8">
        <f t="shared" si="2582"/>
        <v>25000</v>
      </c>
      <c r="I2402" s="30">
        <f t="shared" si="2583"/>
        <v>5000</v>
      </c>
      <c r="J2402" s="187">
        <v>40000</v>
      </c>
      <c r="K2402" s="30">
        <f t="shared" si="2584"/>
        <v>5000</v>
      </c>
      <c r="L2402" s="187">
        <v>40000</v>
      </c>
      <c r="M2402" s="110">
        <v>9.5</v>
      </c>
      <c r="N2402" s="9">
        <f>VLOOKUP(DATE(YEAR(A2402),MONTH(A2402),DAY(A2402)),FY24_Temp[],3,FALSE)</f>
        <v>17.25</v>
      </c>
      <c r="O2402" s="110">
        <f t="shared" si="2570"/>
        <v>11.5</v>
      </c>
      <c r="P2402" s="110">
        <f t="shared" si="2571"/>
        <v>19.5</v>
      </c>
      <c r="Q2402" s="79">
        <f>VLOOKUP(VLOOKUP(DATEVALUE(TEXT(A2402,"m/d/yyyy")),FY24_Temp[],5,FALSE)&amp;TEXT(A2402,"-h"),TempDelta[],4,FALSE)</f>
        <v>1.2597142798560006</v>
      </c>
      <c r="R2402">
        <v>10</v>
      </c>
      <c r="S2402" s="112">
        <v>1500</v>
      </c>
      <c r="T2402" s="5">
        <f>VLOOKUP(TEXT(A2402,"yy-mm")&amp;"-"&amp;IF(AND(WEEKDAY(A2402)&gt;1,WEEKDAY(A2402)&lt;7),"Wkd",TEXT(A2402,"Ddd"))&amp;"-"&amp;TEXT(A2402,"hh"),LoadTable[],3,FALSE)*0.92</f>
        <v>176.52040000000002</v>
      </c>
      <c r="U2402" s="113">
        <f t="shared" si="2572"/>
        <v>17.652040000000003</v>
      </c>
      <c r="V2402">
        <f t="shared" ref="V2402:W2402" si="2607">V2378</f>
        <v>3.6</v>
      </c>
      <c r="W2402">
        <f t="shared" si="2607"/>
        <v>3.1</v>
      </c>
      <c r="X2402" s="9">
        <v>-62.590214516666201</v>
      </c>
      <c r="Y2402" s="39"/>
    </row>
    <row r="2403" spans="1:25" ht="15" thickBot="1">
      <c r="A2403" s="149">
        <f t="shared" si="2554"/>
        <v>45935.999999996158</v>
      </c>
      <c r="B2403" s="30">
        <f t="shared" si="2581"/>
        <v>5000</v>
      </c>
      <c r="C2403" s="8">
        <v>25000</v>
      </c>
      <c r="D2403" s="187">
        <v>0</v>
      </c>
      <c r="E2403" s="187">
        <v>700</v>
      </c>
      <c r="F2403" s="187">
        <v>15000</v>
      </c>
      <c r="G2403" s="151">
        <v>2470</v>
      </c>
      <c r="H2403" s="8">
        <f t="shared" si="2582"/>
        <v>25000</v>
      </c>
      <c r="I2403" s="30">
        <f t="shared" si="2583"/>
        <v>5000</v>
      </c>
      <c r="J2403" s="187">
        <v>40000</v>
      </c>
      <c r="K2403" s="30">
        <f t="shared" si="2584"/>
        <v>5000</v>
      </c>
      <c r="L2403" s="187">
        <v>40000</v>
      </c>
      <c r="M2403" s="110">
        <v>9.5</v>
      </c>
      <c r="N2403" s="9">
        <f>VLOOKUP(DATE(YEAR(A2403),MONTH(A2403),DAY(A2403)),FY24_Temp[],3,FALSE)</f>
        <v>17.25</v>
      </c>
      <c r="O2403" s="110">
        <f t="shared" si="2570"/>
        <v>11.5</v>
      </c>
      <c r="P2403" s="110">
        <f t="shared" si="2571"/>
        <v>19.5</v>
      </c>
      <c r="Q2403" s="79">
        <f>VLOOKUP(VLOOKUP(DATEVALUE(TEXT(A2403,"m/d/yyyy")),FY24_Temp[],5,FALSE)&amp;TEXT(A2403,"-h"),TempDelta[],4,FALSE)</f>
        <v>1.3511428662708826</v>
      </c>
      <c r="R2403">
        <v>10</v>
      </c>
      <c r="S2403" s="112">
        <v>1500</v>
      </c>
      <c r="T2403" s="5">
        <f>VLOOKUP(TEXT(A2403,"yy-mm")&amp;"-"&amp;IF(AND(WEEKDAY(A2403)&gt;1,WEEKDAY(A2403)&lt;7),"Wkd",TEXT(A2403,"Ddd"))&amp;"-"&amp;TEXT(A2403,"hh"),LoadTable[],3,FALSE)*0.92</f>
        <v>209.6772</v>
      </c>
      <c r="U2403" s="113">
        <f t="shared" si="2572"/>
        <v>20.96772</v>
      </c>
      <c r="V2403">
        <f t="shared" ref="V2403:W2403" si="2608">V2379</f>
        <v>3</v>
      </c>
      <c r="W2403">
        <f t="shared" si="2608"/>
        <v>3.2</v>
      </c>
      <c r="X2403" s="9">
        <v>-62.668009066666201</v>
      </c>
      <c r="Y2403" s="39"/>
    </row>
    <row r="2404" spans="1:25" ht="15" thickBot="1">
      <c r="A2404" s="149">
        <f t="shared" si="2554"/>
        <v>45936.041666662823</v>
      </c>
      <c r="B2404" s="30">
        <f t="shared" si="2581"/>
        <v>5000</v>
      </c>
      <c r="C2404" s="8">
        <v>25000</v>
      </c>
      <c r="D2404" s="187">
        <v>0</v>
      </c>
      <c r="E2404" s="187">
        <v>700</v>
      </c>
      <c r="F2404" s="187">
        <v>15000</v>
      </c>
      <c r="G2404" s="151">
        <v>2470</v>
      </c>
      <c r="H2404" s="8">
        <f t="shared" si="2582"/>
        <v>25000</v>
      </c>
      <c r="I2404" s="30">
        <f t="shared" si="2583"/>
        <v>5000</v>
      </c>
      <c r="J2404" s="187">
        <v>40000</v>
      </c>
      <c r="K2404" s="30">
        <f t="shared" si="2584"/>
        <v>5000</v>
      </c>
      <c r="L2404" s="187">
        <v>40000</v>
      </c>
      <c r="M2404" s="110">
        <v>9.5</v>
      </c>
      <c r="N2404" s="9">
        <f>VLOOKUP(DATE(YEAR(A2404),MONTH(A2404),DAY(A2404)),FY24_Temp[],3,FALSE)</f>
        <v>17.25</v>
      </c>
      <c r="O2404" s="110">
        <f t="shared" si="2570"/>
        <v>11.5</v>
      </c>
      <c r="P2404" s="110">
        <f t="shared" si="2571"/>
        <v>19.5</v>
      </c>
      <c r="Q2404" s="79">
        <f>VLOOKUP(VLOOKUP(DATEVALUE(TEXT(A2404,"m/d/yyyy")),FY24_Temp[],5,FALSE)&amp;TEXT(A2404,"-h"),TempDelta[],4,FALSE)</f>
        <v>1.3058571474892753</v>
      </c>
      <c r="R2404">
        <v>10</v>
      </c>
      <c r="S2404" s="112">
        <v>1500</v>
      </c>
      <c r="T2404" s="5">
        <f>VLOOKUP(TEXT(A2404,"yy-mm")&amp;"-"&amp;IF(AND(WEEKDAY(A2404)&gt;1,WEEKDAY(A2404)&lt;7),"Wkd",TEXT(A2404,"Ddd"))&amp;"-"&amp;TEXT(A2404,"hh"),LoadTable[],3,FALSE)*0.92</f>
        <v>209.6772</v>
      </c>
      <c r="U2404" s="113">
        <f t="shared" si="2572"/>
        <v>20.96772</v>
      </c>
      <c r="V2404">
        <f t="shared" ref="V2404:W2404" si="2609">V2380</f>
        <v>2.6</v>
      </c>
      <c r="W2404">
        <f t="shared" si="2609"/>
        <v>3.2</v>
      </c>
      <c r="X2404" s="9">
        <v>-62.745803616666201</v>
      </c>
      <c r="Y2404" s="39"/>
    </row>
    <row r="2405" spans="1:25" ht="15" thickBot="1">
      <c r="A2405" s="149">
        <f t="shared" si="2554"/>
        <v>45936.083333329487</v>
      </c>
      <c r="B2405" s="30">
        <f t="shared" si="2581"/>
        <v>5000</v>
      </c>
      <c r="C2405" s="8">
        <v>25000</v>
      </c>
      <c r="D2405" s="187">
        <v>0</v>
      </c>
      <c r="E2405" s="187">
        <v>700</v>
      </c>
      <c r="F2405" s="187">
        <v>15000</v>
      </c>
      <c r="G2405" s="151">
        <v>2470</v>
      </c>
      <c r="H2405" s="8">
        <f t="shared" si="2582"/>
        <v>25000</v>
      </c>
      <c r="I2405" s="30">
        <f t="shared" si="2583"/>
        <v>5000</v>
      </c>
      <c r="J2405" s="187">
        <v>40000</v>
      </c>
      <c r="K2405" s="30">
        <f t="shared" si="2584"/>
        <v>5000</v>
      </c>
      <c r="L2405" s="187">
        <v>40000</v>
      </c>
      <c r="M2405" s="110">
        <v>9.5</v>
      </c>
      <c r="N2405" s="9">
        <f>VLOOKUP(DATE(YEAR(A2405),MONTH(A2405),DAY(A2405)),FY24_Temp[],3,FALSE)</f>
        <v>17.25</v>
      </c>
      <c r="O2405" s="110">
        <f t="shared" si="2570"/>
        <v>11.5</v>
      </c>
      <c r="P2405" s="110">
        <f t="shared" si="2571"/>
        <v>19.5</v>
      </c>
      <c r="Q2405" s="79">
        <f>VLOOKUP(VLOOKUP(DATEVALUE(TEXT(A2405,"m/d/yyyy")),FY24_Temp[],5,FALSE)&amp;TEXT(A2405,"-h"),TempDelta[],4,FALSE)</f>
        <v>1.217571428843907</v>
      </c>
      <c r="R2405">
        <v>10</v>
      </c>
      <c r="S2405" s="112">
        <v>1500</v>
      </c>
      <c r="T2405" s="5">
        <f>VLOOKUP(TEXT(A2405,"yy-mm")&amp;"-"&amp;IF(AND(WEEKDAY(A2405)&gt;1,WEEKDAY(A2405)&lt;7),"Wkd",TEXT(A2405,"Ddd"))&amp;"-"&amp;TEXT(A2405,"hh"),LoadTable[],3,FALSE)*0.92</f>
        <v>209.6772</v>
      </c>
      <c r="U2405" s="113">
        <f t="shared" si="2572"/>
        <v>20.96772</v>
      </c>
      <c r="V2405">
        <f t="shared" ref="V2405:W2405" si="2610">V2381</f>
        <v>2.8</v>
      </c>
      <c r="W2405">
        <f t="shared" si="2610"/>
        <v>3.2</v>
      </c>
      <c r="X2405" s="9">
        <v>-62.823598166666102</v>
      </c>
      <c r="Y2405" s="39"/>
    </row>
    <row r="2406" spans="1:25" ht="15" thickBot="1">
      <c r="A2406" s="149">
        <f t="shared" si="2554"/>
        <v>45936.124999996151</v>
      </c>
      <c r="B2406" s="30">
        <f t="shared" si="2581"/>
        <v>5000</v>
      </c>
      <c r="C2406" s="8">
        <v>25000</v>
      </c>
      <c r="D2406" s="187">
        <v>0</v>
      </c>
      <c r="E2406" s="187">
        <v>700</v>
      </c>
      <c r="F2406" s="187">
        <v>15000</v>
      </c>
      <c r="G2406" s="151">
        <v>2470</v>
      </c>
      <c r="H2406" s="8">
        <f t="shared" si="2582"/>
        <v>25000</v>
      </c>
      <c r="I2406" s="30">
        <f t="shared" si="2583"/>
        <v>5000</v>
      </c>
      <c r="J2406" s="187">
        <v>40000</v>
      </c>
      <c r="K2406" s="30">
        <f t="shared" si="2584"/>
        <v>5000</v>
      </c>
      <c r="L2406" s="187">
        <v>40000</v>
      </c>
      <c r="M2406" s="110">
        <v>9.5</v>
      </c>
      <c r="N2406" s="9">
        <f>VLOOKUP(DATE(YEAR(A2406),MONTH(A2406),DAY(A2406)),FY24_Temp[],3,FALSE)</f>
        <v>17.25</v>
      </c>
      <c r="O2406" s="110">
        <f t="shared" si="2570"/>
        <v>11.5</v>
      </c>
      <c r="P2406" s="110">
        <f t="shared" si="2571"/>
        <v>19.5</v>
      </c>
      <c r="Q2406" s="79">
        <f>VLOOKUP(VLOOKUP(DATEVALUE(TEXT(A2406,"m/d/yyyy")),FY24_Temp[],5,FALSE)&amp;TEXT(A2406,"-h"),TempDelta[],4,FALSE)</f>
        <v>1.1134285586220878</v>
      </c>
      <c r="R2406">
        <v>10</v>
      </c>
      <c r="S2406" s="112">
        <v>1500</v>
      </c>
      <c r="T2406" s="5">
        <f>VLOOKUP(TEXT(A2406,"yy-mm")&amp;"-"&amp;IF(AND(WEEKDAY(A2406)&gt;1,WEEKDAY(A2406)&lt;7),"Wkd",TEXT(A2406,"Ddd"))&amp;"-"&amp;TEXT(A2406,"hh"),LoadTable[],3,FALSE)*0.92</f>
        <v>209.6772</v>
      </c>
      <c r="U2406" s="113">
        <f t="shared" si="2572"/>
        <v>20.96772</v>
      </c>
      <c r="V2406">
        <f t="shared" ref="V2406:W2406" si="2611">V2382</f>
        <v>2.7</v>
      </c>
      <c r="W2406">
        <f t="shared" si="2611"/>
        <v>3.2</v>
      </c>
      <c r="X2406" s="9">
        <v>-62.901392716666102</v>
      </c>
      <c r="Y2406" s="39"/>
    </row>
    <row r="2407" spans="1:25" ht="15" thickBot="1">
      <c r="A2407" s="149">
        <f t="shared" si="2554"/>
        <v>45936.166666662815</v>
      </c>
      <c r="B2407" s="30">
        <f t="shared" si="2581"/>
        <v>5000</v>
      </c>
      <c r="C2407" s="8">
        <v>25000</v>
      </c>
      <c r="D2407" s="187">
        <v>0</v>
      </c>
      <c r="E2407" s="187">
        <v>700</v>
      </c>
      <c r="F2407" s="187">
        <v>15000</v>
      </c>
      <c r="G2407" s="151">
        <v>2470</v>
      </c>
      <c r="H2407" s="8">
        <f t="shared" si="2582"/>
        <v>25000</v>
      </c>
      <c r="I2407" s="30">
        <f t="shared" si="2583"/>
        <v>5000</v>
      </c>
      <c r="J2407" s="187">
        <v>40000</v>
      </c>
      <c r="K2407" s="30">
        <f t="shared" si="2584"/>
        <v>5000</v>
      </c>
      <c r="L2407" s="187">
        <v>40000</v>
      </c>
      <c r="M2407" s="110">
        <v>9.5</v>
      </c>
      <c r="N2407" s="9">
        <f>VLOOKUP(DATE(YEAR(A2407),MONTH(A2407),DAY(A2407)),FY24_Temp[],3,FALSE)</f>
        <v>17.25</v>
      </c>
      <c r="O2407" s="110">
        <f t="shared" si="2570"/>
        <v>11.5</v>
      </c>
      <c r="P2407" s="110">
        <f t="shared" si="2571"/>
        <v>19.5</v>
      </c>
      <c r="Q2407" s="79">
        <f>VLOOKUP(VLOOKUP(DATEVALUE(TEXT(A2407,"m/d/yyyy")),FY24_Temp[],5,FALSE)&amp;TEXT(A2407,"-h"),TempDelta[],4,FALSE)</f>
        <v>1.0284285715648107</v>
      </c>
      <c r="R2407">
        <v>10</v>
      </c>
      <c r="S2407" s="112">
        <v>1500</v>
      </c>
      <c r="T2407" s="5">
        <f>VLOOKUP(TEXT(A2407,"yy-mm")&amp;"-"&amp;IF(AND(WEEKDAY(A2407)&gt;1,WEEKDAY(A2407)&lt;7),"Wkd",TEXT(A2407,"Ddd"))&amp;"-"&amp;TEXT(A2407,"hh"),LoadTable[],3,FALSE)*0.92</f>
        <v>209.6772</v>
      </c>
      <c r="U2407" s="113">
        <f t="shared" si="2572"/>
        <v>20.96772</v>
      </c>
      <c r="V2407">
        <f t="shared" ref="V2407:W2407" si="2612">V2383</f>
        <v>3</v>
      </c>
      <c r="W2407">
        <f t="shared" si="2612"/>
        <v>3.1</v>
      </c>
      <c r="X2407" s="9">
        <v>-62.979187266666102</v>
      </c>
      <c r="Y2407" s="39"/>
    </row>
    <row r="2408" spans="1:25" ht="15" thickBot="1">
      <c r="A2408" s="149">
        <f t="shared" si="2554"/>
        <v>45936.20833332948</v>
      </c>
      <c r="B2408" s="30">
        <f t="shared" si="2581"/>
        <v>5000</v>
      </c>
      <c r="C2408" s="8">
        <v>25000</v>
      </c>
      <c r="D2408" s="187">
        <v>0</v>
      </c>
      <c r="E2408" s="187">
        <v>700</v>
      </c>
      <c r="F2408" s="187">
        <v>15000</v>
      </c>
      <c r="G2408" s="151">
        <v>2470</v>
      </c>
      <c r="H2408" s="8">
        <f t="shared" si="2582"/>
        <v>25000</v>
      </c>
      <c r="I2408" s="30">
        <f t="shared" si="2583"/>
        <v>5000</v>
      </c>
      <c r="J2408" s="187">
        <v>40000</v>
      </c>
      <c r="K2408" s="30">
        <f t="shared" si="2584"/>
        <v>5000</v>
      </c>
      <c r="L2408" s="187">
        <v>40000</v>
      </c>
      <c r="M2408" s="110">
        <v>9.5</v>
      </c>
      <c r="N2408" s="9">
        <f>VLOOKUP(DATE(YEAR(A2408),MONTH(A2408),DAY(A2408)),FY24_Temp[],3,FALSE)</f>
        <v>17.25</v>
      </c>
      <c r="O2408" s="110">
        <f t="shared" si="2570"/>
        <v>11.5</v>
      </c>
      <c r="P2408" s="110">
        <f t="shared" si="2571"/>
        <v>19.5</v>
      </c>
      <c r="Q2408" s="79">
        <f>VLOOKUP(VLOOKUP(DATEVALUE(TEXT(A2408,"m/d/yyyy")),FY24_Temp[],5,FALSE)&amp;TEXT(A2408,"-h"),TempDelta[],4,FALSE)</f>
        <v>1.0574285643441337</v>
      </c>
      <c r="R2408">
        <v>10</v>
      </c>
      <c r="S2408" s="112">
        <v>1500</v>
      </c>
      <c r="T2408" s="5">
        <f>VLOOKUP(TEXT(A2408,"yy-mm")&amp;"-"&amp;IF(AND(WEEKDAY(A2408)&gt;1,WEEKDAY(A2408)&lt;7),"Wkd",TEXT(A2408,"Ddd"))&amp;"-"&amp;TEXT(A2408,"hh"),LoadTable[],3,FALSE)*0.92</f>
        <v>209.6772</v>
      </c>
      <c r="U2408" s="113">
        <f t="shared" si="2572"/>
        <v>20.96772</v>
      </c>
      <c r="V2408">
        <f t="shared" ref="V2408:W2408" si="2613">V2384</f>
        <v>2.9</v>
      </c>
      <c r="W2408">
        <f t="shared" si="2613"/>
        <v>3.1</v>
      </c>
      <c r="X2408" s="9">
        <v>-63.056981816666102</v>
      </c>
      <c r="Y2408" s="39"/>
    </row>
    <row r="2409" spans="1:25" ht="15" thickBot="1">
      <c r="A2409" s="149">
        <f t="shared" si="2554"/>
        <v>45936.249999996144</v>
      </c>
      <c r="B2409" s="30">
        <f t="shared" si="2581"/>
        <v>8000</v>
      </c>
      <c r="C2409" s="8">
        <v>25000</v>
      </c>
      <c r="D2409" s="187">
        <v>0</v>
      </c>
      <c r="E2409" s="187">
        <v>700</v>
      </c>
      <c r="F2409" s="187">
        <v>15000</v>
      </c>
      <c r="G2409" s="151">
        <v>2470</v>
      </c>
      <c r="H2409" s="8">
        <f t="shared" si="2582"/>
        <v>25000</v>
      </c>
      <c r="I2409" s="30">
        <f t="shared" si="2583"/>
        <v>8000</v>
      </c>
      <c r="J2409" s="187">
        <v>40000</v>
      </c>
      <c r="K2409" s="30">
        <f t="shared" si="2584"/>
        <v>8000</v>
      </c>
      <c r="L2409" s="187">
        <v>40000</v>
      </c>
      <c r="M2409" s="110">
        <v>9.5</v>
      </c>
      <c r="N2409" s="9">
        <f>VLOOKUP(DATE(YEAR(A2409),MONTH(A2409),DAY(A2409)),FY24_Temp[],3,FALSE)</f>
        <v>17.25</v>
      </c>
      <c r="O2409" s="110">
        <f t="shared" si="2570"/>
        <v>11.5</v>
      </c>
      <c r="P2409" s="110">
        <f t="shared" si="2571"/>
        <v>19.5</v>
      </c>
      <c r="Q2409" s="79">
        <f>VLOOKUP(VLOOKUP(DATEVALUE(TEXT(A2409,"m/d/yyyy")),FY24_Temp[],5,FALSE)&amp;TEXT(A2409,"-h"),TempDelta[],4,FALSE)</f>
        <v>0.9115714345659528</v>
      </c>
      <c r="R2409">
        <v>10</v>
      </c>
      <c r="S2409" s="112">
        <v>1500</v>
      </c>
      <c r="T2409" s="5">
        <f>VLOOKUP(TEXT(A2409,"yy-mm")&amp;"-"&amp;IF(AND(WEEKDAY(A2409)&gt;1,WEEKDAY(A2409)&lt;7),"Wkd",TEXT(A2409,"Ddd"))&amp;"-"&amp;TEXT(A2409,"hh"),LoadTable[],3,FALSE)*0.92</f>
        <v>209.6772</v>
      </c>
      <c r="U2409" s="113">
        <f t="shared" si="2572"/>
        <v>20.96772</v>
      </c>
      <c r="V2409">
        <f t="shared" ref="V2409:W2409" si="2614">V2385</f>
        <v>2.5</v>
      </c>
      <c r="W2409">
        <f t="shared" si="2614"/>
        <v>3.1</v>
      </c>
      <c r="X2409" s="9">
        <v>-63.134776366666102</v>
      </c>
      <c r="Y2409" s="39"/>
    </row>
    <row r="2410" spans="1:25" ht="15" thickBot="1">
      <c r="A2410" s="149">
        <f t="shared" si="2554"/>
        <v>45936.291666662808</v>
      </c>
      <c r="B2410" s="30">
        <f t="shared" si="2581"/>
        <v>8000</v>
      </c>
      <c r="C2410" s="8">
        <v>25000</v>
      </c>
      <c r="D2410" s="187">
        <v>0</v>
      </c>
      <c r="E2410" s="187">
        <v>700</v>
      </c>
      <c r="F2410" s="187">
        <v>15000</v>
      </c>
      <c r="G2410" s="151">
        <v>2470</v>
      </c>
      <c r="H2410" s="8">
        <f t="shared" si="2582"/>
        <v>25000</v>
      </c>
      <c r="I2410" s="30">
        <f t="shared" si="2583"/>
        <v>8000</v>
      </c>
      <c r="J2410" s="187">
        <v>40000</v>
      </c>
      <c r="K2410" s="30">
        <f t="shared" si="2584"/>
        <v>8000</v>
      </c>
      <c r="L2410" s="187">
        <v>40000</v>
      </c>
      <c r="M2410" s="110">
        <v>9.5</v>
      </c>
      <c r="N2410" s="9">
        <f>VLOOKUP(DATE(YEAR(A2410),MONTH(A2410),DAY(A2410)),FY24_Temp[],3,FALSE)</f>
        <v>17.25</v>
      </c>
      <c r="O2410" s="110">
        <f t="shared" si="2570"/>
        <v>11.5</v>
      </c>
      <c r="P2410" s="110">
        <f t="shared" si="2571"/>
        <v>19.5</v>
      </c>
      <c r="Q2410" s="79">
        <f>VLOOKUP(VLOOKUP(DATEVALUE(TEXT(A2410,"m/d/yyyy")),FY24_Temp[],5,FALSE)&amp;TEXT(A2410,"-h"),TempDelta[],4,FALSE)</f>
        <v>0.73142857210976742</v>
      </c>
      <c r="R2410">
        <v>10</v>
      </c>
      <c r="S2410" s="112">
        <v>1500</v>
      </c>
      <c r="T2410" s="5">
        <f>VLOOKUP(TEXT(A2410,"yy-mm")&amp;"-"&amp;IF(AND(WEEKDAY(A2410)&gt;1,WEEKDAY(A2410)&lt;7),"Wkd",TEXT(A2410,"Ddd"))&amp;"-"&amp;TEXT(A2410,"hh"),LoadTable[],3,FALSE)*0.92</f>
        <v>234.80148</v>
      </c>
      <c r="U2410" s="113">
        <f t="shared" si="2572"/>
        <v>23.480148</v>
      </c>
      <c r="V2410">
        <f t="shared" ref="V2410:W2410" si="2615">V2386</f>
        <v>2.5</v>
      </c>
      <c r="W2410">
        <f t="shared" si="2615"/>
        <v>3.1</v>
      </c>
      <c r="X2410" s="9">
        <v>-63.212570916666103</v>
      </c>
      <c r="Y2410" s="39"/>
    </row>
    <row r="2411" spans="1:25" ht="15" thickBot="1">
      <c r="A2411" s="149">
        <f t="shared" si="2554"/>
        <v>45936.333333329472</v>
      </c>
      <c r="B2411" s="30">
        <f t="shared" si="2581"/>
        <v>8000</v>
      </c>
      <c r="C2411" s="8">
        <v>25000</v>
      </c>
      <c r="D2411" s="187">
        <v>0</v>
      </c>
      <c r="E2411" s="187">
        <v>700</v>
      </c>
      <c r="F2411" s="187">
        <v>15000</v>
      </c>
      <c r="G2411" s="151">
        <v>2470</v>
      </c>
      <c r="H2411" s="8">
        <f t="shared" si="2582"/>
        <v>25000</v>
      </c>
      <c r="I2411" s="30">
        <f t="shared" si="2583"/>
        <v>8000</v>
      </c>
      <c r="J2411" s="187">
        <v>40000</v>
      </c>
      <c r="K2411" s="30">
        <f t="shared" si="2584"/>
        <v>8000</v>
      </c>
      <c r="L2411" s="187">
        <v>40000</v>
      </c>
      <c r="M2411" s="110">
        <v>9.5</v>
      </c>
      <c r="N2411" s="9">
        <f>VLOOKUP(DATE(YEAR(A2411),MONTH(A2411),DAY(A2411)),FY24_Temp[],3,FALSE)</f>
        <v>17.25</v>
      </c>
      <c r="O2411" s="110">
        <f t="shared" si="2570"/>
        <v>11.5</v>
      </c>
      <c r="P2411" s="110">
        <f t="shared" si="2571"/>
        <v>19.5</v>
      </c>
      <c r="Q2411" s="79">
        <f>VLOOKUP(VLOOKUP(DATEVALUE(TEXT(A2411,"m/d/yyyy")),FY24_Temp[],5,FALSE)&amp;TEXT(A2411,"-h"),TempDelta[],4,FALSE)</f>
        <v>0.62228572368621826</v>
      </c>
      <c r="R2411">
        <v>10</v>
      </c>
      <c r="S2411" s="112">
        <v>1500</v>
      </c>
      <c r="T2411" s="5">
        <f>VLOOKUP(TEXT(A2411,"yy-mm")&amp;"-"&amp;IF(AND(WEEKDAY(A2411)&gt;1,WEEKDAY(A2411)&lt;7),"Wkd",TEXT(A2411,"Ddd"))&amp;"-"&amp;TEXT(A2411,"hh"),LoadTable[],3,FALSE)*0.92</f>
        <v>234.80148</v>
      </c>
      <c r="U2411" s="113">
        <f t="shared" si="2572"/>
        <v>23.480148</v>
      </c>
      <c r="V2411">
        <f t="shared" ref="V2411:W2411" si="2616">V2387</f>
        <v>3.2</v>
      </c>
      <c r="W2411">
        <f t="shared" si="2616"/>
        <v>3</v>
      </c>
      <c r="X2411" s="9">
        <v>-63.290365466666103</v>
      </c>
      <c r="Y2411" s="39"/>
    </row>
    <row r="2412" spans="1:25" ht="15" thickBot="1">
      <c r="A2412" s="149">
        <f t="shared" si="2554"/>
        <v>45936.374999996136</v>
      </c>
      <c r="B2412" s="30">
        <f t="shared" si="2581"/>
        <v>8000</v>
      </c>
      <c r="C2412" s="8">
        <v>25000</v>
      </c>
      <c r="D2412" s="187">
        <v>0</v>
      </c>
      <c r="E2412" s="187">
        <v>700</v>
      </c>
      <c r="F2412" s="187">
        <v>15000</v>
      </c>
      <c r="G2412" s="151">
        <v>2470</v>
      </c>
      <c r="H2412" s="8">
        <f t="shared" si="2582"/>
        <v>25000</v>
      </c>
      <c r="I2412" s="30">
        <f t="shared" si="2583"/>
        <v>8000</v>
      </c>
      <c r="J2412" s="187">
        <v>40000</v>
      </c>
      <c r="K2412" s="30">
        <f t="shared" si="2584"/>
        <v>8000</v>
      </c>
      <c r="L2412" s="187">
        <v>40000</v>
      </c>
      <c r="M2412" s="110">
        <v>9.5</v>
      </c>
      <c r="N2412" s="9">
        <f>VLOOKUP(DATE(YEAR(A2412),MONTH(A2412),DAY(A2412)),FY24_Temp[],3,FALSE)</f>
        <v>17.25</v>
      </c>
      <c r="O2412" s="110">
        <f t="shared" si="2570"/>
        <v>11.5</v>
      </c>
      <c r="P2412" s="110">
        <f t="shared" si="2571"/>
        <v>19.5</v>
      </c>
      <c r="Q2412" s="79">
        <f>VLOOKUP(VLOOKUP(DATEVALUE(TEXT(A2412,"m/d/yyyy")),FY24_Temp[],5,FALSE)&amp;TEXT(A2412,"-h"),TempDelta[],4,FALSE)</f>
        <v>0.53400000504084999</v>
      </c>
      <c r="R2412">
        <v>10</v>
      </c>
      <c r="S2412" s="112">
        <v>1500</v>
      </c>
      <c r="T2412" s="5">
        <f>VLOOKUP(TEXT(A2412,"yy-mm")&amp;"-"&amp;IF(AND(WEEKDAY(A2412)&gt;1,WEEKDAY(A2412)&lt;7),"Wkd",TEXT(A2412,"Ddd"))&amp;"-"&amp;TEXT(A2412,"hh"),LoadTable[],3,FALSE)*0.92</f>
        <v>234.80148</v>
      </c>
      <c r="U2412" s="113">
        <f t="shared" si="2572"/>
        <v>23.480148</v>
      </c>
      <c r="V2412">
        <f t="shared" ref="V2412:W2412" si="2617">V2388</f>
        <v>2.9</v>
      </c>
      <c r="W2412">
        <f t="shared" si="2617"/>
        <v>3</v>
      </c>
      <c r="X2412" s="9">
        <v>-63.368160016666103</v>
      </c>
      <c r="Y2412" s="39"/>
    </row>
    <row r="2413" spans="1:25" ht="15" thickBot="1">
      <c r="A2413" s="149">
        <f t="shared" si="2554"/>
        <v>45936.416666662801</v>
      </c>
      <c r="B2413" s="30">
        <f t="shared" si="2581"/>
        <v>8000</v>
      </c>
      <c r="C2413" s="8">
        <v>25000</v>
      </c>
      <c r="D2413" s="187">
        <v>0</v>
      </c>
      <c r="E2413" s="187">
        <v>700</v>
      </c>
      <c r="F2413" s="187">
        <v>15000</v>
      </c>
      <c r="G2413" s="151">
        <v>2470</v>
      </c>
      <c r="H2413" s="8">
        <f t="shared" si="2582"/>
        <v>25000</v>
      </c>
      <c r="I2413" s="30">
        <f t="shared" si="2583"/>
        <v>8000</v>
      </c>
      <c r="J2413" s="187">
        <v>40000</v>
      </c>
      <c r="K2413" s="30">
        <f t="shared" si="2584"/>
        <v>8000</v>
      </c>
      <c r="L2413" s="187">
        <v>40000</v>
      </c>
      <c r="M2413" s="110">
        <v>9.5</v>
      </c>
      <c r="N2413" s="9">
        <f>VLOOKUP(DATE(YEAR(A2413),MONTH(A2413),DAY(A2413)),FY24_Temp[],3,FALSE)</f>
        <v>17.25</v>
      </c>
      <c r="O2413" s="110">
        <f t="shared" si="2570"/>
        <v>11.5</v>
      </c>
      <c r="P2413" s="110">
        <f t="shared" si="2571"/>
        <v>19.5</v>
      </c>
      <c r="Q2413" s="79">
        <f>VLOOKUP(VLOOKUP(DATEVALUE(TEXT(A2413,"m/d/yyyy")),FY24_Temp[],5,FALSE)&amp;TEXT(A2413,"-h"),TempDelta[],4,FALSE)</f>
        <v>0.42900000299726215</v>
      </c>
      <c r="R2413">
        <v>10</v>
      </c>
      <c r="S2413" s="112">
        <v>1500</v>
      </c>
      <c r="T2413" s="5">
        <f>VLOOKUP(TEXT(A2413,"yy-mm")&amp;"-"&amp;IF(AND(WEEKDAY(A2413)&gt;1,WEEKDAY(A2413)&lt;7),"Wkd",TEXT(A2413,"Ddd"))&amp;"-"&amp;TEXT(A2413,"hh"),LoadTable[],3,FALSE)*0.92</f>
        <v>234.80148</v>
      </c>
      <c r="U2413" s="113">
        <f t="shared" si="2572"/>
        <v>23.480148</v>
      </c>
      <c r="V2413">
        <f t="shared" ref="V2413:W2413" si="2618">V2389</f>
        <v>2.9</v>
      </c>
      <c r="W2413">
        <f t="shared" si="2618"/>
        <v>3</v>
      </c>
      <c r="X2413" s="9">
        <v>-63.445954566666103</v>
      </c>
      <c r="Y2413" s="39"/>
    </row>
    <row r="2414" spans="1:25" ht="15" thickBot="1">
      <c r="A2414" s="149">
        <f t="shared" si="2554"/>
        <v>45936.458333329465</v>
      </c>
      <c r="B2414" s="30">
        <f t="shared" si="2581"/>
        <v>8000</v>
      </c>
      <c r="C2414" s="8">
        <v>25000</v>
      </c>
      <c r="D2414" s="187">
        <v>0</v>
      </c>
      <c r="E2414" s="187">
        <v>700</v>
      </c>
      <c r="F2414" s="187">
        <v>15000</v>
      </c>
      <c r="G2414" s="151">
        <v>2470</v>
      </c>
      <c r="H2414" s="8">
        <f t="shared" si="2582"/>
        <v>25000</v>
      </c>
      <c r="I2414" s="30">
        <f t="shared" si="2583"/>
        <v>8000</v>
      </c>
      <c r="J2414" s="187">
        <v>40000</v>
      </c>
      <c r="K2414" s="30">
        <f t="shared" si="2584"/>
        <v>8000</v>
      </c>
      <c r="L2414" s="187">
        <v>40000</v>
      </c>
      <c r="M2414" s="110">
        <v>9.5</v>
      </c>
      <c r="N2414" s="9">
        <f>VLOOKUP(DATE(YEAR(A2414),MONTH(A2414),DAY(A2414)),FY24_Temp[],3,FALSE)</f>
        <v>17.25</v>
      </c>
      <c r="O2414" s="110">
        <f t="shared" si="2570"/>
        <v>11.5</v>
      </c>
      <c r="P2414" s="110">
        <f t="shared" si="2571"/>
        <v>19.5</v>
      </c>
      <c r="Q2414" s="79">
        <f>VLOOKUP(VLOOKUP(DATEVALUE(TEXT(A2414,"m/d/yyyy")),FY24_Temp[],5,FALSE)&amp;TEXT(A2414,"-h"),TempDelta[],4,FALSE)</f>
        <v>0.33714285918644499</v>
      </c>
      <c r="R2414">
        <v>10</v>
      </c>
      <c r="S2414" s="112">
        <v>1500</v>
      </c>
      <c r="T2414" s="5">
        <f>VLOOKUP(TEXT(A2414,"yy-mm")&amp;"-"&amp;IF(AND(WEEKDAY(A2414)&gt;1,WEEKDAY(A2414)&lt;7),"Wkd",TEXT(A2414,"Ddd"))&amp;"-"&amp;TEXT(A2414,"hh"),LoadTable[],3,FALSE)*0.92</f>
        <v>234.80148</v>
      </c>
      <c r="U2414" s="113">
        <f t="shared" si="2572"/>
        <v>23.480148</v>
      </c>
      <c r="V2414">
        <f t="shared" ref="V2414:W2414" si="2619">V2390</f>
        <v>3.4</v>
      </c>
      <c r="W2414">
        <f t="shared" si="2619"/>
        <v>3</v>
      </c>
      <c r="X2414" s="9">
        <v>-63.523749116666103</v>
      </c>
      <c r="Y2414" s="39"/>
    </row>
    <row r="2415" spans="1:25" ht="15" thickBot="1">
      <c r="A2415" s="149">
        <f t="shared" si="2554"/>
        <v>45936.499999996129</v>
      </c>
      <c r="B2415" s="30">
        <f t="shared" si="2581"/>
        <v>8000</v>
      </c>
      <c r="C2415" s="8">
        <v>25000</v>
      </c>
      <c r="D2415" s="187">
        <v>0</v>
      </c>
      <c r="E2415" s="187">
        <v>700</v>
      </c>
      <c r="F2415" s="187">
        <v>15000</v>
      </c>
      <c r="G2415" s="151">
        <v>2470</v>
      </c>
      <c r="H2415" s="8">
        <f t="shared" si="2582"/>
        <v>25000</v>
      </c>
      <c r="I2415" s="30">
        <f t="shared" si="2583"/>
        <v>8000</v>
      </c>
      <c r="J2415" s="187">
        <v>40000</v>
      </c>
      <c r="K2415" s="30">
        <f t="shared" si="2584"/>
        <v>8000</v>
      </c>
      <c r="L2415" s="187">
        <v>40000</v>
      </c>
      <c r="M2415" s="110">
        <v>9.5</v>
      </c>
      <c r="N2415" s="9">
        <f>VLOOKUP(DATE(YEAR(A2415),MONTH(A2415),DAY(A2415)),FY24_Temp[],3,FALSE)</f>
        <v>17.25</v>
      </c>
      <c r="O2415" s="110">
        <f t="shared" si="2570"/>
        <v>11.5</v>
      </c>
      <c r="P2415" s="110">
        <f t="shared" si="2571"/>
        <v>19.5</v>
      </c>
      <c r="Q2415" s="79">
        <f>VLOOKUP(VLOOKUP(DATEVALUE(TEXT(A2415,"m/d/yyyy")),FY24_Temp[],5,FALSE)&amp;TEXT(A2415,"-h"),TempDelta[],4,FALSE)</f>
        <v>0.2629999986716679</v>
      </c>
      <c r="R2415">
        <v>10</v>
      </c>
      <c r="S2415" s="112">
        <v>1500</v>
      </c>
      <c r="T2415" s="5">
        <f>VLOOKUP(TEXT(A2415,"yy-mm")&amp;"-"&amp;IF(AND(WEEKDAY(A2415)&gt;1,WEEKDAY(A2415)&lt;7),"Wkd",TEXT(A2415,"Ddd"))&amp;"-"&amp;TEXT(A2415,"hh"),LoadTable[],3,FALSE)*0.92</f>
        <v>234.80148</v>
      </c>
      <c r="U2415" s="113">
        <f t="shared" si="2572"/>
        <v>23.480148</v>
      </c>
      <c r="V2415">
        <f t="shared" ref="V2415:W2415" si="2620">V2391</f>
        <v>3.1</v>
      </c>
      <c r="W2415">
        <f t="shared" si="2620"/>
        <v>2.9</v>
      </c>
      <c r="X2415" s="9">
        <v>-63.601543666666103</v>
      </c>
      <c r="Y2415" s="39"/>
    </row>
    <row r="2416" spans="1:25" ht="15" thickBot="1">
      <c r="A2416" s="149">
        <f t="shared" si="2554"/>
        <v>45936.541666662793</v>
      </c>
      <c r="B2416" s="30">
        <f t="shared" si="2581"/>
        <v>8000</v>
      </c>
      <c r="C2416" s="8">
        <v>25000</v>
      </c>
      <c r="D2416" s="187">
        <v>0</v>
      </c>
      <c r="E2416" s="187">
        <v>700</v>
      </c>
      <c r="F2416" s="187">
        <v>15000</v>
      </c>
      <c r="G2416" s="151">
        <v>2470</v>
      </c>
      <c r="H2416" s="8">
        <f t="shared" si="2582"/>
        <v>25000</v>
      </c>
      <c r="I2416" s="30">
        <f t="shared" si="2583"/>
        <v>8000</v>
      </c>
      <c r="J2416" s="187">
        <v>40000</v>
      </c>
      <c r="K2416" s="30">
        <f t="shared" si="2584"/>
        <v>8000</v>
      </c>
      <c r="L2416" s="187">
        <v>40000</v>
      </c>
      <c r="M2416" s="110">
        <v>9.5</v>
      </c>
      <c r="N2416" s="9">
        <f>VLOOKUP(DATE(YEAR(A2416),MONTH(A2416),DAY(A2416)),FY24_Temp[],3,FALSE)</f>
        <v>17.25</v>
      </c>
      <c r="O2416" s="110">
        <f t="shared" si="2570"/>
        <v>11.5</v>
      </c>
      <c r="P2416" s="110">
        <f t="shared" si="2571"/>
        <v>19.5</v>
      </c>
      <c r="Q2416" s="79">
        <f>VLOOKUP(VLOOKUP(DATEVALUE(TEXT(A2416,"m/d/yyyy")),FY24_Temp[],5,FALSE)&amp;TEXT(A2416,"-h"),TempDelta[],4,FALSE)</f>
        <v>0.22185713904244558</v>
      </c>
      <c r="R2416">
        <v>10</v>
      </c>
      <c r="S2416" s="112">
        <v>1500</v>
      </c>
      <c r="T2416" s="5">
        <f>VLOOKUP(TEXT(A2416,"yy-mm")&amp;"-"&amp;IF(AND(WEEKDAY(A2416)&gt;1,WEEKDAY(A2416)&lt;7),"Wkd",TEXT(A2416,"Ddd"))&amp;"-"&amp;TEXT(A2416,"hh"),LoadTable[],3,FALSE)*0.92</f>
        <v>234.80148</v>
      </c>
      <c r="U2416" s="113">
        <f t="shared" si="2572"/>
        <v>23.480148</v>
      </c>
      <c r="V2416">
        <f t="shared" ref="V2416:W2416" si="2621">V2392</f>
        <v>3.2</v>
      </c>
      <c r="W2416">
        <f t="shared" si="2621"/>
        <v>2.9</v>
      </c>
      <c r="X2416" s="9">
        <v>-63.679338216666103</v>
      </c>
      <c r="Y2416" s="39"/>
    </row>
    <row r="2417" spans="1:25" ht="15" thickBot="1">
      <c r="A2417" s="149">
        <f t="shared" si="2554"/>
        <v>45936.583333329458</v>
      </c>
      <c r="B2417" s="30">
        <f t="shared" si="2581"/>
        <v>8000</v>
      </c>
      <c r="C2417" s="8">
        <v>25000</v>
      </c>
      <c r="D2417" s="187">
        <v>0</v>
      </c>
      <c r="E2417" s="187">
        <v>700</v>
      </c>
      <c r="F2417" s="187">
        <v>15000</v>
      </c>
      <c r="G2417" s="151">
        <v>2470</v>
      </c>
      <c r="H2417" s="8">
        <f t="shared" si="2582"/>
        <v>25000</v>
      </c>
      <c r="I2417" s="30">
        <f t="shared" si="2583"/>
        <v>8000</v>
      </c>
      <c r="J2417" s="187">
        <v>40000</v>
      </c>
      <c r="K2417" s="30">
        <f t="shared" si="2584"/>
        <v>8000</v>
      </c>
      <c r="L2417" s="187">
        <v>40000</v>
      </c>
      <c r="M2417" s="110">
        <v>9.5</v>
      </c>
      <c r="N2417" s="9">
        <f>VLOOKUP(DATE(YEAR(A2417),MONTH(A2417),DAY(A2417)),FY24_Temp[],3,FALSE)</f>
        <v>17.25</v>
      </c>
      <c r="O2417" s="110">
        <f t="shared" si="2570"/>
        <v>11.5</v>
      </c>
      <c r="P2417" s="110">
        <f t="shared" si="2571"/>
        <v>19.5</v>
      </c>
      <c r="Q2417" s="79">
        <f>VLOOKUP(VLOOKUP(DATEVALUE(TEXT(A2417,"m/d/yyyy")),FY24_Temp[],5,FALSE)&amp;TEXT(A2417,"-h"),TempDelta[],4,FALSE)</f>
        <v>0.29271428287029266</v>
      </c>
      <c r="R2417">
        <v>10</v>
      </c>
      <c r="S2417" s="112">
        <v>1500</v>
      </c>
      <c r="T2417" s="5">
        <f>VLOOKUP(TEXT(A2417,"yy-mm")&amp;"-"&amp;IF(AND(WEEKDAY(A2417)&gt;1,WEEKDAY(A2417)&lt;7),"Wkd",TEXT(A2417,"Ddd"))&amp;"-"&amp;TEXT(A2417,"hh"),LoadTable[],3,FALSE)*0.92</f>
        <v>234.80148</v>
      </c>
      <c r="U2417" s="113">
        <f t="shared" si="2572"/>
        <v>23.480148</v>
      </c>
      <c r="V2417">
        <f t="shared" ref="V2417:W2417" si="2622">V2393</f>
        <v>3.5</v>
      </c>
      <c r="W2417">
        <f t="shared" si="2622"/>
        <v>2.9</v>
      </c>
      <c r="X2417" s="9">
        <v>-63.757132766666103</v>
      </c>
      <c r="Y2417" s="39"/>
    </row>
    <row r="2418" spans="1:25" ht="15" thickBot="1">
      <c r="A2418" s="149">
        <f t="shared" si="2554"/>
        <v>45936.624999996122</v>
      </c>
      <c r="B2418" s="30">
        <f t="shared" si="2581"/>
        <v>8000</v>
      </c>
      <c r="C2418" s="8">
        <v>25000</v>
      </c>
      <c r="D2418" s="187">
        <v>0</v>
      </c>
      <c r="E2418" s="187">
        <v>700</v>
      </c>
      <c r="F2418" s="187">
        <v>15000</v>
      </c>
      <c r="G2418" s="151">
        <v>2470</v>
      </c>
      <c r="H2418" s="8">
        <f t="shared" si="2582"/>
        <v>25000</v>
      </c>
      <c r="I2418" s="30">
        <f t="shared" si="2583"/>
        <v>8000</v>
      </c>
      <c r="J2418" s="187">
        <v>40000</v>
      </c>
      <c r="K2418" s="30">
        <f t="shared" si="2584"/>
        <v>8000</v>
      </c>
      <c r="L2418" s="187">
        <v>40000</v>
      </c>
      <c r="M2418" s="110">
        <v>9.5</v>
      </c>
      <c r="N2418" s="9">
        <f>VLOOKUP(DATE(YEAR(A2418),MONTH(A2418),DAY(A2418)),FY24_Temp[],3,FALSE)</f>
        <v>17.25</v>
      </c>
      <c r="O2418" s="110">
        <f t="shared" si="2570"/>
        <v>11.5</v>
      </c>
      <c r="P2418" s="110">
        <f t="shared" si="2571"/>
        <v>19.5</v>
      </c>
      <c r="Q2418" s="79">
        <f>VLOOKUP(VLOOKUP(DATEVALUE(TEXT(A2418,"m/d/yyyy")),FY24_Temp[],5,FALSE)&amp;TEXT(A2418,"-h"),TempDelta[],4,FALSE)</f>
        <v>0.3973571445260729</v>
      </c>
      <c r="R2418">
        <v>10</v>
      </c>
      <c r="S2418" s="112">
        <v>1500</v>
      </c>
      <c r="T2418" s="5">
        <f>VLOOKUP(TEXT(A2418,"yy-mm")&amp;"-"&amp;IF(AND(WEEKDAY(A2418)&gt;1,WEEKDAY(A2418)&lt;7),"Wkd",TEXT(A2418,"Ddd"))&amp;"-"&amp;TEXT(A2418,"hh"),LoadTable[],3,FALSE)*0.92</f>
        <v>234.80148</v>
      </c>
      <c r="U2418" s="113">
        <f t="shared" si="2572"/>
        <v>23.480148</v>
      </c>
      <c r="V2418">
        <f t="shared" ref="V2418:W2418" si="2623">V2394</f>
        <v>3.2</v>
      </c>
      <c r="W2418">
        <f t="shared" si="2623"/>
        <v>2.9</v>
      </c>
      <c r="X2418" s="9">
        <v>-63.834927316666104</v>
      </c>
      <c r="Y2418" s="39"/>
    </row>
    <row r="2419" spans="1:25" ht="15" thickBot="1">
      <c r="A2419" s="149">
        <f t="shared" si="2554"/>
        <v>45936.666666662786</v>
      </c>
      <c r="B2419" s="30">
        <f t="shared" si="2581"/>
        <v>8000</v>
      </c>
      <c r="C2419" s="8">
        <v>25000</v>
      </c>
      <c r="D2419" s="187">
        <v>0</v>
      </c>
      <c r="E2419" s="187">
        <v>700</v>
      </c>
      <c r="F2419" s="187">
        <v>15000</v>
      </c>
      <c r="G2419" s="151">
        <v>2470</v>
      </c>
      <c r="H2419" s="8">
        <f t="shared" si="2582"/>
        <v>25000</v>
      </c>
      <c r="I2419" s="30">
        <f t="shared" si="2583"/>
        <v>8000</v>
      </c>
      <c r="J2419" s="187">
        <v>40000</v>
      </c>
      <c r="K2419" s="30">
        <f t="shared" si="2584"/>
        <v>8000</v>
      </c>
      <c r="L2419" s="187">
        <v>40000</v>
      </c>
      <c r="M2419" s="110">
        <v>9.5</v>
      </c>
      <c r="N2419" s="9">
        <f>VLOOKUP(DATE(YEAR(A2419),MONTH(A2419),DAY(A2419)),FY24_Temp[],3,FALSE)</f>
        <v>17.25</v>
      </c>
      <c r="O2419" s="110">
        <f t="shared" si="2570"/>
        <v>11.5</v>
      </c>
      <c r="P2419" s="110">
        <f t="shared" si="2571"/>
        <v>19.5</v>
      </c>
      <c r="Q2419" s="79">
        <f>VLOOKUP(VLOOKUP(DATEVALUE(TEXT(A2419,"m/d/yyyy")),FY24_Temp[],5,FALSE)&amp;TEXT(A2419,"-h"),TempDelta[],4,FALSE)</f>
        <v>0.63707143068313599</v>
      </c>
      <c r="R2419">
        <v>10</v>
      </c>
      <c r="S2419" s="112">
        <v>1500</v>
      </c>
      <c r="T2419" s="5">
        <f>VLOOKUP(TEXT(A2419,"yy-mm")&amp;"-"&amp;IF(AND(WEEKDAY(A2419)&gt;1,WEEKDAY(A2419)&lt;7),"Wkd",TEXT(A2419,"Ddd"))&amp;"-"&amp;TEXT(A2419,"hh"),LoadTable[],3,FALSE)*0.92</f>
        <v>234.80148</v>
      </c>
      <c r="U2419" s="113">
        <f t="shared" si="2572"/>
        <v>23.480148</v>
      </c>
      <c r="V2419">
        <f t="shared" ref="V2419:W2419" si="2624">V2395</f>
        <v>3.5</v>
      </c>
      <c r="W2419">
        <f t="shared" si="2624"/>
        <v>3</v>
      </c>
      <c r="X2419" s="9">
        <v>-63.912721866666097</v>
      </c>
      <c r="Y2419" s="39"/>
    </row>
    <row r="2420" spans="1:25" ht="15" thickBot="1">
      <c r="A2420" s="149">
        <f t="shared" si="2554"/>
        <v>45936.70833332945</v>
      </c>
      <c r="B2420" s="30">
        <f t="shared" si="2581"/>
        <v>8000</v>
      </c>
      <c r="C2420" s="8">
        <v>25000</v>
      </c>
      <c r="D2420" s="187">
        <v>0</v>
      </c>
      <c r="E2420" s="187">
        <v>700</v>
      </c>
      <c r="F2420" s="187">
        <v>15000</v>
      </c>
      <c r="G2420" s="151">
        <v>2470</v>
      </c>
      <c r="H2420" s="8">
        <f t="shared" si="2582"/>
        <v>25000</v>
      </c>
      <c r="I2420" s="30">
        <f t="shared" si="2583"/>
        <v>8000</v>
      </c>
      <c r="J2420" s="187">
        <v>40000</v>
      </c>
      <c r="K2420" s="30">
        <f t="shared" si="2584"/>
        <v>8000</v>
      </c>
      <c r="L2420" s="187">
        <v>40000</v>
      </c>
      <c r="M2420" s="110">
        <v>9.5</v>
      </c>
      <c r="N2420" s="9">
        <f>VLOOKUP(DATE(YEAR(A2420),MONTH(A2420),DAY(A2420)),FY24_Temp[],3,FALSE)</f>
        <v>17.25</v>
      </c>
      <c r="O2420" s="110">
        <f t="shared" si="2570"/>
        <v>11.5</v>
      </c>
      <c r="P2420" s="110">
        <f t="shared" si="2571"/>
        <v>19.5</v>
      </c>
      <c r="Q2420" s="79">
        <f>VLOOKUP(VLOOKUP(DATEVALUE(TEXT(A2420,"m/d/yyyy")),FY24_Temp[],5,FALSE)&amp;TEXT(A2420,"-h"),TempDelta[],4,FALSE)</f>
        <v>0.76450000064713619</v>
      </c>
      <c r="R2420">
        <v>10</v>
      </c>
      <c r="S2420" s="112">
        <v>1500</v>
      </c>
      <c r="T2420" s="5">
        <f>VLOOKUP(TEXT(A2420,"yy-mm")&amp;"-"&amp;IF(AND(WEEKDAY(A2420)&gt;1,WEEKDAY(A2420)&lt;7),"Wkd",TEXT(A2420,"Ddd"))&amp;"-"&amp;TEXT(A2420,"hh"),LoadTable[],3,FALSE)*0.92</f>
        <v>234.80148</v>
      </c>
      <c r="U2420" s="113">
        <f t="shared" si="2572"/>
        <v>23.480148</v>
      </c>
      <c r="V2420">
        <f t="shared" ref="V2420:W2420" si="2625">V2396</f>
        <v>3.6</v>
      </c>
      <c r="W2420">
        <f t="shared" si="2625"/>
        <v>3</v>
      </c>
      <c r="X2420" s="9">
        <v>-63.990516416666097</v>
      </c>
      <c r="Y2420" s="39"/>
    </row>
    <row r="2421" spans="1:25" ht="15" thickBot="1">
      <c r="A2421" s="149">
        <f t="shared" ref="A2421:A2484" si="2626">A2420+TIME(1,0,0)</f>
        <v>45936.749999996115</v>
      </c>
      <c r="B2421" s="30">
        <f t="shared" si="2581"/>
        <v>5000</v>
      </c>
      <c r="C2421" s="8">
        <v>25000</v>
      </c>
      <c r="D2421" s="187">
        <v>0</v>
      </c>
      <c r="E2421" s="187">
        <v>700</v>
      </c>
      <c r="F2421" s="187">
        <v>15000</v>
      </c>
      <c r="G2421" s="151">
        <v>2470</v>
      </c>
      <c r="H2421" s="8">
        <f t="shared" si="2582"/>
        <v>25000</v>
      </c>
      <c r="I2421" s="30">
        <f t="shared" si="2583"/>
        <v>5000</v>
      </c>
      <c r="J2421" s="187">
        <v>40000</v>
      </c>
      <c r="K2421" s="30">
        <f t="shared" si="2584"/>
        <v>5000</v>
      </c>
      <c r="L2421" s="187">
        <v>40000</v>
      </c>
      <c r="M2421" s="110">
        <v>9.5</v>
      </c>
      <c r="N2421" s="9">
        <f>VLOOKUP(DATE(YEAR(A2421),MONTH(A2421),DAY(A2421)),FY24_Temp[],3,FALSE)</f>
        <v>17.25</v>
      </c>
      <c r="O2421" s="110">
        <f t="shared" si="2570"/>
        <v>11.5</v>
      </c>
      <c r="P2421" s="110">
        <f t="shared" si="2571"/>
        <v>19.5</v>
      </c>
      <c r="Q2421" s="79">
        <f>VLOOKUP(VLOOKUP(DATEVALUE(TEXT(A2421,"m/d/yyyy")),FY24_Temp[],5,FALSE)&amp;TEXT(A2421,"-h"),TempDelta[],4,FALSE)</f>
        <v>0.91657142128263203</v>
      </c>
      <c r="R2421">
        <v>10</v>
      </c>
      <c r="S2421" s="112">
        <v>1500</v>
      </c>
      <c r="T2421" s="5">
        <f>VLOOKUP(TEXT(A2421,"yy-mm")&amp;"-"&amp;IF(AND(WEEKDAY(A2421)&gt;1,WEEKDAY(A2421)&lt;7),"Wkd",TEXT(A2421,"Ddd"))&amp;"-"&amp;TEXT(A2421,"hh"),LoadTable[],3,FALSE)*0.92</f>
        <v>303.31295999999998</v>
      </c>
      <c r="U2421" s="113">
        <f t="shared" si="2572"/>
        <v>30.331295999999998</v>
      </c>
      <c r="V2421">
        <f t="shared" ref="V2421:W2421" si="2627">V2397</f>
        <v>2.9</v>
      </c>
      <c r="W2421">
        <f t="shared" si="2627"/>
        <v>3</v>
      </c>
      <c r="X2421" s="9">
        <v>-64.068310966666104</v>
      </c>
      <c r="Y2421" s="39"/>
    </row>
    <row r="2422" spans="1:25" ht="15" thickBot="1">
      <c r="A2422" s="149">
        <f t="shared" si="2626"/>
        <v>45936.791666662779</v>
      </c>
      <c r="B2422" s="30">
        <f t="shared" si="2581"/>
        <v>5000</v>
      </c>
      <c r="C2422" s="8">
        <v>25000</v>
      </c>
      <c r="D2422" s="187">
        <v>0</v>
      </c>
      <c r="E2422" s="187">
        <v>700</v>
      </c>
      <c r="F2422" s="187">
        <v>15000</v>
      </c>
      <c r="G2422" s="151">
        <v>2470</v>
      </c>
      <c r="H2422" s="8">
        <f t="shared" si="2582"/>
        <v>25000</v>
      </c>
      <c r="I2422" s="30">
        <f t="shared" si="2583"/>
        <v>5000</v>
      </c>
      <c r="J2422" s="187">
        <v>40000</v>
      </c>
      <c r="K2422" s="30">
        <f t="shared" si="2584"/>
        <v>5000</v>
      </c>
      <c r="L2422" s="187">
        <v>40000</v>
      </c>
      <c r="M2422" s="110">
        <v>9.5</v>
      </c>
      <c r="N2422" s="9">
        <f>VLOOKUP(DATE(YEAR(A2422),MONTH(A2422),DAY(A2422)),FY24_Temp[],3,FALSE)</f>
        <v>17.25</v>
      </c>
      <c r="O2422" s="110">
        <f t="shared" si="2570"/>
        <v>11.5</v>
      </c>
      <c r="P2422" s="110">
        <f t="shared" si="2571"/>
        <v>19.5</v>
      </c>
      <c r="Q2422" s="79">
        <f>VLOOKUP(VLOOKUP(DATEVALUE(TEXT(A2422,"m/d/yyyy")),FY24_Temp[],5,FALSE)&amp;TEXT(A2422,"-h"),TempDelta[],4,FALSE)</f>
        <v>0.91900000827653072</v>
      </c>
      <c r="R2422">
        <v>10</v>
      </c>
      <c r="S2422" s="112">
        <v>1500</v>
      </c>
      <c r="T2422" s="5">
        <f>VLOOKUP(TEXT(A2422,"yy-mm")&amp;"-"&amp;IF(AND(WEEKDAY(A2422)&gt;1,WEEKDAY(A2422)&lt;7),"Wkd",TEXT(A2422,"Ddd"))&amp;"-"&amp;TEXT(A2422,"hh"),LoadTable[],3,FALSE)*0.92</f>
        <v>303.31295999999998</v>
      </c>
      <c r="U2422" s="113">
        <f t="shared" si="2572"/>
        <v>30.331295999999998</v>
      </c>
      <c r="V2422">
        <f t="shared" ref="V2422:W2422" si="2628">V2398</f>
        <v>3</v>
      </c>
      <c r="W2422">
        <f t="shared" si="2628"/>
        <v>3</v>
      </c>
      <c r="X2422" s="9">
        <v>-64.146105516666097</v>
      </c>
      <c r="Y2422" s="39"/>
    </row>
    <row r="2423" spans="1:25" ht="15" thickBot="1">
      <c r="A2423" s="149">
        <f t="shared" si="2626"/>
        <v>45936.833333329443</v>
      </c>
      <c r="B2423" s="30">
        <f t="shared" si="2581"/>
        <v>5000</v>
      </c>
      <c r="C2423" s="8">
        <v>25000</v>
      </c>
      <c r="D2423" s="187">
        <v>0</v>
      </c>
      <c r="E2423" s="187">
        <v>700</v>
      </c>
      <c r="F2423" s="187">
        <v>15000</v>
      </c>
      <c r="G2423" s="151">
        <v>2470</v>
      </c>
      <c r="H2423" s="8">
        <f t="shared" si="2582"/>
        <v>25000</v>
      </c>
      <c r="I2423" s="30">
        <f t="shared" si="2583"/>
        <v>5000</v>
      </c>
      <c r="J2423" s="187">
        <v>40000</v>
      </c>
      <c r="K2423" s="30">
        <f t="shared" si="2584"/>
        <v>5000</v>
      </c>
      <c r="L2423" s="187">
        <v>40000</v>
      </c>
      <c r="M2423" s="110">
        <v>9.5</v>
      </c>
      <c r="N2423" s="9">
        <f>VLOOKUP(DATE(YEAR(A2423),MONTH(A2423),DAY(A2423)),FY24_Temp[],3,FALSE)</f>
        <v>17.25</v>
      </c>
      <c r="O2423" s="110">
        <f t="shared" si="2570"/>
        <v>11.5</v>
      </c>
      <c r="P2423" s="110">
        <f t="shared" si="2571"/>
        <v>19.5</v>
      </c>
      <c r="Q2423" s="79">
        <f>VLOOKUP(VLOOKUP(DATEVALUE(TEXT(A2423,"m/d/yyyy")),FY24_Temp[],5,FALSE)&amp;TEXT(A2423,"-h"),TempDelta[],4,FALSE)</f>
        <v>0.93314285363469807</v>
      </c>
      <c r="R2423">
        <v>10</v>
      </c>
      <c r="S2423" s="112">
        <v>1500</v>
      </c>
      <c r="T2423" s="5">
        <f>VLOOKUP(TEXT(A2423,"yy-mm")&amp;"-"&amp;IF(AND(WEEKDAY(A2423)&gt;1,WEEKDAY(A2423)&lt;7),"Wkd",TEXT(A2423,"Ddd"))&amp;"-"&amp;TEXT(A2423,"hh"),LoadTable[],3,FALSE)*0.92</f>
        <v>303.31295999999998</v>
      </c>
      <c r="U2423" s="113">
        <f t="shared" si="2572"/>
        <v>30.331295999999998</v>
      </c>
      <c r="V2423">
        <f t="shared" ref="V2423:W2423" si="2629">V2399</f>
        <v>2.8</v>
      </c>
      <c r="W2423">
        <f t="shared" si="2629"/>
        <v>3.1</v>
      </c>
      <c r="X2423" s="9">
        <v>-64.223900066666104</v>
      </c>
      <c r="Y2423" s="39"/>
    </row>
    <row r="2424" spans="1:25" ht="15" thickBot="1">
      <c r="A2424" s="149">
        <f t="shared" si="2626"/>
        <v>45936.874999996107</v>
      </c>
      <c r="B2424" s="30">
        <f t="shared" si="2581"/>
        <v>5000</v>
      </c>
      <c r="C2424" s="8">
        <v>25000</v>
      </c>
      <c r="D2424" s="187">
        <v>0</v>
      </c>
      <c r="E2424" s="187">
        <v>700</v>
      </c>
      <c r="F2424" s="187">
        <v>15000</v>
      </c>
      <c r="G2424" s="151">
        <v>2470</v>
      </c>
      <c r="H2424" s="8">
        <f t="shared" si="2582"/>
        <v>25000</v>
      </c>
      <c r="I2424" s="30">
        <f t="shared" si="2583"/>
        <v>5000</v>
      </c>
      <c r="J2424" s="187">
        <v>40000</v>
      </c>
      <c r="K2424" s="30">
        <f t="shared" si="2584"/>
        <v>5000</v>
      </c>
      <c r="L2424" s="187">
        <v>40000</v>
      </c>
      <c r="M2424" s="110">
        <v>9.5</v>
      </c>
      <c r="N2424" s="9">
        <f>VLOOKUP(DATE(YEAR(A2424),MONTH(A2424),DAY(A2424)),FY24_Temp[],3,FALSE)</f>
        <v>17.25</v>
      </c>
      <c r="O2424" s="110">
        <f t="shared" si="2570"/>
        <v>11.5</v>
      </c>
      <c r="P2424" s="110">
        <f t="shared" si="2571"/>
        <v>19.5</v>
      </c>
      <c r="Q2424" s="79">
        <f>VLOOKUP(VLOOKUP(DATEVALUE(TEXT(A2424,"m/d/yyyy")),FY24_Temp[],5,FALSE)&amp;TEXT(A2424,"-h"),TempDelta[],4,FALSE)</f>
        <v>0.92385714820453102</v>
      </c>
      <c r="R2424">
        <v>10</v>
      </c>
      <c r="S2424" s="112">
        <v>1500</v>
      </c>
      <c r="T2424" s="5">
        <f>VLOOKUP(TEXT(A2424,"yy-mm")&amp;"-"&amp;IF(AND(WEEKDAY(A2424)&gt;1,WEEKDAY(A2424)&lt;7),"Wkd",TEXT(A2424,"Ddd"))&amp;"-"&amp;TEXT(A2424,"hh"),LoadTable[],3,FALSE)*0.92</f>
        <v>229.93744000000001</v>
      </c>
      <c r="U2424" s="113">
        <f t="shared" si="2572"/>
        <v>22.993744</v>
      </c>
      <c r="V2424">
        <f t="shared" ref="V2424:W2424" si="2630">V2400</f>
        <v>3.5</v>
      </c>
      <c r="W2424">
        <f t="shared" si="2630"/>
        <v>3.1</v>
      </c>
      <c r="X2424" s="9">
        <v>-64.301694616666097</v>
      </c>
      <c r="Y2424" s="39"/>
    </row>
    <row r="2425" spans="1:25" ht="15" thickBot="1">
      <c r="A2425" s="149">
        <f t="shared" si="2626"/>
        <v>45936.916666662772</v>
      </c>
      <c r="B2425" s="30">
        <f t="shared" si="2581"/>
        <v>5000</v>
      </c>
      <c r="C2425" s="8">
        <v>25000</v>
      </c>
      <c r="D2425" s="187">
        <v>0</v>
      </c>
      <c r="E2425" s="187">
        <v>700</v>
      </c>
      <c r="F2425" s="187">
        <v>15000</v>
      </c>
      <c r="G2425" s="151">
        <v>2470</v>
      </c>
      <c r="H2425" s="8">
        <f t="shared" si="2582"/>
        <v>25000</v>
      </c>
      <c r="I2425" s="30">
        <f t="shared" si="2583"/>
        <v>5000</v>
      </c>
      <c r="J2425" s="187">
        <v>40000</v>
      </c>
      <c r="K2425" s="30">
        <f t="shared" si="2584"/>
        <v>5000</v>
      </c>
      <c r="L2425" s="187">
        <v>40000</v>
      </c>
      <c r="M2425" s="110">
        <v>9.5</v>
      </c>
      <c r="N2425" s="9">
        <f>VLOOKUP(DATE(YEAR(A2425),MONTH(A2425),DAY(A2425)),FY24_Temp[],3,FALSE)</f>
        <v>17.25</v>
      </c>
      <c r="O2425" s="110">
        <f t="shared" si="2570"/>
        <v>11.5</v>
      </c>
      <c r="P2425" s="110">
        <f t="shared" si="2571"/>
        <v>19.5</v>
      </c>
      <c r="Q2425" s="79">
        <f>VLOOKUP(VLOOKUP(DATEVALUE(TEXT(A2425,"m/d/yyyy")),FY24_Temp[],5,FALSE)&amp;TEXT(A2425,"-h"),TempDelta[],4,FALSE)</f>
        <v>1.1424285514014108</v>
      </c>
      <c r="R2425">
        <v>10</v>
      </c>
      <c r="S2425" s="112">
        <v>1500</v>
      </c>
      <c r="T2425" s="5">
        <f>VLOOKUP(TEXT(A2425,"yy-mm")&amp;"-"&amp;IF(AND(WEEKDAY(A2425)&gt;1,WEEKDAY(A2425)&lt;7),"Wkd",TEXT(A2425,"Ddd"))&amp;"-"&amp;TEXT(A2425,"hh"),LoadTable[],3,FALSE)*0.92</f>
        <v>176.52040000000002</v>
      </c>
      <c r="U2425" s="113">
        <f t="shared" si="2572"/>
        <v>17.652040000000003</v>
      </c>
      <c r="V2425">
        <f t="shared" ref="V2425:W2425" si="2631">V2401</f>
        <v>2.9</v>
      </c>
      <c r="W2425">
        <f t="shared" si="2631"/>
        <v>3.1</v>
      </c>
      <c r="X2425" s="9">
        <v>-64.379489166666104</v>
      </c>
      <c r="Y2425" s="39"/>
    </row>
    <row r="2426" spans="1:25" ht="15" thickBot="1">
      <c r="A2426" s="149">
        <f t="shared" si="2626"/>
        <v>45936.958333329436</v>
      </c>
      <c r="B2426" s="30">
        <f t="shared" si="2581"/>
        <v>5000</v>
      </c>
      <c r="C2426" s="8">
        <v>25000</v>
      </c>
      <c r="D2426" s="187">
        <v>0</v>
      </c>
      <c r="E2426" s="187">
        <v>700</v>
      </c>
      <c r="F2426" s="187">
        <v>15000</v>
      </c>
      <c r="G2426" s="151">
        <v>2470</v>
      </c>
      <c r="H2426" s="8">
        <f t="shared" si="2582"/>
        <v>25000</v>
      </c>
      <c r="I2426" s="30">
        <f t="shared" si="2583"/>
        <v>5000</v>
      </c>
      <c r="J2426" s="187">
        <v>40000</v>
      </c>
      <c r="K2426" s="30">
        <f t="shared" si="2584"/>
        <v>5000</v>
      </c>
      <c r="L2426" s="187">
        <v>40000</v>
      </c>
      <c r="M2426" s="110">
        <v>9.5</v>
      </c>
      <c r="N2426" s="9">
        <f>VLOOKUP(DATE(YEAR(A2426),MONTH(A2426),DAY(A2426)),FY24_Temp[],3,FALSE)</f>
        <v>17.25</v>
      </c>
      <c r="O2426" s="110">
        <f t="shared" si="2570"/>
        <v>11.5</v>
      </c>
      <c r="P2426" s="110">
        <f t="shared" si="2571"/>
        <v>19.5</v>
      </c>
      <c r="Q2426" s="79">
        <f>VLOOKUP(VLOOKUP(DATEVALUE(TEXT(A2426,"m/d/yyyy")),FY24_Temp[],5,FALSE)&amp;TEXT(A2426,"-h"),TempDelta[],4,FALSE)</f>
        <v>1.2597142798560006</v>
      </c>
      <c r="R2426">
        <v>10</v>
      </c>
      <c r="S2426" s="112">
        <v>1500</v>
      </c>
      <c r="T2426" s="5">
        <f>VLOOKUP(TEXT(A2426,"yy-mm")&amp;"-"&amp;IF(AND(WEEKDAY(A2426)&gt;1,WEEKDAY(A2426)&lt;7),"Wkd",TEXT(A2426,"Ddd"))&amp;"-"&amp;TEXT(A2426,"hh"),LoadTable[],3,FALSE)*0.92</f>
        <v>176.52040000000002</v>
      </c>
      <c r="U2426" s="113">
        <f t="shared" si="2572"/>
        <v>17.652040000000003</v>
      </c>
      <c r="V2426">
        <f t="shared" ref="V2426:W2426" si="2632">V2402</f>
        <v>3.6</v>
      </c>
      <c r="W2426">
        <f t="shared" si="2632"/>
        <v>3.1</v>
      </c>
      <c r="X2426" s="9">
        <v>-64.457283716666097</v>
      </c>
      <c r="Y2426" s="39"/>
    </row>
    <row r="2427" spans="1:25" ht="15" thickBot="1">
      <c r="A2427" s="149">
        <f t="shared" si="2626"/>
        <v>45936.9999999961</v>
      </c>
      <c r="B2427" s="30">
        <f t="shared" si="2581"/>
        <v>5000</v>
      </c>
      <c r="C2427" s="8">
        <v>25000</v>
      </c>
      <c r="D2427" s="187">
        <v>0</v>
      </c>
      <c r="E2427" s="187">
        <v>700</v>
      </c>
      <c r="F2427" s="187">
        <v>15000</v>
      </c>
      <c r="G2427" s="151">
        <v>2470</v>
      </c>
      <c r="H2427" s="8">
        <f t="shared" si="2582"/>
        <v>25000</v>
      </c>
      <c r="I2427" s="30">
        <f t="shared" si="2583"/>
        <v>5000</v>
      </c>
      <c r="J2427" s="187">
        <v>40000</v>
      </c>
      <c r="K2427" s="30">
        <f t="shared" si="2584"/>
        <v>5000</v>
      </c>
      <c r="L2427" s="187">
        <v>40000</v>
      </c>
      <c r="M2427" s="110">
        <v>9.5</v>
      </c>
      <c r="N2427" s="9">
        <f>VLOOKUP(DATE(YEAR(A2427),MONTH(A2427),DAY(A2427)),FY24_Temp[],3,FALSE)</f>
        <v>17.25</v>
      </c>
      <c r="O2427" s="110">
        <f t="shared" si="2570"/>
        <v>11.5</v>
      </c>
      <c r="P2427" s="110">
        <f t="shared" si="2571"/>
        <v>19.5</v>
      </c>
      <c r="Q2427" s="79">
        <f>VLOOKUP(VLOOKUP(DATEVALUE(TEXT(A2427,"m/d/yyyy")),FY24_Temp[],5,FALSE)&amp;TEXT(A2427,"-h"),TempDelta[],4,FALSE)</f>
        <v>1.3511428662708826</v>
      </c>
      <c r="R2427">
        <v>10</v>
      </c>
      <c r="S2427" s="112">
        <v>1500</v>
      </c>
      <c r="T2427" s="5">
        <f>VLOOKUP(TEXT(A2427,"yy-mm")&amp;"-"&amp;IF(AND(WEEKDAY(A2427)&gt;1,WEEKDAY(A2427)&lt;7),"Wkd",TEXT(A2427,"Ddd"))&amp;"-"&amp;TEXT(A2427,"hh"),LoadTable[],3,FALSE)*0.92</f>
        <v>209.6772</v>
      </c>
      <c r="U2427" s="113">
        <f t="shared" si="2572"/>
        <v>20.96772</v>
      </c>
      <c r="V2427">
        <f t="shared" ref="V2427:W2427" si="2633">V2403</f>
        <v>3</v>
      </c>
      <c r="W2427">
        <f t="shared" si="2633"/>
        <v>3.2</v>
      </c>
      <c r="X2427" s="9">
        <v>-64.535078266666105</v>
      </c>
      <c r="Y2427" s="39"/>
    </row>
    <row r="2428" spans="1:25" ht="15" thickBot="1">
      <c r="A2428" s="149">
        <f t="shared" si="2626"/>
        <v>45937.041666662764</v>
      </c>
      <c r="B2428" s="30">
        <f t="shared" si="2581"/>
        <v>5000</v>
      </c>
      <c r="C2428" s="8">
        <v>25000</v>
      </c>
      <c r="D2428" s="187">
        <v>0</v>
      </c>
      <c r="E2428" s="187">
        <v>700</v>
      </c>
      <c r="F2428" s="187">
        <v>15000</v>
      </c>
      <c r="G2428" s="151">
        <v>2470</v>
      </c>
      <c r="H2428" s="8">
        <f t="shared" si="2582"/>
        <v>25000</v>
      </c>
      <c r="I2428" s="30">
        <f t="shared" si="2583"/>
        <v>5000</v>
      </c>
      <c r="J2428" s="187">
        <v>40000</v>
      </c>
      <c r="K2428" s="30">
        <f t="shared" si="2584"/>
        <v>5000</v>
      </c>
      <c r="L2428" s="187">
        <v>40000</v>
      </c>
      <c r="M2428" s="110">
        <v>9.5</v>
      </c>
      <c r="N2428" s="9">
        <f>VLOOKUP(DATE(YEAR(A2428),MONTH(A2428),DAY(A2428)),FY24_Temp[],3,FALSE)</f>
        <v>17.25</v>
      </c>
      <c r="O2428" s="110">
        <f t="shared" si="2570"/>
        <v>11.5</v>
      </c>
      <c r="P2428" s="110">
        <f t="shared" si="2571"/>
        <v>19.5</v>
      </c>
      <c r="Q2428" s="79">
        <f>VLOOKUP(VLOOKUP(DATEVALUE(TEXT(A2428,"m/d/yyyy")),FY24_Temp[],5,FALSE)&amp;TEXT(A2428,"-h"),TempDelta[],4,FALSE)</f>
        <v>1.3058571474892753</v>
      </c>
      <c r="R2428">
        <v>10</v>
      </c>
      <c r="S2428" s="112">
        <v>1500</v>
      </c>
      <c r="T2428" s="5">
        <f>VLOOKUP(TEXT(A2428,"yy-mm")&amp;"-"&amp;IF(AND(WEEKDAY(A2428)&gt;1,WEEKDAY(A2428)&lt;7),"Wkd",TEXT(A2428,"Ddd"))&amp;"-"&amp;TEXT(A2428,"hh"),LoadTable[],3,FALSE)*0.92</f>
        <v>209.6772</v>
      </c>
      <c r="U2428" s="113">
        <f t="shared" si="2572"/>
        <v>20.96772</v>
      </c>
      <c r="V2428">
        <f t="shared" ref="V2428:W2428" si="2634">V2404</f>
        <v>2.6</v>
      </c>
      <c r="W2428">
        <f t="shared" si="2634"/>
        <v>3.2</v>
      </c>
      <c r="X2428" s="9">
        <v>-64.612872816666098</v>
      </c>
      <c r="Y2428" s="39"/>
    </row>
    <row r="2429" spans="1:25" ht="15" thickBot="1">
      <c r="A2429" s="149">
        <f t="shared" si="2626"/>
        <v>45937.083333329429</v>
      </c>
      <c r="B2429" s="30">
        <f t="shared" si="2581"/>
        <v>5000</v>
      </c>
      <c r="C2429" s="8">
        <v>25000</v>
      </c>
      <c r="D2429" s="187">
        <v>0</v>
      </c>
      <c r="E2429" s="187">
        <v>700</v>
      </c>
      <c r="F2429" s="187">
        <v>15000</v>
      </c>
      <c r="G2429" s="151">
        <v>2470</v>
      </c>
      <c r="H2429" s="8">
        <f t="shared" si="2582"/>
        <v>25000</v>
      </c>
      <c r="I2429" s="30">
        <f t="shared" si="2583"/>
        <v>5000</v>
      </c>
      <c r="J2429" s="187">
        <v>40000</v>
      </c>
      <c r="K2429" s="30">
        <f t="shared" si="2584"/>
        <v>5000</v>
      </c>
      <c r="L2429" s="187">
        <v>40000</v>
      </c>
      <c r="M2429" s="110">
        <v>9.5</v>
      </c>
      <c r="N2429" s="9">
        <f>VLOOKUP(DATE(YEAR(A2429),MONTH(A2429),DAY(A2429)),FY24_Temp[],3,FALSE)</f>
        <v>17.25</v>
      </c>
      <c r="O2429" s="110">
        <f t="shared" si="2570"/>
        <v>11.5</v>
      </c>
      <c r="P2429" s="110">
        <f t="shared" si="2571"/>
        <v>19.5</v>
      </c>
      <c r="Q2429" s="79">
        <f>VLOOKUP(VLOOKUP(DATEVALUE(TEXT(A2429,"m/d/yyyy")),FY24_Temp[],5,FALSE)&amp;TEXT(A2429,"-h"),TempDelta[],4,FALSE)</f>
        <v>1.217571428843907</v>
      </c>
      <c r="R2429">
        <v>10</v>
      </c>
      <c r="S2429" s="112">
        <v>1500</v>
      </c>
      <c r="T2429" s="5">
        <f>VLOOKUP(TEXT(A2429,"yy-mm")&amp;"-"&amp;IF(AND(WEEKDAY(A2429)&gt;1,WEEKDAY(A2429)&lt;7),"Wkd",TEXT(A2429,"Ddd"))&amp;"-"&amp;TEXT(A2429,"hh"),LoadTable[],3,FALSE)*0.92</f>
        <v>209.6772</v>
      </c>
      <c r="U2429" s="113">
        <f t="shared" si="2572"/>
        <v>20.96772</v>
      </c>
      <c r="V2429">
        <f t="shared" ref="V2429:W2429" si="2635">V2405</f>
        <v>2.8</v>
      </c>
      <c r="W2429">
        <f t="shared" si="2635"/>
        <v>3.2</v>
      </c>
      <c r="X2429" s="9">
        <v>-64.690667366666105</v>
      </c>
      <c r="Y2429" s="39"/>
    </row>
    <row r="2430" spans="1:25" ht="15" thickBot="1">
      <c r="A2430" s="149">
        <f t="shared" si="2626"/>
        <v>45937.124999996093</v>
      </c>
      <c r="B2430" s="30">
        <f t="shared" si="2581"/>
        <v>5000</v>
      </c>
      <c r="C2430" s="8">
        <v>25000</v>
      </c>
      <c r="D2430" s="187">
        <v>0</v>
      </c>
      <c r="E2430" s="187">
        <v>700</v>
      </c>
      <c r="F2430" s="187">
        <v>15000</v>
      </c>
      <c r="G2430" s="151">
        <v>2470</v>
      </c>
      <c r="H2430" s="8">
        <f t="shared" si="2582"/>
        <v>25000</v>
      </c>
      <c r="I2430" s="30">
        <f t="shared" si="2583"/>
        <v>5000</v>
      </c>
      <c r="J2430" s="187">
        <v>40000</v>
      </c>
      <c r="K2430" s="30">
        <f t="shared" si="2584"/>
        <v>5000</v>
      </c>
      <c r="L2430" s="187">
        <v>40000</v>
      </c>
      <c r="M2430" s="110">
        <v>9.5</v>
      </c>
      <c r="N2430" s="9">
        <f>VLOOKUP(DATE(YEAR(A2430),MONTH(A2430),DAY(A2430)),FY24_Temp[],3,FALSE)</f>
        <v>17.25</v>
      </c>
      <c r="O2430" s="110">
        <f t="shared" si="2570"/>
        <v>11.5</v>
      </c>
      <c r="P2430" s="110">
        <f t="shared" si="2571"/>
        <v>19.5</v>
      </c>
      <c r="Q2430" s="79">
        <f>VLOOKUP(VLOOKUP(DATEVALUE(TEXT(A2430,"m/d/yyyy")),FY24_Temp[],5,FALSE)&amp;TEXT(A2430,"-h"),TempDelta[],4,FALSE)</f>
        <v>1.1134285586220878</v>
      </c>
      <c r="R2430">
        <v>10</v>
      </c>
      <c r="S2430" s="112">
        <v>1500</v>
      </c>
      <c r="T2430" s="5">
        <f>VLOOKUP(TEXT(A2430,"yy-mm")&amp;"-"&amp;IF(AND(WEEKDAY(A2430)&gt;1,WEEKDAY(A2430)&lt;7),"Wkd",TEXT(A2430,"Ddd"))&amp;"-"&amp;TEXT(A2430,"hh"),LoadTable[],3,FALSE)*0.92</f>
        <v>209.6772</v>
      </c>
      <c r="U2430" s="113">
        <f t="shared" si="2572"/>
        <v>20.96772</v>
      </c>
      <c r="V2430">
        <f t="shared" ref="V2430:W2430" si="2636">V2406</f>
        <v>2.7</v>
      </c>
      <c r="W2430">
        <f t="shared" si="2636"/>
        <v>3.2</v>
      </c>
      <c r="X2430" s="9">
        <v>-64.768461916666098</v>
      </c>
      <c r="Y2430" s="39"/>
    </row>
    <row r="2431" spans="1:25" ht="15" thickBot="1">
      <c r="A2431" s="149">
        <f t="shared" si="2626"/>
        <v>45937.166666662757</v>
      </c>
      <c r="B2431" s="30">
        <f t="shared" si="2581"/>
        <v>5000</v>
      </c>
      <c r="C2431" s="8">
        <v>25000</v>
      </c>
      <c r="D2431" s="187">
        <v>0</v>
      </c>
      <c r="E2431" s="187">
        <v>700</v>
      </c>
      <c r="F2431" s="187">
        <v>15000</v>
      </c>
      <c r="G2431" s="151">
        <v>2470</v>
      </c>
      <c r="H2431" s="8">
        <f t="shared" si="2582"/>
        <v>25000</v>
      </c>
      <c r="I2431" s="30">
        <f t="shared" si="2583"/>
        <v>5000</v>
      </c>
      <c r="J2431" s="187">
        <v>40000</v>
      </c>
      <c r="K2431" s="30">
        <f t="shared" si="2584"/>
        <v>5000</v>
      </c>
      <c r="L2431" s="187">
        <v>40000</v>
      </c>
      <c r="M2431" s="110">
        <v>9.5</v>
      </c>
      <c r="N2431" s="9">
        <f>VLOOKUP(DATE(YEAR(A2431),MONTH(A2431),DAY(A2431)),FY24_Temp[],3,FALSE)</f>
        <v>17.25</v>
      </c>
      <c r="O2431" s="110">
        <f t="shared" si="2570"/>
        <v>11.5</v>
      </c>
      <c r="P2431" s="110">
        <f t="shared" si="2571"/>
        <v>19.5</v>
      </c>
      <c r="Q2431" s="79">
        <f>VLOOKUP(VLOOKUP(DATEVALUE(TEXT(A2431,"m/d/yyyy")),FY24_Temp[],5,FALSE)&amp;TEXT(A2431,"-h"),TempDelta[],4,FALSE)</f>
        <v>1.0284285715648107</v>
      </c>
      <c r="R2431">
        <v>10</v>
      </c>
      <c r="S2431" s="112">
        <v>1500</v>
      </c>
      <c r="T2431" s="5">
        <f>VLOOKUP(TEXT(A2431,"yy-mm")&amp;"-"&amp;IF(AND(WEEKDAY(A2431)&gt;1,WEEKDAY(A2431)&lt;7),"Wkd",TEXT(A2431,"Ddd"))&amp;"-"&amp;TEXT(A2431,"hh"),LoadTable[],3,FALSE)*0.92</f>
        <v>209.6772</v>
      </c>
      <c r="U2431" s="113">
        <f t="shared" si="2572"/>
        <v>20.96772</v>
      </c>
      <c r="V2431">
        <f t="shared" ref="V2431:W2431" si="2637">V2407</f>
        <v>3</v>
      </c>
      <c r="W2431">
        <f t="shared" si="2637"/>
        <v>3.1</v>
      </c>
      <c r="X2431" s="9">
        <v>-64.846256466666105</v>
      </c>
      <c r="Y2431" s="39"/>
    </row>
    <row r="2432" spans="1:25" ht="15" thickBot="1">
      <c r="A2432" s="149">
        <f t="shared" si="2626"/>
        <v>45937.208333329421</v>
      </c>
      <c r="B2432" s="30">
        <f t="shared" si="2581"/>
        <v>5000</v>
      </c>
      <c r="C2432" s="8">
        <v>25000</v>
      </c>
      <c r="D2432" s="187">
        <v>0</v>
      </c>
      <c r="E2432" s="187">
        <v>700</v>
      </c>
      <c r="F2432" s="187">
        <v>15000</v>
      </c>
      <c r="G2432" s="151">
        <v>2470</v>
      </c>
      <c r="H2432" s="8">
        <f t="shared" si="2582"/>
        <v>25000</v>
      </c>
      <c r="I2432" s="30">
        <f t="shared" si="2583"/>
        <v>5000</v>
      </c>
      <c r="J2432" s="187">
        <v>40000</v>
      </c>
      <c r="K2432" s="30">
        <f t="shared" si="2584"/>
        <v>5000</v>
      </c>
      <c r="L2432" s="187">
        <v>40000</v>
      </c>
      <c r="M2432" s="110">
        <v>9.5</v>
      </c>
      <c r="N2432" s="9">
        <f>VLOOKUP(DATE(YEAR(A2432),MONTH(A2432),DAY(A2432)),FY24_Temp[],3,FALSE)</f>
        <v>17.25</v>
      </c>
      <c r="O2432" s="110">
        <f t="shared" si="2570"/>
        <v>11.5</v>
      </c>
      <c r="P2432" s="110">
        <f t="shared" si="2571"/>
        <v>19.5</v>
      </c>
      <c r="Q2432" s="79">
        <f>VLOOKUP(VLOOKUP(DATEVALUE(TEXT(A2432,"m/d/yyyy")),FY24_Temp[],5,FALSE)&amp;TEXT(A2432,"-h"),TempDelta[],4,FALSE)</f>
        <v>1.0574285643441337</v>
      </c>
      <c r="R2432">
        <v>10</v>
      </c>
      <c r="S2432" s="112">
        <v>1500</v>
      </c>
      <c r="T2432" s="5">
        <f>VLOOKUP(TEXT(A2432,"yy-mm")&amp;"-"&amp;IF(AND(WEEKDAY(A2432)&gt;1,WEEKDAY(A2432)&lt;7),"Wkd",TEXT(A2432,"Ddd"))&amp;"-"&amp;TEXT(A2432,"hh"),LoadTable[],3,FALSE)*0.92</f>
        <v>209.6772</v>
      </c>
      <c r="U2432" s="113">
        <f t="shared" si="2572"/>
        <v>20.96772</v>
      </c>
      <c r="V2432">
        <f t="shared" ref="V2432:W2432" si="2638">V2408</f>
        <v>2.9</v>
      </c>
      <c r="W2432">
        <f t="shared" si="2638"/>
        <v>3.1</v>
      </c>
      <c r="X2432" s="9">
        <v>-64.924051016666098</v>
      </c>
      <c r="Y2432" s="39"/>
    </row>
    <row r="2433" spans="1:25" ht="15" thickBot="1">
      <c r="A2433" s="149">
        <f t="shared" si="2626"/>
        <v>45937.249999996086</v>
      </c>
      <c r="B2433" s="30">
        <f t="shared" si="2581"/>
        <v>8000</v>
      </c>
      <c r="C2433" s="8">
        <v>25000</v>
      </c>
      <c r="D2433" s="187">
        <v>0</v>
      </c>
      <c r="E2433" s="187">
        <v>700</v>
      </c>
      <c r="F2433" s="187">
        <v>15000</v>
      </c>
      <c r="G2433" s="151">
        <v>2470</v>
      </c>
      <c r="H2433" s="8">
        <f t="shared" si="2582"/>
        <v>25000</v>
      </c>
      <c r="I2433" s="30">
        <f t="shared" si="2583"/>
        <v>8000</v>
      </c>
      <c r="J2433" s="187">
        <v>40000</v>
      </c>
      <c r="K2433" s="30">
        <f t="shared" si="2584"/>
        <v>8000</v>
      </c>
      <c r="L2433" s="187">
        <v>40000</v>
      </c>
      <c r="M2433" s="110">
        <v>9.5</v>
      </c>
      <c r="N2433" s="9">
        <f>VLOOKUP(DATE(YEAR(A2433),MONTH(A2433),DAY(A2433)),FY24_Temp[],3,FALSE)</f>
        <v>17.25</v>
      </c>
      <c r="O2433" s="110">
        <f t="shared" si="2570"/>
        <v>11.5</v>
      </c>
      <c r="P2433" s="110">
        <f t="shared" si="2571"/>
        <v>19.5</v>
      </c>
      <c r="Q2433" s="79">
        <f>VLOOKUP(VLOOKUP(DATEVALUE(TEXT(A2433,"m/d/yyyy")),FY24_Temp[],5,FALSE)&amp;TEXT(A2433,"-h"),TempDelta[],4,FALSE)</f>
        <v>0.9115714345659528</v>
      </c>
      <c r="R2433">
        <v>10</v>
      </c>
      <c r="S2433" s="112">
        <v>1500</v>
      </c>
      <c r="T2433" s="5">
        <f>VLOOKUP(TEXT(A2433,"yy-mm")&amp;"-"&amp;IF(AND(WEEKDAY(A2433)&gt;1,WEEKDAY(A2433)&lt;7),"Wkd",TEXT(A2433,"Ddd"))&amp;"-"&amp;TEXT(A2433,"hh"),LoadTable[],3,FALSE)*0.92</f>
        <v>209.6772</v>
      </c>
      <c r="U2433" s="113">
        <f t="shared" si="2572"/>
        <v>20.96772</v>
      </c>
      <c r="V2433">
        <f t="shared" ref="V2433:W2433" si="2639">V2409</f>
        <v>2.5</v>
      </c>
      <c r="W2433">
        <f t="shared" si="2639"/>
        <v>3.1</v>
      </c>
      <c r="X2433" s="9">
        <v>-65.001845566666105</v>
      </c>
      <c r="Y2433" s="39"/>
    </row>
    <row r="2434" spans="1:25" ht="15" thickBot="1">
      <c r="A2434" s="149">
        <f t="shared" si="2626"/>
        <v>45937.29166666275</v>
      </c>
      <c r="B2434" s="30">
        <f t="shared" si="2581"/>
        <v>8000</v>
      </c>
      <c r="C2434" s="8">
        <v>25000</v>
      </c>
      <c r="D2434" s="187">
        <v>0</v>
      </c>
      <c r="E2434" s="187">
        <v>700</v>
      </c>
      <c r="F2434" s="187">
        <v>15000</v>
      </c>
      <c r="G2434" s="151">
        <v>2470</v>
      </c>
      <c r="H2434" s="8">
        <f t="shared" si="2582"/>
        <v>25000</v>
      </c>
      <c r="I2434" s="30">
        <f t="shared" si="2583"/>
        <v>8000</v>
      </c>
      <c r="J2434" s="187">
        <v>40000</v>
      </c>
      <c r="K2434" s="30">
        <f t="shared" si="2584"/>
        <v>8000</v>
      </c>
      <c r="L2434" s="187">
        <v>40000</v>
      </c>
      <c r="M2434" s="110">
        <v>9.5</v>
      </c>
      <c r="N2434" s="9">
        <f>VLOOKUP(DATE(YEAR(A2434),MONTH(A2434),DAY(A2434)),FY24_Temp[],3,FALSE)</f>
        <v>17.25</v>
      </c>
      <c r="O2434" s="110">
        <f t="shared" si="2570"/>
        <v>11.5</v>
      </c>
      <c r="P2434" s="110">
        <f t="shared" si="2571"/>
        <v>19.5</v>
      </c>
      <c r="Q2434" s="79">
        <f>VLOOKUP(VLOOKUP(DATEVALUE(TEXT(A2434,"m/d/yyyy")),FY24_Temp[],5,FALSE)&amp;TEXT(A2434,"-h"),TempDelta[],4,FALSE)</f>
        <v>0.73142857210976742</v>
      </c>
      <c r="R2434">
        <v>10</v>
      </c>
      <c r="S2434" s="112">
        <v>1500</v>
      </c>
      <c r="T2434" s="5">
        <f>VLOOKUP(TEXT(A2434,"yy-mm")&amp;"-"&amp;IF(AND(WEEKDAY(A2434)&gt;1,WEEKDAY(A2434)&lt;7),"Wkd",TEXT(A2434,"Ddd"))&amp;"-"&amp;TEXT(A2434,"hh"),LoadTable[],3,FALSE)*0.92</f>
        <v>234.80148</v>
      </c>
      <c r="U2434" s="113">
        <f t="shared" si="2572"/>
        <v>23.480148</v>
      </c>
      <c r="V2434">
        <f t="shared" ref="V2434:W2434" si="2640">V2410</f>
        <v>2.5</v>
      </c>
      <c r="W2434">
        <f t="shared" si="2640"/>
        <v>3.1</v>
      </c>
      <c r="X2434" s="9">
        <v>-65.079640116666098</v>
      </c>
      <c r="Y2434" s="39"/>
    </row>
    <row r="2435" spans="1:25" ht="15" thickBot="1">
      <c r="A2435" s="149">
        <f t="shared" si="2626"/>
        <v>45937.333333329414</v>
      </c>
      <c r="B2435" s="30">
        <f t="shared" si="2581"/>
        <v>8000</v>
      </c>
      <c r="C2435" s="8">
        <v>25000</v>
      </c>
      <c r="D2435" s="187">
        <v>0</v>
      </c>
      <c r="E2435" s="187">
        <v>700</v>
      </c>
      <c r="F2435" s="187">
        <v>15000</v>
      </c>
      <c r="G2435" s="30">
        <f t="shared" si="2582"/>
        <v>2470</v>
      </c>
      <c r="H2435" s="8">
        <f t="shared" si="2582"/>
        <v>25000</v>
      </c>
      <c r="I2435" s="30">
        <f t="shared" si="2583"/>
        <v>8000</v>
      </c>
      <c r="J2435" s="187">
        <v>40000</v>
      </c>
      <c r="K2435" s="30">
        <f t="shared" si="2584"/>
        <v>8000</v>
      </c>
      <c r="L2435" s="187">
        <v>40000</v>
      </c>
      <c r="M2435" s="110">
        <v>9.5</v>
      </c>
      <c r="N2435" s="9">
        <f>VLOOKUP(DATE(YEAR(A2435),MONTH(A2435),DAY(A2435)),FY24_Temp[],3,FALSE)</f>
        <v>17.25</v>
      </c>
      <c r="O2435" s="110">
        <f t="shared" si="2570"/>
        <v>11.5</v>
      </c>
      <c r="P2435" s="110">
        <f t="shared" si="2571"/>
        <v>19.5</v>
      </c>
      <c r="Q2435" s="79">
        <f>VLOOKUP(VLOOKUP(DATEVALUE(TEXT(A2435,"m/d/yyyy")),FY24_Temp[],5,FALSE)&amp;TEXT(A2435,"-h"),TempDelta[],4,FALSE)</f>
        <v>0.62228572368621826</v>
      </c>
      <c r="R2435">
        <v>10</v>
      </c>
      <c r="S2435" s="112">
        <v>1500</v>
      </c>
      <c r="T2435" s="5">
        <f>VLOOKUP(TEXT(A2435,"yy-mm")&amp;"-"&amp;IF(AND(WEEKDAY(A2435)&gt;1,WEEKDAY(A2435)&lt;7),"Wkd",TEXT(A2435,"Ddd"))&amp;"-"&amp;TEXT(A2435,"hh"),LoadTable[],3,FALSE)*0.92</f>
        <v>234.80148</v>
      </c>
      <c r="U2435" s="113">
        <f t="shared" si="2572"/>
        <v>23.480148</v>
      </c>
      <c r="V2435">
        <f t="shared" ref="V2435:W2435" si="2641">V2411</f>
        <v>3.2</v>
      </c>
      <c r="W2435">
        <f t="shared" si="2641"/>
        <v>3</v>
      </c>
      <c r="X2435" s="9">
        <v>-65.157434666666106</v>
      </c>
      <c r="Y2435" s="39"/>
    </row>
    <row r="2436" spans="1:25" ht="15" thickBot="1">
      <c r="A2436" s="149">
        <f t="shared" si="2626"/>
        <v>45937.374999996078</v>
      </c>
      <c r="B2436" s="30">
        <f t="shared" si="2581"/>
        <v>8000</v>
      </c>
      <c r="C2436" s="8">
        <v>25000</v>
      </c>
      <c r="D2436" s="187">
        <v>0</v>
      </c>
      <c r="E2436" s="187">
        <v>700</v>
      </c>
      <c r="F2436" s="187">
        <v>15000</v>
      </c>
      <c r="G2436" s="30">
        <f t="shared" si="2582"/>
        <v>2470</v>
      </c>
      <c r="H2436" s="8">
        <f t="shared" si="2582"/>
        <v>25000</v>
      </c>
      <c r="I2436" s="30">
        <f t="shared" si="2583"/>
        <v>8000</v>
      </c>
      <c r="J2436" s="187">
        <v>40000</v>
      </c>
      <c r="K2436" s="30">
        <f t="shared" si="2584"/>
        <v>8000</v>
      </c>
      <c r="L2436" s="187">
        <v>40000</v>
      </c>
      <c r="M2436" s="110">
        <v>9.5</v>
      </c>
      <c r="N2436" s="9">
        <f>VLOOKUP(DATE(YEAR(A2436),MONTH(A2436),DAY(A2436)),FY24_Temp[],3,FALSE)</f>
        <v>17.25</v>
      </c>
      <c r="O2436" s="110">
        <f t="shared" ref="O2436:O2499" si="2642">15.5-4</f>
        <v>11.5</v>
      </c>
      <c r="P2436" s="110">
        <f t="shared" ref="P2436:P2499" si="2643">15.5+4</f>
        <v>19.5</v>
      </c>
      <c r="Q2436" s="79">
        <f>VLOOKUP(VLOOKUP(DATEVALUE(TEXT(A2436,"m/d/yyyy")),FY24_Temp[],5,FALSE)&amp;TEXT(A2436,"-h"),TempDelta[],4,FALSE)</f>
        <v>0.53400000504084999</v>
      </c>
      <c r="R2436">
        <v>10</v>
      </c>
      <c r="S2436" s="112">
        <v>1500</v>
      </c>
      <c r="T2436" s="5">
        <f>VLOOKUP(TEXT(A2436,"yy-mm")&amp;"-"&amp;IF(AND(WEEKDAY(A2436)&gt;1,WEEKDAY(A2436)&lt;7),"Wkd",TEXT(A2436,"Ddd"))&amp;"-"&amp;TEXT(A2436,"hh"),LoadTable[],3,FALSE)*0.92</f>
        <v>234.80148</v>
      </c>
      <c r="U2436" s="113">
        <f t="shared" ref="U2436:U2499" si="2644">T2436/10</f>
        <v>23.480148</v>
      </c>
      <c r="V2436">
        <f t="shared" ref="V2436:W2436" si="2645">V2412</f>
        <v>2.9</v>
      </c>
      <c r="W2436">
        <f t="shared" si="2645"/>
        <v>3</v>
      </c>
      <c r="X2436" s="9">
        <v>-65.235229216666099</v>
      </c>
      <c r="Y2436" s="39"/>
    </row>
    <row r="2437" spans="1:25" ht="15" thickBot="1">
      <c r="A2437" s="149">
        <f t="shared" si="2626"/>
        <v>45937.416666662743</v>
      </c>
      <c r="B2437" s="30">
        <f t="shared" si="2581"/>
        <v>8000</v>
      </c>
      <c r="C2437" s="8">
        <v>25000</v>
      </c>
      <c r="D2437" s="187">
        <v>0</v>
      </c>
      <c r="E2437" s="187">
        <v>700</v>
      </c>
      <c r="F2437" s="187">
        <v>15000</v>
      </c>
      <c r="G2437" s="30">
        <f t="shared" si="2582"/>
        <v>2470</v>
      </c>
      <c r="H2437" s="8">
        <f t="shared" si="2582"/>
        <v>25000</v>
      </c>
      <c r="I2437" s="30">
        <f t="shared" si="2583"/>
        <v>8000</v>
      </c>
      <c r="J2437" s="187">
        <v>40000</v>
      </c>
      <c r="K2437" s="30">
        <f t="shared" si="2584"/>
        <v>8000</v>
      </c>
      <c r="L2437" s="187">
        <v>40000</v>
      </c>
      <c r="M2437" s="110">
        <v>9.5</v>
      </c>
      <c r="N2437" s="9">
        <f>VLOOKUP(DATE(YEAR(A2437),MONTH(A2437),DAY(A2437)),FY24_Temp[],3,FALSE)</f>
        <v>17.25</v>
      </c>
      <c r="O2437" s="110">
        <f t="shared" si="2642"/>
        <v>11.5</v>
      </c>
      <c r="P2437" s="110">
        <f t="shared" si="2643"/>
        <v>19.5</v>
      </c>
      <c r="Q2437" s="79">
        <f>VLOOKUP(VLOOKUP(DATEVALUE(TEXT(A2437,"m/d/yyyy")),FY24_Temp[],5,FALSE)&amp;TEXT(A2437,"-h"),TempDelta[],4,FALSE)</f>
        <v>0.42900000299726215</v>
      </c>
      <c r="R2437">
        <v>10</v>
      </c>
      <c r="S2437" s="112">
        <v>1500</v>
      </c>
      <c r="T2437" s="5">
        <f>VLOOKUP(TEXT(A2437,"yy-mm")&amp;"-"&amp;IF(AND(WEEKDAY(A2437)&gt;1,WEEKDAY(A2437)&lt;7),"Wkd",TEXT(A2437,"Ddd"))&amp;"-"&amp;TEXT(A2437,"hh"),LoadTable[],3,FALSE)*0.92</f>
        <v>234.80148</v>
      </c>
      <c r="U2437" s="113">
        <f t="shared" si="2644"/>
        <v>23.480148</v>
      </c>
      <c r="V2437">
        <f t="shared" ref="V2437:W2437" si="2646">V2413</f>
        <v>2.9</v>
      </c>
      <c r="W2437">
        <f t="shared" si="2646"/>
        <v>3</v>
      </c>
      <c r="X2437" s="9">
        <v>-65.313023766666106</v>
      </c>
      <c r="Y2437" s="39"/>
    </row>
    <row r="2438" spans="1:25" ht="15" thickBot="1">
      <c r="A2438" s="149">
        <f t="shared" si="2626"/>
        <v>45937.458333329407</v>
      </c>
      <c r="B2438" s="30">
        <f t="shared" si="2581"/>
        <v>8000</v>
      </c>
      <c r="C2438" s="8">
        <v>25000</v>
      </c>
      <c r="D2438" s="187">
        <v>0</v>
      </c>
      <c r="E2438" s="187">
        <v>700</v>
      </c>
      <c r="F2438" s="187">
        <v>15000</v>
      </c>
      <c r="G2438" s="30">
        <f t="shared" si="2582"/>
        <v>2470</v>
      </c>
      <c r="H2438" s="8">
        <f t="shared" si="2582"/>
        <v>25000</v>
      </c>
      <c r="I2438" s="30">
        <f t="shared" si="2583"/>
        <v>8000</v>
      </c>
      <c r="J2438" s="187">
        <v>40000</v>
      </c>
      <c r="K2438" s="30">
        <f t="shared" si="2584"/>
        <v>8000</v>
      </c>
      <c r="L2438" s="187">
        <v>40000</v>
      </c>
      <c r="M2438" s="110">
        <v>9.5</v>
      </c>
      <c r="N2438" s="9">
        <f>VLOOKUP(DATE(YEAR(A2438),MONTH(A2438),DAY(A2438)),FY24_Temp[],3,FALSE)</f>
        <v>17.25</v>
      </c>
      <c r="O2438" s="110">
        <f t="shared" si="2642"/>
        <v>11.5</v>
      </c>
      <c r="P2438" s="110">
        <f t="shared" si="2643"/>
        <v>19.5</v>
      </c>
      <c r="Q2438" s="79">
        <f>VLOOKUP(VLOOKUP(DATEVALUE(TEXT(A2438,"m/d/yyyy")),FY24_Temp[],5,FALSE)&amp;TEXT(A2438,"-h"),TempDelta[],4,FALSE)</f>
        <v>0.33714285918644499</v>
      </c>
      <c r="R2438">
        <v>10</v>
      </c>
      <c r="S2438" s="112">
        <v>1500</v>
      </c>
      <c r="T2438" s="5">
        <f>VLOOKUP(TEXT(A2438,"yy-mm")&amp;"-"&amp;IF(AND(WEEKDAY(A2438)&gt;1,WEEKDAY(A2438)&lt;7),"Wkd",TEXT(A2438,"Ddd"))&amp;"-"&amp;TEXT(A2438,"hh"),LoadTable[],3,FALSE)*0.92</f>
        <v>234.80148</v>
      </c>
      <c r="U2438" s="113">
        <f t="shared" si="2644"/>
        <v>23.480148</v>
      </c>
      <c r="V2438">
        <f t="shared" ref="V2438:W2438" si="2647">V2414</f>
        <v>3.4</v>
      </c>
      <c r="W2438">
        <f t="shared" si="2647"/>
        <v>3</v>
      </c>
      <c r="X2438" s="9">
        <v>-65.390818316666099</v>
      </c>
      <c r="Y2438" s="39"/>
    </row>
    <row r="2439" spans="1:25" ht="15" thickBot="1">
      <c r="A2439" s="149">
        <f t="shared" si="2626"/>
        <v>45937.499999996071</v>
      </c>
      <c r="B2439" s="30">
        <f t="shared" si="2581"/>
        <v>8000</v>
      </c>
      <c r="C2439" s="8">
        <v>25000</v>
      </c>
      <c r="D2439" s="187">
        <v>0</v>
      </c>
      <c r="E2439" s="187">
        <v>700</v>
      </c>
      <c r="F2439" s="187">
        <v>15000</v>
      </c>
      <c r="G2439" s="30">
        <f t="shared" si="2582"/>
        <v>2470</v>
      </c>
      <c r="H2439" s="8">
        <f t="shared" si="2582"/>
        <v>25000</v>
      </c>
      <c r="I2439" s="30">
        <f t="shared" si="2583"/>
        <v>8000</v>
      </c>
      <c r="J2439" s="187">
        <v>40000</v>
      </c>
      <c r="K2439" s="30">
        <f t="shared" si="2584"/>
        <v>8000</v>
      </c>
      <c r="L2439" s="187">
        <v>40000</v>
      </c>
      <c r="M2439" s="110">
        <v>9.5</v>
      </c>
      <c r="N2439" s="9">
        <f>VLOOKUP(DATE(YEAR(A2439),MONTH(A2439),DAY(A2439)),FY24_Temp[],3,FALSE)</f>
        <v>17.25</v>
      </c>
      <c r="O2439" s="110">
        <f t="shared" si="2642"/>
        <v>11.5</v>
      </c>
      <c r="P2439" s="110">
        <f t="shared" si="2643"/>
        <v>19.5</v>
      </c>
      <c r="Q2439" s="79">
        <f>VLOOKUP(VLOOKUP(DATEVALUE(TEXT(A2439,"m/d/yyyy")),FY24_Temp[],5,FALSE)&amp;TEXT(A2439,"-h"),TempDelta[],4,FALSE)</f>
        <v>0.2629999986716679</v>
      </c>
      <c r="R2439">
        <v>10</v>
      </c>
      <c r="S2439" s="112">
        <v>1500</v>
      </c>
      <c r="T2439" s="5">
        <f>VLOOKUP(TEXT(A2439,"yy-mm")&amp;"-"&amp;IF(AND(WEEKDAY(A2439)&gt;1,WEEKDAY(A2439)&lt;7),"Wkd",TEXT(A2439,"Ddd"))&amp;"-"&amp;TEXT(A2439,"hh"),LoadTable[],3,FALSE)*0.92</f>
        <v>234.80148</v>
      </c>
      <c r="U2439" s="113">
        <f t="shared" si="2644"/>
        <v>23.480148</v>
      </c>
      <c r="V2439">
        <f t="shared" ref="V2439:W2439" si="2648">V2415</f>
        <v>3.1</v>
      </c>
      <c r="W2439">
        <f t="shared" si="2648"/>
        <v>2.9</v>
      </c>
      <c r="X2439" s="9">
        <v>-65.468612866666106</v>
      </c>
      <c r="Y2439" s="39"/>
    </row>
    <row r="2440" spans="1:25" ht="15" thickBot="1">
      <c r="A2440" s="149">
        <f t="shared" si="2626"/>
        <v>45937.541666662735</v>
      </c>
      <c r="B2440" s="30">
        <f t="shared" si="2581"/>
        <v>8000</v>
      </c>
      <c r="C2440" s="8">
        <v>25000</v>
      </c>
      <c r="D2440" s="187">
        <v>0</v>
      </c>
      <c r="E2440" s="187">
        <v>700</v>
      </c>
      <c r="F2440" s="187">
        <v>15000</v>
      </c>
      <c r="G2440" s="30">
        <f t="shared" si="2582"/>
        <v>2470</v>
      </c>
      <c r="H2440" s="8">
        <f t="shared" si="2582"/>
        <v>25000</v>
      </c>
      <c r="I2440" s="30">
        <f t="shared" si="2583"/>
        <v>8000</v>
      </c>
      <c r="J2440" s="187">
        <v>40000</v>
      </c>
      <c r="K2440" s="30">
        <f t="shared" si="2584"/>
        <v>8000</v>
      </c>
      <c r="L2440" s="187">
        <v>40000</v>
      </c>
      <c r="M2440" s="110">
        <v>9.5</v>
      </c>
      <c r="N2440" s="9">
        <f>VLOOKUP(DATE(YEAR(A2440),MONTH(A2440),DAY(A2440)),FY24_Temp[],3,FALSE)</f>
        <v>17.25</v>
      </c>
      <c r="O2440" s="110">
        <f t="shared" si="2642"/>
        <v>11.5</v>
      </c>
      <c r="P2440" s="110">
        <f t="shared" si="2643"/>
        <v>19.5</v>
      </c>
      <c r="Q2440" s="79">
        <f>VLOOKUP(VLOOKUP(DATEVALUE(TEXT(A2440,"m/d/yyyy")),FY24_Temp[],5,FALSE)&amp;TEXT(A2440,"-h"),TempDelta[],4,FALSE)</f>
        <v>0.22185713904244558</v>
      </c>
      <c r="R2440">
        <v>10</v>
      </c>
      <c r="S2440" s="112">
        <v>1500</v>
      </c>
      <c r="T2440" s="5">
        <f>VLOOKUP(TEXT(A2440,"yy-mm")&amp;"-"&amp;IF(AND(WEEKDAY(A2440)&gt;1,WEEKDAY(A2440)&lt;7),"Wkd",TEXT(A2440,"Ddd"))&amp;"-"&amp;TEXT(A2440,"hh"),LoadTable[],3,FALSE)*0.92</f>
        <v>234.80148</v>
      </c>
      <c r="U2440" s="113">
        <f t="shared" si="2644"/>
        <v>23.480148</v>
      </c>
      <c r="V2440">
        <f t="shared" ref="V2440:W2440" si="2649">V2416</f>
        <v>3.2</v>
      </c>
      <c r="W2440">
        <f t="shared" si="2649"/>
        <v>2.9</v>
      </c>
      <c r="X2440" s="9">
        <v>-65.546407416666099</v>
      </c>
      <c r="Y2440" s="39"/>
    </row>
    <row r="2441" spans="1:25" ht="15" thickBot="1">
      <c r="A2441" s="149">
        <f t="shared" si="2626"/>
        <v>45937.583333329399</v>
      </c>
      <c r="B2441" s="30">
        <f t="shared" si="2581"/>
        <v>8000</v>
      </c>
      <c r="C2441" s="8">
        <v>25000</v>
      </c>
      <c r="D2441" s="187">
        <v>0</v>
      </c>
      <c r="E2441" s="187">
        <v>700</v>
      </c>
      <c r="F2441" s="187">
        <v>15000</v>
      </c>
      <c r="G2441" s="30">
        <f t="shared" si="2582"/>
        <v>2470</v>
      </c>
      <c r="H2441" s="8">
        <f t="shared" si="2582"/>
        <v>25000</v>
      </c>
      <c r="I2441" s="30">
        <f t="shared" si="2583"/>
        <v>8000</v>
      </c>
      <c r="J2441" s="187">
        <v>40000</v>
      </c>
      <c r="K2441" s="30">
        <f t="shared" si="2584"/>
        <v>8000</v>
      </c>
      <c r="L2441" s="187">
        <v>40000</v>
      </c>
      <c r="M2441" s="110">
        <v>9.5</v>
      </c>
      <c r="N2441" s="9">
        <f>VLOOKUP(DATE(YEAR(A2441),MONTH(A2441),DAY(A2441)),FY24_Temp[],3,FALSE)</f>
        <v>17.25</v>
      </c>
      <c r="O2441" s="110">
        <f t="shared" si="2642"/>
        <v>11.5</v>
      </c>
      <c r="P2441" s="110">
        <f t="shared" si="2643"/>
        <v>19.5</v>
      </c>
      <c r="Q2441" s="79">
        <f>VLOOKUP(VLOOKUP(DATEVALUE(TEXT(A2441,"m/d/yyyy")),FY24_Temp[],5,FALSE)&amp;TEXT(A2441,"-h"),TempDelta[],4,FALSE)</f>
        <v>0.29271428287029266</v>
      </c>
      <c r="R2441">
        <v>10</v>
      </c>
      <c r="S2441" s="112">
        <v>1500</v>
      </c>
      <c r="T2441" s="5">
        <f>VLOOKUP(TEXT(A2441,"yy-mm")&amp;"-"&amp;IF(AND(WEEKDAY(A2441)&gt;1,WEEKDAY(A2441)&lt;7),"Wkd",TEXT(A2441,"Ddd"))&amp;"-"&amp;TEXT(A2441,"hh"),LoadTable[],3,FALSE)*0.92</f>
        <v>234.80148</v>
      </c>
      <c r="U2441" s="113">
        <f t="shared" si="2644"/>
        <v>23.480148</v>
      </c>
      <c r="V2441">
        <f t="shared" ref="V2441:W2441" si="2650">V2417</f>
        <v>3.5</v>
      </c>
      <c r="W2441">
        <f t="shared" si="2650"/>
        <v>2.9</v>
      </c>
      <c r="X2441" s="9">
        <v>-65.624201966666107</v>
      </c>
      <c r="Y2441" s="39"/>
    </row>
    <row r="2442" spans="1:25" ht="15" thickBot="1">
      <c r="A2442" s="149">
        <f t="shared" si="2626"/>
        <v>45937.624999996064</v>
      </c>
      <c r="B2442" s="30">
        <f t="shared" si="2581"/>
        <v>8000</v>
      </c>
      <c r="C2442" s="8">
        <v>25000</v>
      </c>
      <c r="D2442" s="187">
        <v>0</v>
      </c>
      <c r="E2442" s="187">
        <v>700</v>
      </c>
      <c r="F2442" s="187">
        <v>15000</v>
      </c>
      <c r="G2442" s="30">
        <f t="shared" si="2582"/>
        <v>2470</v>
      </c>
      <c r="H2442" s="8">
        <f t="shared" si="2582"/>
        <v>25000</v>
      </c>
      <c r="I2442" s="30">
        <f t="shared" si="2583"/>
        <v>8000</v>
      </c>
      <c r="J2442" s="187">
        <v>40000</v>
      </c>
      <c r="K2442" s="30">
        <f t="shared" si="2584"/>
        <v>8000</v>
      </c>
      <c r="L2442" s="187">
        <v>40000</v>
      </c>
      <c r="M2442" s="110">
        <v>9.5</v>
      </c>
      <c r="N2442" s="9">
        <f>VLOOKUP(DATE(YEAR(A2442),MONTH(A2442),DAY(A2442)),FY24_Temp[],3,FALSE)</f>
        <v>17.25</v>
      </c>
      <c r="O2442" s="110">
        <f t="shared" si="2642"/>
        <v>11.5</v>
      </c>
      <c r="P2442" s="110">
        <f t="shared" si="2643"/>
        <v>19.5</v>
      </c>
      <c r="Q2442" s="79">
        <f>VLOOKUP(VLOOKUP(DATEVALUE(TEXT(A2442,"m/d/yyyy")),FY24_Temp[],5,FALSE)&amp;TEXT(A2442,"-h"),TempDelta[],4,FALSE)</f>
        <v>0.3973571445260729</v>
      </c>
      <c r="R2442">
        <v>10</v>
      </c>
      <c r="S2442" s="112">
        <v>1500</v>
      </c>
      <c r="T2442" s="5">
        <f>VLOOKUP(TEXT(A2442,"yy-mm")&amp;"-"&amp;IF(AND(WEEKDAY(A2442)&gt;1,WEEKDAY(A2442)&lt;7),"Wkd",TEXT(A2442,"Ddd"))&amp;"-"&amp;TEXT(A2442,"hh"),LoadTable[],3,FALSE)*0.92</f>
        <v>234.80148</v>
      </c>
      <c r="U2442" s="113">
        <f t="shared" si="2644"/>
        <v>23.480148</v>
      </c>
      <c r="V2442">
        <f t="shared" ref="V2442:W2442" si="2651">V2418</f>
        <v>3.2</v>
      </c>
      <c r="W2442">
        <f t="shared" si="2651"/>
        <v>2.9</v>
      </c>
      <c r="X2442" s="9">
        <v>-65.7019965166661</v>
      </c>
      <c r="Y2442" s="39"/>
    </row>
    <row r="2443" spans="1:25" ht="15" thickBot="1">
      <c r="A2443" s="149">
        <f t="shared" si="2626"/>
        <v>45937.666666662728</v>
      </c>
      <c r="B2443" s="30">
        <f t="shared" si="2581"/>
        <v>8000</v>
      </c>
      <c r="C2443" s="8">
        <v>25000</v>
      </c>
      <c r="D2443" s="187">
        <v>0</v>
      </c>
      <c r="E2443" s="187">
        <v>700</v>
      </c>
      <c r="F2443" s="187">
        <v>15000</v>
      </c>
      <c r="G2443" s="30">
        <f t="shared" si="2582"/>
        <v>2470</v>
      </c>
      <c r="H2443" s="8">
        <f t="shared" si="2582"/>
        <v>25000</v>
      </c>
      <c r="I2443" s="30">
        <f t="shared" si="2583"/>
        <v>8000</v>
      </c>
      <c r="J2443" s="187">
        <v>40000</v>
      </c>
      <c r="K2443" s="30">
        <f t="shared" si="2584"/>
        <v>8000</v>
      </c>
      <c r="L2443" s="187">
        <v>40000</v>
      </c>
      <c r="M2443" s="110">
        <v>9.5</v>
      </c>
      <c r="N2443" s="9">
        <f>VLOOKUP(DATE(YEAR(A2443),MONTH(A2443),DAY(A2443)),FY24_Temp[],3,FALSE)</f>
        <v>17.25</v>
      </c>
      <c r="O2443" s="110">
        <f t="shared" si="2642"/>
        <v>11.5</v>
      </c>
      <c r="P2443" s="110">
        <f t="shared" si="2643"/>
        <v>19.5</v>
      </c>
      <c r="Q2443" s="79">
        <f>VLOOKUP(VLOOKUP(DATEVALUE(TEXT(A2443,"m/d/yyyy")),FY24_Temp[],5,FALSE)&amp;TEXT(A2443,"-h"),TempDelta[],4,FALSE)</f>
        <v>0.63707143068313599</v>
      </c>
      <c r="R2443">
        <v>10</v>
      </c>
      <c r="S2443" s="112">
        <v>1500</v>
      </c>
      <c r="T2443" s="5">
        <f>VLOOKUP(TEXT(A2443,"yy-mm")&amp;"-"&amp;IF(AND(WEEKDAY(A2443)&gt;1,WEEKDAY(A2443)&lt;7),"Wkd",TEXT(A2443,"Ddd"))&amp;"-"&amp;TEXT(A2443,"hh"),LoadTable[],3,FALSE)*0.92</f>
        <v>234.80148</v>
      </c>
      <c r="U2443" s="113">
        <f t="shared" si="2644"/>
        <v>23.480148</v>
      </c>
      <c r="V2443">
        <f t="shared" ref="V2443:W2443" si="2652">V2419</f>
        <v>3.5</v>
      </c>
      <c r="W2443">
        <f t="shared" si="2652"/>
        <v>3</v>
      </c>
      <c r="X2443" s="9">
        <v>-65.779791066666107</v>
      </c>
      <c r="Y2443" s="39"/>
    </row>
    <row r="2444" spans="1:25" ht="15" thickBot="1">
      <c r="A2444" s="149">
        <f t="shared" si="2626"/>
        <v>45937.708333329392</v>
      </c>
      <c r="B2444" s="30">
        <f t="shared" ref="B2444:B2507" si="2653">B2420</f>
        <v>8000</v>
      </c>
      <c r="C2444" s="8">
        <v>25000</v>
      </c>
      <c r="D2444" s="187">
        <v>0</v>
      </c>
      <c r="E2444" s="187">
        <v>700</v>
      </c>
      <c r="F2444" s="187">
        <v>15000</v>
      </c>
      <c r="G2444" s="30">
        <f t="shared" ref="G2444:H2507" si="2654">G2420</f>
        <v>2470</v>
      </c>
      <c r="H2444" s="8">
        <f t="shared" si="2654"/>
        <v>25000</v>
      </c>
      <c r="I2444" s="30">
        <f t="shared" ref="I2444:I2507" si="2655">I2420</f>
        <v>8000</v>
      </c>
      <c r="J2444" s="187">
        <v>40000</v>
      </c>
      <c r="K2444" s="30">
        <f t="shared" ref="K2444:K2507" si="2656">K2420</f>
        <v>8000</v>
      </c>
      <c r="L2444" s="187">
        <v>40000</v>
      </c>
      <c r="M2444" s="110">
        <v>9.5</v>
      </c>
      <c r="N2444" s="9">
        <f>VLOOKUP(DATE(YEAR(A2444),MONTH(A2444),DAY(A2444)),FY24_Temp[],3,FALSE)</f>
        <v>17.25</v>
      </c>
      <c r="O2444" s="110">
        <f t="shared" si="2642"/>
        <v>11.5</v>
      </c>
      <c r="P2444" s="110">
        <f t="shared" si="2643"/>
        <v>19.5</v>
      </c>
      <c r="Q2444" s="79">
        <f>VLOOKUP(VLOOKUP(DATEVALUE(TEXT(A2444,"m/d/yyyy")),FY24_Temp[],5,FALSE)&amp;TEXT(A2444,"-h"),TempDelta[],4,FALSE)</f>
        <v>0.76450000064713619</v>
      </c>
      <c r="R2444">
        <v>10</v>
      </c>
      <c r="S2444" s="112">
        <v>1500</v>
      </c>
      <c r="T2444" s="5">
        <f>VLOOKUP(TEXT(A2444,"yy-mm")&amp;"-"&amp;IF(AND(WEEKDAY(A2444)&gt;1,WEEKDAY(A2444)&lt;7),"Wkd",TEXT(A2444,"Ddd"))&amp;"-"&amp;TEXT(A2444,"hh"),LoadTable[],3,FALSE)*0.92</f>
        <v>234.80148</v>
      </c>
      <c r="U2444" s="113">
        <f t="shared" si="2644"/>
        <v>23.480148</v>
      </c>
      <c r="V2444">
        <f t="shared" ref="V2444:W2444" si="2657">V2420</f>
        <v>3.6</v>
      </c>
      <c r="W2444">
        <f t="shared" si="2657"/>
        <v>3</v>
      </c>
      <c r="X2444" s="9">
        <v>-65.8575856166661</v>
      </c>
      <c r="Y2444" s="39"/>
    </row>
    <row r="2445" spans="1:25" ht="15" thickBot="1">
      <c r="A2445" s="149">
        <f t="shared" si="2626"/>
        <v>45937.749999996056</v>
      </c>
      <c r="B2445" s="30">
        <f t="shared" si="2653"/>
        <v>5000</v>
      </c>
      <c r="C2445" s="8">
        <v>25000</v>
      </c>
      <c r="D2445" s="187">
        <v>0</v>
      </c>
      <c r="E2445" s="187">
        <v>700</v>
      </c>
      <c r="F2445" s="187">
        <v>15000</v>
      </c>
      <c r="G2445" s="30">
        <f t="shared" si="2654"/>
        <v>2470</v>
      </c>
      <c r="H2445" s="8">
        <f t="shared" si="2654"/>
        <v>25000</v>
      </c>
      <c r="I2445" s="30">
        <f t="shared" si="2655"/>
        <v>5000</v>
      </c>
      <c r="J2445" s="187">
        <v>40000</v>
      </c>
      <c r="K2445" s="30">
        <f t="shared" si="2656"/>
        <v>5000</v>
      </c>
      <c r="L2445" s="187">
        <v>40000</v>
      </c>
      <c r="M2445" s="110">
        <v>9.5</v>
      </c>
      <c r="N2445" s="9">
        <f>VLOOKUP(DATE(YEAR(A2445),MONTH(A2445),DAY(A2445)),FY24_Temp[],3,FALSE)</f>
        <v>17.25</v>
      </c>
      <c r="O2445" s="110">
        <f t="shared" si="2642"/>
        <v>11.5</v>
      </c>
      <c r="P2445" s="110">
        <f t="shared" si="2643"/>
        <v>19.5</v>
      </c>
      <c r="Q2445" s="79">
        <f>VLOOKUP(VLOOKUP(DATEVALUE(TEXT(A2445,"m/d/yyyy")),FY24_Temp[],5,FALSE)&amp;TEXT(A2445,"-h"),TempDelta[],4,FALSE)</f>
        <v>0.91657142128263203</v>
      </c>
      <c r="R2445">
        <v>10</v>
      </c>
      <c r="S2445" s="112">
        <v>1500</v>
      </c>
      <c r="T2445" s="5">
        <f>VLOOKUP(TEXT(A2445,"yy-mm")&amp;"-"&amp;IF(AND(WEEKDAY(A2445)&gt;1,WEEKDAY(A2445)&lt;7),"Wkd",TEXT(A2445,"Ddd"))&amp;"-"&amp;TEXT(A2445,"hh"),LoadTable[],3,FALSE)*0.92</f>
        <v>303.31295999999998</v>
      </c>
      <c r="U2445" s="113">
        <f t="shared" si="2644"/>
        <v>30.331295999999998</v>
      </c>
      <c r="V2445">
        <f t="shared" ref="V2445:W2445" si="2658">V2421</f>
        <v>2.9</v>
      </c>
      <c r="W2445">
        <f t="shared" si="2658"/>
        <v>3</v>
      </c>
      <c r="X2445" s="9">
        <v>-65.935380166666107</v>
      </c>
      <c r="Y2445" s="39"/>
    </row>
    <row r="2446" spans="1:25" ht="15" thickBot="1">
      <c r="A2446" s="149">
        <f t="shared" si="2626"/>
        <v>45937.791666662721</v>
      </c>
      <c r="B2446" s="30">
        <f t="shared" si="2653"/>
        <v>5000</v>
      </c>
      <c r="C2446" s="8">
        <v>25000</v>
      </c>
      <c r="D2446" s="187">
        <v>0</v>
      </c>
      <c r="E2446" s="187">
        <v>700</v>
      </c>
      <c r="F2446" s="187">
        <v>15000</v>
      </c>
      <c r="G2446" s="30">
        <f t="shared" si="2654"/>
        <v>2470</v>
      </c>
      <c r="H2446" s="8">
        <f t="shared" si="2654"/>
        <v>25000</v>
      </c>
      <c r="I2446" s="30">
        <f t="shared" si="2655"/>
        <v>5000</v>
      </c>
      <c r="J2446" s="187">
        <v>40000</v>
      </c>
      <c r="K2446" s="30">
        <f t="shared" si="2656"/>
        <v>5000</v>
      </c>
      <c r="L2446" s="187">
        <v>40000</v>
      </c>
      <c r="M2446" s="110">
        <v>9.5</v>
      </c>
      <c r="N2446" s="9">
        <f>VLOOKUP(DATE(YEAR(A2446),MONTH(A2446),DAY(A2446)),FY24_Temp[],3,FALSE)</f>
        <v>17.25</v>
      </c>
      <c r="O2446" s="110">
        <f t="shared" si="2642"/>
        <v>11.5</v>
      </c>
      <c r="P2446" s="110">
        <f t="shared" si="2643"/>
        <v>19.5</v>
      </c>
      <c r="Q2446" s="79">
        <f>VLOOKUP(VLOOKUP(DATEVALUE(TEXT(A2446,"m/d/yyyy")),FY24_Temp[],5,FALSE)&amp;TEXT(A2446,"-h"),TempDelta[],4,FALSE)</f>
        <v>0.91900000827653072</v>
      </c>
      <c r="R2446">
        <v>10</v>
      </c>
      <c r="S2446" s="112">
        <v>1500</v>
      </c>
      <c r="T2446" s="5">
        <f>VLOOKUP(TEXT(A2446,"yy-mm")&amp;"-"&amp;IF(AND(WEEKDAY(A2446)&gt;1,WEEKDAY(A2446)&lt;7),"Wkd",TEXT(A2446,"Ddd"))&amp;"-"&amp;TEXT(A2446,"hh"),LoadTable[],3,FALSE)*0.92</f>
        <v>303.31295999999998</v>
      </c>
      <c r="U2446" s="113">
        <f t="shared" si="2644"/>
        <v>30.331295999999998</v>
      </c>
      <c r="V2446">
        <f t="shared" ref="V2446:W2446" si="2659">V2422</f>
        <v>3</v>
      </c>
      <c r="W2446">
        <f t="shared" si="2659"/>
        <v>3</v>
      </c>
      <c r="X2446" s="9">
        <v>-66.0131747166661</v>
      </c>
      <c r="Y2446" s="39"/>
    </row>
    <row r="2447" spans="1:25" ht="15" thickBot="1">
      <c r="A2447" s="149">
        <f t="shared" si="2626"/>
        <v>45937.833333329385</v>
      </c>
      <c r="B2447" s="30">
        <f t="shared" si="2653"/>
        <v>5000</v>
      </c>
      <c r="C2447" s="8">
        <v>25000</v>
      </c>
      <c r="D2447" s="187">
        <v>0</v>
      </c>
      <c r="E2447" s="187">
        <v>700</v>
      </c>
      <c r="F2447" s="187">
        <v>15000</v>
      </c>
      <c r="G2447" s="30">
        <f t="shared" si="2654"/>
        <v>2470</v>
      </c>
      <c r="H2447" s="8">
        <f t="shared" si="2654"/>
        <v>25000</v>
      </c>
      <c r="I2447" s="30">
        <f t="shared" si="2655"/>
        <v>5000</v>
      </c>
      <c r="J2447" s="187">
        <v>40000</v>
      </c>
      <c r="K2447" s="30">
        <f t="shared" si="2656"/>
        <v>5000</v>
      </c>
      <c r="L2447" s="187">
        <v>40000</v>
      </c>
      <c r="M2447" s="110">
        <v>9.5</v>
      </c>
      <c r="N2447" s="9">
        <f>VLOOKUP(DATE(YEAR(A2447),MONTH(A2447),DAY(A2447)),FY24_Temp[],3,FALSE)</f>
        <v>17.25</v>
      </c>
      <c r="O2447" s="110">
        <f t="shared" si="2642"/>
        <v>11.5</v>
      </c>
      <c r="P2447" s="110">
        <f t="shared" si="2643"/>
        <v>19.5</v>
      </c>
      <c r="Q2447" s="79">
        <f>VLOOKUP(VLOOKUP(DATEVALUE(TEXT(A2447,"m/d/yyyy")),FY24_Temp[],5,FALSE)&amp;TEXT(A2447,"-h"),TempDelta[],4,FALSE)</f>
        <v>0.93314285363469807</v>
      </c>
      <c r="R2447">
        <v>10</v>
      </c>
      <c r="S2447" s="112">
        <v>1500</v>
      </c>
      <c r="T2447" s="5">
        <f>VLOOKUP(TEXT(A2447,"yy-mm")&amp;"-"&amp;IF(AND(WEEKDAY(A2447)&gt;1,WEEKDAY(A2447)&lt;7),"Wkd",TEXT(A2447,"Ddd"))&amp;"-"&amp;TEXT(A2447,"hh"),LoadTable[],3,FALSE)*0.92</f>
        <v>303.31295999999998</v>
      </c>
      <c r="U2447" s="113">
        <f t="shared" si="2644"/>
        <v>30.331295999999998</v>
      </c>
      <c r="V2447">
        <f t="shared" ref="V2447:W2447" si="2660">V2423</f>
        <v>2.8</v>
      </c>
      <c r="W2447">
        <f t="shared" si="2660"/>
        <v>3.1</v>
      </c>
      <c r="X2447" s="9">
        <v>-66.090969266666093</v>
      </c>
      <c r="Y2447" s="39"/>
    </row>
    <row r="2448" spans="1:25" ht="15" thickBot="1">
      <c r="A2448" s="149">
        <f t="shared" si="2626"/>
        <v>45937.874999996049</v>
      </c>
      <c r="B2448" s="30">
        <f t="shared" si="2653"/>
        <v>5000</v>
      </c>
      <c r="C2448" s="8">
        <v>25000</v>
      </c>
      <c r="D2448" s="187">
        <v>0</v>
      </c>
      <c r="E2448" s="187">
        <v>700</v>
      </c>
      <c r="F2448" s="187">
        <v>15000</v>
      </c>
      <c r="G2448" s="30">
        <f t="shared" si="2654"/>
        <v>2470</v>
      </c>
      <c r="H2448" s="8">
        <f t="shared" si="2654"/>
        <v>25000</v>
      </c>
      <c r="I2448" s="30">
        <f t="shared" si="2655"/>
        <v>5000</v>
      </c>
      <c r="J2448" s="187">
        <v>40000</v>
      </c>
      <c r="K2448" s="30">
        <f t="shared" si="2656"/>
        <v>5000</v>
      </c>
      <c r="L2448" s="187">
        <v>40000</v>
      </c>
      <c r="M2448" s="110">
        <v>9.5</v>
      </c>
      <c r="N2448" s="9">
        <f>VLOOKUP(DATE(YEAR(A2448),MONTH(A2448),DAY(A2448)),FY24_Temp[],3,FALSE)</f>
        <v>17.25</v>
      </c>
      <c r="O2448" s="110">
        <f t="shared" si="2642"/>
        <v>11.5</v>
      </c>
      <c r="P2448" s="110">
        <f t="shared" si="2643"/>
        <v>19.5</v>
      </c>
      <c r="Q2448" s="79">
        <f>VLOOKUP(VLOOKUP(DATEVALUE(TEXT(A2448,"m/d/yyyy")),FY24_Temp[],5,FALSE)&amp;TEXT(A2448,"-h"),TempDelta[],4,FALSE)</f>
        <v>0.92385714820453102</v>
      </c>
      <c r="R2448">
        <v>10</v>
      </c>
      <c r="S2448" s="112">
        <v>1500</v>
      </c>
      <c r="T2448" s="5">
        <f>VLOOKUP(TEXT(A2448,"yy-mm")&amp;"-"&amp;IF(AND(WEEKDAY(A2448)&gt;1,WEEKDAY(A2448)&lt;7),"Wkd",TEXT(A2448,"Ddd"))&amp;"-"&amp;TEXT(A2448,"hh"),LoadTable[],3,FALSE)*0.92</f>
        <v>229.93744000000001</v>
      </c>
      <c r="U2448" s="113">
        <f t="shared" si="2644"/>
        <v>22.993744</v>
      </c>
      <c r="V2448">
        <f t="shared" ref="V2448:W2448" si="2661">V2424</f>
        <v>3.5</v>
      </c>
      <c r="W2448">
        <f t="shared" si="2661"/>
        <v>3.1</v>
      </c>
      <c r="X2448" s="9">
        <v>-66.1687638166661</v>
      </c>
      <c r="Y2448" s="39"/>
    </row>
    <row r="2449" spans="1:25" ht="15" thickBot="1">
      <c r="A2449" s="149">
        <f t="shared" si="2626"/>
        <v>45937.916666662713</v>
      </c>
      <c r="B2449" s="30">
        <f t="shared" si="2653"/>
        <v>5000</v>
      </c>
      <c r="C2449" s="8">
        <v>25000</v>
      </c>
      <c r="D2449" s="187">
        <v>0</v>
      </c>
      <c r="E2449" s="187">
        <v>700</v>
      </c>
      <c r="F2449" s="187">
        <v>15000</v>
      </c>
      <c r="G2449" s="30">
        <f t="shared" si="2654"/>
        <v>2470</v>
      </c>
      <c r="H2449" s="8">
        <f t="shared" si="2654"/>
        <v>25000</v>
      </c>
      <c r="I2449" s="30">
        <f t="shared" si="2655"/>
        <v>5000</v>
      </c>
      <c r="J2449" s="187">
        <v>40000</v>
      </c>
      <c r="K2449" s="30">
        <f t="shared" si="2656"/>
        <v>5000</v>
      </c>
      <c r="L2449" s="187">
        <v>40000</v>
      </c>
      <c r="M2449" s="110">
        <v>9.5</v>
      </c>
      <c r="N2449" s="9">
        <f>VLOOKUP(DATE(YEAR(A2449),MONTH(A2449),DAY(A2449)),FY24_Temp[],3,FALSE)</f>
        <v>17.25</v>
      </c>
      <c r="O2449" s="110">
        <f t="shared" si="2642"/>
        <v>11.5</v>
      </c>
      <c r="P2449" s="110">
        <f t="shared" si="2643"/>
        <v>19.5</v>
      </c>
      <c r="Q2449" s="79">
        <f>VLOOKUP(VLOOKUP(DATEVALUE(TEXT(A2449,"m/d/yyyy")),FY24_Temp[],5,FALSE)&amp;TEXT(A2449,"-h"),TempDelta[],4,FALSE)</f>
        <v>1.1424285514014108</v>
      </c>
      <c r="R2449">
        <v>10</v>
      </c>
      <c r="S2449" s="112">
        <v>1500</v>
      </c>
      <c r="T2449" s="5">
        <f>VLOOKUP(TEXT(A2449,"yy-mm")&amp;"-"&amp;IF(AND(WEEKDAY(A2449)&gt;1,WEEKDAY(A2449)&lt;7),"Wkd",TEXT(A2449,"Ddd"))&amp;"-"&amp;TEXT(A2449,"hh"),LoadTable[],3,FALSE)*0.92</f>
        <v>176.52040000000002</v>
      </c>
      <c r="U2449" s="113">
        <f t="shared" si="2644"/>
        <v>17.652040000000003</v>
      </c>
      <c r="V2449">
        <f t="shared" ref="V2449:W2449" si="2662">V2425</f>
        <v>2.9</v>
      </c>
      <c r="W2449">
        <f t="shared" si="2662"/>
        <v>3.1</v>
      </c>
      <c r="X2449" s="9">
        <v>-66.246558366666093</v>
      </c>
      <c r="Y2449" s="39"/>
    </row>
    <row r="2450" spans="1:25" ht="15" thickBot="1">
      <c r="A2450" s="149">
        <f t="shared" si="2626"/>
        <v>45937.958333329378</v>
      </c>
      <c r="B2450" s="30">
        <f t="shared" si="2653"/>
        <v>5000</v>
      </c>
      <c r="C2450" s="8">
        <v>25000</v>
      </c>
      <c r="D2450" s="187">
        <v>0</v>
      </c>
      <c r="E2450" s="187">
        <v>700</v>
      </c>
      <c r="F2450" s="187">
        <v>15000</v>
      </c>
      <c r="G2450" s="30">
        <f t="shared" si="2654"/>
        <v>2470</v>
      </c>
      <c r="H2450" s="8">
        <f t="shared" si="2654"/>
        <v>25000</v>
      </c>
      <c r="I2450" s="30">
        <f t="shared" si="2655"/>
        <v>5000</v>
      </c>
      <c r="J2450" s="187">
        <v>40000</v>
      </c>
      <c r="K2450" s="30">
        <f t="shared" si="2656"/>
        <v>5000</v>
      </c>
      <c r="L2450" s="187">
        <v>40000</v>
      </c>
      <c r="M2450" s="110">
        <v>9.5</v>
      </c>
      <c r="N2450" s="9">
        <f>VLOOKUP(DATE(YEAR(A2450),MONTH(A2450),DAY(A2450)),FY24_Temp[],3,FALSE)</f>
        <v>17.25</v>
      </c>
      <c r="O2450" s="110">
        <f t="shared" si="2642"/>
        <v>11.5</v>
      </c>
      <c r="P2450" s="110">
        <f t="shared" si="2643"/>
        <v>19.5</v>
      </c>
      <c r="Q2450" s="79">
        <f>VLOOKUP(VLOOKUP(DATEVALUE(TEXT(A2450,"m/d/yyyy")),FY24_Temp[],5,FALSE)&amp;TEXT(A2450,"-h"),TempDelta[],4,FALSE)</f>
        <v>1.2597142798560006</v>
      </c>
      <c r="R2450">
        <v>10</v>
      </c>
      <c r="S2450" s="112">
        <v>1500</v>
      </c>
      <c r="T2450" s="5">
        <f>VLOOKUP(TEXT(A2450,"yy-mm")&amp;"-"&amp;IF(AND(WEEKDAY(A2450)&gt;1,WEEKDAY(A2450)&lt;7),"Wkd",TEXT(A2450,"Ddd"))&amp;"-"&amp;TEXT(A2450,"hh"),LoadTable[],3,FALSE)*0.92</f>
        <v>176.52040000000002</v>
      </c>
      <c r="U2450" s="113">
        <f t="shared" si="2644"/>
        <v>17.652040000000003</v>
      </c>
      <c r="V2450">
        <f t="shared" ref="V2450:W2450" si="2663">V2426</f>
        <v>3.6</v>
      </c>
      <c r="W2450">
        <f t="shared" si="2663"/>
        <v>3.1</v>
      </c>
      <c r="X2450" s="9">
        <v>-66.324352916666101</v>
      </c>
      <c r="Y2450" s="39"/>
    </row>
    <row r="2451" spans="1:25" ht="15" thickBot="1">
      <c r="A2451" s="149">
        <f t="shared" si="2626"/>
        <v>45937.999999996042</v>
      </c>
      <c r="B2451" s="30">
        <f t="shared" si="2653"/>
        <v>5000</v>
      </c>
      <c r="C2451" s="8">
        <v>25000</v>
      </c>
      <c r="D2451" s="187">
        <v>0</v>
      </c>
      <c r="E2451" s="187">
        <v>700</v>
      </c>
      <c r="F2451" s="187">
        <v>15000</v>
      </c>
      <c r="G2451" s="30">
        <f t="shared" si="2654"/>
        <v>2470</v>
      </c>
      <c r="H2451" s="8">
        <f t="shared" si="2654"/>
        <v>25000</v>
      </c>
      <c r="I2451" s="30">
        <f t="shared" si="2655"/>
        <v>5000</v>
      </c>
      <c r="J2451" s="187">
        <v>40000</v>
      </c>
      <c r="K2451" s="30">
        <f t="shared" si="2656"/>
        <v>5000</v>
      </c>
      <c r="L2451" s="187">
        <v>40000</v>
      </c>
      <c r="M2451" s="110">
        <v>9.5</v>
      </c>
      <c r="N2451" s="9">
        <f>VLOOKUP(DATE(YEAR(A2451),MONTH(A2451),DAY(A2451)),FY24_Temp[],3,FALSE)</f>
        <v>17.25</v>
      </c>
      <c r="O2451" s="110">
        <f t="shared" si="2642"/>
        <v>11.5</v>
      </c>
      <c r="P2451" s="110">
        <f t="shared" si="2643"/>
        <v>19.5</v>
      </c>
      <c r="Q2451" s="79">
        <f>VLOOKUP(VLOOKUP(DATEVALUE(TEXT(A2451,"m/d/yyyy")),FY24_Temp[],5,FALSE)&amp;TEXT(A2451,"-h"),TempDelta[],4,FALSE)</f>
        <v>1.3511428662708826</v>
      </c>
      <c r="R2451">
        <v>10</v>
      </c>
      <c r="S2451" s="112">
        <v>1500</v>
      </c>
      <c r="T2451" s="5">
        <f>VLOOKUP(TEXT(A2451,"yy-mm")&amp;"-"&amp;IF(AND(WEEKDAY(A2451)&gt;1,WEEKDAY(A2451)&lt;7),"Wkd",TEXT(A2451,"Ddd"))&amp;"-"&amp;TEXT(A2451,"hh"),LoadTable[],3,FALSE)*0.92</f>
        <v>209.6772</v>
      </c>
      <c r="U2451" s="113">
        <f t="shared" si="2644"/>
        <v>20.96772</v>
      </c>
      <c r="V2451">
        <f t="shared" ref="V2451:W2451" si="2664">V2427</f>
        <v>3</v>
      </c>
      <c r="W2451">
        <f t="shared" si="2664"/>
        <v>3.2</v>
      </c>
      <c r="X2451" s="9">
        <v>-66.402147466666094</v>
      </c>
      <c r="Y2451" s="39"/>
    </row>
    <row r="2452" spans="1:25" ht="15" thickBot="1">
      <c r="A2452" s="149">
        <f t="shared" si="2626"/>
        <v>45938.041666662706</v>
      </c>
      <c r="B2452" s="30">
        <f t="shared" si="2653"/>
        <v>5000</v>
      </c>
      <c r="C2452" s="8">
        <v>25000</v>
      </c>
      <c r="D2452" s="187">
        <v>0</v>
      </c>
      <c r="E2452" s="187">
        <v>700</v>
      </c>
      <c r="F2452" s="187">
        <v>15000</v>
      </c>
      <c r="G2452" s="30">
        <f t="shared" si="2654"/>
        <v>2470</v>
      </c>
      <c r="H2452" s="8">
        <f t="shared" si="2654"/>
        <v>25000</v>
      </c>
      <c r="I2452" s="30">
        <f t="shared" si="2655"/>
        <v>5000</v>
      </c>
      <c r="J2452" s="187">
        <v>40000</v>
      </c>
      <c r="K2452" s="30">
        <f t="shared" si="2656"/>
        <v>5000</v>
      </c>
      <c r="L2452" s="187">
        <v>40000</v>
      </c>
      <c r="M2452" s="110">
        <v>9.5</v>
      </c>
      <c r="N2452" s="9">
        <f>VLOOKUP(DATE(YEAR(A2452),MONTH(A2452),DAY(A2452)),FY24_Temp[],3,FALSE)</f>
        <v>17.25</v>
      </c>
      <c r="O2452" s="110">
        <f t="shared" si="2642"/>
        <v>11.5</v>
      </c>
      <c r="P2452" s="110">
        <f t="shared" si="2643"/>
        <v>19.5</v>
      </c>
      <c r="Q2452" s="79">
        <f>VLOOKUP(VLOOKUP(DATEVALUE(TEXT(A2452,"m/d/yyyy")),FY24_Temp[],5,FALSE)&amp;TEXT(A2452,"-h"),TempDelta[],4,FALSE)</f>
        <v>1.3058571474892753</v>
      </c>
      <c r="R2452">
        <v>10</v>
      </c>
      <c r="S2452" s="112">
        <v>1500</v>
      </c>
      <c r="T2452" s="5">
        <f>VLOOKUP(TEXT(A2452,"yy-mm")&amp;"-"&amp;IF(AND(WEEKDAY(A2452)&gt;1,WEEKDAY(A2452)&lt;7),"Wkd",TEXT(A2452,"Ddd"))&amp;"-"&amp;TEXT(A2452,"hh"),LoadTable[],3,FALSE)*0.92</f>
        <v>209.6772</v>
      </c>
      <c r="U2452" s="113">
        <f t="shared" si="2644"/>
        <v>20.96772</v>
      </c>
      <c r="V2452">
        <f t="shared" ref="V2452:W2452" si="2665">V2428</f>
        <v>2.6</v>
      </c>
      <c r="W2452">
        <f t="shared" si="2665"/>
        <v>3.2</v>
      </c>
      <c r="X2452" s="9">
        <v>-66.479942016666101</v>
      </c>
      <c r="Y2452" s="39"/>
    </row>
    <row r="2453" spans="1:25" ht="15" thickBot="1">
      <c r="A2453" s="149">
        <f t="shared" si="2626"/>
        <v>45938.08333332937</v>
      </c>
      <c r="B2453" s="30">
        <f t="shared" si="2653"/>
        <v>5000</v>
      </c>
      <c r="C2453" s="8">
        <v>25000</v>
      </c>
      <c r="D2453" s="187">
        <v>0</v>
      </c>
      <c r="E2453" s="187">
        <v>700</v>
      </c>
      <c r="F2453" s="187">
        <v>15000</v>
      </c>
      <c r="G2453" s="30">
        <f t="shared" si="2654"/>
        <v>2470</v>
      </c>
      <c r="H2453" s="8">
        <f t="shared" si="2654"/>
        <v>25000</v>
      </c>
      <c r="I2453" s="30">
        <f t="shared" si="2655"/>
        <v>5000</v>
      </c>
      <c r="J2453" s="187">
        <v>40000</v>
      </c>
      <c r="K2453" s="30">
        <f t="shared" si="2656"/>
        <v>5000</v>
      </c>
      <c r="L2453" s="187">
        <v>40000</v>
      </c>
      <c r="M2453" s="110">
        <v>9.5</v>
      </c>
      <c r="N2453" s="9">
        <f>VLOOKUP(DATE(YEAR(A2453),MONTH(A2453),DAY(A2453)),FY24_Temp[],3,FALSE)</f>
        <v>17.25</v>
      </c>
      <c r="O2453" s="110">
        <f t="shared" si="2642"/>
        <v>11.5</v>
      </c>
      <c r="P2453" s="110">
        <f t="shared" si="2643"/>
        <v>19.5</v>
      </c>
      <c r="Q2453" s="79">
        <f>VLOOKUP(VLOOKUP(DATEVALUE(TEXT(A2453,"m/d/yyyy")),FY24_Temp[],5,FALSE)&amp;TEXT(A2453,"-h"),TempDelta[],4,FALSE)</f>
        <v>1.217571428843907</v>
      </c>
      <c r="R2453">
        <v>10</v>
      </c>
      <c r="S2453" s="112">
        <v>1500</v>
      </c>
      <c r="T2453" s="5">
        <f>VLOOKUP(TEXT(A2453,"yy-mm")&amp;"-"&amp;IF(AND(WEEKDAY(A2453)&gt;1,WEEKDAY(A2453)&lt;7),"Wkd",TEXT(A2453,"Ddd"))&amp;"-"&amp;TEXT(A2453,"hh"),LoadTable[],3,FALSE)*0.92</f>
        <v>209.6772</v>
      </c>
      <c r="U2453" s="113">
        <f t="shared" si="2644"/>
        <v>20.96772</v>
      </c>
      <c r="V2453">
        <f t="shared" ref="V2453:W2453" si="2666">V2429</f>
        <v>2.8</v>
      </c>
      <c r="W2453">
        <f t="shared" si="2666"/>
        <v>3.2</v>
      </c>
      <c r="X2453" s="9">
        <v>-66.557736566666094</v>
      </c>
      <c r="Y2453" s="39"/>
    </row>
    <row r="2454" spans="1:25" ht="15" thickBot="1">
      <c r="A2454" s="149">
        <f t="shared" si="2626"/>
        <v>45938.124999996035</v>
      </c>
      <c r="B2454" s="30">
        <f t="shared" si="2653"/>
        <v>5000</v>
      </c>
      <c r="C2454" s="8">
        <v>25000</v>
      </c>
      <c r="D2454" s="187">
        <v>0</v>
      </c>
      <c r="E2454" s="187">
        <v>700</v>
      </c>
      <c r="F2454" s="187">
        <v>15000</v>
      </c>
      <c r="G2454" s="30">
        <f t="shared" si="2654"/>
        <v>2470</v>
      </c>
      <c r="H2454" s="8">
        <f t="shared" si="2654"/>
        <v>25000</v>
      </c>
      <c r="I2454" s="30">
        <f t="shared" si="2655"/>
        <v>5000</v>
      </c>
      <c r="J2454" s="187">
        <v>40000</v>
      </c>
      <c r="K2454" s="30">
        <f t="shared" si="2656"/>
        <v>5000</v>
      </c>
      <c r="L2454" s="187">
        <v>40000</v>
      </c>
      <c r="M2454" s="110">
        <v>9.5</v>
      </c>
      <c r="N2454" s="9">
        <f>VLOOKUP(DATE(YEAR(A2454),MONTH(A2454),DAY(A2454)),FY24_Temp[],3,FALSE)</f>
        <v>17.25</v>
      </c>
      <c r="O2454" s="110">
        <f t="shared" si="2642"/>
        <v>11.5</v>
      </c>
      <c r="P2454" s="110">
        <f t="shared" si="2643"/>
        <v>19.5</v>
      </c>
      <c r="Q2454" s="79">
        <f>VLOOKUP(VLOOKUP(DATEVALUE(TEXT(A2454,"m/d/yyyy")),FY24_Temp[],5,FALSE)&amp;TEXT(A2454,"-h"),TempDelta[],4,FALSE)</f>
        <v>1.1134285586220878</v>
      </c>
      <c r="R2454">
        <v>10</v>
      </c>
      <c r="S2454" s="112">
        <v>1500</v>
      </c>
      <c r="T2454" s="5">
        <f>VLOOKUP(TEXT(A2454,"yy-mm")&amp;"-"&amp;IF(AND(WEEKDAY(A2454)&gt;1,WEEKDAY(A2454)&lt;7),"Wkd",TEXT(A2454,"Ddd"))&amp;"-"&amp;TEXT(A2454,"hh"),LoadTable[],3,FALSE)*0.92</f>
        <v>209.6772</v>
      </c>
      <c r="U2454" s="113">
        <f t="shared" si="2644"/>
        <v>20.96772</v>
      </c>
      <c r="V2454">
        <f t="shared" ref="V2454:W2454" si="2667">V2430</f>
        <v>2.7</v>
      </c>
      <c r="W2454">
        <f t="shared" si="2667"/>
        <v>3.2</v>
      </c>
      <c r="X2454" s="9">
        <v>-66.635531116666101</v>
      </c>
      <c r="Y2454" s="39"/>
    </row>
    <row r="2455" spans="1:25" ht="15" thickBot="1">
      <c r="A2455" s="149">
        <f t="shared" si="2626"/>
        <v>45938.166666662699</v>
      </c>
      <c r="B2455" s="30">
        <f t="shared" si="2653"/>
        <v>5000</v>
      </c>
      <c r="C2455" s="8">
        <v>25000</v>
      </c>
      <c r="D2455" s="187">
        <v>0</v>
      </c>
      <c r="E2455" s="187">
        <v>700</v>
      </c>
      <c r="F2455" s="187">
        <v>15000</v>
      </c>
      <c r="G2455" s="30">
        <f t="shared" si="2654"/>
        <v>2470</v>
      </c>
      <c r="H2455" s="8">
        <f t="shared" si="2654"/>
        <v>25000</v>
      </c>
      <c r="I2455" s="30">
        <f t="shared" si="2655"/>
        <v>5000</v>
      </c>
      <c r="J2455" s="187">
        <v>40000</v>
      </c>
      <c r="K2455" s="30">
        <f t="shared" si="2656"/>
        <v>5000</v>
      </c>
      <c r="L2455" s="187">
        <v>40000</v>
      </c>
      <c r="M2455" s="110">
        <v>9.5</v>
      </c>
      <c r="N2455" s="9">
        <f>VLOOKUP(DATE(YEAR(A2455),MONTH(A2455),DAY(A2455)),FY24_Temp[],3,FALSE)</f>
        <v>17.25</v>
      </c>
      <c r="O2455" s="110">
        <f t="shared" si="2642"/>
        <v>11.5</v>
      </c>
      <c r="P2455" s="110">
        <f t="shared" si="2643"/>
        <v>19.5</v>
      </c>
      <c r="Q2455" s="79">
        <f>VLOOKUP(VLOOKUP(DATEVALUE(TEXT(A2455,"m/d/yyyy")),FY24_Temp[],5,FALSE)&amp;TEXT(A2455,"-h"),TempDelta[],4,FALSE)</f>
        <v>1.0284285715648107</v>
      </c>
      <c r="R2455">
        <v>10</v>
      </c>
      <c r="S2455" s="112">
        <v>1500</v>
      </c>
      <c r="T2455" s="5">
        <f>VLOOKUP(TEXT(A2455,"yy-mm")&amp;"-"&amp;IF(AND(WEEKDAY(A2455)&gt;1,WEEKDAY(A2455)&lt;7),"Wkd",TEXT(A2455,"Ddd"))&amp;"-"&amp;TEXT(A2455,"hh"),LoadTable[],3,FALSE)*0.92</f>
        <v>209.6772</v>
      </c>
      <c r="U2455" s="113">
        <f t="shared" si="2644"/>
        <v>20.96772</v>
      </c>
      <c r="V2455">
        <f t="shared" ref="V2455:W2455" si="2668">V2431</f>
        <v>3</v>
      </c>
      <c r="W2455">
        <f t="shared" si="2668"/>
        <v>3.1</v>
      </c>
      <c r="X2455" s="9">
        <v>-66.713325666666094</v>
      </c>
      <c r="Y2455" s="39"/>
    </row>
    <row r="2456" spans="1:25" ht="15" thickBot="1">
      <c r="A2456" s="149">
        <f t="shared" si="2626"/>
        <v>45938.208333329363</v>
      </c>
      <c r="B2456" s="30">
        <f t="shared" si="2653"/>
        <v>5000</v>
      </c>
      <c r="C2456" s="8">
        <v>25000</v>
      </c>
      <c r="D2456" s="187">
        <v>0</v>
      </c>
      <c r="E2456" s="187">
        <v>700</v>
      </c>
      <c r="F2456" s="187">
        <v>15000</v>
      </c>
      <c r="G2456" s="30">
        <f t="shared" si="2654"/>
        <v>2470</v>
      </c>
      <c r="H2456" s="8">
        <f t="shared" si="2654"/>
        <v>25000</v>
      </c>
      <c r="I2456" s="30">
        <f t="shared" si="2655"/>
        <v>5000</v>
      </c>
      <c r="J2456" s="187">
        <v>40000</v>
      </c>
      <c r="K2456" s="30">
        <f t="shared" si="2656"/>
        <v>5000</v>
      </c>
      <c r="L2456" s="187">
        <v>40000</v>
      </c>
      <c r="M2456" s="110">
        <v>9.5</v>
      </c>
      <c r="N2456" s="9">
        <f>VLOOKUP(DATE(YEAR(A2456),MONTH(A2456),DAY(A2456)),FY24_Temp[],3,FALSE)</f>
        <v>17.25</v>
      </c>
      <c r="O2456" s="110">
        <f t="shared" si="2642"/>
        <v>11.5</v>
      </c>
      <c r="P2456" s="110">
        <f t="shared" si="2643"/>
        <v>19.5</v>
      </c>
      <c r="Q2456" s="79">
        <f>VLOOKUP(VLOOKUP(DATEVALUE(TEXT(A2456,"m/d/yyyy")),FY24_Temp[],5,FALSE)&amp;TEXT(A2456,"-h"),TempDelta[],4,FALSE)</f>
        <v>1.0574285643441337</v>
      </c>
      <c r="R2456">
        <v>10</v>
      </c>
      <c r="S2456" s="112">
        <v>1500</v>
      </c>
      <c r="T2456" s="5">
        <f>VLOOKUP(TEXT(A2456,"yy-mm")&amp;"-"&amp;IF(AND(WEEKDAY(A2456)&gt;1,WEEKDAY(A2456)&lt;7),"Wkd",TEXT(A2456,"Ddd"))&amp;"-"&amp;TEXT(A2456,"hh"),LoadTable[],3,FALSE)*0.92</f>
        <v>209.6772</v>
      </c>
      <c r="U2456" s="113">
        <f t="shared" si="2644"/>
        <v>20.96772</v>
      </c>
      <c r="V2456">
        <f t="shared" ref="V2456:W2456" si="2669">V2432</f>
        <v>2.9</v>
      </c>
      <c r="W2456">
        <f t="shared" si="2669"/>
        <v>3.1</v>
      </c>
      <c r="X2456" s="9">
        <v>-66.791120216666101</v>
      </c>
      <c r="Y2456" s="39"/>
    </row>
    <row r="2457" spans="1:25" ht="15" thickBot="1">
      <c r="A2457" s="149">
        <f t="shared" si="2626"/>
        <v>45938.249999996027</v>
      </c>
      <c r="B2457" s="30">
        <f t="shared" si="2653"/>
        <v>8000</v>
      </c>
      <c r="C2457" s="8">
        <v>25000</v>
      </c>
      <c r="D2457" s="187">
        <v>0</v>
      </c>
      <c r="E2457" s="187">
        <v>700</v>
      </c>
      <c r="F2457" s="187">
        <v>15000</v>
      </c>
      <c r="G2457" s="30">
        <f t="shared" si="2654"/>
        <v>2470</v>
      </c>
      <c r="H2457" s="8">
        <f t="shared" si="2654"/>
        <v>25000</v>
      </c>
      <c r="I2457" s="30">
        <f t="shared" si="2655"/>
        <v>8000</v>
      </c>
      <c r="J2457" s="187">
        <v>40000</v>
      </c>
      <c r="K2457" s="30">
        <f t="shared" si="2656"/>
        <v>8000</v>
      </c>
      <c r="L2457" s="187">
        <v>40000</v>
      </c>
      <c r="M2457" s="110">
        <v>9.5</v>
      </c>
      <c r="N2457" s="9">
        <f>VLOOKUP(DATE(YEAR(A2457),MONTH(A2457),DAY(A2457)),FY24_Temp[],3,FALSE)</f>
        <v>17.25</v>
      </c>
      <c r="O2457" s="110">
        <f t="shared" si="2642"/>
        <v>11.5</v>
      </c>
      <c r="P2457" s="110">
        <f t="shared" si="2643"/>
        <v>19.5</v>
      </c>
      <c r="Q2457" s="79">
        <f>VLOOKUP(VLOOKUP(DATEVALUE(TEXT(A2457,"m/d/yyyy")),FY24_Temp[],5,FALSE)&amp;TEXT(A2457,"-h"),TempDelta[],4,FALSE)</f>
        <v>0.9115714345659528</v>
      </c>
      <c r="R2457">
        <v>10</v>
      </c>
      <c r="S2457" s="112">
        <v>1500</v>
      </c>
      <c r="T2457" s="5">
        <f>VLOOKUP(TEXT(A2457,"yy-mm")&amp;"-"&amp;IF(AND(WEEKDAY(A2457)&gt;1,WEEKDAY(A2457)&lt;7),"Wkd",TEXT(A2457,"Ddd"))&amp;"-"&amp;TEXT(A2457,"hh"),LoadTable[],3,FALSE)*0.92</f>
        <v>209.6772</v>
      </c>
      <c r="U2457" s="113">
        <f t="shared" si="2644"/>
        <v>20.96772</v>
      </c>
      <c r="V2457">
        <f t="shared" ref="V2457:W2457" si="2670">V2433</f>
        <v>2.5</v>
      </c>
      <c r="W2457">
        <f t="shared" si="2670"/>
        <v>3.1</v>
      </c>
      <c r="X2457" s="9">
        <v>-66.868914766666094</v>
      </c>
      <c r="Y2457" s="39"/>
    </row>
    <row r="2458" spans="1:25" ht="15" thickBot="1">
      <c r="A2458" s="149">
        <f t="shared" si="2626"/>
        <v>45938.291666662692</v>
      </c>
      <c r="B2458" s="30">
        <f t="shared" si="2653"/>
        <v>8000</v>
      </c>
      <c r="C2458" s="8">
        <v>25000</v>
      </c>
      <c r="D2458" s="187">
        <v>0</v>
      </c>
      <c r="E2458" s="187">
        <v>700</v>
      </c>
      <c r="F2458" s="187">
        <v>15000</v>
      </c>
      <c r="G2458" s="30">
        <f t="shared" si="2654"/>
        <v>2470</v>
      </c>
      <c r="H2458" s="8">
        <f t="shared" si="2654"/>
        <v>25000</v>
      </c>
      <c r="I2458" s="30">
        <f t="shared" si="2655"/>
        <v>8000</v>
      </c>
      <c r="J2458" s="187">
        <v>40000</v>
      </c>
      <c r="K2458" s="30">
        <f t="shared" si="2656"/>
        <v>8000</v>
      </c>
      <c r="L2458" s="187">
        <v>40000</v>
      </c>
      <c r="M2458" s="110">
        <v>9.5</v>
      </c>
      <c r="N2458" s="9">
        <f>VLOOKUP(DATE(YEAR(A2458),MONTH(A2458),DAY(A2458)),FY24_Temp[],3,FALSE)</f>
        <v>17.25</v>
      </c>
      <c r="O2458" s="110">
        <f t="shared" si="2642"/>
        <v>11.5</v>
      </c>
      <c r="P2458" s="110">
        <f t="shared" si="2643"/>
        <v>19.5</v>
      </c>
      <c r="Q2458" s="79">
        <f>VLOOKUP(VLOOKUP(DATEVALUE(TEXT(A2458,"m/d/yyyy")),FY24_Temp[],5,FALSE)&amp;TEXT(A2458,"-h"),TempDelta[],4,FALSE)</f>
        <v>0.73142857210976742</v>
      </c>
      <c r="R2458">
        <v>10</v>
      </c>
      <c r="S2458" s="112">
        <v>1500</v>
      </c>
      <c r="T2458" s="5">
        <f>VLOOKUP(TEXT(A2458,"yy-mm")&amp;"-"&amp;IF(AND(WEEKDAY(A2458)&gt;1,WEEKDAY(A2458)&lt;7),"Wkd",TEXT(A2458,"Ddd"))&amp;"-"&amp;TEXT(A2458,"hh"),LoadTable[],3,FALSE)*0.92</f>
        <v>234.80148</v>
      </c>
      <c r="U2458" s="113">
        <f t="shared" si="2644"/>
        <v>23.480148</v>
      </c>
      <c r="V2458">
        <f t="shared" ref="V2458:W2458" si="2671">V2434</f>
        <v>2.5</v>
      </c>
      <c r="W2458">
        <f t="shared" si="2671"/>
        <v>3.1</v>
      </c>
      <c r="X2458" s="9">
        <v>-66.946709316666102</v>
      </c>
      <c r="Y2458" s="39"/>
    </row>
    <row r="2459" spans="1:25" ht="15" thickBot="1">
      <c r="A2459" s="149">
        <f t="shared" si="2626"/>
        <v>45938.333333329356</v>
      </c>
      <c r="B2459" s="30">
        <f t="shared" si="2653"/>
        <v>8000</v>
      </c>
      <c r="C2459" s="8">
        <v>25000</v>
      </c>
      <c r="D2459" s="187">
        <v>0</v>
      </c>
      <c r="E2459" s="187">
        <v>700</v>
      </c>
      <c r="F2459" s="187">
        <v>15000</v>
      </c>
      <c r="G2459" s="30">
        <f t="shared" si="2654"/>
        <v>2470</v>
      </c>
      <c r="H2459" s="8">
        <f t="shared" si="2654"/>
        <v>25000</v>
      </c>
      <c r="I2459" s="30">
        <f t="shared" si="2655"/>
        <v>8000</v>
      </c>
      <c r="J2459" s="187">
        <v>40000</v>
      </c>
      <c r="K2459" s="30">
        <f t="shared" si="2656"/>
        <v>8000</v>
      </c>
      <c r="L2459" s="187">
        <v>40000</v>
      </c>
      <c r="M2459" s="110">
        <v>9.5</v>
      </c>
      <c r="N2459" s="9">
        <f>VLOOKUP(DATE(YEAR(A2459),MONTH(A2459),DAY(A2459)),FY24_Temp[],3,FALSE)</f>
        <v>17.25</v>
      </c>
      <c r="O2459" s="110">
        <f t="shared" si="2642"/>
        <v>11.5</v>
      </c>
      <c r="P2459" s="110">
        <f t="shared" si="2643"/>
        <v>19.5</v>
      </c>
      <c r="Q2459" s="79">
        <f>VLOOKUP(VLOOKUP(DATEVALUE(TEXT(A2459,"m/d/yyyy")),FY24_Temp[],5,FALSE)&amp;TEXT(A2459,"-h"),TempDelta[],4,FALSE)</f>
        <v>0.62228572368621826</v>
      </c>
      <c r="R2459">
        <v>10</v>
      </c>
      <c r="S2459" s="112">
        <v>1500</v>
      </c>
      <c r="T2459" s="5">
        <f>VLOOKUP(TEXT(A2459,"yy-mm")&amp;"-"&amp;IF(AND(WEEKDAY(A2459)&gt;1,WEEKDAY(A2459)&lt;7),"Wkd",TEXT(A2459,"Ddd"))&amp;"-"&amp;TEXT(A2459,"hh"),LoadTable[],3,FALSE)*0.92</f>
        <v>234.80148</v>
      </c>
      <c r="U2459" s="113">
        <f t="shared" si="2644"/>
        <v>23.480148</v>
      </c>
      <c r="V2459">
        <f t="shared" ref="V2459:W2459" si="2672">V2435</f>
        <v>3.2</v>
      </c>
      <c r="W2459">
        <f t="shared" si="2672"/>
        <v>3</v>
      </c>
      <c r="X2459" s="9">
        <v>-67.024503866666095</v>
      </c>
      <c r="Y2459" s="39"/>
    </row>
    <row r="2460" spans="1:25" ht="15" thickBot="1">
      <c r="A2460" s="149">
        <f t="shared" si="2626"/>
        <v>45938.37499999602</v>
      </c>
      <c r="B2460" s="30">
        <f t="shared" si="2653"/>
        <v>8000</v>
      </c>
      <c r="C2460" s="8">
        <v>25000</v>
      </c>
      <c r="D2460" s="187">
        <v>0</v>
      </c>
      <c r="E2460" s="187">
        <v>700</v>
      </c>
      <c r="F2460" s="187">
        <v>15000</v>
      </c>
      <c r="G2460" s="30">
        <f t="shared" si="2654"/>
        <v>2470</v>
      </c>
      <c r="H2460" s="8">
        <f t="shared" si="2654"/>
        <v>25000</v>
      </c>
      <c r="I2460" s="30">
        <f t="shared" si="2655"/>
        <v>8000</v>
      </c>
      <c r="J2460" s="187">
        <v>40000</v>
      </c>
      <c r="K2460" s="30">
        <f t="shared" si="2656"/>
        <v>8000</v>
      </c>
      <c r="L2460" s="187">
        <v>40000</v>
      </c>
      <c r="M2460" s="110">
        <v>9.5</v>
      </c>
      <c r="N2460" s="9">
        <f>VLOOKUP(DATE(YEAR(A2460),MONTH(A2460),DAY(A2460)),FY24_Temp[],3,FALSE)</f>
        <v>17.25</v>
      </c>
      <c r="O2460" s="110">
        <f t="shared" si="2642"/>
        <v>11.5</v>
      </c>
      <c r="P2460" s="110">
        <f t="shared" si="2643"/>
        <v>19.5</v>
      </c>
      <c r="Q2460" s="79">
        <f>VLOOKUP(VLOOKUP(DATEVALUE(TEXT(A2460,"m/d/yyyy")),FY24_Temp[],5,FALSE)&amp;TEXT(A2460,"-h"),TempDelta[],4,FALSE)</f>
        <v>0.53400000504084999</v>
      </c>
      <c r="R2460">
        <v>10</v>
      </c>
      <c r="S2460" s="112">
        <v>1500</v>
      </c>
      <c r="T2460" s="5">
        <f>VLOOKUP(TEXT(A2460,"yy-mm")&amp;"-"&amp;IF(AND(WEEKDAY(A2460)&gt;1,WEEKDAY(A2460)&lt;7),"Wkd",TEXT(A2460,"Ddd"))&amp;"-"&amp;TEXT(A2460,"hh"),LoadTable[],3,FALSE)*0.92</f>
        <v>234.80148</v>
      </c>
      <c r="U2460" s="113">
        <f t="shared" si="2644"/>
        <v>23.480148</v>
      </c>
      <c r="V2460">
        <f t="shared" ref="V2460:W2460" si="2673">V2436</f>
        <v>2.9</v>
      </c>
      <c r="W2460">
        <f t="shared" si="2673"/>
        <v>3</v>
      </c>
      <c r="X2460" s="9">
        <v>-67.102298416666102</v>
      </c>
      <c r="Y2460" s="39"/>
    </row>
    <row r="2461" spans="1:25" ht="15" thickBot="1">
      <c r="A2461" s="149">
        <f t="shared" si="2626"/>
        <v>45938.416666662684</v>
      </c>
      <c r="B2461" s="30">
        <f t="shared" si="2653"/>
        <v>8000</v>
      </c>
      <c r="C2461" s="8">
        <v>25000</v>
      </c>
      <c r="D2461" s="187">
        <v>0</v>
      </c>
      <c r="E2461" s="187">
        <v>700</v>
      </c>
      <c r="F2461" s="187">
        <v>15000</v>
      </c>
      <c r="G2461" s="30">
        <f t="shared" si="2654"/>
        <v>2470</v>
      </c>
      <c r="H2461" s="8">
        <f t="shared" si="2654"/>
        <v>25000</v>
      </c>
      <c r="I2461" s="30">
        <f t="shared" si="2655"/>
        <v>8000</v>
      </c>
      <c r="J2461" s="187">
        <v>40000</v>
      </c>
      <c r="K2461" s="30">
        <f t="shared" si="2656"/>
        <v>8000</v>
      </c>
      <c r="L2461" s="187">
        <v>40000</v>
      </c>
      <c r="M2461" s="110">
        <v>9.5</v>
      </c>
      <c r="N2461" s="9">
        <f>VLOOKUP(DATE(YEAR(A2461),MONTH(A2461),DAY(A2461)),FY24_Temp[],3,FALSE)</f>
        <v>17.25</v>
      </c>
      <c r="O2461" s="110">
        <f t="shared" si="2642"/>
        <v>11.5</v>
      </c>
      <c r="P2461" s="110">
        <f t="shared" si="2643"/>
        <v>19.5</v>
      </c>
      <c r="Q2461" s="79">
        <f>VLOOKUP(VLOOKUP(DATEVALUE(TEXT(A2461,"m/d/yyyy")),FY24_Temp[],5,FALSE)&amp;TEXT(A2461,"-h"),TempDelta[],4,FALSE)</f>
        <v>0.42900000299726215</v>
      </c>
      <c r="R2461">
        <v>10</v>
      </c>
      <c r="S2461" s="112">
        <v>1500</v>
      </c>
      <c r="T2461" s="5">
        <f>VLOOKUP(TEXT(A2461,"yy-mm")&amp;"-"&amp;IF(AND(WEEKDAY(A2461)&gt;1,WEEKDAY(A2461)&lt;7),"Wkd",TEXT(A2461,"Ddd"))&amp;"-"&amp;TEXT(A2461,"hh"),LoadTable[],3,FALSE)*0.92</f>
        <v>234.80148</v>
      </c>
      <c r="U2461" s="113">
        <f t="shared" si="2644"/>
        <v>23.480148</v>
      </c>
      <c r="V2461">
        <f t="shared" ref="V2461:W2461" si="2674">V2437</f>
        <v>2.9</v>
      </c>
      <c r="W2461">
        <f t="shared" si="2674"/>
        <v>3</v>
      </c>
      <c r="X2461" s="9">
        <v>-67.180092966666095</v>
      </c>
      <c r="Y2461" s="39"/>
    </row>
    <row r="2462" spans="1:25" ht="15" thickBot="1">
      <c r="A2462" s="149">
        <f t="shared" si="2626"/>
        <v>45938.458333329349</v>
      </c>
      <c r="B2462" s="30">
        <f t="shared" si="2653"/>
        <v>8000</v>
      </c>
      <c r="C2462" s="8">
        <v>25000</v>
      </c>
      <c r="D2462" s="187">
        <v>0</v>
      </c>
      <c r="E2462" s="187">
        <v>700</v>
      </c>
      <c r="F2462" s="187">
        <v>15000</v>
      </c>
      <c r="G2462" s="30">
        <f t="shared" si="2654"/>
        <v>2470</v>
      </c>
      <c r="H2462" s="8">
        <f t="shared" si="2654"/>
        <v>25000</v>
      </c>
      <c r="I2462" s="30">
        <f t="shared" si="2655"/>
        <v>8000</v>
      </c>
      <c r="J2462" s="187">
        <v>40000</v>
      </c>
      <c r="K2462" s="30">
        <f t="shared" si="2656"/>
        <v>8000</v>
      </c>
      <c r="L2462" s="187">
        <v>40000</v>
      </c>
      <c r="M2462" s="110">
        <v>9.5</v>
      </c>
      <c r="N2462" s="9">
        <f>VLOOKUP(DATE(YEAR(A2462),MONTH(A2462),DAY(A2462)),FY24_Temp[],3,FALSE)</f>
        <v>17.25</v>
      </c>
      <c r="O2462" s="110">
        <f t="shared" si="2642"/>
        <v>11.5</v>
      </c>
      <c r="P2462" s="110">
        <f t="shared" si="2643"/>
        <v>19.5</v>
      </c>
      <c r="Q2462" s="79">
        <f>VLOOKUP(VLOOKUP(DATEVALUE(TEXT(A2462,"m/d/yyyy")),FY24_Temp[],5,FALSE)&amp;TEXT(A2462,"-h"),TempDelta[],4,FALSE)</f>
        <v>0.33714285918644499</v>
      </c>
      <c r="R2462">
        <v>10</v>
      </c>
      <c r="S2462" s="112">
        <v>1500</v>
      </c>
      <c r="T2462" s="5">
        <f>VLOOKUP(TEXT(A2462,"yy-mm")&amp;"-"&amp;IF(AND(WEEKDAY(A2462)&gt;1,WEEKDAY(A2462)&lt;7),"Wkd",TEXT(A2462,"Ddd"))&amp;"-"&amp;TEXT(A2462,"hh"),LoadTable[],3,FALSE)*0.92</f>
        <v>234.80148</v>
      </c>
      <c r="U2462" s="113">
        <f t="shared" si="2644"/>
        <v>23.480148</v>
      </c>
      <c r="V2462">
        <f t="shared" ref="V2462:W2462" si="2675">V2438</f>
        <v>3.4</v>
      </c>
      <c r="W2462">
        <f t="shared" si="2675"/>
        <v>3</v>
      </c>
      <c r="X2462" s="9">
        <v>-67.257887516666102</v>
      </c>
      <c r="Y2462" s="39"/>
    </row>
    <row r="2463" spans="1:25" ht="15" thickBot="1">
      <c r="A2463" s="149">
        <f t="shared" si="2626"/>
        <v>45938.499999996013</v>
      </c>
      <c r="B2463" s="30">
        <f t="shared" si="2653"/>
        <v>8000</v>
      </c>
      <c r="C2463" s="8">
        <v>25000</v>
      </c>
      <c r="D2463" s="187">
        <v>0</v>
      </c>
      <c r="E2463" s="187">
        <v>700</v>
      </c>
      <c r="F2463" s="187">
        <v>15000</v>
      </c>
      <c r="G2463" s="30">
        <f t="shared" si="2654"/>
        <v>2470</v>
      </c>
      <c r="H2463" s="8">
        <f t="shared" si="2654"/>
        <v>25000</v>
      </c>
      <c r="I2463" s="30">
        <f t="shared" si="2655"/>
        <v>8000</v>
      </c>
      <c r="J2463" s="187">
        <v>40000</v>
      </c>
      <c r="K2463" s="30">
        <f t="shared" si="2656"/>
        <v>8000</v>
      </c>
      <c r="L2463" s="187">
        <v>40000</v>
      </c>
      <c r="M2463" s="110">
        <v>9.5</v>
      </c>
      <c r="N2463" s="9">
        <f>VLOOKUP(DATE(YEAR(A2463),MONTH(A2463),DAY(A2463)),FY24_Temp[],3,FALSE)</f>
        <v>17.25</v>
      </c>
      <c r="O2463" s="110">
        <f t="shared" si="2642"/>
        <v>11.5</v>
      </c>
      <c r="P2463" s="110">
        <f t="shared" si="2643"/>
        <v>19.5</v>
      </c>
      <c r="Q2463" s="79">
        <f>VLOOKUP(VLOOKUP(DATEVALUE(TEXT(A2463,"m/d/yyyy")),FY24_Temp[],5,FALSE)&amp;TEXT(A2463,"-h"),TempDelta[],4,FALSE)</f>
        <v>0.2629999986716679</v>
      </c>
      <c r="R2463">
        <v>10</v>
      </c>
      <c r="S2463" s="112">
        <v>1500</v>
      </c>
      <c r="T2463" s="5">
        <f>VLOOKUP(TEXT(A2463,"yy-mm")&amp;"-"&amp;IF(AND(WEEKDAY(A2463)&gt;1,WEEKDAY(A2463)&lt;7),"Wkd",TEXT(A2463,"Ddd"))&amp;"-"&amp;TEXT(A2463,"hh"),LoadTable[],3,FALSE)*0.92</f>
        <v>234.80148</v>
      </c>
      <c r="U2463" s="113">
        <f t="shared" si="2644"/>
        <v>23.480148</v>
      </c>
      <c r="V2463">
        <f t="shared" ref="V2463:W2463" si="2676">V2439</f>
        <v>3.1</v>
      </c>
      <c r="W2463">
        <f t="shared" si="2676"/>
        <v>2.9</v>
      </c>
      <c r="X2463" s="9">
        <v>-67.335682066666095</v>
      </c>
      <c r="Y2463" s="39"/>
    </row>
    <row r="2464" spans="1:25" ht="15" thickBot="1">
      <c r="A2464" s="149">
        <f t="shared" si="2626"/>
        <v>45938.541666662677</v>
      </c>
      <c r="B2464" s="30">
        <f t="shared" si="2653"/>
        <v>8000</v>
      </c>
      <c r="C2464" s="8">
        <v>25000</v>
      </c>
      <c r="D2464" s="187">
        <v>0</v>
      </c>
      <c r="E2464" s="187">
        <v>700</v>
      </c>
      <c r="F2464" s="187">
        <v>15000</v>
      </c>
      <c r="G2464" s="30">
        <f t="shared" si="2654"/>
        <v>2470</v>
      </c>
      <c r="H2464" s="8">
        <f t="shared" si="2654"/>
        <v>25000</v>
      </c>
      <c r="I2464" s="30">
        <f t="shared" si="2655"/>
        <v>8000</v>
      </c>
      <c r="J2464" s="187">
        <v>40000</v>
      </c>
      <c r="K2464" s="30">
        <f t="shared" si="2656"/>
        <v>8000</v>
      </c>
      <c r="L2464" s="187">
        <v>40000</v>
      </c>
      <c r="M2464" s="110">
        <v>9.5</v>
      </c>
      <c r="N2464" s="9">
        <f>VLOOKUP(DATE(YEAR(A2464),MONTH(A2464),DAY(A2464)),FY24_Temp[],3,FALSE)</f>
        <v>17.25</v>
      </c>
      <c r="O2464" s="110">
        <f t="shared" si="2642"/>
        <v>11.5</v>
      </c>
      <c r="P2464" s="110">
        <f t="shared" si="2643"/>
        <v>19.5</v>
      </c>
      <c r="Q2464" s="79">
        <f>VLOOKUP(VLOOKUP(DATEVALUE(TEXT(A2464,"m/d/yyyy")),FY24_Temp[],5,FALSE)&amp;TEXT(A2464,"-h"),TempDelta[],4,FALSE)</f>
        <v>0.22185713904244558</v>
      </c>
      <c r="R2464">
        <v>10</v>
      </c>
      <c r="S2464" s="112">
        <v>1500</v>
      </c>
      <c r="T2464" s="5">
        <f>VLOOKUP(TEXT(A2464,"yy-mm")&amp;"-"&amp;IF(AND(WEEKDAY(A2464)&gt;1,WEEKDAY(A2464)&lt;7),"Wkd",TEXT(A2464,"Ddd"))&amp;"-"&amp;TEXT(A2464,"hh"),LoadTable[],3,FALSE)*0.92</f>
        <v>234.80148</v>
      </c>
      <c r="U2464" s="113">
        <f t="shared" si="2644"/>
        <v>23.480148</v>
      </c>
      <c r="V2464">
        <f t="shared" ref="V2464:W2464" si="2677">V2440</f>
        <v>3.2</v>
      </c>
      <c r="W2464">
        <f t="shared" si="2677"/>
        <v>2.9</v>
      </c>
      <c r="X2464" s="9">
        <v>-67.413476616666102</v>
      </c>
      <c r="Y2464" s="39"/>
    </row>
    <row r="2465" spans="1:25" ht="15" thickBot="1">
      <c r="A2465" s="149">
        <f t="shared" si="2626"/>
        <v>45938.583333329341</v>
      </c>
      <c r="B2465" s="30">
        <f t="shared" si="2653"/>
        <v>8000</v>
      </c>
      <c r="C2465" s="8">
        <v>25000</v>
      </c>
      <c r="D2465" s="187">
        <v>0</v>
      </c>
      <c r="E2465" s="187">
        <v>700</v>
      </c>
      <c r="F2465" s="187">
        <v>15000</v>
      </c>
      <c r="G2465" s="30">
        <f t="shared" si="2654"/>
        <v>2470</v>
      </c>
      <c r="H2465" s="8">
        <f t="shared" si="2654"/>
        <v>25000</v>
      </c>
      <c r="I2465" s="30">
        <f t="shared" si="2655"/>
        <v>8000</v>
      </c>
      <c r="J2465" s="187">
        <v>40000</v>
      </c>
      <c r="K2465" s="30">
        <f t="shared" si="2656"/>
        <v>8000</v>
      </c>
      <c r="L2465" s="187">
        <v>40000</v>
      </c>
      <c r="M2465" s="110">
        <v>9.5</v>
      </c>
      <c r="N2465" s="9">
        <f>VLOOKUP(DATE(YEAR(A2465),MONTH(A2465),DAY(A2465)),FY24_Temp[],3,FALSE)</f>
        <v>17.25</v>
      </c>
      <c r="O2465" s="110">
        <f t="shared" si="2642"/>
        <v>11.5</v>
      </c>
      <c r="P2465" s="110">
        <f t="shared" si="2643"/>
        <v>19.5</v>
      </c>
      <c r="Q2465" s="79">
        <f>VLOOKUP(VLOOKUP(DATEVALUE(TEXT(A2465,"m/d/yyyy")),FY24_Temp[],5,FALSE)&amp;TEXT(A2465,"-h"),TempDelta[],4,FALSE)</f>
        <v>0.29271428287029266</v>
      </c>
      <c r="R2465">
        <v>10</v>
      </c>
      <c r="S2465" s="112">
        <v>1500</v>
      </c>
      <c r="T2465" s="5">
        <f>VLOOKUP(TEXT(A2465,"yy-mm")&amp;"-"&amp;IF(AND(WEEKDAY(A2465)&gt;1,WEEKDAY(A2465)&lt;7),"Wkd",TEXT(A2465,"Ddd"))&amp;"-"&amp;TEXT(A2465,"hh"),LoadTable[],3,FALSE)*0.92</f>
        <v>234.80148</v>
      </c>
      <c r="U2465" s="113">
        <f t="shared" si="2644"/>
        <v>23.480148</v>
      </c>
      <c r="V2465">
        <f t="shared" ref="V2465:W2465" si="2678">V2441</f>
        <v>3.5</v>
      </c>
      <c r="W2465">
        <f t="shared" si="2678"/>
        <v>2.9</v>
      </c>
      <c r="X2465" s="9">
        <v>-67.491271166666095</v>
      </c>
      <c r="Y2465" s="39"/>
    </row>
    <row r="2466" spans="1:25" ht="15" thickBot="1">
      <c r="A2466" s="149">
        <f t="shared" si="2626"/>
        <v>45938.624999996005</v>
      </c>
      <c r="B2466" s="30">
        <f t="shared" si="2653"/>
        <v>8000</v>
      </c>
      <c r="C2466" s="8">
        <v>25000</v>
      </c>
      <c r="D2466" s="187">
        <v>0</v>
      </c>
      <c r="E2466" s="187">
        <v>700</v>
      </c>
      <c r="F2466" s="187">
        <v>15000</v>
      </c>
      <c r="G2466" s="30">
        <f t="shared" si="2654"/>
        <v>2470</v>
      </c>
      <c r="H2466" s="8">
        <f t="shared" si="2654"/>
        <v>25000</v>
      </c>
      <c r="I2466" s="30">
        <f t="shared" si="2655"/>
        <v>8000</v>
      </c>
      <c r="J2466" s="187">
        <v>40000</v>
      </c>
      <c r="K2466" s="30">
        <f t="shared" si="2656"/>
        <v>8000</v>
      </c>
      <c r="L2466" s="187">
        <v>40000</v>
      </c>
      <c r="M2466" s="110">
        <v>9.5</v>
      </c>
      <c r="N2466" s="9">
        <f>VLOOKUP(DATE(YEAR(A2466),MONTH(A2466),DAY(A2466)),FY24_Temp[],3,FALSE)</f>
        <v>17.25</v>
      </c>
      <c r="O2466" s="110">
        <f t="shared" si="2642"/>
        <v>11.5</v>
      </c>
      <c r="P2466" s="110">
        <f t="shared" si="2643"/>
        <v>19.5</v>
      </c>
      <c r="Q2466" s="79">
        <f>VLOOKUP(VLOOKUP(DATEVALUE(TEXT(A2466,"m/d/yyyy")),FY24_Temp[],5,FALSE)&amp;TEXT(A2466,"-h"),TempDelta[],4,FALSE)</f>
        <v>0.3973571445260729</v>
      </c>
      <c r="R2466">
        <v>10</v>
      </c>
      <c r="S2466" s="112">
        <v>1500</v>
      </c>
      <c r="T2466" s="5">
        <f>VLOOKUP(TEXT(A2466,"yy-mm")&amp;"-"&amp;IF(AND(WEEKDAY(A2466)&gt;1,WEEKDAY(A2466)&lt;7),"Wkd",TEXT(A2466,"Ddd"))&amp;"-"&amp;TEXT(A2466,"hh"),LoadTable[],3,FALSE)*0.92</f>
        <v>234.80148</v>
      </c>
      <c r="U2466" s="113">
        <f t="shared" si="2644"/>
        <v>23.480148</v>
      </c>
      <c r="V2466">
        <f t="shared" ref="V2466:W2466" si="2679">V2442</f>
        <v>3.2</v>
      </c>
      <c r="W2466">
        <f t="shared" si="2679"/>
        <v>2.9</v>
      </c>
      <c r="X2466" s="9">
        <v>-67.569065716666103</v>
      </c>
      <c r="Y2466" s="39"/>
    </row>
    <row r="2467" spans="1:25" ht="15" thickBot="1">
      <c r="A2467" s="149">
        <f t="shared" si="2626"/>
        <v>45938.66666666267</v>
      </c>
      <c r="B2467" s="30">
        <f t="shared" si="2653"/>
        <v>8000</v>
      </c>
      <c r="C2467" s="8">
        <v>25000</v>
      </c>
      <c r="D2467" s="187">
        <v>0</v>
      </c>
      <c r="E2467" s="187">
        <v>700</v>
      </c>
      <c r="F2467" s="187">
        <v>15000</v>
      </c>
      <c r="G2467" s="30">
        <f t="shared" si="2654"/>
        <v>2470</v>
      </c>
      <c r="H2467" s="8">
        <f t="shared" si="2654"/>
        <v>25000</v>
      </c>
      <c r="I2467" s="30">
        <f t="shared" si="2655"/>
        <v>8000</v>
      </c>
      <c r="J2467" s="187">
        <v>40000</v>
      </c>
      <c r="K2467" s="30">
        <f t="shared" si="2656"/>
        <v>8000</v>
      </c>
      <c r="L2467" s="187">
        <v>40000</v>
      </c>
      <c r="M2467" s="110">
        <v>9.5</v>
      </c>
      <c r="N2467" s="9">
        <f>VLOOKUP(DATE(YEAR(A2467),MONTH(A2467),DAY(A2467)),FY24_Temp[],3,FALSE)</f>
        <v>17.25</v>
      </c>
      <c r="O2467" s="110">
        <f t="shared" si="2642"/>
        <v>11.5</v>
      </c>
      <c r="P2467" s="110">
        <f t="shared" si="2643"/>
        <v>19.5</v>
      </c>
      <c r="Q2467" s="79">
        <f>VLOOKUP(VLOOKUP(DATEVALUE(TEXT(A2467,"m/d/yyyy")),FY24_Temp[],5,FALSE)&amp;TEXT(A2467,"-h"),TempDelta[],4,FALSE)</f>
        <v>0.63707143068313599</v>
      </c>
      <c r="R2467">
        <v>10</v>
      </c>
      <c r="S2467" s="112">
        <v>1500</v>
      </c>
      <c r="T2467" s="5">
        <f>VLOOKUP(TEXT(A2467,"yy-mm")&amp;"-"&amp;IF(AND(WEEKDAY(A2467)&gt;1,WEEKDAY(A2467)&lt;7),"Wkd",TEXT(A2467,"Ddd"))&amp;"-"&amp;TEXT(A2467,"hh"),LoadTable[],3,FALSE)*0.92</f>
        <v>234.80148</v>
      </c>
      <c r="U2467" s="113">
        <f t="shared" si="2644"/>
        <v>23.480148</v>
      </c>
      <c r="V2467">
        <f t="shared" ref="V2467:W2467" si="2680">V2443</f>
        <v>3.5</v>
      </c>
      <c r="W2467">
        <f t="shared" si="2680"/>
        <v>3</v>
      </c>
      <c r="X2467" s="9">
        <v>-67.646860266666096</v>
      </c>
      <c r="Y2467" s="39"/>
    </row>
    <row r="2468" spans="1:25" ht="15" thickBot="1">
      <c r="A2468" s="149">
        <f t="shared" si="2626"/>
        <v>45938.708333329334</v>
      </c>
      <c r="B2468" s="30">
        <f t="shared" si="2653"/>
        <v>8000</v>
      </c>
      <c r="C2468" s="8">
        <v>25000</v>
      </c>
      <c r="D2468" s="187">
        <v>0</v>
      </c>
      <c r="E2468" s="187">
        <v>700</v>
      </c>
      <c r="F2468" s="187">
        <v>15000</v>
      </c>
      <c r="G2468" s="30">
        <f t="shared" si="2654"/>
        <v>2470</v>
      </c>
      <c r="H2468" s="8">
        <f t="shared" si="2654"/>
        <v>25000</v>
      </c>
      <c r="I2468" s="30">
        <f t="shared" si="2655"/>
        <v>8000</v>
      </c>
      <c r="J2468" s="187">
        <v>40000</v>
      </c>
      <c r="K2468" s="30">
        <f t="shared" si="2656"/>
        <v>8000</v>
      </c>
      <c r="L2468" s="187">
        <v>40000</v>
      </c>
      <c r="M2468" s="110">
        <v>9.5</v>
      </c>
      <c r="N2468" s="9">
        <f>VLOOKUP(DATE(YEAR(A2468),MONTH(A2468),DAY(A2468)),FY24_Temp[],3,FALSE)</f>
        <v>17.25</v>
      </c>
      <c r="O2468" s="110">
        <f t="shared" si="2642"/>
        <v>11.5</v>
      </c>
      <c r="P2468" s="110">
        <f t="shared" si="2643"/>
        <v>19.5</v>
      </c>
      <c r="Q2468" s="79">
        <f>VLOOKUP(VLOOKUP(DATEVALUE(TEXT(A2468,"m/d/yyyy")),FY24_Temp[],5,FALSE)&amp;TEXT(A2468,"-h"),TempDelta[],4,FALSE)</f>
        <v>0.76450000064713619</v>
      </c>
      <c r="R2468">
        <v>10</v>
      </c>
      <c r="S2468" s="112">
        <v>1500</v>
      </c>
      <c r="T2468" s="5">
        <f>VLOOKUP(TEXT(A2468,"yy-mm")&amp;"-"&amp;IF(AND(WEEKDAY(A2468)&gt;1,WEEKDAY(A2468)&lt;7),"Wkd",TEXT(A2468,"Ddd"))&amp;"-"&amp;TEXT(A2468,"hh"),LoadTable[],3,FALSE)*0.92</f>
        <v>234.80148</v>
      </c>
      <c r="U2468" s="113">
        <f t="shared" si="2644"/>
        <v>23.480148</v>
      </c>
      <c r="V2468">
        <f t="shared" ref="V2468:W2468" si="2681">V2444</f>
        <v>3.6</v>
      </c>
      <c r="W2468">
        <f t="shared" si="2681"/>
        <v>3</v>
      </c>
      <c r="X2468" s="9">
        <v>-67.724654816666103</v>
      </c>
      <c r="Y2468" s="39"/>
    </row>
    <row r="2469" spans="1:25" ht="15" thickBot="1">
      <c r="A2469" s="149">
        <f t="shared" si="2626"/>
        <v>45938.749999995998</v>
      </c>
      <c r="B2469" s="30">
        <f t="shared" si="2653"/>
        <v>5000</v>
      </c>
      <c r="C2469" s="8">
        <v>25000</v>
      </c>
      <c r="D2469" s="187">
        <v>0</v>
      </c>
      <c r="E2469" s="187">
        <v>700</v>
      </c>
      <c r="F2469" s="187">
        <v>15000</v>
      </c>
      <c r="G2469" s="30">
        <f t="shared" si="2654"/>
        <v>2470</v>
      </c>
      <c r="H2469" s="8">
        <f t="shared" si="2654"/>
        <v>25000</v>
      </c>
      <c r="I2469" s="30">
        <f t="shared" si="2655"/>
        <v>5000</v>
      </c>
      <c r="J2469" s="187">
        <v>40000</v>
      </c>
      <c r="K2469" s="30">
        <f t="shared" si="2656"/>
        <v>5000</v>
      </c>
      <c r="L2469" s="187">
        <v>40000</v>
      </c>
      <c r="M2469" s="110">
        <v>9.5</v>
      </c>
      <c r="N2469" s="9">
        <f>VLOOKUP(DATE(YEAR(A2469),MONTH(A2469),DAY(A2469)),FY24_Temp[],3,FALSE)</f>
        <v>17.25</v>
      </c>
      <c r="O2469" s="110">
        <f t="shared" si="2642"/>
        <v>11.5</v>
      </c>
      <c r="P2469" s="110">
        <f t="shared" si="2643"/>
        <v>19.5</v>
      </c>
      <c r="Q2469" s="79">
        <f>VLOOKUP(VLOOKUP(DATEVALUE(TEXT(A2469,"m/d/yyyy")),FY24_Temp[],5,FALSE)&amp;TEXT(A2469,"-h"),TempDelta[],4,FALSE)</f>
        <v>0.91657142128263203</v>
      </c>
      <c r="R2469">
        <v>10</v>
      </c>
      <c r="S2469" s="112">
        <v>1500</v>
      </c>
      <c r="T2469" s="5">
        <f>VLOOKUP(TEXT(A2469,"yy-mm")&amp;"-"&amp;IF(AND(WEEKDAY(A2469)&gt;1,WEEKDAY(A2469)&lt;7),"Wkd",TEXT(A2469,"Ddd"))&amp;"-"&amp;TEXT(A2469,"hh"),LoadTable[],3,FALSE)*0.92</f>
        <v>303.31295999999998</v>
      </c>
      <c r="U2469" s="113">
        <f t="shared" si="2644"/>
        <v>30.331295999999998</v>
      </c>
      <c r="V2469">
        <f t="shared" ref="V2469:W2469" si="2682">V2445</f>
        <v>2.9</v>
      </c>
      <c r="W2469">
        <f t="shared" si="2682"/>
        <v>3</v>
      </c>
      <c r="X2469" s="9">
        <v>-67.802449366666096</v>
      </c>
      <c r="Y2469" s="39"/>
    </row>
    <row r="2470" spans="1:25" ht="15" thickBot="1">
      <c r="A2470" s="149">
        <f t="shared" si="2626"/>
        <v>45938.791666662662</v>
      </c>
      <c r="B2470" s="30">
        <f t="shared" si="2653"/>
        <v>5000</v>
      </c>
      <c r="C2470" s="8">
        <v>25000</v>
      </c>
      <c r="D2470" s="187">
        <v>0</v>
      </c>
      <c r="E2470" s="187">
        <v>700</v>
      </c>
      <c r="F2470" s="187">
        <v>15000</v>
      </c>
      <c r="G2470" s="30">
        <f t="shared" si="2654"/>
        <v>2470</v>
      </c>
      <c r="H2470" s="8">
        <f t="shared" si="2654"/>
        <v>25000</v>
      </c>
      <c r="I2470" s="30">
        <f t="shared" si="2655"/>
        <v>5000</v>
      </c>
      <c r="J2470" s="187">
        <v>40000</v>
      </c>
      <c r="K2470" s="30">
        <f t="shared" si="2656"/>
        <v>5000</v>
      </c>
      <c r="L2470" s="187">
        <v>40000</v>
      </c>
      <c r="M2470" s="110">
        <v>9.5</v>
      </c>
      <c r="N2470" s="9">
        <f>VLOOKUP(DATE(YEAR(A2470),MONTH(A2470),DAY(A2470)),FY24_Temp[],3,FALSE)</f>
        <v>17.25</v>
      </c>
      <c r="O2470" s="110">
        <f t="shared" si="2642"/>
        <v>11.5</v>
      </c>
      <c r="P2470" s="110">
        <f t="shared" si="2643"/>
        <v>19.5</v>
      </c>
      <c r="Q2470" s="79">
        <f>VLOOKUP(VLOOKUP(DATEVALUE(TEXT(A2470,"m/d/yyyy")),FY24_Temp[],5,FALSE)&amp;TEXT(A2470,"-h"),TempDelta[],4,FALSE)</f>
        <v>0.91900000827653072</v>
      </c>
      <c r="R2470">
        <v>10</v>
      </c>
      <c r="S2470" s="112">
        <v>1500</v>
      </c>
      <c r="T2470" s="5">
        <f>VLOOKUP(TEXT(A2470,"yy-mm")&amp;"-"&amp;IF(AND(WEEKDAY(A2470)&gt;1,WEEKDAY(A2470)&lt;7),"Wkd",TEXT(A2470,"Ddd"))&amp;"-"&amp;TEXT(A2470,"hh"),LoadTable[],3,FALSE)*0.92</f>
        <v>303.31295999999998</v>
      </c>
      <c r="U2470" s="113">
        <f t="shared" si="2644"/>
        <v>30.331295999999998</v>
      </c>
      <c r="V2470">
        <f t="shared" ref="V2470:W2470" si="2683">V2446</f>
        <v>3</v>
      </c>
      <c r="W2470">
        <f t="shared" si="2683"/>
        <v>3</v>
      </c>
      <c r="X2470" s="9">
        <v>-67.880243916666103</v>
      </c>
      <c r="Y2470" s="39"/>
    </row>
    <row r="2471" spans="1:25" ht="15" thickBot="1">
      <c r="A2471" s="149">
        <f t="shared" si="2626"/>
        <v>45938.833333329327</v>
      </c>
      <c r="B2471" s="30">
        <f t="shared" si="2653"/>
        <v>5000</v>
      </c>
      <c r="C2471" s="8">
        <v>25000</v>
      </c>
      <c r="D2471" s="187">
        <v>0</v>
      </c>
      <c r="E2471" s="187">
        <v>700</v>
      </c>
      <c r="F2471" s="187">
        <v>15000</v>
      </c>
      <c r="G2471" s="30">
        <f t="shared" si="2654"/>
        <v>2470</v>
      </c>
      <c r="H2471" s="8">
        <f t="shared" si="2654"/>
        <v>25000</v>
      </c>
      <c r="I2471" s="30">
        <f t="shared" si="2655"/>
        <v>5000</v>
      </c>
      <c r="J2471" s="187">
        <v>40000</v>
      </c>
      <c r="K2471" s="30">
        <f t="shared" si="2656"/>
        <v>5000</v>
      </c>
      <c r="L2471" s="187">
        <v>40000</v>
      </c>
      <c r="M2471" s="110">
        <v>9.5</v>
      </c>
      <c r="N2471" s="9">
        <f>VLOOKUP(DATE(YEAR(A2471),MONTH(A2471),DAY(A2471)),FY24_Temp[],3,FALSE)</f>
        <v>17.25</v>
      </c>
      <c r="O2471" s="110">
        <f t="shared" si="2642"/>
        <v>11.5</v>
      </c>
      <c r="P2471" s="110">
        <f t="shared" si="2643"/>
        <v>19.5</v>
      </c>
      <c r="Q2471" s="79">
        <f>VLOOKUP(VLOOKUP(DATEVALUE(TEXT(A2471,"m/d/yyyy")),FY24_Temp[],5,FALSE)&amp;TEXT(A2471,"-h"),TempDelta[],4,FALSE)</f>
        <v>0.93314285363469807</v>
      </c>
      <c r="R2471">
        <v>10</v>
      </c>
      <c r="S2471" s="112">
        <v>1500</v>
      </c>
      <c r="T2471" s="5">
        <f>VLOOKUP(TEXT(A2471,"yy-mm")&amp;"-"&amp;IF(AND(WEEKDAY(A2471)&gt;1,WEEKDAY(A2471)&lt;7),"Wkd",TEXT(A2471,"Ddd"))&amp;"-"&amp;TEXT(A2471,"hh"),LoadTable[],3,FALSE)*0.92</f>
        <v>303.31295999999998</v>
      </c>
      <c r="U2471" s="113">
        <f t="shared" si="2644"/>
        <v>30.331295999999998</v>
      </c>
      <c r="V2471">
        <f t="shared" ref="V2471:W2471" si="2684">V2447</f>
        <v>2.8</v>
      </c>
      <c r="W2471">
        <f t="shared" si="2684"/>
        <v>3.1</v>
      </c>
      <c r="X2471" s="9">
        <v>-67.958038466666196</v>
      </c>
      <c r="Y2471" s="39"/>
    </row>
    <row r="2472" spans="1:25" ht="15" thickBot="1">
      <c r="A2472" s="149">
        <f t="shared" si="2626"/>
        <v>45938.874999995991</v>
      </c>
      <c r="B2472" s="30">
        <f t="shared" si="2653"/>
        <v>5000</v>
      </c>
      <c r="C2472" s="8">
        <v>25000</v>
      </c>
      <c r="D2472" s="187">
        <v>0</v>
      </c>
      <c r="E2472" s="187">
        <v>700</v>
      </c>
      <c r="F2472" s="187">
        <v>15000</v>
      </c>
      <c r="G2472" s="30">
        <f t="shared" si="2654"/>
        <v>2470</v>
      </c>
      <c r="H2472" s="8">
        <f t="shared" si="2654"/>
        <v>25000</v>
      </c>
      <c r="I2472" s="30">
        <f t="shared" si="2655"/>
        <v>5000</v>
      </c>
      <c r="J2472" s="187">
        <v>40000</v>
      </c>
      <c r="K2472" s="30">
        <f t="shared" si="2656"/>
        <v>5000</v>
      </c>
      <c r="L2472" s="187">
        <v>40000</v>
      </c>
      <c r="M2472" s="110">
        <v>9.5</v>
      </c>
      <c r="N2472" s="9">
        <f>VLOOKUP(DATE(YEAR(A2472),MONTH(A2472),DAY(A2472)),FY24_Temp[],3,FALSE)</f>
        <v>17.25</v>
      </c>
      <c r="O2472" s="110">
        <f t="shared" si="2642"/>
        <v>11.5</v>
      </c>
      <c r="P2472" s="110">
        <f t="shared" si="2643"/>
        <v>19.5</v>
      </c>
      <c r="Q2472" s="79">
        <f>VLOOKUP(VLOOKUP(DATEVALUE(TEXT(A2472,"m/d/yyyy")),FY24_Temp[],5,FALSE)&amp;TEXT(A2472,"-h"),TempDelta[],4,FALSE)</f>
        <v>0.92385714820453102</v>
      </c>
      <c r="R2472">
        <v>10</v>
      </c>
      <c r="S2472" s="112">
        <v>1500</v>
      </c>
      <c r="T2472" s="5">
        <f>VLOOKUP(TEXT(A2472,"yy-mm")&amp;"-"&amp;IF(AND(WEEKDAY(A2472)&gt;1,WEEKDAY(A2472)&lt;7),"Wkd",TEXT(A2472,"Ddd"))&amp;"-"&amp;TEXT(A2472,"hh"),LoadTable[],3,FALSE)*0.92</f>
        <v>229.93744000000001</v>
      </c>
      <c r="U2472" s="113">
        <f t="shared" si="2644"/>
        <v>22.993744</v>
      </c>
      <c r="V2472">
        <f t="shared" ref="V2472:W2472" si="2685">V2448</f>
        <v>3.5</v>
      </c>
      <c r="W2472">
        <f t="shared" si="2685"/>
        <v>3.1</v>
      </c>
      <c r="X2472" s="9">
        <v>-68.035833016666203</v>
      </c>
      <c r="Y2472" s="39"/>
    </row>
    <row r="2473" spans="1:25" ht="15" thickBot="1">
      <c r="A2473" s="149">
        <f t="shared" si="2626"/>
        <v>45938.916666662655</v>
      </c>
      <c r="B2473" s="30">
        <f t="shared" si="2653"/>
        <v>5000</v>
      </c>
      <c r="C2473" s="8">
        <v>25000</v>
      </c>
      <c r="D2473" s="187">
        <v>0</v>
      </c>
      <c r="E2473" s="187">
        <v>700</v>
      </c>
      <c r="F2473" s="187">
        <v>15000</v>
      </c>
      <c r="G2473" s="30">
        <f t="shared" si="2654"/>
        <v>2470</v>
      </c>
      <c r="H2473" s="8">
        <f t="shared" si="2654"/>
        <v>25000</v>
      </c>
      <c r="I2473" s="30">
        <f t="shared" si="2655"/>
        <v>5000</v>
      </c>
      <c r="J2473" s="187">
        <v>40000</v>
      </c>
      <c r="K2473" s="30">
        <f t="shared" si="2656"/>
        <v>5000</v>
      </c>
      <c r="L2473" s="187">
        <v>40000</v>
      </c>
      <c r="M2473" s="110">
        <v>9.5</v>
      </c>
      <c r="N2473" s="9">
        <f>VLOOKUP(DATE(YEAR(A2473),MONTH(A2473),DAY(A2473)),FY24_Temp[],3,FALSE)</f>
        <v>17.25</v>
      </c>
      <c r="O2473" s="110">
        <f t="shared" si="2642"/>
        <v>11.5</v>
      </c>
      <c r="P2473" s="110">
        <f t="shared" si="2643"/>
        <v>19.5</v>
      </c>
      <c r="Q2473" s="79">
        <f>VLOOKUP(VLOOKUP(DATEVALUE(TEXT(A2473,"m/d/yyyy")),FY24_Temp[],5,FALSE)&amp;TEXT(A2473,"-h"),TempDelta[],4,FALSE)</f>
        <v>1.1424285514014108</v>
      </c>
      <c r="R2473">
        <v>10</v>
      </c>
      <c r="S2473" s="112">
        <v>1500</v>
      </c>
      <c r="T2473" s="5">
        <f>VLOOKUP(TEXT(A2473,"yy-mm")&amp;"-"&amp;IF(AND(WEEKDAY(A2473)&gt;1,WEEKDAY(A2473)&lt;7),"Wkd",TEXT(A2473,"Ddd"))&amp;"-"&amp;TEXT(A2473,"hh"),LoadTable[],3,FALSE)*0.92</f>
        <v>176.52040000000002</v>
      </c>
      <c r="U2473" s="113">
        <f t="shared" si="2644"/>
        <v>17.652040000000003</v>
      </c>
      <c r="V2473">
        <f t="shared" ref="V2473:W2473" si="2686">V2449</f>
        <v>2.9</v>
      </c>
      <c r="W2473">
        <f t="shared" si="2686"/>
        <v>3.1</v>
      </c>
      <c r="X2473" s="9">
        <v>-68.113627566666196</v>
      </c>
      <c r="Y2473" s="39"/>
    </row>
    <row r="2474" spans="1:25" ht="15" thickBot="1">
      <c r="A2474" s="149">
        <f t="shared" si="2626"/>
        <v>45938.958333329319</v>
      </c>
      <c r="B2474" s="30">
        <f t="shared" si="2653"/>
        <v>5000</v>
      </c>
      <c r="C2474" s="8">
        <v>25000</v>
      </c>
      <c r="D2474" s="187">
        <v>0</v>
      </c>
      <c r="E2474" s="187">
        <v>700</v>
      </c>
      <c r="F2474" s="187">
        <v>15000</v>
      </c>
      <c r="G2474" s="30">
        <f t="shared" si="2654"/>
        <v>2470</v>
      </c>
      <c r="H2474" s="8">
        <f t="shared" si="2654"/>
        <v>25000</v>
      </c>
      <c r="I2474" s="30">
        <f t="shared" si="2655"/>
        <v>5000</v>
      </c>
      <c r="J2474" s="187">
        <v>40000</v>
      </c>
      <c r="K2474" s="30">
        <f t="shared" si="2656"/>
        <v>5000</v>
      </c>
      <c r="L2474" s="187">
        <v>40000</v>
      </c>
      <c r="M2474" s="110">
        <v>9.5</v>
      </c>
      <c r="N2474" s="9">
        <f>VLOOKUP(DATE(YEAR(A2474),MONTH(A2474),DAY(A2474)),FY24_Temp[],3,FALSE)</f>
        <v>17.25</v>
      </c>
      <c r="O2474" s="110">
        <f t="shared" si="2642"/>
        <v>11.5</v>
      </c>
      <c r="P2474" s="110">
        <f t="shared" si="2643"/>
        <v>19.5</v>
      </c>
      <c r="Q2474" s="85">
        <f>VLOOKUP(VLOOKUP(DATEVALUE(TEXT(A2474,"m/d/yyyy")),FY24_Temp[],5,FALSE)&amp;TEXT(A2474,"-h"),TempDelta[],4,FALSE)</f>
        <v>1.2597142798560006</v>
      </c>
      <c r="R2474">
        <v>10</v>
      </c>
      <c r="S2474" s="112">
        <v>1500</v>
      </c>
      <c r="T2474" s="97">
        <f>VLOOKUP(TEXT(A2474,"yy-mm")&amp;"-"&amp;IF(AND(WEEKDAY(A2474)&gt;1,WEEKDAY(A2474)&lt;7),"Wkd",TEXT(A2474,"Ddd"))&amp;"-"&amp;TEXT(A2474,"hh"),LoadTable[],3,FALSE)*0.92</f>
        <v>176.52040000000002</v>
      </c>
      <c r="U2474" s="113">
        <f t="shared" si="2644"/>
        <v>17.652040000000003</v>
      </c>
      <c r="V2474">
        <f t="shared" ref="V2474:W2474" si="2687">V2450</f>
        <v>3.6</v>
      </c>
      <c r="W2474">
        <f t="shared" si="2687"/>
        <v>3.1</v>
      </c>
      <c r="X2474" s="84">
        <v>-68.191422116666203</v>
      </c>
      <c r="Y2474" s="39"/>
    </row>
    <row r="2475" spans="1:25" ht="15" thickBot="1">
      <c r="A2475" s="149">
        <f t="shared" si="2626"/>
        <v>45938.999999995984</v>
      </c>
      <c r="B2475" s="30">
        <f t="shared" si="2653"/>
        <v>5000</v>
      </c>
      <c r="C2475" s="8">
        <v>25000</v>
      </c>
      <c r="D2475" s="187">
        <v>0</v>
      </c>
      <c r="E2475" s="187">
        <v>700</v>
      </c>
      <c r="F2475" s="187">
        <v>15000</v>
      </c>
      <c r="G2475" s="30">
        <f t="shared" si="2654"/>
        <v>2470</v>
      </c>
      <c r="H2475" s="8">
        <f t="shared" si="2654"/>
        <v>25000</v>
      </c>
      <c r="I2475" s="30">
        <f t="shared" si="2655"/>
        <v>5000</v>
      </c>
      <c r="J2475" s="187">
        <v>40000</v>
      </c>
      <c r="K2475" s="30">
        <f t="shared" si="2656"/>
        <v>5000</v>
      </c>
      <c r="L2475" s="187">
        <v>40000</v>
      </c>
      <c r="M2475" s="110">
        <v>9.5</v>
      </c>
      <c r="N2475" s="9">
        <f>VLOOKUP(DATE(YEAR(A2475),MONTH(A2475),DAY(A2475)),FY24_Temp[],3,FALSE)</f>
        <v>17.25</v>
      </c>
      <c r="O2475" s="110">
        <f t="shared" si="2642"/>
        <v>11.5</v>
      </c>
      <c r="P2475" s="110">
        <f t="shared" si="2643"/>
        <v>19.5</v>
      </c>
      <c r="Q2475" s="79">
        <f>VLOOKUP(VLOOKUP(DATEVALUE(TEXT(A2475,"m/d/yyyy")),FY24_Temp[],5,FALSE)&amp;TEXT(A2475,"-h"),TempDelta[],4,FALSE)</f>
        <v>1.3511428662708826</v>
      </c>
      <c r="R2475">
        <v>10</v>
      </c>
      <c r="S2475" s="112">
        <v>1500</v>
      </c>
      <c r="T2475" s="5">
        <f>VLOOKUP(TEXT(A2475,"yy-mm")&amp;"-"&amp;IF(AND(WEEKDAY(A2475)&gt;1,WEEKDAY(A2475)&lt;7),"Wkd",TEXT(A2475,"Ddd"))&amp;"-"&amp;TEXT(A2475,"hh"),LoadTable[],3,FALSE)*0.92</f>
        <v>209.6772</v>
      </c>
      <c r="U2475" s="113">
        <f t="shared" si="2644"/>
        <v>20.96772</v>
      </c>
      <c r="V2475">
        <f t="shared" ref="V2475:W2475" si="2688">V2451</f>
        <v>3</v>
      </c>
      <c r="W2475">
        <f t="shared" si="2688"/>
        <v>3.2</v>
      </c>
      <c r="X2475" s="9">
        <v>-68.269216666666196</v>
      </c>
      <c r="Y2475" s="39"/>
    </row>
    <row r="2476" spans="1:25" ht="15" thickBot="1">
      <c r="A2476" s="149">
        <f t="shared" si="2626"/>
        <v>45939.041666662648</v>
      </c>
      <c r="B2476" s="30">
        <f t="shared" si="2653"/>
        <v>5000</v>
      </c>
      <c r="C2476" s="8">
        <v>25000</v>
      </c>
      <c r="D2476" s="187">
        <v>0</v>
      </c>
      <c r="E2476" s="187">
        <v>700</v>
      </c>
      <c r="F2476" s="187">
        <v>15000</v>
      </c>
      <c r="G2476" s="30">
        <f t="shared" si="2654"/>
        <v>2470</v>
      </c>
      <c r="H2476" s="8">
        <f t="shared" si="2654"/>
        <v>25000</v>
      </c>
      <c r="I2476" s="30">
        <f t="shared" si="2655"/>
        <v>5000</v>
      </c>
      <c r="J2476" s="187">
        <v>40000</v>
      </c>
      <c r="K2476" s="30">
        <f t="shared" si="2656"/>
        <v>5000</v>
      </c>
      <c r="L2476" s="187">
        <v>40000</v>
      </c>
      <c r="M2476" s="110">
        <v>9.5</v>
      </c>
      <c r="N2476" s="9">
        <f>VLOOKUP(DATE(YEAR(A2476),MONTH(A2476),DAY(A2476)),FY24_Temp[],3,FALSE)</f>
        <v>17.25</v>
      </c>
      <c r="O2476" s="110">
        <f t="shared" si="2642"/>
        <v>11.5</v>
      </c>
      <c r="P2476" s="110">
        <f t="shared" si="2643"/>
        <v>19.5</v>
      </c>
      <c r="Q2476" s="87">
        <f>VLOOKUP(VLOOKUP(DATEVALUE(TEXT(A2476,"m/d/yyyy")),FY24_Temp[],5,FALSE)&amp;TEXT(A2476,"-h"),TempDelta[],4,FALSE)</f>
        <v>1.3058571474892753</v>
      </c>
      <c r="R2476">
        <v>10</v>
      </c>
      <c r="S2476" s="112">
        <v>1500</v>
      </c>
      <c r="T2476" s="98">
        <f>VLOOKUP(TEXT(A2476,"yy-mm")&amp;"-"&amp;IF(AND(WEEKDAY(A2476)&gt;1,WEEKDAY(A2476)&lt;7),"Wkd",TEXT(A2476,"Ddd"))&amp;"-"&amp;TEXT(A2476,"hh"),LoadTable[],3,FALSE)*0.92</f>
        <v>209.6772</v>
      </c>
      <c r="U2476" s="113">
        <f t="shared" si="2644"/>
        <v>20.96772</v>
      </c>
      <c r="V2476">
        <f t="shared" ref="V2476:W2476" si="2689">V2452</f>
        <v>2.6</v>
      </c>
      <c r="W2476">
        <f t="shared" si="2689"/>
        <v>3.2</v>
      </c>
      <c r="X2476" s="86">
        <v>-68.347011216666203</v>
      </c>
      <c r="Y2476" s="39"/>
    </row>
    <row r="2477" spans="1:25" ht="15" thickBot="1">
      <c r="A2477" s="149">
        <f t="shared" si="2626"/>
        <v>45939.083333329312</v>
      </c>
      <c r="B2477" s="30">
        <f t="shared" si="2653"/>
        <v>5000</v>
      </c>
      <c r="C2477" s="8">
        <v>25000</v>
      </c>
      <c r="D2477" s="187">
        <v>0</v>
      </c>
      <c r="E2477" s="187">
        <v>700</v>
      </c>
      <c r="F2477" s="187">
        <v>15000</v>
      </c>
      <c r="G2477" s="30">
        <f t="shared" si="2654"/>
        <v>2470</v>
      </c>
      <c r="H2477" s="8">
        <f t="shared" si="2654"/>
        <v>25000</v>
      </c>
      <c r="I2477" s="30">
        <f t="shared" si="2655"/>
        <v>5000</v>
      </c>
      <c r="J2477" s="187">
        <v>40000</v>
      </c>
      <c r="K2477" s="30">
        <f t="shared" si="2656"/>
        <v>5000</v>
      </c>
      <c r="L2477" s="187">
        <v>40000</v>
      </c>
      <c r="M2477" s="110">
        <v>9.5</v>
      </c>
      <c r="N2477" s="9">
        <f>VLOOKUP(DATE(YEAR(A2477),MONTH(A2477),DAY(A2477)),FY24_Temp[],3,FALSE)</f>
        <v>17.25</v>
      </c>
      <c r="O2477" s="110">
        <f t="shared" si="2642"/>
        <v>11.5</v>
      </c>
      <c r="P2477" s="110">
        <f t="shared" si="2643"/>
        <v>19.5</v>
      </c>
      <c r="Q2477" s="79">
        <f>VLOOKUP(VLOOKUP(DATEVALUE(TEXT(A2477,"m/d/yyyy")),FY24_Temp[],5,FALSE)&amp;TEXT(A2477,"-h"),TempDelta[],4,FALSE)</f>
        <v>1.217571428843907</v>
      </c>
      <c r="R2477">
        <v>10</v>
      </c>
      <c r="S2477" s="112">
        <v>1500</v>
      </c>
      <c r="T2477" s="5">
        <f>VLOOKUP(TEXT(A2477,"yy-mm")&amp;"-"&amp;IF(AND(WEEKDAY(A2477)&gt;1,WEEKDAY(A2477)&lt;7),"Wkd",TEXT(A2477,"Ddd"))&amp;"-"&amp;TEXT(A2477,"hh"),LoadTable[],3,FALSE)*0.92</f>
        <v>209.6772</v>
      </c>
      <c r="U2477" s="113">
        <f t="shared" si="2644"/>
        <v>20.96772</v>
      </c>
      <c r="V2477">
        <f t="shared" ref="V2477:W2477" si="2690">V2453</f>
        <v>2.8</v>
      </c>
      <c r="W2477">
        <f t="shared" si="2690"/>
        <v>3.2</v>
      </c>
      <c r="X2477" s="9">
        <v>-68.424805766666196</v>
      </c>
      <c r="Y2477" s="39"/>
    </row>
    <row r="2478" spans="1:25" ht="15" thickBot="1">
      <c r="A2478" s="149">
        <f t="shared" si="2626"/>
        <v>45939.124999995976</v>
      </c>
      <c r="B2478" s="30">
        <f t="shared" si="2653"/>
        <v>5000</v>
      </c>
      <c r="C2478" s="8">
        <v>25000</v>
      </c>
      <c r="D2478" s="187">
        <v>0</v>
      </c>
      <c r="E2478" s="187">
        <v>700</v>
      </c>
      <c r="F2478" s="187">
        <v>15000</v>
      </c>
      <c r="G2478" s="30">
        <f t="shared" si="2654"/>
        <v>2470</v>
      </c>
      <c r="H2478" s="8">
        <f t="shared" si="2654"/>
        <v>25000</v>
      </c>
      <c r="I2478" s="30">
        <f t="shared" si="2655"/>
        <v>5000</v>
      </c>
      <c r="J2478" s="187">
        <v>40000</v>
      </c>
      <c r="K2478" s="30">
        <f t="shared" si="2656"/>
        <v>5000</v>
      </c>
      <c r="L2478" s="187">
        <v>40000</v>
      </c>
      <c r="M2478" s="110">
        <v>9.5</v>
      </c>
      <c r="N2478" s="9">
        <f>VLOOKUP(DATE(YEAR(A2478),MONTH(A2478),DAY(A2478)),FY24_Temp[],3,FALSE)</f>
        <v>17.25</v>
      </c>
      <c r="O2478" s="110">
        <f t="shared" si="2642"/>
        <v>11.5</v>
      </c>
      <c r="P2478" s="110">
        <f t="shared" si="2643"/>
        <v>19.5</v>
      </c>
      <c r="Q2478" s="79">
        <f>VLOOKUP(VLOOKUP(DATEVALUE(TEXT(A2478,"m/d/yyyy")),FY24_Temp[],5,FALSE)&amp;TEXT(A2478,"-h"),TempDelta[],4,FALSE)</f>
        <v>1.1134285586220878</v>
      </c>
      <c r="R2478">
        <v>10</v>
      </c>
      <c r="S2478" s="112">
        <v>1500</v>
      </c>
      <c r="T2478" s="5">
        <f>VLOOKUP(TEXT(A2478,"yy-mm")&amp;"-"&amp;IF(AND(WEEKDAY(A2478)&gt;1,WEEKDAY(A2478)&lt;7),"Wkd",TEXT(A2478,"Ddd"))&amp;"-"&amp;TEXT(A2478,"hh"),LoadTable[],3,FALSE)*0.92</f>
        <v>209.6772</v>
      </c>
      <c r="U2478" s="113">
        <f t="shared" si="2644"/>
        <v>20.96772</v>
      </c>
      <c r="V2478">
        <f t="shared" ref="V2478:W2478" si="2691">V2454</f>
        <v>2.7</v>
      </c>
      <c r="W2478">
        <f t="shared" si="2691"/>
        <v>3.2</v>
      </c>
      <c r="X2478" s="9">
        <v>-68.502600316666204</v>
      </c>
      <c r="Y2478" s="39"/>
    </row>
    <row r="2479" spans="1:25" ht="15" thickBot="1">
      <c r="A2479" s="149">
        <f t="shared" si="2626"/>
        <v>45939.166666662641</v>
      </c>
      <c r="B2479" s="30">
        <f t="shared" si="2653"/>
        <v>5000</v>
      </c>
      <c r="C2479" s="8">
        <v>25000</v>
      </c>
      <c r="D2479" s="187">
        <v>0</v>
      </c>
      <c r="E2479" s="187">
        <v>700</v>
      </c>
      <c r="F2479" s="187">
        <v>15000</v>
      </c>
      <c r="G2479" s="30">
        <f t="shared" si="2654"/>
        <v>2470</v>
      </c>
      <c r="H2479" s="8">
        <f t="shared" si="2654"/>
        <v>25000</v>
      </c>
      <c r="I2479" s="30">
        <f t="shared" si="2655"/>
        <v>5000</v>
      </c>
      <c r="J2479" s="187">
        <v>40000</v>
      </c>
      <c r="K2479" s="30">
        <f t="shared" si="2656"/>
        <v>5000</v>
      </c>
      <c r="L2479" s="187">
        <v>40000</v>
      </c>
      <c r="M2479" s="110">
        <v>9.5</v>
      </c>
      <c r="N2479" s="9">
        <f>VLOOKUP(DATE(YEAR(A2479),MONTH(A2479),DAY(A2479)),FY24_Temp[],3,FALSE)</f>
        <v>17.25</v>
      </c>
      <c r="O2479" s="110">
        <f t="shared" si="2642"/>
        <v>11.5</v>
      </c>
      <c r="P2479" s="110">
        <f t="shared" si="2643"/>
        <v>19.5</v>
      </c>
      <c r="Q2479" s="79">
        <f>VLOOKUP(VLOOKUP(DATEVALUE(TEXT(A2479,"m/d/yyyy")),FY24_Temp[],5,FALSE)&amp;TEXT(A2479,"-h"),TempDelta[],4,FALSE)</f>
        <v>1.0284285715648107</v>
      </c>
      <c r="R2479">
        <v>10</v>
      </c>
      <c r="S2479" s="112">
        <v>1500</v>
      </c>
      <c r="T2479" s="5">
        <f>VLOOKUP(TEXT(A2479,"yy-mm")&amp;"-"&amp;IF(AND(WEEKDAY(A2479)&gt;1,WEEKDAY(A2479)&lt;7),"Wkd",TEXT(A2479,"Ddd"))&amp;"-"&amp;TEXT(A2479,"hh"),LoadTable[],3,FALSE)*0.92</f>
        <v>209.6772</v>
      </c>
      <c r="U2479" s="113">
        <f t="shared" si="2644"/>
        <v>20.96772</v>
      </c>
      <c r="V2479">
        <f t="shared" ref="V2479:W2479" si="2692">V2455</f>
        <v>3</v>
      </c>
      <c r="W2479">
        <f t="shared" si="2692"/>
        <v>3.1</v>
      </c>
      <c r="X2479" s="9">
        <v>-68.580394866666197</v>
      </c>
      <c r="Y2479" s="39"/>
    </row>
    <row r="2480" spans="1:25" ht="15" thickBot="1">
      <c r="A2480" s="149">
        <f t="shared" si="2626"/>
        <v>45939.208333329305</v>
      </c>
      <c r="B2480" s="30">
        <f t="shared" si="2653"/>
        <v>5000</v>
      </c>
      <c r="C2480" s="8">
        <v>25000</v>
      </c>
      <c r="D2480" s="187">
        <v>0</v>
      </c>
      <c r="E2480" s="187">
        <v>700</v>
      </c>
      <c r="F2480" s="187">
        <v>15000</v>
      </c>
      <c r="G2480" s="30">
        <f t="shared" si="2654"/>
        <v>2470</v>
      </c>
      <c r="H2480" s="8">
        <f t="shared" si="2654"/>
        <v>25000</v>
      </c>
      <c r="I2480" s="30">
        <f t="shared" si="2655"/>
        <v>5000</v>
      </c>
      <c r="J2480" s="187">
        <v>40000</v>
      </c>
      <c r="K2480" s="30">
        <f t="shared" si="2656"/>
        <v>5000</v>
      </c>
      <c r="L2480" s="187">
        <v>40000</v>
      </c>
      <c r="M2480" s="110">
        <v>9.5</v>
      </c>
      <c r="N2480" s="9">
        <f>VLOOKUP(DATE(YEAR(A2480),MONTH(A2480),DAY(A2480)),FY24_Temp[],3,FALSE)</f>
        <v>17.25</v>
      </c>
      <c r="O2480" s="110">
        <f t="shared" si="2642"/>
        <v>11.5</v>
      </c>
      <c r="P2480" s="110">
        <f t="shared" si="2643"/>
        <v>19.5</v>
      </c>
      <c r="Q2480" s="79">
        <f>VLOOKUP(VLOOKUP(DATEVALUE(TEXT(A2480,"m/d/yyyy")),FY24_Temp[],5,FALSE)&amp;TEXT(A2480,"-h"),TempDelta[],4,FALSE)</f>
        <v>1.0574285643441337</v>
      </c>
      <c r="R2480">
        <v>10</v>
      </c>
      <c r="S2480" s="112">
        <v>1500</v>
      </c>
      <c r="T2480" s="5">
        <f>VLOOKUP(TEXT(A2480,"yy-mm")&amp;"-"&amp;IF(AND(WEEKDAY(A2480)&gt;1,WEEKDAY(A2480)&lt;7),"Wkd",TEXT(A2480,"Ddd"))&amp;"-"&amp;TEXT(A2480,"hh"),LoadTable[],3,FALSE)*0.92</f>
        <v>209.6772</v>
      </c>
      <c r="U2480" s="113">
        <f t="shared" si="2644"/>
        <v>20.96772</v>
      </c>
      <c r="V2480">
        <f t="shared" ref="V2480:W2480" si="2693">V2456</f>
        <v>2.9</v>
      </c>
      <c r="W2480">
        <f t="shared" si="2693"/>
        <v>3.1</v>
      </c>
      <c r="X2480" s="9">
        <v>-68.658189416666204</v>
      </c>
      <c r="Y2480" s="39"/>
    </row>
    <row r="2481" spans="1:25" ht="15" thickBot="1">
      <c r="A2481" s="149">
        <f t="shared" si="2626"/>
        <v>45939.249999995969</v>
      </c>
      <c r="B2481" s="30">
        <f t="shared" si="2653"/>
        <v>8000</v>
      </c>
      <c r="C2481" s="8">
        <v>25000</v>
      </c>
      <c r="D2481" s="187">
        <v>0</v>
      </c>
      <c r="E2481" s="187">
        <v>700</v>
      </c>
      <c r="F2481" s="187">
        <v>15000</v>
      </c>
      <c r="G2481" s="30">
        <f t="shared" si="2654"/>
        <v>2470</v>
      </c>
      <c r="H2481" s="8">
        <f t="shared" si="2654"/>
        <v>25000</v>
      </c>
      <c r="I2481" s="30">
        <f t="shared" si="2655"/>
        <v>8000</v>
      </c>
      <c r="J2481" s="187">
        <v>40000</v>
      </c>
      <c r="K2481" s="30">
        <f t="shared" si="2656"/>
        <v>8000</v>
      </c>
      <c r="L2481" s="187">
        <v>40000</v>
      </c>
      <c r="M2481" s="110">
        <v>9.5</v>
      </c>
      <c r="N2481" s="9">
        <f>VLOOKUP(DATE(YEAR(A2481),MONTH(A2481),DAY(A2481)),FY24_Temp[],3,FALSE)</f>
        <v>17.25</v>
      </c>
      <c r="O2481" s="110">
        <f t="shared" si="2642"/>
        <v>11.5</v>
      </c>
      <c r="P2481" s="110">
        <f t="shared" si="2643"/>
        <v>19.5</v>
      </c>
      <c r="Q2481" s="79">
        <f>VLOOKUP(VLOOKUP(DATEVALUE(TEXT(A2481,"m/d/yyyy")),FY24_Temp[],5,FALSE)&amp;TEXT(A2481,"-h"),TempDelta[],4,FALSE)</f>
        <v>0.9115714345659528</v>
      </c>
      <c r="R2481">
        <v>10</v>
      </c>
      <c r="S2481" s="112">
        <v>1500</v>
      </c>
      <c r="T2481" s="5">
        <f>VLOOKUP(TEXT(A2481,"yy-mm")&amp;"-"&amp;IF(AND(WEEKDAY(A2481)&gt;1,WEEKDAY(A2481)&lt;7),"Wkd",TEXT(A2481,"Ddd"))&amp;"-"&amp;TEXT(A2481,"hh"),LoadTable[],3,FALSE)*0.92</f>
        <v>209.6772</v>
      </c>
      <c r="U2481" s="113">
        <f t="shared" si="2644"/>
        <v>20.96772</v>
      </c>
      <c r="V2481">
        <f t="shared" ref="V2481:W2481" si="2694">V2457</f>
        <v>2.5</v>
      </c>
      <c r="W2481">
        <f t="shared" si="2694"/>
        <v>3.1</v>
      </c>
      <c r="X2481" s="9">
        <v>-68.735983966666197</v>
      </c>
      <c r="Y2481" s="39"/>
    </row>
    <row r="2482" spans="1:25" ht="15" thickBot="1">
      <c r="A2482" s="149">
        <f t="shared" si="2626"/>
        <v>45939.291666662633</v>
      </c>
      <c r="B2482" s="30">
        <f t="shared" si="2653"/>
        <v>8000</v>
      </c>
      <c r="C2482" s="8">
        <v>25000</v>
      </c>
      <c r="D2482" s="187">
        <v>0</v>
      </c>
      <c r="E2482" s="187">
        <v>700</v>
      </c>
      <c r="F2482" s="187">
        <v>15000</v>
      </c>
      <c r="G2482" s="30">
        <f t="shared" si="2654"/>
        <v>2470</v>
      </c>
      <c r="H2482" s="8">
        <f t="shared" si="2654"/>
        <v>25000</v>
      </c>
      <c r="I2482" s="30">
        <f t="shared" si="2655"/>
        <v>8000</v>
      </c>
      <c r="J2482" s="187">
        <v>40000</v>
      </c>
      <c r="K2482" s="30">
        <f t="shared" si="2656"/>
        <v>8000</v>
      </c>
      <c r="L2482" s="187">
        <v>40000</v>
      </c>
      <c r="M2482" s="110">
        <v>9.5</v>
      </c>
      <c r="N2482" s="9">
        <f>VLOOKUP(DATE(YEAR(A2482),MONTH(A2482),DAY(A2482)),FY24_Temp[],3,FALSE)</f>
        <v>17.25</v>
      </c>
      <c r="O2482" s="110">
        <f t="shared" si="2642"/>
        <v>11.5</v>
      </c>
      <c r="P2482" s="110">
        <f t="shared" si="2643"/>
        <v>19.5</v>
      </c>
      <c r="Q2482" s="79">
        <f>VLOOKUP(VLOOKUP(DATEVALUE(TEXT(A2482,"m/d/yyyy")),FY24_Temp[],5,FALSE)&amp;TEXT(A2482,"-h"),TempDelta[],4,FALSE)</f>
        <v>0.73142857210976742</v>
      </c>
      <c r="R2482">
        <v>10</v>
      </c>
      <c r="S2482" s="112">
        <v>1500</v>
      </c>
      <c r="T2482" s="5">
        <f>VLOOKUP(TEXT(A2482,"yy-mm")&amp;"-"&amp;IF(AND(WEEKDAY(A2482)&gt;1,WEEKDAY(A2482)&lt;7),"Wkd",TEXT(A2482,"Ddd"))&amp;"-"&amp;TEXT(A2482,"hh"),LoadTable[],3,FALSE)*0.92</f>
        <v>234.80148</v>
      </c>
      <c r="U2482" s="113">
        <f t="shared" si="2644"/>
        <v>23.480148</v>
      </c>
      <c r="V2482">
        <f t="shared" ref="V2482:W2482" si="2695">V2458</f>
        <v>2.5</v>
      </c>
      <c r="W2482">
        <f t="shared" si="2695"/>
        <v>3.1</v>
      </c>
      <c r="X2482" s="9">
        <v>-68.813778516666204</v>
      </c>
      <c r="Y2482" s="39"/>
    </row>
    <row r="2483" spans="1:25" ht="15" thickBot="1">
      <c r="A2483" s="149">
        <f t="shared" si="2626"/>
        <v>45939.333333329298</v>
      </c>
      <c r="B2483" s="30">
        <f t="shared" si="2653"/>
        <v>8000</v>
      </c>
      <c r="C2483" s="8">
        <v>25000</v>
      </c>
      <c r="D2483" s="187">
        <v>0</v>
      </c>
      <c r="E2483" s="187">
        <v>700</v>
      </c>
      <c r="F2483" s="187">
        <v>15000</v>
      </c>
      <c r="G2483" s="30">
        <f t="shared" si="2654"/>
        <v>2470</v>
      </c>
      <c r="H2483" s="8">
        <f t="shared" si="2654"/>
        <v>25000</v>
      </c>
      <c r="I2483" s="30">
        <f t="shared" si="2655"/>
        <v>8000</v>
      </c>
      <c r="J2483" s="187">
        <v>40000</v>
      </c>
      <c r="K2483" s="30">
        <f t="shared" si="2656"/>
        <v>8000</v>
      </c>
      <c r="L2483" s="187">
        <v>40000</v>
      </c>
      <c r="M2483" s="110">
        <v>9.5</v>
      </c>
      <c r="N2483" s="9">
        <f>VLOOKUP(DATE(YEAR(A2483),MONTH(A2483),DAY(A2483)),FY24_Temp[],3,FALSE)</f>
        <v>17.25</v>
      </c>
      <c r="O2483" s="110">
        <f t="shared" si="2642"/>
        <v>11.5</v>
      </c>
      <c r="P2483" s="110">
        <f t="shared" si="2643"/>
        <v>19.5</v>
      </c>
      <c r="Q2483" s="79">
        <f>VLOOKUP(VLOOKUP(DATEVALUE(TEXT(A2483,"m/d/yyyy")),FY24_Temp[],5,FALSE)&amp;TEXT(A2483,"-h"),TempDelta[],4,FALSE)</f>
        <v>0.62228572368621826</v>
      </c>
      <c r="R2483">
        <v>10</v>
      </c>
      <c r="S2483" s="112">
        <v>1500</v>
      </c>
      <c r="T2483" s="5">
        <f>VLOOKUP(TEXT(A2483,"yy-mm")&amp;"-"&amp;IF(AND(WEEKDAY(A2483)&gt;1,WEEKDAY(A2483)&lt;7),"Wkd",TEXT(A2483,"Ddd"))&amp;"-"&amp;TEXT(A2483,"hh"),LoadTable[],3,FALSE)*0.92</f>
        <v>234.80148</v>
      </c>
      <c r="U2483" s="113">
        <f t="shared" si="2644"/>
        <v>23.480148</v>
      </c>
      <c r="V2483">
        <f t="shared" ref="V2483:W2483" si="2696">V2459</f>
        <v>3.2</v>
      </c>
      <c r="W2483">
        <f t="shared" si="2696"/>
        <v>3</v>
      </c>
      <c r="X2483" s="9">
        <v>-68.891573066666197</v>
      </c>
      <c r="Y2483" s="39"/>
    </row>
    <row r="2484" spans="1:25" ht="15" thickBot="1">
      <c r="A2484" s="149">
        <f t="shared" si="2626"/>
        <v>45939.374999995962</v>
      </c>
      <c r="B2484" s="30">
        <f t="shared" si="2653"/>
        <v>8000</v>
      </c>
      <c r="C2484" s="8">
        <v>25000</v>
      </c>
      <c r="D2484" s="187">
        <v>0</v>
      </c>
      <c r="E2484" s="187">
        <v>700</v>
      </c>
      <c r="F2484" s="187">
        <v>15000</v>
      </c>
      <c r="G2484" s="30">
        <f t="shared" si="2654"/>
        <v>2470</v>
      </c>
      <c r="H2484" s="8">
        <f t="shared" si="2654"/>
        <v>25000</v>
      </c>
      <c r="I2484" s="30">
        <f t="shared" si="2655"/>
        <v>8000</v>
      </c>
      <c r="J2484" s="187">
        <v>40000</v>
      </c>
      <c r="K2484" s="30">
        <f t="shared" si="2656"/>
        <v>8000</v>
      </c>
      <c r="L2484" s="187">
        <v>40000</v>
      </c>
      <c r="M2484" s="110">
        <v>9.5</v>
      </c>
      <c r="N2484" s="9">
        <f>VLOOKUP(DATE(YEAR(A2484),MONTH(A2484),DAY(A2484)),FY24_Temp[],3,FALSE)</f>
        <v>17.25</v>
      </c>
      <c r="O2484" s="110">
        <f t="shared" si="2642"/>
        <v>11.5</v>
      </c>
      <c r="P2484" s="110">
        <f t="shared" si="2643"/>
        <v>19.5</v>
      </c>
      <c r="Q2484" s="79">
        <f>VLOOKUP(VLOOKUP(DATEVALUE(TEXT(A2484,"m/d/yyyy")),FY24_Temp[],5,FALSE)&amp;TEXT(A2484,"-h"),TempDelta[],4,FALSE)</f>
        <v>0.53400000504084999</v>
      </c>
      <c r="R2484">
        <v>10</v>
      </c>
      <c r="S2484" s="112">
        <v>1500</v>
      </c>
      <c r="T2484" s="5">
        <f>VLOOKUP(TEXT(A2484,"yy-mm")&amp;"-"&amp;IF(AND(WEEKDAY(A2484)&gt;1,WEEKDAY(A2484)&lt;7),"Wkd",TEXT(A2484,"Ddd"))&amp;"-"&amp;TEXT(A2484,"hh"),LoadTable[],3,FALSE)*0.92</f>
        <v>234.80148</v>
      </c>
      <c r="U2484" s="113">
        <f t="shared" si="2644"/>
        <v>23.480148</v>
      </c>
      <c r="V2484">
        <f t="shared" ref="V2484:W2484" si="2697">V2460</f>
        <v>2.9</v>
      </c>
      <c r="W2484">
        <f t="shared" si="2697"/>
        <v>3</v>
      </c>
      <c r="X2484" s="9">
        <v>-68.969367616666204</v>
      </c>
      <c r="Y2484" s="39"/>
    </row>
    <row r="2485" spans="1:25" ht="15" thickBot="1">
      <c r="A2485" s="149">
        <f t="shared" ref="A2485:A2548" si="2698">A2484+TIME(1,0,0)</f>
        <v>45939.416666662626</v>
      </c>
      <c r="B2485" s="30">
        <f t="shared" si="2653"/>
        <v>8000</v>
      </c>
      <c r="C2485" s="8">
        <v>25000</v>
      </c>
      <c r="D2485" s="187">
        <v>0</v>
      </c>
      <c r="E2485" s="187">
        <v>700</v>
      </c>
      <c r="F2485" s="187">
        <v>15000</v>
      </c>
      <c r="G2485" s="30">
        <f t="shared" si="2654"/>
        <v>2470</v>
      </c>
      <c r="H2485" s="8">
        <f t="shared" si="2654"/>
        <v>25000</v>
      </c>
      <c r="I2485" s="30">
        <f t="shared" si="2655"/>
        <v>8000</v>
      </c>
      <c r="J2485" s="187">
        <v>40000</v>
      </c>
      <c r="K2485" s="30">
        <f t="shared" si="2656"/>
        <v>8000</v>
      </c>
      <c r="L2485" s="187">
        <v>40000</v>
      </c>
      <c r="M2485" s="110">
        <v>9.5</v>
      </c>
      <c r="N2485" s="9">
        <f>VLOOKUP(DATE(YEAR(A2485),MONTH(A2485),DAY(A2485)),FY24_Temp[],3,FALSE)</f>
        <v>17.25</v>
      </c>
      <c r="O2485" s="110">
        <f t="shared" si="2642"/>
        <v>11.5</v>
      </c>
      <c r="P2485" s="110">
        <f t="shared" si="2643"/>
        <v>19.5</v>
      </c>
      <c r="Q2485" s="79">
        <f>VLOOKUP(VLOOKUP(DATEVALUE(TEXT(A2485,"m/d/yyyy")),FY24_Temp[],5,FALSE)&amp;TEXT(A2485,"-h"),TempDelta[],4,FALSE)</f>
        <v>0.42900000299726215</v>
      </c>
      <c r="R2485">
        <v>10</v>
      </c>
      <c r="S2485" s="112">
        <v>1500</v>
      </c>
      <c r="T2485" s="5">
        <f>VLOOKUP(TEXT(A2485,"yy-mm")&amp;"-"&amp;IF(AND(WEEKDAY(A2485)&gt;1,WEEKDAY(A2485)&lt;7),"Wkd",TEXT(A2485,"Ddd"))&amp;"-"&amp;TEXT(A2485,"hh"),LoadTable[],3,FALSE)*0.92</f>
        <v>234.80148</v>
      </c>
      <c r="U2485" s="113">
        <f t="shared" si="2644"/>
        <v>23.480148</v>
      </c>
      <c r="V2485">
        <f t="shared" ref="V2485:W2485" si="2699">V2461</f>
        <v>2.9</v>
      </c>
      <c r="W2485">
        <f t="shared" si="2699"/>
        <v>3</v>
      </c>
      <c r="X2485" s="9">
        <v>-69.047162166666297</v>
      </c>
      <c r="Y2485" s="39"/>
    </row>
    <row r="2486" spans="1:25" ht="15" thickBot="1">
      <c r="A2486" s="149">
        <f t="shared" si="2698"/>
        <v>45939.45833332929</v>
      </c>
      <c r="B2486" s="30">
        <f t="shared" si="2653"/>
        <v>8000</v>
      </c>
      <c r="C2486" s="8">
        <v>25000</v>
      </c>
      <c r="D2486" s="187">
        <v>0</v>
      </c>
      <c r="E2486" s="187">
        <v>700</v>
      </c>
      <c r="F2486" s="187">
        <v>15000</v>
      </c>
      <c r="G2486" s="30">
        <f t="shared" si="2654"/>
        <v>2470</v>
      </c>
      <c r="H2486" s="8">
        <f t="shared" si="2654"/>
        <v>25000</v>
      </c>
      <c r="I2486" s="30">
        <f t="shared" si="2655"/>
        <v>8000</v>
      </c>
      <c r="J2486" s="187">
        <v>40000</v>
      </c>
      <c r="K2486" s="30">
        <f t="shared" si="2656"/>
        <v>8000</v>
      </c>
      <c r="L2486" s="187">
        <v>40000</v>
      </c>
      <c r="M2486" s="110">
        <v>9.5</v>
      </c>
      <c r="N2486" s="9">
        <f>VLOOKUP(DATE(YEAR(A2486),MONTH(A2486),DAY(A2486)),FY24_Temp[],3,FALSE)</f>
        <v>17.25</v>
      </c>
      <c r="O2486" s="110">
        <f t="shared" si="2642"/>
        <v>11.5</v>
      </c>
      <c r="P2486" s="110">
        <f t="shared" si="2643"/>
        <v>19.5</v>
      </c>
      <c r="Q2486" s="79">
        <f>VLOOKUP(VLOOKUP(DATEVALUE(TEXT(A2486,"m/d/yyyy")),FY24_Temp[],5,FALSE)&amp;TEXT(A2486,"-h"),TempDelta[],4,FALSE)</f>
        <v>0.33714285918644499</v>
      </c>
      <c r="R2486">
        <v>10</v>
      </c>
      <c r="S2486" s="112">
        <v>1500</v>
      </c>
      <c r="T2486" s="5">
        <f>VLOOKUP(TEXT(A2486,"yy-mm")&amp;"-"&amp;IF(AND(WEEKDAY(A2486)&gt;1,WEEKDAY(A2486)&lt;7),"Wkd",TEXT(A2486,"Ddd"))&amp;"-"&amp;TEXT(A2486,"hh"),LoadTable[],3,FALSE)*0.92</f>
        <v>234.80148</v>
      </c>
      <c r="U2486" s="113">
        <f t="shared" si="2644"/>
        <v>23.480148</v>
      </c>
      <c r="V2486">
        <f t="shared" ref="V2486:W2486" si="2700">V2462</f>
        <v>3.4</v>
      </c>
      <c r="W2486">
        <f t="shared" si="2700"/>
        <v>3</v>
      </c>
      <c r="X2486" s="9">
        <v>-69.124956716666304</v>
      </c>
      <c r="Y2486" s="39"/>
    </row>
    <row r="2487" spans="1:25" ht="15" thickBot="1">
      <c r="A2487" s="149">
        <f t="shared" si="2698"/>
        <v>45939.499999995955</v>
      </c>
      <c r="B2487" s="30">
        <f t="shared" si="2653"/>
        <v>8000</v>
      </c>
      <c r="C2487" s="8">
        <v>25000</v>
      </c>
      <c r="D2487" s="187">
        <v>0</v>
      </c>
      <c r="E2487" s="187">
        <v>700</v>
      </c>
      <c r="F2487" s="187">
        <v>15000</v>
      </c>
      <c r="G2487" s="30">
        <f t="shared" si="2654"/>
        <v>2470</v>
      </c>
      <c r="H2487" s="8">
        <f t="shared" si="2654"/>
        <v>25000</v>
      </c>
      <c r="I2487" s="30">
        <f t="shared" si="2655"/>
        <v>8000</v>
      </c>
      <c r="J2487" s="187">
        <v>40000</v>
      </c>
      <c r="K2487" s="30">
        <f t="shared" si="2656"/>
        <v>8000</v>
      </c>
      <c r="L2487" s="187">
        <v>40000</v>
      </c>
      <c r="M2487" s="110">
        <v>9.5</v>
      </c>
      <c r="N2487" s="9">
        <f>VLOOKUP(DATE(YEAR(A2487),MONTH(A2487),DAY(A2487)),FY24_Temp[],3,FALSE)</f>
        <v>17.25</v>
      </c>
      <c r="O2487" s="110">
        <f t="shared" si="2642"/>
        <v>11.5</v>
      </c>
      <c r="P2487" s="110">
        <f t="shared" si="2643"/>
        <v>19.5</v>
      </c>
      <c r="Q2487" s="79">
        <f>VLOOKUP(VLOOKUP(DATEVALUE(TEXT(A2487,"m/d/yyyy")),FY24_Temp[],5,FALSE)&amp;TEXT(A2487,"-h"),TempDelta[],4,FALSE)</f>
        <v>0.2629999986716679</v>
      </c>
      <c r="R2487">
        <v>10</v>
      </c>
      <c r="S2487" s="112">
        <v>1500</v>
      </c>
      <c r="T2487" s="5">
        <f>VLOOKUP(TEXT(A2487,"yy-mm")&amp;"-"&amp;IF(AND(WEEKDAY(A2487)&gt;1,WEEKDAY(A2487)&lt;7),"Wkd",TEXT(A2487,"Ddd"))&amp;"-"&amp;TEXT(A2487,"hh"),LoadTable[],3,FALSE)*0.92</f>
        <v>234.80148</v>
      </c>
      <c r="U2487" s="113">
        <f t="shared" si="2644"/>
        <v>23.480148</v>
      </c>
      <c r="V2487">
        <f t="shared" ref="V2487:W2487" si="2701">V2463</f>
        <v>3.1</v>
      </c>
      <c r="W2487">
        <f t="shared" si="2701"/>
        <v>2.9</v>
      </c>
      <c r="X2487" s="9">
        <v>-69.202751266666297</v>
      </c>
      <c r="Y2487" s="39"/>
    </row>
    <row r="2488" spans="1:25" ht="15" thickBot="1">
      <c r="A2488" s="149">
        <f t="shared" si="2698"/>
        <v>45939.541666662619</v>
      </c>
      <c r="B2488" s="30">
        <f t="shared" si="2653"/>
        <v>8000</v>
      </c>
      <c r="C2488" s="8">
        <v>25000</v>
      </c>
      <c r="D2488" s="187">
        <v>0</v>
      </c>
      <c r="E2488" s="187">
        <v>700</v>
      </c>
      <c r="F2488" s="187">
        <v>15000</v>
      </c>
      <c r="G2488" s="30">
        <f t="shared" si="2654"/>
        <v>2470</v>
      </c>
      <c r="H2488" s="8">
        <f t="shared" si="2654"/>
        <v>25000</v>
      </c>
      <c r="I2488" s="30">
        <f t="shared" si="2655"/>
        <v>8000</v>
      </c>
      <c r="J2488" s="187">
        <v>40000</v>
      </c>
      <c r="K2488" s="30">
        <f t="shared" si="2656"/>
        <v>8000</v>
      </c>
      <c r="L2488" s="187">
        <v>40000</v>
      </c>
      <c r="M2488" s="110">
        <v>9.5</v>
      </c>
      <c r="N2488" s="9">
        <f>VLOOKUP(DATE(YEAR(A2488),MONTH(A2488),DAY(A2488)),FY24_Temp[],3,FALSE)</f>
        <v>17.25</v>
      </c>
      <c r="O2488" s="110">
        <f t="shared" si="2642"/>
        <v>11.5</v>
      </c>
      <c r="P2488" s="110">
        <f t="shared" si="2643"/>
        <v>19.5</v>
      </c>
      <c r="Q2488" s="79">
        <f>VLOOKUP(VLOOKUP(DATEVALUE(TEXT(A2488,"m/d/yyyy")),FY24_Temp[],5,FALSE)&amp;TEXT(A2488,"-h"),TempDelta[],4,FALSE)</f>
        <v>0.22185713904244558</v>
      </c>
      <c r="R2488">
        <v>10</v>
      </c>
      <c r="S2488" s="112">
        <v>1500</v>
      </c>
      <c r="T2488" s="5">
        <f>VLOOKUP(TEXT(A2488,"yy-mm")&amp;"-"&amp;IF(AND(WEEKDAY(A2488)&gt;1,WEEKDAY(A2488)&lt;7),"Wkd",TEXT(A2488,"Ddd"))&amp;"-"&amp;TEXT(A2488,"hh"),LoadTable[],3,FALSE)*0.92</f>
        <v>234.80148</v>
      </c>
      <c r="U2488" s="113">
        <f t="shared" si="2644"/>
        <v>23.480148</v>
      </c>
      <c r="V2488">
        <f t="shared" ref="V2488:W2488" si="2702">V2464</f>
        <v>3.2</v>
      </c>
      <c r="W2488">
        <f t="shared" si="2702"/>
        <v>2.9</v>
      </c>
      <c r="X2488" s="9">
        <v>-69.280545816666304</v>
      </c>
      <c r="Y2488" s="39"/>
    </row>
    <row r="2489" spans="1:25" ht="15" thickBot="1">
      <c r="A2489" s="149">
        <f t="shared" si="2698"/>
        <v>45939.583333329283</v>
      </c>
      <c r="B2489" s="30">
        <f t="shared" si="2653"/>
        <v>8000</v>
      </c>
      <c r="C2489" s="8">
        <v>25000</v>
      </c>
      <c r="D2489" s="187">
        <v>0</v>
      </c>
      <c r="E2489" s="187">
        <v>700</v>
      </c>
      <c r="F2489" s="187">
        <v>15000</v>
      </c>
      <c r="G2489" s="30">
        <f t="shared" si="2654"/>
        <v>2470</v>
      </c>
      <c r="H2489" s="8">
        <f t="shared" si="2654"/>
        <v>25000</v>
      </c>
      <c r="I2489" s="30">
        <f t="shared" si="2655"/>
        <v>8000</v>
      </c>
      <c r="J2489" s="187">
        <v>40000</v>
      </c>
      <c r="K2489" s="30">
        <f t="shared" si="2656"/>
        <v>8000</v>
      </c>
      <c r="L2489" s="187">
        <v>40000</v>
      </c>
      <c r="M2489" s="110">
        <v>9.5</v>
      </c>
      <c r="N2489" s="9">
        <f>VLOOKUP(DATE(YEAR(A2489),MONTH(A2489),DAY(A2489)),FY24_Temp[],3,FALSE)</f>
        <v>17.25</v>
      </c>
      <c r="O2489" s="110">
        <f t="shared" si="2642"/>
        <v>11.5</v>
      </c>
      <c r="P2489" s="110">
        <f t="shared" si="2643"/>
        <v>19.5</v>
      </c>
      <c r="Q2489" s="79">
        <f>VLOOKUP(VLOOKUP(DATEVALUE(TEXT(A2489,"m/d/yyyy")),FY24_Temp[],5,FALSE)&amp;TEXT(A2489,"-h"),TempDelta[],4,FALSE)</f>
        <v>0.29271428287029266</v>
      </c>
      <c r="R2489">
        <v>10</v>
      </c>
      <c r="S2489" s="112">
        <v>1500</v>
      </c>
      <c r="T2489" s="5">
        <f>VLOOKUP(TEXT(A2489,"yy-mm")&amp;"-"&amp;IF(AND(WEEKDAY(A2489)&gt;1,WEEKDAY(A2489)&lt;7),"Wkd",TEXT(A2489,"Ddd"))&amp;"-"&amp;TEXT(A2489,"hh"),LoadTable[],3,FALSE)*0.92</f>
        <v>234.80148</v>
      </c>
      <c r="U2489" s="113">
        <f t="shared" si="2644"/>
        <v>23.480148</v>
      </c>
      <c r="V2489">
        <f t="shared" ref="V2489:W2489" si="2703">V2465</f>
        <v>3.5</v>
      </c>
      <c r="W2489">
        <f t="shared" si="2703"/>
        <v>2.9</v>
      </c>
      <c r="X2489" s="9">
        <v>-69.358340366666297</v>
      </c>
      <c r="Y2489" s="39"/>
    </row>
    <row r="2490" spans="1:25" ht="15" thickBot="1">
      <c r="A2490" s="149">
        <f t="shared" si="2698"/>
        <v>45939.624999995947</v>
      </c>
      <c r="B2490" s="30">
        <f t="shared" si="2653"/>
        <v>8000</v>
      </c>
      <c r="C2490" s="8">
        <v>25000</v>
      </c>
      <c r="D2490" s="187">
        <v>0</v>
      </c>
      <c r="E2490" s="187">
        <v>700</v>
      </c>
      <c r="F2490" s="187">
        <v>15000</v>
      </c>
      <c r="G2490" s="30">
        <f t="shared" si="2654"/>
        <v>2470</v>
      </c>
      <c r="H2490" s="8">
        <f t="shared" si="2654"/>
        <v>25000</v>
      </c>
      <c r="I2490" s="30">
        <f t="shared" si="2655"/>
        <v>8000</v>
      </c>
      <c r="J2490" s="187">
        <v>40000</v>
      </c>
      <c r="K2490" s="30">
        <f t="shared" si="2656"/>
        <v>8000</v>
      </c>
      <c r="L2490" s="187">
        <v>40000</v>
      </c>
      <c r="M2490" s="110">
        <v>9.5</v>
      </c>
      <c r="N2490" s="9">
        <f>VLOOKUP(DATE(YEAR(A2490),MONTH(A2490),DAY(A2490)),FY24_Temp[],3,FALSE)</f>
        <v>17.25</v>
      </c>
      <c r="O2490" s="110">
        <f t="shared" si="2642"/>
        <v>11.5</v>
      </c>
      <c r="P2490" s="110">
        <f t="shared" si="2643"/>
        <v>19.5</v>
      </c>
      <c r="Q2490" s="79">
        <f>VLOOKUP(VLOOKUP(DATEVALUE(TEXT(A2490,"m/d/yyyy")),FY24_Temp[],5,FALSE)&amp;TEXT(A2490,"-h"),TempDelta[],4,FALSE)</f>
        <v>0.3973571445260729</v>
      </c>
      <c r="R2490">
        <v>10</v>
      </c>
      <c r="S2490" s="112">
        <v>1500</v>
      </c>
      <c r="T2490" s="5">
        <f>VLOOKUP(TEXT(A2490,"yy-mm")&amp;"-"&amp;IF(AND(WEEKDAY(A2490)&gt;1,WEEKDAY(A2490)&lt;7),"Wkd",TEXT(A2490,"Ddd"))&amp;"-"&amp;TEXT(A2490,"hh"),LoadTable[],3,FALSE)*0.92</f>
        <v>234.80148</v>
      </c>
      <c r="U2490" s="113">
        <f t="shared" si="2644"/>
        <v>23.480148</v>
      </c>
      <c r="V2490">
        <f t="shared" ref="V2490:W2490" si="2704">V2466</f>
        <v>3.2</v>
      </c>
      <c r="W2490">
        <f t="shared" si="2704"/>
        <v>2.9</v>
      </c>
      <c r="X2490" s="9">
        <v>-69.436134916666305</v>
      </c>
      <c r="Y2490" s="39"/>
    </row>
    <row r="2491" spans="1:25" ht="15" thickBot="1">
      <c r="A2491" s="149">
        <f t="shared" si="2698"/>
        <v>45939.666666662612</v>
      </c>
      <c r="B2491" s="30">
        <f t="shared" si="2653"/>
        <v>8000</v>
      </c>
      <c r="C2491" s="8">
        <v>25000</v>
      </c>
      <c r="D2491" s="187">
        <v>0</v>
      </c>
      <c r="E2491" s="187">
        <v>700</v>
      </c>
      <c r="F2491" s="187">
        <v>15000</v>
      </c>
      <c r="G2491" s="30">
        <f t="shared" si="2654"/>
        <v>2470</v>
      </c>
      <c r="H2491" s="8">
        <f t="shared" si="2654"/>
        <v>25000</v>
      </c>
      <c r="I2491" s="30">
        <f t="shared" si="2655"/>
        <v>8000</v>
      </c>
      <c r="J2491" s="187">
        <v>40000</v>
      </c>
      <c r="K2491" s="30">
        <f t="shared" si="2656"/>
        <v>8000</v>
      </c>
      <c r="L2491" s="187">
        <v>40000</v>
      </c>
      <c r="M2491" s="110">
        <v>9.5</v>
      </c>
      <c r="N2491" s="9">
        <f>VLOOKUP(DATE(YEAR(A2491),MONTH(A2491),DAY(A2491)),FY24_Temp[],3,FALSE)</f>
        <v>17.25</v>
      </c>
      <c r="O2491" s="110">
        <f t="shared" si="2642"/>
        <v>11.5</v>
      </c>
      <c r="P2491" s="110">
        <f t="shared" si="2643"/>
        <v>19.5</v>
      </c>
      <c r="Q2491" s="79">
        <f>VLOOKUP(VLOOKUP(DATEVALUE(TEXT(A2491,"m/d/yyyy")),FY24_Temp[],5,FALSE)&amp;TEXT(A2491,"-h"),TempDelta[],4,FALSE)</f>
        <v>0.63707143068313599</v>
      </c>
      <c r="R2491">
        <v>10</v>
      </c>
      <c r="S2491" s="112">
        <v>1500</v>
      </c>
      <c r="T2491" s="5">
        <f>VLOOKUP(TEXT(A2491,"yy-mm")&amp;"-"&amp;IF(AND(WEEKDAY(A2491)&gt;1,WEEKDAY(A2491)&lt;7),"Wkd",TEXT(A2491,"Ddd"))&amp;"-"&amp;TEXT(A2491,"hh"),LoadTable[],3,FALSE)*0.92</f>
        <v>234.80148</v>
      </c>
      <c r="U2491" s="113">
        <f t="shared" si="2644"/>
        <v>23.480148</v>
      </c>
      <c r="V2491">
        <f t="shared" ref="V2491:W2491" si="2705">V2467</f>
        <v>3.5</v>
      </c>
      <c r="W2491">
        <f t="shared" si="2705"/>
        <v>3</v>
      </c>
      <c r="X2491" s="9">
        <v>-69.513929466666298</v>
      </c>
      <c r="Y2491" s="39"/>
    </row>
    <row r="2492" spans="1:25" ht="15" thickBot="1">
      <c r="A2492" s="149">
        <f t="shared" si="2698"/>
        <v>45939.708333329276</v>
      </c>
      <c r="B2492" s="30">
        <f t="shared" si="2653"/>
        <v>8000</v>
      </c>
      <c r="C2492" s="8">
        <v>25000</v>
      </c>
      <c r="D2492" s="187">
        <v>0</v>
      </c>
      <c r="E2492" s="187">
        <v>700</v>
      </c>
      <c r="F2492" s="187">
        <v>15000</v>
      </c>
      <c r="G2492" s="30">
        <f t="shared" si="2654"/>
        <v>2470</v>
      </c>
      <c r="H2492" s="8">
        <f t="shared" si="2654"/>
        <v>25000</v>
      </c>
      <c r="I2492" s="30">
        <f t="shared" si="2655"/>
        <v>8000</v>
      </c>
      <c r="J2492" s="187">
        <v>40000</v>
      </c>
      <c r="K2492" s="30">
        <f t="shared" si="2656"/>
        <v>8000</v>
      </c>
      <c r="L2492" s="187">
        <v>40000</v>
      </c>
      <c r="M2492" s="110">
        <v>9.5</v>
      </c>
      <c r="N2492" s="9">
        <f>VLOOKUP(DATE(YEAR(A2492),MONTH(A2492),DAY(A2492)),FY24_Temp[],3,FALSE)</f>
        <v>17.25</v>
      </c>
      <c r="O2492" s="110">
        <f t="shared" si="2642"/>
        <v>11.5</v>
      </c>
      <c r="P2492" s="110">
        <f t="shared" si="2643"/>
        <v>19.5</v>
      </c>
      <c r="Q2492" s="79">
        <f>VLOOKUP(VLOOKUP(DATEVALUE(TEXT(A2492,"m/d/yyyy")),FY24_Temp[],5,FALSE)&amp;TEXT(A2492,"-h"),TempDelta[],4,FALSE)</f>
        <v>0.76450000064713619</v>
      </c>
      <c r="R2492">
        <v>10</v>
      </c>
      <c r="S2492" s="112">
        <v>1500</v>
      </c>
      <c r="T2492" s="5">
        <f>VLOOKUP(TEXT(A2492,"yy-mm")&amp;"-"&amp;IF(AND(WEEKDAY(A2492)&gt;1,WEEKDAY(A2492)&lt;7),"Wkd",TEXT(A2492,"Ddd"))&amp;"-"&amp;TEXT(A2492,"hh"),LoadTable[],3,FALSE)*0.92</f>
        <v>234.80148</v>
      </c>
      <c r="U2492" s="113">
        <f t="shared" si="2644"/>
        <v>23.480148</v>
      </c>
      <c r="V2492">
        <f t="shared" ref="V2492:W2492" si="2706">V2468</f>
        <v>3.6</v>
      </c>
      <c r="W2492">
        <f t="shared" si="2706"/>
        <v>3</v>
      </c>
      <c r="X2492" s="9">
        <v>-69.591724016666305</v>
      </c>
      <c r="Y2492" s="39"/>
    </row>
    <row r="2493" spans="1:25" ht="15" thickBot="1">
      <c r="A2493" s="149">
        <f t="shared" si="2698"/>
        <v>45939.74999999594</v>
      </c>
      <c r="B2493" s="30">
        <f t="shared" si="2653"/>
        <v>5000</v>
      </c>
      <c r="C2493" s="8">
        <v>25000</v>
      </c>
      <c r="D2493" s="187">
        <v>0</v>
      </c>
      <c r="E2493" s="187">
        <v>700</v>
      </c>
      <c r="F2493" s="187">
        <v>15000</v>
      </c>
      <c r="G2493" s="30">
        <f t="shared" si="2654"/>
        <v>2470</v>
      </c>
      <c r="H2493" s="8">
        <f t="shared" si="2654"/>
        <v>25000</v>
      </c>
      <c r="I2493" s="30">
        <f t="shared" si="2655"/>
        <v>5000</v>
      </c>
      <c r="J2493" s="187">
        <v>40000</v>
      </c>
      <c r="K2493" s="30">
        <f t="shared" si="2656"/>
        <v>5000</v>
      </c>
      <c r="L2493" s="187">
        <v>40000</v>
      </c>
      <c r="M2493" s="110">
        <v>9.5</v>
      </c>
      <c r="N2493" s="9">
        <f>VLOOKUP(DATE(YEAR(A2493),MONTH(A2493),DAY(A2493)),FY24_Temp[],3,FALSE)</f>
        <v>17.25</v>
      </c>
      <c r="O2493" s="110">
        <f t="shared" si="2642"/>
        <v>11.5</v>
      </c>
      <c r="P2493" s="110">
        <f t="shared" si="2643"/>
        <v>19.5</v>
      </c>
      <c r="Q2493" s="79">
        <f>VLOOKUP(VLOOKUP(DATEVALUE(TEXT(A2493,"m/d/yyyy")),FY24_Temp[],5,FALSE)&amp;TEXT(A2493,"-h"),TempDelta[],4,FALSE)</f>
        <v>0.91657142128263203</v>
      </c>
      <c r="R2493">
        <v>10</v>
      </c>
      <c r="S2493" s="112">
        <v>1500</v>
      </c>
      <c r="T2493" s="5">
        <f>VLOOKUP(TEXT(A2493,"yy-mm")&amp;"-"&amp;IF(AND(WEEKDAY(A2493)&gt;1,WEEKDAY(A2493)&lt;7),"Wkd",TEXT(A2493,"Ddd"))&amp;"-"&amp;TEXT(A2493,"hh"),LoadTable[],3,FALSE)*0.92</f>
        <v>303.31295999999998</v>
      </c>
      <c r="U2493" s="113">
        <f t="shared" si="2644"/>
        <v>30.331295999999998</v>
      </c>
      <c r="V2493">
        <f t="shared" ref="V2493:W2493" si="2707">V2469</f>
        <v>2.9</v>
      </c>
      <c r="W2493">
        <f t="shared" si="2707"/>
        <v>3</v>
      </c>
      <c r="X2493" s="9">
        <v>-69.669518566666298</v>
      </c>
      <c r="Y2493" s="39"/>
    </row>
    <row r="2494" spans="1:25" ht="15" thickBot="1">
      <c r="A2494" s="149">
        <f t="shared" si="2698"/>
        <v>45939.791666662604</v>
      </c>
      <c r="B2494" s="30">
        <f t="shared" si="2653"/>
        <v>5000</v>
      </c>
      <c r="C2494" s="8">
        <v>25000</v>
      </c>
      <c r="D2494" s="187">
        <v>0</v>
      </c>
      <c r="E2494" s="187">
        <v>700</v>
      </c>
      <c r="F2494" s="187">
        <v>15000</v>
      </c>
      <c r="G2494" s="30">
        <f t="shared" si="2654"/>
        <v>2470</v>
      </c>
      <c r="H2494" s="8">
        <f t="shared" si="2654"/>
        <v>25000</v>
      </c>
      <c r="I2494" s="30">
        <f t="shared" si="2655"/>
        <v>5000</v>
      </c>
      <c r="J2494" s="187">
        <v>40000</v>
      </c>
      <c r="K2494" s="30">
        <f t="shared" si="2656"/>
        <v>5000</v>
      </c>
      <c r="L2494" s="187">
        <v>40000</v>
      </c>
      <c r="M2494" s="110">
        <v>9.5</v>
      </c>
      <c r="N2494" s="9">
        <f>VLOOKUP(DATE(YEAR(A2494),MONTH(A2494),DAY(A2494)),FY24_Temp[],3,FALSE)</f>
        <v>17.25</v>
      </c>
      <c r="O2494" s="110">
        <f t="shared" si="2642"/>
        <v>11.5</v>
      </c>
      <c r="P2494" s="110">
        <f t="shared" si="2643"/>
        <v>19.5</v>
      </c>
      <c r="Q2494" s="79">
        <f>VLOOKUP(VLOOKUP(DATEVALUE(TEXT(A2494,"m/d/yyyy")),FY24_Temp[],5,FALSE)&amp;TEXT(A2494,"-h"),TempDelta[],4,FALSE)</f>
        <v>0.91900000827653072</v>
      </c>
      <c r="R2494">
        <v>10</v>
      </c>
      <c r="S2494" s="112">
        <v>1500</v>
      </c>
      <c r="T2494" s="5">
        <f>VLOOKUP(TEXT(A2494,"yy-mm")&amp;"-"&amp;IF(AND(WEEKDAY(A2494)&gt;1,WEEKDAY(A2494)&lt;7),"Wkd",TEXT(A2494,"Ddd"))&amp;"-"&amp;TEXT(A2494,"hh"),LoadTable[],3,FALSE)*0.92</f>
        <v>303.31295999999998</v>
      </c>
      <c r="U2494" s="113">
        <f t="shared" si="2644"/>
        <v>30.331295999999998</v>
      </c>
      <c r="V2494">
        <f t="shared" ref="V2494:W2494" si="2708">V2470</f>
        <v>3</v>
      </c>
      <c r="W2494">
        <f t="shared" si="2708"/>
        <v>3</v>
      </c>
      <c r="X2494" s="9">
        <v>-69.747313116666305</v>
      </c>
      <c r="Y2494" s="39"/>
    </row>
    <row r="2495" spans="1:25" ht="15" thickBot="1">
      <c r="A2495" s="149">
        <f t="shared" si="2698"/>
        <v>45939.833333329268</v>
      </c>
      <c r="B2495" s="30">
        <f t="shared" si="2653"/>
        <v>5000</v>
      </c>
      <c r="C2495" s="8">
        <v>25000</v>
      </c>
      <c r="D2495" s="187">
        <v>0</v>
      </c>
      <c r="E2495" s="187">
        <v>700</v>
      </c>
      <c r="F2495" s="187">
        <v>15000</v>
      </c>
      <c r="G2495" s="30">
        <f t="shared" si="2654"/>
        <v>2470</v>
      </c>
      <c r="H2495" s="8">
        <f t="shared" si="2654"/>
        <v>25000</v>
      </c>
      <c r="I2495" s="30">
        <f t="shared" si="2655"/>
        <v>5000</v>
      </c>
      <c r="J2495" s="187">
        <v>40000</v>
      </c>
      <c r="K2495" s="30">
        <f t="shared" si="2656"/>
        <v>5000</v>
      </c>
      <c r="L2495" s="187">
        <v>40000</v>
      </c>
      <c r="M2495" s="110">
        <v>9.5</v>
      </c>
      <c r="N2495" s="9">
        <f>VLOOKUP(DATE(YEAR(A2495),MONTH(A2495),DAY(A2495)),FY24_Temp[],3,FALSE)</f>
        <v>17.25</v>
      </c>
      <c r="O2495" s="110">
        <f t="shared" si="2642"/>
        <v>11.5</v>
      </c>
      <c r="P2495" s="110">
        <f t="shared" si="2643"/>
        <v>19.5</v>
      </c>
      <c r="Q2495" s="79">
        <f>VLOOKUP(VLOOKUP(DATEVALUE(TEXT(A2495,"m/d/yyyy")),FY24_Temp[],5,FALSE)&amp;TEXT(A2495,"-h"),TempDelta[],4,FALSE)</f>
        <v>0.93314285363469807</v>
      </c>
      <c r="R2495">
        <v>10</v>
      </c>
      <c r="S2495" s="112">
        <v>1500</v>
      </c>
      <c r="T2495" s="5">
        <f>VLOOKUP(TEXT(A2495,"yy-mm")&amp;"-"&amp;IF(AND(WEEKDAY(A2495)&gt;1,WEEKDAY(A2495)&lt;7),"Wkd",TEXT(A2495,"Ddd"))&amp;"-"&amp;TEXT(A2495,"hh"),LoadTable[],3,FALSE)*0.92</f>
        <v>303.31295999999998</v>
      </c>
      <c r="U2495" s="113">
        <f t="shared" si="2644"/>
        <v>30.331295999999998</v>
      </c>
      <c r="V2495">
        <f t="shared" ref="V2495:W2495" si="2709">V2471</f>
        <v>2.8</v>
      </c>
      <c r="W2495">
        <f t="shared" si="2709"/>
        <v>3.1</v>
      </c>
      <c r="X2495" s="9">
        <v>-69.825107666666298</v>
      </c>
      <c r="Y2495" s="39"/>
    </row>
    <row r="2496" spans="1:25" ht="15" thickBot="1">
      <c r="A2496" s="149">
        <f t="shared" si="2698"/>
        <v>45939.874999995933</v>
      </c>
      <c r="B2496" s="30">
        <f t="shared" si="2653"/>
        <v>5000</v>
      </c>
      <c r="C2496" s="8">
        <v>25000</v>
      </c>
      <c r="D2496" s="187">
        <v>0</v>
      </c>
      <c r="E2496" s="187">
        <v>700</v>
      </c>
      <c r="F2496" s="187">
        <v>15000</v>
      </c>
      <c r="G2496" s="30">
        <f t="shared" si="2654"/>
        <v>2470</v>
      </c>
      <c r="H2496" s="8">
        <f t="shared" si="2654"/>
        <v>25000</v>
      </c>
      <c r="I2496" s="30">
        <f t="shared" si="2655"/>
        <v>5000</v>
      </c>
      <c r="J2496" s="187">
        <v>40000</v>
      </c>
      <c r="K2496" s="30">
        <f t="shared" si="2656"/>
        <v>5000</v>
      </c>
      <c r="L2496" s="187">
        <v>40000</v>
      </c>
      <c r="M2496" s="110">
        <v>9.5</v>
      </c>
      <c r="N2496" s="9">
        <f>VLOOKUP(DATE(YEAR(A2496),MONTH(A2496),DAY(A2496)),FY24_Temp[],3,FALSE)</f>
        <v>17.25</v>
      </c>
      <c r="O2496" s="110">
        <f t="shared" si="2642"/>
        <v>11.5</v>
      </c>
      <c r="P2496" s="110">
        <f t="shared" si="2643"/>
        <v>19.5</v>
      </c>
      <c r="Q2496" s="79">
        <f>VLOOKUP(VLOOKUP(DATEVALUE(TEXT(A2496,"m/d/yyyy")),FY24_Temp[],5,FALSE)&amp;TEXT(A2496,"-h"),TempDelta[],4,FALSE)</f>
        <v>0.92385714820453102</v>
      </c>
      <c r="R2496">
        <v>10</v>
      </c>
      <c r="S2496" s="112">
        <v>1500</v>
      </c>
      <c r="T2496" s="5">
        <f>VLOOKUP(TEXT(A2496,"yy-mm")&amp;"-"&amp;IF(AND(WEEKDAY(A2496)&gt;1,WEEKDAY(A2496)&lt;7),"Wkd",TEXT(A2496,"Ddd"))&amp;"-"&amp;TEXT(A2496,"hh"),LoadTable[],3,FALSE)*0.92</f>
        <v>229.93744000000001</v>
      </c>
      <c r="U2496" s="113">
        <f t="shared" si="2644"/>
        <v>22.993744</v>
      </c>
      <c r="V2496">
        <f t="shared" ref="V2496:W2496" si="2710">V2472</f>
        <v>3.5</v>
      </c>
      <c r="W2496">
        <f t="shared" si="2710"/>
        <v>3.1</v>
      </c>
      <c r="X2496" s="9">
        <v>-69.902902216666305</v>
      </c>
      <c r="Y2496" s="39"/>
    </row>
    <row r="2497" spans="1:25" ht="15" thickBot="1">
      <c r="A2497" s="149">
        <f t="shared" si="2698"/>
        <v>45939.916666662597</v>
      </c>
      <c r="B2497" s="30">
        <f t="shared" si="2653"/>
        <v>5000</v>
      </c>
      <c r="C2497" s="8">
        <v>25000</v>
      </c>
      <c r="D2497" s="187">
        <v>0</v>
      </c>
      <c r="E2497" s="187">
        <v>700</v>
      </c>
      <c r="F2497" s="187">
        <v>15000</v>
      </c>
      <c r="G2497" s="30">
        <f t="shared" si="2654"/>
        <v>2470</v>
      </c>
      <c r="H2497" s="8">
        <f t="shared" si="2654"/>
        <v>25000</v>
      </c>
      <c r="I2497" s="30">
        <f t="shared" si="2655"/>
        <v>5000</v>
      </c>
      <c r="J2497" s="187">
        <v>40000</v>
      </c>
      <c r="K2497" s="30">
        <f t="shared" si="2656"/>
        <v>5000</v>
      </c>
      <c r="L2497" s="187">
        <v>40000</v>
      </c>
      <c r="M2497" s="110">
        <v>9.5</v>
      </c>
      <c r="N2497" s="9">
        <f>VLOOKUP(DATE(YEAR(A2497),MONTH(A2497),DAY(A2497)),FY24_Temp[],3,FALSE)</f>
        <v>17.25</v>
      </c>
      <c r="O2497" s="110">
        <f t="shared" si="2642"/>
        <v>11.5</v>
      </c>
      <c r="P2497" s="110">
        <f t="shared" si="2643"/>
        <v>19.5</v>
      </c>
      <c r="Q2497" s="79">
        <f>VLOOKUP(VLOOKUP(DATEVALUE(TEXT(A2497,"m/d/yyyy")),FY24_Temp[],5,FALSE)&amp;TEXT(A2497,"-h"),TempDelta[],4,FALSE)</f>
        <v>1.1424285514014108</v>
      </c>
      <c r="R2497">
        <v>10</v>
      </c>
      <c r="S2497" s="112">
        <v>1500</v>
      </c>
      <c r="T2497" s="5">
        <f>VLOOKUP(TEXT(A2497,"yy-mm")&amp;"-"&amp;IF(AND(WEEKDAY(A2497)&gt;1,WEEKDAY(A2497)&lt;7),"Wkd",TEXT(A2497,"Ddd"))&amp;"-"&amp;TEXT(A2497,"hh"),LoadTable[],3,FALSE)*0.92</f>
        <v>176.52040000000002</v>
      </c>
      <c r="U2497" s="113">
        <f t="shared" si="2644"/>
        <v>17.652040000000003</v>
      </c>
      <c r="V2497">
        <f t="shared" ref="V2497:W2497" si="2711">V2473</f>
        <v>2.9</v>
      </c>
      <c r="W2497">
        <f t="shared" si="2711"/>
        <v>3.1</v>
      </c>
      <c r="X2497" s="9">
        <v>-69.980696766666298</v>
      </c>
      <c r="Y2497" s="39"/>
    </row>
    <row r="2498" spans="1:25" ht="15" thickBot="1">
      <c r="A2498" s="149">
        <f t="shared" si="2698"/>
        <v>45939.958333329261</v>
      </c>
      <c r="B2498" s="30">
        <f t="shared" si="2653"/>
        <v>5000</v>
      </c>
      <c r="C2498" s="41">
        <v>25000</v>
      </c>
      <c r="D2498" s="187">
        <v>0</v>
      </c>
      <c r="E2498" s="187">
        <v>700</v>
      </c>
      <c r="F2498" s="187">
        <v>15000</v>
      </c>
      <c r="G2498" s="30">
        <f t="shared" si="2654"/>
        <v>2470</v>
      </c>
      <c r="H2498" s="8">
        <f t="shared" si="2654"/>
        <v>25000</v>
      </c>
      <c r="I2498" s="30">
        <f t="shared" si="2655"/>
        <v>5000</v>
      </c>
      <c r="J2498" s="187">
        <v>40000</v>
      </c>
      <c r="K2498" s="30">
        <f t="shared" si="2656"/>
        <v>5000</v>
      </c>
      <c r="L2498" s="187">
        <v>40000</v>
      </c>
      <c r="M2498" s="110">
        <v>9.5</v>
      </c>
      <c r="N2498" s="9">
        <f>VLOOKUP(DATE(YEAR(A2498),MONTH(A2498),DAY(A2498)),FY24_Temp[],3,FALSE)</f>
        <v>17.25</v>
      </c>
      <c r="O2498" s="110">
        <f t="shared" si="2642"/>
        <v>11.5</v>
      </c>
      <c r="P2498" s="110">
        <f t="shared" si="2643"/>
        <v>19.5</v>
      </c>
      <c r="Q2498" s="79">
        <f>VLOOKUP(VLOOKUP(DATEVALUE(TEXT(A2498,"m/d/yyyy")),FY24_Temp[],5,FALSE)&amp;TEXT(A2498,"-h"),TempDelta[],4,FALSE)</f>
        <v>1.2597142798560006</v>
      </c>
      <c r="R2498">
        <v>10</v>
      </c>
      <c r="S2498" s="112">
        <v>1500</v>
      </c>
      <c r="T2498" s="5">
        <f>VLOOKUP(TEXT(A2498,"yy-mm")&amp;"-"&amp;IF(AND(WEEKDAY(A2498)&gt;1,WEEKDAY(A2498)&lt;7),"Wkd",TEXT(A2498,"Ddd"))&amp;"-"&amp;TEXT(A2498,"hh"),LoadTable[],3,FALSE)*0.92</f>
        <v>176.52040000000002</v>
      </c>
      <c r="U2498" s="113">
        <f t="shared" si="2644"/>
        <v>17.652040000000003</v>
      </c>
      <c r="V2498">
        <f t="shared" ref="V2498:W2498" si="2712">V2474</f>
        <v>3.6</v>
      </c>
      <c r="W2498">
        <f t="shared" si="2712"/>
        <v>3.1</v>
      </c>
      <c r="X2498" s="9">
        <v>-70.058491316666306</v>
      </c>
      <c r="Y2498" s="39"/>
    </row>
    <row r="2499" spans="1:25" ht="15" thickBot="1">
      <c r="A2499" s="148">
        <f t="shared" si="2698"/>
        <v>45939.999999995925</v>
      </c>
      <c r="B2499" s="116">
        <f t="shared" si="2653"/>
        <v>5000</v>
      </c>
      <c r="C2499" s="8">
        <v>25000</v>
      </c>
      <c r="D2499" s="187">
        <v>0</v>
      </c>
      <c r="E2499" s="187">
        <v>700</v>
      </c>
      <c r="F2499" s="187">
        <v>15000</v>
      </c>
      <c r="G2499" s="109">
        <f t="shared" si="2654"/>
        <v>2470</v>
      </c>
      <c r="H2499" s="8">
        <f t="shared" si="2654"/>
        <v>25000</v>
      </c>
      <c r="I2499" s="30">
        <f t="shared" si="2655"/>
        <v>5000</v>
      </c>
      <c r="J2499" s="187">
        <v>40000</v>
      </c>
      <c r="K2499" s="109">
        <f t="shared" si="2656"/>
        <v>5000</v>
      </c>
      <c r="L2499" s="187">
        <v>40000</v>
      </c>
      <c r="M2499" s="110">
        <v>9.5</v>
      </c>
      <c r="N2499" s="110">
        <f>VLOOKUP(DATE(YEAR(A2499),MONTH(A2499),DAY(A2499)),FY24_Temp[],3,FALSE)</f>
        <v>17.25</v>
      </c>
      <c r="O2499" s="110">
        <f t="shared" si="2642"/>
        <v>11.5</v>
      </c>
      <c r="P2499" s="110">
        <f t="shared" si="2643"/>
        <v>19.5</v>
      </c>
      <c r="Q2499" s="111">
        <f>VLOOKUP(VLOOKUP(DATEVALUE(TEXT(A2499,"m/d/yyyy")),FY24_Temp[],5,FALSE)&amp;TEXT(A2499,"-h"),TempDelta[],4,FALSE)</f>
        <v>1.3511428662708826</v>
      </c>
      <c r="R2499" s="112">
        <v>10</v>
      </c>
      <c r="S2499" s="112">
        <v>1500</v>
      </c>
      <c r="T2499" s="99">
        <f>VLOOKUP(TEXT(A2499,"yy-mm")&amp;"-"&amp;IF(AND(WEEKDAY(A2499)&gt;1,WEEKDAY(A2499)&lt;7),"Wkd",TEXT(A2499,"Ddd"))&amp;"-"&amp;TEXT(A2499,"hh"),LoadTable[],3,FALSE)*0.92</f>
        <v>209.6772</v>
      </c>
      <c r="U2499" s="113">
        <f t="shared" si="2644"/>
        <v>20.96772</v>
      </c>
      <c r="V2499" s="112">
        <f t="shared" ref="V2499:W2499" si="2713">V2475</f>
        <v>3</v>
      </c>
      <c r="W2499" s="112">
        <f t="shared" si="2713"/>
        <v>3.2</v>
      </c>
      <c r="X2499" s="114">
        <v>-70.136285866666398</v>
      </c>
      <c r="Y2499" s="39"/>
    </row>
    <row r="2500" spans="1:25" ht="15" thickBot="1">
      <c r="A2500" s="149">
        <f t="shared" si="2698"/>
        <v>45940.04166666259</v>
      </c>
      <c r="B2500" s="30">
        <f t="shared" si="2653"/>
        <v>5000</v>
      </c>
      <c r="C2500" s="42">
        <v>25000</v>
      </c>
      <c r="D2500" s="187">
        <v>0</v>
      </c>
      <c r="E2500" s="187">
        <v>700</v>
      </c>
      <c r="F2500" s="187">
        <v>15000</v>
      </c>
      <c r="G2500" s="30">
        <f t="shared" si="2654"/>
        <v>2470</v>
      </c>
      <c r="H2500" s="8">
        <f t="shared" si="2654"/>
        <v>25000</v>
      </c>
      <c r="I2500" s="30">
        <f t="shared" si="2655"/>
        <v>5000</v>
      </c>
      <c r="J2500" s="187">
        <v>40000</v>
      </c>
      <c r="K2500" s="30">
        <f t="shared" si="2656"/>
        <v>5000</v>
      </c>
      <c r="L2500" s="187">
        <v>40000</v>
      </c>
      <c r="M2500" s="110">
        <v>9.5</v>
      </c>
      <c r="N2500" s="9">
        <f>VLOOKUP(DATE(YEAR(A2500),MONTH(A2500),DAY(A2500)),FY24_Temp[],3,FALSE)</f>
        <v>17.25</v>
      </c>
      <c r="O2500" s="110">
        <f t="shared" ref="O2500:O2563" si="2714">15.5-4</f>
        <v>11.5</v>
      </c>
      <c r="P2500" s="110">
        <f t="shared" ref="P2500:P2563" si="2715">15.5+4</f>
        <v>19.5</v>
      </c>
      <c r="Q2500" s="79">
        <f>VLOOKUP(VLOOKUP(DATEVALUE(TEXT(A2500,"m/d/yyyy")),FY24_Temp[],5,FALSE)&amp;TEXT(A2500,"-h"),TempDelta[],4,FALSE)</f>
        <v>1.3058571474892753</v>
      </c>
      <c r="R2500">
        <v>10</v>
      </c>
      <c r="S2500" s="112">
        <v>1500</v>
      </c>
      <c r="T2500" s="5">
        <f>VLOOKUP(TEXT(A2500,"yy-mm")&amp;"-"&amp;IF(AND(WEEKDAY(A2500)&gt;1,WEEKDAY(A2500)&lt;7),"Wkd",TEXT(A2500,"Ddd"))&amp;"-"&amp;TEXT(A2500,"hh"),LoadTable[],3,FALSE)*0.92</f>
        <v>209.6772</v>
      </c>
      <c r="U2500" s="113">
        <f t="shared" ref="U2500:U2563" si="2716">T2500/10</f>
        <v>20.96772</v>
      </c>
      <c r="V2500">
        <f t="shared" ref="V2500:W2500" si="2717">V2476</f>
        <v>2.6</v>
      </c>
      <c r="W2500">
        <f t="shared" si="2717"/>
        <v>3.2</v>
      </c>
      <c r="X2500" s="9">
        <v>-70.214080416666405</v>
      </c>
      <c r="Y2500" s="39"/>
    </row>
    <row r="2501" spans="1:25" ht="15" thickBot="1">
      <c r="A2501" s="149">
        <f t="shared" si="2698"/>
        <v>45940.083333329254</v>
      </c>
      <c r="B2501" s="30">
        <f t="shared" si="2653"/>
        <v>5000</v>
      </c>
      <c r="C2501" s="8">
        <v>25000</v>
      </c>
      <c r="D2501" s="187">
        <v>0</v>
      </c>
      <c r="E2501" s="187">
        <v>700</v>
      </c>
      <c r="F2501" s="187">
        <v>15000</v>
      </c>
      <c r="G2501" s="30">
        <f t="shared" si="2654"/>
        <v>2470</v>
      </c>
      <c r="H2501" s="8">
        <f t="shared" si="2654"/>
        <v>25000</v>
      </c>
      <c r="I2501" s="30">
        <f t="shared" si="2655"/>
        <v>5000</v>
      </c>
      <c r="J2501" s="187">
        <v>40000</v>
      </c>
      <c r="K2501" s="30">
        <f t="shared" si="2656"/>
        <v>5000</v>
      </c>
      <c r="L2501" s="187">
        <v>40000</v>
      </c>
      <c r="M2501" s="110">
        <v>9.5</v>
      </c>
      <c r="N2501" s="9">
        <f>VLOOKUP(DATE(YEAR(A2501),MONTH(A2501),DAY(A2501)),FY24_Temp[],3,FALSE)</f>
        <v>17.25</v>
      </c>
      <c r="O2501" s="110">
        <f t="shared" si="2714"/>
        <v>11.5</v>
      </c>
      <c r="P2501" s="110">
        <f t="shared" si="2715"/>
        <v>19.5</v>
      </c>
      <c r="Q2501" s="79">
        <f>VLOOKUP(VLOOKUP(DATEVALUE(TEXT(A2501,"m/d/yyyy")),FY24_Temp[],5,FALSE)&amp;TEXT(A2501,"-h"),TempDelta[],4,FALSE)</f>
        <v>1.217571428843907</v>
      </c>
      <c r="R2501">
        <v>10</v>
      </c>
      <c r="S2501" s="112">
        <v>1500</v>
      </c>
      <c r="T2501" s="5">
        <f>VLOOKUP(TEXT(A2501,"yy-mm")&amp;"-"&amp;IF(AND(WEEKDAY(A2501)&gt;1,WEEKDAY(A2501)&lt;7),"Wkd",TEXT(A2501,"Ddd"))&amp;"-"&amp;TEXT(A2501,"hh"),LoadTable[],3,FALSE)*0.92</f>
        <v>209.6772</v>
      </c>
      <c r="U2501" s="113">
        <f t="shared" si="2716"/>
        <v>20.96772</v>
      </c>
      <c r="V2501">
        <f t="shared" ref="V2501:W2501" si="2718">V2477</f>
        <v>2.8</v>
      </c>
      <c r="W2501">
        <f t="shared" si="2718"/>
        <v>3.2</v>
      </c>
      <c r="X2501" s="9">
        <v>-70.291874966666398</v>
      </c>
      <c r="Y2501" s="39"/>
    </row>
    <row r="2502" spans="1:25" ht="15" thickBot="1">
      <c r="A2502" s="149">
        <f t="shared" si="2698"/>
        <v>45940.124999995918</v>
      </c>
      <c r="B2502" s="30">
        <f t="shared" si="2653"/>
        <v>5000</v>
      </c>
      <c r="C2502" s="8">
        <v>25000</v>
      </c>
      <c r="D2502" s="187">
        <v>0</v>
      </c>
      <c r="E2502" s="187">
        <v>700</v>
      </c>
      <c r="F2502" s="187">
        <v>15000</v>
      </c>
      <c r="G2502" s="30">
        <f t="shared" si="2654"/>
        <v>2470</v>
      </c>
      <c r="H2502" s="8">
        <f t="shared" si="2654"/>
        <v>25000</v>
      </c>
      <c r="I2502" s="30">
        <f t="shared" si="2655"/>
        <v>5000</v>
      </c>
      <c r="J2502" s="187">
        <v>40000</v>
      </c>
      <c r="K2502" s="30">
        <f t="shared" si="2656"/>
        <v>5000</v>
      </c>
      <c r="L2502" s="187">
        <v>40000</v>
      </c>
      <c r="M2502" s="110">
        <v>9.5</v>
      </c>
      <c r="N2502" s="9">
        <f>VLOOKUP(DATE(YEAR(A2502),MONTH(A2502),DAY(A2502)),FY24_Temp[],3,FALSE)</f>
        <v>17.25</v>
      </c>
      <c r="O2502" s="110">
        <f t="shared" si="2714"/>
        <v>11.5</v>
      </c>
      <c r="P2502" s="110">
        <f t="shared" si="2715"/>
        <v>19.5</v>
      </c>
      <c r="Q2502" s="79">
        <f>VLOOKUP(VLOOKUP(DATEVALUE(TEXT(A2502,"m/d/yyyy")),FY24_Temp[],5,FALSE)&amp;TEXT(A2502,"-h"),TempDelta[],4,FALSE)</f>
        <v>1.1134285586220878</v>
      </c>
      <c r="R2502">
        <v>10</v>
      </c>
      <c r="S2502" s="112">
        <v>1500</v>
      </c>
      <c r="T2502" s="5">
        <f>VLOOKUP(TEXT(A2502,"yy-mm")&amp;"-"&amp;IF(AND(WEEKDAY(A2502)&gt;1,WEEKDAY(A2502)&lt;7),"Wkd",TEXT(A2502,"Ddd"))&amp;"-"&amp;TEXT(A2502,"hh"),LoadTable[],3,FALSE)*0.92</f>
        <v>209.6772</v>
      </c>
      <c r="U2502" s="113">
        <f t="shared" si="2716"/>
        <v>20.96772</v>
      </c>
      <c r="V2502">
        <f t="shared" ref="V2502:W2502" si="2719">V2478</f>
        <v>2.7</v>
      </c>
      <c r="W2502">
        <f t="shared" si="2719"/>
        <v>3.2</v>
      </c>
      <c r="X2502" s="9">
        <v>-70.369669516666406</v>
      </c>
      <c r="Y2502" s="39"/>
    </row>
    <row r="2503" spans="1:25" ht="15" thickBot="1">
      <c r="A2503" s="149">
        <f t="shared" si="2698"/>
        <v>45940.166666662582</v>
      </c>
      <c r="B2503" s="30">
        <f t="shared" si="2653"/>
        <v>5000</v>
      </c>
      <c r="C2503" s="8">
        <v>25000</v>
      </c>
      <c r="D2503" s="187">
        <v>0</v>
      </c>
      <c r="E2503" s="187">
        <v>700</v>
      </c>
      <c r="F2503" s="187">
        <v>15000</v>
      </c>
      <c r="G2503" s="30">
        <f t="shared" si="2654"/>
        <v>2470</v>
      </c>
      <c r="H2503" s="8">
        <f t="shared" si="2654"/>
        <v>25000</v>
      </c>
      <c r="I2503" s="30">
        <f t="shared" si="2655"/>
        <v>5000</v>
      </c>
      <c r="J2503" s="187">
        <v>40000</v>
      </c>
      <c r="K2503" s="30">
        <f t="shared" si="2656"/>
        <v>5000</v>
      </c>
      <c r="L2503" s="187">
        <v>40000</v>
      </c>
      <c r="M2503" s="110">
        <v>9.5</v>
      </c>
      <c r="N2503" s="9">
        <f>VLOOKUP(DATE(YEAR(A2503),MONTH(A2503),DAY(A2503)),FY24_Temp[],3,FALSE)</f>
        <v>17.25</v>
      </c>
      <c r="O2503" s="110">
        <f t="shared" si="2714"/>
        <v>11.5</v>
      </c>
      <c r="P2503" s="110">
        <f t="shared" si="2715"/>
        <v>19.5</v>
      </c>
      <c r="Q2503" s="79">
        <f>VLOOKUP(VLOOKUP(DATEVALUE(TEXT(A2503,"m/d/yyyy")),FY24_Temp[],5,FALSE)&amp;TEXT(A2503,"-h"),TempDelta[],4,FALSE)</f>
        <v>1.0284285715648107</v>
      </c>
      <c r="R2503">
        <v>10</v>
      </c>
      <c r="S2503" s="112">
        <v>1500</v>
      </c>
      <c r="T2503" s="5">
        <f>VLOOKUP(TEXT(A2503,"yy-mm")&amp;"-"&amp;IF(AND(WEEKDAY(A2503)&gt;1,WEEKDAY(A2503)&lt;7),"Wkd",TEXT(A2503,"Ddd"))&amp;"-"&amp;TEXT(A2503,"hh"),LoadTable[],3,FALSE)*0.92</f>
        <v>209.6772</v>
      </c>
      <c r="U2503" s="113">
        <f t="shared" si="2716"/>
        <v>20.96772</v>
      </c>
      <c r="V2503">
        <f t="shared" ref="V2503:W2503" si="2720">V2479</f>
        <v>3</v>
      </c>
      <c r="W2503">
        <f t="shared" si="2720"/>
        <v>3.1</v>
      </c>
      <c r="X2503" s="9">
        <v>-70.447464066666399</v>
      </c>
      <c r="Y2503" s="39"/>
    </row>
    <row r="2504" spans="1:25" ht="15" thickBot="1">
      <c r="A2504" s="149">
        <f t="shared" si="2698"/>
        <v>45940.208333329247</v>
      </c>
      <c r="B2504" s="30">
        <f t="shared" si="2653"/>
        <v>5000</v>
      </c>
      <c r="C2504" s="8">
        <v>25000</v>
      </c>
      <c r="D2504" s="187">
        <v>0</v>
      </c>
      <c r="E2504" s="187">
        <v>700</v>
      </c>
      <c r="F2504" s="187">
        <v>15000</v>
      </c>
      <c r="G2504" s="30">
        <f t="shared" si="2654"/>
        <v>2470</v>
      </c>
      <c r="H2504" s="8">
        <f t="shared" si="2654"/>
        <v>25000</v>
      </c>
      <c r="I2504" s="30">
        <f t="shared" si="2655"/>
        <v>5000</v>
      </c>
      <c r="J2504" s="187">
        <v>40000</v>
      </c>
      <c r="K2504" s="30">
        <f t="shared" si="2656"/>
        <v>5000</v>
      </c>
      <c r="L2504" s="187">
        <v>40000</v>
      </c>
      <c r="M2504" s="110">
        <v>9.5</v>
      </c>
      <c r="N2504" s="9">
        <f>VLOOKUP(DATE(YEAR(A2504),MONTH(A2504),DAY(A2504)),FY24_Temp[],3,FALSE)</f>
        <v>17.25</v>
      </c>
      <c r="O2504" s="110">
        <f t="shared" si="2714"/>
        <v>11.5</v>
      </c>
      <c r="P2504" s="110">
        <f t="shared" si="2715"/>
        <v>19.5</v>
      </c>
      <c r="Q2504" s="79">
        <f>VLOOKUP(VLOOKUP(DATEVALUE(TEXT(A2504,"m/d/yyyy")),FY24_Temp[],5,FALSE)&amp;TEXT(A2504,"-h"),TempDelta[],4,FALSE)</f>
        <v>1.0574285643441337</v>
      </c>
      <c r="R2504">
        <v>10</v>
      </c>
      <c r="S2504" s="112">
        <v>1500</v>
      </c>
      <c r="T2504" s="5">
        <f>VLOOKUP(TEXT(A2504,"yy-mm")&amp;"-"&amp;IF(AND(WEEKDAY(A2504)&gt;1,WEEKDAY(A2504)&lt;7),"Wkd",TEXT(A2504,"Ddd"))&amp;"-"&amp;TEXT(A2504,"hh"),LoadTable[],3,FALSE)*0.92</f>
        <v>209.6772</v>
      </c>
      <c r="U2504" s="113">
        <f t="shared" si="2716"/>
        <v>20.96772</v>
      </c>
      <c r="V2504">
        <f t="shared" ref="V2504:W2504" si="2721">V2480</f>
        <v>2.9</v>
      </c>
      <c r="W2504">
        <f t="shared" si="2721"/>
        <v>3.1</v>
      </c>
      <c r="X2504" s="9">
        <v>-70.525258616666406</v>
      </c>
      <c r="Y2504" s="39"/>
    </row>
    <row r="2505" spans="1:25" ht="15" thickBot="1">
      <c r="A2505" s="149">
        <f t="shared" si="2698"/>
        <v>45940.249999995911</v>
      </c>
      <c r="B2505" s="30">
        <f t="shared" si="2653"/>
        <v>8000</v>
      </c>
      <c r="C2505" s="8">
        <v>25000</v>
      </c>
      <c r="D2505" s="187">
        <v>0</v>
      </c>
      <c r="E2505" s="187">
        <v>700</v>
      </c>
      <c r="F2505" s="187">
        <v>15000</v>
      </c>
      <c r="G2505" s="30">
        <f t="shared" si="2654"/>
        <v>2470</v>
      </c>
      <c r="H2505" s="8">
        <f t="shared" si="2654"/>
        <v>25000</v>
      </c>
      <c r="I2505" s="30">
        <f t="shared" si="2655"/>
        <v>8000</v>
      </c>
      <c r="J2505" s="187">
        <v>40000</v>
      </c>
      <c r="K2505" s="30">
        <f t="shared" si="2656"/>
        <v>8000</v>
      </c>
      <c r="L2505" s="187">
        <v>40000</v>
      </c>
      <c r="M2505" s="110">
        <v>9.5</v>
      </c>
      <c r="N2505" s="9">
        <f>VLOOKUP(DATE(YEAR(A2505),MONTH(A2505),DAY(A2505)),FY24_Temp[],3,FALSE)</f>
        <v>17.25</v>
      </c>
      <c r="O2505" s="110">
        <f t="shared" si="2714"/>
        <v>11.5</v>
      </c>
      <c r="P2505" s="110">
        <f t="shared" si="2715"/>
        <v>19.5</v>
      </c>
      <c r="Q2505" s="79">
        <f>VLOOKUP(VLOOKUP(DATEVALUE(TEXT(A2505,"m/d/yyyy")),FY24_Temp[],5,FALSE)&amp;TEXT(A2505,"-h"),TempDelta[],4,FALSE)</f>
        <v>0.9115714345659528</v>
      </c>
      <c r="R2505">
        <v>10</v>
      </c>
      <c r="S2505" s="112">
        <v>1500</v>
      </c>
      <c r="T2505" s="5">
        <f>VLOOKUP(TEXT(A2505,"yy-mm")&amp;"-"&amp;IF(AND(WEEKDAY(A2505)&gt;1,WEEKDAY(A2505)&lt;7),"Wkd",TEXT(A2505,"Ddd"))&amp;"-"&amp;TEXT(A2505,"hh"),LoadTable[],3,FALSE)*0.92</f>
        <v>209.6772</v>
      </c>
      <c r="U2505" s="113">
        <f t="shared" si="2716"/>
        <v>20.96772</v>
      </c>
      <c r="V2505">
        <f t="shared" ref="V2505:W2505" si="2722">V2481</f>
        <v>2.5</v>
      </c>
      <c r="W2505">
        <f t="shared" si="2722"/>
        <v>3.1</v>
      </c>
      <c r="X2505" s="9">
        <v>-70.603053166666399</v>
      </c>
      <c r="Y2505" s="39"/>
    </row>
    <row r="2506" spans="1:25" ht="15" thickBot="1">
      <c r="A2506" s="149">
        <f t="shared" si="2698"/>
        <v>45940.291666662575</v>
      </c>
      <c r="B2506" s="30">
        <f t="shared" si="2653"/>
        <v>8000</v>
      </c>
      <c r="C2506" s="8">
        <v>25000</v>
      </c>
      <c r="D2506" s="187">
        <v>0</v>
      </c>
      <c r="E2506" s="187">
        <v>700</v>
      </c>
      <c r="F2506" s="187">
        <v>15000</v>
      </c>
      <c r="G2506" s="30">
        <f t="shared" si="2654"/>
        <v>2470</v>
      </c>
      <c r="H2506" s="8">
        <f t="shared" si="2654"/>
        <v>25000</v>
      </c>
      <c r="I2506" s="30">
        <f t="shared" si="2655"/>
        <v>8000</v>
      </c>
      <c r="J2506" s="187">
        <v>40000</v>
      </c>
      <c r="K2506" s="30">
        <f t="shared" si="2656"/>
        <v>8000</v>
      </c>
      <c r="L2506" s="187">
        <v>40000</v>
      </c>
      <c r="M2506" s="110">
        <v>9.5</v>
      </c>
      <c r="N2506" s="9">
        <f>VLOOKUP(DATE(YEAR(A2506),MONTH(A2506),DAY(A2506)),FY24_Temp[],3,FALSE)</f>
        <v>17.25</v>
      </c>
      <c r="O2506" s="110">
        <f t="shared" si="2714"/>
        <v>11.5</v>
      </c>
      <c r="P2506" s="110">
        <f t="shared" si="2715"/>
        <v>19.5</v>
      </c>
      <c r="Q2506" s="79">
        <f>VLOOKUP(VLOOKUP(DATEVALUE(TEXT(A2506,"m/d/yyyy")),FY24_Temp[],5,FALSE)&amp;TEXT(A2506,"-h"),TempDelta[],4,FALSE)</f>
        <v>0.73142857210976742</v>
      </c>
      <c r="R2506">
        <v>10</v>
      </c>
      <c r="S2506" s="112">
        <v>1500</v>
      </c>
      <c r="T2506" s="5">
        <f>VLOOKUP(TEXT(A2506,"yy-mm")&amp;"-"&amp;IF(AND(WEEKDAY(A2506)&gt;1,WEEKDAY(A2506)&lt;7),"Wkd",TEXT(A2506,"Ddd"))&amp;"-"&amp;TEXT(A2506,"hh"),LoadTable[],3,FALSE)*0.92</f>
        <v>234.80148</v>
      </c>
      <c r="U2506" s="113">
        <f t="shared" si="2716"/>
        <v>23.480148</v>
      </c>
      <c r="V2506">
        <f t="shared" ref="V2506:W2506" si="2723">V2482</f>
        <v>2.5</v>
      </c>
      <c r="W2506">
        <f t="shared" si="2723"/>
        <v>3.1</v>
      </c>
      <c r="X2506" s="9">
        <v>-70.680847716666406</v>
      </c>
      <c r="Y2506" s="39"/>
    </row>
    <row r="2507" spans="1:25" ht="15" thickBot="1">
      <c r="A2507" s="149">
        <f t="shared" si="2698"/>
        <v>45940.333333329239</v>
      </c>
      <c r="B2507" s="30">
        <f t="shared" si="2653"/>
        <v>8000</v>
      </c>
      <c r="C2507" s="8">
        <v>25000</v>
      </c>
      <c r="D2507" s="187">
        <v>0</v>
      </c>
      <c r="E2507" s="187">
        <v>700</v>
      </c>
      <c r="F2507" s="187">
        <v>15000</v>
      </c>
      <c r="G2507" s="30">
        <f t="shared" si="2654"/>
        <v>2470</v>
      </c>
      <c r="H2507" s="8">
        <f t="shared" si="2654"/>
        <v>25000</v>
      </c>
      <c r="I2507" s="30">
        <f t="shared" si="2655"/>
        <v>8000</v>
      </c>
      <c r="J2507" s="187">
        <v>40000</v>
      </c>
      <c r="K2507" s="30">
        <f t="shared" si="2656"/>
        <v>8000</v>
      </c>
      <c r="L2507" s="187">
        <v>40000</v>
      </c>
      <c r="M2507" s="110">
        <v>9.5</v>
      </c>
      <c r="N2507" s="9">
        <f>VLOOKUP(DATE(YEAR(A2507),MONTH(A2507),DAY(A2507)),FY24_Temp[],3,FALSE)</f>
        <v>17.25</v>
      </c>
      <c r="O2507" s="110">
        <f t="shared" si="2714"/>
        <v>11.5</v>
      </c>
      <c r="P2507" s="110">
        <f t="shared" si="2715"/>
        <v>19.5</v>
      </c>
      <c r="Q2507" s="79">
        <f>VLOOKUP(VLOOKUP(DATEVALUE(TEXT(A2507,"m/d/yyyy")),FY24_Temp[],5,FALSE)&amp;TEXT(A2507,"-h"),TempDelta[],4,FALSE)</f>
        <v>0.62228572368621826</v>
      </c>
      <c r="R2507">
        <v>10</v>
      </c>
      <c r="S2507" s="112">
        <v>1500</v>
      </c>
      <c r="T2507" s="5">
        <f>VLOOKUP(TEXT(A2507,"yy-mm")&amp;"-"&amp;IF(AND(WEEKDAY(A2507)&gt;1,WEEKDAY(A2507)&lt;7),"Wkd",TEXT(A2507,"Ddd"))&amp;"-"&amp;TEXT(A2507,"hh"),LoadTable[],3,FALSE)*0.92</f>
        <v>234.80148</v>
      </c>
      <c r="U2507" s="113">
        <f t="shared" si="2716"/>
        <v>23.480148</v>
      </c>
      <c r="V2507">
        <f t="shared" ref="V2507:W2507" si="2724">V2483</f>
        <v>3.2</v>
      </c>
      <c r="W2507">
        <f t="shared" si="2724"/>
        <v>3</v>
      </c>
      <c r="X2507" s="9">
        <v>-70.758642266666399</v>
      </c>
      <c r="Y2507" s="39"/>
    </row>
    <row r="2508" spans="1:25" ht="15" thickBot="1">
      <c r="A2508" s="149">
        <f t="shared" si="2698"/>
        <v>45940.374999995904</v>
      </c>
      <c r="B2508" s="30">
        <f t="shared" ref="B2508:B2571" si="2725">B2484</f>
        <v>8000</v>
      </c>
      <c r="C2508" s="8">
        <v>25000</v>
      </c>
      <c r="D2508" s="187">
        <v>0</v>
      </c>
      <c r="E2508" s="187">
        <v>700</v>
      </c>
      <c r="F2508" s="187">
        <v>15000</v>
      </c>
      <c r="G2508" s="30">
        <f t="shared" ref="G2508:H2571" si="2726">G2484</f>
        <v>2470</v>
      </c>
      <c r="H2508" s="8">
        <f t="shared" si="2726"/>
        <v>25000</v>
      </c>
      <c r="I2508" s="30">
        <f t="shared" ref="I2508:I2571" si="2727">I2484</f>
        <v>8000</v>
      </c>
      <c r="J2508" s="187">
        <v>40000</v>
      </c>
      <c r="K2508" s="30">
        <f t="shared" ref="K2508:K2571" si="2728">K2484</f>
        <v>8000</v>
      </c>
      <c r="L2508" s="187">
        <v>40000</v>
      </c>
      <c r="M2508" s="110">
        <v>9.5</v>
      </c>
      <c r="N2508" s="9">
        <f>VLOOKUP(DATE(YEAR(A2508),MONTH(A2508),DAY(A2508)),FY24_Temp[],3,FALSE)</f>
        <v>17.25</v>
      </c>
      <c r="O2508" s="110">
        <f t="shared" si="2714"/>
        <v>11.5</v>
      </c>
      <c r="P2508" s="110">
        <f t="shared" si="2715"/>
        <v>19.5</v>
      </c>
      <c r="Q2508" s="79">
        <f>VLOOKUP(VLOOKUP(DATEVALUE(TEXT(A2508,"m/d/yyyy")),FY24_Temp[],5,FALSE)&amp;TEXT(A2508,"-h"),TempDelta[],4,FALSE)</f>
        <v>0.53400000504084999</v>
      </c>
      <c r="R2508">
        <v>10</v>
      </c>
      <c r="S2508" s="112">
        <v>1500</v>
      </c>
      <c r="T2508" s="5">
        <f>VLOOKUP(TEXT(A2508,"yy-mm")&amp;"-"&amp;IF(AND(WEEKDAY(A2508)&gt;1,WEEKDAY(A2508)&lt;7),"Wkd",TEXT(A2508,"Ddd"))&amp;"-"&amp;TEXT(A2508,"hh"),LoadTable[],3,FALSE)*0.92</f>
        <v>234.80148</v>
      </c>
      <c r="U2508" s="113">
        <f t="shared" si="2716"/>
        <v>23.480148</v>
      </c>
      <c r="V2508">
        <f t="shared" ref="V2508:W2508" si="2729">V2484</f>
        <v>2.9</v>
      </c>
      <c r="W2508">
        <f t="shared" si="2729"/>
        <v>3</v>
      </c>
      <c r="X2508" s="9">
        <v>-70.836436816666406</v>
      </c>
      <c r="Y2508" s="39"/>
    </row>
    <row r="2509" spans="1:25" ht="15" thickBot="1">
      <c r="A2509" s="149">
        <f t="shared" si="2698"/>
        <v>45940.416666662568</v>
      </c>
      <c r="B2509" s="30">
        <f t="shared" si="2725"/>
        <v>8000</v>
      </c>
      <c r="C2509" s="8">
        <v>25000</v>
      </c>
      <c r="D2509" s="187">
        <v>0</v>
      </c>
      <c r="E2509" s="187">
        <v>700</v>
      </c>
      <c r="F2509" s="187">
        <v>15000</v>
      </c>
      <c r="G2509" s="30">
        <f t="shared" si="2726"/>
        <v>2470</v>
      </c>
      <c r="H2509" s="8">
        <f t="shared" si="2726"/>
        <v>25000</v>
      </c>
      <c r="I2509" s="30">
        <f t="shared" si="2727"/>
        <v>8000</v>
      </c>
      <c r="J2509" s="187">
        <v>40000</v>
      </c>
      <c r="K2509" s="30">
        <f t="shared" si="2728"/>
        <v>8000</v>
      </c>
      <c r="L2509" s="187">
        <v>40000</v>
      </c>
      <c r="M2509" s="110">
        <v>9.5</v>
      </c>
      <c r="N2509" s="9">
        <f>VLOOKUP(DATE(YEAR(A2509),MONTH(A2509),DAY(A2509)),FY24_Temp[],3,FALSE)</f>
        <v>17.25</v>
      </c>
      <c r="O2509" s="110">
        <f t="shared" si="2714"/>
        <v>11.5</v>
      </c>
      <c r="P2509" s="110">
        <f t="shared" si="2715"/>
        <v>19.5</v>
      </c>
      <c r="Q2509" s="79">
        <f>VLOOKUP(VLOOKUP(DATEVALUE(TEXT(A2509,"m/d/yyyy")),FY24_Temp[],5,FALSE)&amp;TEXT(A2509,"-h"),TempDelta[],4,FALSE)</f>
        <v>0.42900000299726215</v>
      </c>
      <c r="R2509">
        <v>10</v>
      </c>
      <c r="S2509" s="112">
        <v>1500</v>
      </c>
      <c r="T2509" s="5">
        <f>VLOOKUP(TEXT(A2509,"yy-mm")&amp;"-"&amp;IF(AND(WEEKDAY(A2509)&gt;1,WEEKDAY(A2509)&lt;7),"Wkd",TEXT(A2509,"Ddd"))&amp;"-"&amp;TEXT(A2509,"hh"),LoadTable[],3,FALSE)*0.92</f>
        <v>234.80148</v>
      </c>
      <c r="U2509" s="113">
        <f t="shared" si="2716"/>
        <v>23.480148</v>
      </c>
      <c r="V2509">
        <f t="shared" ref="V2509:W2509" si="2730">V2485</f>
        <v>2.9</v>
      </c>
      <c r="W2509">
        <f t="shared" si="2730"/>
        <v>3</v>
      </c>
      <c r="X2509" s="9">
        <v>-70.914231366666399</v>
      </c>
      <c r="Y2509" s="39"/>
    </row>
    <row r="2510" spans="1:25" ht="15" thickBot="1">
      <c r="A2510" s="149">
        <f t="shared" si="2698"/>
        <v>45940.458333329232</v>
      </c>
      <c r="B2510" s="30">
        <f t="shared" si="2725"/>
        <v>8000</v>
      </c>
      <c r="C2510" s="8">
        <v>25000</v>
      </c>
      <c r="D2510" s="187">
        <v>0</v>
      </c>
      <c r="E2510" s="187">
        <v>700</v>
      </c>
      <c r="F2510" s="187">
        <v>15000</v>
      </c>
      <c r="G2510" s="30">
        <f t="shared" si="2726"/>
        <v>2470</v>
      </c>
      <c r="H2510" s="8">
        <f t="shared" si="2726"/>
        <v>25000</v>
      </c>
      <c r="I2510" s="30">
        <f t="shared" si="2727"/>
        <v>8000</v>
      </c>
      <c r="J2510" s="187">
        <v>40000</v>
      </c>
      <c r="K2510" s="30">
        <f t="shared" si="2728"/>
        <v>8000</v>
      </c>
      <c r="L2510" s="187">
        <v>40000</v>
      </c>
      <c r="M2510" s="110">
        <v>9.5</v>
      </c>
      <c r="N2510" s="9">
        <f>VLOOKUP(DATE(YEAR(A2510),MONTH(A2510),DAY(A2510)),FY24_Temp[],3,FALSE)</f>
        <v>17.25</v>
      </c>
      <c r="O2510" s="110">
        <f t="shared" si="2714"/>
        <v>11.5</v>
      </c>
      <c r="P2510" s="110">
        <f t="shared" si="2715"/>
        <v>19.5</v>
      </c>
      <c r="Q2510" s="79">
        <f>VLOOKUP(VLOOKUP(DATEVALUE(TEXT(A2510,"m/d/yyyy")),FY24_Temp[],5,FALSE)&amp;TEXT(A2510,"-h"),TempDelta[],4,FALSE)</f>
        <v>0.33714285918644499</v>
      </c>
      <c r="R2510">
        <v>10</v>
      </c>
      <c r="S2510" s="112">
        <v>1500</v>
      </c>
      <c r="T2510" s="5">
        <f>VLOOKUP(TEXT(A2510,"yy-mm")&amp;"-"&amp;IF(AND(WEEKDAY(A2510)&gt;1,WEEKDAY(A2510)&lt;7),"Wkd",TEXT(A2510,"Ddd"))&amp;"-"&amp;TEXT(A2510,"hh"),LoadTable[],3,FALSE)*0.92</f>
        <v>234.80148</v>
      </c>
      <c r="U2510" s="113">
        <f t="shared" si="2716"/>
        <v>23.480148</v>
      </c>
      <c r="V2510">
        <f t="shared" ref="V2510:W2510" si="2731">V2486</f>
        <v>3.4</v>
      </c>
      <c r="W2510">
        <f t="shared" si="2731"/>
        <v>3</v>
      </c>
      <c r="X2510" s="9">
        <v>-70.992025916666407</v>
      </c>
      <c r="Y2510" s="39"/>
    </row>
    <row r="2511" spans="1:25" ht="15" thickBot="1">
      <c r="A2511" s="149">
        <f t="shared" si="2698"/>
        <v>45940.499999995896</v>
      </c>
      <c r="B2511" s="30">
        <f t="shared" si="2725"/>
        <v>8000</v>
      </c>
      <c r="C2511" s="8">
        <v>25000</v>
      </c>
      <c r="D2511" s="187">
        <v>0</v>
      </c>
      <c r="E2511" s="187">
        <v>700</v>
      </c>
      <c r="F2511" s="187">
        <v>15000</v>
      </c>
      <c r="G2511" s="30">
        <f t="shared" si="2726"/>
        <v>2470</v>
      </c>
      <c r="H2511" s="8">
        <f t="shared" si="2726"/>
        <v>25000</v>
      </c>
      <c r="I2511" s="30">
        <f t="shared" si="2727"/>
        <v>8000</v>
      </c>
      <c r="J2511" s="187">
        <v>40000</v>
      </c>
      <c r="K2511" s="30">
        <f t="shared" si="2728"/>
        <v>8000</v>
      </c>
      <c r="L2511" s="187">
        <v>40000</v>
      </c>
      <c r="M2511" s="110">
        <v>9.5</v>
      </c>
      <c r="N2511" s="9">
        <f>VLOOKUP(DATE(YEAR(A2511),MONTH(A2511),DAY(A2511)),FY24_Temp[],3,FALSE)</f>
        <v>17.25</v>
      </c>
      <c r="O2511" s="110">
        <f t="shared" si="2714"/>
        <v>11.5</v>
      </c>
      <c r="P2511" s="110">
        <f t="shared" si="2715"/>
        <v>19.5</v>
      </c>
      <c r="Q2511" s="79">
        <f>VLOOKUP(VLOOKUP(DATEVALUE(TEXT(A2511,"m/d/yyyy")),FY24_Temp[],5,FALSE)&amp;TEXT(A2511,"-h"),TempDelta[],4,FALSE)</f>
        <v>0.2629999986716679</v>
      </c>
      <c r="R2511">
        <v>10</v>
      </c>
      <c r="S2511" s="112">
        <v>1500</v>
      </c>
      <c r="T2511" s="5">
        <f>VLOOKUP(TEXT(A2511,"yy-mm")&amp;"-"&amp;IF(AND(WEEKDAY(A2511)&gt;1,WEEKDAY(A2511)&lt;7),"Wkd",TEXT(A2511,"Ddd"))&amp;"-"&amp;TEXT(A2511,"hh"),LoadTable[],3,FALSE)*0.92</f>
        <v>234.80148</v>
      </c>
      <c r="U2511" s="113">
        <f t="shared" si="2716"/>
        <v>23.480148</v>
      </c>
      <c r="V2511">
        <f t="shared" ref="V2511:W2511" si="2732">V2487</f>
        <v>3.1</v>
      </c>
      <c r="W2511">
        <f t="shared" si="2732"/>
        <v>2.9</v>
      </c>
      <c r="X2511" s="9">
        <v>-71.0698204666664</v>
      </c>
      <c r="Y2511" s="39"/>
    </row>
    <row r="2512" spans="1:25" ht="15" thickBot="1">
      <c r="A2512" s="149">
        <f t="shared" si="2698"/>
        <v>45940.541666662561</v>
      </c>
      <c r="B2512" s="30">
        <f t="shared" si="2725"/>
        <v>8000</v>
      </c>
      <c r="C2512" s="8">
        <v>25000</v>
      </c>
      <c r="D2512" s="187">
        <v>0</v>
      </c>
      <c r="E2512" s="187">
        <v>700</v>
      </c>
      <c r="F2512" s="187">
        <v>15000</v>
      </c>
      <c r="G2512" s="30">
        <f t="shared" si="2726"/>
        <v>2470</v>
      </c>
      <c r="H2512" s="8">
        <f t="shared" si="2726"/>
        <v>25000</v>
      </c>
      <c r="I2512" s="30">
        <f t="shared" si="2727"/>
        <v>8000</v>
      </c>
      <c r="J2512" s="187">
        <v>40000</v>
      </c>
      <c r="K2512" s="30">
        <f t="shared" si="2728"/>
        <v>8000</v>
      </c>
      <c r="L2512" s="187">
        <v>40000</v>
      </c>
      <c r="M2512" s="110">
        <v>9.5</v>
      </c>
      <c r="N2512" s="9">
        <f>VLOOKUP(DATE(YEAR(A2512),MONTH(A2512),DAY(A2512)),FY24_Temp[],3,FALSE)</f>
        <v>17.25</v>
      </c>
      <c r="O2512" s="110">
        <f t="shared" si="2714"/>
        <v>11.5</v>
      </c>
      <c r="P2512" s="110">
        <f t="shared" si="2715"/>
        <v>19.5</v>
      </c>
      <c r="Q2512" s="79">
        <f>VLOOKUP(VLOOKUP(DATEVALUE(TEXT(A2512,"m/d/yyyy")),FY24_Temp[],5,FALSE)&amp;TEXT(A2512,"-h"),TempDelta[],4,FALSE)</f>
        <v>0.22185713904244558</v>
      </c>
      <c r="R2512">
        <v>10</v>
      </c>
      <c r="S2512" s="112">
        <v>1500</v>
      </c>
      <c r="T2512" s="5">
        <f>VLOOKUP(TEXT(A2512,"yy-mm")&amp;"-"&amp;IF(AND(WEEKDAY(A2512)&gt;1,WEEKDAY(A2512)&lt;7),"Wkd",TEXT(A2512,"Ddd"))&amp;"-"&amp;TEXT(A2512,"hh"),LoadTable[],3,FALSE)*0.92</f>
        <v>234.80148</v>
      </c>
      <c r="U2512" s="113">
        <f t="shared" si="2716"/>
        <v>23.480148</v>
      </c>
      <c r="V2512">
        <f t="shared" ref="V2512:W2512" si="2733">V2488</f>
        <v>3.2</v>
      </c>
      <c r="W2512">
        <f t="shared" si="2733"/>
        <v>2.9</v>
      </c>
      <c r="X2512" s="9">
        <v>-71.147615016666407</v>
      </c>
      <c r="Y2512" s="39"/>
    </row>
    <row r="2513" spans="1:25" ht="15" thickBot="1">
      <c r="A2513" s="149">
        <f t="shared" si="2698"/>
        <v>45940.583333329225</v>
      </c>
      <c r="B2513" s="30">
        <f t="shared" si="2725"/>
        <v>8000</v>
      </c>
      <c r="C2513" s="8">
        <v>25000</v>
      </c>
      <c r="D2513" s="187">
        <v>0</v>
      </c>
      <c r="E2513" s="187">
        <v>700</v>
      </c>
      <c r="F2513" s="187">
        <v>15000</v>
      </c>
      <c r="G2513" s="30">
        <f t="shared" si="2726"/>
        <v>2470</v>
      </c>
      <c r="H2513" s="8">
        <f t="shared" si="2726"/>
        <v>25000</v>
      </c>
      <c r="I2513" s="30">
        <f t="shared" si="2727"/>
        <v>8000</v>
      </c>
      <c r="J2513" s="187">
        <v>40000</v>
      </c>
      <c r="K2513" s="30">
        <f t="shared" si="2728"/>
        <v>8000</v>
      </c>
      <c r="L2513" s="187">
        <v>40000</v>
      </c>
      <c r="M2513" s="110">
        <v>9.5</v>
      </c>
      <c r="N2513" s="9">
        <f>VLOOKUP(DATE(YEAR(A2513),MONTH(A2513),DAY(A2513)),FY24_Temp[],3,FALSE)</f>
        <v>17.25</v>
      </c>
      <c r="O2513" s="110">
        <f t="shared" si="2714"/>
        <v>11.5</v>
      </c>
      <c r="P2513" s="110">
        <f t="shared" si="2715"/>
        <v>19.5</v>
      </c>
      <c r="Q2513" s="79">
        <f>VLOOKUP(VLOOKUP(DATEVALUE(TEXT(A2513,"m/d/yyyy")),FY24_Temp[],5,FALSE)&amp;TEXT(A2513,"-h"),TempDelta[],4,FALSE)</f>
        <v>0.29271428287029266</v>
      </c>
      <c r="R2513">
        <v>10</v>
      </c>
      <c r="S2513" s="112">
        <v>1500</v>
      </c>
      <c r="T2513" s="5">
        <f>VLOOKUP(TEXT(A2513,"yy-mm")&amp;"-"&amp;IF(AND(WEEKDAY(A2513)&gt;1,WEEKDAY(A2513)&lt;7),"Wkd",TEXT(A2513,"Ddd"))&amp;"-"&amp;TEXT(A2513,"hh"),LoadTable[],3,FALSE)*0.92</f>
        <v>234.80148</v>
      </c>
      <c r="U2513" s="113">
        <f t="shared" si="2716"/>
        <v>23.480148</v>
      </c>
      <c r="V2513">
        <f t="shared" ref="V2513:W2513" si="2734">V2489</f>
        <v>3.5</v>
      </c>
      <c r="W2513">
        <f t="shared" si="2734"/>
        <v>2.9</v>
      </c>
      <c r="X2513" s="9">
        <v>-71.225409566666499</v>
      </c>
      <c r="Y2513" s="39"/>
    </row>
    <row r="2514" spans="1:25" ht="15" thickBot="1">
      <c r="A2514" s="149">
        <f t="shared" si="2698"/>
        <v>45940.624999995889</v>
      </c>
      <c r="B2514" s="30">
        <f t="shared" si="2725"/>
        <v>8000</v>
      </c>
      <c r="C2514" s="8">
        <v>25000</v>
      </c>
      <c r="D2514" s="187">
        <v>0</v>
      </c>
      <c r="E2514" s="187">
        <v>700</v>
      </c>
      <c r="F2514" s="187">
        <v>15000</v>
      </c>
      <c r="G2514" s="30">
        <f t="shared" si="2726"/>
        <v>2470</v>
      </c>
      <c r="H2514" s="8">
        <f t="shared" si="2726"/>
        <v>25000</v>
      </c>
      <c r="I2514" s="30">
        <f t="shared" si="2727"/>
        <v>8000</v>
      </c>
      <c r="J2514" s="187">
        <v>40000</v>
      </c>
      <c r="K2514" s="30">
        <f t="shared" si="2728"/>
        <v>8000</v>
      </c>
      <c r="L2514" s="187">
        <v>40000</v>
      </c>
      <c r="M2514" s="110">
        <v>9.5</v>
      </c>
      <c r="N2514" s="9">
        <f>VLOOKUP(DATE(YEAR(A2514),MONTH(A2514),DAY(A2514)),FY24_Temp[],3,FALSE)</f>
        <v>17.25</v>
      </c>
      <c r="O2514" s="110">
        <f t="shared" si="2714"/>
        <v>11.5</v>
      </c>
      <c r="P2514" s="110">
        <f t="shared" si="2715"/>
        <v>19.5</v>
      </c>
      <c r="Q2514" s="79">
        <f>VLOOKUP(VLOOKUP(DATEVALUE(TEXT(A2514,"m/d/yyyy")),FY24_Temp[],5,FALSE)&amp;TEXT(A2514,"-h"),TempDelta[],4,FALSE)</f>
        <v>0.3973571445260729</v>
      </c>
      <c r="R2514">
        <v>10</v>
      </c>
      <c r="S2514" s="112">
        <v>1500</v>
      </c>
      <c r="T2514" s="5">
        <f>VLOOKUP(TEXT(A2514,"yy-mm")&amp;"-"&amp;IF(AND(WEEKDAY(A2514)&gt;1,WEEKDAY(A2514)&lt;7),"Wkd",TEXT(A2514,"Ddd"))&amp;"-"&amp;TEXT(A2514,"hh"),LoadTable[],3,FALSE)*0.92</f>
        <v>234.80148</v>
      </c>
      <c r="U2514" s="113">
        <f t="shared" si="2716"/>
        <v>23.480148</v>
      </c>
      <c r="V2514">
        <f t="shared" ref="V2514:W2514" si="2735">V2490</f>
        <v>3.2</v>
      </c>
      <c r="W2514">
        <f t="shared" si="2735"/>
        <v>2.9</v>
      </c>
      <c r="X2514" s="9">
        <v>-71.303204116666507</v>
      </c>
      <c r="Y2514" s="39"/>
    </row>
    <row r="2515" spans="1:25" ht="15" thickBot="1">
      <c r="A2515" s="149">
        <f t="shared" si="2698"/>
        <v>45940.666666662553</v>
      </c>
      <c r="B2515" s="30">
        <f t="shared" si="2725"/>
        <v>8000</v>
      </c>
      <c r="C2515" s="8">
        <v>25000</v>
      </c>
      <c r="D2515" s="187">
        <v>0</v>
      </c>
      <c r="E2515" s="187">
        <v>700</v>
      </c>
      <c r="F2515" s="187">
        <v>15000</v>
      </c>
      <c r="G2515" s="30">
        <f t="shared" si="2726"/>
        <v>2470</v>
      </c>
      <c r="H2515" s="8">
        <f t="shared" si="2726"/>
        <v>25000</v>
      </c>
      <c r="I2515" s="30">
        <f t="shared" si="2727"/>
        <v>8000</v>
      </c>
      <c r="J2515" s="187">
        <v>40000</v>
      </c>
      <c r="K2515" s="30">
        <f t="shared" si="2728"/>
        <v>8000</v>
      </c>
      <c r="L2515" s="187">
        <v>40000</v>
      </c>
      <c r="M2515" s="110">
        <v>9.5</v>
      </c>
      <c r="N2515" s="9">
        <f>VLOOKUP(DATE(YEAR(A2515),MONTH(A2515),DAY(A2515)),FY24_Temp[],3,FALSE)</f>
        <v>17.25</v>
      </c>
      <c r="O2515" s="110">
        <f t="shared" si="2714"/>
        <v>11.5</v>
      </c>
      <c r="P2515" s="110">
        <f t="shared" si="2715"/>
        <v>19.5</v>
      </c>
      <c r="Q2515" s="79">
        <f>VLOOKUP(VLOOKUP(DATEVALUE(TEXT(A2515,"m/d/yyyy")),FY24_Temp[],5,FALSE)&amp;TEXT(A2515,"-h"),TempDelta[],4,FALSE)</f>
        <v>0.63707143068313599</v>
      </c>
      <c r="R2515">
        <v>10</v>
      </c>
      <c r="S2515" s="112">
        <v>1500</v>
      </c>
      <c r="T2515" s="5">
        <f>VLOOKUP(TEXT(A2515,"yy-mm")&amp;"-"&amp;IF(AND(WEEKDAY(A2515)&gt;1,WEEKDAY(A2515)&lt;7),"Wkd",TEXT(A2515,"Ddd"))&amp;"-"&amp;TEXT(A2515,"hh"),LoadTable[],3,FALSE)*0.92</f>
        <v>234.80148</v>
      </c>
      <c r="U2515" s="113">
        <f t="shared" si="2716"/>
        <v>23.480148</v>
      </c>
      <c r="V2515">
        <f t="shared" ref="V2515:W2515" si="2736">V2491</f>
        <v>3.5</v>
      </c>
      <c r="W2515">
        <f t="shared" si="2736"/>
        <v>3</v>
      </c>
      <c r="X2515" s="9">
        <v>-71.3809986666665</v>
      </c>
      <c r="Y2515" s="39"/>
    </row>
    <row r="2516" spans="1:25" ht="15" thickBot="1">
      <c r="A2516" s="149">
        <f t="shared" si="2698"/>
        <v>45940.708333329218</v>
      </c>
      <c r="B2516" s="30">
        <f t="shared" si="2725"/>
        <v>8000</v>
      </c>
      <c r="C2516" s="8">
        <v>25000</v>
      </c>
      <c r="D2516" s="187">
        <v>0</v>
      </c>
      <c r="E2516" s="187">
        <v>700</v>
      </c>
      <c r="F2516" s="187">
        <v>15000</v>
      </c>
      <c r="G2516" s="30">
        <f t="shared" si="2726"/>
        <v>2470</v>
      </c>
      <c r="H2516" s="8">
        <f t="shared" si="2726"/>
        <v>25000</v>
      </c>
      <c r="I2516" s="30">
        <f t="shared" si="2727"/>
        <v>8000</v>
      </c>
      <c r="J2516" s="187">
        <v>40000</v>
      </c>
      <c r="K2516" s="30">
        <f t="shared" si="2728"/>
        <v>8000</v>
      </c>
      <c r="L2516" s="187">
        <v>40000</v>
      </c>
      <c r="M2516" s="110">
        <v>9.5</v>
      </c>
      <c r="N2516" s="9">
        <f>VLOOKUP(DATE(YEAR(A2516),MONTH(A2516),DAY(A2516)),FY24_Temp[],3,FALSE)</f>
        <v>17.25</v>
      </c>
      <c r="O2516" s="110">
        <f t="shared" si="2714"/>
        <v>11.5</v>
      </c>
      <c r="P2516" s="110">
        <f t="shared" si="2715"/>
        <v>19.5</v>
      </c>
      <c r="Q2516" s="79">
        <f>VLOOKUP(VLOOKUP(DATEVALUE(TEXT(A2516,"m/d/yyyy")),FY24_Temp[],5,FALSE)&amp;TEXT(A2516,"-h"),TempDelta[],4,FALSE)</f>
        <v>0.76450000064713619</v>
      </c>
      <c r="R2516">
        <v>10</v>
      </c>
      <c r="S2516" s="112">
        <v>1500</v>
      </c>
      <c r="T2516" s="5">
        <f>VLOOKUP(TEXT(A2516,"yy-mm")&amp;"-"&amp;IF(AND(WEEKDAY(A2516)&gt;1,WEEKDAY(A2516)&lt;7),"Wkd",TEXT(A2516,"Ddd"))&amp;"-"&amp;TEXT(A2516,"hh"),LoadTable[],3,FALSE)*0.92</f>
        <v>234.80148</v>
      </c>
      <c r="U2516" s="113">
        <f t="shared" si="2716"/>
        <v>23.480148</v>
      </c>
      <c r="V2516">
        <f t="shared" ref="V2516:W2516" si="2737">V2492</f>
        <v>3.6</v>
      </c>
      <c r="W2516">
        <f t="shared" si="2737"/>
        <v>3</v>
      </c>
      <c r="X2516" s="9">
        <v>-71.458793216666507</v>
      </c>
      <c r="Y2516" s="39"/>
    </row>
    <row r="2517" spans="1:25" ht="15" thickBot="1">
      <c r="A2517" s="149">
        <f t="shared" si="2698"/>
        <v>45940.749999995882</v>
      </c>
      <c r="B2517" s="30">
        <f t="shared" si="2725"/>
        <v>5000</v>
      </c>
      <c r="C2517" s="8">
        <v>25000</v>
      </c>
      <c r="D2517" s="187">
        <v>0</v>
      </c>
      <c r="E2517" s="187">
        <v>700</v>
      </c>
      <c r="F2517" s="187">
        <v>15000</v>
      </c>
      <c r="G2517" s="30">
        <f t="shared" si="2726"/>
        <v>2470</v>
      </c>
      <c r="H2517" s="8">
        <f t="shared" si="2726"/>
        <v>25000</v>
      </c>
      <c r="I2517" s="30">
        <f t="shared" si="2727"/>
        <v>5000</v>
      </c>
      <c r="J2517" s="187">
        <v>40000</v>
      </c>
      <c r="K2517" s="30">
        <f t="shared" si="2728"/>
        <v>5000</v>
      </c>
      <c r="L2517" s="187">
        <v>40000</v>
      </c>
      <c r="M2517" s="110">
        <v>9.5</v>
      </c>
      <c r="N2517" s="9">
        <f>VLOOKUP(DATE(YEAR(A2517),MONTH(A2517),DAY(A2517)),FY24_Temp[],3,FALSE)</f>
        <v>17.25</v>
      </c>
      <c r="O2517" s="110">
        <f t="shared" si="2714"/>
        <v>11.5</v>
      </c>
      <c r="P2517" s="110">
        <f t="shared" si="2715"/>
        <v>19.5</v>
      </c>
      <c r="Q2517" s="79">
        <f>VLOOKUP(VLOOKUP(DATEVALUE(TEXT(A2517,"m/d/yyyy")),FY24_Temp[],5,FALSE)&amp;TEXT(A2517,"-h"),TempDelta[],4,FALSE)</f>
        <v>0.91657142128263203</v>
      </c>
      <c r="R2517">
        <v>10</v>
      </c>
      <c r="S2517" s="112">
        <v>1500</v>
      </c>
      <c r="T2517" s="5">
        <f>VLOOKUP(TEXT(A2517,"yy-mm")&amp;"-"&amp;IF(AND(WEEKDAY(A2517)&gt;1,WEEKDAY(A2517)&lt;7),"Wkd",TEXT(A2517,"Ddd"))&amp;"-"&amp;TEXT(A2517,"hh"),LoadTable[],3,FALSE)*0.92</f>
        <v>303.31295999999998</v>
      </c>
      <c r="U2517" s="113">
        <f t="shared" si="2716"/>
        <v>30.331295999999998</v>
      </c>
      <c r="V2517">
        <f t="shared" ref="V2517:W2517" si="2738">V2493</f>
        <v>2.9</v>
      </c>
      <c r="W2517">
        <f t="shared" si="2738"/>
        <v>3</v>
      </c>
      <c r="X2517" s="9">
        <v>-71.5365877666665</v>
      </c>
      <c r="Y2517" s="39"/>
    </row>
    <row r="2518" spans="1:25" ht="15" thickBot="1">
      <c r="A2518" s="149">
        <f t="shared" si="2698"/>
        <v>45940.791666662546</v>
      </c>
      <c r="B2518" s="30">
        <f t="shared" si="2725"/>
        <v>5000</v>
      </c>
      <c r="C2518" s="8">
        <v>25000</v>
      </c>
      <c r="D2518" s="187">
        <v>0</v>
      </c>
      <c r="E2518" s="187">
        <v>700</v>
      </c>
      <c r="F2518" s="187">
        <v>15000</v>
      </c>
      <c r="G2518" s="30">
        <f t="shared" si="2726"/>
        <v>2470</v>
      </c>
      <c r="H2518" s="8">
        <f t="shared" si="2726"/>
        <v>25000</v>
      </c>
      <c r="I2518" s="30">
        <f t="shared" si="2727"/>
        <v>5000</v>
      </c>
      <c r="J2518" s="187">
        <v>40000</v>
      </c>
      <c r="K2518" s="30">
        <f t="shared" si="2728"/>
        <v>5000</v>
      </c>
      <c r="L2518" s="187">
        <v>40000</v>
      </c>
      <c r="M2518" s="110">
        <v>9.5</v>
      </c>
      <c r="N2518" s="9">
        <f>VLOOKUP(DATE(YEAR(A2518),MONTH(A2518),DAY(A2518)),FY24_Temp[],3,FALSE)</f>
        <v>17.25</v>
      </c>
      <c r="O2518" s="110">
        <f t="shared" si="2714"/>
        <v>11.5</v>
      </c>
      <c r="P2518" s="110">
        <f t="shared" si="2715"/>
        <v>19.5</v>
      </c>
      <c r="Q2518" s="79">
        <f>VLOOKUP(VLOOKUP(DATEVALUE(TEXT(A2518,"m/d/yyyy")),FY24_Temp[],5,FALSE)&amp;TEXT(A2518,"-h"),TempDelta[],4,FALSE)</f>
        <v>0.91900000827653072</v>
      </c>
      <c r="R2518">
        <v>10</v>
      </c>
      <c r="S2518" s="112">
        <v>1500</v>
      </c>
      <c r="T2518" s="5">
        <f>VLOOKUP(TEXT(A2518,"yy-mm")&amp;"-"&amp;IF(AND(WEEKDAY(A2518)&gt;1,WEEKDAY(A2518)&lt;7),"Wkd",TEXT(A2518,"Ddd"))&amp;"-"&amp;TEXT(A2518,"hh"),LoadTable[],3,FALSE)*0.92</f>
        <v>303.31295999999998</v>
      </c>
      <c r="U2518" s="113">
        <f t="shared" si="2716"/>
        <v>30.331295999999998</v>
      </c>
      <c r="V2518">
        <f t="shared" ref="V2518:W2518" si="2739">V2494</f>
        <v>3</v>
      </c>
      <c r="W2518">
        <f t="shared" si="2739"/>
        <v>3</v>
      </c>
      <c r="X2518" s="9">
        <v>-71.614382316666493</v>
      </c>
      <c r="Y2518" s="39"/>
    </row>
    <row r="2519" spans="1:25" ht="15" thickBot="1">
      <c r="A2519" s="149">
        <f t="shared" si="2698"/>
        <v>45940.83333332921</v>
      </c>
      <c r="B2519" s="30">
        <f t="shared" si="2725"/>
        <v>5000</v>
      </c>
      <c r="C2519" s="8">
        <v>25000</v>
      </c>
      <c r="D2519" s="187">
        <v>0</v>
      </c>
      <c r="E2519" s="187">
        <v>700</v>
      </c>
      <c r="F2519" s="187">
        <v>15000</v>
      </c>
      <c r="G2519" s="30">
        <f t="shared" si="2726"/>
        <v>2470</v>
      </c>
      <c r="H2519" s="8">
        <f t="shared" si="2726"/>
        <v>25000</v>
      </c>
      <c r="I2519" s="30">
        <f t="shared" si="2727"/>
        <v>5000</v>
      </c>
      <c r="J2519" s="187">
        <v>40000</v>
      </c>
      <c r="K2519" s="30">
        <f t="shared" si="2728"/>
        <v>5000</v>
      </c>
      <c r="L2519" s="187">
        <v>40000</v>
      </c>
      <c r="M2519" s="110">
        <v>9.5</v>
      </c>
      <c r="N2519" s="9">
        <f>VLOOKUP(DATE(YEAR(A2519),MONTH(A2519),DAY(A2519)),FY24_Temp[],3,FALSE)</f>
        <v>17.25</v>
      </c>
      <c r="O2519" s="110">
        <f t="shared" si="2714"/>
        <v>11.5</v>
      </c>
      <c r="P2519" s="110">
        <f t="shared" si="2715"/>
        <v>19.5</v>
      </c>
      <c r="Q2519" s="79">
        <f>VLOOKUP(VLOOKUP(DATEVALUE(TEXT(A2519,"m/d/yyyy")),FY24_Temp[],5,FALSE)&amp;TEXT(A2519,"-h"),TempDelta[],4,FALSE)</f>
        <v>0.93314285363469807</v>
      </c>
      <c r="R2519">
        <v>10</v>
      </c>
      <c r="S2519" s="112">
        <v>1500</v>
      </c>
      <c r="T2519" s="5">
        <f>VLOOKUP(TEXT(A2519,"yy-mm")&amp;"-"&amp;IF(AND(WEEKDAY(A2519)&gt;1,WEEKDAY(A2519)&lt;7),"Wkd",TEXT(A2519,"Ddd"))&amp;"-"&amp;TEXT(A2519,"hh"),LoadTable[],3,FALSE)*0.92</f>
        <v>303.31295999999998</v>
      </c>
      <c r="U2519" s="113">
        <f t="shared" si="2716"/>
        <v>30.331295999999998</v>
      </c>
      <c r="V2519">
        <f t="shared" ref="V2519:W2519" si="2740">V2495</f>
        <v>2.8</v>
      </c>
      <c r="W2519">
        <f t="shared" si="2740"/>
        <v>3.1</v>
      </c>
      <c r="X2519" s="9">
        <v>-71.6921768666665</v>
      </c>
      <c r="Y2519" s="39"/>
    </row>
    <row r="2520" spans="1:25" ht="15" thickBot="1">
      <c r="A2520" s="149">
        <f t="shared" si="2698"/>
        <v>45940.874999995875</v>
      </c>
      <c r="B2520" s="30">
        <f t="shared" si="2725"/>
        <v>5000</v>
      </c>
      <c r="C2520" s="8">
        <v>25000</v>
      </c>
      <c r="D2520" s="187">
        <v>0</v>
      </c>
      <c r="E2520" s="187">
        <v>700</v>
      </c>
      <c r="F2520" s="187">
        <v>15000</v>
      </c>
      <c r="G2520" s="30">
        <f t="shared" si="2726"/>
        <v>2470</v>
      </c>
      <c r="H2520" s="8">
        <f t="shared" si="2726"/>
        <v>25000</v>
      </c>
      <c r="I2520" s="30">
        <f t="shared" si="2727"/>
        <v>5000</v>
      </c>
      <c r="J2520" s="187">
        <v>40000</v>
      </c>
      <c r="K2520" s="30">
        <f t="shared" si="2728"/>
        <v>5000</v>
      </c>
      <c r="L2520" s="187">
        <v>40000</v>
      </c>
      <c r="M2520" s="110">
        <v>9.5</v>
      </c>
      <c r="N2520" s="9">
        <f>VLOOKUP(DATE(YEAR(A2520),MONTH(A2520),DAY(A2520)),FY24_Temp[],3,FALSE)</f>
        <v>17.25</v>
      </c>
      <c r="O2520" s="110">
        <f t="shared" si="2714"/>
        <v>11.5</v>
      </c>
      <c r="P2520" s="110">
        <f t="shared" si="2715"/>
        <v>19.5</v>
      </c>
      <c r="Q2520" s="79">
        <f>VLOOKUP(VLOOKUP(DATEVALUE(TEXT(A2520,"m/d/yyyy")),FY24_Temp[],5,FALSE)&amp;TEXT(A2520,"-h"),TempDelta[],4,FALSE)</f>
        <v>0.92385714820453102</v>
      </c>
      <c r="R2520">
        <v>10</v>
      </c>
      <c r="S2520" s="112">
        <v>1500</v>
      </c>
      <c r="T2520" s="5">
        <f>VLOOKUP(TEXT(A2520,"yy-mm")&amp;"-"&amp;IF(AND(WEEKDAY(A2520)&gt;1,WEEKDAY(A2520)&lt;7),"Wkd",TEXT(A2520,"Ddd"))&amp;"-"&amp;TEXT(A2520,"hh"),LoadTable[],3,FALSE)*0.92</f>
        <v>229.93744000000001</v>
      </c>
      <c r="U2520" s="113">
        <f t="shared" si="2716"/>
        <v>22.993744</v>
      </c>
      <c r="V2520">
        <f t="shared" ref="V2520:W2520" si="2741">V2496</f>
        <v>3.5</v>
      </c>
      <c r="W2520">
        <f t="shared" si="2741"/>
        <v>3.1</v>
      </c>
      <c r="X2520" s="9">
        <v>-71.769971416666493</v>
      </c>
      <c r="Y2520" s="39"/>
    </row>
    <row r="2521" spans="1:25" ht="15" thickBot="1">
      <c r="A2521" s="149">
        <f t="shared" si="2698"/>
        <v>45940.916666662539</v>
      </c>
      <c r="B2521" s="30">
        <f t="shared" si="2725"/>
        <v>5000</v>
      </c>
      <c r="C2521" s="8">
        <v>25000</v>
      </c>
      <c r="D2521" s="187">
        <v>0</v>
      </c>
      <c r="E2521" s="187">
        <v>700</v>
      </c>
      <c r="F2521" s="187">
        <v>15000</v>
      </c>
      <c r="G2521" s="30">
        <f t="shared" si="2726"/>
        <v>2470</v>
      </c>
      <c r="H2521" s="8">
        <f t="shared" si="2726"/>
        <v>25000</v>
      </c>
      <c r="I2521" s="30">
        <f t="shared" si="2727"/>
        <v>5000</v>
      </c>
      <c r="J2521" s="187">
        <v>40000</v>
      </c>
      <c r="K2521" s="30">
        <f t="shared" si="2728"/>
        <v>5000</v>
      </c>
      <c r="L2521" s="187">
        <v>40000</v>
      </c>
      <c r="M2521" s="110">
        <v>9.5</v>
      </c>
      <c r="N2521" s="9">
        <f>VLOOKUP(DATE(YEAR(A2521),MONTH(A2521),DAY(A2521)),FY24_Temp[],3,FALSE)</f>
        <v>17.25</v>
      </c>
      <c r="O2521" s="110">
        <f t="shared" si="2714"/>
        <v>11.5</v>
      </c>
      <c r="P2521" s="110">
        <f t="shared" si="2715"/>
        <v>19.5</v>
      </c>
      <c r="Q2521" s="79">
        <f>VLOOKUP(VLOOKUP(DATEVALUE(TEXT(A2521,"m/d/yyyy")),FY24_Temp[],5,FALSE)&amp;TEXT(A2521,"-h"),TempDelta[],4,FALSE)</f>
        <v>1.1424285514014108</v>
      </c>
      <c r="R2521">
        <v>10</v>
      </c>
      <c r="S2521" s="112">
        <v>1500</v>
      </c>
      <c r="T2521" s="5">
        <f>VLOOKUP(TEXT(A2521,"yy-mm")&amp;"-"&amp;IF(AND(WEEKDAY(A2521)&gt;1,WEEKDAY(A2521)&lt;7),"Wkd",TEXT(A2521,"Ddd"))&amp;"-"&amp;TEXT(A2521,"hh"),LoadTable[],3,FALSE)*0.92</f>
        <v>176.52040000000002</v>
      </c>
      <c r="U2521" s="113">
        <f t="shared" si="2716"/>
        <v>17.652040000000003</v>
      </c>
      <c r="V2521">
        <f t="shared" ref="V2521:W2521" si="2742">V2497</f>
        <v>2.9</v>
      </c>
      <c r="W2521">
        <f t="shared" si="2742"/>
        <v>3.1</v>
      </c>
      <c r="X2521" s="9">
        <v>-71.847765966666501</v>
      </c>
      <c r="Y2521" s="39"/>
    </row>
    <row r="2522" spans="1:25" ht="15" thickBot="1">
      <c r="A2522" s="149">
        <f t="shared" si="2698"/>
        <v>45940.958333329203</v>
      </c>
      <c r="B2522" s="30">
        <f t="shared" si="2725"/>
        <v>5000</v>
      </c>
      <c r="C2522" s="8">
        <v>25000</v>
      </c>
      <c r="D2522" s="187">
        <v>0</v>
      </c>
      <c r="E2522" s="187">
        <v>700</v>
      </c>
      <c r="F2522" s="187">
        <v>15000</v>
      </c>
      <c r="G2522" s="30">
        <f t="shared" si="2726"/>
        <v>2470</v>
      </c>
      <c r="H2522" s="8">
        <f t="shared" si="2726"/>
        <v>25000</v>
      </c>
      <c r="I2522" s="30">
        <f t="shared" si="2727"/>
        <v>5000</v>
      </c>
      <c r="J2522" s="187">
        <v>40000</v>
      </c>
      <c r="K2522" s="30">
        <f t="shared" si="2728"/>
        <v>5000</v>
      </c>
      <c r="L2522" s="187">
        <v>40000</v>
      </c>
      <c r="M2522" s="110">
        <v>9.5</v>
      </c>
      <c r="N2522" s="9">
        <f>VLOOKUP(DATE(YEAR(A2522),MONTH(A2522),DAY(A2522)),FY24_Temp[],3,FALSE)</f>
        <v>17.25</v>
      </c>
      <c r="O2522" s="110">
        <f t="shared" si="2714"/>
        <v>11.5</v>
      </c>
      <c r="P2522" s="110">
        <f t="shared" si="2715"/>
        <v>19.5</v>
      </c>
      <c r="Q2522" s="79">
        <f>VLOOKUP(VLOOKUP(DATEVALUE(TEXT(A2522,"m/d/yyyy")),FY24_Temp[],5,FALSE)&amp;TEXT(A2522,"-h"),TempDelta[],4,FALSE)</f>
        <v>1.2597142798560006</v>
      </c>
      <c r="R2522">
        <v>10</v>
      </c>
      <c r="S2522" s="112">
        <v>1500</v>
      </c>
      <c r="T2522" s="5">
        <f>VLOOKUP(TEXT(A2522,"yy-mm")&amp;"-"&amp;IF(AND(WEEKDAY(A2522)&gt;1,WEEKDAY(A2522)&lt;7),"Wkd",TEXT(A2522,"Ddd"))&amp;"-"&amp;TEXT(A2522,"hh"),LoadTable[],3,FALSE)*0.92</f>
        <v>176.52040000000002</v>
      </c>
      <c r="U2522" s="113">
        <f t="shared" si="2716"/>
        <v>17.652040000000003</v>
      </c>
      <c r="V2522">
        <f t="shared" ref="V2522:W2522" si="2743">V2498</f>
        <v>3.6</v>
      </c>
      <c r="W2522">
        <f t="shared" si="2743"/>
        <v>3.1</v>
      </c>
      <c r="X2522" s="9">
        <v>-71.925560516666494</v>
      </c>
      <c r="Y2522" s="39"/>
    </row>
    <row r="2523" spans="1:25" ht="15" thickBot="1">
      <c r="A2523" s="149">
        <f t="shared" si="2698"/>
        <v>45940.999999995867</v>
      </c>
      <c r="B2523" s="30">
        <f t="shared" si="2725"/>
        <v>5000</v>
      </c>
      <c r="C2523" s="109">
        <v>25000</v>
      </c>
      <c r="D2523" s="187">
        <v>0</v>
      </c>
      <c r="E2523" s="187">
        <v>700</v>
      </c>
      <c r="F2523" s="187">
        <v>15000</v>
      </c>
      <c r="G2523" s="30">
        <f t="shared" si="2726"/>
        <v>2470</v>
      </c>
      <c r="H2523" s="8">
        <f t="shared" si="2726"/>
        <v>25000</v>
      </c>
      <c r="I2523" s="30">
        <f t="shared" si="2727"/>
        <v>5000</v>
      </c>
      <c r="J2523" s="187">
        <v>40000</v>
      </c>
      <c r="K2523" s="30">
        <f t="shared" si="2728"/>
        <v>5000</v>
      </c>
      <c r="L2523" s="187">
        <v>40000</v>
      </c>
      <c r="M2523" s="110">
        <v>9.5</v>
      </c>
      <c r="N2523" s="9">
        <f>VLOOKUP(DATE(YEAR(A2523),MONTH(A2523),DAY(A2523)),FY24_Temp[],3,FALSE)</f>
        <v>17.25</v>
      </c>
      <c r="O2523" s="110">
        <f t="shared" si="2714"/>
        <v>11.5</v>
      </c>
      <c r="P2523" s="110">
        <f t="shared" si="2715"/>
        <v>19.5</v>
      </c>
      <c r="Q2523" s="79">
        <f>VLOOKUP(VLOOKUP(DATEVALUE(TEXT(A2523,"m/d/yyyy")),FY24_Temp[],5,FALSE)&amp;TEXT(A2523,"-h"),TempDelta[],4,FALSE)</f>
        <v>1.100857138633728</v>
      </c>
      <c r="R2523">
        <v>10</v>
      </c>
      <c r="S2523" s="112">
        <v>1500</v>
      </c>
      <c r="T2523" s="5">
        <f>VLOOKUP(TEXT(A2523,"yy-mm")&amp;"-"&amp;IF(AND(WEEKDAY(A2523)&gt;1,WEEKDAY(A2523)&lt;7),"Wkd",TEXT(A2523,"Ddd"))&amp;"-"&amp;TEXT(A2523,"hh"),LoadTable[],3,FALSE)*0.92</f>
        <v>176.52040000000002</v>
      </c>
      <c r="U2523" s="113">
        <f t="shared" si="2716"/>
        <v>17.652040000000003</v>
      </c>
      <c r="V2523">
        <f t="shared" ref="V2523:W2523" si="2744">V2499</f>
        <v>3</v>
      </c>
      <c r="W2523">
        <f t="shared" si="2744"/>
        <v>3.2</v>
      </c>
      <c r="X2523" s="9">
        <v>-72.003355066666501</v>
      </c>
      <c r="Y2523" s="39"/>
    </row>
    <row r="2524" spans="1:25" ht="15" thickBot="1">
      <c r="A2524" s="149">
        <f t="shared" si="2698"/>
        <v>45941.041666662531</v>
      </c>
      <c r="B2524" s="30">
        <f t="shared" si="2725"/>
        <v>5000</v>
      </c>
      <c r="C2524" s="8">
        <v>25000</v>
      </c>
      <c r="D2524" s="187">
        <v>0</v>
      </c>
      <c r="E2524" s="187">
        <v>700</v>
      </c>
      <c r="F2524" s="187">
        <v>15000</v>
      </c>
      <c r="G2524" s="30">
        <f t="shared" si="2726"/>
        <v>2470</v>
      </c>
      <c r="H2524" s="8">
        <f t="shared" si="2726"/>
        <v>25000</v>
      </c>
      <c r="I2524" s="30">
        <f t="shared" si="2727"/>
        <v>5000</v>
      </c>
      <c r="J2524" s="187">
        <v>40000</v>
      </c>
      <c r="K2524" s="30">
        <f t="shared" si="2728"/>
        <v>5000</v>
      </c>
      <c r="L2524" s="187">
        <v>40000</v>
      </c>
      <c r="M2524" s="110">
        <v>9.5</v>
      </c>
      <c r="N2524" s="9">
        <f>VLOOKUP(DATE(YEAR(A2524),MONTH(A2524),DAY(A2524)),FY24_Temp[],3,FALSE)</f>
        <v>17.25</v>
      </c>
      <c r="O2524" s="110">
        <f t="shared" si="2714"/>
        <v>11.5</v>
      </c>
      <c r="P2524" s="110">
        <f t="shared" si="2715"/>
        <v>19.5</v>
      </c>
      <c r="Q2524" s="79">
        <f>VLOOKUP(VLOOKUP(DATEVALUE(TEXT(A2524,"m/d/yyyy")),FY24_Temp[],5,FALSE)&amp;TEXT(A2524,"-h"),TempDelta[],4,FALSE)</f>
        <v>1.0574285984039307</v>
      </c>
      <c r="R2524">
        <v>10</v>
      </c>
      <c r="S2524" s="112">
        <v>1500</v>
      </c>
      <c r="T2524" s="5">
        <f>VLOOKUP(TEXT(A2524,"yy-mm")&amp;"-"&amp;IF(AND(WEEKDAY(A2524)&gt;1,WEEKDAY(A2524)&lt;7),"Wkd",TEXT(A2524,"Ddd"))&amp;"-"&amp;TEXT(A2524,"hh"),LoadTable[],3,FALSE)*0.92</f>
        <v>176.52040000000002</v>
      </c>
      <c r="U2524" s="113">
        <f t="shared" si="2716"/>
        <v>17.652040000000003</v>
      </c>
      <c r="V2524">
        <f t="shared" ref="V2524:W2524" si="2745">V2500</f>
        <v>2.6</v>
      </c>
      <c r="W2524">
        <f t="shared" si="2745"/>
        <v>3.2</v>
      </c>
      <c r="X2524" s="9">
        <v>-72.081149616666494</v>
      </c>
      <c r="Y2524" s="39"/>
    </row>
    <row r="2525" spans="1:25" ht="15" thickBot="1">
      <c r="A2525" s="149">
        <f t="shared" si="2698"/>
        <v>45941.083333329196</v>
      </c>
      <c r="B2525" s="30">
        <f t="shared" si="2725"/>
        <v>5000</v>
      </c>
      <c r="C2525" s="8">
        <v>25000</v>
      </c>
      <c r="D2525" s="187">
        <v>0</v>
      </c>
      <c r="E2525" s="187">
        <v>700</v>
      </c>
      <c r="F2525" s="187">
        <v>15000</v>
      </c>
      <c r="G2525" s="30">
        <f t="shared" si="2726"/>
        <v>2470</v>
      </c>
      <c r="H2525" s="8">
        <f t="shared" si="2726"/>
        <v>25000</v>
      </c>
      <c r="I2525" s="30">
        <f t="shared" si="2727"/>
        <v>5000</v>
      </c>
      <c r="J2525" s="187">
        <v>40000</v>
      </c>
      <c r="K2525" s="30">
        <f t="shared" si="2728"/>
        <v>5000</v>
      </c>
      <c r="L2525" s="187">
        <v>40000</v>
      </c>
      <c r="M2525" s="110">
        <v>9.5</v>
      </c>
      <c r="N2525" s="9">
        <f>VLOOKUP(DATE(YEAR(A2525),MONTH(A2525),DAY(A2525)),FY24_Temp[],3,FALSE)</f>
        <v>17.25</v>
      </c>
      <c r="O2525" s="110">
        <f t="shared" si="2714"/>
        <v>11.5</v>
      </c>
      <c r="P2525" s="110">
        <f t="shared" si="2715"/>
        <v>19.5</v>
      </c>
      <c r="Q2525" s="79">
        <f>VLOOKUP(VLOOKUP(DATEVALUE(TEXT(A2525,"m/d/yyyy")),FY24_Temp[],5,FALSE)&amp;TEXT(A2525,"-h"),TempDelta[],4,FALSE)</f>
        <v>0.96828572239194599</v>
      </c>
      <c r="R2525">
        <v>10</v>
      </c>
      <c r="S2525" s="112">
        <v>1500</v>
      </c>
      <c r="T2525" s="5">
        <f>VLOOKUP(TEXT(A2525,"yy-mm")&amp;"-"&amp;IF(AND(WEEKDAY(A2525)&gt;1,WEEKDAY(A2525)&lt;7),"Wkd",TEXT(A2525,"Ddd"))&amp;"-"&amp;TEXT(A2525,"hh"),LoadTable[],3,FALSE)*0.92</f>
        <v>176.52040000000002</v>
      </c>
      <c r="U2525" s="113">
        <f t="shared" si="2716"/>
        <v>17.652040000000003</v>
      </c>
      <c r="V2525">
        <f t="shared" ref="V2525:W2525" si="2746">V2501</f>
        <v>2.8</v>
      </c>
      <c r="W2525">
        <f t="shared" si="2746"/>
        <v>3.2</v>
      </c>
      <c r="X2525" s="9">
        <v>-72.158944166666501</v>
      </c>
      <c r="Y2525" s="39"/>
    </row>
    <row r="2526" spans="1:25" ht="15" thickBot="1">
      <c r="A2526" s="149">
        <f t="shared" si="2698"/>
        <v>45941.12499999586</v>
      </c>
      <c r="B2526" s="30">
        <f t="shared" si="2725"/>
        <v>5000</v>
      </c>
      <c r="C2526" s="8">
        <v>25000</v>
      </c>
      <c r="D2526" s="187">
        <v>0</v>
      </c>
      <c r="E2526" s="187">
        <v>700</v>
      </c>
      <c r="F2526" s="187">
        <v>15000</v>
      </c>
      <c r="G2526" s="30">
        <f t="shared" si="2726"/>
        <v>2470</v>
      </c>
      <c r="H2526" s="8">
        <f t="shared" si="2726"/>
        <v>25000</v>
      </c>
      <c r="I2526" s="30">
        <f t="shared" si="2727"/>
        <v>5000</v>
      </c>
      <c r="J2526" s="187">
        <v>40000</v>
      </c>
      <c r="K2526" s="30">
        <f t="shared" si="2728"/>
        <v>5000</v>
      </c>
      <c r="L2526" s="187">
        <v>40000</v>
      </c>
      <c r="M2526" s="110">
        <v>9.5</v>
      </c>
      <c r="N2526" s="9">
        <f>VLOOKUP(DATE(YEAR(A2526),MONTH(A2526),DAY(A2526)),FY24_Temp[],3,FALSE)</f>
        <v>17.25</v>
      </c>
      <c r="O2526" s="110">
        <f t="shared" si="2714"/>
        <v>11.5</v>
      </c>
      <c r="P2526" s="110">
        <f t="shared" si="2715"/>
        <v>19.5</v>
      </c>
      <c r="Q2526" s="79">
        <f>VLOOKUP(VLOOKUP(DATEVALUE(TEXT(A2526,"m/d/yyyy")),FY24_Temp[],5,FALSE)&amp;TEXT(A2526,"-h"),TempDelta[],4,FALSE)</f>
        <v>0.8611428397042411</v>
      </c>
      <c r="R2526">
        <v>10</v>
      </c>
      <c r="S2526" s="112">
        <v>1500</v>
      </c>
      <c r="T2526" s="5">
        <f>VLOOKUP(TEXT(A2526,"yy-mm")&amp;"-"&amp;IF(AND(WEEKDAY(A2526)&gt;1,WEEKDAY(A2526)&lt;7),"Wkd",TEXT(A2526,"Ddd"))&amp;"-"&amp;TEXT(A2526,"hh"),LoadTable[],3,FALSE)*0.92</f>
        <v>176.52040000000002</v>
      </c>
      <c r="U2526" s="113">
        <f t="shared" si="2716"/>
        <v>17.652040000000003</v>
      </c>
      <c r="V2526">
        <f t="shared" ref="V2526:W2526" si="2747">V2502</f>
        <v>2.7</v>
      </c>
      <c r="W2526">
        <f t="shared" si="2747"/>
        <v>3.2</v>
      </c>
      <c r="X2526" s="9">
        <v>-72.236738716666594</v>
      </c>
      <c r="Y2526" s="39"/>
    </row>
    <row r="2527" spans="1:25" ht="15" thickBot="1">
      <c r="A2527" s="149">
        <f t="shared" si="2698"/>
        <v>45941.166666662524</v>
      </c>
      <c r="B2527" s="30">
        <f t="shared" si="2725"/>
        <v>5000</v>
      </c>
      <c r="C2527" s="8">
        <v>25000</v>
      </c>
      <c r="D2527" s="187">
        <v>0</v>
      </c>
      <c r="E2527" s="187">
        <v>700</v>
      </c>
      <c r="F2527" s="187">
        <v>15000</v>
      </c>
      <c r="G2527" s="30">
        <f t="shared" si="2726"/>
        <v>2470</v>
      </c>
      <c r="H2527" s="8">
        <f t="shared" si="2726"/>
        <v>25000</v>
      </c>
      <c r="I2527" s="30">
        <f t="shared" si="2727"/>
        <v>5000</v>
      </c>
      <c r="J2527" s="187">
        <v>40000</v>
      </c>
      <c r="K2527" s="30">
        <f t="shared" si="2728"/>
        <v>5000</v>
      </c>
      <c r="L2527" s="187">
        <v>40000</v>
      </c>
      <c r="M2527" s="110">
        <v>9.5</v>
      </c>
      <c r="N2527" s="9">
        <f>VLOOKUP(DATE(YEAR(A2527),MONTH(A2527),DAY(A2527)),FY24_Temp[],3,FALSE)</f>
        <v>17.25</v>
      </c>
      <c r="O2527" s="110">
        <f t="shared" si="2714"/>
        <v>11.5</v>
      </c>
      <c r="P2527" s="110">
        <f t="shared" si="2715"/>
        <v>19.5</v>
      </c>
      <c r="Q2527" s="79">
        <f>VLOOKUP(VLOOKUP(DATEVALUE(TEXT(A2527,"m/d/yyyy")),FY24_Temp[],5,FALSE)&amp;TEXT(A2527,"-h"),TempDelta[],4,FALSE)</f>
        <v>0.76914285761969425</v>
      </c>
      <c r="R2527">
        <v>10</v>
      </c>
      <c r="S2527" s="112">
        <v>1500</v>
      </c>
      <c r="T2527" s="5">
        <f>VLOOKUP(TEXT(A2527,"yy-mm")&amp;"-"&amp;IF(AND(WEEKDAY(A2527)&gt;1,WEEKDAY(A2527)&lt;7),"Wkd",TEXT(A2527,"Ddd"))&amp;"-"&amp;TEXT(A2527,"hh"),LoadTable[],3,FALSE)*0.92</f>
        <v>176.52040000000002</v>
      </c>
      <c r="U2527" s="113">
        <f t="shared" si="2716"/>
        <v>17.652040000000003</v>
      </c>
      <c r="V2527">
        <f t="shared" ref="V2527:W2527" si="2748">V2503</f>
        <v>3</v>
      </c>
      <c r="W2527">
        <f t="shared" si="2748"/>
        <v>3.1</v>
      </c>
      <c r="X2527" s="9">
        <v>-72.314533266666601</v>
      </c>
      <c r="Y2527" s="39"/>
    </row>
    <row r="2528" spans="1:25" ht="15" thickBot="1">
      <c r="A2528" s="149">
        <f t="shared" si="2698"/>
        <v>45941.208333329188</v>
      </c>
      <c r="B2528" s="30">
        <f t="shared" si="2725"/>
        <v>5000</v>
      </c>
      <c r="C2528" s="8">
        <v>25000</v>
      </c>
      <c r="D2528" s="187">
        <v>0</v>
      </c>
      <c r="E2528" s="187">
        <v>700</v>
      </c>
      <c r="F2528" s="187">
        <v>15000</v>
      </c>
      <c r="G2528" s="30">
        <f t="shared" si="2726"/>
        <v>2470</v>
      </c>
      <c r="H2528" s="8">
        <f t="shared" si="2726"/>
        <v>25000</v>
      </c>
      <c r="I2528" s="30">
        <f t="shared" si="2727"/>
        <v>5000</v>
      </c>
      <c r="J2528" s="187">
        <v>40000</v>
      </c>
      <c r="K2528" s="30">
        <f t="shared" si="2728"/>
        <v>5000</v>
      </c>
      <c r="L2528" s="187">
        <v>40000</v>
      </c>
      <c r="M2528" s="110">
        <v>9.5</v>
      </c>
      <c r="N2528" s="9">
        <f>VLOOKUP(DATE(YEAR(A2528),MONTH(A2528),DAY(A2528)),FY24_Temp[],3,FALSE)</f>
        <v>17.25</v>
      </c>
      <c r="O2528" s="110">
        <f t="shared" si="2714"/>
        <v>11.5</v>
      </c>
      <c r="P2528" s="110">
        <f t="shared" si="2715"/>
        <v>19.5</v>
      </c>
      <c r="Q2528" s="79">
        <f>VLOOKUP(VLOOKUP(DATEVALUE(TEXT(A2528,"m/d/yyyy")),FY24_Temp[],5,FALSE)&amp;TEXT(A2528,"-h"),TempDelta[],4,FALSE)</f>
        <v>0.79885715246200562</v>
      </c>
      <c r="R2528">
        <v>10</v>
      </c>
      <c r="S2528" s="112">
        <v>1500</v>
      </c>
      <c r="T2528" s="5">
        <f>VLOOKUP(TEXT(A2528,"yy-mm")&amp;"-"&amp;IF(AND(WEEKDAY(A2528)&gt;1,WEEKDAY(A2528)&lt;7),"Wkd",TEXT(A2528,"Ddd"))&amp;"-"&amp;TEXT(A2528,"hh"),LoadTable[],3,FALSE)*0.92</f>
        <v>176.52040000000002</v>
      </c>
      <c r="U2528" s="113">
        <f t="shared" si="2716"/>
        <v>17.652040000000003</v>
      </c>
      <c r="V2528">
        <f t="shared" ref="V2528:W2528" si="2749">V2504</f>
        <v>2.9</v>
      </c>
      <c r="W2528">
        <f t="shared" si="2749"/>
        <v>3.1</v>
      </c>
      <c r="X2528" s="9">
        <v>-72.392327816666594</v>
      </c>
      <c r="Y2528" s="39"/>
    </row>
    <row r="2529" spans="1:25" ht="15" thickBot="1">
      <c r="A2529" s="149">
        <f t="shared" si="2698"/>
        <v>45941.249999995853</v>
      </c>
      <c r="B2529" s="30">
        <f t="shared" si="2725"/>
        <v>8000</v>
      </c>
      <c r="C2529" s="8">
        <v>25000</v>
      </c>
      <c r="D2529" s="187">
        <v>0</v>
      </c>
      <c r="E2529" s="187">
        <v>700</v>
      </c>
      <c r="F2529" s="187">
        <v>15000</v>
      </c>
      <c r="G2529" s="30">
        <f t="shared" si="2726"/>
        <v>2470</v>
      </c>
      <c r="H2529" s="8">
        <f t="shared" si="2726"/>
        <v>25000</v>
      </c>
      <c r="I2529" s="30">
        <f t="shared" si="2727"/>
        <v>8000</v>
      </c>
      <c r="J2529" s="187">
        <v>40000</v>
      </c>
      <c r="K2529" s="30">
        <f t="shared" si="2728"/>
        <v>8000</v>
      </c>
      <c r="L2529" s="187">
        <v>40000</v>
      </c>
      <c r="M2529" s="110">
        <v>9.5</v>
      </c>
      <c r="N2529" s="9">
        <f>VLOOKUP(DATE(YEAR(A2529),MONTH(A2529),DAY(A2529)),FY24_Temp[],3,FALSE)</f>
        <v>17.25</v>
      </c>
      <c r="O2529" s="110">
        <f t="shared" si="2714"/>
        <v>11.5</v>
      </c>
      <c r="P2529" s="110">
        <f t="shared" si="2715"/>
        <v>19.5</v>
      </c>
      <c r="Q2529" s="79">
        <f>VLOOKUP(VLOOKUP(DATEVALUE(TEXT(A2529,"m/d/yyyy")),FY24_Temp[],5,FALSE)&amp;TEXT(A2529,"-h"),TempDelta[],4,FALSE)</f>
        <v>0.64628570420401432</v>
      </c>
      <c r="R2529">
        <v>10</v>
      </c>
      <c r="S2529" s="112">
        <v>1500</v>
      </c>
      <c r="T2529" s="5">
        <f>VLOOKUP(TEXT(A2529,"yy-mm")&amp;"-"&amp;IF(AND(WEEKDAY(A2529)&gt;1,WEEKDAY(A2529)&lt;7),"Wkd",TEXT(A2529,"Ddd"))&amp;"-"&amp;TEXT(A2529,"hh"),LoadTable[],3,FALSE)*0.92</f>
        <v>234.80148</v>
      </c>
      <c r="U2529" s="113">
        <f t="shared" si="2716"/>
        <v>23.480148</v>
      </c>
      <c r="V2529">
        <f t="shared" ref="V2529:W2529" si="2750">V2505</f>
        <v>2.5</v>
      </c>
      <c r="W2529">
        <f t="shared" si="2750"/>
        <v>3.1</v>
      </c>
      <c r="X2529" s="9">
        <v>-72.470122366666601</v>
      </c>
      <c r="Y2529" s="39"/>
    </row>
    <row r="2530" spans="1:25" ht="15" thickBot="1">
      <c r="A2530" s="149">
        <f t="shared" si="2698"/>
        <v>45941.291666662517</v>
      </c>
      <c r="B2530" s="30">
        <f t="shared" si="2725"/>
        <v>8000</v>
      </c>
      <c r="C2530" s="8">
        <v>25000</v>
      </c>
      <c r="D2530" s="187">
        <v>0</v>
      </c>
      <c r="E2530" s="187">
        <v>700</v>
      </c>
      <c r="F2530" s="187">
        <v>15000</v>
      </c>
      <c r="G2530" s="30">
        <f t="shared" si="2726"/>
        <v>2470</v>
      </c>
      <c r="H2530" s="8">
        <f t="shared" si="2726"/>
        <v>25000</v>
      </c>
      <c r="I2530" s="30">
        <f t="shared" si="2727"/>
        <v>8000</v>
      </c>
      <c r="J2530" s="187">
        <v>40000</v>
      </c>
      <c r="K2530" s="30">
        <f t="shared" si="2728"/>
        <v>8000</v>
      </c>
      <c r="L2530" s="187">
        <v>40000</v>
      </c>
      <c r="M2530" s="110">
        <v>9.5</v>
      </c>
      <c r="N2530" s="9">
        <f>VLOOKUP(DATE(YEAR(A2530),MONTH(A2530),DAY(A2530)),FY24_Temp[],3,FALSE)</f>
        <v>17.25</v>
      </c>
      <c r="O2530" s="110">
        <f t="shared" si="2714"/>
        <v>11.5</v>
      </c>
      <c r="P2530" s="110">
        <f t="shared" si="2715"/>
        <v>19.5</v>
      </c>
      <c r="Q2530" s="79">
        <f>VLOOKUP(VLOOKUP(DATEVALUE(TEXT(A2530,"m/d/yyyy")),FY24_Temp[],5,FALSE)&amp;TEXT(A2530,"-h"),TempDelta[],4,FALSE)</f>
        <v>0.46642856938498362</v>
      </c>
      <c r="R2530">
        <v>10</v>
      </c>
      <c r="S2530" s="112">
        <v>1500</v>
      </c>
      <c r="T2530" s="5">
        <f>VLOOKUP(TEXT(A2530,"yy-mm")&amp;"-"&amp;IF(AND(WEEKDAY(A2530)&gt;1,WEEKDAY(A2530)&lt;7),"Wkd",TEXT(A2530,"Ddd"))&amp;"-"&amp;TEXT(A2530,"hh"),LoadTable[],3,FALSE)*0.92</f>
        <v>234.80148</v>
      </c>
      <c r="U2530" s="113">
        <f t="shared" si="2716"/>
        <v>23.480148</v>
      </c>
      <c r="V2530">
        <f t="shared" ref="V2530:W2530" si="2751">V2506</f>
        <v>2.5</v>
      </c>
      <c r="W2530">
        <f t="shared" si="2751"/>
        <v>3.1</v>
      </c>
      <c r="X2530" s="9">
        <v>-72.547916916666594</v>
      </c>
      <c r="Y2530" s="39"/>
    </row>
    <row r="2531" spans="1:25" ht="15" thickBot="1">
      <c r="A2531" s="149">
        <f t="shared" si="2698"/>
        <v>45941.333333329181</v>
      </c>
      <c r="B2531" s="30">
        <f t="shared" si="2725"/>
        <v>8000</v>
      </c>
      <c r="C2531" s="8">
        <v>25000</v>
      </c>
      <c r="D2531" s="187">
        <v>0</v>
      </c>
      <c r="E2531" s="187">
        <v>700</v>
      </c>
      <c r="F2531" s="187">
        <v>15000</v>
      </c>
      <c r="G2531" s="30">
        <f t="shared" si="2726"/>
        <v>2470</v>
      </c>
      <c r="H2531" s="8">
        <f t="shared" si="2726"/>
        <v>25000</v>
      </c>
      <c r="I2531" s="30">
        <f t="shared" si="2727"/>
        <v>8000</v>
      </c>
      <c r="J2531" s="187">
        <v>40000</v>
      </c>
      <c r="K2531" s="30">
        <f t="shared" si="2728"/>
        <v>8000</v>
      </c>
      <c r="L2531" s="187">
        <v>40000</v>
      </c>
      <c r="M2531" s="110">
        <v>9.5</v>
      </c>
      <c r="N2531" s="9">
        <f>VLOOKUP(DATE(YEAR(A2531),MONTH(A2531),DAY(A2531)),FY24_Temp[],3,FALSE)</f>
        <v>17.25</v>
      </c>
      <c r="O2531" s="110">
        <f t="shared" si="2714"/>
        <v>11.5</v>
      </c>
      <c r="P2531" s="110">
        <f t="shared" si="2715"/>
        <v>19.5</v>
      </c>
      <c r="Q2531" s="79">
        <f>VLOOKUP(VLOOKUP(DATEVALUE(TEXT(A2531,"m/d/yyyy")),FY24_Temp[],5,FALSE)&amp;TEXT(A2531,"-h"),TempDelta[],4,FALSE)</f>
        <v>0.36357143095561434</v>
      </c>
      <c r="R2531">
        <v>10</v>
      </c>
      <c r="S2531" s="112">
        <v>1500</v>
      </c>
      <c r="T2531" s="5">
        <f>VLOOKUP(TEXT(A2531,"yy-mm")&amp;"-"&amp;IF(AND(WEEKDAY(A2531)&gt;1,WEEKDAY(A2531)&lt;7),"Wkd",TEXT(A2531,"Ddd"))&amp;"-"&amp;TEXT(A2531,"hh"),LoadTable[],3,FALSE)*0.92</f>
        <v>234.80148</v>
      </c>
      <c r="U2531" s="113">
        <f t="shared" si="2716"/>
        <v>23.480148</v>
      </c>
      <c r="V2531">
        <f t="shared" ref="V2531:W2531" si="2752">V2507</f>
        <v>3.2</v>
      </c>
      <c r="W2531">
        <f t="shared" si="2752"/>
        <v>3</v>
      </c>
      <c r="X2531" s="9">
        <v>-72.625711466666601</v>
      </c>
      <c r="Y2531" s="39"/>
    </row>
    <row r="2532" spans="1:25" ht="15" thickBot="1">
      <c r="A2532" s="149">
        <f t="shared" si="2698"/>
        <v>45941.374999995845</v>
      </c>
      <c r="B2532" s="30">
        <f t="shared" si="2725"/>
        <v>8000</v>
      </c>
      <c r="C2532" s="8">
        <v>25000</v>
      </c>
      <c r="D2532" s="187">
        <v>0</v>
      </c>
      <c r="E2532" s="187">
        <v>700</v>
      </c>
      <c r="F2532" s="187">
        <v>15000</v>
      </c>
      <c r="G2532" s="30">
        <f t="shared" si="2726"/>
        <v>2470</v>
      </c>
      <c r="H2532" s="8">
        <f t="shared" si="2726"/>
        <v>25000</v>
      </c>
      <c r="I2532" s="30">
        <f t="shared" si="2727"/>
        <v>8000</v>
      </c>
      <c r="J2532" s="187">
        <v>40000</v>
      </c>
      <c r="K2532" s="30">
        <f t="shared" si="2728"/>
        <v>8000</v>
      </c>
      <c r="L2532" s="187">
        <v>40000</v>
      </c>
      <c r="M2532" s="110">
        <v>9.5</v>
      </c>
      <c r="N2532" s="9">
        <f>VLOOKUP(DATE(YEAR(A2532),MONTH(A2532),DAY(A2532)),FY24_Temp[],3,FALSE)</f>
        <v>17.25</v>
      </c>
      <c r="O2532" s="110">
        <f t="shared" si="2714"/>
        <v>11.5</v>
      </c>
      <c r="P2532" s="110">
        <f t="shared" si="2715"/>
        <v>19.5</v>
      </c>
      <c r="Q2532" s="79">
        <f>VLOOKUP(VLOOKUP(DATEVALUE(TEXT(A2532,"m/d/yyyy")),FY24_Temp[],5,FALSE)&amp;TEXT(A2532,"-h"),TempDelta[],4,FALSE)</f>
        <v>0.28171428825174061</v>
      </c>
      <c r="R2532">
        <v>10</v>
      </c>
      <c r="S2532" s="112">
        <v>1500</v>
      </c>
      <c r="T2532" s="5">
        <f>VLOOKUP(TEXT(A2532,"yy-mm")&amp;"-"&amp;IF(AND(WEEKDAY(A2532)&gt;1,WEEKDAY(A2532)&lt;7),"Wkd",TEXT(A2532,"Ddd"))&amp;"-"&amp;TEXT(A2532,"hh"),LoadTable[],3,FALSE)*0.92</f>
        <v>234.80148</v>
      </c>
      <c r="U2532" s="113">
        <f t="shared" si="2716"/>
        <v>23.480148</v>
      </c>
      <c r="V2532">
        <f t="shared" ref="V2532:W2532" si="2753">V2508</f>
        <v>2.9</v>
      </c>
      <c r="W2532">
        <f t="shared" si="2753"/>
        <v>3</v>
      </c>
      <c r="X2532" s="9">
        <v>-72.703506016666594</v>
      </c>
      <c r="Y2532" s="39"/>
    </row>
    <row r="2533" spans="1:25" ht="15" thickBot="1">
      <c r="A2533" s="149">
        <f t="shared" si="2698"/>
        <v>45941.41666666251</v>
      </c>
      <c r="B2533" s="30">
        <f t="shared" si="2725"/>
        <v>8000</v>
      </c>
      <c r="C2533" s="8">
        <v>25000</v>
      </c>
      <c r="D2533" s="187">
        <v>0</v>
      </c>
      <c r="E2533" s="187">
        <v>700</v>
      </c>
      <c r="F2533" s="187">
        <v>15000</v>
      </c>
      <c r="G2533" s="30">
        <f t="shared" si="2726"/>
        <v>2470</v>
      </c>
      <c r="H2533" s="8">
        <f t="shared" si="2726"/>
        <v>25000</v>
      </c>
      <c r="I2533" s="30">
        <f t="shared" si="2727"/>
        <v>8000</v>
      </c>
      <c r="J2533" s="187">
        <v>40000</v>
      </c>
      <c r="K2533" s="30">
        <f t="shared" si="2728"/>
        <v>8000</v>
      </c>
      <c r="L2533" s="187">
        <v>40000</v>
      </c>
      <c r="M2533" s="110">
        <v>9.5</v>
      </c>
      <c r="N2533" s="9">
        <f>VLOOKUP(DATE(YEAR(A2533),MONTH(A2533),DAY(A2533)),FY24_Temp[],3,FALSE)</f>
        <v>17.25</v>
      </c>
      <c r="O2533" s="110">
        <f t="shared" si="2714"/>
        <v>11.5</v>
      </c>
      <c r="P2533" s="110">
        <f t="shared" si="2715"/>
        <v>19.5</v>
      </c>
      <c r="Q2533" s="79">
        <f>VLOOKUP(VLOOKUP(DATEVALUE(TEXT(A2533,"m/d/yyyy")),FY24_Temp[],5,FALSE)&amp;TEXT(A2533,"-h"),TempDelta[],4,FALSE)</f>
        <v>0.18571428209543228</v>
      </c>
      <c r="R2533">
        <v>10</v>
      </c>
      <c r="S2533" s="112">
        <v>1500</v>
      </c>
      <c r="T2533" s="5">
        <f>VLOOKUP(TEXT(A2533,"yy-mm")&amp;"-"&amp;IF(AND(WEEKDAY(A2533)&gt;1,WEEKDAY(A2533)&lt;7),"Wkd",TEXT(A2533,"Ddd"))&amp;"-"&amp;TEXT(A2533,"hh"),LoadTable[],3,FALSE)*0.92</f>
        <v>234.80148</v>
      </c>
      <c r="U2533" s="113">
        <f t="shared" si="2716"/>
        <v>23.480148</v>
      </c>
      <c r="V2533">
        <f t="shared" ref="V2533:W2533" si="2754">V2509</f>
        <v>2.9</v>
      </c>
      <c r="W2533">
        <f t="shared" si="2754"/>
        <v>3</v>
      </c>
      <c r="X2533" s="9">
        <v>-72.781300566666602</v>
      </c>
      <c r="Y2533" s="39"/>
    </row>
    <row r="2534" spans="1:25" ht="15" thickBot="1">
      <c r="A2534" s="149">
        <f t="shared" si="2698"/>
        <v>45941.458333329174</v>
      </c>
      <c r="B2534" s="30">
        <f t="shared" si="2725"/>
        <v>8000</v>
      </c>
      <c r="C2534" s="8">
        <v>25000</v>
      </c>
      <c r="D2534" s="187">
        <v>0</v>
      </c>
      <c r="E2534" s="187">
        <v>700</v>
      </c>
      <c r="F2534" s="187">
        <v>15000</v>
      </c>
      <c r="G2534" s="30">
        <f t="shared" si="2726"/>
        <v>2470</v>
      </c>
      <c r="H2534" s="8">
        <f t="shared" si="2726"/>
        <v>25000</v>
      </c>
      <c r="I2534" s="30">
        <f t="shared" si="2727"/>
        <v>8000</v>
      </c>
      <c r="J2534" s="187">
        <v>40000</v>
      </c>
      <c r="K2534" s="30">
        <f t="shared" si="2728"/>
        <v>8000</v>
      </c>
      <c r="L2534" s="187">
        <v>40000</v>
      </c>
      <c r="M2534" s="110">
        <v>9.5</v>
      </c>
      <c r="N2534" s="9">
        <f>VLOOKUP(DATE(YEAR(A2534),MONTH(A2534),DAY(A2534)),FY24_Temp[],3,FALSE)</f>
        <v>17.25</v>
      </c>
      <c r="O2534" s="110">
        <f t="shared" si="2714"/>
        <v>11.5</v>
      </c>
      <c r="P2534" s="110">
        <f t="shared" si="2715"/>
        <v>19.5</v>
      </c>
      <c r="Q2534" s="79">
        <f>VLOOKUP(VLOOKUP(DATEVALUE(TEXT(A2534,"m/d/yyyy")),FY24_Temp[],5,FALSE)&amp;TEXT(A2534,"-h"),TempDelta[],4,FALSE)</f>
        <v>0.10357142758688756</v>
      </c>
      <c r="R2534">
        <v>10</v>
      </c>
      <c r="S2534" s="112">
        <v>1500</v>
      </c>
      <c r="T2534" s="5">
        <f>VLOOKUP(TEXT(A2534,"yy-mm")&amp;"-"&amp;IF(AND(WEEKDAY(A2534)&gt;1,WEEKDAY(A2534)&lt;7),"Wkd",TEXT(A2534,"Ddd"))&amp;"-"&amp;TEXT(A2534,"hh"),LoadTable[],3,FALSE)*0.92</f>
        <v>234.80148</v>
      </c>
      <c r="U2534" s="113">
        <f t="shared" si="2716"/>
        <v>23.480148</v>
      </c>
      <c r="V2534">
        <f t="shared" ref="V2534:W2534" si="2755">V2510</f>
        <v>3.4</v>
      </c>
      <c r="W2534">
        <f t="shared" si="2755"/>
        <v>3</v>
      </c>
      <c r="X2534" s="9">
        <v>-72.859095116666595</v>
      </c>
      <c r="Y2534" s="39"/>
    </row>
    <row r="2535" spans="1:25" ht="15" thickBot="1">
      <c r="A2535" s="149">
        <f t="shared" si="2698"/>
        <v>45941.499999995838</v>
      </c>
      <c r="B2535" s="30">
        <f t="shared" si="2725"/>
        <v>8000</v>
      </c>
      <c r="C2535" s="8">
        <v>25000</v>
      </c>
      <c r="D2535" s="187">
        <v>0</v>
      </c>
      <c r="E2535" s="187">
        <v>700</v>
      </c>
      <c r="F2535" s="187">
        <v>15000</v>
      </c>
      <c r="G2535" s="30">
        <f t="shared" si="2726"/>
        <v>2470</v>
      </c>
      <c r="H2535" s="8">
        <f t="shared" si="2726"/>
        <v>25000</v>
      </c>
      <c r="I2535" s="30">
        <f t="shared" si="2727"/>
        <v>8000</v>
      </c>
      <c r="J2535" s="187">
        <v>40000</v>
      </c>
      <c r="K2535" s="30">
        <f t="shared" si="2728"/>
        <v>8000</v>
      </c>
      <c r="L2535" s="187">
        <v>40000</v>
      </c>
      <c r="M2535" s="110">
        <v>9.5</v>
      </c>
      <c r="N2535" s="9">
        <f>VLOOKUP(DATE(YEAR(A2535),MONTH(A2535),DAY(A2535)),FY24_Temp[],3,FALSE)</f>
        <v>17.25</v>
      </c>
      <c r="O2535" s="110">
        <f t="shared" si="2714"/>
        <v>11.5</v>
      </c>
      <c r="P2535" s="110">
        <f t="shared" si="2715"/>
        <v>19.5</v>
      </c>
      <c r="Q2535" s="79">
        <f>VLOOKUP(VLOOKUP(DATEVALUE(TEXT(A2535,"m/d/yyyy")),FY24_Temp[],5,FALSE)&amp;TEXT(A2535,"-h"),TempDelta[],4,FALSE)</f>
        <v>3.9142857438751628E-2</v>
      </c>
      <c r="R2535">
        <v>10</v>
      </c>
      <c r="S2535" s="112">
        <v>1500</v>
      </c>
      <c r="T2535" s="5">
        <f>VLOOKUP(TEXT(A2535,"yy-mm")&amp;"-"&amp;IF(AND(WEEKDAY(A2535)&gt;1,WEEKDAY(A2535)&lt;7),"Wkd",TEXT(A2535,"Ddd"))&amp;"-"&amp;TEXT(A2535,"hh"),LoadTable[],3,FALSE)*0.92</f>
        <v>234.80148</v>
      </c>
      <c r="U2535" s="113">
        <f t="shared" si="2716"/>
        <v>23.480148</v>
      </c>
      <c r="V2535">
        <f t="shared" ref="V2535:W2535" si="2756">V2511</f>
        <v>3.1</v>
      </c>
      <c r="W2535">
        <f t="shared" si="2756"/>
        <v>2.9</v>
      </c>
      <c r="X2535" s="9">
        <v>-72.936889666666602</v>
      </c>
      <c r="Y2535" s="39"/>
    </row>
    <row r="2536" spans="1:25" ht="15" thickBot="1">
      <c r="A2536" s="149">
        <f t="shared" si="2698"/>
        <v>45941.541666662502</v>
      </c>
      <c r="B2536" s="30">
        <f t="shared" si="2725"/>
        <v>8000</v>
      </c>
      <c r="C2536" s="8">
        <v>25000</v>
      </c>
      <c r="D2536" s="187">
        <v>0</v>
      </c>
      <c r="E2536" s="187">
        <v>700</v>
      </c>
      <c r="F2536" s="187">
        <v>15000</v>
      </c>
      <c r="G2536" s="30">
        <f t="shared" si="2726"/>
        <v>2470</v>
      </c>
      <c r="H2536" s="8">
        <f t="shared" si="2726"/>
        <v>25000</v>
      </c>
      <c r="I2536" s="30">
        <f t="shared" si="2727"/>
        <v>8000</v>
      </c>
      <c r="J2536" s="187">
        <v>40000</v>
      </c>
      <c r="K2536" s="30">
        <f t="shared" si="2728"/>
        <v>8000</v>
      </c>
      <c r="L2536" s="187">
        <v>40000</v>
      </c>
      <c r="M2536" s="110">
        <v>9.5</v>
      </c>
      <c r="N2536" s="9">
        <f>VLOOKUP(DATE(YEAR(A2536),MONTH(A2536),DAY(A2536)),FY24_Temp[],3,FALSE)</f>
        <v>17.25</v>
      </c>
      <c r="O2536" s="110">
        <f t="shared" si="2714"/>
        <v>11.5</v>
      </c>
      <c r="P2536" s="110">
        <f t="shared" si="2715"/>
        <v>19.5</v>
      </c>
      <c r="Q2536" s="79">
        <f>VLOOKUP(VLOOKUP(DATEVALUE(TEXT(A2536,"m/d/yyyy")),FY24_Temp[],5,FALSE)&amp;TEXT(A2536,"-h"),TempDelta[],4,FALSE)</f>
        <v>5.2857138216495514E-3</v>
      </c>
      <c r="R2536">
        <v>10</v>
      </c>
      <c r="S2536" s="112">
        <v>1500</v>
      </c>
      <c r="T2536" s="5">
        <f>VLOOKUP(TEXT(A2536,"yy-mm")&amp;"-"&amp;IF(AND(WEEKDAY(A2536)&gt;1,WEEKDAY(A2536)&lt;7),"Wkd",TEXT(A2536,"Ddd"))&amp;"-"&amp;TEXT(A2536,"hh"),LoadTable[],3,FALSE)*0.92</f>
        <v>234.80148</v>
      </c>
      <c r="U2536" s="113">
        <f t="shared" si="2716"/>
        <v>23.480148</v>
      </c>
      <c r="V2536">
        <f t="shared" ref="V2536:W2536" si="2757">V2512</f>
        <v>3.2</v>
      </c>
      <c r="W2536">
        <f t="shared" si="2757"/>
        <v>2.9</v>
      </c>
      <c r="X2536" s="9">
        <v>-73.014684216666595</v>
      </c>
      <c r="Y2536" s="39"/>
    </row>
    <row r="2537" spans="1:25" ht="15" thickBot="1">
      <c r="A2537" s="149">
        <f t="shared" si="2698"/>
        <v>45941.583333329167</v>
      </c>
      <c r="B2537" s="30">
        <f t="shared" si="2725"/>
        <v>8000</v>
      </c>
      <c r="C2537" s="8">
        <v>25000</v>
      </c>
      <c r="D2537" s="187">
        <v>0</v>
      </c>
      <c r="E2537" s="187">
        <v>700</v>
      </c>
      <c r="F2537" s="187">
        <v>15000</v>
      </c>
      <c r="G2537" s="30">
        <f t="shared" si="2726"/>
        <v>2470</v>
      </c>
      <c r="H2537" s="8">
        <f t="shared" si="2726"/>
        <v>25000</v>
      </c>
      <c r="I2537" s="30">
        <f t="shared" si="2727"/>
        <v>8000</v>
      </c>
      <c r="J2537" s="187">
        <v>40000</v>
      </c>
      <c r="K2537" s="30">
        <f t="shared" si="2728"/>
        <v>8000</v>
      </c>
      <c r="L2537" s="187">
        <v>40000</v>
      </c>
      <c r="M2537" s="110">
        <v>9.5</v>
      </c>
      <c r="N2537" s="9">
        <f>VLOOKUP(DATE(YEAR(A2537),MONTH(A2537),DAY(A2537)),FY24_Temp[],3,FALSE)</f>
        <v>17.25</v>
      </c>
      <c r="O2537" s="110">
        <f t="shared" si="2714"/>
        <v>11.5</v>
      </c>
      <c r="P2537" s="110">
        <f t="shared" si="2715"/>
        <v>19.5</v>
      </c>
      <c r="Q2537" s="79">
        <f>VLOOKUP(VLOOKUP(DATEVALUE(TEXT(A2537,"m/d/yyyy")),FY24_Temp[],5,FALSE)&amp;TEXT(A2537,"-h"),TempDelta[],4,FALSE)</f>
        <v>6.9857144478841546E-2</v>
      </c>
      <c r="R2537">
        <v>10</v>
      </c>
      <c r="S2537" s="112">
        <v>1500</v>
      </c>
      <c r="T2537" s="5">
        <f>VLOOKUP(TEXT(A2537,"yy-mm")&amp;"-"&amp;IF(AND(WEEKDAY(A2537)&gt;1,WEEKDAY(A2537)&lt;7),"Wkd",TEXT(A2537,"Ddd"))&amp;"-"&amp;TEXT(A2537,"hh"),LoadTable[],3,FALSE)*0.92</f>
        <v>234.80148</v>
      </c>
      <c r="U2537" s="113">
        <f t="shared" si="2716"/>
        <v>23.480148</v>
      </c>
      <c r="V2537">
        <f t="shared" ref="V2537:W2537" si="2758">V2513</f>
        <v>3.5</v>
      </c>
      <c r="W2537">
        <f t="shared" si="2758"/>
        <v>2.9</v>
      </c>
      <c r="X2537" s="9">
        <v>-73.092478766666602</v>
      </c>
      <c r="Y2537" s="39"/>
    </row>
    <row r="2538" spans="1:25" ht="15" thickBot="1">
      <c r="A2538" s="149">
        <f t="shared" si="2698"/>
        <v>45941.624999995831</v>
      </c>
      <c r="B2538" s="30">
        <f t="shared" si="2725"/>
        <v>8000</v>
      </c>
      <c r="C2538" s="8">
        <v>25000</v>
      </c>
      <c r="D2538" s="187">
        <v>0</v>
      </c>
      <c r="E2538" s="187">
        <v>700</v>
      </c>
      <c r="F2538" s="187">
        <v>15000</v>
      </c>
      <c r="G2538" s="30">
        <f t="shared" si="2726"/>
        <v>2470</v>
      </c>
      <c r="H2538" s="8">
        <f t="shared" si="2726"/>
        <v>25000</v>
      </c>
      <c r="I2538" s="30">
        <f t="shared" si="2727"/>
        <v>8000</v>
      </c>
      <c r="J2538" s="187">
        <v>40000</v>
      </c>
      <c r="K2538" s="30">
        <f t="shared" si="2728"/>
        <v>8000</v>
      </c>
      <c r="L2538" s="187">
        <v>40000</v>
      </c>
      <c r="M2538" s="110">
        <v>9.5</v>
      </c>
      <c r="N2538" s="9">
        <f>VLOOKUP(DATE(YEAR(A2538),MONTH(A2538),DAY(A2538)),FY24_Temp[],3,FALSE)</f>
        <v>17.25</v>
      </c>
      <c r="O2538" s="110">
        <f t="shared" si="2714"/>
        <v>11.5</v>
      </c>
      <c r="P2538" s="110">
        <f t="shared" si="2715"/>
        <v>19.5</v>
      </c>
      <c r="Q2538" s="79">
        <f>VLOOKUP(VLOOKUP(DATEVALUE(TEXT(A2538,"m/d/yyyy")),FY24_Temp[],5,FALSE)&amp;TEXT(A2538,"-h"),TempDelta[],4,FALSE)</f>
        <v>0.16885714073266303</v>
      </c>
      <c r="R2538">
        <v>10</v>
      </c>
      <c r="S2538" s="112">
        <v>1500</v>
      </c>
      <c r="T2538" s="5">
        <f>VLOOKUP(TEXT(A2538,"yy-mm")&amp;"-"&amp;IF(AND(WEEKDAY(A2538)&gt;1,WEEKDAY(A2538)&lt;7),"Wkd",TEXT(A2538,"Ddd"))&amp;"-"&amp;TEXT(A2538,"hh"),LoadTable[],3,FALSE)*0.92</f>
        <v>234.80148</v>
      </c>
      <c r="U2538" s="113">
        <f t="shared" si="2716"/>
        <v>23.480148</v>
      </c>
      <c r="V2538">
        <f t="shared" ref="V2538:W2538" si="2759">V2514</f>
        <v>3.2</v>
      </c>
      <c r="W2538">
        <f t="shared" si="2759"/>
        <v>2.9</v>
      </c>
      <c r="X2538" s="9">
        <v>-73.170273316666595</v>
      </c>
      <c r="Y2538" s="39"/>
    </row>
    <row r="2539" spans="1:25" ht="15" thickBot="1">
      <c r="A2539" s="149">
        <f t="shared" si="2698"/>
        <v>45941.666666662495</v>
      </c>
      <c r="B2539" s="30">
        <f t="shared" si="2725"/>
        <v>8000</v>
      </c>
      <c r="C2539" s="8">
        <v>25000</v>
      </c>
      <c r="D2539" s="187">
        <v>0</v>
      </c>
      <c r="E2539" s="187">
        <v>700</v>
      </c>
      <c r="F2539" s="187">
        <v>15000</v>
      </c>
      <c r="G2539" s="30">
        <f t="shared" si="2726"/>
        <v>2470</v>
      </c>
      <c r="H2539" s="8">
        <f t="shared" si="2726"/>
        <v>25000</v>
      </c>
      <c r="I2539" s="30">
        <f t="shared" si="2727"/>
        <v>8000</v>
      </c>
      <c r="J2539" s="187">
        <v>40000</v>
      </c>
      <c r="K2539" s="30">
        <f t="shared" si="2728"/>
        <v>8000</v>
      </c>
      <c r="L2539" s="187">
        <v>40000</v>
      </c>
      <c r="M2539" s="110">
        <v>9.5</v>
      </c>
      <c r="N2539" s="9">
        <f>VLOOKUP(DATE(YEAR(A2539),MONTH(A2539),DAY(A2539)),FY24_Temp[],3,FALSE)</f>
        <v>17.25</v>
      </c>
      <c r="O2539" s="110">
        <f t="shared" si="2714"/>
        <v>11.5</v>
      </c>
      <c r="P2539" s="110">
        <f t="shared" si="2715"/>
        <v>19.5</v>
      </c>
      <c r="Q2539" s="79">
        <f>VLOOKUP(VLOOKUP(DATEVALUE(TEXT(A2539,"m/d/yyyy")),FY24_Temp[],5,FALSE)&amp;TEXT(A2539,"-h"),TempDelta[],4,FALSE)</f>
        <v>0.4030000056539263</v>
      </c>
      <c r="R2539">
        <v>10</v>
      </c>
      <c r="S2539" s="112">
        <v>1500</v>
      </c>
      <c r="T2539" s="5">
        <f>VLOOKUP(TEXT(A2539,"yy-mm")&amp;"-"&amp;IF(AND(WEEKDAY(A2539)&gt;1,WEEKDAY(A2539)&lt;7),"Wkd",TEXT(A2539,"Ddd"))&amp;"-"&amp;TEXT(A2539,"hh"),LoadTable[],3,FALSE)*0.92</f>
        <v>234.80148</v>
      </c>
      <c r="U2539" s="113">
        <f t="shared" si="2716"/>
        <v>23.480148</v>
      </c>
      <c r="V2539">
        <f t="shared" ref="V2539:W2539" si="2760">V2515</f>
        <v>3.5</v>
      </c>
      <c r="W2539">
        <f t="shared" si="2760"/>
        <v>3</v>
      </c>
      <c r="X2539" s="9">
        <v>-73.248067866666602</v>
      </c>
      <c r="Y2539" s="39"/>
    </row>
    <row r="2540" spans="1:25" ht="15" thickBot="1">
      <c r="A2540" s="149">
        <f t="shared" si="2698"/>
        <v>45941.708333329159</v>
      </c>
      <c r="B2540" s="30">
        <f t="shared" si="2725"/>
        <v>8000</v>
      </c>
      <c r="C2540" s="8">
        <v>25000</v>
      </c>
      <c r="D2540" s="187">
        <v>0</v>
      </c>
      <c r="E2540" s="187">
        <v>700</v>
      </c>
      <c r="F2540" s="187">
        <v>15000</v>
      </c>
      <c r="G2540" s="30">
        <f t="shared" si="2726"/>
        <v>2470</v>
      </c>
      <c r="H2540" s="8">
        <f t="shared" si="2726"/>
        <v>25000</v>
      </c>
      <c r="I2540" s="30">
        <f t="shared" si="2727"/>
        <v>8000</v>
      </c>
      <c r="J2540" s="187">
        <v>40000</v>
      </c>
      <c r="K2540" s="30">
        <f t="shared" si="2728"/>
        <v>8000</v>
      </c>
      <c r="L2540" s="187">
        <v>40000</v>
      </c>
      <c r="M2540" s="110">
        <v>9.5</v>
      </c>
      <c r="N2540" s="9">
        <f>VLOOKUP(DATE(YEAR(A2540),MONTH(A2540),DAY(A2540)),FY24_Temp[],3,FALSE)</f>
        <v>17.25</v>
      </c>
      <c r="O2540" s="110">
        <f t="shared" si="2714"/>
        <v>11.5</v>
      </c>
      <c r="P2540" s="110">
        <f t="shared" si="2715"/>
        <v>19.5</v>
      </c>
      <c r="Q2540" s="79">
        <f>VLOOKUP(VLOOKUP(DATEVALUE(TEXT(A2540,"m/d/yyyy")),FY24_Temp[],5,FALSE)&amp;TEXT(A2540,"-h"),TempDelta[],4,FALSE)</f>
        <v>0.51750000034059795</v>
      </c>
      <c r="R2540">
        <v>10</v>
      </c>
      <c r="S2540" s="112">
        <v>1500</v>
      </c>
      <c r="T2540" s="5">
        <f>VLOOKUP(TEXT(A2540,"yy-mm")&amp;"-"&amp;IF(AND(WEEKDAY(A2540)&gt;1,WEEKDAY(A2540)&lt;7),"Wkd",TEXT(A2540,"Ddd"))&amp;"-"&amp;TEXT(A2540,"hh"),LoadTable[],3,FALSE)*0.92</f>
        <v>234.80148</v>
      </c>
      <c r="U2540" s="113">
        <f t="shared" si="2716"/>
        <v>23.480148</v>
      </c>
      <c r="V2540">
        <f t="shared" ref="V2540:W2540" si="2761">V2516</f>
        <v>3.6</v>
      </c>
      <c r="W2540">
        <f t="shared" si="2761"/>
        <v>3</v>
      </c>
      <c r="X2540" s="9">
        <v>-73.325862416666695</v>
      </c>
      <c r="Y2540" s="39"/>
    </row>
    <row r="2541" spans="1:25" ht="15" thickBot="1">
      <c r="A2541" s="149">
        <f t="shared" si="2698"/>
        <v>45941.749999995824</v>
      </c>
      <c r="B2541" s="30">
        <f t="shared" si="2725"/>
        <v>5000</v>
      </c>
      <c r="C2541" s="8">
        <v>25000</v>
      </c>
      <c r="D2541" s="187">
        <v>0</v>
      </c>
      <c r="E2541" s="187">
        <v>700</v>
      </c>
      <c r="F2541" s="187">
        <v>15000</v>
      </c>
      <c r="G2541" s="30">
        <f t="shared" si="2726"/>
        <v>2470</v>
      </c>
      <c r="H2541" s="8">
        <f t="shared" si="2726"/>
        <v>25000</v>
      </c>
      <c r="I2541" s="30">
        <f t="shared" si="2727"/>
        <v>5000</v>
      </c>
      <c r="J2541" s="187">
        <v>40000</v>
      </c>
      <c r="K2541" s="30">
        <f t="shared" si="2728"/>
        <v>5000</v>
      </c>
      <c r="L2541" s="187">
        <v>40000</v>
      </c>
      <c r="M2541" s="110">
        <v>9.5</v>
      </c>
      <c r="N2541" s="9">
        <f>VLOOKUP(DATE(YEAR(A2541),MONTH(A2541),DAY(A2541)),FY24_Temp[],3,FALSE)</f>
        <v>17.25</v>
      </c>
      <c r="O2541" s="110">
        <f t="shared" si="2714"/>
        <v>11.5</v>
      </c>
      <c r="P2541" s="110">
        <f t="shared" si="2715"/>
        <v>19.5</v>
      </c>
      <c r="Q2541" s="79">
        <f>VLOOKUP(VLOOKUP(DATEVALUE(TEXT(A2541,"m/d/yyyy")),FY24_Temp[],5,FALSE)&amp;TEXT(A2541,"-h"),TempDelta[],4,FALSE)</f>
        <v>0.66500000017029903</v>
      </c>
      <c r="R2541">
        <v>10</v>
      </c>
      <c r="S2541" s="112">
        <v>1500</v>
      </c>
      <c r="T2541" s="5">
        <f>VLOOKUP(TEXT(A2541,"yy-mm")&amp;"-"&amp;IF(AND(WEEKDAY(A2541)&gt;1,WEEKDAY(A2541)&lt;7),"Wkd",TEXT(A2541,"Ddd"))&amp;"-"&amp;TEXT(A2541,"hh"),LoadTable[],3,FALSE)*0.92</f>
        <v>303.31295999999998</v>
      </c>
      <c r="U2541" s="113">
        <f t="shared" si="2716"/>
        <v>30.331295999999998</v>
      </c>
      <c r="V2541">
        <f t="shared" ref="V2541:W2541" si="2762">V2517</f>
        <v>2.9</v>
      </c>
      <c r="W2541">
        <f t="shared" si="2762"/>
        <v>3</v>
      </c>
      <c r="X2541" s="9">
        <v>-73.403656966666702</v>
      </c>
      <c r="Y2541" s="39"/>
    </row>
    <row r="2542" spans="1:25" ht="15" thickBot="1">
      <c r="A2542" s="149">
        <f t="shared" si="2698"/>
        <v>45941.791666662488</v>
      </c>
      <c r="B2542" s="30">
        <f t="shared" si="2725"/>
        <v>5000</v>
      </c>
      <c r="C2542" s="8">
        <v>25000</v>
      </c>
      <c r="D2542" s="187">
        <v>0</v>
      </c>
      <c r="E2542" s="187">
        <v>700</v>
      </c>
      <c r="F2542" s="187">
        <v>15000</v>
      </c>
      <c r="G2542" s="30">
        <f t="shared" si="2726"/>
        <v>2470</v>
      </c>
      <c r="H2542" s="8">
        <f t="shared" si="2726"/>
        <v>25000</v>
      </c>
      <c r="I2542" s="30">
        <f t="shared" si="2727"/>
        <v>5000</v>
      </c>
      <c r="J2542" s="187">
        <v>40000</v>
      </c>
      <c r="K2542" s="30">
        <f t="shared" si="2728"/>
        <v>5000</v>
      </c>
      <c r="L2542" s="187">
        <v>40000</v>
      </c>
      <c r="M2542" s="110">
        <v>9.5</v>
      </c>
      <c r="N2542" s="9">
        <f>VLOOKUP(DATE(YEAR(A2542),MONTH(A2542),DAY(A2542)),FY24_Temp[],3,FALSE)</f>
        <v>17.25</v>
      </c>
      <c r="O2542" s="110">
        <f t="shared" si="2714"/>
        <v>11.5</v>
      </c>
      <c r="P2542" s="110">
        <f t="shared" si="2715"/>
        <v>19.5</v>
      </c>
      <c r="Q2542" s="79">
        <f>VLOOKUP(VLOOKUP(DATEVALUE(TEXT(A2542,"m/d/yyyy")),FY24_Temp[],5,FALSE)&amp;TEXT(A2542,"-h"),TempDelta[],4,FALSE)</f>
        <v>0.66292857485158108</v>
      </c>
      <c r="R2542">
        <v>10</v>
      </c>
      <c r="S2542" s="112">
        <v>1500</v>
      </c>
      <c r="T2542" s="5">
        <f>VLOOKUP(TEXT(A2542,"yy-mm")&amp;"-"&amp;IF(AND(WEEKDAY(A2542)&gt;1,WEEKDAY(A2542)&lt;7),"Wkd",TEXT(A2542,"Ddd"))&amp;"-"&amp;TEXT(A2542,"hh"),LoadTable[],3,FALSE)*0.92</f>
        <v>303.31295999999998</v>
      </c>
      <c r="U2542" s="113">
        <f t="shared" si="2716"/>
        <v>30.331295999999998</v>
      </c>
      <c r="V2542">
        <f t="shared" ref="V2542:W2542" si="2763">V2518</f>
        <v>3</v>
      </c>
      <c r="W2542">
        <f t="shared" si="2763"/>
        <v>3</v>
      </c>
      <c r="X2542" s="9">
        <v>-73.481451516666695</v>
      </c>
      <c r="Y2542" s="39"/>
    </row>
    <row r="2543" spans="1:25" ht="15" thickBot="1">
      <c r="A2543" s="149">
        <f t="shared" si="2698"/>
        <v>45941.833333329152</v>
      </c>
      <c r="B2543" s="30">
        <f t="shared" si="2725"/>
        <v>5000</v>
      </c>
      <c r="C2543" s="8">
        <v>25000</v>
      </c>
      <c r="D2543" s="187">
        <v>0</v>
      </c>
      <c r="E2543" s="187">
        <v>700</v>
      </c>
      <c r="F2543" s="187">
        <v>15000</v>
      </c>
      <c r="G2543" s="30">
        <f t="shared" si="2726"/>
        <v>2470</v>
      </c>
      <c r="H2543" s="8">
        <f t="shared" si="2726"/>
        <v>25000</v>
      </c>
      <c r="I2543" s="30">
        <f t="shared" si="2727"/>
        <v>5000</v>
      </c>
      <c r="J2543" s="187">
        <v>40000</v>
      </c>
      <c r="K2543" s="30">
        <f t="shared" si="2728"/>
        <v>5000</v>
      </c>
      <c r="L2543" s="187">
        <v>40000</v>
      </c>
      <c r="M2543" s="110">
        <v>9.5</v>
      </c>
      <c r="N2543" s="9">
        <f>VLOOKUP(DATE(YEAR(A2543),MONTH(A2543),DAY(A2543)),FY24_Temp[],3,FALSE)</f>
        <v>17.25</v>
      </c>
      <c r="O2543" s="110">
        <f t="shared" si="2714"/>
        <v>11.5</v>
      </c>
      <c r="P2543" s="110">
        <f t="shared" si="2715"/>
        <v>19.5</v>
      </c>
      <c r="Q2543" s="79">
        <f>VLOOKUP(VLOOKUP(DATEVALUE(TEXT(A2543,"m/d/yyyy")),FY24_Temp[],5,FALSE)&amp;TEXT(A2543,"-h"),TempDelta[],4,FALSE)</f>
        <v>0.6834285663706916</v>
      </c>
      <c r="R2543">
        <v>10</v>
      </c>
      <c r="S2543" s="112">
        <v>1500</v>
      </c>
      <c r="T2543" s="5">
        <f>VLOOKUP(TEXT(A2543,"yy-mm")&amp;"-"&amp;IF(AND(WEEKDAY(A2543)&gt;1,WEEKDAY(A2543)&lt;7),"Wkd",TEXT(A2543,"Ddd"))&amp;"-"&amp;TEXT(A2543,"hh"),LoadTable[],3,FALSE)*0.92</f>
        <v>303.31295999999998</v>
      </c>
      <c r="U2543" s="113">
        <f t="shared" si="2716"/>
        <v>30.331295999999998</v>
      </c>
      <c r="V2543">
        <f t="shared" ref="V2543:W2543" si="2764">V2519</f>
        <v>2.8</v>
      </c>
      <c r="W2543">
        <f t="shared" si="2764"/>
        <v>3.1</v>
      </c>
      <c r="X2543" s="9">
        <v>-73.559246066666702</v>
      </c>
      <c r="Y2543" s="39"/>
    </row>
    <row r="2544" spans="1:25" ht="15" thickBot="1">
      <c r="A2544" s="149">
        <f t="shared" si="2698"/>
        <v>45941.874999995816</v>
      </c>
      <c r="B2544" s="30">
        <f t="shared" si="2725"/>
        <v>5000</v>
      </c>
      <c r="C2544" s="8">
        <v>25000</v>
      </c>
      <c r="D2544" s="187">
        <v>0</v>
      </c>
      <c r="E2544" s="187">
        <v>700</v>
      </c>
      <c r="F2544" s="187">
        <v>15000</v>
      </c>
      <c r="G2544" s="30">
        <f t="shared" si="2726"/>
        <v>2470</v>
      </c>
      <c r="H2544" s="8">
        <f t="shared" si="2726"/>
        <v>25000</v>
      </c>
      <c r="I2544" s="30">
        <f t="shared" si="2727"/>
        <v>5000</v>
      </c>
      <c r="J2544" s="187">
        <v>40000</v>
      </c>
      <c r="K2544" s="30">
        <f t="shared" si="2728"/>
        <v>5000</v>
      </c>
      <c r="L2544" s="187">
        <v>40000</v>
      </c>
      <c r="M2544" s="110">
        <v>9.5</v>
      </c>
      <c r="N2544" s="9">
        <f>VLOOKUP(DATE(YEAR(A2544),MONTH(A2544),DAY(A2544)),FY24_Temp[],3,FALSE)</f>
        <v>17.25</v>
      </c>
      <c r="O2544" s="110">
        <f t="shared" si="2714"/>
        <v>11.5</v>
      </c>
      <c r="P2544" s="110">
        <f t="shared" si="2715"/>
        <v>19.5</v>
      </c>
      <c r="Q2544" s="79">
        <f>VLOOKUP(VLOOKUP(DATEVALUE(TEXT(A2544,"m/d/yyyy")),FY24_Temp[],5,FALSE)&amp;TEXT(A2544,"-h"),TempDelta[],4,FALSE)</f>
        <v>0.67971429228782654</v>
      </c>
      <c r="R2544">
        <v>10</v>
      </c>
      <c r="S2544" s="112">
        <v>1500</v>
      </c>
      <c r="T2544" s="5">
        <f>VLOOKUP(TEXT(A2544,"yy-mm")&amp;"-"&amp;IF(AND(WEEKDAY(A2544)&gt;1,WEEKDAY(A2544)&lt;7),"Wkd",TEXT(A2544,"Ddd"))&amp;"-"&amp;TEXT(A2544,"hh"),LoadTable[],3,FALSE)*0.92</f>
        <v>229.93744000000001</v>
      </c>
      <c r="U2544" s="113">
        <f t="shared" si="2716"/>
        <v>22.993744</v>
      </c>
      <c r="V2544">
        <f t="shared" ref="V2544:W2544" si="2765">V2520</f>
        <v>3.5</v>
      </c>
      <c r="W2544">
        <f t="shared" si="2765"/>
        <v>3.1</v>
      </c>
      <c r="X2544" s="9">
        <v>-73.637040616666695</v>
      </c>
      <c r="Y2544" s="39"/>
    </row>
    <row r="2545" spans="1:25" ht="15" thickBot="1">
      <c r="A2545" s="149">
        <f t="shared" si="2698"/>
        <v>45941.916666662481</v>
      </c>
      <c r="B2545" s="30">
        <f t="shared" si="2725"/>
        <v>5000</v>
      </c>
      <c r="C2545" s="8">
        <v>25000</v>
      </c>
      <c r="D2545" s="187">
        <v>0</v>
      </c>
      <c r="E2545" s="187">
        <v>700</v>
      </c>
      <c r="F2545" s="187">
        <v>15000</v>
      </c>
      <c r="G2545" s="30">
        <f t="shared" si="2726"/>
        <v>2470</v>
      </c>
      <c r="H2545" s="8">
        <f t="shared" si="2726"/>
        <v>25000</v>
      </c>
      <c r="I2545" s="30">
        <f t="shared" si="2727"/>
        <v>5000</v>
      </c>
      <c r="J2545" s="187">
        <v>40000</v>
      </c>
      <c r="K2545" s="30">
        <f t="shared" si="2728"/>
        <v>5000</v>
      </c>
      <c r="L2545" s="187">
        <v>40000</v>
      </c>
      <c r="M2545" s="110">
        <v>9.5</v>
      </c>
      <c r="N2545" s="9">
        <f>VLOOKUP(DATE(YEAR(A2545),MONTH(A2545),DAY(A2545)),FY24_Temp[],3,FALSE)</f>
        <v>17.25</v>
      </c>
      <c r="O2545" s="110">
        <f t="shared" si="2714"/>
        <v>11.5</v>
      </c>
      <c r="P2545" s="110">
        <f t="shared" si="2715"/>
        <v>19.5</v>
      </c>
      <c r="Q2545" s="79">
        <f>VLOOKUP(VLOOKUP(DATEVALUE(TEXT(A2545,"m/d/yyyy")),FY24_Temp[],5,FALSE)&amp;TEXT(A2545,"-h"),TempDelta[],4,FALSE)</f>
        <v>0.9049999969346183</v>
      </c>
      <c r="R2545">
        <v>10</v>
      </c>
      <c r="S2545" s="112">
        <v>1500</v>
      </c>
      <c r="T2545" s="5">
        <f>VLOOKUP(TEXT(A2545,"yy-mm")&amp;"-"&amp;IF(AND(WEEKDAY(A2545)&gt;1,WEEKDAY(A2545)&lt;7),"Wkd",TEXT(A2545,"Ddd"))&amp;"-"&amp;TEXT(A2545,"hh"),LoadTable[],3,FALSE)*0.92</f>
        <v>176.52040000000002</v>
      </c>
      <c r="U2545" s="113">
        <f t="shared" si="2716"/>
        <v>17.652040000000003</v>
      </c>
      <c r="V2545">
        <f t="shared" ref="V2545:W2545" si="2766">V2521</f>
        <v>2.9</v>
      </c>
      <c r="W2545">
        <f t="shared" si="2766"/>
        <v>3.1</v>
      </c>
      <c r="X2545" s="9">
        <v>-73.714835166666703</v>
      </c>
      <c r="Y2545" s="39"/>
    </row>
    <row r="2546" spans="1:25" ht="15" thickBot="1">
      <c r="A2546" s="149">
        <f t="shared" si="2698"/>
        <v>45941.958333329145</v>
      </c>
      <c r="B2546" s="30">
        <f t="shared" si="2725"/>
        <v>5000</v>
      </c>
      <c r="C2546" s="8">
        <v>25000</v>
      </c>
      <c r="D2546" s="187">
        <v>0</v>
      </c>
      <c r="E2546" s="187">
        <v>700</v>
      </c>
      <c r="F2546" s="187">
        <v>15000</v>
      </c>
      <c r="G2546" s="30">
        <f t="shared" si="2726"/>
        <v>2470</v>
      </c>
      <c r="H2546" s="8">
        <f t="shared" si="2726"/>
        <v>25000</v>
      </c>
      <c r="I2546" s="30">
        <f t="shared" si="2727"/>
        <v>5000</v>
      </c>
      <c r="J2546" s="187">
        <v>40000</v>
      </c>
      <c r="K2546" s="30">
        <f t="shared" si="2728"/>
        <v>5000</v>
      </c>
      <c r="L2546" s="187">
        <v>40000</v>
      </c>
      <c r="M2546" s="110">
        <v>9.5</v>
      </c>
      <c r="N2546" s="9">
        <f>VLOOKUP(DATE(YEAR(A2546),MONTH(A2546),DAY(A2546)),FY24_Temp[],3,FALSE)</f>
        <v>17.25</v>
      </c>
      <c r="O2546" s="110">
        <f t="shared" si="2714"/>
        <v>11.5</v>
      </c>
      <c r="P2546" s="110">
        <f t="shared" si="2715"/>
        <v>19.5</v>
      </c>
      <c r="Q2546" s="79">
        <f>VLOOKUP(VLOOKUP(DATEVALUE(TEXT(A2546,"m/d/yyyy")),FY24_Temp[],5,FALSE)&amp;TEXT(A2546,"-h"),TempDelta[],4,FALSE)</f>
        <v>1.027285703590938</v>
      </c>
      <c r="R2546">
        <v>10</v>
      </c>
      <c r="S2546" s="112">
        <v>1500</v>
      </c>
      <c r="T2546" s="5">
        <f>VLOOKUP(TEXT(A2546,"yy-mm")&amp;"-"&amp;IF(AND(WEEKDAY(A2546)&gt;1,WEEKDAY(A2546)&lt;7),"Wkd",TEXT(A2546,"Ddd"))&amp;"-"&amp;TEXT(A2546,"hh"),LoadTable[],3,FALSE)*0.92</f>
        <v>176.52040000000002</v>
      </c>
      <c r="U2546" s="113">
        <f t="shared" si="2716"/>
        <v>17.652040000000003</v>
      </c>
      <c r="V2546">
        <f t="shared" ref="V2546:W2546" si="2767">V2522</f>
        <v>3.6</v>
      </c>
      <c r="W2546">
        <f t="shared" si="2767"/>
        <v>3.1</v>
      </c>
      <c r="X2546" s="9">
        <v>-73.792629716666696</v>
      </c>
      <c r="Y2546" s="39"/>
    </row>
    <row r="2547" spans="1:25" ht="15" thickBot="1">
      <c r="A2547" s="149">
        <f t="shared" si="2698"/>
        <v>45941.999999995809</v>
      </c>
      <c r="B2547" s="30">
        <f t="shared" si="2725"/>
        <v>5000</v>
      </c>
      <c r="C2547" s="8">
        <v>25000</v>
      </c>
      <c r="D2547" s="187">
        <v>0</v>
      </c>
      <c r="E2547" s="187">
        <v>700</v>
      </c>
      <c r="F2547" s="187">
        <v>15000</v>
      </c>
      <c r="G2547" s="30">
        <f t="shared" si="2726"/>
        <v>2470</v>
      </c>
      <c r="H2547" s="8">
        <f t="shared" si="2726"/>
        <v>25000</v>
      </c>
      <c r="I2547" s="30">
        <f t="shared" si="2727"/>
        <v>5000</v>
      </c>
      <c r="J2547" s="187">
        <v>40000</v>
      </c>
      <c r="K2547" s="30">
        <f t="shared" si="2728"/>
        <v>5000</v>
      </c>
      <c r="L2547" s="187">
        <v>40000</v>
      </c>
      <c r="M2547" s="110">
        <v>9.5</v>
      </c>
      <c r="N2547" s="9">
        <f>VLOOKUP(DATE(YEAR(A2547),MONTH(A2547),DAY(A2547)),FY24_Temp[],3,FALSE)</f>
        <v>17.25</v>
      </c>
      <c r="O2547" s="110">
        <f t="shared" si="2714"/>
        <v>11.5</v>
      </c>
      <c r="P2547" s="110">
        <f t="shared" si="2715"/>
        <v>19.5</v>
      </c>
      <c r="Q2547" s="79">
        <f>VLOOKUP(VLOOKUP(DATEVALUE(TEXT(A2547,"m/d/yyyy")),FY24_Temp[],5,FALSE)&amp;TEXT(A2547,"-h"),TempDelta[],4,FALSE)</f>
        <v>1.100857138633728</v>
      </c>
      <c r="R2547">
        <v>10</v>
      </c>
      <c r="S2547" s="112">
        <v>1500</v>
      </c>
      <c r="T2547" s="5">
        <f>VLOOKUP(TEXT(A2547,"yy-mm")&amp;"-"&amp;IF(AND(WEEKDAY(A2547)&gt;1,WEEKDAY(A2547)&lt;7),"Wkd",TEXT(A2547,"Ddd"))&amp;"-"&amp;TEXT(A2547,"hh"),LoadTable[],3,FALSE)*0.92</f>
        <v>176.52040000000002</v>
      </c>
      <c r="U2547" s="113">
        <f t="shared" si="2716"/>
        <v>17.652040000000003</v>
      </c>
      <c r="V2547">
        <f t="shared" ref="V2547:W2547" si="2768">V2523</f>
        <v>3</v>
      </c>
      <c r="W2547">
        <f t="shared" si="2768"/>
        <v>3.2</v>
      </c>
      <c r="X2547" s="9">
        <v>-73.870424266666703</v>
      </c>
      <c r="Y2547" s="39"/>
    </row>
    <row r="2548" spans="1:25" ht="15" thickBot="1">
      <c r="A2548" s="149">
        <f t="shared" si="2698"/>
        <v>45942.041666662473</v>
      </c>
      <c r="B2548" s="30">
        <f t="shared" si="2725"/>
        <v>5000</v>
      </c>
      <c r="C2548" s="8">
        <v>25000</v>
      </c>
      <c r="D2548" s="187">
        <v>0</v>
      </c>
      <c r="E2548" s="187">
        <v>700</v>
      </c>
      <c r="F2548" s="187">
        <v>15000</v>
      </c>
      <c r="G2548" s="30">
        <f t="shared" si="2726"/>
        <v>2470</v>
      </c>
      <c r="H2548" s="8">
        <f t="shared" si="2726"/>
        <v>25000</v>
      </c>
      <c r="I2548" s="30">
        <f t="shared" si="2727"/>
        <v>5000</v>
      </c>
      <c r="J2548" s="187">
        <v>40000</v>
      </c>
      <c r="K2548" s="30">
        <f t="shared" si="2728"/>
        <v>5000</v>
      </c>
      <c r="L2548" s="187">
        <v>40000</v>
      </c>
      <c r="M2548" s="110">
        <v>9.5</v>
      </c>
      <c r="N2548" s="9">
        <f>VLOOKUP(DATE(YEAR(A2548),MONTH(A2548),DAY(A2548)),FY24_Temp[],3,FALSE)</f>
        <v>17.25</v>
      </c>
      <c r="O2548" s="110">
        <f t="shared" si="2714"/>
        <v>11.5</v>
      </c>
      <c r="P2548" s="110">
        <f t="shared" si="2715"/>
        <v>19.5</v>
      </c>
      <c r="Q2548" s="79">
        <f>VLOOKUP(VLOOKUP(DATEVALUE(TEXT(A2548,"m/d/yyyy")),FY24_Temp[],5,FALSE)&amp;TEXT(A2548,"-h"),TempDelta[],4,FALSE)</f>
        <v>1.0574285984039307</v>
      </c>
      <c r="R2548">
        <v>10</v>
      </c>
      <c r="S2548" s="112">
        <v>1500</v>
      </c>
      <c r="T2548" s="5">
        <f>VLOOKUP(TEXT(A2548,"yy-mm")&amp;"-"&amp;IF(AND(WEEKDAY(A2548)&gt;1,WEEKDAY(A2548)&lt;7),"Wkd",TEXT(A2548,"Ddd"))&amp;"-"&amp;TEXT(A2548,"hh"),LoadTable[],3,FALSE)*0.92</f>
        <v>176.52040000000002</v>
      </c>
      <c r="U2548" s="113">
        <f t="shared" si="2716"/>
        <v>17.652040000000003</v>
      </c>
      <c r="V2548">
        <f t="shared" ref="V2548:W2548" si="2769">V2524</f>
        <v>2.6</v>
      </c>
      <c r="W2548">
        <f t="shared" si="2769"/>
        <v>3.2</v>
      </c>
      <c r="X2548" s="9">
        <v>-73.948218816666696</v>
      </c>
      <c r="Y2548" s="39"/>
    </row>
    <row r="2549" spans="1:25" ht="15" thickBot="1">
      <c r="A2549" s="149">
        <f t="shared" ref="A2549:A2612" si="2770">A2548+TIME(1,0,0)</f>
        <v>45942.083333329138</v>
      </c>
      <c r="B2549" s="30">
        <f t="shared" si="2725"/>
        <v>5000</v>
      </c>
      <c r="C2549" s="8">
        <v>25000</v>
      </c>
      <c r="D2549" s="187">
        <v>0</v>
      </c>
      <c r="E2549" s="187">
        <v>700</v>
      </c>
      <c r="F2549" s="187">
        <v>15000</v>
      </c>
      <c r="G2549" s="30">
        <f t="shared" si="2726"/>
        <v>2470</v>
      </c>
      <c r="H2549" s="8">
        <f t="shared" si="2726"/>
        <v>25000</v>
      </c>
      <c r="I2549" s="30">
        <f t="shared" si="2727"/>
        <v>5000</v>
      </c>
      <c r="J2549" s="187">
        <v>40000</v>
      </c>
      <c r="K2549" s="30">
        <f t="shared" si="2728"/>
        <v>5000</v>
      </c>
      <c r="L2549" s="187">
        <v>40000</v>
      </c>
      <c r="M2549" s="110">
        <v>9.5</v>
      </c>
      <c r="N2549" s="9">
        <f>VLOOKUP(DATE(YEAR(A2549),MONTH(A2549),DAY(A2549)),FY24_Temp[],3,FALSE)</f>
        <v>17.25</v>
      </c>
      <c r="O2549" s="110">
        <f t="shared" si="2714"/>
        <v>11.5</v>
      </c>
      <c r="P2549" s="110">
        <f t="shared" si="2715"/>
        <v>19.5</v>
      </c>
      <c r="Q2549" s="79">
        <f>VLOOKUP(VLOOKUP(DATEVALUE(TEXT(A2549,"m/d/yyyy")),FY24_Temp[],5,FALSE)&amp;TEXT(A2549,"-h"),TempDelta[],4,FALSE)</f>
        <v>0.96828572239194599</v>
      </c>
      <c r="R2549">
        <v>10</v>
      </c>
      <c r="S2549" s="112">
        <v>1500</v>
      </c>
      <c r="T2549" s="5">
        <f>VLOOKUP(TEXT(A2549,"yy-mm")&amp;"-"&amp;IF(AND(WEEKDAY(A2549)&gt;1,WEEKDAY(A2549)&lt;7),"Wkd",TEXT(A2549,"Ddd"))&amp;"-"&amp;TEXT(A2549,"hh"),LoadTable[],3,FALSE)*0.92</f>
        <v>176.52040000000002</v>
      </c>
      <c r="U2549" s="113">
        <f t="shared" si="2716"/>
        <v>17.652040000000003</v>
      </c>
      <c r="V2549">
        <f t="shared" ref="V2549:W2549" si="2771">V2525</f>
        <v>2.8</v>
      </c>
      <c r="W2549">
        <f t="shared" si="2771"/>
        <v>3.2</v>
      </c>
      <c r="X2549" s="9">
        <v>-74.026013366666703</v>
      </c>
      <c r="Y2549" s="39"/>
    </row>
    <row r="2550" spans="1:25" ht="15" thickBot="1">
      <c r="A2550" s="149">
        <f t="shared" si="2770"/>
        <v>45942.124999995802</v>
      </c>
      <c r="B2550" s="30">
        <f t="shared" si="2725"/>
        <v>5000</v>
      </c>
      <c r="C2550" s="8">
        <v>25000</v>
      </c>
      <c r="D2550" s="187">
        <v>0</v>
      </c>
      <c r="E2550" s="187">
        <v>700</v>
      </c>
      <c r="F2550" s="187">
        <v>15000</v>
      </c>
      <c r="G2550" s="30">
        <f t="shared" si="2726"/>
        <v>2470</v>
      </c>
      <c r="H2550" s="8">
        <f t="shared" si="2726"/>
        <v>25000</v>
      </c>
      <c r="I2550" s="30">
        <f t="shared" si="2727"/>
        <v>5000</v>
      </c>
      <c r="J2550" s="187">
        <v>40000</v>
      </c>
      <c r="K2550" s="30">
        <f t="shared" si="2728"/>
        <v>5000</v>
      </c>
      <c r="L2550" s="187">
        <v>40000</v>
      </c>
      <c r="M2550" s="110">
        <v>9.5</v>
      </c>
      <c r="N2550" s="9">
        <f>VLOOKUP(DATE(YEAR(A2550),MONTH(A2550),DAY(A2550)),FY24_Temp[],3,FALSE)</f>
        <v>17.25</v>
      </c>
      <c r="O2550" s="110">
        <f t="shared" si="2714"/>
        <v>11.5</v>
      </c>
      <c r="P2550" s="110">
        <f t="shared" si="2715"/>
        <v>19.5</v>
      </c>
      <c r="Q2550" s="79">
        <f>VLOOKUP(VLOOKUP(DATEVALUE(TEXT(A2550,"m/d/yyyy")),FY24_Temp[],5,FALSE)&amp;TEXT(A2550,"-h"),TempDelta[],4,FALSE)</f>
        <v>0.8611428397042411</v>
      </c>
      <c r="R2550">
        <v>10</v>
      </c>
      <c r="S2550" s="112">
        <v>1500</v>
      </c>
      <c r="T2550" s="5">
        <f>VLOOKUP(TEXT(A2550,"yy-mm")&amp;"-"&amp;IF(AND(WEEKDAY(A2550)&gt;1,WEEKDAY(A2550)&lt;7),"Wkd",TEXT(A2550,"Ddd"))&amp;"-"&amp;TEXT(A2550,"hh"),LoadTable[],3,FALSE)*0.92</f>
        <v>176.52040000000002</v>
      </c>
      <c r="U2550" s="113">
        <f t="shared" si="2716"/>
        <v>17.652040000000003</v>
      </c>
      <c r="V2550">
        <f t="shared" ref="V2550:W2550" si="2772">V2526</f>
        <v>2.7</v>
      </c>
      <c r="W2550">
        <f t="shared" si="2772"/>
        <v>3.2</v>
      </c>
      <c r="X2550" s="9">
        <v>-74.103807916666696</v>
      </c>
      <c r="Y2550" s="39"/>
    </row>
    <row r="2551" spans="1:25" ht="15" thickBot="1">
      <c r="A2551" s="149">
        <f t="shared" si="2770"/>
        <v>45942.166666662466</v>
      </c>
      <c r="B2551" s="30">
        <f t="shared" si="2725"/>
        <v>5000</v>
      </c>
      <c r="C2551" s="8">
        <v>25000</v>
      </c>
      <c r="D2551" s="187">
        <v>0</v>
      </c>
      <c r="E2551" s="187">
        <v>700</v>
      </c>
      <c r="F2551" s="187">
        <v>15000</v>
      </c>
      <c r="G2551" s="30">
        <f t="shared" si="2726"/>
        <v>2470</v>
      </c>
      <c r="H2551" s="8">
        <f t="shared" si="2726"/>
        <v>25000</v>
      </c>
      <c r="I2551" s="30">
        <f t="shared" si="2727"/>
        <v>5000</v>
      </c>
      <c r="J2551" s="187">
        <v>40000</v>
      </c>
      <c r="K2551" s="30">
        <f t="shared" si="2728"/>
        <v>5000</v>
      </c>
      <c r="L2551" s="187">
        <v>40000</v>
      </c>
      <c r="M2551" s="110">
        <v>9.5</v>
      </c>
      <c r="N2551" s="9">
        <f>VLOOKUP(DATE(YEAR(A2551),MONTH(A2551),DAY(A2551)),FY24_Temp[],3,FALSE)</f>
        <v>17.25</v>
      </c>
      <c r="O2551" s="110">
        <f t="shared" si="2714"/>
        <v>11.5</v>
      </c>
      <c r="P2551" s="110">
        <f t="shared" si="2715"/>
        <v>19.5</v>
      </c>
      <c r="Q2551" s="79">
        <f>VLOOKUP(VLOOKUP(DATEVALUE(TEXT(A2551,"m/d/yyyy")),FY24_Temp[],5,FALSE)&amp;TEXT(A2551,"-h"),TempDelta[],4,FALSE)</f>
        <v>0.76914285761969425</v>
      </c>
      <c r="R2551">
        <v>10</v>
      </c>
      <c r="S2551" s="112">
        <v>1500</v>
      </c>
      <c r="T2551" s="5">
        <f>VLOOKUP(TEXT(A2551,"yy-mm")&amp;"-"&amp;IF(AND(WEEKDAY(A2551)&gt;1,WEEKDAY(A2551)&lt;7),"Wkd",TEXT(A2551,"Ddd"))&amp;"-"&amp;TEXT(A2551,"hh"),LoadTable[],3,FALSE)*0.92</f>
        <v>176.52040000000002</v>
      </c>
      <c r="U2551" s="113">
        <f t="shared" si="2716"/>
        <v>17.652040000000003</v>
      </c>
      <c r="V2551">
        <f t="shared" ref="V2551:W2551" si="2773">V2527</f>
        <v>3</v>
      </c>
      <c r="W2551">
        <f t="shared" si="2773"/>
        <v>3.1</v>
      </c>
      <c r="X2551" s="9">
        <v>-74.181602466666703</v>
      </c>
      <c r="Y2551" s="39"/>
    </row>
    <row r="2552" spans="1:25" ht="15" thickBot="1">
      <c r="A2552" s="149">
        <f t="shared" si="2770"/>
        <v>45942.20833332913</v>
      </c>
      <c r="B2552" s="30">
        <f t="shared" si="2725"/>
        <v>5000</v>
      </c>
      <c r="C2552" s="8">
        <v>25000</v>
      </c>
      <c r="D2552" s="187">
        <v>0</v>
      </c>
      <c r="E2552" s="187">
        <v>700</v>
      </c>
      <c r="F2552" s="187">
        <v>15000</v>
      </c>
      <c r="G2552" s="30">
        <f t="shared" si="2726"/>
        <v>2470</v>
      </c>
      <c r="H2552" s="8">
        <f t="shared" si="2726"/>
        <v>25000</v>
      </c>
      <c r="I2552" s="30">
        <f t="shared" si="2727"/>
        <v>5000</v>
      </c>
      <c r="J2552" s="187">
        <v>40000</v>
      </c>
      <c r="K2552" s="30">
        <f t="shared" si="2728"/>
        <v>5000</v>
      </c>
      <c r="L2552" s="187">
        <v>40000</v>
      </c>
      <c r="M2552" s="110">
        <v>9.5</v>
      </c>
      <c r="N2552" s="9">
        <f>VLOOKUP(DATE(YEAR(A2552),MONTH(A2552),DAY(A2552)),FY24_Temp[],3,FALSE)</f>
        <v>17.25</v>
      </c>
      <c r="O2552" s="110">
        <f t="shared" si="2714"/>
        <v>11.5</v>
      </c>
      <c r="P2552" s="110">
        <f t="shared" si="2715"/>
        <v>19.5</v>
      </c>
      <c r="Q2552" s="79">
        <f>VLOOKUP(VLOOKUP(DATEVALUE(TEXT(A2552,"m/d/yyyy")),FY24_Temp[],5,FALSE)&amp;TEXT(A2552,"-h"),TempDelta[],4,FALSE)</f>
        <v>0.79885715246200562</v>
      </c>
      <c r="R2552">
        <v>10</v>
      </c>
      <c r="S2552" s="112">
        <v>1500</v>
      </c>
      <c r="T2552" s="5">
        <f>VLOOKUP(TEXT(A2552,"yy-mm")&amp;"-"&amp;IF(AND(WEEKDAY(A2552)&gt;1,WEEKDAY(A2552)&lt;7),"Wkd",TEXT(A2552,"Ddd"))&amp;"-"&amp;TEXT(A2552,"hh"),LoadTable[],3,FALSE)*0.92</f>
        <v>176.52040000000002</v>
      </c>
      <c r="U2552" s="113">
        <f t="shared" si="2716"/>
        <v>17.652040000000003</v>
      </c>
      <c r="V2552">
        <f t="shared" ref="V2552:W2552" si="2774">V2528</f>
        <v>2.9</v>
      </c>
      <c r="W2552">
        <f t="shared" si="2774"/>
        <v>3.1</v>
      </c>
      <c r="X2552" s="9">
        <v>-74.259397016666696</v>
      </c>
      <c r="Y2552" s="39"/>
    </row>
    <row r="2553" spans="1:25" ht="15" thickBot="1">
      <c r="A2553" s="149">
        <f t="shared" si="2770"/>
        <v>45942.249999995794</v>
      </c>
      <c r="B2553" s="30">
        <f t="shared" si="2725"/>
        <v>8000</v>
      </c>
      <c r="C2553" s="8">
        <v>25000</v>
      </c>
      <c r="D2553" s="187">
        <v>0</v>
      </c>
      <c r="E2553" s="187">
        <v>700</v>
      </c>
      <c r="F2553" s="187">
        <v>15000</v>
      </c>
      <c r="G2553" s="30">
        <f t="shared" si="2726"/>
        <v>2470</v>
      </c>
      <c r="H2553" s="8">
        <f t="shared" si="2726"/>
        <v>25000</v>
      </c>
      <c r="I2553" s="30">
        <f t="shared" si="2727"/>
        <v>8000</v>
      </c>
      <c r="J2553" s="187">
        <v>40000</v>
      </c>
      <c r="K2553" s="30">
        <f t="shared" si="2728"/>
        <v>8000</v>
      </c>
      <c r="L2553" s="187">
        <v>40000</v>
      </c>
      <c r="M2553" s="110">
        <v>9.5</v>
      </c>
      <c r="N2553" s="9">
        <f>VLOOKUP(DATE(YEAR(A2553),MONTH(A2553),DAY(A2553)),FY24_Temp[],3,FALSE)</f>
        <v>17.25</v>
      </c>
      <c r="O2553" s="110">
        <f t="shared" si="2714"/>
        <v>11.5</v>
      </c>
      <c r="P2553" s="110">
        <f t="shared" si="2715"/>
        <v>19.5</v>
      </c>
      <c r="Q2553" s="79">
        <f>VLOOKUP(VLOOKUP(DATEVALUE(TEXT(A2553,"m/d/yyyy")),FY24_Temp[],5,FALSE)&amp;TEXT(A2553,"-h"),TempDelta[],4,FALSE)</f>
        <v>0.64628570420401432</v>
      </c>
      <c r="R2553">
        <v>10</v>
      </c>
      <c r="S2553" s="112">
        <v>1500</v>
      </c>
      <c r="T2553" s="5">
        <f>VLOOKUP(TEXT(A2553,"yy-mm")&amp;"-"&amp;IF(AND(WEEKDAY(A2553)&gt;1,WEEKDAY(A2553)&lt;7),"Wkd",TEXT(A2553,"Ddd"))&amp;"-"&amp;TEXT(A2553,"hh"),LoadTable[],3,FALSE)*0.92</f>
        <v>234.80148</v>
      </c>
      <c r="U2553" s="113">
        <f t="shared" si="2716"/>
        <v>23.480148</v>
      </c>
      <c r="V2553">
        <f t="shared" ref="V2553:W2553" si="2775">V2529</f>
        <v>2.5</v>
      </c>
      <c r="W2553">
        <f t="shared" si="2775"/>
        <v>3.1</v>
      </c>
      <c r="X2553" s="9">
        <v>-74.337191566666704</v>
      </c>
      <c r="Y2553" s="39"/>
    </row>
    <row r="2554" spans="1:25" ht="15" thickBot="1">
      <c r="A2554" s="149">
        <f t="shared" si="2770"/>
        <v>45942.291666662459</v>
      </c>
      <c r="B2554" s="30">
        <f t="shared" si="2725"/>
        <v>8000</v>
      </c>
      <c r="C2554" s="8">
        <v>25000</v>
      </c>
      <c r="D2554" s="187">
        <v>0</v>
      </c>
      <c r="E2554" s="187">
        <v>700</v>
      </c>
      <c r="F2554" s="187">
        <v>15000</v>
      </c>
      <c r="G2554" s="30">
        <f t="shared" si="2726"/>
        <v>2470</v>
      </c>
      <c r="H2554" s="8">
        <f t="shared" si="2726"/>
        <v>25000</v>
      </c>
      <c r="I2554" s="30">
        <f t="shared" si="2727"/>
        <v>8000</v>
      </c>
      <c r="J2554" s="187">
        <v>40000</v>
      </c>
      <c r="K2554" s="30">
        <f t="shared" si="2728"/>
        <v>8000</v>
      </c>
      <c r="L2554" s="187">
        <v>40000</v>
      </c>
      <c r="M2554" s="110">
        <v>9.5</v>
      </c>
      <c r="N2554" s="9">
        <f>VLOOKUP(DATE(YEAR(A2554),MONTH(A2554),DAY(A2554)),FY24_Temp[],3,FALSE)</f>
        <v>17.25</v>
      </c>
      <c r="O2554" s="110">
        <f t="shared" si="2714"/>
        <v>11.5</v>
      </c>
      <c r="P2554" s="110">
        <f t="shared" si="2715"/>
        <v>19.5</v>
      </c>
      <c r="Q2554" s="79">
        <f>VLOOKUP(VLOOKUP(DATEVALUE(TEXT(A2554,"m/d/yyyy")),FY24_Temp[],5,FALSE)&amp;TEXT(A2554,"-h"),TempDelta[],4,FALSE)</f>
        <v>0.46642856938498362</v>
      </c>
      <c r="R2554">
        <v>10</v>
      </c>
      <c r="S2554" s="112">
        <v>1500</v>
      </c>
      <c r="T2554" s="5">
        <f>VLOOKUP(TEXT(A2554,"yy-mm")&amp;"-"&amp;IF(AND(WEEKDAY(A2554)&gt;1,WEEKDAY(A2554)&lt;7),"Wkd",TEXT(A2554,"Ddd"))&amp;"-"&amp;TEXT(A2554,"hh"),LoadTable[],3,FALSE)*0.92</f>
        <v>234.80148</v>
      </c>
      <c r="U2554" s="113">
        <f t="shared" si="2716"/>
        <v>23.480148</v>
      </c>
      <c r="V2554">
        <f t="shared" ref="V2554:W2554" si="2776">V2530</f>
        <v>2.5</v>
      </c>
      <c r="W2554">
        <f t="shared" si="2776"/>
        <v>3.1</v>
      </c>
      <c r="X2554" s="9">
        <v>-74.414986116666796</v>
      </c>
      <c r="Y2554" s="39"/>
    </row>
    <row r="2555" spans="1:25" ht="15" thickBot="1">
      <c r="A2555" s="149">
        <f t="shared" si="2770"/>
        <v>45942.333333329123</v>
      </c>
      <c r="B2555" s="30">
        <f t="shared" si="2725"/>
        <v>8000</v>
      </c>
      <c r="C2555" s="8">
        <v>25000</v>
      </c>
      <c r="D2555" s="187">
        <v>0</v>
      </c>
      <c r="E2555" s="187">
        <v>700</v>
      </c>
      <c r="F2555" s="187">
        <v>15000</v>
      </c>
      <c r="G2555" s="30">
        <f t="shared" si="2726"/>
        <v>2470</v>
      </c>
      <c r="H2555" s="8">
        <f t="shared" si="2726"/>
        <v>25000</v>
      </c>
      <c r="I2555" s="30">
        <f t="shared" si="2727"/>
        <v>8000</v>
      </c>
      <c r="J2555" s="187">
        <v>40000</v>
      </c>
      <c r="K2555" s="30">
        <f t="shared" si="2728"/>
        <v>8000</v>
      </c>
      <c r="L2555" s="187">
        <v>40000</v>
      </c>
      <c r="M2555" s="110">
        <v>9.5</v>
      </c>
      <c r="N2555" s="9">
        <f>VLOOKUP(DATE(YEAR(A2555),MONTH(A2555),DAY(A2555)),FY24_Temp[],3,FALSE)</f>
        <v>17.25</v>
      </c>
      <c r="O2555" s="110">
        <f t="shared" si="2714"/>
        <v>11.5</v>
      </c>
      <c r="P2555" s="110">
        <f t="shared" si="2715"/>
        <v>19.5</v>
      </c>
      <c r="Q2555" s="79">
        <f>VLOOKUP(VLOOKUP(DATEVALUE(TEXT(A2555,"m/d/yyyy")),FY24_Temp[],5,FALSE)&amp;TEXT(A2555,"-h"),TempDelta[],4,FALSE)</f>
        <v>0.36357143095561434</v>
      </c>
      <c r="R2555">
        <v>10</v>
      </c>
      <c r="S2555" s="112">
        <v>1500</v>
      </c>
      <c r="T2555" s="5">
        <f>VLOOKUP(TEXT(A2555,"yy-mm")&amp;"-"&amp;IF(AND(WEEKDAY(A2555)&gt;1,WEEKDAY(A2555)&lt;7),"Wkd",TEXT(A2555,"Ddd"))&amp;"-"&amp;TEXT(A2555,"hh"),LoadTable[],3,FALSE)*0.92</f>
        <v>234.80148</v>
      </c>
      <c r="U2555" s="113">
        <f t="shared" si="2716"/>
        <v>23.480148</v>
      </c>
      <c r="V2555">
        <f t="shared" ref="V2555:W2555" si="2777">V2531</f>
        <v>3.2</v>
      </c>
      <c r="W2555">
        <f t="shared" si="2777"/>
        <v>3</v>
      </c>
      <c r="X2555" s="9">
        <v>-74.492780666666803</v>
      </c>
      <c r="Y2555" s="39"/>
    </row>
    <row r="2556" spans="1:25" ht="15" thickBot="1">
      <c r="A2556" s="149">
        <f t="shared" si="2770"/>
        <v>45942.374999995787</v>
      </c>
      <c r="B2556" s="30">
        <f t="shared" si="2725"/>
        <v>8000</v>
      </c>
      <c r="C2556" s="8">
        <v>25000</v>
      </c>
      <c r="D2556" s="187">
        <v>0</v>
      </c>
      <c r="E2556" s="187">
        <v>700</v>
      </c>
      <c r="F2556" s="187">
        <v>15000</v>
      </c>
      <c r="G2556" s="30">
        <f t="shared" si="2726"/>
        <v>2470</v>
      </c>
      <c r="H2556" s="8">
        <f t="shared" si="2726"/>
        <v>25000</v>
      </c>
      <c r="I2556" s="30">
        <f t="shared" si="2727"/>
        <v>8000</v>
      </c>
      <c r="J2556" s="187">
        <v>40000</v>
      </c>
      <c r="K2556" s="30">
        <f t="shared" si="2728"/>
        <v>8000</v>
      </c>
      <c r="L2556" s="187">
        <v>40000</v>
      </c>
      <c r="M2556" s="110">
        <v>9.5</v>
      </c>
      <c r="N2556" s="9">
        <f>VLOOKUP(DATE(YEAR(A2556),MONTH(A2556),DAY(A2556)),FY24_Temp[],3,FALSE)</f>
        <v>17.25</v>
      </c>
      <c r="O2556" s="110">
        <f t="shared" si="2714"/>
        <v>11.5</v>
      </c>
      <c r="P2556" s="110">
        <f t="shared" si="2715"/>
        <v>19.5</v>
      </c>
      <c r="Q2556" s="79">
        <f>VLOOKUP(VLOOKUP(DATEVALUE(TEXT(A2556,"m/d/yyyy")),FY24_Temp[],5,FALSE)&amp;TEXT(A2556,"-h"),TempDelta[],4,FALSE)</f>
        <v>0.28171428825174061</v>
      </c>
      <c r="R2556">
        <v>10</v>
      </c>
      <c r="S2556" s="112">
        <v>1500</v>
      </c>
      <c r="T2556" s="5">
        <f>VLOOKUP(TEXT(A2556,"yy-mm")&amp;"-"&amp;IF(AND(WEEKDAY(A2556)&gt;1,WEEKDAY(A2556)&lt;7),"Wkd",TEXT(A2556,"Ddd"))&amp;"-"&amp;TEXT(A2556,"hh"),LoadTable[],3,FALSE)*0.92</f>
        <v>234.80148</v>
      </c>
      <c r="U2556" s="113">
        <f t="shared" si="2716"/>
        <v>23.480148</v>
      </c>
      <c r="V2556">
        <f t="shared" ref="V2556:W2556" si="2778">V2532</f>
        <v>2.9</v>
      </c>
      <c r="W2556">
        <f t="shared" si="2778"/>
        <v>3</v>
      </c>
      <c r="X2556" s="9">
        <v>-74.570575216666796</v>
      </c>
      <c r="Y2556" s="39"/>
    </row>
    <row r="2557" spans="1:25" ht="15" thickBot="1">
      <c r="A2557" s="149">
        <f t="shared" si="2770"/>
        <v>45942.416666662451</v>
      </c>
      <c r="B2557" s="30">
        <f t="shared" si="2725"/>
        <v>8000</v>
      </c>
      <c r="C2557" s="8">
        <v>25000</v>
      </c>
      <c r="D2557" s="187">
        <v>0</v>
      </c>
      <c r="E2557" s="187">
        <v>700</v>
      </c>
      <c r="F2557" s="187">
        <v>15000</v>
      </c>
      <c r="G2557" s="30">
        <f t="shared" si="2726"/>
        <v>2470</v>
      </c>
      <c r="H2557" s="8">
        <f t="shared" si="2726"/>
        <v>25000</v>
      </c>
      <c r="I2557" s="30">
        <f t="shared" si="2727"/>
        <v>8000</v>
      </c>
      <c r="J2557" s="187">
        <v>40000</v>
      </c>
      <c r="K2557" s="30">
        <f t="shared" si="2728"/>
        <v>8000</v>
      </c>
      <c r="L2557" s="187">
        <v>40000</v>
      </c>
      <c r="M2557" s="110">
        <v>9.5</v>
      </c>
      <c r="N2557" s="9">
        <f>VLOOKUP(DATE(YEAR(A2557),MONTH(A2557),DAY(A2557)),FY24_Temp[],3,FALSE)</f>
        <v>17.25</v>
      </c>
      <c r="O2557" s="110">
        <f t="shared" si="2714"/>
        <v>11.5</v>
      </c>
      <c r="P2557" s="110">
        <f t="shared" si="2715"/>
        <v>19.5</v>
      </c>
      <c r="Q2557" s="79">
        <f>VLOOKUP(VLOOKUP(DATEVALUE(TEXT(A2557,"m/d/yyyy")),FY24_Temp[],5,FALSE)&amp;TEXT(A2557,"-h"),TempDelta[],4,FALSE)</f>
        <v>0.18571428209543228</v>
      </c>
      <c r="R2557">
        <v>10</v>
      </c>
      <c r="S2557" s="112">
        <v>1500</v>
      </c>
      <c r="T2557" s="5">
        <f>VLOOKUP(TEXT(A2557,"yy-mm")&amp;"-"&amp;IF(AND(WEEKDAY(A2557)&gt;1,WEEKDAY(A2557)&lt;7),"Wkd",TEXT(A2557,"Ddd"))&amp;"-"&amp;TEXT(A2557,"hh"),LoadTable[],3,FALSE)*0.92</f>
        <v>234.80148</v>
      </c>
      <c r="U2557" s="113">
        <f t="shared" si="2716"/>
        <v>23.480148</v>
      </c>
      <c r="V2557">
        <f t="shared" ref="V2557:W2557" si="2779">V2533</f>
        <v>2.9</v>
      </c>
      <c r="W2557">
        <f t="shared" si="2779"/>
        <v>3</v>
      </c>
      <c r="X2557" s="9">
        <v>-74.648369766666804</v>
      </c>
      <c r="Y2557" s="39"/>
    </row>
    <row r="2558" spans="1:25" ht="15" thickBot="1">
      <c r="A2558" s="149">
        <f t="shared" si="2770"/>
        <v>45942.458333329116</v>
      </c>
      <c r="B2558" s="30">
        <f t="shared" si="2725"/>
        <v>8000</v>
      </c>
      <c r="C2558" s="8">
        <v>25000</v>
      </c>
      <c r="D2558" s="187">
        <v>0</v>
      </c>
      <c r="E2558" s="187">
        <v>700</v>
      </c>
      <c r="F2558" s="187">
        <v>15000</v>
      </c>
      <c r="G2558" s="30">
        <f t="shared" si="2726"/>
        <v>2470</v>
      </c>
      <c r="H2558" s="8">
        <f t="shared" si="2726"/>
        <v>25000</v>
      </c>
      <c r="I2558" s="30">
        <f t="shared" si="2727"/>
        <v>8000</v>
      </c>
      <c r="J2558" s="187">
        <v>40000</v>
      </c>
      <c r="K2558" s="30">
        <f t="shared" si="2728"/>
        <v>8000</v>
      </c>
      <c r="L2558" s="187">
        <v>40000</v>
      </c>
      <c r="M2558" s="110">
        <v>9.5</v>
      </c>
      <c r="N2558" s="9">
        <f>VLOOKUP(DATE(YEAR(A2558),MONTH(A2558),DAY(A2558)),FY24_Temp[],3,FALSE)</f>
        <v>17.25</v>
      </c>
      <c r="O2558" s="110">
        <f t="shared" si="2714"/>
        <v>11.5</v>
      </c>
      <c r="P2558" s="110">
        <f t="shared" si="2715"/>
        <v>19.5</v>
      </c>
      <c r="Q2558" s="79">
        <f>VLOOKUP(VLOOKUP(DATEVALUE(TEXT(A2558,"m/d/yyyy")),FY24_Temp[],5,FALSE)&amp;TEXT(A2558,"-h"),TempDelta[],4,FALSE)</f>
        <v>0.10357142758688756</v>
      </c>
      <c r="R2558">
        <v>10</v>
      </c>
      <c r="S2558" s="112">
        <v>1500</v>
      </c>
      <c r="T2558" s="5">
        <f>VLOOKUP(TEXT(A2558,"yy-mm")&amp;"-"&amp;IF(AND(WEEKDAY(A2558)&gt;1,WEEKDAY(A2558)&lt;7),"Wkd",TEXT(A2558,"Ddd"))&amp;"-"&amp;TEXT(A2558,"hh"),LoadTable[],3,FALSE)*0.92</f>
        <v>234.80148</v>
      </c>
      <c r="U2558" s="113">
        <f t="shared" si="2716"/>
        <v>23.480148</v>
      </c>
      <c r="V2558">
        <f t="shared" ref="V2558:W2558" si="2780">V2534</f>
        <v>3.4</v>
      </c>
      <c r="W2558">
        <f t="shared" si="2780"/>
        <v>3</v>
      </c>
      <c r="X2558" s="9">
        <v>-74.726164316666797</v>
      </c>
      <c r="Y2558" s="39"/>
    </row>
    <row r="2559" spans="1:25" ht="15" thickBot="1">
      <c r="A2559" s="149">
        <f t="shared" si="2770"/>
        <v>45942.49999999578</v>
      </c>
      <c r="B2559" s="30">
        <f t="shared" si="2725"/>
        <v>8000</v>
      </c>
      <c r="C2559" s="8">
        <v>25000</v>
      </c>
      <c r="D2559" s="187">
        <v>0</v>
      </c>
      <c r="E2559" s="187">
        <v>700</v>
      </c>
      <c r="F2559" s="187">
        <v>15000</v>
      </c>
      <c r="G2559" s="30">
        <f t="shared" si="2726"/>
        <v>2470</v>
      </c>
      <c r="H2559" s="8">
        <f t="shared" si="2726"/>
        <v>25000</v>
      </c>
      <c r="I2559" s="30">
        <f t="shared" si="2727"/>
        <v>8000</v>
      </c>
      <c r="J2559" s="187">
        <v>40000</v>
      </c>
      <c r="K2559" s="30">
        <f t="shared" si="2728"/>
        <v>8000</v>
      </c>
      <c r="L2559" s="187">
        <v>40000</v>
      </c>
      <c r="M2559" s="110">
        <v>9.5</v>
      </c>
      <c r="N2559" s="9">
        <f>VLOOKUP(DATE(YEAR(A2559),MONTH(A2559),DAY(A2559)),FY24_Temp[],3,FALSE)</f>
        <v>17.25</v>
      </c>
      <c r="O2559" s="110">
        <f t="shared" si="2714"/>
        <v>11.5</v>
      </c>
      <c r="P2559" s="110">
        <f t="shared" si="2715"/>
        <v>19.5</v>
      </c>
      <c r="Q2559" s="79">
        <f>VLOOKUP(VLOOKUP(DATEVALUE(TEXT(A2559,"m/d/yyyy")),FY24_Temp[],5,FALSE)&amp;TEXT(A2559,"-h"),TempDelta[],4,FALSE)</f>
        <v>3.9142857438751628E-2</v>
      </c>
      <c r="R2559">
        <v>10</v>
      </c>
      <c r="S2559" s="112">
        <v>1500</v>
      </c>
      <c r="T2559" s="5">
        <f>VLOOKUP(TEXT(A2559,"yy-mm")&amp;"-"&amp;IF(AND(WEEKDAY(A2559)&gt;1,WEEKDAY(A2559)&lt;7),"Wkd",TEXT(A2559,"Ddd"))&amp;"-"&amp;TEXT(A2559,"hh"),LoadTable[],3,FALSE)*0.92</f>
        <v>234.80148</v>
      </c>
      <c r="U2559" s="113">
        <f t="shared" si="2716"/>
        <v>23.480148</v>
      </c>
      <c r="V2559">
        <f t="shared" ref="V2559:W2559" si="2781">V2535</f>
        <v>3.1</v>
      </c>
      <c r="W2559">
        <f t="shared" si="2781"/>
        <v>2.9</v>
      </c>
      <c r="X2559" s="9">
        <v>-74.803958866666804</v>
      </c>
      <c r="Y2559" s="39"/>
    </row>
    <row r="2560" spans="1:25" ht="15" thickBot="1">
      <c r="A2560" s="149">
        <f t="shared" si="2770"/>
        <v>45942.541666662444</v>
      </c>
      <c r="B2560" s="30">
        <f t="shared" si="2725"/>
        <v>8000</v>
      </c>
      <c r="C2560" s="8">
        <v>25000</v>
      </c>
      <c r="D2560" s="187">
        <v>0</v>
      </c>
      <c r="E2560" s="187">
        <v>700</v>
      </c>
      <c r="F2560" s="187">
        <v>15000</v>
      </c>
      <c r="G2560" s="30">
        <f t="shared" si="2726"/>
        <v>2470</v>
      </c>
      <c r="H2560" s="8">
        <f t="shared" si="2726"/>
        <v>25000</v>
      </c>
      <c r="I2560" s="30">
        <f t="shared" si="2727"/>
        <v>8000</v>
      </c>
      <c r="J2560" s="187">
        <v>40000</v>
      </c>
      <c r="K2560" s="30">
        <f t="shared" si="2728"/>
        <v>8000</v>
      </c>
      <c r="L2560" s="187">
        <v>40000</v>
      </c>
      <c r="M2560" s="110">
        <v>9.5</v>
      </c>
      <c r="N2560" s="9">
        <f>VLOOKUP(DATE(YEAR(A2560),MONTH(A2560),DAY(A2560)),FY24_Temp[],3,FALSE)</f>
        <v>17.25</v>
      </c>
      <c r="O2560" s="110">
        <f t="shared" si="2714"/>
        <v>11.5</v>
      </c>
      <c r="P2560" s="110">
        <f t="shared" si="2715"/>
        <v>19.5</v>
      </c>
      <c r="Q2560" s="79">
        <f>VLOOKUP(VLOOKUP(DATEVALUE(TEXT(A2560,"m/d/yyyy")),FY24_Temp[],5,FALSE)&amp;TEXT(A2560,"-h"),TempDelta[],4,FALSE)</f>
        <v>5.2857138216495514E-3</v>
      </c>
      <c r="R2560">
        <v>10</v>
      </c>
      <c r="S2560" s="112">
        <v>1500</v>
      </c>
      <c r="T2560" s="5">
        <f>VLOOKUP(TEXT(A2560,"yy-mm")&amp;"-"&amp;IF(AND(WEEKDAY(A2560)&gt;1,WEEKDAY(A2560)&lt;7),"Wkd",TEXT(A2560,"Ddd"))&amp;"-"&amp;TEXT(A2560,"hh"),LoadTable[],3,FALSE)*0.92</f>
        <v>234.80148</v>
      </c>
      <c r="U2560" s="113">
        <f t="shared" si="2716"/>
        <v>23.480148</v>
      </c>
      <c r="V2560">
        <f t="shared" ref="V2560:W2560" si="2782">V2536</f>
        <v>3.2</v>
      </c>
      <c r="W2560">
        <f t="shared" si="2782"/>
        <v>2.9</v>
      </c>
      <c r="X2560" s="9">
        <v>-74.881753416666797</v>
      </c>
      <c r="Y2560" s="39"/>
    </row>
    <row r="2561" spans="1:25" ht="15" thickBot="1">
      <c r="A2561" s="149">
        <f t="shared" si="2770"/>
        <v>45942.583333329108</v>
      </c>
      <c r="B2561" s="30">
        <f t="shared" si="2725"/>
        <v>8000</v>
      </c>
      <c r="C2561" s="8">
        <v>25000</v>
      </c>
      <c r="D2561" s="187">
        <v>0</v>
      </c>
      <c r="E2561" s="187">
        <v>700</v>
      </c>
      <c r="F2561" s="187">
        <v>15000</v>
      </c>
      <c r="G2561" s="30">
        <f t="shared" si="2726"/>
        <v>2470</v>
      </c>
      <c r="H2561" s="8">
        <f t="shared" si="2726"/>
        <v>25000</v>
      </c>
      <c r="I2561" s="30">
        <f t="shared" si="2727"/>
        <v>8000</v>
      </c>
      <c r="J2561" s="187">
        <v>40000</v>
      </c>
      <c r="K2561" s="30">
        <f t="shared" si="2728"/>
        <v>8000</v>
      </c>
      <c r="L2561" s="187">
        <v>40000</v>
      </c>
      <c r="M2561" s="110">
        <v>9.5</v>
      </c>
      <c r="N2561" s="9">
        <f>VLOOKUP(DATE(YEAR(A2561),MONTH(A2561),DAY(A2561)),FY24_Temp[],3,FALSE)</f>
        <v>17.25</v>
      </c>
      <c r="O2561" s="110">
        <f t="shared" si="2714"/>
        <v>11.5</v>
      </c>
      <c r="P2561" s="110">
        <f t="shared" si="2715"/>
        <v>19.5</v>
      </c>
      <c r="Q2561" s="79">
        <f>VLOOKUP(VLOOKUP(DATEVALUE(TEXT(A2561,"m/d/yyyy")),FY24_Temp[],5,FALSE)&amp;TEXT(A2561,"-h"),TempDelta[],4,FALSE)</f>
        <v>6.9857144478841546E-2</v>
      </c>
      <c r="R2561">
        <v>10</v>
      </c>
      <c r="S2561" s="112">
        <v>1500</v>
      </c>
      <c r="T2561" s="5">
        <f>VLOOKUP(TEXT(A2561,"yy-mm")&amp;"-"&amp;IF(AND(WEEKDAY(A2561)&gt;1,WEEKDAY(A2561)&lt;7),"Wkd",TEXT(A2561,"Ddd"))&amp;"-"&amp;TEXT(A2561,"hh"),LoadTable[],3,FALSE)*0.92</f>
        <v>234.80148</v>
      </c>
      <c r="U2561" s="113">
        <f t="shared" si="2716"/>
        <v>23.480148</v>
      </c>
      <c r="V2561">
        <f t="shared" ref="V2561:W2561" si="2783">V2537</f>
        <v>3.5</v>
      </c>
      <c r="W2561">
        <f t="shared" si="2783"/>
        <v>2.9</v>
      </c>
      <c r="X2561" s="9">
        <v>-74.959547966666804</v>
      </c>
      <c r="Y2561" s="39"/>
    </row>
    <row r="2562" spans="1:25" ht="15" thickBot="1">
      <c r="A2562" s="149">
        <f t="shared" si="2770"/>
        <v>45942.624999995773</v>
      </c>
      <c r="B2562" s="30">
        <f t="shared" si="2725"/>
        <v>8000</v>
      </c>
      <c r="C2562" s="8">
        <v>25000</v>
      </c>
      <c r="D2562" s="187">
        <v>0</v>
      </c>
      <c r="E2562" s="187">
        <v>700</v>
      </c>
      <c r="F2562" s="187">
        <v>15000</v>
      </c>
      <c r="G2562" s="30">
        <f t="shared" si="2726"/>
        <v>2470</v>
      </c>
      <c r="H2562" s="8">
        <f t="shared" si="2726"/>
        <v>25000</v>
      </c>
      <c r="I2562" s="30">
        <f t="shared" si="2727"/>
        <v>8000</v>
      </c>
      <c r="J2562" s="187">
        <v>40000</v>
      </c>
      <c r="K2562" s="30">
        <f t="shared" si="2728"/>
        <v>8000</v>
      </c>
      <c r="L2562" s="187">
        <v>40000</v>
      </c>
      <c r="M2562" s="110">
        <v>9.5</v>
      </c>
      <c r="N2562" s="9">
        <f>VLOOKUP(DATE(YEAR(A2562),MONTH(A2562),DAY(A2562)),FY24_Temp[],3,FALSE)</f>
        <v>17.25</v>
      </c>
      <c r="O2562" s="110">
        <f t="shared" si="2714"/>
        <v>11.5</v>
      </c>
      <c r="P2562" s="110">
        <f t="shared" si="2715"/>
        <v>19.5</v>
      </c>
      <c r="Q2562" s="79">
        <f>VLOOKUP(VLOOKUP(DATEVALUE(TEXT(A2562,"m/d/yyyy")),FY24_Temp[],5,FALSE)&amp;TEXT(A2562,"-h"),TempDelta[],4,FALSE)</f>
        <v>0.16885714073266303</v>
      </c>
      <c r="R2562">
        <v>10</v>
      </c>
      <c r="S2562" s="112">
        <v>1500</v>
      </c>
      <c r="T2562" s="5">
        <f>VLOOKUP(TEXT(A2562,"yy-mm")&amp;"-"&amp;IF(AND(WEEKDAY(A2562)&gt;1,WEEKDAY(A2562)&lt;7),"Wkd",TEXT(A2562,"Ddd"))&amp;"-"&amp;TEXT(A2562,"hh"),LoadTable[],3,FALSE)*0.92</f>
        <v>234.80148</v>
      </c>
      <c r="U2562" s="113">
        <f t="shared" si="2716"/>
        <v>23.480148</v>
      </c>
      <c r="V2562">
        <f t="shared" ref="V2562:W2562" si="2784">V2538</f>
        <v>3.2</v>
      </c>
      <c r="W2562">
        <f t="shared" si="2784"/>
        <v>2.9</v>
      </c>
      <c r="X2562" s="9">
        <v>-75.037342516666797</v>
      </c>
      <c r="Y2562" s="39"/>
    </row>
    <row r="2563" spans="1:25" ht="15" thickBot="1">
      <c r="A2563" s="149">
        <f t="shared" si="2770"/>
        <v>45942.666666662437</v>
      </c>
      <c r="B2563" s="30">
        <f t="shared" si="2725"/>
        <v>8000</v>
      </c>
      <c r="C2563" s="8">
        <v>25000</v>
      </c>
      <c r="D2563" s="187">
        <v>0</v>
      </c>
      <c r="E2563" s="187">
        <v>700</v>
      </c>
      <c r="F2563" s="187">
        <v>15000</v>
      </c>
      <c r="G2563" s="30">
        <f t="shared" si="2726"/>
        <v>2470</v>
      </c>
      <c r="H2563" s="8">
        <f t="shared" si="2726"/>
        <v>25000</v>
      </c>
      <c r="I2563" s="30">
        <f t="shared" si="2727"/>
        <v>8000</v>
      </c>
      <c r="J2563" s="187">
        <v>40000</v>
      </c>
      <c r="K2563" s="30">
        <f t="shared" si="2728"/>
        <v>8000</v>
      </c>
      <c r="L2563" s="187">
        <v>40000</v>
      </c>
      <c r="M2563" s="110">
        <v>9.5</v>
      </c>
      <c r="N2563" s="9">
        <f>VLOOKUP(DATE(YEAR(A2563),MONTH(A2563),DAY(A2563)),FY24_Temp[],3,FALSE)</f>
        <v>17.25</v>
      </c>
      <c r="O2563" s="110">
        <f t="shared" si="2714"/>
        <v>11.5</v>
      </c>
      <c r="P2563" s="110">
        <f t="shared" si="2715"/>
        <v>19.5</v>
      </c>
      <c r="Q2563" s="79">
        <f>VLOOKUP(VLOOKUP(DATEVALUE(TEXT(A2563,"m/d/yyyy")),FY24_Temp[],5,FALSE)&amp;TEXT(A2563,"-h"),TempDelta[],4,FALSE)</f>
        <v>0.4030000056539263</v>
      </c>
      <c r="R2563">
        <v>10</v>
      </c>
      <c r="S2563" s="112">
        <v>1500</v>
      </c>
      <c r="T2563" s="5">
        <f>VLOOKUP(TEXT(A2563,"yy-mm")&amp;"-"&amp;IF(AND(WEEKDAY(A2563)&gt;1,WEEKDAY(A2563)&lt;7),"Wkd",TEXT(A2563,"Ddd"))&amp;"-"&amp;TEXT(A2563,"hh"),LoadTable[],3,FALSE)*0.92</f>
        <v>234.80148</v>
      </c>
      <c r="U2563" s="113">
        <f t="shared" si="2716"/>
        <v>23.480148</v>
      </c>
      <c r="V2563">
        <f t="shared" ref="V2563:W2563" si="2785">V2539</f>
        <v>3.5</v>
      </c>
      <c r="W2563">
        <f t="shared" si="2785"/>
        <v>3</v>
      </c>
      <c r="X2563" s="9">
        <v>-75.115137066666804</v>
      </c>
      <c r="Y2563" s="39"/>
    </row>
    <row r="2564" spans="1:25" ht="15" thickBot="1">
      <c r="A2564" s="149">
        <f t="shared" si="2770"/>
        <v>45942.708333329101</v>
      </c>
      <c r="B2564" s="30">
        <f t="shared" si="2725"/>
        <v>8000</v>
      </c>
      <c r="C2564" s="8">
        <v>25000</v>
      </c>
      <c r="D2564" s="187">
        <v>0</v>
      </c>
      <c r="E2564" s="187">
        <v>700</v>
      </c>
      <c r="F2564" s="187">
        <v>15000</v>
      </c>
      <c r="G2564" s="30">
        <f t="shared" si="2726"/>
        <v>2470</v>
      </c>
      <c r="H2564" s="8">
        <f t="shared" si="2726"/>
        <v>25000</v>
      </c>
      <c r="I2564" s="30">
        <f t="shared" si="2727"/>
        <v>8000</v>
      </c>
      <c r="J2564" s="187">
        <v>40000</v>
      </c>
      <c r="K2564" s="30">
        <f t="shared" si="2728"/>
        <v>8000</v>
      </c>
      <c r="L2564" s="187">
        <v>40000</v>
      </c>
      <c r="M2564" s="110">
        <v>9.5</v>
      </c>
      <c r="N2564" s="9">
        <f>VLOOKUP(DATE(YEAR(A2564),MONTH(A2564),DAY(A2564)),FY24_Temp[],3,FALSE)</f>
        <v>17.25</v>
      </c>
      <c r="O2564" s="110">
        <f t="shared" ref="O2564:O2627" si="2786">15.5-4</f>
        <v>11.5</v>
      </c>
      <c r="P2564" s="110">
        <f t="shared" ref="P2564:P2627" si="2787">15.5+4</f>
        <v>19.5</v>
      </c>
      <c r="Q2564" s="79">
        <f>VLOOKUP(VLOOKUP(DATEVALUE(TEXT(A2564,"m/d/yyyy")),FY24_Temp[],5,FALSE)&amp;TEXT(A2564,"-h"),TempDelta[],4,FALSE)</f>
        <v>0.51750000034059795</v>
      </c>
      <c r="R2564">
        <v>10</v>
      </c>
      <c r="S2564" s="112">
        <v>1500</v>
      </c>
      <c r="T2564" s="5">
        <f>VLOOKUP(TEXT(A2564,"yy-mm")&amp;"-"&amp;IF(AND(WEEKDAY(A2564)&gt;1,WEEKDAY(A2564)&lt;7),"Wkd",TEXT(A2564,"Ddd"))&amp;"-"&amp;TEXT(A2564,"hh"),LoadTable[],3,FALSE)*0.92</f>
        <v>234.80148</v>
      </c>
      <c r="U2564" s="113">
        <f t="shared" ref="U2564:U2627" si="2788">T2564/10</f>
        <v>23.480148</v>
      </c>
      <c r="V2564">
        <f t="shared" ref="V2564:W2564" si="2789">V2540</f>
        <v>3.6</v>
      </c>
      <c r="W2564">
        <f t="shared" si="2789"/>
        <v>3</v>
      </c>
      <c r="X2564" s="9">
        <v>-75.192931616666797</v>
      </c>
      <c r="Y2564" s="39"/>
    </row>
    <row r="2565" spans="1:25" ht="15" thickBot="1">
      <c r="A2565" s="149">
        <f t="shared" si="2770"/>
        <v>45942.749999995765</v>
      </c>
      <c r="B2565" s="30">
        <f t="shared" si="2725"/>
        <v>5000</v>
      </c>
      <c r="C2565" s="8">
        <v>25000</v>
      </c>
      <c r="D2565" s="187">
        <v>0</v>
      </c>
      <c r="E2565" s="187">
        <v>700</v>
      </c>
      <c r="F2565" s="187">
        <v>15000</v>
      </c>
      <c r="G2565" s="30">
        <f t="shared" si="2726"/>
        <v>2470</v>
      </c>
      <c r="H2565" s="8">
        <f t="shared" si="2726"/>
        <v>25000</v>
      </c>
      <c r="I2565" s="30">
        <f t="shared" si="2727"/>
        <v>5000</v>
      </c>
      <c r="J2565" s="187">
        <v>40000</v>
      </c>
      <c r="K2565" s="30">
        <f t="shared" si="2728"/>
        <v>5000</v>
      </c>
      <c r="L2565" s="187">
        <v>40000</v>
      </c>
      <c r="M2565" s="110">
        <v>9.5</v>
      </c>
      <c r="N2565" s="9">
        <f>VLOOKUP(DATE(YEAR(A2565),MONTH(A2565),DAY(A2565)),FY24_Temp[],3,FALSE)</f>
        <v>17.25</v>
      </c>
      <c r="O2565" s="110">
        <f t="shared" si="2786"/>
        <v>11.5</v>
      </c>
      <c r="P2565" s="110">
        <f t="shared" si="2787"/>
        <v>19.5</v>
      </c>
      <c r="Q2565" s="79">
        <f>VLOOKUP(VLOOKUP(DATEVALUE(TEXT(A2565,"m/d/yyyy")),FY24_Temp[],5,FALSE)&amp;TEXT(A2565,"-h"),TempDelta[],4,FALSE)</f>
        <v>0.66500000017029903</v>
      </c>
      <c r="R2565">
        <v>10</v>
      </c>
      <c r="S2565" s="112">
        <v>1500</v>
      </c>
      <c r="T2565" s="5">
        <f>VLOOKUP(TEXT(A2565,"yy-mm")&amp;"-"&amp;IF(AND(WEEKDAY(A2565)&gt;1,WEEKDAY(A2565)&lt;7),"Wkd",TEXT(A2565,"Ddd"))&amp;"-"&amp;TEXT(A2565,"hh"),LoadTable[],3,FALSE)*0.92</f>
        <v>303.31295999999998</v>
      </c>
      <c r="U2565" s="113">
        <f t="shared" si="2788"/>
        <v>30.331295999999998</v>
      </c>
      <c r="V2565">
        <f t="shared" ref="V2565:W2565" si="2790">V2541</f>
        <v>2.9</v>
      </c>
      <c r="W2565">
        <f t="shared" si="2790"/>
        <v>3</v>
      </c>
      <c r="X2565" s="9">
        <v>-75.270726166666805</v>
      </c>
      <c r="Y2565" s="39"/>
    </row>
    <row r="2566" spans="1:25" ht="15" thickBot="1">
      <c r="A2566" s="149">
        <f t="shared" si="2770"/>
        <v>45942.79166666243</v>
      </c>
      <c r="B2566" s="30">
        <f t="shared" si="2725"/>
        <v>5000</v>
      </c>
      <c r="C2566" s="8">
        <v>25000</v>
      </c>
      <c r="D2566" s="187">
        <v>0</v>
      </c>
      <c r="E2566" s="187">
        <v>700</v>
      </c>
      <c r="F2566" s="187">
        <v>15000</v>
      </c>
      <c r="G2566" s="30">
        <f t="shared" si="2726"/>
        <v>2470</v>
      </c>
      <c r="H2566" s="8">
        <f t="shared" si="2726"/>
        <v>25000</v>
      </c>
      <c r="I2566" s="30">
        <f t="shared" si="2727"/>
        <v>5000</v>
      </c>
      <c r="J2566" s="187">
        <v>40000</v>
      </c>
      <c r="K2566" s="30">
        <f t="shared" si="2728"/>
        <v>5000</v>
      </c>
      <c r="L2566" s="187">
        <v>40000</v>
      </c>
      <c r="M2566" s="110">
        <v>9.5</v>
      </c>
      <c r="N2566" s="9">
        <f>VLOOKUP(DATE(YEAR(A2566),MONTH(A2566),DAY(A2566)),FY24_Temp[],3,FALSE)</f>
        <v>17.25</v>
      </c>
      <c r="O2566" s="110">
        <f t="shared" si="2786"/>
        <v>11.5</v>
      </c>
      <c r="P2566" s="110">
        <f t="shared" si="2787"/>
        <v>19.5</v>
      </c>
      <c r="Q2566" s="79">
        <f>VLOOKUP(VLOOKUP(DATEVALUE(TEXT(A2566,"m/d/yyyy")),FY24_Temp[],5,FALSE)&amp;TEXT(A2566,"-h"),TempDelta[],4,FALSE)</f>
        <v>0.66292857485158108</v>
      </c>
      <c r="R2566">
        <v>10</v>
      </c>
      <c r="S2566" s="112">
        <v>1500</v>
      </c>
      <c r="T2566" s="5">
        <f>VLOOKUP(TEXT(A2566,"yy-mm")&amp;"-"&amp;IF(AND(WEEKDAY(A2566)&gt;1,WEEKDAY(A2566)&lt;7),"Wkd",TEXT(A2566,"Ddd"))&amp;"-"&amp;TEXT(A2566,"hh"),LoadTable[],3,FALSE)*0.92</f>
        <v>303.31295999999998</v>
      </c>
      <c r="U2566" s="113">
        <f t="shared" si="2788"/>
        <v>30.331295999999998</v>
      </c>
      <c r="V2566">
        <f t="shared" ref="V2566:W2566" si="2791">V2542</f>
        <v>3</v>
      </c>
      <c r="W2566">
        <f t="shared" si="2791"/>
        <v>3</v>
      </c>
      <c r="X2566" s="9">
        <v>-75.348520716666798</v>
      </c>
      <c r="Y2566" s="39"/>
    </row>
    <row r="2567" spans="1:25" ht="15" thickBot="1">
      <c r="A2567" s="149">
        <f t="shared" si="2770"/>
        <v>45942.833333329094</v>
      </c>
      <c r="B2567" s="30">
        <f t="shared" si="2725"/>
        <v>5000</v>
      </c>
      <c r="C2567" s="8">
        <v>25000</v>
      </c>
      <c r="D2567" s="187">
        <v>0</v>
      </c>
      <c r="E2567" s="187">
        <v>700</v>
      </c>
      <c r="F2567" s="187">
        <v>15000</v>
      </c>
      <c r="G2567" s="30">
        <f t="shared" si="2726"/>
        <v>2470</v>
      </c>
      <c r="H2567" s="8">
        <f t="shared" si="2726"/>
        <v>25000</v>
      </c>
      <c r="I2567" s="30">
        <f t="shared" si="2727"/>
        <v>5000</v>
      </c>
      <c r="J2567" s="187">
        <v>40000</v>
      </c>
      <c r="K2567" s="30">
        <f t="shared" si="2728"/>
        <v>5000</v>
      </c>
      <c r="L2567" s="187">
        <v>40000</v>
      </c>
      <c r="M2567" s="110">
        <v>9.5</v>
      </c>
      <c r="N2567" s="9">
        <f>VLOOKUP(DATE(YEAR(A2567),MONTH(A2567),DAY(A2567)),FY24_Temp[],3,FALSE)</f>
        <v>17.25</v>
      </c>
      <c r="O2567" s="110">
        <f t="shared" si="2786"/>
        <v>11.5</v>
      </c>
      <c r="P2567" s="110">
        <f t="shared" si="2787"/>
        <v>19.5</v>
      </c>
      <c r="Q2567" s="79">
        <f>VLOOKUP(VLOOKUP(DATEVALUE(TEXT(A2567,"m/d/yyyy")),FY24_Temp[],5,FALSE)&amp;TEXT(A2567,"-h"),TempDelta[],4,FALSE)</f>
        <v>0.6834285663706916</v>
      </c>
      <c r="R2567">
        <v>10</v>
      </c>
      <c r="S2567" s="112">
        <v>1500</v>
      </c>
      <c r="T2567" s="5">
        <f>VLOOKUP(TEXT(A2567,"yy-mm")&amp;"-"&amp;IF(AND(WEEKDAY(A2567)&gt;1,WEEKDAY(A2567)&lt;7),"Wkd",TEXT(A2567,"Ddd"))&amp;"-"&amp;TEXT(A2567,"hh"),LoadTable[],3,FALSE)*0.92</f>
        <v>303.31295999999998</v>
      </c>
      <c r="U2567" s="113">
        <f t="shared" si="2788"/>
        <v>30.331295999999998</v>
      </c>
      <c r="V2567">
        <f t="shared" ref="V2567:W2567" si="2792">V2543</f>
        <v>2.8</v>
      </c>
      <c r="W2567">
        <f t="shared" si="2792"/>
        <v>3.1</v>
      </c>
      <c r="X2567" s="9">
        <v>-75.426315266666805</v>
      </c>
      <c r="Y2567" s="39"/>
    </row>
    <row r="2568" spans="1:25" ht="15" thickBot="1">
      <c r="A2568" s="149">
        <f t="shared" si="2770"/>
        <v>45942.874999995758</v>
      </c>
      <c r="B2568" s="30">
        <f t="shared" si="2725"/>
        <v>5000</v>
      </c>
      <c r="C2568" s="8">
        <v>25000</v>
      </c>
      <c r="D2568" s="187">
        <v>0</v>
      </c>
      <c r="E2568" s="187">
        <v>700</v>
      </c>
      <c r="F2568" s="187">
        <v>15000</v>
      </c>
      <c r="G2568" s="30">
        <f t="shared" si="2726"/>
        <v>2470</v>
      </c>
      <c r="H2568" s="8">
        <f t="shared" si="2726"/>
        <v>25000</v>
      </c>
      <c r="I2568" s="30">
        <f t="shared" si="2727"/>
        <v>5000</v>
      </c>
      <c r="J2568" s="187">
        <v>40000</v>
      </c>
      <c r="K2568" s="30">
        <f t="shared" si="2728"/>
        <v>5000</v>
      </c>
      <c r="L2568" s="187">
        <v>40000</v>
      </c>
      <c r="M2568" s="110">
        <v>9.5</v>
      </c>
      <c r="N2568" s="9">
        <f>VLOOKUP(DATE(YEAR(A2568),MONTH(A2568),DAY(A2568)),FY24_Temp[],3,FALSE)</f>
        <v>17.25</v>
      </c>
      <c r="O2568" s="110">
        <f t="shared" si="2786"/>
        <v>11.5</v>
      </c>
      <c r="P2568" s="110">
        <f t="shared" si="2787"/>
        <v>19.5</v>
      </c>
      <c r="Q2568" s="79">
        <f>VLOOKUP(VLOOKUP(DATEVALUE(TEXT(A2568,"m/d/yyyy")),FY24_Temp[],5,FALSE)&amp;TEXT(A2568,"-h"),TempDelta[],4,FALSE)</f>
        <v>0.67971429228782654</v>
      </c>
      <c r="R2568">
        <v>10</v>
      </c>
      <c r="S2568" s="112">
        <v>1500</v>
      </c>
      <c r="T2568" s="5">
        <f>VLOOKUP(TEXT(A2568,"yy-mm")&amp;"-"&amp;IF(AND(WEEKDAY(A2568)&gt;1,WEEKDAY(A2568)&lt;7),"Wkd",TEXT(A2568,"Ddd"))&amp;"-"&amp;TEXT(A2568,"hh"),LoadTable[],3,FALSE)*0.92</f>
        <v>229.93744000000001</v>
      </c>
      <c r="U2568" s="113">
        <f t="shared" si="2788"/>
        <v>22.993744</v>
      </c>
      <c r="V2568">
        <f t="shared" ref="V2568:W2568" si="2793">V2544</f>
        <v>3.5</v>
      </c>
      <c r="W2568">
        <f t="shared" si="2793"/>
        <v>3.1</v>
      </c>
      <c r="X2568" s="9">
        <v>-75.504109816666897</v>
      </c>
      <c r="Y2568" s="39"/>
    </row>
    <row r="2569" spans="1:25" ht="15" thickBot="1">
      <c r="A2569" s="149">
        <f t="shared" si="2770"/>
        <v>45942.916666662422</v>
      </c>
      <c r="B2569" s="30">
        <f t="shared" si="2725"/>
        <v>5000</v>
      </c>
      <c r="C2569" s="8">
        <v>25000</v>
      </c>
      <c r="D2569" s="187">
        <v>0</v>
      </c>
      <c r="E2569" s="187">
        <v>700</v>
      </c>
      <c r="F2569" s="187">
        <v>15000</v>
      </c>
      <c r="G2569" s="30">
        <f t="shared" si="2726"/>
        <v>2470</v>
      </c>
      <c r="H2569" s="8">
        <f t="shared" si="2726"/>
        <v>25000</v>
      </c>
      <c r="I2569" s="30">
        <f t="shared" si="2727"/>
        <v>5000</v>
      </c>
      <c r="J2569" s="187">
        <v>40000</v>
      </c>
      <c r="K2569" s="30">
        <f t="shared" si="2728"/>
        <v>5000</v>
      </c>
      <c r="L2569" s="187">
        <v>40000</v>
      </c>
      <c r="M2569" s="110">
        <v>9.5</v>
      </c>
      <c r="N2569" s="9">
        <f>VLOOKUP(DATE(YEAR(A2569),MONTH(A2569),DAY(A2569)),FY24_Temp[],3,FALSE)</f>
        <v>17.25</v>
      </c>
      <c r="O2569" s="110">
        <f t="shared" si="2786"/>
        <v>11.5</v>
      </c>
      <c r="P2569" s="110">
        <f t="shared" si="2787"/>
        <v>19.5</v>
      </c>
      <c r="Q2569" s="79">
        <f>VLOOKUP(VLOOKUP(DATEVALUE(TEXT(A2569,"m/d/yyyy")),FY24_Temp[],5,FALSE)&amp;TEXT(A2569,"-h"),TempDelta[],4,FALSE)</f>
        <v>0.9049999969346183</v>
      </c>
      <c r="R2569">
        <v>10</v>
      </c>
      <c r="S2569" s="112">
        <v>1500</v>
      </c>
      <c r="T2569" s="5">
        <f>VLOOKUP(TEXT(A2569,"yy-mm")&amp;"-"&amp;IF(AND(WEEKDAY(A2569)&gt;1,WEEKDAY(A2569)&lt;7),"Wkd",TEXT(A2569,"Ddd"))&amp;"-"&amp;TEXT(A2569,"hh"),LoadTable[],3,FALSE)*0.92</f>
        <v>176.52040000000002</v>
      </c>
      <c r="U2569" s="113">
        <f t="shared" si="2788"/>
        <v>17.652040000000003</v>
      </c>
      <c r="V2569">
        <f t="shared" ref="V2569:W2569" si="2794">V2545</f>
        <v>2.9</v>
      </c>
      <c r="W2569">
        <f t="shared" si="2794"/>
        <v>3.1</v>
      </c>
      <c r="X2569" s="9">
        <v>-75.581904366666905</v>
      </c>
      <c r="Y2569" s="39"/>
    </row>
    <row r="2570" spans="1:25" ht="15" thickBot="1">
      <c r="A2570" s="149">
        <f t="shared" si="2770"/>
        <v>45942.958333329087</v>
      </c>
      <c r="B2570" s="30">
        <f t="shared" si="2725"/>
        <v>5000</v>
      </c>
      <c r="C2570" s="8">
        <v>25000</v>
      </c>
      <c r="D2570" s="187">
        <v>0</v>
      </c>
      <c r="E2570" s="187">
        <v>700</v>
      </c>
      <c r="F2570" s="187">
        <v>15000</v>
      </c>
      <c r="G2570" s="30">
        <f t="shared" si="2726"/>
        <v>2470</v>
      </c>
      <c r="H2570" s="8">
        <f t="shared" si="2726"/>
        <v>25000</v>
      </c>
      <c r="I2570" s="30">
        <f t="shared" si="2727"/>
        <v>5000</v>
      </c>
      <c r="J2570" s="187">
        <v>40000</v>
      </c>
      <c r="K2570" s="30">
        <f t="shared" si="2728"/>
        <v>5000</v>
      </c>
      <c r="L2570" s="187">
        <v>40000</v>
      </c>
      <c r="M2570" s="110">
        <v>9.5</v>
      </c>
      <c r="N2570" s="9">
        <f>VLOOKUP(DATE(YEAR(A2570),MONTH(A2570),DAY(A2570)),FY24_Temp[],3,FALSE)</f>
        <v>17.25</v>
      </c>
      <c r="O2570" s="110">
        <f t="shared" si="2786"/>
        <v>11.5</v>
      </c>
      <c r="P2570" s="110">
        <f t="shared" si="2787"/>
        <v>19.5</v>
      </c>
      <c r="Q2570" s="79">
        <f>VLOOKUP(VLOOKUP(DATEVALUE(TEXT(A2570,"m/d/yyyy")),FY24_Temp[],5,FALSE)&amp;TEXT(A2570,"-h"),TempDelta[],4,FALSE)</f>
        <v>1.027285703590938</v>
      </c>
      <c r="R2570">
        <v>10</v>
      </c>
      <c r="S2570" s="112">
        <v>1500</v>
      </c>
      <c r="T2570" s="5">
        <f>VLOOKUP(TEXT(A2570,"yy-mm")&amp;"-"&amp;IF(AND(WEEKDAY(A2570)&gt;1,WEEKDAY(A2570)&lt;7),"Wkd",TEXT(A2570,"Ddd"))&amp;"-"&amp;TEXT(A2570,"hh"),LoadTable[],3,FALSE)*0.92</f>
        <v>176.52040000000002</v>
      </c>
      <c r="U2570" s="113">
        <f t="shared" si="2788"/>
        <v>17.652040000000003</v>
      </c>
      <c r="V2570">
        <f t="shared" ref="V2570:W2570" si="2795">V2546</f>
        <v>3.6</v>
      </c>
      <c r="W2570">
        <f t="shared" si="2795"/>
        <v>3.1</v>
      </c>
      <c r="X2570" s="9">
        <v>-75.659698916666898</v>
      </c>
      <c r="Y2570" s="39"/>
    </row>
    <row r="2571" spans="1:25" ht="15" thickBot="1">
      <c r="A2571" s="149">
        <f t="shared" si="2770"/>
        <v>45942.999999995751</v>
      </c>
      <c r="B2571" s="30">
        <f t="shared" si="2725"/>
        <v>5000</v>
      </c>
      <c r="C2571" s="8">
        <v>25000</v>
      </c>
      <c r="D2571" s="187">
        <v>0</v>
      </c>
      <c r="E2571" s="187">
        <v>700</v>
      </c>
      <c r="F2571" s="187">
        <v>15000</v>
      </c>
      <c r="G2571" s="30">
        <f t="shared" si="2726"/>
        <v>2470</v>
      </c>
      <c r="H2571" s="8">
        <f t="shared" si="2726"/>
        <v>25000</v>
      </c>
      <c r="I2571" s="30">
        <f t="shared" si="2727"/>
        <v>5000</v>
      </c>
      <c r="J2571" s="187">
        <v>40000</v>
      </c>
      <c r="K2571" s="30">
        <f t="shared" si="2728"/>
        <v>5000</v>
      </c>
      <c r="L2571" s="187">
        <v>40000</v>
      </c>
      <c r="M2571" s="110">
        <v>9.5</v>
      </c>
      <c r="N2571" s="9">
        <f>VLOOKUP(DATE(YEAR(A2571),MONTH(A2571),DAY(A2571)),FY24_Temp[],3,FALSE)</f>
        <v>17.25</v>
      </c>
      <c r="O2571" s="110">
        <f t="shared" si="2786"/>
        <v>11.5</v>
      </c>
      <c r="P2571" s="110">
        <f t="shared" si="2787"/>
        <v>19.5</v>
      </c>
      <c r="Q2571" s="79">
        <f>VLOOKUP(VLOOKUP(DATEVALUE(TEXT(A2571,"m/d/yyyy")),FY24_Temp[],5,FALSE)&amp;TEXT(A2571,"-h"),TempDelta[],4,FALSE)</f>
        <v>1.100857138633728</v>
      </c>
      <c r="R2571">
        <v>10</v>
      </c>
      <c r="S2571" s="112">
        <v>1500</v>
      </c>
      <c r="T2571" s="5">
        <f>VLOOKUP(TEXT(A2571,"yy-mm")&amp;"-"&amp;IF(AND(WEEKDAY(A2571)&gt;1,WEEKDAY(A2571)&lt;7),"Wkd",TEXT(A2571,"Ddd"))&amp;"-"&amp;TEXT(A2571,"hh"),LoadTable[],3,FALSE)*0.92</f>
        <v>209.6772</v>
      </c>
      <c r="U2571" s="113">
        <f t="shared" si="2788"/>
        <v>20.96772</v>
      </c>
      <c r="V2571">
        <f t="shared" ref="V2571:W2571" si="2796">V2547</f>
        <v>3</v>
      </c>
      <c r="W2571">
        <f t="shared" si="2796"/>
        <v>3.2</v>
      </c>
      <c r="X2571" s="9">
        <v>-75.737493466666905</v>
      </c>
      <c r="Y2571" s="39"/>
    </row>
    <row r="2572" spans="1:25" ht="15" thickBot="1">
      <c r="A2572" s="149">
        <f t="shared" si="2770"/>
        <v>45943.041666662415</v>
      </c>
      <c r="B2572" s="30">
        <f t="shared" ref="B2572:B2635" si="2797">B2548</f>
        <v>5000</v>
      </c>
      <c r="C2572" s="8">
        <v>25000</v>
      </c>
      <c r="D2572" s="187">
        <v>0</v>
      </c>
      <c r="E2572" s="187">
        <v>700</v>
      </c>
      <c r="F2572" s="187">
        <v>15000</v>
      </c>
      <c r="G2572" s="30">
        <f t="shared" ref="G2572:H2635" si="2798">G2548</f>
        <v>2470</v>
      </c>
      <c r="H2572" s="8">
        <f t="shared" si="2798"/>
        <v>25000</v>
      </c>
      <c r="I2572" s="30">
        <f t="shared" ref="I2572:I2635" si="2799">I2548</f>
        <v>5000</v>
      </c>
      <c r="J2572" s="187">
        <v>40000</v>
      </c>
      <c r="K2572" s="30">
        <f t="shared" ref="K2572:K2635" si="2800">K2548</f>
        <v>5000</v>
      </c>
      <c r="L2572" s="187">
        <v>40000</v>
      </c>
      <c r="M2572" s="110">
        <v>9.5</v>
      </c>
      <c r="N2572" s="9">
        <f>VLOOKUP(DATE(YEAR(A2572),MONTH(A2572),DAY(A2572)),FY24_Temp[],3,FALSE)</f>
        <v>17.25</v>
      </c>
      <c r="O2572" s="110">
        <f t="shared" si="2786"/>
        <v>11.5</v>
      </c>
      <c r="P2572" s="110">
        <f t="shared" si="2787"/>
        <v>19.5</v>
      </c>
      <c r="Q2572" s="79">
        <f>VLOOKUP(VLOOKUP(DATEVALUE(TEXT(A2572,"m/d/yyyy")),FY24_Temp[],5,FALSE)&amp;TEXT(A2572,"-h"),TempDelta[],4,FALSE)</f>
        <v>1.0574285984039307</v>
      </c>
      <c r="R2572">
        <v>10</v>
      </c>
      <c r="S2572" s="112">
        <v>1500</v>
      </c>
      <c r="T2572" s="5">
        <f>VLOOKUP(TEXT(A2572,"yy-mm")&amp;"-"&amp;IF(AND(WEEKDAY(A2572)&gt;1,WEEKDAY(A2572)&lt;7),"Wkd",TEXT(A2572,"Ddd"))&amp;"-"&amp;TEXT(A2572,"hh"),LoadTable[],3,FALSE)*0.92</f>
        <v>209.6772</v>
      </c>
      <c r="U2572" s="113">
        <f t="shared" si="2788"/>
        <v>20.96772</v>
      </c>
      <c r="V2572">
        <f t="shared" ref="V2572:W2572" si="2801">V2548</f>
        <v>2.6</v>
      </c>
      <c r="W2572">
        <f t="shared" si="2801"/>
        <v>3.2</v>
      </c>
      <c r="X2572" s="9">
        <v>-75.815288016666898</v>
      </c>
      <c r="Y2572" s="39"/>
    </row>
    <row r="2573" spans="1:25" ht="15" thickBot="1">
      <c r="A2573" s="149">
        <f t="shared" si="2770"/>
        <v>45943.083333329079</v>
      </c>
      <c r="B2573" s="30">
        <f t="shared" si="2797"/>
        <v>5000</v>
      </c>
      <c r="C2573" s="8">
        <v>25000</v>
      </c>
      <c r="D2573" s="187">
        <v>0</v>
      </c>
      <c r="E2573" s="187">
        <v>700</v>
      </c>
      <c r="F2573" s="187">
        <v>15000</v>
      </c>
      <c r="G2573" s="30">
        <f t="shared" si="2798"/>
        <v>2470</v>
      </c>
      <c r="H2573" s="8">
        <f t="shared" si="2798"/>
        <v>25000</v>
      </c>
      <c r="I2573" s="30">
        <f t="shared" si="2799"/>
        <v>5000</v>
      </c>
      <c r="J2573" s="187">
        <v>40000</v>
      </c>
      <c r="K2573" s="30">
        <f t="shared" si="2800"/>
        <v>5000</v>
      </c>
      <c r="L2573" s="187">
        <v>40000</v>
      </c>
      <c r="M2573" s="110">
        <v>9.5</v>
      </c>
      <c r="N2573" s="9">
        <f>VLOOKUP(DATE(YEAR(A2573),MONTH(A2573),DAY(A2573)),FY24_Temp[],3,FALSE)</f>
        <v>17.25</v>
      </c>
      <c r="O2573" s="110">
        <f t="shared" si="2786"/>
        <v>11.5</v>
      </c>
      <c r="P2573" s="110">
        <f t="shared" si="2787"/>
        <v>19.5</v>
      </c>
      <c r="Q2573" s="79">
        <f>VLOOKUP(VLOOKUP(DATEVALUE(TEXT(A2573,"m/d/yyyy")),FY24_Temp[],5,FALSE)&amp;TEXT(A2573,"-h"),TempDelta[],4,FALSE)</f>
        <v>0.96828572239194599</v>
      </c>
      <c r="R2573">
        <v>10</v>
      </c>
      <c r="S2573" s="112">
        <v>1500</v>
      </c>
      <c r="T2573" s="5">
        <f>VLOOKUP(TEXT(A2573,"yy-mm")&amp;"-"&amp;IF(AND(WEEKDAY(A2573)&gt;1,WEEKDAY(A2573)&lt;7),"Wkd",TEXT(A2573,"Ddd"))&amp;"-"&amp;TEXT(A2573,"hh"),LoadTable[],3,FALSE)*0.92</f>
        <v>209.6772</v>
      </c>
      <c r="U2573" s="113">
        <f t="shared" si="2788"/>
        <v>20.96772</v>
      </c>
      <c r="V2573">
        <f t="shared" ref="V2573:W2573" si="2802">V2549</f>
        <v>2.8</v>
      </c>
      <c r="W2573">
        <f t="shared" si="2802"/>
        <v>3.2</v>
      </c>
      <c r="X2573" s="9">
        <v>-75.893082566666905</v>
      </c>
      <c r="Y2573" s="39"/>
    </row>
    <row r="2574" spans="1:25" ht="15" thickBot="1">
      <c r="A2574" s="149">
        <f t="shared" si="2770"/>
        <v>45943.124999995744</v>
      </c>
      <c r="B2574" s="30">
        <f t="shared" si="2797"/>
        <v>5000</v>
      </c>
      <c r="C2574" s="8">
        <v>25000</v>
      </c>
      <c r="D2574" s="187">
        <v>0</v>
      </c>
      <c r="E2574" s="187">
        <v>700</v>
      </c>
      <c r="F2574" s="187">
        <v>15000</v>
      </c>
      <c r="G2574" s="30">
        <f t="shared" si="2798"/>
        <v>2470</v>
      </c>
      <c r="H2574" s="8">
        <f t="shared" si="2798"/>
        <v>25000</v>
      </c>
      <c r="I2574" s="30">
        <f t="shared" si="2799"/>
        <v>5000</v>
      </c>
      <c r="J2574" s="187">
        <v>40000</v>
      </c>
      <c r="K2574" s="30">
        <f t="shared" si="2800"/>
        <v>5000</v>
      </c>
      <c r="L2574" s="187">
        <v>40000</v>
      </c>
      <c r="M2574" s="110">
        <v>9.5</v>
      </c>
      <c r="N2574" s="9">
        <f>VLOOKUP(DATE(YEAR(A2574),MONTH(A2574),DAY(A2574)),FY24_Temp[],3,FALSE)</f>
        <v>17.25</v>
      </c>
      <c r="O2574" s="110">
        <f t="shared" si="2786"/>
        <v>11.5</v>
      </c>
      <c r="P2574" s="110">
        <f t="shared" si="2787"/>
        <v>19.5</v>
      </c>
      <c r="Q2574" s="79">
        <f>VLOOKUP(VLOOKUP(DATEVALUE(TEXT(A2574,"m/d/yyyy")),FY24_Temp[],5,FALSE)&amp;TEXT(A2574,"-h"),TempDelta[],4,FALSE)</f>
        <v>0.8611428397042411</v>
      </c>
      <c r="R2574">
        <v>10</v>
      </c>
      <c r="S2574" s="112">
        <v>1500</v>
      </c>
      <c r="T2574" s="5">
        <f>VLOOKUP(TEXT(A2574,"yy-mm")&amp;"-"&amp;IF(AND(WEEKDAY(A2574)&gt;1,WEEKDAY(A2574)&lt;7),"Wkd",TEXT(A2574,"Ddd"))&amp;"-"&amp;TEXT(A2574,"hh"),LoadTable[],3,FALSE)*0.92</f>
        <v>209.6772</v>
      </c>
      <c r="U2574" s="113">
        <f t="shared" si="2788"/>
        <v>20.96772</v>
      </c>
      <c r="V2574">
        <f t="shared" ref="V2574:W2574" si="2803">V2550</f>
        <v>2.7</v>
      </c>
      <c r="W2574">
        <f t="shared" si="2803"/>
        <v>3.2</v>
      </c>
      <c r="X2574" s="9">
        <v>-75.970877116666898</v>
      </c>
      <c r="Y2574" s="39"/>
    </row>
    <row r="2575" spans="1:25" ht="15" thickBot="1">
      <c r="A2575" s="149">
        <f t="shared" si="2770"/>
        <v>45943.166666662408</v>
      </c>
      <c r="B2575" s="30">
        <f t="shared" si="2797"/>
        <v>5000</v>
      </c>
      <c r="C2575" s="8">
        <v>25000</v>
      </c>
      <c r="D2575" s="187">
        <v>0</v>
      </c>
      <c r="E2575" s="187">
        <v>700</v>
      </c>
      <c r="F2575" s="187">
        <v>15000</v>
      </c>
      <c r="G2575" s="30">
        <f t="shared" si="2798"/>
        <v>2470</v>
      </c>
      <c r="H2575" s="8">
        <f t="shared" si="2798"/>
        <v>25000</v>
      </c>
      <c r="I2575" s="30">
        <f t="shared" si="2799"/>
        <v>5000</v>
      </c>
      <c r="J2575" s="187">
        <v>40000</v>
      </c>
      <c r="K2575" s="30">
        <f t="shared" si="2800"/>
        <v>5000</v>
      </c>
      <c r="L2575" s="187">
        <v>40000</v>
      </c>
      <c r="M2575" s="110">
        <v>9.5</v>
      </c>
      <c r="N2575" s="9">
        <f>VLOOKUP(DATE(YEAR(A2575),MONTH(A2575),DAY(A2575)),FY24_Temp[],3,FALSE)</f>
        <v>17.25</v>
      </c>
      <c r="O2575" s="110">
        <f t="shared" si="2786"/>
        <v>11.5</v>
      </c>
      <c r="P2575" s="110">
        <f t="shared" si="2787"/>
        <v>19.5</v>
      </c>
      <c r="Q2575" s="79">
        <f>VLOOKUP(VLOOKUP(DATEVALUE(TEXT(A2575,"m/d/yyyy")),FY24_Temp[],5,FALSE)&amp;TEXT(A2575,"-h"),TempDelta[],4,FALSE)</f>
        <v>0.76914285761969425</v>
      </c>
      <c r="R2575">
        <v>10</v>
      </c>
      <c r="S2575" s="112">
        <v>1500</v>
      </c>
      <c r="T2575" s="5">
        <f>VLOOKUP(TEXT(A2575,"yy-mm")&amp;"-"&amp;IF(AND(WEEKDAY(A2575)&gt;1,WEEKDAY(A2575)&lt;7),"Wkd",TEXT(A2575,"Ddd"))&amp;"-"&amp;TEXT(A2575,"hh"),LoadTable[],3,FALSE)*0.92</f>
        <v>209.6772</v>
      </c>
      <c r="U2575" s="113">
        <f t="shared" si="2788"/>
        <v>20.96772</v>
      </c>
      <c r="V2575">
        <f t="shared" ref="V2575:W2575" si="2804">V2551</f>
        <v>3</v>
      </c>
      <c r="W2575">
        <f t="shared" si="2804"/>
        <v>3.1</v>
      </c>
      <c r="X2575" s="9">
        <v>-76.048671666666905</v>
      </c>
      <c r="Y2575" s="39"/>
    </row>
    <row r="2576" spans="1:25" ht="15" thickBot="1">
      <c r="A2576" s="149">
        <f t="shared" si="2770"/>
        <v>45943.208333329072</v>
      </c>
      <c r="B2576" s="30">
        <f t="shared" si="2797"/>
        <v>5000</v>
      </c>
      <c r="C2576" s="8">
        <v>25000</v>
      </c>
      <c r="D2576" s="187">
        <v>0</v>
      </c>
      <c r="E2576" s="187">
        <v>700</v>
      </c>
      <c r="F2576" s="187">
        <v>15000</v>
      </c>
      <c r="G2576" s="30">
        <f t="shared" si="2798"/>
        <v>2470</v>
      </c>
      <c r="H2576" s="8">
        <f t="shared" si="2798"/>
        <v>25000</v>
      </c>
      <c r="I2576" s="30">
        <f t="shared" si="2799"/>
        <v>5000</v>
      </c>
      <c r="J2576" s="187">
        <v>40000</v>
      </c>
      <c r="K2576" s="30">
        <f t="shared" si="2800"/>
        <v>5000</v>
      </c>
      <c r="L2576" s="187">
        <v>40000</v>
      </c>
      <c r="M2576" s="110">
        <v>9.5</v>
      </c>
      <c r="N2576" s="9">
        <f>VLOOKUP(DATE(YEAR(A2576),MONTH(A2576),DAY(A2576)),FY24_Temp[],3,FALSE)</f>
        <v>17.25</v>
      </c>
      <c r="O2576" s="110">
        <f t="shared" si="2786"/>
        <v>11.5</v>
      </c>
      <c r="P2576" s="110">
        <f t="shared" si="2787"/>
        <v>19.5</v>
      </c>
      <c r="Q2576" s="79">
        <f>VLOOKUP(VLOOKUP(DATEVALUE(TEXT(A2576,"m/d/yyyy")),FY24_Temp[],5,FALSE)&amp;TEXT(A2576,"-h"),TempDelta[],4,FALSE)</f>
        <v>0.79885715246200562</v>
      </c>
      <c r="R2576">
        <v>10</v>
      </c>
      <c r="S2576" s="112">
        <v>1500</v>
      </c>
      <c r="T2576" s="5">
        <f>VLOOKUP(TEXT(A2576,"yy-mm")&amp;"-"&amp;IF(AND(WEEKDAY(A2576)&gt;1,WEEKDAY(A2576)&lt;7),"Wkd",TEXT(A2576,"Ddd"))&amp;"-"&amp;TEXT(A2576,"hh"),LoadTable[],3,FALSE)*0.92</f>
        <v>209.6772</v>
      </c>
      <c r="U2576" s="113">
        <f t="shared" si="2788"/>
        <v>20.96772</v>
      </c>
      <c r="V2576">
        <f t="shared" ref="V2576:W2576" si="2805">V2552</f>
        <v>2.9</v>
      </c>
      <c r="W2576">
        <f t="shared" si="2805"/>
        <v>3.1</v>
      </c>
      <c r="X2576" s="9">
        <v>-76.126466216666898</v>
      </c>
      <c r="Y2576" s="39"/>
    </row>
    <row r="2577" spans="1:25" ht="15" thickBot="1">
      <c r="A2577" s="149">
        <f t="shared" si="2770"/>
        <v>45943.249999995736</v>
      </c>
      <c r="B2577" s="30">
        <f t="shared" si="2797"/>
        <v>8000</v>
      </c>
      <c r="C2577" s="8">
        <v>25000</v>
      </c>
      <c r="D2577" s="187">
        <v>0</v>
      </c>
      <c r="E2577" s="187">
        <v>700</v>
      </c>
      <c r="F2577" s="187">
        <v>15000</v>
      </c>
      <c r="G2577" s="30">
        <f t="shared" si="2798"/>
        <v>2470</v>
      </c>
      <c r="H2577" s="8">
        <f t="shared" si="2798"/>
        <v>25000</v>
      </c>
      <c r="I2577" s="30">
        <f t="shared" si="2799"/>
        <v>8000</v>
      </c>
      <c r="J2577" s="187">
        <v>40000</v>
      </c>
      <c r="K2577" s="30">
        <f t="shared" si="2800"/>
        <v>8000</v>
      </c>
      <c r="L2577" s="187">
        <v>40000</v>
      </c>
      <c r="M2577" s="110">
        <v>9.5</v>
      </c>
      <c r="N2577" s="9">
        <f>VLOOKUP(DATE(YEAR(A2577),MONTH(A2577),DAY(A2577)),FY24_Temp[],3,FALSE)</f>
        <v>17.25</v>
      </c>
      <c r="O2577" s="110">
        <f t="shared" si="2786"/>
        <v>11.5</v>
      </c>
      <c r="P2577" s="110">
        <f t="shared" si="2787"/>
        <v>19.5</v>
      </c>
      <c r="Q2577" s="79">
        <f>VLOOKUP(VLOOKUP(DATEVALUE(TEXT(A2577,"m/d/yyyy")),FY24_Temp[],5,FALSE)&amp;TEXT(A2577,"-h"),TempDelta[],4,FALSE)</f>
        <v>0.64628570420401432</v>
      </c>
      <c r="R2577">
        <v>10</v>
      </c>
      <c r="S2577" s="112">
        <v>1500</v>
      </c>
      <c r="T2577" s="5">
        <f>VLOOKUP(TEXT(A2577,"yy-mm")&amp;"-"&amp;IF(AND(WEEKDAY(A2577)&gt;1,WEEKDAY(A2577)&lt;7),"Wkd",TEXT(A2577,"Ddd"))&amp;"-"&amp;TEXT(A2577,"hh"),LoadTable[],3,FALSE)*0.92</f>
        <v>209.6772</v>
      </c>
      <c r="U2577" s="113">
        <f t="shared" si="2788"/>
        <v>20.96772</v>
      </c>
      <c r="V2577">
        <f t="shared" ref="V2577:W2577" si="2806">V2553</f>
        <v>2.5</v>
      </c>
      <c r="W2577">
        <f t="shared" si="2806"/>
        <v>3.1</v>
      </c>
      <c r="X2577" s="9">
        <v>-76.204260766666906</v>
      </c>
      <c r="Y2577" s="39"/>
    </row>
    <row r="2578" spans="1:25" ht="15" thickBot="1">
      <c r="A2578" s="149">
        <f t="shared" si="2770"/>
        <v>45943.291666662401</v>
      </c>
      <c r="B2578" s="30">
        <f t="shared" si="2797"/>
        <v>8000</v>
      </c>
      <c r="C2578" s="8">
        <v>25000</v>
      </c>
      <c r="D2578" s="187">
        <v>0</v>
      </c>
      <c r="E2578" s="187">
        <v>700</v>
      </c>
      <c r="F2578" s="187">
        <v>15000</v>
      </c>
      <c r="G2578" s="30">
        <f t="shared" si="2798"/>
        <v>2470</v>
      </c>
      <c r="H2578" s="8">
        <f t="shared" si="2798"/>
        <v>25000</v>
      </c>
      <c r="I2578" s="30">
        <f t="shared" si="2799"/>
        <v>8000</v>
      </c>
      <c r="J2578" s="187">
        <v>40000</v>
      </c>
      <c r="K2578" s="30">
        <f t="shared" si="2800"/>
        <v>8000</v>
      </c>
      <c r="L2578" s="187">
        <v>40000</v>
      </c>
      <c r="M2578" s="110">
        <v>9.5</v>
      </c>
      <c r="N2578" s="9">
        <f>VLOOKUP(DATE(YEAR(A2578),MONTH(A2578),DAY(A2578)),FY24_Temp[],3,FALSE)</f>
        <v>17.25</v>
      </c>
      <c r="O2578" s="110">
        <f t="shared" si="2786"/>
        <v>11.5</v>
      </c>
      <c r="P2578" s="110">
        <f t="shared" si="2787"/>
        <v>19.5</v>
      </c>
      <c r="Q2578" s="79">
        <f>VLOOKUP(VLOOKUP(DATEVALUE(TEXT(A2578,"m/d/yyyy")),FY24_Temp[],5,FALSE)&amp;TEXT(A2578,"-h"),TempDelta[],4,FALSE)</f>
        <v>0.46642856938498362</v>
      </c>
      <c r="R2578">
        <v>10</v>
      </c>
      <c r="S2578" s="112">
        <v>1500</v>
      </c>
      <c r="T2578" s="5">
        <f>VLOOKUP(TEXT(A2578,"yy-mm")&amp;"-"&amp;IF(AND(WEEKDAY(A2578)&gt;1,WEEKDAY(A2578)&lt;7),"Wkd",TEXT(A2578,"Ddd"))&amp;"-"&amp;TEXT(A2578,"hh"),LoadTable[],3,FALSE)*0.92</f>
        <v>234.80148</v>
      </c>
      <c r="U2578" s="113">
        <f t="shared" si="2788"/>
        <v>23.480148</v>
      </c>
      <c r="V2578">
        <f t="shared" ref="V2578:W2578" si="2807">V2554</f>
        <v>2.5</v>
      </c>
      <c r="W2578">
        <f t="shared" si="2807"/>
        <v>3.1</v>
      </c>
      <c r="X2578" s="9">
        <v>-76.282055316666899</v>
      </c>
      <c r="Y2578" s="39"/>
    </row>
    <row r="2579" spans="1:25" ht="15" thickBot="1">
      <c r="A2579" s="149">
        <f t="shared" si="2770"/>
        <v>45943.333333329065</v>
      </c>
      <c r="B2579" s="30">
        <f t="shared" si="2797"/>
        <v>8000</v>
      </c>
      <c r="C2579" s="8">
        <v>25000</v>
      </c>
      <c r="D2579" s="187">
        <v>0</v>
      </c>
      <c r="E2579" s="187">
        <v>700</v>
      </c>
      <c r="F2579" s="187">
        <v>15000</v>
      </c>
      <c r="G2579" s="30">
        <f t="shared" si="2798"/>
        <v>2470</v>
      </c>
      <c r="H2579" s="8">
        <f t="shared" si="2798"/>
        <v>25000</v>
      </c>
      <c r="I2579" s="30">
        <f t="shared" si="2799"/>
        <v>8000</v>
      </c>
      <c r="J2579" s="187">
        <v>40000</v>
      </c>
      <c r="K2579" s="30">
        <f t="shared" si="2800"/>
        <v>8000</v>
      </c>
      <c r="L2579" s="187">
        <v>40000</v>
      </c>
      <c r="M2579" s="110">
        <v>9.5</v>
      </c>
      <c r="N2579" s="9">
        <f>VLOOKUP(DATE(YEAR(A2579),MONTH(A2579),DAY(A2579)),FY24_Temp[],3,FALSE)</f>
        <v>17.25</v>
      </c>
      <c r="O2579" s="110">
        <f t="shared" si="2786"/>
        <v>11.5</v>
      </c>
      <c r="P2579" s="110">
        <f t="shared" si="2787"/>
        <v>19.5</v>
      </c>
      <c r="Q2579" s="79">
        <f>VLOOKUP(VLOOKUP(DATEVALUE(TEXT(A2579,"m/d/yyyy")),FY24_Temp[],5,FALSE)&amp;TEXT(A2579,"-h"),TempDelta[],4,FALSE)</f>
        <v>0.36357143095561434</v>
      </c>
      <c r="R2579">
        <v>10</v>
      </c>
      <c r="S2579" s="112">
        <v>1500</v>
      </c>
      <c r="T2579" s="5">
        <f>VLOOKUP(TEXT(A2579,"yy-mm")&amp;"-"&amp;IF(AND(WEEKDAY(A2579)&gt;1,WEEKDAY(A2579)&lt;7),"Wkd",TEXT(A2579,"Ddd"))&amp;"-"&amp;TEXT(A2579,"hh"),LoadTable[],3,FALSE)*0.92</f>
        <v>234.80148</v>
      </c>
      <c r="U2579" s="113">
        <f t="shared" si="2788"/>
        <v>23.480148</v>
      </c>
      <c r="V2579">
        <f t="shared" ref="V2579:W2579" si="2808">V2555</f>
        <v>3.2</v>
      </c>
      <c r="W2579">
        <f t="shared" si="2808"/>
        <v>3</v>
      </c>
      <c r="X2579" s="9">
        <v>-76.359849866666906</v>
      </c>
      <c r="Y2579" s="39"/>
    </row>
    <row r="2580" spans="1:25" ht="15" thickBot="1">
      <c r="A2580" s="149">
        <f t="shared" si="2770"/>
        <v>45943.374999995729</v>
      </c>
      <c r="B2580" s="30">
        <f t="shared" si="2797"/>
        <v>8000</v>
      </c>
      <c r="C2580" s="8">
        <v>25000</v>
      </c>
      <c r="D2580" s="187">
        <v>0</v>
      </c>
      <c r="E2580" s="187">
        <v>700</v>
      </c>
      <c r="F2580" s="187">
        <v>15000</v>
      </c>
      <c r="G2580" s="30">
        <f t="shared" si="2798"/>
        <v>2470</v>
      </c>
      <c r="H2580" s="8">
        <f t="shared" si="2798"/>
        <v>25000</v>
      </c>
      <c r="I2580" s="30">
        <f t="shared" si="2799"/>
        <v>8000</v>
      </c>
      <c r="J2580" s="187">
        <v>40000</v>
      </c>
      <c r="K2580" s="30">
        <f t="shared" si="2800"/>
        <v>8000</v>
      </c>
      <c r="L2580" s="187">
        <v>40000</v>
      </c>
      <c r="M2580" s="110">
        <v>9.5</v>
      </c>
      <c r="N2580" s="9">
        <f>VLOOKUP(DATE(YEAR(A2580),MONTH(A2580),DAY(A2580)),FY24_Temp[],3,FALSE)</f>
        <v>17.25</v>
      </c>
      <c r="O2580" s="110">
        <f t="shared" si="2786"/>
        <v>11.5</v>
      </c>
      <c r="P2580" s="110">
        <f t="shared" si="2787"/>
        <v>19.5</v>
      </c>
      <c r="Q2580" s="79">
        <f>VLOOKUP(VLOOKUP(DATEVALUE(TEXT(A2580,"m/d/yyyy")),FY24_Temp[],5,FALSE)&amp;TEXT(A2580,"-h"),TempDelta[],4,FALSE)</f>
        <v>0.28171428825174061</v>
      </c>
      <c r="R2580">
        <v>10</v>
      </c>
      <c r="S2580" s="112">
        <v>1500</v>
      </c>
      <c r="T2580" s="5">
        <f>VLOOKUP(TEXT(A2580,"yy-mm")&amp;"-"&amp;IF(AND(WEEKDAY(A2580)&gt;1,WEEKDAY(A2580)&lt;7),"Wkd",TEXT(A2580,"Ddd"))&amp;"-"&amp;TEXT(A2580,"hh"),LoadTable[],3,FALSE)*0.92</f>
        <v>234.80148</v>
      </c>
      <c r="U2580" s="113">
        <f t="shared" si="2788"/>
        <v>23.480148</v>
      </c>
      <c r="V2580">
        <f t="shared" ref="V2580:W2580" si="2809">V2556</f>
        <v>2.9</v>
      </c>
      <c r="W2580">
        <f t="shared" si="2809"/>
        <v>3</v>
      </c>
      <c r="X2580" s="9">
        <v>-76.437644416666899</v>
      </c>
      <c r="Y2580" s="39"/>
    </row>
    <row r="2581" spans="1:25" ht="15" thickBot="1">
      <c r="A2581" s="149">
        <f t="shared" si="2770"/>
        <v>45943.416666662393</v>
      </c>
      <c r="B2581" s="30">
        <f t="shared" si="2797"/>
        <v>8000</v>
      </c>
      <c r="C2581" s="8">
        <v>25000</v>
      </c>
      <c r="D2581" s="187">
        <v>0</v>
      </c>
      <c r="E2581" s="187">
        <v>700</v>
      </c>
      <c r="F2581" s="187">
        <v>15000</v>
      </c>
      <c r="G2581" s="30">
        <f t="shared" si="2798"/>
        <v>2470</v>
      </c>
      <c r="H2581" s="8">
        <f t="shared" si="2798"/>
        <v>25000</v>
      </c>
      <c r="I2581" s="30">
        <f t="shared" si="2799"/>
        <v>8000</v>
      </c>
      <c r="J2581" s="187">
        <v>40000</v>
      </c>
      <c r="K2581" s="30">
        <f t="shared" si="2800"/>
        <v>8000</v>
      </c>
      <c r="L2581" s="187">
        <v>40000</v>
      </c>
      <c r="M2581" s="110">
        <v>9.5</v>
      </c>
      <c r="N2581" s="9">
        <f>VLOOKUP(DATE(YEAR(A2581),MONTH(A2581),DAY(A2581)),FY24_Temp[],3,FALSE)</f>
        <v>17.25</v>
      </c>
      <c r="O2581" s="110">
        <f t="shared" si="2786"/>
        <v>11.5</v>
      </c>
      <c r="P2581" s="110">
        <f t="shared" si="2787"/>
        <v>19.5</v>
      </c>
      <c r="Q2581" s="79">
        <f>VLOOKUP(VLOOKUP(DATEVALUE(TEXT(A2581,"m/d/yyyy")),FY24_Temp[],5,FALSE)&amp;TEXT(A2581,"-h"),TempDelta[],4,FALSE)</f>
        <v>0.18571428209543228</v>
      </c>
      <c r="R2581">
        <v>10</v>
      </c>
      <c r="S2581" s="112">
        <v>1500</v>
      </c>
      <c r="T2581" s="5">
        <f>VLOOKUP(TEXT(A2581,"yy-mm")&amp;"-"&amp;IF(AND(WEEKDAY(A2581)&gt;1,WEEKDAY(A2581)&lt;7),"Wkd",TEXT(A2581,"Ddd"))&amp;"-"&amp;TEXT(A2581,"hh"),LoadTable[],3,FALSE)*0.92</f>
        <v>234.80148</v>
      </c>
      <c r="U2581" s="113">
        <f t="shared" si="2788"/>
        <v>23.480148</v>
      </c>
      <c r="V2581">
        <f t="shared" ref="V2581:W2581" si="2810">V2557</f>
        <v>2.9</v>
      </c>
      <c r="W2581">
        <f t="shared" si="2810"/>
        <v>3</v>
      </c>
      <c r="X2581" s="9">
        <v>-76.515438966666906</v>
      </c>
      <c r="Y2581" s="39"/>
    </row>
    <row r="2582" spans="1:25" ht="15" thickBot="1">
      <c r="A2582" s="149">
        <f t="shared" si="2770"/>
        <v>45943.458333329057</v>
      </c>
      <c r="B2582" s="30">
        <f t="shared" si="2797"/>
        <v>8000</v>
      </c>
      <c r="C2582" s="8">
        <v>25000</v>
      </c>
      <c r="D2582" s="187">
        <v>0</v>
      </c>
      <c r="E2582" s="187">
        <v>700</v>
      </c>
      <c r="F2582" s="187">
        <v>15000</v>
      </c>
      <c r="G2582" s="30">
        <f t="shared" si="2798"/>
        <v>2470</v>
      </c>
      <c r="H2582" s="8">
        <f t="shared" si="2798"/>
        <v>25000</v>
      </c>
      <c r="I2582" s="30">
        <f t="shared" si="2799"/>
        <v>8000</v>
      </c>
      <c r="J2582" s="187">
        <v>40000</v>
      </c>
      <c r="K2582" s="30">
        <f t="shared" si="2800"/>
        <v>8000</v>
      </c>
      <c r="L2582" s="187">
        <v>40000</v>
      </c>
      <c r="M2582" s="110">
        <v>9.5</v>
      </c>
      <c r="N2582" s="9">
        <f>VLOOKUP(DATE(YEAR(A2582),MONTH(A2582),DAY(A2582)),FY24_Temp[],3,FALSE)</f>
        <v>17.25</v>
      </c>
      <c r="O2582" s="110">
        <f t="shared" si="2786"/>
        <v>11.5</v>
      </c>
      <c r="P2582" s="110">
        <f t="shared" si="2787"/>
        <v>19.5</v>
      </c>
      <c r="Q2582" s="79">
        <f>VLOOKUP(VLOOKUP(DATEVALUE(TEXT(A2582,"m/d/yyyy")),FY24_Temp[],5,FALSE)&amp;TEXT(A2582,"-h"),TempDelta[],4,FALSE)</f>
        <v>0.10357142758688756</v>
      </c>
      <c r="R2582">
        <v>10</v>
      </c>
      <c r="S2582" s="112">
        <v>1500</v>
      </c>
      <c r="T2582" s="5">
        <f>VLOOKUP(TEXT(A2582,"yy-mm")&amp;"-"&amp;IF(AND(WEEKDAY(A2582)&gt;1,WEEKDAY(A2582)&lt;7),"Wkd",TEXT(A2582,"Ddd"))&amp;"-"&amp;TEXT(A2582,"hh"),LoadTable[],3,FALSE)*0.92</f>
        <v>234.80148</v>
      </c>
      <c r="U2582" s="113">
        <f t="shared" si="2788"/>
        <v>23.480148</v>
      </c>
      <c r="V2582">
        <f t="shared" ref="V2582:W2582" si="2811">V2558</f>
        <v>3.4</v>
      </c>
      <c r="W2582">
        <f t="shared" si="2811"/>
        <v>3</v>
      </c>
      <c r="X2582" s="9">
        <v>-76.593233516666999</v>
      </c>
      <c r="Y2582" s="39"/>
    </row>
    <row r="2583" spans="1:25" ht="15" thickBot="1">
      <c r="A2583" s="149">
        <f t="shared" si="2770"/>
        <v>45943.499999995722</v>
      </c>
      <c r="B2583" s="30">
        <f t="shared" si="2797"/>
        <v>8000</v>
      </c>
      <c r="C2583" s="8">
        <v>25000</v>
      </c>
      <c r="D2583" s="187">
        <v>0</v>
      </c>
      <c r="E2583" s="187">
        <v>700</v>
      </c>
      <c r="F2583" s="187">
        <v>15000</v>
      </c>
      <c r="G2583" s="30">
        <f t="shared" si="2798"/>
        <v>2470</v>
      </c>
      <c r="H2583" s="8">
        <f t="shared" si="2798"/>
        <v>25000</v>
      </c>
      <c r="I2583" s="30">
        <f t="shared" si="2799"/>
        <v>8000</v>
      </c>
      <c r="J2583" s="187">
        <v>40000</v>
      </c>
      <c r="K2583" s="30">
        <f t="shared" si="2800"/>
        <v>8000</v>
      </c>
      <c r="L2583" s="187">
        <v>40000</v>
      </c>
      <c r="M2583" s="110">
        <v>9.5</v>
      </c>
      <c r="N2583" s="9">
        <f>VLOOKUP(DATE(YEAR(A2583),MONTH(A2583),DAY(A2583)),FY24_Temp[],3,FALSE)</f>
        <v>17.25</v>
      </c>
      <c r="O2583" s="110">
        <f t="shared" si="2786"/>
        <v>11.5</v>
      </c>
      <c r="P2583" s="110">
        <f t="shared" si="2787"/>
        <v>19.5</v>
      </c>
      <c r="Q2583" s="79">
        <f>VLOOKUP(VLOOKUP(DATEVALUE(TEXT(A2583,"m/d/yyyy")),FY24_Temp[],5,FALSE)&amp;TEXT(A2583,"-h"),TempDelta[],4,FALSE)</f>
        <v>3.9142857438751628E-2</v>
      </c>
      <c r="R2583">
        <v>10</v>
      </c>
      <c r="S2583" s="112">
        <v>1500</v>
      </c>
      <c r="T2583" s="5">
        <f>VLOOKUP(TEXT(A2583,"yy-mm")&amp;"-"&amp;IF(AND(WEEKDAY(A2583)&gt;1,WEEKDAY(A2583)&lt;7),"Wkd",TEXT(A2583,"Ddd"))&amp;"-"&amp;TEXT(A2583,"hh"),LoadTable[],3,FALSE)*0.92</f>
        <v>234.80148</v>
      </c>
      <c r="U2583" s="113">
        <f t="shared" si="2788"/>
        <v>23.480148</v>
      </c>
      <c r="V2583">
        <f t="shared" ref="V2583:W2583" si="2812">V2559</f>
        <v>3.1</v>
      </c>
      <c r="W2583">
        <f t="shared" si="2812"/>
        <v>2.9</v>
      </c>
      <c r="X2583" s="9">
        <v>-76.671028066667006</v>
      </c>
      <c r="Y2583" s="39"/>
    </row>
    <row r="2584" spans="1:25" ht="15" thickBot="1">
      <c r="A2584" s="149">
        <f t="shared" si="2770"/>
        <v>45943.541666662386</v>
      </c>
      <c r="B2584" s="30">
        <f t="shared" si="2797"/>
        <v>8000</v>
      </c>
      <c r="C2584" s="8">
        <v>25000</v>
      </c>
      <c r="D2584" s="187">
        <v>0</v>
      </c>
      <c r="E2584" s="187">
        <v>700</v>
      </c>
      <c r="F2584" s="187">
        <v>15000</v>
      </c>
      <c r="G2584" s="30">
        <f t="shared" si="2798"/>
        <v>2470</v>
      </c>
      <c r="H2584" s="8">
        <f t="shared" si="2798"/>
        <v>25000</v>
      </c>
      <c r="I2584" s="30">
        <f t="shared" si="2799"/>
        <v>8000</v>
      </c>
      <c r="J2584" s="187">
        <v>40000</v>
      </c>
      <c r="K2584" s="30">
        <f t="shared" si="2800"/>
        <v>8000</v>
      </c>
      <c r="L2584" s="187">
        <v>40000</v>
      </c>
      <c r="M2584" s="110">
        <v>9.5</v>
      </c>
      <c r="N2584" s="9">
        <f>VLOOKUP(DATE(YEAR(A2584),MONTH(A2584),DAY(A2584)),FY24_Temp[],3,FALSE)</f>
        <v>17.25</v>
      </c>
      <c r="O2584" s="110">
        <f t="shared" si="2786"/>
        <v>11.5</v>
      </c>
      <c r="P2584" s="110">
        <f t="shared" si="2787"/>
        <v>19.5</v>
      </c>
      <c r="Q2584" s="79">
        <f>VLOOKUP(VLOOKUP(DATEVALUE(TEXT(A2584,"m/d/yyyy")),FY24_Temp[],5,FALSE)&amp;TEXT(A2584,"-h"),TempDelta[],4,FALSE)</f>
        <v>5.2857138216495514E-3</v>
      </c>
      <c r="R2584">
        <v>10</v>
      </c>
      <c r="S2584" s="112">
        <v>1500</v>
      </c>
      <c r="T2584" s="5">
        <f>VLOOKUP(TEXT(A2584,"yy-mm")&amp;"-"&amp;IF(AND(WEEKDAY(A2584)&gt;1,WEEKDAY(A2584)&lt;7),"Wkd",TEXT(A2584,"Ddd"))&amp;"-"&amp;TEXT(A2584,"hh"),LoadTable[],3,FALSE)*0.92</f>
        <v>234.80148</v>
      </c>
      <c r="U2584" s="113">
        <f t="shared" si="2788"/>
        <v>23.480148</v>
      </c>
      <c r="V2584">
        <f t="shared" ref="V2584:W2584" si="2813">V2560</f>
        <v>3.2</v>
      </c>
      <c r="W2584">
        <f t="shared" si="2813"/>
        <v>2.9</v>
      </c>
      <c r="X2584" s="9">
        <v>-76.748822616666999</v>
      </c>
      <c r="Y2584" s="39"/>
    </row>
    <row r="2585" spans="1:25" ht="15" thickBot="1">
      <c r="A2585" s="149">
        <f t="shared" si="2770"/>
        <v>45943.58333332905</v>
      </c>
      <c r="B2585" s="30">
        <f t="shared" si="2797"/>
        <v>8000</v>
      </c>
      <c r="C2585" s="8">
        <v>25000</v>
      </c>
      <c r="D2585" s="187">
        <v>0</v>
      </c>
      <c r="E2585" s="187">
        <v>700</v>
      </c>
      <c r="F2585" s="187">
        <v>15000</v>
      </c>
      <c r="G2585" s="30">
        <f t="shared" si="2798"/>
        <v>2470</v>
      </c>
      <c r="H2585" s="8">
        <f t="shared" si="2798"/>
        <v>25000</v>
      </c>
      <c r="I2585" s="30">
        <f t="shared" si="2799"/>
        <v>8000</v>
      </c>
      <c r="J2585" s="187">
        <v>40000</v>
      </c>
      <c r="K2585" s="30">
        <f t="shared" si="2800"/>
        <v>8000</v>
      </c>
      <c r="L2585" s="187">
        <v>40000</v>
      </c>
      <c r="M2585" s="110">
        <v>9.5</v>
      </c>
      <c r="N2585" s="9">
        <f>VLOOKUP(DATE(YEAR(A2585),MONTH(A2585),DAY(A2585)),FY24_Temp[],3,FALSE)</f>
        <v>17.25</v>
      </c>
      <c r="O2585" s="110">
        <f t="shared" si="2786"/>
        <v>11.5</v>
      </c>
      <c r="P2585" s="110">
        <f t="shared" si="2787"/>
        <v>19.5</v>
      </c>
      <c r="Q2585" s="79">
        <f>VLOOKUP(VLOOKUP(DATEVALUE(TEXT(A2585,"m/d/yyyy")),FY24_Temp[],5,FALSE)&amp;TEXT(A2585,"-h"),TempDelta[],4,FALSE)</f>
        <v>6.9857144478841546E-2</v>
      </c>
      <c r="R2585">
        <v>10</v>
      </c>
      <c r="S2585" s="112">
        <v>1500</v>
      </c>
      <c r="T2585" s="5">
        <f>VLOOKUP(TEXT(A2585,"yy-mm")&amp;"-"&amp;IF(AND(WEEKDAY(A2585)&gt;1,WEEKDAY(A2585)&lt;7),"Wkd",TEXT(A2585,"Ddd"))&amp;"-"&amp;TEXT(A2585,"hh"),LoadTable[],3,FALSE)*0.92</f>
        <v>234.80148</v>
      </c>
      <c r="U2585" s="113">
        <f t="shared" si="2788"/>
        <v>23.480148</v>
      </c>
      <c r="V2585">
        <f t="shared" ref="V2585:W2585" si="2814">V2561</f>
        <v>3.5</v>
      </c>
      <c r="W2585">
        <f t="shared" si="2814"/>
        <v>2.9</v>
      </c>
      <c r="X2585" s="9">
        <v>-76.826617166667006</v>
      </c>
      <c r="Y2585" s="39"/>
    </row>
    <row r="2586" spans="1:25" ht="15" thickBot="1">
      <c r="A2586" s="149">
        <f t="shared" si="2770"/>
        <v>45943.624999995714</v>
      </c>
      <c r="B2586" s="30">
        <f t="shared" si="2797"/>
        <v>8000</v>
      </c>
      <c r="C2586" s="8">
        <v>25000</v>
      </c>
      <c r="D2586" s="187">
        <v>0</v>
      </c>
      <c r="E2586" s="187">
        <v>700</v>
      </c>
      <c r="F2586" s="187">
        <v>15000</v>
      </c>
      <c r="G2586" s="30">
        <f t="shared" si="2798"/>
        <v>2470</v>
      </c>
      <c r="H2586" s="8">
        <f t="shared" si="2798"/>
        <v>25000</v>
      </c>
      <c r="I2586" s="30">
        <f t="shared" si="2799"/>
        <v>8000</v>
      </c>
      <c r="J2586" s="187">
        <v>40000</v>
      </c>
      <c r="K2586" s="30">
        <f t="shared" si="2800"/>
        <v>8000</v>
      </c>
      <c r="L2586" s="187">
        <v>40000</v>
      </c>
      <c r="M2586" s="110">
        <v>9.5</v>
      </c>
      <c r="N2586" s="9">
        <f>VLOOKUP(DATE(YEAR(A2586),MONTH(A2586),DAY(A2586)),FY24_Temp[],3,FALSE)</f>
        <v>17.25</v>
      </c>
      <c r="O2586" s="110">
        <f t="shared" si="2786"/>
        <v>11.5</v>
      </c>
      <c r="P2586" s="110">
        <f t="shared" si="2787"/>
        <v>19.5</v>
      </c>
      <c r="Q2586" s="79">
        <f>VLOOKUP(VLOOKUP(DATEVALUE(TEXT(A2586,"m/d/yyyy")),FY24_Temp[],5,FALSE)&amp;TEXT(A2586,"-h"),TempDelta[],4,FALSE)</f>
        <v>0.16885714073266303</v>
      </c>
      <c r="R2586">
        <v>10</v>
      </c>
      <c r="S2586" s="112">
        <v>1500</v>
      </c>
      <c r="T2586" s="5">
        <f>VLOOKUP(TEXT(A2586,"yy-mm")&amp;"-"&amp;IF(AND(WEEKDAY(A2586)&gt;1,WEEKDAY(A2586)&lt;7),"Wkd",TEXT(A2586,"Ddd"))&amp;"-"&amp;TEXT(A2586,"hh"),LoadTable[],3,FALSE)*0.92</f>
        <v>234.80148</v>
      </c>
      <c r="U2586" s="113">
        <f t="shared" si="2788"/>
        <v>23.480148</v>
      </c>
      <c r="V2586">
        <f t="shared" ref="V2586:W2586" si="2815">V2562</f>
        <v>3.2</v>
      </c>
      <c r="W2586">
        <f t="shared" si="2815"/>
        <v>2.9</v>
      </c>
      <c r="X2586" s="9">
        <v>-76.904411716666999</v>
      </c>
      <c r="Y2586" s="39"/>
    </row>
    <row r="2587" spans="1:25" ht="15" thickBot="1">
      <c r="A2587" s="149">
        <f t="shared" si="2770"/>
        <v>45943.666666662379</v>
      </c>
      <c r="B2587" s="30">
        <f t="shared" si="2797"/>
        <v>8000</v>
      </c>
      <c r="C2587" s="8">
        <v>25000</v>
      </c>
      <c r="D2587" s="187">
        <v>0</v>
      </c>
      <c r="E2587" s="187">
        <v>700</v>
      </c>
      <c r="F2587" s="187">
        <v>15000</v>
      </c>
      <c r="G2587" s="30">
        <f t="shared" si="2798"/>
        <v>2470</v>
      </c>
      <c r="H2587" s="8">
        <f t="shared" si="2798"/>
        <v>25000</v>
      </c>
      <c r="I2587" s="30">
        <f t="shared" si="2799"/>
        <v>8000</v>
      </c>
      <c r="J2587" s="187">
        <v>40000</v>
      </c>
      <c r="K2587" s="30">
        <f t="shared" si="2800"/>
        <v>8000</v>
      </c>
      <c r="L2587" s="187">
        <v>40000</v>
      </c>
      <c r="M2587" s="110">
        <v>9.5</v>
      </c>
      <c r="N2587" s="9">
        <f>VLOOKUP(DATE(YEAR(A2587),MONTH(A2587),DAY(A2587)),FY24_Temp[],3,FALSE)</f>
        <v>17.25</v>
      </c>
      <c r="O2587" s="110">
        <f t="shared" si="2786"/>
        <v>11.5</v>
      </c>
      <c r="P2587" s="110">
        <f t="shared" si="2787"/>
        <v>19.5</v>
      </c>
      <c r="Q2587" s="79">
        <f>VLOOKUP(VLOOKUP(DATEVALUE(TEXT(A2587,"m/d/yyyy")),FY24_Temp[],5,FALSE)&amp;TEXT(A2587,"-h"),TempDelta[],4,FALSE)</f>
        <v>0.4030000056539263</v>
      </c>
      <c r="R2587">
        <v>10</v>
      </c>
      <c r="S2587" s="112">
        <v>1500</v>
      </c>
      <c r="T2587" s="5">
        <f>VLOOKUP(TEXT(A2587,"yy-mm")&amp;"-"&amp;IF(AND(WEEKDAY(A2587)&gt;1,WEEKDAY(A2587)&lt;7),"Wkd",TEXT(A2587,"Ddd"))&amp;"-"&amp;TEXT(A2587,"hh"),LoadTable[],3,FALSE)*0.92</f>
        <v>234.80148</v>
      </c>
      <c r="U2587" s="113">
        <f t="shared" si="2788"/>
        <v>23.480148</v>
      </c>
      <c r="V2587">
        <f t="shared" ref="V2587:W2587" si="2816">V2563</f>
        <v>3.5</v>
      </c>
      <c r="W2587">
        <f t="shared" si="2816"/>
        <v>3</v>
      </c>
      <c r="X2587" s="9">
        <v>-76.982206266667006</v>
      </c>
      <c r="Y2587" s="39"/>
    </row>
    <row r="2588" spans="1:25" ht="15" thickBot="1">
      <c r="A2588" s="149">
        <f t="shared" si="2770"/>
        <v>45943.708333329043</v>
      </c>
      <c r="B2588" s="30">
        <f t="shared" si="2797"/>
        <v>8000</v>
      </c>
      <c r="C2588" s="8">
        <v>25000</v>
      </c>
      <c r="D2588" s="187">
        <v>0</v>
      </c>
      <c r="E2588" s="187">
        <v>700</v>
      </c>
      <c r="F2588" s="187">
        <v>15000</v>
      </c>
      <c r="G2588" s="30">
        <f t="shared" si="2798"/>
        <v>2470</v>
      </c>
      <c r="H2588" s="8">
        <f t="shared" si="2798"/>
        <v>25000</v>
      </c>
      <c r="I2588" s="30">
        <f t="shared" si="2799"/>
        <v>8000</v>
      </c>
      <c r="J2588" s="187">
        <v>40000</v>
      </c>
      <c r="K2588" s="30">
        <f t="shared" si="2800"/>
        <v>8000</v>
      </c>
      <c r="L2588" s="187">
        <v>40000</v>
      </c>
      <c r="M2588" s="110">
        <v>9.5</v>
      </c>
      <c r="N2588" s="9">
        <f>VLOOKUP(DATE(YEAR(A2588),MONTH(A2588),DAY(A2588)),FY24_Temp[],3,FALSE)</f>
        <v>17.25</v>
      </c>
      <c r="O2588" s="110">
        <f t="shared" si="2786"/>
        <v>11.5</v>
      </c>
      <c r="P2588" s="110">
        <f t="shared" si="2787"/>
        <v>19.5</v>
      </c>
      <c r="Q2588" s="79">
        <f>VLOOKUP(VLOOKUP(DATEVALUE(TEXT(A2588,"m/d/yyyy")),FY24_Temp[],5,FALSE)&amp;TEXT(A2588,"-h"),TempDelta[],4,FALSE)</f>
        <v>0.51750000034059795</v>
      </c>
      <c r="R2588">
        <v>10</v>
      </c>
      <c r="S2588" s="112">
        <v>1500</v>
      </c>
      <c r="T2588" s="5">
        <f>VLOOKUP(TEXT(A2588,"yy-mm")&amp;"-"&amp;IF(AND(WEEKDAY(A2588)&gt;1,WEEKDAY(A2588)&lt;7),"Wkd",TEXT(A2588,"Ddd"))&amp;"-"&amp;TEXT(A2588,"hh"),LoadTable[],3,FALSE)*0.92</f>
        <v>234.80148</v>
      </c>
      <c r="U2588" s="113">
        <f t="shared" si="2788"/>
        <v>23.480148</v>
      </c>
      <c r="V2588">
        <f t="shared" ref="V2588:W2588" si="2817">V2564</f>
        <v>3.6</v>
      </c>
      <c r="W2588">
        <f t="shared" si="2817"/>
        <v>3</v>
      </c>
      <c r="X2588" s="9">
        <v>-77.060000816666999</v>
      </c>
      <c r="Y2588" s="39"/>
    </row>
    <row r="2589" spans="1:25" ht="15" thickBot="1">
      <c r="A2589" s="149">
        <f t="shared" si="2770"/>
        <v>45943.749999995707</v>
      </c>
      <c r="B2589" s="30">
        <f t="shared" si="2797"/>
        <v>5000</v>
      </c>
      <c r="C2589" s="8">
        <v>25000</v>
      </c>
      <c r="D2589" s="187">
        <v>0</v>
      </c>
      <c r="E2589" s="187">
        <v>700</v>
      </c>
      <c r="F2589" s="187">
        <v>15000</v>
      </c>
      <c r="G2589" s="30">
        <f t="shared" si="2798"/>
        <v>2470</v>
      </c>
      <c r="H2589" s="8">
        <f t="shared" si="2798"/>
        <v>25000</v>
      </c>
      <c r="I2589" s="30">
        <f t="shared" si="2799"/>
        <v>5000</v>
      </c>
      <c r="J2589" s="187">
        <v>40000</v>
      </c>
      <c r="K2589" s="30">
        <f t="shared" si="2800"/>
        <v>5000</v>
      </c>
      <c r="L2589" s="187">
        <v>40000</v>
      </c>
      <c r="M2589" s="110">
        <v>9.5</v>
      </c>
      <c r="N2589" s="9">
        <f>VLOOKUP(DATE(YEAR(A2589),MONTH(A2589),DAY(A2589)),FY24_Temp[],3,FALSE)</f>
        <v>17.25</v>
      </c>
      <c r="O2589" s="110">
        <f t="shared" si="2786"/>
        <v>11.5</v>
      </c>
      <c r="P2589" s="110">
        <f t="shared" si="2787"/>
        <v>19.5</v>
      </c>
      <c r="Q2589" s="79">
        <f>VLOOKUP(VLOOKUP(DATEVALUE(TEXT(A2589,"m/d/yyyy")),FY24_Temp[],5,FALSE)&amp;TEXT(A2589,"-h"),TempDelta[],4,FALSE)</f>
        <v>0.66500000017029903</v>
      </c>
      <c r="R2589">
        <v>10</v>
      </c>
      <c r="S2589" s="112">
        <v>1500</v>
      </c>
      <c r="T2589" s="5">
        <f>VLOOKUP(TEXT(A2589,"yy-mm")&amp;"-"&amp;IF(AND(WEEKDAY(A2589)&gt;1,WEEKDAY(A2589)&lt;7),"Wkd",TEXT(A2589,"Ddd"))&amp;"-"&amp;TEXT(A2589,"hh"),LoadTable[],3,FALSE)*0.92</f>
        <v>303.31295999999998</v>
      </c>
      <c r="U2589" s="113">
        <f t="shared" si="2788"/>
        <v>30.331295999999998</v>
      </c>
      <c r="V2589">
        <f t="shared" ref="V2589:W2589" si="2818">V2565</f>
        <v>2.9</v>
      </c>
      <c r="W2589">
        <f t="shared" si="2818"/>
        <v>3</v>
      </c>
      <c r="X2589" s="9">
        <v>-77.137795366667007</v>
      </c>
      <c r="Y2589" s="39"/>
    </row>
    <row r="2590" spans="1:25" ht="15" thickBot="1">
      <c r="A2590" s="149">
        <f t="shared" si="2770"/>
        <v>45943.791666662371</v>
      </c>
      <c r="B2590" s="30">
        <f t="shared" si="2797"/>
        <v>5000</v>
      </c>
      <c r="C2590" s="8">
        <v>25000</v>
      </c>
      <c r="D2590" s="187">
        <v>0</v>
      </c>
      <c r="E2590" s="187">
        <v>700</v>
      </c>
      <c r="F2590" s="187">
        <v>15000</v>
      </c>
      <c r="G2590" s="30">
        <f t="shared" si="2798"/>
        <v>2470</v>
      </c>
      <c r="H2590" s="8">
        <f t="shared" si="2798"/>
        <v>25000</v>
      </c>
      <c r="I2590" s="30">
        <f t="shared" si="2799"/>
        <v>5000</v>
      </c>
      <c r="J2590" s="187">
        <v>40000</v>
      </c>
      <c r="K2590" s="30">
        <f t="shared" si="2800"/>
        <v>5000</v>
      </c>
      <c r="L2590" s="187">
        <v>40000</v>
      </c>
      <c r="M2590" s="110">
        <v>9.5</v>
      </c>
      <c r="N2590" s="9">
        <f>VLOOKUP(DATE(YEAR(A2590),MONTH(A2590),DAY(A2590)),FY24_Temp[],3,FALSE)</f>
        <v>17.25</v>
      </c>
      <c r="O2590" s="110">
        <f t="shared" si="2786"/>
        <v>11.5</v>
      </c>
      <c r="P2590" s="110">
        <f t="shared" si="2787"/>
        <v>19.5</v>
      </c>
      <c r="Q2590" s="79">
        <f>VLOOKUP(VLOOKUP(DATEVALUE(TEXT(A2590,"m/d/yyyy")),FY24_Temp[],5,FALSE)&amp;TEXT(A2590,"-h"),TempDelta[],4,FALSE)</f>
        <v>0.66292857485158108</v>
      </c>
      <c r="R2590">
        <v>10</v>
      </c>
      <c r="S2590" s="112">
        <v>1500</v>
      </c>
      <c r="T2590" s="5">
        <f>VLOOKUP(TEXT(A2590,"yy-mm")&amp;"-"&amp;IF(AND(WEEKDAY(A2590)&gt;1,WEEKDAY(A2590)&lt;7),"Wkd",TEXT(A2590,"Ddd"))&amp;"-"&amp;TEXT(A2590,"hh"),LoadTable[],3,FALSE)*0.92</f>
        <v>303.31295999999998</v>
      </c>
      <c r="U2590" s="113">
        <f t="shared" si="2788"/>
        <v>30.331295999999998</v>
      </c>
      <c r="V2590">
        <f t="shared" ref="V2590:W2590" si="2819">V2566</f>
        <v>3</v>
      </c>
      <c r="W2590">
        <f t="shared" si="2819"/>
        <v>3</v>
      </c>
      <c r="X2590" s="9">
        <v>-77.215589916667</v>
      </c>
      <c r="Y2590" s="39"/>
    </row>
    <row r="2591" spans="1:25" ht="15" thickBot="1">
      <c r="A2591" s="149">
        <f t="shared" si="2770"/>
        <v>45943.833333329036</v>
      </c>
      <c r="B2591" s="30">
        <f t="shared" si="2797"/>
        <v>5000</v>
      </c>
      <c r="C2591" s="8">
        <v>25000</v>
      </c>
      <c r="D2591" s="187">
        <v>0</v>
      </c>
      <c r="E2591" s="187">
        <v>700</v>
      </c>
      <c r="F2591" s="187">
        <v>15000</v>
      </c>
      <c r="G2591" s="30">
        <f t="shared" si="2798"/>
        <v>2470</v>
      </c>
      <c r="H2591" s="8">
        <f t="shared" si="2798"/>
        <v>25000</v>
      </c>
      <c r="I2591" s="30">
        <f t="shared" si="2799"/>
        <v>5000</v>
      </c>
      <c r="J2591" s="187">
        <v>40000</v>
      </c>
      <c r="K2591" s="30">
        <f t="shared" si="2800"/>
        <v>5000</v>
      </c>
      <c r="L2591" s="187">
        <v>40000</v>
      </c>
      <c r="M2591" s="110">
        <v>9.5</v>
      </c>
      <c r="N2591" s="9">
        <f>VLOOKUP(DATE(YEAR(A2591),MONTH(A2591),DAY(A2591)),FY24_Temp[],3,FALSE)</f>
        <v>17.25</v>
      </c>
      <c r="O2591" s="110">
        <f t="shared" si="2786"/>
        <v>11.5</v>
      </c>
      <c r="P2591" s="110">
        <f t="shared" si="2787"/>
        <v>19.5</v>
      </c>
      <c r="Q2591" s="79">
        <f>VLOOKUP(VLOOKUP(DATEVALUE(TEXT(A2591,"m/d/yyyy")),FY24_Temp[],5,FALSE)&amp;TEXT(A2591,"-h"),TempDelta[],4,FALSE)</f>
        <v>0.6834285663706916</v>
      </c>
      <c r="R2591">
        <v>10</v>
      </c>
      <c r="S2591" s="112">
        <v>1500</v>
      </c>
      <c r="T2591" s="5">
        <f>VLOOKUP(TEXT(A2591,"yy-mm")&amp;"-"&amp;IF(AND(WEEKDAY(A2591)&gt;1,WEEKDAY(A2591)&lt;7),"Wkd",TEXT(A2591,"Ddd"))&amp;"-"&amp;TEXT(A2591,"hh"),LoadTable[],3,FALSE)*0.92</f>
        <v>303.31295999999998</v>
      </c>
      <c r="U2591" s="113">
        <f t="shared" si="2788"/>
        <v>30.331295999999998</v>
      </c>
      <c r="V2591">
        <f t="shared" ref="V2591:W2591" si="2820">V2567</f>
        <v>2.8</v>
      </c>
      <c r="W2591">
        <f t="shared" si="2820"/>
        <v>3.1</v>
      </c>
      <c r="X2591" s="9">
        <v>-77.293384466667007</v>
      </c>
      <c r="Y2591" s="39"/>
    </row>
    <row r="2592" spans="1:25" ht="15" thickBot="1">
      <c r="A2592" s="149">
        <f t="shared" si="2770"/>
        <v>45943.8749999957</v>
      </c>
      <c r="B2592" s="30">
        <f t="shared" si="2797"/>
        <v>5000</v>
      </c>
      <c r="C2592" s="8">
        <v>25000</v>
      </c>
      <c r="D2592" s="187">
        <v>0</v>
      </c>
      <c r="E2592" s="187">
        <v>700</v>
      </c>
      <c r="F2592" s="187">
        <v>15000</v>
      </c>
      <c r="G2592" s="30">
        <f t="shared" si="2798"/>
        <v>2470</v>
      </c>
      <c r="H2592" s="8">
        <f t="shared" si="2798"/>
        <v>25000</v>
      </c>
      <c r="I2592" s="30">
        <f t="shared" si="2799"/>
        <v>5000</v>
      </c>
      <c r="J2592" s="187">
        <v>40000</v>
      </c>
      <c r="K2592" s="30">
        <f t="shared" si="2800"/>
        <v>5000</v>
      </c>
      <c r="L2592" s="187">
        <v>40000</v>
      </c>
      <c r="M2592" s="110">
        <v>9.5</v>
      </c>
      <c r="N2592" s="9">
        <f>VLOOKUP(DATE(YEAR(A2592),MONTH(A2592),DAY(A2592)),FY24_Temp[],3,FALSE)</f>
        <v>17.25</v>
      </c>
      <c r="O2592" s="110">
        <f t="shared" si="2786"/>
        <v>11.5</v>
      </c>
      <c r="P2592" s="110">
        <f t="shared" si="2787"/>
        <v>19.5</v>
      </c>
      <c r="Q2592" s="79">
        <f>VLOOKUP(VLOOKUP(DATEVALUE(TEXT(A2592,"m/d/yyyy")),FY24_Temp[],5,FALSE)&amp;TEXT(A2592,"-h"),TempDelta[],4,FALSE)</f>
        <v>0.67971429228782654</v>
      </c>
      <c r="R2592">
        <v>10</v>
      </c>
      <c r="S2592" s="112">
        <v>1500</v>
      </c>
      <c r="T2592" s="5">
        <f>VLOOKUP(TEXT(A2592,"yy-mm")&amp;"-"&amp;IF(AND(WEEKDAY(A2592)&gt;1,WEEKDAY(A2592)&lt;7),"Wkd",TEXT(A2592,"Ddd"))&amp;"-"&amp;TEXT(A2592,"hh"),LoadTable[],3,FALSE)*0.92</f>
        <v>229.93744000000001</v>
      </c>
      <c r="U2592" s="113">
        <f t="shared" si="2788"/>
        <v>22.993744</v>
      </c>
      <c r="V2592">
        <f t="shared" ref="V2592:W2592" si="2821">V2568</f>
        <v>3.5</v>
      </c>
      <c r="W2592">
        <f t="shared" si="2821"/>
        <v>3.1</v>
      </c>
      <c r="X2592" s="9">
        <v>-77.371179016667</v>
      </c>
      <c r="Y2592" s="39"/>
    </row>
    <row r="2593" spans="1:25" ht="15" thickBot="1">
      <c r="A2593" s="149">
        <f t="shared" si="2770"/>
        <v>45943.916666662364</v>
      </c>
      <c r="B2593" s="30">
        <f t="shared" si="2797"/>
        <v>5000</v>
      </c>
      <c r="C2593" s="8">
        <v>25000</v>
      </c>
      <c r="D2593" s="187">
        <v>0</v>
      </c>
      <c r="E2593" s="187">
        <v>700</v>
      </c>
      <c r="F2593" s="187">
        <v>15000</v>
      </c>
      <c r="G2593" s="30">
        <f t="shared" si="2798"/>
        <v>2470</v>
      </c>
      <c r="H2593" s="8">
        <f t="shared" si="2798"/>
        <v>25000</v>
      </c>
      <c r="I2593" s="30">
        <f t="shared" si="2799"/>
        <v>5000</v>
      </c>
      <c r="J2593" s="187">
        <v>40000</v>
      </c>
      <c r="K2593" s="30">
        <f t="shared" si="2800"/>
        <v>5000</v>
      </c>
      <c r="L2593" s="187">
        <v>40000</v>
      </c>
      <c r="M2593" s="110">
        <v>9.5</v>
      </c>
      <c r="N2593" s="9">
        <f>VLOOKUP(DATE(YEAR(A2593),MONTH(A2593),DAY(A2593)),FY24_Temp[],3,FALSE)</f>
        <v>17.25</v>
      </c>
      <c r="O2593" s="110">
        <f t="shared" si="2786"/>
        <v>11.5</v>
      </c>
      <c r="P2593" s="110">
        <f t="shared" si="2787"/>
        <v>19.5</v>
      </c>
      <c r="Q2593" s="79">
        <f>VLOOKUP(VLOOKUP(DATEVALUE(TEXT(A2593,"m/d/yyyy")),FY24_Temp[],5,FALSE)&amp;TEXT(A2593,"-h"),TempDelta[],4,FALSE)</f>
        <v>0.9049999969346183</v>
      </c>
      <c r="R2593">
        <v>10</v>
      </c>
      <c r="S2593" s="112">
        <v>1500</v>
      </c>
      <c r="T2593" s="5">
        <f>VLOOKUP(TEXT(A2593,"yy-mm")&amp;"-"&amp;IF(AND(WEEKDAY(A2593)&gt;1,WEEKDAY(A2593)&lt;7),"Wkd",TEXT(A2593,"Ddd"))&amp;"-"&amp;TEXT(A2593,"hh"),LoadTable[],3,FALSE)*0.92</f>
        <v>176.52040000000002</v>
      </c>
      <c r="U2593" s="113">
        <f t="shared" si="2788"/>
        <v>17.652040000000003</v>
      </c>
      <c r="V2593">
        <f t="shared" ref="V2593:W2593" si="2822">V2569</f>
        <v>2.9</v>
      </c>
      <c r="W2593">
        <f t="shared" si="2822"/>
        <v>3.1</v>
      </c>
      <c r="X2593" s="9">
        <v>-77.448973566666993</v>
      </c>
      <c r="Y2593" s="39"/>
    </row>
    <row r="2594" spans="1:25" ht="15" thickBot="1">
      <c r="A2594" s="149">
        <f t="shared" si="2770"/>
        <v>45943.958333329028</v>
      </c>
      <c r="B2594" s="30">
        <f t="shared" si="2797"/>
        <v>5000</v>
      </c>
      <c r="C2594" s="8">
        <v>25000</v>
      </c>
      <c r="D2594" s="187">
        <v>0</v>
      </c>
      <c r="E2594" s="187">
        <v>700</v>
      </c>
      <c r="F2594" s="187">
        <v>15000</v>
      </c>
      <c r="G2594" s="30">
        <f t="shared" si="2798"/>
        <v>2470</v>
      </c>
      <c r="H2594" s="8">
        <f t="shared" si="2798"/>
        <v>25000</v>
      </c>
      <c r="I2594" s="30">
        <f t="shared" si="2799"/>
        <v>5000</v>
      </c>
      <c r="J2594" s="187">
        <v>40000</v>
      </c>
      <c r="K2594" s="30">
        <f t="shared" si="2800"/>
        <v>5000</v>
      </c>
      <c r="L2594" s="187">
        <v>40000</v>
      </c>
      <c r="M2594" s="110">
        <v>9.5</v>
      </c>
      <c r="N2594" s="9">
        <f>VLOOKUP(DATE(YEAR(A2594),MONTH(A2594),DAY(A2594)),FY24_Temp[],3,FALSE)</f>
        <v>17.25</v>
      </c>
      <c r="O2594" s="110">
        <f t="shared" si="2786"/>
        <v>11.5</v>
      </c>
      <c r="P2594" s="110">
        <f t="shared" si="2787"/>
        <v>19.5</v>
      </c>
      <c r="Q2594" s="79">
        <f>VLOOKUP(VLOOKUP(DATEVALUE(TEXT(A2594,"m/d/yyyy")),FY24_Temp[],5,FALSE)&amp;TEXT(A2594,"-h"),TempDelta[],4,FALSE)</f>
        <v>1.027285703590938</v>
      </c>
      <c r="R2594">
        <v>10</v>
      </c>
      <c r="S2594" s="112">
        <v>1500</v>
      </c>
      <c r="T2594" s="5">
        <f>VLOOKUP(TEXT(A2594,"yy-mm")&amp;"-"&amp;IF(AND(WEEKDAY(A2594)&gt;1,WEEKDAY(A2594)&lt;7),"Wkd",TEXT(A2594,"Ddd"))&amp;"-"&amp;TEXT(A2594,"hh"),LoadTable[],3,FALSE)*0.92</f>
        <v>176.52040000000002</v>
      </c>
      <c r="U2594" s="113">
        <f t="shared" si="2788"/>
        <v>17.652040000000003</v>
      </c>
      <c r="V2594">
        <f t="shared" ref="V2594:W2594" si="2823">V2570</f>
        <v>3.6</v>
      </c>
      <c r="W2594">
        <f t="shared" si="2823"/>
        <v>3.1</v>
      </c>
      <c r="X2594" s="9">
        <v>-77.526768116667</v>
      </c>
      <c r="Y2594" s="39"/>
    </row>
    <row r="2595" spans="1:25" ht="15" thickBot="1">
      <c r="A2595" s="149">
        <f t="shared" si="2770"/>
        <v>45943.999999995693</v>
      </c>
      <c r="B2595" s="30">
        <f t="shared" si="2797"/>
        <v>5000</v>
      </c>
      <c r="C2595" s="8">
        <v>25000</v>
      </c>
      <c r="D2595" s="187">
        <v>0</v>
      </c>
      <c r="E2595" s="187">
        <v>700</v>
      </c>
      <c r="F2595" s="187">
        <v>15000</v>
      </c>
      <c r="G2595" s="30">
        <f t="shared" si="2798"/>
        <v>2470</v>
      </c>
      <c r="H2595" s="8">
        <f t="shared" si="2798"/>
        <v>25000</v>
      </c>
      <c r="I2595" s="30">
        <f t="shared" si="2799"/>
        <v>5000</v>
      </c>
      <c r="J2595" s="187">
        <v>40000</v>
      </c>
      <c r="K2595" s="30">
        <f t="shared" si="2800"/>
        <v>5000</v>
      </c>
      <c r="L2595" s="187">
        <v>40000</v>
      </c>
      <c r="M2595" s="110">
        <v>9.5</v>
      </c>
      <c r="N2595" s="9">
        <f>VLOOKUP(DATE(YEAR(A2595),MONTH(A2595),DAY(A2595)),FY24_Temp[],3,FALSE)</f>
        <v>17.25</v>
      </c>
      <c r="O2595" s="110">
        <f t="shared" si="2786"/>
        <v>11.5</v>
      </c>
      <c r="P2595" s="110">
        <f t="shared" si="2787"/>
        <v>19.5</v>
      </c>
      <c r="Q2595" s="79">
        <f>VLOOKUP(VLOOKUP(DATEVALUE(TEXT(A2595,"m/d/yyyy")),FY24_Temp[],5,FALSE)&amp;TEXT(A2595,"-h"),TempDelta[],4,FALSE)</f>
        <v>1.100857138633728</v>
      </c>
      <c r="R2595">
        <v>10</v>
      </c>
      <c r="S2595" s="112">
        <v>1500</v>
      </c>
      <c r="T2595" s="5">
        <f>VLOOKUP(TEXT(A2595,"yy-mm")&amp;"-"&amp;IF(AND(WEEKDAY(A2595)&gt;1,WEEKDAY(A2595)&lt;7),"Wkd",TEXT(A2595,"Ddd"))&amp;"-"&amp;TEXT(A2595,"hh"),LoadTable[],3,FALSE)*0.92</f>
        <v>209.6772</v>
      </c>
      <c r="U2595" s="113">
        <f t="shared" si="2788"/>
        <v>20.96772</v>
      </c>
      <c r="V2595">
        <f t="shared" ref="V2595:W2595" si="2824">V2571</f>
        <v>3</v>
      </c>
      <c r="W2595">
        <f t="shared" si="2824"/>
        <v>3.2</v>
      </c>
      <c r="X2595" s="9">
        <v>-77.604562666667107</v>
      </c>
      <c r="Y2595" s="39"/>
    </row>
    <row r="2596" spans="1:25" ht="15" thickBot="1">
      <c r="A2596" s="149">
        <f t="shared" si="2770"/>
        <v>45944.041666662357</v>
      </c>
      <c r="B2596" s="30">
        <f t="shared" si="2797"/>
        <v>5000</v>
      </c>
      <c r="C2596" s="8">
        <v>25000</v>
      </c>
      <c r="D2596" s="187">
        <v>0</v>
      </c>
      <c r="E2596" s="187">
        <v>700</v>
      </c>
      <c r="F2596" s="187">
        <v>15000</v>
      </c>
      <c r="G2596" s="30">
        <f t="shared" si="2798"/>
        <v>2470</v>
      </c>
      <c r="H2596" s="8">
        <f t="shared" si="2798"/>
        <v>25000</v>
      </c>
      <c r="I2596" s="30">
        <f t="shared" si="2799"/>
        <v>5000</v>
      </c>
      <c r="J2596" s="187">
        <v>40000</v>
      </c>
      <c r="K2596" s="30">
        <f t="shared" si="2800"/>
        <v>5000</v>
      </c>
      <c r="L2596" s="187">
        <v>40000</v>
      </c>
      <c r="M2596" s="110">
        <v>9.5</v>
      </c>
      <c r="N2596" s="9">
        <f>VLOOKUP(DATE(YEAR(A2596),MONTH(A2596),DAY(A2596)),FY24_Temp[],3,FALSE)</f>
        <v>17.25</v>
      </c>
      <c r="O2596" s="110">
        <f t="shared" si="2786"/>
        <v>11.5</v>
      </c>
      <c r="P2596" s="110">
        <f t="shared" si="2787"/>
        <v>19.5</v>
      </c>
      <c r="Q2596" s="79">
        <f>VLOOKUP(VLOOKUP(DATEVALUE(TEXT(A2596,"m/d/yyyy")),FY24_Temp[],5,FALSE)&amp;TEXT(A2596,"-h"),TempDelta[],4,FALSE)</f>
        <v>1.0574285984039307</v>
      </c>
      <c r="R2596">
        <v>10</v>
      </c>
      <c r="S2596" s="112">
        <v>1500</v>
      </c>
      <c r="T2596" s="5">
        <f>VLOOKUP(TEXT(A2596,"yy-mm")&amp;"-"&amp;IF(AND(WEEKDAY(A2596)&gt;1,WEEKDAY(A2596)&lt;7),"Wkd",TEXT(A2596,"Ddd"))&amp;"-"&amp;TEXT(A2596,"hh"),LoadTable[],3,FALSE)*0.92</f>
        <v>209.6772</v>
      </c>
      <c r="U2596" s="113">
        <f t="shared" si="2788"/>
        <v>20.96772</v>
      </c>
      <c r="V2596">
        <f t="shared" ref="V2596:W2596" si="2825">V2572</f>
        <v>2.6</v>
      </c>
      <c r="W2596">
        <f t="shared" si="2825"/>
        <v>3.2</v>
      </c>
      <c r="X2596" s="9">
        <v>-77.6823572166671</v>
      </c>
      <c r="Y2596" s="39"/>
    </row>
    <row r="2597" spans="1:25" ht="15" thickBot="1">
      <c r="A2597" s="149">
        <f t="shared" si="2770"/>
        <v>45944.083333329021</v>
      </c>
      <c r="B2597" s="30">
        <f t="shared" si="2797"/>
        <v>5000</v>
      </c>
      <c r="C2597" s="8">
        <v>25000</v>
      </c>
      <c r="D2597" s="187">
        <v>0</v>
      </c>
      <c r="E2597" s="187">
        <v>700</v>
      </c>
      <c r="F2597" s="187">
        <v>15000</v>
      </c>
      <c r="G2597" s="30">
        <f t="shared" si="2798"/>
        <v>2470</v>
      </c>
      <c r="H2597" s="8">
        <f t="shared" si="2798"/>
        <v>25000</v>
      </c>
      <c r="I2597" s="30">
        <f t="shared" si="2799"/>
        <v>5000</v>
      </c>
      <c r="J2597" s="187">
        <v>40000</v>
      </c>
      <c r="K2597" s="30">
        <f t="shared" si="2800"/>
        <v>5000</v>
      </c>
      <c r="L2597" s="187">
        <v>40000</v>
      </c>
      <c r="M2597" s="110">
        <v>9.5</v>
      </c>
      <c r="N2597" s="9">
        <f>VLOOKUP(DATE(YEAR(A2597),MONTH(A2597),DAY(A2597)),FY24_Temp[],3,FALSE)</f>
        <v>17.25</v>
      </c>
      <c r="O2597" s="110">
        <f t="shared" si="2786"/>
        <v>11.5</v>
      </c>
      <c r="P2597" s="110">
        <f t="shared" si="2787"/>
        <v>19.5</v>
      </c>
      <c r="Q2597" s="79">
        <f>VLOOKUP(VLOOKUP(DATEVALUE(TEXT(A2597,"m/d/yyyy")),FY24_Temp[],5,FALSE)&amp;TEXT(A2597,"-h"),TempDelta[],4,FALSE)</f>
        <v>0.96828572239194599</v>
      </c>
      <c r="R2597">
        <v>10</v>
      </c>
      <c r="S2597" s="112">
        <v>1500</v>
      </c>
      <c r="T2597" s="5">
        <f>VLOOKUP(TEXT(A2597,"yy-mm")&amp;"-"&amp;IF(AND(WEEKDAY(A2597)&gt;1,WEEKDAY(A2597)&lt;7),"Wkd",TEXT(A2597,"Ddd"))&amp;"-"&amp;TEXT(A2597,"hh"),LoadTable[],3,FALSE)*0.92</f>
        <v>209.6772</v>
      </c>
      <c r="U2597" s="113">
        <f t="shared" si="2788"/>
        <v>20.96772</v>
      </c>
      <c r="V2597">
        <f t="shared" ref="V2597:W2597" si="2826">V2573</f>
        <v>2.8</v>
      </c>
      <c r="W2597">
        <f t="shared" si="2826"/>
        <v>3.2</v>
      </c>
      <c r="X2597" s="9">
        <v>-77.760151766667093</v>
      </c>
      <c r="Y2597" s="39"/>
    </row>
    <row r="2598" spans="1:25" ht="15" thickBot="1">
      <c r="A2598" s="149">
        <f t="shared" si="2770"/>
        <v>45944.124999995685</v>
      </c>
      <c r="B2598" s="30">
        <f t="shared" si="2797"/>
        <v>5000</v>
      </c>
      <c r="C2598" s="8">
        <v>25000</v>
      </c>
      <c r="D2598" s="187">
        <v>0</v>
      </c>
      <c r="E2598" s="187">
        <v>700</v>
      </c>
      <c r="F2598" s="187">
        <v>15000</v>
      </c>
      <c r="G2598" s="30">
        <f t="shared" si="2798"/>
        <v>2470</v>
      </c>
      <c r="H2598" s="8">
        <f t="shared" si="2798"/>
        <v>25000</v>
      </c>
      <c r="I2598" s="30">
        <f t="shared" si="2799"/>
        <v>5000</v>
      </c>
      <c r="J2598" s="187">
        <v>40000</v>
      </c>
      <c r="K2598" s="30">
        <f t="shared" si="2800"/>
        <v>5000</v>
      </c>
      <c r="L2598" s="187">
        <v>40000</v>
      </c>
      <c r="M2598" s="110">
        <v>9.5</v>
      </c>
      <c r="N2598" s="9">
        <f>VLOOKUP(DATE(YEAR(A2598),MONTH(A2598),DAY(A2598)),FY24_Temp[],3,FALSE)</f>
        <v>17.25</v>
      </c>
      <c r="O2598" s="110">
        <f t="shared" si="2786"/>
        <v>11.5</v>
      </c>
      <c r="P2598" s="110">
        <f t="shared" si="2787"/>
        <v>19.5</v>
      </c>
      <c r="Q2598" s="79">
        <f>VLOOKUP(VLOOKUP(DATEVALUE(TEXT(A2598,"m/d/yyyy")),FY24_Temp[],5,FALSE)&amp;TEXT(A2598,"-h"),TempDelta[],4,FALSE)</f>
        <v>0.8611428397042411</v>
      </c>
      <c r="R2598">
        <v>10</v>
      </c>
      <c r="S2598" s="112">
        <v>1500</v>
      </c>
      <c r="T2598" s="5">
        <f>VLOOKUP(TEXT(A2598,"yy-mm")&amp;"-"&amp;IF(AND(WEEKDAY(A2598)&gt;1,WEEKDAY(A2598)&lt;7),"Wkd",TEXT(A2598,"Ddd"))&amp;"-"&amp;TEXT(A2598,"hh"),LoadTable[],3,FALSE)*0.92</f>
        <v>209.6772</v>
      </c>
      <c r="U2598" s="113">
        <f t="shared" si="2788"/>
        <v>20.96772</v>
      </c>
      <c r="V2598">
        <f t="shared" ref="V2598:W2598" si="2827">V2574</f>
        <v>2.7</v>
      </c>
      <c r="W2598">
        <f t="shared" si="2827"/>
        <v>3.2</v>
      </c>
      <c r="X2598" s="9">
        <v>-77.8379463166671</v>
      </c>
      <c r="Y2598" s="39"/>
    </row>
    <row r="2599" spans="1:25" ht="15" thickBot="1">
      <c r="A2599" s="149">
        <f t="shared" si="2770"/>
        <v>45944.16666666235</v>
      </c>
      <c r="B2599" s="30">
        <f t="shared" si="2797"/>
        <v>5000</v>
      </c>
      <c r="C2599" s="8">
        <v>25000</v>
      </c>
      <c r="D2599" s="187">
        <v>0</v>
      </c>
      <c r="E2599" s="187">
        <v>700</v>
      </c>
      <c r="F2599" s="187">
        <v>15000</v>
      </c>
      <c r="G2599" s="30">
        <f t="shared" si="2798"/>
        <v>2470</v>
      </c>
      <c r="H2599" s="8">
        <f t="shared" si="2798"/>
        <v>25000</v>
      </c>
      <c r="I2599" s="30">
        <f t="shared" si="2799"/>
        <v>5000</v>
      </c>
      <c r="J2599" s="187">
        <v>40000</v>
      </c>
      <c r="K2599" s="30">
        <f t="shared" si="2800"/>
        <v>5000</v>
      </c>
      <c r="L2599" s="187">
        <v>40000</v>
      </c>
      <c r="M2599" s="110">
        <v>9.5</v>
      </c>
      <c r="N2599" s="9">
        <f>VLOOKUP(DATE(YEAR(A2599),MONTH(A2599),DAY(A2599)),FY24_Temp[],3,FALSE)</f>
        <v>17.25</v>
      </c>
      <c r="O2599" s="110">
        <f t="shared" si="2786"/>
        <v>11.5</v>
      </c>
      <c r="P2599" s="110">
        <f t="shared" si="2787"/>
        <v>19.5</v>
      </c>
      <c r="Q2599" s="79">
        <f>VLOOKUP(VLOOKUP(DATEVALUE(TEXT(A2599,"m/d/yyyy")),FY24_Temp[],5,FALSE)&amp;TEXT(A2599,"-h"),TempDelta[],4,FALSE)</f>
        <v>0.76914285761969425</v>
      </c>
      <c r="R2599">
        <v>10</v>
      </c>
      <c r="S2599" s="112">
        <v>1500</v>
      </c>
      <c r="T2599" s="5">
        <f>VLOOKUP(TEXT(A2599,"yy-mm")&amp;"-"&amp;IF(AND(WEEKDAY(A2599)&gt;1,WEEKDAY(A2599)&lt;7),"Wkd",TEXT(A2599,"Ddd"))&amp;"-"&amp;TEXT(A2599,"hh"),LoadTable[],3,FALSE)*0.92</f>
        <v>209.6772</v>
      </c>
      <c r="U2599" s="113">
        <f t="shared" si="2788"/>
        <v>20.96772</v>
      </c>
      <c r="V2599">
        <f t="shared" ref="V2599:W2599" si="2828">V2575</f>
        <v>3</v>
      </c>
      <c r="W2599">
        <f t="shared" si="2828"/>
        <v>3.1</v>
      </c>
      <c r="X2599" s="9">
        <v>-77.915740866667093</v>
      </c>
      <c r="Y2599" s="39"/>
    </row>
    <row r="2600" spans="1:25" ht="15" thickBot="1">
      <c r="A2600" s="149">
        <f t="shared" si="2770"/>
        <v>45944.208333329014</v>
      </c>
      <c r="B2600" s="30">
        <f t="shared" si="2797"/>
        <v>5000</v>
      </c>
      <c r="C2600" s="8">
        <v>25000</v>
      </c>
      <c r="D2600" s="187">
        <v>0</v>
      </c>
      <c r="E2600" s="187">
        <v>700</v>
      </c>
      <c r="F2600" s="187">
        <v>15000</v>
      </c>
      <c r="G2600" s="30">
        <f t="shared" si="2798"/>
        <v>2470</v>
      </c>
      <c r="H2600" s="8">
        <f t="shared" si="2798"/>
        <v>25000</v>
      </c>
      <c r="I2600" s="30">
        <f t="shared" si="2799"/>
        <v>5000</v>
      </c>
      <c r="J2600" s="187">
        <v>40000</v>
      </c>
      <c r="K2600" s="30">
        <f t="shared" si="2800"/>
        <v>5000</v>
      </c>
      <c r="L2600" s="187">
        <v>40000</v>
      </c>
      <c r="M2600" s="110">
        <v>9.5</v>
      </c>
      <c r="N2600" s="9">
        <f>VLOOKUP(DATE(YEAR(A2600),MONTH(A2600),DAY(A2600)),FY24_Temp[],3,FALSE)</f>
        <v>17.25</v>
      </c>
      <c r="O2600" s="110">
        <f t="shared" si="2786"/>
        <v>11.5</v>
      </c>
      <c r="P2600" s="110">
        <f t="shared" si="2787"/>
        <v>19.5</v>
      </c>
      <c r="Q2600" s="79">
        <f>VLOOKUP(VLOOKUP(DATEVALUE(TEXT(A2600,"m/d/yyyy")),FY24_Temp[],5,FALSE)&amp;TEXT(A2600,"-h"),TempDelta[],4,FALSE)</f>
        <v>0.79885715246200562</v>
      </c>
      <c r="R2600">
        <v>10</v>
      </c>
      <c r="S2600" s="112">
        <v>1500</v>
      </c>
      <c r="T2600" s="5">
        <f>VLOOKUP(TEXT(A2600,"yy-mm")&amp;"-"&amp;IF(AND(WEEKDAY(A2600)&gt;1,WEEKDAY(A2600)&lt;7),"Wkd",TEXT(A2600,"Ddd"))&amp;"-"&amp;TEXT(A2600,"hh"),LoadTable[],3,FALSE)*0.92</f>
        <v>209.6772</v>
      </c>
      <c r="U2600" s="113">
        <f t="shared" si="2788"/>
        <v>20.96772</v>
      </c>
      <c r="V2600">
        <f t="shared" ref="V2600:W2600" si="2829">V2576</f>
        <v>2.9</v>
      </c>
      <c r="W2600">
        <f t="shared" si="2829"/>
        <v>3.1</v>
      </c>
      <c r="X2600" s="9">
        <v>-77.9935354166671</v>
      </c>
      <c r="Y2600" s="39"/>
    </row>
    <row r="2601" spans="1:25" ht="15" thickBot="1">
      <c r="A2601" s="149">
        <f t="shared" si="2770"/>
        <v>45944.249999995678</v>
      </c>
      <c r="B2601" s="30">
        <f t="shared" si="2797"/>
        <v>8000</v>
      </c>
      <c r="C2601" s="8">
        <v>25000</v>
      </c>
      <c r="D2601" s="187">
        <v>0</v>
      </c>
      <c r="E2601" s="187">
        <v>700</v>
      </c>
      <c r="F2601" s="187">
        <v>15000</v>
      </c>
      <c r="G2601" s="30">
        <f t="shared" si="2798"/>
        <v>2470</v>
      </c>
      <c r="H2601" s="8">
        <f t="shared" si="2798"/>
        <v>25000</v>
      </c>
      <c r="I2601" s="30">
        <f t="shared" si="2799"/>
        <v>8000</v>
      </c>
      <c r="J2601" s="187">
        <v>40000</v>
      </c>
      <c r="K2601" s="30">
        <f t="shared" si="2800"/>
        <v>8000</v>
      </c>
      <c r="L2601" s="187">
        <v>40000</v>
      </c>
      <c r="M2601" s="110">
        <v>9.5</v>
      </c>
      <c r="N2601" s="9">
        <f>VLOOKUP(DATE(YEAR(A2601),MONTH(A2601),DAY(A2601)),FY24_Temp[],3,FALSE)</f>
        <v>17.25</v>
      </c>
      <c r="O2601" s="110">
        <f t="shared" si="2786"/>
        <v>11.5</v>
      </c>
      <c r="P2601" s="110">
        <f t="shared" si="2787"/>
        <v>19.5</v>
      </c>
      <c r="Q2601" s="79">
        <f>VLOOKUP(VLOOKUP(DATEVALUE(TEXT(A2601,"m/d/yyyy")),FY24_Temp[],5,FALSE)&amp;TEXT(A2601,"-h"),TempDelta[],4,FALSE)</f>
        <v>0.64628570420401432</v>
      </c>
      <c r="R2601">
        <v>10</v>
      </c>
      <c r="S2601" s="112">
        <v>1500</v>
      </c>
      <c r="T2601" s="5">
        <f>VLOOKUP(TEXT(A2601,"yy-mm")&amp;"-"&amp;IF(AND(WEEKDAY(A2601)&gt;1,WEEKDAY(A2601)&lt;7),"Wkd",TEXT(A2601,"Ddd"))&amp;"-"&amp;TEXT(A2601,"hh"),LoadTable[],3,FALSE)*0.92</f>
        <v>209.6772</v>
      </c>
      <c r="U2601" s="113">
        <f t="shared" si="2788"/>
        <v>20.96772</v>
      </c>
      <c r="V2601">
        <f t="shared" ref="V2601:W2601" si="2830">V2577</f>
        <v>2.5</v>
      </c>
      <c r="W2601">
        <f t="shared" si="2830"/>
        <v>3.1</v>
      </c>
      <c r="X2601" s="9">
        <v>-78.071329966667093</v>
      </c>
      <c r="Y2601" s="39"/>
    </row>
    <row r="2602" spans="1:25" ht="15" thickBot="1">
      <c r="A2602" s="149">
        <f t="shared" si="2770"/>
        <v>45944.291666662342</v>
      </c>
      <c r="B2602" s="30">
        <f t="shared" si="2797"/>
        <v>8000</v>
      </c>
      <c r="C2602" s="8">
        <v>25000</v>
      </c>
      <c r="D2602" s="187">
        <v>0</v>
      </c>
      <c r="E2602" s="187">
        <v>700</v>
      </c>
      <c r="F2602" s="187">
        <v>15000</v>
      </c>
      <c r="G2602" s="30">
        <f t="shared" si="2798"/>
        <v>2470</v>
      </c>
      <c r="H2602" s="8">
        <f t="shared" si="2798"/>
        <v>25000</v>
      </c>
      <c r="I2602" s="30">
        <f t="shared" si="2799"/>
        <v>8000</v>
      </c>
      <c r="J2602" s="187">
        <v>40000</v>
      </c>
      <c r="K2602" s="30">
        <f t="shared" si="2800"/>
        <v>8000</v>
      </c>
      <c r="L2602" s="187">
        <v>40000</v>
      </c>
      <c r="M2602" s="110">
        <v>9.5</v>
      </c>
      <c r="N2602" s="9">
        <f>VLOOKUP(DATE(YEAR(A2602),MONTH(A2602),DAY(A2602)),FY24_Temp[],3,FALSE)</f>
        <v>17.25</v>
      </c>
      <c r="O2602" s="110">
        <f t="shared" si="2786"/>
        <v>11.5</v>
      </c>
      <c r="P2602" s="110">
        <f t="shared" si="2787"/>
        <v>19.5</v>
      </c>
      <c r="Q2602" s="79">
        <f>VLOOKUP(VLOOKUP(DATEVALUE(TEXT(A2602,"m/d/yyyy")),FY24_Temp[],5,FALSE)&amp;TEXT(A2602,"-h"),TempDelta[],4,FALSE)</f>
        <v>0.46642856938498362</v>
      </c>
      <c r="R2602">
        <v>10</v>
      </c>
      <c r="S2602" s="112">
        <v>1500</v>
      </c>
      <c r="T2602" s="5">
        <f>VLOOKUP(TEXT(A2602,"yy-mm")&amp;"-"&amp;IF(AND(WEEKDAY(A2602)&gt;1,WEEKDAY(A2602)&lt;7),"Wkd",TEXT(A2602,"Ddd"))&amp;"-"&amp;TEXT(A2602,"hh"),LoadTable[],3,FALSE)*0.92</f>
        <v>234.80148</v>
      </c>
      <c r="U2602" s="113">
        <f t="shared" si="2788"/>
        <v>23.480148</v>
      </c>
      <c r="V2602">
        <f t="shared" ref="V2602:W2602" si="2831">V2578</f>
        <v>2.5</v>
      </c>
      <c r="W2602">
        <f t="shared" si="2831"/>
        <v>3.1</v>
      </c>
      <c r="X2602" s="9">
        <v>-78.149124516667101</v>
      </c>
      <c r="Y2602" s="39"/>
    </row>
    <row r="2603" spans="1:25" ht="15" thickBot="1">
      <c r="A2603" s="149">
        <f t="shared" si="2770"/>
        <v>45944.333333329007</v>
      </c>
      <c r="B2603" s="30">
        <f t="shared" si="2797"/>
        <v>8000</v>
      </c>
      <c r="C2603" s="8">
        <v>25000</v>
      </c>
      <c r="D2603" s="187">
        <v>0</v>
      </c>
      <c r="E2603" s="187">
        <v>700</v>
      </c>
      <c r="F2603" s="187">
        <v>15000</v>
      </c>
      <c r="G2603" s="30">
        <f t="shared" si="2798"/>
        <v>2470</v>
      </c>
      <c r="H2603" s="8">
        <f t="shared" si="2798"/>
        <v>25000</v>
      </c>
      <c r="I2603" s="30">
        <f t="shared" si="2799"/>
        <v>8000</v>
      </c>
      <c r="J2603" s="187">
        <v>40000</v>
      </c>
      <c r="K2603" s="30">
        <f t="shared" si="2800"/>
        <v>8000</v>
      </c>
      <c r="L2603" s="187">
        <v>40000</v>
      </c>
      <c r="M2603" s="110">
        <v>9.5</v>
      </c>
      <c r="N2603" s="9">
        <f>VLOOKUP(DATE(YEAR(A2603),MONTH(A2603),DAY(A2603)),FY24_Temp[],3,FALSE)</f>
        <v>17.25</v>
      </c>
      <c r="O2603" s="110">
        <f t="shared" si="2786"/>
        <v>11.5</v>
      </c>
      <c r="P2603" s="110">
        <f t="shared" si="2787"/>
        <v>19.5</v>
      </c>
      <c r="Q2603" s="79">
        <f>VLOOKUP(VLOOKUP(DATEVALUE(TEXT(A2603,"m/d/yyyy")),FY24_Temp[],5,FALSE)&amp;TEXT(A2603,"-h"),TempDelta[],4,FALSE)</f>
        <v>0.36357143095561434</v>
      </c>
      <c r="R2603">
        <v>10</v>
      </c>
      <c r="S2603" s="112">
        <v>1500</v>
      </c>
      <c r="T2603" s="5">
        <f>VLOOKUP(TEXT(A2603,"yy-mm")&amp;"-"&amp;IF(AND(WEEKDAY(A2603)&gt;1,WEEKDAY(A2603)&lt;7),"Wkd",TEXT(A2603,"Ddd"))&amp;"-"&amp;TEXT(A2603,"hh"),LoadTable[],3,FALSE)*0.92</f>
        <v>234.80148</v>
      </c>
      <c r="U2603" s="113">
        <f t="shared" si="2788"/>
        <v>23.480148</v>
      </c>
      <c r="V2603">
        <f t="shared" ref="V2603:W2603" si="2832">V2579</f>
        <v>3.2</v>
      </c>
      <c r="W2603">
        <f t="shared" si="2832"/>
        <v>3</v>
      </c>
      <c r="X2603" s="9">
        <v>-78.226919066667094</v>
      </c>
      <c r="Y2603" s="39"/>
    </row>
    <row r="2604" spans="1:25" ht="15" thickBot="1">
      <c r="A2604" s="149">
        <f t="shared" si="2770"/>
        <v>45944.374999995671</v>
      </c>
      <c r="B2604" s="30">
        <f t="shared" si="2797"/>
        <v>8000</v>
      </c>
      <c r="C2604" s="8">
        <v>25000</v>
      </c>
      <c r="D2604" s="187">
        <v>0</v>
      </c>
      <c r="E2604" s="187">
        <v>700</v>
      </c>
      <c r="F2604" s="187">
        <v>15000</v>
      </c>
      <c r="G2604" s="30">
        <f t="shared" si="2798"/>
        <v>2470</v>
      </c>
      <c r="H2604" s="8">
        <f t="shared" si="2798"/>
        <v>25000</v>
      </c>
      <c r="I2604" s="30">
        <f t="shared" si="2799"/>
        <v>8000</v>
      </c>
      <c r="J2604" s="187">
        <v>40000</v>
      </c>
      <c r="K2604" s="30">
        <f t="shared" si="2800"/>
        <v>8000</v>
      </c>
      <c r="L2604" s="187">
        <v>40000</v>
      </c>
      <c r="M2604" s="110">
        <v>9.5</v>
      </c>
      <c r="N2604" s="9">
        <f>VLOOKUP(DATE(YEAR(A2604),MONTH(A2604),DAY(A2604)),FY24_Temp[],3,FALSE)</f>
        <v>17.25</v>
      </c>
      <c r="O2604" s="110">
        <f t="shared" si="2786"/>
        <v>11.5</v>
      </c>
      <c r="P2604" s="110">
        <f t="shared" si="2787"/>
        <v>19.5</v>
      </c>
      <c r="Q2604" s="79">
        <f>VLOOKUP(VLOOKUP(DATEVALUE(TEXT(A2604,"m/d/yyyy")),FY24_Temp[],5,FALSE)&amp;TEXT(A2604,"-h"),TempDelta[],4,FALSE)</f>
        <v>0.28171428825174061</v>
      </c>
      <c r="R2604">
        <v>10</v>
      </c>
      <c r="S2604" s="112">
        <v>1500</v>
      </c>
      <c r="T2604" s="5">
        <f>VLOOKUP(TEXT(A2604,"yy-mm")&amp;"-"&amp;IF(AND(WEEKDAY(A2604)&gt;1,WEEKDAY(A2604)&lt;7),"Wkd",TEXT(A2604,"Ddd"))&amp;"-"&amp;TEXT(A2604,"hh"),LoadTable[],3,FALSE)*0.92</f>
        <v>234.80148</v>
      </c>
      <c r="U2604" s="113">
        <f t="shared" si="2788"/>
        <v>23.480148</v>
      </c>
      <c r="V2604">
        <f t="shared" ref="V2604:W2604" si="2833">V2580</f>
        <v>2.9</v>
      </c>
      <c r="W2604">
        <f t="shared" si="2833"/>
        <v>3</v>
      </c>
      <c r="X2604" s="9">
        <v>-78.304713616667101</v>
      </c>
      <c r="Y2604" s="39"/>
    </row>
    <row r="2605" spans="1:25" ht="15" thickBot="1">
      <c r="A2605" s="149">
        <f t="shared" si="2770"/>
        <v>45944.416666662335</v>
      </c>
      <c r="B2605" s="30">
        <f t="shared" si="2797"/>
        <v>8000</v>
      </c>
      <c r="C2605" s="8">
        <v>25000</v>
      </c>
      <c r="D2605" s="187">
        <v>0</v>
      </c>
      <c r="E2605" s="187">
        <v>700</v>
      </c>
      <c r="F2605" s="187">
        <v>15000</v>
      </c>
      <c r="G2605" s="30">
        <f t="shared" si="2798"/>
        <v>2470</v>
      </c>
      <c r="H2605" s="8">
        <f t="shared" si="2798"/>
        <v>25000</v>
      </c>
      <c r="I2605" s="30">
        <f t="shared" si="2799"/>
        <v>8000</v>
      </c>
      <c r="J2605" s="187">
        <v>40000</v>
      </c>
      <c r="K2605" s="30">
        <f t="shared" si="2800"/>
        <v>8000</v>
      </c>
      <c r="L2605" s="187">
        <v>40000</v>
      </c>
      <c r="M2605" s="110">
        <v>9.5</v>
      </c>
      <c r="N2605" s="9">
        <f>VLOOKUP(DATE(YEAR(A2605),MONTH(A2605),DAY(A2605)),FY24_Temp[],3,FALSE)</f>
        <v>17.25</v>
      </c>
      <c r="O2605" s="110">
        <f t="shared" si="2786"/>
        <v>11.5</v>
      </c>
      <c r="P2605" s="110">
        <f t="shared" si="2787"/>
        <v>19.5</v>
      </c>
      <c r="Q2605" s="79">
        <f>VLOOKUP(VLOOKUP(DATEVALUE(TEXT(A2605,"m/d/yyyy")),FY24_Temp[],5,FALSE)&amp;TEXT(A2605,"-h"),TempDelta[],4,FALSE)</f>
        <v>0.18571428209543228</v>
      </c>
      <c r="R2605">
        <v>10</v>
      </c>
      <c r="S2605" s="112">
        <v>1500</v>
      </c>
      <c r="T2605" s="5">
        <f>VLOOKUP(TEXT(A2605,"yy-mm")&amp;"-"&amp;IF(AND(WEEKDAY(A2605)&gt;1,WEEKDAY(A2605)&lt;7),"Wkd",TEXT(A2605,"Ddd"))&amp;"-"&amp;TEXT(A2605,"hh"),LoadTable[],3,FALSE)*0.92</f>
        <v>234.80148</v>
      </c>
      <c r="U2605" s="113">
        <f t="shared" si="2788"/>
        <v>23.480148</v>
      </c>
      <c r="V2605">
        <f t="shared" ref="V2605:W2605" si="2834">V2581</f>
        <v>2.9</v>
      </c>
      <c r="W2605">
        <f t="shared" si="2834"/>
        <v>3</v>
      </c>
      <c r="X2605" s="9">
        <v>-78.382508166667094</v>
      </c>
      <c r="Y2605" s="39"/>
    </row>
    <row r="2606" spans="1:25" ht="15" thickBot="1">
      <c r="A2606" s="149">
        <f t="shared" si="2770"/>
        <v>45944.458333328999</v>
      </c>
      <c r="B2606" s="30">
        <f t="shared" si="2797"/>
        <v>8000</v>
      </c>
      <c r="C2606" s="8">
        <v>25000</v>
      </c>
      <c r="D2606" s="187">
        <v>0</v>
      </c>
      <c r="E2606" s="187">
        <v>700</v>
      </c>
      <c r="F2606" s="187">
        <v>15000</v>
      </c>
      <c r="G2606" s="30">
        <f t="shared" si="2798"/>
        <v>2470</v>
      </c>
      <c r="H2606" s="8">
        <f t="shared" si="2798"/>
        <v>25000</v>
      </c>
      <c r="I2606" s="30">
        <f t="shared" si="2799"/>
        <v>8000</v>
      </c>
      <c r="J2606" s="187">
        <v>40000</v>
      </c>
      <c r="K2606" s="30">
        <f t="shared" si="2800"/>
        <v>8000</v>
      </c>
      <c r="L2606" s="187">
        <v>40000</v>
      </c>
      <c r="M2606" s="110">
        <v>9.5</v>
      </c>
      <c r="N2606" s="9">
        <f>VLOOKUP(DATE(YEAR(A2606),MONTH(A2606),DAY(A2606)),FY24_Temp[],3,FALSE)</f>
        <v>17.25</v>
      </c>
      <c r="O2606" s="110">
        <f t="shared" si="2786"/>
        <v>11.5</v>
      </c>
      <c r="P2606" s="110">
        <f t="shared" si="2787"/>
        <v>19.5</v>
      </c>
      <c r="Q2606" s="79">
        <f>VLOOKUP(VLOOKUP(DATEVALUE(TEXT(A2606,"m/d/yyyy")),FY24_Temp[],5,FALSE)&amp;TEXT(A2606,"-h"),TempDelta[],4,FALSE)</f>
        <v>0.10357142758688756</v>
      </c>
      <c r="R2606">
        <v>10</v>
      </c>
      <c r="S2606" s="112">
        <v>1500</v>
      </c>
      <c r="T2606" s="5">
        <f>VLOOKUP(TEXT(A2606,"yy-mm")&amp;"-"&amp;IF(AND(WEEKDAY(A2606)&gt;1,WEEKDAY(A2606)&lt;7),"Wkd",TEXT(A2606,"Ddd"))&amp;"-"&amp;TEXT(A2606,"hh"),LoadTable[],3,FALSE)*0.92</f>
        <v>234.80148</v>
      </c>
      <c r="U2606" s="113">
        <f t="shared" si="2788"/>
        <v>23.480148</v>
      </c>
      <c r="V2606">
        <f t="shared" ref="V2606:W2606" si="2835">V2582</f>
        <v>3.4</v>
      </c>
      <c r="W2606">
        <f t="shared" si="2835"/>
        <v>3</v>
      </c>
      <c r="X2606" s="9">
        <v>-78.460302716667101</v>
      </c>
      <c r="Y2606" s="39"/>
    </row>
    <row r="2607" spans="1:25" ht="15" thickBot="1">
      <c r="A2607" s="149">
        <f t="shared" si="2770"/>
        <v>45944.499999995664</v>
      </c>
      <c r="B2607" s="30">
        <f t="shared" si="2797"/>
        <v>8000</v>
      </c>
      <c r="C2607" s="8">
        <v>25000</v>
      </c>
      <c r="D2607" s="187">
        <v>0</v>
      </c>
      <c r="E2607" s="187">
        <v>700</v>
      </c>
      <c r="F2607" s="187">
        <v>15000</v>
      </c>
      <c r="G2607" s="30">
        <f t="shared" si="2798"/>
        <v>2470</v>
      </c>
      <c r="H2607" s="8">
        <f t="shared" si="2798"/>
        <v>25000</v>
      </c>
      <c r="I2607" s="30">
        <f t="shared" si="2799"/>
        <v>8000</v>
      </c>
      <c r="J2607" s="187">
        <v>40000</v>
      </c>
      <c r="K2607" s="30">
        <f t="shared" si="2800"/>
        <v>8000</v>
      </c>
      <c r="L2607" s="187">
        <v>40000</v>
      </c>
      <c r="M2607" s="110">
        <v>9.5</v>
      </c>
      <c r="N2607" s="9">
        <f>VLOOKUP(DATE(YEAR(A2607),MONTH(A2607),DAY(A2607)),FY24_Temp[],3,FALSE)</f>
        <v>17.25</v>
      </c>
      <c r="O2607" s="110">
        <f t="shared" si="2786"/>
        <v>11.5</v>
      </c>
      <c r="P2607" s="110">
        <f t="shared" si="2787"/>
        <v>19.5</v>
      </c>
      <c r="Q2607" s="79">
        <f>VLOOKUP(VLOOKUP(DATEVALUE(TEXT(A2607,"m/d/yyyy")),FY24_Temp[],5,FALSE)&amp;TEXT(A2607,"-h"),TempDelta[],4,FALSE)</f>
        <v>3.9142857438751628E-2</v>
      </c>
      <c r="R2607">
        <v>10</v>
      </c>
      <c r="S2607" s="112">
        <v>1500</v>
      </c>
      <c r="T2607" s="5">
        <f>VLOOKUP(TEXT(A2607,"yy-mm")&amp;"-"&amp;IF(AND(WEEKDAY(A2607)&gt;1,WEEKDAY(A2607)&lt;7),"Wkd",TEXT(A2607,"Ddd"))&amp;"-"&amp;TEXT(A2607,"hh"),LoadTable[],3,FALSE)*0.92</f>
        <v>234.80148</v>
      </c>
      <c r="U2607" s="113">
        <f t="shared" si="2788"/>
        <v>23.480148</v>
      </c>
      <c r="V2607">
        <f t="shared" ref="V2607:W2607" si="2836">V2583</f>
        <v>3.1</v>
      </c>
      <c r="W2607">
        <f t="shared" si="2836"/>
        <v>2.9</v>
      </c>
      <c r="X2607" s="9">
        <v>-78.538097266667094</v>
      </c>
      <c r="Y2607" s="39"/>
    </row>
    <row r="2608" spans="1:25" ht="15" thickBot="1">
      <c r="A2608" s="149">
        <f t="shared" si="2770"/>
        <v>45944.541666662328</v>
      </c>
      <c r="B2608" s="30">
        <f t="shared" si="2797"/>
        <v>8000</v>
      </c>
      <c r="C2608" s="8">
        <v>25000</v>
      </c>
      <c r="D2608" s="187">
        <v>0</v>
      </c>
      <c r="E2608" s="187">
        <v>700</v>
      </c>
      <c r="F2608" s="187">
        <v>15000</v>
      </c>
      <c r="G2608" s="30">
        <f t="shared" si="2798"/>
        <v>2470</v>
      </c>
      <c r="H2608" s="8">
        <f t="shared" si="2798"/>
        <v>25000</v>
      </c>
      <c r="I2608" s="30">
        <f t="shared" si="2799"/>
        <v>8000</v>
      </c>
      <c r="J2608" s="187">
        <v>40000</v>
      </c>
      <c r="K2608" s="30">
        <f t="shared" si="2800"/>
        <v>8000</v>
      </c>
      <c r="L2608" s="187">
        <v>40000</v>
      </c>
      <c r="M2608" s="110">
        <v>9.5</v>
      </c>
      <c r="N2608" s="9">
        <f>VLOOKUP(DATE(YEAR(A2608),MONTH(A2608),DAY(A2608)),FY24_Temp[],3,FALSE)</f>
        <v>17.25</v>
      </c>
      <c r="O2608" s="110">
        <f t="shared" si="2786"/>
        <v>11.5</v>
      </c>
      <c r="P2608" s="110">
        <f t="shared" si="2787"/>
        <v>19.5</v>
      </c>
      <c r="Q2608" s="79">
        <f>VLOOKUP(VLOOKUP(DATEVALUE(TEXT(A2608,"m/d/yyyy")),FY24_Temp[],5,FALSE)&amp;TEXT(A2608,"-h"),TempDelta[],4,FALSE)</f>
        <v>5.2857138216495514E-3</v>
      </c>
      <c r="R2608">
        <v>10</v>
      </c>
      <c r="S2608" s="112">
        <v>1500</v>
      </c>
      <c r="T2608" s="5">
        <f>VLOOKUP(TEXT(A2608,"yy-mm")&amp;"-"&amp;IF(AND(WEEKDAY(A2608)&gt;1,WEEKDAY(A2608)&lt;7),"Wkd",TEXT(A2608,"Ddd"))&amp;"-"&amp;TEXT(A2608,"hh"),LoadTable[],3,FALSE)*0.92</f>
        <v>234.80148</v>
      </c>
      <c r="U2608" s="113">
        <f t="shared" si="2788"/>
        <v>23.480148</v>
      </c>
      <c r="V2608">
        <f t="shared" ref="V2608:W2608" si="2837">V2584</f>
        <v>3.2</v>
      </c>
      <c r="W2608">
        <f t="shared" si="2837"/>
        <v>2.9</v>
      </c>
      <c r="X2608" s="9">
        <v>-78.615891816667101</v>
      </c>
      <c r="Y2608" s="39"/>
    </row>
    <row r="2609" spans="1:25" ht="15" thickBot="1">
      <c r="A2609" s="149">
        <f t="shared" si="2770"/>
        <v>45944.583333328992</v>
      </c>
      <c r="B2609" s="30">
        <f t="shared" si="2797"/>
        <v>8000</v>
      </c>
      <c r="C2609" s="8">
        <v>25000</v>
      </c>
      <c r="D2609" s="187">
        <v>0</v>
      </c>
      <c r="E2609" s="187">
        <v>700</v>
      </c>
      <c r="F2609" s="187">
        <v>15000</v>
      </c>
      <c r="G2609" s="30">
        <f t="shared" si="2798"/>
        <v>2470</v>
      </c>
      <c r="H2609" s="8">
        <f t="shared" si="2798"/>
        <v>25000</v>
      </c>
      <c r="I2609" s="30">
        <f t="shared" si="2799"/>
        <v>8000</v>
      </c>
      <c r="J2609" s="187">
        <v>40000</v>
      </c>
      <c r="K2609" s="30">
        <f t="shared" si="2800"/>
        <v>8000</v>
      </c>
      <c r="L2609" s="187">
        <v>40000</v>
      </c>
      <c r="M2609" s="110">
        <v>9.5</v>
      </c>
      <c r="N2609" s="9">
        <f>VLOOKUP(DATE(YEAR(A2609),MONTH(A2609),DAY(A2609)),FY24_Temp[],3,FALSE)</f>
        <v>17.25</v>
      </c>
      <c r="O2609" s="110">
        <f t="shared" si="2786"/>
        <v>11.5</v>
      </c>
      <c r="P2609" s="110">
        <f t="shared" si="2787"/>
        <v>19.5</v>
      </c>
      <c r="Q2609" s="79">
        <f>VLOOKUP(VLOOKUP(DATEVALUE(TEXT(A2609,"m/d/yyyy")),FY24_Temp[],5,FALSE)&amp;TEXT(A2609,"-h"),TempDelta[],4,FALSE)</f>
        <v>6.9857144478841546E-2</v>
      </c>
      <c r="R2609">
        <v>10</v>
      </c>
      <c r="S2609" s="112">
        <v>1500</v>
      </c>
      <c r="T2609" s="5">
        <f>VLOOKUP(TEXT(A2609,"yy-mm")&amp;"-"&amp;IF(AND(WEEKDAY(A2609)&gt;1,WEEKDAY(A2609)&lt;7),"Wkd",TEXT(A2609,"Ddd"))&amp;"-"&amp;TEXT(A2609,"hh"),LoadTable[],3,FALSE)*0.92</f>
        <v>234.80148</v>
      </c>
      <c r="U2609" s="113">
        <f t="shared" si="2788"/>
        <v>23.480148</v>
      </c>
      <c r="V2609">
        <f t="shared" ref="V2609:W2609" si="2838">V2585</f>
        <v>3.5</v>
      </c>
      <c r="W2609">
        <f t="shared" si="2838"/>
        <v>2.9</v>
      </c>
      <c r="X2609" s="9">
        <v>-78.693686366667194</v>
      </c>
      <c r="Y2609" s="39"/>
    </row>
    <row r="2610" spans="1:25" ht="15" thickBot="1">
      <c r="A2610" s="149">
        <f t="shared" si="2770"/>
        <v>45944.624999995656</v>
      </c>
      <c r="B2610" s="30">
        <f t="shared" si="2797"/>
        <v>8000</v>
      </c>
      <c r="C2610" s="8">
        <v>25000</v>
      </c>
      <c r="D2610" s="187">
        <v>0</v>
      </c>
      <c r="E2610" s="187">
        <v>700</v>
      </c>
      <c r="F2610" s="187">
        <v>15000</v>
      </c>
      <c r="G2610" s="30">
        <f t="shared" si="2798"/>
        <v>2470</v>
      </c>
      <c r="H2610" s="8">
        <f t="shared" si="2798"/>
        <v>25000</v>
      </c>
      <c r="I2610" s="30">
        <f t="shared" si="2799"/>
        <v>8000</v>
      </c>
      <c r="J2610" s="187">
        <v>40000</v>
      </c>
      <c r="K2610" s="30">
        <f t="shared" si="2800"/>
        <v>8000</v>
      </c>
      <c r="L2610" s="187">
        <v>40000</v>
      </c>
      <c r="M2610" s="110">
        <v>9.5</v>
      </c>
      <c r="N2610" s="9">
        <f>VLOOKUP(DATE(YEAR(A2610),MONTH(A2610),DAY(A2610)),FY24_Temp[],3,FALSE)</f>
        <v>17.25</v>
      </c>
      <c r="O2610" s="110">
        <f t="shared" si="2786"/>
        <v>11.5</v>
      </c>
      <c r="P2610" s="110">
        <f t="shared" si="2787"/>
        <v>19.5</v>
      </c>
      <c r="Q2610" s="79">
        <f>VLOOKUP(VLOOKUP(DATEVALUE(TEXT(A2610,"m/d/yyyy")),FY24_Temp[],5,FALSE)&amp;TEXT(A2610,"-h"),TempDelta[],4,FALSE)</f>
        <v>0.16885714073266303</v>
      </c>
      <c r="R2610">
        <v>10</v>
      </c>
      <c r="S2610" s="112">
        <v>1500</v>
      </c>
      <c r="T2610" s="5">
        <f>VLOOKUP(TEXT(A2610,"yy-mm")&amp;"-"&amp;IF(AND(WEEKDAY(A2610)&gt;1,WEEKDAY(A2610)&lt;7),"Wkd",TEXT(A2610,"Ddd"))&amp;"-"&amp;TEXT(A2610,"hh"),LoadTable[],3,FALSE)*0.92</f>
        <v>234.80148</v>
      </c>
      <c r="U2610" s="113">
        <f t="shared" si="2788"/>
        <v>23.480148</v>
      </c>
      <c r="V2610">
        <f t="shared" ref="V2610:W2610" si="2839">V2586</f>
        <v>3.2</v>
      </c>
      <c r="W2610">
        <f t="shared" si="2839"/>
        <v>2.9</v>
      </c>
      <c r="X2610" s="9">
        <v>-78.771480916667201</v>
      </c>
      <c r="Y2610" s="39"/>
    </row>
    <row r="2611" spans="1:25" ht="15" thickBot="1">
      <c r="A2611" s="149">
        <f t="shared" si="2770"/>
        <v>45944.66666666232</v>
      </c>
      <c r="B2611" s="30">
        <f t="shared" si="2797"/>
        <v>8000</v>
      </c>
      <c r="C2611" s="8">
        <v>25000</v>
      </c>
      <c r="D2611" s="187">
        <v>0</v>
      </c>
      <c r="E2611" s="187">
        <v>700</v>
      </c>
      <c r="F2611" s="187">
        <v>15000</v>
      </c>
      <c r="G2611" s="30">
        <f t="shared" si="2798"/>
        <v>2470</v>
      </c>
      <c r="H2611" s="8">
        <f t="shared" si="2798"/>
        <v>25000</v>
      </c>
      <c r="I2611" s="30">
        <f t="shared" si="2799"/>
        <v>8000</v>
      </c>
      <c r="J2611" s="187">
        <v>40000</v>
      </c>
      <c r="K2611" s="30">
        <f t="shared" si="2800"/>
        <v>8000</v>
      </c>
      <c r="L2611" s="187">
        <v>40000</v>
      </c>
      <c r="M2611" s="110">
        <v>9.5</v>
      </c>
      <c r="N2611" s="9">
        <f>VLOOKUP(DATE(YEAR(A2611),MONTH(A2611),DAY(A2611)),FY24_Temp[],3,FALSE)</f>
        <v>17.25</v>
      </c>
      <c r="O2611" s="110">
        <f t="shared" si="2786"/>
        <v>11.5</v>
      </c>
      <c r="P2611" s="110">
        <f t="shared" si="2787"/>
        <v>19.5</v>
      </c>
      <c r="Q2611" s="79">
        <f>VLOOKUP(VLOOKUP(DATEVALUE(TEXT(A2611,"m/d/yyyy")),FY24_Temp[],5,FALSE)&amp;TEXT(A2611,"-h"),TempDelta[],4,FALSE)</f>
        <v>0.4030000056539263</v>
      </c>
      <c r="R2611">
        <v>10</v>
      </c>
      <c r="S2611" s="112">
        <v>1500</v>
      </c>
      <c r="T2611" s="5">
        <f>VLOOKUP(TEXT(A2611,"yy-mm")&amp;"-"&amp;IF(AND(WEEKDAY(A2611)&gt;1,WEEKDAY(A2611)&lt;7),"Wkd",TEXT(A2611,"Ddd"))&amp;"-"&amp;TEXT(A2611,"hh"),LoadTable[],3,FALSE)*0.92</f>
        <v>234.80148</v>
      </c>
      <c r="U2611" s="113">
        <f t="shared" si="2788"/>
        <v>23.480148</v>
      </c>
      <c r="V2611">
        <f t="shared" ref="V2611:W2611" si="2840">V2587</f>
        <v>3.5</v>
      </c>
      <c r="W2611">
        <f t="shared" si="2840"/>
        <v>3</v>
      </c>
      <c r="X2611" s="9">
        <v>-78.849275466667194</v>
      </c>
      <c r="Y2611" s="39"/>
    </row>
    <row r="2612" spans="1:25" ht="15" thickBot="1">
      <c r="A2612" s="149">
        <f t="shared" si="2770"/>
        <v>45944.708333328985</v>
      </c>
      <c r="B2612" s="30">
        <f t="shared" si="2797"/>
        <v>8000</v>
      </c>
      <c r="C2612" s="8">
        <v>25000</v>
      </c>
      <c r="D2612" s="187">
        <v>0</v>
      </c>
      <c r="E2612" s="187">
        <v>700</v>
      </c>
      <c r="F2612" s="187">
        <v>15000</v>
      </c>
      <c r="G2612" s="30">
        <f t="shared" si="2798"/>
        <v>2470</v>
      </c>
      <c r="H2612" s="8">
        <f t="shared" si="2798"/>
        <v>25000</v>
      </c>
      <c r="I2612" s="30">
        <f t="shared" si="2799"/>
        <v>8000</v>
      </c>
      <c r="J2612" s="187">
        <v>40000</v>
      </c>
      <c r="K2612" s="30">
        <f t="shared" si="2800"/>
        <v>8000</v>
      </c>
      <c r="L2612" s="187">
        <v>40000</v>
      </c>
      <c r="M2612" s="110">
        <v>9.5</v>
      </c>
      <c r="N2612" s="9">
        <f>VLOOKUP(DATE(YEAR(A2612),MONTH(A2612),DAY(A2612)),FY24_Temp[],3,FALSE)</f>
        <v>17.25</v>
      </c>
      <c r="O2612" s="110">
        <f t="shared" si="2786"/>
        <v>11.5</v>
      </c>
      <c r="P2612" s="110">
        <f t="shared" si="2787"/>
        <v>19.5</v>
      </c>
      <c r="Q2612" s="79">
        <f>VLOOKUP(VLOOKUP(DATEVALUE(TEXT(A2612,"m/d/yyyy")),FY24_Temp[],5,FALSE)&amp;TEXT(A2612,"-h"),TempDelta[],4,FALSE)</f>
        <v>0.51750000034059795</v>
      </c>
      <c r="R2612">
        <v>10</v>
      </c>
      <c r="S2612" s="112">
        <v>1500</v>
      </c>
      <c r="T2612" s="5">
        <f>VLOOKUP(TEXT(A2612,"yy-mm")&amp;"-"&amp;IF(AND(WEEKDAY(A2612)&gt;1,WEEKDAY(A2612)&lt;7),"Wkd",TEXT(A2612,"Ddd"))&amp;"-"&amp;TEXT(A2612,"hh"),LoadTable[],3,FALSE)*0.92</f>
        <v>234.80148</v>
      </c>
      <c r="U2612" s="113">
        <f t="shared" si="2788"/>
        <v>23.480148</v>
      </c>
      <c r="V2612">
        <f t="shared" ref="V2612:W2612" si="2841">V2588</f>
        <v>3.6</v>
      </c>
      <c r="W2612">
        <f t="shared" si="2841"/>
        <v>3</v>
      </c>
      <c r="X2612" s="9">
        <v>-78.927070016667201</v>
      </c>
      <c r="Y2612" s="39"/>
    </row>
    <row r="2613" spans="1:25" ht="15" thickBot="1">
      <c r="A2613" s="149">
        <f t="shared" ref="A2613:A2676" si="2842">A2612+TIME(1,0,0)</f>
        <v>45944.749999995649</v>
      </c>
      <c r="B2613" s="30">
        <f t="shared" si="2797"/>
        <v>5000</v>
      </c>
      <c r="C2613" s="8">
        <v>25000</v>
      </c>
      <c r="D2613" s="187">
        <v>0</v>
      </c>
      <c r="E2613" s="187">
        <v>700</v>
      </c>
      <c r="F2613" s="187">
        <v>15000</v>
      </c>
      <c r="G2613" s="30">
        <f t="shared" si="2798"/>
        <v>2470</v>
      </c>
      <c r="H2613" s="8">
        <f t="shared" si="2798"/>
        <v>25000</v>
      </c>
      <c r="I2613" s="30">
        <f t="shared" si="2799"/>
        <v>5000</v>
      </c>
      <c r="J2613" s="187">
        <v>40000</v>
      </c>
      <c r="K2613" s="30">
        <f t="shared" si="2800"/>
        <v>5000</v>
      </c>
      <c r="L2613" s="187">
        <v>40000</v>
      </c>
      <c r="M2613" s="110">
        <v>9.5</v>
      </c>
      <c r="N2613" s="9">
        <f>VLOOKUP(DATE(YEAR(A2613),MONTH(A2613),DAY(A2613)),FY24_Temp[],3,FALSE)</f>
        <v>17.25</v>
      </c>
      <c r="O2613" s="110">
        <f t="shared" si="2786"/>
        <v>11.5</v>
      </c>
      <c r="P2613" s="110">
        <f t="shared" si="2787"/>
        <v>19.5</v>
      </c>
      <c r="Q2613" s="79">
        <f>VLOOKUP(VLOOKUP(DATEVALUE(TEXT(A2613,"m/d/yyyy")),FY24_Temp[],5,FALSE)&amp;TEXT(A2613,"-h"),TempDelta[],4,FALSE)</f>
        <v>0.66500000017029903</v>
      </c>
      <c r="R2613">
        <v>10</v>
      </c>
      <c r="S2613" s="112">
        <v>1500</v>
      </c>
      <c r="T2613" s="5">
        <f>VLOOKUP(TEXT(A2613,"yy-mm")&amp;"-"&amp;IF(AND(WEEKDAY(A2613)&gt;1,WEEKDAY(A2613)&lt;7),"Wkd",TEXT(A2613,"Ddd"))&amp;"-"&amp;TEXT(A2613,"hh"),LoadTable[],3,FALSE)*0.92</f>
        <v>303.31295999999998</v>
      </c>
      <c r="U2613" s="113">
        <f t="shared" si="2788"/>
        <v>30.331295999999998</v>
      </c>
      <c r="V2613">
        <f t="shared" ref="V2613:W2613" si="2843">V2589</f>
        <v>2.9</v>
      </c>
      <c r="W2613">
        <f t="shared" si="2843"/>
        <v>3</v>
      </c>
      <c r="X2613" s="9">
        <v>-79.004864566667194</v>
      </c>
      <c r="Y2613" s="39"/>
    </row>
    <row r="2614" spans="1:25" ht="15" thickBot="1">
      <c r="A2614" s="149">
        <f t="shared" si="2842"/>
        <v>45944.791666662313</v>
      </c>
      <c r="B2614" s="30">
        <f t="shared" si="2797"/>
        <v>5000</v>
      </c>
      <c r="C2614" s="8">
        <v>25000</v>
      </c>
      <c r="D2614" s="187">
        <v>0</v>
      </c>
      <c r="E2614" s="187">
        <v>700</v>
      </c>
      <c r="F2614" s="187">
        <v>15000</v>
      </c>
      <c r="G2614" s="30">
        <f t="shared" si="2798"/>
        <v>2470</v>
      </c>
      <c r="H2614" s="8">
        <f t="shared" si="2798"/>
        <v>25000</v>
      </c>
      <c r="I2614" s="30">
        <f t="shared" si="2799"/>
        <v>5000</v>
      </c>
      <c r="J2614" s="187">
        <v>40000</v>
      </c>
      <c r="K2614" s="30">
        <f t="shared" si="2800"/>
        <v>5000</v>
      </c>
      <c r="L2614" s="187">
        <v>40000</v>
      </c>
      <c r="M2614" s="110">
        <v>9.5</v>
      </c>
      <c r="N2614" s="9">
        <f>VLOOKUP(DATE(YEAR(A2614),MONTH(A2614),DAY(A2614)),FY24_Temp[],3,FALSE)</f>
        <v>17.25</v>
      </c>
      <c r="O2614" s="110">
        <f t="shared" si="2786"/>
        <v>11.5</v>
      </c>
      <c r="P2614" s="110">
        <f t="shared" si="2787"/>
        <v>19.5</v>
      </c>
      <c r="Q2614" s="79">
        <f>VLOOKUP(VLOOKUP(DATEVALUE(TEXT(A2614,"m/d/yyyy")),FY24_Temp[],5,FALSE)&amp;TEXT(A2614,"-h"),TempDelta[],4,FALSE)</f>
        <v>0.66292857485158108</v>
      </c>
      <c r="R2614">
        <v>10</v>
      </c>
      <c r="S2614" s="112">
        <v>1500</v>
      </c>
      <c r="T2614" s="5">
        <f>VLOOKUP(TEXT(A2614,"yy-mm")&amp;"-"&amp;IF(AND(WEEKDAY(A2614)&gt;1,WEEKDAY(A2614)&lt;7),"Wkd",TEXT(A2614,"Ddd"))&amp;"-"&amp;TEXT(A2614,"hh"),LoadTable[],3,FALSE)*0.92</f>
        <v>303.31295999999998</v>
      </c>
      <c r="U2614" s="113">
        <f t="shared" si="2788"/>
        <v>30.331295999999998</v>
      </c>
      <c r="V2614">
        <f t="shared" ref="V2614:W2614" si="2844">V2590</f>
        <v>3</v>
      </c>
      <c r="W2614">
        <f t="shared" si="2844"/>
        <v>3</v>
      </c>
      <c r="X2614" s="9">
        <v>-79.082659116667202</v>
      </c>
      <c r="Y2614" s="39"/>
    </row>
    <row r="2615" spans="1:25" ht="15" thickBot="1">
      <c r="A2615" s="149">
        <f t="shared" si="2842"/>
        <v>45944.833333328977</v>
      </c>
      <c r="B2615" s="30">
        <f t="shared" si="2797"/>
        <v>5000</v>
      </c>
      <c r="C2615" s="8">
        <v>25000</v>
      </c>
      <c r="D2615" s="187">
        <v>0</v>
      </c>
      <c r="E2615" s="187">
        <v>700</v>
      </c>
      <c r="F2615" s="187">
        <v>15000</v>
      </c>
      <c r="G2615" s="30">
        <f t="shared" si="2798"/>
        <v>2470</v>
      </c>
      <c r="H2615" s="8">
        <f t="shared" si="2798"/>
        <v>25000</v>
      </c>
      <c r="I2615" s="30">
        <f t="shared" si="2799"/>
        <v>5000</v>
      </c>
      <c r="J2615" s="187">
        <v>40000</v>
      </c>
      <c r="K2615" s="30">
        <f t="shared" si="2800"/>
        <v>5000</v>
      </c>
      <c r="L2615" s="187">
        <v>40000</v>
      </c>
      <c r="M2615" s="110">
        <v>9.5</v>
      </c>
      <c r="N2615" s="9">
        <f>VLOOKUP(DATE(YEAR(A2615),MONTH(A2615),DAY(A2615)),FY24_Temp[],3,FALSE)</f>
        <v>17.25</v>
      </c>
      <c r="O2615" s="110">
        <f t="shared" si="2786"/>
        <v>11.5</v>
      </c>
      <c r="P2615" s="110">
        <f t="shared" si="2787"/>
        <v>19.5</v>
      </c>
      <c r="Q2615" s="79">
        <f>VLOOKUP(VLOOKUP(DATEVALUE(TEXT(A2615,"m/d/yyyy")),FY24_Temp[],5,FALSE)&amp;TEXT(A2615,"-h"),TempDelta[],4,FALSE)</f>
        <v>0.6834285663706916</v>
      </c>
      <c r="R2615">
        <v>10</v>
      </c>
      <c r="S2615" s="112">
        <v>1500</v>
      </c>
      <c r="T2615" s="5">
        <f>VLOOKUP(TEXT(A2615,"yy-mm")&amp;"-"&amp;IF(AND(WEEKDAY(A2615)&gt;1,WEEKDAY(A2615)&lt;7),"Wkd",TEXT(A2615,"Ddd"))&amp;"-"&amp;TEXT(A2615,"hh"),LoadTable[],3,FALSE)*0.92</f>
        <v>303.31295999999998</v>
      </c>
      <c r="U2615" s="113">
        <f t="shared" si="2788"/>
        <v>30.331295999999998</v>
      </c>
      <c r="V2615">
        <f t="shared" ref="V2615:W2615" si="2845">V2591</f>
        <v>2.8</v>
      </c>
      <c r="W2615">
        <f t="shared" si="2845"/>
        <v>3.1</v>
      </c>
      <c r="X2615" s="9">
        <v>-79.160453666667195</v>
      </c>
      <c r="Y2615" s="39"/>
    </row>
    <row r="2616" spans="1:25" ht="15" thickBot="1">
      <c r="A2616" s="149">
        <f t="shared" si="2842"/>
        <v>45944.874999995642</v>
      </c>
      <c r="B2616" s="30">
        <f t="shared" si="2797"/>
        <v>5000</v>
      </c>
      <c r="C2616" s="8">
        <v>25000</v>
      </c>
      <c r="D2616" s="187">
        <v>0</v>
      </c>
      <c r="E2616" s="187">
        <v>700</v>
      </c>
      <c r="F2616" s="187">
        <v>15000</v>
      </c>
      <c r="G2616" s="30">
        <f t="shared" si="2798"/>
        <v>2470</v>
      </c>
      <c r="H2616" s="8">
        <f t="shared" si="2798"/>
        <v>25000</v>
      </c>
      <c r="I2616" s="30">
        <f t="shared" si="2799"/>
        <v>5000</v>
      </c>
      <c r="J2616" s="187">
        <v>40000</v>
      </c>
      <c r="K2616" s="30">
        <f t="shared" si="2800"/>
        <v>5000</v>
      </c>
      <c r="L2616" s="187">
        <v>40000</v>
      </c>
      <c r="M2616" s="110">
        <v>9.5</v>
      </c>
      <c r="N2616" s="9">
        <f>VLOOKUP(DATE(YEAR(A2616),MONTH(A2616),DAY(A2616)),FY24_Temp[],3,FALSE)</f>
        <v>17.25</v>
      </c>
      <c r="O2616" s="110">
        <f t="shared" si="2786"/>
        <v>11.5</v>
      </c>
      <c r="P2616" s="110">
        <f t="shared" si="2787"/>
        <v>19.5</v>
      </c>
      <c r="Q2616" s="79">
        <f>VLOOKUP(VLOOKUP(DATEVALUE(TEXT(A2616,"m/d/yyyy")),FY24_Temp[],5,FALSE)&amp;TEXT(A2616,"-h"),TempDelta[],4,FALSE)</f>
        <v>0.67971429228782654</v>
      </c>
      <c r="R2616">
        <v>10</v>
      </c>
      <c r="S2616" s="112">
        <v>1500</v>
      </c>
      <c r="T2616" s="5">
        <f>VLOOKUP(TEXT(A2616,"yy-mm")&amp;"-"&amp;IF(AND(WEEKDAY(A2616)&gt;1,WEEKDAY(A2616)&lt;7),"Wkd",TEXT(A2616,"Ddd"))&amp;"-"&amp;TEXT(A2616,"hh"),LoadTable[],3,FALSE)*0.92</f>
        <v>229.93744000000001</v>
      </c>
      <c r="U2616" s="113">
        <f t="shared" si="2788"/>
        <v>22.993744</v>
      </c>
      <c r="V2616">
        <f t="shared" ref="V2616:W2616" si="2846">V2592</f>
        <v>3.5</v>
      </c>
      <c r="W2616">
        <f t="shared" si="2846"/>
        <v>3.1</v>
      </c>
      <c r="X2616" s="9">
        <v>-79.238248216667202</v>
      </c>
      <c r="Y2616" s="39"/>
    </row>
    <row r="2617" spans="1:25" ht="15" thickBot="1">
      <c r="A2617" s="149">
        <f t="shared" si="2842"/>
        <v>45944.916666662306</v>
      </c>
      <c r="B2617" s="30">
        <f t="shared" si="2797"/>
        <v>5000</v>
      </c>
      <c r="C2617" s="8">
        <v>25000</v>
      </c>
      <c r="D2617" s="187">
        <v>0</v>
      </c>
      <c r="E2617" s="187">
        <v>700</v>
      </c>
      <c r="F2617" s="187">
        <v>15000</v>
      </c>
      <c r="G2617" s="30">
        <f t="shared" si="2798"/>
        <v>2470</v>
      </c>
      <c r="H2617" s="8">
        <f t="shared" si="2798"/>
        <v>25000</v>
      </c>
      <c r="I2617" s="30">
        <f t="shared" si="2799"/>
        <v>5000</v>
      </c>
      <c r="J2617" s="187">
        <v>40000</v>
      </c>
      <c r="K2617" s="30">
        <f t="shared" si="2800"/>
        <v>5000</v>
      </c>
      <c r="L2617" s="187">
        <v>40000</v>
      </c>
      <c r="M2617" s="110">
        <v>9.5</v>
      </c>
      <c r="N2617" s="9">
        <f>VLOOKUP(DATE(YEAR(A2617),MONTH(A2617),DAY(A2617)),FY24_Temp[],3,FALSE)</f>
        <v>17.25</v>
      </c>
      <c r="O2617" s="110">
        <f t="shared" si="2786"/>
        <v>11.5</v>
      </c>
      <c r="P2617" s="110">
        <f t="shared" si="2787"/>
        <v>19.5</v>
      </c>
      <c r="Q2617" s="79">
        <f>VLOOKUP(VLOOKUP(DATEVALUE(TEXT(A2617,"m/d/yyyy")),FY24_Temp[],5,FALSE)&amp;TEXT(A2617,"-h"),TempDelta[],4,FALSE)</f>
        <v>0.9049999969346183</v>
      </c>
      <c r="R2617">
        <v>10</v>
      </c>
      <c r="S2617" s="112">
        <v>1500</v>
      </c>
      <c r="T2617" s="5">
        <f>VLOOKUP(TEXT(A2617,"yy-mm")&amp;"-"&amp;IF(AND(WEEKDAY(A2617)&gt;1,WEEKDAY(A2617)&lt;7),"Wkd",TEXT(A2617,"Ddd"))&amp;"-"&amp;TEXT(A2617,"hh"),LoadTable[],3,FALSE)*0.92</f>
        <v>176.52040000000002</v>
      </c>
      <c r="U2617" s="113">
        <f t="shared" si="2788"/>
        <v>17.652040000000003</v>
      </c>
      <c r="V2617">
        <f t="shared" ref="V2617:W2617" si="2847">V2593</f>
        <v>2.9</v>
      </c>
      <c r="W2617">
        <f t="shared" si="2847"/>
        <v>3.1</v>
      </c>
      <c r="X2617" s="9">
        <v>-79.316042766667195</v>
      </c>
      <c r="Y2617" s="39"/>
    </row>
    <row r="2618" spans="1:25" ht="15" thickBot="1">
      <c r="A2618" s="149">
        <f t="shared" si="2842"/>
        <v>45944.95833332897</v>
      </c>
      <c r="B2618" s="30">
        <f t="shared" si="2797"/>
        <v>5000</v>
      </c>
      <c r="C2618" s="8">
        <v>25000</v>
      </c>
      <c r="D2618" s="187">
        <v>0</v>
      </c>
      <c r="E2618" s="187">
        <v>700</v>
      </c>
      <c r="F2618" s="187">
        <v>15000</v>
      </c>
      <c r="G2618" s="30">
        <f t="shared" si="2798"/>
        <v>2470</v>
      </c>
      <c r="H2618" s="8">
        <f t="shared" si="2798"/>
        <v>25000</v>
      </c>
      <c r="I2618" s="30">
        <f t="shared" si="2799"/>
        <v>5000</v>
      </c>
      <c r="J2618" s="187">
        <v>40000</v>
      </c>
      <c r="K2618" s="30">
        <f t="shared" si="2800"/>
        <v>5000</v>
      </c>
      <c r="L2618" s="187">
        <v>40000</v>
      </c>
      <c r="M2618" s="110">
        <v>9.5</v>
      </c>
      <c r="N2618" s="9">
        <f>VLOOKUP(DATE(YEAR(A2618),MONTH(A2618),DAY(A2618)),FY24_Temp[],3,FALSE)</f>
        <v>17.25</v>
      </c>
      <c r="O2618" s="110">
        <f t="shared" si="2786"/>
        <v>11.5</v>
      </c>
      <c r="P2618" s="110">
        <f t="shared" si="2787"/>
        <v>19.5</v>
      </c>
      <c r="Q2618" s="79">
        <f>VLOOKUP(VLOOKUP(DATEVALUE(TEXT(A2618,"m/d/yyyy")),FY24_Temp[],5,FALSE)&amp;TEXT(A2618,"-h"),TempDelta[],4,FALSE)</f>
        <v>1.027285703590938</v>
      </c>
      <c r="R2618">
        <v>10</v>
      </c>
      <c r="S2618" s="112">
        <v>1500</v>
      </c>
      <c r="T2618" s="5">
        <f>VLOOKUP(TEXT(A2618,"yy-mm")&amp;"-"&amp;IF(AND(WEEKDAY(A2618)&gt;1,WEEKDAY(A2618)&lt;7),"Wkd",TEXT(A2618,"Ddd"))&amp;"-"&amp;TEXT(A2618,"hh"),LoadTable[],3,FALSE)*0.92</f>
        <v>176.52040000000002</v>
      </c>
      <c r="U2618" s="113">
        <f t="shared" si="2788"/>
        <v>17.652040000000003</v>
      </c>
      <c r="V2618">
        <f t="shared" ref="V2618:W2618" si="2848">V2594</f>
        <v>3.6</v>
      </c>
      <c r="W2618">
        <f t="shared" si="2848"/>
        <v>3.1</v>
      </c>
      <c r="X2618" s="9">
        <v>-79.393837316667202</v>
      </c>
      <c r="Y2618" s="39"/>
    </row>
    <row r="2619" spans="1:25" ht="15" thickBot="1">
      <c r="A2619" s="149">
        <f t="shared" si="2842"/>
        <v>45944.999999995634</v>
      </c>
      <c r="B2619" s="30">
        <f t="shared" si="2797"/>
        <v>5000</v>
      </c>
      <c r="C2619" s="8">
        <v>25000</v>
      </c>
      <c r="D2619" s="187">
        <v>0</v>
      </c>
      <c r="E2619" s="187">
        <v>700</v>
      </c>
      <c r="F2619" s="187">
        <v>15000</v>
      </c>
      <c r="G2619" s="30">
        <f t="shared" si="2798"/>
        <v>2470</v>
      </c>
      <c r="H2619" s="8">
        <f t="shared" si="2798"/>
        <v>25000</v>
      </c>
      <c r="I2619" s="30">
        <f t="shared" si="2799"/>
        <v>5000</v>
      </c>
      <c r="J2619" s="187">
        <v>40000</v>
      </c>
      <c r="K2619" s="30">
        <f t="shared" si="2800"/>
        <v>5000</v>
      </c>
      <c r="L2619" s="187">
        <v>40000</v>
      </c>
      <c r="M2619" s="110">
        <v>9.5</v>
      </c>
      <c r="N2619" s="9">
        <f>VLOOKUP(DATE(YEAR(A2619),MONTH(A2619),DAY(A2619)),FY24_Temp[],3,FALSE)</f>
        <v>17.25</v>
      </c>
      <c r="O2619" s="110">
        <f t="shared" si="2786"/>
        <v>11.5</v>
      </c>
      <c r="P2619" s="110">
        <f t="shared" si="2787"/>
        <v>19.5</v>
      </c>
      <c r="Q2619" s="79">
        <f>VLOOKUP(VLOOKUP(DATEVALUE(TEXT(A2619,"m/d/yyyy")),FY24_Temp[],5,FALSE)&amp;TEXT(A2619,"-h"),TempDelta[],4,FALSE)</f>
        <v>1.100857138633728</v>
      </c>
      <c r="R2619">
        <v>10</v>
      </c>
      <c r="S2619" s="112">
        <v>1500</v>
      </c>
      <c r="T2619" s="5">
        <f>VLOOKUP(TEXT(A2619,"yy-mm")&amp;"-"&amp;IF(AND(WEEKDAY(A2619)&gt;1,WEEKDAY(A2619)&lt;7),"Wkd",TEXT(A2619,"Ddd"))&amp;"-"&amp;TEXT(A2619,"hh"),LoadTable[],3,FALSE)*0.92</f>
        <v>209.6772</v>
      </c>
      <c r="U2619" s="113">
        <f t="shared" si="2788"/>
        <v>20.96772</v>
      </c>
      <c r="V2619">
        <f t="shared" ref="V2619:W2619" si="2849">V2595</f>
        <v>3</v>
      </c>
      <c r="W2619">
        <f t="shared" si="2849"/>
        <v>3.2</v>
      </c>
      <c r="X2619" s="9">
        <v>-79.471631866667195</v>
      </c>
      <c r="Y2619" s="39"/>
    </row>
    <row r="2620" spans="1:25" ht="15" thickBot="1">
      <c r="A2620" s="149">
        <f t="shared" si="2842"/>
        <v>45945.041666662299</v>
      </c>
      <c r="B2620" s="30">
        <f t="shared" si="2797"/>
        <v>5000</v>
      </c>
      <c r="C2620" s="8">
        <v>25000</v>
      </c>
      <c r="D2620" s="187">
        <v>0</v>
      </c>
      <c r="E2620" s="187">
        <v>700</v>
      </c>
      <c r="F2620" s="187">
        <v>15000</v>
      </c>
      <c r="G2620" s="30">
        <f t="shared" si="2798"/>
        <v>2470</v>
      </c>
      <c r="H2620" s="8">
        <f t="shared" si="2798"/>
        <v>25000</v>
      </c>
      <c r="I2620" s="30">
        <f t="shared" si="2799"/>
        <v>5000</v>
      </c>
      <c r="J2620" s="187">
        <v>40000</v>
      </c>
      <c r="K2620" s="30">
        <f t="shared" si="2800"/>
        <v>5000</v>
      </c>
      <c r="L2620" s="187">
        <v>40000</v>
      </c>
      <c r="M2620" s="110">
        <v>9.5</v>
      </c>
      <c r="N2620" s="9">
        <f>VLOOKUP(DATE(YEAR(A2620),MONTH(A2620),DAY(A2620)),FY24_Temp[],3,FALSE)</f>
        <v>17.25</v>
      </c>
      <c r="O2620" s="110">
        <f t="shared" si="2786"/>
        <v>11.5</v>
      </c>
      <c r="P2620" s="110">
        <f t="shared" si="2787"/>
        <v>19.5</v>
      </c>
      <c r="Q2620" s="79">
        <f>VLOOKUP(VLOOKUP(DATEVALUE(TEXT(A2620,"m/d/yyyy")),FY24_Temp[],5,FALSE)&amp;TEXT(A2620,"-h"),TempDelta[],4,FALSE)</f>
        <v>1.0574285984039307</v>
      </c>
      <c r="R2620">
        <v>10</v>
      </c>
      <c r="S2620" s="112">
        <v>1500</v>
      </c>
      <c r="T2620" s="5">
        <f>VLOOKUP(TEXT(A2620,"yy-mm")&amp;"-"&amp;IF(AND(WEEKDAY(A2620)&gt;1,WEEKDAY(A2620)&lt;7),"Wkd",TEXT(A2620,"Ddd"))&amp;"-"&amp;TEXT(A2620,"hh"),LoadTable[],3,FALSE)*0.92</f>
        <v>209.6772</v>
      </c>
      <c r="U2620" s="113">
        <f t="shared" si="2788"/>
        <v>20.96772</v>
      </c>
      <c r="V2620">
        <f t="shared" ref="V2620:W2620" si="2850">V2596</f>
        <v>2.6</v>
      </c>
      <c r="W2620">
        <f t="shared" si="2850"/>
        <v>3.2</v>
      </c>
      <c r="X2620" s="9">
        <v>-79.549426416667202</v>
      </c>
      <c r="Y2620" s="39"/>
    </row>
    <row r="2621" spans="1:25" ht="15" thickBot="1">
      <c r="A2621" s="149">
        <f t="shared" si="2842"/>
        <v>45945.083333328963</v>
      </c>
      <c r="B2621" s="30">
        <f t="shared" si="2797"/>
        <v>5000</v>
      </c>
      <c r="C2621" s="8">
        <v>25000</v>
      </c>
      <c r="D2621" s="187">
        <v>0</v>
      </c>
      <c r="E2621" s="187">
        <v>700</v>
      </c>
      <c r="F2621" s="187">
        <v>15000</v>
      </c>
      <c r="G2621" s="30">
        <f t="shared" si="2798"/>
        <v>2470</v>
      </c>
      <c r="H2621" s="8">
        <f t="shared" si="2798"/>
        <v>25000</v>
      </c>
      <c r="I2621" s="30">
        <f t="shared" si="2799"/>
        <v>5000</v>
      </c>
      <c r="J2621" s="187">
        <v>40000</v>
      </c>
      <c r="K2621" s="30">
        <f t="shared" si="2800"/>
        <v>5000</v>
      </c>
      <c r="L2621" s="187">
        <v>40000</v>
      </c>
      <c r="M2621" s="110">
        <v>9.5</v>
      </c>
      <c r="N2621" s="9">
        <f>VLOOKUP(DATE(YEAR(A2621),MONTH(A2621),DAY(A2621)),FY24_Temp[],3,FALSE)</f>
        <v>17.25</v>
      </c>
      <c r="O2621" s="110">
        <f t="shared" si="2786"/>
        <v>11.5</v>
      </c>
      <c r="P2621" s="110">
        <f t="shared" si="2787"/>
        <v>19.5</v>
      </c>
      <c r="Q2621" s="79">
        <f>VLOOKUP(VLOOKUP(DATEVALUE(TEXT(A2621,"m/d/yyyy")),FY24_Temp[],5,FALSE)&amp;TEXT(A2621,"-h"),TempDelta[],4,FALSE)</f>
        <v>0.96828572239194599</v>
      </c>
      <c r="R2621">
        <v>10</v>
      </c>
      <c r="S2621" s="112">
        <v>1500</v>
      </c>
      <c r="T2621" s="5">
        <f>VLOOKUP(TEXT(A2621,"yy-mm")&amp;"-"&amp;IF(AND(WEEKDAY(A2621)&gt;1,WEEKDAY(A2621)&lt;7),"Wkd",TEXT(A2621,"Ddd"))&amp;"-"&amp;TEXT(A2621,"hh"),LoadTable[],3,FALSE)*0.92</f>
        <v>209.6772</v>
      </c>
      <c r="U2621" s="113">
        <f t="shared" si="2788"/>
        <v>20.96772</v>
      </c>
      <c r="V2621">
        <f t="shared" ref="V2621:W2621" si="2851">V2597</f>
        <v>2.8</v>
      </c>
      <c r="W2621">
        <f t="shared" si="2851"/>
        <v>3.2</v>
      </c>
      <c r="X2621" s="9">
        <v>-79.627220966667196</v>
      </c>
      <c r="Y2621" s="39"/>
    </row>
    <row r="2622" spans="1:25" ht="15" thickBot="1">
      <c r="A2622" s="149">
        <f t="shared" si="2842"/>
        <v>45945.124999995627</v>
      </c>
      <c r="B2622" s="30">
        <f t="shared" si="2797"/>
        <v>5000</v>
      </c>
      <c r="C2622" s="8">
        <v>25000</v>
      </c>
      <c r="D2622" s="187">
        <v>0</v>
      </c>
      <c r="E2622" s="187">
        <v>700</v>
      </c>
      <c r="F2622" s="187">
        <v>15000</v>
      </c>
      <c r="G2622" s="30">
        <f t="shared" si="2798"/>
        <v>2470</v>
      </c>
      <c r="H2622" s="8">
        <f t="shared" si="2798"/>
        <v>25000</v>
      </c>
      <c r="I2622" s="30">
        <f t="shared" si="2799"/>
        <v>5000</v>
      </c>
      <c r="J2622" s="187">
        <v>40000</v>
      </c>
      <c r="K2622" s="30">
        <f t="shared" si="2800"/>
        <v>5000</v>
      </c>
      <c r="L2622" s="187">
        <v>40000</v>
      </c>
      <c r="M2622" s="110">
        <v>9.5</v>
      </c>
      <c r="N2622" s="9">
        <f>VLOOKUP(DATE(YEAR(A2622),MONTH(A2622),DAY(A2622)),FY24_Temp[],3,FALSE)</f>
        <v>17.25</v>
      </c>
      <c r="O2622" s="110">
        <f t="shared" si="2786"/>
        <v>11.5</v>
      </c>
      <c r="P2622" s="110">
        <f t="shared" si="2787"/>
        <v>19.5</v>
      </c>
      <c r="Q2622" s="79">
        <f>VLOOKUP(VLOOKUP(DATEVALUE(TEXT(A2622,"m/d/yyyy")),FY24_Temp[],5,FALSE)&amp;TEXT(A2622,"-h"),TempDelta[],4,FALSE)</f>
        <v>0.8611428397042411</v>
      </c>
      <c r="R2622">
        <v>10</v>
      </c>
      <c r="S2622" s="112">
        <v>1500</v>
      </c>
      <c r="T2622" s="5">
        <f>VLOOKUP(TEXT(A2622,"yy-mm")&amp;"-"&amp;IF(AND(WEEKDAY(A2622)&gt;1,WEEKDAY(A2622)&lt;7),"Wkd",TEXT(A2622,"Ddd"))&amp;"-"&amp;TEXT(A2622,"hh"),LoadTable[],3,FALSE)*0.92</f>
        <v>209.6772</v>
      </c>
      <c r="U2622" s="113">
        <f t="shared" si="2788"/>
        <v>20.96772</v>
      </c>
      <c r="V2622">
        <f t="shared" ref="V2622:W2622" si="2852">V2598</f>
        <v>2.7</v>
      </c>
      <c r="W2622">
        <f t="shared" si="2852"/>
        <v>3.2</v>
      </c>
      <c r="X2622" s="9">
        <v>-79.705015516667302</v>
      </c>
      <c r="Y2622" s="39"/>
    </row>
    <row r="2623" spans="1:25" ht="15" thickBot="1">
      <c r="A2623" s="149">
        <f t="shared" si="2842"/>
        <v>45945.166666662291</v>
      </c>
      <c r="B2623" s="30">
        <f t="shared" si="2797"/>
        <v>5000</v>
      </c>
      <c r="C2623" s="8">
        <v>25000</v>
      </c>
      <c r="D2623" s="187">
        <v>0</v>
      </c>
      <c r="E2623" s="187">
        <v>700</v>
      </c>
      <c r="F2623" s="187">
        <v>15000</v>
      </c>
      <c r="G2623" s="30">
        <f t="shared" si="2798"/>
        <v>2470</v>
      </c>
      <c r="H2623" s="8">
        <f t="shared" si="2798"/>
        <v>25000</v>
      </c>
      <c r="I2623" s="30">
        <f t="shared" si="2799"/>
        <v>5000</v>
      </c>
      <c r="J2623" s="187">
        <v>40000</v>
      </c>
      <c r="K2623" s="30">
        <f t="shared" si="2800"/>
        <v>5000</v>
      </c>
      <c r="L2623" s="187">
        <v>40000</v>
      </c>
      <c r="M2623" s="110">
        <v>9.5</v>
      </c>
      <c r="N2623" s="9">
        <f>VLOOKUP(DATE(YEAR(A2623),MONTH(A2623),DAY(A2623)),FY24_Temp[],3,FALSE)</f>
        <v>17.25</v>
      </c>
      <c r="O2623" s="110">
        <f t="shared" si="2786"/>
        <v>11.5</v>
      </c>
      <c r="P2623" s="110">
        <f t="shared" si="2787"/>
        <v>19.5</v>
      </c>
      <c r="Q2623" s="79">
        <f>VLOOKUP(VLOOKUP(DATEVALUE(TEXT(A2623,"m/d/yyyy")),FY24_Temp[],5,FALSE)&amp;TEXT(A2623,"-h"),TempDelta[],4,FALSE)</f>
        <v>0.76914285761969425</v>
      </c>
      <c r="R2623">
        <v>10</v>
      </c>
      <c r="S2623" s="112">
        <v>1500</v>
      </c>
      <c r="T2623" s="5">
        <f>VLOOKUP(TEXT(A2623,"yy-mm")&amp;"-"&amp;IF(AND(WEEKDAY(A2623)&gt;1,WEEKDAY(A2623)&lt;7),"Wkd",TEXT(A2623,"Ddd"))&amp;"-"&amp;TEXT(A2623,"hh"),LoadTable[],3,FALSE)*0.92</f>
        <v>209.6772</v>
      </c>
      <c r="U2623" s="113">
        <f t="shared" si="2788"/>
        <v>20.96772</v>
      </c>
      <c r="V2623">
        <f t="shared" ref="V2623:W2623" si="2853">V2599</f>
        <v>3</v>
      </c>
      <c r="W2623">
        <f t="shared" si="2853"/>
        <v>3.1</v>
      </c>
      <c r="X2623" s="9">
        <v>-79.782810066667295</v>
      </c>
      <c r="Y2623" s="39"/>
    </row>
    <row r="2624" spans="1:25" ht="15" thickBot="1">
      <c r="A2624" s="149">
        <f t="shared" si="2842"/>
        <v>45945.208333328956</v>
      </c>
      <c r="B2624" s="30">
        <f t="shared" si="2797"/>
        <v>5000</v>
      </c>
      <c r="C2624" s="8">
        <v>25000</v>
      </c>
      <c r="D2624" s="187">
        <v>0</v>
      </c>
      <c r="E2624" s="187">
        <v>700</v>
      </c>
      <c r="F2624" s="187">
        <v>15000</v>
      </c>
      <c r="G2624" s="30">
        <f t="shared" si="2798"/>
        <v>2470</v>
      </c>
      <c r="H2624" s="8">
        <f t="shared" si="2798"/>
        <v>25000</v>
      </c>
      <c r="I2624" s="30">
        <f t="shared" si="2799"/>
        <v>5000</v>
      </c>
      <c r="J2624" s="187">
        <v>40000</v>
      </c>
      <c r="K2624" s="30">
        <f t="shared" si="2800"/>
        <v>5000</v>
      </c>
      <c r="L2624" s="187">
        <v>40000</v>
      </c>
      <c r="M2624" s="110">
        <v>9.5</v>
      </c>
      <c r="N2624" s="9">
        <f>VLOOKUP(DATE(YEAR(A2624),MONTH(A2624),DAY(A2624)),FY24_Temp[],3,FALSE)</f>
        <v>17.25</v>
      </c>
      <c r="O2624" s="110">
        <f t="shared" si="2786"/>
        <v>11.5</v>
      </c>
      <c r="P2624" s="110">
        <f t="shared" si="2787"/>
        <v>19.5</v>
      </c>
      <c r="Q2624" s="79">
        <f>VLOOKUP(VLOOKUP(DATEVALUE(TEXT(A2624,"m/d/yyyy")),FY24_Temp[],5,FALSE)&amp;TEXT(A2624,"-h"),TempDelta[],4,FALSE)</f>
        <v>0.79885715246200562</v>
      </c>
      <c r="R2624">
        <v>10</v>
      </c>
      <c r="S2624" s="112">
        <v>1500</v>
      </c>
      <c r="T2624" s="5">
        <f>VLOOKUP(TEXT(A2624,"yy-mm")&amp;"-"&amp;IF(AND(WEEKDAY(A2624)&gt;1,WEEKDAY(A2624)&lt;7),"Wkd",TEXT(A2624,"Ddd"))&amp;"-"&amp;TEXT(A2624,"hh"),LoadTable[],3,FALSE)*0.92</f>
        <v>209.6772</v>
      </c>
      <c r="U2624" s="113">
        <f t="shared" si="2788"/>
        <v>20.96772</v>
      </c>
      <c r="V2624">
        <f t="shared" ref="V2624:W2624" si="2854">V2600</f>
        <v>2.9</v>
      </c>
      <c r="W2624">
        <f t="shared" si="2854"/>
        <v>3.1</v>
      </c>
      <c r="X2624" s="9">
        <v>-79.860604616667302</v>
      </c>
      <c r="Y2624" s="39"/>
    </row>
    <row r="2625" spans="1:25" ht="15" thickBot="1">
      <c r="A2625" s="149">
        <f t="shared" si="2842"/>
        <v>45945.24999999562</v>
      </c>
      <c r="B2625" s="30">
        <f t="shared" si="2797"/>
        <v>8000</v>
      </c>
      <c r="C2625" s="8">
        <v>25000</v>
      </c>
      <c r="D2625" s="187">
        <v>0</v>
      </c>
      <c r="E2625" s="187">
        <v>700</v>
      </c>
      <c r="F2625" s="187">
        <v>15000</v>
      </c>
      <c r="G2625" s="30">
        <f t="shared" si="2798"/>
        <v>2470</v>
      </c>
      <c r="H2625" s="8">
        <f t="shared" si="2798"/>
        <v>25000</v>
      </c>
      <c r="I2625" s="30">
        <f t="shared" si="2799"/>
        <v>8000</v>
      </c>
      <c r="J2625" s="187">
        <v>40000</v>
      </c>
      <c r="K2625" s="30">
        <f t="shared" si="2800"/>
        <v>8000</v>
      </c>
      <c r="L2625" s="187">
        <v>40000</v>
      </c>
      <c r="M2625" s="110">
        <v>9.5</v>
      </c>
      <c r="N2625" s="9">
        <f>VLOOKUP(DATE(YEAR(A2625),MONTH(A2625),DAY(A2625)),FY24_Temp[],3,FALSE)</f>
        <v>17.25</v>
      </c>
      <c r="O2625" s="110">
        <f t="shared" si="2786"/>
        <v>11.5</v>
      </c>
      <c r="P2625" s="110">
        <f t="shared" si="2787"/>
        <v>19.5</v>
      </c>
      <c r="Q2625" s="79">
        <f>VLOOKUP(VLOOKUP(DATEVALUE(TEXT(A2625,"m/d/yyyy")),FY24_Temp[],5,FALSE)&amp;TEXT(A2625,"-h"),TempDelta[],4,FALSE)</f>
        <v>0.64628570420401432</v>
      </c>
      <c r="R2625">
        <v>10</v>
      </c>
      <c r="S2625" s="112">
        <v>1500</v>
      </c>
      <c r="T2625" s="5">
        <f>VLOOKUP(TEXT(A2625,"yy-mm")&amp;"-"&amp;IF(AND(WEEKDAY(A2625)&gt;1,WEEKDAY(A2625)&lt;7),"Wkd",TEXT(A2625,"Ddd"))&amp;"-"&amp;TEXT(A2625,"hh"),LoadTable[],3,FALSE)*0.92</f>
        <v>209.6772</v>
      </c>
      <c r="U2625" s="113">
        <f t="shared" si="2788"/>
        <v>20.96772</v>
      </c>
      <c r="V2625">
        <f t="shared" ref="V2625:W2625" si="2855">V2601</f>
        <v>2.5</v>
      </c>
      <c r="W2625">
        <f t="shared" si="2855"/>
        <v>3.1</v>
      </c>
      <c r="X2625" s="9">
        <v>-79.938399166667296</v>
      </c>
      <c r="Y2625" s="39"/>
    </row>
    <row r="2626" spans="1:25" ht="15" thickBot="1">
      <c r="A2626" s="149">
        <f t="shared" si="2842"/>
        <v>45945.291666662284</v>
      </c>
      <c r="B2626" s="30">
        <f t="shared" si="2797"/>
        <v>8000</v>
      </c>
      <c r="C2626" s="8">
        <v>25000</v>
      </c>
      <c r="D2626" s="187">
        <v>0</v>
      </c>
      <c r="E2626" s="187">
        <v>700</v>
      </c>
      <c r="F2626" s="187">
        <v>15000</v>
      </c>
      <c r="G2626" s="30">
        <f t="shared" si="2798"/>
        <v>2470</v>
      </c>
      <c r="H2626" s="8">
        <f t="shared" si="2798"/>
        <v>25000</v>
      </c>
      <c r="I2626" s="30">
        <f t="shared" si="2799"/>
        <v>8000</v>
      </c>
      <c r="J2626" s="187">
        <v>40000</v>
      </c>
      <c r="K2626" s="30">
        <f t="shared" si="2800"/>
        <v>8000</v>
      </c>
      <c r="L2626" s="187">
        <v>40000</v>
      </c>
      <c r="M2626" s="110">
        <v>9.5</v>
      </c>
      <c r="N2626" s="9">
        <f>VLOOKUP(DATE(YEAR(A2626),MONTH(A2626),DAY(A2626)),FY24_Temp[],3,FALSE)</f>
        <v>17.25</v>
      </c>
      <c r="O2626" s="110">
        <f t="shared" si="2786"/>
        <v>11.5</v>
      </c>
      <c r="P2626" s="110">
        <f t="shared" si="2787"/>
        <v>19.5</v>
      </c>
      <c r="Q2626" s="79">
        <f>VLOOKUP(VLOOKUP(DATEVALUE(TEXT(A2626,"m/d/yyyy")),FY24_Temp[],5,FALSE)&amp;TEXT(A2626,"-h"),TempDelta[],4,FALSE)</f>
        <v>0.46642856938498362</v>
      </c>
      <c r="R2626">
        <v>10</v>
      </c>
      <c r="S2626" s="112">
        <v>1500</v>
      </c>
      <c r="T2626" s="5">
        <f>VLOOKUP(TEXT(A2626,"yy-mm")&amp;"-"&amp;IF(AND(WEEKDAY(A2626)&gt;1,WEEKDAY(A2626)&lt;7),"Wkd",TEXT(A2626,"Ddd"))&amp;"-"&amp;TEXT(A2626,"hh"),LoadTable[],3,FALSE)*0.92</f>
        <v>234.80148</v>
      </c>
      <c r="U2626" s="113">
        <f t="shared" si="2788"/>
        <v>23.480148</v>
      </c>
      <c r="V2626">
        <f t="shared" ref="V2626:W2626" si="2856">V2602</f>
        <v>2.5</v>
      </c>
      <c r="W2626">
        <f t="shared" si="2856"/>
        <v>3.1</v>
      </c>
      <c r="X2626" s="9">
        <v>-80.016193716667303</v>
      </c>
      <c r="Y2626" s="39"/>
    </row>
    <row r="2627" spans="1:25" ht="15" thickBot="1">
      <c r="A2627" s="149">
        <f t="shared" si="2842"/>
        <v>45945.333333328948</v>
      </c>
      <c r="B2627" s="30">
        <f t="shared" si="2797"/>
        <v>8000</v>
      </c>
      <c r="C2627" s="8">
        <v>25000</v>
      </c>
      <c r="D2627" s="187">
        <v>0</v>
      </c>
      <c r="E2627" s="187">
        <v>700</v>
      </c>
      <c r="F2627" s="187">
        <v>15000</v>
      </c>
      <c r="G2627" s="30">
        <f t="shared" si="2798"/>
        <v>2470</v>
      </c>
      <c r="H2627" s="8">
        <f t="shared" si="2798"/>
        <v>25000</v>
      </c>
      <c r="I2627" s="30">
        <f t="shared" si="2799"/>
        <v>8000</v>
      </c>
      <c r="J2627" s="187">
        <v>40000</v>
      </c>
      <c r="K2627" s="30">
        <f t="shared" si="2800"/>
        <v>8000</v>
      </c>
      <c r="L2627" s="187">
        <v>40000</v>
      </c>
      <c r="M2627" s="110">
        <v>9.5</v>
      </c>
      <c r="N2627" s="9">
        <f>VLOOKUP(DATE(YEAR(A2627),MONTH(A2627),DAY(A2627)),FY24_Temp[],3,FALSE)</f>
        <v>17.25</v>
      </c>
      <c r="O2627" s="110">
        <f t="shared" si="2786"/>
        <v>11.5</v>
      </c>
      <c r="P2627" s="110">
        <f t="shared" si="2787"/>
        <v>19.5</v>
      </c>
      <c r="Q2627" s="79">
        <f>VLOOKUP(VLOOKUP(DATEVALUE(TEXT(A2627,"m/d/yyyy")),FY24_Temp[],5,FALSE)&amp;TEXT(A2627,"-h"),TempDelta[],4,FALSE)</f>
        <v>0.36357143095561434</v>
      </c>
      <c r="R2627">
        <v>10</v>
      </c>
      <c r="S2627" s="112">
        <v>1500</v>
      </c>
      <c r="T2627" s="5">
        <f>VLOOKUP(TEXT(A2627,"yy-mm")&amp;"-"&amp;IF(AND(WEEKDAY(A2627)&gt;1,WEEKDAY(A2627)&lt;7),"Wkd",TEXT(A2627,"Ddd"))&amp;"-"&amp;TEXT(A2627,"hh"),LoadTable[],3,FALSE)*0.92</f>
        <v>234.80148</v>
      </c>
      <c r="U2627" s="113">
        <f t="shared" si="2788"/>
        <v>23.480148</v>
      </c>
      <c r="V2627">
        <f t="shared" ref="V2627:W2627" si="2857">V2603</f>
        <v>3.2</v>
      </c>
      <c r="W2627">
        <f t="shared" si="2857"/>
        <v>3</v>
      </c>
      <c r="X2627" s="9">
        <v>-80.093988266667296</v>
      </c>
      <c r="Y2627" s="39"/>
    </row>
    <row r="2628" spans="1:25" ht="15" thickBot="1">
      <c r="A2628" s="149">
        <f t="shared" si="2842"/>
        <v>45945.374999995613</v>
      </c>
      <c r="B2628" s="30">
        <f t="shared" si="2797"/>
        <v>8000</v>
      </c>
      <c r="C2628" s="8">
        <v>25000</v>
      </c>
      <c r="D2628" s="187">
        <v>0</v>
      </c>
      <c r="E2628" s="187">
        <v>700</v>
      </c>
      <c r="F2628" s="187">
        <v>15000</v>
      </c>
      <c r="G2628" s="30">
        <f t="shared" si="2798"/>
        <v>2470</v>
      </c>
      <c r="H2628" s="8">
        <f t="shared" si="2798"/>
        <v>25000</v>
      </c>
      <c r="I2628" s="30">
        <f t="shared" si="2799"/>
        <v>8000</v>
      </c>
      <c r="J2628" s="187">
        <v>40000</v>
      </c>
      <c r="K2628" s="30">
        <f t="shared" si="2800"/>
        <v>8000</v>
      </c>
      <c r="L2628" s="187">
        <v>40000</v>
      </c>
      <c r="M2628" s="110">
        <v>9.5</v>
      </c>
      <c r="N2628" s="9">
        <f>VLOOKUP(DATE(YEAR(A2628),MONTH(A2628),DAY(A2628)),FY24_Temp[],3,FALSE)</f>
        <v>17.25</v>
      </c>
      <c r="O2628" s="110">
        <f t="shared" ref="O2628:O2691" si="2858">15.5-4</f>
        <v>11.5</v>
      </c>
      <c r="P2628" s="110">
        <f t="shared" ref="P2628:P2691" si="2859">15.5+4</f>
        <v>19.5</v>
      </c>
      <c r="Q2628" s="79">
        <f>VLOOKUP(VLOOKUP(DATEVALUE(TEXT(A2628,"m/d/yyyy")),FY24_Temp[],5,FALSE)&amp;TEXT(A2628,"-h"),TempDelta[],4,FALSE)</f>
        <v>0.28171428825174061</v>
      </c>
      <c r="R2628">
        <v>10</v>
      </c>
      <c r="S2628" s="112">
        <v>1500</v>
      </c>
      <c r="T2628" s="5">
        <f>VLOOKUP(TEXT(A2628,"yy-mm")&amp;"-"&amp;IF(AND(WEEKDAY(A2628)&gt;1,WEEKDAY(A2628)&lt;7),"Wkd",TEXT(A2628,"Ddd"))&amp;"-"&amp;TEXT(A2628,"hh"),LoadTable[],3,FALSE)*0.92</f>
        <v>234.80148</v>
      </c>
      <c r="U2628" s="113">
        <f t="shared" ref="U2628:U2691" si="2860">T2628/10</f>
        <v>23.480148</v>
      </c>
      <c r="V2628">
        <f t="shared" ref="V2628:W2628" si="2861">V2604</f>
        <v>2.9</v>
      </c>
      <c r="W2628">
        <f t="shared" si="2861"/>
        <v>3</v>
      </c>
      <c r="X2628" s="9">
        <v>-80.171782816667303</v>
      </c>
      <c r="Y2628" s="39"/>
    </row>
    <row r="2629" spans="1:25" ht="15" thickBot="1">
      <c r="A2629" s="149">
        <f t="shared" si="2842"/>
        <v>45945.416666662277</v>
      </c>
      <c r="B2629" s="30">
        <f t="shared" si="2797"/>
        <v>8000</v>
      </c>
      <c r="C2629" s="8">
        <v>25000</v>
      </c>
      <c r="D2629" s="187">
        <v>0</v>
      </c>
      <c r="E2629" s="187">
        <v>700</v>
      </c>
      <c r="F2629" s="187">
        <v>15000</v>
      </c>
      <c r="G2629" s="30">
        <f t="shared" si="2798"/>
        <v>2470</v>
      </c>
      <c r="H2629" s="8">
        <f t="shared" si="2798"/>
        <v>25000</v>
      </c>
      <c r="I2629" s="30">
        <f t="shared" si="2799"/>
        <v>8000</v>
      </c>
      <c r="J2629" s="187">
        <v>40000</v>
      </c>
      <c r="K2629" s="30">
        <f t="shared" si="2800"/>
        <v>8000</v>
      </c>
      <c r="L2629" s="187">
        <v>40000</v>
      </c>
      <c r="M2629" s="110">
        <v>9.5</v>
      </c>
      <c r="N2629" s="9">
        <f>VLOOKUP(DATE(YEAR(A2629),MONTH(A2629),DAY(A2629)),FY24_Temp[],3,FALSE)</f>
        <v>17.25</v>
      </c>
      <c r="O2629" s="110">
        <f t="shared" si="2858"/>
        <v>11.5</v>
      </c>
      <c r="P2629" s="110">
        <f t="shared" si="2859"/>
        <v>19.5</v>
      </c>
      <c r="Q2629" s="79">
        <f>VLOOKUP(VLOOKUP(DATEVALUE(TEXT(A2629,"m/d/yyyy")),FY24_Temp[],5,FALSE)&amp;TEXT(A2629,"-h"),TempDelta[],4,FALSE)</f>
        <v>0.18571428209543228</v>
      </c>
      <c r="R2629">
        <v>10</v>
      </c>
      <c r="S2629" s="112">
        <v>1500</v>
      </c>
      <c r="T2629" s="5">
        <f>VLOOKUP(TEXT(A2629,"yy-mm")&amp;"-"&amp;IF(AND(WEEKDAY(A2629)&gt;1,WEEKDAY(A2629)&lt;7),"Wkd",TEXT(A2629,"Ddd"))&amp;"-"&amp;TEXT(A2629,"hh"),LoadTable[],3,FALSE)*0.92</f>
        <v>234.80148</v>
      </c>
      <c r="U2629" s="113">
        <f t="shared" si="2860"/>
        <v>23.480148</v>
      </c>
      <c r="V2629">
        <f t="shared" ref="V2629:W2629" si="2862">V2605</f>
        <v>2.9</v>
      </c>
      <c r="W2629">
        <f t="shared" si="2862"/>
        <v>3</v>
      </c>
      <c r="X2629" s="9">
        <v>-80.249577366667296</v>
      </c>
      <c r="Y2629" s="39"/>
    </row>
    <row r="2630" spans="1:25" ht="15" thickBot="1">
      <c r="A2630" s="149">
        <f t="shared" si="2842"/>
        <v>45945.458333328941</v>
      </c>
      <c r="B2630" s="30">
        <f t="shared" si="2797"/>
        <v>8000</v>
      </c>
      <c r="C2630" s="8">
        <v>25000</v>
      </c>
      <c r="D2630" s="187">
        <v>0</v>
      </c>
      <c r="E2630" s="187">
        <v>700</v>
      </c>
      <c r="F2630" s="187">
        <v>15000</v>
      </c>
      <c r="G2630" s="30">
        <f t="shared" si="2798"/>
        <v>2470</v>
      </c>
      <c r="H2630" s="8">
        <f t="shared" si="2798"/>
        <v>25000</v>
      </c>
      <c r="I2630" s="30">
        <f t="shared" si="2799"/>
        <v>8000</v>
      </c>
      <c r="J2630" s="187">
        <v>40000</v>
      </c>
      <c r="K2630" s="30">
        <f t="shared" si="2800"/>
        <v>8000</v>
      </c>
      <c r="L2630" s="187">
        <v>40000</v>
      </c>
      <c r="M2630" s="110">
        <v>9.5</v>
      </c>
      <c r="N2630" s="9">
        <f>VLOOKUP(DATE(YEAR(A2630),MONTH(A2630),DAY(A2630)),FY24_Temp[],3,FALSE)</f>
        <v>17.25</v>
      </c>
      <c r="O2630" s="110">
        <f t="shared" si="2858"/>
        <v>11.5</v>
      </c>
      <c r="P2630" s="110">
        <f t="shared" si="2859"/>
        <v>19.5</v>
      </c>
      <c r="Q2630" s="79">
        <f>VLOOKUP(VLOOKUP(DATEVALUE(TEXT(A2630,"m/d/yyyy")),FY24_Temp[],5,FALSE)&amp;TEXT(A2630,"-h"),TempDelta[],4,FALSE)</f>
        <v>0.10357142758688756</v>
      </c>
      <c r="R2630">
        <v>10</v>
      </c>
      <c r="S2630" s="112">
        <v>1500</v>
      </c>
      <c r="T2630" s="5">
        <f>VLOOKUP(TEXT(A2630,"yy-mm")&amp;"-"&amp;IF(AND(WEEKDAY(A2630)&gt;1,WEEKDAY(A2630)&lt;7),"Wkd",TEXT(A2630,"Ddd"))&amp;"-"&amp;TEXT(A2630,"hh"),LoadTable[],3,FALSE)*0.92</f>
        <v>234.80148</v>
      </c>
      <c r="U2630" s="113">
        <f t="shared" si="2860"/>
        <v>23.480148</v>
      </c>
      <c r="V2630">
        <f t="shared" ref="V2630:W2630" si="2863">V2606</f>
        <v>3.4</v>
      </c>
      <c r="W2630">
        <f t="shared" si="2863"/>
        <v>3</v>
      </c>
      <c r="X2630" s="9">
        <v>-80.327371916667303</v>
      </c>
      <c r="Y2630" s="39"/>
    </row>
    <row r="2631" spans="1:25" ht="15" thickBot="1">
      <c r="A2631" s="149">
        <f t="shared" si="2842"/>
        <v>45945.499999995605</v>
      </c>
      <c r="B2631" s="30">
        <f t="shared" si="2797"/>
        <v>8000</v>
      </c>
      <c r="C2631" s="8">
        <v>25000</v>
      </c>
      <c r="D2631" s="187">
        <v>0</v>
      </c>
      <c r="E2631" s="187">
        <v>700</v>
      </c>
      <c r="F2631" s="187">
        <v>15000</v>
      </c>
      <c r="G2631" s="30">
        <f t="shared" si="2798"/>
        <v>2470</v>
      </c>
      <c r="H2631" s="8">
        <f t="shared" si="2798"/>
        <v>25000</v>
      </c>
      <c r="I2631" s="30">
        <f t="shared" si="2799"/>
        <v>8000</v>
      </c>
      <c r="J2631" s="187">
        <v>40000</v>
      </c>
      <c r="K2631" s="30">
        <f t="shared" si="2800"/>
        <v>8000</v>
      </c>
      <c r="L2631" s="187">
        <v>40000</v>
      </c>
      <c r="M2631" s="110">
        <v>9.5</v>
      </c>
      <c r="N2631" s="9">
        <f>VLOOKUP(DATE(YEAR(A2631),MONTH(A2631),DAY(A2631)),FY24_Temp[],3,FALSE)</f>
        <v>17.25</v>
      </c>
      <c r="O2631" s="110">
        <f t="shared" si="2858"/>
        <v>11.5</v>
      </c>
      <c r="P2631" s="110">
        <f t="shared" si="2859"/>
        <v>19.5</v>
      </c>
      <c r="Q2631" s="79">
        <f>VLOOKUP(VLOOKUP(DATEVALUE(TEXT(A2631,"m/d/yyyy")),FY24_Temp[],5,FALSE)&amp;TEXT(A2631,"-h"),TempDelta[],4,FALSE)</f>
        <v>3.9142857438751628E-2</v>
      </c>
      <c r="R2631">
        <v>10</v>
      </c>
      <c r="S2631" s="112">
        <v>1500</v>
      </c>
      <c r="T2631" s="5">
        <f>VLOOKUP(TEXT(A2631,"yy-mm")&amp;"-"&amp;IF(AND(WEEKDAY(A2631)&gt;1,WEEKDAY(A2631)&lt;7),"Wkd",TEXT(A2631,"Ddd"))&amp;"-"&amp;TEXT(A2631,"hh"),LoadTable[],3,FALSE)*0.92</f>
        <v>234.80148</v>
      </c>
      <c r="U2631" s="113">
        <f t="shared" si="2860"/>
        <v>23.480148</v>
      </c>
      <c r="V2631">
        <f t="shared" ref="V2631:W2631" si="2864">V2607</f>
        <v>3.1</v>
      </c>
      <c r="W2631">
        <f t="shared" si="2864"/>
        <v>2.9</v>
      </c>
      <c r="X2631" s="9">
        <v>-80.405166466667296</v>
      </c>
      <c r="Y2631" s="39"/>
    </row>
    <row r="2632" spans="1:25" ht="15" thickBot="1">
      <c r="A2632" s="149">
        <f t="shared" si="2842"/>
        <v>45945.54166666227</v>
      </c>
      <c r="B2632" s="30">
        <f t="shared" si="2797"/>
        <v>8000</v>
      </c>
      <c r="C2632" s="8">
        <v>25000</v>
      </c>
      <c r="D2632" s="187">
        <v>0</v>
      </c>
      <c r="E2632" s="187">
        <v>700</v>
      </c>
      <c r="F2632" s="187">
        <v>15000</v>
      </c>
      <c r="G2632" s="30">
        <f t="shared" si="2798"/>
        <v>2470</v>
      </c>
      <c r="H2632" s="8">
        <f t="shared" si="2798"/>
        <v>25000</v>
      </c>
      <c r="I2632" s="30">
        <f t="shared" si="2799"/>
        <v>8000</v>
      </c>
      <c r="J2632" s="187">
        <v>40000</v>
      </c>
      <c r="K2632" s="30">
        <f t="shared" si="2800"/>
        <v>8000</v>
      </c>
      <c r="L2632" s="187">
        <v>40000</v>
      </c>
      <c r="M2632" s="110">
        <v>9.5</v>
      </c>
      <c r="N2632" s="9">
        <f>VLOOKUP(DATE(YEAR(A2632),MONTH(A2632),DAY(A2632)),FY24_Temp[],3,FALSE)</f>
        <v>17.25</v>
      </c>
      <c r="O2632" s="110">
        <f t="shared" si="2858"/>
        <v>11.5</v>
      </c>
      <c r="P2632" s="110">
        <f t="shared" si="2859"/>
        <v>19.5</v>
      </c>
      <c r="Q2632" s="79">
        <f>VLOOKUP(VLOOKUP(DATEVALUE(TEXT(A2632,"m/d/yyyy")),FY24_Temp[],5,FALSE)&amp;TEXT(A2632,"-h"),TempDelta[],4,FALSE)</f>
        <v>5.2857138216495514E-3</v>
      </c>
      <c r="R2632">
        <v>10</v>
      </c>
      <c r="S2632" s="112">
        <v>1500</v>
      </c>
      <c r="T2632" s="5">
        <f>VLOOKUP(TEXT(A2632,"yy-mm")&amp;"-"&amp;IF(AND(WEEKDAY(A2632)&gt;1,WEEKDAY(A2632)&lt;7),"Wkd",TEXT(A2632,"Ddd"))&amp;"-"&amp;TEXT(A2632,"hh"),LoadTable[],3,FALSE)*0.92</f>
        <v>234.80148</v>
      </c>
      <c r="U2632" s="113">
        <f t="shared" si="2860"/>
        <v>23.480148</v>
      </c>
      <c r="V2632">
        <f t="shared" ref="V2632:W2632" si="2865">V2608</f>
        <v>3.2</v>
      </c>
      <c r="W2632">
        <f t="shared" si="2865"/>
        <v>2.9</v>
      </c>
      <c r="X2632" s="9">
        <v>-80.482961016667304</v>
      </c>
      <c r="Y2632" s="39"/>
    </row>
    <row r="2633" spans="1:25" ht="15" thickBot="1">
      <c r="A2633" s="149">
        <f t="shared" si="2842"/>
        <v>45945.583333328934</v>
      </c>
      <c r="B2633" s="30">
        <f t="shared" si="2797"/>
        <v>8000</v>
      </c>
      <c r="C2633" s="8">
        <v>25000</v>
      </c>
      <c r="D2633" s="187">
        <v>0</v>
      </c>
      <c r="E2633" s="187">
        <v>700</v>
      </c>
      <c r="F2633" s="187">
        <v>15000</v>
      </c>
      <c r="G2633" s="30">
        <f t="shared" si="2798"/>
        <v>2470</v>
      </c>
      <c r="H2633" s="8">
        <f t="shared" si="2798"/>
        <v>25000</v>
      </c>
      <c r="I2633" s="30">
        <f t="shared" si="2799"/>
        <v>8000</v>
      </c>
      <c r="J2633" s="187">
        <v>40000</v>
      </c>
      <c r="K2633" s="30">
        <f t="shared" si="2800"/>
        <v>8000</v>
      </c>
      <c r="L2633" s="187">
        <v>40000</v>
      </c>
      <c r="M2633" s="110">
        <v>9.5</v>
      </c>
      <c r="N2633" s="9">
        <f>VLOOKUP(DATE(YEAR(A2633),MONTH(A2633),DAY(A2633)),FY24_Temp[],3,FALSE)</f>
        <v>17.25</v>
      </c>
      <c r="O2633" s="110">
        <f t="shared" si="2858"/>
        <v>11.5</v>
      </c>
      <c r="P2633" s="110">
        <f t="shared" si="2859"/>
        <v>19.5</v>
      </c>
      <c r="Q2633" s="79">
        <f>VLOOKUP(VLOOKUP(DATEVALUE(TEXT(A2633,"m/d/yyyy")),FY24_Temp[],5,FALSE)&amp;TEXT(A2633,"-h"),TempDelta[],4,FALSE)</f>
        <v>6.9857144478841546E-2</v>
      </c>
      <c r="R2633">
        <v>10</v>
      </c>
      <c r="S2633" s="112">
        <v>1500</v>
      </c>
      <c r="T2633" s="5">
        <f>VLOOKUP(TEXT(A2633,"yy-mm")&amp;"-"&amp;IF(AND(WEEKDAY(A2633)&gt;1,WEEKDAY(A2633)&lt;7),"Wkd",TEXT(A2633,"Ddd"))&amp;"-"&amp;TEXT(A2633,"hh"),LoadTable[],3,FALSE)*0.92</f>
        <v>234.80148</v>
      </c>
      <c r="U2633" s="113">
        <f t="shared" si="2860"/>
        <v>23.480148</v>
      </c>
      <c r="V2633">
        <f t="shared" ref="V2633:W2633" si="2866">V2609</f>
        <v>3.5</v>
      </c>
      <c r="W2633">
        <f t="shared" si="2866"/>
        <v>2.9</v>
      </c>
      <c r="X2633" s="9">
        <v>-80.560755566667297</v>
      </c>
      <c r="Y2633" s="39"/>
    </row>
    <row r="2634" spans="1:25" ht="15" thickBot="1">
      <c r="A2634" s="149">
        <f t="shared" si="2842"/>
        <v>45945.624999995598</v>
      </c>
      <c r="B2634" s="30">
        <f t="shared" si="2797"/>
        <v>8000</v>
      </c>
      <c r="C2634" s="8">
        <v>25000</v>
      </c>
      <c r="D2634" s="187">
        <v>0</v>
      </c>
      <c r="E2634" s="187">
        <v>700</v>
      </c>
      <c r="F2634" s="187">
        <v>15000</v>
      </c>
      <c r="G2634" s="30">
        <f t="shared" si="2798"/>
        <v>2470</v>
      </c>
      <c r="H2634" s="8">
        <f t="shared" si="2798"/>
        <v>25000</v>
      </c>
      <c r="I2634" s="30">
        <f t="shared" si="2799"/>
        <v>8000</v>
      </c>
      <c r="J2634" s="187">
        <v>40000</v>
      </c>
      <c r="K2634" s="30">
        <f t="shared" si="2800"/>
        <v>8000</v>
      </c>
      <c r="L2634" s="187">
        <v>40000</v>
      </c>
      <c r="M2634" s="110">
        <v>9.5</v>
      </c>
      <c r="N2634" s="9">
        <f>VLOOKUP(DATE(YEAR(A2634),MONTH(A2634),DAY(A2634)),FY24_Temp[],3,FALSE)</f>
        <v>17.25</v>
      </c>
      <c r="O2634" s="110">
        <f t="shared" si="2858"/>
        <v>11.5</v>
      </c>
      <c r="P2634" s="110">
        <f t="shared" si="2859"/>
        <v>19.5</v>
      </c>
      <c r="Q2634" s="79">
        <f>VLOOKUP(VLOOKUP(DATEVALUE(TEXT(A2634,"m/d/yyyy")),FY24_Temp[],5,FALSE)&amp;TEXT(A2634,"-h"),TempDelta[],4,FALSE)</f>
        <v>0.16885714073266303</v>
      </c>
      <c r="R2634">
        <v>10</v>
      </c>
      <c r="S2634" s="112">
        <v>1500</v>
      </c>
      <c r="T2634" s="5">
        <f>VLOOKUP(TEXT(A2634,"yy-mm")&amp;"-"&amp;IF(AND(WEEKDAY(A2634)&gt;1,WEEKDAY(A2634)&lt;7),"Wkd",TEXT(A2634,"Ddd"))&amp;"-"&amp;TEXT(A2634,"hh"),LoadTable[],3,FALSE)*0.92</f>
        <v>234.80148</v>
      </c>
      <c r="U2634" s="113">
        <f t="shared" si="2860"/>
        <v>23.480148</v>
      </c>
      <c r="V2634">
        <f t="shared" ref="V2634:W2634" si="2867">V2610</f>
        <v>3.2</v>
      </c>
      <c r="W2634">
        <f t="shared" si="2867"/>
        <v>2.9</v>
      </c>
      <c r="X2634" s="9">
        <v>-80.638550116667304</v>
      </c>
      <c r="Y2634" s="39"/>
    </row>
    <row r="2635" spans="1:25" ht="15" thickBot="1">
      <c r="A2635" s="149">
        <f t="shared" si="2842"/>
        <v>45945.666666662262</v>
      </c>
      <c r="B2635" s="30">
        <f t="shared" si="2797"/>
        <v>8000</v>
      </c>
      <c r="C2635" s="8">
        <v>25000</v>
      </c>
      <c r="D2635" s="187">
        <v>0</v>
      </c>
      <c r="E2635" s="187">
        <v>700</v>
      </c>
      <c r="F2635" s="187">
        <v>15000</v>
      </c>
      <c r="G2635" s="30">
        <f t="shared" si="2798"/>
        <v>2470</v>
      </c>
      <c r="H2635" s="8">
        <f t="shared" si="2798"/>
        <v>25000</v>
      </c>
      <c r="I2635" s="30">
        <f t="shared" si="2799"/>
        <v>8000</v>
      </c>
      <c r="J2635" s="187">
        <v>40000</v>
      </c>
      <c r="K2635" s="30">
        <f t="shared" si="2800"/>
        <v>8000</v>
      </c>
      <c r="L2635" s="187">
        <v>40000</v>
      </c>
      <c r="M2635" s="110">
        <v>9.5</v>
      </c>
      <c r="N2635" s="9">
        <f>VLOOKUP(DATE(YEAR(A2635),MONTH(A2635),DAY(A2635)),FY24_Temp[],3,FALSE)</f>
        <v>17.25</v>
      </c>
      <c r="O2635" s="110">
        <f t="shared" si="2858"/>
        <v>11.5</v>
      </c>
      <c r="P2635" s="110">
        <f t="shared" si="2859"/>
        <v>19.5</v>
      </c>
      <c r="Q2635" s="79">
        <f>VLOOKUP(VLOOKUP(DATEVALUE(TEXT(A2635,"m/d/yyyy")),FY24_Temp[],5,FALSE)&amp;TEXT(A2635,"-h"),TempDelta[],4,FALSE)</f>
        <v>0.4030000056539263</v>
      </c>
      <c r="R2635">
        <v>10</v>
      </c>
      <c r="S2635" s="112">
        <v>1500</v>
      </c>
      <c r="T2635" s="5">
        <f>VLOOKUP(TEXT(A2635,"yy-mm")&amp;"-"&amp;IF(AND(WEEKDAY(A2635)&gt;1,WEEKDAY(A2635)&lt;7),"Wkd",TEXT(A2635,"Ddd"))&amp;"-"&amp;TEXT(A2635,"hh"),LoadTable[],3,FALSE)*0.92</f>
        <v>234.80148</v>
      </c>
      <c r="U2635" s="113">
        <f t="shared" si="2860"/>
        <v>23.480148</v>
      </c>
      <c r="V2635">
        <f t="shared" ref="V2635:W2635" si="2868">V2611</f>
        <v>3.5</v>
      </c>
      <c r="W2635">
        <f t="shared" si="2868"/>
        <v>3</v>
      </c>
      <c r="X2635" s="9">
        <v>-80.716344666667297</v>
      </c>
      <c r="Y2635" s="39"/>
    </row>
    <row r="2636" spans="1:25" ht="15" thickBot="1">
      <c r="A2636" s="149">
        <f t="shared" si="2842"/>
        <v>45945.708333328927</v>
      </c>
      <c r="B2636" s="30">
        <f t="shared" ref="B2636:B2699" si="2869">B2612</f>
        <v>8000</v>
      </c>
      <c r="C2636" s="8">
        <v>25000</v>
      </c>
      <c r="D2636" s="187">
        <v>0</v>
      </c>
      <c r="E2636" s="187">
        <v>700</v>
      </c>
      <c r="F2636" s="187">
        <v>15000</v>
      </c>
      <c r="G2636" s="30">
        <f t="shared" ref="G2636:H2699" si="2870">G2612</f>
        <v>2470</v>
      </c>
      <c r="H2636" s="8">
        <f t="shared" si="2870"/>
        <v>25000</v>
      </c>
      <c r="I2636" s="30">
        <f t="shared" ref="I2636:I2699" si="2871">I2612</f>
        <v>8000</v>
      </c>
      <c r="J2636" s="187">
        <v>40000</v>
      </c>
      <c r="K2636" s="30">
        <f t="shared" ref="K2636:K2699" si="2872">K2612</f>
        <v>8000</v>
      </c>
      <c r="L2636" s="187">
        <v>40000</v>
      </c>
      <c r="M2636" s="110">
        <v>9.5</v>
      </c>
      <c r="N2636" s="9">
        <f>VLOOKUP(DATE(YEAR(A2636),MONTH(A2636),DAY(A2636)),FY24_Temp[],3,FALSE)</f>
        <v>17.25</v>
      </c>
      <c r="O2636" s="110">
        <f t="shared" si="2858"/>
        <v>11.5</v>
      </c>
      <c r="P2636" s="110">
        <f t="shared" si="2859"/>
        <v>19.5</v>
      </c>
      <c r="Q2636" s="79">
        <f>VLOOKUP(VLOOKUP(DATEVALUE(TEXT(A2636,"m/d/yyyy")),FY24_Temp[],5,FALSE)&amp;TEXT(A2636,"-h"),TempDelta[],4,FALSE)</f>
        <v>0.51750000034059795</v>
      </c>
      <c r="R2636">
        <v>10</v>
      </c>
      <c r="S2636" s="112">
        <v>1500</v>
      </c>
      <c r="T2636" s="5">
        <f>VLOOKUP(TEXT(A2636,"yy-mm")&amp;"-"&amp;IF(AND(WEEKDAY(A2636)&gt;1,WEEKDAY(A2636)&lt;7),"Wkd",TEXT(A2636,"Ddd"))&amp;"-"&amp;TEXT(A2636,"hh"),LoadTable[],3,FALSE)*0.92</f>
        <v>234.80148</v>
      </c>
      <c r="U2636" s="113">
        <f t="shared" si="2860"/>
        <v>23.480148</v>
      </c>
      <c r="V2636">
        <f t="shared" ref="V2636:W2636" si="2873">V2612</f>
        <v>3.6</v>
      </c>
      <c r="W2636">
        <f t="shared" si="2873"/>
        <v>3</v>
      </c>
      <c r="X2636" s="9">
        <v>-80.794139216667404</v>
      </c>
      <c r="Y2636" s="39"/>
    </row>
    <row r="2637" spans="1:25" ht="15" thickBot="1">
      <c r="A2637" s="149">
        <f t="shared" si="2842"/>
        <v>45945.749999995591</v>
      </c>
      <c r="B2637" s="30">
        <f t="shared" si="2869"/>
        <v>5000</v>
      </c>
      <c r="C2637" s="8">
        <v>25000</v>
      </c>
      <c r="D2637" s="187">
        <v>0</v>
      </c>
      <c r="E2637" s="187">
        <v>700</v>
      </c>
      <c r="F2637" s="187">
        <v>15000</v>
      </c>
      <c r="G2637" s="30">
        <f t="shared" si="2870"/>
        <v>2470</v>
      </c>
      <c r="H2637" s="8">
        <f t="shared" si="2870"/>
        <v>25000</v>
      </c>
      <c r="I2637" s="30">
        <f t="shared" si="2871"/>
        <v>5000</v>
      </c>
      <c r="J2637" s="187">
        <v>40000</v>
      </c>
      <c r="K2637" s="30">
        <f t="shared" si="2872"/>
        <v>5000</v>
      </c>
      <c r="L2637" s="187">
        <v>40000</v>
      </c>
      <c r="M2637" s="110">
        <v>9.5</v>
      </c>
      <c r="N2637" s="9">
        <f>VLOOKUP(DATE(YEAR(A2637),MONTH(A2637),DAY(A2637)),FY24_Temp[],3,FALSE)</f>
        <v>17.25</v>
      </c>
      <c r="O2637" s="110">
        <f t="shared" si="2858"/>
        <v>11.5</v>
      </c>
      <c r="P2637" s="110">
        <f t="shared" si="2859"/>
        <v>19.5</v>
      </c>
      <c r="Q2637" s="79">
        <f>VLOOKUP(VLOOKUP(DATEVALUE(TEXT(A2637,"m/d/yyyy")),FY24_Temp[],5,FALSE)&amp;TEXT(A2637,"-h"),TempDelta[],4,FALSE)</f>
        <v>0.66500000017029903</v>
      </c>
      <c r="R2637">
        <v>10</v>
      </c>
      <c r="S2637" s="112">
        <v>1500</v>
      </c>
      <c r="T2637" s="5">
        <f>VLOOKUP(TEXT(A2637,"yy-mm")&amp;"-"&amp;IF(AND(WEEKDAY(A2637)&gt;1,WEEKDAY(A2637)&lt;7),"Wkd",TEXT(A2637,"Ddd"))&amp;"-"&amp;TEXT(A2637,"hh"),LoadTable[],3,FALSE)*0.92</f>
        <v>303.31295999999998</v>
      </c>
      <c r="U2637" s="113">
        <f t="shared" si="2860"/>
        <v>30.331295999999998</v>
      </c>
      <c r="V2637">
        <f t="shared" ref="V2637:W2637" si="2874">V2613</f>
        <v>2.9</v>
      </c>
      <c r="W2637">
        <f t="shared" si="2874"/>
        <v>3</v>
      </c>
      <c r="X2637" s="9">
        <v>-80.871933766667397</v>
      </c>
      <c r="Y2637" s="39"/>
    </row>
    <row r="2638" spans="1:25" ht="15" thickBot="1">
      <c r="A2638" s="149">
        <f t="shared" si="2842"/>
        <v>45945.791666662255</v>
      </c>
      <c r="B2638" s="30">
        <f t="shared" si="2869"/>
        <v>5000</v>
      </c>
      <c r="C2638" s="8">
        <v>25000</v>
      </c>
      <c r="D2638" s="187">
        <v>0</v>
      </c>
      <c r="E2638" s="187">
        <v>700</v>
      </c>
      <c r="F2638" s="187">
        <v>15000</v>
      </c>
      <c r="G2638" s="30">
        <f t="shared" si="2870"/>
        <v>2470</v>
      </c>
      <c r="H2638" s="8">
        <f t="shared" si="2870"/>
        <v>25000</v>
      </c>
      <c r="I2638" s="30">
        <f t="shared" si="2871"/>
        <v>5000</v>
      </c>
      <c r="J2638" s="187">
        <v>40000</v>
      </c>
      <c r="K2638" s="30">
        <f t="shared" si="2872"/>
        <v>5000</v>
      </c>
      <c r="L2638" s="187">
        <v>40000</v>
      </c>
      <c r="M2638" s="110">
        <v>9.5</v>
      </c>
      <c r="N2638" s="9">
        <f>VLOOKUP(DATE(YEAR(A2638),MONTH(A2638),DAY(A2638)),FY24_Temp[],3,FALSE)</f>
        <v>17.25</v>
      </c>
      <c r="O2638" s="110">
        <f t="shared" si="2858"/>
        <v>11.5</v>
      </c>
      <c r="P2638" s="110">
        <f t="shared" si="2859"/>
        <v>19.5</v>
      </c>
      <c r="Q2638" s="79">
        <f>VLOOKUP(VLOOKUP(DATEVALUE(TEXT(A2638,"m/d/yyyy")),FY24_Temp[],5,FALSE)&amp;TEXT(A2638,"-h"),TempDelta[],4,FALSE)</f>
        <v>0.66292857485158108</v>
      </c>
      <c r="R2638">
        <v>10</v>
      </c>
      <c r="S2638" s="112">
        <v>1500</v>
      </c>
      <c r="T2638" s="5">
        <f>VLOOKUP(TEXT(A2638,"yy-mm")&amp;"-"&amp;IF(AND(WEEKDAY(A2638)&gt;1,WEEKDAY(A2638)&lt;7),"Wkd",TEXT(A2638,"Ddd"))&amp;"-"&amp;TEXT(A2638,"hh"),LoadTable[],3,FALSE)*0.92</f>
        <v>303.31295999999998</v>
      </c>
      <c r="U2638" s="113">
        <f t="shared" si="2860"/>
        <v>30.331295999999998</v>
      </c>
      <c r="V2638">
        <f t="shared" ref="V2638:W2638" si="2875">V2614</f>
        <v>3</v>
      </c>
      <c r="W2638">
        <f t="shared" si="2875"/>
        <v>3</v>
      </c>
      <c r="X2638" s="9">
        <v>-80.949728316667404</v>
      </c>
      <c r="Y2638" s="39"/>
    </row>
    <row r="2639" spans="1:25" ht="15" thickBot="1">
      <c r="A2639" s="149">
        <f t="shared" si="2842"/>
        <v>45945.833333328919</v>
      </c>
      <c r="B2639" s="30">
        <f t="shared" si="2869"/>
        <v>5000</v>
      </c>
      <c r="C2639" s="8">
        <v>25000</v>
      </c>
      <c r="D2639" s="187">
        <v>0</v>
      </c>
      <c r="E2639" s="187">
        <v>700</v>
      </c>
      <c r="F2639" s="187">
        <v>15000</v>
      </c>
      <c r="G2639" s="30">
        <f t="shared" si="2870"/>
        <v>2470</v>
      </c>
      <c r="H2639" s="8">
        <f t="shared" si="2870"/>
        <v>25000</v>
      </c>
      <c r="I2639" s="30">
        <f t="shared" si="2871"/>
        <v>5000</v>
      </c>
      <c r="J2639" s="187">
        <v>40000</v>
      </c>
      <c r="K2639" s="30">
        <f t="shared" si="2872"/>
        <v>5000</v>
      </c>
      <c r="L2639" s="187">
        <v>40000</v>
      </c>
      <c r="M2639" s="110">
        <v>9.5</v>
      </c>
      <c r="N2639" s="9">
        <f>VLOOKUP(DATE(YEAR(A2639),MONTH(A2639),DAY(A2639)),FY24_Temp[],3,FALSE)</f>
        <v>17.25</v>
      </c>
      <c r="O2639" s="110">
        <f t="shared" si="2858"/>
        <v>11.5</v>
      </c>
      <c r="P2639" s="110">
        <f t="shared" si="2859"/>
        <v>19.5</v>
      </c>
      <c r="Q2639" s="79">
        <f>VLOOKUP(VLOOKUP(DATEVALUE(TEXT(A2639,"m/d/yyyy")),FY24_Temp[],5,FALSE)&amp;TEXT(A2639,"-h"),TempDelta[],4,FALSE)</f>
        <v>0.6834285663706916</v>
      </c>
      <c r="R2639">
        <v>10</v>
      </c>
      <c r="S2639" s="112">
        <v>1500</v>
      </c>
      <c r="T2639" s="5">
        <f>VLOOKUP(TEXT(A2639,"yy-mm")&amp;"-"&amp;IF(AND(WEEKDAY(A2639)&gt;1,WEEKDAY(A2639)&lt;7),"Wkd",TEXT(A2639,"Ddd"))&amp;"-"&amp;TEXT(A2639,"hh"),LoadTable[],3,FALSE)*0.92</f>
        <v>303.31295999999998</v>
      </c>
      <c r="U2639" s="113">
        <f t="shared" si="2860"/>
        <v>30.331295999999998</v>
      </c>
      <c r="V2639">
        <f t="shared" ref="V2639:W2639" si="2876">V2615</f>
        <v>2.8</v>
      </c>
      <c r="W2639">
        <f t="shared" si="2876"/>
        <v>3.1</v>
      </c>
      <c r="X2639" s="9">
        <v>-81.027522866667397</v>
      </c>
      <c r="Y2639" s="39"/>
    </row>
    <row r="2640" spans="1:25" ht="15" thickBot="1">
      <c r="A2640" s="149">
        <f t="shared" si="2842"/>
        <v>45945.874999995583</v>
      </c>
      <c r="B2640" s="30">
        <f t="shared" si="2869"/>
        <v>5000</v>
      </c>
      <c r="C2640" s="8">
        <v>25000</v>
      </c>
      <c r="D2640" s="187">
        <v>0</v>
      </c>
      <c r="E2640" s="187">
        <v>700</v>
      </c>
      <c r="F2640" s="187">
        <v>15000</v>
      </c>
      <c r="G2640" s="30">
        <f t="shared" si="2870"/>
        <v>2470</v>
      </c>
      <c r="H2640" s="8">
        <f t="shared" si="2870"/>
        <v>25000</v>
      </c>
      <c r="I2640" s="30">
        <f t="shared" si="2871"/>
        <v>5000</v>
      </c>
      <c r="J2640" s="187">
        <v>40000</v>
      </c>
      <c r="K2640" s="30">
        <f t="shared" si="2872"/>
        <v>5000</v>
      </c>
      <c r="L2640" s="187">
        <v>40000</v>
      </c>
      <c r="M2640" s="110">
        <v>9.5</v>
      </c>
      <c r="N2640" s="9">
        <f>VLOOKUP(DATE(YEAR(A2640),MONTH(A2640),DAY(A2640)),FY24_Temp[],3,FALSE)</f>
        <v>17.25</v>
      </c>
      <c r="O2640" s="110">
        <f t="shared" si="2858"/>
        <v>11.5</v>
      </c>
      <c r="P2640" s="110">
        <f t="shared" si="2859"/>
        <v>19.5</v>
      </c>
      <c r="Q2640" s="79">
        <f>VLOOKUP(VLOOKUP(DATEVALUE(TEXT(A2640,"m/d/yyyy")),FY24_Temp[],5,FALSE)&amp;TEXT(A2640,"-h"),TempDelta[],4,FALSE)</f>
        <v>0.67971429228782654</v>
      </c>
      <c r="R2640">
        <v>10</v>
      </c>
      <c r="S2640" s="112">
        <v>1500</v>
      </c>
      <c r="T2640" s="5">
        <f>VLOOKUP(TEXT(A2640,"yy-mm")&amp;"-"&amp;IF(AND(WEEKDAY(A2640)&gt;1,WEEKDAY(A2640)&lt;7),"Wkd",TEXT(A2640,"Ddd"))&amp;"-"&amp;TEXT(A2640,"hh"),LoadTable[],3,FALSE)*0.92</f>
        <v>229.93744000000001</v>
      </c>
      <c r="U2640" s="113">
        <f t="shared" si="2860"/>
        <v>22.993744</v>
      </c>
      <c r="V2640">
        <f t="shared" ref="V2640:W2640" si="2877">V2616</f>
        <v>3.5</v>
      </c>
      <c r="W2640">
        <f t="shared" si="2877"/>
        <v>3.1</v>
      </c>
      <c r="X2640" s="9">
        <v>-81.105317416667404</v>
      </c>
      <c r="Y2640" s="39"/>
    </row>
    <row r="2641" spans="1:25" ht="15" thickBot="1">
      <c r="A2641" s="149">
        <f t="shared" si="2842"/>
        <v>45945.916666662248</v>
      </c>
      <c r="B2641" s="30">
        <f t="shared" si="2869"/>
        <v>5000</v>
      </c>
      <c r="C2641" s="8">
        <v>25000</v>
      </c>
      <c r="D2641" s="187">
        <v>0</v>
      </c>
      <c r="E2641" s="187">
        <v>700</v>
      </c>
      <c r="F2641" s="187">
        <v>15000</v>
      </c>
      <c r="G2641" s="30">
        <f t="shared" si="2870"/>
        <v>2470</v>
      </c>
      <c r="H2641" s="8">
        <f t="shared" si="2870"/>
        <v>25000</v>
      </c>
      <c r="I2641" s="30">
        <f t="shared" si="2871"/>
        <v>5000</v>
      </c>
      <c r="J2641" s="187">
        <v>40000</v>
      </c>
      <c r="K2641" s="30">
        <f t="shared" si="2872"/>
        <v>5000</v>
      </c>
      <c r="L2641" s="187">
        <v>40000</v>
      </c>
      <c r="M2641" s="110">
        <v>9.5</v>
      </c>
      <c r="N2641" s="9">
        <f>VLOOKUP(DATE(YEAR(A2641),MONTH(A2641),DAY(A2641)),FY24_Temp[],3,FALSE)</f>
        <v>17.25</v>
      </c>
      <c r="O2641" s="110">
        <f t="shared" si="2858"/>
        <v>11.5</v>
      </c>
      <c r="P2641" s="110">
        <f t="shared" si="2859"/>
        <v>19.5</v>
      </c>
      <c r="Q2641" s="79">
        <f>VLOOKUP(VLOOKUP(DATEVALUE(TEXT(A2641,"m/d/yyyy")),FY24_Temp[],5,FALSE)&amp;TEXT(A2641,"-h"),TempDelta[],4,FALSE)</f>
        <v>0.9049999969346183</v>
      </c>
      <c r="R2641">
        <v>10</v>
      </c>
      <c r="S2641" s="112">
        <v>1500</v>
      </c>
      <c r="T2641" s="5">
        <f>VLOOKUP(TEXT(A2641,"yy-mm")&amp;"-"&amp;IF(AND(WEEKDAY(A2641)&gt;1,WEEKDAY(A2641)&lt;7),"Wkd",TEXT(A2641,"Ddd"))&amp;"-"&amp;TEXT(A2641,"hh"),LoadTable[],3,FALSE)*0.92</f>
        <v>176.52040000000002</v>
      </c>
      <c r="U2641" s="113">
        <f t="shared" si="2860"/>
        <v>17.652040000000003</v>
      </c>
      <c r="V2641">
        <f t="shared" ref="V2641:W2641" si="2878">V2617</f>
        <v>2.9</v>
      </c>
      <c r="W2641">
        <f t="shared" si="2878"/>
        <v>3.1</v>
      </c>
      <c r="X2641" s="9">
        <v>-81.183111966667397</v>
      </c>
      <c r="Y2641" s="39"/>
    </row>
    <row r="2642" spans="1:25" ht="15" thickBot="1">
      <c r="A2642" s="149">
        <f t="shared" si="2842"/>
        <v>45945.958333328912</v>
      </c>
      <c r="B2642" s="30">
        <f t="shared" si="2869"/>
        <v>5000</v>
      </c>
      <c r="C2642" s="8">
        <v>25000</v>
      </c>
      <c r="D2642" s="187">
        <v>0</v>
      </c>
      <c r="E2642" s="187">
        <v>700</v>
      </c>
      <c r="F2642" s="187">
        <v>15000</v>
      </c>
      <c r="G2642" s="30">
        <f t="shared" si="2870"/>
        <v>2470</v>
      </c>
      <c r="H2642" s="8">
        <f t="shared" si="2870"/>
        <v>25000</v>
      </c>
      <c r="I2642" s="30">
        <f t="shared" si="2871"/>
        <v>5000</v>
      </c>
      <c r="J2642" s="187">
        <v>40000</v>
      </c>
      <c r="K2642" s="30">
        <f t="shared" si="2872"/>
        <v>5000</v>
      </c>
      <c r="L2642" s="187">
        <v>40000</v>
      </c>
      <c r="M2642" s="110">
        <v>9.5</v>
      </c>
      <c r="N2642" s="9">
        <f>VLOOKUP(DATE(YEAR(A2642),MONTH(A2642),DAY(A2642)),FY24_Temp[],3,FALSE)</f>
        <v>17.25</v>
      </c>
      <c r="O2642" s="110">
        <f t="shared" si="2858"/>
        <v>11.5</v>
      </c>
      <c r="P2642" s="110">
        <f t="shared" si="2859"/>
        <v>19.5</v>
      </c>
      <c r="Q2642" s="85">
        <f>VLOOKUP(VLOOKUP(DATEVALUE(TEXT(A2642,"m/d/yyyy")),FY24_Temp[],5,FALSE)&amp;TEXT(A2642,"-h"),TempDelta[],4,FALSE)</f>
        <v>1.027285703590938</v>
      </c>
      <c r="R2642">
        <v>10</v>
      </c>
      <c r="S2642" s="112">
        <v>1500</v>
      </c>
      <c r="T2642" s="97">
        <f>VLOOKUP(TEXT(A2642,"yy-mm")&amp;"-"&amp;IF(AND(WEEKDAY(A2642)&gt;1,WEEKDAY(A2642)&lt;7),"Wkd",TEXT(A2642,"Ddd"))&amp;"-"&amp;TEXT(A2642,"hh"),LoadTable[],3,FALSE)*0.92</f>
        <v>176.52040000000002</v>
      </c>
      <c r="U2642" s="113">
        <f t="shared" si="2860"/>
        <v>17.652040000000003</v>
      </c>
      <c r="V2642">
        <f t="shared" ref="V2642:W2642" si="2879">V2618</f>
        <v>3.6</v>
      </c>
      <c r="W2642">
        <f t="shared" si="2879"/>
        <v>3.1</v>
      </c>
      <c r="X2642" s="84">
        <v>-81.260906516667404</v>
      </c>
      <c r="Y2642" s="39"/>
    </row>
    <row r="2643" spans="1:25" ht="15" thickBot="1">
      <c r="A2643" s="149">
        <f t="shared" si="2842"/>
        <v>45945.999999995576</v>
      </c>
      <c r="B2643" s="30">
        <f t="shared" si="2869"/>
        <v>5000</v>
      </c>
      <c r="C2643" s="8">
        <v>25000</v>
      </c>
      <c r="D2643" s="187">
        <v>0</v>
      </c>
      <c r="E2643" s="187">
        <v>700</v>
      </c>
      <c r="F2643" s="187">
        <v>15000</v>
      </c>
      <c r="G2643" s="30">
        <f t="shared" si="2870"/>
        <v>2470</v>
      </c>
      <c r="H2643" s="8">
        <f t="shared" si="2870"/>
        <v>25000</v>
      </c>
      <c r="I2643" s="30">
        <f t="shared" si="2871"/>
        <v>5000</v>
      </c>
      <c r="J2643" s="187">
        <v>40000</v>
      </c>
      <c r="K2643" s="30">
        <f t="shared" si="2872"/>
        <v>5000</v>
      </c>
      <c r="L2643" s="187">
        <v>40000</v>
      </c>
      <c r="M2643" s="110">
        <v>9.5</v>
      </c>
      <c r="N2643" s="9">
        <f>VLOOKUP(DATE(YEAR(A2643),MONTH(A2643),DAY(A2643)),FY24_Temp[],3,FALSE)</f>
        <v>17.25</v>
      </c>
      <c r="O2643" s="110">
        <f t="shared" si="2858"/>
        <v>11.5</v>
      </c>
      <c r="P2643" s="110">
        <f t="shared" si="2859"/>
        <v>19.5</v>
      </c>
      <c r="Q2643" s="79">
        <f>VLOOKUP(VLOOKUP(DATEVALUE(TEXT(A2643,"m/d/yyyy")),FY24_Temp[],5,FALSE)&amp;TEXT(A2643,"-h"),TempDelta[],4,FALSE)</f>
        <v>1.100857138633728</v>
      </c>
      <c r="R2643">
        <v>10</v>
      </c>
      <c r="S2643" s="112">
        <v>1500</v>
      </c>
      <c r="T2643" s="5">
        <f>VLOOKUP(TEXT(A2643,"yy-mm")&amp;"-"&amp;IF(AND(WEEKDAY(A2643)&gt;1,WEEKDAY(A2643)&lt;7),"Wkd",TEXT(A2643,"Ddd"))&amp;"-"&amp;TEXT(A2643,"hh"),LoadTable[],3,FALSE)*0.92</f>
        <v>209.6772</v>
      </c>
      <c r="U2643" s="113">
        <f t="shared" si="2860"/>
        <v>20.96772</v>
      </c>
      <c r="V2643">
        <f t="shared" ref="V2643:W2643" si="2880">V2619</f>
        <v>3</v>
      </c>
      <c r="W2643">
        <f t="shared" si="2880"/>
        <v>3.2</v>
      </c>
      <c r="X2643" s="9">
        <v>-81.338701066667397</v>
      </c>
      <c r="Y2643" s="39"/>
    </row>
    <row r="2644" spans="1:25" ht="15" thickBot="1">
      <c r="A2644" s="149">
        <f t="shared" si="2842"/>
        <v>45946.04166666224</v>
      </c>
      <c r="B2644" s="30">
        <f t="shared" si="2869"/>
        <v>5000</v>
      </c>
      <c r="C2644" s="8">
        <v>25000</v>
      </c>
      <c r="D2644" s="187">
        <v>0</v>
      </c>
      <c r="E2644" s="187">
        <v>700</v>
      </c>
      <c r="F2644" s="187">
        <v>15000</v>
      </c>
      <c r="G2644" s="30">
        <f t="shared" si="2870"/>
        <v>2470</v>
      </c>
      <c r="H2644" s="8">
        <f t="shared" si="2870"/>
        <v>25000</v>
      </c>
      <c r="I2644" s="30">
        <f t="shared" si="2871"/>
        <v>5000</v>
      </c>
      <c r="J2644" s="187">
        <v>40000</v>
      </c>
      <c r="K2644" s="30">
        <f t="shared" si="2872"/>
        <v>5000</v>
      </c>
      <c r="L2644" s="187">
        <v>40000</v>
      </c>
      <c r="M2644" s="110">
        <v>9.5</v>
      </c>
      <c r="N2644" s="9">
        <f>VLOOKUP(DATE(YEAR(A2644),MONTH(A2644),DAY(A2644)),FY24_Temp[],3,FALSE)</f>
        <v>17.25</v>
      </c>
      <c r="O2644" s="110">
        <f t="shared" si="2858"/>
        <v>11.5</v>
      </c>
      <c r="P2644" s="110">
        <f t="shared" si="2859"/>
        <v>19.5</v>
      </c>
      <c r="Q2644" s="87">
        <f>VLOOKUP(VLOOKUP(DATEVALUE(TEXT(A2644,"m/d/yyyy")),FY24_Temp[],5,FALSE)&amp;TEXT(A2644,"-h"),TempDelta[],4,FALSE)</f>
        <v>1.0574285984039307</v>
      </c>
      <c r="R2644">
        <v>10</v>
      </c>
      <c r="S2644" s="112">
        <v>1500</v>
      </c>
      <c r="T2644" s="98">
        <f>VLOOKUP(TEXT(A2644,"yy-mm")&amp;"-"&amp;IF(AND(WEEKDAY(A2644)&gt;1,WEEKDAY(A2644)&lt;7),"Wkd",TEXT(A2644,"Ddd"))&amp;"-"&amp;TEXT(A2644,"hh"),LoadTable[],3,FALSE)*0.92</f>
        <v>209.6772</v>
      </c>
      <c r="U2644" s="113">
        <f t="shared" si="2860"/>
        <v>20.96772</v>
      </c>
      <c r="V2644">
        <f t="shared" ref="V2644:W2644" si="2881">V2620</f>
        <v>2.6</v>
      </c>
      <c r="W2644">
        <f t="shared" si="2881"/>
        <v>3.2</v>
      </c>
      <c r="X2644" s="86">
        <v>-81.416495616667405</v>
      </c>
      <c r="Y2644" s="39"/>
    </row>
    <row r="2645" spans="1:25" ht="15" thickBot="1">
      <c r="A2645" s="149">
        <f t="shared" si="2842"/>
        <v>45946.083333328905</v>
      </c>
      <c r="B2645" s="30">
        <f t="shared" si="2869"/>
        <v>5000</v>
      </c>
      <c r="C2645" s="8">
        <v>25000</v>
      </c>
      <c r="D2645" s="187">
        <v>0</v>
      </c>
      <c r="E2645" s="187">
        <v>700</v>
      </c>
      <c r="F2645" s="187">
        <v>15000</v>
      </c>
      <c r="G2645" s="30">
        <f t="shared" si="2870"/>
        <v>2470</v>
      </c>
      <c r="H2645" s="8">
        <f t="shared" si="2870"/>
        <v>25000</v>
      </c>
      <c r="I2645" s="30">
        <f t="shared" si="2871"/>
        <v>5000</v>
      </c>
      <c r="J2645" s="187">
        <v>40000</v>
      </c>
      <c r="K2645" s="30">
        <f t="shared" si="2872"/>
        <v>5000</v>
      </c>
      <c r="L2645" s="187">
        <v>40000</v>
      </c>
      <c r="M2645" s="110">
        <v>9.5</v>
      </c>
      <c r="N2645" s="9">
        <f>VLOOKUP(DATE(YEAR(A2645),MONTH(A2645),DAY(A2645)),FY24_Temp[],3,FALSE)</f>
        <v>17.25</v>
      </c>
      <c r="O2645" s="110">
        <f t="shared" si="2858"/>
        <v>11.5</v>
      </c>
      <c r="P2645" s="110">
        <f t="shared" si="2859"/>
        <v>19.5</v>
      </c>
      <c r="Q2645" s="79">
        <f>VLOOKUP(VLOOKUP(DATEVALUE(TEXT(A2645,"m/d/yyyy")),FY24_Temp[],5,FALSE)&amp;TEXT(A2645,"-h"),TempDelta[],4,FALSE)</f>
        <v>0.96828572239194599</v>
      </c>
      <c r="R2645">
        <v>10</v>
      </c>
      <c r="S2645" s="112">
        <v>1500</v>
      </c>
      <c r="T2645" s="5">
        <f>VLOOKUP(TEXT(A2645,"yy-mm")&amp;"-"&amp;IF(AND(WEEKDAY(A2645)&gt;1,WEEKDAY(A2645)&lt;7),"Wkd",TEXT(A2645,"Ddd"))&amp;"-"&amp;TEXT(A2645,"hh"),LoadTable[],3,FALSE)*0.92</f>
        <v>209.6772</v>
      </c>
      <c r="U2645" s="113">
        <f t="shared" si="2860"/>
        <v>20.96772</v>
      </c>
      <c r="V2645">
        <f t="shared" ref="V2645:W2645" si="2882">V2621</f>
        <v>2.8</v>
      </c>
      <c r="W2645">
        <f t="shared" si="2882"/>
        <v>3.2</v>
      </c>
      <c r="X2645" s="9">
        <v>-81.494290166667398</v>
      </c>
      <c r="Y2645" s="39"/>
    </row>
    <row r="2646" spans="1:25" ht="15" thickBot="1">
      <c r="A2646" s="149">
        <f t="shared" si="2842"/>
        <v>45946.124999995569</v>
      </c>
      <c r="B2646" s="30">
        <f t="shared" si="2869"/>
        <v>5000</v>
      </c>
      <c r="C2646" s="8">
        <v>25000</v>
      </c>
      <c r="D2646" s="187">
        <v>0</v>
      </c>
      <c r="E2646" s="187">
        <v>700</v>
      </c>
      <c r="F2646" s="187">
        <v>15000</v>
      </c>
      <c r="G2646" s="30">
        <f t="shared" si="2870"/>
        <v>2470</v>
      </c>
      <c r="H2646" s="8">
        <f t="shared" si="2870"/>
        <v>25000</v>
      </c>
      <c r="I2646" s="30">
        <f t="shared" si="2871"/>
        <v>5000</v>
      </c>
      <c r="J2646" s="187">
        <v>40000</v>
      </c>
      <c r="K2646" s="30">
        <f t="shared" si="2872"/>
        <v>5000</v>
      </c>
      <c r="L2646" s="187">
        <v>40000</v>
      </c>
      <c r="M2646" s="110">
        <v>9.5</v>
      </c>
      <c r="N2646" s="9">
        <f>VLOOKUP(DATE(YEAR(A2646),MONTH(A2646),DAY(A2646)),FY24_Temp[],3,FALSE)</f>
        <v>17.25</v>
      </c>
      <c r="O2646" s="110">
        <f t="shared" si="2858"/>
        <v>11.5</v>
      </c>
      <c r="P2646" s="110">
        <f t="shared" si="2859"/>
        <v>19.5</v>
      </c>
      <c r="Q2646" s="79">
        <f>VLOOKUP(VLOOKUP(DATEVALUE(TEXT(A2646,"m/d/yyyy")),FY24_Temp[],5,FALSE)&amp;TEXT(A2646,"-h"),TempDelta[],4,FALSE)</f>
        <v>0.8611428397042411</v>
      </c>
      <c r="R2646">
        <v>10</v>
      </c>
      <c r="S2646" s="112">
        <v>1500</v>
      </c>
      <c r="T2646" s="5">
        <f>VLOOKUP(TEXT(A2646,"yy-mm")&amp;"-"&amp;IF(AND(WEEKDAY(A2646)&gt;1,WEEKDAY(A2646)&lt;7),"Wkd",TEXT(A2646,"Ddd"))&amp;"-"&amp;TEXT(A2646,"hh"),LoadTable[],3,FALSE)*0.92</f>
        <v>209.6772</v>
      </c>
      <c r="U2646" s="113">
        <f t="shared" si="2860"/>
        <v>20.96772</v>
      </c>
      <c r="V2646">
        <f t="shared" ref="V2646:W2646" si="2883">V2622</f>
        <v>2.7</v>
      </c>
      <c r="W2646">
        <f t="shared" si="2883"/>
        <v>3.2</v>
      </c>
      <c r="X2646" s="9">
        <v>-81.572084716667405</v>
      </c>
      <c r="Y2646" s="39"/>
    </row>
    <row r="2647" spans="1:25" ht="15" thickBot="1">
      <c r="A2647" s="149">
        <f t="shared" si="2842"/>
        <v>45946.166666662233</v>
      </c>
      <c r="B2647" s="30">
        <f t="shared" si="2869"/>
        <v>5000</v>
      </c>
      <c r="C2647" s="8">
        <v>25000</v>
      </c>
      <c r="D2647" s="187">
        <v>0</v>
      </c>
      <c r="E2647" s="187">
        <v>700</v>
      </c>
      <c r="F2647" s="187">
        <v>15000</v>
      </c>
      <c r="G2647" s="30">
        <f t="shared" si="2870"/>
        <v>2470</v>
      </c>
      <c r="H2647" s="8">
        <f t="shared" si="2870"/>
        <v>25000</v>
      </c>
      <c r="I2647" s="30">
        <f t="shared" si="2871"/>
        <v>5000</v>
      </c>
      <c r="J2647" s="187">
        <v>40000</v>
      </c>
      <c r="K2647" s="30">
        <f t="shared" si="2872"/>
        <v>5000</v>
      </c>
      <c r="L2647" s="187">
        <v>40000</v>
      </c>
      <c r="M2647" s="110">
        <v>9.5</v>
      </c>
      <c r="N2647" s="9">
        <f>VLOOKUP(DATE(YEAR(A2647),MONTH(A2647),DAY(A2647)),FY24_Temp[],3,FALSE)</f>
        <v>17.25</v>
      </c>
      <c r="O2647" s="110">
        <f t="shared" si="2858"/>
        <v>11.5</v>
      </c>
      <c r="P2647" s="110">
        <f t="shared" si="2859"/>
        <v>19.5</v>
      </c>
      <c r="Q2647" s="79">
        <f>VLOOKUP(VLOOKUP(DATEVALUE(TEXT(A2647,"m/d/yyyy")),FY24_Temp[],5,FALSE)&amp;TEXT(A2647,"-h"),TempDelta[],4,FALSE)</f>
        <v>0.76914285761969425</v>
      </c>
      <c r="R2647">
        <v>10</v>
      </c>
      <c r="S2647" s="112">
        <v>1500</v>
      </c>
      <c r="T2647" s="5">
        <f>VLOOKUP(TEXT(A2647,"yy-mm")&amp;"-"&amp;IF(AND(WEEKDAY(A2647)&gt;1,WEEKDAY(A2647)&lt;7),"Wkd",TEXT(A2647,"Ddd"))&amp;"-"&amp;TEXT(A2647,"hh"),LoadTable[],3,FALSE)*0.92</f>
        <v>209.6772</v>
      </c>
      <c r="U2647" s="113">
        <f t="shared" si="2860"/>
        <v>20.96772</v>
      </c>
      <c r="V2647">
        <f t="shared" ref="V2647:W2647" si="2884">V2623</f>
        <v>3</v>
      </c>
      <c r="W2647">
        <f t="shared" si="2884"/>
        <v>3.1</v>
      </c>
      <c r="X2647" s="9">
        <v>-81.649879266667398</v>
      </c>
      <c r="Y2647" s="39"/>
    </row>
    <row r="2648" spans="1:25" ht="15" thickBot="1">
      <c r="A2648" s="149">
        <f t="shared" si="2842"/>
        <v>45946.208333328897</v>
      </c>
      <c r="B2648" s="30">
        <f t="shared" si="2869"/>
        <v>5000</v>
      </c>
      <c r="C2648" s="8">
        <v>25000</v>
      </c>
      <c r="D2648" s="187">
        <v>0</v>
      </c>
      <c r="E2648" s="187">
        <v>700</v>
      </c>
      <c r="F2648" s="187">
        <v>15000</v>
      </c>
      <c r="G2648" s="30">
        <f t="shared" si="2870"/>
        <v>2470</v>
      </c>
      <c r="H2648" s="8">
        <f t="shared" si="2870"/>
        <v>25000</v>
      </c>
      <c r="I2648" s="30">
        <f t="shared" si="2871"/>
        <v>5000</v>
      </c>
      <c r="J2648" s="187">
        <v>40000</v>
      </c>
      <c r="K2648" s="30">
        <f t="shared" si="2872"/>
        <v>5000</v>
      </c>
      <c r="L2648" s="187">
        <v>40000</v>
      </c>
      <c r="M2648" s="110">
        <v>9.5</v>
      </c>
      <c r="N2648" s="9">
        <f>VLOOKUP(DATE(YEAR(A2648),MONTH(A2648),DAY(A2648)),FY24_Temp[],3,FALSE)</f>
        <v>17.25</v>
      </c>
      <c r="O2648" s="110">
        <f t="shared" si="2858"/>
        <v>11.5</v>
      </c>
      <c r="P2648" s="110">
        <f t="shared" si="2859"/>
        <v>19.5</v>
      </c>
      <c r="Q2648" s="79">
        <f>VLOOKUP(VLOOKUP(DATEVALUE(TEXT(A2648,"m/d/yyyy")),FY24_Temp[],5,FALSE)&amp;TEXT(A2648,"-h"),TempDelta[],4,FALSE)</f>
        <v>0.79885715246200562</v>
      </c>
      <c r="R2648">
        <v>10</v>
      </c>
      <c r="S2648" s="112">
        <v>1500</v>
      </c>
      <c r="T2648" s="5">
        <f>VLOOKUP(TEXT(A2648,"yy-mm")&amp;"-"&amp;IF(AND(WEEKDAY(A2648)&gt;1,WEEKDAY(A2648)&lt;7),"Wkd",TEXT(A2648,"Ddd"))&amp;"-"&amp;TEXT(A2648,"hh"),LoadTable[],3,FALSE)*0.92</f>
        <v>209.6772</v>
      </c>
      <c r="U2648" s="113">
        <f t="shared" si="2860"/>
        <v>20.96772</v>
      </c>
      <c r="V2648">
        <f t="shared" ref="V2648:W2648" si="2885">V2624</f>
        <v>2.9</v>
      </c>
      <c r="W2648">
        <f t="shared" si="2885"/>
        <v>3.1</v>
      </c>
      <c r="X2648" s="9">
        <v>-81.727673816667405</v>
      </c>
      <c r="Y2648" s="39"/>
    </row>
    <row r="2649" spans="1:25" ht="15" thickBot="1">
      <c r="A2649" s="149">
        <f t="shared" si="2842"/>
        <v>45946.249999995562</v>
      </c>
      <c r="B2649" s="30">
        <f t="shared" si="2869"/>
        <v>8000</v>
      </c>
      <c r="C2649" s="8">
        <v>25000</v>
      </c>
      <c r="D2649" s="187">
        <v>0</v>
      </c>
      <c r="E2649" s="187">
        <v>700</v>
      </c>
      <c r="F2649" s="187">
        <v>15000</v>
      </c>
      <c r="G2649" s="30">
        <f t="shared" si="2870"/>
        <v>2470</v>
      </c>
      <c r="H2649" s="8">
        <f t="shared" si="2870"/>
        <v>25000</v>
      </c>
      <c r="I2649" s="30">
        <f t="shared" si="2871"/>
        <v>8000</v>
      </c>
      <c r="J2649" s="187">
        <v>40000</v>
      </c>
      <c r="K2649" s="30">
        <f t="shared" si="2872"/>
        <v>8000</v>
      </c>
      <c r="L2649" s="187">
        <v>40000</v>
      </c>
      <c r="M2649" s="110">
        <v>9.5</v>
      </c>
      <c r="N2649" s="9">
        <f>VLOOKUP(DATE(YEAR(A2649),MONTH(A2649),DAY(A2649)),FY24_Temp[],3,FALSE)</f>
        <v>17.25</v>
      </c>
      <c r="O2649" s="110">
        <f t="shared" si="2858"/>
        <v>11.5</v>
      </c>
      <c r="P2649" s="110">
        <f t="shared" si="2859"/>
        <v>19.5</v>
      </c>
      <c r="Q2649" s="79">
        <f>VLOOKUP(VLOOKUP(DATEVALUE(TEXT(A2649,"m/d/yyyy")),FY24_Temp[],5,FALSE)&amp;TEXT(A2649,"-h"),TempDelta[],4,FALSE)</f>
        <v>0.64628570420401432</v>
      </c>
      <c r="R2649">
        <v>10</v>
      </c>
      <c r="S2649" s="112">
        <v>1500</v>
      </c>
      <c r="T2649" s="5">
        <f>VLOOKUP(TEXT(A2649,"yy-mm")&amp;"-"&amp;IF(AND(WEEKDAY(A2649)&gt;1,WEEKDAY(A2649)&lt;7),"Wkd",TEXT(A2649,"Ddd"))&amp;"-"&amp;TEXT(A2649,"hh"),LoadTable[],3,FALSE)*0.92</f>
        <v>209.6772</v>
      </c>
      <c r="U2649" s="113">
        <f t="shared" si="2860"/>
        <v>20.96772</v>
      </c>
      <c r="V2649">
        <f t="shared" ref="V2649:W2649" si="2886">V2625</f>
        <v>2.5</v>
      </c>
      <c r="W2649">
        <f t="shared" si="2886"/>
        <v>3.1</v>
      </c>
      <c r="X2649" s="9">
        <v>-81.805468366667398</v>
      </c>
      <c r="Y2649" s="39"/>
    </row>
    <row r="2650" spans="1:25" ht="15" thickBot="1">
      <c r="A2650" s="149">
        <f t="shared" si="2842"/>
        <v>45946.291666662226</v>
      </c>
      <c r="B2650" s="30">
        <f t="shared" si="2869"/>
        <v>8000</v>
      </c>
      <c r="C2650" s="8">
        <v>25000</v>
      </c>
      <c r="D2650" s="187">
        <v>0</v>
      </c>
      <c r="E2650" s="187">
        <v>700</v>
      </c>
      <c r="F2650" s="187">
        <v>15000</v>
      </c>
      <c r="G2650" s="30">
        <f t="shared" si="2870"/>
        <v>2470</v>
      </c>
      <c r="H2650" s="8">
        <f t="shared" si="2870"/>
        <v>25000</v>
      </c>
      <c r="I2650" s="30">
        <f t="shared" si="2871"/>
        <v>8000</v>
      </c>
      <c r="J2650" s="187">
        <v>40000</v>
      </c>
      <c r="K2650" s="30">
        <f t="shared" si="2872"/>
        <v>8000</v>
      </c>
      <c r="L2650" s="187">
        <v>40000</v>
      </c>
      <c r="M2650" s="110">
        <v>9.5</v>
      </c>
      <c r="N2650" s="9">
        <f>VLOOKUP(DATE(YEAR(A2650),MONTH(A2650),DAY(A2650)),FY24_Temp[],3,FALSE)</f>
        <v>17.25</v>
      </c>
      <c r="O2650" s="110">
        <f t="shared" si="2858"/>
        <v>11.5</v>
      </c>
      <c r="P2650" s="110">
        <f t="shared" si="2859"/>
        <v>19.5</v>
      </c>
      <c r="Q2650" s="79">
        <f>VLOOKUP(VLOOKUP(DATEVALUE(TEXT(A2650,"m/d/yyyy")),FY24_Temp[],5,FALSE)&amp;TEXT(A2650,"-h"),TempDelta[],4,FALSE)</f>
        <v>0.46642856938498362</v>
      </c>
      <c r="R2650">
        <v>10</v>
      </c>
      <c r="S2650" s="112">
        <v>1500</v>
      </c>
      <c r="T2650" s="5">
        <f>VLOOKUP(TEXT(A2650,"yy-mm")&amp;"-"&amp;IF(AND(WEEKDAY(A2650)&gt;1,WEEKDAY(A2650)&lt;7),"Wkd",TEXT(A2650,"Ddd"))&amp;"-"&amp;TEXT(A2650,"hh"),LoadTable[],3,FALSE)*0.92</f>
        <v>234.80148</v>
      </c>
      <c r="U2650" s="113">
        <f t="shared" si="2860"/>
        <v>23.480148</v>
      </c>
      <c r="V2650">
        <f t="shared" ref="V2650:W2650" si="2887">V2626</f>
        <v>2.5</v>
      </c>
      <c r="W2650">
        <f t="shared" si="2887"/>
        <v>3.1</v>
      </c>
      <c r="X2650" s="9">
        <v>-81.883262916667505</v>
      </c>
      <c r="Y2650" s="39"/>
    </row>
    <row r="2651" spans="1:25" ht="15" thickBot="1">
      <c r="A2651" s="149">
        <f t="shared" si="2842"/>
        <v>45946.33333332889</v>
      </c>
      <c r="B2651" s="30">
        <f t="shared" si="2869"/>
        <v>8000</v>
      </c>
      <c r="C2651" s="8">
        <v>25000</v>
      </c>
      <c r="D2651" s="187">
        <v>0</v>
      </c>
      <c r="E2651" s="187">
        <v>700</v>
      </c>
      <c r="F2651" s="187">
        <v>15000</v>
      </c>
      <c r="G2651" s="30">
        <f t="shared" si="2870"/>
        <v>2470</v>
      </c>
      <c r="H2651" s="8">
        <f t="shared" si="2870"/>
        <v>25000</v>
      </c>
      <c r="I2651" s="30">
        <f t="shared" si="2871"/>
        <v>8000</v>
      </c>
      <c r="J2651" s="187">
        <v>40000</v>
      </c>
      <c r="K2651" s="30">
        <f t="shared" si="2872"/>
        <v>8000</v>
      </c>
      <c r="L2651" s="187">
        <v>40000</v>
      </c>
      <c r="M2651" s="110">
        <v>9.5</v>
      </c>
      <c r="N2651" s="9">
        <f>VLOOKUP(DATE(YEAR(A2651),MONTH(A2651),DAY(A2651)),FY24_Temp[],3,FALSE)</f>
        <v>17.25</v>
      </c>
      <c r="O2651" s="110">
        <f t="shared" si="2858"/>
        <v>11.5</v>
      </c>
      <c r="P2651" s="110">
        <f t="shared" si="2859"/>
        <v>19.5</v>
      </c>
      <c r="Q2651" s="79">
        <f>VLOOKUP(VLOOKUP(DATEVALUE(TEXT(A2651,"m/d/yyyy")),FY24_Temp[],5,FALSE)&amp;TEXT(A2651,"-h"),TempDelta[],4,FALSE)</f>
        <v>0.36357143095561434</v>
      </c>
      <c r="R2651">
        <v>10</v>
      </c>
      <c r="S2651" s="112">
        <v>1500</v>
      </c>
      <c r="T2651" s="5">
        <f>VLOOKUP(TEXT(A2651,"yy-mm")&amp;"-"&amp;IF(AND(WEEKDAY(A2651)&gt;1,WEEKDAY(A2651)&lt;7),"Wkd",TEXT(A2651,"Ddd"))&amp;"-"&amp;TEXT(A2651,"hh"),LoadTable[],3,FALSE)*0.92</f>
        <v>234.80148</v>
      </c>
      <c r="U2651" s="113">
        <f t="shared" si="2860"/>
        <v>23.480148</v>
      </c>
      <c r="V2651">
        <f t="shared" ref="V2651:W2651" si="2888">V2627</f>
        <v>3.2</v>
      </c>
      <c r="W2651">
        <f t="shared" si="2888"/>
        <v>3</v>
      </c>
      <c r="X2651" s="9">
        <v>-81.961057466667498</v>
      </c>
      <c r="Y2651" s="39"/>
    </row>
    <row r="2652" spans="1:25" ht="15" thickBot="1">
      <c r="A2652" s="149">
        <f t="shared" si="2842"/>
        <v>45946.374999995554</v>
      </c>
      <c r="B2652" s="30">
        <f t="shared" si="2869"/>
        <v>8000</v>
      </c>
      <c r="C2652" s="8">
        <v>25000</v>
      </c>
      <c r="D2652" s="187">
        <v>0</v>
      </c>
      <c r="E2652" s="187">
        <v>700</v>
      </c>
      <c r="F2652" s="187">
        <v>15000</v>
      </c>
      <c r="G2652" s="30">
        <f t="shared" si="2870"/>
        <v>2470</v>
      </c>
      <c r="H2652" s="8">
        <f t="shared" si="2870"/>
        <v>25000</v>
      </c>
      <c r="I2652" s="30">
        <f t="shared" si="2871"/>
        <v>8000</v>
      </c>
      <c r="J2652" s="187">
        <v>40000</v>
      </c>
      <c r="K2652" s="30">
        <f t="shared" si="2872"/>
        <v>8000</v>
      </c>
      <c r="L2652" s="187">
        <v>40000</v>
      </c>
      <c r="M2652" s="110">
        <v>9.5</v>
      </c>
      <c r="N2652" s="9">
        <f>VLOOKUP(DATE(YEAR(A2652),MONTH(A2652),DAY(A2652)),FY24_Temp[],3,FALSE)</f>
        <v>17.25</v>
      </c>
      <c r="O2652" s="110">
        <f t="shared" si="2858"/>
        <v>11.5</v>
      </c>
      <c r="P2652" s="110">
        <f t="shared" si="2859"/>
        <v>19.5</v>
      </c>
      <c r="Q2652" s="79">
        <f>VLOOKUP(VLOOKUP(DATEVALUE(TEXT(A2652,"m/d/yyyy")),FY24_Temp[],5,FALSE)&amp;TEXT(A2652,"-h"),TempDelta[],4,FALSE)</f>
        <v>0.28171428825174061</v>
      </c>
      <c r="R2652">
        <v>10</v>
      </c>
      <c r="S2652" s="112">
        <v>1500</v>
      </c>
      <c r="T2652" s="5">
        <f>VLOOKUP(TEXT(A2652,"yy-mm")&amp;"-"&amp;IF(AND(WEEKDAY(A2652)&gt;1,WEEKDAY(A2652)&lt;7),"Wkd",TEXT(A2652,"Ddd"))&amp;"-"&amp;TEXT(A2652,"hh"),LoadTable[],3,FALSE)*0.92</f>
        <v>234.80148</v>
      </c>
      <c r="U2652" s="113">
        <f t="shared" si="2860"/>
        <v>23.480148</v>
      </c>
      <c r="V2652">
        <f t="shared" ref="V2652:W2652" si="2889">V2628</f>
        <v>2.9</v>
      </c>
      <c r="W2652">
        <f t="shared" si="2889"/>
        <v>3</v>
      </c>
      <c r="X2652" s="9">
        <v>-82.038852016667505</v>
      </c>
      <c r="Y2652" s="39"/>
    </row>
    <row r="2653" spans="1:25" ht="15" thickBot="1">
      <c r="A2653" s="149">
        <f t="shared" si="2842"/>
        <v>45946.416666662219</v>
      </c>
      <c r="B2653" s="30">
        <f t="shared" si="2869"/>
        <v>8000</v>
      </c>
      <c r="C2653" s="8">
        <v>25000</v>
      </c>
      <c r="D2653" s="187">
        <v>0</v>
      </c>
      <c r="E2653" s="187">
        <v>700</v>
      </c>
      <c r="F2653" s="187">
        <v>15000</v>
      </c>
      <c r="G2653" s="30">
        <f t="shared" si="2870"/>
        <v>2470</v>
      </c>
      <c r="H2653" s="8">
        <f t="shared" si="2870"/>
        <v>25000</v>
      </c>
      <c r="I2653" s="30">
        <f t="shared" si="2871"/>
        <v>8000</v>
      </c>
      <c r="J2653" s="187">
        <v>40000</v>
      </c>
      <c r="K2653" s="30">
        <f t="shared" si="2872"/>
        <v>8000</v>
      </c>
      <c r="L2653" s="187">
        <v>40000</v>
      </c>
      <c r="M2653" s="110">
        <v>9.5</v>
      </c>
      <c r="N2653" s="9">
        <f>VLOOKUP(DATE(YEAR(A2653),MONTH(A2653),DAY(A2653)),FY24_Temp[],3,FALSE)</f>
        <v>17.25</v>
      </c>
      <c r="O2653" s="110">
        <f t="shared" si="2858"/>
        <v>11.5</v>
      </c>
      <c r="P2653" s="110">
        <f t="shared" si="2859"/>
        <v>19.5</v>
      </c>
      <c r="Q2653" s="79">
        <f>VLOOKUP(VLOOKUP(DATEVALUE(TEXT(A2653,"m/d/yyyy")),FY24_Temp[],5,FALSE)&amp;TEXT(A2653,"-h"),TempDelta[],4,FALSE)</f>
        <v>0.18571428209543228</v>
      </c>
      <c r="R2653">
        <v>10</v>
      </c>
      <c r="S2653" s="112">
        <v>1500</v>
      </c>
      <c r="T2653" s="5">
        <f>VLOOKUP(TEXT(A2653,"yy-mm")&amp;"-"&amp;IF(AND(WEEKDAY(A2653)&gt;1,WEEKDAY(A2653)&lt;7),"Wkd",TEXT(A2653,"Ddd"))&amp;"-"&amp;TEXT(A2653,"hh"),LoadTable[],3,FALSE)*0.92</f>
        <v>234.80148</v>
      </c>
      <c r="U2653" s="113">
        <f t="shared" si="2860"/>
        <v>23.480148</v>
      </c>
      <c r="V2653">
        <f t="shared" ref="V2653:W2653" si="2890">V2629</f>
        <v>2.9</v>
      </c>
      <c r="W2653">
        <f t="shared" si="2890"/>
        <v>3</v>
      </c>
      <c r="X2653" s="9">
        <v>-82.116646566667498</v>
      </c>
      <c r="Y2653" s="39"/>
    </row>
    <row r="2654" spans="1:25" ht="15" thickBot="1">
      <c r="A2654" s="149">
        <f t="shared" si="2842"/>
        <v>45946.458333328883</v>
      </c>
      <c r="B2654" s="30">
        <f t="shared" si="2869"/>
        <v>8000</v>
      </c>
      <c r="C2654" s="8">
        <v>25000</v>
      </c>
      <c r="D2654" s="187">
        <v>0</v>
      </c>
      <c r="E2654" s="187">
        <v>700</v>
      </c>
      <c r="F2654" s="187">
        <v>15000</v>
      </c>
      <c r="G2654" s="30">
        <f t="shared" si="2870"/>
        <v>2470</v>
      </c>
      <c r="H2654" s="8">
        <f t="shared" si="2870"/>
        <v>25000</v>
      </c>
      <c r="I2654" s="30">
        <f t="shared" si="2871"/>
        <v>8000</v>
      </c>
      <c r="J2654" s="187">
        <v>40000</v>
      </c>
      <c r="K2654" s="30">
        <f t="shared" si="2872"/>
        <v>8000</v>
      </c>
      <c r="L2654" s="187">
        <v>40000</v>
      </c>
      <c r="M2654" s="110">
        <v>9.5</v>
      </c>
      <c r="N2654" s="9">
        <f>VLOOKUP(DATE(YEAR(A2654),MONTH(A2654),DAY(A2654)),FY24_Temp[],3,FALSE)</f>
        <v>17.25</v>
      </c>
      <c r="O2654" s="110">
        <f t="shared" si="2858"/>
        <v>11.5</v>
      </c>
      <c r="P2654" s="110">
        <f t="shared" si="2859"/>
        <v>19.5</v>
      </c>
      <c r="Q2654" s="79">
        <f>VLOOKUP(VLOOKUP(DATEVALUE(TEXT(A2654,"m/d/yyyy")),FY24_Temp[],5,FALSE)&amp;TEXT(A2654,"-h"),TempDelta[],4,FALSE)</f>
        <v>0.10357142758688756</v>
      </c>
      <c r="R2654">
        <v>10</v>
      </c>
      <c r="S2654" s="112">
        <v>1500</v>
      </c>
      <c r="T2654" s="5">
        <f>VLOOKUP(TEXT(A2654,"yy-mm")&amp;"-"&amp;IF(AND(WEEKDAY(A2654)&gt;1,WEEKDAY(A2654)&lt;7),"Wkd",TEXT(A2654,"Ddd"))&amp;"-"&amp;TEXT(A2654,"hh"),LoadTable[],3,FALSE)*0.92</f>
        <v>234.80148</v>
      </c>
      <c r="U2654" s="113">
        <f t="shared" si="2860"/>
        <v>23.480148</v>
      </c>
      <c r="V2654">
        <f t="shared" ref="V2654:W2654" si="2891">V2630</f>
        <v>3.4</v>
      </c>
      <c r="W2654">
        <f t="shared" si="2891"/>
        <v>3</v>
      </c>
      <c r="X2654" s="9">
        <v>-82.194441116667505</v>
      </c>
      <c r="Y2654" s="39"/>
    </row>
    <row r="2655" spans="1:25" ht="15" thickBot="1">
      <c r="A2655" s="149">
        <f t="shared" si="2842"/>
        <v>45946.499999995547</v>
      </c>
      <c r="B2655" s="30">
        <f t="shared" si="2869"/>
        <v>8000</v>
      </c>
      <c r="C2655" s="8">
        <v>25000</v>
      </c>
      <c r="D2655" s="187">
        <v>0</v>
      </c>
      <c r="E2655" s="187">
        <v>700</v>
      </c>
      <c r="F2655" s="187">
        <v>15000</v>
      </c>
      <c r="G2655" s="30">
        <f t="shared" si="2870"/>
        <v>2470</v>
      </c>
      <c r="H2655" s="8">
        <f t="shared" si="2870"/>
        <v>25000</v>
      </c>
      <c r="I2655" s="30">
        <f t="shared" si="2871"/>
        <v>8000</v>
      </c>
      <c r="J2655" s="187">
        <v>40000</v>
      </c>
      <c r="K2655" s="30">
        <f t="shared" si="2872"/>
        <v>8000</v>
      </c>
      <c r="L2655" s="187">
        <v>40000</v>
      </c>
      <c r="M2655" s="110">
        <v>9.5</v>
      </c>
      <c r="N2655" s="9">
        <f>VLOOKUP(DATE(YEAR(A2655),MONTH(A2655),DAY(A2655)),FY24_Temp[],3,FALSE)</f>
        <v>17.25</v>
      </c>
      <c r="O2655" s="110">
        <f t="shared" si="2858"/>
        <v>11.5</v>
      </c>
      <c r="P2655" s="110">
        <f t="shared" si="2859"/>
        <v>19.5</v>
      </c>
      <c r="Q2655" s="79">
        <f>VLOOKUP(VLOOKUP(DATEVALUE(TEXT(A2655,"m/d/yyyy")),FY24_Temp[],5,FALSE)&amp;TEXT(A2655,"-h"),TempDelta[],4,FALSE)</f>
        <v>3.9142857438751628E-2</v>
      </c>
      <c r="R2655">
        <v>10</v>
      </c>
      <c r="S2655" s="112">
        <v>1500</v>
      </c>
      <c r="T2655" s="5">
        <f>VLOOKUP(TEXT(A2655,"yy-mm")&amp;"-"&amp;IF(AND(WEEKDAY(A2655)&gt;1,WEEKDAY(A2655)&lt;7),"Wkd",TEXT(A2655,"Ddd"))&amp;"-"&amp;TEXT(A2655,"hh"),LoadTable[],3,FALSE)*0.92</f>
        <v>234.80148</v>
      </c>
      <c r="U2655" s="113">
        <f t="shared" si="2860"/>
        <v>23.480148</v>
      </c>
      <c r="V2655">
        <f t="shared" ref="V2655:W2655" si="2892">V2631</f>
        <v>3.1</v>
      </c>
      <c r="W2655">
        <f t="shared" si="2892"/>
        <v>2.9</v>
      </c>
      <c r="X2655" s="9">
        <v>-82.272235666667498</v>
      </c>
      <c r="Y2655" s="39"/>
    </row>
    <row r="2656" spans="1:25" ht="15" thickBot="1">
      <c r="A2656" s="149">
        <f t="shared" si="2842"/>
        <v>45946.541666662211</v>
      </c>
      <c r="B2656" s="30">
        <f t="shared" si="2869"/>
        <v>8000</v>
      </c>
      <c r="C2656" s="8">
        <v>25000</v>
      </c>
      <c r="D2656" s="187">
        <v>0</v>
      </c>
      <c r="E2656" s="187">
        <v>700</v>
      </c>
      <c r="F2656" s="187">
        <v>15000</v>
      </c>
      <c r="G2656" s="30">
        <f t="shared" si="2870"/>
        <v>2470</v>
      </c>
      <c r="H2656" s="8">
        <f t="shared" si="2870"/>
        <v>25000</v>
      </c>
      <c r="I2656" s="30">
        <f t="shared" si="2871"/>
        <v>8000</v>
      </c>
      <c r="J2656" s="187">
        <v>40000</v>
      </c>
      <c r="K2656" s="30">
        <f t="shared" si="2872"/>
        <v>8000</v>
      </c>
      <c r="L2656" s="187">
        <v>40000</v>
      </c>
      <c r="M2656" s="110">
        <v>9.5</v>
      </c>
      <c r="N2656" s="9">
        <f>VLOOKUP(DATE(YEAR(A2656),MONTH(A2656),DAY(A2656)),FY24_Temp[],3,FALSE)</f>
        <v>17.25</v>
      </c>
      <c r="O2656" s="110">
        <f t="shared" si="2858"/>
        <v>11.5</v>
      </c>
      <c r="P2656" s="110">
        <f t="shared" si="2859"/>
        <v>19.5</v>
      </c>
      <c r="Q2656" s="79">
        <f>VLOOKUP(VLOOKUP(DATEVALUE(TEXT(A2656,"m/d/yyyy")),FY24_Temp[],5,FALSE)&amp;TEXT(A2656,"-h"),TempDelta[],4,FALSE)</f>
        <v>5.2857138216495514E-3</v>
      </c>
      <c r="R2656">
        <v>10</v>
      </c>
      <c r="S2656" s="112">
        <v>1500</v>
      </c>
      <c r="T2656" s="5">
        <f>VLOOKUP(TEXT(A2656,"yy-mm")&amp;"-"&amp;IF(AND(WEEKDAY(A2656)&gt;1,WEEKDAY(A2656)&lt;7),"Wkd",TEXT(A2656,"Ddd"))&amp;"-"&amp;TEXT(A2656,"hh"),LoadTable[],3,FALSE)*0.92</f>
        <v>234.80148</v>
      </c>
      <c r="U2656" s="113">
        <f t="shared" si="2860"/>
        <v>23.480148</v>
      </c>
      <c r="V2656">
        <f t="shared" ref="V2656:W2656" si="2893">V2632</f>
        <v>3.2</v>
      </c>
      <c r="W2656">
        <f t="shared" si="2893"/>
        <v>2.9</v>
      </c>
      <c r="X2656" s="9">
        <v>-82.350030216667506</v>
      </c>
      <c r="Y2656" s="39"/>
    </row>
    <row r="2657" spans="1:25" ht="15" thickBot="1">
      <c r="A2657" s="149">
        <f t="shared" si="2842"/>
        <v>45946.583333328876</v>
      </c>
      <c r="B2657" s="30">
        <f t="shared" si="2869"/>
        <v>8000</v>
      </c>
      <c r="C2657" s="8">
        <v>25000</v>
      </c>
      <c r="D2657" s="187">
        <v>0</v>
      </c>
      <c r="E2657" s="187">
        <v>700</v>
      </c>
      <c r="F2657" s="187">
        <v>15000</v>
      </c>
      <c r="G2657" s="30">
        <f t="shared" si="2870"/>
        <v>2470</v>
      </c>
      <c r="H2657" s="8">
        <f t="shared" si="2870"/>
        <v>25000</v>
      </c>
      <c r="I2657" s="30">
        <f t="shared" si="2871"/>
        <v>8000</v>
      </c>
      <c r="J2657" s="187">
        <v>40000</v>
      </c>
      <c r="K2657" s="30">
        <f t="shared" si="2872"/>
        <v>8000</v>
      </c>
      <c r="L2657" s="187">
        <v>40000</v>
      </c>
      <c r="M2657" s="110">
        <v>9.5</v>
      </c>
      <c r="N2657" s="9">
        <f>VLOOKUP(DATE(YEAR(A2657),MONTH(A2657),DAY(A2657)),FY24_Temp[],3,FALSE)</f>
        <v>17.25</v>
      </c>
      <c r="O2657" s="110">
        <f t="shared" si="2858"/>
        <v>11.5</v>
      </c>
      <c r="P2657" s="110">
        <f t="shared" si="2859"/>
        <v>19.5</v>
      </c>
      <c r="Q2657" s="79">
        <f>VLOOKUP(VLOOKUP(DATEVALUE(TEXT(A2657,"m/d/yyyy")),FY24_Temp[],5,FALSE)&amp;TEXT(A2657,"-h"),TempDelta[],4,FALSE)</f>
        <v>6.9857144478841546E-2</v>
      </c>
      <c r="R2657">
        <v>10</v>
      </c>
      <c r="S2657" s="112">
        <v>1500</v>
      </c>
      <c r="T2657" s="5">
        <f>VLOOKUP(TEXT(A2657,"yy-mm")&amp;"-"&amp;IF(AND(WEEKDAY(A2657)&gt;1,WEEKDAY(A2657)&lt;7),"Wkd",TEXT(A2657,"Ddd"))&amp;"-"&amp;TEXT(A2657,"hh"),LoadTable[],3,FALSE)*0.92</f>
        <v>234.80148</v>
      </c>
      <c r="U2657" s="113">
        <f t="shared" si="2860"/>
        <v>23.480148</v>
      </c>
      <c r="V2657">
        <f t="shared" ref="V2657:W2657" si="2894">V2633</f>
        <v>3.5</v>
      </c>
      <c r="W2657">
        <f t="shared" si="2894"/>
        <v>2.9</v>
      </c>
      <c r="X2657" s="9">
        <v>-82.427824766667499</v>
      </c>
      <c r="Y2657" s="39"/>
    </row>
    <row r="2658" spans="1:25" ht="15" thickBot="1">
      <c r="A2658" s="149">
        <f t="shared" si="2842"/>
        <v>45946.62499999554</v>
      </c>
      <c r="B2658" s="30">
        <f t="shared" si="2869"/>
        <v>8000</v>
      </c>
      <c r="C2658" s="8">
        <v>25000</v>
      </c>
      <c r="D2658" s="187">
        <v>0</v>
      </c>
      <c r="E2658" s="187">
        <v>700</v>
      </c>
      <c r="F2658" s="187">
        <v>15000</v>
      </c>
      <c r="G2658" s="30">
        <f t="shared" si="2870"/>
        <v>2470</v>
      </c>
      <c r="H2658" s="8">
        <f t="shared" si="2870"/>
        <v>25000</v>
      </c>
      <c r="I2658" s="30">
        <f t="shared" si="2871"/>
        <v>8000</v>
      </c>
      <c r="J2658" s="187">
        <v>40000</v>
      </c>
      <c r="K2658" s="30">
        <f t="shared" si="2872"/>
        <v>8000</v>
      </c>
      <c r="L2658" s="187">
        <v>40000</v>
      </c>
      <c r="M2658" s="110">
        <v>9.5</v>
      </c>
      <c r="N2658" s="9">
        <f>VLOOKUP(DATE(YEAR(A2658),MONTH(A2658),DAY(A2658)),FY24_Temp[],3,FALSE)</f>
        <v>17.25</v>
      </c>
      <c r="O2658" s="110">
        <f t="shared" si="2858"/>
        <v>11.5</v>
      </c>
      <c r="P2658" s="110">
        <f t="shared" si="2859"/>
        <v>19.5</v>
      </c>
      <c r="Q2658" s="79">
        <f>VLOOKUP(VLOOKUP(DATEVALUE(TEXT(A2658,"m/d/yyyy")),FY24_Temp[],5,FALSE)&amp;TEXT(A2658,"-h"),TempDelta[],4,FALSE)</f>
        <v>0.16885714073266303</v>
      </c>
      <c r="R2658">
        <v>10</v>
      </c>
      <c r="S2658" s="112">
        <v>1500</v>
      </c>
      <c r="T2658" s="5">
        <f>VLOOKUP(TEXT(A2658,"yy-mm")&amp;"-"&amp;IF(AND(WEEKDAY(A2658)&gt;1,WEEKDAY(A2658)&lt;7),"Wkd",TEXT(A2658,"Ddd"))&amp;"-"&amp;TEXT(A2658,"hh"),LoadTable[],3,FALSE)*0.92</f>
        <v>234.80148</v>
      </c>
      <c r="U2658" s="113">
        <f t="shared" si="2860"/>
        <v>23.480148</v>
      </c>
      <c r="V2658">
        <f t="shared" ref="V2658:W2658" si="2895">V2634</f>
        <v>3.2</v>
      </c>
      <c r="W2658">
        <f t="shared" si="2895"/>
        <v>2.9</v>
      </c>
      <c r="X2658" s="9">
        <v>-82.505619316667506</v>
      </c>
      <c r="Y2658" s="39"/>
    </row>
    <row r="2659" spans="1:25" ht="15" thickBot="1">
      <c r="A2659" s="149">
        <f t="shared" si="2842"/>
        <v>45946.666666662204</v>
      </c>
      <c r="B2659" s="30">
        <f t="shared" si="2869"/>
        <v>8000</v>
      </c>
      <c r="C2659" s="8">
        <v>25000</v>
      </c>
      <c r="D2659" s="187">
        <v>0</v>
      </c>
      <c r="E2659" s="187">
        <v>700</v>
      </c>
      <c r="F2659" s="187">
        <v>15000</v>
      </c>
      <c r="G2659" s="30">
        <f t="shared" si="2870"/>
        <v>2470</v>
      </c>
      <c r="H2659" s="8">
        <f t="shared" si="2870"/>
        <v>25000</v>
      </c>
      <c r="I2659" s="30">
        <f t="shared" si="2871"/>
        <v>8000</v>
      </c>
      <c r="J2659" s="187">
        <v>40000</v>
      </c>
      <c r="K2659" s="30">
        <f t="shared" si="2872"/>
        <v>8000</v>
      </c>
      <c r="L2659" s="187">
        <v>40000</v>
      </c>
      <c r="M2659" s="110">
        <v>9.5</v>
      </c>
      <c r="N2659" s="9">
        <f>VLOOKUP(DATE(YEAR(A2659),MONTH(A2659),DAY(A2659)),FY24_Temp[],3,FALSE)</f>
        <v>17.25</v>
      </c>
      <c r="O2659" s="110">
        <f t="shared" si="2858"/>
        <v>11.5</v>
      </c>
      <c r="P2659" s="110">
        <f t="shared" si="2859"/>
        <v>19.5</v>
      </c>
      <c r="Q2659" s="79">
        <f>VLOOKUP(VLOOKUP(DATEVALUE(TEXT(A2659,"m/d/yyyy")),FY24_Temp[],5,FALSE)&amp;TEXT(A2659,"-h"),TempDelta[],4,FALSE)</f>
        <v>0.4030000056539263</v>
      </c>
      <c r="R2659">
        <v>10</v>
      </c>
      <c r="S2659" s="112">
        <v>1500</v>
      </c>
      <c r="T2659" s="5">
        <f>VLOOKUP(TEXT(A2659,"yy-mm")&amp;"-"&amp;IF(AND(WEEKDAY(A2659)&gt;1,WEEKDAY(A2659)&lt;7),"Wkd",TEXT(A2659,"Ddd"))&amp;"-"&amp;TEXT(A2659,"hh"),LoadTable[],3,FALSE)*0.92</f>
        <v>234.80148</v>
      </c>
      <c r="U2659" s="113">
        <f t="shared" si="2860"/>
        <v>23.480148</v>
      </c>
      <c r="V2659">
        <f t="shared" ref="V2659:W2659" si="2896">V2635</f>
        <v>3.5</v>
      </c>
      <c r="W2659">
        <f t="shared" si="2896"/>
        <v>3</v>
      </c>
      <c r="X2659" s="9">
        <v>-82.583413866667499</v>
      </c>
      <c r="Y2659" s="39"/>
    </row>
    <row r="2660" spans="1:25" ht="15" thickBot="1">
      <c r="A2660" s="149">
        <f t="shared" si="2842"/>
        <v>45946.708333328868</v>
      </c>
      <c r="B2660" s="30">
        <f t="shared" si="2869"/>
        <v>8000</v>
      </c>
      <c r="C2660" s="8">
        <v>25000</v>
      </c>
      <c r="D2660" s="187">
        <v>0</v>
      </c>
      <c r="E2660" s="187">
        <v>700</v>
      </c>
      <c r="F2660" s="187">
        <v>15000</v>
      </c>
      <c r="G2660" s="30">
        <f t="shared" si="2870"/>
        <v>2470</v>
      </c>
      <c r="H2660" s="8">
        <f t="shared" si="2870"/>
        <v>25000</v>
      </c>
      <c r="I2660" s="30">
        <f t="shared" si="2871"/>
        <v>8000</v>
      </c>
      <c r="J2660" s="187">
        <v>40000</v>
      </c>
      <c r="K2660" s="30">
        <f t="shared" si="2872"/>
        <v>8000</v>
      </c>
      <c r="L2660" s="187">
        <v>40000</v>
      </c>
      <c r="M2660" s="110">
        <v>9.5</v>
      </c>
      <c r="N2660" s="9">
        <f>VLOOKUP(DATE(YEAR(A2660),MONTH(A2660),DAY(A2660)),FY24_Temp[],3,FALSE)</f>
        <v>17.25</v>
      </c>
      <c r="O2660" s="110">
        <f t="shared" si="2858"/>
        <v>11.5</v>
      </c>
      <c r="P2660" s="110">
        <f t="shared" si="2859"/>
        <v>19.5</v>
      </c>
      <c r="Q2660" s="79">
        <f>VLOOKUP(VLOOKUP(DATEVALUE(TEXT(A2660,"m/d/yyyy")),FY24_Temp[],5,FALSE)&amp;TEXT(A2660,"-h"),TempDelta[],4,FALSE)</f>
        <v>0.51750000034059795</v>
      </c>
      <c r="R2660">
        <v>10</v>
      </c>
      <c r="S2660" s="112">
        <v>1500</v>
      </c>
      <c r="T2660" s="5">
        <f>VLOOKUP(TEXT(A2660,"yy-mm")&amp;"-"&amp;IF(AND(WEEKDAY(A2660)&gt;1,WEEKDAY(A2660)&lt;7),"Wkd",TEXT(A2660,"Ddd"))&amp;"-"&amp;TEXT(A2660,"hh"),LoadTable[],3,FALSE)*0.92</f>
        <v>234.80148</v>
      </c>
      <c r="U2660" s="113">
        <f t="shared" si="2860"/>
        <v>23.480148</v>
      </c>
      <c r="V2660">
        <f t="shared" ref="V2660:W2660" si="2897">V2636</f>
        <v>3.6</v>
      </c>
      <c r="W2660">
        <f t="shared" si="2897"/>
        <v>3</v>
      </c>
      <c r="X2660" s="9">
        <v>-82.661208416667506</v>
      </c>
      <c r="Y2660" s="39"/>
    </row>
    <row r="2661" spans="1:25" ht="15" thickBot="1">
      <c r="A2661" s="149">
        <f t="shared" si="2842"/>
        <v>45946.749999995533</v>
      </c>
      <c r="B2661" s="30">
        <f t="shared" si="2869"/>
        <v>5000</v>
      </c>
      <c r="C2661" s="8">
        <v>25000</v>
      </c>
      <c r="D2661" s="187">
        <v>0</v>
      </c>
      <c r="E2661" s="187">
        <v>700</v>
      </c>
      <c r="F2661" s="187">
        <v>15000</v>
      </c>
      <c r="G2661" s="30">
        <f t="shared" si="2870"/>
        <v>2470</v>
      </c>
      <c r="H2661" s="8">
        <f t="shared" si="2870"/>
        <v>25000</v>
      </c>
      <c r="I2661" s="30">
        <f t="shared" si="2871"/>
        <v>5000</v>
      </c>
      <c r="J2661" s="187">
        <v>40000</v>
      </c>
      <c r="K2661" s="30">
        <f t="shared" si="2872"/>
        <v>5000</v>
      </c>
      <c r="L2661" s="187">
        <v>40000</v>
      </c>
      <c r="M2661" s="110">
        <v>9.5</v>
      </c>
      <c r="N2661" s="9">
        <f>VLOOKUP(DATE(YEAR(A2661),MONTH(A2661),DAY(A2661)),FY24_Temp[],3,FALSE)</f>
        <v>17.25</v>
      </c>
      <c r="O2661" s="110">
        <f t="shared" si="2858"/>
        <v>11.5</v>
      </c>
      <c r="P2661" s="110">
        <f t="shared" si="2859"/>
        <v>19.5</v>
      </c>
      <c r="Q2661" s="79">
        <f>VLOOKUP(VLOOKUP(DATEVALUE(TEXT(A2661,"m/d/yyyy")),FY24_Temp[],5,FALSE)&amp;TEXT(A2661,"-h"),TempDelta[],4,FALSE)</f>
        <v>0.66500000017029903</v>
      </c>
      <c r="R2661">
        <v>10</v>
      </c>
      <c r="S2661" s="112">
        <v>1500</v>
      </c>
      <c r="T2661" s="5">
        <f>VLOOKUP(TEXT(A2661,"yy-mm")&amp;"-"&amp;IF(AND(WEEKDAY(A2661)&gt;1,WEEKDAY(A2661)&lt;7),"Wkd",TEXT(A2661,"Ddd"))&amp;"-"&amp;TEXT(A2661,"hh"),LoadTable[],3,FALSE)*0.92</f>
        <v>303.31295999999998</v>
      </c>
      <c r="U2661" s="113">
        <f t="shared" si="2860"/>
        <v>30.331295999999998</v>
      </c>
      <c r="V2661">
        <f t="shared" ref="V2661:W2661" si="2898">V2637</f>
        <v>2.9</v>
      </c>
      <c r="W2661">
        <f t="shared" si="2898"/>
        <v>3</v>
      </c>
      <c r="X2661" s="9">
        <v>-82.739002966667499</v>
      </c>
      <c r="Y2661" s="39"/>
    </row>
    <row r="2662" spans="1:25" ht="15" thickBot="1">
      <c r="A2662" s="149">
        <f t="shared" si="2842"/>
        <v>45946.791666662197</v>
      </c>
      <c r="B2662" s="30">
        <f t="shared" si="2869"/>
        <v>5000</v>
      </c>
      <c r="C2662" s="8">
        <v>25000</v>
      </c>
      <c r="D2662" s="187">
        <v>0</v>
      </c>
      <c r="E2662" s="187">
        <v>700</v>
      </c>
      <c r="F2662" s="187">
        <v>15000</v>
      </c>
      <c r="G2662" s="30">
        <f t="shared" si="2870"/>
        <v>2470</v>
      </c>
      <c r="H2662" s="8">
        <f t="shared" si="2870"/>
        <v>25000</v>
      </c>
      <c r="I2662" s="30">
        <f t="shared" si="2871"/>
        <v>5000</v>
      </c>
      <c r="J2662" s="187">
        <v>40000</v>
      </c>
      <c r="K2662" s="30">
        <f t="shared" si="2872"/>
        <v>5000</v>
      </c>
      <c r="L2662" s="187">
        <v>40000</v>
      </c>
      <c r="M2662" s="110">
        <v>9.5</v>
      </c>
      <c r="N2662" s="9">
        <f>VLOOKUP(DATE(YEAR(A2662),MONTH(A2662),DAY(A2662)),FY24_Temp[],3,FALSE)</f>
        <v>17.25</v>
      </c>
      <c r="O2662" s="110">
        <f t="shared" si="2858"/>
        <v>11.5</v>
      </c>
      <c r="P2662" s="110">
        <f t="shared" si="2859"/>
        <v>19.5</v>
      </c>
      <c r="Q2662" s="79">
        <f>VLOOKUP(VLOOKUP(DATEVALUE(TEXT(A2662,"m/d/yyyy")),FY24_Temp[],5,FALSE)&amp;TEXT(A2662,"-h"),TempDelta[],4,FALSE)</f>
        <v>0.66292857485158108</v>
      </c>
      <c r="R2662">
        <v>10</v>
      </c>
      <c r="S2662" s="112">
        <v>1500</v>
      </c>
      <c r="T2662" s="5">
        <f>VLOOKUP(TEXT(A2662,"yy-mm")&amp;"-"&amp;IF(AND(WEEKDAY(A2662)&gt;1,WEEKDAY(A2662)&lt;7),"Wkd",TEXT(A2662,"Ddd"))&amp;"-"&amp;TEXT(A2662,"hh"),LoadTable[],3,FALSE)*0.92</f>
        <v>303.31295999999998</v>
      </c>
      <c r="U2662" s="113">
        <f t="shared" si="2860"/>
        <v>30.331295999999998</v>
      </c>
      <c r="V2662">
        <f t="shared" ref="V2662:W2662" si="2899">V2638</f>
        <v>3</v>
      </c>
      <c r="W2662">
        <f t="shared" si="2899"/>
        <v>3</v>
      </c>
      <c r="X2662" s="9">
        <v>-82.816797516667506</v>
      </c>
      <c r="Y2662" s="39"/>
    </row>
    <row r="2663" spans="1:25" ht="15" thickBot="1">
      <c r="A2663" s="149">
        <f t="shared" si="2842"/>
        <v>45946.833333328861</v>
      </c>
      <c r="B2663" s="30">
        <f t="shared" si="2869"/>
        <v>5000</v>
      </c>
      <c r="C2663" s="8">
        <v>25000</v>
      </c>
      <c r="D2663" s="187">
        <v>0</v>
      </c>
      <c r="E2663" s="187">
        <v>700</v>
      </c>
      <c r="F2663" s="187">
        <v>15000</v>
      </c>
      <c r="G2663" s="30">
        <f t="shared" si="2870"/>
        <v>2470</v>
      </c>
      <c r="H2663" s="8">
        <f t="shared" si="2870"/>
        <v>25000</v>
      </c>
      <c r="I2663" s="30">
        <f t="shared" si="2871"/>
        <v>5000</v>
      </c>
      <c r="J2663" s="187">
        <v>40000</v>
      </c>
      <c r="K2663" s="30">
        <f t="shared" si="2872"/>
        <v>5000</v>
      </c>
      <c r="L2663" s="187">
        <v>40000</v>
      </c>
      <c r="M2663" s="110">
        <v>9.5</v>
      </c>
      <c r="N2663" s="9">
        <f>VLOOKUP(DATE(YEAR(A2663),MONTH(A2663),DAY(A2663)),FY24_Temp[],3,FALSE)</f>
        <v>17.25</v>
      </c>
      <c r="O2663" s="110">
        <f t="shared" si="2858"/>
        <v>11.5</v>
      </c>
      <c r="P2663" s="110">
        <f t="shared" si="2859"/>
        <v>19.5</v>
      </c>
      <c r="Q2663" s="79">
        <f>VLOOKUP(VLOOKUP(DATEVALUE(TEXT(A2663,"m/d/yyyy")),FY24_Temp[],5,FALSE)&amp;TEXT(A2663,"-h"),TempDelta[],4,FALSE)</f>
        <v>0.6834285663706916</v>
      </c>
      <c r="R2663">
        <v>10</v>
      </c>
      <c r="S2663" s="112">
        <v>1500</v>
      </c>
      <c r="T2663" s="5">
        <f>VLOOKUP(TEXT(A2663,"yy-mm")&amp;"-"&amp;IF(AND(WEEKDAY(A2663)&gt;1,WEEKDAY(A2663)&lt;7),"Wkd",TEXT(A2663,"Ddd"))&amp;"-"&amp;TEXT(A2663,"hh"),LoadTable[],3,FALSE)*0.92</f>
        <v>303.31295999999998</v>
      </c>
      <c r="U2663" s="113">
        <f t="shared" si="2860"/>
        <v>30.331295999999998</v>
      </c>
      <c r="V2663">
        <f t="shared" ref="V2663:W2663" si="2900">V2639</f>
        <v>2.8</v>
      </c>
      <c r="W2663">
        <f t="shared" si="2900"/>
        <v>3.1</v>
      </c>
      <c r="X2663" s="9">
        <v>-82.894592066667499</v>
      </c>
      <c r="Y2663" s="39"/>
    </row>
    <row r="2664" spans="1:25" ht="15" thickBot="1">
      <c r="A2664" s="149">
        <f t="shared" si="2842"/>
        <v>45946.874999995525</v>
      </c>
      <c r="B2664" s="30">
        <f t="shared" si="2869"/>
        <v>5000</v>
      </c>
      <c r="C2664" s="8">
        <v>25000</v>
      </c>
      <c r="D2664" s="187">
        <v>0</v>
      </c>
      <c r="E2664" s="187">
        <v>700</v>
      </c>
      <c r="F2664" s="187">
        <v>15000</v>
      </c>
      <c r="G2664" s="30">
        <f t="shared" si="2870"/>
        <v>2470</v>
      </c>
      <c r="H2664" s="8">
        <f t="shared" si="2870"/>
        <v>25000</v>
      </c>
      <c r="I2664" s="30">
        <f t="shared" si="2871"/>
        <v>5000</v>
      </c>
      <c r="J2664" s="187">
        <v>40000</v>
      </c>
      <c r="K2664" s="30">
        <f t="shared" si="2872"/>
        <v>5000</v>
      </c>
      <c r="L2664" s="187">
        <v>40000</v>
      </c>
      <c r="M2664" s="110">
        <v>9.5</v>
      </c>
      <c r="N2664" s="9">
        <f>VLOOKUP(DATE(YEAR(A2664),MONTH(A2664),DAY(A2664)),FY24_Temp[],3,FALSE)</f>
        <v>17.25</v>
      </c>
      <c r="O2664" s="110">
        <f t="shared" si="2858"/>
        <v>11.5</v>
      </c>
      <c r="P2664" s="110">
        <f t="shared" si="2859"/>
        <v>19.5</v>
      </c>
      <c r="Q2664" s="79">
        <f>VLOOKUP(VLOOKUP(DATEVALUE(TEXT(A2664,"m/d/yyyy")),FY24_Temp[],5,FALSE)&amp;TEXT(A2664,"-h"),TempDelta[],4,FALSE)</f>
        <v>0.67971429228782654</v>
      </c>
      <c r="R2664">
        <v>10</v>
      </c>
      <c r="S2664" s="112">
        <v>1500</v>
      </c>
      <c r="T2664" s="5">
        <f>VLOOKUP(TEXT(A2664,"yy-mm")&amp;"-"&amp;IF(AND(WEEKDAY(A2664)&gt;1,WEEKDAY(A2664)&lt;7),"Wkd",TEXT(A2664,"Ddd"))&amp;"-"&amp;TEXT(A2664,"hh"),LoadTable[],3,FALSE)*0.92</f>
        <v>229.93744000000001</v>
      </c>
      <c r="U2664" s="113">
        <f t="shared" si="2860"/>
        <v>22.993744</v>
      </c>
      <c r="V2664">
        <f t="shared" ref="V2664:W2664" si="2901">V2640</f>
        <v>3.5</v>
      </c>
      <c r="W2664">
        <f t="shared" si="2901"/>
        <v>3.1</v>
      </c>
      <c r="X2664" s="9">
        <v>-82.972386616667606</v>
      </c>
      <c r="Y2664" s="39"/>
    </row>
    <row r="2665" spans="1:25" ht="15" thickBot="1">
      <c r="A2665" s="149">
        <f t="shared" si="2842"/>
        <v>45946.91666666219</v>
      </c>
      <c r="B2665" s="30">
        <f t="shared" si="2869"/>
        <v>5000</v>
      </c>
      <c r="C2665" s="8">
        <v>25000</v>
      </c>
      <c r="D2665" s="187">
        <v>0</v>
      </c>
      <c r="E2665" s="187">
        <v>700</v>
      </c>
      <c r="F2665" s="187">
        <v>15000</v>
      </c>
      <c r="G2665" s="30">
        <f t="shared" si="2870"/>
        <v>2470</v>
      </c>
      <c r="H2665" s="8">
        <f t="shared" si="2870"/>
        <v>25000</v>
      </c>
      <c r="I2665" s="30">
        <f t="shared" si="2871"/>
        <v>5000</v>
      </c>
      <c r="J2665" s="187">
        <v>40000</v>
      </c>
      <c r="K2665" s="30">
        <f t="shared" si="2872"/>
        <v>5000</v>
      </c>
      <c r="L2665" s="187">
        <v>40000</v>
      </c>
      <c r="M2665" s="110">
        <v>9.5</v>
      </c>
      <c r="N2665" s="9">
        <f>VLOOKUP(DATE(YEAR(A2665),MONTH(A2665),DAY(A2665)),FY24_Temp[],3,FALSE)</f>
        <v>17.25</v>
      </c>
      <c r="O2665" s="110">
        <f t="shared" si="2858"/>
        <v>11.5</v>
      </c>
      <c r="P2665" s="110">
        <f t="shared" si="2859"/>
        <v>19.5</v>
      </c>
      <c r="Q2665" s="79">
        <f>VLOOKUP(VLOOKUP(DATEVALUE(TEXT(A2665,"m/d/yyyy")),FY24_Temp[],5,FALSE)&amp;TEXT(A2665,"-h"),TempDelta[],4,FALSE)</f>
        <v>0.9049999969346183</v>
      </c>
      <c r="R2665">
        <v>10</v>
      </c>
      <c r="S2665" s="112">
        <v>1500</v>
      </c>
      <c r="T2665" s="5">
        <f>VLOOKUP(TEXT(A2665,"yy-mm")&amp;"-"&amp;IF(AND(WEEKDAY(A2665)&gt;1,WEEKDAY(A2665)&lt;7),"Wkd",TEXT(A2665,"Ddd"))&amp;"-"&amp;TEXT(A2665,"hh"),LoadTable[],3,FALSE)*0.92</f>
        <v>176.52040000000002</v>
      </c>
      <c r="U2665" s="113">
        <f t="shared" si="2860"/>
        <v>17.652040000000003</v>
      </c>
      <c r="V2665">
        <f t="shared" ref="V2665:W2665" si="2902">V2641</f>
        <v>2.9</v>
      </c>
      <c r="W2665">
        <f t="shared" si="2902"/>
        <v>3.1</v>
      </c>
      <c r="X2665" s="9">
        <v>-83.050181166667599</v>
      </c>
      <c r="Y2665" s="39"/>
    </row>
    <row r="2666" spans="1:25" ht="15" thickBot="1">
      <c r="A2666" s="149">
        <f t="shared" si="2842"/>
        <v>45946.958333328854</v>
      </c>
      <c r="B2666" s="30">
        <f t="shared" si="2869"/>
        <v>5000</v>
      </c>
      <c r="C2666" s="41">
        <v>25000</v>
      </c>
      <c r="D2666" s="187">
        <v>0</v>
      </c>
      <c r="E2666" s="187">
        <v>700</v>
      </c>
      <c r="F2666" s="187">
        <v>15000</v>
      </c>
      <c r="G2666" s="30">
        <f t="shared" si="2870"/>
        <v>2470</v>
      </c>
      <c r="H2666" s="8">
        <f t="shared" si="2870"/>
        <v>25000</v>
      </c>
      <c r="I2666" s="30">
        <f t="shared" si="2871"/>
        <v>5000</v>
      </c>
      <c r="J2666" s="187">
        <v>40000</v>
      </c>
      <c r="K2666" s="30">
        <f t="shared" si="2872"/>
        <v>5000</v>
      </c>
      <c r="L2666" s="187">
        <v>40000</v>
      </c>
      <c r="M2666" s="110">
        <v>9.5</v>
      </c>
      <c r="N2666" s="9">
        <f>VLOOKUP(DATE(YEAR(A2666),MONTH(A2666),DAY(A2666)),FY24_Temp[],3,FALSE)</f>
        <v>17.25</v>
      </c>
      <c r="O2666" s="110">
        <f t="shared" si="2858"/>
        <v>11.5</v>
      </c>
      <c r="P2666" s="110">
        <f t="shared" si="2859"/>
        <v>19.5</v>
      </c>
      <c r="Q2666" s="79">
        <f>VLOOKUP(VLOOKUP(DATEVALUE(TEXT(A2666,"m/d/yyyy")),FY24_Temp[],5,FALSE)&amp;TEXT(A2666,"-h"),TempDelta[],4,FALSE)</f>
        <v>1.027285703590938</v>
      </c>
      <c r="R2666">
        <v>10</v>
      </c>
      <c r="S2666" s="112">
        <v>1500</v>
      </c>
      <c r="T2666" s="5">
        <f>VLOOKUP(TEXT(A2666,"yy-mm")&amp;"-"&amp;IF(AND(WEEKDAY(A2666)&gt;1,WEEKDAY(A2666)&lt;7),"Wkd",TEXT(A2666,"Ddd"))&amp;"-"&amp;TEXT(A2666,"hh"),LoadTable[],3,FALSE)*0.92</f>
        <v>176.52040000000002</v>
      </c>
      <c r="U2666" s="113">
        <f t="shared" si="2860"/>
        <v>17.652040000000003</v>
      </c>
      <c r="V2666">
        <f t="shared" ref="V2666:W2666" si="2903">V2642</f>
        <v>3.6</v>
      </c>
      <c r="W2666">
        <f t="shared" si="2903"/>
        <v>3.1</v>
      </c>
      <c r="X2666" s="9">
        <v>-83.127975716667606</v>
      </c>
      <c r="Y2666" s="39"/>
    </row>
    <row r="2667" spans="1:25" ht="15" thickBot="1">
      <c r="A2667" s="148">
        <f t="shared" si="2842"/>
        <v>45946.999999995518</v>
      </c>
      <c r="B2667" s="116">
        <f t="shared" si="2869"/>
        <v>5000</v>
      </c>
      <c r="C2667" s="8">
        <v>25000</v>
      </c>
      <c r="D2667" s="187">
        <v>0</v>
      </c>
      <c r="E2667" s="187">
        <v>700</v>
      </c>
      <c r="F2667" s="187">
        <v>15000</v>
      </c>
      <c r="G2667" s="109">
        <f t="shared" si="2870"/>
        <v>2470</v>
      </c>
      <c r="H2667" s="8">
        <f t="shared" si="2870"/>
        <v>25000</v>
      </c>
      <c r="I2667" s="30">
        <f t="shared" si="2871"/>
        <v>5000</v>
      </c>
      <c r="J2667" s="187">
        <v>40000</v>
      </c>
      <c r="K2667" s="109">
        <f t="shared" si="2872"/>
        <v>5000</v>
      </c>
      <c r="L2667" s="187">
        <v>40000</v>
      </c>
      <c r="M2667" s="110">
        <v>9.5</v>
      </c>
      <c r="N2667" s="110">
        <f>VLOOKUP(DATE(YEAR(A2667),MONTH(A2667),DAY(A2667)),FY24_Temp[],3,FALSE)</f>
        <v>17.25</v>
      </c>
      <c r="O2667" s="110">
        <f t="shared" si="2858"/>
        <v>11.5</v>
      </c>
      <c r="P2667" s="110">
        <f t="shared" si="2859"/>
        <v>19.5</v>
      </c>
      <c r="Q2667" s="111">
        <f>VLOOKUP(VLOOKUP(DATEVALUE(TEXT(A2667,"m/d/yyyy")),FY24_Temp[],5,FALSE)&amp;TEXT(A2667,"-h"),TempDelta[],4,FALSE)</f>
        <v>1.100857138633728</v>
      </c>
      <c r="R2667" s="112">
        <v>10</v>
      </c>
      <c r="S2667" s="112">
        <v>1500</v>
      </c>
      <c r="T2667" s="99">
        <f>VLOOKUP(TEXT(A2667,"yy-mm")&amp;"-"&amp;IF(AND(WEEKDAY(A2667)&gt;1,WEEKDAY(A2667)&lt;7),"Wkd",TEXT(A2667,"Ddd"))&amp;"-"&amp;TEXT(A2667,"hh"),LoadTable[],3,FALSE)*0.92</f>
        <v>209.6772</v>
      </c>
      <c r="U2667" s="113">
        <f t="shared" si="2860"/>
        <v>20.96772</v>
      </c>
      <c r="V2667" s="112">
        <f t="shared" ref="V2667:W2667" si="2904">V2643</f>
        <v>3</v>
      </c>
      <c r="W2667" s="112">
        <f t="shared" si="2904"/>
        <v>3.2</v>
      </c>
      <c r="X2667" s="114">
        <v>-83.205770266667599</v>
      </c>
      <c r="Y2667" s="39"/>
    </row>
    <row r="2668" spans="1:25" ht="15" thickBot="1">
      <c r="A2668" s="149">
        <f t="shared" si="2842"/>
        <v>45947.041666662182</v>
      </c>
      <c r="B2668" s="30">
        <f t="shared" si="2869"/>
        <v>5000</v>
      </c>
      <c r="C2668" s="42">
        <v>25000</v>
      </c>
      <c r="D2668" s="187">
        <v>0</v>
      </c>
      <c r="E2668" s="187">
        <v>700</v>
      </c>
      <c r="F2668" s="187">
        <v>15000</v>
      </c>
      <c r="G2668" s="30">
        <f t="shared" si="2870"/>
        <v>2470</v>
      </c>
      <c r="H2668" s="8">
        <f t="shared" si="2870"/>
        <v>25000</v>
      </c>
      <c r="I2668" s="30">
        <f t="shared" si="2871"/>
        <v>5000</v>
      </c>
      <c r="J2668" s="187">
        <v>40000</v>
      </c>
      <c r="K2668" s="30">
        <f t="shared" si="2872"/>
        <v>5000</v>
      </c>
      <c r="L2668" s="187">
        <v>40000</v>
      </c>
      <c r="M2668" s="110">
        <v>9.5</v>
      </c>
      <c r="N2668" s="9">
        <f>VLOOKUP(DATE(YEAR(A2668),MONTH(A2668),DAY(A2668)),FY24_Temp[],3,FALSE)</f>
        <v>17.25</v>
      </c>
      <c r="O2668" s="110">
        <f t="shared" si="2858"/>
        <v>11.5</v>
      </c>
      <c r="P2668" s="110">
        <f t="shared" si="2859"/>
        <v>19.5</v>
      </c>
      <c r="Q2668" s="79">
        <f>VLOOKUP(VLOOKUP(DATEVALUE(TEXT(A2668,"m/d/yyyy")),FY24_Temp[],5,FALSE)&amp;TEXT(A2668,"-h"),TempDelta[],4,FALSE)</f>
        <v>1.0574285984039307</v>
      </c>
      <c r="R2668">
        <v>10</v>
      </c>
      <c r="S2668" s="112">
        <v>1500</v>
      </c>
      <c r="T2668" s="5">
        <f>VLOOKUP(TEXT(A2668,"yy-mm")&amp;"-"&amp;IF(AND(WEEKDAY(A2668)&gt;1,WEEKDAY(A2668)&lt;7),"Wkd",TEXT(A2668,"Ddd"))&amp;"-"&amp;TEXT(A2668,"hh"),LoadTable[],3,FALSE)*0.92</f>
        <v>209.6772</v>
      </c>
      <c r="U2668" s="113">
        <f t="shared" si="2860"/>
        <v>20.96772</v>
      </c>
      <c r="V2668">
        <f t="shared" ref="V2668:W2668" si="2905">V2644</f>
        <v>2.6</v>
      </c>
      <c r="W2668">
        <f t="shared" si="2905"/>
        <v>3.2</v>
      </c>
      <c r="X2668" s="9">
        <v>-83.283564816667607</v>
      </c>
      <c r="Y2668" s="39"/>
    </row>
    <row r="2669" spans="1:25" ht="15" thickBot="1">
      <c r="A2669" s="149">
        <f t="shared" si="2842"/>
        <v>45947.083333328846</v>
      </c>
      <c r="B2669" s="30">
        <f t="shared" si="2869"/>
        <v>5000</v>
      </c>
      <c r="C2669" s="8">
        <v>25000</v>
      </c>
      <c r="D2669" s="187">
        <v>0</v>
      </c>
      <c r="E2669" s="187">
        <v>700</v>
      </c>
      <c r="F2669" s="187">
        <v>15000</v>
      </c>
      <c r="G2669" s="30">
        <f t="shared" si="2870"/>
        <v>2470</v>
      </c>
      <c r="H2669" s="8">
        <f t="shared" si="2870"/>
        <v>25000</v>
      </c>
      <c r="I2669" s="30">
        <f t="shared" si="2871"/>
        <v>5000</v>
      </c>
      <c r="J2669" s="187">
        <v>40000</v>
      </c>
      <c r="K2669" s="30">
        <f t="shared" si="2872"/>
        <v>5000</v>
      </c>
      <c r="L2669" s="187">
        <v>40000</v>
      </c>
      <c r="M2669" s="110">
        <v>9.5</v>
      </c>
      <c r="N2669" s="9">
        <f>VLOOKUP(DATE(YEAR(A2669),MONTH(A2669),DAY(A2669)),FY24_Temp[],3,FALSE)</f>
        <v>17.25</v>
      </c>
      <c r="O2669" s="110">
        <f t="shared" si="2858"/>
        <v>11.5</v>
      </c>
      <c r="P2669" s="110">
        <f t="shared" si="2859"/>
        <v>19.5</v>
      </c>
      <c r="Q2669" s="79">
        <f>VLOOKUP(VLOOKUP(DATEVALUE(TEXT(A2669,"m/d/yyyy")),FY24_Temp[],5,FALSE)&amp;TEXT(A2669,"-h"),TempDelta[],4,FALSE)</f>
        <v>0.96828572239194599</v>
      </c>
      <c r="R2669">
        <v>10</v>
      </c>
      <c r="S2669" s="112">
        <v>1500</v>
      </c>
      <c r="T2669" s="5">
        <f>VLOOKUP(TEXT(A2669,"yy-mm")&amp;"-"&amp;IF(AND(WEEKDAY(A2669)&gt;1,WEEKDAY(A2669)&lt;7),"Wkd",TEXT(A2669,"Ddd"))&amp;"-"&amp;TEXT(A2669,"hh"),LoadTable[],3,FALSE)*0.92</f>
        <v>209.6772</v>
      </c>
      <c r="U2669" s="113">
        <f t="shared" si="2860"/>
        <v>20.96772</v>
      </c>
      <c r="V2669">
        <f t="shared" ref="V2669:W2669" si="2906">V2645</f>
        <v>2.8</v>
      </c>
      <c r="W2669">
        <f t="shared" si="2906"/>
        <v>3.2</v>
      </c>
      <c r="X2669" s="9">
        <v>-83.3613593666676</v>
      </c>
      <c r="Y2669" s="39"/>
    </row>
    <row r="2670" spans="1:25" ht="15" thickBot="1">
      <c r="A2670" s="149">
        <f t="shared" si="2842"/>
        <v>45947.124999995511</v>
      </c>
      <c r="B2670" s="30">
        <f t="shared" si="2869"/>
        <v>5000</v>
      </c>
      <c r="C2670" s="8">
        <v>25000</v>
      </c>
      <c r="D2670" s="187">
        <v>0</v>
      </c>
      <c r="E2670" s="187">
        <v>700</v>
      </c>
      <c r="F2670" s="187">
        <v>15000</v>
      </c>
      <c r="G2670" s="30">
        <f t="shared" si="2870"/>
        <v>2470</v>
      </c>
      <c r="H2670" s="8">
        <f t="shared" si="2870"/>
        <v>25000</v>
      </c>
      <c r="I2670" s="30">
        <f t="shared" si="2871"/>
        <v>5000</v>
      </c>
      <c r="J2670" s="187">
        <v>40000</v>
      </c>
      <c r="K2670" s="30">
        <f t="shared" si="2872"/>
        <v>5000</v>
      </c>
      <c r="L2670" s="187">
        <v>40000</v>
      </c>
      <c r="M2670" s="110">
        <v>9.5</v>
      </c>
      <c r="N2670" s="9">
        <f>VLOOKUP(DATE(YEAR(A2670),MONTH(A2670),DAY(A2670)),FY24_Temp[],3,FALSE)</f>
        <v>17.25</v>
      </c>
      <c r="O2670" s="110">
        <f t="shared" si="2858"/>
        <v>11.5</v>
      </c>
      <c r="P2670" s="110">
        <f t="shared" si="2859"/>
        <v>19.5</v>
      </c>
      <c r="Q2670" s="79">
        <f>VLOOKUP(VLOOKUP(DATEVALUE(TEXT(A2670,"m/d/yyyy")),FY24_Temp[],5,FALSE)&amp;TEXT(A2670,"-h"),TempDelta[],4,FALSE)</f>
        <v>0.8611428397042411</v>
      </c>
      <c r="R2670">
        <v>10</v>
      </c>
      <c r="S2670" s="112">
        <v>1500</v>
      </c>
      <c r="T2670" s="5">
        <f>VLOOKUP(TEXT(A2670,"yy-mm")&amp;"-"&amp;IF(AND(WEEKDAY(A2670)&gt;1,WEEKDAY(A2670)&lt;7),"Wkd",TEXT(A2670,"Ddd"))&amp;"-"&amp;TEXT(A2670,"hh"),LoadTable[],3,FALSE)*0.92</f>
        <v>209.6772</v>
      </c>
      <c r="U2670" s="113">
        <f t="shared" si="2860"/>
        <v>20.96772</v>
      </c>
      <c r="V2670">
        <f t="shared" ref="V2670:W2670" si="2907">V2646</f>
        <v>2.7</v>
      </c>
      <c r="W2670">
        <f t="shared" si="2907"/>
        <v>3.2</v>
      </c>
      <c r="X2670" s="9">
        <v>-83.439153916667607</v>
      </c>
      <c r="Y2670" s="39"/>
    </row>
    <row r="2671" spans="1:25" ht="15" thickBot="1">
      <c r="A2671" s="149">
        <f t="shared" si="2842"/>
        <v>45947.166666662175</v>
      </c>
      <c r="B2671" s="30">
        <f t="shared" si="2869"/>
        <v>5000</v>
      </c>
      <c r="C2671" s="8">
        <v>25000</v>
      </c>
      <c r="D2671" s="187">
        <v>0</v>
      </c>
      <c r="E2671" s="187">
        <v>700</v>
      </c>
      <c r="F2671" s="187">
        <v>15000</v>
      </c>
      <c r="G2671" s="30">
        <f t="shared" si="2870"/>
        <v>2470</v>
      </c>
      <c r="H2671" s="8">
        <f t="shared" si="2870"/>
        <v>25000</v>
      </c>
      <c r="I2671" s="30">
        <f t="shared" si="2871"/>
        <v>5000</v>
      </c>
      <c r="J2671" s="187">
        <v>40000</v>
      </c>
      <c r="K2671" s="30">
        <f t="shared" si="2872"/>
        <v>5000</v>
      </c>
      <c r="L2671" s="187">
        <v>40000</v>
      </c>
      <c r="M2671" s="110">
        <v>9.5</v>
      </c>
      <c r="N2671" s="9">
        <f>VLOOKUP(DATE(YEAR(A2671),MONTH(A2671),DAY(A2671)),FY24_Temp[],3,FALSE)</f>
        <v>17.25</v>
      </c>
      <c r="O2671" s="110">
        <f t="shared" si="2858"/>
        <v>11.5</v>
      </c>
      <c r="P2671" s="110">
        <f t="shared" si="2859"/>
        <v>19.5</v>
      </c>
      <c r="Q2671" s="79">
        <f>VLOOKUP(VLOOKUP(DATEVALUE(TEXT(A2671,"m/d/yyyy")),FY24_Temp[],5,FALSE)&amp;TEXT(A2671,"-h"),TempDelta[],4,FALSE)</f>
        <v>0.76914285761969425</v>
      </c>
      <c r="R2671">
        <v>10</v>
      </c>
      <c r="S2671" s="112">
        <v>1500</v>
      </c>
      <c r="T2671" s="5">
        <f>VLOOKUP(TEXT(A2671,"yy-mm")&amp;"-"&amp;IF(AND(WEEKDAY(A2671)&gt;1,WEEKDAY(A2671)&lt;7),"Wkd",TEXT(A2671,"Ddd"))&amp;"-"&amp;TEXT(A2671,"hh"),LoadTable[],3,FALSE)*0.92</f>
        <v>209.6772</v>
      </c>
      <c r="U2671" s="113">
        <f t="shared" si="2860"/>
        <v>20.96772</v>
      </c>
      <c r="V2671">
        <f t="shared" ref="V2671:W2671" si="2908">V2647</f>
        <v>3</v>
      </c>
      <c r="W2671">
        <f t="shared" si="2908"/>
        <v>3.1</v>
      </c>
      <c r="X2671" s="9">
        <v>-83.5169484666676</v>
      </c>
      <c r="Y2671" s="39"/>
    </row>
    <row r="2672" spans="1:25" ht="15" thickBot="1">
      <c r="A2672" s="149">
        <f t="shared" si="2842"/>
        <v>45947.208333328839</v>
      </c>
      <c r="B2672" s="30">
        <f t="shared" si="2869"/>
        <v>5000</v>
      </c>
      <c r="C2672" s="8">
        <v>25000</v>
      </c>
      <c r="D2672" s="187">
        <v>0</v>
      </c>
      <c r="E2672" s="187">
        <v>700</v>
      </c>
      <c r="F2672" s="187">
        <v>15000</v>
      </c>
      <c r="G2672" s="30">
        <f t="shared" si="2870"/>
        <v>2470</v>
      </c>
      <c r="H2672" s="8">
        <f t="shared" si="2870"/>
        <v>25000</v>
      </c>
      <c r="I2672" s="30">
        <f t="shared" si="2871"/>
        <v>5000</v>
      </c>
      <c r="J2672" s="187">
        <v>40000</v>
      </c>
      <c r="K2672" s="30">
        <f t="shared" si="2872"/>
        <v>5000</v>
      </c>
      <c r="L2672" s="187">
        <v>40000</v>
      </c>
      <c r="M2672" s="110">
        <v>9.5</v>
      </c>
      <c r="N2672" s="9">
        <f>VLOOKUP(DATE(YEAR(A2672),MONTH(A2672),DAY(A2672)),FY24_Temp[],3,FALSE)</f>
        <v>17.25</v>
      </c>
      <c r="O2672" s="110">
        <f t="shared" si="2858"/>
        <v>11.5</v>
      </c>
      <c r="P2672" s="110">
        <f t="shared" si="2859"/>
        <v>19.5</v>
      </c>
      <c r="Q2672" s="79">
        <f>VLOOKUP(VLOOKUP(DATEVALUE(TEXT(A2672,"m/d/yyyy")),FY24_Temp[],5,FALSE)&amp;TEXT(A2672,"-h"),TempDelta[],4,FALSE)</f>
        <v>0.79885715246200562</v>
      </c>
      <c r="R2672">
        <v>10</v>
      </c>
      <c r="S2672" s="112">
        <v>1500</v>
      </c>
      <c r="T2672" s="5">
        <f>VLOOKUP(TEXT(A2672,"yy-mm")&amp;"-"&amp;IF(AND(WEEKDAY(A2672)&gt;1,WEEKDAY(A2672)&lt;7),"Wkd",TEXT(A2672,"Ddd"))&amp;"-"&amp;TEXT(A2672,"hh"),LoadTable[],3,FALSE)*0.92</f>
        <v>209.6772</v>
      </c>
      <c r="U2672" s="113">
        <f t="shared" si="2860"/>
        <v>20.96772</v>
      </c>
      <c r="V2672">
        <f t="shared" ref="V2672:W2672" si="2909">V2648</f>
        <v>2.9</v>
      </c>
      <c r="W2672">
        <f t="shared" si="2909"/>
        <v>3.1</v>
      </c>
      <c r="X2672" s="9">
        <v>-83.594743016667607</v>
      </c>
      <c r="Y2672" s="39"/>
    </row>
    <row r="2673" spans="1:25" ht="15" thickBot="1">
      <c r="A2673" s="149">
        <f t="shared" si="2842"/>
        <v>45947.249999995503</v>
      </c>
      <c r="B2673" s="30">
        <f t="shared" si="2869"/>
        <v>8000</v>
      </c>
      <c r="C2673" s="8">
        <v>25000</v>
      </c>
      <c r="D2673" s="187">
        <v>0</v>
      </c>
      <c r="E2673" s="187">
        <v>700</v>
      </c>
      <c r="F2673" s="187">
        <v>15000</v>
      </c>
      <c r="G2673" s="30">
        <f t="shared" si="2870"/>
        <v>2470</v>
      </c>
      <c r="H2673" s="8">
        <f t="shared" si="2870"/>
        <v>25000</v>
      </c>
      <c r="I2673" s="30">
        <f t="shared" si="2871"/>
        <v>8000</v>
      </c>
      <c r="J2673" s="187">
        <v>40000</v>
      </c>
      <c r="K2673" s="30">
        <f t="shared" si="2872"/>
        <v>8000</v>
      </c>
      <c r="L2673" s="187">
        <v>40000</v>
      </c>
      <c r="M2673" s="110">
        <v>9.5</v>
      </c>
      <c r="N2673" s="9">
        <f>VLOOKUP(DATE(YEAR(A2673),MONTH(A2673),DAY(A2673)),FY24_Temp[],3,FALSE)</f>
        <v>17.25</v>
      </c>
      <c r="O2673" s="110">
        <f t="shared" si="2858"/>
        <v>11.5</v>
      </c>
      <c r="P2673" s="110">
        <f t="shared" si="2859"/>
        <v>19.5</v>
      </c>
      <c r="Q2673" s="79">
        <f>VLOOKUP(VLOOKUP(DATEVALUE(TEXT(A2673,"m/d/yyyy")),FY24_Temp[],5,FALSE)&amp;TEXT(A2673,"-h"),TempDelta[],4,FALSE)</f>
        <v>0.64628570420401432</v>
      </c>
      <c r="R2673">
        <v>10</v>
      </c>
      <c r="S2673" s="112">
        <v>1500</v>
      </c>
      <c r="T2673" s="5">
        <f>VLOOKUP(TEXT(A2673,"yy-mm")&amp;"-"&amp;IF(AND(WEEKDAY(A2673)&gt;1,WEEKDAY(A2673)&lt;7),"Wkd",TEXT(A2673,"Ddd"))&amp;"-"&amp;TEXT(A2673,"hh"),LoadTable[],3,FALSE)*0.92</f>
        <v>209.6772</v>
      </c>
      <c r="U2673" s="113">
        <f t="shared" si="2860"/>
        <v>20.96772</v>
      </c>
      <c r="V2673">
        <f t="shared" ref="V2673:W2673" si="2910">V2649</f>
        <v>2.5</v>
      </c>
      <c r="W2673">
        <f t="shared" si="2910"/>
        <v>3.1</v>
      </c>
      <c r="X2673" s="9">
        <v>-83.6725375666676</v>
      </c>
      <c r="Y2673" s="39"/>
    </row>
    <row r="2674" spans="1:25" ht="15" thickBot="1">
      <c r="A2674" s="149">
        <f t="shared" si="2842"/>
        <v>45947.291666662168</v>
      </c>
      <c r="B2674" s="30">
        <f t="shared" si="2869"/>
        <v>8000</v>
      </c>
      <c r="C2674" s="8">
        <v>25000</v>
      </c>
      <c r="D2674" s="187">
        <v>0</v>
      </c>
      <c r="E2674" s="187">
        <v>700</v>
      </c>
      <c r="F2674" s="187">
        <v>15000</v>
      </c>
      <c r="G2674" s="30">
        <f t="shared" si="2870"/>
        <v>2470</v>
      </c>
      <c r="H2674" s="8">
        <f t="shared" si="2870"/>
        <v>25000</v>
      </c>
      <c r="I2674" s="30">
        <f t="shared" si="2871"/>
        <v>8000</v>
      </c>
      <c r="J2674" s="187">
        <v>40000</v>
      </c>
      <c r="K2674" s="30">
        <f t="shared" si="2872"/>
        <v>8000</v>
      </c>
      <c r="L2674" s="187">
        <v>40000</v>
      </c>
      <c r="M2674" s="110">
        <v>9.5</v>
      </c>
      <c r="N2674" s="9">
        <f>VLOOKUP(DATE(YEAR(A2674),MONTH(A2674),DAY(A2674)),FY24_Temp[],3,FALSE)</f>
        <v>17.25</v>
      </c>
      <c r="O2674" s="110">
        <f t="shared" si="2858"/>
        <v>11.5</v>
      </c>
      <c r="P2674" s="110">
        <f t="shared" si="2859"/>
        <v>19.5</v>
      </c>
      <c r="Q2674" s="79">
        <f>VLOOKUP(VLOOKUP(DATEVALUE(TEXT(A2674,"m/d/yyyy")),FY24_Temp[],5,FALSE)&amp;TEXT(A2674,"-h"),TempDelta[],4,FALSE)</f>
        <v>0.46642856938498362</v>
      </c>
      <c r="R2674">
        <v>10</v>
      </c>
      <c r="S2674" s="112">
        <v>1500</v>
      </c>
      <c r="T2674" s="5">
        <f>VLOOKUP(TEXT(A2674,"yy-mm")&amp;"-"&amp;IF(AND(WEEKDAY(A2674)&gt;1,WEEKDAY(A2674)&lt;7),"Wkd",TEXT(A2674,"Ddd"))&amp;"-"&amp;TEXT(A2674,"hh"),LoadTable[],3,FALSE)*0.92</f>
        <v>234.80148</v>
      </c>
      <c r="U2674" s="113">
        <f t="shared" si="2860"/>
        <v>23.480148</v>
      </c>
      <c r="V2674">
        <f t="shared" ref="V2674:W2674" si="2911">V2650</f>
        <v>2.5</v>
      </c>
      <c r="W2674">
        <f t="shared" si="2911"/>
        <v>3.1</v>
      </c>
      <c r="X2674" s="9">
        <v>-83.750332116667593</v>
      </c>
      <c r="Y2674" s="39"/>
    </row>
    <row r="2675" spans="1:25" ht="15" thickBot="1">
      <c r="A2675" s="149">
        <f t="shared" si="2842"/>
        <v>45947.333333328832</v>
      </c>
      <c r="B2675" s="30">
        <f t="shared" si="2869"/>
        <v>8000</v>
      </c>
      <c r="C2675" s="8">
        <v>25000</v>
      </c>
      <c r="D2675" s="187">
        <v>0</v>
      </c>
      <c r="E2675" s="187">
        <v>700</v>
      </c>
      <c r="F2675" s="187">
        <v>15000</v>
      </c>
      <c r="G2675" s="30">
        <f t="shared" si="2870"/>
        <v>2470</v>
      </c>
      <c r="H2675" s="8">
        <f t="shared" si="2870"/>
        <v>25000</v>
      </c>
      <c r="I2675" s="30">
        <f t="shared" si="2871"/>
        <v>8000</v>
      </c>
      <c r="J2675" s="187">
        <v>40000</v>
      </c>
      <c r="K2675" s="30">
        <f t="shared" si="2872"/>
        <v>8000</v>
      </c>
      <c r="L2675" s="187">
        <v>40000</v>
      </c>
      <c r="M2675" s="110">
        <v>9.5</v>
      </c>
      <c r="N2675" s="9">
        <f>VLOOKUP(DATE(YEAR(A2675),MONTH(A2675),DAY(A2675)),FY24_Temp[],3,FALSE)</f>
        <v>17.25</v>
      </c>
      <c r="O2675" s="110">
        <f t="shared" si="2858"/>
        <v>11.5</v>
      </c>
      <c r="P2675" s="110">
        <f t="shared" si="2859"/>
        <v>19.5</v>
      </c>
      <c r="Q2675" s="79">
        <f>VLOOKUP(VLOOKUP(DATEVALUE(TEXT(A2675,"m/d/yyyy")),FY24_Temp[],5,FALSE)&amp;TEXT(A2675,"-h"),TempDelta[],4,FALSE)</f>
        <v>0.36357143095561434</v>
      </c>
      <c r="R2675">
        <v>10</v>
      </c>
      <c r="S2675" s="112">
        <v>1500</v>
      </c>
      <c r="T2675" s="5">
        <f>VLOOKUP(TEXT(A2675,"yy-mm")&amp;"-"&amp;IF(AND(WEEKDAY(A2675)&gt;1,WEEKDAY(A2675)&lt;7),"Wkd",TEXT(A2675,"Ddd"))&amp;"-"&amp;TEXT(A2675,"hh"),LoadTable[],3,FALSE)*0.92</f>
        <v>234.80148</v>
      </c>
      <c r="U2675" s="113">
        <f t="shared" si="2860"/>
        <v>23.480148</v>
      </c>
      <c r="V2675">
        <f t="shared" ref="V2675:W2675" si="2912">V2651</f>
        <v>3.2</v>
      </c>
      <c r="W2675">
        <f t="shared" si="2912"/>
        <v>3</v>
      </c>
      <c r="X2675" s="9">
        <v>-83.8281266666676</v>
      </c>
      <c r="Y2675" s="39"/>
    </row>
    <row r="2676" spans="1:25" ht="15" thickBot="1">
      <c r="A2676" s="149">
        <f t="shared" si="2842"/>
        <v>45947.374999995496</v>
      </c>
      <c r="B2676" s="30">
        <f t="shared" si="2869"/>
        <v>8000</v>
      </c>
      <c r="C2676" s="8">
        <v>25000</v>
      </c>
      <c r="D2676" s="187">
        <v>0</v>
      </c>
      <c r="E2676" s="187">
        <v>700</v>
      </c>
      <c r="F2676" s="187">
        <v>15000</v>
      </c>
      <c r="G2676" s="30">
        <f t="shared" si="2870"/>
        <v>2470</v>
      </c>
      <c r="H2676" s="8">
        <f t="shared" si="2870"/>
        <v>25000</v>
      </c>
      <c r="I2676" s="30">
        <f t="shared" si="2871"/>
        <v>8000</v>
      </c>
      <c r="J2676" s="187">
        <v>40000</v>
      </c>
      <c r="K2676" s="30">
        <f t="shared" si="2872"/>
        <v>8000</v>
      </c>
      <c r="L2676" s="187">
        <v>40000</v>
      </c>
      <c r="M2676" s="110">
        <v>9.5</v>
      </c>
      <c r="N2676" s="9">
        <f>VLOOKUP(DATE(YEAR(A2676),MONTH(A2676),DAY(A2676)),FY24_Temp[],3,FALSE)</f>
        <v>17.25</v>
      </c>
      <c r="O2676" s="110">
        <f t="shared" si="2858"/>
        <v>11.5</v>
      </c>
      <c r="P2676" s="110">
        <f t="shared" si="2859"/>
        <v>19.5</v>
      </c>
      <c r="Q2676" s="79">
        <f>VLOOKUP(VLOOKUP(DATEVALUE(TEXT(A2676,"m/d/yyyy")),FY24_Temp[],5,FALSE)&amp;TEXT(A2676,"-h"),TempDelta[],4,FALSE)</f>
        <v>0.28171428825174061</v>
      </c>
      <c r="R2676">
        <v>10</v>
      </c>
      <c r="S2676" s="112">
        <v>1500</v>
      </c>
      <c r="T2676" s="5">
        <f>VLOOKUP(TEXT(A2676,"yy-mm")&amp;"-"&amp;IF(AND(WEEKDAY(A2676)&gt;1,WEEKDAY(A2676)&lt;7),"Wkd",TEXT(A2676,"Ddd"))&amp;"-"&amp;TEXT(A2676,"hh"),LoadTable[],3,FALSE)*0.92</f>
        <v>234.80148</v>
      </c>
      <c r="U2676" s="113">
        <f t="shared" si="2860"/>
        <v>23.480148</v>
      </c>
      <c r="V2676">
        <f t="shared" ref="V2676:W2676" si="2913">V2652</f>
        <v>2.9</v>
      </c>
      <c r="W2676">
        <f t="shared" si="2913"/>
        <v>3</v>
      </c>
      <c r="X2676" s="9">
        <v>-83.905921216667593</v>
      </c>
      <c r="Y2676" s="39"/>
    </row>
    <row r="2677" spans="1:25" ht="15" thickBot="1">
      <c r="A2677" s="149">
        <f t="shared" ref="A2677:A2740" si="2914">A2676+TIME(1,0,0)</f>
        <v>45947.41666666216</v>
      </c>
      <c r="B2677" s="30">
        <f t="shared" si="2869"/>
        <v>8000</v>
      </c>
      <c r="C2677" s="8">
        <v>25000</v>
      </c>
      <c r="D2677" s="187">
        <v>0</v>
      </c>
      <c r="E2677" s="187">
        <v>700</v>
      </c>
      <c r="F2677" s="187">
        <v>15000</v>
      </c>
      <c r="G2677" s="30">
        <f t="shared" si="2870"/>
        <v>2470</v>
      </c>
      <c r="H2677" s="8">
        <f t="shared" si="2870"/>
        <v>25000</v>
      </c>
      <c r="I2677" s="30">
        <f t="shared" si="2871"/>
        <v>8000</v>
      </c>
      <c r="J2677" s="187">
        <v>40000</v>
      </c>
      <c r="K2677" s="30">
        <f t="shared" si="2872"/>
        <v>8000</v>
      </c>
      <c r="L2677" s="187">
        <v>40000</v>
      </c>
      <c r="M2677" s="110">
        <v>9.5</v>
      </c>
      <c r="N2677" s="9">
        <f>VLOOKUP(DATE(YEAR(A2677),MONTH(A2677),DAY(A2677)),FY24_Temp[],3,FALSE)</f>
        <v>17.25</v>
      </c>
      <c r="O2677" s="110">
        <f t="shared" si="2858"/>
        <v>11.5</v>
      </c>
      <c r="P2677" s="110">
        <f t="shared" si="2859"/>
        <v>19.5</v>
      </c>
      <c r="Q2677" s="79">
        <f>VLOOKUP(VLOOKUP(DATEVALUE(TEXT(A2677,"m/d/yyyy")),FY24_Temp[],5,FALSE)&amp;TEXT(A2677,"-h"),TempDelta[],4,FALSE)</f>
        <v>0.18571428209543228</v>
      </c>
      <c r="R2677">
        <v>10</v>
      </c>
      <c r="S2677" s="112">
        <v>1500</v>
      </c>
      <c r="T2677" s="5">
        <f>VLOOKUP(TEXT(A2677,"yy-mm")&amp;"-"&amp;IF(AND(WEEKDAY(A2677)&gt;1,WEEKDAY(A2677)&lt;7),"Wkd",TEXT(A2677,"Ddd"))&amp;"-"&amp;TEXT(A2677,"hh"),LoadTable[],3,FALSE)*0.92</f>
        <v>234.80148</v>
      </c>
      <c r="U2677" s="113">
        <f t="shared" si="2860"/>
        <v>23.480148</v>
      </c>
      <c r="V2677">
        <f t="shared" ref="V2677:W2677" si="2915">V2653</f>
        <v>2.9</v>
      </c>
      <c r="W2677">
        <f t="shared" si="2915"/>
        <v>3</v>
      </c>
      <c r="X2677" s="9">
        <v>-83.983715766667601</v>
      </c>
      <c r="Y2677" s="39"/>
    </row>
    <row r="2678" spans="1:25" ht="15" thickBot="1">
      <c r="A2678" s="149">
        <f t="shared" si="2914"/>
        <v>45947.458333328825</v>
      </c>
      <c r="B2678" s="30">
        <f t="shared" si="2869"/>
        <v>8000</v>
      </c>
      <c r="C2678" s="8">
        <v>25000</v>
      </c>
      <c r="D2678" s="187">
        <v>0</v>
      </c>
      <c r="E2678" s="187">
        <v>700</v>
      </c>
      <c r="F2678" s="187">
        <v>15000</v>
      </c>
      <c r="G2678" s="30">
        <f t="shared" si="2870"/>
        <v>2470</v>
      </c>
      <c r="H2678" s="8">
        <f t="shared" si="2870"/>
        <v>25000</v>
      </c>
      <c r="I2678" s="30">
        <f t="shared" si="2871"/>
        <v>8000</v>
      </c>
      <c r="J2678" s="187">
        <v>40000</v>
      </c>
      <c r="K2678" s="30">
        <f t="shared" si="2872"/>
        <v>8000</v>
      </c>
      <c r="L2678" s="187">
        <v>40000</v>
      </c>
      <c r="M2678" s="110">
        <v>9.5</v>
      </c>
      <c r="N2678" s="9">
        <f>VLOOKUP(DATE(YEAR(A2678),MONTH(A2678),DAY(A2678)),FY24_Temp[],3,FALSE)</f>
        <v>17.25</v>
      </c>
      <c r="O2678" s="110">
        <f t="shared" si="2858"/>
        <v>11.5</v>
      </c>
      <c r="P2678" s="110">
        <f t="shared" si="2859"/>
        <v>19.5</v>
      </c>
      <c r="Q2678" s="79">
        <f>VLOOKUP(VLOOKUP(DATEVALUE(TEXT(A2678,"m/d/yyyy")),FY24_Temp[],5,FALSE)&amp;TEXT(A2678,"-h"),TempDelta[],4,FALSE)</f>
        <v>0.10357142758688756</v>
      </c>
      <c r="R2678">
        <v>10</v>
      </c>
      <c r="S2678" s="112">
        <v>1500</v>
      </c>
      <c r="T2678" s="5">
        <f>VLOOKUP(TEXT(A2678,"yy-mm")&amp;"-"&amp;IF(AND(WEEKDAY(A2678)&gt;1,WEEKDAY(A2678)&lt;7),"Wkd",TEXT(A2678,"Ddd"))&amp;"-"&amp;TEXT(A2678,"hh"),LoadTable[],3,FALSE)*0.92</f>
        <v>234.80148</v>
      </c>
      <c r="U2678" s="113">
        <f t="shared" si="2860"/>
        <v>23.480148</v>
      </c>
      <c r="V2678">
        <f t="shared" ref="V2678:W2678" si="2916">V2654</f>
        <v>3.4</v>
      </c>
      <c r="W2678">
        <f t="shared" si="2916"/>
        <v>3</v>
      </c>
      <c r="X2678" s="9">
        <v>-84.061510316667693</v>
      </c>
      <c r="Y2678" s="39"/>
    </row>
    <row r="2679" spans="1:25" ht="15" thickBot="1">
      <c r="A2679" s="149">
        <f t="shared" si="2914"/>
        <v>45947.499999995489</v>
      </c>
      <c r="B2679" s="30">
        <f t="shared" si="2869"/>
        <v>8000</v>
      </c>
      <c r="C2679" s="8">
        <v>25000</v>
      </c>
      <c r="D2679" s="187">
        <v>0</v>
      </c>
      <c r="E2679" s="187">
        <v>700</v>
      </c>
      <c r="F2679" s="187">
        <v>15000</v>
      </c>
      <c r="G2679" s="30">
        <f t="shared" si="2870"/>
        <v>2470</v>
      </c>
      <c r="H2679" s="8">
        <f t="shared" si="2870"/>
        <v>25000</v>
      </c>
      <c r="I2679" s="30">
        <f t="shared" si="2871"/>
        <v>8000</v>
      </c>
      <c r="J2679" s="187">
        <v>40000</v>
      </c>
      <c r="K2679" s="30">
        <f t="shared" si="2872"/>
        <v>8000</v>
      </c>
      <c r="L2679" s="187">
        <v>40000</v>
      </c>
      <c r="M2679" s="110">
        <v>9.5</v>
      </c>
      <c r="N2679" s="9">
        <f>VLOOKUP(DATE(YEAR(A2679),MONTH(A2679),DAY(A2679)),FY24_Temp[],3,FALSE)</f>
        <v>17.25</v>
      </c>
      <c r="O2679" s="110">
        <f t="shared" si="2858"/>
        <v>11.5</v>
      </c>
      <c r="P2679" s="110">
        <f t="shared" si="2859"/>
        <v>19.5</v>
      </c>
      <c r="Q2679" s="79">
        <f>VLOOKUP(VLOOKUP(DATEVALUE(TEXT(A2679,"m/d/yyyy")),FY24_Temp[],5,FALSE)&amp;TEXT(A2679,"-h"),TempDelta[],4,FALSE)</f>
        <v>3.9142857438751628E-2</v>
      </c>
      <c r="R2679">
        <v>10</v>
      </c>
      <c r="S2679" s="112">
        <v>1500</v>
      </c>
      <c r="T2679" s="5">
        <f>VLOOKUP(TEXT(A2679,"yy-mm")&amp;"-"&amp;IF(AND(WEEKDAY(A2679)&gt;1,WEEKDAY(A2679)&lt;7),"Wkd",TEXT(A2679,"Ddd"))&amp;"-"&amp;TEXT(A2679,"hh"),LoadTable[],3,FALSE)*0.92</f>
        <v>234.80148</v>
      </c>
      <c r="U2679" s="113">
        <f t="shared" si="2860"/>
        <v>23.480148</v>
      </c>
      <c r="V2679">
        <f t="shared" ref="V2679:W2679" si="2917">V2655</f>
        <v>3.1</v>
      </c>
      <c r="W2679">
        <f t="shared" si="2917"/>
        <v>2.9</v>
      </c>
      <c r="X2679" s="9">
        <v>-84.1393048666677</v>
      </c>
      <c r="Y2679" s="39"/>
    </row>
    <row r="2680" spans="1:25" ht="15" thickBot="1">
      <c r="A2680" s="149">
        <f t="shared" si="2914"/>
        <v>45947.541666662153</v>
      </c>
      <c r="B2680" s="30">
        <f t="shared" si="2869"/>
        <v>8000</v>
      </c>
      <c r="C2680" s="8">
        <v>25000</v>
      </c>
      <c r="D2680" s="187">
        <v>0</v>
      </c>
      <c r="E2680" s="187">
        <v>700</v>
      </c>
      <c r="F2680" s="187">
        <v>15000</v>
      </c>
      <c r="G2680" s="30">
        <f t="shared" si="2870"/>
        <v>2470</v>
      </c>
      <c r="H2680" s="8">
        <f t="shared" si="2870"/>
        <v>25000</v>
      </c>
      <c r="I2680" s="30">
        <f t="shared" si="2871"/>
        <v>8000</v>
      </c>
      <c r="J2680" s="187">
        <v>40000</v>
      </c>
      <c r="K2680" s="30">
        <f t="shared" si="2872"/>
        <v>8000</v>
      </c>
      <c r="L2680" s="187">
        <v>40000</v>
      </c>
      <c r="M2680" s="110">
        <v>9.5</v>
      </c>
      <c r="N2680" s="9">
        <f>VLOOKUP(DATE(YEAR(A2680),MONTH(A2680),DAY(A2680)),FY24_Temp[],3,FALSE)</f>
        <v>17.25</v>
      </c>
      <c r="O2680" s="110">
        <f t="shared" si="2858"/>
        <v>11.5</v>
      </c>
      <c r="P2680" s="110">
        <f t="shared" si="2859"/>
        <v>19.5</v>
      </c>
      <c r="Q2680" s="79">
        <f>VLOOKUP(VLOOKUP(DATEVALUE(TEXT(A2680,"m/d/yyyy")),FY24_Temp[],5,FALSE)&amp;TEXT(A2680,"-h"),TempDelta[],4,FALSE)</f>
        <v>5.2857138216495514E-3</v>
      </c>
      <c r="R2680">
        <v>10</v>
      </c>
      <c r="S2680" s="112">
        <v>1500</v>
      </c>
      <c r="T2680" s="5">
        <f>VLOOKUP(TEXT(A2680,"yy-mm")&amp;"-"&amp;IF(AND(WEEKDAY(A2680)&gt;1,WEEKDAY(A2680)&lt;7),"Wkd",TEXT(A2680,"Ddd"))&amp;"-"&amp;TEXT(A2680,"hh"),LoadTable[],3,FALSE)*0.92</f>
        <v>234.80148</v>
      </c>
      <c r="U2680" s="113">
        <f t="shared" si="2860"/>
        <v>23.480148</v>
      </c>
      <c r="V2680">
        <f t="shared" ref="V2680:W2680" si="2918">V2656</f>
        <v>3.2</v>
      </c>
      <c r="W2680">
        <f t="shared" si="2918"/>
        <v>2.9</v>
      </c>
      <c r="X2680" s="9">
        <v>-84.217099416667693</v>
      </c>
      <c r="Y2680" s="39"/>
    </row>
    <row r="2681" spans="1:25" ht="15" thickBot="1">
      <c r="A2681" s="149">
        <f t="shared" si="2914"/>
        <v>45947.583333328817</v>
      </c>
      <c r="B2681" s="30">
        <f t="shared" si="2869"/>
        <v>8000</v>
      </c>
      <c r="C2681" s="8">
        <v>25000</v>
      </c>
      <c r="D2681" s="187">
        <v>0</v>
      </c>
      <c r="E2681" s="187">
        <v>700</v>
      </c>
      <c r="F2681" s="187">
        <v>15000</v>
      </c>
      <c r="G2681" s="30">
        <f t="shared" si="2870"/>
        <v>2470</v>
      </c>
      <c r="H2681" s="8">
        <f t="shared" si="2870"/>
        <v>25000</v>
      </c>
      <c r="I2681" s="30">
        <f t="shared" si="2871"/>
        <v>8000</v>
      </c>
      <c r="J2681" s="187">
        <v>40000</v>
      </c>
      <c r="K2681" s="30">
        <f t="shared" si="2872"/>
        <v>8000</v>
      </c>
      <c r="L2681" s="187">
        <v>40000</v>
      </c>
      <c r="M2681" s="110">
        <v>9.5</v>
      </c>
      <c r="N2681" s="9">
        <f>VLOOKUP(DATE(YEAR(A2681),MONTH(A2681),DAY(A2681)),FY24_Temp[],3,FALSE)</f>
        <v>17.25</v>
      </c>
      <c r="O2681" s="110">
        <f t="shared" si="2858"/>
        <v>11.5</v>
      </c>
      <c r="P2681" s="110">
        <f t="shared" si="2859"/>
        <v>19.5</v>
      </c>
      <c r="Q2681" s="79">
        <f>VLOOKUP(VLOOKUP(DATEVALUE(TEXT(A2681,"m/d/yyyy")),FY24_Temp[],5,FALSE)&amp;TEXT(A2681,"-h"),TempDelta[],4,FALSE)</f>
        <v>6.9857144478841546E-2</v>
      </c>
      <c r="R2681">
        <v>10</v>
      </c>
      <c r="S2681" s="112">
        <v>1500</v>
      </c>
      <c r="T2681" s="5">
        <f>VLOOKUP(TEXT(A2681,"yy-mm")&amp;"-"&amp;IF(AND(WEEKDAY(A2681)&gt;1,WEEKDAY(A2681)&lt;7),"Wkd",TEXT(A2681,"Ddd"))&amp;"-"&amp;TEXT(A2681,"hh"),LoadTable[],3,FALSE)*0.92</f>
        <v>234.80148</v>
      </c>
      <c r="U2681" s="113">
        <f t="shared" si="2860"/>
        <v>23.480148</v>
      </c>
      <c r="V2681">
        <f t="shared" ref="V2681:W2681" si="2919">V2657</f>
        <v>3.5</v>
      </c>
      <c r="W2681">
        <f t="shared" si="2919"/>
        <v>2.9</v>
      </c>
      <c r="X2681" s="9">
        <v>-84.294893966667701</v>
      </c>
      <c r="Y2681" s="39"/>
    </row>
    <row r="2682" spans="1:25" ht="15" thickBot="1">
      <c r="A2682" s="149">
        <f t="shared" si="2914"/>
        <v>45947.624999995482</v>
      </c>
      <c r="B2682" s="30">
        <f t="shared" si="2869"/>
        <v>8000</v>
      </c>
      <c r="C2682" s="8">
        <v>25000</v>
      </c>
      <c r="D2682" s="187">
        <v>0</v>
      </c>
      <c r="E2682" s="187">
        <v>700</v>
      </c>
      <c r="F2682" s="187">
        <v>15000</v>
      </c>
      <c r="G2682" s="30">
        <f t="shared" si="2870"/>
        <v>2470</v>
      </c>
      <c r="H2682" s="8">
        <f t="shared" si="2870"/>
        <v>25000</v>
      </c>
      <c r="I2682" s="30">
        <f t="shared" si="2871"/>
        <v>8000</v>
      </c>
      <c r="J2682" s="187">
        <v>40000</v>
      </c>
      <c r="K2682" s="30">
        <f t="shared" si="2872"/>
        <v>8000</v>
      </c>
      <c r="L2682" s="187">
        <v>40000</v>
      </c>
      <c r="M2682" s="110">
        <v>9.5</v>
      </c>
      <c r="N2682" s="9">
        <f>VLOOKUP(DATE(YEAR(A2682),MONTH(A2682),DAY(A2682)),FY24_Temp[],3,FALSE)</f>
        <v>17.25</v>
      </c>
      <c r="O2682" s="110">
        <f t="shared" si="2858"/>
        <v>11.5</v>
      </c>
      <c r="P2682" s="110">
        <f t="shared" si="2859"/>
        <v>19.5</v>
      </c>
      <c r="Q2682" s="79">
        <f>VLOOKUP(VLOOKUP(DATEVALUE(TEXT(A2682,"m/d/yyyy")),FY24_Temp[],5,FALSE)&amp;TEXT(A2682,"-h"),TempDelta[],4,FALSE)</f>
        <v>0.16885714073266303</v>
      </c>
      <c r="R2682">
        <v>10</v>
      </c>
      <c r="S2682" s="112">
        <v>1500</v>
      </c>
      <c r="T2682" s="5">
        <f>VLOOKUP(TEXT(A2682,"yy-mm")&amp;"-"&amp;IF(AND(WEEKDAY(A2682)&gt;1,WEEKDAY(A2682)&lt;7),"Wkd",TEXT(A2682,"Ddd"))&amp;"-"&amp;TEXT(A2682,"hh"),LoadTable[],3,FALSE)*0.92</f>
        <v>234.80148</v>
      </c>
      <c r="U2682" s="113">
        <f t="shared" si="2860"/>
        <v>23.480148</v>
      </c>
      <c r="V2682">
        <f t="shared" ref="V2682:W2682" si="2920">V2658</f>
        <v>3.2</v>
      </c>
      <c r="W2682">
        <f t="shared" si="2920"/>
        <v>2.9</v>
      </c>
      <c r="X2682" s="9">
        <v>-84.372688516667694</v>
      </c>
      <c r="Y2682" s="39"/>
    </row>
    <row r="2683" spans="1:25" ht="15" thickBot="1">
      <c r="A2683" s="149">
        <f t="shared" si="2914"/>
        <v>45947.666666662146</v>
      </c>
      <c r="B2683" s="30">
        <f t="shared" si="2869"/>
        <v>8000</v>
      </c>
      <c r="C2683" s="8">
        <v>25000</v>
      </c>
      <c r="D2683" s="187">
        <v>0</v>
      </c>
      <c r="E2683" s="187">
        <v>700</v>
      </c>
      <c r="F2683" s="187">
        <v>15000</v>
      </c>
      <c r="G2683" s="30">
        <f t="shared" si="2870"/>
        <v>2470</v>
      </c>
      <c r="H2683" s="8">
        <f t="shared" si="2870"/>
        <v>25000</v>
      </c>
      <c r="I2683" s="30">
        <f t="shared" si="2871"/>
        <v>8000</v>
      </c>
      <c r="J2683" s="187">
        <v>40000</v>
      </c>
      <c r="K2683" s="30">
        <f t="shared" si="2872"/>
        <v>8000</v>
      </c>
      <c r="L2683" s="187">
        <v>40000</v>
      </c>
      <c r="M2683" s="110">
        <v>9.5</v>
      </c>
      <c r="N2683" s="9">
        <f>VLOOKUP(DATE(YEAR(A2683),MONTH(A2683),DAY(A2683)),FY24_Temp[],3,FALSE)</f>
        <v>17.25</v>
      </c>
      <c r="O2683" s="110">
        <f t="shared" si="2858"/>
        <v>11.5</v>
      </c>
      <c r="P2683" s="110">
        <f t="shared" si="2859"/>
        <v>19.5</v>
      </c>
      <c r="Q2683" s="79">
        <f>VLOOKUP(VLOOKUP(DATEVALUE(TEXT(A2683,"m/d/yyyy")),FY24_Temp[],5,FALSE)&amp;TEXT(A2683,"-h"),TempDelta[],4,FALSE)</f>
        <v>0.4030000056539263</v>
      </c>
      <c r="R2683">
        <v>10</v>
      </c>
      <c r="S2683" s="112">
        <v>1500</v>
      </c>
      <c r="T2683" s="5">
        <f>VLOOKUP(TEXT(A2683,"yy-mm")&amp;"-"&amp;IF(AND(WEEKDAY(A2683)&gt;1,WEEKDAY(A2683)&lt;7),"Wkd",TEXT(A2683,"Ddd"))&amp;"-"&amp;TEXT(A2683,"hh"),LoadTable[],3,FALSE)*0.92</f>
        <v>234.80148</v>
      </c>
      <c r="U2683" s="113">
        <f t="shared" si="2860"/>
        <v>23.480148</v>
      </c>
      <c r="V2683">
        <f t="shared" ref="V2683:W2683" si="2921">V2659</f>
        <v>3.5</v>
      </c>
      <c r="W2683">
        <f t="shared" si="2921"/>
        <v>3</v>
      </c>
      <c r="X2683" s="9">
        <v>-84.450483066667701</v>
      </c>
      <c r="Y2683" s="39"/>
    </row>
    <row r="2684" spans="1:25" ht="15" thickBot="1">
      <c r="A2684" s="149">
        <f t="shared" si="2914"/>
        <v>45947.70833332881</v>
      </c>
      <c r="B2684" s="30">
        <f t="shared" si="2869"/>
        <v>8000</v>
      </c>
      <c r="C2684" s="8">
        <v>25000</v>
      </c>
      <c r="D2684" s="187">
        <v>0</v>
      </c>
      <c r="E2684" s="187">
        <v>700</v>
      </c>
      <c r="F2684" s="187">
        <v>15000</v>
      </c>
      <c r="G2684" s="30">
        <f t="shared" si="2870"/>
        <v>2470</v>
      </c>
      <c r="H2684" s="8">
        <f t="shared" si="2870"/>
        <v>25000</v>
      </c>
      <c r="I2684" s="30">
        <f t="shared" si="2871"/>
        <v>8000</v>
      </c>
      <c r="J2684" s="187">
        <v>40000</v>
      </c>
      <c r="K2684" s="30">
        <f t="shared" si="2872"/>
        <v>8000</v>
      </c>
      <c r="L2684" s="187">
        <v>40000</v>
      </c>
      <c r="M2684" s="110">
        <v>9.5</v>
      </c>
      <c r="N2684" s="9">
        <f>VLOOKUP(DATE(YEAR(A2684),MONTH(A2684),DAY(A2684)),FY24_Temp[],3,FALSE)</f>
        <v>17.25</v>
      </c>
      <c r="O2684" s="110">
        <f t="shared" si="2858"/>
        <v>11.5</v>
      </c>
      <c r="P2684" s="110">
        <f t="shared" si="2859"/>
        <v>19.5</v>
      </c>
      <c r="Q2684" s="79">
        <f>VLOOKUP(VLOOKUP(DATEVALUE(TEXT(A2684,"m/d/yyyy")),FY24_Temp[],5,FALSE)&amp;TEXT(A2684,"-h"),TempDelta[],4,FALSE)</f>
        <v>0.51750000034059795</v>
      </c>
      <c r="R2684">
        <v>10</v>
      </c>
      <c r="S2684" s="112">
        <v>1500</v>
      </c>
      <c r="T2684" s="5">
        <f>VLOOKUP(TEXT(A2684,"yy-mm")&amp;"-"&amp;IF(AND(WEEKDAY(A2684)&gt;1,WEEKDAY(A2684)&lt;7),"Wkd",TEXT(A2684,"Ddd"))&amp;"-"&amp;TEXT(A2684,"hh"),LoadTable[],3,FALSE)*0.92</f>
        <v>234.80148</v>
      </c>
      <c r="U2684" s="113">
        <f t="shared" si="2860"/>
        <v>23.480148</v>
      </c>
      <c r="V2684">
        <f t="shared" ref="V2684:W2684" si="2922">V2660</f>
        <v>3.6</v>
      </c>
      <c r="W2684">
        <f t="shared" si="2922"/>
        <v>3</v>
      </c>
      <c r="X2684" s="9">
        <v>-84.528277616667694</v>
      </c>
      <c r="Y2684" s="39"/>
    </row>
    <row r="2685" spans="1:25" ht="15" thickBot="1">
      <c r="A2685" s="149">
        <f t="shared" si="2914"/>
        <v>45947.749999995474</v>
      </c>
      <c r="B2685" s="30">
        <f t="shared" si="2869"/>
        <v>5000</v>
      </c>
      <c r="C2685" s="8">
        <v>25000</v>
      </c>
      <c r="D2685" s="187">
        <v>0</v>
      </c>
      <c r="E2685" s="187">
        <v>700</v>
      </c>
      <c r="F2685" s="187">
        <v>15000</v>
      </c>
      <c r="G2685" s="30">
        <f t="shared" si="2870"/>
        <v>2470</v>
      </c>
      <c r="H2685" s="8">
        <f t="shared" si="2870"/>
        <v>25000</v>
      </c>
      <c r="I2685" s="30">
        <f t="shared" si="2871"/>
        <v>5000</v>
      </c>
      <c r="J2685" s="187">
        <v>40000</v>
      </c>
      <c r="K2685" s="30">
        <f t="shared" si="2872"/>
        <v>5000</v>
      </c>
      <c r="L2685" s="187">
        <v>40000</v>
      </c>
      <c r="M2685" s="110">
        <v>9.5</v>
      </c>
      <c r="N2685" s="9">
        <f>VLOOKUP(DATE(YEAR(A2685),MONTH(A2685),DAY(A2685)),FY24_Temp[],3,FALSE)</f>
        <v>17.25</v>
      </c>
      <c r="O2685" s="110">
        <f t="shared" si="2858"/>
        <v>11.5</v>
      </c>
      <c r="P2685" s="110">
        <f t="shared" si="2859"/>
        <v>19.5</v>
      </c>
      <c r="Q2685" s="79">
        <f>VLOOKUP(VLOOKUP(DATEVALUE(TEXT(A2685,"m/d/yyyy")),FY24_Temp[],5,FALSE)&amp;TEXT(A2685,"-h"),TempDelta[],4,FALSE)</f>
        <v>0.66500000017029903</v>
      </c>
      <c r="R2685">
        <v>10</v>
      </c>
      <c r="S2685" s="112">
        <v>1500</v>
      </c>
      <c r="T2685" s="5">
        <f>VLOOKUP(TEXT(A2685,"yy-mm")&amp;"-"&amp;IF(AND(WEEKDAY(A2685)&gt;1,WEEKDAY(A2685)&lt;7),"Wkd",TEXT(A2685,"Ddd"))&amp;"-"&amp;TEXT(A2685,"hh"),LoadTable[],3,FALSE)*0.92</f>
        <v>303.31295999999998</v>
      </c>
      <c r="U2685" s="113">
        <f t="shared" si="2860"/>
        <v>30.331295999999998</v>
      </c>
      <c r="V2685">
        <f t="shared" ref="V2685:W2685" si="2923">V2661</f>
        <v>2.9</v>
      </c>
      <c r="W2685">
        <f t="shared" si="2923"/>
        <v>3</v>
      </c>
      <c r="X2685" s="9">
        <v>-84.606072166667701</v>
      </c>
      <c r="Y2685" s="39"/>
    </row>
    <row r="2686" spans="1:25" ht="15" thickBot="1">
      <c r="A2686" s="149">
        <f t="shared" si="2914"/>
        <v>45947.791666662139</v>
      </c>
      <c r="B2686" s="30">
        <f t="shared" si="2869"/>
        <v>5000</v>
      </c>
      <c r="C2686" s="8">
        <v>25000</v>
      </c>
      <c r="D2686" s="187">
        <v>0</v>
      </c>
      <c r="E2686" s="187">
        <v>700</v>
      </c>
      <c r="F2686" s="187">
        <v>15000</v>
      </c>
      <c r="G2686" s="30">
        <f t="shared" si="2870"/>
        <v>2470</v>
      </c>
      <c r="H2686" s="8">
        <f t="shared" si="2870"/>
        <v>25000</v>
      </c>
      <c r="I2686" s="30">
        <f t="shared" si="2871"/>
        <v>5000</v>
      </c>
      <c r="J2686" s="187">
        <v>40000</v>
      </c>
      <c r="K2686" s="30">
        <f t="shared" si="2872"/>
        <v>5000</v>
      </c>
      <c r="L2686" s="187">
        <v>40000</v>
      </c>
      <c r="M2686" s="110">
        <v>9.5</v>
      </c>
      <c r="N2686" s="9">
        <f>VLOOKUP(DATE(YEAR(A2686),MONTH(A2686),DAY(A2686)),FY24_Temp[],3,FALSE)</f>
        <v>17.25</v>
      </c>
      <c r="O2686" s="110">
        <f t="shared" si="2858"/>
        <v>11.5</v>
      </c>
      <c r="P2686" s="110">
        <f t="shared" si="2859"/>
        <v>19.5</v>
      </c>
      <c r="Q2686" s="79">
        <f>VLOOKUP(VLOOKUP(DATEVALUE(TEXT(A2686,"m/d/yyyy")),FY24_Temp[],5,FALSE)&amp;TEXT(A2686,"-h"),TempDelta[],4,FALSE)</f>
        <v>0.66292857485158108</v>
      </c>
      <c r="R2686">
        <v>10</v>
      </c>
      <c r="S2686" s="112">
        <v>1500</v>
      </c>
      <c r="T2686" s="5">
        <f>VLOOKUP(TEXT(A2686,"yy-mm")&amp;"-"&amp;IF(AND(WEEKDAY(A2686)&gt;1,WEEKDAY(A2686)&lt;7),"Wkd",TEXT(A2686,"Ddd"))&amp;"-"&amp;TEXT(A2686,"hh"),LoadTable[],3,FALSE)*0.92</f>
        <v>303.31295999999998</v>
      </c>
      <c r="U2686" s="113">
        <f t="shared" si="2860"/>
        <v>30.331295999999998</v>
      </c>
      <c r="V2686">
        <f t="shared" ref="V2686:W2686" si="2924">V2662</f>
        <v>3</v>
      </c>
      <c r="W2686">
        <f t="shared" si="2924"/>
        <v>3</v>
      </c>
      <c r="X2686" s="9">
        <v>-84.683866716667694</v>
      </c>
      <c r="Y2686" s="39"/>
    </row>
    <row r="2687" spans="1:25" ht="15" thickBot="1">
      <c r="A2687" s="149">
        <f t="shared" si="2914"/>
        <v>45947.833333328803</v>
      </c>
      <c r="B2687" s="30">
        <f t="shared" si="2869"/>
        <v>5000</v>
      </c>
      <c r="C2687" s="8">
        <v>25000</v>
      </c>
      <c r="D2687" s="187">
        <v>0</v>
      </c>
      <c r="E2687" s="187">
        <v>700</v>
      </c>
      <c r="F2687" s="187">
        <v>15000</v>
      </c>
      <c r="G2687" s="30">
        <f t="shared" si="2870"/>
        <v>2470</v>
      </c>
      <c r="H2687" s="8">
        <f t="shared" si="2870"/>
        <v>25000</v>
      </c>
      <c r="I2687" s="30">
        <f t="shared" si="2871"/>
        <v>5000</v>
      </c>
      <c r="J2687" s="187">
        <v>40000</v>
      </c>
      <c r="K2687" s="30">
        <f t="shared" si="2872"/>
        <v>5000</v>
      </c>
      <c r="L2687" s="187">
        <v>40000</v>
      </c>
      <c r="M2687" s="110">
        <v>9.5</v>
      </c>
      <c r="N2687" s="9">
        <f>VLOOKUP(DATE(YEAR(A2687),MONTH(A2687),DAY(A2687)),FY24_Temp[],3,FALSE)</f>
        <v>17.25</v>
      </c>
      <c r="O2687" s="110">
        <f t="shared" si="2858"/>
        <v>11.5</v>
      </c>
      <c r="P2687" s="110">
        <f t="shared" si="2859"/>
        <v>19.5</v>
      </c>
      <c r="Q2687" s="79">
        <f>VLOOKUP(VLOOKUP(DATEVALUE(TEXT(A2687,"m/d/yyyy")),FY24_Temp[],5,FALSE)&amp;TEXT(A2687,"-h"),TempDelta[],4,FALSE)</f>
        <v>0.6834285663706916</v>
      </c>
      <c r="R2687">
        <v>10</v>
      </c>
      <c r="S2687" s="112">
        <v>1500</v>
      </c>
      <c r="T2687" s="5">
        <f>VLOOKUP(TEXT(A2687,"yy-mm")&amp;"-"&amp;IF(AND(WEEKDAY(A2687)&gt;1,WEEKDAY(A2687)&lt;7),"Wkd",TEXT(A2687,"Ddd"))&amp;"-"&amp;TEXT(A2687,"hh"),LoadTable[],3,FALSE)*0.92</f>
        <v>303.31295999999998</v>
      </c>
      <c r="U2687" s="113">
        <f t="shared" si="2860"/>
        <v>30.331295999999998</v>
      </c>
      <c r="V2687">
        <f t="shared" ref="V2687:W2687" si="2925">V2663</f>
        <v>2.8</v>
      </c>
      <c r="W2687">
        <f t="shared" si="2925"/>
        <v>3.1</v>
      </c>
      <c r="X2687" s="9">
        <v>-84.761661266667701</v>
      </c>
      <c r="Y2687" s="39"/>
    </row>
    <row r="2688" spans="1:25" ht="15" thickBot="1">
      <c r="A2688" s="149">
        <f t="shared" si="2914"/>
        <v>45947.874999995467</v>
      </c>
      <c r="B2688" s="30">
        <f t="shared" si="2869"/>
        <v>5000</v>
      </c>
      <c r="C2688" s="8">
        <v>25000</v>
      </c>
      <c r="D2688" s="187">
        <v>0</v>
      </c>
      <c r="E2688" s="187">
        <v>700</v>
      </c>
      <c r="F2688" s="187">
        <v>15000</v>
      </c>
      <c r="G2688" s="30">
        <f t="shared" si="2870"/>
        <v>2470</v>
      </c>
      <c r="H2688" s="8">
        <f t="shared" si="2870"/>
        <v>25000</v>
      </c>
      <c r="I2688" s="30">
        <f t="shared" si="2871"/>
        <v>5000</v>
      </c>
      <c r="J2688" s="187">
        <v>40000</v>
      </c>
      <c r="K2688" s="30">
        <f t="shared" si="2872"/>
        <v>5000</v>
      </c>
      <c r="L2688" s="187">
        <v>40000</v>
      </c>
      <c r="M2688" s="110">
        <v>9.5</v>
      </c>
      <c r="N2688" s="9">
        <f>VLOOKUP(DATE(YEAR(A2688),MONTH(A2688),DAY(A2688)),FY24_Temp[],3,FALSE)</f>
        <v>17.25</v>
      </c>
      <c r="O2688" s="110">
        <f t="shared" si="2858"/>
        <v>11.5</v>
      </c>
      <c r="P2688" s="110">
        <f t="shared" si="2859"/>
        <v>19.5</v>
      </c>
      <c r="Q2688" s="79">
        <f>VLOOKUP(VLOOKUP(DATEVALUE(TEXT(A2688,"m/d/yyyy")),FY24_Temp[],5,FALSE)&amp;TEXT(A2688,"-h"),TempDelta[],4,FALSE)</f>
        <v>0.67971429228782654</v>
      </c>
      <c r="R2688">
        <v>10</v>
      </c>
      <c r="S2688" s="112">
        <v>1500</v>
      </c>
      <c r="T2688" s="5">
        <f>VLOOKUP(TEXT(A2688,"yy-mm")&amp;"-"&amp;IF(AND(WEEKDAY(A2688)&gt;1,WEEKDAY(A2688)&lt;7),"Wkd",TEXT(A2688,"Ddd"))&amp;"-"&amp;TEXT(A2688,"hh"),LoadTable[],3,FALSE)*0.92</f>
        <v>229.93744000000001</v>
      </c>
      <c r="U2688" s="113">
        <f t="shared" si="2860"/>
        <v>22.993744</v>
      </c>
      <c r="V2688">
        <f t="shared" ref="V2688:W2688" si="2926">V2664</f>
        <v>3.5</v>
      </c>
      <c r="W2688">
        <f t="shared" si="2926"/>
        <v>3.1</v>
      </c>
      <c r="X2688" s="9">
        <v>-84.839455816667694</v>
      </c>
      <c r="Y2688" s="39"/>
    </row>
    <row r="2689" spans="1:25" ht="15" thickBot="1">
      <c r="A2689" s="149">
        <f t="shared" si="2914"/>
        <v>45947.916666662131</v>
      </c>
      <c r="B2689" s="30">
        <f t="shared" si="2869"/>
        <v>5000</v>
      </c>
      <c r="C2689" s="8">
        <v>25000</v>
      </c>
      <c r="D2689" s="187">
        <v>0</v>
      </c>
      <c r="E2689" s="187">
        <v>700</v>
      </c>
      <c r="F2689" s="187">
        <v>15000</v>
      </c>
      <c r="G2689" s="30">
        <f t="shared" si="2870"/>
        <v>2470</v>
      </c>
      <c r="H2689" s="8">
        <f t="shared" si="2870"/>
        <v>25000</v>
      </c>
      <c r="I2689" s="30">
        <f t="shared" si="2871"/>
        <v>5000</v>
      </c>
      <c r="J2689" s="187">
        <v>40000</v>
      </c>
      <c r="K2689" s="30">
        <f t="shared" si="2872"/>
        <v>5000</v>
      </c>
      <c r="L2689" s="187">
        <v>40000</v>
      </c>
      <c r="M2689" s="110">
        <v>9.5</v>
      </c>
      <c r="N2689" s="9">
        <f>VLOOKUP(DATE(YEAR(A2689),MONTH(A2689),DAY(A2689)),FY24_Temp[],3,FALSE)</f>
        <v>17.25</v>
      </c>
      <c r="O2689" s="110">
        <f t="shared" si="2858"/>
        <v>11.5</v>
      </c>
      <c r="P2689" s="110">
        <f t="shared" si="2859"/>
        <v>19.5</v>
      </c>
      <c r="Q2689" s="79">
        <f>VLOOKUP(VLOOKUP(DATEVALUE(TEXT(A2689,"m/d/yyyy")),FY24_Temp[],5,FALSE)&amp;TEXT(A2689,"-h"),TempDelta[],4,FALSE)</f>
        <v>0.9049999969346183</v>
      </c>
      <c r="R2689">
        <v>10</v>
      </c>
      <c r="S2689" s="112">
        <v>1500</v>
      </c>
      <c r="T2689" s="5">
        <f>VLOOKUP(TEXT(A2689,"yy-mm")&amp;"-"&amp;IF(AND(WEEKDAY(A2689)&gt;1,WEEKDAY(A2689)&lt;7),"Wkd",TEXT(A2689,"Ddd"))&amp;"-"&amp;TEXT(A2689,"hh"),LoadTable[],3,FALSE)*0.92</f>
        <v>176.52040000000002</v>
      </c>
      <c r="U2689" s="113">
        <f t="shared" si="2860"/>
        <v>17.652040000000003</v>
      </c>
      <c r="V2689">
        <f t="shared" ref="V2689:W2689" si="2927">V2665</f>
        <v>2.9</v>
      </c>
      <c r="W2689">
        <f t="shared" si="2927"/>
        <v>3.1</v>
      </c>
      <c r="X2689" s="9">
        <v>-84.917250366667702</v>
      </c>
      <c r="Y2689" s="39"/>
    </row>
    <row r="2690" spans="1:25" ht="15" thickBot="1">
      <c r="A2690" s="149">
        <f t="shared" si="2914"/>
        <v>45947.958333328796</v>
      </c>
      <c r="B2690" s="30">
        <f t="shared" si="2869"/>
        <v>5000</v>
      </c>
      <c r="C2690" s="8">
        <v>25000</v>
      </c>
      <c r="D2690" s="187">
        <v>0</v>
      </c>
      <c r="E2690" s="187">
        <v>700</v>
      </c>
      <c r="F2690" s="187">
        <v>15000</v>
      </c>
      <c r="G2690" s="30">
        <f t="shared" si="2870"/>
        <v>2470</v>
      </c>
      <c r="H2690" s="8">
        <f t="shared" si="2870"/>
        <v>25000</v>
      </c>
      <c r="I2690" s="30">
        <f t="shared" si="2871"/>
        <v>5000</v>
      </c>
      <c r="J2690" s="187">
        <v>40000</v>
      </c>
      <c r="K2690" s="30">
        <f t="shared" si="2872"/>
        <v>5000</v>
      </c>
      <c r="L2690" s="187">
        <v>40000</v>
      </c>
      <c r="M2690" s="110">
        <v>9.5</v>
      </c>
      <c r="N2690" s="9">
        <f>VLOOKUP(DATE(YEAR(A2690),MONTH(A2690),DAY(A2690)),FY24_Temp[],3,FALSE)</f>
        <v>17.25</v>
      </c>
      <c r="O2690" s="110">
        <f t="shared" si="2858"/>
        <v>11.5</v>
      </c>
      <c r="P2690" s="110">
        <f t="shared" si="2859"/>
        <v>19.5</v>
      </c>
      <c r="Q2690" s="79">
        <f>VLOOKUP(VLOOKUP(DATEVALUE(TEXT(A2690,"m/d/yyyy")),FY24_Temp[],5,FALSE)&amp;TEXT(A2690,"-h"),TempDelta[],4,FALSE)</f>
        <v>1.027285703590938</v>
      </c>
      <c r="R2690">
        <v>10</v>
      </c>
      <c r="S2690" s="112">
        <v>1500</v>
      </c>
      <c r="T2690" s="5">
        <f>VLOOKUP(TEXT(A2690,"yy-mm")&amp;"-"&amp;IF(AND(WEEKDAY(A2690)&gt;1,WEEKDAY(A2690)&lt;7),"Wkd",TEXT(A2690,"Ddd"))&amp;"-"&amp;TEXT(A2690,"hh"),LoadTable[],3,FALSE)*0.92</f>
        <v>176.52040000000002</v>
      </c>
      <c r="U2690" s="113">
        <f t="shared" si="2860"/>
        <v>17.652040000000003</v>
      </c>
      <c r="V2690">
        <f t="shared" ref="V2690:W2690" si="2928">V2666</f>
        <v>3.6</v>
      </c>
      <c r="W2690">
        <f t="shared" si="2928"/>
        <v>3.1</v>
      </c>
      <c r="X2690" s="9">
        <v>-84.995044916667695</v>
      </c>
      <c r="Y2690" s="39"/>
    </row>
    <row r="2691" spans="1:25" ht="15" thickBot="1">
      <c r="A2691" s="149">
        <f t="shared" si="2914"/>
        <v>45947.99999999546</v>
      </c>
      <c r="B2691" s="30">
        <f t="shared" si="2869"/>
        <v>5000</v>
      </c>
      <c r="C2691" s="109">
        <v>25000</v>
      </c>
      <c r="D2691" s="187">
        <v>0</v>
      </c>
      <c r="E2691" s="187">
        <v>700</v>
      </c>
      <c r="F2691" s="187">
        <v>15000</v>
      </c>
      <c r="G2691" s="30">
        <f t="shared" si="2870"/>
        <v>2470</v>
      </c>
      <c r="H2691" s="8">
        <f t="shared" si="2870"/>
        <v>25000</v>
      </c>
      <c r="I2691" s="30">
        <f t="shared" si="2871"/>
        <v>5000</v>
      </c>
      <c r="J2691" s="187">
        <v>40000</v>
      </c>
      <c r="K2691" s="30">
        <f t="shared" si="2872"/>
        <v>5000</v>
      </c>
      <c r="L2691" s="187">
        <v>40000</v>
      </c>
      <c r="M2691" s="110">
        <v>9.5</v>
      </c>
      <c r="N2691" s="9">
        <f>VLOOKUP(DATE(YEAR(A2691),MONTH(A2691),DAY(A2691)),FY24_Temp[],3,FALSE)</f>
        <v>17.399999999999999</v>
      </c>
      <c r="O2691" s="110">
        <f t="shared" si="2858"/>
        <v>11.5</v>
      </c>
      <c r="P2691" s="110">
        <f t="shared" si="2859"/>
        <v>19.5</v>
      </c>
      <c r="Q2691" s="79">
        <f>VLOOKUP(VLOOKUP(DATEVALUE(TEXT(A2691,"m/d/yyyy")),FY24_Temp[],5,FALSE)&amp;TEXT(A2691,"-h"),TempDelta[],4,FALSE)</f>
        <v>1.0217142956597465</v>
      </c>
      <c r="R2691">
        <v>10</v>
      </c>
      <c r="S2691" s="112">
        <v>1500</v>
      </c>
      <c r="T2691" s="5">
        <f>VLOOKUP(TEXT(A2691,"yy-mm")&amp;"-"&amp;IF(AND(WEEKDAY(A2691)&gt;1,WEEKDAY(A2691)&lt;7),"Wkd",TEXT(A2691,"Ddd"))&amp;"-"&amp;TEXT(A2691,"hh"),LoadTable[],3,FALSE)*0.92</f>
        <v>176.52040000000002</v>
      </c>
      <c r="U2691" s="113">
        <f t="shared" si="2860"/>
        <v>17.652040000000003</v>
      </c>
      <c r="V2691">
        <f t="shared" ref="V2691:W2691" si="2929">V2667</f>
        <v>3</v>
      </c>
      <c r="W2691">
        <f t="shared" si="2929"/>
        <v>3.2</v>
      </c>
      <c r="X2691" s="9">
        <v>-85.072839466667702</v>
      </c>
      <c r="Y2691" s="39"/>
    </row>
    <row r="2692" spans="1:25" ht="15" thickBot="1">
      <c r="A2692" s="149">
        <f t="shared" si="2914"/>
        <v>45948.041666662124</v>
      </c>
      <c r="B2692" s="30">
        <f t="shared" si="2869"/>
        <v>5000</v>
      </c>
      <c r="C2692" s="8">
        <v>25000</v>
      </c>
      <c r="D2692" s="187">
        <v>0</v>
      </c>
      <c r="E2692" s="187">
        <v>700</v>
      </c>
      <c r="F2692" s="187">
        <v>15000</v>
      </c>
      <c r="G2692" s="30">
        <f t="shared" si="2870"/>
        <v>2470</v>
      </c>
      <c r="H2692" s="8">
        <f t="shared" si="2870"/>
        <v>25000</v>
      </c>
      <c r="I2692" s="30">
        <f t="shared" si="2871"/>
        <v>5000</v>
      </c>
      <c r="J2692" s="187">
        <v>40000</v>
      </c>
      <c r="K2692" s="30">
        <f t="shared" si="2872"/>
        <v>5000</v>
      </c>
      <c r="L2692" s="187">
        <v>40000</v>
      </c>
      <c r="M2692" s="110">
        <v>9.5</v>
      </c>
      <c r="N2692" s="9">
        <f>VLOOKUP(DATE(YEAR(A2692),MONTH(A2692),DAY(A2692)),FY24_Temp[],3,FALSE)</f>
        <v>17.399999999999999</v>
      </c>
      <c r="O2692" s="110">
        <f t="shared" ref="O2692:O2755" si="2930">15.5-4</f>
        <v>11.5</v>
      </c>
      <c r="P2692" s="110">
        <f t="shared" ref="P2692:P2755" si="2931">15.5+4</f>
        <v>19.5</v>
      </c>
      <c r="Q2692" s="79">
        <f>VLOOKUP(VLOOKUP(DATEVALUE(TEXT(A2692,"m/d/yyyy")),FY24_Temp[],5,FALSE)&amp;TEXT(A2692,"-h"),TempDelta[],4,FALSE)</f>
        <v>0.97999998501368935</v>
      </c>
      <c r="R2692">
        <v>10</v>
      </c>
      <c r="S2692" s="112">
        <v>1500</v>
      </c>
      <c r="T2692" s="5">
        <f>VLOOKUP(TEXT(A2692,"yy-mm")&amp;"-"&amp;IF(AND(WEEKDAY(A2692)&gt;1,WEEKDAY(A2692)&lt;7),"Wkd",TEXT(A2692,"Ddd"))&amp;"-"&amp;TEXT(A2692,"hh"),LoadTable[],3,FALSE)*0.92</f>
        <v>176.52040000000002</v>
      </c>
      <c r="U2692" s="113">
        <f t="shared" ref="U2692:U2755" si="2932">T2692/10</f>
        <v>17.652040000000003</v>
      </c>
      <c r="V2692">
        <f t="shared" ref="V2692:W2692" si="2933">V2668</f>
        <v>2.6</v>
      </c>
      <c r="W2692">
        <f t="shared" si="2933"/>
        <v>3.2</v>
      </c>
      <c r="X2692" s="9">
        <v>-85.150634016667794</v>
      </c>
      <c r="Y2692" s="39"/>
    </row>
    <row r="2693" spans="1:25" ht="15" thickBot="1">
      <c r="A2693" s="149">
        <f t="shared" si="2914"/>
        <v>45948.083333328788</v>
      </c>
      <c r="B2693" s="30">
        <f t="shared" si="2869"/>
        <v>5000</v>
      </c>
      <c r="C2693" s="8">
        <v>25000</v>
      </c>
      <c r="D2693" s="187">
        <v>0</v>
      </c>
      <c r="E2693" s="187">
        <v>700</v>
      </c>
      <c r="F2693" s="187">
        <v>15000</v>
      </c>
      <c r="G2693" s="30">
        <f t="shared" si="2870"/>
        <v>2470</v>
      </c>
      <c r="H2693" s="8">
        <f t="shared" si="2870"/>
        <v>25000</v>
      </c>
      <c r="I2693" s="30">
        <f t="shared" si="2871"/>
        <v>5000</v>
      </c>
      <c r="J2693" s="187">
        <v>40000</v>
      </c>
      <c r="K2693" s="30">
        <f t="shared" si="2872"/>
        <v>5000</v>
      </c>
      <c r="L2693" s="187">
        <v>40000</v>
      </c>
      <c r="M2693" s="110">
        <v>9.5</v>
      </c>
      <c r="N2693" s="9">
        <f>VLOOKUP(DATE(YEAR(A2693),MONTH(A2693),DAY(A2693)),FY24_Temp[],3,FALSE)</f>
        <v>17.399999999999999</v>
      </c>
      <c r="O2693" s="110">
        <f t="shared" si="2930"/>
        <v>11.5</v>
      </c>
      <c r="P2693" s="110">
        <f t="shared" si="2931"/>
        <v>19.5</v>
      </c>
      <c r="Q2693" s="79">
        <f>VLOOKUP(VLOOKUP(DATEVALUE(TEXT(A2693,"m/d/yyyy")),FY24_Temp[],5,FALSE)&amp;TEXT(A2693,"-h"),TempDelta[],4,FALSE)</f>
        <v>0.89157142809459144</v>
      </c>
      <c r="R2693">
        <v>10</v>
      </c>
      <c r="S2693" s="112">
        <v>1500</v>
      </c>
      <c r="T2693" s="5">
        <f>VLOOKUP(TEXT(A2693,"yy-mm")&amp;"-"&amp;IF(AND(WEEKDAY(A2693)&gt;1,WEEKDAY(A2693)&lt;7),"Wkd",TEXT(A2693,"Ddd"))&amp;"-"&amp;TEXT(A2693,"hh"),LoadTable[],3,FALSE)*0.92</f>
        <v>176.52040000000002</v>
      </c>
      <c r="U2693" s="113">
        <f t="shared" si="2932"/>
        <v>17.652040000000003</v>
      </c>
      <c r="V2693">
        <f t="shared" ref="V2693:W2693" si="2934">V2669</f>
        <v>2.8</v>
      </c>
      <c r="W2693">
        <f t="shared" si="2934"/>
        <v>3.2</v>
      </c>
      <c r="X2693" s="9">
        <v>-85.228428566667802</v>
      </c>
      <c r="Y2693" s="39"/>
    </row>
    <row r="2694" spans="1:25" ht="15" thickBot="1">
      <c r="A2694" s="149">
        <f t="shared" si="2914"/>
        <v>45948.124999995453</v>
      </c>
      <c r="B2694" s="30">
        <f t="shared" si="2869"/>
        <v>5000</v>
      </c>
      <c r="C2694" s="8">
        <v>25000</v>
      </c>
      <c r="D2694" s="187">
        <v>0</v>
      </c>
      <c r="E2694" s="187">
        <v>700</v>
      </c>
      <c r="F2694" s="187">
        <v>15000</v>
      </c>
      <c r="G2694" s="30">
        <f t="shared" si="2870"/>
        <v>2470</v>
      </c>
      <c r="H2694" s="8">
        <f t="shared" si="2870"/>
        <v>25000</v>
      </c>
      <c r="I2694" s="30">
        <f t="shared" si="2871"/>
        <v>5000</v>
      </c>
      <c r="J2694" s="187">
        <v>40000</v>
      </c>
      <c r="K2694" s="30">
        <f t="shared" si="2872"/>
        <v>5000</v>
      </c>
      <c r="L2694" s="187">
        <v>40000</v>
      </c>
      <c r="M2694" s="110">
        <v>9.5</v>
      </c>
      <c r="N2694" s="9">
        <f>VLOOKUP(DATE(YEAR(A2694),MONTH(A2694),DAY(A2694)),FY24_Temp[],3,FALSE)</f>
        <v>17.399999999999999</v>
      </c>
      <c r="O2694" s="110">
        <f t="shared" si="2930"/>
        <v>11.5</v>
      </c>
      <c r="P2694" s="110">
        <f t="shared" si="2931"/>
        <v>19.5</v>
      </c>
      <c r="Q2694" s="79">
        <f>VLOOKUP(VLOOKUP(DATEVALUE(TEXT(A2694,"m/d/yyyy")),FY24_Temp[],5,FALSE)&amp;TEXT(A2694,"-h"),TempDelta[],4,FALSE)</f>
        <v>0.78457142625536236</v>
      </c>
      <c r="R2694">
        <v>10</v>
      </c>
      <c r="S2694" s="112">
        <v>1500</v>
      </c>
      <c r="T2694" s="5">
        <f>VLOOKUP(TEXT(A2694,"yy-mm")&amp;"-"&amp;IF(AND(WEEKDAY(A2694)&gt;1,WEEKDAY(A2694)&lt;7),"Wkd",TEXT(A2694,"Ddd"))&amp;"-"&amp;TEXT(A2694,"hh"),LoadTable[],3,FALSE)*0.92</f>
        <v>176.52040000000002</v>
      </c>
      <c r="U2694" s="113">
        <f t="shared" si="2932"/>
        <v>17.652040000000003</v>
      </c>
      <c r="V2694">
        <f t="shared" ref="V2694:W2694" si="2935">V2670</f>
        <v>2.7</v>
      </c>
      <c r="W2694">
        <f t="shared" si="2935"/>
        <v>3.2</v>
      </c>
      <c r="X2694" s="9">
        <v>-85.306223116667795</v>
      </c>
      <c r="Y2694" s="39"/>
    </row>
    <row r="2695" spans="1:25" ht="15" thickBot="1">
      <c r="A2695" s="149">
        <f t="shared" si="2914"/>
        <v>45948.166666662117</v>
      </c>
      <c r="B2695" s="30">
        <f t="shared" si="2869"/>
        <v>5000</v>
      </c>
      <c r="C2695" s="8">
        <v>25000</v>
      </c>
      <c r="D2695" s="187">
        <v>0</v>
      </c>
      <c r="E2695" s="187">
        <v>700</v>
      </c>
      <c r="F2695" s="187">
        <v>15000</v>
      </c>
      <c r="G2695" s="30">
        <f t="shared" si="2870"/>
        <v>2470</v>
      </c>
      <c r="H2695" s="8">
        <f t="shared" si="2870"/>
        <v>25000</v>
      </c>
      <c r="I2695" s="30">
        <f t="shared" si="2871"/>
        <v>5000</v>
      </c>
      <c r="J2695" s="187">
        <v>40000</v>
      </c>
      <c r="K2695" s="30">
        <f t="shared" si="2872"/>
        <v>5000</v>
      </c>
      <c r="L2695" s="187">
        <v>40000</v>
      </c>
      <c r="M2695" s="110">
        <v>9.5</v>
      </c>
      <c r="N2695" s="9">
        <f>VLOOKUP(DATE(YEAR(A2695),MONTH(A2695),DAY(A2695)),FY24_Temp[],3,FALSE)</f>
        <v>17.399999999999999</v>
      </c>
      <c r="O2695" s="110">
        <f t="shared" si="2930"/>
        <v>11.5</v>
      </c>
      <c r="P2695" s="110">
        <f t="shared" si="2931"/>
        <v>19.5</v>
      </c>
      <c r="Q2695" s="79">
        <f>VLOOKUP(VLOOKUP(DATEVALUE(TEXT(A2695,"m/d/yyyy")),FY24_Temp[],5,FALSE)&amp;TEXT(A2695,"-h"),TempDelta[],4,FALSE)</f>
        <v>0.69542856727327618</v>
      </c>
      <c r="R2695">
        <v>10</v>
      </c>
      <c r="S2695" s="112">
        <v>1500</v>
      </c>
      <c r="T2695" s="5">
        <f>VLOOKUP(TEXT(A2695,"yy-mm")&amp;"-"&amp;IF(AND(WEEKDAY(A2695)&gt;1,WEEKDAY(A2695)&lt;7),"Wkd",TEXT(A2695,"Ddd"))&amp;"-"&amp;TEXT(A2695,"hh"),LoadTable[],3,FALSE)*0.92</f>
        <v>176.52040000000002</v>
      </c>
      <c r="U2695" s="113">
        <f t="shared" si="2932"/>
        <v>17.652040000000003</v>
      </c>
      <c r="V2695">
        <f t="shared" ref="V2695:W2695" si="2936">V2671</f>
        <v>3</v>
      </c>
      <c r="W2695">
        <f t="shared" si="2936"/>
        <v>3.1</v>
      </c>
      <c r="X2695" s="9">
        <v>-85.384017666667802</v>
      </c>
      <c r="Y2695" s="39"/>
    </row>
    <row r="2696" spans="1:25" ht="15" thickBot="1">
      <c r="A2696" s="149">
        <f t="shared" si="2914"/>
        <v>45948.208333328781</v>
      </c>
      <c r="B2696" s="30">
        <f t="shared" si="2869"/>
        <v>5000</v>
      </c>
      <c r="C2696" s="8">
        <v>25000</v>
      </c>
      <c r="D2696" s="187">
        <v>0</v>
      </c>
      <c r="E2696" s="187">
        <v>700</v>
      </c>
      <c r="F2696" s="187">
        <v>15000</v>
      </c>
      <c r="G2696" s="30">
        <f t="shared" si="2870"/>
        <v>2470</v>
      </c>
      <c r="H2696" s="8">
        <f t="shared" si="2870"/>
        <v>25000</v>
      </c>
      <c r="I2696" s="30">
        <f t="shared" si="2871"/>
        <v>5000</v>
      </c>
      <c r="J2696" s="187">
        <v>40000</v>
      </c>
      <c r="K2696" s="30">
        <f t="shared" si="2872"/>
        <v>5000</v>
      </c>
      <c r="L2696" s="187">
        <v>40000</v>
      </c>
      <c r="M2696" s="110">
        <v>9.5</v>
      </c>
      <c r="N2696" s="9">
        <f>VLOOKUP(DATE(YEAR(A2696),MONTH(A2696),DAY(A2696)),FY24_Temp[],3,FALSE)</f>
        <v>17.399999999999999</v>
      </c>
      <c r="O2696" s="110">
        <f t="shared" si="2930"/>
        <v>11.5</v>
      </c>
      <c r="P2696" s="110">
        <f t="shared" si="2931"/>
        <v>19.5</v>
      </c>
      <c r="Q2696" s="79">
        <f>VLOOKUP(VLOOKUP(DATEVALUE(TEXT(A2696,"m/d/yyyy")),FY24_Temp[],5,FALSE)&amp;TEXT(A2696,"-h"),TempDelta[],4,FALSE)</f>
        <v>0.71114285503114971</v>
      </c>
      <c r="R2696">
        <v>10</v>
      </c>
      <c r="S2696" s="112">
        <v>1500</v>
      </c>
      <c r="T2696" s="5">
        <f>VLOOKUP(TEXT(A2696,"yy-mm")&amp;"-"&amp;IF(AND(WEEKDAY(A2696)&gt;1,WEEKDAY(A2696)&lt;7),"Wkd",TEXT(A2696,"Ddd"))&amp;"-"&amp;TEXT(A2696,"hh"),LoadTable[],3,FALSE)*0.92</f>
        <v>176.52040000000002</v>
      </c>
      <c r="U2696" s="113">
        <f t="shared" si="2932"/>
        <v>17.652040000000003</v>
      </c>
      <c r="V2696">
        <f t="shared" ref="V2696:W2696" si="2937">V2672</f>
        <v>2.9</v>
      </c>
      <c r="W2696">
        <f t="shared" si="2937"/>
        <v>3.1</v>
      </c>
      <c r="X2696" s="9">
        <v>-85.461812216667795</v>
      </c>
      <c r="Y2696" s="39"/>
    </row>
    <row r="2697" spans="1:25" ht="15" thickBot="1">
      <c r="A2697" s="149">
        <f t="shared" si="2914"/>
        <v>45948.249999995445</v>
      </c>
      <c r="B2697" s="30">
        <f t="shared" si="2869"/>
        <v>8000</v>
      </c>
      <c r="C2697" s="8">
        <v>25000</v>
      </c>
      <c r="D2697" s="187">
        <v>0</v>
      </c>
      <c r="E2697" s="187">
        <v>700</v>
      </c>
      <c r="F2697" s="187">
        <v>15000</v>
      </c>
      <c r="G2697" s="30">
        <f t="shared" si="2870"/>
        <v>2470</v>
      </c>
      <c r="H2697" s="8">
        <f t="shared" si="2870"/>
        <v>25000</v>
      </c>
      <c r="I2697" s="30">
        <f t="shared" si="2871"/>
        <v>8000</v>
      </c>
      <c r="J2697" s="187">
        <v>40000</v>
      </c>
      <c r="K2697" s="30">
        <f t="shared" si="2872"/>
        <v>8000</v>
      </c>
      <c r="L2697" s="187">
        <v>40000</v>
      </c>
      <c r="M2697" s="110">
        <v>9.5</v>
      </c>
      <c r="N2697" s="9">
        <f>VLOOKUP(DATE(YEAR(A2697),MONTH(A2697),DAY(A2697)),FY24_Temp[],3,FALSE)</f>
        <v>17.399999999999999</v>
      </c>
      <c r="O2697" s="110">
        <f t="shared" si="2930"/>
        <v>11.5</v>
      </c>
      <c r="P2697" s="110">
        <f t="shared" si="2931"/>
        <v>19.5</v>
      </c>
      <c r="Q2697" s="79">
        <f>VLOOKUP(VLOOKUP(DATEVALUE(TEXT(A2697,"m/d/yyyy")),FY24_Temp[],5,FALSE)&amp;TEXT(A2697,"-h"),TempDelta[],4,FALSE)</f>
        <v>0.56542856778417316</v>
      </c>
      <c r="R2697">
        <v>10</v>
      </c>
      <c r="S2697" s="112">
        <v>1500</v>
      </c>
      <c r="T2697" s="5">
        <f>VLOOKUP(TEXT(A2697,"yy-mm")&amp;"-"&amp;IF(AND(WEEKDAY(A2697)&gt;1,WEEKDAY(A2697)&lt;7),"Wkd",TEXT(A2697,"Ddd"))&amp;"-"&amp;TEXT(A2697,"hh"),LoadTable[],3,FALSE)*0.92</f>
        <v>234.80148</v>
      </c>
      <c r="U2697" s="113">
        <f t="shared" si="2932"/>
        <v>23.480148</v>
      </c>
      <c r="V2697">
        <f t="shared" ref="V2697:W2697" si="2938">V2673</f>
        <v>2.5</v>
      </c>
      <c r="W2697">
        <f t="shared" si="2938"/>
        <v>3.1</v>
      </c>
      <c r="X2697" s="9">
        <v>-85.539606766667802</v>
      </c>
      <c r="Y2697" s="39"/>
    </row>
    <row r="2698" spans="1:25" ht="15" thickBot="1">
      <c r="A2698" s="149">
        <f t="shared" si="2914"/>
        <v>45948.291666662109</v>
      </c>
      <c r="B2698" s="30">
        <f t="shared" si="2869"/>
        <v>8000</v>
      </c>
      <c r="C2698" s="8">
        <v>25000</v>
      </c>
      <c r="D2698" s="187">
        <v>0</v>
      </c>
      <c r="E2698" s="187">
        <v>700</v>
      </c>
      <c r="F2698" s="187">
        <v>15000</v>
      </c>
      <c r="G2698" s="30">
        <f t="shared" si="2870"/>
        <v>2470</v>
      </c>
      <c r="H2698" s="8">
        <f t="shared" si="2870"/>
        <v>25000</v>
      </c>
      <c r="I2698" s="30">
        <f t="shared" si="2871"/>
        <v>8000</v>
      </c>
      <c r="J2698" s="187">
        <v>40000</v>
      </c>
      <c r="K2698" s="30">
        <f t="shared" si="2872"/>
        <v>8000</v>
      </c>
      <c r="L2698" s="187">
        <v>40000</v>
      </c>
      <c r="M2698" s="110">
        <v>9.5</v>
      </c>
      <c r="N2698" s="9">
        <f>VLOOKUP(DATE(YEAR(A2698),MONTH(A2698),DAY(A2698)),FY24_Temp[],3,FALSE)</f>
        <v>17.399999999999999</v>
      </c>
      <c r="O2698" s="110">
        <f t="shared" si="2930"/>
        <v>11.5</v>
      </c>
      <c r="P2698" s="110">
        <f t="shared" si="2931"/>
        <v>19.5</v>
      </c>
      <c r="Q2698" s="79">
        <f>VLOOKUP(VLOOKUP(DATEVALUE(TEXT(A2698,"m/d/yyyy")),FY24_Temp[],5,FALSE)&amp;TEXT(A2698,"-h"),TempDelta[],4,FALSE)</f>
        <v>0.38785713911056519</v>
      </c>
      <c r="R2698">
        <v>10</v>
      </c>
      <c r="S2698" s="112">
        <v>1500</v>
      </c>
      <c r="T2698" s="5">
        <f>VLOOKUP(TEXT(A2698,"yy-mm")&amp;"-"&amp;IF(AND(WEEKDAY(A2698)&gt;1,WEEKDAY(A2698)&lt;7),"Wkd",TEXT(A2698,"Ddd"))&amp;"-"&amp;TEXT(A2698,"hh"),LoadTable[],3,FALSE)*0.92</f>
        <v>234.80148</v>
      </c>
      <c r="U2698" s="113">
        <f t="shared" si="2932"/>
        <v>23.480148</v>
      </c>
      <c r="V2698">
        <f t="shared" ref="V2698:W2698" si="2939">V2674</f>
        <v>2.5</v>
      </c>
      <c r="W2698">
        <f t="shared" si="2939"/>
        <v>3.1</v>
      </c>
      <c r="X2698" s="9">
        <v>-85.617401316667795</v>
      </c>
      <c r="Y2698" s="39"/>
    </row>
    <row r="2699" spans="1:25" ht="15" thickBot="1">
      <c r="A2699" s="149">
        <f t="shared" si="2914"/>
        <v>45948.333333328774</v>
      </c>
      <c r="B2699" s="30">
        <f t="shared" si="2869"/>
        <v>8000</v>
      </c>
      <c r="C2699" s="8">
        <v>25000</v>
      </c>
      <c r="D2699" s="187">
        <v>0</v>
      </c>
      <c r="E2699" s="187">
        <v>700</v>
      </c>
      <c r="F2699" s="187">
        <v>15000</v>
      </c>
      <c r="G2699" s="30">
        <f t="shared" si="2870"/>
        <v>2470</v>
      </c>
      <c r="H2699" s="8">
        <f t="shared" si="2870"/>
        <v>25000</v>
      </c>
      <c r="I2699" s="30">
        <f t="shared" si="2871"/>
        <v>8000</v>
      </c>
      <c r="J2699" s="187">
        <v>40000</v>
      </c>
      <c r="K2699" s="30">
        <f t="shared" si="2872"/>
        <v>8000</v>
      </c>
      <c r="L2699" s="187">
        <v>40000</v>
      </c>
      <c r="M2699" s="110">
        <v>9.5</v>
      </c>
      <c r="N2699" s="9">
        <f>VLOOKUP(DATE(YEAR(A2699),MONTH(A2699),DAY(A2699)),FY24_Temp[],3,FALSE)</f>
        <v>17.399999999999999</v>
      </c>
      <c r="O2699" s="110">
        <f t="shared" si="2930"/>
        <v>11.5</v>
      </c>
      <c r="P2699" s="110">
        <f t="shared" si="2931"/>
        <v>19.5</v>
      </c>
      <c r="Q2699" s="79">
        <f>VLOOKUP(VLOOKUP(DATEVALUE(TEXT(A2699,"m/d/yyyy")),FY24_Temp[],5,FALSE)&amp;TEXT(A2699,"-h"),TempDelta[],4,FALSE)</f>
        <v>0.28528571341718945</v>
      </c>
      <c r="R2699">
        <v>10</v>
      </c>
      <c r="S2699" s="112">
        <v>1500</v>
      </c>
      <c r="T2699" s="5">
        <f>VLOOKUP(TEXT(A2699,"yy-mm")&amp;"-"&amp;IF(AND(WEEKDAY(A2699)&gt;1,WEEKDAY(A2699)&lt;7),"Wkd",TEXT(A2699,"Ddd"))&amp;"-"&amp;TEXT(A2699,"hh"),LoadTable[],3,FALSE)*0.92</f>
        <v>234.80148</v>
      </c>
      <c r="U2699" s="113">
        <f t="shared" si="2932"/>
        <v>23.480148</v>
      </c>
      <c r="V2699">
        <f t="shared" ref="V2699:W2699" si="2940">V2675</f>
        <v>3.2</v>
      </c>
      <c r="W2699">
        <f t="shared" si="2940"/>
        <v>3</v>
      </c>
      <c r="X2699" s="9">
        <v>-85.695195866667802</v>
      </c>
      <c r="Y2699" s="39"/>
    </row>
    <row r="2700" spans="1:25" ht="15" thickBot="1">
      <c r="A2700" s="149">
        <f t="shared" si="2914"/>
        <v>45948.374999995438</v>
      </c>
      <c r="B2700" s="30">
        <f t="shared" ref="B2700:B2763" si="2941">B2676</f>
        <v>8000</v>
      </c>
      <c r="C2700" s="8">
        <v>25000</v>
      </c>
      <c r="D2700" s="187">
        <v>0</v>
      </c>
      <c r="E2700" s="187">
        <v>700</v>
      </c>
      <c r="F2700" s="187">
        <v>15000</v>
      </c>
      <c r="G2700" s="30">
        <f t="shared" ref="G2700:H2763" si="2942">G2676</f>
        <v>2470</v>
      </c>
      <c r="H2700" s="8">
        <f t="shared" si="2942"/>
        <v>25000</v>
      </c>
      <c r="I2700" s="30">
        <f t="shared" ref="I2700:I2763" si="2943">I2676</f>
        <v>8000</v>
      </c>
      <c r="J2700" s="187">
        <v>40000</v>
      </c>
      <c r="K2700" s="30">
        <f t="shared" ref="K2700:K2763" si="2944">K2676</f>
        <v>8000</v>
      </c>
      <c r="L2700" s="187">
        <v>40000</v>
      </c>
      <c r="M2700" s="110">
        <v>9.5</v>
      </c>
      <c r="N2700" s="9">
        <f>VLOOKUP(DATE(YEAR(A2700),MONTH(A2700),DAY(A2700)),FY24_Temp[],3,FALSE)</f>
        <v>17.399999999999999</v>
      </c>
      <c r="O2700" s="110">
        <f t="shared" si="2930"/>
        <v>11.5</v>
      </c>
      <c r="P2700" s="110">
        <f t="shared" si="2931"/>
        <v>19.5</v>
      </c>
      <c r="Q2700" s="79">
        <f>VLOOKUP(VLOOKUP(DATEVALUE(TEXT(A2700,"m/d/yyyy")),FY24_Temp[],5,FALSE)&amp;TEXT(A2700,"-h"),TempDelta[],4,FALSE)</f>
        <v>0.20714286076171057</v>
      </c>
      <c r="R2700">
        <v>10</v>
      </c>
      <c r="S2700" s="112">
        <v>1500</v>
      </c>
      <c r="T2700" s="5">
        <f>VLOOKUP(TEXT(A2700,"yy-mm")&amp;"-"&amp;IF(AND(WEEKDAY(A2700)&gt;1,WEEKDAY(A2700)&lt;7),"Wkd",TEXT(A2700,"Ddd"))&amp;"-"&amp;TEXT(A2700,"hh"),LoadTable[],3,FALSE)*0.92</f>
        <v>234.80148</v>
      </c>
      <c r="U2700" s="113">
        <f t="shared" si="2932"/>
        <v>23.480148</v>
      </c>
      <c r="V2700">
        <f t="shared" ref="V2700:W2700" si="2945">V2676</f>
        <v>2.9</v>
      </c>
      <c r="W2700">
        <f t="shared" si="2945"/>
        <v>3</v>
      </c>
      <c r="X2700" s="9">
        <v>-85.772990416667795</v>
      </c>
      <c r="Y2700" s="39"/>
    </row>
    <row r="2701" spans="1:25" ht="15" thickBot="1">
      <c r="A2701" s="149">
        <f t="shared" si="2914"/>
        <v>45948.416666662102</v>
      </c>
      <c r="B2701" s="30">
        <f t="shared" si="2941"/>
        <v>8000</v>
      </c>
      <c r="C2701" s="8">
        <v>25000</v>
      </c>
      <c r="D2701" s="187">
        <v>0</v>
      </c>
      <c r="E2701" s="187">
        <v>700</v>
      </c>
      <c r="F2701" s="187">
        <v>15000</v>
      </c>
      <c r="G2701" s="30">
        <f t="shared" si="2942"/>
        <v>2470</v>
      </c>
      <c r="H2701" s="8">
        <f t="shared" si="2942"/>
        <v>25000</v>
      </c>
      <c r="I2701" s="30">
        <f t="shared" si="2943"/>
        <v>8000</v>
      </c>
      <c r="J2701" s="187">
        <v>40000</v>
      </c>
      <c r="K2701" s="30">
        <f t="shared" si="2944"/>
        <v>8000</v>
      </c>
      <c r="L2701" s="187">
        <v>40000</v>
      </c>
      <c r="M2701" s="110">
        <v>9.5</v>
      </c>
      <c r="N2701" s="9">
        <f>VLOOKUP(DATE(YEAR(A2701),MONTH(A2701),DAY(A2701)),FY24_Temp[],3,FALSE)</f>
        <v>17.399999999999999</v>
      </c>
      <c r="O2701" s="110">
        <f t="shared" si="2930"/>
        <v>11.5</v>
      </c>
      <c r="P2701" s="110">
        <f t="shared" si="2931"/>
        <v>19.5</v>
      </c>
      <c r="Q2701" s="79">
        <f>VLOOKUP(VLOOKUP(DATEVALUE(TEXT(A2701,"m/d/yyyy")),FY24_Temp[],5,FALSE)&amp;TEXT(A2701,"-h"),TempDelta[],4,FALSE)</f>
        <v>0.1155714291547026</v>
      </c>
      <c r="R2701">
        <v>10</v>
      </c>
      <c r="S2701" s="112">
        <v>1500</v>
      </c>
      <c r="T2701" s="5">
        <f>VLOOKUP(TEXT(A2701,"yy-mm")&amp;"-"&amp;IF(AND(WEEKDAY(A2701)&gt;1,WEEKDAY(A2701)&lt;7),"Wkd",TEXT(A2701,"Ddd"))&amp;"-"&amp;TEXT(A2701,"hh"),LoadTable[],3,FALSE)*0.92</f>
        <v>234.80148</v>
      </c>
      <c r="U2701" s="113">
        <f t="shared" si="2932"/>
        <v>23.480148</v>
      </c>
      <c r="V2701">
        <f t="shared" ref="V2701:W2701" si="2946">V2677</f>
        <v>2.9</v>
      </c>
      <c r="W2701">
        <f t="shared" si="2946"/>
        <v>3</v>
      </c>
      <c r="X2701" s="9">
        <v>-85.850784966667803</v>
      </c>
      <c r="Y2701" s="39"/>
    </row>
    <row r="2702" spans="1:25" ht="15" thickBot="1">
      <c r="A2702" s="149">
        <f t="shared" si="2914"/>
        <v>45948.458333328766</v>
      </c>
      <c r="B2702" s="30">
        <f t="shared" si="2941"/>
        <v>8000</v>
      </c>
      <c r="C2702" s="8">
        <v>25000</v>
      </c>
      <c r="D2702" s="187">
        <v>0</v>
      </c>
      <c r="E2702" s="187">
        <v>700</v>
      </c>
      <c r="F2702" s="187">
        <v>15000</v>
      </c>
      <c r="G2702" s="30">
        <f t="shared" si="2942"/>
        <v>2470</v>
      </c>
      <c r="H2702" s="8">
        <f t="shared" si="2942"/>
        <v>25000</v>
      </c>
      <c r="I2702" s="30">
        <f t="shared" si="2943"/>
        <v>8000</v>
      </c>
      <c r="J2702" s="187">
        <v>40000</v>
      </c>
      <c r="K2702" s="30">
        <f t="shared" si="2944"/>
        <v>8000</v>
      </c>
      <c r="L2702" s="187">
        <v>40000</v>
      </c>
      <c r="M2702" s="110">
        <v>9.5</v>
      </c>
      <c r="N2702" s="9">
        <f>VLOOKUP(DATE(YEAR(A2702),MONTH(A2702),DAY(A2702)),FY24_Temp[],3,FALSE)</f>
        <v>17.399999999999999</v>
      </c>
      <c r="O2702" s="110">
        <f t="shared" si="2930"/>
        <v>11.5</v>
      </c>
      <c r="P2702" s="110">
        <f t="shared" si="2931"/>
        <v>19.5</v>
      </c>
      <c r="Q2702" s="79">
        <f>VLOOKUP(VLOOKUP(DATEVALUE(TEXT(A2702,"m/d/yyyy")),FY24_Temp[],5,FALSE)&amp;TEXT(A2702,"-h"),TempDelta[],4,FALSE)</f>
        <v>3.9428572037390301E-2</v>
      </c>
      <c r="R2702">
        <v>10</v>
      </c>
      <c r="S2702" s="112">
        <v>1500</v>
      </c>
      <c r="T2702" s="5">
        <f>VLOOKUP(TEXT(A2702,"yy-mm")&amp;"-"&amp;IF(AND(WEEKDAY(A2702)&gt;1,WEEKDAY(A2702)&lt;7),"Wkd",TEXT(A2702,"Ddd"))&amp;"-"&amp;TEXT(A2702,"hh"),LoadTable[],3,FALSE)*0.92</f>
        <v>234.80148</v>
      </c>
      <c r="U2702" s="113">
        <f t="shared" si="2932"/>
        <v>23.480148</v>
      </c>
      <c r="V2702">
        <f t="shared" ref="V2702:W2702" si="2947">V2678</f>
        <v>3.4</v>
      </c>
      <c r="W2702">
        <f t="shared" si="2947"/>
        <v>3</v>
      </c>
      <c r="X2702" s="9">
        <v>-85.928579516667796</v>
      </c>
      <c r="Y2702" s="39"/>
    </row>
    <row r="2703" spans="1:25" ht="15" thickBot="1">
      <c r="A2703" s="149">
        <f t="shared" si="2914"/>
        <v>45948.499999995431</v>
      </c>
      <c r="B2703" s="30">
        <f t="shared" si="2941"/>
        <v>8000</v>
      </c>
      <c r="C2703" s="8">
        <v>25000</v>
      </c>
      <c r="D2703" s="187">
        <v>0</v>
      </c>
      <c r="E2703" s="187">
        <v>700</v>
      </c>
      <c r="F2703" s="187">
        <v>15000</v>
      </c>
      <c r="G2703" s="30">
        <f t="shared" si="2942"/>
        <v>2470</v>
      </c>
      <c r="H2703" s="8">
        <f t="shared" si="2942"/>
        <v>25000</v>
      </c>
      <c r="I2703" s="30">
        <f t="shared" si="2943"/>
        <v>8000</v>
      </c>
      <c r="J2703" s="187">
        <v>40000</v>
      </c>
      <c r="K2703" s="30">
        <f t="shared" si="2944"/>
        <v>8000</v>
      </c>
      <c r="L2703" s="187">
        <v>40000</v>
      </c>
      <c r="M2703" s="110">
        <v>9.5</v>
      </c>
      <c r="N2703" s="9">
        <f>VLOOKUP(DATE(YEAR(A2703),MONTH(A2703),DAY(A2703)),FY24_Temp[],3,FALSE)</f>
        <v>17.399999999999999</v>
      </c>
      <c r="O2703" s="110">
        <f t="shared" si="2930"/>
        <v>11.5</v>
      </c>
      <c r="P2703" s="110">
        <f t="shared" si="2931"/>
        <v>19.5</v>
      </c>
      <c r="Q2703" s="79">
        <f>VLOOKUP(VLOOKUP(DATEVALUE(TEXT(A2703,"m/d/yyyy")),FY24_Temp[],5,FALSE)&amp;TEXT(A2703,"-h"),TempDelta[],4,FALSE)</f>
        <v>-1.5857143327593803E-2</v>
      </c>
      <c r="R2703">
        <v>10</v>
      </c>
      <c r="S2703" s="112">
        <v>1500</v>
      </c>
      <c r="T2703" s="5">
        <f>VLOOKUP(TEXT(A2703,"yy-mm")&amp;"-"&amp;IF(AND(WEEKDAY(A2703)&gt;1,WEEKDAY(A2703)&lt;7),"Wkd",TEXT(A2703,"Ddd"))&amp;"-"&amp;TEXT(A2703,"hh"),LoadTable[],3,FALSE)*0.92</f>
        <v>234.80148</v>
      </c>
      <c r="U2703" s="113">
        <f t="shared" si="2932"/>
        <v>23.480148</v>
      </c>
      <c r="V2703">
        <f t="shared" ref="V2703:W2703" si="2948">V2679</f>
        <v>3.1</v>
      </c>
      <c r="W2703">
        <f t="shared" si="2948"/>
        <v>2.9</v>
      </c>
      <c r="X2703" s="9">
        <v>-86.006374066667803</v>
      </c>
      <c r="Y2703" s="39"/>
    </row>
    <row r="2704" spans="1:25" ht="15" thickBot="1">
      <c r="A2704" s="149">
        <f t="shared" si="2914"/>
        <v>45948.541666662095</v>
      </c>
      <c r="B2704" s="30">
        <f t="shared" si="2941"/>
        <v>8000</v>
      </c>
      <c r="C2704" s="8">
        <v>25000</v>
      </c>
      <c r="D2704" s="187">
        <v>0</v>
      </c>
      <c r="E2704" s="187">
        <v>700</v>
      </c>
      <c r="F2704" s="187">
        <v>15000</v>
      </c>
      <c r="G2704" s="30">
        <f t="shared" si="2942"/>
        <v>2470</v>
      </c>
      <c r="H2704" s="8">
        <f t="shared" si="2942"/>
        <v>25000</v>
      </c>
      <c r="I2704" s="30">
        <f t="shared" si="2943"/>
        <v>8000</v>
      </c>
      <c r="J2704" s="187">
        <v>40000</v>
      </c>
      <c r="K2704" s="30">
        <f t="shared" si="2944"/>
        <v>8000</v>
      </c>
      <c r="L2704" s="187">
        <v>40000</v>
      </c>
      <c r="M2704" s="110">
        <v>9.5</v>
      </c>
      <c r="N2704" s="9">
        <f>VLOOKUP(DATE(YEAR(A2704),MONTH(A2704),DAY(A2704)),FY24_Temp[],3,FALSE)</f>
        <v>17.399999999999999</v>
      </c>
      <c r="O2704" s="110">
        <f t="shared" si="2930"/>
        <v>11.5</v>
      </c>
      <c r="P2704" s="110">
        <f t="shared" si="2931"/>
        <v>19.5</v>
      </c>
      <c r="Q2704" s="79">
        <f>VLOOKUP(VLOOKUP(DATEVALUE(TEXT(A2704,"m/d/yyyy")),FY24_Temp[],5,FALSE)&amp;TEXT(A2704,"-h"),TempDelta[],4,FALSE)</f>
        <v>-4.142857076866286E-2</v>
      </c>
      <c r="R2704">
        <v>10</v>
      </c>
      <c r="S2704" s="112">
        <v>1500</v>
      </c>
      <c r="T2704" s="5">
        <f>VLOOKUP(TEXT(A2704,"yy-mm")&amp;"-"&amp;IF(AND(WEEKDAY(A2704)&gt;1,WEEKDAY(A2704)&lt;7),"Wkd",TEXT(A2704,"Ddd"))&amp;"-"&amp;TEXT(A2704,"hh"),LoadTable[],3,FALSE)*0.92</f>
        <v>234.80148</v>
      </c>
      <c r="U2704" s="113">
        <f t="shared" si="2932"/>
        <v>23.480148</v>
      </c>
      <c r="V2704">
        <f t="shared" ref="V2704:W2704" si="2949">V2680</f>
        <v>3.2</v>
      </c>
      <c r="W2704">
        <f t="shared" si="2949"/>
        <v>2.9</v>
      </c>
      <c r="X2704" s="9">
        <v>-86.084168616667796</v>
      </c>
      <c r="Y2704" s="39"/>
    </row>
    <row r="2705" spans="1:25" ht="15" thickBot="1">
      <c r="A2705" s="149">
        <f t="shared" si="2914"/>
        <v>45948.583333328759</v>
      </c>
      <c r="B2705" s="30">
        <f t="shared" si="2941"/>
        <v>8000</v>
      </c>
      <c r="C2705" s="8">
        <v>25000</v>
      </c>
      <c r="D2705" s="187">
        <v>0</v>
      </c>
      <c r="E2705" s="187">
        <v>700</v>
      </c>
      <c r="F2705" s="187">
        <v>15000</v>
      </c>
      <c r="G2705" s="30">
        <f t="shared" si="2942"/>
        <v>2470</v>
      </c>
      <c r="H2705" s="8">
        <f t="shared" si="2942"/>
        <v>25000</v>
      </c>
      <c r="I2705" s="30">
        <f t="shared" si="2943"/>
        <v>8000</v>
      </c>
      <c r="J2705" s="187">
        <v>40000</v>
      </c>
      <c r="K2705" s="30">
        <f t="shared" si="2944"/>
        <v>8000</v>
      </c>
      <c r="L2705" s="187">
        <v>40000</v>
      </c>
      <c r="M2705" s="110">
        <v>9.5</v>
      </c>
      <c r="N2705" s="9">
        <f>VLOOKUP(DATE(YEAR(A2705),MONTH(A2705),DAY(A2705)),FY24_Temp[],3,FALSE)</f>
        <v>17.399999999999999</v>
      </c>
      <c r="O2705" s="110">
        <f t="shared" si="2930"/>
        <v>11.5</v>
      </c>
      <c r="P2705" s="110">
        <f t="shared" si="2931"/>
        <v>19.5</v>
      </c>
      <c r="Q2705" s="79">
        <f>VLOOKUP(VLOOKUP(DATEVALUE(TEXT(A2705,"m/d/yyyy")),FY24_Temp[],5,FALSE)&amp;TEXT(A2705,"-h"),TempDelta[],4,FALSE)</f>
        <v>1.5142858826688357E-2</v>
      </c>
      <c r="R2705">
        <v>10</v>
      </c>
      <c r="S2705" s="112">
        <v>1500</v>
      </c>
      <c r="T2705" s="5">
        <f>VLOOKUP(TEXT(A2705,"yy-mm")&amp;"-"&amp;IF(AND(WEEKDAY(A2705)&gt;1,WEEKDAY(A2705)&lt;7),"Wkd",TEXT(A2705,"Ddd"))&amp;"-"&amp;TEXT(A2705,"hh"),LoadTable[],3,FALSE)*0.92</f>
        <v>234.80148</v>
      </c>
      <c r="U2705" s="113">
        <f t="shared" si="2932"/>
        <v>23.480148</v>
      </c>
      <c r="V2705">
        <f t="shared" ref="V2705:W2705" si="2950">V2681</f>
        <v>3.5</v>
      </c>
      <c r="W2705">
        <f t="shared" si="2950"/>
        <v>2.9</v>
      </c>
      <c r="X2705" s="9">
        <v>-86.161963166667903</v>
      </c>
      <c r="Y2705" s="39"/>
    </row>
    <row r="2706" spans="1:25" ht="15" thickBot="1">
      <c r="A2706" s="149">
        <f t="shared" si="2914"/>
        <v>45948.624999995423</v>
      </c>
      <c r="B2706" s="30">
        <f t="shared" si="2941"/>
        <v>8000</v>
      </c>
      <c r="C2706" s="8">
        <v>25000</v>
      </c>
      <c r="D2706" s="187">
        <v>0</v>
      </c>
      <c r="E2706" s="187">
        <v>700</v>
      </c>
      <c r="F2706" s="187">
        <v>15000</v>
      </c>
      <c r="G2706" s="30">
        <f t="shared" si="2942"/>
        <v>2470</v>
      </c>
      <c r="H2706" s="8">
        <f t="shared" si="2942"/>
        <v>25000</v>
      </c>
      <c r="I2706" s="30">
        <f t="shared" si="2943"/>
        <v>8000</v>
      </c>
      <c r="J2706" s="187">
        <v>40000</v>
      </c>
      <c r="K2706" s="30">
        <f t="shared" si="2944"/>
        <v>8000</v>
      </c>
      <c r="L2706" s="187">
        <v>40000</v>
      </c>
      <c r="M2706" s="110">
        <v>9.5</v>
      </c>
      <c r="N2706" s="9">
        <f>VLOOKUP(DATE(YEAR(A2706),MONTH(A2706),DAY(A2706)),FY24_Temp[],3,FALSE)</f>
        <v>17.399999999999999</v>
      </c>
      <c r="O2706" s="110">
        <f t="shared" si="2930"/>
        <v>11.5</v>
      </c>
      <c r="P2706" s="110">
        <f t="shared" si="2931"/>
        <v>19.5</v>
      </c>
      <c r="Q2706" s="79">
        <f>VLOOKUP(VLOOKUP(DATEVALUE(TEXT(A2706,"m/d/yyyy")),FY24_Temp[],5,FALSE)&amp;TEXT(A2706,"-h"),TempDelta[],4,FALSE)</f>
        <v>0.10157142795755394</v>
      </c>
      <c r="R2706">
        <v>10</v>
      </c>
      <c r="S2706" s="112">
        <v>1500</v>
      </c>
      <c r="T2706" s="5">
        <f>VLOOKUP(TEXT(A2706,"yy-mm")&amp;"-"&amp;IF(AND(WEEKDAY(A2706)&gt;1,WEEKDAY(A2706)&lt;7),"Wkd",TEXT(A2706,"Ddd"))&amp;"-"&amp;TEXT(A2706,"hh"),LoadTable[],3,FALSE)*0.92</f>
        <v>234.80148</v>
      </c>
      <c r="U2706" s="113">
        <f t="shared" si="2932"/>
        <v>23.480148</v>
      </c>
      <c r="V2706">
        <f t="shared" ref="V2706:W2706" si="2951">V2682</f>
        <v>3.2</v>
      </c>
      <c r="W2706">
        <f t="shared" si="2951"/>
        <v>2.9</v>
      </c>
      <c r="X2706" s="9">
        <v>-86.239757716667896</v>
      </c>
      <c r="Y2706" s="39"/>
    </row>
    <row r="2707" spans="1:25" ht="15" thickBot="1">
      <c r="A2707" s="149">
        <f t="shared" si="2914"/>
        <v>45948.666666662088</v>
      </c>
      <c r="B2707" s="30">
        <f t="shared" si="2941"/>
        <v>8000</v>
      </c>
      <c r="C2707" s="8">
        <v>25000</v>
      </c>
      <c r="D2707" s="187">
        <v>0</v>
      </c>
      <c r="E2707" s="187">
        <v>700</v>
      </c>
      <c r="F2707" s="187">
        <v>15000</v>
      </c>
      <c r="G2707" s="30">
        <f t="shared" si="2942"/>
        <v>2470</v>
      </c>
      <c r="H2707" s="8">
        <f t="shared" si="2942"/>
        <v>25000</v>
      </c>
      <c r="I2707" s="30">
        <f t="shared" si="2943"/>
        <v>8000</v>
      </c>
      <c r="J2707" s="187">
        <v>40000</v>
      </c>
      <c r="K2707" s="30">
        <f t="shared" si="2944"/>
        <v>8000</v>
      </c>
      <c r="L2707" s="187">
        <v>40000</v>
      </c>
      <c r="M2707" s="110">
        <v>9.5</v>
      </c>
      <c r="N2707" s="9">
        <f>VLOOKUP(DATE(YEAR(A2707),MONTH(A2707),DAY(A2707)),FY24_Temp[],3,FALSE)</f>
        <v>17.399999999999999</v>
      </c>
      <c r="O2707" s="110">
        <f t="shared" si="2930"/>
        <v>11.5</v>
      </c>
      <c r="P2707" s="110">
        <f t="shared" si="2931"/>
        <v>19.5</v>
      </c>
      <c r="Q2707" s="79">
        <f>VLOOKUP(VLOOKUP(DATEVALUE(TEXT(A2707,"m/d/yyyy")),FY24_Temp[],5,FALSE)&amp;TEXT(A2707,"-h"),TempDelta[],4,FALSE)</f>
        <v>0.33192857301660944</v>
      </c>
      <c r="R2707">
        <v>10</v>
      </c>
      <c r="S2707" s="112">
        <v>1500</v>
      </c>
      <c r="T2707" s="5">
        <f>VLOOKUP(TEXT(A2707,"yy-mm")&amp;"-"&amp;IF(AND(WEEKDAY(A2707)&gt;1,WEEKDAY(A2707)&lt;7),"Wkd",TEXT(A2707,"Ddd"))&amp;"-"&amp;TEXT(A2707,"hh"),LoadTable[],3,FALSE)*0.92</f>
        <v>234.80148</v>
      </c>
      <c r="U2707" s="113">
        <f t="shared" si="2932"/>
        <v>23.480148</v>
      </c>
      <c r="V2707">
        <f t="shared" ref="V2707:W2707" si="2952">V2683</f>
        <v>3.5</v>
      </c>
      <c r="W2707">
        <f t="shared" si="2952"/>
        <v>3</v>
      </c>
      <c r="X2707" s="9">
        <v>-86.317552266667903</v>
      </c>
      <c r="Y2707" s="39"/>
    </row>
    <row r="2708" spans="1:25" ht="15" thickBot="1">
      <c r="A2708" s="149">
        <f t="shared" si="2914"/>
        <v>45948.708333328752</v>
      </c>
      <c r="B2708" s="30">
        <f t="shared" si="2941"/>
        <v>8000</v>
      </c>
      <c r="C2708" s="8">
        <v>25000</v>
      </c>
      <c r="D2708" s="187">
        <v>0</v>
      </c>
      <c r="E2708" s="187">
        <v>700</v>
      </c>
      <c r="F2708" s="187">
        <v>15000</v>
      </c>
      <c r="G2708" s="30">
        <f t="shared" si="2942"/>
        <v>2470</v>
      </c>
      <c r="H2708" s="8">
        <f t="shared" si="2942"/>
        <v>25000</v>
      </c>
      <c r="I2708" s="30">
        <f t="shared" si="2943"/>
        <v>8000</v>
      </c>
      <c r="J2708" s="187">
        <v>40000</v>
      </c>
      <c r="K2708" s="30">
        <f t="shared" si="2944"/>
        <v>8000</v>
      </c>
      <c r="L2708" s="187">
        <v>40000</v>
      </c>
      <c r="M2708" s="110">
        <v>9.5</v>
      </c>
      <c r="N2708" s="9">
        <f>VLOOKUP(DATE(YEAR(A2708),MONTH(A2708),DAY(A2708)),FY24_Temp[],3,FALSE)</f>
        <v>17.399999999999999</v>
      </c>
      <c r="O2708" s="110">
        <f t="shared" si="2930"/>
        <v>11.5</v>
      </c>
      <c r="P2708" s="110">
        <f t="shared" si="2931"/>
        <v>19.5</v>
      </c>
      <c r="Q2708" s="79">
        <f>VLOOKUP(VLOOKUP(DATEVALUE(TEXT(A2708,"m/d/yyyy")),FY24_Temp[],5,FALSE)&amp;TEXT(A2708,"-h"),TempDelta[],4,FALSE)</f>
        <v>0.44464285565274103</v>
      </c>
      <c r="R2708">
        <v>10</v>
      </c>
      <c r="S2708" s="112">
        <v>1500</v>
      </c>
      <c r="T2708" s="5">
        <f>VLOOKUP(TEXT(A2708,"yy-mm")&amp;"-"&amp;IF(AND(WEEKDAY(A2708)&gt;1,WEEKDAY(A2708)&lt;7),"Wkd",TEXT(A2708,"Ddd"))&amp;"-"&amp;TEXT(A2708,"hh"),LoadTable[],3,FALSE)*0.92</f>
        <v>234.80148</v>
      </c>
      <c r="U2708" s="113">
        <f t="shared" si="2932"/>
        <v>23.480148</v>
      </c>
      <c r="V2708">
        <f t="shared" ref="V2708:W2708" si="2953">V2684</f>
        <v>3.6</v>
      </c>
      <c r="W2708">
        <f t="shared" si="2953"/>
        <v>3</v>
      </c>
      <c r="X2708" s="9">
        <v>-86.395346816667896</v>
      </c>
      <c r="Y2708" s="39"/>
    </row>
    <row r="2709" spans="1:25" ht="15" thickBot="1">
      <c r="A2709" s="149">
        <f t="shared" si="2914"/>
        <v>45948.749999995416</v>
      </c>
      <c r="B2709" s="30">
        <f t="shared" si="2941"/>
        <v>5000</v>
      </c>
      <c r="C2709" s="8">
        <v>25000</v>
      </c>
      <c r="D2709" s="187">
        <v>0</v>
      </c>
      <c r="E2709" s="187">
        <v>700</v>
      </c>
      <c r="F2709" s="187">
        <v>15000</v>
      </c>
      <c r="G2709" s="30">
        <f t="shared" si="2942"/>
        <v>2470</v>
      </c>
      <c r="H2709" s="8">
        <f t="shared" si="2942"/>
        <v>25000</v>
      </c>
      <c r="I2709" s="30">
        <f t="shared" si="2943"/>
        <v>5000</v>
      </c>
      <c r="J2709" s="187">
        <v>40000</v>
      </c>
      <c r="K2709" s="30">
        <f t="shared" si="2944"/>
        <v>5000</v>
      </c>
      <c r="L2709" s="187">
        <v>40000</v>
      </c>
      <c r="M2709" s="110">
        <v>9.5</v>
      </c>
      <c r="N2709" s="9">
        <f>VLOOKUP(DATE(YEAR(A2709),MONTH(A2709),DAY(A2709)),FY24_Temp[],3,FALSE)</f>
        <v>17.399999999999999</v>
      </c>
      <c r="O2709" s="110">
        <f t="shared" si="2930"/>
        <v>11.5</v>
      </c>
      <c r="P2709" s="110">
        <f t="shared" si="2931"/>
        <v>19.5</v>
      </c>
      <c r="Q2709" s="79">
        <f>VLOOKUP(VLOOKUP(DATEVALUE(TEXT(A2709,"m/d/yyyy")),FY24_Temp[],5,FALSE)&amp;TEXT(A2709,"-h"),TempDelta[],4,FALSE)</f>
        <v>0.57671428365366795</v>
      </c>
      <c r="R2709">
        <v>10</v>
      </c>
      <c r="S2709" s="112">
        <v>1500</v>
      </c>
      <c r="T2709" s="5">
        <f>VLOOKUP(TEXT(A2709,"yy-mm")&amp;"-"&amp;IF(AND(WEEKDAY(A2709)&gt;1,WEEKDAY(A2709)&lt;7),"Wkd",TEXT(A2709,"Ddd"))&amp;"-"&amp;TEXT(A2709,"hh"),LoadTable[],3,FALSE)*0.92</f>
        <v>303.31295999999998</v>
      </c>
      <c r="U2709" s="113">
        <f t="shared" si="2932"/>
        <v>30.331295999999998</v>
      </c>
      <c r="V2709">
        <f t="shared" ref="V2709:W2709" si="2954">V2685</f>
        <v>2.9</v>
      </c>
      <c r="W2709">
        <f t="shared" si="2954"/>
        <v>3</v>
      </c>
      <c r="X2709" s="9">
        <v>-86.473141366667903</v>
      </c>
      <c r="Y2709" s="39"/>
    </row>
    <row r="2710" spans="1:25" ht="15" thickBot="1">
      <c r="A2710" s="149">
        <f t="shared" si="2914"/>
        <v>45948.79166666208</v>
      </c>
      <c r="B2710" s="30">
        <f t="shared" si="2941"/>
        <v>5000</v>
      </c>
      <c r="C2710" s="8">
        <v>25000</v>
      </c>
      <c r="D2710" s="187">
        <v>0</v>
      </c>
      <c r="E2710" s="187">
        <v>700</v>
      </c>
      <c r="F2710" s="187">
        <v>15000</v>
      </c>
      <c r="G2710" s="30">
        <f t="shared" si="2942"/>
        <v>2470</v>
      </c>
      <c r="H2710" s="8">
        <f t="shared" si="2942"/>
        <v>25000</v>
      </c>
      <c r="I2710" s="30">
        <f t="shared" si="2943"/>
        <v>5000</v>
      </c>
      <c r="J2710" s="187">
        <v>40000</v>
      </c>
      <c r="K2710" s="30">
        <f t="shared" si="2944"/>
        <v>5000</v>
      </c>
      <c r="L2710" s="187">
        <v>40000</v>
      </c>
      <c r="M2710" s="110">
        <v>9.5</v>
      </c>
      <c r="N2710" s="9">
        <f>VLOOKUP(DATE(YEAR(A2710),MONTH(A2710),DAY(A2710)),FY24_Temp[],3,FALSE)</f>
        <v>17.399999999999999</v>
      </c>
      <c r="O2710" s="110">
        <f t="shared" si="2930"/>
        <v>11.5</v>
      </c>
      <c r="P2710" s="110">
        <f t="shared" si="2931"/>
        <v>19.5</v>
      </c>
      <c r="Q2710" s="79">
        <f>VLOOKUP(VLOOKUP(DATEVALUE(TEXT(A2710,"m/d/yyyy")),FY24_Temp[],5,FALSE)&amp;TEXT(A2710,"-h"),TempDelta[],4,FALSE)</f>
        <v>0.5747142945017133</v>
      </c>
      <c r="R2710">
        <v>10</v>
      </c>
      <c r="S2710" s="112">
        <v>1500</v>
      </c>
      <c r="T2710" s="5">
        <f>VLOOKUP(TEXT(A2710,"yy-mm")&amp;"-"&amp;IF(AND(WEEKDAY(A2710)&gt;1,WEEKDAY(A2710)&lt;7),"Wkd",TEXT(A2710,"Ddd"))&amp;"-"&amp;TEXT(A2710,"hh"),LoadTable[],3,FALSE)*0.92</f>
        <v>303.31295999999998</v>
      </c>
      <c r="U2710" s="113">
        <f t="shared" si="2932"/>
        <v>30.331295999999998</v>
      </c>
      <c r="V2710">
        <f t="shared" ref="V2710:W2710" si="2955">V2686</f>
        <v>3</v>
      </c>
      <c r="W2710">
        <f t="shared" si="2955"/>
        <v>3</v>
      </c>
      <c r="X2710" s="9">
        <v>-86.550935916667896</v>
      </c>
      <c r="Y2710" s="39"/>
    </row>
    <row r="2711" spans="1:25" ht="15" thickBot="1">
      <c r="A2711" s="149">
        <f t="shared" si="2914"/>
        <v>45948.833333328745</v>
      </c>
      <c r="B2711" s="30">
        <f t="shared" si="2941"/>
        <v>5000</v>
      </c>
      <c r="C2711" s="8">
        <v>25000</v>
      </c>
      <c r="D2711" s="187">
        <v>0</v>
      </c>
      <c r="E2711" s="187">
        <v>700</v>
      </c>
      <c r="F2711" s="187">
        <v>15000</v>
      </c>
      <c r="G2711" s="30">
        <f t="shared" si="2942"/>
        <v>2470</v>
      </c>
      <c r="H2711" s="8">
        <f t="shared" si="2942"/>
        <v>25000</v>
      </c>
      <c r="I2711" s="30">
        <f t="shared" si="2943"/>
        <v>5000</v>
      </c>
      <c r="J2711" s="187">
        <v>40000</v>
      </c>
      <c r="K2711" s="30">
        <f t="shared" si="2944"/>
        <v>5000</v>
      </c>
      <c r="L2711" s="187">
        <v>40000</v>
      </c>
      <c r="M2711" s="110">
        <v>9.5</v>
      </c>
      <c r="N2711" s="9">
        <f>VLOOKUP(DATE(YEAR(A2711),MONTH(A2711),DAY(A2711)),FY24_Temp[],3,FALSE)</f>
        <v>17.399999999999999</v>
      </c>
      <c r="O2711" s="110">
        <f t="shared" si="2930"/>
        <v>11.5</v>
      </c>
      <c r="P2711" s="110">
        <f t="shared" si="2931"/>
        <v>19.5</v>
      </c>
      <c r="Q2711" s="79">
        <f>VLOOKUP(VLOOKUP(DATEVALUE(TEXT(A2711,"m/d/yyyy")),FY24_Temp[],5,FALSE)&amp;TEXT(A2711,"-h"),TempDelta[],4,FALSE)</f>
        <v>0.58807142717497685</v>
      </c>
      <c r="R2711">
        <v>10</v>
      </c>
      <c r="S2711" s="112">
        <v>1500</v>
      </c>
      <c r="T2711" s="5">
        <f>VLOOKUP(TEXT(A2711,"yy-mm")&amp;"-"&amp;IF(AND(WEEKDAY(A2711)&gt;1,WEEKDAY(A2711)&lt;7),"Wkd",TEXT(A2711,"Ddd"))&amp;"-"&amp;TEXT(A2711,"hh"),LoadTable[],3,FALSE)*0.92</f>
        <v>303.31295999999998</v>
      </c>
      <c r="U2711" s="113">
        <f t="shared" si="2932"/>
        <v>30.331295999999998</v>
      </c>
      <c r="V2711">
        <f t="shared" ref="V2711:W2711" si="2956">V2687</f>
        <v>2.8</v>
      </c>
      <c r="W2711">
        <f t="shared" si="2956"/>
        <v>3.1</v>
      </c>
      <c r="X2711" s="9">
        <v>-86.628730466667903</v>
      </c>
      <c r="Y2711" s="39"/>
    </row>
    <row r="2712" spans="1:25" ht="15" thickBot="1">
      <c r="A2712" s="149">
        <f t="shared" si="2914"/>
        <v>45948.874999995409</v>
      </c>
      <c r="B2712" s="30">
        <f t="shared" si="2941"/>
        <v>5000</v>
      </c>
      <c r="C2712" s="8">
        <v>25000</v>
      </c>
      <c r="D2712" s="187">
        <v>0</v>
      </c>
      <c r="E2712" s="187">
        <v>700</v>
      </c>
      <c r="F2712" s="187">
        <v>15000</v>
      </c>
      <c r="G2712" s="30">
        <f t="shared" si="2942"/>
        <v>2470</v>
      </c>
      <c r="H2712" s="8">
        <f t="shared" si="2942"/>
        <v>25000</v>
      </c>
      <c r="I2712" s="30">
        <f t="shared" si="2943"/>
        <v>5000</v>
      </c>
      <c r="J2712" s="187">
        <v>40000</v>
      </c>
      <c r="K2712" s="30">
        <f t="shared" si="2944"/>
        <v>5000</v>
      </c>
      <c r="L2712" s="187">
        <v>40000</v>
      </c>
      <c r="M2712" s="110">
        <v>9.5</v>
      </c>
      <c r="N2712" s="9">
        <f>VLOOKUP(DATE(YEAR(A2712),MONTH(A2712),DAY(A2712)),FY24_Temp[],3,FALSE)</f>
        <v>17.399999999999999</v>
      </c>
      <c r="O2712" s="110">
        <f t="shared" si="2930"/>
        <v>11.5</v>
      </c>
      <c r="P2712" s="110">
        <f t="shared" si="2931"/>
        <v>19.5</v>
      </c>
      <c r="Q2712" s="79">
        <f>VLOOKUP(VLOOKUP(DATEVALUE(TEXT(A2712,"m/d/yyyy")),FY24_Temp[],5,FALSE)&amp;TEXT(A2712,"-h"),TempDelta[],4,FALSE)</f>
        <v>0.58742856766496387</v>
      </c>
      <c r="R2712">
        <v>10</v>
      </c>
      <c r="S2712" s="112">
        <v>1500</v>
      </c>
      <c r="T2712" s="5">
        <f>VLOOKUP(TEXT(A2712,"yy-mm")&amp;"-"&amp;IF(AND(WEEKDAY(A2712)&gt;1,WEEKDAY(A2712)&lt;7),"Wkd",TEXT(A2712,"Ddd"))&amp;"-"&amp;TEXT(A2712,"hh"),LoadTable[],3,FALSE)*0.92</f>
        <v>229.93744000000001</v>
      </c>
      <c r="U2712" s="113">
        <f t="shared" si="2932"/>
        <v>22.993744</v>
      </c>
      <c r="V2712">
        <f t="shared" ref="V2712:W2712" si="2957">V2688</f>
        <v>3.5</v>
      </c>
      <c r="W2712">
        <f t="shared" si="2957"/>
        <v>3.1</v>
      </c>
      <c r="X2712" s="9">
        <v>-86.706525016667896</v>
      </c>
      <c r="Y2712" s="39"/>
    </row>
    <row r="2713" spans="1:25" ht="15" thickBot="1">
      <c r="A2713" s="149">
        <f t="shared" si="2914"/>
        <v>45948.916666662073</v>
      </c>
      <c r="B2713" s="30">
        <f t="shared" si="2941"/>
        <v>5000</v>
      </c>
      <c r="C2713" s="8">
        <v>25000</v>
      </c>
      <c r="D2713" s="187">
        <v>0</v>
      </c>
      <c r="E2713" s="187">
        <v>700</v>
      </c>
      <c r="F2713" s="187">
        <v>15000</v>
      </c>
      <c r="G2713" s="30">
        <f t="shared" si="2942"/>
        <v>2470</v>
      </c>
      <c r="H2713" s="8">
        <f t="shared" si="2942"/>
        <v>25000</v>
      </c>
      <c r="I2713" s="30">
        <f t="shared" si="2943"/>
        <v>5000</v>
      </c>
      <c r="J2713" s="187">
        <v>40000</v>
      </c>
      <c r="K2713" s="30">
        <f t="shared" si="2944"/>
        <v>5000</v>
      </c>
      <c r="L2713" s="187">
        <v>40000</v>
      </c>
      <c r="M2713" s="110">
        <v>9.5</v>
      </c>
      <c r="N2713" s="9">
        <f>VLOOKUP(DATE(YEAR(A2713),MONTH(A2713),DAY(A2713)),FY24_Temp[],3,FALSE)</f>
        <v>17.399999999999999</v>
      </c>
      <c r="O2713" s="110">
        <f t="shared" si="2930"/>
        <v>11.5</v>
      </c>
      <c r="P2713" s="110">
        <f t="shared" si="2931"/>
        <v>19.5</v>
      </c>
      <c r="Q2713" s="79">
        <f>VLOOKUP(VLOOKUP(DATEVALUE(TEXT(A2713,"m/d/yyyy")),FY24_Temp[],5,FALSE)&amp;TEXT(A2713,"-h"),TempDelta[],4,FALSE)</f>
        <v>0.81528571673801964</v>
      </c>
      <c r="R2713">
        <v>10</v>
      </c>
      <c r="S2713" s="112">
        <v>1500</v>
      </c>
      <c r="T2713" s="5">
        <f>VLOOKUP(TEXT(A2713,"yy-mm")&amp;"-"&amp;IF(AND(WEEKDAY(A2713)&gt;1,WEEKDAY(A2713)&lt;7),"Wkd",TEXT(A2713,"Ddd"))&amp;"-"&amp;TEXT(A2713,"hh"),LoadTable[],3,FALSE)*0.92</f>
        <v>176.52040000000002</v>
      </c>
      <c r="U2713" s="113">
        <f t="shared" si="2932"/>
        <v>17.652040000000003</v>
      </c>
      <c r="V2713">
        <f t="shared" ref="V2713:W2713" si="2958">V2689</f>
        <v>2.9</v>
      </c>
      <c r="W2713">
        <f t="shared" si="2958"/>
        <v>3.1</v>
      </c>
      <c r="X2713" s="9">
        <v>-86.784319566667904</v>
      </c>
      <c r="Y2713" s="39"/>
    </row>
    <row r="2714" spans="1:25" ht="15" thickBot="1">
      <c r="A2714" s="149">
        <f t="shared" si="2914"/>
        <v>45948.958333328737</v>
      </c>
      <c r="B2714" s="30">
        <f t="shared" si="2941"/>
        <v>5000</v>
      </c>
      <c r="C2714" s="8">
        <v>25000</v>
      </c>
      <c r="D2714" s="187">
        <v>0</v>
      </c>
      <c r="E2714" s="187">
        <v>700</v>
      </c>
      <c r="F2714" s="187">
        <v>15000</v>
      </c>
      <c r="G2714" s="30">
        <f t="shared" si="2942"/>
        <v>2470</v>
      </c>
      <c r="H2714" s="8">
        <f t="shared" si="2942"/>
        <v>25000</v>
      </c>
      <c r="I2714" s="30">
        <f t="shared" si="2943"/>
        <v>5000</v>
      </c>
      <c r="J2714" s="187">
        <v>40000</v>
      </c>
      <c r="K2714" s="30">
        <f t="shared" si="2944"/>
        <v>5000</v>
      </c>
      <c r="L2714" s="187">
        <v>40000</v>
      </c>
      <c r="M2714" s="110">
        <v>9.5</v>
      </c>
      <c r="N2714" s="9">
        <f>VLOOKUP(DATE(YEAR(A2714),MONTH(A2714),DAY(A2714)),FY24_Temp[],3,FALSE)</f>
        <v>17.399999999999999</v>
      </c>
      <c r="O2714" s="110">
        <f t="shared" si="2930"/>
        <v>11.5</v>
      </c>
      <c r="P2714" s="110">
        <f t="shared" si="2931"/>
        <v>19.5</v>
      </c>
      <c r="Q2714" s="79">
        <f>VLOOKUP(VLOOKUP(DATEVALUE(TEXT(A2714,"m/d/yyyy")),FY24_Temp[],5,FALSE)&amp;TEXT(A2714,"-h"),TempDelta[],4,FALSE)</f>
        <v>0.93885714667184017</v>
      </c>
      <c r="R2714">
        <v>10</v>
      </c>
      <c r="S2714" s="112">
        <v>1500</v>
      </c>
      <c r="T2714" s="5">
        <f>VLOOKUP(TEXT(A2714,"yy-mm")&amp;"-"&amp;IF(AND(WEEKDAY(A2714)&gt;1,WEEKDAY(A2714)&lt;7),"Wkd",TEXT(A2714,"Ddd"))&amp;"-"&amp;TEXT(A2714,"hh"),LoadTable[],3,FALSE)*0.92</f>
        <v>176.52040000000002</v>
      </c>
      <c r="U2714" s="113">
        <f t="shared" si="2932"/>
        <v>17.652040000000003</v>
      </c>
      <c r="V2714">
        <f t="shared" ref="V2714:W2714" si="2959">V2690</f>
        <v>3.6</v>
      </c>
      <c r="W2714">
        <f t="shared" si="2959"/>
        <v>3.1</v>
      </c>
      <c r="X2714" s="9">
        <v>-86.862114116667897</v>
      </c>
      <c r="Y2714" s="39"/>
    </row>
    <row r="2715" spans="1:25" ht="15" thickBot="1">
      <c r="A2715" s="149">
        <f t="shared" si="2914"/>
        <v>45948.999999995402</v>
      </c>
      <c r="B2715" s="30">
        <f t="shared" si="2941"/>
        <v>5000</v>
      </c>
      <c r="C2715" s="8">
        <v>25000</v>
      </c>
      <c r="D2715" s="187">
        <v>0</v>
      </c>
      <c r="E2715" s="187">
        <v>700</v>
      </c>
      <c r="F2715" s="187">
        <v>15000</v>
      </c>
      <c r="G2715" s="30">
        <f t="shared" si="2942"/>
        <v>2470</v>
      </c>
      <c r="H2715" s="8">
        <f t="shared" si="2942"/>
        <v>25000</v>
      </c>
      <c r="I2715" s="30">
        <f t="shared" si="2943"/>
        <v>5000</v>
      </c>
      <c r="J2715" s="187">
        <v>40000</v>
      </c>
      <c r="K2715" s="30">
        <f t="shared" si="2944"/>
        <v>5000</v>
      </c>
      <c r="L2715" s="187">
        <v>40000</v>
      </c>
      <c r="M2715" s="110">
        <v>9.5</v>
      </c>
      <c r="N2715" s="9">
        <f>VLOOKUP(DATE(YEAR(A2715),MONTH(A2715),DAY(A2715)),FY24_Temp[],3,FALSE)</f>
        <v>17.399999999999999</v>
      </c>
      <c r="O2715" s="110">
        <f t="shared" si="2930"/>
        <v>11.5</v>
      </c>
      <c r="P2715" s="110">
        <f t="shared" si="2931"/>
        <v>19.5</v>
      </c>
      <c r="Q2715" s="79">
        <f>VLOOKUP(VLOOKUP(DATEVALUE(TEXT(A2715,"m/d/yyyy")),FY24_Temp[],5,FALSE)&amp;TEXT(A2715,"-h"),TempDelta[],4,FALSE)</f>
        <v>1.0217142956597465</v>
      </c>
      <c r="R2715">
        <v>10</v>
      </c>
      <c r="S2715" s="112">
        <v>1500</v>
      </c>
      <c r="T2715" s="5">
        <f>VLOOKUP(TEXT(A2715,"yy-mm")&amp;"-"&amp;IF(AND(WEEKDAY(A2715)&gt;1,WEEKDAY(A2715)&lt;7),"Wkd",TEXT(A2715,"Ddd"))&amp;"-"&amp;TEXT(A2715,"hh"),LoadTable[],3,FALSE)*0.92</f>
        <v>176.52040000000002</v>
      </c>
      <c r="U2715" s="113">
        <f t="shared" si="2932"/>
        <v>17.652040000000003</v>
      </c>
      <c r="V2715">
        <f t="shared" ref="V2715:W2715" si="2960">V2691</f>
        <v>3</v>
      </c>
      <c r="W2715">
        <f t="shared" si="2960"/>
        <v>3.2</v>
      </c>
      <c r="X2715" s="9">
        <v>-86.939908666667904</v>
      </c>
      <c r="Y2715" s="39"/>
    </row>
    <row r="2716" spans="1:25" ht="15" thickBot="1">
      <c r="A2716" s="149">
        <f t="shared" si="2914"/>
        <v>45949.041666662066</v>
      </c>
      <c r="B2716" s="30">
        <f t="shared" si="2941"/>
        <v>5000</v>
      </c>
      <c r="C2716" s="8">
        <v>25000</v>
      </c>
      <c r="D2716" s="187">
        <v>0</v>
      </c>
      <c r="E2716" s="187">
        <v>700</v>
      </c>
      <c r="F2716" s="187">
        <v>15000</v>
      </c>
      <c r="G2716" s="30">
        <f t="shared" si="2942"/>
        <v>2470</v>
      </c>
      <c r="H2716" s="8">
        <f t="shared" si="2942"/>
        <v>25000</v>
      </c>
      <c r="I2716" s="30">
        <f t="shared" si="2943"/>
        <v>5000</v>
      </c>
      <c r="J2716" s="187">
        <v>40000</v>
      </c>
      <c r="K2716" s="30">
        <f t="shared" si="2944"/>
        <v>5000</v>
      </c>
      <c r="L2716" s="187">
        <v>40000</v>
      </c>
      <c r="M2716" s="110">
        <v>9.5</v>
      </c>
      <c r="N2716" s="9">
        <f>VLOOKUP(DATE(YEAR(A2716),MONTH(A2716),DAY(A2716)),FY24_Temp[],3,FALSE)</f>
        <v>17.399999999999999</v>
      </c>
      <c r="O2716" s="110">
        <f t="shared" si="2930"/>
        <v>11.5</v>
      </c>
      <c r="P2716" s="110">
        <f t="shared" si="2931"/>
        <v>19.5</v>
      </c>
      <c r="Q2716" s="79">
        <f>VLOOKUP(VLOOKUP(DATEVALUE(TEXT(A2716,"m/d/yyyy")),FY24_Temp[],5,FALSE)&amp;TEXT(A2716,"-h"),TempDelta[],4,FALSE)</f>
        <v>0.97999998501368935</v>
      </c>
      <c r="R2716">
        <v>10</v>
      </c>
      <c r="S2716" s="112">
        <v>1500</v>
      </c>
      <c r="T2716" s="5">
        <f>VLOOKUP(TEXT(A2716,"yy-mm")&amp;"-"&amp;IF(AND(WEEKDAY(A2716)&gt;1,WEEKDAY(A2716)&lt;7),"Wkd",TEXT(A2716,"Ddd"))&amp;"-"&amp;TEXT(A2716,"hh"),LoadTable[],3,FALSE)*0.92</f>
        <v>176.52040000000002</v>
      </c>
      <c r="U2716" s="113">
        <f t="shared" si="2932"/>
        <v>17.652040000000003</v>
      </c>
      <c r="V2716">
        <f t="shared" ref="V2716:W2716" si="2961">V2692</f>
        <v>2.6</v>
      </c>
      <c r="W2716">
        <f t="shared" si="2961"/>
        <v>3.2</v>
      </c>
      <c r="X2716" s="9">
        <v>-87.017703216667897</v>
      </c>
      <c r="Y2716" s="39"/>
    </row>
    <row r="2717" spans="1:25" ht="15" thickBot="1">
      <c r="A2717" s="149">
        <f t="shared" si="2914"/>
        <v>45949.08333332873</v>
      </c>
      <c r="B2717" s="30">
        <f t="shared" si="2941"/>
        <v>5000</v>
      </c>
      <c r="C2717" s="8">
        <v>25000</v>
      </c>
      <c r="D2717" s="187">
        <v>0</v>
      </c>
      <c r="E2717" s="187">
        <v>700</v>
      </c>
      <c r="F2717" s="187">
        <v>15000</v>
      </c>
      <c r="G2717" s="30">
        <f t="shared" si="2942"/>
        <v>2470</v>
      </c>
      <c r="H2717" s="8">
        <f t="shared" si="2942"/>
        <v>25000</v>
      </c>
      <c r="I2717" s="30">
        <f t="shared" si="2943"/>
        <v>5000</v>
      </c>
      <c r="J2717" s="187">
        <v>40000</v>
      </c>
      <c r="K2717" s="30">
        <f t="shared" si="2944"/>
        <v>5000</v>
      </c>
      <c r="L2717" s="187">
        <v>40000</v>
      </c>
      <c r="M2717" s="110">
        <v>9.5</v>
      </c>
      <c r="N2717" s="9">
        <f>VLOOKUP(DATE(YEAR(A2717),MONTH(A2717),DAY(A2717)),FY24_Temp[],3,FALSE)</f>
        <v>17.399999999999999</v>
      </c>
      <c r="O2717" s="110">
        <f t="shared" si="2930"/>
        <v>11.5</v>
      </c>
      <c r="P2717" s="110">
        <f t="shared" si="2931"/>
        <v>19.5</v>
      </c>
      <c r="Q2717" s="79">
        <f>VLOOKUP(VLOOKUP(DATEVALUE(TEXT(A2717,"m/d/yyyy")),FY24_Temp[],5,FALSE)&amp;TEXT(A2717,"-h"),TempDelta[],4,FALSE)</f>
        <v>0.89157142809459144</v>
      </c>
      <c r="R2717">
        <v>10</v>
      </c>
      <c r="S2717" s="112">
        <v>1500</v>
      </c>
      <c r="T2717" s="5">
        <f>VLOOKUP(TEXT(A2717,"yy-mm")&amp;"-"&amp;IF(AND(WEEKDAY(A2717)&gt;1,WEEKDAY(A2717)&lt;7),"Wkd",TEXT(A2717,"Ddd"))&amp;"-"&amp;TEXT(A2717,"hh"),LoadTable[],3,FALSE)*0.92</f>
        <v>176.52040000000002</v>
      </c>
      <c r="U2717" s="113">
        <f t="shared" si="2932"/>
        <v>17.652040000000003</v>
      </c>
      <c r="V2717">
        <f t="shared" ref="V2717:W2717" si="2962">V2693</f>
        <v>2.8</v>
      </c>
      <c r="W2717">
        <f t="shared" si="2962"/>
        <v>3.2</v>
      </c>
      <c r="X2717" s="9">
        <v>-87.095497766667904</v>
      </c>
      <c r="Y2717" s="39"/>
    </row>
    <row r="2718" spans="1:25" ht="15" thickBot="1">
      <c r="A2718" s="149">
        <f t="shared" si="2914"/>
        <v>45949.124999995394</v>
      </c>
      <c r="B2718" s="30">
        <f t="shared" si="2941"/>
        <v>5000</v>
      </c>
      <c r="C2718" s="8">
        <v>25000</v>
      </c>
      <c r="D2718" s="187">
        <v>0</v>
      </c>
      <c r="E2718" s="187">
        <v>700</v>
      </c>
      <c r="F2718" s="187">
        <v>15000</v>
      </c>
      <c r="G2718" s="30">
        <f t="shared" si="2942"/>
        <v>2470</v>
      </c>
      <c r="H2718" s="8">
        <f t="shared" si="2942"/>
        <v>25000</v>
      </c>
      <c r="I2718" s="30">
        <f t="shared" si="2943"/>
        <v>5000</v>
      </c>
      <c r="J2718" s="187">
        <v>40000</v>
      </c>
      <c r="K2718" s="30">
        <f t="shared" si="2944"/>
        <v>5000</v>
      </c>
      <c r="L2718" s="187">
        <v>40000</v>
      </c>
      <c r="M2718" s="110">
        <v>9.5</v>
      </c>
      <c r="N2718" s="9">
        <f>VLOOKUP(DATE(YEAR(A2718),MONTH(A2718),DAY(A2718)),FY24_Temp[],3,FALSE)</f>
        <v>17.399999999999999</v>
      </c>
      <c r="O2718" s="110">
        <f t="shared" si="2930"/>
        <v>11.5</v>
      </c>
      <c r="P2718" s="110">
        <f t="shared" si="2931"/>
        <v>19.5</v>
      </c>
      <c r="Q2718" s="79">
        <f>VLOOKUP(VLOOKUP(DATEVALUE(TEXT(A2718,"m/d/yyyy")),FY24_Temp[],5,FALSE)&amp;TEXT(A2718,"-h"),TempDelta[],4,FALSE)</f>
        <v>0.78457142625536236</v>
      </c>
      <c r="R2718">
        <v>10</v>
      </c>
      <c r="S2718" s="112">
        <v>1500</v>
      </c>
      <c r="T2718" s="5">
        <f>VLOOKUP(TEXT(A2718,"yy-mm")&amp;"-"&amp;IF(AND(WEEKDAY(A2718)&gt;1,WEEKDAY(A2718)&lt;7),"Wkd",TEXT(A2718,"Ddd"))&amp;"-"&amp;TEXT(A2718,"hh"),LoadTable[],3,FALSE)*0.92</f>
        <v>176.52040000000002</v>
      </c>
      <c r="U2718" s="113">
        <f t="shared" si="2932"/>
        <v>17.652040000000003</v>
      </c>
      <c r="V2718">
        <f t="shared" ref="V2718:W2718" si="2963">V2694</f>
        <v>2.7</v>
      </c>
      <c r="W2718">
        <f t="shared" si="2963"/>
        <v>3.2</v>
      </c>
      <c r="X2718" s="9">
        <v>-87.173292316667897</v>
      </c>
      <c r="Y2718" s="39"/>
    </row>
    <row r="2719" spans="1:25" ht="15" thickBot="1">
      <c r="A2719" s="149">
        <f t="shared" si="2914"/>
        <v>45949.166666662059</v>
      </c>
      <c r="B2719" s="30">
        <f t="shared" si="2941"/>
        <v>5000</v>
      </c>
      <c r="C2719" s="8">
        <v>25000</v>
      </c>
      <c r="D2719" s="187">
        <v>0</v>
      </c>
      <c r="E2719" s="187">
        <v>700</v>
      </c>
      <c r="F2719" s="187">
        <v>15000</v>
      </c>
      <c r="G2719" s="30">
        <f t="shared" si="2942"/>
        <v>2470</v>
      </c>
      <c r="H2719" s="8">
        <f t="shared" si="2942"/>
        <v>25000</v>
      </c>
      <c r="I2719" s="30">
        <f t="shared" si="2943"/>
        <v>5000</v>
      </c>
      <c r="J2719" s="187">
        <v>40000</v>
      </c>
      <c r="K2719" s="30">
        <f t="shared" si="2944"/>
        <v>5000</v>
      </c>
      <c r="L2719" s="187">
        <v>40000</v>
      </c>
      <c r="M2719" s="110">
        <v>9.5</v>
      </c>
      <c r="N2719" s="9">
        <f>VLOOKUP(DATE(YEAR(A2719),MONTH(A2719),DAY(A2719)),FY24_Temp[],3,FALSE)</f>
        <v>17.399999999999999</v>
      </c>
      <c r="O2719" s="110">
        <f t="shared" si="2930"/>
        <v>11.5</v>
      </c>
      <c r="P2719" s="110">
        <f t="shared" si="2931"/>
        <v>19.5</v>
      </c>
      <c r="Q2719" s="79">
        <f>VLOOKUP(VLOOKUP(DATEVALUE(TEXT(A2719,"m/d/yyyy")),FY24_Temp[],5,FALSE)&amp;TEXT(A2719,"-h"),TempDelta[],4,FALSE)</f>
        <v>0.69542856727327618</v>
      </c>
      <c r="R2719">
        <v>10</v>
      </c>
      <c r="S2719" s="112">
        <v>1500</v>
      </c>
      <c r="T2719" s="5">
        <f>VLOOKUP(TEXT(A2719,"yy-mm")&amp;"-"&amp;IF(AND(WEEKDAY(A2719)&gt;1,WEEKDAY(A2719)&lt;7),"Wkd",TEXT(A2719,"Ddd"))&amp;"-"&amp;TEXT(A2719,"hh"),LoadTable[],3,FALSE)*0.92</f>
        <v>176.52040000000002</v>
      </c>
      <c r="U2719" s="113">
        <f t="shared" si="2932"/>
        <v>17.652040000000003</v>
      </c>
      <c r="V2719">
        <f t="shared" ref="V2719:W2719" si="2964">V2695</f>
        <v>3</v>
      </c>
      <c r="W2719">
        <f t="shared" si="2964"/>
        <v>3.1</v>
      </c>
      <c r="X2719" s="9">
        <v>-87.251086866668004</v>
      </c>
      <c r="Y2719" s="39"/>
    </row>
    <row r="2720" spans="1:25" ht="15" thickBot="1">
      <c r="A2720" s="149">
        <f t="shared" si="2914"/>
        <v>45949.208333328723</v>
      </c>
      <c r="B2720" s="30">
        <f t="shared" si="2941"/>
        <v>5000</v>
      </c>
      <c r="C2720" s="8">
        <v>25000</v>
      </c>
      <c r="D2720" s="187">
        <v>0</v>
      </c>
      <c r="E2720" s="187">
        <v>700</v>
      </c>
      <c r="F2720" s="187">
        <v>15000</v>
      </c>
      <c r="G2720" s="30">
        <f t="shared" si="2942"/>
        <v>2470</v>
      </c>
      <c r="H2720" s="8">
        <f t="shared" si="2942"/>
        <v>25000</v>
      </c>
      <c r="I2720" s="30">
        <f t="shared" si="2943"/>
        <v>5000</v>
      </c>
      <c r="J2720" s="187">
        <v>40000</v>
      </c>
      <c r="K2720" s="30">
        <f t="shared" si="2944"/>
        <v>5000</v>
      </c>
      <c r="L2720" s="187">
        <v>40000</v>
      </c>
      <c r="M2720" s="110">
        <v>9.5</v>
      </c>
      <c r="N2720" s="9">
        <f>VLOOKUP(DATE(YEAR(A2720),MONTH(A2720),DAY(A2720)),FY24_Temp[],3,FALSE)</f>
        <v>17.399999999999999</v>
      </c>
      <c r="O2720" s="110">
        <f t="shared" si="2930"/>
        <v>11.5</v>
      </c>
      <c r="P2720" s="110">
        <f t="shared" si="2931"/>
        <v>19.5</v>
      </c>
      <c r="Q2720" s="79">
        <f>VLOOKUP(VLOOKUP(DATEVALUE(TEXT(A2720,"m/d/yyyy")),FY24_Temp[],5,FALSE)&amp;TEXT(A2720,"-h"),TempDelta[],4,FALSE)</f>
        <v>0.71114285503114971</v>
      </c>
      <c r="R2720">
        <v>10</v>
      </c>
      <c r="S2720" s="112">
        <v>1500</v>
      </c>
      <c r="T2720" s="5">
        <f>VLOOKUP(TEXT(A2720,"yy-mm")&amp;"-"&amp;IF(AND(WEEKDAY(A2720)&gt;1,WEEKDAY(A2720)&lt;7),"Wkd",TEXT(A2720,"Ddd"))&amp;"-"&amp;TEXT(A2720,"hh"),LoadTable[],3,FALSE)*0.92</f>
        <v>176.52040000000002</v>
      </c>
      <c r="U2720" s="113">
        <f t="shared" si="2932"/>
        <v>17.652040000000003</v>
      </c>
      <c r="V2720">
        <f t="shared" ref="V2720:W2720" si="2965">V2696</f>
        <v>2.9</v>
      </c>
      <c r="W2720">
        <f t="shared" si="2965"/>
        <v>3.1</v>
      </c>
      <c r="X2720" s="9">
        <v>-87.328881416667997</v>
      </c>
      <c r="Y2720" s="39"/>
    </row>
    <row r="2721" spans="1:25" ht="15" thickBot="1">
      <c r="A2721" s="149">
        <f t="shared" si="2914"/>
        <v>45949.249999995387</v>
      </c>
      <c r="B2721" s="30">
        <f t="shared" si="2941"/>
        <v>8000</v>
      </c>
      <c r="C2721" s="8">
        <v>25000</v>
      </c>
      <c r="D2721" s="187">
        <v>0</v>
      </c>
      <c r="E2721" s="187">
        <v>700</v>
      </c>
      <c r="F2721" s="187">
        <v>15000</v>
      </c>
      <c r="G2721" s="30">
        <f t="shared" si="2942"/>
        <v>2470</v>
      </c>
      <c r="H2721" s="8">
        <f t="shared" si="2942"/>
        <v>25000</v>
      </c>
      <c r="I2721" s="30">
        <f t="shared" si="2943"/>
        <v>8000</v>
      </c>
      <c r="J2721" s="187">
        <v>40000</v>
      </c>
      <c r="K2721" s="30">
        <f t="shared" si="2944"/>
        <v>8000</v>
      </c>
      <c r="L2721" s="187">
        <v>40000</v>
      </c>
      <c r="M2721" s="110">
        <v>9.5</v>
      </c>
      <c r="N2721" s="9">
        <f>VLOOKUP(DATE(YEAR(A2721),MONTH(A2721),DAY(A2721)),FY24_Temp[],3,FALSE)</f>
        <v>17.399999999999999</v>
      </c>
      <c r="O2721" s="110">
        <f t="shared" si="2930"/>
        <v>11.5</v>
      </c>
      <c r="P2721" s="110">
        <f t="shared" si="2931"/>
        <v>19.5</v>
      </c>
      <c r="Q2721" s="79">
        <f>VLOOKUP(VLOOKUP(DATEVALUE(TEXT(A2721,"m/d/yyyy")),FY24_Temp[],5,FALSE)&amp;TEXT(A2721,"-h"),TempDelta[],4,FALSE)</f>
        <v>0.56542856778417316</v>
      </c>
      <c r="R2721">
        <v>10</v>
      </c>
      <c r="S2721" s="112">
        <v>1500</v>
      </c>
      <c r="T2721" s="5">
        <f>VLOOKUP(TEXT(A2721,"yy-mm")&amp;"-"&amp;IF(AND(WEEKDAY(A2721)&gt;1,WEEKDAY(A2721)&lt;7),"Wkd",TEXT(A2721,"Ddd"))&amp;"-"&amp;TEXT(A2721,"hh"),LoadTable[],3,FALSE)*0.92</f>
        <v>234.80148</v>
      </c>
      <c r="U2721" s="113">
        <f t="shared" si="2932"/>
        <v>23.480148</v>
      </c>
      <c r="V2721">
        <f t="shared" ref="V2721:W2721" si="2966">V2697</f>
        <v>2.5</v>
      </c>
      <c r="W2721">
        <f t="shared" si="2966"/>
        <v>3.1</v>
      </c>
      <c r="X2721" s="9">
        <v>-87.406675966668004</v>
      </c>
      <c r="Y2721" s="39"/>
    </row>
    <row r="2722" spans="1:25" ht="15" thickBot="1">
      <c r="A2722" s="149">
        <f t="shared" si="2914"/>
        <v>45949.291666662051</v>
      </c>
      <c r="B2722" s="30">
        <f t="shared" si="2941"/>
        <v>8000</v>
      </c>
      <c r="C2722" s="8">
        <v>25000</v>
      </c>
      <c r="D2722" s="187">
        <v>0</v>
      </c>
      <c r="E2722" s="187">
        <v>700</v>
      </c>
      <c r="F2722" s="187">
        <v>15000</v>
      </c>
      <c r="G2722" s="30">
        <f t="shared" si="2942"/>
        <v>2470</v>
      </c>
      <c r="H2722" s="8">
        <f t="shared" si="2942"/>
        <v>25000</v>
      </c>
      <c r="I2722" s="30">
        <f t="shared" si="2943"/>
        <v>8000</v>
      </c>
      <c r="J2722" s="187">
        <v>40000</v>
      </c>
      <c r="K2722" s="30">
        <f t="shared" si="2944"/>
        <v>8000</v>
      </c>
      <c r="L2722" s="187">
        <v>40000</v>
      </c>
      <c r="M2722" s="110">
        <v>9.5</v>
      </c>
      <c r="N2722" s="9">
        <f>VLOOKUP(DATE(YEAR(A2722),MONTH(A2722),DAY(A2722)),FY24_Temp[],3,FALSE)</f>
        <v>17.399999999999999</v>
      </c>
      <c r="O2722" s="110">
        <f t="shared" si="2930"/>
        <v>11.5</v>
      </c>
      <c r="P2722" s="110">
        <f t="shared" si="2931"/>
        <v>19.5</v>
      </c>
      <c r="Q2722" s="79">
        <f>VLOOKUP(VLOOKUP(DATEVALUE(TEXT(A2722,"m/d/yyyy")),FY24_Temp[],5,FALSE)&amp;TEXT(A2722,"-h"),TempDelta[],4,FALSE)</f>
        <v>0.38785713911056519</v>
      </c>
      <c r="R2722">
        <v>10</v>
      </c>
      <c r="S2722" s="112">
        <v>1500</v>
      </c>
      <c r="T2722" s="5">
        <f>VLOOKUP(TEXT(A2722,"yy-mm")&amp;"-"&amp;IF(AND(WEEKDAY(A2722)&gt;1,WEEKDAY(A2722)&lt;7),"Wkd",TEXT(A2722,"Ddd"))&amp;"-"&amp;TEXT(A2722,"hh"),LoadTable[],3,FALSE)*0.92</f>
        <v>234.80148</v>
      </c>
      <c r="U2722" s="113">
        <f t="shared" si="2932"/>
        <v>23.480148</v>
      </c>
      <c r="V2722">
        <f t="shared" ref="V2722:W2722" si="2967">V2698</f>
        <v>2.5</v>
      </c>
      <c r="W2722">
        <f t="shared" si="2967"/>
        <v>3.1</v>
      </c>
      <c r="X2722" s="9">
        <v>-87.484470516667997</v>
      </c>
      <c r="Y2722" s="39"/>
    </row>
    <row r="2723" spans="1:25" ht="15" thickBot="1">
      <c r="A2723" s="149">
        <f t="shared" si="2914"/>
        <v>45949.333333328716</v>
      </c>
      <c r="B2723" s="30">
        <f t="shared" si="2941"/>
        <v>8000</v>
      </c>
      <c r="C2723" s="8">
        <v>25000</v>
      </c>
      <c r="D2723" s="187">
        <v>0</v>
      </c>
      <c r="E2723" s="187">
        <v>700</v>
      </c>
      <c r="F2723" s="187">
        <v>15000</v>
      </c>
      <c r="G2723" s="30">
        <f t="shared" si="2942"/>
        <v>2470</v>
      </c>
      <c r="H2723" s="8">
        <f t="shared" si="2942"/>
        <v>25000</v>
      </c>
      <c r="I2723" s="30">
        <f t="shared" si="2943"/>
        <v>8000</v>
      </c>
      <c r="J2723" s="187">
        <v>40000</v>
      </c>
      <c r="K2723" s="30">
        <f t="shared" si="2944"/>
        <v>8000</v>
      </c>
      <c r="L2723" s="187">
        <v>40000</v>
      </c>
      <c r="M2723" s="110">
        <v>9.5</v>
      </c>
      <c r="N2723" s="9">
        <f>VLOOKUP(DATE(YEAR(A2723),MONTH(A2723),DAY(A2723)),FY24_Temp[],3,FALSE)</f>
        <v>17.399999999999999</v>
      </c>
      <c r="O2723" s="110">
        <f t="shared" si="2930"/>
        <v>11.5</v>
      </c>
      <c r="P2723" s="110">
        <f t="shared" si="2931"/>
        <v>19.5</v>
      </c>
      <c r="Q2723" s="79">
        <f>VLOOKUP(VLOOKUP(DATEVALUE(TEXT(A2723,"m/d/yyyy")),FY24_Temp[],5,FALSE)&amp;TEXT(A2723,"-h"),TempDelta[],4,FALSE)</f>
        <v>0.28528571341718945</v>
      </c>
      <c r="R2723">
        <v>10</v>
      </c>
      <c r="S2723" s="112">
        <v>1500</v>
      </c>
      <c r="T2723" s="5">
        <f>VLOOKUP(TEXT(A2723,"yy-mm")&amp;"-"&amp;IF(AND(WEEKDAY(A2723)&gt;1,WEEKDAY(A2723)&lt;7),"Wkd",TEXT(A2723,"Ddd"))&amp;"-"&amp;TEXT(A2723,"hh"),LoadTable[],3,FALSE)*0.92</f>
        <v>234.80148</v>
      </c>
      <c r="U2723" s="113">
        <f t="shared" si="2932"/>
        <v>23.480148</v>
      </c>
      <c r="V2723">
        <f t="shared" ref="V2723:W2723" si="2968">V2699</f>
        <v>3.2</v>
      </c>
      <c r="W2723">
        <f t="shared" si="2968"/>
        <v>3</v>
      </c>
      <c r="X2723" s="9">
        <v>-87.562265066668004</v>
      </c>
      <c r="Y2723" s="39"/>
    </row>
    <row r="2724" spans="1:25" ht="15" thickBot="1">
      <c r="A2724" s="149">
        <f t="shared" si="2914"/>
        <v>45949.37499999538</v>
      </c>
      <c r="B2724" s="30">
        <f t="shared" si="2941"/>
        <v>8000</v>
      </c>
      <c r="C2724" s="8">
        <v>25000</v>
      </c>
      <c r="D2724" s="187">
        <v>0</v>
      </c>
      <c r="E2724" s="187">
        <v>700</v>
      </c>
      <c r="F2724" s="187">
        <v>15000</v>
      </c>
      <c r="G2724" s="30">
        <f t="shared" si="2942"/>
        <v>2470</v>
      </c>
      <c r="H2724" s="8">
        <f t="shared" si="2942"/>
        <v>25000</v>
      </c>
      <c r="I2724" s="30">
        <f t="shared" si="2943"/>
        <v>8000</v>
      </c>
      <c r="J2724" s="187">
        <v>40000</v>
      </c>
      <c r="K2724" s="30">
        <f t="shared" si="2944"/>
        <v>8000</v>
      </c>
      <c r="L2724" s="187">
        <v>40000</v>
      </c>
      <c r="M2724" s="110">
        <v>9.5</v>
      </c>
      <c r="N2724" s="9">
        <f>VLOOKUP(DATE(YEAR(A2724),MONTH(A2724),DAY(A2724)),FY24_Temp[],3,FALSE)</f>
        <v>17.399999999999999</v>
      </c>
      <c r="O2724" s="110">
        <f t="shared" si="2930"/>
        <v>11.5</v>
      </c>
      <c r="P2724" s="110">
        <f t="shared" si="2931"/>
        <v>19.5</v>
      </c>
      <c r="Q2724" s="79">
        <f>VLOOKUP(VLOOKUP(DATEVALUE(TEXT(A2724,"m/d/yyyy")),FY24_Temp[],5,FALSE)&amp;TEXT(A2724,"-h"),TempDelta[],4,FALSE)</f>
        <v>0.20714286076171057</v>
      </c>
      <c r="R2724">
        <v>10</v>
      </c>
      <c r="S2724" s="112">
        <v>1500</v>
      </c>
      <c r="T2724" s="5">
        <f>VLOOKUP(TEXT(A2724,"yy-mm")&amp;"-"&amp;IF(AND(WEEKDAY(A2724)&gt;1,WEEKDAY(A2724)&lt;7),"Wkd",TEXT(A2724,"Ddd"))&amp;"-"&amp;TEXT(A2724,"hh"),LoadTable[],3,FALSE)*0.92</f>
        <v>234.80148</v>
      </c>
      <c r="U2724" s="113">
        <f t="shared" si="2932"/>
        <v>23.480148</v>
      </c>
      <c r="V2724">
        <f t="shared" ref="V2724:W2724" si="2969">V2700</f>
        <v>2.9</v>
      </c>
      <c r="W2724">
        <f t="shared" si="2969"/>
        <v>3</v>
      </c>
      <c r="X2724" s="9">
        <v>-87.640059616667997</v>
      </c>
      <c r="Y2724" s="39"/>
    </row>
    <row r="2725" spans="1:25" ht="15" thickBot="1">
      <c r="A2725" s="149">
        <f t="shared" si="2914"/>
        <v>45949.416666662044</v>
      </c>
      <c r="B2725" s="30">
        <f t="shared" si="2941"/>
        <v>8000</v>
      </c>
      <c r="C2725" s="8">
        <v>25000</v>
      </c>
      <c r="D2725" s="187">
        <v>0</v>
      </c>
      <c r="E2725" s="187">
        <v>700</v>
      </c>
      <c r="F2725" s="187">
        <v>15000</v>
      </c>
      <c r="G2725" s="30">
        <f t="shared" si="2942"/>
        <v>2470</v>
      </c>
      <c r="H2725" s="8">
        <f t="shared" si="2942"/>
        <v>25000</v>
      </c>
      <c r="I2725" s="30">
        <f t="shared" si="2943"/>
        <v>8000</v>
      </c>
      <c r="J2725" s="187">
        <v>40000</v>
      </c>
      <c r="K2725" s="30">
        <f t="shared" si="2944"/>
        <v>8000</v>
      </c>
      <c r="L2725" s="187">
        <v>40000</v>
      </c>
      <c r="M2725" s="110">
        <v>9.5</v>
      </c>
      <c r="N2725" s="9">
        <f>VLOOKUP(DATE(YEAR(A2725),MONTH(A2725),DAY(A2725)),FY24_Temp[],3,FALSE)</f>
        <v>17.399999999999999</v>
      </c>
      <c r="O2725" s="110">
        <f t="shared" si="2930"/>
        <v>11.5</v>
      </c>
      <c r="P2725" s="110">
        <f t="shared" si="2931"/>
        <v>19.5</v>
      </c>
      <c r="Q2725" s="79">
        <f>VLOOKUP(VLOOKUP(DATEVALUE(TEXT(A2725,"m/d/yyyy")),FY24_Temp[],5,FALSE)&amp;TEXT(A2725,"-h"),TempDelta[],4,FALSE)</f>
        <v>0.1155714291547026</v>
      </c>
      <c r="R2725">
        <v>10</v>
      </c>
      <c r="S2725" s="112">
        <v>1500</v>
      </c>
      <c r="T2725" s="5">
        <f>VLOOKUP(TEXT(A2725,"yy-mm")&amp;"-"&amp;IF(AND(WEEKDAY(A2725)&gt;1,WEEKDAY(A2725)&lt;7),"Wkd",TEXT(A2725,"Ddd"))&amp;"-"&amp;TEXT(A2725,"hh"),LoadTable[],3,FALSE)*0.92</f>
        <v>234.80148</v>
      </c>
      <c r="U2725" s="113">
        <f t="shared" si="2932"/>
        <v>23.480148</v>
      </c>
      <c r="V2725">
        <f t="shared" ref="V2725:W2725" si="2970">V2701</f>
        <v>2.9</v>
      </c>
      <c r="W2725">
        <f t="shared" si="2970"/>
        <v>3</v>
      </c>
      <c r="X2725" s="9">
        <v>-87.717854166668005</v>
      </c>
      <c r="Y2725" s="39"/>
    </row>
    <row r="2726" spans="1:25" ht="15" thickBot="1">
      <c r="A2726" s="149">
        <f t="shared" si="2914"/>
        <v>45949.458333328708</v>
      </c>
      <c r="B2726" s="30">
        <f t="shared" si="2941"/>
        <v>8000</v>
      </c>
      <c r="C2726" s="8">
        <v>25000</v>
      </c>
      <c r="D2726" s="187">
        <v>0</v>
      </c>
      <c r="E2726" s="187">
        <v>700</v>
      </c>
      <c r="F2726" s="187">
        <v>15000</v>
      </c>
      <c r="G2726" s="30">
        <f t="shared" si="2942"/>
        <v>2470</v>
      </c>
      <c r="H2726" s="8">
        <f t="shared" si="2942"/>
        <v>25000</v>
      </c>
      <c r="I2726" s="30">
        <f t="shared" si="2943"/>
        <v>8000</v>
      </c>
      <c r="J2726" s="187">
        <v>40000</v>
      </c>
      <c r="K2726" s="30">
        <f t="shared" si="2944"/>
        <v>8000</v>
      </c>
      <c r="L2726" s="187">
        <v>40000</v>
      </c>
      <c r="M2726" s="110">
        <v>9.5</v>
      </c>
      <c r="N2726" s="9">
        <f>VLOOKUP(DATE(YEAR(A2726),MONTH(A2726),DAY(A2726)),FY24_Temp[],3,FALSE)</f>
        <v>17.399999999999999</v>
      </c>
      <c r="O2726" s="110">
        <f t="shared" si="2930"/>
        <v>11.5</v>
      </c>
      <c r="P2726" s="110">
        <f t="shared" si="2931"/>
        <v>19.5</v>
      </c>
      <c r="Q2726" s="79">
        <f>VLOOKUP(VLOOKUP(DATEVALUE(TEXT(A2726,"m/d/yyyy")),FY24_Temp[],5,FALSE)&amp;TEXT(A2726,"-h"),TempDelta[],4,FALSE)</f>
        <v>3.9428572037390301E-2</v>
      </c>
      <c r="R2726">
        <v>10</v>
      </c>
      <c r="S2726" s="112">
        <v>1500</v>
      </c>
      <c r="T2726" s="5">
        <f>VLOOKUP(TEXT(A2726,"yy-mm")&amp;"-"&amp;IF(AND(WEEKDAY(A2726)&gt;1,WEEKDAY(A2726)&lt;7),"Wkd",TEXT(A2726,"Ddd"))&amp;"-"&amp;TEXT(A2726,"hh"),LoadTable[],3,FALSE)*0.92</f>
        <v>234.80148</v>
      </c>
      <c r="U2726" s="113">
        <f t="shared" si="2932"/>
        <v>23.480148</v>
      </c>
      <c r="V2726">
        <f t="shared" ref="V2726:W2726" si="2971">V2702</f>
        <v>3.4</v>
      </c>
      <c r="W2726">
        <f t="shared" si="2971"/>
        <v>3</v>
      </c>
      <c r="X2726" s="9">
        <v>-87.795648716667998</v>
      </c>
      <c r="Y2726" s="39"/>
    </row>
    <row r="2727" spans="1:25" ht="15" thickBot="1">
      <c r="A2727" s="149">
        <f t="shared" si="2914"/>
        <v>45949.499999995372</v>
      </c>
      <c r="B2727" s="30">
        <f t="shared" si="2941"/>
        <v>8000</v>
      </c>
      <c r="C2727" s="8">
        <v>25000</v>
      </c>
      <c r="D2727" s="187">
        <v>0</v>
      </c>
      <c r="E2727" s="187">
        <v>700</v>
      </c>
      <c r="F2727" s="187">
        <v>15000</v>
      </c>
      <c r="G2727" s="30">
        <f t="shared" si="2942"/>
        <v>2470</v>
      </c>
      <c r="H2727" s="8">
        <f t="shared" si="2942"/>
        <v>25000</v>
      </c>
      <c r="I2727" s="30">
        <f t="shared" si="2943"/>
        <v>8000</v>
      </c>
      <c r="J2727" s="187">
        <v>40000</v>
      </c>
      <c r="K2727" s="30">
        <f t="shared" si="2944"/>
        <v>8000</v>
      </c>
      <c r="L2727" s="187">
        <v>40000</v>
      </c>
      <c r="M2727" s="110">
        <v>9.5</v>
      </c>
      <c r="N2727" s="9">
        <f>VLOOKUP(DATE(YEAR(A2727),MONTH(A2727),DAY(A2727)),FY24_Temp[],3,FALSE)</f>
        <v>17.399999999999999</v>
      </c>
      <c r="O2727" s="110">
        <f t="shared" si="2930"/>
        <v>11.5</v>
      </c>
      <c r="P2727" s="110">
        <f t="shared" si="2931"/>
        <v>19.5</v>
      </c>
      <c r="Q2727" s="79">
        <f>VLOOKUP(VLOOKUP(DATEVALUE(TEXT(A2727,"m/d/yyyy")),FY24_Temp[],5,FALSE)&amp;TEXT(A2727,"-h"),TempDelta[],4,FALSE)</f>
        <v>-1.5857143327593803E-2</v>
      </c>
      <c r="R2727">
        <v>10</v>
      </c>
      <c r="S2727" s="112">
        <v>1500</v>
      </c>
      <c r="T2727" s="5">
        <f>VLOOKUP(TEXT(A2727,"yy-mm")&amp;"-"&amp;IF(AND(WEEKDAY(A2727)&gt;1,WEEKDAY(A2727)&lt;7),"Wkd",TEXT(A2727,"Ddd"))&amp;"-"&amp;TEXT(A2727,"hh"),LoadTable[],3,FALSE)*0.92</f>
        <v>234.80148</v>
      </c>
      <c r="U2727" s="113">
        <f t="shared" si="2932"/>
        <v>23.480148</v>
      </c>
      <c r="V2727">
        <f t="shared" ref="V2727:W2727" si="2972">V2703</f>
        <v>3.1</v>
      </c>
      <c r="W2727">
        <f t="shared" si="2972"/>
        <v>2.9</v>
      </c>
      <c r="X2727" s="9">
        <v>-87.873443266668005</v>
      </c>
      <c r="Y2727" s="39"/>
    </row>
    <row r="2728" spans="1:25" ht="15" thickBot="1">
      <c r="A2728" s="149">
        <f t="shared" si="2914"/>
        <v>45949.541666662037</v>
      </c>
      <c r="B2728" s="30">
        <f t="shared" si="2941"/>
        <v>8000</v>
      </c>
      <c r="C2728" s="8">
        <v>25000</v>
      </c>
      <c r="D2728" s="187">
        <v>0</v>
      </c>
      <c r="E2728" s="187">
        <v>700</v>
      </c>
      <c r="F2728" s="187">
        <v>15000</v>
      </c>
      <c r="G2728" s="30">
        <f t="shared" si="2942"/>
        <v>2470</v>
      </c>
      <c r="H2728" s="8">
        <f t="shared" si="2942"/>
        <v>25000</v>
      </c>
      <c r="I2728" s="30">
        <f t="shared" si="2943"/>
        <v>8000</v>
      </c>
      <c r="J2728" s="187">
        <v>40000</v>
      </c>
      <c r="K2728" s="30">
        <f t="shared" si="2944"/>
        <v>8000</v>
      </c>
      <c r="L2728" s="187">
        <v>40000</v>
      </c>
      <c r="M2728" s="110">
        <v>9.5</v>
      </c>
      <c r="N2728" s="9">
        <f>VLOOKUP(DATE(YEAR(A2728),MONTH(A2728),DAY(A2728)),FY24_Temp[],3,FALSE)</f>
        <v>17.399999999999999</v>
      </c>
      <c r="O2728" s="110">
        <f t="shared" si="2930"/>
        <v>11.5</v>
      </c>
      <c r="P2728" s="110">
        <f t="shared" si="2931"/>
        <v>19.5</v>
      </c>
      <c r="Q2728" s="79">
        <f>VLOOKUP(VLOOKUP(DATEVALUE(TEXT(A2728,"m/d/yyyy")),FY24_Temp[],5,FALSE)&amp;TEXT(A2728,"-h"),TempDelta[],4,FALSE)</f>
        <v>-4.142857076866286E-2</v>
      </c>
      <c r="R2728">
        <v>10</v>
      </c>
      <c r="S2728" s="112">
        <v>1500</v>
      </c>
      <c r="T2728" s="5">
        <f>VLOOKUP(TEXT(A2728,"yy-mm")&amp;"-"&amp;IF(AND(WEEKDAY(A2728)&gt;1,WEEKDAY(A2728)&lt;7),"Wkd",TEXT(A2728,"Ddd"))&amp;"-"&amp;TEXT(A2728,"hh"),LoadTable[],3,FALSE)*0.92</f>
        <v>234.80148</v>
      </c>
      <c r="U2728" s="113">
        <f t="shared" si="2932"/>
        <v>23.480148</v>
      </c>
      <c r="V2728">
        <f t="shared" ref="V2728:W2728" si="2973">V2704</f>
        <v>3.2</v>
      </c>
      <c r="W2728">
        <f t="shared" si="2973"/>
        <v>2.9</v>
      </c>
      <c r="X2728" s="9">
        <v>-87.951237816667998</v>
      </c>
      <c r="Y2728" s="39"/>
    </row>
    <row r="2729" spans="1:25" ht="15" thickBot="1">
      <c r="A2729" s="149">
        <f t="shared" si="2914"/>
        <v>45949.583333328701</v>
      </c>
      <c r="B2729" s="30">
        <f t="shared" si="2941"/>
        <v>8000</v>
      </c>
      <c r="C2729" s="8">
        <v>25000</v>
      </c>
      <c r="D2729" s="187">
        <v>0</v>
      </c>
      <c r="E2729" s="187">
        <v>700</v>
      </c>
      <c r="F2729" s="187">
        <v>15000</v>
      </c>
      <c r="G2729" s="30">
        <f t="shared" si="2942"/>
        <v>2470</v>
      </c>
      <c r="H2729" s="8">
        <f t="shared" si="2942"/>
        <v>25000</v>
      </c>
      <c r="I2729" s="30">
        <f t="shared" si="2943"/>
        <v>8000</v>
      </c>
      <c r="J2729" s="187">
        <v>40000</v>
      </c>
      <c r="K2729" s="30">
        <f t="shared" si="2944"/>
        <v>8000</v>
      </c>
      <c r="L2729" s="187">
        <v>40000</v>
      </c>
      <c r="M2729" s="110">
        <v>9.5</v>
      </c>
      <c r="N2729" s="9">
        <f>VLOOKUP(DATE(YEAR(A2729),MONTH(A2729),DAY(A2729)),FY24_Temp[],3,FALSE)</f>
        <v>17.399999999999999</v>
      </c>
      <c r="O2729" s="110">
        <f t="shared" si="2930"/>
        <v>11.5</v>
      </c>
      <c r="P2729" s="110">
        <f t="shared" si="2931"/>
        <v>19.5</v>
      </c>
      <c r="Q2729" s="79">
        <f>VLOOKUP(VLOOKUP(DATEVALUE(TEXT(A2729,"m/d/yyyy")),FY24_Temp[],5,FALSE)&amp;TEXT(A2729,"-h"),TempDelta[],4,FALSE)</f>
        <v>1.5142858826688357E-2</v>
      </c>
      <c r="R2729">
        <v>10</v>
      </c>
      <c r="S2729" s="112">
        <v>1500</v>
      </c>
      <c r="T2729" s="5">
        <f>VLOOKUP(TEXT(A2729,"yy-mm")&amp;"-"&amp;IF(AND(WEEKDAY(A2729)&gt;1,WEEKDAY(A2729)&lt;7),"Wkd",TEXT(A2729,"Ddd"))&amp;"-"&amp;TEXT(A2729,"hh"),LoadTable[],3,FALSE)*0.92</f>
        <v>234.80148</v>
      </c>
      <c r="U2729" s="113">
        <f t="shared" si="2932"/>
        <v>23.480148</v>
      </c>
      <c r="V2729">
        <f t="shared" ref="V2729:W2729" si="2974">V2705</f>
        <v>3.5</v>
      </c>
      <c r="W2729">
        <f t="shared" si="2974"/>
        <v>2.9</v>
      </c>
      <c r="X2729" s="9">
        <v>-88.029032366668005</v>
      </c>
      <c r="Y2729" s="39"/>
    </row>
    <row r="2730" spans="1:25" ht="15" thickBot="1">
      <c r="A2730" s="149">
        <f t="shared" si="2914"/>
        <v>45949.624999995365</v>
      </c>
      <c r="B2730" s="30">
        <f t="shared" si="2941"/>
        <v>8000</v>
      </c>
      <c r="C2730" s="8">
        <v>25000</v>
      </c>
      <c r="D2730" s="187">
        <v>0</v>
      </c>
      <c r="E2730" s="187">
        <v>700</v>
      </c>
      <c r="F2730" s="187">
        <v>15000</v>
      </c>
      <c r="G2730" s="30">
        <f t="shared" si="2942"/>
        <v>2470</v>
      </c>
      <c r="H2730" s="8">
        <f t="shared" si="2942"/>
        <v>25000</v>
      </c>
      <c r="I2730" s="30">
        <f t="shared" si="2943"/>
        <v>8000</v>
      </c>
      <c r="J2730" s="187">
        <v>40000</v>
      </c>
      <c r="K2730" s="30">
        <f t="shared" si="2944"/>
        <v>8000</v>
      </c>
      <c r="L2730" s="187">
        <v>40000</v>
      </c>
      <c r="M2730" s="110">
        <v>9.5</v>
      </c>
      <c r="N2730" s="9">
        <f>VLOOKUP(DATE(YEAR(A2730),MONTH(A2730),DAY(A2730)),FY24_Temp[],3,FALSE)</f>
        <v>17.399999999999999</v>
      </c>
      <c r="O2730" s="110">
        <f t="shared" si="2930"/>
        <v>11.5</v>
      </c>
      <c r="P2730" s="110">
        <f t="shared" si="2931"/>
        <v>19.5</v>
      </c>
      <c r="Q2730" s="79">
        <f>VLOOKUP(VLOOKUP(DATEVALUE(TEXT(A2730,"m/d/yyyy")),FY24_Temp[],5,FALSE)&amp;TEXT(A2730,"-h"),TempDelta[],4,FALSE)</f>
        <v>0.10157142795755394</v>
      </c>
      <c r="R2730">
        <v>10</v>
      </c>
      <c r="S2730" s="112">
        <v>1500</v>
      </c>
      <c r="T2730" s="5">
        <f>VLOOKUP(TEXT(A2730,"yy-mm")&amp;"-"&amp;IF(AND(WEEKDAY(A2730)&gt;1,WEEKDAY(A2730)&lt;7),"Wkd",TEXT(A2730,"Ddd"))&amp;"-"&amp;TEXT(A2730,"hh"),LoadTable[],3,FALSE)*0.92</f>
        <v>234.80148</v>
      </c>
      <c r="U2730" s="113">
        <f t="shared" si="2932"/>
        <v>23.480148</v>
      </c>
      <c r="V2730">
        <f t="shared" ref="V2730:W2730" si="2975">V2706</f>
        <v>3.2</v>
      </c>
      <c r="W2730">
        <f t="shared" si="2975"/>
        <v>2.9</v>
      </c>
      <c r="X2730" s="9">
        <v>-88.106826916667998</v>
      </c>
      <c r="Y2730" s="39"/>
    </row>
    <row r="2731" spans="1:25" ht="15" thickBot="1">
      <c r="A2731" s="149">
        <f t="shared" si="2914"/>
        <v>45949.666666662029</v>
      </c>
      <c r="B2731" s="30">
        <f t="shared" si="2941"/>
        <v>8000</v>
      </c>
      <c r="C2731" s="8">
        <v>25000</v>
      </c>
      <c r="D2731" s="187">
        <v>0</v>
      </c>
      <c r="E2731" s="187">
        <v>700</v>
      </c>
      <c r="F2731" s="187">
        <v>15000</v>
      </c>
      <c r="G2731" s="30">
        <f t="shared" si="2942"/>
        <v>2470</v>
      </c>
      <c r="H2731" s="8">
        <f t="shared" si="2942"/>
        <v>25000</v>
      </c>
      <c r="I2731" s="30">
        <f t="shared" si="2943"/>
        <v>8000</v>
      </c>
      <c r="J2731" s="187">
        <v>40000</v>
      </c>
      <c r="K2731" s="30">
        <f t="shared" si="2944"/>
        <v>8000</v>
      </c>
      <c r="L2731" s="187">
        <v>40000</v>
      </c>
      <c r="M2731" s="110">
        <v>9.5</v>
      </c>
      <c r="N2731" s="9">
        <f>VLOOKUP(DATE(YEAR(A2731),MONTH(A2731),DAY(A2731)),FY24_Temp[],3,FALSE)</f>
        <v>17.399999999999999</v>
      </c>
      <c r="O2731" s="110">
        <f t="shared" si="2930"/>
        <v>11.5</v>
      </c>
      <c r="P2731" s="110">
        <f t="shared" si="2931"/>
        <v>19.5</v>
      </c>
      <c r="Q2731" s="79">
        <f>VLOOKUP(VLOOKUP(DATEVALUE(TEXT(A2731,"m/d/yyyy")),FY24_Temp[],5,FALSE)&amp;TEXT(A2731,"-h"),TempDelta[],4,FALSE)</f>
        <v>0.33192857301660944</v>
      </c>
      <c r="R2731">
        <v>10</v>
      </c>
      <c r="S2731" s="112">
        <v>1500</v>
      </c>
      <c r="T2731" s="5">
        <f>VLOOKUP(TEXT(A2731,"yy-mm")&amp;"-"&amp;IF(AND(WEEKDAY(A2731)&gt;1,WEEKDAY(A2731)&lt;7),"Wkd",TEXT(A2731,"Ddd"))&amp;"-"&amp;TEXT(A2731,"hh"),LoadTable[],3,FALSE)*0.92</f>
        <v>234.80148</v>
      </c>
      <c r="U2731" s="113">
        <f t="shared" si="2932"/>
        <v>23.480148</v>
      </c>
      <c r="V2731">
        <f t="shared" ref="V2731:W2731" si="2976">V2707</f>
        <v>3.5</v>
      </c>
      <c r="W2731">
        <f t="shared" si="2976"/>
        <v>3</v>
      </c>
      <c r="X2731" s="9">
        <v>-88.184621466668005</v>
      </c>
      <c r="Y2731" s="39"/>
    </row>
    <row r="2732" spans="1:25" ht="15" thickBot="1">
      <c r="A2732" s="149">
        <f t="shared" si="2914"/>
        <v>45949.708333328694</v>
      </c>
      <c r="B2732" s="30">
        <f t="shared" si="2941"/>
        <v>8000</v>
      </c>
      <c r="C2732" s="8">
        <v>25000</v>
      </c>
      <c r="D2732" s="187">
        <v>0</v>
      </c>
      <c r="E2732" s="187">
        <v>700</v>
      </c>
      <c r="F2732" s="187">
        <v>15000</v>
      </c>
      <c r="G2732" s="30">
        <f t="shared" si="2942"/>
        <v>2470</v>
      </c>
      <c r="H2732" s="8">
        <f t="shared" si="2942"/>
        <v>25000</v>
      </c>
      <c r="I2732" s="30">
        <f t="shared" si="2943"/>
        <v>8000</v>
      </c>
      <c r="J2732" s="187">
        <v>40000</v>
      </c>
      <c r="K2732" s="30">
        <f t="shared" si="2944"/>
        <v>8000</v>
      </c>
      <c r="L2732" s="187">
        <v>40000</v>
      </c>
      <c r="M2732" s="110">
        <v>9.5</v>
      </c>
      <c r="N2732" s="9">
        <f>VLOOKUP(DATE(YEAR(A2732),MONTH(A2732),DAY(A2732)),FY24_Temp[],3,FALSE)</f>
        <v>17.399999999999999</v>
      </c>
      <c r="O2732" s="110">
        <f t="shared" si="2930"/>
        <v>11.5</v>
      </c>
      <c r="P2732" s="110">
        <f t="shared" si="2931"/>
        <v>19.5</v>
      </c>
      <c r="Q2732" s="79">
        <f>VLOOKUP(VLOOKUP(DATEVALUE(TEXT(A2732,"m/d/yyyy")),FY24_Temp[],5,FALSE)&amp;TEXT(A2732,"-h"),TempDelta[],4,FALSE)</f>
        <v>0.44464285565274103</v>
      </c>
      <c r="R2732">
        <v>10</v>
      </c>
      <c r="S2732" s="112">
        <v>1500</v>
      </c>
      <c r="T2732" s="5">
        <f>VLOOKUP(TEXT(A2732,"yy-mm")&amp;"-"&amp;IF(AND(WEEKDAY(A2732)&gt;1,WEEKDAY(A2732)&lt;7),"Wkd",TEXT(A2732,"Ddd"))&amp;"-"&amp;TEXT(A2732,"hh"),LoadTable[],3,FALSE)*0.92</f>
        <v>234.80148</v>
      </c>
      <c r="U2732" s="113">
        <f t="shared" si="2932"/>
        <v>23.480148</v>
      </c>
      <c r="V2732">
        <f t="shared" ref="V2732:W2732" si="2977">V2708</f>
        <v>3.6</v>
      </c>
      <c r="W2732">
        <f t="shared" si="2977"/>
        <v>3</v>
      </c>
      <c r="X2732" s="9">
        <v>-88.262416016667999</v>
      </c>
      <c r="Y2732" s="39"/>
    </row>
    <row r="2733" spans="1:25" ht="15" thickBot="1">
      <c r="A2733" s="149">
        <f t="shared" si="2914"/>
        <v>45949.749999995358</v>
      </c>
      <c r="B2733" s="30">
        <f t="shared" si="2941"/>
        <v>5000</v>
      </c>
      <c r="C2733" s="8">
        <v>25000</v>
      </c>
      <c r="D2733" s="187">
        <v>0</v>
      </c>
      <c r="E2733" s="187">
        <v>700</v>
      </c>
      <c r="F2733" s="187">
        <v>15000</v>
      </c>
      <c r="G2733" s="30">
        <f t="shared" si="2942"/>
        <v>2470</v>
      </c>
      <c r="H2733" s="8">
        <f t="shared" si="2942"/>
        <v>25000</v>
      </c>
      <c r="I2733" s="30">
        <f t="shared" si="2943"/>
        <v>5000</v>
      </c>
      <c r="J2733" s="187">
        <v>40000</v>
      </c>
      <c r="K2733" s="30">
        <f t="shared" si="2944"/>
        <v>5000</v>
      </c>
      <c r="L2733" s="187">
        <v>40000</v>
      </c>
      <c r="M2733" s="110">
        <v>9.5</v>
      </c>
      <c r="N2733" s="9">
        <f>VLOOKUP(DATE(YEAR(A2733),MONTH(A2733),DAY(A2733)),FY24_Temp[],3,FALSE)</f>
        <v>17.399999999999999</v>
      </c>
      <c r="O2733" s="110">
        <f t="shared" si="2930"/>
        <v>11.5</v>
      </c>
      <c r="P2733" s="110">
        <f t="shared" si="2931"/>
        <v>19.5</v>
      </c>
      <c r="Q2733" s="79">
        <f>VLOOKUP(VLOOKUP(DATEVALUE(TEXT(A2733,"m/d/yyyy")),FY24_Temp[],5,FALSE)&amp;TEXT(A2733,"-h"),TempDelta[],4,FALSE)</f>
        <v>0.57671428365366795</v>
      </c>
      <c r="R2733">
        <v>10</v>
      </c>
      <c r="S2733" s="112">
        <v>1500</v>
      </c>
      <c r="T2733" s="5">
        <f>VLOOKUP(TEXT(A2733,"yy-mm")&amp;"-"&amp;IF(AND(WEEKDAY(A2733)&gt;1,WEEKDAY(A2733)&lt;7),"Wkd",TEXT(A2733,"Ddd"))&amp;"-"&amp;TEXT(A2733,"hh"),LoadTable[],3,FALSE)*0.92</f>
        <v>303.31295999999998</v>
      </c>
      <c r="U2733" s="113">
        <f t="shared" si="2932"/>
        <v>30.331295999999998</v>
      </c>
      <c r="V2733">
        <f t="shared" ref="V2733:W2733" si="2978">V2709</f>
        <v>2.9</v>
      </c>
      <c r="W2733">
        <f t="shared" si="2978"/>
        <v>3</v>
      </c>
      <c r="X2733" s="9">
        <v>-88.340210566668105</v>
      </c>
      <c r="Y2733" s="39"/>
    </row>
    <row r="2734" spans="1:25" ht="15" thickBot="1">
      <c r="A2734" s="149">
        <f t="shared" si="2914"/>
        <v>45949.791666662022</v>
      </c>
      <c r="B2734" s="30">
        <f t="shared" si="2941"/>
        <v>5000</v>
      </c>
      <c r="C2734" s="8">
        <v>25000</v>
      </c>
      <c r="D2734" s="187">
        <v>0</v>
      </c>
      <c r="E2734" s="187">
        <v>700</v>
      </c>
      <c r="F2734" s="187">
        <v>15000</v>
      </c>
      <c r="G2734" s="30">
        <f t="shared" si="2942"/>
        <v>2470</v>
      </c>
      <c r="H2734" s="8">
        <f t="shared" si="2942"/>
        <v>25000</v>
      </c>
      <c r="I2734" s="30">
        <f t="shared" si="2943"/>
        <v>5000</v>
      </c>
      <c r="J2734" s="187">
        <v>40000</v>
      </c>
      <c r="K2734" s="30">
        <f t="shared" si="2944"/>
        <v>5000</v>
      </c>
      <c r="L2734" s="187">
        <v>40000</v>
      </c>
      <c r="M2734" s="110">
        <v>9.5</v>
      </c>
      <c r="N2734" s="9">
        <f>VLOOKUP(DATE(YEAR(A2734),MONTH(A2734),DAY(A2734)),FY24_Temp[],3,FALSE)</f>
        <v>17.399999999999999</v>
      </c>
      <c r="O2734" s="110">
        <f t="shared" si="2930"/>
        <v>11.5</v>
      </c>
      <c r="P2734" s="110">
        <f t="shared" si="2931"/>
        <v>19.5</v>
      </c>
      <c r="Q2734" s="79">
        <f>VLOOKUP(VLOOKUP(DATEVALUE(TEXT(A2734,"m/d/yyyy")),FY24_Temp[],5,FALSE)&amp;TEXT(A2734,"-h"),TempDelta[],4,FALSE)</f>
        <v>0.5747142945017133</v>
      </c>
      <c r="R2734">
        <v>10</v>
      </c>
      <c r="S2734" s="112">
        <v>1500</v>
      </c>
      <c r="T2734" s="5">
        <f>VLOOKUP(TEXT(A2734,"yy-mm")&amp;"-"&amp;IF(AND(WEEKDAY(A2734)&gt;1,WEEKDAY(A2734)&lt;7),"Wkd",TEXT(A2734,"Ddd"))&amp;"-"&amp;TEXT(A2734,"hh"),LoadTable[],3,FALSE)*0.92</f>
        <v>303.31295999999998</v>
      </c>
      <c r="U2734" s="113">
        <f t="shared" si="2932"/>
        <v>30.331295999999998</v>
      </c>
      <c r="V2734">
        <f t="shared" ref="V2734:W2734" si="2979">V2710</f>
        <v>3</v>
      </c>
      <c r="W2734">
        <f t="shared" si="2979"/>
        <v>3</v>
      </c>
      <c r="X2734" s="9">
        <v>-88.418005116668098</v>
      </c>
      <c r="Y2734" s="39"/>
    </row>
    <row r="2735" spans="1:25" ht="15" thickBot="1">
      <c r="A2735" s="149">
        <f t="shared" si="2914"/>
        <v>45949.833333328686</v>
      </c>
      <c r="B2735" s="30">
        <f t="shared" si="2941"/>
        <v>5000</v>
      </c>
      <c r="C2735" s="8">
        <v>25000</v>
      </c>
      <c r="D2735" s="187">
        <v>0</v>
      </c>
      <c r="E2735" s="187">
        <v>700</v>
      </c>
      <c r="F2735" s="187">
        <v>15000</v>
      </c>
      <c r="G2735" s="30">
        <f t="shared" si="2942"/>
        <v>2470</v>
      </c>
      <c r="H2735" s="8">
        <f t="shared" si="2942"/>
        <v>25000</v>
      </c>
      <c r="I2735" s="30">
        <f t="shared" si="2943"/>
        <v>5000</v>
      </c>
      <c r="J2735" s="187">
        <v>40000</v>
      </c>
      <c r="K2735" s="30">
        <f t="shared" si="2944"/>
        <v>5000</v>
      </c>
      <c r="L2735" s="187">
        <v>40000</v>
      </c>
      <c r="M2735" s="110">
        <v>9.5</v>
      </c>
      <c r="N2735" s="9">
        <f>VLOOKUP(DATE(YEAR(A2735),MONTH(A2735),DAY(A2735)),FY24_Temp[],3,FALSE)</f>
        <v>17.399999999999999</v>
      </c>
      <c r="O2735" s="110">
        <f t="shared" si="2930"/>
        <v>11.5</v>
      </c>
      <c r="P2735" s="110">
        <f t="shared" si="2931"/>
        <v>19.5</v>
      </c>
      <c r="Q2735" s="79">
        <f>VLOOKUP(VLOOKUP(DATEVALUE(TEXT(A2735,"m/d/yyyy")),FY24_Temp[],5,FALSE)&amp;TEXT(A2735,"-h"),TempDelta[],4,FALSE)</f>
        <v>0.58807142717497685</v>
      </c>
      <c r="R2735">
        <v>10</v>
      </c>
      <c r="S2735" s="112">
        <v>1500</v>
      </c>
      <c r="T2735" s="5">
        <f>VLOOKUP(TEXT(A2735,"yy-mm")&amp;"-"&amp;IF(AND(WEEKDAY(A2735)&gt;1,WEEKDAY(A2735)&lt;7),"Wkd",TEXT(A2735,"Ddd"))&amp;"-"&amp;TEXT(A2735,"hh"),LoadTable[],3,FALSE)*0.92</f>
        <v>303.31295999999998</v>
      </c>
      <c r="U2735" s="113">
        <f t="shared" si="2932"/>
        <v>30.331295999999998</v>
      </c>
      <c r="V2735">
        <f t="shared" ref="V2735:W2735" si="2980">V2711</f>
        <v>2.8</v>
      </c>
      <c r="W2735">
        <f t="shared" si="2980"/>
        <v>3.1</v>
      </c>
      <c r="X2735" s="9">
        <v>-88.495799666668105</v>
      </c>
      <c r="Y2735" s="39"/>
    </row>
    <row r="2736" spans="1:25" ht="15" thickBot="1">
      <c r="A2736" s="149">
        <f t="shared" si="2914"/>
        <v>45949.874999995351</v>
      </c>
      <c r="B2736" s="30">
        <f t="shared" si="2941"/>
        <v>5000</v>
      </c>
      <c r="C2736" s="8">
        <v>25000</v>
      </c>
      <c r="D2736" s="187">
        <v>0</v>
      </c>
      <c r="E2736" s="187">
        <v>700</v>
      </c>
      <c r="F2736" s="187">
        <v>15000</v>
      </c>
      <c r="G2736" s="30">
        <f t="shared" si="2942"/>
        <v>2470</v>
      </c>
      <c r="H2736" s="8">
        <f t="shared" si="2942"/>
        <v>25000</v>
      </c>
      <c r="I2736" s="30">
        <f t="shared" si="2943"/>
        <v>5000</v>
      </c>
      <c r="J2736" s="187">
        <v>40000</v>
      </c>
      <c r="K2736" s="30">
        <f t="shared" si="2944"/>
        <v>5000</v>
      </c>
      <c r="L2736" s="187">
        <v>40000</v>
      </c>
      <c r="M2736" s="110">
        <v>9.5</v>
      </c>
      <c r="N2736" s="9">
        <f>VLOOKUP(DATE(YEAR(A2736),MONTH(A2736),DAY(A2736)),FY24_Temp[],3,FALSE)</f>
        <v>17.399999999999999</v>
      </c>
      <c r="O2736" s="110">
        <f t="shared" si="2930"/>
        <v>11.5</v>
      </c>
      <c r="P2736" s="110">
        <f t="shared" si="2931"/>
        <v>19.5</v>
      </c>
      <c r="Q2736" s="79">
        <f>VLOOKUP(VLOOKUP(DATEVALUE(TEXT(A2736,"m/d/yyyy")),FY24_Temp[],5,FALSE)&amp;TEXT(A2736,"-h"),TempDelta[],4,FALSE)</f>
        <v>0.58742856766496387</v>
      </c>
      <c r="R2736">
        <v>10</v>
      </c>
      <c r="S2736" s="112">
        <v>1500</v>
      </c>
      <c r="T2736" s="5">
        <f>VLOOKUP(TEXT(A2736,"yy-mm")&amp;"-"&amp;IF(AND(WEEKDAY(A2736)&gt;1,WEEKDAY(A2736)&lt;7),"Wkd",TEXT(A2736,"Ddd"))&amp;"-"&amp;TEXT(A2736,"hh"),LoadTable[],3,FALSE)*0.92</f>
        <v>229.93744000000001</v>
      </c>
      <c r="U2736" s="113">
        <f t="shared" si="2932"/>
        <v>22.993744</v>
      </c>
      <c r="V2736">
        <f t="shared" ref="V2736:W2736" si="2981">V2712</f>
        <v>3.5</v>
      </c>
      <c r="W2736">
        <f t="shared" si="2981"/>
        <v>3.1</v>
      </c>
      <c r="X2736" s="9">
        <v>-88.573594216668099</v>
      </c>
      <c r="Y2736" s="39"/>
    </row>
    <row r="2737" spans="1:25" ht="15" thickBot="1">
      <c r="A2737" s="149">
        <f t="shared" si="2914"/>
        <v>45949.916666662015</v>
      </c>
      <c r="B2737" s="30">
        <f t="shared" si="2941"/>
        <v>5000</v>
      </c>
      <c r="C2737" s="8">
        <v>25000</v>
      </c>
      <c r="D2737" s="187">
        <v>0</v>
      </c>
      <c r="E2737" s="187">
        <v>700</v>
      </c>
      <c r="F2737" s="187">
        <v>15000</v>
      </c>
      <c r="G2737" s="30">
        <f t="shared" si="2942"/>
        <v>2470</v>
      </c>
      <c r="H2737" s="8">
        <f t="shared" si="2942"/>
        <v>25000</v>
      </c>
      <c r="I2737" s="30">
        <f t="shared" si="2943"/>
        <v>5000</v>
      </c>
      <c r="J2737" s="187">
        <v>40000</v>
      </c>
      <c r="K2737" s="30">
        <f t="shared" si="2944"/>
        <v>5000</v>
      </c>
      <c r="L2737" s="187">
        <v>40000</v>
      </c>
      <c r="M2737" s="110">
        <v>9.5</v>
      </c>
      <c r="N2737" s="9">
        <f>VLOOKUP(DATE(YEAR(A2737),MONTH(A2737),DAY(A2737)),FY24_Temp[],3,FALSE)</f>
        <v>17.399999999999999</v>
      </c>
      <c r="O2737" s="110">
        <f t="shared" si="2930"/>
        <v>11.5</v>
      </c>
      <c r="P2737" s="110">
        <f t="shared" si="2931"/>
        <v>19.5</v>
      </c>
      <c r="Q2737" s="79">
        <f>VLOOKUP(VLOOKUP(DATEVALUE(TEXT(A2737,"m/d/yyyy")),FY24_Temp[],5,FALSE)&amp;TEXT(A2737,"-h"),TempDelta[],4,FALSE)</f>
        <v>0.81528571673801964</v>
      </c>
      <c r="R2737">
        <v>10</v>
      </c>
      <c r="S2737" s="112">
        <v>1500</v>
      </c>
      <c r="T2737" s="5">
        <f>VLOOKUP(TEXT(A2737,"yy-mm")&amp;"-"&amp;IF(AND(WEEKDAY(A2737)&gt;1,WEEKDAY(A2737)&lt;7),"Wkd",TEXT(A2737,"Ddd"))&amp;"-"&amp;TEXT(A2737,"hh"),LoadTable[],3,FALSE)*0.92</f>
        <v>176.52040000000002</v>
      </c>
      <c r="U2737" s="113">
        <f t="shared" si="2932"/>
        <v>17.652040000000003</v>
      </c>
      <c r="V2737">
        <f t="shared" ref="V2737:W2737" si="2982">V2713</f>
        <v>2.9</v>
      </c>
      <c r="W2737">
        <f t="shared" si="2982"/>
        <v>3.1</v>
      </c>
      <c r="X2737" s="9">
        <v>-88.651388766668106</v>
      </c>
      <c r="Y2737" s="39"/>
    </row>
    <row r="2738" spans="1:25" ht="15" thickBot="1">
      <c r="A2738" s="149">
        <f t="shared" si="2914"/>
        <v>45949.958333328679</v>
      </c>
      <c r="B2738" s="30">
        <f t="shared" si="2941"/>
        <v>5000</v>
      </c>
      <c r="C2738" s="8">
        <v>25000</v>
      </c>
      <c r="D2738" s="187">
        <v>0</v>
      </c>
      <c r="E2738" s="187">
        <v>700</v>
      </c>
      <c r="F2738" s="187">
        <v>15000</v>
      </c>
      <c r="G2738" s="30">
        <f t="shared" si="2942"/>
        <v>2470</v>
      </c>
      <c r="H2738" s="8">
        <f t="shared" si="2942"/>
        <v>25000</v>
      </c>
      <c r="I2738" s="30">
        <f t="shared" si="2943"/>
        <v>5000</v>
      </c>
      <c r="J2738" s="187">
        <v>40000</v>
      </c>
      <c r="K2738" s="30">
        <f t="shared" si="2944"/>
        <v>5000</v>
      </c>
      <c r="L2738" s="187">
        <v>40000</v>
      </c>
      <c r="M2738" s="110">
        <v>9.5</v>
      </c>
      <c r="N2738" s="9">
        <f>VLOOKUP(DATE(YEAR(A2738),MONTH(A2738),DAY(A2738)),FY24_Temp[],3,FALSE)</f>
        <v>17.399999999999999</v>
      </c>
      <c r="O2738" s="110">
        <f t="shared" si="2930"/>
        <v>11.5</v>
      </c>
      <c r="P2738" s="110">
        <f t="shared" si="2931"/>
        <v>19.5</v>
      </c>
      <c r="Q2738" s="79">
        <f>VLOOKUP(VLOOKUP(DATEVALUE(TEXT(A2738,"m/d/yyyy")),FY24_Temp[],5,FALSE)&amp;TEXT(A2738,"-h"),TempDelta[],4,FALSE)</f>
        <v>0.93885714667184017</v>
      </c>
      <c r="R2738">
        <v>10</v>
      </c>
      <c r="S2738" s="112">
        <v>1500</v>
      </c>
      <c r="T2738" s="5">
        <f>VLOOKUP(TEXT(A2738,"yy-mm")&amp;"-"&amp;IF(AND(WEEKDAY(A2738)&gt;1,WEEKDAY(A2738)&lt;7),"Wkd",TEXT(A2738,"Ddd"))&amp;"-"&amp;TEXT(A2738,"hh"),LoadTable[],3,FALSE)*0.92</f>
        <v>176.52040000000002</v>
      </c>
      <c r="U2738" s="113">
        <f t="shared" si="2932"/>
        <v>17.652040000000003</v>
      </c>
      <c r="V2738">
        <f t="shared" ref="V2738:W2738" si="2983">V2714</f>
        <v>3.6</v>
      </c>
      <c r="W2738">
        <f t="shared" si="2983"/>
        <v>3.1</v>
      </c>
      <c r="X2738" s="9">
        <v>-88.729183316668099</v>
      </c>
      <c r="Y2738" s="39"/>
    </row>
    <row r="2739" spans="1:25" ht="15" thickBot="1">
      <c r="A2739" s="149">
        <f t="shared" si="2914"/>
        <v>45949.999999995343</v>
      </c>
      <c r="B2739" s="30">
        <f t="shared" si="2941"/>
        <v>5000</v>
      </c>
      <c r="C2739" s="8">
        <v>25000</v>
      </c>
      <c r="D2739" s="187">
        <v>0</v>
      </c>
      <c r="E2739" s="187">
        <v>700</v>
      </c>
      <c r="F2739" s="187">
        <v>15000</v>
      </c>
      <c r="G2739" s="30">
        <f t="shared" si="2942"/>
        <v>2470</v>
      </c>
      <c r="H2739" s="8">
        <f t="shared" si="2942"/>
        <v>25000</v>
      </c>
      <c r="I2739" s="30">
        <f t="shared" si="2943"/>
        <v>5000</v>
      </c>
      <c r="J2739" s="187">
        <v>40000</v>
      </c>
      <c r="K2739" s="30">
        <f t="shared" si="2944"/>
        <v>5000</v>
      </c>
      <c r="L2739" s="187">
        <v>40000</v>
      </c>
      <c r="M2739" s="110">
        <v>9.5</v>
      </c>
      <c r="N2739" s="9">
        <f>VLOOKUP(DATE(YEAR(A2739),MONTH(A2739),DAY(A2739)),FY24_Temp[],3,FALSE)</f>
        <v>17.399999999999999</v>
      </c>
      <c r="O2739" s="110">
        <f t="shared" si="2930"/>
        <v>11.5</v>
      </c>
      <c r="P2739" s="110">
        <f t="shared" si="2931"/>
        <v>19.5</v>
      </c>
      <c r="Q2739" s="79">
        <f>VLOOKUP(VLOOKUP(DATEVALUE(TEXT(A2739,"m/d/yyyy")),FY24_Temp[],5,FALSE)&amp;TEXT(A2739,"-h"),TempDelta[],4,FALSE)</f>
        <v>1.0217142956597465</v>
      </c>
      <c r="R2739">
        <v>10</v>
      </c>
      <c r="S2739" s="112">
        <v>1500</v>
      </c>
      <c r="T2739" s="5">
        <f>VLOOKUP(TEXT(A2739,"yy-mm")&amp;"-"&amp;IF(AND(WEEKDAY(A2739)&gt;1,WEEKDAY(A2739)&lt;7),"Wkd",TEXT(A2739,"Ddd"))&amp;"-"&amp;TEXT(A2739,"hh"),LoadTable[],3,FALSE)*0.92</f>
        <v>209.6772</v>
      </c>
      <c r="U2739" s="113">
        <f t="shared" si="2932"/>
        <v>20.96772</v>
      </c>
      <c r="V2739">
        <f t="shared" ref="V2739:W2739" si="2984">V2715</f>
        <v>3</v>
      </c>
      <c r="W2739">
        <f t="shared" si="2984"/>
        <v>3.2</v>
      </c>
      <c r="X2739" s="9">
        <v>-88.806977866668106</v>
      </c>
      <c r="Y2739" s="39"/>
    </row>
    <row r="2740" spans="1:25" ht="15" thickBot="1">
      <c r="A2740" s="149">
        <f t="shared" si="2914"/>
        <v>45950.041666662008</v>
      </c>
      <c r="B2740" s="30">
        <f t="shared" si="2941"/>
        <v>5000</v>
      </c>
      <c r="C2740" s="8">
        <v>25000</v>
      </c>
      <c r="D2740" s="187">
        <v>0</v>
      </c>
      <c r="E2740" s="187">
        <v>700</v>
      </c>
      <c r="F2740" s="187">
        <v>15000</v>
      </c>
      <c r="G2740" s="30">
        <f t="shared" si="2942"/>
        <v>2470</v>
      </c>
      <c r="H2740" s="8">
        <f t="shared" si="2942"/>
        <v>25000</v>
      </c>
      <c r="I2740" s="30">
        <f t="shared" si="2943"/>
        <v>5000</v>
      </c>
      <c r="J2740" s="187">
        <v>40000</v>
      </c>
      <c r="K2740" s="30">
        <f t="shared" si="2944"/>
        <v>5000</v>
      </c>
      <c r="L2740" s="187">
        <v>40000</v>
      </c>
      <c r="M2740" s="110">
        <v>9.5</v>
      </c>
      <c r="N2740" s="9">
        <f>VLOOKUP(DATE(YEAR(A2740),MONTH(A2740),DAY(A2740)),FY24_Temp[],3,FALSE)</f>
        <v>17.399999999999999</v>
      </c>
      <c r="O2740" s="110">
        <f t="shared" si="2930"/>
        <v>11.5</v>
      </c>
      <c r="P2740" s="110">
        <f t="shared" si="2931"/>
        <v>19.5</v>
      </c>
      <c r="Q2740" s="79">
        <f>VLOOKUP(VLOOKUP(DATEVALUE(TEXT(A2740,"m/d/yyyy")),FY24_Temp[],5,FALSE)&amp;TEXT(A2740,"-h"),TempDelta[],4,FALSE)</f>
        <v>0.97999998501368935</v>
      </c>
      <c r="R2740">
        <v>10</v>
      </c>
      <c r="S2740" s="112">
        <v>1500</v>
      </c>
      <c r="T2740" s="5">
        <f>VLOOKUP(TEXT(A2740,"yy-mm")&amp;"-"&amp;IF(AND(WEEKDAY(A2740)&gt;1,WEEKDAY(A2740)&lt;7),"Wkd",TEXT(A2740,"Ddd"))&amp;"-"&amp;TEXT(A2740,"hh"),LoadTable[],3,FALSE)*0.92</f>
        <v>209.6772</v>
      </c>
      <c r="U2740" s="113">
        <f t="shared" si="2932"/>
        <v>20.96772</v>
      </c>
      <c r="V2740">
        <f t="shared" ref="V2740:W2740" si="2985">V2716</f>
        <v>2.6</v>
      </c>
      <c r="W2740">
        <f t="shared" si="2985"/>
        <v>3.2</v>
      </c>
      <c r="X2740" s="9">
        <v>-88.884772416668099</v>
      </c>
      <c r="Y2740" s="39"/>
    </row>
    <row r="2741" spans="1:25" ht="15" thickBot="1">
      <c r="A2741" s="149">
        <f t="shared" ref="A2741:A2804" si="2986">A2740+TIME(1,0,0)</f>
        <v>45950.083333328672</v>
      </c>
      <c r="B2741" s="30">
        <f t="shared" si="2941"/>
        <v>5000</v>
      </c>
      <c r="C2741" s="8">
        <v>25000</v>
      </c>
      <c r="D2741" s="187">
        <v>0</v>
      </c>
      <c r="E2741" s="187">
        <v>700</v>
      </c>
      <c r="F2741" s="187">
        <v>15000</v>
      </c>
      <c r="G2741" s="30">
        <f t="shared" si="2942"/>
        <v>2470</v>
      </c>
      <c r="H2741" s="8">
        <f t="shared" si="2942"/>
        <v>25000</v>
      </c>
      <c r="I2741" s="30">
        <f t="shared" si="2943"/>
        <v>5000</v>
      </c>
      <c r="J2741" s="187">
        <v>40000</v>
      </c>
      <c r="K2741" s="30">
        <f t="shared" si="2944"/>
        <v>5000</v>
      </c>
      <c r="L2741" s="187">
        <v>40000</v>
      </c>
      <c r="M2741" s="110">
        <v>9.5</v>
      </c>
      <c r="N2741" s="9">
        <f>VLOOKUP(DATE(YEAR(A2741),MONTH(A2741),DAY(A2741)),FY24_Temp[],3,FALSE)</f>
        <v>17.399999999999999</v>
      </c>
      <c r="O2741" s="110">
        <f t="shared" si="2930"/>
        <v>11.5</v>
      </c>
      <c r="P2741" s="110">
        <f t="shared" si="2931"/>
        <v>19.5</v>
      </c>
      <c r="Q2741" s="79">
        <f>VLOOKUP(VLOOKUP(DATEVALUE(TEXT(A2741,"m/d/yyyy")),FY24_Temp[],5,FALSE)&amp;TEXT(A2741,"-h"),TempDelta[],4,FALSE)</f>
        <v>0.89157142809459144</v>
      </c>
      <c r="R2741">
        <v>10</v>
      </c>
      <c r="S2741" s="112">
        <v>1500</v>
      </c>
      <c r="T2741" s="5">
        <f>VLOOKUP(TEXT(A2741,"yy-mm")&amp;"-"&amp;IF(AND(WEEKDAY(A2741)&gt;1,WEEKDAY(A2741)&lt;7),"Wkd",TEXT(A2741,"Ddd"))&amp;"-"&amp;TEXT(A2741,"hh"),LoadTable[],3,FALSE)*0.92</f>
        <v>209.6772</v>
      </c>
      <c r="U2741" s="113">
        <f t="shared" si="2932"/>
        <v>20.96772</v>
      </c>
      <c r="V2741">
        <f t="shared" ref="V2741:W2741" si="2987">V2717</f>
        <v>2.8</v>
      </c>
      <c r="W2741">
        <f t="shared" si="2987"/>
        <v>3.2</v>
      </c>
      <c r="X2741" s="9">
        <v>-88.962566966668106</v>
      </c>
      <c r="Y2741" s="39"/>
    </row>
    <row r="2742" spans="1:25" ht="15" thickBot="1">
      <c r="A2742" s="149">
        <f t="shared" si="2986"/>
        <v>45950.124999995336</v>
      </c>
      <c r="B2742" s="30">
        <f t="shared" si="2941"/>
        <v>5000</v>
      </c>
      <c r="C2742" s="8">
        <v>25000</v>
      </c>
      <c r="D2742" s="187">
        <v>0</v>
      </c>
      <c r="E2742" s="187">
        <v>700</v>
      </c>
      <c r="F2742" s="187">
        <v>15000</v>
      </c>
      <c r="G2742" s="30">
        <f t="shared" si="2942"/>
        <v>2470</v>
      </c>
      <c r="H2742" s="8">
        <f t="shared" si="2942"/>
        <v>25000</v>
      </c>
      <c r="I2742" s="30">
        <f t="shared" si="2943"/>
        <v>5000</v>
      </c>
      <c r="J2742" s="187">
        <v>40000</v>
      </c>
      <c r="K2742" s="30">
        <f t="shared" si="2944"/>
        <v>5000</v>
      </c>
      <c r="L2742" s="187">
        <v>40000</v>
      </c>
      <c r="M2742" s="110">
        <v>9.5</v>
      </c>
      <c r="N2742" s="9">
        <f>VLOOKUP(DATE(YEAR(A2742),MONTH(A2742),DAY(A2742)),FY24_Temp[],3,FALSE)</f>
        <v>17.399999999999999</v>
      </c>
      <c r="O2742" s="110">
        <f t="shared" si="2930"/>
        <v>11.5</v>
      </c>
      <c r="P2742" s="110">
        <f t="shared" si="2931"/>
        <v>19.5</v>
      </c>
      <c r="Q2742" s="79">
        <f>VLOOKUP(VLOOKUP(DATEVALUE(TEXT(A2742,"m/d/yyyy")),FY24_Temp[],5,FALSE)&amp;TEXT(A2742,"-h"),TempDelta[],4,FALSE)</f>
        <v>0.78457142625536236</v>
      </c>
      <c r="R2742">
        <v>10</v>
      </c>
      <c r="S2742" s="112">
        <v>1500</v>
      </c>
      <c r="T2742" s="5">
        <f>VLOOKUP(TEXT(A2742,"yy-mm")&amp;"-"&amp;IF(AND(WEEKDAY(A2742)&gt;1,WEEKDAY(A2742)&lt;7),"Wkd",TEXT(A2742,"Ddd"))&amp;"-"&amp;TEXT(A2742,"hh"),LoadTable[],3,FALSE)*0.92</f>
        <v>209.6772</v>
      </c>
      <c r="U2742" s="113">
        <f t="shared" si="2932"/>
        <v>20.96772</v>
      </c>
      <c r="V2742">
        <f t="shared" ref="V2742:W2742" si="2988">V2718</f>
        <v>2.7</v>
      </c>
      <c r="W2742">
        <f t="shared" si="2988"/>
        <v>3.2</v>
      </c>
      <c r="X2742" s="9">
        <v>-89.040361516668099</v>
      </c>
      <c r="Y2742" s="39"/>
    </row>
    <row r="2743" spans="1:25" ht="15" thickBot="1">
      <c r="A2743" s="149">
        <f t="shared" si="2986"/>
        <v>45950.166666662</v>
      </c>
      <c r="B2743" s="30">
        <f t="shared" si="2941"/>
        <v>5000</v>
      </c>
      <c r="C2743" s="8">
        <v>25000</v>
      </c>
      <c r="D2743" s="187">
        <v>0</v>
      </c>
      <c r="E2743" s="187">
        <v>700</v>
      </c>
      <c r="F2743" s="187">
        <v>15000</v>
      </c>
      <c r="G2743" s="30">
        <f t="shared" si="2942"/>
        <v>2470</v>
      </c>
      <c r="H2743" s="8">
        <f t="shared" si="2942"/>
        <v>25000</v>
      </c>
      <c r="I2743" s="30">
        <f t="shared" si="2943"/>
        <v>5000</v>
      </c>
      <c r="J2743" s="187">
        <v>40000</v>
      </c>
      <c r="K2743" s="30">
        <f t="shared" si="2944"/>
        <v>5000</v>
      </c>
      <c r="L2743" s="187">
        <v>40000</v>
      </c>
      <c r="M2743" s="110">
        <v>9.5</v>
      </c>
      <c r="N2743" s="9">
        <f>VLOOKUP(DATE(YEAR(A2743),MONTH(A2743),DAY(A2743)),FY24_Temp[],3,FALSE)</f>
        <v>17.399999999999999</v>
      </c>
      <c r="O2743" s="110">
        <f t="shared" si="2930"/>
        <v>11.5</v>
      </c>
      <c r="P2743" s="110">
        <f t="shared" si="2931"/>
        <v>19.5</v>
      </c>
      <c r="Q2743" s="79">
        <f>VLOOKUP(VLOOKUP(DATEVALUE(TEXT(A2743,"m/d/yyyy")),FY24_Temp[],5,FALSE)&amp;TEXT(A2743,"-h"),TempDelta[],4,FALSE)</f>
        <v>0.69542856727327618</v>
      </c>
      <c r="R2743">
        <v>10</v>
      </c>
      <c r="S2743" s="112">
        <v>1500</v>
      </c>
      <c r="T2743" s="5">
        <f>VLOOKUP(TEXT(A2743,"yy-mm")&amp;"-"&amp;IF(AND(WEEKDAY(A2743)&gt;1,WEEKDAY(A2743)&lt;7),"Wkd",TEXT(A2743,"Ddd"))&amp;"-"&amp;TEXT(A2743,"hh"),LoadTable[],3,FALSE)*0.92</f>
        <v>209.6772</v>
      </c>
      <c r="U2743" s="113">
        <f t="shared" si="2932"/>
        <v>20.96772</v>
      </c>
      <c r="V2743">
        <f t="shared" ref="V2743:W2743" si="2989">V2719</f>
        <v>3</v>
      </c>
      <c r="W2743">
        <f t="shared" si="2989"/>
        <v>3.1</v>
      </c>
      <c r="X2743" s="9">
        <v>-89.118156066668107</v>
      </c>
      <c r="Y2743" s="39"/>
    </row>
    <row r="2744" spans="1:25" ht="15" thickBot="1">
      <c r="A2744" s="149">
        <f t="shared" si="2986"/>
        <v>45950.208333328665</v>
      </c>
      <c r="B2744" s="30">
        <f t="shared" si="2941"/>
        <v>5000</v>
      </c>
      <c r="C2744" s="8">
        <v>25000</v>
      </c>
      <c r="D2744" s="187">
        <v>0</v>
      </c>
      <c r="E2744" s="187">
        <v>700</v>
      </c>
      <c r="F2744" s="187">
        <v>15000</v>
      </c>
      <c r="G2744" s="30">
        <f t="shared" si="2942"/>
        <v>2470</v>
      </c>
      <c r="H2744" s="8">
        <f t="shared" si="2942"/>
        <v>25000</v>
      </c>
      <c r="I2744" s="30">
        <f t="shared" si="2943"/>
        <v>5000</v>
      </c>
      <c r="J2744" s="187">
        <v>40000</v>
      </c>
      <c r="K2744" s="30">
        <f t="shared" si="2944"/>
        <v>5000</v>
      </c>
      <c r="L2744" s="187">
        <v>40000</v>
      </c>
      <c r="M2744" s="110">
        <v>9.5</v>
      </c>
      <c r="N2744" s="9">
        <f>VLOOKUP(DATE(YEAR(A2744),MONTH(A2744),DAY(A2744)),FY24_Temp[],3,FALSE)</f>
        <v>17.399999999999999</v>
      </c>
      <c r="O2744" s="110">
        <f t="shared" si="2930"/>
        <v>11.5</v>
      </c>
      <c r="P2744" s="110">
        <f t="shared" si="2931"/>
        <v>19.5</v>
      </c>
      <c r="Q2744" s="79">
        <f>VLOOKUP(VLOOKUP(DATEVALUE(TEXT(A2744,"m/d/yyyy")),FY24_Temp[],5,FALSE)&amp;TEXT(A2744,"-h"),TempDelta[],4,FALSE)</f>
        <v>0.71114285503114971</v>
      </c>
      <c r="R2744">
        <v>10</v>
      </c>
      <c r="S2744" s="112">
        <v>1500</v>
      </c>
      <c r="T2744" s="5">
        <f>VLOOKUP(TEXT(A2744,"yy-mm")&amp;"-"&amp;IF(AND(WEEKDAY(A2744)&gt;1,WEEKDAY(A2744)&lt;7),"Wkd",TEXT(A2744,"Ddd"))&amp;"-"&amp;TEXT(A2744,"hh"),LoadTable[],3,FALSE)*0.92</f>
        <v>209.6772</v>
      </c>
      <c r="U2744" s="113">
        <f t="shared" si="2932"/>
        <v>20.96772</v>
      </c>
      <c r="V2744">
        <f t="shared" ref="V2744:W2744" si="2990">V2720</f>
        <v>2.9</v>
      </c>
      <c r="W2744">
        <f t="shared" si="2990"/>
        <v>3.1</v>
      </c>
      <c r="X2744" s="9">
        <v>-89.1959506166681</v>
      </c>
      <c r="Y2744" s="39"/>
    </row>
    <row r="2745" spans="1:25" ht="15" thickBot="1">
      <c r="A2745" s="149">
        <f t="shared" si="2986"/>
        <v>45950.249999995329</v>
      </c>
      <c r="B2745" s="30">
        <f t="shared" si="2941"/>
        <v>8000</v>
      </c>
      <c r="C2745" s="8">
        <v>25000</v>
      </c>
      <c r="D2745" s="187">
        <v>0</v>
      </c>
      <c r="E2745" s="187">
        <v>700</v>
      </c>
      <c r="F2745" s="187">
        <v>15000</v>
      </c>
      <c r="G2745" s="30">
        <f t="shared" si="2942"/>
        <v>2470</v>
      </c>
      <c r="H2745" s="8">
        <f t="shared" si="2942"/>
        <v>25000</v>
      </c>
      <c r="I2745" s="30">
        <f t="shared" si="2943"/>
        <v>8000</v>
      </c>
      <c r="J2745" s="187">
        <v>40000</v>
      </c>
      <c r="K2745" s="30">
        <f t="shared" si="2944"/>
        <v>8000</v>
      </c>
      <c r="L2745" s="187">
        <v>40000</v>
      </c>
      <c r="M2745" s="110">
        <v>9.5</v>
      </c>
      <c r="N2745" s="9">
        <f>VLOOKUP(DATE(YEAR(A2745),MONTH(A2745),DAY(A2745)),FY24_Temp[],3,FALSE)</f>
        <v>17.399999999999999</v>
      </c>
      <c r="O2745" s="110">
        <f t="shared" si="2930"/>
        <v>11.5</v>
      </c>
      <c r="P2745" s="110">
        <f t="shared" si="2931"/>
        <v>19.5</v>
      </c>
      <c r="Q2745" s="79">
        <f>VLOOKUP(VLOOKUP(DATEVALUE(TEXT(A2745,"m/d/yyyy")),FY24_Temp[],5,FALSE)&amp;TEXT(A2745,"-h"),TempDelta[],4,FALSE)</f>
        <v>0.56542856778417316</v>
      </c>
      <c r="R2745">
        <v>10</v>
      </c>
      <c r="S2745" s="112">
        <v>1500</v>
      </c>
      <c r="T2745" s="5">
        <f>VLOOKUP(TEXT(A2745,"yy-mm")&amp;"-"&amp;IF(AND(WEEKDAY(A2745)&gt;1,WEEKDAY(A2745)&lt;7),"Wkd",TEXT(A2745,"Ddd"))&amp;"-"&amp;TEXT(A2745,"hh"),LoadTable[],3,FALSE)*0.92</f>
        <v>209.6772</v>
      </c>
      <c r="U2745" s="113">
        <f t="shared" si="2932"/>
        <v>20.96772</v>
      </c>
      <c r="V2745">
        <f t="shared" ref="V2745:W2745" si="2991">V2721</f>
        <v>2.5</v>
      </c>
      <c r="W2745">
        <f t="shared" si="2991"/>
        <v>3.1</v>
      </c>
      <c r="X2745" s="9">
        <v>-89.273745166668107</v>
      </c>
      <c r="Y2745" s="39"/>
    </row>
    <row r="2746" spans="1:25" ht="15" thickBot="1">
      <c r="A2746" s="149">
        <f t="shared" si="2986"/>
        <v>45950.291666661993</v>
      </c>
      <c r="B2746" s="30">
        <f t="shared" si="2941"/>
        <v>8000</v>
      </c>
      <c r="C2746" s="8">
        <v>25000</v>
      </c>
      <c r="D2746" s="187">
        <v>0</v>
      </c>
      <c r="E2746" s="187">
        <v>700</v>
      </c>
      <c r="F2746" s="187">
        <v>15000</v>
      </c>
      <c r="G2746" s="30">
        <f t="shared" si="2942"/>
        <v>2470</v>
      </c>
      <c r="H2746" s="8">
        <f t="shared" si="2942"/>
        <v>25000</v>
      </c>
      <c r="I2746" s="30">
        <f t="shared" si="2943"/>
        <v>8000</v>
      </c>
      <c r="J2746" s="187">
        <v>40000</v>
      </c>
      <c r="K2746" s="30">
        <f t="shared" si="2944"/>
        <v>8000</v>
      </c>
      <c r="L2746" s="187">
        <v>40000</v>
      </c>
      <c r="M2746" s="110">
        <v>9.5</v>
      </c>
      <c r="N2746" s="9">
        <f>VLOOKUP(DATE(YEAR(A2746),MONTH(A2746),DAY(A2746)),FY24_Temp[],3,FALSE)</f>
        <v>17.399999999999999</v>
      </c>
      <c r="O2746" s="110">
        <f t="shared" si="2930"/>
        <v>11.5</v>
      </c>
      <c r="P2746" s="110">
        <f t="shared" si="2931"/>
        <v>19.5</v>
      </c>
      <c r="Q2746" s="79">
        <f>VLOOKUP(VLOOKUP(DATEVALUE(TEXT(A2746,"m/d/yyyy")),FY24_Temp[],5,FALSE)&amp;TEXT(A2746,"-h"),TempDelta[],4,FALSE)</f>
        <v>0.38785713911056519</v>
      </c>
      <c r="R2746">
        <v>10</v>
      </c>
      <c r="S2746" s="112">
        <v>1500</v>
      </c>
      <c r="T2746" s="5">
        <f>VLOOKUP(TEXT(A2746,"yy-mm")&amp;"-"&amp;IF(AND(WEEKDAY(A2746)&gt;1,WEEKDAY(A2746)&lt;7),"Wkd",TEXT(A2746,"Ddd"))&amp;"-"&amp;TEXT(A2746,"hh"),LoadTable[],3,FALSE)*0.92</f>
        <v>234.80148</v>
      </c>
      <c r="U2746" s="113">
        <f t="shared" si="2932"/>
        <v>23.480148</v>
      </c>
      <c r="V2746">
        <f t="shared" ref="V2746:W2746" si="2992">V2722</f>
        <v>2.5</v>
      </c>
      <c r="W2746">
        <f t="shared" si="2992"/>
        <v>3.1</v>
      </c>
      <c r="X2746" s="9">
        <v>-89.3515397166681</v>
      </c>
      <c r="Y2746" s="39"/>
    </row>
    <row r="2747" spans="1:25" ht="15" thickBot="1">
      <c r="A2747" s="149">
        <f t="shared" si="2986"/>
        <v>45950.333333328657</v>
      </c>
      <c r="B2747" s="30">
        <f t="shared" si="2941"/>
        <v>8000</v>
      </c>
      <c r="C2747" s="8">
        <v>25000</v>
      </c>
      <c r="D2747" s="187">
        <v>0</v>
      </c>
      <c r="E2747" s="187">
        <v>700</v>
      </c>
      <c r="F2747" s="187">
        <v>15000</v>
      </c>
      <c r="G2747" s="30">
        <f t="shared" si="2942"/>
        <v>2470</v>
      </c>
      <c r="H2747" s="8">
        <f t="shared" si="2942"/>
        <v>25000</v>
      </c>
      <c r="I2747" s="30">
        <f t="shared" si="2943"/>
        <v>8000</v>
      </c>
      <c r="J2747" s="187">
        <v>40000</v>
      </c>
      <c r="K2747" s="30">
        <f t="shared" si="2944"/>
        <v>8000</v>
      </c>
      <c r="L2747" s="187">
        <v>40000</v>
      </c>
      <c r="M2747" s="110">
        <v>9.5</v>
      </c>
      <c r="N2747" s="9">
        <f>VLOOKUP(DATE(YEAR(A2747),MONTH(A2747),DAY(A2747)),FY24_Temp[],3,FALSE)</f>
        <v>17.399999999999999</v>
      </c>
      <c r="O2747" s="110">
        <f t="shared" si="2930"/>
        <v>11.5</v>
      </c>
      <c r="P2747" s="110">
        <f t="shared" si="2931"/>
        <v>19.5</v>
      </c>
      <c r="Q2747" s="79">
        <f>VLOOKUP(VLOOKUP(DATEVALUE(TEXT(A2747,"m/d/yyyy")),FY24_Temp[],5,FALSE)&amp;TEXT(A2747,"-h"),TempDelta[],4,FALSE)</f>
        <v>0.28528571341718945</v>
      </c>
      <c r="R2747">
        <v>10</v>
      </c>
      <c r="S2747" s="112">
        <v>1500</v>
      </c>
      <c r="T2747" s="5">
        <f>VLOOKUP(TEXT(A2747,"yy-mm")&amp;"-"&amp;IF(AND(WEEKDAY(A2747)&gt;1,WEEKDAY(A2747)&lt;7),"Wkd",TEXT(A2747,"Ddd"))&amp;"-"&amp;TEXT(A2747,"hh"),LoadTable[],3,FALSE)*0.92</f>
        <v>234.80148</v>
      </c>
      <c r="U2747" s="113">
        <f t="shared" si="2932"/>
        <v>23.480148</v>
      </c>
      <c r="V2747">
        <f t="shared" ref="V2747:W2747" si="2993">V2723</f>
        <v>3.2</v>
      </c>
      <c r="W2747">
        <f t="shared" si="2993"/>
        <v>3</v>
      </c>
      <c r="X2747" s="9">
        <v>-89.429334266668207</v>
      </c>
      <c r="Y2747" s="39"/>
    </row>
    <row r="2748" spans="1:25" ht="15" thickBot="1">
      <c r="A2748" s="149">
        <f t="shared" si="2986"/>
        <v>45950.374999995322</v>
      </c>
      <c r="B2748" s="30">
        <f t="shared" si="2941"/>
        <v>8000</v>
      </c>
      <c r="C2748" s="8">
        <v>25000</v>
      </c>
      <c r="D2748" s="187">
        <v>0</v>
      </c>
      <c r="E2748" s="187">
        <v>700</v>
      </c>
      <c r="F2748" s="187">
        <v>15000</v>
      </c>
      <c r="G2748" s="30">
        <f t="shared" si="2942"/>
        <v>2470</v>
      </c>
      <c r="H2748" s="8">
        <f t="shared" si="2942"/>
        <v>25000</v>
      </c>
      <c r="I2748" s="30">
        <f t="shared" si="2943"/>
        <v>8000</v>
      </c>
      <c r="J2748" s="187">
        <v>40000</v>
      </c>
      <c r="K2748" s="30">
        <f t="shared" si="2944"/>
        <v>8000</v>
      </c>
      <c r="L2748" s="187">
        <v>40000</v>
      </c>
      <c r="M2748" s="110">
        <v>9.5</v>
      </c>
      <c r="N2748" s="9">
        <f>VLOOKUP(DATE(YEAR(A2748),MONTH(A2748),DAY(A2748)),FY24_Temp[],3,FALSE)</f>
        <v>17.399999999999999</v>
      </c>
      <c r="O2748" s="110">
        <f t="shared" si="2930"/>
        <v>11.5</v>
      </c>
      <c r="P2748" s="110">
        <f t="shared" si="2931"/>
        <v>19.5</v>
      </c>
      <c r="Q2748" s="79">
        <f>VLOOKUP(VLOOKUP(DATEVALUE(TEXT(A2748,"m/d/yyyy")),FY24_Temp[],5,FALSE)&amp;TEXT(A2748,"-h"),TempDelta[],4,FALSE)</f>
        <v>0.20714286076171057</v>
      </c>
      <c r="R2748">
        <v>10</v>
      </c>
      <c r="S2748" s="112">
        <v>1500</v>
      </c>
      <c r="T2748" s="5">
        <f>VLOOKUP(TEXT(A2748,"yy-mm")&amp;"-"&amp;IF(AND(WEEKDAY(A2748)&gt;1,WEEKDAY(A2748)&lt;7),"Wkd",TEXT(A2748,"Ddd"))&amp;"-"&amp;TEXT(A2748,"hh"),LoadTable[],3,FALSE)*0.92</f>
        <v>234.80148</v>
      </c>
      <c r="U2748" s="113">
        <f t="shared" si="2932"/>
        <v>23.480148</v>
      </c>
      <c r="V2748">
        <f t="shared" ref="V2748:W2748" si="2994">V2724</f>
        <v>2.9</v>
      </c>
      <c r="W2748">
        <f t="shared" si="2994"/>
        <v>3</v>
      </c>
      <c r="X2748" s="9">
        <v>-89.5071288166682</v>
      </c>
      <c r="Y2748" s="39"/>
    </row>
    <row r="2749" spans="1:25" ht="15" thickBot="1">
      <c r="A2749" s="149">
        <f t="shared" si="2986"/>
        <v>45950.416666661986</v>
      </c>
      <c r="B2749" s="30">
        <f t="shared" si="2941"/>
        <v>8000</v>
      </c>
      <c r="C2749" s="8">
        <v>25000</v>
      </c>
      <c r="D2749" s="187">
        <v>0</v>
      </c>
      <c r="E2749" s="187">
        <v>700</v>
      </c>
      <c r="F2749" s="187">
        <v>15000</v>
      </c>
      <c r="G2749" s="30">
        <f t="shared" si="2942"/>
        <v>2470</v>
      </c>
      <c r="H2749" s="8">
        <f t="shared" si="2942"/>
        <v>25000</v>
      </c>
      <c r="I2749" s="30">
        <f t="shared" si="2943"/>
        <v>8000</v>
      </c>
      <c r="J2749" s="187">
        <v>40000</v>
      </c>
      <c r="K2749" s="30">
        <f t="shared" si="2944"/>
        <v>8000</v>
      </c>
      <c r="L2749" s="187">
        <v>40000</v>
      </c>
      <c r="M2749" s="110">
        <v>9.5</v>
      </c>
      <c r="N2749" s="9">
        <f>VLOOKUP(DATE(YEAR(A2749),MONTH(A2749),DAY(A2749)),FY24_Temp[],3,FALSE)</f>
        <v>17.399999999999999</v>
      </c>
      <c r="O2749" s="110">
        <f t="shared" si="2930"/>
        <v>11.5</v>
      </c>
      <c r="P2749" s="110">
        <f t="shared" si="2931"/>
        <v>19.5</v>
      </c>
      <c r="Q2749" s="79">
        <f>VLOOKUP(VLOOKUP(DATEVALUE(TEXT(A2749,"m/d/yyyy")),FY24_Temp[],5,FALSE)&amp;TEXT(A2749,"-h"),TempDelta[],4,FALSE)</f>
        <v>0.1155714291547026</v>
      </c>
      <c r="R2749">
        <v>10</v>
      </c>
      <c r="S2749" s="112">
        <v>1500</v>
      </c>
      <c r="T2749" s="5">
        <f>VLOOKUP(TEXT(A2749,"yy-mm")&amp;"-"&amp;IF(AND(WEEKDAY(A2749)&gt;1,WEEKDAY(A2749)&lt;7),"Wkd",TEXT(A2749,"Ddd"))&amp;"-"&amp;TEXT(A2749,"hh"),LoadTable[],3,FALSE)*0.92</f>
        <v>234.80148</v>
      </c>
      <c r="U2749" s="113">
        <f t="shared" si="2932"/>
        <v>23.480148</v>
      </c>
      <c r="V2749">
        <f t="shared" ref="V2749:W2749" si="2995">V2725</f>
        <v>2.9</v>
      </c>
      <c r="W2749">
        <f t="shared" si="2995"/>
        <v>3</v>
      </c>
      <c r="X2749" s="9">
        <v>-89.584923366668207</v>
      </c>
      <c r="Y2749" s="39"/>
    </row>
    <row r="2750" spans="1:25" ht="15" thickBot="1">
      <c r="A2750" s="149">
        <f t="shared" si="2986"/>
        <v>45950.45833332865</v>
      </c>
      <c r="B2750" s="30">
        <f t="shared" si="2941"/>
        <v>8000</v>
      </c>
      <c r="C2750" s="8">
        <v>25000</v>
      </c>
      <c r="D2750" s="187">
        <v>0</v>
      </c>
      <c r="E2750" s="187">
        <v>700</v>
      </c>
      <c r="F2750" s="187">
        <v>15000</v>
      </c>
      <c r="G2750" s="30">
        <f t="shared" si="2942"/>
        <v>2470</v>
      </c>
      <c r="H2750" s="8">
        <f t="shared" si="2942"/>
        <v>25000</v>
      </c>
      <c r="I2750" s="30">
        <f t="shared" si="2943"/>
        <v>8000</v>
      </c>
      <c r="J2750" s="187">
        <v>40000</v>
      </c>
      <c r="K2750" s="30">
        <f t="shared" si="2944"/>
        <v>8000</v>
      </c>
      <c r="L2750" s="187">
        <v>40000</v>
      </c>
      <c r="M2750" s="110">
        <v>9.5</v>
      </c>
      <c r="N2750" s="9">
        <f>VLOOKUP(DATE(YEAR(A2750),MONTH(A2750),DAY(A2750)),FY24_Temp[],3,FALSE)</f>
        <v>17.399999999999999</v>
      </c>
      <c r="O2750" s="110">
        <f t="shared" si="2930"/>
        <v>11.5</v>
      </c>
      <c r="P2750" s="110">
        <f t="shared" si="2931"/>
        <v>19.5</v>
      </c>
      <c r="Q2750" s="79">
        <f>VLOOKUP(VLOOKUP(DATEVALUE(TEXT(A2750,"m/d/yyyy")),FY24_Temp[],5,FALSE)&amp;TEXT(A2750,"-h"),TempDelta[],4,FALSE)</f>
        <v>3.9428572037390301E-2</v>
      </c>
      <c r="R2750">
        <v>10</v>
      </c>
      <c r="S2750" s="112">
        <v>1500</v>
      </c>
      <c r="T2750" s="5">
        <f>VLOOKUP(TEXT(A2750,"yy-mm")&amp;"-"&amp;IF(AND(WEEKDAY(A2750)&gt;1,WEEKDAY(A2750)&lt;7),"Wkd",TEXT(A2750,"Ddd"))&amp;"-"&amp;TEXT(A2750,"hh"),LoadTable[],3,FALSE)*0.92</f>
        <v>234.80148</v>
      </c>
      <c r="U2750" s="113">
        <f t="shared" si="2932"/>
        <v>23.480148</v>
      </c>
      <c r="V2750">
        <f t="shared" ref="V2750:W2750" si="2996">V2726</f>
        <v>3.4</v>
      </c>
      <c r="W2750">
        <f t="shared" si="2996"/>
        <v>3</v>
      </c>
      <c r="X2750" s="9">
        <v>-89.6627179166682</v>
      </c>
      <c r="Y2750" s="39"/>
    </row>
    <row r="2751" spans="1:25" ht="15" thickBot="1">
      <c r="A2751" s="149">
        <f t="shared" si="2986"/>
        <v>45950.499999995314</v>
      </c>
      <c r="B2751" s="30">
        <f t="shared" si="2941"/>
        <v>8000</v>
      </c>
      <c r="C2751" s="8">
        <v>25000</v>
      </c>
      <c r="D2751" s="187">
        <v>0</v>
      </c>
      <c r="E2751" s="187">
        <v>700</v>
      </c>
      <c r="F2751" s="187">
        <v>15000</v>
      </c>
      <c r="G2751" s="30">
        <f t="shared" si="2942"/>
        <v>2470</v>
      </c>
      <c r="H2751" s="8">
        <f t="shared" si="2942"/>
        <v>25000</v>
      </c>
      <c r="I2751" s="30">
        <f t="shared" si="2943"/>
        <v>8000</v>
      </c>
      <c r="J2751" s="187">
        <v>40000</v>
      </c>
      <c r="K2751" s="30">
        <f t="shared" si="2944"/>
        <v>8000</v>
      </c>
      <c r="L2751" s="187">
        <v>40000</v>
      </c>
      <c r="M2751" s="110">
        <v>9.5</v>
      </c>
      <c r="N2751" s="9">
        <f>VLOOKUP(DATE(YEAR(A2751),MONTH(A2751),DAY(A2751)),FY24_Temp[],3,FALSE)</f>
        <v>17.399999999999999</v>
      </c>
      <c r="O2751" s="110">
        <f t="shared" si="2930"/>
        <v>11.5</v>
      </c>
      <c r="P2751" s="110">
        <f t="shared" si="2931"/>
        <v>19.5</v>
      </c>
      <c r="Q2751" s="79">
        <f>VLOOKUP(VLOOKUP(DATEVALUE(TEXT(A2751,"m/d/yyyy")),FY24_Temp[],5,FALSE)&amp;TEXT(A2751,"-h"),TempDelta[],4,FALSE)</f>
        <v>-1.5857143327593803E-2</v>
      </c>
      <c r="R2751">
        <v>10</v>
      </c>
      <c r="S2751" s="112">
        <v>1500</v>
      </c>
      <c r="T2751" s="5">
        <f>VLOOKUP(TEXT(A2751,"yy-mm")&amp;"-"&amp;IF(AND(WEEKDAY(A2751)&gt;1,WEEKDAY(A2751)&lt;7),"Wkd",TEXT(A2751,"Ddd"))&amp;"-"&amp;TEXT(A2751,"hh"),LoadTable[],3,FALSE)*0.92</f>
        <v>234.80148</v>
      </c>
      <c r="U2751" s="113">
        <f t="shared" si="2932"/>
        <v>23.480148</v>
      </c>
      <c r="V2751">
        <f t="shared" ref="V2751:W2751" si="2997">V2727</f>
        <v>3.1</v>
      </c>
      <c r="W2751">
        <f t="shared" si="2997"/>
        <v>2.9</v>
      </c>
      <c r="X2751" s="9">
        <v>-89.740512466668207</v>
      </c>
      <c r="Y2751" s="39"/>
    </row>
    <row r="2752" spans="1:25" ht="15" thickBot="1">
      <c r="A2752" s="149">
        <f t="shared" si="2986"/>
        <v>45950.541666661979</v>
      </c>
      <c r="B2752" s="30">
        <f t="shared" si="2941"/>
        <v>8000</v>
      </c>
      <c r="C2752" s="8">
        <v>25000</v>
      </c>
      <c r="D2752" s="187">
        <v>0</v>
      </c>
      <c r="E2752" s="187">
        <v>700</v>
      </c>
      <c r="F2752" s="187">
        <v>15000</v>
      </c>
      <c r="G2752" s="30">
        <f t="shared" si="2942"/>
        <v>2470</v>
      </c>
      <c r="H2752" s="8">
        <f t="shared" si="2942"/>
        <v>25000</v>
      </c>
      <c r="I2752" s="30">
        <f t="shared" si="2943"/>
        <v>8000</v>
      </c>
      <c r="J2752" s="187">
        <v>40000</v>
      </c>
      <c r="K2752" s="30">
        <f t="shared" si="2944"/>
        <v>8000</v>
      </c>
      <c r="L2752" s="187">
        <v>40000</v>
      </c>
      <c r="M2752" s="110">
        <v>9.5</v>
      </c>
      <c r="N2752" s="9">
        <f>VLOOKUP(DATE(YEAR(A2752),MONTH(A2752),DAY(A2752)),FY24_Temp[],3,FALSE)</f>
        <v>17.399999999999999</v>
      </c>
      <c r="O2752" s="110">
        <f t="shared" si="2930"/>
        <v>11.5</v>
      </c>
      <c r="P2752" s="110">
        <f t="shared" si="2931"/>
        <v>19.5</v>
      </c>
      <c r="Q2752" s="79">
        <f>VLOOKUP(VLOOKUP(DATEVALUE(TEXT(A2752,"m/d/yyyy")),FY24_Temp[],5,FALSE)&amp;TEXT(A2752,"-h"),TempDelta[],4,FALSE)</f>
        <v>-4.142857076866286E-2</v>
      </c>
      <c r="R2752">
        <v>10</v>
      </c>
      <c r="S2752" s="112">
        <v>1500</v>
      </c>
      <c r="T2752" s="5">
        <f>VLOOKUP(TEXT(A2752,"yy-mm")&amp;"-"&amp;IF(AND(WEEKDAY(A2752)&gt;1,WEEKDAY(A2752)&lt;7),"Wkd",TEXT(A2752,"Ddd"))&amp;"-"&amp;TEXT(A2752,"hh"),LoadTable[],3,FALSE)*0.92</f>
        <v>234.80148</v>
      </c>
      <c r="U2752" s="113">
        <f t="shared" si="2932"/>
        <v>23.480148</v>
      </c>
      <c r="V2752">
        <f t="shared" ref="V2752:W2752" si="2998">V2728</f>
        <v>3.2</v>
      </c>
      <c r="W2752">
        <f t="shared" si="2998"/>
        <v>2.9</v>
      </c>
      <c r="X2752" s="9">
        <v>-89.8183070166682</v>
      </c>
      <c r="Y2752" s="39"/>
    </row>
    <row r="2753" spans="1:25" ht="15" thickBot="1">
      <c r="A2753" s="149">
        <f t="shared" si="2986"/>
        <v>45950.583333328643</v>
      </c>
      <c r="B2753" s="30">
        <f t="shared" si="2941"/>
        <v>8000</v>
      </c>
      <c r="C2753" s="8">
        <v>25000</v>
      </c>
      <c r="D2753" s="187">
        <v>0</v>
      </c>
      <c r="E2753" s="187">
        <v>700</v>
      </c>
      <c r="F2753" s="187">
        <v>15000</v>
      </c>
      <c r="G2753" s="30">
        <f t="shared" si="2942"/>
        <v>2470</v>
      </c>
      <c r="H2753" s="8">
        <f t="shared" si="2942"/>
        <v>25000</v>
      </c>
      <c r="I2753" s="30">
        <f t="shared" si="2943"/>
        <v>8000</v>
      </c>
      <c r="J2753" s="187">
        <v>40000</v>
      </c>
      <c r="K2753" s="30">
        <f t="shared" si="2944"/>
        <v>8000</v>
      </c>
      <c r="L2753" s="187">
        <v>40000</v>
      </c>
      <c r="M2753" s="110">
        <v>9.5</v>
      </c>
      <c r="N2753" s="9">
        <f>VLOOKUP(DATE(YEAR(A2753),MONTH(A2753),DAY(A2753)),FY24_Temp[],3,FALSE)</f>
        <v>17.399999999999999</v>
      </c>
      <c r="O2753" s="110">
        <f t="shared" si="2930"/>
        <v>11.5</v>
      </c>
      <c r="P2753" s="110">
        <f t="shared" si="2931"/>
        <v>19.5</v>
      </c>
      <c r="Q2753" s="79">
        <f>VLOOKUP(VLOOKUP(DATEVALUE(TEXT(A2753,"m/d/yyyy")),FY24_Temp[],5,FALSE)&amp;TEXT(A2753,"-h"),TempDelta[],4,FALSE)</f>
        <v>1.5142858826688357E-2</v>
      </c>
      <c r="R2753">
        <v>10</v>
      </c>
      <c r="S2753" s="112">
        <v>1500</v>
      </c>
      <c r="T2753" s="5">
        <f>VLOOKUP(TEXT(A2753,"yy-mm")&amp;"-"&amp;IF(AND(WEEKDAY(A2753)&gt;1,WEEKDAY(A2753)&lt;7),"Wkd",TEXT(A2753,"Ddd"))&amp;"-"&amp;TEXT(A2753,"hh"),LoadTable[],3,FALSE)*0.92</f>
        <v>234.80148</v>
      </c>
      <c r="U2753" s="113">
        <f t="shared" si="2932"/>
        <v>23.480148</v>
      </c>
      <c r="V2753">
        <f t="shared" ref="V2753:W2753" si="2999">V2729</f>
        <v>3.5</v>
      </c>
      <c r="W2753">
        <f t="shared" si="2999"/>
        <v>2.9</v>
      </c>
      <c r="X2753" s="9">
        <v>-89.896101566668193</v>
      </c>
      <c r="Y2753" s="39"/>
    </row>
    <row r="2754" spans="1:25" ht="15" thickBot="1">
      <c r="A2754" s="149">
        <f t="shared" si="2986"/>
        <v>45950.624999995307</v>
      </c>
      <c r="B2754" s="30">
        <f t="shared" si="2941"/>
        <v>8000</v>
      </c>
      <c r="C2754" s="8">
        <v>25000</v>
      </c>
      <c r="D2754" s="187">
        <v>0</v>
      </c>
      <c r="E2754" s="187">
        <v>700</v>
      </c>
      <c r="F2754" s="187">
        <v>15000</v>
      </c>
      <c r="G2754" s="30">
        <f t="shared" si="2942"/>
        <v>2470</v>
      </c>
      <c r="H2754" s="8">
        <f t="shared" si="2942"/>
        <v>25000</v>
      </c>
      <c r="I2754" s="30">
        <f t="shared" si="2943"/>
        <v>8000</v>
      </c>
      <c r="J2754" s="187">
        <v>40000</v>
      </c>
      <c r="K2754" s="30">
        <f t="shared" si="2944"/>
        <v>8000</v>
      </c>
      <c r="L2754" s="187">
        <v>40000</v>
      </c>
      <c r="M2754" s="110">
        <v>9.5</v>
      </c>
      <c r="N2754" s="9">
        <f>VLOOKUP(DATE(YEAR(A2754),MONTH(A2754),DAY(A2754)),FY24_Temp[],3,FALSE)</f>
        <v>17.399999999999999</v>
      </c>
      <c r="O2754" s="110">
        <f t="shared" si="2930"/>
        <v>11.5</v>
      </c>
      <c r="P2754" s="110">
        <f t="shared" si="2931"/>
        <v>19.5</v>
      </c>
      <c r="Q2754" s="79">
        <f>VLOOKUP(VLOOKUP(DATEVALUE(TEXT(A2754,"m/d/yyyy")),FY24_Temp[],5,FALSE)&amp;TEXT(A2754,"-h"),TempDelta[],4,FALSE)</f>
        <v>0.10157142795755394</v>
      </c>
      <c r="R2754">
        <v>10</v>
      </c>
      <c r="S2754" s="112">
        <v>1500</v>
      </c>
      <c r="T2754" s="5">
        <f>VLOOKUP(TEXT(A2754,"yy-mm")&amp;"-"&amp;IF(AND(WEEKDAY(A2754)&gt;1,WEEKDAY(A2754)&lt;7),"Wkd",TEXT(A2754,"Ddd"))&amp;"-"&amp;TEXT(A2754,"hh"),LoadTable[],3,FALSE)*0.92</f>
        <v>234.80148</v>
      </c>
      <c r="U2754" s="113">
        <f t="shared" si="2932"/>
        <v>23.480148</v>
      </c>
      <c r="V2754">
        <f t="shared" ref="V2754:W2754" si="3000">V2730</f>
        <v>3.2</v>
      </c>
      <c r="W2754">
        <f t="shared" si="3000"/>
        <v>2.9</v>
      </c>
      <c r="X2754" s="9">
        <v>-89.9738961166682</v>
      </c>
      <c r="Y2754" s="39"/>
    </row>
    <row r="2755" spans="1:25" ht="15" thickBot="1">
      <c r="A2755" s="149">
        <f t="shared" si="2986"/>
        <v>45950.666666661971</v>
      </c>
      <c r="B2755" s="30">
        <f t="shared" si="2941"/>
        <v>8000</v>
      </c>
      <c r="C2755" s="8">
        <v>25000</v>
      </c>
      <c r="D2755" s="187">
        <v>0</v>
      </c>
      <c r="E2755" s="187">
        <v>700</v>
      </c>
      <c r="F2755" s="187">
        <v>15000</v>
      </c>
      <c r="G2755" s="30">
        <f t="shared" si="2942"/>
        <v>2470</v>
      </c>
      <c r="H2755" s="8">
        <f t="shared" si="2942"/>
        <v>25000</v>
      </c>
      <c r="I2755" s="30">
        <f t="shared" si="2943"/>
        <v>8000</v>
      </c>
      <c r="J2755" s="187">
        <v>40000</v>
      </c>
      <c r="K2755" s="30">
        <f t="shared" si="2944"/>
        <v>8000</v>
      </c>
      <c r="L2755" s="187">
        <v>40000</v>
      </c>
      <c r="M2755" s="110">
        <v>9.5</v>
      </c>
      <c r="N2755" s="9">
        <f>VLOOKUP(DATE(YEAR(A2755),MONTH(A2755),DAY(A2755)),FY24_Temp[],3,FALSE)</f>
        <v>17.399999999999999</v>
      </c>
      <c r="O2755" s="110">
        <f t="shared" si="2930"/>
        <v>11.5</v>
      </c>
      <c r="P2755" s="110">
        <f t="shared" si="2931"/>
        <v>19.5</v>
      </c>
      <c r="Q2755" s="79">
        <f>VLOOKUP(VLOOKUP(DATEVALUE(TEXT(A2755,"m/d/yyyy")),FY24_Temp[],5,FALSE)&amp;TEXT(A2755,"-h"),TempDelta[],4,FALSE)</f>
        <v>0.33192857301660944</v>
      </c>
      <c r="R2755">
        <v>10</v>
      </c>
      <c r="S2755" s="112">
        <v>1500</v>
      </c>
      <c r="T2755" s="5">
        <f>VLOOKUP(TEXT(A2755,"yy-mm")&amp;"-"&amp;IF(AND(WEEKDAY(A2755)&gt;1,WEEKDAY(A2755)&lt;7),"Wkd",TEXT(A2755,"Ddd"))&amp;"-"&amp;TEXT(A2755,"hh"),LoadTable[],3,FALSE)*0.92</f>
        <v>234.80148</v>
      </c>
      <c r="U2755" s="113">
        <f t="shared" si="2932"/>
        <v>23.480148</v>
      </c>
      <c r="V2755">
        <f t="shared" ref="V2755:W2755" si="3001">V2731</f>
        <v>3.5</v>
      </c>
      <c r="W2755">
        <f t="shared" si="3001"/>
        <v>3</v>
      </c>
      <c r="X2755" s="9">
        <v>-90.051690666668193</v>
      </c>
      <c r="Y2755" s="39"/>
    </row>
    <row r="2756" spans="1:25" ht="15" thickBot="1">
      <c r="A2756" s="149">
        <f t="shared" si="2986"/>
        <v>45950.708333328635</v>
      </c>
      <c r="B2756" s="30">
        <f t="shared" si="2941"/>
        <v>8000</v>
      </c>
      <c r="C2756" s="8">
        <v>25000</v>
      </c>
      <c r="D2756" s="187">
        <v>0</v>
      </c>
      <c r="E2756" s="187">
        <v>700</v>
      </c>
      <c r="F2756" s="187">
        <v>15000</v>
      </c>
      <c r="G2756" s="30">
        <f t="shared" si="2942"/>
        <v>2470</v>
      </c>
      <c r="H2756" s="8">
        <f t="shared" si="2942"/>
        <v>25000</v>
      </c>
      <c r="I2756" s="30">
        <f t="shared" si="2943"/>
        <v>8000</v>
      </c>
      <c r="J2756" s="187">
        <v>40000</v>
      </c>
      <c r="K2756" s="30">
        <f t="shared" si="2944"/>
        <v>8000</v>
      </c>
      <c r="L2756" s="187">
        <v>40000</v>
      </c>
      <c r="M2756" s="110">
        <v>9.5</v>
      </c>
      <c r="N2756" s="9">
        <f>VLOOKUP(DATE(YEAR(A2756),MONTH(A2756),DAY(A2756)),FY24_Temp[],3,FALSE)</f>
        <v>17.399999999999999</v>
      </c>
      <c r="O2756" s="110">
        <f t="shared" ref="O2756:O2819" si="3002">15.5-4</f>
        <v>11.5</v>
      </c>
      <c r="P2756" s="110">
        <f t="shared" ref="P2756:P2819" si="3003">15.5+4</f>
        <v>19.5</v>
      </c>
      <c r="Q2756" s="79">
        <f>VLOOKUP(VLOOKUP(DATEVALUE(TEXT(A2756,"m/d/yyyy")),FY24_Temp[],5,FALSE)&amp;TEXT(A2756,"-h"),TempDelta[],4,FALSE)</f>
        <v>0.44464285565274103</v>
      </c>
      <c r="R2756">
        <v>10</v>
      </c>
      <c r="S2756" s="112">
        <v>1500</v>
      </c>
      <c r="T2756" s="5">
        <f>VLOOKUP(TEXT(A2756,"yy-mm")&amp;"-"&amp;IF(AND(WEEKDAY(A2756)&gt;1,WEEKDAY(A2756)&lt;7),"Wkd",TEXT(A2756,"Ddd"))&amp;"-"&amp;TEXT(A2756,"hh"),LoadTable[],3,FALSE)*0.92</f>
        <v>234.80148</v>
      </c>
      <c r="U2756" s="113">
        <f t="shared" ref="U2756:U2819" si="3004">T2756/10</f>
        <v>23.480148</v>
      </c>
      <c r="V2756">
        <f t="shared" ref="V2756:W2756" si="3005">V2732</f>
        <v>3.6</v>
      </c>
      <c r="W2756">
        <f t="shared" si="3005"/>
        <v>3</v>
      </c>
      <c r="X2756" s="9">
        <v>-90.129485216668201</v>
      </c>
      <c r="Y2756" s="39"/>
    </row>
    <row r="2757" spans="1:25" ht="15" thickBot="1">
      <c r="A2757" s="149">
        <f t="shared" si="2986"/>
        <v>45950.7499999953</v>
      </c>
      <c r="B2757" s="30">
        <f t="shared" si="2941"/>
        <v>5000</v>
      </c>
      <c r="C2757" s="8">
        <v>25000</v>
      </c>
      <c r="D2757" s="187">
        <v>0</v>
      </c>
      <c r="E2757" s="187">
        <v>700</v>
      </c>
      <c r="F2757" s="187">
        <v>15000</v>
      </c>
      <c r="G2757" s="30">
        <f t="shared" si="2942"/>
        <v>2470</v>
      </c>
      <c r="H2757" s="8">
        <f t="shared" si="2942"/>
        <v>25000</v>
      </c>
      <c r="I2757" s="30">
        <f t="shared" si="2943"/>
        <v>5000</v>
      </c>
      <c r="J2757" s="187">
        <v>40000</v>
      </c>
      <c r="K2757" s="30">
        <f t="shared" si="2944"/>
        <v>5000</v>
      </c>
      <c r="L2757" s="187">
        <v>40000</v>
      </c>
      <c r="M2757" s="110">
        <v>9.5</v>
      </c>
      <c r="N2757" s="9">
        <f>VLOOKUP(DATE(YEAR(A2757),MONTH(A2757),DAY(A2757)),FY24_Temp[],3,FALSE)</f>
        <v>17.399999999999999</v>
      </c>
      <c r="O2757" s="110">
        <f t="shared" si="3002"/>
        <v>11.5</v>
      </c>
      <c r="P2757" s="110">
        <f t="shared" si="3003"/>
        <v>19.5</v>
      </c>
      <c r="Q2757" s="79">
        <f>VLOOKUP(VLOOKUP(DATEVALUE(TEXT(A2757,"m/d/yyyy")),FY24_Temp[],5,FALSE)&amp;TEXT(A2757,"-h"),TempDelta[],4,FALSE)</f>
        <v>0.57671428365366795</v>
      </c>
      <c r="R2757">
        <v>10</v>
      </c>
      <c r="S2757" s="112">
        <v>1500</v>
      </c>
      <c r="T2757" s="5">
        <f>VLOOKUP(TEXT(A2757,"yy-mm")&amp;"-"&amp;IF(AND(WEEKDAY(A2757)&gt;1,WEEKDAY(A2757)&lt;7),"Wkd",TEXT(A2757,"Ddd"))&amp;"-"&amp;TEXT(A2757,"hh"),LoadTable[],3,FALSE)*0.92</f>
        <v>303.31295999999998</v>
      </c>
      <c r="U2757" s="113">
        <f t="shared" si="3004"/>
        <v>30.331295999999998</v>
      </c>
      <c r="V2757">
        <f t="shared" ref="V2757:W2757" si="3006">V2733</f>
        <v>2.9</v>
      </c>
      <c r="W2757">
        <f t="shared" si="3006"/>
        <v>3</v>
      </c>
      <c r="X2757" s="9">
        <v>-90.207279766668194</v>
      </c>
      <c r="Y2757" s="39"/>
    </row>
    <row r="2758" spans="1:25" ht="15" thickBot="1">
      <c r="A2758" s="149">
        <f t="shared" si="2986"/>
        <v>45950.791666661964</v>
      </c>
      <c r="B2758" s="30">
        <f t="shared" si="2941"/>
        <v>5000</v>
      </c>
      <c r="C2758" s="8">
        <v>25000</v>
      </c>
      <c r="D2758" s="187">
        <v>0</v>
      </c>
      <c r="E2758" s="187">
        <v>700</v>
      </c>
      <c r="F2758" s="187">
        <v>15000</v>
      </c>
      <c r="G2758" s="30">
        <f t="shared" si="2942"/>
        <v>2470</v>
      </c>
      <c r="H2758" s="8">
        <f t="shared" si="2942"/>
        <v>25000</v>
      </c>
      <c r="I2758" s="30">
        <f t="shared" si="2943"/>
        <v>5000</v>
      </c>
      <c r="J2758" s="187">
        <v>40000</v>
      </c>
      <c r="K2758" s="30">
        <f t="shared" si="2944"/>
        <v>5000</v>
      </c>
      <c r="L2758" s="187">
        <v>40000</v>
      </c>
      <c r="M2758" s="110">
        <v>9.5</v>
      </c>
      <c r="N2758" s="9">
        <f>VLOOKUP(DATE(YEAR(A2758),MONTH(A2758),DAY(A2758)),FY24_Temp[],3,FALSE)</f>
        <v>17.399999999999999</v>
      </c>
      <c r="O2758" s="110">
        <f t="shared" si="3002"/>
        <v>11.5</v>
      </c>
      <c r="P2758" s="110">
        <f t="shared" si="3003"/>
        <v>19.5</v>
      </c>
      <c r="Q2758" s="79">
        <f>VLOOKUP(VLOOKUP(DATEVALUE(TEXT(A2758,"m/d/yyyy")),FY24_Temp[],5,FALSE)&amp;TEXT(A2758,"-h"),TempDelta[],4,FALSE)</f>
        <v>0.5747142945017133</v>
      </c>
      <c r="R2758">
        <v>10</v>
      </c>
      <c r="S2758" s="112">
        <v>1500</v>
      </c>
      <c r="T2758" s="5">
        <f>VLOOKUP(TEXT(A2758,"yy-mm")&amp;"-"&amp;IF(AND(WEEKDAY(A2758)&gt;1,WEEKDAY(A2758)&lt;7),"Wkd",TEXT(A2758,"Ddd"))&amp;"-"&amp;TEXT(A2758,"hh"),LoadTable[],3,FALSE)*0.92</f>
        <v>303.31295999999998</v>
      </c>
      <c r="U2758" s="113">
        <f t="shared" si="3004"/>
        <v>30.331295999999998</v>
      </c>
      <c r="V2758">
        <f t="shared" ref="V2758:W2758" si="3007">V2734</f>
        <v>3</v>
      </c>
      <c r="W2758">
        <f t="shared" si="3007"/>
        <v>3</v>
      </c>
      <c r="X2758" s="9">
        <v>-90.285074316668201</v>
      </c>
      <c r="Y2758" s="39"/>
    </row>
    <row r="2759" spans="1:25" ht="15" thickBot="1">
      <c r="A2759" s="149">
        <f t="shared" si="2986"/>
        <v>45950.833333328628</v>
      </c>
      <c r="B2759" s="30">
        <f t="shared" si="2941"/>
        <v>5000</v>
      </c>
      <c r="C2759" s="8">
        <v>25000</v>
      </c>
      <c r="D2759" s="187">
        <v>0</v>
      </c>
      <c r="E2759" s="187">
        <v>700</v>
      </c>
      <c r="F2759" s="187">
        <v>15000</v>
      </c>
      <c r="G2759" s="30">
        <f t="shared" si="2942"/>
        <v>2470</v>
      </c>
      <c r="H2759" s="8">
        <f t="shared" si="2942"/>
        <v>25000</v>
      </c>
      <c r="I2759" s="30">
        <f t="shared" si="2943"/>
        <v>5000</v>
      </c>
      <c r="J2759" s="187">
        <v>40000</v>
      </c>
      <c r="K2759" s="30">
        <f t="shared" si="2944"/>
        <v>5000</v>
      </c>
      <c r="L2759" s="187">
        <v>40000</v>
      </c>
      <c r="M2759" s="110">
        <v>9.5</v>
      </c>
      <c r="N2759" s="9">
        <f>VLOOKUP(DATE(YEAR(A2759),MONTH(A2759),DAY(A2759)),FY24_Temp[],3,FALSE)</f>
        <v>17.399999999999999</v>
      </c>
      <c r="O2759" s="110">
        <f t="shared" si="3002"/>
        <v>11.5</v>
      </c>
      <c r="P2759" s="110">
        <f t="shared" si="3003"/>
        <v>19.5</v>
      </c>
      <c r="Q2759" s="79">
        <f>VLOOKUP(VLOOKUP(DATEVALUE(TEXT(A2759,"m/d/yyyy")),FY24_Temp[],5,FALSE)&amp;TEXT(A2759,"-h"),TempDelta[],4,FALSE)</f>
        <v>0.58807142717497685</v>
      </c>
      <c r="R2759">
        <v>10</v>
      </c>
      <c r="S2759" s="112">
        <v>1500</v>
      </c>
      <c r="T2759" s="5">
        <f>VLOOKUP(TEXT(A2759,"yy-mm")&amp;"-"&amp;IF(AND(WEEKDAY(A2759)&gt;1,WEEKDAY(A2759)&lt;7),"Wkd",TEXT(A2759,"Ddd"))&amp;"-"&amp;TEXT(A2759,"hh"),LoadTable[],3,FALSE)*0.92</f>
        <v>303.31295999999998</v>
      </c>
      <c r="U2759" s="113">
        <f t="shared" si="3004"/>
        <v>30.331295999999998</v>
      </c>
      <c r="V2759">
        <f t="shared" ref="V2759:W2759" si="3008">V2735</f>
        <v>2.8</v>
      </c>
      <c r="W2759">
        <f t="shared" si="3008"/>
        <v>3.1</v>
      </c>
      <c r="X2759" s="9">
        <v>-90.362868866668194</v>
      </c>
      <c r="Y2759" s="39"/>
    </row>
    <row r="2760" spans="1:25" ht="15" thickBot="1">
      <c r="A2760" s="149">
        <f t="shared" si="2986"/>
        <v>45950.874999995292</v>
      </c>
      <c r="B2760" s="30">
        <f t="shared" si="2941"/>
        <v>5000</v>
      </c>
      <c r="C2760" s="8">
        <v>25000</v>
      </c>
      <c r="D2760" s="187">
        <v>0</v>
      </c>
      <c r="E2760" s="187">
        <v>700</v>
      </c>
      <c r="F2760" s="187">
        <v>15000</v>
      </c>
      <c r="G2760" s="30">
        <f t="shared" si="2942"/>
        <v>2470</v>
      </c>
      <c r="H2760" s="8">
        <f t="shared" si="2942"/>
        <v>25000</v>
      </c>
      <c r="I2760" s="30">
        <f t="shared" si="2943"/>
        <v>5000</v>
      </c>
      <c r="J2760" s="187">
        <v>40000</v>
      </c>
      <c r="K2760" s="30">
        <f t="shared" si="2944"/>
        <v>5000</v>
      </c>
      <c r="L2760" s="187">
        <v>40000</v>
      </c>
      <c r="M2760" s="110">
        <v>9.5</v>
      </c>
      <c r="N2760" s="9">
        <f>VLOOKUP(DATE(YEAR(A2760),MONTH(A2760),DAY(A2760)),FY24_Temp[],3,FALSE)</f>
        <v>17.399999999999999</v>
      </c>
      <c r="O2760" s="110">
        <f t="shared" si="3002"/>
        <v>11.5</v>
      </c>
      <c r="P2760" s="110">
        <f t="shared" si="3003"/>
        <v>19.5</v>
      </c>
      <c r="Q2760" s="79">
        <f>VLOOKUP(VLOOKUP(DATEVALUE(TEXT(A2760,"m/d/yyyy")),FY24_Temp[],5,FALSE)&amp;TEXT(A2760,"-h"),TempDelta[],4,FALSE)</f>
        <v>0.58742856766496387</v>
      </c>
      <c r="R2760">
        <v>10</v>
      </c>
      <c r="S2760" s="112">
        <v>1500</v>
      </c>
      <c r="T2760" s="5">
        <f>VLOOKUP(TEXT(A2760,"yy-mm")&amp;"-"&amp;IF(AND(WEEKDAY(A2760)&gt;1,WEEKDAY(A2760)&lt;7),"Wkd",TEXT(A2760,"Ddd"))&amp;"-"&amp;TEXT(A2760,"hh"),LoadTable[],3,FALSE)*0.92</f>
        <v>229.93744000000001</v>
      </c>
      <c r="U2760" s="113">
        <f t="shared" si="3004"/>
        <v>22.993744</v>
      </c>
      <c r="V2760">
        <f t="shared" ref="V2760:W2760" si="3009">V2736</f>
        <v>3.5</v>
      </c>
      <c r="W2760">
        <f t="shared" si="3009"/>
        <v>3.1</v>
      </c>
      <c r="X2760" s="9">
        <v>-90.440663416668201</v>
      </c>
      <c r="Y2760" s="39"/>
    </row>
    <row r="2761" spans="1:25" ht="15" thickBot="1">
      <c r="A2761" s="149">
        <f t="shared" si="2986"/>
        <v>45950.916666661957</v>
      </c>
      <c r="B2761" s="30">
        <f t="shared" si="2941"/>
        <v>5000</v>
      </c>
      <c r="C2761" s="8">
        <v>25000</v>
      </c>
      <c r="D2761" s="187">
        <v>0</v>
      </c>
      <c r="E2761" s="187">
        <v>700</v>
      </c>
      <c r="F2761" s="187">
        <v>15000</v>
      </c>
      <c r="G2761" s="30">
        <f t="shared" si="2942"/>
        <v>2470</v>
      </c>
      <c r="H2761" s="8">
        <f t="shared" si="2942"/>
        <v>25000</v>
      </c>
      <c r="I2761" s="30">
        <f t="shared" si="2943"/>
        <v>5000</v>
      </c>
      <c r="J2761" s="187">
        <v>40000</v>
      </c>
      <c r="K2761" s="30">
        <f t="shared" si="2944"/>
        <v>5000</v>
      </c>
      <c r="L2761" s="187">
        <v>40000</v>
      </c>
      <c r="M2761" s="110">
        <v>9.5</v>
      </c>
      <c r="N2761" s="9">
        <f>VLOOKUP(DATE(YEAR(A2761),MONTH(A2761),DAY(A2761)),FY24_Temp[],3,FALSE)</f>
        <v>17.399999999999999</v>
      </c>
      <c r="O2761" s="110">
        <f t="shared" si="3002"/>
        <v>11.5</v>
      </c>
      <c r="P2761" s="110">
        <f t="shared" si="3003"/>
        <v>19.5</v>
      </c>
      <c r="Q2761" s="79">
        <f>VLOOKUP(VLOOKUP(DATEVALUE(TEXT(A2761,"m/d/yyyy")),FY24_Temp[],5,FALSE)&amp;TEXT(A2761,"-h"),TempDelta[],4,FALSE)</f>
        <v>0.81528571673801964</v>
      </c>
      <c r="R2761">
        <v>10</v>
      </c>
      <c r="S2761" s="112">
        <v>1500</v>
      </c>
      <c r="T2761" s="5">
        <f>VLOOKUP(TEXT(A2761,"yy-mm")&amp;"-"&amp;IF(AND(WEEKDAY(A2761)&gt;1,WEEKDAY(A2761)&lt;7),"Wkd",TEXT(A2761,"Ddd"))&amp;"-"&amp;TEXT(A2761,"hh"),LoadTable[],3,FALSE)*0.92</f>
        <v>176.52040000000002</v>
      </c>
      <c r="U2761" s="113">
        <f t="shared" si="3004"/>
        <v>17.652040000000003</v>
      </c>
      <c r="V2761">
        <f t="shared" ref="V2761:W2761" si="3010">V2737</f>
        <v>2.9</v>
      </c>
      <c r="W2761">
        <f t="shared" si="3010"/>
        <v>3.1</v>
      </c>
      <c r="X2761" s="9">
        <v>-90.518457966668294</v>
      </c>
      <c r="Y2761" s="39"/>
    </row>
    <row r="2762" spans="1:25" ht="15" thickBot="1">
      <c r="A2762" s="149">
        <f t="shared" si="2986"/>
        <v>45950.958333328621</v>
      </c>
      <c r="B2762" s="30">
        <f t="shared" si="2941"/>
        <v>5000</v>
      </c>
      <c r="C2762" s="8">
        <v>25000</v>
      </c>
      <c r="D2762" s="187">
        <v>0</v>
      </c>
      <c r="E2762" s="187">
        <v>700</v>
      </c>
      <c r="F2762" s="187">
        <v>15000</v>
      </c>
      <c r="G2762" s="30">
        <f t="shared" si="2942"/>
        <v>2470</v>
      </c>
      <c r="H2762" s="8">
        <f t="shared" si="2942"/>
        <v>25000</v>
      </c>
      <c r="I2762" s="30">
        <f t="shared" si="2943"/>
        <v>5000</v>
      </c>
      <c r="J2762" s="187">
        <v>40000</v>
      </c>
      <c r="K2762" s="30">
        <f t="shared" si="2944"/>
        <v>5000</v>
      </c>
      <c r="L2762" s="187">
        <v>40000</v>
      </c>
      <c r="M2762" s="110">
        <v>9.5</v>
      </c>
      <c r="N2762" s="9">
        <f>VLOOKUP(DATE(YEAR(A2762),MONTH(A2762),DAY(A2762)),FY24_Temp[],3,FALSE)</f>
        <v>17.399999999999999</v>
      </c>
      <c r="O2762" s="110">
        <f t="shared" si="3002"/>
        <v>11.5</v>
      </c>
      <c r="P2762" s="110">
        <f t="shared" si="3003"/>
        <v>19.5</v>
      </c>
      <c r="Q2762" s="79">
        <f>VLOOKUP(VLOOKUP(DATEVALUE(TEXT(A2762,"m/d/yyyy")),FY24_Temp[],5,FALSE)&amp;TEXT(A2762,"-h"),TempDelta[],4,FALSE)</f>
        <v>0.93885714667184017</v>
      </c>
      <c r="R2762">
        <v>10</v>
      </c>
      <c r="S2762" s="112">
        <v>1500</v>
      </c>
      <c r="T2762" s="5">
        <f>VLOOKUP(TEXT(A2762,"yy-mm")&amp;"-"&amp;IF(AND(WEEKDAY(A2762)&gt;1,WEEKDAY(A2762)&lt;7),"Wkd",TEXT(A2762,"Ddd"))&amp;"-"&amp;TEXT(A2762,"hh"),LoadTable[],3,FALSE)*0.92</f>
        <v>176.52040000000002</v>
      </c>
      <c r="U2762" s="113">
        <f t="shared" si="3004"/>
        <v>17.652040000000003</v>
      </c>
      <c r="V2762">
        <f t="shared" ref="V2762:W2762" si="3011">V2738</f>
        <v>3.6</v>
      </c>
      <c r="W2762">
        <f t="shared" si="3011"/>
        <v>3.1</v>
      </c>
      <c r="X2762" s="9">
        <v>-90.596252516668301</v>
      </c>
      <c r="Y2762" s="39"/>
    </row>
    <row r="2763" spans="1:25" ht="15" thickBot="1">
      <c r="A2763" s="149">
        <f t="shared" si="2986"/>
        <v>45950.999999995285</v>
      </c>
      <c r="B2763" s="30">
        <f t="shared" si="2941"/>
        <v>5000</v>
      </c>
      <c r="C2763" s="8">
        <v>25000</v>
      </c>
      <c r="D2763" s="187">
        <v>0</v>
      </c>
      <c r="E2763" s="187">
        <v>700</v>
      </c>
      <c r="F2763" s="187">
        <v>15000</v>
      </c>
      <c r="G2763" s="30">
        <f t="shared" si="2942"/>
        <v>2470</v>
      </c>
      <c r="H2763" s="8">
        <f t="shared" si="2942"/>
        <v>25000</v>
      </c>
      <c r="I2763" s="30">
        <f t="shared" si="2943"/>
        <v>5000</v>
      </c>
      <c r="J2763" s="187">
        <v>40000</v>
      </c>
      <c r="K2763" s="30">
        <f t="shared" si="2944"/>
        <v>5000</v>
      </c>
      <c r="L2763" s="187">
        <v>40000</v>
      </c>
      <c r="M2763" s="110">
        <v>9.5</v>
      </c>
      <c r="N2763" s="9">
        <f>VLOOKUP(DATE(YEAR(A2763),MONTH(A2763),DAY(A2763)),FY24_Temp[],3,FALSE)</f>
        <v>17.399999999999999</v>
      </c>
      <c r="O2763" s="110">
        <f t="shared" si="3002"/>
        <v>11.5</v>
      </c>
      <c r="P2763" s="110">
        <f t="shared" si="3003"/>
        <v>19.5</v>
      </c>
      <c r="Q2763" s="79">
        <f>VLOOKUP(VLOOKUP(DATEVALUE(TEXT(A2763,"m/d/yyyy")),FY24_Temp[],5,FALSE)&amp;TEXT(A2763,"-h"),TempDelta[],4,FALSE)</f>
        <v>1.0217142956597465</v>
      </c>
      <c r="R2763">
        <v>10</v>
      </c>
      <c r="S2763" s="112">
        <v>1500</v>
      </c>
      <c r="T2763" s="5">
        <f>VLOOKUP(TEXT(A2763,"yy-mm")&amp;"-"&amp;IF(AND(WEEKDAY(A2763)&gt;1,WEEKDAY(A2763)&lt;7),"Wkd",TEXT(A2763,"Ddd"))&amp;"-"&amp;TEXT(A2763,"hh"),LoadTable[],3,FALSE)*0.92</f>
        <v>209.6772</v>
      </c>
      <c r="U2763" s="113">
        <f t="shared" si="3004"/>
        <v>20.96772</v>
      </c>
      <c r="V2763">
        <f t="shared" ref="V2763:W2763" si="3012">V2739</f>
        <v>3</v>
      </c>
      <c r="W2763">
        <f t="shared" si="3012"/>
        <v>3.2</v>
      </c>
      <c r="X2763" s="9">
        <v>-90.674047066668294</v>
      </c>
      <c r="Y2763" s="39"/>
    </row>
    <row r="2764" spans="1:25" ht="15" thickBot="1">
      <c r="A2764" s="149">
        <f t="shared" si="2986"/>
        <v>45951.041666661949</v>
      </c>
      <c r="B2764" s="30">
        <f t="shared" ref="B2764:B2827" si="3013">B2740</f>
        <v>5000</v>
      </c>
      <c r="C2764" s="8">
        <v>25000</v>
      </c>
      <c r="D2764" s="187">
        <v>0</v>
      </c>
      <c r="E2764" s="187">
        <v>700</v>
      </c>
      <c r="F2764" s="187">
        <v>15000</v>
      </c>
      <c r="G2764" s="30">
        <f t="shared" ref="G2764:H2827" si="3014">G2740</f>
        <v>2470</v>
      </c>
      <c r="H2764" s="8">
        <f t="shared" si="3014"/>
        <v>25000</v>
      </c>
      <c r="I2764" s="30">
        <f t="shared" ref="I2764:I2827" si="3015">I2740</f>
        <v>5000</v>
      </c>
      <c r="J2764" s="187">
        <v>40000</v>
      </c>
      <c r="K2764" s="30">
        <f t="shared" ref="K2764:K2827" si="3016">K2740</f>
        <v>5000</v>
      </c>
      <c r="L2764" s="187">
        <v>40000</v>
      </c>
      <c r="M2764" s="110">
        <v>9.5</v>
      </c>
      <c r="N2764" s="9">
        <f>VLOOKUP(DATE(YEAR(A2764),MONTH(A2764),DAY(A2764)),FY24_Temp[],3,FALSE)</f>
        <v>17.399999999999999</v>
      </c>
      <c r="O2764" s="110">
        <f t="shared" si="3002"/>
        <v>11.5</v>
      </c>
      <c r="P2764" s="110">
        <f t="shared" si="3003"/>
        <v>19.5</v>
      </c>
      <c r="Q2764" s="79">
        <f>VLOOKUP(VLOOKUP(DATEVALUE(TEXT(A2764,"m/d/yyyy")),FY24_Temp[],5,FALSE)&amp;TEXT(A2764,"-h"),TempDelta[],4,FALSE)</f>
        <v>0.97999998501368935</v>
      </c>
      <c r="R2764">
        <v>10</v>
      </c>
      <c r="S2764" s="112">
        <v>1500</v>
      </c>
      <c r="T2764" s="5">
        <f>VLOOKUP(TEXT(A2764,"yy-mm")&amp;"-"&amp;IF(AND(WEEKDAY(A2764)&gt;1,WEEKDAY(A2764)&lt;7),"Wkd",TEXT(A2764,"Ddd"))&amp;"-"&amp;TEXT(A2764,"hh"),LoadTable[],3,FALSE)*0.92</f>
        <v>209.6772</v>
      </c>
      <c r="U2764" s="113">
        <f t="shared" si="3004"/>
        <v>20.96772</v>
      </c>
      <c r="V2764">
        <f t="shared" ref="V2764:W2764" si="3017">V2740</f>
        <v>2.6</v>
      </c>
      <c r="W2764">
        <f t="shared" si="3017"/>
        <v>3.2</v>
      </c>
      <c r="X2764" s="9">
        <v>-90.751841616668301</v>
      </c>
      <c r="Y2764" s="39"/>
    </row>
    <row r="2765" spans="1:25" ht="15" thickBot="1">
      <c r="A2765" s="149">
        <f t="shared" si="2986"/>
        <v>45951.083333328614</v>
      </c>
      <c r="B2765" s="30">
        <f t="shared" si="3013"/>
        <v>5000</v>
      </c>
      <c r="C2765" s="8">
        <v>25000</v>
      </c>
      <c r="D2765" s="187">
        <v>0</v>
      </c>
      <c r="E2765" s="187">
        <v>700</v>
      </c>
      <c r="F2765" s="187">
        <v>15000</v>
      </c>
      <c r="G2765" s="30">
        <f t="shared" si="3014"/>
        <v>2470</v>
      </c>
      <c r="H2765" s="8">
        <f t="shared" si="3014"/>
        <v>25000</v>
      </c>
      <c r="I2765" s="30">
        <f t="shared" si="3015"/>
        <v>5000</v>
      </c>
      <c r="J2765" s="187">
        <v>40000</v>
      </c>
      <c r="K2765" s="30">
        <f t="shared" si="3016"/>
        <v>5000</v>
      </c>
      <c r="L2765" s="187">
        <v>40000</v>
      </c>
      <c r="M2765" s="110">
        <v>9.5</v>
      </c>
      <c r="N2765" s="9">
        <f>VLOOKUP(DATE(YEAR(A2765),MONTH(A2765),DAY(A2765)),FY24_Temp[],3,FALSE)</f>
        <v>17.399999999999999</v>
      </c>
      <c r="O2765" s="110">
        <f t="shared" si="3002"/>
        <v>11.5</v>
      </c>
      <c r="P2765" s="110">
        <f t="shared" si="3003"/>
        <v>19.5</v>
      </c>
      <c r="Q2765" s="79">
        <f>VLOOKUP(VLOOKUP(DATEVALUE(TEXT(A2765,"m/d/yyyy")),FY24_Temp[],5,FALSE)&amp;TEXT(A2765,"-h"),TempDelta[],4,FALSE)</f>
        <v>0.89157142809459144</v>
      </c>
      <c r="R2765">
        <v>10</v>
      </c>
      <c r="S2765" s="112">
        <v>1500</v>
      </c>
      <c r="T2765" s="5">
        <f>VLOOKUP(TEXT(A2765,"yy-mm")&amp;"-"&amp;IF(AND(WEEKDAY(A2765)&gt;1,WEEKDAY(A2765)&lt;7),"Wkd",TEXT(A2765,"Ddd"))&amp;"-"&amp;TEXT(A2765,"hh"),LoadTable[],3,FALSE)*0.92</f>
        <v>209.6772</v>
      </c>
      <c r="U2765" s="113">
        <f t="shared" si="3004"/>
        <v>20.96772</v>
      </c>
      <c r="V2765">
        <f t="shared" ref="V2765:W2765" si="3018">V2741</f>
        <v>2.8</v>
      </c>
      <c r="W2765">
        <f t="shared" si="3018"/>
        <v>3.2</v>
      </c>
      <c r="X2765" s="9">
        <v>-90.829636166668294</v>
      </c>
      <c r="Y2765" s="39"/>
    </row>
    <row r="2766" spans="1:25" ht="15" thickBot="1">
      <c r="A2766" s="149">
        <f t="shared" si="2986"/>
        <v>45951.124999995278</v>
      </c>
      <c r="B2766" s="30">
        <f t="shared" si="3013"/>
        <v>5000</v>
      </c>
      <c r="C2766" s="8">
        <v>25000</v>
      </c>
      <c r="D2766" s="187">
        <v>0</v>
      </c>
      <c r="E2766" s="187">
        <v>700</v>
      </c>
      <c r="F2766" s="187">
        <v>15000</v>
      </c>
      <c r="G2766" s="30">
        <f t="shared" si="3014"/>
        <v>2470</v>
      </c>
      <c r="H2766" s="8">
        <f t="shared" si="3014"/>
        <v>25000</v>
      </c>
      <c r="I2766" s="30">
        <f t="shared" si="3015"/>
        <v>5000</v>
      </c>
      <c r="J2766" s="187">
        <v>40000</v>
      </c>
      <c r="K2766" s="30">
        <f t="shared" si="3016"/>
        <v>5000</v>
      </c>
      <c r="L2766" s="187">
        <v>40000</v>
      </c>
      <c r="M2766" s="110">
        <v>9.5</v>
      </c>
      <c r="N2766" s="9">
        <f>VLOOKUP(DATE(YEAR(A2766),MONTH(A2766),DAY(A2766)),FY24_Temp[],3,FALSE)</f>
        <v>17.399999999999999</v>
      </c>
      <c r="O2766" s="110">
        <f t="shared" si="3002"/>
        <v>11.5</v>
      </c>
      <c r="P2766" s="110">
        <f t="shared" si="3003"/>
        <v>19.5</v>
      </c>
      <c r="Q2766" s="79">
        <f>VLOOKUP(VLOOKUP(DATEVALUE(TEXT(A2766,"m/d/yyyy")),FY24_Temp[],5,FALSE)&amp;TEXT(A2766,"-h"),TempDelta[],4,FALSE)</f>
        <v>0.78457142625536236</v>
      </c>
      <c r="R2766">
        <v>10</v>
      </c>
      <c r="S2766" s="112">
        <v>1500</v>
      </c>
      <c r="T2766" s="5">
        <f>VLOOKUP(TEXT(A2766,"yy-mm")&amp;"-"&amp;IF(AND(WEEKDAY(A2766)&gt;1,WEEKDAY(A2766)&lt;7),"Wkd",TEXT(A2766,"Ddd"))&amp;"-"&amp;TEXT(A2766,"hh"),LoadTable[],3,FALSE)*0.92</f>
        <v>209.6772</v>
      </c>
      <c r="U2766" s="113">
        <f t="shared" si="3004"/>
        <v>20.96772</v>
      </c>
      <c r="V2766">
        <f t="shared" ref="V2766:W2766" si="3019">V2742</f>
        <v>2.7</v>
      </c>
      <c r="W2766">
        <f t="shared" si="3019"/>
        <v>3.2</v>
      </c>
      <c r="X2766" s="9">
        <v>-90.907430716668301</v>
      </c>
      <c r="Y2766" s="39"/>
    </row>
    <row r="2767" spans="1:25" ht="15" thickBot="1">
      <c r="A2767" s="149">
        <f t="shared" si="2986"/>
        <v>45951.166666661942</v>
      </c>
      <c r="B2767" s="30">
        <f t="shared" si="3013"/>
        <v>5000</v>
      </c>
      <c r="C2767" s="8">
        <v>25000</v>
      </c>
      <c r="D2767" s="187">
        <v>0</v>
      </c>
      <c r="E2767" s="187">
        <v>700</v>
      </c>
      <c r="F2767" s="187">
        <v>15000</v>
      </c>
      <c r="G2767" s="30">
        <f t="shared" si="3014"/>
        <v>2470</v>
      </c>
      <c r="H2767" s="8">
        <f t="shared" si="3014"/>
        <v>25000</v>
      </c>
      <c r="I2767" s="30">
        <f t="shared" si="3015"/>
        <v>5000</v>
      </c>
      <c r="J2767" s="187">
        <v>40000</v>
      </c>
      <c r="K2767" s="30">
        <f t="shared" si="3016"/>
        <v>5000</v>
      </c>
      <c r="L2767" s="187">
        <v>40000</v>
      </c>
      <c r="M2767" s="110">
        <v>9.5</v>
      </c>
      <c r="N2767" s="9">
        <f>VLOOKUP(DATE(YEAR(A2767),MONTH(A2767),DAY(A2767)),FY24_Temp[],3,FALSE)</f>
        <v>17.399999999999999</v>
      </c>
      <c r="O2767" s="110">
        <f t="shared" si="3002"/>
        <v>11.5</v>
      </c>
      <c r="P2767" s="110">
        <f t="shared" si="3003"/>
        <v>19.5</v>
      </c>
      <c r="Q2767" s="79">
        <f>VLOOKUP(VLOOKUP(DATEVALUE(TEXT(A2767,"m/d/yyyy")),FY24_Temp[],5,FALSE)&amp;TEXT(A2767,"-h"),TempDelta[],4,FALSE)</f>
        <v>0.69542856727327618</v>
      </c>
      <c r="R2767">
        <v>10</v>
      </c>
      <c r="S2767" s="112">
        <v>1500</v>
      </c>
      <c r="T2767" s="5">
        <f>VLOOKUP(TEXT(A2767,"yy-mm")&amp;"-"&amp;IF(AND(WEEKDAY(A2767)&gt;1,WEEKDAY(A2767)&lt;7),"Wkd",TEXT(A2767,"Ddd"))&amp;"-"&amp;TEXT(A2767,"hh"),LoadTable[],3,FALSE)*0.92</f>
        <v>209.6772</v>
      </c>
      <c r="U2767" s="113">
        <f t="shared" si="3004"/>
        <v>20.96772</v>
      </c>
      <c r="V2767">
        <f t="shared" ref="V2767:W2767" si="3020">V2743</f>
        <v>3</v>
      </c>
      <c r="W2767">
        <f t="shared" si="3020"/>
        <v>3.1</v>
      </c>
      <c r="X2767" s="9">
        <v>-90.985225266668294</v>
      </c>
      <c r="Y2767" s="39"/>
    </row>
    <row r="2768" spans="1:25" ht="15" thickBot="1">
      <c r="A2768" s="149">
        <f t="shared" si="2986"/>
        <v>45951.208333328606</v>
      </c>
      <c r="B2768" s="30">
        <f t="shared" si="3013"/>
        <v>5000</v>
      </c>
      <c r="C2768" s="8">
        <v>25000</v>
      </c>
      <c r="D2768" s="187">
        <v>0</v>
      </c>
      <c r="E2768" s="187">
        <v>700</v>
      </c>
      <c r="F2768" s="187">
        <v>15000</v>
      </c>
      <c r="G2768" s="30">
        <f t="shared" si="3014"/>
        <v>2470</v>
      </c>
      <c r="H2768" s="8">
        <f t="shared" si="3014"/>
        <v>25000</v>
      </c>
      <c r="I2768" s="30">
        <f t="shared" si="3015"/>
        <v>5000</v>
      </c>
      <c r="J2768" s="187">
        <v>40000</v>
      </c>
      <c r="K2768" s="30">
        <f t="shared" si="3016"/>
        <v>5000</v>
      </c>
      <c r="L2768" s="187">
        <v>40000</v>
      </c>
      <c r="M2768" s="110">
        <v>9.5</v>
      </c>
      <c r="N2768" s="9">
        <f>VLOOKUP(DATE(YEAR(A2768),MONTH(A2768),DAY(A2768)),FY24_Temp[],3,FALSE)</f>
        <v>17.399999999999999</v>
      </c>
      <c r="O2768" s="110">
        <f t="shared" si="3002"/>
        <v>11.5</v>
      </c>
      <c r="P2768" s="110">
        <f t="shared" si="3003"/>
        <v>19.5</v>
      </c>
      <c r="Q2768" s="79">
        <f>VLOOKUP(VLOOKUP(DATEVALUE(TEXT(A2768,"m/d/yyyy")),FY24_Temp[],5,FALSE)&amp;TEXT(A2768,"-h"),TempDelta[],4,FALSE)</f>
        <v>0.71114285503114971</v>
      </c>
      <c r="R2768">
        <v>10</v>
      </c>
      <c r="S2768" s="112">
        <v>1500</v>
      </c>
      <c r="T2768" s="5">
        <f>VLOOKUP(TEXT(A2768,"yy-mm")&amp;"-"&amp;IF(AND(WEEKDAY(A2768)&gt;1,WEEKDAY(A2768)&lt;7),"Wkd",TEXT(A2768,"Ddd"))&amp;"-"&amp;TEXT(A2768,"hh"),LoadTable[],3,FALSE)*0.92</f>
        <v>209.6772</v>
      </c>
      <c r="U2768" s="113">
        <f t="shared" si="3004"/>
        <v>20.96772</v>
      </c>
      <c r="V2768">
        <f t="shared" ref="V2768:W2768" si="3021">V2744</f>
        <v>2.9</v>
      </c>
      <c r="W2768">
        <f t="shared" si="3021"/>
        <v>3.1</v>
      </c>
      <c r="X2768" s="9">
        <v>-91.063019816668302</v>
      </c>
      <c r="Y2768" s="39"/>
    </row>
    <row r="2769" spans="1:25" ht="15" thickBot="1">
      <c r="A2769" s="149">
        <f t="shared" si="2986"/>
        <v>45951.249999995271</v>
      </c>
      <c r="B2769" s="30">
        <f t="shared" si="3013"/>
        <v>8000</v>
      </c>
      <c r="C2769" s="8">
        <v>25000</v>
      </c>
      <c r="D2769" s="187">
        <v>0</v>
      </c>
      <c r="E2769" s="187">
        <v>700</v>
      </c>
      <c r="F2769" s="187">
        <v>15000</v>
      </c>
      <c r="G2769" s="30">
        <f t="shared" si="3014"/>
        <v>2470</v>
      </c>
      <c r="H2769" s="8">
        <f t="shared" si="3014"/>
        <v>25000</v>
      </c>
      <c r="I2769" s="30">
        <f t="shared" si="3015"/>
        <v>8000</v>
      </c>
      <c r="J2769" s="187">
        <v>40000</v>
      </c>
      <c r="K2769" s="30">
        <f t="shared" si="3016"/>
        <v>8000</v>
      </c>
      <c r="L2769" s="187">
        <v>40000</v>
      </c>
      <c r="M2769" s="110">
        <v>9.5</v>
      </c>
      <c r="N2769" s="9">
        <f>VLOOKUP(DATE(YEAR(A2769),MONTH(A2769),DAY(A2769)),FY24_Temp[],3,FALSE)</f>
        <v>17.399999999999999</v>
      </c>
      <c r="O2769" s="110">
        <f t="shared" si="3002"/>
        <v>11.5</v>
      </c>
      <c r="P2769" s="110">
        <f t="shared" si="3003"/>
        <v>19.5</v>
      </c>
      <c r="Q2769" s="79">
        <f>VLOOKUP(VLOOKUP(DATEVALUE(TEXT(A2769,"m/d/yyyy")),FY24_Temp[],5,FALSE)&amp;TEXT(A2769,"-h"),TempDelta[],4,FALSE)</f>
        <v>0.56542856778417316</v>
      </c>
      <c r="R2769">
        <v>10</v>
      </c>
      <c r="S2769" s="112">
        <v>1500</v>
      </c>
      <c r="T2769" s="5">
        <f>VLOOKUP(TEXT(A2769,"yy-mm")&amp;"-"&amp;IF(AND(WEEKDAY(A2769)&gt;1,WEEKDAY(A2769)&lt;7),"Wkd",TEXT(A2769,"Ddd"))&amp;"-"&amp;TEXT(A2769,"hh"),LoadTable[],3,FALSE)*0.92</f>
        <v>209.6772</v>
      </c>
      <c r="U2769" s="113">
        <f t="shared" si="3004"/>
        <v>20.96772</v>
      </c>
      <c r="V2769">
        <f t="shared" ref="V2769:W2769" si="3022">V2745</f>
        <v>2.5</v>
      </c>
      <c r="W2769">
        <f t="shared" si="3022"/>
        <v>3.1</v>
      </c>
      <c r="X2769" s="9">
        <v>-91.140814366668295</v>
      </c>
      <c r="Y2769" s="39"/>
    </row>
    <row r="2770" spans="1:25" ht="15" thickBot="1">
      <c r="A2770" s="149">
        <f t="shared" si="2986"/>
        <v>45951.291666661935</v>
      </c>
      <c r="B2770" s="30">
        <f t="shared" si="3013"/>
        <v>8000</v>
      </c>
      <c r="C2770" s="8">
        <v>25000</v>
      </c>
      <c r="D2770" s="187">
        <v>0</v>
      </c>
      <c r="E2770" s="187">
        <v>700</v>
      </c>
      <c r="F2770" s="187">
        <v>15000</v>
      </c>
      <c r="G2770" s="30">
        <f t="shared" si="3014"/>
        <v>2470</v>
      </c>
      <c r="H2770" s="8">
        <f t="shared" si="3014"/>
        <v>25000</v>
      </c>
      <c r="I2770" s="30">
        <f t="shared" si="3015"/>
        <v>8000</v>
      </c>
      <c r="J2770" s="187">
        <v>40000</v>
      </c>
      <c r="K2770" s="30">
        <f t="shared" si="3016"/>
        <v>8000</v>
      </c>
      <c r="L2770" s="187">
        <v>40000</v>
      </c>
      <c r="M2770" s="110">
        <v>9.5</v>
      </c>
      <c r="N2770" s="9">
        <f>VLOOKUP(DATE(YEAR(A2770),MONTH(A2770),DAY(A2770)),FY24_Temp[],3,FALSE)</f>
        <v>17.399999999999999</v>
      </c>
      <c r="O2770" s="110">
        <f t="shared" si="3002"/>
        <v>11.5</v>
      </c>
      <c r="P2770" s="110">
        <f t="shared" si="3003"/>
        <v>19.5</v>
      </c>
      <c r="Q2770" s="79">
        <f>VLOOKUP(VLOOKUP(DATEVALUE(TEXT(A2770,"m/d/yyyy")),FY24_Temp[],5,FALSE)&amp;TEXT(A2770,"-h"),TempDelta[],4,FALSE)</f>
        <v>0.38785713911056519</v>
      </c>
      <c r="R2770">
        <v>10</v>
      </c>
      <c r="S2770" s="112">
        <v>1500</v>
      </c>
      <c r="T2770" s="5">
        <f>VLOOKUP(TEXT(A2770,"yy-mm")&amp;"-"&amp;IF(AND(WEEKDAY(A2770)&gt;1,WEEKDAY(A2770)&lt;7),"Wkd",TEXT(A2770,"Ddd"))&amp;"-"&amp;TEXT(A2770,"hh"),LoadTable[],3,FALSE)*0.92</f>
        <v>234.80148</v>
      </c>
      <c r="U2770" s="113">
        <f t="shared" si="3004"/>
        <v>23.480148</v>
      </c>
      <c r="V2770">
        <f t="shared" ref="V2770:W2770" si="3023">V2746</f>
        <v>2.5</v>
      </c>
      <c r="W2770">
        <f t="shared" si="3023"/>
        <v>3.1</v>
      </c>
      <c r="X2770" s="9">
        <v>-91.218608916668302</v>
      </c>
      <c r="Y2770" s="39"/>
    </row>
    <row r="2771" spans="1:25" ht="15" thickBot="1">
      <c r="A2771" s="149">
        <f t="shared" si="2986"/>
        <v>45951.333333328599</v>
      </c>
      <c r="B2771" s="30">
        <f t="shared" si="3013"/>
        <v>8000</v>
      </c>
      <c r="C2771" s="8">
        <v>25000</v>
      </c>
      <c r="D2771" s="187">
        <v>0</v>
      </c>
      <c r="E2771" s="187">
        <v>700</v>
      </c>
      <c r="F2771" s="187">
        <v>15000</v>
      </c>
      <c r="G2771" s="30">
        <f t="shared" si="3014"/>
        <v>2470</v>
      </c>
      <c r="H2771" s="8">
        <f t="shared" si="3014"/>
        <v>25000</v>
      </c>
      <c r="I2771" s="30">
        <f t="shared" si="3015"/>
        <v>8000</v>
      </c>
      <c r="J2771" s="187">
        <v>40000</v>
      </c>
      <c r="K2771" s="30">
        <f t="shared" si="3016"/>
        <v>8000</v>
      </c>
      <c r="L2771" s="187">
        <v>40000</v>
      </c>
      <c r="M2771" s="110">
        <v>9.5</v>
      </c>
      <c r="N2771" s="9">
        <f>VLOOKUP(DATE(YEAR(A2771),MONTH(A2771),DAY(A2771)),FY24_Temp[],3,FALSE)</f>
        <v>17.399999999999999</v>
      </c>
      <c r="O2771" s="110">
        <f t="shared" si="3002"/>
        <v>11.5</v>
      </c>
      <c r="P2771" s="110">
        <f t="shared" si="3003"/>
        <v>19.5</v>
      </c>
      <c r="Q2771" s="79">
        <f>VLOOKUP(VLOOKUP(DATEVALUE(TEXT(A2771,"m/d/yyyy")),FY24_Temp[],5,FALSE)&amp;TEXT(A2771,"-h"),TempDelta[],4,FALSE)</f>
        <v>0.28528571341718945</v>
      </c>
      <c r="R2771">
        <v>10</v>
      </c>
      <c r="S2771" s="112">
        <v>1500</v>
      </c>
      <c r="T2771" s="5">
        <f>VLOOKUP(TEXT(A2771,"yy-mm")&amp;"-"&amp;IF(AND(WEEKDAY(A2771)&gt;1,WEEKDAY(A2771)&lt;7),"Wkd",TEXT(A2771,"Ddd"))&amp;"-"&amp;TEXT(A2771,"hh"),LoadTable[],3,FALSE)*0.92</f>
        <v>234.80148</v>
      </c>
      <c r="U2771" s="113">
        <f t="shared" si="3004"/>
        <v>23.480148</v>
      </c>
      <c r="V2771">
        <f t="shared" ref="V2771:W2771" si="3024">V2747</f>
        <v>3.2</v>
      </c>
      <c r="W2771">
        <f t="shared" si="3024"/>
        <v>3</v>
      </c>
      <c r="X2771" s="9">
        <v>-91.296403466668295</v>
      </c>
      <c r="Y2771" s="39"/>
    </row>
    <row r="2772" spans="1:25" ht="15" thickBot="1">
      <c r="A2772" s="149">
        <f t="shared" si="2986"/>
        <v>45951.374999995263</v>
      </c>
      <c r="B2772" s="30">
        <f t="shared" si="3013"/>
        <v>8000</v>
      </c>
      <c r="C2772" s="8">
        <v>25000</v>
      </c>
      <c r="D2772" s="187">
        <v>0</v>
      </c>
      <c r="E2772" s="187">
        <v>700</v>
      </c>
      <c r="F2772" s="187">
        <v>15000</v>
      </c>
      <c r="G2772" s="30">
        <f t="shared" si="3014"/>
        <v>2470</v>
      </c>
      <c r="H2772" s="8">
        <f t="shared" si="3014"/>
        <v>25000</v>
      </c>
      <c r="I2772" s="30">
        <f t="shared" si="3015"/>
        <v>8000</v>
      </c>
      <c r="J2772" s="187">
        <v>40000</v>
      </c>
      <c r="K2772" s="30">
        <f t="shared" si="3016"/>
        <v>8000</v>
      </c>
      <c r="L2772" s="187">
        <v>40000</v>
      </c>
      <c r="M2772" s="110">
        <v>9.5</v>
      </c>
      <c r="N2772" s="9">
        <f>VLOOKUP(DATE(YEAR(A2772),MONTH(A2772),DAY(A2772)),FY24_Temp[],3,FALSE)</f>
        <v>17.399999999999999</v>
      </c>
      <c r="O2772" s="110">
        <f t="shared" si="3002"/>
        <v>11.5</v>
      </c>
      <c r="P2772" s="110">
        <f t="shared" si="3003"/>
        <v>19.5</v>
      </c>
      <c r="Q2772" s="79">
        <f>VLOOKUP(VLOOKUP(DATEVALUE(TEXT(A2772,"m/d/yyyy")),FY24_Temp[],5,FALSE)&amp;TEXT(A2772,"-h"),TempDelta[],4,FALSE)</f>
        <v>0.20714286076171057</v>
      </c>
      <c r="R2772">
        <v>10</v>
      </c>
      <c r="S2772" s="112">
        <v>1500</v>
      </c>
      <c r="T2772" s="5">
        <f>VLOOKUP(TEXT(A2772,"yy-mm")&amp;"-"&amp;IF(AND(WEEKDAY(A2772)&gt;1,WEEKDAY(A2772)&lt;7),"Wkd",TEXT(A2772,"Ddd"))&amp;"-"&amp;TEXT(A2772,"hh"),LoadTable[],3,FALSE)*0.92</f>
        <v>234.80148</v>
      </c>
      <c r="U2772" s="113">
        <f t="shared" si="3004"/>
        <v>23.480148</v>
      </c>
      <c r="V2772">
        <f t="shared" ref="V2772:W2772" si="3025">V2748</f>
        <v>2.9</v>
      </c>
      <c r="W2772">
        <f t="shared" si="3025"/>
        <v>3</v>
      </c>
      <c r="X2772" s="9">
        <v>-91.374198016668302</v>
      </c>
      <c r="Y2772" s="39"/>
    </row>
    <row r="2773" spans="1:25" ht="15" thickBot="1">
      <c r="A2773" s="149">
        <f t="shared" si="2986"/>
        <v>45951.416666661928</v>
      </c>
      <c r="B2773" s="30">
        <f t="shared" si="3013"/>
        <v>8000</v>
      </c>
      <c r="C2773" s="8">
        <v>25000</v>
      </c>
      <c r="D2773" s="187">
        <v>0</v>
      </c>
      <c r="E2773" s="187">
        <v>700</v>
      </c>
      <c r="F2773" s="187">
        <v>15000</v>
      </c>
      <c r="G2773" s="30">
        <f t="shared" si="3014"/>
        <v>2470</v>
      </c>
      <c r="H2773" s="8">
        <f t="shared" si="3014"/>
        <v>25000</v>
      </c>
      <c r="I2773" s="30">
        <f t="shared" si="3015"/>
        <v>8000</v>
      </c>
      <c r="J2773" s="187">
        <v>40000</v>
      </c>
      <c r="K2773" s="30">
        <f t="shared" si="3016"/>
        <v>8000</v>
      </c>
      <c r="L2773" s="187">
        <v>40000</v>
      </c>
      <c r="M2773" s="110">
        <v>9.5</v>
      </c>
      <c r="N2773" s="9">
        <f>VLOOKUP(DATE(YEAR(A2773),MONTH(A2773),DAY(A2773)),FY24_Temp[],3,FALSE)</f>
        <v>17.399999999999999</v>
      </c>
      <c r="O2773" s="110">
        <f t="shared" si="3002"/>
        <v>11.5</v>
      </c>
      <c r="P2773" s="110">
        <f t="shared" si="3003"/>
        <v>19.5</v>
      </c>
      <c r="Q2773" s="79">
        <f>VLOOKUP(VLOOKUP(DATEVALUE(TEXT(A2773,"m/d/yyyy")),FY24_Temp[],5,FALSE)&amp;TEXT(A2773,"-h"),TempDelta[],4,FALSE)</f>
        <v>0.1155714291547026</v>
      </c>
      <c r="R2773">
        <v>10</v>
      </c>
      <c r="S2773" s="112">
        <v>1500</v>
      </c>
      <c r="T2773" s="5">
        <f>VLOOKUP(TEXT(A2773,"yy-mm")&amp;"-"&amp;IF(AND(WEEKDAY(A2773)&gt;1,WEEKDAY(A2773)&lt;7),"Wkd",TEXT(A2773,"Ddd"))&amp;"-"&amp;TEXT(A2773,"hh"),LoadTable[],3,FALSE)*0.92</f>
        <v>234.80148</v>
      </c>
      <c r="U2773" s="113">
        <f t="shared" si="3004"/>
        <v>23.480148</v>
      </c>
      <c r="V2773">
        <f t="shared" ref="V2773:W2773" si="3026">V2749</f>
        <v>2.9</v>
      </c>
      <c r="W2773">
        <f t="shared" si="3026"/>
        <v>3</v>
      </c>
      <c r="X2773" s="9">
        <v>-91.451992566668295</v>
      </c>
      <c r="Y2773" s="39"/>
    </row>
    <row r="2774" spans="1:25" ht="15" thickBot="1">
      <c r="A2774" s="149">
        <f t="shared" si="2986"/>
        <v>45951.458333328592</v>
      </c>
      <c r="B2774" s="30">
        <f t="shared" si="3013"/>
        <v>8000</v>
      </c>
      <c r="C2774" s="8">
        <v>25000</v>
      </c>
      <c r="D2774" s="187">
        <v>0</v>
      </c>
      <c r="E2774" s="187">
        <v>700</v>
      </c>
      <c r="F2774" s="187">
        <v>15000</v>
      </c>
      <c r="G2774" s="30">
        <f t="shared" si="3014"/>
        <v>2470</v>
      </c>
      <c r="H2774" s="8">
        <f t="shared" si="3014"/>
        <v>25000</v>
      </c>
      <c r="I2774" s="30">
        <f t="shared" si="3015"/>
        <v>8000</v>
      </c>
      <c r="J2774" s="187">
        <v>40000</v>
      </c>
      <c r="K2774" s="30">
        <f t="shared" si="3016"/>
        <v>8000</v>
      </c>
      <c r="L2774" s="187">
        <v>40000</v>
      </c>
      <c r="M2774" s="110">
        <v>9.5</v>
      </c>
      <c r="N2774" s="9">
        <f>VLOOKUP(DATE(YEAR(A2774),MONTH(A2774),DAY(A2774)),FY24_Temp[],3,FALSE)</f>
        <v>17.399999999999999</v>
      </c>
      <c r="O2774" s="110">
        <f t="shared" si="3002"/>
        <v>11.5</v>
      </c>
      <c r="P2774" s="110">
        <f t="shared" si="3003"/>
        <v>19.5</v>
      </c>
      <c r="Q2774" s="79">
        <f>VLOOKUP(VLOOKUP(DATEVALUE(TEXT(A2774,"m/d/yyyy")),FY24_Temp[],5,FALSE)&amp;TEXT(A2774,"-h"),TempDelta[],4,FALSE)</f>
        <v>3.9428572037390301E-2</v>
      </c>
      <c r="R2774">
        <v>10</v>
      </c>
      <c r="S2774" s="112">
        <v>1500</v>
      </c>
      <c r="T2774" s="5">
        <f>VLOOKUP(TEXT(A2774,"yy-mm")&amp;"-"&amp;IF(AND(WEEKDAY(A2774)&gt;1,WEEKDAY(A2774)&lt;7),"Wkd",TEXT(A2774,"Ddd"))&amp;"-"&amp;TEXT(A2774,"hh"),LoadTable[],3,FALSE)*0.92</f>
        <v>234.80148</v>
      </c>
      <c r="U2774" s="113">
        <f t="shared" si="3004"/>
        <v>23.480148</v>
      </c>
      <c r="V2774">
        <f t="shared" ref="V2774:W2774" si="3027">V2750</f>
        <v>3.4</v>
      </c>
      <c r="W2774">
        <f t="shared" si="3027"/>
        <v>3</v>
      </c>
      <c r="X2774" s="9">
        <v>-91.529787116668302</v>
      </c>
      <c r="Y2774" s="39"/>
    </row>
    <row r="2775" spans="1:25" ht="15" thickBot="1">
      <c r="A2775" s="149">
        <f t="shared" si="2986"/>
        <v>45951.499999995256</v>
      </c>
      <c r="B2775" s="30">
        <f t="shared" si="3013"/>
        <v>8000</v>
      </c>
      <c r="C2775" s="8">
        <v>25000</v>
      </c>
      <c r="D2775" s="187">
        <v>0</v>
      </c>
      <c r="E2775" s="187">
        <v>700</v>
      </c>
      <c r="F2775" s="187">
        <v>15000</v>
      </c>
      <c r="G2775" s="30">
        <f t="shared" si="3014"/>
        <v>2470</v>
      </c>
      <c r="H2775" s="8">
        <f t="shared" si="3014"/>
        <v>25000</v>
      </c>
      <c r="I2775" s="30">
        <f t="shared" si="3015"/>
        <v>8000</v>
      </c>
      <c r="J2775" s="187">
        <v>40000</v>
      </c>
      <c r="K2775" s="30">
        <f t="shared" si="3016"/>
        <v>8000</v>
      </c>
      <c r="L2775" s="187">
        <v>40000</v>
      </c>
      <c r="M2775" s="110">
        <v>9.5</v>
      </c>
      <c r="N2775" s="9">
        <f>VLOOKUP(DATE(YEAR(A2775),MONTH(A2775),DAY(A2775)),FY24_Temp[],3,FALSE)</f>
        <v>17.399999999999999</v>
      </c>
      <c r="O2775" s="110">
        <f t="shared" si="3002"/>
        <v>11.5</v>
      </c>
      <c r="P2775" s="110">
        <f t="shared" si="3003"/>
        <v>19.5</v>
      </c>
      <c r="Q2775" s="79">
        <f>VLOOKUP(VLOOKUP(DATEVALUE(TEXT(A2775,"m/d/yyyy")),FY24_Temp[],5,FALSE)&amp;TEXT(A2775,"-h"),TempDelta[],4,FALSE)</f>
        <v>-1.5857143327593803E-2</v>
      </c>
      <c r="R2775">
        <v>10</v>
      </c>
      <c r="S2775" s="112">
        <v>1500</v>
      </c>
      <c r="T2775" s="5">
        <f>VLOOKUP(TEXT(A2775,"yy-mm")&amp;"-"&amp;IF(AND(WEEKDAY(A2775)&gt;1,WEEKDAY(A2775)&lt;7),"Wkd",TEXT(A2775,"Ddd"))&amp;"-"&amp;TEXT(A2775,"hh"),LoadTable[],3,FALSE)*0.92</f>
        <v>234.80148</v>
      </c>
      <c r="U2775" s="113">
        <f t="shared" si="3004"/>
        <v>23.480148</v>
      </c>
      <c r="V2775">
        <f t="shared" ref="V2775:W2775" si="3028">V2751</f>
        <v>3.1</v>
      </c>
      <c r="W2775">
        <f t="shared" si="3028"/>
        <v>2.9</v>
      </c>
      <c r="X2775" s="9">
        <v>-91.607581666668395</v>
      </c>
      <c r="Y2775" s="39"/>
    </row>
    <row r="2776" spans="1:25" ht="15" thickBot="1">
      <c r="A2776" s="149">
        <f t="shared" si="2986"/>
        <v>45951.54166666192</v>
      </c>
      <c r="B2776" s="30">
        <f t="shared" si="3013"/>
        <v>8000</v>
      </c>
      <c r="C2776" s="8">
        <v>25000</v>
      </c>
      <c r="D2776" s="187">
        <v>0</v>
      </c>
      <c r="E2776" s="187">
        <v>700</v>
      </c>
      <c r="F2776" s="187">
        <v>15000</v>
      </c>
      <c r="G2776" s="30">
        <f t="shared" si="3014"/>
        <v>2470</v>
      </c>
      <c r="H2776" s="8">
        <f t="shared" si="3014"/>
        <v>25000</v>
      </c>
      <c r="I2776" s="30">
        <f t="shared" si="3015"/>
        <v>8000</v>
      </c>
      <c r="J2776" s="187">
        <v>40000</v>
      </c>
      <c r="K2776" s="30">
        <f t="shared" si="3016"/>
        <v>8000</v>
      </c>
      <c r="L2776" s="187">
        <v>40000</v>
      </c>
      <c r="M2776" s="110">
        <v>9.5</v>
      </c>
      <c r="N2776" s="9">
        <f>VLOOKUP(DATE(YEAR(A2776),MONTH(A2776),DAY(A2776)),FY24_Temp[],3,FALSE)</f>
        <v>17.399999999999999</v>
      </c>
      <c r="O2776" s="110">
        <f t="shared" si="3002"/>
        <v>11.5</v>
      </c>
      <c r="P2776" s="110">
        <f t="shared" si="3003"/>
        <v>19.5</v>
      </c>
      <c r="Q2776" s="79">
        <f>VLOOKUP(VLOOKUP(DATEVALUE(TEXT(A2776,"m/d/yyyy")),FY24_Temp[],5,FALSE)&amp;TEXT(A2776,"-h"),TempDelta[],4,FALSE)</f>
        <v>-4.142857076866286E-2</v>
      </c>
      <c r="R2776">
        <v>10</v>
      </c>
      <c r="S2776" s="112">
        <v>1500</v>
      </c>
      <c r="T2776" s="5">
        <f>VLOOKUP(TEXT(A2776,"yy-mm")&amp;"-"&amp;IF(AND(WEEKDAY(A2776)&gt;1,WEEKDAY(A2776)&lt;7),"Wkd",TEXT(A2776,"Ddd"))&amp;"-"&amp;TEXT(A2776,"hh"),LoadTable[],3,FALSE)*0.92</f>
        <v>234.80148</v>
      </c>
      <c r="U2776" s="113">
        <f t="shared" si="3004"/>
        <v>23.480148</v>
      </c>
      <c r="V2776">
        <f t="shared" ref="V2776:W2776" si="3029">V2752</f>
        <v>3.2</v>
      </c>
      <c r="W2776">
        <f t="shared" si="3029"/>
        <v>2.9</v>
      </c>
      <c r="X2776" s="9">
        <v>-91.685376216668402</v>
      </c>
      <c r="Y2776" s="39"/>
    </row>
    <row r="2777" spans="1:25" ht="15" thickBot="1">
      <c r="A2777" s="149">
        <f t="shared" si="2986"/>
        <v>45951.583333328585</v>
      </c>
      <c r="B2777" s="30">
        <f t="shared" si="3013"/>
        <v>8000</v>
      </c>
      <c r="C2777" s="8">
        <v>25000</v>
      </c>
      <c r="D2777" s="187">
        <v>0</v>
      </c>
      <c r="E2777" s="187">
        <v>700</v>
      </c>
      <c r="F2777" s="187">
        <v>15000</v>
      </c>
      <c r="G2777" s="30">
        <f t="shared" si="3014"/>
        <v>2470</v>
      </c>
      <c r="H2777" s="8">
        <f t="shared" si="3014"/>
        <v>25000</v>
      </c>
      <c r="I2777" s="30">
        <f t="shared" si="3015"/>
        <v>8000</v>
      </c>
      <c r="J2777" s="187">
        <v>40000</v>
      </c>
      <c r="K2777" s="30">
        <f t="shared" si="3016"/>
        <v>8000</v>
      </c>
      <c r="L2777" s="187">
        <v>40000</v>
      </c>
      <c r="M2777" s="110">
        <v>9.5</v>
      </c>
      <c r="N2777" s="9">
        <f>VLOOKUP(DATE(YEAR(A2777),MONTH(A2777),DAY(A2777)),FY24_Temp[],3,FALSE)</f>
        <v>17.399999999999999</v>
      </c>
      <c r="O2777" s="110">
        <f t="shared" si="3002"/>
        <v>11.5</v>
      </c>
      <c r="P2777" s="110">
        <f t="shared" si="3003"/>
        <v>19.5</v>
      </c>
      <c r="Q2777" s="79">
        <f>VLOOKUP(VLOOKUP(DATEVALUE(TEXT(A2777,"m/d/yyyy")),FY24_Temp[],5,FALSE)&amp;TEXT(A2777,"-h"),TempDelta[],4,FALSE)</f>
        <v>1.5142858826688357E-2</v>
      </c>
      <c r="R2777">
        <v>10</v>
      </c>
      <c r="S2777" s="112">
        <v>1500</v>
      </c>
      <c r="T2777" s="5">
        <f>VLOOKUP(TEXT(A2777,"yy-mm")&amp;"-"&amp;IF(AND(WEEKDAY(A2777)&gt;1,WEEKDAY(A2777)&lt;7),"Wkd",TEXT(A2777,"Ddd"))&amp;"-"&amp;TEXT(A2777,"hh"),LoadTable[],3,FALSE)*0.92</f>
        <v>234.80148</v>
      </c>
      <c r="U2777" s="113">
        <f t="shared" si="3004"/>
        <v>23.480148</v>
      </c>
      <c r="V2777">
        <f t="shared" ref="V2777:W2777" si="3030">V2753</f>
        <v>3.5</v>
      </c>
      <c r="W2777">
        <f t="shared" si="3030"/>
        <v>2.9</v>
      </c>
      <c r="X2777" s="9">
        <v>-91.763170766668395</v>
      </c>
      <c r="Y2777" s="39"/>
    </row>
    <row r="2778" spans="1:25" ht="15" thickBot="1">
      <c r="A2778" s="149">
        <f t="shared" si="2986"/>
        <v>45951.624999995249</v>
      </c>
      <c r="B2778" s="30">
        <f t="shared" si="3013"/>
        <v>8000</v>
      </c>
      <c r="C2778" s="8">
        <v>25000</v>
      </c>
      <c r="D2778" s="187">
        <v>0</v>
      </c>
      <c r="E2778" s="187">
        <v>700</v>
      </c>
      <c r="F2778" s="187">
        <v>15000</v>
      </c>
      <c r="G2778" s="30">
        <f t="shared" si="3014"/>
        <v>2470</v>
      </c>
      <c r="H2778" s="8">
        <f t="shared" si="3014"/>
        <v>25000</v>
      </c>
      <c r="I2778" s="30">
        <f t="shared" si="3015"/>
        <v>8000</v>
      </c>
      <c r="J2778" s="187">
        <v>40000</v>
      </c>
      <c r="K2778" s="30">
        <f t="shared" si="3016"/>
        <v>8000</v>
      </c>
      <c r="L2778" s="187">
        <v>40000</v>
      </c>
      <c r="M2778" s="110">
        <v>9.5</v>
      </c>
      <c r="N2778" s="9">
        <f>VLOOKUP(DATE(YEAR(A2778),MONTH(A2778),DAY(A2778)),FY24_Temp[],3,FALSE)</f>
        <v>17.399999999999999</v>
      </c>
      <c r="O2778" s="110">
        <f t="shared" si="3002"/>
        <v>11.5</v>
      </c>
      <c r="P2778" s="110">
        <f t="shared" si="3003"/>
        <v>19.5</v>
      </c>
      <c r="Q2778" s="79">
        <f>VLOOKUP(VLOOKUP(DATEVALUE(TEXT(A2778,"m/d/yyyy")),FY24_Temp[],5,FALSE)&amp;TEXT(A2778,"-h"),TempDelta[],4,FALSE)</f>
        <v>0.10157142795755394</v>
      </c>
      <c r="R2778">
        <v>10</v>
      </c>
      <c r="S2778" s="112">
        <v>1500</v>
      </c>
      <c r="T2778" s="5">
        <f>VLOOKUP(TEXT(A2778,"yy-mm")&amp;"-"&amp;IF(AND(WEEKDAY(A2778)&gt;1,WEEKDAY(A2778)&lt;7),"Wkd",TEXT(A2778,"Ddd"))&amp;"-"&amp;TEXT(A2778,"hh"),LoadTable[],3,FALSE)*0.92</f>
        <v>234.80148</v>
      </c>
      <c r="U2778" s="113">
        <f t="shared" si="3004"/>
        <v>23.480148</v>
      </c>
      <c r="V2778">
        <f t="shared" ref="V2778:W2778" si="3031">V2754</f>
        <v>3.2</v>
      </c>
      <c r="W2778">
        <f t="shared" si="3031"/>
        <v>2.9</v>
      </c>
      <c r="X2778" s="9">
        <v>-91.840965316668402</v>
      </c>
      <c r="Y2778" s="39"/>
    </row>
    <row r="2779" spans="1:25" ht="15" thickBot="1">
      <c r="A2779" s="149">
        <f t="shared" si="2986"/>
        <v>45951.666666661913</v>
      </c>
      <c r="B2779" s="30">
        <f t="shared" si="3013"/>
        <v>8000</v>
      </c>
      <c r="C2779" s="8">
        <v>25000</v>
      </c>
      <c r="D2779" s="187">
        <v>0</v>
      </c>
      <c r="E2779" s="187">
        <v>700</v>
      </c>
      <c r="F2779" s="187">
        <v>15000</v>
      </c>
      <c r="G2779" s="30">
        <f t="shared" si="3014"/>
        <v>2470</v>
      </c>
      <c r="H2779" s="8">
        <f t="shared" si="3014"/>
        <v>25000</v>
      </c>
      <c r="I2779" s="30">
        <f t="shared" si="3015"/>
        <v>8000</v>
      </c>
      <c r="J2779" s="187">
        <v>40000</v>
      </c>
      <c r="K2779" s="30">
        <f t="shared" si="3016"/>
        <v>8000</v>
      </c>
      <c r="L2779" s="187">
        <v>40000</v>
      </c>
      <c r="M2779" s="110">
        <v>9.5</v>
      </c>
      <c r="N2779" s="9">
        <f>VLOOKUP(DATE(YEAR(A2779),MONTH(A2779),DAY(A2779)),FY24_Temp[],3,FALSE)</f>
        <v>17.399999999999999</v>
      </c>
      <c r="O2779" s="110">
        <f t="shared" si="3002"/>
        <v>11.5</v>
      </c>
      <c r="P2779" s="110">
        <f t="shared" si="3003"/>
        <v>19.5</v>
      </c>
      <c r="Q2779" s="79">
        <f>VLOOKUP(VLOOKUP(DATEVALUE(TEXT(A2779,"m/d/yyyy")),FY24_Temp[],5,FALSE)&amp;TEXT(A2779,"-h"),TempDelta[],4,FALSE)</f>
        <v>0.33192857301660944</v>
      </c>
      <c r="R2779">
        <v>10</v>
      </c>
      <c r="S2779" s="112">
        <v>1500</v>
      </c>
      <c r="T2779" s="5">
        <f>VLOOKUP(TEXT(A2779,"yy-mm")&amp;"-"&amp;IF(AND(WEEKDAY(A2779)&gt;1,WEEKDAY(A2779)&lt;7),"Wkd",TEXT(A2779,"Ddd"))&amp;"-"&amp;TEXT(A2779,"hh"),LoadTable[],3,FALSE)*0.92</f>
        <v>234.80148</v>
      </c>
      <c r="U2779" s="113">
        <f t="shared" si="3004"/>
        <v>23.480148</v>
      </c>
      <c r="V2779">
        <f t="shared" ref="V2779:W2779" si="3032">V2755</f>
        <v>3.5</v>
      </c>
      <c r="W2779">
        <f t="shared" si="3032"/>
        <v>3</v>
      </c>
      <c r="X2779" s="9">
        <v>-91.918759866668395</v>
      </c>
      <c r="Y2779" s="39"/>
    </row>
    <row r="2780" spans="1:25" ht="15" thickBot="1">
      <c r="A2780" s="149">
        <f t="shared" si="2986"/>
        <v>45951.708333328577</v>
      </c>
      <c r="B2780" s="30">
        <f t="shared" si="3013"/>
        <v>8000</v>
      </c>
      <c r="C2780" s="8">
        <v>25000</v>
      </c>
      <c r="D2780" s="187">
        <v>0</v>
      </c>
      <c r="E2780" s="187">
        <v>700</v>
      </c>
      <c r="F2780" s="187">
        <v>15000</v>
      </c>
      <c r="G2780" s="30">
        <f t="shared" si="3014"/>
        <v>2470</v>
      </c>
      <c r="H2780" s="8">
        <f t="shared" si="3014"/>
        <v>25000</v>
      </c>
      <c r="I2780" s="30">
        <f t="shared" si="3015"/>
        <v>8000</v>
      </c>
      <c r="J2780" s="187">
        <v>40000</v>
      </c>
      <c r="K2780" s="30">
        <f t="shared" si="3016"/>
        <v>8000</v>
      </c>
      <c r="L2780" s="187">
        <v>40000</v>
      </c>
      <c r="M2780" s="110">
        <v>9.5</v>
      </c>
      <c r="N2780" s="9">
        <f>VLOOKUP(DATE(YEAR(A2780),MONTH(A2780),DAY(A2780)),FY24_Temp[],3,FALSE)</f>
        <v>17.399999999999999</v>
      </c>
      <c r="O2780" s="110">
        <f t="shared" si="3002"/>
        <v>11.5</v>
      </c>
      <c r="P2780" s="110">
        <f t="shared" si="3003"/>
        <v>19.5</v>
      </c>
      <c r="Q2780" s="79">
        <f>VLOOKUP(VLOOKUP(DATEVALUE(TEXT(A2780,"m/d/yyyy")),FY24_Temp[],5,FALSE)&amp;TEXT(A2780,"-h"),TempDelta[],4,FALSE)</f>
        <v>0.44464285565274103</v>
      </c>
      <c r="R2780">
        <v>10</v>
      </c>
      <c r="S2780" s="112">
        <v>1500</v>
      </c>
      <c r="T2780" s="5">
        <f>VLOOKUP(TEXT(A2780,"yy-mm")&amp;"-"&amp;IF(AND(WEEKDAY(A2780)&gt;1,WEEKDAY(A2780)&lt;7),"Wkd",TEXT(A2780,"Ddd"))&amp;"-"&amp;TEXT(A2780,"hh"),LoadTable[],3,FALSE)*0.92</f>
        <v>234.80148</v>
      </c>
      <c r="U2780" s="113">
        <f t="shared" si="3004"/>
        <v>23.480148</v>
      </c>
      <c r="V2780">
        <f t="shared" ref="V2780:W2780" si="3033">V2756</f>
        <v>3.6</v>
      </c>
      <c r="W2780">
        <f t="shared" si="3033"/>
        <v>3</v>
      </c>
      <c r="X2780" s="9">
        <v>-91.996554416668403</v>
      </c>
      <c r="Y2780" s="39"/>
    </row>
    <row r="2781" spans="1:25" ht="15" thickBot="1">
      <c r="A2781" s="149">
        <f t="shared" si="2986"/>
        <v>45951.749999995242</v>
      </c>
      <c r="B2781" s="30">
        <f t="shared" si="3013"/>
        <v>5000</v>
      </c>
      <c r="C2781" s="8">
        <v>25000</v>
      </c>
      <c r="D2781" s="187">
        <v>0</v>
      </c>
      <c r="E2781" s="187">
        <v>700</v>
      </c>
      <c r="F2781" s="187">
        <v>15000</v>
      </c>
      <c r="G2781" s="30">
        <f t="shared" si="3014"/>
        <v>2470</v>
      </c>
      <c r="H2781" s="8">
        <f t="shared" si="3014"/>
        <v>25000</v>
      </c>
      <c r="I2781" s="30">
        <f t="shared" si="3015"/>
        <v>5000</v>
      </c>
      <c r="J2781" s="187">
        <v>40000</v>
      </c>
      <c r="K2781" s="30">
        <f t="shared" si="3016"/>
        <v>5000</v>
      </c>
      <c r="L2781" s="187">
        <v>40000</v>
      </c>
      <c r="M2781" s="110">
        <v>9.5</v>
      </c>
      <c r="N2781" s="9">
        <f>VLOOKUP(DATE(YEAR(A2781),MONTH(A2781),DAY(A2781)),FY24_Temp[],3,FALSE)</f>
        <v>17.399999999999999</v>
      </c>
      <c r="O2781" s="110">
        <f t="shared" si="3002"/>
        <v>11.5</v>
      </c>
      <c r="P2781" s="110">
        <f t="shared" si="3003"/>
        <v>19.5</v>
      </c>
      <c r="Q2781" s="79">
        <f>VLOOKUP(VLOOKUP(DATEVALUE(TEXT(A2781,"m/d/yyyy")),FY24_Temp[],5,FALSE)&amp;TEXT(A2781,"-h"),TempDelta[],4,FALSE)</f>
        <v>0.57671428365366795</v>
      </c>
      <c r="R2781">
        <v>10</v>
      </c>
      <c r="S2781" s="112">
        <v>1500</v>
      </c>
      <c r="T2781" s="5">
        <f>VLOOKUP(TEXT(A2781,"yy-mm")&amp;"-"&amp;IF(AND(WEEKDAY(A2781)&gt;1,WEEKDAY(A2781)&lt;7),"Wkd",TEXT(A2781,"Ddd"))&amp;"-"&amp;TEXT(A2781,"hh"),LoadTable[],3,FALSE)*0.92</f>
        <v>303.31295999999998</v>
      </c>
      <c r="U2781" s="113">
        <f t="shared" si="3004"/>
        <v>30.331295999999998</v>
      </c>
      <c r="V2781">
        <f t="shared" ref="V2781:W2781" si="3034">V2757</f>
        <v>2.9</v>
      </c>
      <c r="W2781">
        <f t="shared" si="3034"/>
        <v>3</v>
      </c>
      <c r="X2781" s="9">
        <v>-92.074348966668396</v>
      </c>
      <c r="Y2781" s="39"/>
    </row>
    <row r="2782" spans="1:25" ht="15" thickBot="1">
      <c r="A2782" s="149">
        <f t="shared" si="2986"/>
        <v>45951.791666661906</v>
      </c>
      <c r="B2782" s="30">
        <f t="shared" si="3013"/>
        <v>5000</v>
      </c>
      <c r="C2782" s="8">
        <v>25000</v>
      </c>
      <c r="D2782" s="187">
        <v>0</v>
      </c>
      <c r="E2782" s="187">
        <v>700</v>
      </c>
      <c r="F2782" s="187">
        <v>15000</v>
      </c>
      <c r="G2782" s="30">
        <f t="shared" si="3014"/>
        <v>2470</v>
      </c>
      <c r="H2782" s="8">
        <f t="shared" si="3014"/>
        <v>25000</v>
      </c>
      <c r="I2782" s="30">
        <f t="shared" si="3015"/>
        <v>5000</v>
      </c>
      <c r="J2782" s="187">
        <v>40000</v>
      </c>
      <c r="K2782" s="30">
        <f t="shared" si="3016"/>
        <v>5000</v>
      </c>
      <c r="L2782" s="187">
        <v>40000</v>
      </c>
      <c r="M2782" s="110">
        <v>9.5</v>
      </c>
      <c r="N2782" s="9">
        <f>VLOOKUP(DATE(YEAR(A2782),MONTH(A2782),DAY(A2782)),FY24_Temp[],3,FALSE)</f>
        <v>17.399999999999999</v>
      </c>
      <c r="O2782" s="110">
        <f t="shared" si="3002"/>
        <v>11.5</v>
      </c>
      <c r="P2782" s="110">
        <f t="shared" si="3003"/>
        <v>19.5</v>
      </c>
      <c r="Q2782" s="79">
        <f>VLOOKUP(VLOOKUP(DATEVALUE(TEXT(A2782,"m/d/yyyy")),FY24_Temp[],5,FALSE)&amp;TEXT(A2782,"-h"),TempDelta[],4,FALSE)</f>
        <v>0.5747142945017133</v>
      </c>
      <c r="R2782">
        <v>10</v>
      </c>
      <c r="S2782" s="112">
        <v>1500</v>
      </c>
      <c r="T2782" s="5">
        <f>VLOOKUP(TEXT(A2782,"yy-mm")&amp;"-"&amp;IF(AND(WEEKDAY(A2782)&gt;1,WEEKDAY(A2782)&lt;7),"Wkd",TEXT(A2782,"Ddd"))&amp;"-"&amp;TEXT(A2782,"hh"),LoadTable[],3,FALSE)*0.92</f>
        <v>303.31295999999998</v>
      </c>
      <c r="U2782" s="113">
        <f t="shared" si="3004"/>
        <v>30.331295999999998</v>
      </c>
      <c r="V2782">
        <f t="shared" ref="V2782:W2782" si="3035">V2758</f>
        <v>3</v>
      </c>
      <c r="W2782">
        <f t="shared" si="3035"/>
        <v>3</v>
      </c>
      <c r="X2782" s="9">
        <v>-92.152143516668403</v>
      </c>
      <c r="Y2782" s="39"/>
    </row>
    <row r="2783" spans="1:25" ht="15" thickBot="1">
      <c r="A2783" s="149">
        <f t="shared" si="2986"/>
        <v>45951.83333332857</v>
      </c>
      <c r="B2783" s="30">
        <f t="shared" si="3013"/>
        <v>5000</v>
      </c>
      <c r="C2783" s="8">
        <v>25000</v>
      </c>
      <c r="D2783" s="187">
        <v>0</v>
      </c>
      <c r="E2783" s="187">
        <v>700</v>
      </c>
      <c r="F2783" s="187">
        <v>15000</v>
      </c>
      <c r="G2783" s="30">
        <f t="shared" si="3014"/>
        <v>2470</v>
      </c>
      <c r="H2783" s="8">
        <f t="shared" si="3014"/>
        <v>25000</v>
      </c>
      <c r="I2783" s="30">
        <f t="shared" si="3015"/>
        <v>5000</v>
      </c>
      <c r="J2783" s="187">
        <v>40000</v>
      </c>
      <c r="K2783" s="30">
        <f t="shared" si="3016"/>
        <v>5000</v>
      </c>
      <c r="L2783" s="187">
        <v>40000</v>
      </c>
      <c r="M2783" s="110">
        <v>9.5</v>
      </c>
      <c r="N2783" s="9">
        <f>VLOOKUP(DATE(YEAR(A2783),MONTH(A2783),DAY(A2783)),FY24_Temp[],3,FALSE)</f>
        <v>17.399999999999999</v>
      </c>
      <c r="O2783" s="110">
        <f t="shared" si="3002"/>
        <v>11.5</v>
      </c>
      <c r="P2783" s="110">
        <f t="shared" si="3003"/>
        <v>19.5</v>
      </c>
      <c r="Q2783" s="79">
        <f>VLOOKUP(VLOOKUP(DATEVALUE(TEXT(A2783,"m/d/yyyy")),FY24_Temp[],5,FALSE)&amp;TEXT(A2783,"-h"),TempDelta[],4,FALSE)</f>
        <v>0.58807142717497685</v>
      </c>
      <c r="R2783">
        <v>10</v>
      </c>
      <c r="S2783" s="112">
        <v>1500</v>
      </c>
      <c r="T2783" s="5">
        <f>VLOOKUP(TEXT(A2783,"yy-mm")&amp;"-"&amp;IF(AND(WEEKDAY(A2783)&gt;1,WEEKDAY(A2783)&lt;7),"Wkd",TEXT(A2783,"Ddd"))&amp;"-"&amp;TEXT(A2783,"hh"),LoadTable[],3,FALSE)*0.92</f>
        <v>303.31295999999998</v>
      </c>
      <c r="U2783" s="113">
        <f t="shared" si="3004"/>
        <v>30.331295999999998</v>
      </c>
      <c r="V2783">
        <f t="shared" ref="V2783:W2783" si="3036">V2759</f>
        <v>2.8</v>
      </c>
      <c r="W2783">
        <f t="shared" si="3036"/>
        <v>3.1</v>
      </c>
      <c r="X2783" s="9">
        <v>-92.229938066668396</v>
      </c>
      <c r="Y2783" s="39"/>
    </row>
    <row r="2784" spans="1:25" ht="15" thickBot="1">
      <c r="A2784" s="149">
        <f t="shared" si="2986"/>
        <v>45951.874999995234</v>
      </c>
      <c r="B2784" s="30">
        <f t="shared" si="3013"/>
        <v>5000</v>
      </c>
      <c r="C2784" s="8">
        <v>25000</v>
      </c>
      <c r="D2784" s="187">
        <v>0</v>
      </c>
      <c r="E2784" s="187">
        <v>700</v>
      </c>
      <c r="F2784" s="187">
        <v>15000</v>
      </c>
      <c r="G2784" s="30">
        <f t="shared" si="3014"/>
        <v>2470</v>
      </c>
      <c r="H2784" s="8">
        <f t="shared" si="3014"/>
        <v>25000</v>
      </c>
      <c r="I2784" s="30">
        <f t="shared" si="3015"/>
        <v>5000</v>
      </c>
      <c r="J2784" s="187">
        <v>40000</v>
      </c>
      <c r="K2784" s="30">
        <f t="shared" si="3016"/>
        <v>5000</v>
      </c>
      <c r="L2784" s="187">
        <v>40000</v>
      </c>
      <c r="M2784" s="110">
        <v>9.5</v>
      </c>
      <c r="N2784" s="9">
        <f>VLOOKUP(DATE(YEAR(A2784),MONTH(A2784),DAY(A2784)),FY24_Temp[],3,FALSE)</f>
        <v>17.399999999999999</v>
      </c>
      <c r="O2784" s="110">
        <f t="shared" si="3002"/>
        <v>11.5</v>
      </c>
      <c r="P2784" s="110">
        <f t="shared" si="3003"/>
        <v>19.5</v>
      </c>
      <c r="Q2784" s="79">
        <f>VLOOKUP(VLOOKUP(DATEVALUE(TEXT(A2784,"m/d/yyyy")),FY24_Temp[],5,FALSE)&amp;TEXT(A2784,"-h"),TempDelta[],4,FALSE)</f>
        <v>0.58742856766496387</v>
      </c>
      <c r="R2784">
        <v>10</v>
      </c>
      <c r="S2784" s="112">
        <v>1500</v>
      </c>
      <c r="T2784" s="5">
        <f>VLOOKUP(TEXT(A2784,"yy-mm")&amp;"-"&amp;IF(AND(WEEKDAY(A2784)&gt;1,WEEKDAY(A2784)&lt;7),"Wkd",TEXT(A2784,"Ddd"))&amp;"-"&amp;TEXT(A2784,"hh"),LoadTable[],3,FALSE)*0.92</f>
        <v>229.93744000000001</v>
      </c>
      <c r="U2784" s="113">
        <f t="shared" si="3004"/>
        <v>22.993744</v>
      </c>
      <c r="V2784">
        <f t="shared" ref="V2784:W2784" si="3037">V2760</f>
        <v>3.5</v>
      </c>
      <c r="W2784">
        <f t="shared" si="3037"/>
        <v>3.1</v>
      </c>
      <c r="X2784" s="9">
        <v>-92.307732616668403</v>
      </c>
      <c r="Y2784" s="39"/>
    </row>
    <row r="2785" spans="1:25" ht="15" thickBot="1">
      <c r="A2785" s="149">
        <f t="shared" si="2986"/>
        <v>45951.916666661898</v>
      </c>
      <c r="B2785" s="30">
        <f t="shared" si="3013"/>
        <v>5000</v>
      </c>
      <c r="C2785" s="8">
        <v>25000</v>
      </c>
      <c r="D2785" s="187">
        <v>0</v>
      </c>
      <c r="E2785" s="187">
        <v>700</v>
      </c>
      <c r="F2785" s="187">
        <v>15000</v>
      </c>
      <c r="G2785" s="30">
        <f t="shared" si="3014"/>
        <v>2470</v>
      </c>
      <c r="H2785" s="8">
        <f t="shared" si="3014"/>
        <v>25000</v>
      </c>
      <c r="I2785" s="30">
        <f t="shared" si="3015"/>
        <v>5000</v>
      </c>
      <c r="J2785" s="187">
        <v>40000</v>
      </c>
      <c r="K2785" s="30">
        <f t="shared" si="3016"/>
        <v>5000</v>
      </c>
      <c r="L2785" s="187">
        <v>40000</v>
      </c>
      <c r="M2785" s="110">
        <v>9.5</v>
      </c>
      <c r="N2785" s="9">
        <f>VLOOKUP(DATE(YEAR(A2785),MONTH(A2785),DAY(A2785)),FY24_Temp[],3,FALSE)</f>
        <v>17.399999999999999</v>
      </c>
      <c r="O2785" s="110">
        <f t="shared" si="3002"/>
        <v>11.5</v>
      </c>
      <c r="P2785" s="110">
        <f t="shared" si="3003"/>
        <v>19.5</v>
      </c>
      <c r="Q2785" s="79">
        <f>VLOOKUP(VLOOKUP(DATEVALUE(TEXT(A2785,"m/d/yyyy")),FY24_Temp[],5,FALSE)&amp;TEXT(A2785,"-h"),TempDelta[],4,FALSE)</f>
        <v>0.81528571673801964</v>
      </c>
      <c r="R2785">
        <v>10</v>
      </c>
      <c r="S2785" s="112">
        <v>1500</v>
      </c>
      <c r="T2785" s="5">
        <f>VLOOKUP(TEXT(A2785,"yy-mm")&amp;"-"&amp;IF(AND(WEEKDAY(A2785)&gt;1,WEEKDAY(A2785)&lt;7),"Wkd",TEXT(A2785,"Ddd"))&amp;"-"&amp;TEXT(A2785,"hh"),LoadTable[],3,FALSE)*0.92</f>
        <v>176.52040000000002</v>
      </c>
      <c r="U2785" s="113">
        <f t="shared" si="3004"/>
        <v>17.652040000000003</v>
      </c>
      <c r="V2785">
        <f t="shared" ref="V2785:W2785" si="3038">V2761</f>
        <v>2.9</v>
      </c>
      <c r="W2785">
        <f t="shared" si="3038"/>
        <v>3.1</v>
      </c>
      <c r="X2785" s="9">
        <v>-92.385527166668396</v>
      </c>
      <c r="Y2785" s="39"/>
    </row>
    <row r="2786" spans="1:25" ht="15" thickBot="1">
      <c r="A2786" s="149">
        <f t="shared" si="2986"/>
        <v>45951.958333328563</v>
      </c>
      <c r="B2786" s="30">
        <f t="shared" si="3013"/>
        <v>5000</v>
      </c>
      <c r="C2786" s="8">
        <v>25000</v>
      </c>
      <c r="D2786" s="187">
        <v>0</v>
      </c>
      <c r="E2786" s="187">
        <v>700</v>
      </c>
      <c r="F2786" s="187">
        <v>15000</v>
      </c>
      <c r="G2786" s="30">
        <f t="shared" si="3014"/>
        <v>2470</v>
      </c>
      <c r="H2786" s="8">
        <f t="shared" si="3014"/>
        <v>25000</v>
      </c>
      <c r="I2786" s="30">
        <f t="shared" si="3015"/>
        <v>5000</v>
      </c>
      <c r="J2786" s="187">
        <v>40000</v>
      </c>
      <c r="K2786" s="30">
        <f t="shared" si="3016"/>
        <v>5000</v>
      </c>
      <c r="L2786" s="187">
        <v>40000</v>
      </c>
      <c r="M2786" s="110">
        <v>9.5</v>
      </c>
      <c r="N2786" s="9">
        <f>VLOOKUP(DATE(YEAR(A2786),MONTH(A2786),DAY(A2786)),FY24_Temp[],3,FALSE)</f>
        <v>17.399999999999999</v>
      </c>
      <c r="O2786" s="110">
        <f t="shared" si="3002"/>
        <v>11.5</v>
      </c>
      <c r="P2786" s="110">
        <f t="shared" si="3003"/>
        <v>19.5</v>
      </c>
      <c r="Q2786" s="79">
        <f>VLOOKUP(VLOOKUP(DATEVALUE(TEXT(A2786,"m/d/yyyy")),FY24_Temp[],5,FALSE)&amp;TEXT(A2786,"-h"),TempDelta[],4,FALSE)</f>
        <v>0.93885714667184017</v>
      </c>
      <c r="R2786">
        <v>10</v>
      </c>
      <c r="S2786" s="112">
        <v>1500</v>
      </c>
      <c r="T2786" s="5">
        <f>VLOOKUP(TEXT(A2786,"yy-mm")&amp;"-"&amp;IF(AND(WEEKDAY(A2786)&gt;1,WEEKDAY(A2786)&lt;7),"Wkd",TEXT(A2786,"Ddd"))&amp;"-"&amp;TEXT(A2786,"hh"),LoadTable[],3,FALSE)*0.92</f>
        <v>176.52040000000002</v>
      </c>
      <c r="U2786" s="113">
        <f t="shared" si="3004"/>
        <v>17.652040000000003</v>
      </c>
      <c r="V2786">
        <f t="shared" ref="V2786:W2786" si="3039">V2762</f>
        <v>3.6</v>
      </c>
      <c r="W2786">
        <f t="shared" si="3039"/>
        <v>3.1</v>
      </c>
      <c r="X2786" s="9">
        <v>-92.463321716668403</v>
      </c>
      <c r="Y2786" s="39"/>
    </row>
    <row r="2787" spans="1:25" ht="15" thickBot="1">
      <c r="A2787" s="149">
        <f t="shared" si="2986"/>
        <v>45951.999999995227</v>
      </c>
      <c r="B2787" s="30">
        <f t="shared" si="3013"/>
        <v>5000</v>
      </c>
      <c r="C2787" s="8">
        <v>25000</v>
      </c>
      <c r="D2787" s="187">
        <v>0</v>
      </c>
      <c r="E2787" s="187">
        <v>700</v>
      </c>
      <c r="F2787" s="187">
        <v>15000</v>
      </c>
      <c r="G2787" s="30">
        <f t="shared" si="3014"/>
        <v>2470</v>
      </c>
      <c r="H2787" s="8">
        <f t="shared" si="3014"/>
        <v>25000</v>
      </c>
      <c r="I2787" s="30">
        <f t="shared" si="3015"/>
        <v>5000</v>
      </c>
      <c r="J2787" s="187">
        <v>40000</v>
      </c>
      <c r="K2787" s="30">
        <f t="shared" si="3016"/>
        <v>5000</v>
      </c>
      <c r="L2787" s="187">
        <v>40000</v>
      </c>
      <c r="M2787" s="110">
        <v>9.5</v>
      </c>
      <c r="N2787" s="9">
        <f>VLOOKUP(DATE(YEAR(A2787),MONTH(A2787),DAY(A2787)),FY24_Temp[],3,FALSE)</f>
        <v>17.399999999999999</v>
      </c>
      <c r="O2787" s="110">
        <f t="shared" si="3002"/>
        <v>11.5</v>
      </c>
      <c r="P2787" s="110">
        <f t="shared" si="3003"/>
        <v>19.5</v>
      </c>
      <c r="Q2787" s="79">
        <f>VLOOKUP(VLOOKUP(DATEVALUE(TEXT(A2787,"m/d/yyyy")),FY24_Temp[],5,FALSE)&amp;TEXT(A2787,"-h"),TempDelta[],4,FALSE)</f>
        <v>1.0217142956597465</v>
      </c>
      <c r="R2787">
        <v>10</v>
      </c>
      <c r="S2787" s="112">
        <v>1500</v>
      </c>
      <c r="T2787" s="5">
        <f>VLOOKUP(TEXT(A2787,"yy-mm")&amp;"-"&amp;IF(AND(WEEKDAY(A2787)&gt;1,WEEKDAY(A2787)&lt;7),"Wkd",TEXT(A2787,"Ddd"))&amp;"-"&amp;TEXT(A2787,"hh"),LoadTable[],3,FALSE)*0.92</f>
        <v>209.6772</v>
      </c>
      <c r="U2787" s="113">
        <f t="shared" si="3004"/>
        <v>20.96772</v>
      </c>
      <c r="V2787">
        <f t="shared" ref="V2787:W2787" si="3040">V2763</f>
        <v>3</v>
      </c>
      <c r="W2787">
        <f t="shared" si="3040"/>
        <v>3.2</v>
      </c>
      <c r="X2787" s="9">
        <v>-92.541116266668396</v>
      </c>
      <c r="Y2787" s="39"/>
    </row>
    <row r="2788" spans="1:25" ht="15" thickBot="1">
      <c r="A2788" s="149">
        <f t="shared" si="2986"/>
        <v>45952.041666661891</v>
      </c>
      <c r="B2788" s="30">
        <f t="shared" si="3013"/>
        <v>5000</v>
      </c>
      <c r="C2788" s="8">
        <v>25000</v>
      </c>
      <c r="D2788" s="187">
        <v>0</v>
      </c>
      <c r="E2788" s="187">
        <v>700</v>
      </c>
      <c r="F2788" s="187">
        <v>15000</v>
      </c>
      <c r="G2788" s="30">
        <f t="shared" si="3014"/>
        <v>2470</v>
      </c>
      <c r="H2788" s="8">
        <f t="shared" si="3014"/>
        <v>25000</v>
      </c>
      <c r="I2788" s="30">
        <f t="shared" si="3015"/>
        <v>5000</v>
      </c>
      <c r="J2788" s="187">
        <v>40000</v>
      </c>
      <c r="K2788" s="30">
        <f t="shared" si="3016"/>
        <v>5000</v>
      </c>
      <c r="L2788" s="187">
        <v>40000</v>
      </c>
      <c r="M2788" s="110">
        <v>9.5</v>
      </c>
      <c r="N2788" s="9">
        <f>VLOOKUP(DATE(YEAR(A2788),MONTH(A2788),DAY(A2788)),FY24_Temp[],3,FALSE)</f>
        <v>17.399999999999999</v>
      </c>
      <c r="O2788" s="110">
        <f t="shared" si="3002"/>
        <v>11.5</v>
      </c>
      <c r="P2788" s="110">
        <f t="shared" si="3003"/>
        <v>19.5</v>
      </c>
      <c r="Q2788" s="79">
        <f>VLOOKUP(VLOOKUP(DATEVALUE(TEXT(A2788,"m/d/yyyy")),FY24_Temp[],5,FALSE)&amp;TEXT(A2788,"-h"),TempDelta[],4,FALSE)</f>
        <v>0.97999998501368935</v>
      </c>
      <c r="R2788">
        <v>10</v>
      </c>
      <c r="S2788" s="112">
        <v>1500</v>
      </c>
      <c r="T2788" s="5">
        <f>VLOOKUP(TEXT(A2788,"yy-mm")&amp;"-"&amp;IF(AND(WEEKDAY(A2788)&gt;1,WEEKDAY(A2788)&lt;7),"Wkd",TEXT(A2788,"Ddd"))&amp;"-"&amp;TEXT(A2788,"hh"),LoadTable[],3,FALSE)*0.92</f>
        <v>209.6772</v>
      </c>
      <c r="U2788" s="113">
        <f t="shared" si="3004"/>
        <v>20.96772</v>
      </c>
      <c r="V2788">
        <f t="shared" ref="V2788:W2788" si="3041">V2764</f>
        <v>2.6</v>
      </c>
      <c r="W2788">
        <f t="shared" si="3041"/>
        <v>3.2</v>
      </c>
      <c r="X2788" s="9">
        <v>-92.618910816668503</v>
      </c>
      <c r="Y2788" s="39"/>
    </row>
    <row r="2789" spans="1:25" ht="15" thickBot="1">
      <c r="A2789" s="149">
        <f t="shared" si="2986"/>
        <v>45952.083333328555</v>
      </c>
      <c r="B2789" s="30">
        <f t="shared" si="3013"/>
        <v>5000</v>
      </c>
      <c r="C2789" s="8">
        <v>25000</v>
      </c>
      <c r="D2789" s="187">
        <v>0</v>
      </c>
      <c r="E2789" s="187">
        <v>700</v>
      </c>
      <c r="F2789" s="187">
        <v>15000</v>
      </c>
      <c r="G2789" s="30">
        <f t="shared" si="3014"/>
        <v>2470</v>
      </c>
      <c r="H2789" s="8">
        <f t="shared" si="3014"/>
        <v>25000</v>
      </c>
      <c r="I2789" s="30">
        <f t="shared" si="3015"/>
        <v>5000</v>
      </c>
      <c r="J2789" s="187">
        <v>40000</v>
      </c>
      <c r="K2789" s="30">
        <f t="shared" si="3016"/>
        <v>5000</v>
      </c>
      <c r="L2789" s="187">
        <v>40000</v>
      </c>
      <c r="M2789" s="110">
        <v>9.5</v>
      </c>
      <c r="N2789" s="9">
        <f>VLOOKUP(DATE(YEAR(A2789),MONTH(A2789),DAY(A2789)),FY24_Temp[],3,FALSE)</f>
        <v>17.399999999999999</v>
      </c>
      <c r="O2789" s="110">
        <f t="shared" si="3002"/>
        <v>11.5</v>
      </c>
      <c r="P2789" s="110">
        <f t="shared" si="3003"/>
        <v>19.5</v>
      </c>
      <c r="Q2789" s="79">
        <f>VLOOKUP(VLOOKUP(DATEVALUE(TEXT(A2789,"m/d/yyyy")),FY24_Temp[],5,FALSE)&amp;TEXT(A2789,"-h"),TempDelta[],4,FALSE)</f>
        <v>0.89157142809459144</v>
      </c>
      <c r="R2789">
        <v>10</v>
      </c>
      <c r="S2789" s="112">
        <v>1500</v>
      </c>
      <c r="T2789" s="5">
        <f>VLOOKUP(TEXT(A2789,"yy-mm")&amp;"-"&amp;IF(AND(WEEKDAY(A2789)&gt;1,WEEKDAY(A2789)&lt;7),"Wkd",TEXT(A2789,"Ddd"))&amp;"-"&amp;TEXT(A2789,"hh"),LoadTable[],3,FALSE)*0.92</f>
        <v>209.6772</v>
      </c>
      <c r="U2789" s="113">
        <f t="shared" si="3004"/>
        <v>20.96772</v>
      </c>
      <c r="V2789">
        <f t="shared" ref="V2789:W2789" si="3042">V2765</f>
        <v>2.8</v>
      </c>
      <c r="W2789">
        <f t="shared" si="3042"/>
        <v>3.2</v>
      </c>
      <c r="X2789" s="9">
        <v>-92.696705366668496</v>
      </c>
      <c r="Y2789" s="39"/>
    </row>
    <row r="2790" spans="1:25" ht="15" thickBot="1">
      <c r="A2790" s="149">
        <f t="shared" si="2986"/>
        <v>45952.12499999522</v>
      </c>
      <c r="B2790" s="30">
        <f t="shared" si="3013"/>
        <v>5000</v>
      </c>
      <c r="C2790" s="8">
        <v>25000</v>
      </c>
      <c r="D2790" s="187">
        <v>0</v>
      </c>
      <c r="E2790" s="187">
        <v>700</v>
      </c>
      <c r="F2790" s="187">
        <v>15000</v>
      </c>
      <c r="G2790" s="30">
        <f t="shared" si="3014"/>
        <v>2470</v>
      </c>
      <c r="H2790" s="8">
        <f t="shared" si="3014"/>
        <v>25000</v>
      </c>
      <c r="I2790" s="30">
        <f t="shared" si="3015"/>
        <v>5000</v>
      </c>
      <c r="J2790" s="187">
        <v>40000</v>
      </c>
      <c r="K2790" s="30">
        <f t="shared" si="3016"/>
        <v>5000</v>
      </c>
      <c r="L2790" s="187">
        <v>40000</v>
      </c>
      <c r="M2790" s="110">
        <v>9.5</v>
      </c>
      <c r="N2790" s="9">
        <f>VLOOKUP(DATE(YEAR(A2790),MONTH(A2790),DAY(A2790)),FY24_Temp[],3,FALSE)</f>
        <v>17.399999999999999</v>
      </c>
      <c r="O2790" s="110">
        <f t="shared" si="3002"/>
        <v>11.5</v>
      </c>
      <c r="P2790" s="110">
        <f t="shared" si="3003"/>
        <v>19.5</v>
      </c>
      <c r="Q2790" s="79">
        <f>VLOOKUP(VLOOKUP(DATEVALUE(TEXT(A2790,"m/d/yyyy")),FY24_Temp[],5,FALSE)&amp;TEXT(A2790,"-h"),TempDelta[],4,FALSE)</f>
        <v>0.78457142625536236</v>
      </c>
      <c r="R2790">
        <v>10</v>
      </c>
      <c r="S2790" s="112">
        <v>1500</v>
      </c>
      <c r="T2790" s="5">
        <f>VLOOKUP(TEXT(A2790,"yy-mm")&amp;"-"&amp;IF(AND(WEEKDAY(A2790)&gt;1,WEEKDAY(A2790)&lt;7),"Wkd",TEXT(A2790,"Ddd"))&amp;"-"&amp;TEXT(A2790,"hh"),LoadTable[],3,FALSE)*0.92</f>
        <v>209.6772</v>
      </c>
      <c r="U2790" s="113">
        <f t="shared" si="3004"/>
        <v>20.96772</v>
      </c>
      <c r="V2790">
        <f t="shared" ref="V2790:W2790" si="3043">V2766</f>
        <v>2.7</v>
      </c>
      <c r="W2790">
        <f t="shared" si="3043"/>
        <v>3.2</v>
      </c>
      <c r="X2790" s="9">
        <v>-92.774499916668503</v>
      </c>
      <c r="Y2790" s="39"/>
    </row>
    <row r="2791" spans="1:25" ht="15" thickBot="1">
      <c r="A2791" s="149">
        <f t="shared" si="2986"/>
        <v>45952.166666661884</v>
      </c>
      <c r="B2791" s="30">
        <f t="shared" si="3013"/>
        <v>5000</v>
      </c>
      <c r="C2791" s="8">
        <v>25000</v>
      </c>
      <c r="D2791" s="187">
        <v>0</v>
      </c>
      <c r="E2791" s="187">
        <v>700</v>
      </c>
      <c r="F2791" s="187">
        <v>15000</v>
      </c>
      <c r="G2791" s="30">
        <f t="shared" si="3014"/>
        <v>2470</v>
      </c>
      <c r="H2791" s="8">
        <f t="shared" si="3014"/>
        <v>25000</v>
      </c>
      <c r="I2791" s="30">
        <f t="shared" si="3015"/>
        <v>5000</v>
      </c>
      <c r="J2791" s="187">
        <v>40000</v>
      </c>
      <c r="K2791" s="30">
        <f t="shared" si="3016"/>
        <v>5000</v>
      </c>
      <c r="L2791" s="187">
        <v>40000</v>
      </c>
      <c r="M2791" s="110">
        <v>9.5</v>
      </c>
      <c r="N2791" s="9">
        <f>VLOOKUP(DATE(YEAR(A2791),MONTH(A2791),DAY(A2791)),FY24_Temp[],3,FALSE)</f>
        <v>17.399999999999999</v>
      </c>
      <c r="O2791" s="110">
        <f t="shared" si="3002"/>
        <v>11.5</v>
      </c>
      <c r="P2791" s="110">
        <f t="shared" si="3003"/>
        <v>19.5</v>
      </c>
      <c r="Q2791" s="79">
        <f>VLOOKUP(VLOOKUP(DATEVALUE(TEXT(A2791,"m/d/yyyy")),FY24_Temp[],5,FALSE)&amp;TEXT(A2791,"-h"),TempDelta[],4,FALSE)</f>
        <v>0.69542856727327618</v>
      </c>
      <c r="R2791">
        <v>10</v>
      </c>
      <c r="S2791" s="112">
        <v>1500</v>
      </c>
      <c r="T2791" s="5">
        <f>VLOOKUP(TEXT(A2791,"yy-mm")&amp;"-"&amp;IF(AND(WEEKDAY(A2791)&gt;1,WEEKDAY(A2791)&lt;7),"Wkd",TEXT(A2791,"Ddd"))&amp;"-"&amp;TEXT(A2791,"hh"),LoadTable[],3,FALSE)*0.92</f>
        <v>209.6772</v>
      </c>
      <c r="U2791" s="113">
        <f t="shared" si="3004"/>
        <v>20.96772</v>
      </c>
      <c r="V2791">
        <f t="shared" ref="V2791:W2791" si="3044">V2767</f>
        <v>3</v>
      </c>
      <c r="W2791">
        <f t="shared" si="3044"/>
        <v>3.1</v>
      </c>
      <c r="X2791" s="9">
        <v>-92.852294466668496</v>
      </c>
      <c r="Y2791" s="39"/>
    </row>
    <row r="2792" spans="1:25" ht="15" thickBot="1">
      <c r="A2792" s="149">
        <f t="shared" si="2986"/>
        <v>45952.208333328548</v>
      </c>
      <c r="B2792" s="30">
        <f t="shared" si="3013"/>
        <v>5000</v>
      </c>
      <c r="C2792" s="8">
        <v>25000</v>
      </c>
      <c r="D2792" s="187">
        <v>0</v>
      </c>
      <c r="E2792" s="187">
        <v>700</v>
      </c>
      <c r="F2792" s="187">
        <v>15000</v>
      </c>
      <c r="G2792" s="30">
        <f t="shared" si="3014"/>
        <v>2470</v>
      </c>
      <c r="H2792" s="8">
        <f t="shared" si="3014"/>
        <v>25000</v>
      </c>
      <c r="I2792" s="30">
        <f t="shared" si="3015"/>
        <v>5000</v>
      </c>
      <c r="J2792" s="187">
        <v>40000</v>
      </c>
      <c r="K2792" s="30">
        <f t="shared" si="3016"/>
        <v>5000</v>
      </c>
      <c r="L2792" s="187">
        <v>40000</v>
      </c>
      <c r="M2792" s="110">
        <v>9.5</v>
      </c>
      <c r="N2792" s="9">
        <f>VLOOKUP(DATE(YEAR(A2792),MONTH(A2792),DAY(A2792)),FY24_Temp[],3,FALSE)</f>
        <v>17.399999999999999</v>
      </c>
      <c r="O2792" s="110">
        <f t="shared" si="3002"/>
        <v>11.5</v>
      </c>
      <c r="P2792" s="110">
        <f t="shared" si="3003"/>
        <v>19.5</v>
      </c>
      <c r="Q2792" s="79">
        <f>VLOOKUP(VLOOKUP(DATEVALUE(TEXT(A2792,"m/d/yyyy")),FY24_Temp[],5,FALSE)&amp;TEXT(A2792,"-h"),TempDelta[],4,FALSE)</f>
        <v>0.71114285503114971</v>
      </c>
      <c r="R2792">
        <v>10</v>
      </c>
      <c r="S2792" s="112">
        <v>1500</v>
      </c>
      <c r="T2792" s="5">
        <f>VLOOKUP(TEXT(A2792,"yy-mm")&amp;"-"&amp;IF(AND(WEEKDAY(A2792)&gt;1,WEEKDAY(A2792)&lt;7),"Wkd",TEXT(A2792,"Ddd"))&amp;"-"&amp;TEXT(A2792,"hh"),LoadTable[],3,FALSE)*0.92</f>
        <v>209.6772</v>
      </c>
      <c r="U2792" s="113">
        <f t="shared" si="3004"/>
        <v>20.96772</v>
      </c>
      <c r="V2792">
        <f t="shared" ref="V2792:W2792" si="3045">V2768</f>
        <v>2.9</v>
      </c>
      <c r="W2792">
        <f t="shared" si="3045"/>
        <v>3.1</v>
      </c>
      <c r="X2792" s="9">
        <v>-92.930089016668504</v>
      </c>
      <c r="Y2792" s="39"/>
    </row>
    <row r="2793" spans="1:25" ht="15" thickBot="1">
      <c r="A2793" s="149">
        <f t="shared" si="2986"/>
        <v>45952.249999995212</v>
      </c>
      <c r="B2793" s="30">
        <f t="shared" si="3013"/>
        <v>8000</v>
      </c>
      <c r="C2793" s="8">
        <v>25000</v>
      </c>
      <c r="D2793" s="187">
        <v>0</v>
      </c>
      <c r="E2793" s="187">
        <v>700</v>
      </c>
      <c r="F2793" s="187">
        <v>15000</v>
      </c>
      <c r="G2793" s="30">
        <f t="shared" si="3014"/>
        <v>2470</v>
      </c>
      <c r="H2793" s="8">
        <f t="shared" si="3014"/>
        <v>25000</v>
      </c>
      <c r="I2793" s="30">
        <f t="shared" si="3015"/>
        <v>8000</v>
      </c>
      <c r="J2793" s="187">
        <v>40000</v>
      </c>
      <c r="K2793" s="30">
        <f t="shared" si="3016"/>
        <v>8000</v>
      </c>
      <c r="L2793" s="187">
        <v>40000</v>
      </c>
      <c r="M2793" s="110">
        <v>9.5</v>
      </c>
      <c r="N2793" s="9">
        <f>VLOOKUP(DATE(YEAR(A2793),MONTH(A2793),DAY(A2793)),FY24_Temp[],3,FALSE)</f>
        <v>17.399999999999999</v>
      </c>
      <c r="O2793" s="110">
        <f t="shared" si="3002"/>
        <v>11.5</v>
      </c>
      <c r="P2793" s="110">
        <f t="shared" si="3003"/>
        <v>19.5</v>
      </c>
      <c r="Q2793" s="79">
        <f>VLOOKUP(VLOOKUP(DATEVALUE(TEXT(A2793,"m/d/yyyy")),FY24_Temp[],5,FALSE)&amp;TEXT(A2793,"-h"),TempDelta[],4,FALSE)</f>
        <v>0.56542856778417316</v>
      </c>
      <c r="R2793">
        <v>10</v>
      </c>
      <c r="S2793" s="112">
        <v>1500</v>
      </c>
      <c r="T2793" s="5">
        <f>VLOOKUP(TEXT(A2793,"yy-mm")&amp;"-"&amp;IF(AND(WEEKDAY(A2793)&gt;1,WEEKDAY(A2793)&lt;7),"Wkd",TEXT(A2793,"Ddd"))&amp;"-"&amp;TEXT(A2793,"hh"),LoadTable[],3,FALSE)*0.92</f>
        <v>209.6772</v>
      </c>
      <c r="U2793" s="113">
        <f t="shared" si="3004"/>
        <v>20.96772</v>
      </c>
      <c r="V2793">
        <f t="shared" ref="V2793:W2793" si="3046">V2769</f>
        <v>2.5</v>
      </c>
      <c r="W2793">
        <f t="shared" si="3046"/>
        <v>3.1</v>
      </c>
      <c r="X2793" s="9">
        <v>-93.007883566668497</v>
      </c>
      <c r="Y2793" s="39"/>
    </row>
    <row r="2794" spans="1:25" ht="15" thickBot="1">
      <c r="A2794" s="149">
        <f t="shared" si="2986"/>
        <v>45952.291666661877</v>
      </c>
      <c r="B2794" s="30">
        <f t="shared" si="3013"/>
        <v>8000</v>
      </c>
      <c r="C2794" s="8">
        <v>25000</v>
      </c>
      <c r="D2794" s="187">
        <v>0</v>
      </c>
      <c r="E2794" s="187">
        <v>700</v>
      </c>
      <c r="F2794" s="187">
        <v>15000</v>
      </c>
      <c r="G2794" s="30">
        <f t="shared" si="3014"/>
        <v>2470</v>
      </c>
      <c r="H2794" s="8">
        <f t="shared" si="3014"/>
        <v>25000</v>
      </c>
      <c r="I2794" s="30">
        <f t="shared" si="3015"/>
        <v>8000</v>
      </c>
      <c r="J2794" s="187">
        <v>40000</v>
      </c>
      <c r="K2794" s="30">
        <f t="shared" si="3016"/>
        <v>8000</v>
      </c>
      <c r="L2794" s="187">
        <v>40000</v>
      </c>
      <c r="M2794" s="110">
        <v>9.5</v>
      </c>
      <c r="N2794" s="9">
        <f>VLOOKUP(DATE(YEAR(A2794),MONTH(A2794),DAY(A2794)),FY24_Temp[],3,FALSE)</f>
        <v>17.399999999999999</v>
      </c>
      <c r="O2794" s="110">
        <f t="shared" si="3002"/>
        <v>11.5</v>
      </c>
      <c r="P2794" s="110">
        <f t="shared" si="3003"/>
        <v>19.5</v>
      </c>
      <c r="Q2794" s="79">
        <f>VLOOKUP(VLOOKUP(DATEVALUE(TEXT(A2794,"m/d/yyyy")),FY24_Temp[],5,FALSE)&amp;TEXT(A2794,"-h"),TempDelta[],4,FALSE)</f>
        <v>0.38785713911056519</v>
      </c>
      <c r="R2794">
        <v>10</v>
      </c>
      <c r="S2794" s="112">
        <v>1500</v>
      </c>
      <c r="T2794" s="5">
        <f>VLOOKUP(TEXT(A2794,"yy-mm")&amp;"-"&amp;IF(AND(WEEKDAY(A2794)&gt;1,WEEKDAY(A2794)&lt;7),"Wkd",TEXT(A2794,"Ddd"))&amp;"-"&amp;TEXT(A2794,"hh"),LoadTable[],3,FALSE)*0.92</f>
        <v>234.80148</v>
      </c>
      <c r="U2794" s="113">
        <f t="shared" si="3004"/>
        <v>23.480148</v>
      </c>
      <c r="V2794">
        <f t="shared" ref="V2794:W2794" si="3047">V2770</f>
        <v>2.5</v>
      </c>
      <c r="W2794">
        <f t="shared" si="3047"/>
        <v>3.1</v>
      </c>
      <c r="X2794" s="9">
        <v>-93.085678116668504</v>
      </c>
      <c r="Y2794" s="39"/>
    </row>
    <row r="2795" spans="1:25" ht="15" thickBot="1">
      <c r="A2795" s="149">
        <f t="shared" si="2986"/>
        <v>45952.333333328541</v>
      </c>
      <c r="B2795" s="30">
        <f t="shared" si="3013"/>
        <v>8000</v>
      </c>
      <c r="C2795" s="8">
        <v>25000</v>
      </c>
      <c r="D2795" s="187">
        <v>0</v>
      </c>
      <c r="E2795" s="187">
        <v>700</v>
      </c>
      <c r="F2795" s="187">
        <v>15000</v>
      </c>
      <c r="G2795" s="30">
        <f t="shared" si="3014"/>
        <v>2470</v>
      </c>
      <c r="H2795" s="8">
        <f t="shared" si="3014"/>
        <v>25000</v>
      </c>
      <c r="I2795" s="30">
        <f t="shared" si="3015"/>
        <v>8000</v>
      </c>
      <c r="J2795" s="187">
        <v>40000</v>
      </c>
      <c r="K2795" s="30">
        <f t="shared" si="3016"/>
        <v>8000</v>
      </c>
      <c r="L2795" s="187">
        <v>40000</v>
      </c>
      <c r="M2795" s="110">
        <v>9.5</v>
      </c>
      <c r="N2795" s="9">
        <f>VLOOKUP(DATE(YEAR(A2795),MONTH(A2795),DAY(A2795)),FY24_Temp[],3,FALSE)</f>
        <v>17.399999999999999</v>
      </c>
      <c r="O2795" s="110">
        <f t="shared" si="3002"/>
        <v>11.5</v>
      </c>
      <c r="P2795" s="110">
        <f t="shared" si="3003"/>
        <v>19.5</v>
      </c>
      <c r="Q2795" s="79">
        <f>VLOOKUP(VLOOKUP(DATEVALUE(TEXT(A2795,"m/d/yyyy")),FY24_Temp[],5,FALSE)&amp;TEXT(A2795,"-h"),TempDelta[],4,FALSE)</f>
        <v>0.28528571341718945</v>
      </c>
      <c r="R2795">
        <v>10</v>
      </c>
      <c r="S2795" s="112">
        <v>1500</v>
      </c>
      <c r="T2795" s="5">
        <f>VLOOKUP(TEXT(A2795,"yy-mm")&amp;"-"&amp;IF(AND(WEEKDAY(A2795)&gt;1,WEEKDAY(A2795)&lt;7),"Wkd",TEXT(A2795,"Ddd"))&amp;"-"&amp;TEXT(A2795,"hh"),LoadTable[],3,FALSE)*0.92</f>
        <v>234.80148</v>
      </c>
      <c r="U2795" s="113">
        <f t="shared" si="3004"/>
        <v>23.480148</v>
      </c>
      <c r="V2795">
        <f t="shared" ref="V2795:W2795" si="3048">V2771</f>
        <v>3.2</v>
      </c>
      <c r="W2795">
        <f t="shared" si="3048"/>
        <v>3</v>
      </c>
      <c r="X2795" s="9">
        <v>-93.163472666668497</v>
      </c>
      <c r="Y2795" s="39"/>
    </row>
    <row r="2796" spans="1:25" ht="15" thickBot="1">
      <c r="A2796" s="149">
        <f t="shared" si="2986"/>
        <v>45952.374999995205</v>
      </c>
      <c r="B2796" s="30">
        <f t="shared" si="3013"/>
        <v>8000</v>
      </c>
      <c r="C2796" s="8">
        <v>25000</v>
      </c>
      <c r="D2796" s="187">
        <v>0</v>
      </c>
      <c r="E2796" s="187">
        <v>700</v>
      </c>
      <c r="F2796" s="187">
        <v>15000</v>
      </c>
      <c r="G2796" s="30">
        <f t="shared" si="3014"/>
        <v>2470</v>
      </c>
      <c r="H2796" s="8">
        <f t="shared" si="3014"/>
        <v>25000</v>
      </c>
      <c r="I2796" s="30">
        <f t="shared" si="3015"/>
        <v>8000</v>
      </c>
      <c r="J2796" s="187">
        <v>40000</v>
      </c>
      <c r="K2796" s="30">
        <f t="shared" si="3016"/>
        <v>8000</v>
      </c>
      <c r="L2796" s="187">
        <v>40000</v>
      </c>
      <c r="M2796" s="110">
        <v>9.5</v>
      </c>
      <c r="N2796" s="9">
        <f>VLOOKUP(DATE(YEAR(A2796),MONTH(A2796),DAY(A2796)),FY24_Temp[],3,FALSE)</f>
        <v>17.399999999999999</v>
      </c>
      <c r="O2796" s="110">
        <f t="shared" si="3002"/>
        <v>11.5</v>
      </c>
      <c r="P2796" s="110">
        <f t="shared" si="3003"/>
        <v>19.5</v>
      </c>
      <c r="Q2796" s="79">
        <f>VLOOKUP(VLOOKUP(DATEVALUE(TEXT(A2796,"m/d/yyyy")),FY24_Temp[],5,FALSE)&amp;TEXT(A2796,"-h"),TempDelta[],4,FALSE)</f>
        <v>0.20714286076171057</v>
      </c>
      <c r="R2796">
        <v>10</v>
      </c>
      <c r="S2796" s="112">
        <v>1500</v>
      </c>
      <c r="T2796" s="5">
        <f>VLOOKUP(TEXT(A2796,"yy-mm")&amp;"-"&amp;IF(AND(WEEKDAY(A2796)&gt;1,WEEKDAY(A2796)&lt;7),"Wkd",TEXT(A2796,"Ddd"))&amp;"-"&amp;TEXT(A2796,"hh"),LoadTable[],3,FALSE)*0.92</f>
        <v>234.80148</v>
      </c>
      <c r="U2796" s="113">
        <f t="shared" si="3004"/>
        <v>23.480148</v>
      </c>
      <c r="V2796">
        <f t="shared" ref="V2796:W2796" si="3049">V2772</f>
        <v>2.9</v>
      </c>
      <c r="W2796">
        <f t="shared" si="3049"/>
        <v>3</v>
      </c>
      <c r="X2796" s="9">
        <v>-93.241267216668504</v>
      </c>
      <c r="Y2796" s="39"/>
    </row>
    <row r="2797" spans="1:25" ht="15" thickBot="1">
      <c r="A2797" s="149">
        <f t="shared" si="2986"/>
        <v>45952.416666661869</v>
      </c>
      <c r="B2797" s="30">
        <f t="shared" si="3013"/>
        <v>8000</v>
      </c>
      <c r="C2797" s="8">
        <v>25000</v>
      </c>
      <c r="D2797" s="187">
        <v>0</v>
      </c>
      <c r="E2797" s="187">
        <v>700</v>
      </c>
      <c r="F2797" s="187">
        <v>15000</v>
      </c>
      <c r="G2797" s="30">
        <f t="shared" si="3014"/>
        <v>2470</v>
      </c>
      <c r="H2797" s="8">
        <f t="shared" si="3014"/>
        <v>25000</v>
      </c>
      <c r="I2797" s="30">
        <f t="shared" si="3015"/>
        <v>8000</v>
      </c>
      <c r="J2797" s="187">
        <v>40000</v>
      </c>
      <c r="K2797" s="30">
        <f t="shared" si="3016"/>
        <v>8000</v>
      </c>
      <c r="L2797" s="187">
        <v>40000</v>
      </c>
      <c r="M2797" s="110">
        <v>9.5</v>
      </c>
      <c r="N2797" s="9">
        <f>VLOOKUP(DATE(YEAR(A2797),MONTH(A2797),DAY(A2797)),FY24_Temp[],3,FALSE)</f>
        <v>17.399999999999999</v>
      </c>
      <c r="O2797" s="110">
        <f t="shared" si="3002"/>
        <v>11.5</v>
      </c>
      <c r="P2797" s="110">
        <f t="shared" si="3003"/>
        <v>19.5</v>
      </c>
      <c r="Q2797" s="79">
        <f>VLOOKUP(VLOOKUP(DATEVALUE(TEXT(A2797,"m/d/yyyy")),FY24_Temp[],5,FALSE)&amp;TEXT(A2797,"-h"),TempDelta[],4,FALSE)</f>
        <v>0.1155714291547026</v>
      </c>
      <c r="R2797">
        <v>10</v>
      </c>
      <c r="S2797" s="112">
        <v>1500</v>
      </c>
      <c r="T2797" s="5">
        <f>VLOOKUP(TEXT(A2797,"yy-mm")&amp;"-"&amp;IF(AND(WEEKDAY(A2797)&gt;1,WEEKDAY(A2797)&lt;7),"Wkd",TEXT(A2797,"Ddd"))&amp;"-"&amp;TEXT(A2797,"hh"),LoadTable[],3,FALSE)*0.92</f>
        <v>234.80148</v>
      </c>
      <c r="U2797" s="113">
        <f t="shared" si="3004"/>
        <v>23.480148</v>
      </c>
      <c r="V2797">
        <f t="shared" ref="V2797:W2797" si="3050">V2773</f>
        <v>2.9</v>
      </c>
      <c r="W2797">
        <f t="shared" si="3050"/>
        <v>3</v>
      </c>
      <c r="X2797" s="9">
        <v>-93.319061766668497</v>
      </c>
      <c r="Y2797" s="39"/>
    </row>
    <row r="2798" spans="1:25" ht="15" thickBot="1">
      <c r="A2798" s="149">
        <f t="shared" si="2986"/>
        <v>45952.458333328534</v>
      </c>
      <c r="B2798" s="30">
        <f t="shared" si="3013"/>
        <v>8000</v>
      </c>
      <c r="C2798" s="8">
        <v>25000</v>
      </c>
      <c r="D2798" s="187">
        <v>0</v>
      </c>
      <c r="E2798" s="187">
        <v>700</v>
      </c>
      <c r="F2798" s="187">
        <v>15000</v>
      </c>
      <c r="G2798" s="30">
        <f t="shared" si="3014"/>
        <v>2470</v>
      </c>
      <c r="H2798" s="8">
        <f t="shared" si="3014"/>
        <v>25000</v>
      </c>
      <c r="I2798" s="30">
        <f t="shared" si="3015"/>
        <v>8000</v>
      </c>
      <c r="J2798" s="187">
        <v>40000</v>
      </c>
      <c r="K2798" s="30">
        <f t="shared" si="3016"/>
        <v>8000</v>
      </c>
      <c r="L2798" s="187">
        <v>40000</v>
      </c>
      <c r="M2798" s="110">
        <v>9.5</v>
      </c>
      <c r="N2798" s="9">
        <f>VLOOKUP(DATE(YEAR(A2798),MONTH(A2798),DAY(A2798)),FY24_Temp[],3,FALSE)</f>
        <v>17.399999999999999</v>
      </c>
      <c r="O2798" s="110">
        <f t="shared" si="3002"/>
        <v>11.5</v>
      </c>
      <c r="P2798" s="110">
        <f t="shared" si="3003"/>
        <v>19.5</v>
      </c>
      <c r="Q2798" s="79">
        <f>VLOOKUP(VLOOKUP(DATEVALUE(TEXT(A2798,"m/d/yyyy")),FY24_Temp[],5,FALSE)&amp;TEXT(A2798,"-h"),TempDelta[],4,FALSE)</f>
        <v>3.9428572037390301E-2</v>
      </c>
      <c r="R2798">
        <v>10</v>
      </c>
      <c r="S2798" s="112">
        <v>1500</v>
      </c>
      <c r="T2798" s="5">
        <f>VLOOKUP(TEXT(A2798,"yy-mm")&amp;"-"&amp;IF(AND(WEEKDAY(A2798)&gt;1,WEEKDAY(A2798)&lt;7),"Wkd",TEXT(A2798,"Ddd"))&amp;"-"&amp;TEXT(A2798,"hh"),LoadTable[],3,FALSE)*0.92</f>
        <v>234.80148</v>
      </c>
      <c r="U2798" s="113">
        <f t="shared" si="3004"/>
        <v>23.480148</v>
      </c>
      <c r="V2798">
        <f t="shared" ref="V2798:W2798" si="3051">V2774</f>
        <v>3.4</v>
      </c>
      <c r="W2798">
        <f t="shared" si="3051"/>
        <v>3</v>
      </c>
      <c r="X2798" s="9">
        <v>-93.396856316668504</v>
      </c>
      <c r="Y2798" s="39"/>
    </row>
    <row r="2799" spans="1:25" ht="15" thickBot="1">
      <c r="A2799" s="149">
        <f t="shared" si="2986"/>
        <v>45952.499999995198</v>
      </c>
      <c r="B2799" s="30">
        <f t="shared" si="3013"/>
        <v>8000</v>
      </c>
      <c r="C2799" s="8">
        <v>25000</v>
      </c>
      <c r="D2799" s="187">
        <v>0</v>
      </c>
      <c r="E2799" s="187">
        <v>700</v>
      </c>
      <c r="F2799" s="187">
        <v>15000</v>
      </c>
      <c r="G2799" s="30">
        <f t="shared" si="3014"/>
        <v>2470</v>
      </c>
      <c r="H2799" s="8">
        <f t="shared" si="3014"/>
        <v>25000</v>
      </c>
      <c r="I2799" s="30">
        <f t="shared" si="3015"/>
        <v>8000</v>
      </c>
      <c r="J2799" s="187">
        <v>40000</v>
      </c>
      <c r="K2799" s="30">
        <f t="shared" si="3016"/>
        <v>8000</v>
      </c>
      <c r="L2799" s="187">
        <v>40000</v>
      </c>
      <c r="M2799" s="110">
        <v>9.5</v>
      </c>
      <c r="N2799" s="9">
        <f>VLOOKUP(DATE(YEAR(A2799),MONTH(A2799),DAY(A2799)),FY24_Temp[],3,FALSE)</f>
        <v>17.399999999999999</v>
      </c>
      <c r="O2799" s="110">
        <f t="shared" si="3002"/>
        <v>11.5</v>
      </c>
      <c r="P2799" s="110">
        <f t="shared" si="3003"/>
        <v>19.5</v>
      </c>
      <c r="Q2799" s="79">
        <f>VLOOKUP(VLOOKUP(DATEVALUE(TEXT(A2799,"m/d/yyyy")),FY24_Temp[],5,FALSE)&amp;TEXT(A2799,"-h"),TempDelta[],4,FALSE)</f>
        <v>-1.5857143327593803E-2</v>
      </c>
      <c r="R2799">
        <v>10</v>
      </c>
      <c r="S2799" s="112">
        <v>1500</v>
      </c>
      <c r="T2799" s="5">
        <f>VLOOKUP(TEXT(A2799,"yy-mm")&amp;"-"&amp;IF(AND(WEEKDAY(A2799)&gt;1,WEEKDAY(A2799)&lt;7),"Wkd",TEXT(A2799,"Ddd"))&amp;"-"&amp;TEXT(A2799,"hh"),LoadTable[],3,FALSE)*0.92</f>
        <v>234.80148</v>
      </c>
      <c r="U2799" s="113">
        <f t="shared" si="3004"/>
        <v>23.480148</v>
      </c>
      <c r="V2799">
        <f t="shared" ref="V2799:W2799" si="3052">V2775</f>
        <v>3.1</v>
      </c>
      <c r="W2799">
        <f t="shared" si="3052"/>
        <v>2.9</v>
      </c>
      <c r="X2799" s="9">
        <v>-93.474650866668497</v>
      </c>
      <c r="Y2799" s="39"/>
    </row>
    <row r="2800" spans="1:25" ht="15" thickBot="1">
      <c r="A2800" s="149">
        <f t="shared" si="2986"/>
        <v>45952.541666661862</v>
      </c>
      <c r="B2800" s="30">
        <f t="shared" si="3013"/>
        <v>8000</v>
      </c>
      <c r="C2800" s="8">
        <v>25000</v>
      </c>
      <c r="D2800" s="187">
        <v>0</v>
      </c>
      <c r="E2800" s="187">
        <v>700</v>
      </c>
      <c r="F2800" s="187">
        <v>15000</v>
      </c>
      <c r="G2800" s="30">
        <f t="shared" si="3014"/>
        <v>2470</v>
      </c>
      <c r="H2800" s="8">
        <f t="shared" si="3014"/>
        <v>25000</v>
      </c>
      <c r="I2800" s="30">
        <f t="shared" si="3015"/>
        <v>8000</v>
      </c>
      <c r="J2800" s="187">
        <v>40000</v>
      </c>
      <c r="K2800" s="30">
        <f t="shared" si="3016"/>
        <v>8000</v>
      </c>
      <c r="L2800" s="187">
        <v>40000</v>
      </c>
      <c r="M2800" s="110">
        <v>9.5</v>
      </c>
      <c r="N2800" s="9">
        <f>VLOOKUP(DATE(YEAR(A2800),MONTH(A2800),DAY(A2800)),FY24_Temp[],3,FALSE)</f>
        <v>17.399999999999999</v>
      </c>
      <c r="O2800" s="110">
        <f t="shared" si="3002"/>
        <v>11.5</v>
      </c>
      <c r="P2800" s="110">
        <f t="shared" si="3003"/>
        <v>19.5</v>
      </c>
      <c r="Q2800" s="79">
        <f>VLOOKUP(VLOOKUP(DATEVALUE(TEXT(A2800,"m/d/yyyy")),FY24_Temp[],5,FALSE)&amp;TEXT(A2800,"-h"),TempDelta[],4,FALSE)</f>
        <v>-4.142857076866286E-2</v>
      </c>
      <c r="R2800">
        <v>10</v>
      </c>
      <c r="S2800" s="112">
        <v>1500</v>
      </c>
      <c r="T2800" s="5">
        <f>VLOOKUP(TEXT(A2800,"yy-mm")&amp;"-"&amp;IF(AND(WEEKDAY(A2800)&gt;1,WEEKDAY(A2800)&lt;7),"Wkd",TEXT(A2800,"Ddd"))&amp;"-"&amp;TEXT(A2800,"hh"),LoadTable[],3,FALSE)*0.92</f>
        <v>234.80148</v>
      </c>
      <c r="U2800" s="113">
        <f t="shared" si="3004"/>
        <v>23.480148</v>
      </c>
      <c r="V2800">
        <f t="shared" ref="V2800:W2800" si="3053">V2776</f>
        <v>3.2</v>
      </c>
      <c r="W2800">
        <f t="shared" si="3053"/>
        <v>2.9</v>
      </c>
      <c r="X2800" s="9">
        <v>-93.552445416668505</v>
      </c>
      <c r="Y2800" s="39"/>
    </row>
    <row r="2801" spans="1:25" ht="15" thickBot="1">
      <c r="A2801" s="149">
        <f t="shared" si="2986"/>
        <v>45952.583333328526</v>
      </c>
      <c r="B2801" s="30">
        <f t="shared" si="3013"/>
        <v>8000</v>
      </c>
      <c r="C2801" s="8">
        <v>25000</v>
      </c>
      <c r="D2801" s="187">
        <v>0</v>
      </c>
      <c r="E2801" s="187">
        <v>700</v>
      </c>
      <c r="F2801" s="187">
        <v>15000</v>
      </c>
      <c r="G2801" s="30">
        <f t="shared" si="3014"/>
        <v>2470</v>
      </c>
      <c r="H2801" s="8">
        <f t="shared" si="3014"/>
        <v>25000</v>
      </c>
      <c r="I2801" s="30">
        <f t="shared" si="3015"/>
        <v>8000</v>
      </c>
      <c r="J2801" s="187">
        <v>40000</v>
      </c>
      <c r="K2801" s="30">
        <f t="shared" si="3016"/>
        <v>8000</v>
      </c>
      <c r="L2801" s="187">
        <v>40000</v>
      </c>
      <c r="M2801" s="110">
        <v>9.5</v>
      </c>
      <c r="N2801" s="9">
        <f>VLOOKUP(DATE(YEAR(A2801),MONTH(A2801),DAY(A2801)),FY24_Temp[],3,FALSE)</f>
        <v>17.399999999999999</v>
      </c>
      <c r="O2801" s="110">
        <f t="shared" si="3002"/>
        <v>11.5</v>
      </c>
      <c r="P2801" s="110">
        <f t="shared" si="3003"/>
        <v>19.5</v>
      </c>
      <c r="Q2801" s="79">
        <f>VLOOKUP(VLOOKUP(DATEVALUE(TEXT(A2801,"m/d/yyyy")),FY24_Temp[],5,FALSE)&amp;TEXT(A2801,"-h"),TempDelta[],4,FALSE)</f>
        <v>1.5142858826688357E-2</v>
      </c>
      <c r="R2801">
        <v>10</v>
      </c>
      <c r="S2801" s="112">
        <v>1500</v>
      </c>
      <c r="T2801" s="5">
        <f>VLOOKUP(TEXT(A2801,"yy-mm")&amp;"-"&amp;IF(AND(WEEKDAY(A2801)&gt;1,WEEKDAY(A2801)&lt;7),"Wkd",TEXT(A2801,"Ddd"))&amp;"-"&amp;TEXT(A2801,"hh"),LoadTable[],3,FALSE)*0.92</f>
        <v>234.80148</v>
      </c>
      <c r="U2801" s="113">
        <f t="shared" si="3004"/>
        <v>23.480148</v>
      </c>
      <c r="V2801">
        <f t="shared" ref="V2801:W2801" si="3054">V2777</f>
        <v>3.5</v>
      </c>
      <c r="W2801">
        <f t="shared" si="3054"/>
        <v>2.9</v>
      </c>
      <c r="X2801" s="9">
        <v>-93.630239966668498</v>
      </c>
      <c r="Y2801" s="39"/>
    </row>
    <row r="2802" spans="1:25" ht="15" thickBot="1">
      <c r="A2802" s="149">
        <f t="shared" si="2986"/>
        <v>45952.624999995191</v>
      </c>
      <c r="B2802" s="30">
        <f t="shared" si="3013"/>
        <v>8000</v>
      </c>
      <c r="C2802" s="8">
        <v>25000</v>
      </c>
      <c r="D2802" s="187">
        <v>0</v>
      </c>
      <c r="E2802" s="187">
        <v>700</v>
      </c>
      <c r="F2802" s="187">
        <v>15000</v>
      </c>
      <c r="G2802" s="30">
        <f t="shared" si="3014"/>
        <v>2470</v>
      </c>
      <c r="H2802" s="8">
        <f t="shared" si="3014"/>
        <v>25000</v>
      </c>
      <c r="I2802" s="30">
        <f t="shared" si="3015"/>
        <v>8000</v>
      </c>
      <c r="J2802" s="187">
        <v>40000</v>
      </c>
      <c r="K2802" s="30">
        <f t="shared" si="3016"/>
        <v>8000</v>
      </c>
      <c r="L2802" s="187">
        <v>40000</v>
      </c>
      <c r="M2802" s="110">
        <v>9.5</v>
      </c>
      <c r="N2802" s="9">
        <f>VLOOKUP(DATE(YEAR(A2802),MONTH(A2802),DAY(A2802)),FY24_Temp[],3,FALSE)</f>
        <v>17.399999999999999</v>
      </c>
      <c r="O2802" s="110">
        <f t="shared" si="3002"/>
        <v>11.5</v>
      </c>
      <c r="P2802" s="110">
        <f t="shared" si="3003"/>
        <v>19.5</v>
      </c>
      <c r="Q2802" s="79">
        <f>VLOOKUP(VLOOKUP(DATEVALUE(TEXT(A2802,"m/d/yyyy")),FY24_Temp[],5,FALSE)&amp;TEXT(A2802,"-h"),TempDelta[],4,FALSE)</f>
        <v>0.10157142795755394</v>
      </c>
      <c r="R2802">
        <v>10</v>
      </c>
      <c r="S2802" s="112">
        <v>1500</v>
      </c>
      <c r="T2802" s="5">
        <f>VLOOKUP(TEXT(A2802,"yy-mm")&amp;"-"&amp;IF(AND(WEEKDAY(A2802)&gt;1,WEEKDAY(A2802)&lt;7),"Wkd",TEXT(A2802,"Ddd"))&amp;"-"&amp;TEXT(A2802,"hh"),LoadTable[],3,FALSE)*0.92</f>
        <v>234.80148</v>
      </c>
      <c r="U2802" s="113">
        <f t="shared" si="3004"/>
        <v>23.480148</v>
      </c>
      <c r="V2802">
        <f t="shared" ref="V2802:W2802" si="3055">V2778</f>
        <v>3.2</v>
      </c>
      <c r="W2802">
        <f t="shared" si="3055"/>
        <v>2.9</v>
      </c>
      <c r="X2802" s="9">
        <v>-93.708034516668604</v>
      </c>
      <c r="Y2802" s="39"/>
    </row>
    <row r="2803" spans="1:25" ht="15" thickBot="1">
      <c r="A2803" s="149">
        <f t="shared" si="2986"/>
        <v>45952.666666661855</v>
      </c>
      <c r="B2803" s="30">
        <f t="shared" si="3013"/>
        <v>8000</v>
      </c>
      <c r="C2803" s="8">
        <v>25000</v>
      </c>
      <c r="D2803" s="187">
        <v>0</v>
      </c>
      <c r="E2803" s="187">
        <v>700</v>
      </c>
      <c r="F2803" s="187">
        <v>15000</v>
      </c>
      <c r="G2803" s="30">
        <f t="shared" si="3014"/>
        <v>2470</v>
      </c>
      <c r="H2803" s="8">
        <f t="shared" si="3014"/>
        <v>25000</v>
      </c>
      <c r="I2803" s="30">
        <f t="shared" si="3015"/>
        <v>8000</v>
      </c>
      <c r="J2803" s="187">
        <v>40000</v>
      </c>
      <c r="K2803" s="30">
        <f t="shared" si="3016"/>
        <v>8000</v>
      </c>
      <c r="L2803" s="187">
        <v>40000</v>
      </c>
      <c r="M2803" s="110">
        <v>9.5</v>
      </c>
      <c r="N2803" s="9">
        <f>VLOOKUP(DATE(YEAR(A2803),MONTH(A2803),DAY(A2803)),FY24_Temp[],3,FALSE)</f>
        <v>17.399999999999999</v>
      </c>
      <c r="O2803" s="110">
        <f t="shared" si="3002"/>
        <v>11.5</v>
      </c>
      <c r="P2803" s="110">
        <f t="shared" si="3003"/>
        <v>19.5</v>
      </c>
      <c r="Q2803" s="79">
        <f>VLOOKUP(VLOOKUP(DATEVALUE(TEXT(A2803,"m/d/yyyy")),FY24_Temp[],5,FALSE)&amp;TEXT(A2803,"-h"),TempDelta[],4,FALSE)</f>
        <v>0.33192857301660944</v>
      </c>
      <c r="R2803">
        <v>10</v>
      </c>
      <c r="S2803" s="112">
        <v>1500</v>
      </c>
      <c r="T2803" s="5">
        <f>VLOOKUP(TEXT(A2803,"yy-mm")&amp;"-"&amp;IF(AND(WEEKDAY(A2803)&gt;1,WEEKDAY(A2803)&lt;7),"Wkd",TEXT(A2803,"Ddd"))&amp;"-"&amp;TEXT(A2803,"hh"),LoadTable[],3,FALSE)*0.92</f>
        <v>234.80148</v>
      </c>
      <c r="U2803" s="113">
        <f t="shared" si="3004"/>
        <v>23.480148</v>
      </c>
      <c r="V2803">
        <f t="shared" ref="V2803:W2803" si="3056">V2779</f>
        <v>3.5</v>
      </c>
      <c r="W2803">
        <f t="shared" si="3056"/>
        <v>3</v>
      </c>
      <c r="X2803" s="9">
        <v>-93.785829066668597</v>
      </c>
      <c r="Y2803" s="39"/>
    </row>
    <row r="2804" spans="1:25" ht="15" thickBot="1">
      <c r="A2804" s="149">
        <f t="shared" si="2986"/>
        <v>45952.708333328519</v>
      </c>
      <c r="B2804" s="30">
        <f t="shared" si="3013"/>
        <v>8000</v>
      </c>
      <c r="C2804" s="8">
        <v>25000</v>
      </c>
      <c r="D2804" s="187">
        <v>0</v>
      </c>
      <c r="E2804" s="187">
        <v>700</v>
      </c>
      <c r="F2804" s="187">
        <v>15000</v>
      </c>
      <c r="G2804" s="30">
        <f t="shared" si="3014"/>
        <v>2470</v>
      </c>
      <c r="H2804" s="8">
        <f t="shared" si="3014"/>
        <v>25000</v>
      </c>
      <c r="I2804" s="30">
        <f t="shared" si="3015"/>
        <v>8000</v>
      </c>
      <c r="J2804" s="187">
        <v>40000</v>
      </c>
      <c r="K2804" s="30">
        <f t="shared" si="3016"/>
        <v>8000</v>
      </c>
      <c r="L2804" s="187">
        <v>40000</v>
      </c>
      <c r="M2804" s="110">
        <v>9.5</v>
      </c>
      <c r="N2804" s="9">
        <f>VLOOKUP(DATE(YEAR(A2804),MONTH(A2804),DAY(A2804)),FY24_Temp[],3,FALSE)</f>
        <v>17.399999999999999</v>
      </c>
      <c r="O2804" s="110">
        <f t="shared" si="3002"/>
        <v>11.5</v>
      </c>
      <c r="P2804" s="110">
        <f t="shared" si="3003"/>
        <v>19.5</v>
      </c>
      <c r="Q2804" s="79">
        <f>VLOOKUP(VLOOKUP(DATEVALUE(TEXT(A2804,"m/d/yyyy")),FY24_Temp[],5,FALSE)&amp;TEXT(A2804,"-h"),TempDelta[],4,FALSE)</f>
        <v>0.44464285565274103</v>
      </c>
      <c r="R2804">
        <v>10</v>
      </c>
      <c r="S2804" s="112">
        <v>1500</v>
      </c>
      <c r="T2804" s="5">
        <f>VLOOKUP(TEXT(A2804,"yy-mm")&amp;"-"&amp;IF(AND(WEEKDAY(A2804)&gt;1,WEEKDAY(A2804)&lt;7),"Wkd",TEXT(A2804,"Ddd"))&amp;"-"&amp;TEXT(A2804,"hh"),LoadTable[],3,FALSE)*0.92</f>
        <v>234.80148</v>
      </c>
      <c r="U2804" s="113">
        <f t="shared" si="3004"/>
        <v>23.480148</v>
      </c>
      <c r="V2804">
        <f t="shared" ref="V2804:W2804" si="3057">V2780</f>
        <v>3.6</v>
      </c>
      <c r="W2804">
        <f t="shared" si="3057"/>
        <v>3</v>
      </c>
      <c r="X2804" s="9">
        <v>-93.863623616668605</v>
      </c>
      <c r="Y2804" s="39"/>
    </row>
    <row r="2805" spans="1:25" ht="15" thickBot="1">
      <c r="A2805" s="149">
        <f t="shared" ref="A2805:A2868" si="3058">A2804+TIME(1,0,0)</f>
        <v>45952.749999995183</v>
      </c>
      <c r="B2805" s="30">
        <f t="shared" si="3013"/>
        <v>5000</v>
      </c>
      <c r="C2805" s="8">
        <v>25000</v>
      </c>
      <c r="D2805" s="187">
        <v>0</v>
      </c>
      <c r="E2805" s="187">
        <v>700</v>
      </c>
      <c r="F2805" s="187">
        <v>15000</v>
      </c>
      <c r="G2805" s="30">
        <f t="shared" si="3014"/>
        <v>2470</v>
      </c>
      <c r="H2805" s="8">
        <f t="shared" si="3014"/>
        <v>25000</v>
      </c>
      <c r="I2805" s="30">
        <f t="shared" si="3015"/>
        <v>5000</v>
      </c>
      <c r="J2805" s="187">
        <v>40000</v>
      </c>
      <c r="K2805" s="30">
        <f t="shared" si="3016"/>
        <v>5000</v>
      </c>
      <c r="L2805" s="187">
        <v>40000</v>
      </c>
      <c r="M2805" s="110">
        <v>9.5</v>
      </c>
      <c r="N2805" s="9">
        <f>VLOOKUP(DATE(YEAR(A2805),MONTH(A2805),DAY(A2805)),FY24_Temp[],3,FALSE)</f>
        <v>17.399999999999999</v>
      </c>
      <c r="O2805" s="110">
        <f t="shared" si="3002"/>
        <v>11.5</v>
      </c>
      <c r="P2805" s="110">
        <f t="shared" si="3003"/>
        <v>19.5</v>
      </c>
      <c r="Q2805" s="79">
        <f>VLOOKUP(VLOOKUP(DATEVALUE(TEXT(A2805,"m/d/yyyy")),FY24_Temp[],5,FALSE)&amp;TEXT(A2805,"-h"),TempDelta[],4,FALSE)</f>
        <v>0.57671428365366795</v>
      </c>
      <c r="R2805">
        <v>10</v>
      </c>
      <c r="S2805" s="112">
        <v>1500</v>
      </c>
      <c r="T2805" s="5">
        <f>VLOOKUP(TEXT(A2805,"yy-mm")&amp;"-"&amp;IF(AND(WEEKDAY(A2805)&gt;1,WEEKDAY(A2805)&lt;7),"Wkd",TEXT(A2805,"Ddd"))&amp;"-"&amp;TEXT(A2805,"hh"),LoadTable[],3,FALSE)*0.92</f>
        <v>303.31295999999998</v>
      </c>
      <c r="U2805" s="113">
        <f t="shared" si="3004"/>
        <v>30.331295999999998</v>
      </c>
      <c r="V2805">
        <f t="shared" ref="V2805:W2805" si="3059">V2781</f>
        <v>2.9</v>
      </c>
      <c r="W2805">
        <f t="shared" si="3059"/>
        <v>3</v>
      </c>
      <c r="X2805" s="9">
        <v>-93.941418166668598</v>
      </c>
      <c r="Y2805" s="39"/>
    </row>
    <row r="2806" spans="1:25" ht="15" thickBot="1">
      <c r="A2806" s="149">
        <f t="shared" si="3058"/>
        <v>45952.791666661848</v>
      </c>
      <c r="B2806" s="30">
        <f t="shared" si="3013"/>
        <v>5000</v>
      </c>
      <c r="C2806" s="8">
        <v>25000</v>
      </c>
      <c r="D2806" s="187">
        <v>0</v>
      </c>
      <c r="E2806" s="187">
        <v>700</v>
      </c>
      <c r="F2806" s="187">
        <v>15000</v>
      </c>
      <c r="G2806" s="30">
        <f t="shared" si="3014"/>
        <v>2470</v>
      </c>
      <c r="H2806" s="8">
        <f t="shared" si="3014"/>
        <v>25000</v>
      </c>
      <c r="I2806" s="30">
        <f t="shared" si="3015"/>
        <v>5000</v>
      </c>
      <c r="J2806" s="187">
        <v>40000</v>
      </c>
      <c r="K2806" s="30">
        <f t="shared" si="3016"/>
        <v>5000</v>
      </c>
      <c r="L2806" s="187">
        <v>40000</v>
      </c>
      <c r="M2806" s="110">
        <v>9.5</v>
      </c>
      <c r="N2806" s="9">
        <f>VLOOKUP(DATE(YEAR(A2806),MONTH(A2806),DAY(A2806)),FY24_Temp[],3,FALSE)</f>
        <v>17.399999999999999</v>
      </c>
      <c r="O2806" s="110">
        <f t="shared" si="3002"/>
        <v>11.5</v>
      </c>
      <c r="P2806" s="110">
        <f t="shared" si="3003"/>
        <v>19.5</v>
      </c>
      <c r="Q2806" s="79">
        <f>VLOOKUP(VLOOKUP(DATEVALUE(TEXT(A2806,"m/d/yyyy")),FY24_Temp[],5,FALSE)&amp;TEXT(A2806,"-h"),TempDelta[],4,FALSE)</f>
        <v>0.5747142945017133</v>
      </c>
      <c r="R2806">
        <v>10</v>
      </c>
      <c r="S2806" s="112">
        <v>1500</v>
      </c>
      <c r="T2806" s="5">
        <f>VLOOKUP(TEXT(A2806,"yy-mm")&amp;"-"&amp;IF(AND(WEEKDAY(A2806)&gt;1,WEEKDAY(A2806)&lt;7),"Wkd",TEXT(A2806,"Ddd"))&amp;"-"&amp;TEXT(A2806,"hh"),LoadTable[],3,FALSE)*0.92</f>
        <v>303.31295999999998</v>
      </c>
      <c r="U2806" s="113">
        <f t="shared" si="3004"/>
        <v>30.331295999999998</v>
      </c>
      <c r="V2806">
        <f t="shared" ref="V2806:W2806" si="3060">V2782</f>
        <v>3</v>
      </c>
      <c r="W2806">
        <f t="shared" si="3060"/>
        <v>3</v>
      </c>
      <c r="X2806" s="9">
        <v>-94.019212716668605</v>
      </c>
      <c r="Y2806" s="39"/>
    </row>
    <row r="2807" spans="1:25" ht="15" thickBot="1">
      <c r="A2807" s="149">
        <f t="shared" si="3058"/>
        <v>45952.833333328512</v>
      </c>
      <c r="B2807" s="30">
        <f t="shared" si="3013"/>
        <v>5000</v>
      </c>
      <c r="C2807" s="8">
        <v>25000</v>
      </c>
      <c r="D2807" s="187">
        <v>0</v>
      </c>
      <c r="E2807" s="187">
        <v>700</v>
      </c>
      <c r="F2807" s="187">
        <v>15000</v>
      </c>
      <c r="G2807" s="30">
        <f t="shared" si="3014"/>
        <v>2470</v>
      </c>
      <c r="H2807" s="8">
        <f t="shared" si="3014"/>
        <v>25000</v>
      </c>
      <c r="I2807" s="30">
        <f t="shared" si="3015"/>
        <v>5000</v>
      </c>
      <c r="J2807" s="187">
        <v>40000</v>
      </c>
      <c r="K2807" s="30">
        <f t="shared" si="3016"/>
        <v>5000</v>
      </c>
      <c r="L2807" s="187">
        <v>40000</v>
      </c>
      <c r="M2807" s="110">
        <v>9.5</v>
      </c>
      <c r="N2807" s="9">
        <f>VLOOKUP(DATE(YEAR(A2807),MONTH(A2807),DAY(A2807)),FY24_Temp[],3,FALSE)</f>
        <v>17.399999999999999</v>
      </c>
      <c r="O2807" s="110">
        <f t="shared" si="3002"/>
        <v>11.5</v>
      </c>
      <c r="P2807" s="110">
        <f t="shared" si="3003"/>
        <v>19.5</v>
      </c>
      <c r="Q2807" s="79">
        <f>VLOOKUP(VLOOKUP(DATEVALUE(TEXT(A2807,"m/d/yyyy")),FY24_Temp[],5,FALSE)&amp;TEXT(A2807,"-h"),TempDelta[],4,FALSE)</f>
        <v>0.58807142717497685</v>
      </c>
      <c r="R2807">
        <v>10</v>
      </c>
      <c r="S2807" s="112">
        <v>1500</v>
      </c>
      <c r="T2807" s="5">
        <f>VLOOKUP(TEXT(A2807,"yy-mm")&amp;"-"&amp;IF(AND(WEEKDAY(A2807)&gt;1,WEEKDAY(A2807)&lt;7),"Wkd",TEXT(A2807,"Ddd"))&amp;"-"&amp;TEXT(A2807,"hh"),LoadTable[],3,FALSE)*0.92</f>
        <v>303.31295999999998</v>
      </c>
      <c r="U2807" s="113">
        <f t="shared" si="3004"/>
        <v>30.331295999999998</v>
      </c>
      <c r="V2807">
        <f t="shared" ref="V2807:W2807" si="3061">V2783</f>
        <v>2.8</v>
      </c>
      <c r="W2807">
        <f t="shared" si="3061"/>
        <v>3.1</v>
      </c>
      <c r="X2807" s="9">
        <v>-94.097007266668598</v>
      </c>
      <c r="Y2807" s="39"/>
    </row>
    <row r="2808" spans="1:25" ht="15" thickBot="1">
      <c r="A2808" s="149">
        <f t="shared" si="3058"/>
        <v>45952.874999995176</v>
      </c>
      <c r="B2808" s="30">
        <f t="shared" si="3013"/>
        <v>5000</v>
      </c>
      <c r="C2808" s="8">
        <v>25000</v>
      </c>
      <c r="D2808" s="187">
        <v>0</v>
      </c>
      <c r="E2808" s="187">
        <v>700</v>
      </c>
      <c r="F2808" s="187">
        <v>15000</v>
      </c>
      <c r="G2808" s="30">
        <f t="shared" si="3014"/>
        <v>2470</v>
      </c>
      <c r="H2808" s="8">
        <f t="shared" si="3014"/>
        <v>25000</v>
      </c>
      <c r="I2808" s="30">
        <f t="shared" si="3015"/>
        <v>5000</v>
      </c>
      <c r="J2808" s="187">
        <v>40000</v>
      </c>
      <c r="K2808" s="30">
        <f t="shared" si="3016"/>
        <v>5000</v>
      </c>
      <c r="L2808" s="187">
        <v>40000</v>
      </c>
      <c r="M2808" s="110">
        <v>9.5</v>
      </c>
      <c r="N2808" s="9">
        <f>VLOOKUP(DATE(YEAR(A2808),MONTH(A2808),DAY(A2808)),FY24_Temp[],3,FALSE)</f>
        <v>17.399999999999999</v>
      </c>
      <c r="O2808" s="110">
        <f t="shared" si="3002"/>
        <v>11.5</v>
      </c>
      <c r="P2808" s="110">
        <f t="shared" si="3003"/>
        <v>19.5</v>
      </c>
      <c r="Q2808" s="79">
        <f>VLOOKUP(VLOOKUP(DATEVALUE(TEXT(A2808,"m/d/yyyy")),FY24_Temp[],5,FALSE)&amp;TEXT(A2808,"-h"),TempDelta[],4,FALSE)</f>
        <v>0.58742856766496387</v>
      </c>
      <c r="R2808">
        <v>10</v>
      </c>
      <c r="S2808" s="112">
        <v>1500</v>
      </c>
      <c r="T2808" s="5">
        <f>VLOOKUP(TEXT(A2808,"yy-mm")&amp;"-"&amp;IF(AND(WEEKDAY(A2808)&gt;1,WEEKDAY(A2808)&lt;7),"Wkd",TEXT(A2808,"Ddd"))&amp;"-"&amp;TEXT(A2808,"hh"),LoadTable[],3,FALSE)*0.92</f>
        <v>229.93744000000001</v>
      </c>
      <c r="U2808" s="113">
        <f t="shared" si="3004"/>
        <v>22.993744</v>
      </c>
      <c r="V2808">
        <f t="shared" ref="V2808:W2808" si="3062">V2784</f>
        <v>3.5</v>
      </c>
      <c r="W2808">
        <f t="shared" si="3062"/>
        <v>3.1</v>
      </c>
      <c r="X2808" s="9">
        <v>-94.174801816668605</v>
      </c>
      <c r="Y2808" s="39"/>
    </row>
    <row r="2809" spans="1:25" ht="15" thickBot="1">
      <c r="A2809" s="149">
        <f t="shared" si="3058"/>
        <v>45952.91666666184</v>
      </c>
      <c r="B2809" s="30">
        <f t="shared" si="3013"/>
        <v>5000</v>
      </c>
      <c r="C2809" s="8">
        <v>25000</v>
      </c>
      <c r="D2809" s="187">
        <v>0</v>
      </c>
      <c r="E2809" s="187">
        <v>700</v>
      </c>
      <c r="F2809" s="187">
        <v>15000</v>
      </c>
      <c r="G2809" s="30">
        <f t="shared" si="3014"/>
        <v>2470</v>
      </c>
      <c r="H2809" s="8">
        <f t="shared" si="3014"/>
        <v>25000</v>
      </c>
      <c r="I2809" s="30">
        <f t="shared" si="3015"/>
        <v>5000</v>
      </c>
      <c r="J2809" s="187">
        <v>40000</v>
      </c>
      <c r="K2809" s="30">
        <f t="shared" si="3016"/>
        <v>5000</v>
      </c>
      <c r="L2809" s="187">
        <v>40000</v>
      </c>
      <c r="M2809" s="110">
        <v>9.5</v>
      </c>
      <c r="N2809" s="9">
        <f>VLOOKUP(DATE(YEAR(A2809),MONTH(A2809),DAY(A2809)),FY24_Temp[],3,FALSE)</f>
        <v>17.399999999999999</v>
      </c>
      <c r="O2809" s="110">
        <f t="shared" si="3002"/>
        <v>11.5</v>
      </c>
      <c r="P2809" s="110">
        <f t="shared" si="3003"/>
        <v>19.5</v>
      </c>
      <c r="Q2809" s="79">
        <f>VLOOKUP(VLOOKUP(DATEVALUE(TEXT(A2809,"m/d/yyyy")),FY24_Temp[],5,FALSE)&amp;TEXT(A2809,"-h"),TempDelta[],4,FALSE)</f>
        <v>0.81528571673801964</v>
      </c>
      <c r="R2809">
        <v>10</v>
      </c>
      <c r="S2809" s="112">
        <v>1500</v>
      </c>
      <c r="T2809" s="5">
        <f>VLOOKUP(TEXT(A2809,"yy-mm")&amp;"-"&amp;IF(AND(WEEKDAY(A2809)&gt;1,WEEKDAY(A2809)&lt;7),"Wkd",TEXT(A2809,"Ddd"))&amp;"-"&amp;TEXT(A2809,"hh"),LoadTable[],3,FALSE)*0.92</f>
        <v>176.52040000000002</v>
      </c>
      <c r="U2809" s="113">
        <f t="shared" si="3004"/>
        <v>17.652040000000003</v>
      </c>
      <c r="V2809">
        <f t="shared" ref="V2809:W2809" si="3063">V2785</f>
        <v>2.9</v>
      </c>
      <c r="W2809">
        <f t="shared" si="3063"/>
        <v>3.1</v>
      </c>
      <c r="X2809" s="9">
        <v>-94.252596366668598</v>
      </c>
      <c r="Y2809" s="39"/>
    </row>
    <row r="2810" spans="1:25" ht="15" thickBot="1">
      <c r="A2810" s="149">
        <f t="shared" si="3058"/>
        <v>45952.958333328505</v>
      </c>
      <c r="B2810" s="30">
        <f t="shared" si="3013"/>
        <v>5000</v>
      </c>
      <c r="C2810" s="8">
        <v>25000</v>
      </c>
      <c r="D2810" s="187">
        <v>0</v>
      </c>
      <c r="E2810" s="187">
        <v>700</v>
      </c>
      <c r="F2810" s="187">
        <v>15000</v>
      </c>
      <c r="G2810" s="30">
        <f t="shared" si="3014"/>
        <v>2470</v>
      </c>
      <c r="H2810" s="8">
        <f t="shared" si="3014"/>
        <v>25000</v>
      </c>
      <c r="I2810" s="30">
        <f t="shared" si="3015"/>
        <v>5000</v>
      </c>
      <c r="J2810" s="187">
        <v>40000</v>
      </c>
      <c r="K2810" s="30">
        <f t="shared" si="3016"/>
        <v>5000</v>
      </c>
      <c r="L2810" s="187">
        <v>40000</v>
      </c>
      <c r="M2810" s="110">
        <v>9.5</v>
      </c>
      <c r="N2810" s="9">
        <f>VLOOKUP(DATE(YEAR(A2810),MONTH(A2810),DAY(A2810)),FY24_Temp[],3,FALSE)</f>
        <v>17.399999999999999</v>
      </c>
      <c r="O2810" s="110">
        <f t="shared" si="3002"/>
        <v>11.5</v>
      </c>
      <c r="P2810" s="110">
        <f t="shared" si="3003"/>
        <v>19.5</v>
      </c>
      <c r="Q2810" s="85">
        <f>VLOOKUP(VLOOKUP(DATEVALUE(TEXT(A2810,"m/d/yyyy")),FY24_Temp[],5,FALSE)&amp;TEXT(A2810,"-h"),TempDelta[],4,FALSE)</f>
        <v>0.93885714667184017</v>
      </c>
      <c r="R2810">
        <v>10</v>
      </c>
      <c r="S2810" s="112">
        <v>1500</v>
      </c>
      <c r="T2810" s="97">
        <f>VLOOKUP(TEXT(A2810,"yy-mm")&amp;"-"&amp;IF(AND(WEEKDAY(A2810)&gt;1,WEEKDAY(A2810)&lt;7),"Wkd",TEXT(A2810,"Ddd"))&amp;"-"&amp;TEXT(A2810,"hh"),LoadTable[],3,FALSE)*0.92</f>
        <v>176.52040000000002</v>
      </c>
      <c r="U2810" s="113">
        <f t="shared" si="3004"/>
        <v>17.652040000000003</v>
      </c>
      <c r="V2810">
        <f t="shared" ref="V2810:W2810" si="3064">V2786</f>
        <v>3.6</v>
      </c>
      <c r="W2810">
        <f t="shared" si="3064"/>
        <v>3.1</v>
      </c>
      <c r="X2810" s="84">
        <v>-94.330390916668605</v>
      </c>
      <c r="Y2810" s="39"/>
    </row>
    <row r="2811" spans="1:25" ht="15" thickBot="1">
      <c r="A2811" s="149">
        <f t="shared" si="3058"/>
        <v>45952.999999995169</v>
      </c>
      <c r="B2811" s="30">
        <f t="shared" si="3013"/>
        <v>5000</v>
      </c>
      <c r="C2811" s="8">
        <v>25000</v>
      </c>
      <c r="D2811" s="187">
        <v>0</v>
      </c>
      <c r="E2811" s="187">
        <v>700</v>
      </c>
      <c r="F2811" s="187">
        <v>15000</v>
      </c>
      <c r="G2811" s="30">
        <f t="shared" si="3014"/>
        <v>2470</v>
      </c>
      <c r="H2811" s="8">
        <f t="shared" si="3014"/>
        <v>25000</v>
      </c>
      <c r="I2811" s="30">
        <f t="shared" si="3015"/>
        <v>5000</v>
      </c>
      <c r="J2811" s="187">
        <v>40000</v>
      </c>
      <c r="K2811" s="30">
        <f t="shared" si="3016"/>
        <v>5000</v>
      </c>
      <c r="L2811" s="187">
        <v>40000</v>
      </c>
      <c r="M2811" s="110">
        <v>9.5</v>
      </c>
      <c r="N2811" s="9">
        <f>VLOOKUP(DATE(YEAR(A2811),MONTH(A2811),DAY(A2811)),FY24_Temp[],3,FALSE)</f>
        <v>17.399999999999999</v>
      </c>
      <c r="O2811" s="110">
        <f t="shared" si="3002"/>
        <v>11.5</v>
      </c>
      <c r="P2811" s="110">
        <f t="shared" si="3003"/>
        <v>19.5</v>
      </c>
      <c r="Q2811" s="79">
        <f>VLOOKUP(VLOOKUP(DATEVALUE(TEXT(A2811,"m/d/yyyy")),FY24_Temp[],5,FALSE)&amp;TEXT(A2811,"-h"),TempDelta[],4,FALSE)</f>
        <v>1.0217142956597465</v>
      </c>
      <c r="R2811">
        <v>10</v>
      </c>
      <c r="S2811" s="112">
        <v>1500</v>
      </c>
      <c r="T2811" s="5">
        <f>VLOOKUP(TEXT(A2811,"yy-mm")&amp;"-"&amp;IF(AND(WEEKDAY(A2811)&gt;1,WEEKDAY(A2811)&lt;7),"Wkd",TEXT(A2811,"Ddd"))&amp;"-"&amp;TEXT(A2811,"hh"),LoadTable[],3,FALSE)*0.92</f>
        <v>209.6772</v>
      </c>
      <c r="U2811" s="113">
        <f t="shared" si="3004"/>
        <v>20.96772</v>
      </c>
      <c r="V2811">
        <f t="shared" ref="V2811:W2811" si="3065">V2787</f>
        <v>3</v>
      </c>
      <c r="W2811">
        <f t="shared" si="3065"/>
        <v>3.2</v>
      </c>
      <c r="X2811" s="9">
        <v>-94.408185466668598</v>
      </c>
      <c r="Y2811" s="39"/>
    </row>
    <row r="2812" spans="1:25" ht="15" thickBot="1">
      <c r="A2812" s="149">
        <f t="shared" si="3058"/>
        <v>45953.041666661833</v>
      </c>
      <c r="B2812" s="30">
        <f t="shared" si="3013"/>
        <v>5000</v>
      </c>
      <c r="C2812" s="8">
        <v>25000</v>
      </c>
      <c r="D2812" s="187">
        <v>0</v>
      </c>
      <c r="E2812" s="187">
        <v>700</v>
      </c>
      <c r="F2812" s="187">
        <v>15000</v>
      </c>
      <c r="G2812" s="30">
        <f t="shared" si="3014"/>
        <v>2470</v>
      </c>
      <c r="H2812" s="8">
        <f t="shared" si="3014"/>
        <v>25000</v>
      </c>
      <c r="I2812" s="30">
        <f t="shared" si="3015"/>
        <v>5000</v>
      </c>
      <c r="J2812" s="187">
        <v>40000</v>
      </c>
      <c r="K2812" s="30">
        <f t="shared" si="3016"/>
        <v>5000</v>
      </c>
      <c r="L2812" s="187">
        <v>40000</v>
      </c>
      <c r="M2812" s="110">
        <v>9.5</v>
      </c>
      <c r="N2812" s="9">
        <f>VLOOKUP(DATE(YEAR(A2812),MONTH(A2812),DAY(A2812)),FY24_Temp[],3,FALSE)</f>
        <v>17.399999999999999</v>
      </c>
      <c r="O2812" s="110">
        <f t="shared" si="3002"/>
        <v>11.5</v>
      </c>
      <c r="P2812" s="110">
        <f t="shared" si="3003"/>
        <v>19.5</v>
      </c>
      <c r="Q2812" s="87">
        <f>VLOOKUP(VLOOKUP(DATEVALUE(TEXT(A2812,"m/d/yyyy")),FY24_Temp[],5,FALSE)&amp;TEXT(A2812,"-h"),TempDelta[],4,FALSE)</f>
        <v>0.97999998501368935</v>
      </c>
      <c r="R2812">
        <v>10</v>
      </c>
      <c r="S2812" s="112">
        <v>1500</v>
      </c>
      <c r="T2812" s="98">
        <f>VLOOKUP(TEXT(A2812,"yy-mm")&amp;"-"&amp;IF(AND(WEEKDAY(A2812)&gt;1,WEEKDAY(A2812)&lt;7),"Wkd",TEXT(A2812,"Ddd"))&amp;"-"&amp;TEXT(A2812,"hh"),LoadTable[],3,FALSE)*0.92</f>
        <v>209.6772</v>
      </c>
      <c r="U2812" s="113">
        <f t="shared" si="3004"/>
        <v>20.96772</v>
      </c>
      <c r="V2812">
        <f t="shared" ref="V2812:W2812" si="3066">V2788</f>
        <v>2.6</v>
      </c>
      <c r="W2812">
        <f t="shared" si="3066"/>
        <v>3.2</v>
      </c>
      <c r="X2812" s="86">
        <v>-94.485980016668606</v>
      </c>
      <c r="Y2812" s="39"/>
    </row>
    <row r="2813" spans="1:25" ht="15" thickBot="1">
      <c r="A2813" s="149">
        <f t="shared" si="3058"/>
        <v>45953.083333328497</v>
      </c>
      <c r="B2813" s="30">
        <f t="shared" si="3013"/>
        <v>5000</v>
      </c>
      <c r="C2813" s="8">
        <v>25000</v>
      </c>
      <c r="D2813" s="187">
        <v>0</v>
      </c>
      <c r="E2813" s="187">
        <v>700</v>
      </c>
      <c r="F2813" s="187">
        <v>15000</v>
      </c>
      <c r="G2813" s="30">
        <f t="shared" si="3014"/>
        <v>2470</v>
      </c>
      <c r="H2813" s="8">
        <f t="shared" si="3014"/>
        <v>25000</v>
      </c>
      <c r="I2813" s="30">
        <f t="shared" si="3015"/>
        <v>5000</v>
      </c>
      <c r="J2813" s="187">
        <v>40000</v>
      </c>
      <c r="K2813" s="30">
        <f t="shared" si="3016"/>
        <v>5000</v>
      </c>
      <c r="L2813" s="187">
        <v>40000</v>
      </c>
      <c r="M2813" s="110">
        <v>9.5</v>
      </c>
      <c r="N2813" s="9">
        <f>VLOOKUP(DATE(YEAR(A2813),MONTH(A2813),DAY(A2813)),FY24_Temp[],3,FALSE)</f>
        <v>17.399999999999999</v>
      </c>
      <c r="O2813" s="110">
        <f t="shared" si="3002"/>
        <v>11.5</v>
      </c>
      <c r="P2813" s="110">
        <f t="shared" si="3003"/>
        <v>19.5</v>
      </c>
      <c r="Q2813" s="79">
        <f>VLOOKUP(VLOOKUP(DATEVALUE(TEXT(A2813,"m/d/yyyy")),FY24_Temp[],5,FALSE)&amp;TEXT(A2813,"-h"),TempDelta[],4,FALSE)</f>
        <v>0.89157142809459144</v>
      </c>
      <c r="R2813">
        <v>10</v>
      </c>
      <c r="S2813" s="112">
        <v>1500</v>
      </c>
      <c r="T2813" s="5">
        <f>VLOOKUP(TEXT(A2813,"yy-mm")&amp;"-"&amp;IF(AND(WEEKDAY(A2813)&gt;1,WEEKDAY(A2813)&lt;7),"Wkd",TEXT(A2813,"Ddd"))&amp;"-"&amp;TEXT(A2813,"hh"),LoadTable[],3,FALSE)*0.92</f>
        <v>209.6772</v>
      </c>
      <c r="U2813" s="113">
        <f t="shared" si="3004"/>
        <v>20.96772</v>
      </c>
      <c r="V2813">
        <f t="shared" ref="V2813:W2813" si="3067">V2789</f>
        <v>2.8</v>
      </c>
      <c r="W2813">
        <f t="shared" si="3067"/>
        <v>3.2</v>
      </c>
      <c r="X2813" s="9">
        <v>-94.563774566668599</v>
      </c>
      <c r="Y2813" s="39"/>
    </row>
    <row r="2814" spans="1:25" ht="15" thickBot="1">
      <c r="A2814" s="149">
        <f t="shared" si="3058"/>
        <v>45953.124999995161</v>
      </c>
      <c r="B2814" s="30">
        <f t="shared" si="3013"/>
        <v>5000</v>
      </c>
      <c r="C2814" s="8">
        <v>25000</v>
      </c>
      <c r="D2814" s="187">
        <v>0</v>
      </c>
      <c r="E2814" s="187">
        <v>700</v>
      </c>
      <c r="F2814" s="187">
        <v>15000</v>
      </c>
      <c r="G2814" s="30">
        <f t="shared" si="3014"/>
        <v>2470</v>
      </c>
      <c r="H2814" s="8">
        <f t="shared" si="3014"/>
        <v>25000</v>
      </c>
      <c r="I2814" s="30">
        <f t="shared" si="3015"/>
        <v>5000</v>
      </c>
      <c r="J2814" s="187">
        <v>40000</v>
      </c>
      <c r="K2814" s="30">
        <f t="shared" si="3016"/>
        <v>5000</v>
      </c>
      <c r="L2814" s="187">
        <v>40000</v>
      </c>
      <c r="M2814" s="110">
        <v>9.5</v>
      </c>
      <c r="N2814" s="9">
        <f>VLOOKUP(DATE(YEAR(A2814),MONTH(A2814),DAY(A2814)),FY24_Temp[],3,FALSE)</f>
        <v>17.399999999999999</v>
      </c>
      <c r="O2814" s="110">
        <f t="shared" si="3002"/>
        <v>11.5</v>
      </c>
      <c r="P2814" s="110">
        <f t="shared" si="3003"/>
        <v>19.5</v>
      </c>
      <c r="Q2814" s="79">
        <f>VLOOKUP(VLOOKUP(DATEVALUE(TEXT(A2814,"m/d/yyyy")),FY24_Temp[],5,FALSE)&amp;TEXT(A2814,"-h"),TempDelta[],4,FALSE)</f>
        <v>0.78457142625536236</v>
      </c>
      <c r="R2814">
        <v>10</v>
      </c>
      <c r="S2814" s="112">
        <v>1500</v>
      </c>
      <c r="T2814" s="5">
        <f>VLOOKUP(TEXT(A2814,"yy-mm")&amp;"-"&amp;IF(AND(WEEKDAY(A2814)&gt;1,WEEKDAY(A2814)&lt;7),"Wkd",TEXT(A2814,"Ddd"))&amp;"-"&amp;TEXT(A2814,"hh"),LoadTable[],3,FALSE)*0.92</f>
        <v>209.6772</v>
      </c>
      <c r="U2814" s="113">
        <f t="shared" si="3004"/>
        <v>20.96772</v>
      </c>
      <c r="V2814">
        <f t="shared" ref="V2814:W2814" si="3068">V2790</f>
        <v>2.7</v>
      </c>
      <c r="W2814">
        <f t="shared" si="3068"/>
        <v>3.2</v>
      </c>
      <c r="X2814" s="9">
        <v>-94.641569116668606</v>
      </c>
      <c r="Y2814" s="39"/>
    </row>
    <row r="2815" spans="1:25" ht="15" thickBot="1">
      <c r="A2815" s="149">
        <f t="shared" si="3058"/>
        <v>45953.166666661826</v>
      </c>
      <c r="B2815" s="30">
        <f t="shared" si="3013"/>
        <v>5000</v>
      </c>
      <c r="C2815" s="8">
        <v>25000</v>
      </c>
      <c r="D2815" s="187">
        <v>0</v>
      </c>
      <c r="E2815" s="187">
        <v>700</v>
      </c>
      <c r="F2815" s="187">
        <v>15000</v>
      </c>
      <c r="G2815" s="30">
        <f t="shared" si="3014"/>
        <v>2470</v>
      </c>
      <c r="H2815" s="8">
        <f t="shared" si="3014"/>
        <v>25000</v>
      </c>
      <c r="I2815" s="30">
        <f t="shared" si="3015"/>
        <v>5000</v>
      </c>
      <c r="J2815" s="187">
        <v>40000</v>
      </c>
      <c r="K2815" s="30">
        <f t="shared" si="3016"/>
        <v>5000</v>
      </c>
      <c r="L2815" s="187">
        <v>40000</v>
      </c>
      <c r="M2815" s="110">
        <v>9.5</v>
      </c>
      <c r="N2815" s="9">
        <f>VLOOKUP(DATE(YEAR(A2815),MONTH(A2815),DAY(A2815)),FY24_Temp[],3,FALSE)</f>
        <v>17.399999999999999</v>
      </c>
      <c r="O2815" s="110">
        <f t="shared" si="3002"/>
        <v>11.5</v>
      </c>
      <c r="P2815" s="110">
        <f t="shared" si="3003"/>
        <v>19.5</v>
      </c>
      <c r="Q2815" s="79">
        <f>VLOOKUP(VLOOKUP(DATEVALUE(TEXT(A2815,"m/d/yyyy")),FY24_Temp[],5,FALSE)&amp;TEXT(A2815,"-h"),TempDelta[],4,FALSE)</f>
        <v>0.69542856727327618</v>
      </c>
      <c r="R2815">
        <v>10</v>
      </c>
      <c r="S2815" s="112">
        <v>1500</v>
      </c>
      <c r="T2815" s="5">
        <f>VLOOKUP(TEXT(A2815,"yy-mm")&amp;"-"&amp;IF(AND(WEEKDAY(A2815)&gt;1,WEEKDAY(A2815)&lt;7),"Wkd",TEXT(A2815,"Ddd"))&amp;"-"&amp;TEXT(A2815,"hh"),LoadTable[],3,FALSE)*0.92</f>
        <v>209.6772</v>
      </c>
      <c r="U2815" s="113">
        <f t="shared" si="3004"/>
        <v>20.96772</v>
      </c>
      <c r="V2815">
        <f t="shared" ref="V2815:W2815" si="3069">V2791</f>
        <v>3</v>
      </c>
      <c r="W2815">
        <f t="shared" si="3069"/>
        <v>3.1</v>
      </c>
      <c r="X2815" s="9">
        <v>-94.719363666668599</v>
      </c>
      <c r="Y2815" s="39"/>
    </row>
    <row r="2816" spans="1:25" ht="15" thickBot="1">
      <c r="A2816" s="149">
        <f t="shared" si="3058"/>
        <v>45953.20833332849</v>
      </c>
      <c r="B2816" s="30">
        <f t="shared" si="3013"/>
        <v>5000</v>
      </c>
      <c r="C2816" s="8">
        <v>25000</v>
      </c>
      <c r="D2816" s="187">
        <v>0</v>
      </c>
      <c r="E2816" s="187">
        <v>700</v>
      </c>
      <c r="F2816" s="187">
        <v>15000</v>
      </c>
      <c r="G2816" s="30">
        <f t="shared" si="3014"/>
        <v>2470</v>
      </c>
      <c r="H2816" s="8">
        <f t="shared" si="3014"/>
        <v>25000</v>
      </c>
      <c r="I2816" s="30">
        <f t="shared" si="3015"/>
        <v>5000</v>
      </c>
      <c r="J2816" s="187">
        <v>40000</v>
      </c>
      <c r="K2816" s="30">
        <f t="shared" si="3016"/>
        <v>5000</v>
      </c>
      <c r="L2816" s="187">
        <v>40000</v>
      </c>
      <c r="M2816" s="110">
        <v>9.5</v>
      </c>
      <c r="N2816" s="9">
        <f>VLOOKUP(DATE(YEAR(A2816),MONTH(A2816),DAY(A2816)),FY24_Temp[],3,FALSE)</f>
        <v>17.399999999999999</v>
      </c>
      <c r="O2816" s="110">
        <f t="shared" si="3002"/>
        <v>11.5</v>
      </c>
      <c r="P2816" s="110">
        <f t="shared" si="3003"/>
        <v>19.5</v>
      </c>
      <c r="Q2816" s="79">
        <f>VLOOKUP(VLOOKUP(DATEVALUE(TEXT(A2816,"m/d/yyyy")),FY24_Temp[],5,FALSE)&amp;TEXT(A2816,"-h"),TempDelta[],4,FALSE)</f>
        <v>0.71114285503114971</v>
      </c>
      <c r="R2816">
        <v>10</v>
      </c>
      <c r="S2816" s="112">
        <v>1500</v>
      </c>
      <c r="T2816" s="5">
        <f>VLOOKUP(TEXT(A2816,"yy-mm")&amp;"-"&amp;IF(AND(WEEKDAY(A2816)&gt;1,WEEKDAY(A2816)&lt;7),"Wkd",TEXT(A2816,"Ddd"))&amp;"-"&amp;TEXT(A2816,"hh"),LoadTable[],3,FALSE)*0.92</f>
        <v>209.6772</v>
      </c>
      <c r="U2816" s="113">
        <f t="shared" si="3004"/>
        <v>20.96772</v>
      </c>
      <c r="V2816">
        <f t="shared" ref="V2816:W2816" si="3070">V2792</f>
        <v>2.9</v>
      </c>
      <c r="W2816">
        <f t="shared" si="3070"/>
        <v>3.1</v>
      </c>
      <c r="X2816" s="9">
        <v>-94.797158216668706</v>
      </c>
      <c r="Y2816" s="39"/>
    </row>
    <row r="2817" spans="1:25" ht="15" thickBot="1">
      <c r="A2817" s="149">
        <f t="shared" si="3058"/>
        <v>45953.249999995154</v>
      </c>
      <c r="B2817" s="30">
        <f t="shared" si="3013"/>
        <v>8000</v>
      </c>
      <c r="C2817" s="8">
        <v>25000</v>
      </c>
      <c r="D2817" s="187">
        <v>0</v>
      </c>
      <c r="E2817" s="187">
        <v>700</v>
      </c>
      <c r="F2817" s="187">
        <v>15000</v>
      </c>
      <c r="G2817" s="30">
        <f t="shared" si="3014"/>
        <v>2470</v>
      </c>
      <c r="H2817" s="8">
        <f t="shared" si="3014"/>
        <v>25000</v>
      </c>
      <c r="I2817" s="30">
        <f t="shared" si="3015"/>
        <v>8000</v>
      </c>
      <c r="J2817" s="187">
        <v>40000</v>
      </c>
      <c r="K2817" s="30">
        <f t="shared" si="3016"/>
        <v>8000</v>
      </c>
      <c r="L2817" s="187">
        <v>40000</v>
      </c>
      <c r="M2817" s="110">
        <v>9.5</v>
      </c>
      <c r="N2817" s="9">
        <f>VLOOKUP(DATE(YEAR(A2817),MONTH(A2817),DAY(A2817)),FY24_Temp[],3,FALSE)</f>
        <v>17.399999999999999</v>
      </c>
      <c r="O2817" s="110">
        <f t="shared" si="3002"/>
        <v>11.5</v>
      </c>
      <c r="P2817" s="110">
        <f t="shared" si="3003"/>
        <v>19.5</v>
      </c>
      <c r="Q2817" s="79">
        <f>VLOOKUP(VLOOKUP(DATEVALUE(TEXT(A2817,"m/d/yyyy")),FY24_Temp[],5,FALSE)&amp;TEXT(A2817,"-h"),TempDelta[],4,FALSE)</f>
        <v>0.56542856778417316</v>
      </c>
      <c r="R2817">
        <v>10</v>
      </c>
      <c r="S2817" s="112">
        <v>1500</v>
      </c>
      <c r="T2817" s="5">
        <f>VLOOKUP(TEXT(A2817,"yy-mm")&amp;"-"&amp;IF(AND(WEEKDAY(A2817)&gt;1,WEEKDAY(A2817)&lt;7),"Wkd",TEXT(A2817,"Ddd"))&amp;"-"&amp;TEXT(A2817,"hh"),LoadTable[],3,FALSE)*0.92</f>
        <v>209.6772</v>
      </c>
      <c r="U2817" s="113">
        <f t="shared" si="3004"/>
        <v>20.96772</v>
      </c>
      <c r="V2817">
        <f t="shared" ref="V2817:W2817" si="3071">V2793</f>
        <v>2.5</v>
      </c>
      <c r="W2817">
        <f t="shared" si="3071"/>
        <v>3.1</v>
      </c>
      <c r="X2817" s="9">
        <v>-94.874952766668699</v>
      </c>
      <c r="Y2817" s="39"/>
    </row>
    <row r="2818" spans="1:25" ht="15" thickBot="1">
      <c r="A2818" s="149">
        <f t="shared" si="3058"/>
        <v>45953.291666661818</v>
      </c>
      <c r="B2818" s="30">
        <f t="shared" si="3013"/>
        <v>8000</v>
      </c>
      <c r="C2818" s="8">
        <v>25000</v>
      </c>
      <c r="D2818" s="187">
        <v>0</v>
      </c>
      <c r="E2818" s="187">
        <v>700</v>
      </c>
      <c r="F2818" s="187">
        <v>15000</v>
      </c>
      <c r="G2818" s="30">
        <f t="shared" si="3014"/>
        <v>2470</v>
      </c>
      <c r="H2818" s="8">
        <f t="shared" si="3014"/>
        <v>25000</v>
      </c>
      <c r="I2818" s="30">
        <f t="shared" si="3015"/>
        <v>8000</v>
      </c>
      <c r="J2818" s="187">
        <v>40000</v>
      </c>
      <c r="K2818" s="30">
        <f t="shared" si="3016"/>
        <v>8000</v>
      </c>
      <c r="L2818" s="187">
        <v>40000</v>
      </c>
      <c r="M2818" s="110">
        <v>9.5</v>
      </c>
      <c r="N2818" s="9">
        <f>VLOOKUP(DATE(YEAR(A2818),MONTH(A2818),DAY(A2818)),FY24_Temp[],3,FALSE)</f>
        <v>17.399999999999999</v>
      </c>
      <c r="O2818" s="110">
        <f t="shared" si="3002"/>
        <v>11.5</v>
      </c>
      <c r="P2818" s="110">
        <f t="shared" si="3003"/>
        <v>19.5</v>
      </c>
      <c r="Q2818" s="79">
        <f>VLOOKUP(VLOOKUP(DATEVALUE(TEXT(A2818,"m/d/yyyy")),FY24_Temp[],5,FALSE)&amp;TEXT(A2818,"-h"),TempDelta[],4,FALSE)</f>
        <v>0.38785713911056519</v>
      </c>
      <c r="R2818">
        <v>10</v>
      </c>
      <c r="S2818" s="112">
        <v>1500</v>
      </c>
      <c r="T2818" s="5">
        <f>VLOOKUP(TEXT(A2818,"yy-mm")&amp;"-"&amp;IF(AND(WEEKDAY(A2818)&gt;1,WEEKDAY(A2818)&lt;7),"Wkd",TEXT(A2818,"Ddd"))&amp;"-"&amp;TEXT(A2818,"hh"),LoadTable[],3,FALSE)*0.92</f>
        <v>234.80148</v>
      </c>
      <c r="U2818" s="113">
        <f t="shared" si="3004"/>
        <v>23.480148</v>
      </c>
      <c r="V2818">
        <f t="shared" ref="V2818:W2818" si="3072">V2794</f>
        <v>2.5</v>
      </c>
      <c r="W2818">
        <f t="shared" si="3072"/>
        <v>3.1</v>
      </c>
      <c r="X2818" s="9">
        <v>-94.952747316668706</v>
      </c>
      <c r="Y2818" s="39"/>
    </row>
    <row r="2819" spans="1:25" ht="15" thickBot="1">
      <c r="A2819" s="149">
        <f t="shared" si="3058"/>
        <v>45953.333333328483</v>
      </c>
      <c r="B2819" s="30">
        <f t="shared" si="3013"/>
        <v>8000</v>
      </c>
      <c r="C2819" s="8">
        <v>25000</v>
      </c>
      <c r="D2819" s="187">
        <v>0</v>
      </c>
      <c r="E2819" s="187">
        <v>700</v>
      </c>
      <c r="F2819" s="187">
        <v>15000</v>
      </c>
      <c r="G2819" s="30">
        <f t="shared" si="3014"/>
        <v>2470</v>
      </c>
      <c r="H2819" s="8">
        <f t="shared" si="3014"/>
        <v>25000</v>
      </c>
      <c r="I2819" s="30">
        <f t="shared" si="3015"/>
        <v>8000</v>
      </c>
      <c r="J2819" s="187">
        <v>40000</v>
      </c>
      <c r="K2819" s="30">
        <f t="shared" si="3016"/>
        <v>8000</v>
      </c>
      <c r="L2819" s="187">
        <v>40000</v>
      </c>
      <c r="M2819" s="110">
        <v>9.5</v>
      </c>
      <c r="N2819" s="9">
        <f>VLOOKUP(DATE(YEAR(A2819),MONTH(A2819),DAY(A2819)),FY24_Temp[],3,FALSE)</f>
        <v>17.399999999999999</v>
      </c>
      <c r="O2819" s="110">
        <f t="shared" si="3002"/>
        <v>11.5</v>
      </c>
      <c r="P2819" s="110">
        <f t="shared" si="3003"/>
        <v>19.5</v>
      </c>
      <c r="Q2819" s="79">
        <f>VLOOKUP(VLOOKUP(DATEVALUE(TEXT(A2819,"m/d/yyyy")),FY24_Temp[],5,FALSE)&amp;TEXT(A2819,"-h"),TempDelta[],4,FALSE)</f>
        <v>0.28528571341718945</v>
      </c>
      <c r="R2819">
        <v>10</v>
      </c>
      <c r="S2819" s="112">
        <v>1500</v>
      </c>
      <c r="T2819" s="5">
        <f>VLOOKUP(TEXT(A2819,"yy-mm")&amp;"-"&amp;IF(AND(WEEKDAY(A2819)&gt;1,WEEKDAY(A2819)&lt;7),"Wkd",TEXT(A2819,"Ddd"))&amp;"-"&amp;TEXT(A2819,"hh"),LoadTable[],3,FALSE)*0.92</f>
        <v>234.80148</v>
      </c>
      <c r="U2819" s="113">
        <f t="shared" si="3004"/>
        <v>23.480148</v>
      </c>
      <c r="V2819">
        <f t="shared" ref="V2819:W2819" si="3073">V2795</f>
        <v>3.2</v>
      </c>
      <c r="W2819">
        <f t="shared" si="3073"/>
        <v>3</v>
      </c>
      <c r="X2819" s="9">
        <v>-95.030541866668699</v>
      </c>
      <c r="Y2819" s="39"/>
    </row>
    <row r="2820" spans="1:25" ht="15" thickBot="1">
      <c r="A2820" s="149">
        <f t="shared" si="3058"/>
        <v>45953.374999995147</v>
      </c>
      <c r="B2820" s="30">
        <f t="shared" si="3013"/>
        <v>8000</v>
      </c>
      <c r="C2820" s="8">
        <v>25000</v>
      </c>
      <c r="D2820" s="187">
        <v>0</v>
      </c>
      <c r="E2820" s="187">
        <v>700</v>
      </c>
      <c r="F2820" s="187">
        <v>15000</v>
      </c>
      <c r="G2820" s="30">
        <f t="shared" si="3014"/>
        <v>2470</v>
      </c>
      <c r="H2820" s="8">
        <f t="shared" si="3014"/>
        <v>25000</v>
      </c>
      <c r="I2820" s="30">
        <f t="shared" si="3015"/>
        <v>8000</v>
      </c>
      <c r="J2820" s="187">
        <v>40000</v>
      </c>
      <c r="K2820" s="30">
        <f t="shared" si="3016"/>
        <v>8000</v>
      </c>
      <c r="L2820" s="187">
        <v>40000</v>
      </c>
      <c r="M2820" s="110">
        <v>9.5</v>
      </c>
      <c r="N2820" s="9">
        <f>VLOOKUP(DATE(YEAR(A2820),MONTH(A2820),DAY(A2820)),FY24_Temp[],3,FALSE)</f>
        <v>17.399999999999999</v>
      </c>
      <c r="O2820" s="110">
        <f t="shared" ref="O2820:O2883" si="3074">15.5-4</f>
        <v>11.5</v>
      </c>
      <c r="P2820" s="110">
        <f t="shared" ref="P2820:P2883" si="3075">15.5+4</f>
        <v>19.5</v>
      </c>
      <c r="Q2820" s="79">
        <f>VLOOKUP(VLOOKUP(DATEVALUE(TEXT(A2820,"m/d/yyyy")),FY24_Temp[],5,FALSE)&amp;TEXT(A2820,"-h"),TempDelta[],4,FALSE)</f>
        <v>0.20714286076171057</v>
      </c>
      <c r="R2820">
        <v>10</v>
      </c>
      <c r="S2820" s="112">
        <v>1500</v>
      </c>
      <c r="T2820" s="5">
        <f>VLOOKUP(TEXT(A2820,"yy-mm")&amp;"-"&amp;IF(AND(WEEKDAY(A2820)&gt;1,WEEKDAY(A2820)&lt;7),"Wkd",TEXT(A2820,"Ddd"))&amp;"-"&amp;TEXT(A2820,"hh"),LoadTable[],3,FALSE)*0.92</f>
        <v>234.80148</v>
      </c>
      <c r="U2820" s="113">
        <f t="shared" ref="U2820:U2883" si="3076">T2820/10</f>
        <v>23.480148</v>
      </c>
      <c r="V2820">
        <f t="shared" ref="V2820:W2820" si="3077">V2796</f>
        <v>2.9</v>
      </c>
      <c r="W2820">
        <f t="shared" si="3077"/>
        <v>3</v>
      </c>
      <c r="X2820" s="9">
        <v>-95.108336416668706</v>
      </c>
      <c r="Y2820" s="39"/>
    </row>
    <row r="2821" spans="1:25" ht="15" thickBot="1">
      <c r="A2821" s="149">
        <f t="shared" si="3058"/>
        <v>45953.416666661811</v>
      </c>
      <c r="B2821" s="30">
        <f t="shared" si="3013"/>
        <v>8000</v>
      </c>
      <c r="C2821" s="8">
        <v>25000</v>
      </c>
      <c r="D2821" s="187">
        <v>0</v>
      </c>
      <c r="E2821" s="187">
        <v>700</v>
      </c>
      <c r="F2821" s="187">
        <v>15000</v>
      </c>
      <c r="G2821" s="30">
        <f t="shared" si="3014"/>
        <v>2470</v>
      </c>
      <c r="H2821" s="8">
        <f t="shared" si="3014"/>
        <v>25000</v>
      </c>
      <c r="I2821" s="30">
        <f t="shared" si="3015"/>
        <v>8000</v>
      </c>
      <c r="J2821" s="187">
        <v>40000</v>
      </c>
      <c r="K2821" s="30">
        <f t="shared" si="3016"/>
        <v>8000</v>
      </c>
      <c r="L2821" s="187">
        <v>40000</v>
      </c>
      <c r="M2821" s="110">
        <v>9.5</v>
      </c>
      <c r="N2821" s="9">
        <f>VLOOKUP(DATE(YEAR(A2821),MONTH(A2821),DAY(A2821)),FY24_Temp[],3,FALSE)</f>
        <v>17.399999999999999</v>
      </c>
      <c r="O2821" s="110">
        <f t="shared" si="3074"/>
        <v>11.5</v>
      </c>
      <c r="P2821" s="110">
        <f t="shared" si="3075"/>
        <v>19.5</v>
      </c>
      <c r="Q2821" s="79">
        <f>VLOOKUP(VLOOKUP(DATEVALUE(TEXT(A2821,"m/d/yyyy")),FY24_Temp[],5,FALSE)&amp;TEXT(A2821,"-h"),TempDelta[],4,FALSE)</f>
        <v>0.1155714291547026</v>
      </c>
      <c r="R2821">
        <v>10</v>
      </c>
      <c r="S2821" s="112">
        <v>1500</v>
      </c>
      <c r="T2821" s="5">
        <f>VLOOKUP(TEXT(A2821,"yy-mm")&amp;"-"&amp;IF(AND(WEEKDAY(A2821)&gt;1,WEEKDAY(A2821)&lt;7),"Wkd",TEXT(A2821,"Ddd"))&amp;"-"&amp;TEXT(A2821,"hh"),LoadTable[],3,FALSE)*0.92</f>
        <v>234.80148</v>
      </c>
      <c r="U2821" s="113">
        <f t="shared" si="3076"/>
        <v>23.480148</v>
      </c>
      <c r="V2821">
        <f t="shared" ref="V2821:W2821" si="3078">V2797</f>
        <v>2.9</v>
      </c>
      <c r="W2821">
        <f t="shared" si="3078"/>
        <v>3</v>
      </c>
      <c r="X2821" s="9">
        <v>-95.186130966668699</v>
      </c>
      <c r="Y2821" s="39"/>
    </row>
    <row r="2822" spans="1:25" ht="15" thickBot="1">
      <c r="A2822" s="149">
        <f t="shared" si="3058"/>
        <v>45953.458333328475</v>
      </c>
      <c r="B2822" s="30">
        <f t="shared" si="3013"/>
        <v>8000</v>
      </c>
      <c r="C2822" s="8">
        <v>25000</v>
      </c>
      <c r="D2822" s="187">
        <v>0</v>
      </c>
      <c r="E2822" s="187">
        <v>700</v>
      </c>
      <c r="F2822" s="187">
        <v>15000</v>
      </c>
      <c r="G2822" s="30">
        <f t="shared" si="3014"/>
        <v>2470</v>
      </c>
      <c r="H2822" s="8">
        <f t="shared" si="3014"/>
        <v>25000</v>
      </c>
      <c r="I2822" s="30">
        <f t="shared" si="3015"/>
        <v>8000</v>
      </c>
      <c r="J2822" s="187">
        <v>40000</v>
      </c>
      <c r="K2822" s="30">
        <f t="shared" si="3016"/>
        <v>8000</v>
      </c>
      <c r="L2822" s="187">
        <v>40000</v>
      </c>
      <c r="M2822" s="110">
        <v>9.5</v>
      </c>
      <c r="N2822" s="9">
        <f>VLOOKUP(DATE(YEAR(A2822),MONTH(A2822),DAY(A2822)),FY24_Temp[],3,FALSE)</f>
        <v>17.399999999999999</v>
      </c>
      <c r="O2822" s="110">
        <f t="shared" si="3074"/>
        <v>11.5</v>
      </c>
      <c r="P2822" s="110">
        <f t="shared" si="3075"/>
        <v>19.5</v>
      </c>
      <c r="Q2822" s="79">
        <f>VLOOKUP(VLOOKUP(DATEVALUE(TEXT(A2822,"m/d/yyyy")),FY24_Temp[],5,FALSE)&amp;TEXT(A2822,"-h"),TempDelta[],4,FALSE)</f>
        <v>3.9428572037390301E-2</v>
      </c>
      <c r="R2822">
        <v>10</v>
      </c>
      <c r="S2822" s="112">
        <v>1500</v>
      </c>
      <c r="T2822" s="5">
        <f>VLOOKUP(TEXT(A2822,"yy-mm")&amp;"-"&amp;IF(AND(WEEKDAY(A2822)&gt;1,WEEKDAY(A2822)&lt;7),"Wkd",TEXT(A2822,"Ddd"))&amp;"-"&amp;TEXT(A2822,"hh"),LoadTable[],3,FALSE)*0.92</f>
        <v>234.80148</v>
      </c>
      <c r="U2822" s="113">
        <f t="shared" si="3076"/>
        <v>23.480148</v>
      </c>
      <c r="V2822">
        <f t="shared" ref="V2822:W2822" si="3079">V2798</f>
        <v>3.4</v>
      </c>
      <c r="W2822">
        <f t="shared" si="3079"/>
        <v>3</v>
      </c>
      <c r="X2822" s="9">
        <v>-95.263925516668706</v>
      </c>
      <c r="Y2822" s="39"/>
    </row>
    <row r="2823" spans="1:25" ht="15" thickBot="1">
      <c r="A2823" s="149">
        <f t="shared" si="3058"/>
        <v>45953.49999999514</v>
      </c>
      <c r="B2823" s="30">
        <f t="shared" si="3013"/>
        <v>8000</v>
      </c>
      <c r="C2823" s="8">
        <v>25000</v>
      </c>
      <c r="D2823" s="187">
        <v>0</v>
      </c>
      <c r="E2823" s="187">
        <v>700</v>
      </c>
      <c r="F2823" s="187">
        <v>15000</v>
      </c>
      <c r="G2823" s="30">
        <f t="shared" si="3014"/>
        <v>2470</v>
      </c>
      <c r="H2823" s="8">
        <f t="shared" si="3014"/>
        <v>25000</v>
      </c>
      <c r="I2823" s="30">
        <f t="shared" si="3015"/>
        <v>8000</v>
      </c>
      <c r="J2823" s="187">
        <v>40000</v>
      </c>
      <c r="K2823" s="30">
        <f t="shared" si="3016"/>
        <v>8000</v>
      </c>
      <c r="L2823" s="187">
        <v>40000</v>
      </c>
      <c r="M2823" s="110">
        <v>9.5</v>
      </c>
      <c r="N2823" s="9">
        <f>VLOOKUP(DATE(YEAR(A2823),MONTH(A2823),DAY(A2823)),FY24_Temp[],3,FALSE)</f>
        <v>17.399999999999999</v>
      </c>
      <c r="O2823" s="110">
        <f t="shared" si="3074"/>
        <v>11.5</v>
      </c>
      <c r="P2823" s="110">
        <f t="shared" si="3075"/>
        <v>19.5</v>
      </c>
      <c r="Q2823" s="79">
        <f>VLOOKUP(VLOOKUP(DATEVALUE(TEXT(A2823,"m/d/yyyy")),FY24_Temp[],5,FALSE)&amp;TEXT(A2823,"-h"),TempDelta[],4,FALSE)</f>
        <v>-1.5857143327593803E-2</v>
      </c>
      <c r="R2823">
        <v>10</v>
      </c>
      <c r="S2823" s="112">
        <v>1500</v>
      </c>
      <c r="T2823" s="5">
        <f>VLOOKUP(TEXT(A2823,"yy-mm")&amp;"-"&amp;IF(AND(WEEKDAY(A2823)&gt;1,WEEKDAY(A2823)&lt;7),"Wkd",TEXT(A2823,"Ddd"))&amp;"-"&amp;TEXT(A2823,"hh"),LoadTable[],3,FALSE)*0.92</f>
        <v>234.80148</v>
      </c>
      <c r="U2823" s="113">
        <f t="shared" si="3076"/>
        <v>23.480148</v>
      </c>
      <c r="V2823">
        <f t="shared" ref="V2823:W2823" si="3080">V2799</f>
        <v>3.1</v>
      </c>
      <c r="W2823">
        <f t="shared" si="3080"/>
        <v>2.9</v>
      </c>
      <c r="X2823" s="9">
        <v>-95.341720066668699</v>
      </c>
      <c r="Y2823" s="39"/>
    </row>
    <row r="2824" spans="1:25" ht="15" thickBot="1">
      <c r="A2824" s="149">
        <f t="shared" si="3058"/>
        <v>45953.541666661804</v>
      </c>
      <c r="B2824" s="30">
        <f t="shared" si="3013"/>
        <v>8000</v>
      </c>
      <c r="C2824" s="8">
        <v>25000</v>
      </c>
      <c r="D2824" s="187">
        <v>0</v>
      </c>
      <c r="E2824" s="187">
        <v>700</v>
      </c>
      <c r="F2824" s="187">
        <v>15000</v>
      </c>
      <c r="G2824" s="30">
        <f t="shared" si="3014"/>
        <v>2470</v>
      </c>
      <c r="H2824" s="8">
        <f t="shared" si="3014"/>
        <v>25000</v>
      </c>
      <c r="I2824" s="30">
        <f t="shared" si="3015"/>
        <v>8000</v>
      </c>
      <c r="J2824" s="187">
        <v>40000</v>
      </c>
      <c r="K2824" s="30">
        <f t="shared" si="3016"/>
        <v>8000</v>
      </c>
      <c r="L2824" s="187">
        <v>40000</v>
      </c>
      <c r="M2824" s="110">
        <v>9.5</v>
      </c>
      <c r="N2824" s="9">
        <f>VLOOKUP(DATE(YEAR(A2824),MONTH(A2824),DAY(A2824)),FY24_Temp[],3,FALSE)</f>
        <v>17.399999999999999</v>
      </c>
      <c r="O2824" s="110">
        <f t="shared" si="3074"/>
        <v>11.5</v>
      </c>
      <c r="P2824" s="110">
        <f t="shared" si="3075"/>
        <v>19.5</v>
      </c>
      <c r="Q2824" s="79">
        <f>VLOOKUP(VLOOKUP(DATEVALUE(TEXT(A2824,"m/d/yyyy")),FY24_Temp[],5,FALSE)&amp;TEXT(A2824,"-h"),TempDelta[],4,FALSE)</f>
        <v>-4.142857076866286E-2</v>
      </c>
      <c r="R2824">
        <v>10</v>
      </c>
      <c r="S2824" s="112">
        <v>1500</v>
      </c>
      <c r="T2824" s="5">
        <f>VLOOKUP(TEXT(A2824,"yy-mm")&amp;"-"&amp;IF(AND(WEEKDAY(A2824)&gt;1,WEEKDAY(A2824)&lt;7),"Wkd",TEXT(A2824,"Ddd"))&amp;"-"&amp;TEXT(A2824,"hh"),LoadTable[],3,FALSE)*0.92</f>
        <v>234.80148</v>
      </c>
      <c r="U2824" s="113">
        <f t="shared" si="3076"/>
        <v>23.480148</v>
      </c>
      <c r="V2824">
        <f t="shared" ref="V2824:W2824" si="3081">V2800</f>
        <v>3.2</v>
      </c>
      <c r="W2824">
        <f t="shared" si="3081"/>
        <v>2.9</v>
      </c>
      <c r="X2824" s="9">
        <v>-95.419514616668707</v>
      </c>
      <c r="Y2824" s="39"/>
    </row>
    <row r="2825" spans="1:25" ht="15" thickBot="1">
      <c r="A2825" s="149">
        <f t="shared" si="3058"/>
        <v>45953.583333328468</v>
      </c>
      <c r="B2825" s="30">
        <f t="shared" si="3013"/>
        <v>8000</v>
      </c>
      <c r="C2825" s="8">
        <v>25000</v>
      </c>
      <c r="D2825" s="187">
        <v>0</v>
      </c>
      <c r="E2825" s="187">
        <v>700</v>
      </c>
      <c r="F2825" s="187">
        <v>15000</v>
      </c>
      <c r="G2825" s="30">
        <f t="shared" si="3014"/>
        <v>2470</v>
      </c>
      <c r="H2825" s="8">
        <f t="shared" si="3014"/>
        <v>25000</v>
      </c>
      <c r="I2825" s="30">
        <f t="shared" si="3015"/>
        <v>8000</v>
      </c>
      <c r="J2825" s="187">
        <v>40000</v>
      </c>
      <c r="K2825" s="30">
        <f t="shared" si="3016"/>
        <v>8000</v>
      </c>
      <c r="L2825" s="187">
        <v>40000</v>
      </c>
      <c r="M2825" s="110">
        <v>9.5</v>
      </c>
      <c r="N2825" s="9">
        <f>VLOOKUP(DATE(YEAR(A2825),MONTH(A2825),DAY(A2825)),FY24_Temp[],3,FALSE)</f>
        <v>17.399999999999999</v>
      </c>
      <c r="O2825" s="110">
        <f t="shared" si="3074"/>
        <v>11.5</v>
      </c>
      <c r="P2825" s="110">
        <f t="shared" si="3075"/>
        <v>19.5</v>
      </c>
      <c r="Q2825" s="79">
        <f>VLOOKUP(VLOOKUP(DATEVALUE(TEXT(A2825,"m/d/yyyy")),FY24_Temp[],5,FALSE)&amp;TEXT(A2825,"-h"),TempDelta[],4,FALSE)</f>
        <v>1.5142858826688357E-2</v>
      </c>
      <c r="R2825">
        <v>10</v>
      </c>
      <c r="S2825" s="112">
        <v>1500</v>
      </c>
      <c r="T2825" s="5">
        <f>VLOOKUP(TEXT(A2825,"yy-mm")&amp;"-"&amp;IF(AND(WEEKDAY(A2825)&gt;1,WEEKDAY(A2825)&lt;7),"Wkd",TEXT(A2825,"Ddd"))&amp;"-"&amp;TEXT(A2825,"hh"),LoadTable[],3,FALSE)*0.92</f>
        <v>234.80148</v>
      </c>
      <c r="U2825" s="113">
        <f t="shared" si="3076"/>
        <v>23.480148</v>
      </c>
      <c r="V2825">
        <f t="shared" ref="V2825:W2825" si="3082">V2801</f>
        <v>3.5</v>
      </c>
      <c r="W2825">
        <f t="shared" si="3082"/>
        <v>2.9</v>
      </c>
      <c r="X2825" s="9">
        <v>-95.4973091666687</v>
      </c>
      <c r="Y2825" s="39"/>
    </row>
    <row r="2826" spans="1:25" ht="15" thickBot="1">
      <c r="A2826" s="149">
        <f t="shared" si="3058"/>
        <v>45953.624999995132</v>
      </c>
      <c r="B2826" s="30">
        <f t="shared" si="3013"/>
        <v>8000</v>
      </c>
      <c r="C2826" s="8">
        <v>25000</v>
      </c>
      <c r="D2826" s="187">
        <v>0</v>
      </c>
      <c r="E2826" s="187">
        <v>700</v>
      </c>
      <c r="F2826" s="187">
        <v>15000</v>
      </c>
      <c r="G2826" s="30">
        <f t="shared" si="3014"/>
        <v>2470</v>
      </c>
      <c r="H2826" s="8">
        <f t="shared" si="3014"/>
        <v>25000</v>
      </c>
      <c r="I2826" s="30">
        <f t="shared" si="3015"/>
        <v>8000</v>
      </c>
      <c r="J2826" s="187">
        <v>40000</v>
      </c>
      <c r="K2826" s="30">
        <f t="shared" si="3016"/>
        <v>8000</v>
      </c>
      <c r="L2826" s="187">
        <v>40000</v>
      </c>
      <c r="M2826" s="110">
        <v>9.5</v>
      </c>
      <c r="N2826" s="9">
        <f>VLOOKUP(DATE(YEAR(A2826),MONTH(A2826),DAY(A2826)),FY24_Temp[],3,FALSE)</f>
        <v>17.399999999999999</v>
      </c>
      <c r="O2826" s="110">
        <f t="shared" si="3074"/>
        <v>11.5</v>
      </c>
      <c r="P2826" s="110">
        <f t="shared" si="3075"/>
        <v>19.5</v>
      </c>
      <c r="Q2826" s="79">
        <f>VLOOKUP(VLOOKUP(DATEVALUE(TEXT(A2826,"m/d/yyyy")),FY24_Temp[],5,FALSE)&amp;TEXT(A2826,"-h"),TempDelta[],4,FALSE)</f>
        <v>0.10157142795755394</v>
      </c>
      <c r="R2826">
        <v>10</v>
      </c>
      <c r="S2826" s="112">
        <v>1500</v>
      </c>
      <c r="T2826" s="5">
        <f>VLOOKUP(TEXT(A2826,"yy-mm")&amp;"-"&amp;IF(AND(WEEKDAY(A2826)&gt;1,WEEKDAY(A2826)&lt;7),"Wkd",TEXT(A2826,"Ddd"))&amp;"-"&amp;TEXT(A2826,"hh"),LoadTable[],3,FALSE)*0.92</f>
        <v>234.80148</v>
      </c>
      <c r="U2826" s="113">
        <f t="shared" si="3076"/>
        <v>23.480148</v>
      </c>
      <c r="V2826">
        <f t="shared" ref="V2826:W2826" si="3083">V2802</f>
        <v>3.2</v>
      </c>
      <c r="W2826">
        <f t="shared" si="3083"/>
        <v>2.9</v>
      </c>
      <c r="X2826" s="9">
        <v>-95.575103716668707</v>
      </c>
      <c r="Y2826" s="39"/>
    </row>
    <row r="2827" spans="1:25" ht="15" thickBot="1">
      <c r="A2827" s="149">
        <f t="shared" si="3058"/>
        <v>45953.666666661797</v>
      </c>
      <c r="B2827" s="30">
        <f t="shared" si="3013"/>
        <v>8000</v>
      </c>
      <c r="C2827" s="8">
        <v>25000</v>
      </c>
      <c r="D2827" s="187">
        <v>0</v>
      </c>
      <c r="E2827" s="187">
        <v>700</v>
      </c>
      <c r="F2827" s="187">
        <v>15000</v>
      </c>
      <c r="G2827" s="30">
        <f t="shared" si="3014"/>
        <v>2470</v>
      </c>
      <c r="H2827" s="8">
        <f t="shared" si="3014"/>
        <v>25000</v>
      </c>
      <c r="I2827" s="30">
        <f t="shared" si="3015"/>
        <v>8000</v>
      </c>
      <c r="J2827" s="187">
        <v>40000</v>
      </c>
      <c r="K2827" s="30">
        <f t="shared" si="3016"/>
        <v>8000</v>
      </c>
      <c r="L2827" s="187">
        <v>40000</v>
      </c>
      <c r="M2827" s="110">
        <v>9.5</v>
      </c>
      <c r="N2827" s="9">
        <f>VLOOKUP(DATE(YEAR(A2827),MONTH(A2827),DAY(A2827)),FY24_Temp[],3,FALSE)</f>
        <v>17.399999999999999</v>
      </c>
      <c r="O2827" s="110">
        <f t="shared" si="3074"/>
        <v>11.5</v>
      </c>
      <c r="P2827" s="110">
        <f t="shared" si="3075"/>
        <v>19.5</v>
      </c>
      <c r="Q2827" s="79">
        <f>VLOOKUP(VLOOKUP(DATEVALUE(TEXT(A2827,"m/d/yyyy")),FY24_Temp[],5,FALSE)&amp;TEXT(A2827,"-h"),TempDelta[],4,FALSE)</f>
        <v>0.33192857301660944</v>
      </c>
      <c r="R2827">
        <v>10</v>
      </c>
      <c r="S2827" s="112">
        <v>1500</v>
      </c>
      <c r="T2827" s="5">
        <f>VLOOKUP(TEXT(A2827,"yy-mm")&amp;"-"&amp;IF(AND(WEEKDAY(A2827)&gt;1,WEEKDAY(A2827)&lt;7),"Wkd",TEXT(A2827,"Ddd"))&amp;"-"&amp;TEXT(A2827,"hh"),LoadTable[],3,FALSE)*0.92</f>
        <v>234.80148</v>
      </c>
      <c r="U2827" s="113">
        <f t="shared" si="3076"/>
        <v>23.480148</v>
      </c>
      <c r="V2827">
        <f t="shared" ref="V2827:W2827" si="3084">V2803</f>
        <v>3.5</v>
      </c>
      <c r="W2827">
        <f t="shared" si="3084"/>
        <v>3</v>
      </c>
      <c r="X2827" s="9">
        <v>-95.6528982666687</v>
      </c>
      <c r="Y2827" s="39"/>
    </row>
    <row r="2828" spans="1:25" ht="15" thickBot="1">
      <c r="A2828" s="149">
        <f t="shared" si="3058"/>
        <v>45953.708333328461</v>
      </c>
      <c r="B2828" s="30">
        <f t="shared" ref="B2828:B2891" si="3085">B2804</f>
        <v>8000</v>
      </c>
      <c r="C2828" s="8">
        <v>25000</v>
      </c>
      <c r="D2828" s="187">
        <v>0</v>
      </c>
      <c r="E2828" s="187">
        <v>700</v>
      </c>
      <c r="F2828" s="187">
        <v>15000</v>
      </c>
      <c r="G2828" s="30">
        <f t="shared" ref="G2828:H2891" si="3086">G2804</f>
        <v>2470</v>
      </c>
      <c r="H2828" s="8">
        <f t="shared" si="3086"/>
        <v>25000</v>
      </c>
      <c r="I2828" s="30">
        <f t="shared" ref="I2828:I2891" si="3087">I2804</f>
        <v>8000</v>
      </c>
      <c r="J2828" s="187">
        <v>40000</v>
      </c>
      <c r="K2828" s="30">
        <f t="shared" ref="K2828:K2891" si="3088">K2804</f>
        <v>8000</v>
      </c>
      <c r="L2828" s="187">
        <v>40000</v>
      </c>
      <c r="M2828" s="110">
        <v>9.5</v>
      </c>
      <c r="N2828" s="9">
        <f>VLOOKUP(DATE(YEAR(A2828),MONTH(A2828),DAY(A2828)),FY24_Temp[],3,FALSE)</f>
        <v>17.399999999999999</v>
      </c>
      <c r="O2828" s="110">
        <f t="shared" si="3074"/>
        <v>11.5</v>
      </c>
      <c r="P2828" s="110">
        <f t="shared" si="3075"/>
        <v>19.5</v>
      </c>
      <c r="Q2828" s="79">
        <f>VLOOKUP(VLOOKUP(DATEVALUE(TEXT(A2828,"m/d/yyyy")),FY24_Temp[],5,FALSE)&amp;TEXT(A2828,"-h"),TempDelta[],4,FALSE)</f>
        <v>0.44464285565274103</v>
      </c>
      <c r="R2828">
        <v>10</v>
      </c>
      <c r="S2828" s="112">
        <v>1500</v>
      </c>
      <c r="T2828" s="5">
        <f>VLOOKUP(TEXT(A2828,"yy-mm")&amp;"-"&amp;IF(AND(WEEKDAY(A2828)&gt;1,WEEKDAY(A2828)&lt;7),"Wkd",TEXT(A2828,"Ddd"))&amp;"-"&amp;TEXT(A2828,"hh"),LoadTable[],3,FALSE)*0.92</f>
        <v>234.80148</v>
      </c>
      <c r="U2828" s="113">
        <f t="shared" si="3076"/>
        <v>23.480148</v>
      </c>
      <c r="V2828">
        <f t="shared" ref="V2828:W2828" si="3089">V2804</f>
        <v>3.6</v>
      </c>
      <c r="W2828">
        <f t="shared" si="3089"/>
        <v>3</v>
      </c>
      <c r="X2828" s="9">
        <v>-95.730692816668693</v>
      </c>
      <c r="Y2828" s="39"/>
    </row>
    <row r="2829" spans="1:25" ht="15" thickBot="1">
      <c r="A2829" s="149">
        <f t="shared" si="3058"/>
        <v>45953.749999995125</v>
      </c>
      <c r="B2829" s="30">
        <f t="shared" si="3085"/>
        <v>5000</v>
      </c>
      <c r="C2829" s="8">
        <v>25000</v>
      </c>
      <c r="D2829" s="187">
        <v>0</v>
      </c>
      <c r="E2829" s="187">
        <v>700</v>
      </c>
      <c r="F2829" s="187">
        <v>15000</v>
      </c>
      <c r="G2829" s="30">
        <f t="shared" si="3086"/>
        <v>2470</v>
      </c>
      <c r="H2829" s="8">
        <f t="shared" si="3086"/>
        <v>25000</v>
      </c>
      <c r="I2829" s="30">
        <f t="shared" si="3087"/>
        <v>5000</v>
      </c>
      <c r="J2829" s="187">
        <v>40000</v>
      </c>
      <c r="K2829" s="30">
        <f t="shared" si="3088"/>
        <v>5000</v>
      </c>
      <c r="L2829" s="187">
        <v>40000</v>
      </c>
      <c r="M2829" s="110">
        <v>9.5</v>
      </c>
      <c r="N2829" s="9">
        <f>VLOOKUP(DATE(YEAR(A2829),MONTH(A2829),DAY(A2829)),FY24_Temp[],3,FALSE)</f>
        <v>17.399999999999999</v>
      </c>
      <c r="O2829" s="110">
        <f t="shared" si="3074"/>
        <v>11.5</v>
      </c>
      <c r="P2829" s="110">
        <f t="shared" si="3075"/>
        <v>19.5</v>
      </c>
      <c r="Q2829" s="79">
        <f>VLOOKUP(VLOOKUP(DATEVALUE(TEXT(A2829,"m/d/yyyy")),FY24_Temp[],5,FALSE)&amp;TEXT(A2829,"-h"),TempDelta[],4,FALSE)</f>
        <v>0.57671428365366795</v>
      </c>
      <c r="R2829">
        <v>10</v>
      </c>
      <c r="S2829" s="112">
        <v>1500</v>
      </c>
      <c r="T2829" s="5">
        <f>VLOOKUP(TEXT(A2829,"yy-mm")&amp;"-"&amp;IF(AND(WEEKDAY(A2829)&gt;1,WEEKDAY(A2829)&lt;7),"Wkd",TEXT(A2829,"Ddd"))&amp;"-"&amp;TEXT(A2829,"hh"),LoadTable[],3,FALSE)*0.92</f>
        <v>303.31295999999998</v>
      </c>
      <c r="U2829" s="113">
        <f t="shared" si="3076"/>
        <v>30.331295999999998</v>
      </c>
      <c r="V2829">
        <f t="shared" ref="V2829:W2829" si="3090">V2805</f>
        <v>2.9</v>
      </c>
      <c r="W2829">
        <f t="shared" si="3090"/>
        <v>3</v>
      </c>
      <c r="X2829" s="9">
        <v>-95.8084873666687</v>
      </c>
      <c r="Y2829" s="39"/>
    </row>
    <row r="2830" spans="1:25" ht="15" thickBot="1">
      <c r="A2830" s="149">
        <f t="shared" si="3058"/>
        <v>45953.791666661789</v>
      </c>
      <c r="B2830" s="30">
        <f t="shared" si="3085"/>
        <v>5000</v>
      </c>
      <c r="C2830" s="8">
        <v>25000</v>
      </c>
      <c r="D2830" s="187">
        <v>0</v>
      </c>
      <c r="E2830" s="187">
        <v>700</v>
      </c>
      <c r="F2830" s="187">
        <v>15000</v>
      </c>
      <c r="G2830" s="30">
        <f t="shared" si="3086"/>
        <v>2470</v>
      </c>
      <c r="H2830" s="8">
        <f t="shared" si="3086"/>
        <v>25000</v>
      </c>
      <c r="I2830" s="30">
        <f t="shared" si="3087"/>
        <v>5000</v>
      </c>
      <c r="J2830" s="187">
        <v>40000</v>
      </c>
      <c r="K2830" s="30">
        <f t="shared" si="3088"/>
        <v>5000</v>
      </c>
      <c r="L2830" s="187">
        <v>40000</v>
      </c>
      <c r="M2830" s="110">
        <v>9.5</v>
      </c>
      <c r="N2830" s="9">
        <f>VLOOKUP(DATE(YEAR(A2830),MONTH(A2830),DAY(A2830)),FY24_Temp[],3,FALSE)</f>
        <v>17.399999999999999</v>
      </c>
      <c r="O2830" s="110">
        <f t="shared" si="3074"/>
        <v>11.5</v>
      </c>
      <c r="P2830" s="110">
        <f t="shared" si="3075"/>
        <v>19.5</v>
      </c>
      <c r="Q2830" s="79">
        <f>VLOOKUP(VLOOKUP(DATEVALUE(TEXT(A2830,"m/d/yyyy")),FY24_Temp[],5,FALSE)&amp;TEXT(A2830,"-h"),TempDelta[],4,FALSE)</f>
        <v>0.5747142945017133</v>
      </c>
      <c r="R2830">
        <v>10</v>
      </c>
      <c r="S2830" s="112">
        <v>1500</v>
      </c>
      <c r="T2830" s="5">
        <f>VLOOKUP(TEXT(A2830,"yy-mm")&amp;"-"&amp;IF(AND(WEEKDAY(A2830)&gt;1,WEEKDAY(A2830)&lt;7),"Wkd",TEXT(A2830,"Ddd"))&amp;"-"&amp;TEXT(A2830,"hh"),LoadTable[],3,FALSE)*0.92</f>
        <v>303.31295999999998</v>
      </c>
      <c r="U2830" s="113">
        <f t="shared" si="3076"/>
        <v>30.331295999999998</v>
      </c>
      <c r="V2830">
        <f t="shared" ref="V2830:W2830" si="3091">V2806</f>
        <v>3</v>
      </c>
      <c r="W2830">
        <f t="shared" si="3091"/>
        <v>3</v>
      </c>
      <c r="X2830" s="9">
        <v>-95.886281916668807</v>
      </c>
      <c r="Y2830" s="39"/>
    </row>
    <row r="2831" spans="1:25" ht="15" thickBot="1">
      <c r="A2831" s="149">
        <f t="shared" si="3058"/>
        <v>45953.833333328454</v>
      </c>
      <c r="B2831" s="30">
        <f t="shared" si="3085"/>
        <v>5000</v>
      </c>
      <c r="C2831" s="8">
        <v>25000</v>
      </c>
      <c r="D2831" s="187">
        <v>0</v>
      </c>
      <c r="E2831" s="187">
        <v>700</v>
      </c>
      <c r="F2831" s="187">
        <v>15000</v>
      </c>
      <c r="G2831" s="30">
        <f t="shared" si="3086"/>
        <v>2470</v>
      </c>
      <c r="H2831" s="8">
        <f t="shared" si="3086"/>
        <v>25000</v>
      </c>
      <c r="I2831" s="30">
        <f t="shared" si="3087"/>
        <v>5000</v>
      </c>
      <c r="J2831" s="187">
        <v>40000</v>
      </c>
      <c r="K2831" s="30">
        <f t="shared" si="3088"/>
        <v>5000</v>
      </c>
      <c r="L2831" s="187">
        <v>40000</v>
      </c>
      <c r="M2831" s="110">
        <v>9.5</v>
      </c>
      <c r="N2831" s="9">
        <f>VLOOKUP(DATE(YEAR(A2831),MONTH(A2831),DAY(A2831)),FY24_Temp[],3,FALSE)</f>
        <v>17.399999999999999</v>
      </c>
      <c r="O2831" s="110">
        <f t="shared" si="3074"/>
        <v>11.5</v>
      </c>
      <c r="P2831" s="110">
        <f t="shared" si="3075"/>
        <v>19.5</v>
      </c>
      <c r="Q2831" s="79">
        <f>VLOOKUP(VLOOKUP(DATEVALUE(TEXT(A2831,"m/d/yyyy")),FY24_Temp[],5,FALSE)&amp;TEXT(A2831,"-h"),TempDelta[],4,FALSE)</f>
        <v>0.58807142717497685</v>
      </c>
      <c r="R2831">
        <v>10</v>
      </c>
      <c r="S2831" s="112">
        <v>1500</v>
      </c>
      <c r="T2831" s="5">
        <f>VLOOKUP(TEXT(A2831,"yy-mm")&amp;"-"&amp;IF(AND(WEEKDAY(A2831)&gt;1,WEEKDAY(A2831)&lt;7),"Wkd",TEXT(A2831,"Ddd"))&amp;"-"&amp;TEXT(A2831,"hh"),LoadTable[],3,FALSE)*0.92</f>
        <v>303.31295999999998</v>
      </c>
      <c r="U2831" s="113">
        <f t="shared" si="3076"/>
        <v>30.331295999999998</v>
      </c>
      <c r="V2831">
        <f t="shared" ref="V2831:W2831" si="3092">V2807</f>
        <v>2.8</v>
      </c>
      <c r="W2831">
        <f t="shared" si="3092"/>
        <v>3.1</v>
      </c>
      <c r="X2831" s="9">
        <v>-95.9640764666688</v>
      </c>
      <c r="Y2831" s="39"/>
    </row>
    <row r="2832" spans="1:25" ht="15" thickBot="1">
      <c r="A2832" s="149">
        <f t="shared" si="3058"/>
        <v>45953.874999995118</v>
      </c>
      <c r="B2832" s="30">
        <f t="shared" si="3085"/>
        <v>5000</v>
      </c>
      <c r="C2832" s="8">
        <v>25000</v>
      </c>
      <c r="D2832" s="187">
        <v>0</v>
      </c>
      <c r="E2832" s="187">
        <v>700</v>
      </c>
      <c r="F2832" s="187">
        <v>15000</v>
      </c>
      <c r="G2832" s="30">
        <f t="shared" si="3086"/>
        <v>2470</v>
      </c>
      <c r="H2832" s="8">
        <f t="shared" si="3086"/>
        <v>25000</v>
      </c>
      <c r="I2832" s="30">
        <f t="shared" si="3087"/>
        <v>5000</v>
      </c>
      <c r="J2832" s="187">
        <v>40000</v>
      </c>
      <c r="K2832" s="30">
        <f t="shared" si="3088"/>
        <v>5000</v>
      </c>
      <c r="L2832" s="187">
        <v>40000</v>
      </c>
      <c r="M2832" s="110">
        <v>9.5</v>
      </c>
      <c r="N2832" s="9">
        <f>VLOOKUP(DATE(YEAR(A2832),MONTH(A2832),DAY(A2832)),FY24_Temp[],3,FALSE)</f>
        <v>17.399999999999999</v>
      </c>
      <c r="O2832" s="110">
        <f t="shared" si="3074"/>
        <v>11.5</v>
      </c>
      <c r="P2832" s="110">
        <f t="shared" si="3075"/>
        <v>19.5</v>
      </c>
      <c r="Q2832" s="79">
        <f>VLOOKUP(VLOOKUP(DATEVALUE(TEXT(A2832,"m/d/yyyy")),FY24_Temp[],5,FALSE)&amp;TEXT(A2832,"-h"),TempDelta[],4,FALSE)</f>
        <v>0.58742856766496387</v>
      </c>
      <c r="R2832">
        <v>10</v>
      </c>
      <c r="S2832" s="112">
        <v>1500</v>
      </c>
      <c r="T2832" s="5">
        <f>VLOOKUP(TEXT(A2832,"yy-mm")&amp;"-"&amp;IF(AND(WEEKDAY(A2832)&gt;1,WEEKDAY(A2832)&lt;7),"Wkd",TEXT(A2832,"Ddd"))&amp;"-"&amp;TEXT(A2832,"hh"),LoadTable[],3,FALSE)*0.92</f>
        <v>229.93744000000001</v>
      </c>
      <c r="U2832" s="113">
        <f t="shared" si="3076"/>
        <v>22.993744</v>
      </c>
      <c r="V2832">
        <f t="shared" ref="V2832:W2832" si="3093">V2808</f>
        <v>3.5</v>
      </c>
      <c r="W2832">
        <f t="shared" si="3093"/>
        <v>3.1</v>
      </c>
      <c r="X2832" s="9">
        <v>-96.041871016668793</v>
      </c>
      <c r="Y2832" s="39"/>
    </row>
    <row r="2833" spans="1:25" ht="15" thickBot="1">
      <c r="A2833" s="149">
        <f t="shared" si="3058"/>
        <v>45953.916666661782</v>
      </c>
      <c r="B2833" s="30">
        <f t="shared" si="3085"/>
        <v>5000</v>
      </c>
      <c r="C2833" s="8">
        <v>25000</v>
      </c>
      <c r="D2833" s="187">
        <v>0</v>
      </c>
      <c r="E2833" s="187">
        <v>700</v>
      </c>
      <c r="F2833" s="187">
        <v>15000</v>
      </c>
      <c r="G2833" s="30">
        <f t="shared" si="3086"/>
        <v>2470</v>
      </c>
      <c r="H2833" s="8">
        <f t="shared" si="3086"/>
        <v>25000</v>
      </c>
      <c r="I2833" s="30">
        <f t="shared" si="3087"/>
        <v>5000</v>
      </c>
      <c r="J2833" s="187">
        <v>40000</v>
      </c>
      <c r="K2833" s="30">
        <f t="shared" si="3088"/>
        <v>5000</v>
      </c>
      <c r="L2833" s="187">
        <v>40000</v>
      </c>
      <c r="M2833" s="110">
        <v>9.5</v>
      </c>
      <c r="N2833" s="9">
        <f>VLOOKUP(DATE(YEAR(A2833),MONTH(A2833),DAY(A2833)),FY24_Temp[],3,FALSE)</f>
        <v>17.399999999999999</v>
      </c>
      <c r="O2833" s="110">
        <f t="shared" si="3074"/>
        <v>11.5</v>
      </c>
      <c r="P2833" s="110">
        <f t="shared" si="3075"/>
        <v>19.5</v>
      </c>
      <c r="Q2833" s="79">
        <f>VLOOKUP(VLOOKUP(DATEVALUE(TEXT(A2833,"m/d/yyyy")),FY24_Temp[],5,FALSE)&amp;TEXT(A2833,"-h"),TempDelta[],4,FALSE)</f>
        <v>0.81528571673801964</v>
      </c>
      <c r="R2833">
        <v>10</v>
      </c>
      <c r="S2833" s="112">
        <v>1500</v>
      </c>
      <c r="T2833" s="5">
        <f>VLOOKUP(TEXT(A2833,"yy-mm")&amp;"-"&amp;IF(AND(WEEKDAY(A2833)&gt;1,WEEKDAY(A2833)&lt;7),"Wkd",TEXT(A2833,"Ddd"))&amp;"-"&amp;TEXT(A2833,"hh"),LoadTable[],3,FALSE)*0.92</f>
        <v>176.52040000000002</v>
      </c>
      <c r="U2833" s="113">
        <f t="shared" si="3076"/>
        <v>17.652040000000003</v>
      </c>
      <c r="V2833">
        <f t="shared" ref="V2833:W2833" si="3094">V2809</f>
        <v>2.9</v>
      </c>
      <c r="W2833">
        <f t="shared" si="3094"/>
        <v>3.1</v>
      </c>
      <c r="X2833" s="9">
        <v>-96.1196655666688</v>
      </c>
      <c r="Y2833" s="39"/>
    </row>
    <row r="2834" spans="1:25" ht="15" thickBot="1">
      <c r="A2834" s="149">
        <f t="shared" si="3058"/>
        <v>45953.958333328446</v>
      </c>
      <c r="B2834" s="30">
        <f t="shared" si="3085"/>
        <v>5000</v>
      </c>
      <c r="C2834" s="41">
        <v>25000</v>
      </c>
      <c r="D2834" s="187">
        <v>0</v>
      </c>
      <c r="E2834" s="187">
        <v>700</v>
      </c>
      <c r="F2834" s="187">
        <v>15000</v>
      </c>
      <c r="G2834" s="30">
        <f t="shared" si="3086"/>
        <v>2470</v>
      </c>
      <c r="H2834" s="8">
        <f t="shared" si="3086"/>
        <v>25000</v>
      </c>
      <c r="I2834" s="30">
        <f t="shared" si="3087"/>
        <v>5000</v>
      </c>
      <c r="J2834" s="187">
        <v>40000</v>
      </c>
      <c r="K2834" s="30">
        <f t="shared" si="3088"/>
        <v>5000</v>
      </c>
      <c r="L2834" s="187">
        <v>40000</v>
      </c>
      <c r="M2834" s="110">
        <v>9.5</v>
      </c>
      <c r="N2834" s="9">
        <f>VLOOKUP(DATE(YEAR(A2834),MONTH(A2834),DAY(A2834)),FY24_Temp[],3,FALSE)</f>
        <v>17.399999999999999</v>
      </c>
      <c r="O2834" s="110">
        <f t="shared" si="3074"/>
        <v>11.5</v>
      </c>
      <c r="P2834" s="110">
        <f t="shared" si="3075"/>
        <v>19.5</v>
      </c>
      <c r="Q2834" s="79">
        <f>VLOOKUP(VLOOKUP(DATEVALUE(TEXT(A2834,"m/d/yyyy")),FY24_Temp[],5,FALSE)&amp;TEXT(A2834,"-h"),TempDelta[],4,FALSE)</f>
        <v>0.93885714667184017</v>
      </c>
      <c r="R2834">
        <v>10</v>
      </c>
      <c r="S2834" s="112">
        <v>1500</v>
      </c>
      <c r="T2834" s="5">
        <f>VLOOKUP(TEXT(A2834,"yy-mm")&amp;"-"&amp;IF(AND(WEEKDAY(A2834)&gt;1,WEEKDAY(A2834)&lt;7),"Wkd",TEXT(A2834,"Ddd"))&amp;"-"&amp;TEXT(A2834,"hh"),LoadTable[],3,FALSE)*0.92</f>
        <v>176.52040000000002</v>
      </c>
      <c r="U2834" s="113">
        <f t="shared" si="3076"/>
        <v>17.652040000000003</v>
      </c>
      <c r="V2834">
        <f t="shared" ref="V2834:W2834" si="3095">V2810</f>
        <v>3.6</v>
      </c>
      <c r="W2834">
        <f t="shared" si="3095"/>
        <v>3.1</v>
      </c>
      <c r="X2834" s="9">
        <v>-96.197460116668793</v>
      </c>
      <c r="Y2834" s="39"/>
    </row>
    <row r="2835" spans="1:25" ht="15" thickBot="1">
      <c r="A2835" s="148">
        <f t="shared" si="3058"/>
        <v>45953.999999995111</v>
      </c>
      <c r="B2835" s="116">
        <f t="shared" si="3085"/>
        <v>5000</v>
      </c>
      <c r="C2835" s="8">
        <v>25000</v>
      </c>
      <c r="D2835" s="187">
        <v>0</v>
      </c>
      <c r="E2835" s="187">
        <v>700</v>
      </c>
      <c r="F2835" s="187">
        <v>15000</v>
      </c>
      <c r="G2835" s="109">
        <f t="shared" si="3086"/>
        <v>2470</v>
      </c>
      <c r="H2835" s="8">
        <f t="shared" si="3086"/>
        <v>25000</v>
      </c>
      <c r="I2835" s="30">
        <f t="shared" si="3087"/>
        <v>5000</v>
      </c>
      <c r="J2835" s="187">
        <v>40000</v>
      </c>
      <c r="K2835" s="109">
        <f t="shared" si="3088"/>
        <v>5000</v>
      </c>
      <c r="L2835" s="187">
        <v>40000</v>
      </c>
      <c r="M2835" s="110">
        <v>9.5</v>
      </c>
      <c r="N2835" s="110">
        <f>VLOOKUP(DATE(YEAR(A2835),MONTH(A2835),DAY(A2835)),FY24_Temp[],3,FALSE)</f>
        <v>17.399999999999999</v>
      </c>
      <c r="O2835" s="110">
        <f t="shared" si="3074"/>
        <v>11.5</v>
      </c>
      <c r="P2835" s="110">
        <f t="shared" si="3075"/>
        <v>19.5</v>
      </c>
      <c r="Q2835" s="111">
        <f>VLOOKUP(VLOOKUP(DATEVALUE(TEXT(A2835,"m/d/yyyy")),FY24_Temp[],5,FALSE)&amp;TEXT(A2835,"-h"),TempDelta[],4,FALSE)</f>
        <v>1.0217142956597465</v>
      </c>
      <c r="R2835" s="112">
        <v>10</v>
      </c>
      <c r="S2835" s="112">
        <v>1500</v>
      </c>
      <c r="T2835" s="99">
        <f>VLOOKUP(TEXT(A2835,"yy-mm")&amp;"-"&amp;IF(AND(WEEKDAY(A2835)&gt;1,WEEKDAY(A2835)&lt;7),"Wkd",TEXT(A2835,"Ddd"))&amp;"-"&amp;TEXT(A2835,"hh"),LoadTable[],3,FALSE)*0.92</f>
        <v>209.6772</v>
      </c>
      <c r="U2835" s="113">
        <f t="shared" si="3076"/>
        <v>20.96772</v>
      </c>
      <c r="V2835" s="112">
        <f t="shared" ref="V2835:W2835" si="3096">V2811</f>
        <v>3</v>
      </c>
      <c r="W2835" s="112">
        <f t="shared" si="3096"/>
        <v>3.2</v>
      </c>
      <c r="X2835" s="114">
        <v>-96.2752546666688</v>
      </c>
      <c r="Y2835" s="39"/>
    </row>
    <row r="2836" spans="1:25" ht="15" thickBot="1">
      <c r="A2836" s="149">
        <f t="shared" si="3058"/>
        <v>45954.041666661775</v>
      </c>
      <c r="B2836" s="30">
        <f t="shared" si="3085"/>
        <v>5000</v>
      </c>
      <c r="C2836" s="42">
        <v>25000</v>
      </c>
      <c r="D2836" s="187">
        <v>0</v>
      </c>
      <c r="E2836" s="187">
        <v>700</v>
      </c>
      <c r="F2836" s="187">
        <v>15000</v>
      </c>
      <c r="G2836" s="30">
        <f t="shared" si="3086"/>
        <v>2470</v>
      </c>
      <c r="H2836" s="8">
        <f t="shared" si="3086"/>
        <v>25000</v>
      </c>
      <c r="I2836" s="30">
        <f t="shared" si="3087"/>
        <v>5000</v>
      </c>
      <c r="J2836" s="187">
        <v>40000</v>
      </c>
      <c r="K2836" s="30">
        <f t="shared" si="3088"/>
        <v>5000</v>
      </c>
      <c r="L2836" s="187">
        <v>40000</v>
      </c>
      <c r="M2836" s="110">
        <v>9.5</v>
      </c>
      <c r="N2836" s="9">
        <f>VLOOKUP(DATE(YEAR(A2836),MONTH(A2836),DAY(A2836)),FY24_Temp[],3,FALSE)</f>
        <v>17.399999999999999</v>
      </c>
      <c r="O2836" s="110">
        <f t="shared" si="3074"/>
        <v>11.5</v>
      </c>
      <c r="P2836" s="110">
        <f t="shared" si="3075"/>
        <v>19.5</v>
      </c>
      <c r="Q2836" s="79">
        <f>VLOOKUP(VLOOKUP(DATEVALUE(TEXT(A2836,"m/d/yyyy")),FY24_Temp[],5,FALSE)&amp;TEXT(A2836,"-h"),TempDelta[],4,FALSE)</f>
        <v>0.97999998501368935</v>
      </c>
      <c r="R2836">
        <v>10</v>
      </c>
      <c r="S2836" s="112">
        <v>1500</v>
      </c>
      <c r="T2836" s="5">
        <f>VLOOKUP(TEXT(A2836,"yy-mm")&amp;"-"&amp;IF(AND(WEEKDAY(A2836)&gt;1,WEEKDAY(A2836)&lt;7),"Wkd",TEXT(A2836,"Ddd"))&amp;"-"&amp;TEXT(A2836,"hh"),LoadTable[],3,FALSE)*0.92</f>
        <v>209.6772</v>
      </c>
      <c r="U2836" s="113">
        <f t="shared" si="3076"/>
        <v>20.96772</v>
      </c>
      <c r="V2836">
        <f t="shared" ref="V2836:W2836" si="3097">V2812</f>
        <v>2.6</v>
      </c>
      <c r="W2836">
        <f t="shared" si="3097"/>
        <v>3.2</v>
      </c>
      <c r="X2836" s="9">
        <v>-96.353049216668794</v>
      </c>
      <c r="Y2836" s="39"/>
    </row>
    <row r="2837" spans="1:25" ht="15" thickBot="1">
      <c r="A2837" s="149">
        <f t="shared" si="3058"/>
        <v>45954.083333328439</v>
      </c>
      <c r="B2837" s="30">
        <f t="shared" si="3085"/>
        <v>5000</v>
      </c>
      <c r="C2837" s="8">
        <v>25000</v>
      </c>
      <c r="D2837" s="187">
        <v>0</v>
      </c>
      <c r="E2837" s="187">
        <v>700</v>
      </c>
      <c r="F2837" s="187">
        <v>15000</v>
      </c>
      <c r="G2837" s="30">
        <f t="shared" si="3086"/>
        <v>2470</v>
      </c>
      <c r="H2837" s="8">
        <f t="shared" si="3086"/>
        <v>25000</v>
      </c>
      <c r="I2837" s="30">
        <f t="shared" si="3087"/>
        <v>5000</v>
      </c>
      <c r="J2837" s="187">
        <v>40000</v>
      </c>
      <c r="K2837" s="30">
        <f t="shared" si="3088"/>
        <v>5000</v>
      </c>
      <c r="L2837" s="187">
        <v>40000</v>
      </c>
      <c r="M2837" s="110">
        <v>9.5</v>
      </c>
      <c r="N2837" s="9">
        <f>VLOOKUP(DATE(YEAR(A2837),MONTH(A2837),DAY(A2837)),FY24_Temp[],3,FALSE)</f>
        <v>17.399999999999999</v>
      </c>
      <c r="O2837" s="110">
        <f t="shared" si="3074"/>
        <v>11.5</v>
      </c>
      <c r="P2837" s="110">
        <f t="shared" si="3075"/>
        <v>19.5</v>
      </c>
      <c r="Q2837" s="79">
        <f>VLOOKUP(VLOOKUP(DATEVALUE(TEXT(A2837,"m/d/yyyy")),FY24_Temp[],5,FALSE)&amp;TEXT(A2837,"-h"),TempDelta[],4,FALSE)</f>
        <v>0.89157142809459144</v>
      </c>
      <c r="R2837">
        <v>10</v>
      </c>
      <c r="S2837" s="112">
        <v>1500</v>
      </c>
      <c r="T2837" s="5">
        <f>VLOOKUP(TEXT(A2837,"yy-mm")&amp;"-"&amp;IF(AND(WEEKDAY(A2837)&gt;1,WEEKDAY(A2837)&lt;7),"Wkd",TEXT(A2837,"Ddd"))&amp;"-"&amp;TEXT(A2837,"hh"),LoadTable[],3,FALSE)*0.92</f>
        <v>209.6772</v>
      </c>
      <c r="U2837" s="113">
        <f t="shared" si="3076"/>
        <v>20.96772</v>
      </c>
      <c r="V2837">
        <f t="shared" ref="V2837:W2837" si="3098">V2813</f>
        <v>2.8</v>
      </c>
      <c r="W2837">
        <f t="shared" si="3098"/>
        <v>3.2</v>
      </c>
      <c r="X2837" s="9">
        <v>-96.430843766668801</v>
      </c>
      <c r="Y2837" s="39"/>
    </row>
    <row r="2838" spans="1:25" ht="15" thickBot="1">
      <c r="A2838" s="149">
        <f t="shared" si="3058"/>
        <v>45954.124999995103</v>
      </c>
      <c r="B2838" s="30">
        <f t="shared" si="3085"/>
        <v>5000</v>
      </c>
      <c r="C2838" s="8">
        <v>25000</v>
      </c>
      <c r="D2838" s="187">
        <v>0</v>
      </c>
      <c r="E2838" s="187">
        <v>700</v>
      </c>
      <c r="F2838" s="187">
        <v>15000</v>
      </c>
      <c r="G2838" s="30">
        <f t="shared" si="3086"/>
        <v>2470</v>
      </c>
      <c r="H2838" s="8">
        <f t="shared" si="3086"/>
        <v>25000</v>
      </c>
      <c r="I2838" s="30">
        <f t="shared" si="3087"/>
        <v>5000</v>
      </c>
      <c r="J2838" s="187">
        <v>40000</v>
      </c>
      <c r="K2838" s="30">
        <f t="shared" si="3088"/>
        <v>5000</v>
      </c>
      <c r="L2838" s="187">
        <v>40000</v>
      </c>
      <c r="M2838" s="110">
        <v>9.5</v>
      </c>
      <c r="N2838" s="9">
        <f>VLOOKUP(DATE(YEAR(A2838),MONTH(A2838),DAY(A2838)),FY24_Temp[],3,FALSE)</f>
        <v>17.399999999999999</v>
      </c>
      <c r="O2838" s="110">
        <f t="shared" si="3074"/>
        <v>11.5</v>
      </c>
      <c r="P2838" s="110">
        <f t="shared" si="3075"/>
        <v>19.5</v>
      </c>
      <c r="Q2838" s="79">
        <f>VLOOKUP(VLOOKUP(DATEVALUE(TEXT(A2838,"m/d/yyyy")),FY24_Temp[],5,FALSE)&amp;TEXT(A2838,"-h"),TempDelta[],4,FALSE)</f>
        <v>0.78457142625536236</v>
      </c>
      <c r="R2838">
        <v>10</v>
      </c>
      <c r="S2838" s="112">
        <v>1500</v>
      </c>
      <c r="T2838" s="5">
        <f>VLOOKUP(TEXT(A2838,"yy-mm")&amp;"-"&amp;IF(AND(WEEKDAY(A2838)&gt;1,WEEKDAY(A2838)&lt;7),"Wkd",TEXT(A2838,"Ddd"))&amp;"-"&amp;TEXT(A2838,"hh"),LoadTable[],3,FALSE)*0.92</f>
        <v>209.6772</v>
      </c>
      <c r="U2838" s="113">
        <f t="shared" si="3076"/>
        <v>20.96772</v>
      </c>
      <c r="V2838">
        <f t="shared" ref="V2838:W2838" si="3099">V2814</f>
        <v>2.7</v>
      </c>
      <c r="W2838">
        <f t="shared" si="3099"/>
        <v>3.2</v>
      </c>
      <c r="X2838" s="9">
        <v>-96.508638316668794</v>
      </c>
      <c r="Y2838" s="39"/>
    </row>
    <row r="2839" spans="1:25" ht="15" thickBot="1">
      <c r="A2839" s="149">
        <f t="shared" si="3058"/>
        <v>45954.166666661768</v>
      </c>
      <c r="B2839" s="30">
        <f t="shared" si="3085"/>
        <v>5000</v>
      </c>
      <c r="C2839" s="8">
        <v>25000</v>
      </c>
      <c r="D2839" s="187">
        <v>0</v>
      </c>
      <c r="E2839" s="187">
        <v>700</v>
      </c>
      <c r="F2839" s="187">
        <v>15000</v>
      </c>
      <c r="G2839" s="30">
        <f t="shared" si="3086"/>
        <v>2470</v>
      </c>
      <c r="H2839" s="8">
        <f t="shared" si="3086"/>
        <v>25000</v>
      </c>
      <c r="I2839" s="30">
        <f t="shared" si="3087"/>
        <v>5000</v>
      </c>
      <c r="J2839" s="187">
        <v>40000</v>
      </c>
      <c r="K2839" s="30">
        <f t="shared" si="3088"/>
        <v>5000</v>
      </c>
      <c r="L2839" s="187">
        <v>40000</v>
      </c>
      <c r="M2839" s="110">
        <v>9.5</v>
      </c>
      <c r="N2839" s="9">
        <f>VLOOKUP(DATE(YEAR(A2839),MONTH(A2839),DAY(A2839)),FY24_Temp[],3,FALSE)</f>
        <v>17.399999999999999</v>
      </c>
      <c r="O2839" s="110">
        <f t="shared" si="3074"/>
        <v>11.5</v>
      </c>
      <c r="P2839" s="110">
        <f t="shared" si="3075"/>
        <v>19.5</v>
      </c>
      <c r="Q2839" s="79">
        <f>VLOOKUP(VLOOKUP(DATEVALUE(TEXT(A2839,"m/d/yyyy")),FY24_Temp[],5,FALSE)&amp;TEXT(A2839,"-h"),TempDelta[],4,FALSE)</f>
        <v>0.69542856727327618</v>
      </c>
      <c r="R2839">
        <v>10</v>
      </c>
      <c r="S2839" s="112">
        <v>1500</v>
      </c>
      <c r="T2839" s="5">
        <f>VLOOKUP(TEXT(A2839,"yy-mm")&amp;"-"&amp;IF(AND(WEEKDAY(A2839)&gt;1,WEEKDAY(A2839)&lt;7),"Wkd",TEXT(A2839,"Ddd"))&amp;"-"&amp;TEXT(A2839,"hh"),LoadTable[],3,FALSE)*0.92</f>
        <v>209.6772</v>
      </c>
      <c r="U2839" s="113">
        <f t="shared" si="3076"/>
        <v>20.96772</v>
      </c>
      <c r="V2839">
        <f t="shared" ref="V2839:W2839" si="3100">V2815</f>
        <v>3</v>
      </c>
      <c r="W2839">
        <f t="shared" si="3100"/>
        <v>3.1</v>
      </c>
      <c r="X2839" s="9">
        <v>-96.586432866668801</v>
      </c>
      <c r="Y2839" s="39"/>
    </row>
    <row r="2840" spans="1:25" ht="15" thickBot="1">
      <c r="A2840" s="149">
        <f t="shared" si="3058"/>
        <v>45954.208333328432</v>
      </c>
      <c r="B2840" s="30">
        <f t="shared" si="3085"/>
        <v>5000</v>
      </c>
      <c r="C2840" s="8">
        <v>25000</v>
      </c>
      <c r="D2840" s="187">
        <v>0</v>
      </c>
      <c r="E2840" s="187">
        <v>700</v>
      </c>
      <c r="F2840" s="187">
        <v>15000</v>
      </c>
      <c r="G2840" s="30">
        <f t="shared" si="3086"/>
        <v>2470</v>
      </c>
      <c r="H2840" s="8">
        <f t="shared" si="3086"/>
        <v>25000</v>
      </c>
      <c r="I2840" s="30">
        <f t="shared" si="3087"/>
        <v>5000</v>
      </c>
      <c r="J2840" s="187">
        <v>40000</v>
      </c>
      <c r="K2840" s="30">
        <f t="shared" si="3088"/>
        <v>5000</v>
      </c>
      <c r="L2840" s="187">
        <v>40000</v>
      </c>
      <c r="M2840" s="110">
        <v>9.5</v>
      </c>
      <c r="N2840" s="9">
        <f>VLOOKUP(DATE(YEAR(A2840),MONTH(A2840),DAY(A2840)),FY24_Temp[],3,FALSE)</f>
        <v>17.399999999999999</v>
      </c>
      <c r="O2840" s="110">
        <f t="shared" si="3074"/>
        <v>11.5</v>
      </c>
      <c r="P2840" s="110">
        <f t="shared" si="3075"/>
        <v>19.5</v>
      </c>
      <c r="Q2840" s="79">
        <f>VLOOKUP(VLOOKUP(DATEVALUE(TEXT(A2840,"m/d/yyyy")),FY24_Temp[],5,FALSE)&amp;TEXT(A2840,"-h"),TempDelta[],4,FALSE)</f>
        <v>0.71114285503114971</v>
      </c>
      <c r="R2840">
        <v>10</v>
      </c>
      <c r="S2840" s="112">
        <v>1500</v>
      </c>
      <c r="T2840" s="5">
        <f>VLOOKUP(TEXT(A2840,"yy-mm")&amp;"-"&amp;IF(AND(WEEKDAY(A2840)&gt;1,WEEKDAY(A2840)&lt;7),"Wkd",TEXT(A2840,"Ddd"))&amp;"-"&amp;TEXT(A2840,"hh"),LoadTable[],3,FALSE)*0.92</f>
        <v>209.6772</v>
      </c>
      <c r="U2840" s="113">
        <f t="shared" si="3076"/>
        <v>20.96772</v>
      </c>
      <c r="V2840">
        <f t="shared" ref="V2840:W2840" si="3101">V2816</f>
        <v>2.9</v>
      </c>
      <c r="W2840">
        <f t="shared" si="3101"/>
        <v>3.1</v>
      </c>
      <c r="X2840" s="9">
        <v>-96.664227416668794</v>
      </c>
      <c r="Y2840" s="39"/>
    </row>
    <row r="2841" spans="1:25" ht="15" thickBot="1">
      <c r="A2841" s="149">
        <f t="shared" si="3058"/>
        <v>45954.249999995096</v>
      </c>
      <c r="B2841" s="30">
        <f t="shared" si="3085"/>
        <v>8000</v>
      </c>
      <c r="C2841" s="8">
        <v>25000</v>
      </c>
      <c r="D2841" s="187">
        <v>0</v>
      </c>
      <c r="E2841" s="187">
        <v>700</v>
      </c>
      <c r="F2841" s="187">
        <v>15000</v>
      </c>
      <c r="G2841" s="30">
        <f t="shared" si="3086"/>
        <v>2470</v>
      </c>
      <c r="H2841" s="8">
        <f t="shared" si="3086"/>
        <v>25000</v>
      </c>
      <c r="I2841" s="30">
        <f t="shared" si="3087"/>
        <v>8000</v>
      </c>
      <c r="J2841" s="187">
        <v>40000</v>
      </c>
      <c r="K2841" s="30">
        <f t="shared" si="3088"/>
        <v>8000</v>
      </c>
      <c r="L2841" s="187">
        <v>40000</v>
      </c>
      <c r="M2841" s="110">
        <v>9.5</v>
      </c>
      <c r="N2841" s="9">
        <f>VLOOKUP(DATE(YEAR(A2841),MONTH(A2841),DAY(A2841)),FY24_Temp[],3,FALSE)</f>
        <v>17.399999999999999</v>
      </c>
      <c r="O2841" s="110">
        <f t="shared" si="3074"/>
        <v>11.5</v>
      </c>
      <c r="P2841" s="110">
        <f t="shared" si="3075"/>
        <v>19.5</v>
      </c>
      <c r="Q2841" s="79">
        <f>VLOOKUP(VLOOKUP(DATEVALUE(TEXT(A2841,"m/d/yyyy")),FY24_Temp[],5,FALSE)&amp;TEXT(A2841,"-h"),TempDelta[],4,FALSE)</f>
        <v>0.56542856778417316</v>
      </c>
      <c r="R2841">
        <v>10</v>
      </c>
      <c r="S2841" s="112">
        <v>1500</v>
      </c>
      <c r="T2841" s="5">
        <f>VLOOKUP(TEXT(A2841,"yy-mm")&amp;"-"&amp;IF(AND(WEEKDAY(A2841)&gt;1,WEEKDAY(A2841)&lt;7),"Wkd",TEXT(A2841,"Ddd"))&amp;"-"&amp;TEXT(A2841,"hh"),LoadTable[],3,FALSE)*0.92</f>
        <v>209.6772</v>
      </c>
      <c r="U2841" s="113">
        <f t="shared" si="3076"/>
        <v>20.96772</v>
      </c>
      <c r="V2841">
        <f t="shared" ref="V2841:W2841" si="3102">V2817</f>
        <v>2.5</v>
      </c>
      <c r="W2841">
        <f t="shared" si="3102"/>
        <v>3.1</v>
      </c>
      <c r="X2841" s="9">
        <v>-96.742021966668801</v>
      </c>
      <c r="Y2841" s="39"/>
    </row>
    <row r="2842" spans="1:25" ht="15" thickBot="1">
      <c r="A2842" s="149">
        <f t="shared" si="3058"/>
        <v>45954.29166666176</v>
      </c>
      <c r="B2842" s="30">
        <f t="shared" si="3085"/>
        <v>8000</v>
      </c>
      <c r="C2842" s="8">
        <v>25000</v>
      </c>
      <c r="D2842" s="187">
        <v>0</v>
      </c>
      <c r="E2842" s="187">
        <v>700</v>
      </c>
      <c r="F2842" s="187">
        <v>15000</v>
      </c>
      <c r="G2842" s="30">
        <f t="shared" si="3086"/>
        <v>2470</v>
      </c>
      <c r="H2842" s="8">
        <f t="shared" si="3086"/>
        <v>25000</v>
      </c>
      <c r="I2842" s="30">
        <f t="shared" si="3087"/>
        <v>8000</v>
      </c>
      <c r="J2842" s="187">
        <v>40000</v>
      </c>
      <c r="K2842" s="30">
        <f t="shared" si="3088"/>
        <v>8000</v>
      </c>
      <c r="L2842" s="187">
        <v>40000</v>
      </c>
      <c r="M2842" s="110">
        <v>9.5</v>
      </c>
      <c r="N2842" s="9">
        <f>VLOOKUP(DATE(YEAR(A2842),MONTH(A2842),DAY(A2842)),FY24_Temp[],3,FALSE)</f>
        <v>17.399999999999999</v>
      </c>
      <c r="O2842" s="110">
        <f t="shared" si="3074"/>
        <v>11.5</v>
      </c>
      <c r="P2842" s="110">
        <f t="shared" si="3075"/>
        <v>19.5</v>
      </c>
      <c r="Q2842" s="79">
        <f>VLOOKUP(VLOOKUP(DATEVALUE(TEXT(A2842,"m/d/yyyy")),FY24_Temp[],5,FALSE)&amp;TEXT(A2842,"-h"),TempDelta[],4,FALSE)</f>
        <v>0.38785713911056519</v>
      </c>
      <c r="R2842">
        <v>10</v>
      </c>
      <c r="S2842" s="112">
        <v>1500</v>
      </c>
      <c r="T2842" s="5">
        <f>VLOOKUP(TEXT(A2842,"yy-mm")&amp;"-"&amp;IF(AND(WEEKDAY(A2842)&gt;1,WEEKDAY(A2842)&lt;7),"Wkd",TEXT(A2842,"Ddd"))&amp;"-"&amp;TEXT(A2842,"hh"),LoadTable[],3,FALSE)*0.92</f>
        <v>234.80148</v>
      </c>
      <c r="U2842" s="113">
        <f t="shared" si="3076"/>
        <v>23.480148</v>
      </c>
      <c r="V2842">
        <f t="shared" ref="V2842:W2842" si="3103">V2818</f>
        <v>2.5</v>
      </c>
      <c r="W2842">
        <f t="shared" si="3103"/>
        <v>3.1</v>
      </c>
      <c r="X2842" s="9">
        <v>-96.819816516668794</v>
      </c>
      <c r="Y2842" s="39"/>
    </row>
    <row r="2843" spans="1:25" ht="15" thickBot="1">
      <c r="A2843" s="149">
        <f t="shared" si="3058"/>
        <v>45954.333333328424</v>
      </c>
      <c r="B2843" s="30">
        <f t="shared" si="3085"/>
        <v>8000</v>
      </c>
      <c r="C2843" s="8">
        <v>25000</v>
      </c>
      <c r="D2843" s="187">
        <v>0</v>
      </c>
      <c r="E2843" s="187">
        <v>700</v>
      </c>
      <c r="F2843" s="187">
        <v>15000</v>
      </c>
      <c r="G2843" s="30">
        <f t="shared" si="3086"/>
        <v>2470</v>
      </c>
      <c r="H2843" s="8">
        <f t="shared" si="3086"/>
        <v>25000</v>
      </c>
      <c r="I2843" s="30">
        <f t="shared" si="3087"/>
        <v>8000</v>
      </c>
      <c r="J2843" s="187">
        <v>40000</v>
      </c>
      <c r="K2843" s="30">
        <f t="shared" si="3088"/>
        <v>8000</v>
      </c>
      <c r="L2843" s="187">
        <v>40000</v>
      </c>
      <c r="M2843" s="110">
        <v>9.5</v>
      </c>
      <c r="N2843" s="9">
        <f>VLOOKUP(DATE(YEAR(A2843),MONTH(A2843),DAY(A2843)),FY24_Temp[],3,FALSE)</f>
        <v>17.399999999999999</v>
      </c>
      <c r="O2843" s="110">
        <f t="shared" si="3074"/>
        <v>11.5</v>
      </c>
      <c r="P2843" s="110">
        <f t="shared" si="3075"/>
        <v>19.5</v>
      </c>
      <c r="Q2843" s="79">
        <f>VLOOKUP(VLOOKUP(DATEVALUE(TEXT(A2843,"m/d/yyyy")),FY24_Temp[],5,FALSE)&amp;TEXT(A2843,"-h"),TempDelta[],4,FALSE)</f>
        <v>0.28528571341718945</v>
      </c>
      <c r="R2843">
        <v>10</v>
      </c>
      <c r="S2843" s="112">
        <v>1500</v>
      </c>
      <c r="T2843" s="5">
        <f>VLOOKUP(TEXT(A2843,"yy-mm")&amp;"-"&amp;IF(AND(WEEKDAY(A2843)&gt;1,WEEKDAY(A2843)&lt;7),"Wkd",TEXT(A2843,"Ddd"))&amp;"-"&amp;TEXT(A2843,"hh"),LoadTable[],3,FALSE)*0.92</f>
        <v>234.80148</v>
      </c>
      <c r="U2843" s="113">
        <f t="shared" si="3076"/>
        <v>23.480148</v>
      </c>
      <c r="V2843">
        <f t="shared" ref="V2843:W2843" si="3104">V2819</f>
        <v>3.2</v>
      </c>
      <c r="W2843">
        <f t="shared" si="3104"/>
        <v>3</v>
      </c>
      <c r="X2843" s="9">
        <v>-96.897611066668802</v>
      </c>
      <c r="Y2843" s="39"/>
    </row>
    <row r="2844" spans="1:25" ht="15" thickBot="1">
      <c r="A2844" s="149">
        <f t="shared" si="3058"/>
        <v>45954.374999995089</v>
      </c>
      <c r="B2844" s="30">
        <f t="shared" si="3085"/>
        <v>8000</v>
      </c>
      <c r="C2844" s="8">
        <v>25000</v>
      </c>
      <c r="D2844" s="187">
        <v>0</v>
      </c>
      <c r="E2844" s="187">
        <v>700</v>
      </c>
      <c r="F2844" s="187">
        <v>15000</v>
      </c>
      <c r="G2844" s="30">
        <f t="shared" si="3086"/>
        <v>2470</v>
      </c>
      <c r="H2844" s="8">
        <f t="shared" si="3086"/>
        <v>25000</v>
      </c>
      <c r="I2844" s="30">
        <f t="shared" si="3087"/>
        <v>8000</v>
      </c>
      <c r="J2844" s="187">
        <v>40000</v>
      </c>
      <c r="K2844" s="30">
        <f t="shared" si="3088"/>
        <v>8000</v>
      </c>
      <c r="L2844" s="187">
        <v>40000</v>
      </c>
      <c r="M2844" s="110">
        <v>9.5</v>
      </c>
      <c r="N2844" s="9">
        <f>VLOOKUP(DATE(YEAR(A2844),MONTH(A2844),DAY(A2844)),FY24_Temp[],3,FALSE)</f>
        <v>17.399999999999999</v>
      </c>
      <c r="O2844" s="110">
        <f t="shared" si="3074"/>
        <v>11.5</v>
      </c>
      <c r="P2844" s="110">
        <f t="shared" si="3075"/>
        <v>19.5</v>
      </c>
      <c r="Q2844" s="79">
        <f>VLOOKUP(VLOOKUP(DATEVALUE(TEXT(A2844,"m/d/yyyy")),FY24_Temp[],5,FALSE)&amp;TEXT(A2844,"-h"),TempDelta[],4,FALSE)</f>
        <v>0.20714286076171057</v>
      </c>
      <c r="R2844">
        <v>10</v>
      </c>
      <c r="S2844" s="112">
        <v>1500</v>
      </c>
      <c r="T2844" s="5">
        <f>VLOOKUP(TEXT(A2844,"yy-mm")&amp;"-"&amp;IF(AND(WEEKDAY(A2844)&gt;1,WEEKDAY(A2844)&lt;7),"Wkd",TEXT(A2844,"Ddd"))&amp;"-"&amp;TEXT(A2844,"hh"),LoadTable[],3,FALSE)*0.92</f>
        <v>234.80148</v>
      </c>
      <c r="U2844" s="113">
        <f t="shared" si="3076"/>
        <v>23.480148</v>
      </c>
      <c r="V2844">
        <f t="shared" ref="V2844:W2844" si="3105">V2820</f>
        <v>2.9</v>
      </c>
      <c r="W2844">
        <f t="shared" si="3105"/>
        <v>3</v>
      </c>
      <c r="X2844" s="9">
        <v>-96.975405616668894</v>
      </c>
      <c r="Y2844" s="39"/>
    </row>
    <row r="2845" spans="1:25" ht="15" thickBot="1">
      <c r="A2845" s="149">
        <f t="shared" si="3058"/>
        <v>45954.416666661753</v>
      </c>
      <c r="B2845" s="30">
        <f t="shared" si="3085"/>
        <v>8000</v>
      </c>
      <c r="C2845" s="8">
        <v>25000</v>
      </c>
      <c r="D2845" s="187">
        <v>0</v>
      </c>
      <c r="E2845" s="187">
        <v>700</v>
      </c>
      <c r="F2845" s="187">
        <v>15000</v>
      </c>
      <c r="G2845" s="30">
        <f t="shared" si="3086"/>
        <v>2470</v>
      </c>
      <c r="H2845" s="8">
        <f t="shared" si="3086"/>
        <v>25000</v>
      </c>
      <c r="I2845" s="30">
        <f t="shared" si="3087"/>
        <v>8000</v>
      </c>
      <c r="J2845" s="187">
        <v>40000</v>
      </c>
      <c r="K2845" s="30">
        <f t="shared" si="3088"/>
        <v>8000</v>
      </c>
      <c r="L2845" s="187">
        <v>40000</v>
      </c>
      <c r="M2845" s="110">
        <v>9.5</v>
      </c>
      <c r="N2845" s="9">
        <f>VLOOKUP(DATE(YEAR(A2845),MONTH(A2845),DAY(A2845)),FY24_Temp[],3,FALSE)</f>
        <v>17.399999999999999</v>
      </c>
      <c r="O2845" s="110">
        <f t="shared" si="3074"/>
        <v>11.5</v>
      </c>
      <c r="P2845" s="110">
        <f t="shared" si="3075"/>
        <v>19.5</v>
      </c>
      <c r="Q2845" s="79">
        <f>VLOOKUP(VLOOKUP(DATEVALUE(TEXT(A2845,"m/d/yyyy")),FY24_Temp[],5,FALSE)&amp;TEXT(A2845,"-h"),TempDelta[],4,FALSE)</f>
        <v>0.1155714291547026</v>
      </c>
      <c r="R2845">
        <v>10</v>
      </c>
      <c r="S2845" s="112">
        <v>1500</v>
      </c>
      <c r="T2845" s="5">
        <f>VLOOKUP(TEXT(A2845,"yy-mm")&amp;"-"&amp;IF(AND(WEEKDAY(A2845)&gt;1,WEEKDAY(A2845)&lt;7),"Wkd",TEXT(A2845,"Ddd"))&amp;"-"&amp;TEXT(A2845,"hh"),LoadTable[],3,FALSE)*0.92</f>
        <v>234.80148</v>
      </c>
      <c r="U2845" s="113">
        <f t="shared" si="3076"/>
        <v>23.480148</v>
      </c>
      <c r="V2845">
        <f t="shared" ref="V2845:W2845" si="3106">V2821</f>
        <v>2.9</v>
      </c>
      <c r="W2845">
        <f t="shared" si="3106"/>
        <v>3</v>
      </c>
      <c r="X2845" s="9">
        <v>-97.053200166668901</v>
      </c>
      <c r="Y2845" s="39"/>
    </row>
    <row r="2846" spans="1:25" ht="15" thickBot="1">
      <c r="A2846" s="149">
        <f t="shared" si="3058"/>
        <v>45954.458333328417</v>
      </c>
      <c r="B2846" s="30">
        <f t="shared" si="3085"/>
        <v>8000</v>
      </c>
      <c r="C2846" s="8">
        <v>25000</v>
      </c>
      <c r="D2846" s="187">
        <v>0</v>
      </c>
      <c r="E2846" s="187">
        <v>700</v>
      </c>
      <c r="F2846" s="187">
        <v>15000</v>
      </c>
      <c r="G2846" s="30">
        <f t="shared" si="3086"/>
        <v>2470</v>
      </c>
      <c r="H2846" s="8">
        <f t="shared" si="3086"/>
        <v>25000</v>
      </c>
      <c r="I2846" s="30">
        <f t="shared" si="3087"/>
        <v>8000</v>
      </c>
      <c r="J2846" s="187">
        <v>40000</v>
      </c>
      <c r="K2846" s="30">
        <f t="shared" si="3088"/>
        <v>8000</v>
      </c>
      <c r="L2846" s="187">
        <v>40000</v>
      </c>
      <c r="M2846" s="110">
        <v>9.5</v>
      </c>
      <c r="N2846" s="9">
        <f>VLOOKUP(DATE(YEAR(A2846),MONTH(A2846),DAY(A2846)),FY24_Temp[],3,FALSE)</f>
        <v>17.399999999999999</v>
      </c>
      <c r="O2846" s="110">
        <f t="shared" si="3074"/>
        <v>11.5</v>
      </c>
      <c r="P2846" s="110">
        <f t="shared" si="3075"/>
        <v>19.5</v>
      </c>
      <c r="Q2846" s="79">
        <f>VLOOKUP(VLOOKUP(DATEVALUE(TEXT(A2846,"m/d/yyyy")),FY24_Temp[],5,FALSE)&amp;TEXT(A2846,"-h"),TempDelta[],4,FALSE)</f>
        <v>3.9428572037390301E-2</v>
      </c>
      <c r="R2846">
        <v>10</v>
      </c>
      <c r="S2846" s="112">
        <v>1500</v>
      </c>
      <c r="T2846" s="5">
        <f>VLOOKUP(TEXT(A2846,"yy-mm")&amp;"-"&amp;IF(AND(WEEKDAY(A2846)&gt;1,WEEKDAY(A2846)&lt;7),"Wkd",TEXT(A2846,"Ddd"))&amp;"-"&amp;TEXT(A2846,"hh"),LoadTable[],3,FALSE)*0.92</f>
        <v>234.80148</v>
      </c>
      <c r="U2846" s="113">
        <f t="shared" si="3076"/>
        <v>23.480148</v>
      </c>
      <c r="V2846">
        <f t="shared" ref="V2846:W2846" si="3107">V2822</f>
        <v>3.4</v>
      </c>
      <c r="W2846">
        <f t="shared" si="3107"/>
        <v>3</v>
      </c>
      <c r="X2846" s="9">
        <v>-97.130994716668894</v>
      </c>
      <c r="Y2846" s="39"/>
    </row>
    <row r="2847" spans="1:25" ht="15" thickBot="1">
      <c r="A2847" s="149">
        <f t="shared" si="3058"/>
        <v>45954.499999995081</v>
      </c>
      <c r="B2847" s="30">
        <f t="shared" si="3085"/>
        <v>8000</v>
      </c>
      <c r="C2847" s="8">
        <v>25000</v>
      </c>
      <c r="D2847" s="187">
        <v>0</v>
      </c>
      <c r="E2847" s="187">
        <v>700</v>
      </c>
      <c r="F2847" s="187">
        <v>15000</v>
      </c>
      <c r="G2847" s="30">
        <f t="shared" si="3086"/>
        <v>2470</v>
      </c>
      <c r="H2847" s="8">
        <f t="shared" si="3086"/>
        <v>25000</v>
      </c>
      <c r="I2847" s="30">
        <f t="shared" si="3087"/>
        <v>8000</v>
      </c>
      <c r="J2847" s="187">
        <v>40000</v>
      </c>
      <c r="K2847" s="30">
        <f t="shared" si="3088"/>
        <v>8000</v>
      </c>
      <c r="L2847" s="187">
        <v>40000</v>
      </c>
      <c r="M2847" s="110">
        <v>9.5</v>
      </c>
      <c r="N2847" s="9">
        <f>VLOOKUP(DATE(YEAR(A2847),MONTH(A2847),DAY(A2847)),FY24_Temp[],3,FALSE)</f>
        <v>17.399999999999999</v>
      </c>
      <c r="O2847" s="110">
        <f t="shared" si="3074"/>
        <v>11.5</v>
      </c>
      <c r="P2847" s="110">
        <f t="shared" si="3075"/>
        <v>19.5</v>
      </c>
      <c r="Q2847" s="79">
        <f>VLOOKUP(VLOOKUP(DATEVALUE(TEXT(A2847,"m/d/yyyy")),FY24_Temp[],5,FALSE)&amp;TEXT(A2847,"-h"),TempDelta[],4,FALSE)</f>
        <v>-1.5857143327593803E-2</v>
      </c>
      <c r="R2847">
        <v>10</v>
      </c>
      <c r="S2847" s="112">
        <v>1500</v>
      </c>
      <c r="T2847" s="5">
        <f>VLOOKUP(TEXT(A2847,"yy-mm")&amp;"-"&amp;IF(AND(WEEKDAY(A2847)&gt;1,WEEKDAY(A2847)&lt;7),"Wkd",TEXT(A2847,"Ddd"))&amp;"-"&amp;TEXT(A2847,"hh"),LoadTable[],3,FALSE)*0.92</f>
        <v>234.80148</v>
      </c>
      <c r="U2847" s="113">
        <f t="shared" si="3076"/>
        <v>23.480148</v>
      </c>
      <c r="V2847">
        <f t="shared" ref="V2847:W2847" si="3108">V2823</f>
        <v>3.1</v>
      </c>
      <c r="W2847">
        <f t="shared" si="3108"/>
        <v>2.9</v>
      </c>
      <c r="X2847" s="9">
        <v>-97.208789266668902</v>
      </c>
      <c r="Y2847" s="39"/>
    </row>
    <row r="2848" spans="1:25" ht="15" thickBot="1">
      <c r="A2848" s="149">
        <f t="shared" si="3058"/>
        <v>45954.541666661746</v>
      </c>
      <c r="B2848" s="30">
        <f t="shared" si="3085"/>
        <v>8000</v>
      </c>
      <c r="C2848" s="8">
        <v>25000</v>
      </c>
      <c r="D2848" s="187">
        <v>0</v>
      </c>
      <c r="E2848" s="187">
        <v>700</v>
      </c>
      <c r="F2848" s="187">
        <v>15000</v>
      </c>
      <c r="G2848" s="30">
        <f t="shared" si="3086"/>
        <v>2470</v>
      </c>
      <c r="H2848" s="8">
        <f t="shared" si="3086"/>
        <v>25000</v>
      </c>
      <c r="I2848" s="30">
        <f t="shared" si="3087"/>
        <v>8000</v>
      </c>
      <c r="J2848" s="187">
        <v>40000</v>
      </c>
      <c r="K2848" s="30">
        <f t="shared" si="3088"/>
        <v>8000</v>
      </c>
      <c r="L2848" s="187">
        <v>40000</v>
      </c>
      <c r="M2848" s="110">
        <v>9.5</v>
      </c>
      <c r="N2848" s="9">
        <f>VLOOKUP(DATE(YEAR(A2848),MONTH(A2848),DAY(A2848)),FY24_Temp[],3,FALSE)</f>
        <v>17.399999999999999</v>
      </c>
      <c r="O2848" s="110">
        <f t="shared" si="3074"/>
        <v>11.5</v>
      </c>
      <c r="P2848" s="110">
        <f t="shared" si="3075"/>
        <v>19.5</v>
      </c>
      <c r="Q2848" s="79">
        <f>VLOOKUP(VLOOKUP(DATEVALUE(TEXT(A2848,"m/d/yyyy")),FY24_Temp[],5,FALSE)&amp;TEXT(A2848,"-h"),TempDelta[],4,FALSE)</f>
        <v>-4.142857076866286E-2</v>
      </c>
      <c r="R2848">
        <v>10</v>
      </c>
      <c r="S2848" s="112">
        <v>1500</v>
      </c>
      <c r="T2848" s="5">
        <f>VLOOKUP(TEXT(A2848,"yy-mm")&amp;"-"&amp;IF(AND(WEEKDAY(A2848)&gt;1,WEEKDAY(A2848)&lt;7),"Wkd",TEXT(A2848,"Ddd"))&amp;"-"&amp;TEXT(A2848,"hh"),LoadTable[],3,FALSE)*0.92</f>
        <v>234.80148</v>
      </c>
      <c r="U2848" s="113">
        <f t="shared" si="3076"/>
        <v>23.480148</v>
      </c>
      <c r="V2848">
        <f t="shared" ref="V2848:W2848" si="3109">V2824</f>
        <v>3.2</v>
      </c>
      <c r="W2848">
        <f t="shared" si="3109"/>
        <v>2.9</v>
      </c>
      <c r="X2848" s="9">
        <v>-97.286583816668895</v>
      </c>
      <c r="Y2848" s="39"/>
    </row>
    <row r="2849" spans="1:25" ht="15" thickBot="1">
      <c r="A2849" s="149">
        <f t="shared" si="3058"/>
        <v>45954.58333332841</v>
      </c>
      <c r="B2849" s="30">
        <f t="shared" si="3085"/>
        <v>8000</v>
      </c>
      <c r="C2849" s="8">
        <v>25000</v>
      </c>
      <c r="D2849" s="187">
        <v>0</v>
      </c>
      <c r="E2849" s="187">
        <v>700</v>
      </c>
      <c r="F2849" s="187">
        <v>15000</v>
      </c>
      <c r="G2849" s="30">
        <f t="shared" si="3086"/>
        <v>2470</v>
      </c>
      <c r="H2849" s="8">
        <f t="shared" si="3086"/>
        <v>25000</v>
      </c>
      <c r="I2849" s="30">
        <f t="shared" si="3087"/>
        <v>8000</v>
      </c>
      <c r="J2849" s="187">
        <v>40000</v>
      </c>
      <c r="K2849" s="30">
        <f t="shared" si="3088"/>
        <v>8000</v>
      </c>
      <c r="L2849" s="187">
        <v>40000</v>
      </c>
      <c r="M2849" s="110">
        <v>9.5</v>
      </c>
      <c r="N2849" s="9">
        <f>VLOOKUP(DATE(YEAR(A2849),MONTH(A2849),DAY(A2849)),FY24_Temp[],3,FALSE)</f>
        <v>17.399999999999999</v>
      </c>
      <c r="O2849" s="110">
        <f t="shared" si="3074"/>
        <v>11.5</v>
      </c>
      <c r="P2849" s="110">
        <f t="shared" si="3075"/>
        <v>19.5</v>
      </c>
      <c r="Q2849" s="79">
        <f>VLOOKUP(VLOOKUP(DATEVALUE(TEXT(A2849,"m/d/yyyy")),FY24_Temp[],5,FALSE)&amp;TEXT(A2849,"-h"),TempDelta[],4,FALSE)</f>
        <v>1.5142858826688357E-2</v>
      </c>
      <c r="R2849">
        <v>10</v>
      </c>
      <c r="S2849" s="112">
        <v>1500</v>
      </c>
      <c r="T2849" s="5">
        <f>VLOOKUP(TEXT(A2849,"yy-mm")&amp;"-"&amp;IF(AND(WEEKDAY(A2849)&gt;1,WEEKDAY(A2849)&lt;7),"Wkd",TEXT(A2849,"Ddd"))&amp;"-"&amp;TEXT(A2849,"hh"),LoadTable[],3,FALSE)*0.92</f>
        <v>234.80148</v>
      </c>
      <c r="U2849" s="113">
        <f t="shared" si="3076"/>
        <v>23.480148</v>
      </c>
      <c r="V2849">
        <f t="shared" ref="V2849:W2849" si="3110">V2825</f>
        <v>3.5</v>
      </c>
      <c r="W2849">
        <f t="shared" si="3110"/>
        <v>2.9</v>
      </c>
      <c r="X2849" s="9">
        <v>-97.364378366668902</v>
      </c>
      <c r="Y2849" s="39"/>
    </row>
    <row r="2850" spans="1:25" ht="15" thickBot="1">
      <c r="A2850" s="149">
        <f t="shared" si="3058"/>
        <v>45954.624999995074</v>
      </c>
      <c r="B2850" s="30">
        <f t="shared" si="3085"/>
        <v>8000</v>
      </c>
      <c r="C2850" s="8">
        <v>25000</v>
      </c>
      <c r="D2850" s="187">
        <v>0</v>
      </c>
      <c r="E2850" s="187">
        <v>700</v>
      </c>
      <c r="F2850" s="187">
        <v>15000</v>
      </c>
      <c r="G2850" s="30">
        <f t="shared" si="3086"/>
        <v>2470</v>
      </c>
      <c r="H2850" s="8">
        <f t="shared" si="3086"/>
        <v>25000</v>
      </c>
      <c r="I2850" s="30">
        <f t="shared" si="3087"/>
        <v>8000</v>
      </c>
      <c r="J2850" s="187">
        <v>40000</v>
      </c>
      <c r="K2850" s="30">
        <f t="shared" si="3088"/>
        <v>8000</v>
      </c>
      <c r="L2850" s="187">
        <v>40000</v>
      </c>
      <c r="M2850" s="110">
        <v>9.5</v>
      </c>
      <c r="N2850" s="9">
        <f>VLOOKUP(DATE(YEAR(A2850),MONTH(A2850),DAY(A2850)),FY24_Temp[],3,FALSE)</f>
        <v>17.399999999999999</v>
      </c>
      <c r="O2850" s="110">
        <f t="shared" si="3074"/>
        <v>11.5</v>
      </c>
      <c r="P2850" s="110">
        <f t="shared" si="3075"/>
        <v>19.5</v>
      </c>
      <c r="Q2850" s="79">
        <f>VLOOKUP(VLOOKUP(DATEVALUE(TEXT(A2850,"m/d/yyyy")),FY24_Temp[],5,FALSE)&amp;TEXT(A2850,"-h"),TempDelta[],4,FALSE)</f>
        <v>0.10157142795755394</v>
      </c>
      <c r="R2850">
        <v>10</v>
      </c>
      <c r="S2850" s="112">
        <v>1500</v>
      </c>
      <c r="T2850" s="5">
        <f>VLOOKUP(TEXT(A2850,"yy-mm")&amp;"-"&amp;IF(AND(WEEKDAY(A2850)&gt;1,WEEKDAY(A2850)&lt;7),"Wkd",TEXT(A2850,"Ddd"))&amp;"-"&amp;TEXT(A2850,"hh"),LoadTable[],3,FALSE)*0.92</f>
        <v>234.80148</v>
      </c>
      <c r="U2850" s="113">
        <f t="shared" si="3076"/>
        <v>23.480148</v>
      </c>
      <c r="V2850">
        <f t="shared" ref="V2850:W2850" si="3111">V2826</f>
        <v>3.2</v>
      </c>
      <c r="W2850">
        <f t="shared" si="3111"/>
        <v>2.9</v>
      </c>
      <c r="X2850" s="9">
        <v>-97.442172916668895</v>
      </c>
      <c r="Y2850" s="39"/>
    </row>
    <row r="2851" spans="1:25" ht="15" thickBot="1">
      <c r="A2851" s="149">
        <f t="shared" si="3058"/>
        <v>45954.666666661738</v>
      </c>
      <c r="B2851" s="30">
        <f t="shared" si="3085"/>
        <v>8000</v>
      </c>
      <c r="C2851" s="8">
        <v>25000</v>
      </c>
      <c r="D2851" s="187">
        <v>0</v>
      </c>
      <c r="E2851" s="187">
        <v>700</v>
      </c>
      <c r="F2851" s="187">
        <v>15000</v>
      </c>
      <c r="G2851" s="30">
        <f t="shared" si="3086"/>
        <v>2470</v>
      </c>
      <c r="H2851" s="8">
        <f t="shared" si="3086"/>
        <v>25000</v>
      </c>
      <c r="I2851" s="30">
        <f t="shared" si="3087"/>
        <v>8000</v>
      </c>
      <c r="J2851" s="187">
        <v>40000</v>
      </c>
      <c r="K2851" s="30">
        <f t="shared" si="3088"/>
        <v>8000</v>
      </c>
      <c r="L2851" s="187">
        <v>40000</v>
      </c>
      <c r="M2851" s="110">
        <v>9.5</v>
      </c>
      <c r="N2851" s="9">
        <f>VLOOKUP(DATE(YEAR(A2851),MONTH(A2851),DAY(A2851)),FY24_Temp[],3,FALSE)</f>
        <v>17.399999999999999</v>
      </c>
      <c r="O2851" s="110">
        <f t="shared" si="3074"/>
        <v>11.5</v>
      </c>
      <c r="P2851" s="110">
        <f t="shared" si="3075"/>
        <v>19.5</v>
      </c>
      <c r="Q2851" s="79">
        <f>VLOOKUP(VLOOKUP(DATEVALUE(TEXT(A2851,"m/d/yyyy")),FY24_Temp[],5,FALSE)&amp;TEXT(A2851,"-h"),TempDelta[],4,FALSE)</f>
        <v>0.33192857301660944</v>
      </c>
      <c r="R2851">
        <v>10</v>
      </c>
      <c r="S2851" s="112">
        <v>1500</v>
      </c>
      <c r="T2851" s="5">
        <f>VLOOKUP(TEXT(A2851,"yy-mm")&amp;"-"&amp;IF(AND(WEEKDAY(A2851)&gt;1,WEEKDAY(A2851)&lt;7),"Wkd",TEXT(A2851,"Ddd"))&amp;"-"&amp;TEXT(A2851,"hh"),LoadTable[],3,FALSE)*0.92</f>
        <v>234.80148</v>
      </c>
      <c r="U2851" s="113">
        <f t="shared" si="3076"/>
        <v>23.480148</v>
      </c>
      <c r="V2851">
        <f t="shared" ref="V2851:W2851" si="3112">V2827</f>
        <v>3.5</v>
      </c>
      <c r="W2851">
        <f t="shared" si="3112"/>
        <v>3</v>
      </c>
      <c r="X2851" s="9">
        <v>-97.519967466668902</v>
      </c>
      <c r="Y2851" s="39"/>
    </row>
    <row r="2852" spans="1:25" ht="15" thickBot="1">
      <c r="A2852" s="149">
        <f t="shared" si="3058"/>
        <v>45954.708333328403</v>
      </c>
      <c r="B2852" s="30">
        <f t="shared" si="3085"/>
        <v>8000</v>
      </c>
      <c r="C2852" s="8">
        <v>25000</v>
      </c>
      <c r="D2852" s="187">
        <v>0</v>
      </c>
      <c r="E2852" s="187">
        <v>700</v>
      </c>
      <c r="F2852" s="187">
        <v>15000</v>
      </c>
      <c r="G2852" s="30">
        <f t="shared" si="3086"/>
        <v>2470</v>
      </c>
      <c r="H2852" s="8">
        <f t="shared" si="3086"/>
        <v>25000</v>
      </c>
      <c r="I2852" s="30">
        <f t="shared" si="3087"/>
        <v>8000</v>
      </c>
      <c r="J2852" s="187">
        <v>40000</v>
      </c>
      <c r="K2852" s="30">
        <f t="shared" si="3088"/>
        <v>8000</v>
      </c>
      <c r="L2852" s="187">
        <v>40000</v>
      </c>
      <c r="M2852" s="110">
        <v>9.5</v>
      </c>
      <c r="N2852" s="9">
        <f>VLOOKUP(DATE(YEAR(A2852),MONTH(A2852),DAY(A2852)),FY24_Temp[],3,FALSE)</f>
        <v>17.399999999999999</v>
      </c>
      <c r="O2852" s="110">
        <f t="shared" si="3074"/>
        <v>11.5</v>
      </c>
      <c r="P2852" s="110">
        <f t="shared" si="3075"/>
        <v>19.5</v>
      </c>
      <c r="Q2852" s="79">
        <f>VLOOKUP(VLOOKUP(DATEVALUE(TEXT(A2852,"m/d/yyyy")),FY24_Temp[],5,FALSE)&amp;TEXT(A2852,"-h"),TempDelta[],4,FALSE)</f>
        <v>0.44464285565274103</v>
      </c>
      <c r="R2852">
        <v>10</v>
      </c>
      <c r="S2852" s="112">
        <v>1500</v>
      </c>
      <c r="T2852" s="5">
        <f>VLOOKUP(TEXT(A2852,"yy-mm")&amp;"-"&amp;IF(AND(WEEKDAY(A2852)&gt;1,WEEKDAY(A2852)&lt;7),"Wkd",TEXT(A2852,"Ddd"))&amp;"-"&amp;TEXT(A2852,"hh"),LoadTable[],3,FALSE)*0.92</f>
        <v>234.80148</v>
      </c>
      <c r="U2852" s="113">
        <f t="shared" si="3076"/>
        <v>23.480148</v>
      </c>
      <c r="V2852">
        <f t="shared" ref="V2852:W2852" si="3113">V2828</f>
        <v>3.6</v>
      </c>
      <c r="W2852">
        <f t="shared" si="3113"/>
        <v>3</v>
      </c>
      <c r="X2852" s="9">
        <v>-97.597762016668895</v>
      </c>
      <c r="Y2852" s="39"/>
    </row>
    <row r="2853" spans="1:25" ht="15" thickBot="1">
      <c r="A2853" s="149">
        <f t="shared" si="3058"/>
        <v>45954.749999995067</v>
      </c>
      <c r="B2853" s="30">
        <f t="shared" si="3085"/>
        <v>5000</v>
      </c>
      <c r="C2853" s="8">
        <v>25000</v>
      </c>
      <c r="D2853" s="187">
        <v>0</v>
      </c>
      <c r="E2853" s="187">
        <v>700</v>
      </c>
      <c r="F2853" s="187">
        <v>15000</v>
      </c>
      <c r="G2853" s="30">
        <f t="shared" si="3086"/>
        <v>2470</v>
      </c>
      <c r="H2853" s="8">
        <f t="shared" si="3086"/>
        <v>25000</v>
      </c>
      <c r="I2853" s="30">
        <f t="shared" si="3087"/>
        <v>5000</v>
      </c>
      <c r="J2853" s="187">
        <v>40000</v>
      </c>
      <c r="K2853" s="30">
        <f t="shared" si="3088"/>
        <v>5000</v>
      </c>
      <c r="L2853" s="187">
        <v>40000</v>
      </c>
      <c r="M2853" s="110">
        <v>9.5</v>
      </c>
      <c r="N2853" s="9">
        <f>VLOOKUP(DATE(YEAR(A2853),MONTH(A2853),DAY(A2853)),FY24_Temp[],3,FALSE)</f>
        <v>17.399999999999999</v>
      </c>
      <c r="O2853" s="110">
        <f t="shared" si="3074"/>
        <v>11.5</v>
      </c>
      <c r="P2853" s="110">
        <f t="shared" si="3075"/>
        <v>19.5</v>
      </c>
      <c r="Q2853" s="79">
        <f>VLOOKUP(VLOOKUP(DATEVALUE(TEXT(A2853,"m/d/yyyy")),FY24_Temp[],5,FALSE)&amp;TEXT(A2853,"-h"),TempDelta[],4,FALSE)</f>
        <v>0.57671428365366795</v>
      </c>
      <c r="R2853">
        <v>10</v>
      </c>
      <c r="S2853" s="112">
        <v>1500</v>
      </c>
      <c r="T2853" s="5">
        <f>VLOOKUP(TEXT(A2853,"yy-mm")&amp;"-"&amp;IF(AND(WEEKDAY(A2853)&gt;1,WEEKDAY(A2853)&lt;7),"Wkd",TEXT(A2853,"Ddd"))&amp;"-"&amp;TEXT(A2853,"hh"),LoadTable[],3,FALSE)*0.92</f>
        <v>303.31295999999998</v>
      </c>
      <c r="U2853" s="113">
        <f t="shared" si="3076"/>
        <v>30.331295999999998</v>
      </c>
      <c r="V2853">
        <f t="shared" ref="V2853:W2853" si="3114">V2829</f>
        <v>2.9</v>
      </c>
      <c r="W2853">
        <f t="shared" si="3114"/>
        <v>3</v>
      </c>
      <c r="X2853" s="9">
        <v>-97.675556566668902</v>
      </c>
      <c r="Y2853" s="39"/>
    </row>
    <row r="2854" spans="1:25" ht="15" thickBot="1">
      <c r="A2854" s="149">
        <f t="shared" si="3058"/>
        <v>45954.791666661731</v>
      </c>
      <c r="B2854" s="30">
        <f t="shared" si="3085"/>
        <v>5000</v>
      </c>
      <c r="C2854" s="8">
        <v>25000</v>
      </c>
      <c r="D2854" s="187">
        <v>0</v>
      </c>
      <c r="E2854" s="187">
        <v>700</v>
      </c>
      <c r="F2854" s="187">
        <v>15000</v>
      </c>
      <c r="G2854" s="30">
        <f t="shared" si="3086"/>
        <v>2470</v>
      </c>
      <c r="H2854" s="8">
        <f t="shared" si="3086"/>
        <v>25000</v>
      </c>
      <c r="I2854" s="30">
        <f t="shared" si="3087"/>
        <v>5000</v>
      </c>
      <c r="J2854" s="187">
        <v>40000</v>
      </c>
      <c r="K2854" s="30">
        <f t="shared" si="3088"/>
        <v>5000</v>
      </c>
      <c r="L2854" s="187">
        <v>40000</v>
      </c>
      <c r="M2854" s="110">
        <v>9.5</v>
      </c>
      <c r="N2854" s="9">
        <f>VLOOKUP(DATE(YEAR(A2854),MONTH(A2854),DAY(A2854)),FY24_Temp[],3,FALSE)</f>
        <v>17.399999999999999</v>
      </c>
      <c r="O2854" s="110">
        <f t="shared" si="3074"/>
        <v>11.5</v>
      </c>
      <c r="P2854" s="110">
        <f t="shared" si="3075"/>
        <v>19.5</v>
      </c>
      <c r="Q2854" s="79">
        <f>VLOOKUP(VLOOKUP(DATEVALUE(TEXT(A2854,"m/d/yyyy")),FY24_Temp[],5,FALSE)&amp;TEXT(A2854,"-h"),TempDelta[],4,FALSE)</f>
        <v>0.5747142945017133</v>
      </c>
      <c r="R2854">
        <v>10</v>
      </c>
      <c r="S2854" s="112">
        <v>1500</v>
      </c>
      <c r="T2854" s="5">
        <f>VLOOKUP(TEXT(A2854,"yy-mm")&amp;"-"&amp;IF(AND(WEEKDAY(A2854)&gt;1,WEEKDAY(A2854)&lt;7),"Wkd",TEXT(A2854,"Ddd"))&amp;"-"&amp;TEXT(A2854,"hh"),LoadTable[],3,FALSE)*0.92</f>
        <v>303.31295999999998</v>
      </c>
      <c r="U2854" s="113">
        <f t="shared" si="3076"/>
        <v>30.331295999999998</v>
      </c>
      <c r="V2854">
        <f t="shared" ref="V2854:W2854" si="3115">V2830</f>
        <v>3</v>
      </c>
      <c r="W2854">
        <f t="shared" si="3115"/>
        <v>3</v>
      </c>
      <c r="X2854" s="9">
        <v>-97.753351116668895</v>
      </c>
      <c r="Y2854" s="39"/>
    </row>
    <row r="2855" spans="1:25" ht="15" thickBot="1">
      <c r="A2855" s="149">
        <f t="shared" si="3058"/>
        <v>45954.833333328395</v>
      </c>
      <c r="B2855" s="30">
        <f t="shared" si="3085"/>
        <v>5000</v>
      </c>
      <c r="C2855" s="8">
        <v>25000</v>
      </c>
      <c r="D2855" s="187">
        <v>0</v>
      </c>
      <c r="E2855" s="187">
        <v>700</v>
      </c>
      <c r="F2855" s="187">
        <v>15000</v>
      </c>
      <c r="G2855" s="30">
        <f t="shared" si="3086"/>
        <v>2470</v>
      </c>
      <c r="H2855" s="8">
        <f t="shared" si="3086"/>
        <v>25000</v>
      </c>
      <c r="I2855" s="30">
        <f t="shared" si="3087"/>
        <v>5000</v>
      </c>
      <c r="J2855" s="187">
        <v>40000</v>
      </c>
      <c r="K2855" s="30">
        <f t="shared" si="3088"/>
        <v>5000</v>
      </c>
      <c r="L2855" s="187">
        <v>40000</v>
      </c>
      <c r="M2855" s="110">
        <v>9.5</v>
      </c>
      <c r="N2855" s="9">
        <f>VLOOKUP(DATE(YEAR(A2855),MONTH(A2855),DAY(A2855)),FY24_Temp[],3,FALSE)</f>
        <v>17.399999999999999</v>
      </c>
      <c r="O2855" s="110">
        <f t="shared" si="3074"/>
        <v>11.5</v>
      </c>
      <c r="P2855" s="110">
        <f t="shared" si="3075"/>
        <v>19.5</v>
      </c>
      <c r="Q2855" s="79">
        <f>VLOOKUP(VLOOKUP(DATEVALUE(TEXT(A2855,"m/d/yyyy")),FY24_Temp[],5,FALSE)&amp;TEXT(A2855,"-h"),TempDelta[],4,FALSE)</f>
        <v>0.58807142717497685</v>
      </c>
      <c r="R2855">
        <v>10</v>
      </c>
      <c r="S2855" s="112">
        <v>1500</v>
      </c>
      <c r="T2855" s="5">
        <f>VLOOKUP(TEXT(A2855,"yy-mm")&amp;"-"&amp;IF(AND(WEEKDAY(A2855)&gt;1,WEEKDAY(A2855)&lt;7),"Wkd",TEXT(A2855,"Ddd"))&amp;"-"&amp;TEXT(A2855,"hh"),LoadTable[],3,FALSE)*0.92</f>
        <v>303.31295999999998</v>
      </c>
      <c r="U2855" s="113">
        <f t="shared" si="3076"/>
        <v>30.331295999999998</v>
      </c>
      <c r="V2855">
        <f t="shared" ref="V2855:W2855" si="3116">V2831</f>
        <v>2.8</v>
      </c>
      <c r="W2855">
        <f t="shared" si="3116"/>
        <v>3.1</v>
      </c>
      <c r="X2855" s="9">
        <v>-97.831145666668903</v>
      </c>
      <c r="Y2855" s="39"/>
    </row>
    <row r="2856" spans="1:25" ht="15" thickBot="1">
      <c r="A2856" s="149">
        <f t="shared" si="3058"/>
        <v>45954.87499999506</v>
      </c>
      <c r="B2856" s="30">
        <f t="shared" si="3085"/>
        <v>5000</v>
      </c>
      <c r="C2856" s="8">
        <v>25000</v>
      </c>
      <c r="D2856" s="187">
        <v>0</v>
      </c>
      <c r="E2856" s="187">
        <v>700</v>
      </c>
      <c r="F2856" s="187">
        <v>15000</v>
      </c>
      <c r="G2856" s="30">
        <f t="shared" si="3086"/>
        <v>2470</v>
      </c>
      <c r="H2856" s="8">
        <f t="shared" si="3086"/>
        <v>25000</v>
      </c>
      <c r="I2856" s="30">
        <f t="shared" si="3087"/>
        <v>5000</v>
      </c>
      <c r="J2856" s="187">
        <v>40000</v>
      </c>
      <c r="K2856" s="30">
        <f t="shared" si="3088"/>
        <v>5000</v>
      </c>
      <c r="L2856" s="187">
        <v>40000</v>
      </c>
      <c r="M2856" s="110">
        <v>9.5</v>
      </c>
      <c r="N2856" s="9">
        <f>VLOOKUP(DATE(YEAR(A2856),MONTH(A2856),DAY(A2856)),FY24_Temp[],3,FALSE)</f>
        <v>17.399999999999999</v>
      </c>
      <c r="O2856" s="110">
        <f t="shared" si="3074"/>
        <v>11.5</v>
      </c>
      <c r="P2856" s="110">
        <f t="shared" si="3075"/>
        <v>19.5</v>
      </c>
      <c r="Q2856" s="79">
        <f>VLOOKUP(VLOOKUP(DATEVALUE(TEXT(A2856,"m/d/yyyy")),FY24_Temp[],5,FALSE)&amp;TEXT(A2856,"-h"),TempDelta[],4,FALSE)</f>
        <v>0.58742856766496387</v>
      </c>
      <c r="R2856">
        <v>10</v>
      </c>
      <c r="S2856" s="112">
        <v>1500</v>
      </c>
      <c r="T2856" s="5">
        <f>VLOOKUP(TEXT(A2856,"yy-mm")&amp;"-"&amp;IF(AND(WEEKDAY(A2856)&gt;1,WEEKDAY(A2856)&lt;7),"Wkd",TEXT(A2856,"Ddd"))&amp;"-"&amp;TEXT(A2856,"hh"),LoadTable[],3,FALSE)*0.92</f>
        <v>229.93744000000001</v>
      </c>
      <c r="U2856" s="113">
        <f t="shared" si="3076"/>
        <v>22.993744</v>
      </c>
      <c r="V2856">
        <f t="shared" ref="V2856:W2856" si="3117">V2832</f>
        <v>3.5</v>
      </c>
      <c r="W2856">
        <f t="shared" si="3117"/>
        <v>3.1</v>
      </c>
      <c r="X2856" s="9">
        <v>-97.908940216668896</v>
      </c>
      <c r="Y2856" s="39"/>
    </row>
    <row r="2857" spans="1:25" ht="15" thickBot="1">
      <c r="A2857" s="149">
        <f t="shared" si="3058"/>
        <v>45954.916666661724</v>
      </c>
      <c r="B2857" s="30">
        <f t="shared" si="3085"/>
        <v>5000</v>
      </c>
      <c r="C2857" s="8">
        <v>25000</v>
      </c>
      <c r="D2857" s="187">
        <v>0</v>
      </c>
      <c r="E2857" s="187">
        <v>700</v>
      </c>
      <c r="F2857" s="187">
        <v>15000</v>
      </c>
      <c r="G2857" s="30">
        <f t="shared" si="3086"/>
        <v>2470</v>
      </c>
      <c r="H2857" s="8">
        <f t="shared" si="3086"/>
        <v>25000</v>
      </c>
      <c r="I2857" s="30">
        <f t="shared" si="3087"/>
        <v>5000</v>
      </c>
      <c r="J2857" s="187">
        <v>40000</v>
      </c>
      <c r="K2857" s="30">
        <f t="shared" si="3088"/>
        <v>5000</v>
      </c>
      <c r="L2857" s="187">
        <v>40000</v>
      </c>
      <c r="M2857" s="110">
        <v>9.5</v>
      </c>
      <c r="N2857" s="9">
        <f>VLOOKUP(DATE(YEAR(A2857),MONTH(A2857),DAY(A2857)),FY24_Temp[],3,FALSE)</f>
        <v>17.399999999999999</v>
      </c>
      <c r="O2857" s="110">
        <f t="shared" si="3074"/>
        <v>11.5</v>
      </c>
      <c r="P2857" s="110">
        <f t="shared" si="3075"/>
        <v>19.5</v>
      </c>
      <c r="Q2857" s="79">
        <f>VLOOKUP(VLOOKUP(DATEVALUE(TEXT(A2857,"m/d/yyyy")),FY24_Temp[],5,FALSE)&amp;TEXT(A2857,"-h"),TempDelta[],4,FALSE)</f>
        <v>0.81528571673801964</v>
      </c>
      <c r="R2857">
        <v>10</v>
      </c>
      <c r="S2857" s="112">
        <v>1500</v>
      </c>
      <c r="T2857" s="5">
        <f>VLOOKUP(TEXT(A2857,"yy-mm")&amp;"-"&amp;IF(AND(WEEKDAY(A2857)&gt;1,WEEKDAY(A2857)&lt;7),"Wkd",TEXT(A2857,"Ddd"))&amp;"-"&amp;TEXT(A2857,"hh"),LoadTable[],3,FALSE)*0.92</f>
        <v>176.52040000000002</v>
      </c>
      <c r="U2857" s="113">
        <f t="shared" si="3076"/>
        <v>17.652040000000003</v>
      </c>
      <c r="V2857">
        <f t="shared" ref="V2857:W2857" si="3118">V2833</f>
        <v>2.9</v>
      </c>
      <c r="W2857">
        <f t="shared" si="3118"/>
        <v>3.1</v>
      </c>
      <c r="X2857" s="9">
        <v>-97.986734766669002</v>
      </c>
      <c r="Y2857" s="39"/>
    </row>
    <row r="2858" spans="1:25" ht="15" thickBot="1">
      <c r="A2858" s="149">
        <f t="shared" si="3058"/>
        <v>45954.958333328388</v>
      </c>
      <c r="B2858" s="30">
        <f t="shared" si="3085"/>
        <v>5000</v>
      </c>
      <c r="C2858" s="8">
        <v>25000</v>
      </c>
      <c r="D2858" s="187">
        <v>0</v>
      </c>
      <c r="E2858" s="187">
        <v>700</v>
      </c>
      <c r="F2858" s="187">
        <v>15000</v>
      </c>
      <c r="G2858" s="30">
        <f t="shared" si="3086"/>
        <v>2470</v>
      </c>
      <c r="H2858" s="8">
        <f t="shared" si="3086"/>
        <v>25000</v>
      </c>
      <c r="I2858" s="30">
        <f t="shared" si="3087"/>
        <v>5000</v>
      </c>
      <c r="J2858" s="187">
        <v>40000</v>
      </c>
      <c r="K2858" s="30">
        <f t="shared" si="3088"/>
        <v>5000</v>
      </c>
      <c r="L2858" s="187">
        <v>40000</v>
      </c>
      <c r="M2858" s="110">
        <v>9.5</v>
      </c>
      <c r="N2858" s="9">
        <f>VLOOKUP(DATE(YEAR(A2858),MONTH(A2858),DAY(A2858)),FY24_Temp[],3,FALSE)</f>
        <v>17.399999999999999</v>
      </c>
      <c r="O2858" s="110">
        <f t="shared" si="3074"/>
        <v>11.5</v>
      </c>
      <c r="P2858" s="110">
        <f t="shared" si="3075"/>
        <v>19.5</v>
      </c>
      <c r="Q2858" s="79">
        <f>VLOOKUP(VLOOKUP(DATEVALUE(TEXT(A2858,"m/d/yyyy")),FY24_Temp[],5,FALSE)&amp;TEXT(A2858,"-h"),TempDelta[],4,FALSE)</f>
        <v>0.93885714667184017</v>
      </c>
      <c r="R2858">
        <v>10</v>
      </c>
      <c r="S2858" s="112">
        <v>1500</v>
      </c>
      <c r="T2858" s="5">
        <f>VLOOKUP(TEXT(A2858,"yy-mm")&amp;"-"&amp;IF(AND(WEEKDAY(A2858)&gt;1,WEEKDAY(A2858)&lt;7),"Wkd",TEXT(A2858,"Ddd"))&amp;"-"&amp;TEXT(A2858,"hh"),LoadTable[],3,FALSE)*0.92</f>
        <v>176.52040000000002</v>
      </c>
      <c r="U2858" s="113">
        <f t="shared" si="3076"/>
        <v>17.652040000000003</v>
      </c>
      <c r="V2858">
        <f t="shared" ref="V2858:W2858" si="3119">V2834</f>
        <v>3.6</v>
      </c>
      <c r="W2858">
        <f t="shared" si="3119"/>
        <v>3.1</v>
      </c>
      <c r="X2858" s="9">
        <v>-98.064529316668995</v>
      </c>
      <c r="Y2858" s="39"/>
    </row>
    <row r="2859" spans="1:25" ht="15" thickBot="1">
      <c r="A2859" s="149">
        <f t="shared" si="3058"/>
        <v>45954.999999995052</v>
      </c>
      <c r="B2859" s="30">
        <f t="shared" si="3085"/>
        <v>5000</v>
      </c>
      <c r="C2859" s="109">
        <v>25000</v>
      </c>
      <c r="D2859" s="187">
        <v>0</v>
      </c>
      <c r="E2859" s="187">
        <v>700</v>
      </c>
      <c r="F2859" s="187">
        <v>15000</v>
      </c>
      <c r="G2859" s="30">
        <f t="shared" si="3086"/>
        <v>2470</v>
      </c>
      <c r="H2859" s="8">
        <f t="shared" si="3086"/>
        <v>25000</v>
      </c>
      <c r="I2859" s="30">
        <f t="shared" si="3087"/>
        <v>5000</v>
      </c>
      <c r="J2859" s="187">
        <v>40000</v>
      </c>
      <c r="K2859" s="30">
        <f t="shared" si="3088"/>
        <v>5000</v>
      </c>
      <c r="L2859" s="187">
        <v>40000</v>
      </c>
      <c r="M2859" s="110">
        <v>9.5</v>
      </c>
      <c r="N2859" s="9">
        <f>VLOOKUP(DATE(YEAR(A2859),MONTH(A2859),DAY(A2859)),FY24_Temp[],3,FALSE)</f>
        <v>17.5</v>
      </c>
      <c r="O2859" s="110">
        <f t="shared" si="3074"/>
        <v>11.5</v>
      </c>
      <c r="P2859" s="110">
        <f t="shared" si="3075"/>
        <v>19.5</v>
      </c>
      <c r="Q2859" s="79">
        <f>VLOOKUP(VLOOKUP(DATEVALUE(TEXT(A2859,"m/d/yyyy")),FY24_Temp[],5,FALSE)&amp;TEXT(A2859,"-h"),TempDelta[],4,FALSE)</f>
        <v>0.73420000076293945</v>
      </c>
      <c r="R2859">
        <v>10</v>
      </c>
      <c r="S2859" s="112">
        <v>1500</v>
      </c>
      <c r="T2859" s="5">
        <f>VLOOKUP(TEXT(A2859,"yy-mm")&amp;"-"&amp;IF(AND(WEEKDAY(A2859)&gt;1,WEEKDAY(A2859)&lt;7),"Wkd",TEXT(A2859,"Ddd"))&amp;"-"&amp;TEXT(A2859,"hh"),LoadTable[],3,FALSE)*0.92</f>
        <v>176.52040000000002</v>
      </c>
      <c r="U2859" s="113">
        <f t="shared" si="3076"/>
        <v>17.652040000000003</v>
      </c>
      <c r="V2859">
        <f t="shared" ref="V2859:W2859" si="3120">V2835</f>
        <v>3</v>
      </c>
      <c r="W2859">
        <f t="shared" si="3120"/>
        <v>3.2</v>
      </c>
      <c r="X2859" s="9">
        <v>-98.142323866669003</v>
      </c>
      <c r="Y2859" s="39"/>
    </row>
    <row r="2860" spans="1:25" ht="15" thickBot="1">
      <c r="A2860" s="149">
        <f t="shared" si="3058"/>
        <v>45955.041666661717</v>
      </c>
      <c r="B2860" s="30">
        <f t="shared" si="3085"/>
        <v>5000</v>
      </c>
      <c r="C2860" s="8">
        <v>25000</v>
      </c>
      <c r="D2860" s="187">
        <v>0</v>
      </c>
      <c r="E2860" s="187">
        <v>700</v>
      </c>
      <c r="F2860" s="187">
        <v>15000</v>
      </c>
      <c r="G2860" s="30">
        <f t="shared" si="3086"/>
        <v>2470</v>
      </c>
      <c r="H2860" s="8">
        <f t="shared" si="3086"/>
        <v>25000</v>
      </c>
      <c r="I2860" s="30">
        <f t="shared" si="3087"/>
        <v>5000</v>
      </c>
      <c r="J2860" s="187">
        <v>40000</v>
      </c>
      <c r="K2860" s="30">
        <f t="shared" si="3088"/>
        <v>5000</v>
      </c>
      <c r="L2860" s="187">
        <v>40000</v>
      </c>
      <c r="M2860" s="110">
        <v>9.5</v>
      </c>
      <c r="N2860" s="9">
        <f>VLOOKUP(DATE(YEAR(A2860),MONTH(A2860),DAY(A2860)),FY24_Temp[],3,FALSE)</f>
        <v>17.5</v>
      </c>
      <c r="O2860" s="110">
        <f t="shared" si="3074"/>
        <v>11.5</v>
      </c>
      <c r="P2860" s="110">
        <f t="shared" si="3075"/>
        <v>19.5</v>
      </c>
      <c r="Q2860" s="79">
        <f>VLOOKUP(VLOOKUP(DATEVALUE(TEXT(A2860,"m/d/yyyy")),FY24_Temp[],5,FALSE)&amp;TEXT(A2860,"-h"),TempDelta[],4,FALSE)</f>
        <v>0.69179999828338623</v>
      </c>
      <c r="R2860">
        <v>10</v>
      </c>
      <c r="S2860" s="112">
        <v>1500</v>
      </c>
      <c r="T2860" s="5">
        <f>VLOOKUP(TEXT(A2860,"yy-mm")&amp;"-"&amp;IF(AND(WEEKDAY(A2860)&gt;1,WEEKDAY(A2860)&lt;7),"Wkd",TEXT(A2860,"Ddd"))&amp;"-"&amp;TEXT(A2860,"hh"),LoadTable[],3,FALSE)*0.92</f>
        <v>176.52040000000002</v>
      </c>
      <c r="U2860" s="113">
        <f t="shared" si="3076"/>
        <v>17.652040000000003</v>
      </c>
      <c r="V2860">
        <f t="shared" ref="V2860:W2860" si="3121">V2836</f>
        <v>2.6</v>
      </c>
      <c r="W2860">
        <f t="shared" si="3121"/>
        <v>3.2</v>
      </c>
      <c r="X2860" s="9">
        <v>-98.220118416668996</v>
      </c>
      <c r="Y2860" s="39"/>
    </row>
    <row r="2861" spans="1:25" ht="15" thickBot="1">
      <c r="A2861" s="149">
        <f t="shared" si="3058"/>
        <v>45955.083333328381</v>
      </c>
      <c r="B2861" s="30">
        <f t="shared" si="3085"/>
        <v>5000</v>
      </c>
      <c r="C2861" s="8">
        <v>25000</v>
      </c>
      <c r="D2861" s="187">
        <v>0</v>
      </c>
      <c r="E2861" s="187">
        <v>700</v>
      </c>
      <c r="F2861" s="187">
        <v>15000</v>
      </c>
      <c r="G2861" s="30">
        <f t="shared" si="3086"/>
        <v>2470</v>
      </c>
      <c r="H2861" s="8">
        <f t="shared" si="3086"/>
        <v>25000</v>
      </c>
      <c r="I2861" s="30">
        <f t="shared" si="3087"/>
        <v>5000</v>
      </c>
      <c r="J2861" s="187">
        <v>40000</v>
      </c>
      <c r="K2861" s="30">
        <f t="shared" si="3088"/>
        <v>5000</v>
      </c>
      <c r="L2861" s="187">
        <v>40000</v>
      </c>
      <c r="M2861" s="110">
        <v>9.5</v>
      </c>
      <c r="N2861" s="9">
        <f>VLOOKUP(DATE(YEAR(A2861),MONTH(A2861),DAY(A2861)),FY24_Temp[],3,FALSE)</f>
        <v>17.5</v>
      </c>
      <c r="O2861" s="110">
        <f t="shared" si="3074"/>
        <v>11.5</v>
      </c>
      <c r="P2861" s="110">
        <f t="shared" si="3075"/>
        <v>19.5</v>
      </c>
      <c r="Q2861" s="79">
        <f>VLOOKUP(VLOOKUP(DATEVALUE(TEXT(A2861,"m/d/yyyy")),FY24_Temp[],5,FALSE)&amp;TEXT(A2861,"-h"),TempDelta[],4,FALSE)</f>
        <v>0.64100000262260437</v>
      </c>
      <c r="R2861">
        <v>10</v>
      </c>
      <c r="S2861" s="112">
        <v>1500</v>
      </c>
      <c r="T2861" s="5">
        <f>VLOOKUP(TEXT(A2861,"yy-mm")&amp;"-"&amp;IF(AND(WEEKDAY(A2861)&gt;1,WEEKDAY(A2861)&lt;7),"Wkd",TEXT(A2861,"Ddd"))&amp;"-"&amp;TEXT(A2861,"hh"),LoadTable[],3,FALSE)*0.92</f>
        <v>176.52040000000002</v>
      </c>
      <c r="U2861" s="113">
        <f t="shared" si="3076"/>
        <v>17.652040000000003</v>
      </c>
      <c r="V2861">
        <f t="shared" ref="V2861:W2861" si="3122">V2837</f>
        <v>2.8</v>
      </c>
      <c r="W2861">
        <f t="shared" si="3122"/>
        <v>3.2</v>
      </c>
      <c r="X2861" s="9">
        <v>-98.297912966669003</v>
      </c>
      <c r="Y2861" s="39"/>
    </row>
    <row r="2862" spans="1:25" ht="15" thickBot="1">
      <c r="A2862" s="149">
        <f t="shared" si="3058"/>
        <v>45955.124999995045</v>
      </c>
      <c r="B2862" s="30">
        <f t="shared" si="3085"/>
        <v>5000</v>
      </c>
      <c r="C2862" s="8">
        <v>25000</v>
      </c>
      <c r="D2862" s="187">
        <v>0</v>
      </c>
      <c r="E2862" s="187">
        <v>700</v>
      </c>
      <c r="F2862" s="187">
        <v>15000</v>
      </c>
      <c r="G2862" s="30">
        <f t="shared" si="3086"/>
        <v>2470</v>
      </c>
      <c r="H2862" s="8">
        <f t="shared" si="3086"/>
        <v>25000</v>
      </c>
      <c r="I2862" s="30">
        <f t="shared" si="3087"/>
        <v>5000</v>
      </c>
      <c r="J2862" s="187">
        <v>40000</v>
      </c>
      <c r="K2862" s="30">
        <f t="shared" si="3088"/>
        <v>5000</v>
      </c>
      <c r="L2862" s="187">
        <v>40000</v>
      </c>
      <c r="M2862" s="110">
        <v>9.5</v>
      </c>
      <c r="N2862" s="9">
        <f>VLOOKUP(DATE(YEAR(A2862),MONTH(A2862),DAY(A2862)),FY24_Temp[],3,FALSE)</f>
        <v>17.5</v>
      </c>
      <c r="O2862" s="110">
        <f t="shared" si="3074"/>
        <v>11.5</v>
      </c>
      <c r="P2862" s="110">
        <f t="shared" si="3075"/>
        <v>19.5</v>
      </c>
      <c r="Q2862" s="79">
        <f>VLOOKUP(VLOOKUP(DATEVALUE(TEXT(A2862,"m/d/yyyy")),FY24_Temp[],5,FALSE)&amp;TEXT(A2862,"-h"),TempDelta[],4,FALSE)</f>
        <v>0.53599998354911804</v>
      </c>
      <c r="R2862">
        <v>10</v>
      </c>
      <c r="S2862" s="112">
        <v>1500</v>
      </c>
      <c r="T2862" s="5">
        <f>VLOOKUP(TEXT(A2862,"yy-mm")&amp;"-"&amp;IF(AND(WEEKDAY(A2862)&gt;1,WEEKDAY(A2862)&lt;7),"Wkd",TEXT(A2862,"Ddd"))&amp;"-"&amp;TEXT(A2862,"hh"),LoadTable[],3,FALSE)*0.92</f>
        <v>176.52040000000002</v>
      </c>
      <c r="U2862" s="113">
        <f t="shared" si="3076"/>
        <v>17.652040000000003</v>
      </c>
      <c r="V2862">
        <f t="shared" ref="V2862:W2862" si="3123">V2838</f>
        <v>2.7</v>
      </c>
      <c r="W2862">
        <f t="shared" si="3123"/>
        <v>3.2</v>
      </c>
      <c r="X2862" s="9">
        <v>-98.375707516668996</v>
      </c>
      <c r="Y2862" s="39"/>
    </row>
    <row r="2863" spans="1:25" ht="15" thickBot="1">
      <c r="A2863" s="149">
        <f t="shared" si="3058"/>
        <v>45955.166666661709</v>
      </c>
      <c r="B2863" s="30">
        <f t="shared" si="3085"/>
        <v>5000</v>
      </c>
      <c r="C2863" s="8">
        <v>25000</v>
      </c>
      <c r="D2863" s="187">
        <v>0</v>
      </c>
      <c r="E2863" s="187">
        <v>700</v>
      </c>
      <c r="F2863" s="187">
        <v>15000</v>
      </c>
      <c r="G2863" s="30">
        <f t="shared" si="3086"/>
        <v>2470</v>
      </c>
      <c r="H2863" s="8">
        <f t="shared" si="3086"/>
        <v>25000</v>
      </c>
      <c r="I2863" s="30">
        <f t="shared" si="3087"/>
        <v>5000</v>
      </c>
      <c r="J2863" s="187">
        <v>40000</v>
      </c>
      <c r="K2863" s="30">
        <f t="shared" si="3088"/>
        <v>5000</v>
      </c>
      <c r="L2863" s="187">
        <v>40000</v>
      </c>
      <c r="M2863" s="110">
        <v>9.5</v>
      </c>
      <c r="N2863" s="9">
        <f>VLOOKUP(DATE(YEAR(A2863),MONTH(A2863),DAY(A2863)),FY24_Temp[],3,FALSE)</f>
        <v>17.5</v>
      </c>
      <c r="O2863" s="110">
        <f t="shared" si="3074"/>
        <v>11.5</v>
      </c>
      <c r="P2863" s="110">
        <f t="shared" si="3075"/>
        <v>19.5</v>
      </c>
      <c r="Q2863" s="79">
        <f>VLOOKUP(VLOOKUP(DATEVALUE(TEXT(A2863,"m/d/yyyy")),FY24_Temp[],5,FALSE)&amp;TEXT(A2863,"-h"),TempDelta[],4,FALSE)</f>
        <v>0.43825000524520874</v>
      </c>
      <c r="R2863">
        <v>10</v>
      </c>
      <c r="S2863" s="112">
        <v>1500</v>
      </c>
      <c r="T2863" s="5">
        <f>VLOOKUP(TEXT(A2863,"yy-mm")&amp;"-"&amp;IF(AND(WEEKDAY(A2863)&gt;1,WEEKDAY(A2863)&lt;7),"Wkd",TEXT(A2863,"Ddd"))&amp;"-"&amp;TEXT(A2863,"hh"),LoadTable[],3,FALSE)*0.92</f>
        <v>176.52040000000002</v>
      </c>
      <c r="U2863" s="113">
        <f t="shared" si="3076"/>
        <v>17.652040000000003</v>
      </c>
      <c r="V2863">
        <f t="shared" ref="V2863:W2863" si="3124">V2839</f>
        <v>3</v>
      </c>
      <c r="W2863">
        <f t="shared" si="3124"/>
        <v>3.1</v>
      </c>
      <c r="X2863" s="9">
        <v>-98.453502066669003</v>
      </c>
      <c r="Y2863" s="39"/>
    </row>
    <row r="2864" spans="1:25" ht="15" thickBot="1">
      <c r="A2864" s="149">
        <f t="shared" si="3058"/>
        <v>45955.208333328374</v>
      </c>
      <c r="B2864" s="30">
        <f t="shared" si="3085"/>
        <v>5000</v>
      </c>
      <c r="C2864" s="8">
        <v>25000</v>
      </c>
      <c r="D2864" s="187">
        <v>0</v>
      </c>
      <c r="E2864" s="187">
        <v>700</v>
      </c>
      <c r="F2864" s="187">
        <v>15000</v>
      </c>
      <c r="G2864" s="30">
        <f t="shared" si="3086"/>
        <v>2470</v>
      </c>
      <c r="H2864" s="8">
        <f t="shared" si="3086"/>
        <v>25000</v>
      </c>
      <c r="I2864" s="30">
        <f t="shared" si="3087"/>
        <v>5000</v>
      </c>
      <c r="J2864" s="187">
        <v>40000</v>
      </c>
      <c r="K2864" s="30">
        <f t="shared" si="3088"/>
        <v>5000</v>
      </c>
      <c r="L2864" s="187">
        <v>40000</v>
      </c>
      <c r="M2864" s="110">
        <v>9.5</v>
      </c>
      <c r="N2864" s="9">
        <f>VLOOKUP(DATE(YEAR(A2864),MONTH(A2864),DAY(A2864)),FY24_Temp[],3,FALSE)</f>
        <v>17.5</v>
      </c>
      <c r="O2864" s="110">
        <f t="shared" si="3074"/>
        <v>11.5</v>
      </c>
      <c r="P2864" s="110">
        <f t="shared" si="3075"/>
        <v>19.5</v>
      </c>
      <c r="Q2864" s="79">
        <f>VLOOKUP(VLOOKUP(DATEVALUE(TEXT(A2864,"m/d/yyyy")),FY24_Temp[],5,FALSE)&amp;TEXT(A2864,"-h"),TempDelta[],4,FALSE)</f>
        <v>0.42975000292062759</v>
      </c>
      <c r="R2864">
        <v>10</v>
      </c>
      <c r="S2864" s="112">
        <v>1500</v>
      </c>
      <c r="T2864" s="5">
        <f>VLOOKUP(TEXT(A2864,"yy-mm")&amp;"-"&amp;IF(AND(WEEKDAY(A2864)&gt;1,WEEKDAY(A2864)&lt;7),"Wkd",TEXT(A2864,"Ddd"))&amp;"-"&amp;TEXT(A2864,"hh"),LoadTable[],3,FALSE)*0.92</f>
        <v>176.52040000000002</v>
      </c>
      <c r="U2864" s="113">
        <f t="shared" si="3076"/>
        <v>17.652040000000003</v>
      </c>
      <c r="V2864">
        <f t="shared" ref="V2864:W2864" si="3125">V2840</f>
        <v>2.9</v>
      </c>
      <c r="W2864">
        <f t="shared" si="3125"/>
        <v>3.1</v>
      </c>
      <c r="X2864" s="9">
        <v>-98.531296616668996</v>
      </c>
      <c r="Y2864" s="39"/>
    </row>
    <row r="2865" spans="1:25" ht="15" thickBot="1">
      <c r="A2865" s="149">
        <f t="shared" si="3058"/>
        <v>45955.249999995038</v>
      </c>
      <c r="B2865" s="30">
        <f t="shared" si="3085"/>
        <v>8000</v>
      </c>
      <c r="C2865" s="8">
        <v>25000</v>
      </c>
      <c r="D2865" s="187">
        <v>0</v>
      </c>
      <c r="E2865" s="187">
        <v>700</v>
      </c>
      <c r="F2865" s="187">
        <v>15000</v>
      </c>
      <c r="G2865" s="30">
        <f t="shared" si="3086"/>
        <v>2470</v>
      </c>
      <c r="H2865" s="8">
        <f t="shared" si="3086"/>
        <v>25000</v>
      </c>
      <c r="I2865" s="30">
        <f t="shared" si="3087"/>
        <v>8000</v>
      </c>
      <c r="J2865" s="187">
        <v>40000</v>
      </c>
      <c r="K2865" s="30">
        <f t="shared" si="3088"/>
        <v>8000</v>
      </c>
      <c r="L2865" s="187">
        <v>40000</v>
      </c>
      <c r="M2865" s="110">
        <v>9.5</v>
      </c>
      <c r="N2865" s="9">
        <f>VLOOKUP(DATE(YEAR(A2865),MONTH(A2865),DAY(A2865)),FY24_Temp[],3,FALSE)</f>
        <v>17.5</v>
      </c>
      <c r="O2865" s="110">
        <f t="shared" si="3074"/>
        <v>11.5</v>
      </c>
      <c r="P2865" s="110">
        <f t="shared" si="3075"/>
        <v>19.5</v>
      </c>
      <c r="Q2865" s="79">
        <f>VLOOKUP(VLOOKUP(DATEVALUE(TEXT(A2865,"m/d/yyyy")),FY24_Temp[],5,FALSE)&amp;TEXT(A2865,"-h"),TempDelta[],4,FALSE)</f>
        <v>0.32200000062584877</v>
      </c>
      <c r="R2865">
        <v>10</v>
      </c>
      <c r="S2865" s="112">
        <v>1500</v>
      </c>
      <c r="T2865" s="5">
        <f>VLOOKUP(TEXT(A2865,"yy-mm")&amp;"-"&amp;IF(AND(WEEKDAY(A2865)&gt;1,WEEKDAY(A2865)&lt;7),"Wkd",TEXT(A2865,"Ddd"))&amp;"-"&amp;TEXT(A2865,"hh"),LoadTable[],3,FALSE)*0.92</f>
        <v>234.80148</v>
      </c>
      <c r="U2865" s="113">
        <f t="shared" si="3076"/>
        <v>23.480148</v>
      </c>
      <c r="V2865">
        <f t="shared" ref="V2865:W2865" si="3126">V2841</f>
        <v>2.5</v>
      </c>
      <c r="W2865">
        <f t="shared" si="3126"/>
        <v>3.1</v>
      </c>
      <c r="X2865" s="9">
        <v>-98.609091166669003</v>
      </c>
      <c r="Y2865" s="39"/>
    </row>
    <row r="2866" spans="1:25" ht="15" thickBot="1">
      <c r="A2866" s="149">
        <f t="shared" si="3058"/>
        <v>45955.291666661702</v>
      </c>
      <c r="B2866" s="30">
        <f t="shared" si="3085"/>
        <v>8000</v>
      </c>
      <c r="C2866" s="8">
        <v>25000</v>
      </c>
      <c r="D2866" s="187">
        <v>0</v>
      </c>
      <c r="E2866" s="187">
        <v>700</v>
      </c>
      <c r="F2866" s="187">
        <v>15000</v>
      </c>
      <c r="G2866" s="30">
        <f t="shared" si="3086"/>
        <v>2470</v>
      </c>
      <c r="H2866" s="8">
        <f t="shared" si="3086"/>
        <v>25000</v>
      </c>
      <c r="I2866" s="30">
        <f t="shared" si="3087"/>
        <v>8000</v>
      </c>
      <c r="J2866" s="187">
        <v>40000</v>
      </c>
      <c r="K2866" s="30">
        <f t="shared" si="3088"/>
        <v>8000</v>
      </c>
      <c r="L2866" s="187">
        <v>40000</v>
      </c>
      <c r="M2866" s="110">
        <v>9.5</v>
      </c>
      <c r="N2866" s="9">
        <f>VLOOKUP(DATE(YEAR(A2866),MONTH(A2866),DAY(A2866)),FY24_Temp[],3,FALSE)</f>
        <v>17.5</v>
      </c>
      <c r="O2866" s="110">
        <f t="shared" si="3074"/>
        <v>11.5</v>
      </c>
      <c r="P2866" s="110">
        <f t="shared" si="3075"/>
        <v>19.5</v>
      </c>
      <c r="Q2866" s="79">
        <f>VLOOKUP(VLOOKUP(DATEVALUE(TEXT(A2866,"m/d/yyyy")),FY24_Temp[],5,FALSE)&amp;TEXT(A2866,"-h"),TempDelta[],4,FALSE)</f>
        <v>0.13774999789893627</v>
      </c>
      <c r="R2866">
        <v>10</v>
      </c>
      <c r="S2866" s="112">
        <v>1500</v>
      </c>
      <c r="T2866" s="5">
        <f>VLOOKUP(TEXT(A2866,"yy-mm")&amp;"-"&amp;IF(AND(WEEKDAY(A2866)&gt;1,WEEKDAY(A2866)&lt;7),"Wkd",TEXT(A2866,"Ddd"))&amp;"-"&amp;TEXT(A2866,"hh"),LoadTable[],3,FALSE)*0.92</f>
        <v>234.80148</v>
      </c>
      <c r="U2866" s="113">
        <f t="shared" si="3076"/>
        <v>23.480148</v>
      </c>
      <c r="V2866">
        <f t="shared" ref="V2866:W2866" si="3127">V2842</f>
        <v>2.5</v>
      </c>
      <c r="W2866">
        <f t="shared" si="3127"/>
        <v>3.1</v>
      </c>
      <c r="X2866" s="9">
        <v>-98.686885716668996</v>
      </c>
      <c r="Y2866" s="39"/>
    </row>
    <row r="2867" spans="1:25" ht="15" thickBot="1">
      <c r="A2867" s="149">
        <f t="shared" si="3058"/>
        <v>45955.333333328366</v>
      </c>
      <c r="B2867" s="30">
        <f t="shared" si="3085"/>
        <v>8000</v>
      </c>
      <c r="C2867" s="8">
        <v>25000</v>
      </c>
      <c r="D2867" s="187">
        <v>0</v>
      </c>
      <c r="E2867" s="187">
        <v>700</v>
      </c>
      <c r="F2867" s="187">
        <v>15000</v>
      </c>
      <c r="G2867" s="30">
        <f t="shared" si="3086"/>
        <v>2470</v>
      </c>
      <c r="H2867" s="8">
        <f t="shared" si="3086"/>
        <v>25000</v>
      </c>
      <c r="I2867" s="30">
        <f t="shared" si="3087"/>
        <v>8000</v>
      </c>
      <c r="J2867" s="187">
        <v>40000</v>
      </c>
      <c r="K2867" s="30">
        <f t="shared" si="3088"/>
        <v>8000</v>
      </c>
      <c r="L2867" s="187">
        <v>40000</v>
      </c>
      <c r="M2867" s="110">
        <v>9.5</v>
      </c>
      <c r="N2867" s="9">
        <f>VLOOKUP(DATE(YEAR(A2867),MONTH(A2867),DAY(A2867)),FY24_Temp[],3,FALSE)</f>
        <v>17.5</v>
      </c>
      <c r="O2867" s="110">
        <f t="shared" si="3074"/>
        <v>11.5</v>
      </c>
      <c r="P2867" s="110">
        <f t="shared" si="3075"/>
        <v>19.5</v>
      </c>
      <c r="Q2867" s="79">
        <f>VLOOKUP(VLOOKUP(DATEVALUE(TEXT(A2867,"m/d/yyyy")),FY24_Temp[],5,FALSE)&amp;TEXT(A2867,"-h"),TempDelta[],4,FALSE)</f>
        <v>2.8249999275431037E-2</v>
      </c>
      <c r="R2867">
        <v>10</v>
      </c>
      <c r="S2867" s="112">
        <v>1500</v>
      </c>
      <c r="T2867" s="5">
        <f>VLOOKUP(TEXT(A2867,"yy-mm")&amp;"-"&amp;IF(AND(WEEKDAY(A2867)&gt;1,WEEKDAY(A2867)&lt;7),"Wkd",TEXT(A2867,"Ddd"))&amp;"-"&amp;TEXT(A2867,"hh"),LoadTable[],3,FALSE)*0.92</f>
        <v>234.80148</v>
      </c>
      <c r="U2867" s="113">
        <f t="shared" si="3076"/>
        <v>23.480148</v>
      </c>
      <c r="V2867">
        <f t="shared" ref="V2867:W2867" si="3128">V2843</f>
        <v>3.2</v>
      </c>
      <c r="W2867">
        <f t="shared" si="3128"/>
        <v>3</v>
      </c>
      <c r="X2867" s="9">
        <v>-98.764680266669004</v>
      </c>
      <c r="Y2867" s="39"/>
    </row>
    <row r="2868" spans="1:25" ht="15" thickBot="1">
      <c r="A2868" s="149">
        <f t="shared" si="3058"/>
        <v>45955.374999995031</v>
      </c>
      <c r="B2868" s="30">
        <f t="shared" si="3085"/>
        <v>8000</v>
      </c>
      <c r="C2868" s="8">
        <v>25000</v>
      </c>
      <c r="D2868" s="187">
        <v>0</v>
      </c>
      <c r="E2868" s="187">
        <v>700</v>
      </c>
      <c r="F2868" s="187">
        <v>15000</v>
      </c>
      <c r="G2868" s="30">
        <f t="shared" si="3086"/>
        <v>2470</v>
      </c>
      <c r="H2868" s="8">
        <f t="shared" si="3086"/>
        <v>25000</v>
      </c>
      <c r="I2868" s="30">
        <f t="shared" si="3087"/>
        <v>8000</v>
      </c>
      <c r="J2868" s="187">
        <v>40000</v>
      </c>
      <c r="K2868" s="30">
        <f t="shared" si="3088"/>
        <v>8000</v>
      </c>
      <c r="L2868" s="187">
        <v>40000</v>
      </c>
      <c r="M2868" s="110">
        <v>9.5</v>
      </c>
      <c r="N2868" s="9">
        <f>VLOOKUP(DATE(YEAR(A2868),MONTH(A2868),DAY(A2868)),FY24_Temp[],3,FALSE)</f>
        <v>17.5</v>
      </c>
      <c r="O2868" s="110">
        <f t="shared" si="3074"/>
        <v>11.5</v>
      </c>
      <c r="P2868" s="110">
        <f t="shared" si="3075"/>
        <v>19.5</v>
      </c>
      <c r="Q2868" s="79">
        <f>VLOOKUP(VLOOKUP(DATEVALUE(TEXT(A2868,"m/d/yyyy")),FY24_Temp[],5,FALSE)&amp;TEXT(A2868,"-h"),TempDelta[],4,FALSE)</f>
        <v>-5.3000001236796379E-2</v>
      </c>
      <c r="R2868">
        <v>10</v>
      </c>
      <c r="S2868" s="112">
        <v>1500</v>
      </c>
      <c r="T2868" s="5">
        <f>VLOOKUP(TEXT(A2868,"yy-mm")&amp;"-"&amp;IF(AND(WEEKDAY(A2868)&gt;1,WEEKDAY(A2868)&lt;7),"Wkd",TEXT(A2868,"Ddd"))&amp;"-"&amp;TEXT(A2868,"hh"),LoadTable[],3,FALSE)*0.92</f>
        <v>234.80148</v>
      </c>
      <c r="U2868" s="113">
        <f t="shared" si="3076"/>
        <v>23.480148</v>
      </c>
      <c r="V2868">
        <f t="shared" ref="V2868:W2868" si="3129">V2844</f>
        <v>2.9</v>
      </c>
      <c r="W2868">
        <f t="shared" si="3129"/>
        <v>3</v>
      </c>
      <c r="X2868" s="9">
        <v>-98.842474816668997</v>
      </c>
      <c r="Y2868" s="39"/>
    </row>
    <row r="2869" spans="1:25" ht="15" thickBot="1">
      <c r="A2869" s="149">
        <f t="shared" ref="A2869:A2932" si="3130">A2868+TIME(1,0,0)</f>
        <v>45955.416666661695</v>
      </c>
      <c r="B2869" s="30">
        <f t="shared" si="3085"/>
        <v>8000</v>
      </c>
      <c r="C2869" s="8">
        <v>25000</v>
      </c>
      <c r="D2869" s="187">
        <v>0</v>
      </c>
      <c r="E2869" s="187">
        <v>700</v>
      </c>
      <c r="F2869" s="187">
        <v>15000</v>
      </c>
      <c r="G2869" s="30">
        <f t="shared" si="3086"/>
        <v>2470</v>
      </c>
      <c r="H2869" s="8">
        <f t="shared" si="3086"/>
        <v>25000</v>
      </c>
      <c r="I2869" s="30">
        <f t="shared" si="3087"/>
        <v>8000</v>
      </c>
      <c r="J2869" s="187">
        <v>40000</v>
      </c>
      <c r="K2869" s="30">
        <f t="shared" si="3088"/>
        <v>8000</v>
      </c>
      <c r="L2869" s="187">
        <v>40000</v>
      </c>
      <c r="M2869" s="110">
        <v>9.5</v>
      </c>
      <c r="N2869" s="9">
        <f>VLOOKUP(DATE(YEAR(A2869),MONTH(A2869),DAY(A2869)),FY24_Temp[],3,FALSE)</f>
        <v>17.5</v>
      </c>
      <c r="O2869" s="110">
        <f t="shared" si="3074"/>
        <v>11.5</v>
      </c>
      <c r="P2869" s="110">
        <f t="shared" si="3075"/>
        <v>19.5</v>
      </c>
      <c r="Q2869" s="79">
        <f>VLOOKUP(VLOOKUP(DATEVALUE(TEXT(A2869,"m/d/yyyy")),FY24_Temp[],5,FALSE)&amp;TEXT(A2869,"-h"),TempDelta[],4,FALSE)</f>
        <v>-0.13824999803910032</v>
      </c>
      <c r="R2869">
        <v>10</v>
      </c>
      <c r="S2869" s="112">
        <v>1500</v>
      </c>
      <c r="T2869" s="5">
        <f>VLOOKUP(TEXT(A2869,"yy-mm")&amp;"-"&amp;IF(AND(WEEKDAY(A2869)&gt;1,WEEKDAY(A2869)&lt;7),"Wkd",TEXT(A2869,"Ddd"))&amp;"-"&amp;TEXT(A2869,"hh"),LoadTable[],3,FALSE)*0.92</f>
        <v>234.80148</v>
      </c>
      <c r="U2869" s="113">
        <f t="shared" si="3076"/>
        <v>23.480148</v>
      </c>
      <c r="V2869">
        <f t="shared" ref="V2869:W2869" si="3131">V2845</f>
        <v>2.9</v>
      </c>
      <c r="W2869">
        <f t="shared" si="3131"/>
        <v>3</v>
      </c>
      <c r="X2869" s="9">
        <v>-98.920269366669004</v>
      </c>
      <c r="Y2869" s="39"/>
    </row>
    <row r="2870" spans="1:25" ht="15" thickBot="1">
      <c r="A2870" s="149">
        <f t="shared" si="3130"/>
        <v>45955.458333328359</v>
      </c>
      <c r="B2870" s="30">
        <f t="shared" si="3085"/>
        <v>8000</v>
      </c>
      <c r="C2870" s="8">
        <v>25000</v>
      </c>
      <c r="D2870" s="187">
        <v>0</v>
      </c>
      <c r="E2870" s="187">
        <v>700</v>
      </c>
      <c r="F2870" s="187">
        <v>15000</v>
      </c>
      <c r="G2870" s="30">
        <f t="shared" si="3086"/>
        <v>2470</v>
      </c>
      <c r="H2870" s="8">
        <f t="shared" si="3086"/>
        <v>25000</v>
      </c>
      <c r="I2870" s="30">
        <f t="shared" si="3087"/>
        <v>8000</v>
      </c>
      <c r="J2870" s="187">
        <v>40000</v>
      </c>
      <c r="K2870" s="30">
        <f t="shared" si="3088"/>
        <v>8000</v>
      </c>
      <c r="L2870" s="187">
        <v>40000</v>
      </c>
      <c r="M2870" s="110">
        <v>9.5</v>
      </c>
      <c r="N2870" s="9">
        <f>VLOOKUP(DATE(YEAR(A2870),MONTH(A2870),DAY(A2870)),FY24_Temp[],3,FALSE)</f>
        <v>17.5</v>
      </c>
      <c r="O2870" s="110">
        <f t="shared" si="3074"/>
        <v>11.5</v>
      </c>
      <c r="P2870" s="110">
        <f t="shared" si="3075"/>
        <v>19.5</v>
      </c>
      <c r="Q2870" s="79">
        <f>VLOOKUP(VLOOKUP(DATEVALUE(TEXT(A2870,"m/d/yyyy")),FY24_Temp[],5,FALSE)&amp;TEXT(A2870,"-h"),TempDelta[],4,FALSE)</f>
        <v>-0.20649999752640724</v>
      </c>
      <c r="R2870">
        <v>10</v>
      </c>
      <c r="S2870" s="112">
        <v>1500</v>
      </c>
      <c r="T2870" s="5">
        <f>VLOOKUP(TEXT(A2870,"yy-mm")&amp;"-"&amp;IF(AND(WEEKDAY(A2870)&gt;1,WEEKDAY(A2870)&lt;7),"Wkd",TEXT(A2870,"Ddd"))&amp;"-"&amp;TEXT(A2870,"hh"),LoadTable[],3,FALSE)*0.92</f>
        <v>234.80148</v>
      </c>
      <c r="U2870" s="113">
        <f t="shared" si="3076"/>
        <v>23.480148</v>
      </c>
      <c r="V2870">
        <f t="shared" ref="V2870:W2870" si="3132">V2846</f>
        <v>3.4</v>
      </c>
      <c r="W2870">
        <f t="shared" si="3132"/>
        <v>3</v>
      </c>
      <c r="X2870" s="9">
        <v>-98.998063916668997</v>
      </c>
      <c r="Y2870" s="39"/>
    </row>
    <row r="2871" spans="1:25" ht="15" thickBot="1">
      <c r="A2871" s="149">
        <f t="shared" si="3130"/>
        <v>45955.499999995023</v>
      </c>
      <c r="B2871" s="30">
        <f t="shared" si="3085"/>
        <v>8000</v>
      </c>
      <c r="C2871" s="8">
        <v>25000</v>
      </c>
      <c r="D2871" s="187">
        <v>0</v>
      </c>
      <c r="E2871" s="187">
        <v>700</v>
      </c>
      <c r="F2871" s="187">
        <v>15000</v>
      </c>
      <c r="G2871" s="30">
        <f t="shared" si="3086"/>
        <v>2470</v>
      </c>
      <c r="H2871" s="8">
        <f t="shared" si="3086"/>
        <v>25000</v>
      </c>
      <c r="I2871" s="30">
        <f t="shared" si="3087"/>
        <v>8000</v>
      </c>
      <c r="J2871" s="187">
        <v>40000</v>
      </c>
      <c r="K2871" s="30">
        <f t="shared" si="3088"/>
        <v>8000</v>
      </c>
      <c r="L2871" s="187">
        <v>40000</v>
      </c>
      <c r="M2871" s="110">
        <v>9.5</v>
      </c>
      <c r="N2871" s="9">
        <f>VLOOKUP(DATE(YEAR(A2871),MONTH(A2871),DAY(A2871)),FY24_Temp[],3,FALSE)</f>
        <v>17.5</v>
      </c>
      <c r="O2871" s="110">
        <f t="shared" si="3074"/>
        <v>11.5</v>
      </c>
      <c r="P2871" s="110">
        <f t="shared" si="3075"/>
        <v>19.5</v>
      </c>
      <c r="Q2871" s="79">
        <f>VLOOKUP(VLOOKUP(DATEVALUE(TEXT(A2871,"m/d/yyyy")),FY24_Temp[],5,FALSE)&amp;TEXT(A2871,"-h"),TempDelta[],4,FALSE)</f>
        <v>-0.25474999845027924</v>
      </c>
      <c r="R2871">
        <v>10</v>
      </c>
      <c r="S2871" s="112">
        <v>1500</v>
      </c>
      <c r="T2871" s="5">
        <f>VLOOKUP(TEXT(A2871,"yy-mm")&amp;"-"&amp;IF(AND(WEEKDAY(A2871)&gt;1,WEEKDAY(A2871)&lt;7),"Wkd",TEXT(A2871,"Ddd"))&amp;"-"&amp;TEXT(A2871,"hh"),LoadTable[],3,FALSE)*0.92</f>
        <v>234.80148</v>
      </c>
      <c r="U2871" s="113">
        <f t="shared" si="3076"/>
        <v>23.480148</v>
      </c>
      <c r="V2871">
        <f t="shared" ref="V2871:W2871" si="3133">V2847</f>
        <v>3.1</v>
      </c>
      <c r="W2871">
        <f t="shared" si="3133"/>
        <v>2.9</v>
      </c>
      <c r="X2871" s="9">
        <v>-99.075858466669104</v>
      </c>
      <c r="Y2871" s="39"/>
    </row>
    <row r="2872" spans="1:25" ht="15" thickBot="1">
      <c r="A2872" s="149">
        <f t="shared" si="3130"/>
        <v>45955.541666661687</v>
      </c>
      <c r="B2872" s="30">
        <f t="shared" si="3085"/>
        <v>8000</v>
      </c>
      <c r="C2872" s="8">
        <v>25000</v>
      </c>
      <c r="D2872" s="187">
        <v>0</v>
      </c>
      <c r="E2872" s="187">
        <v>700</v>
      </c>
      <c r="F2872" s="187">
        <v>15000</v>
      </c>
      <c r="G2872" s="30">
        <f t="shared" si="3086"/>
        <v>2470</v>
      </c>
      <c r="H2872" s="8">
        <f t="shared" si="3086"/>
        <v>25000</v>
      </c>
      <c r="I2872" s="30">
        <f t="shared" si="3087"/>
        <v>8000</v>
      </c>
      <c r="J2872" s="187">
        <v>40000</v>
      </c>
      <c r="K2872" s="30">
        <f t="shared" si="3088"/>
        <v>8000</v>
      </c>
      <c r="L2872" s="187">
        <v>40000</v>
      </c>
      <c r="M2872" s="110">
        <v>9.5</v>
      </c>
      <c r="N2872" s="9">
        <f>VLOOKUP(DATE(YEAR(A2872),MONTH(A2872),DAY(A2872)),FY24_Temp[],3,FALSE)</f>
        <v>17.5</v>
      </c>
      <c r="O2872" s="110">
        <f t="shared" si="3074"/>
        <v>11.5</v>
      </c>
      <c r="P2872" s="110">
        <f t="shared" si="3075"/>
        <v>19.5</v>
      </c>
      <c r="Q2872" s="79">
        <f>VLOOKUP(VLOOKUP(DATEVALUE(TEXT(A2872,"m/d/yyyy")),FY24_Temp[],5,FALSE)&amp;TEXT(A2872,"-h"),TempDelta[],4,FALSE)</f>
        <v>-0.27724999561905861</v>
      </c>
      <c r="R2872">
        <v>10</v>
      </c>
      <c r="S2872" s="112">
        <v>1500</v>
      </c>
      <c r="T2872" s="5">
        <f>VLOOKUP(TEXT(A2872,"yy-mm")&amp;"-"&amp;IF(AND(WEEKDAY(A2872)&gt;1,WEEKDAY(A2872)&lt;7),"Wkd",TEXT(A2872,"Ddd"))&amp;"-"&amp;TEXT(A2872,"hh"),LoadTable[],3,FALSE)*0.92</f>
        <v>234.80148</v>
      </c>
      <c r="U2872" s="113">
        <f t="shared" si="3076"/>
        <v>23.480148</v>
      </c>
      <c r="V2872">
        <f t="shared" ref="V2872:W2872" si="3134">V2848</f>
        <v>3.2</v>
      </c>
      <c r="W2872">
        <f t="shared" si="3134"/>
        <v>2.9</v>
      </c>
      <c r="X2872" s="9">
        <v>-99.153653016669097</v>
      </c>
      <c r="Y2872" s="39"/>
    </row>
    <row r="2873" spans="1:25" ht="15" thickBot="1">
      <c r="A2873" s="149">
        <f t="shared" si="3130"/>
        <v>45955.583333328352</v>
      </c>
      <c r="B2873" s="30">
        <f t="shared" si="3085"/>
        <v>8000</v>
      </c>
      <c r="C2873" s="8">
        <v>25000</v>
      </c>
      <c r="D2873" s="187">
        <v>0</v>
      </c>
      <c r="E2873" s="187">
        <v>700</v>
      </c>
      <c r="F2873" s="187">
        <v>15000</v>
      </c>
      <c r="G2873" s="30">
        <f t="shared" si="3086"/>
        <v>2470</v>
      </c>
      <c r="H2873" s="8">
        <f t="shared" si="3086"/>
        <v>25000</v>
      </c>
      <c r="I2873" s="30">
        <f t="shared" si="3087"/>
        <v>8000</v>
      </c>
      <c r="J2873" s="187">
        <v>40000</v>
      </c>
      <c r="K2873" s="30">
        <f t="shared" si="3088"/>
        <v>8000</v>
      </c>
      <c r="L2873" s="187">
        <v>40000</v>
      </c>
      <c r="M2873" s="110">
        <v>9.5</v>
      </c>
      <c r="N2873" s="9">
        <f>VLOOKUP(DATE(YEAR(A2873),MONTH(A2873),DAY(A2873)),FY24_Temp[],3,FALSE)</f>
        <v>17.5</v>
      </c>
      <c r="O2873" s="110">
        <f t="shared" si="3074"/>
        <v>11.5</v>
      </c>
      <c r="P2873" s="110">
        <f t="shared" si="3075"/>
        <v>19.5</v>
      </c>
      <c r="Q2873" s="79">
        <f>VLOOKUP(VLOOKUP(DATEVALUE(TEXT(A2873,"m/d/yyyy")),FY24_Temp[],5,FALSE)&amp;TEXT(A2873,"-h"),TempDelta[],4,FALSE)</f>
        <v>-0.23250000178813934</v>
      </c>
      <c r="R2873">
        <v>10</v>
      </c>
      <c r="S2873" s="112">
        <v>1500</v>
      </c>
      <c r="T2873" s="5">
        <f>VLOOKUP(TEXT(A2873,"yy-mm")&amp;"-"&amp;IF(AND(WEEKDAY(A2873)&gt;1,WEEKDAY(A2873)&lt;7),"Wkd",TEXT(A2873,"Ddd"))&amp;"-"&amp;TEXT(A2873,"hh"),LoadTable[],3,FALSE)*0.92</f>
        <v>234.80148</v>
      </c>
      <c r="U2873" s="113">
        <f t="shared" si="3076"/>
        <v>23.480148</v>
      </c>
      <c r="V2873">
        <f t="shared" ref="V2873:W2873" si="3135">V2849</f>
        <v>3.5</v>
      </c>
      <c r="W2873">
        <f t="shared" si="3135"/>
        <v>2.9</v>
      </c>
      <c r="X2873" s="9">
        <v>-99.231447566669104</v>
      </c>
      <c r="Y2873" s="39"/>
    </row>
    <row r="2874" spans="1:25" ht="15" thickBot="1">
      <c r="A2874" s="149">
        <f t="shared" si="3130"/>
        <v>45955.624999995016</v>
      </c>
      <c r="B2874" s="30">
        <f t="shared" si="3085"/>
        <v>8000</v>
      </c>
      <c r="C2874" s="8">
        <v>25000</v>
      </c>
      <c r="D2874" s="187">
        <v>0</v>
      </c>
      <c r="E2874" s="187">
        <v>700</v>
      </c>
      <c r="F2874" s="187">
        <v>15000</v>
      </c>
      <c r="G2874" s="30">
        <f t="shared" si="3086"/>
        <v>2470</v>
      </c>
      <c r="H2874" s="8">
        <f t="shared" si="3086"/>
        <v>25000</v>
      </c>
      <c r="I2874" s="30">
        <f t="shared" si="3087"/>
        <v>8000</v>
      </c>
      <c r="J2874" s="187">
        <v>40000</v>
      </c>
      <c r="K2874" s="30">
        <f t="shared" si="3088"/>
        <v>8000</v>
      </c>
      <c r="L2874" s="187">
        <v>40000</v>
      </c>
      <c r="M2874" s="110">
        <v>9.5</v>
      </c>
      <c r="N2874" s="9">
        <f>VLOOKUP(DATE(YEAR(A2874),MONTH(A2874),DAY(A2874)),FY24_Temp[],3,FALSE)</f>
        <v>17.5</v>
      </c>
      <c r="O2874" s="110">
        <f t="shared" si="3074"/>
        <v>11.5</v>
      </c>
      <c r="P2874" s="110">
        <f t="shared" si="3075"/>
        <v>19.5</v>
      </c>
      <c r="Q2874" s="79">
        <f>VLOOKUP(VLOOKUP(DATEVALUE(TEXT(A2874,"m/d/yyyy")),FY24_Temp[],5,FALSE)&amp;TEXT(A2874,"-h"),TempDelta[],4,FALSE)</f>
        <v>-0.15862499922513962</v>
      </c>
      <c r="R2874">
        <v>10</v>
      </c>
      <c r="S2874" s="112">
        <v>1500</v>
      </c>
      <c r="T2874" s="5">
        <f>VLOOKUP(TEXT(A2874,"yy-mm")&amp;"-"&amp;IF(AND(WEEKDAY(A2874)&gt;1,WEEKDAY(A2874)&lt;7),"Wkd",TEXT(A2874,"Ddd"))&amp;"-"&amp;TEXT(A2874,"hh"),LoadTable[],3,FALSE)*0.92</f>
        <v>234.80148</v>
      </c>
      <c r="U2874" s="113">
        <f t="shared" si="3076"/>
        <v>23.480148</v>
      </c>
      <c r="V2874">
        <f t="shared" ref="V2874:W2874" si="3136">V2850</f>
        <v>3.2</v>
      </c>
      <c r="W2874">
        <f t="shared" si="3136"/>
        <v>2.9</v>
      </c>
      <c r="X2874" s="9">
        <v>-99.309242116669097</v>
      </c>
      <c r="Y2874" s="39"/>
    </row>
    <row r="2875" spans="1:25" ht="15" thickBot="1">
      <c r="A2875" s="149">
        <f t="shared" si="3130"/>
        <v>45955.66666666168</v>
      </c>
      <c r="B2875" s="30">
        <f t="shared" si="3085"/>
        <v>8000</v>
      </c>
      <c r="C2875" s="8">
        <v>25000</v>
      </c>
      <c r="D2875" s="187">
        <v>0</v>
      </c>
      <c r="E2875" s="187">
        <v>700</v>
      </c>
      <c r="F2875" s="187">
        <v>15000</v>
      </c>
      <c r="G2875" s="30">
        <f t="shared" si="3086"/>
        <v>2470</v>
      </c>
      <c r="H2875" s="8">
        <f t="shared" si="3086"/>
        <v>25000</v>
      </c>
      <c r="I2875" s="30">
        <f t="shared" si="3087"/>
        <v>8000</v>
      </c>
      <c r="J2875" s="187">
        <v>40000</v>
      </c>
      <c r="K2875" s="30">
        <f t="shared" si="3088"/>
        <v>8000</v>
      </c>
      <c r="L2875" s="187">
        <v>40000</v>
      </c>
      <c r="M2875" s="110">
        <v>9.5</v>
      </c>
      <c r="N2875" s="9">
        <f>VLOOKUP(DATE(YEAR(A2875),MONTH(A2875),DAY(A2875)),FY24_Temp[],3,FALSE)</f>
        <v>17.5</v>
      </c>
      <c r="O2875" s="110">
        <f t="shared" si="3074"/>
        <v>11.5</v>
      </c>
      <c r="P2875" s="110">
        <f t="shared" si="3075"/>
        <v>19.5</v>
      </c>
      <c r="Q2875" s="79">
        <f>VLOOKUP(VLOOKUP(DATEVALUE(TEXT(A2875,"m/d/yyyy")),FY24_Temp[],5,FALSE)&amp;TEXT(A2875,"-h"),TempDelta[],4,FALSE)</f>
        <v>5.487500037997961E-2</v>
      </c>
      <c r="R2875">
        <v>10</v>
      </c>
      <c r="S2875" s="112">
        <v>1500</v>
      </c>
      <c r="T2875" s="5">
        <f>VLOOKUP(TEXT(A2875,"yy-mm")&amp;"-"&amp;IF(AND(WEEKDAY(A2875)&gt;1,WEEKDAY(A2875)&lt;7),"Wkd",TEXT(A2875,"Ddd"))&amp;"-"&amp;TEXT(A2875,"hh"),LoadTable[],3,FALSE)*0.92</f>
        <v>234.80148</v>
      </c>
      <c r="U2875" s="113">
        <f t="shared" si="3076"/>
        <v>23.480148</v>
      </c>
      <c r="V2875">
        <f t="shared" ref="V2875:W2875" si="3137">V2851</f>
        <v>3.5</v>
      </c>
      <c r="W2875">
        <f t="shared" si="3137"/>
        <v>3</v>
      </c>
      <c r="X2875" s="9">
        <v>-99.387036666669104</v>
      </c>
      <c r="Y2875" s="39"/>
    </row>
    <row r="2876" spans="1:25" ht="15" thickBot="1">
      <c r="A2876" s="149">
        <f t="shared" si="3130"/>
        <v>45955.708333328344</v>
      </c>
      <c r="B2876" s="30">
        <f t="shared" si="3085"/>
        <v>8000</v>
      </c>
      <c r="C2876" s="8">
        <v>25000</v>
      </c>
      <c r="D2876" s="187">
        <v>0</v>
      </c>
      <c r="E2876" s="187">
        <v>700</v>
      </c>
      <c r="F2876" s="187">
        <v>15000</v>
      </c>
      <c r="G2876" s="30">
        <f t="shared" si="3086"/>
        <v>2470</v>
      </c>
      <c r="H2876" s="8">
        <f t="shared" si="3086"/>
        <v>25000</v>
      </c>
      <c r="I2876" s="30">
        <f t="shared" si="3087"/>
        <v>8000</v>
      </c>
      <c r="J2876" s="187">
        <v>40000</v>
      </c>
      <c r="K2876" s="30">
        <f t="shared" si="3088"/>
        <v>8000</v>
      </c>
      <c r="L2876" s="187">
        <v>40000</v>
      </c>
      <c r="M2876" s="110">
        <v>9.5</v>
      </c>
      <c r="N2876" s="9">
        <f>VLOOKUP(DATE(YEAR(A2876),MONTH(A2876),DAY(A2876)),FY24_Temp[],3,FALSE)</f>
        <v>17.5</v>
      </c>
      <c r="O2876" s="110">
        <f t="shared" si="3074"/>
        <v>11.5</v>
      </c>
      <c r="P2876" s="110">
        <f t="shared" si="3075"/>
        <v>19.5</v>
      </c>
      <c r="Q2876" s="79">
        <f>VLOOKUP(VLOOKUP(DATEVALUE(TEXT(A2876,"m/d/yyyy")),FY24_Temp[],5,FALSE)&amp;TEXT(A2876,"-h"),TempDelta[],4,FALSE)</f>
        <v>0.14624999904481228</v>
      </c>
      <c r="R2876">
        <v>10</v>
      </c>
      <c r="S2876" s="112">
        <v>1500</v>
      </c>
      <c r="T2876" s="5">
        <f>VLOOKUP(TEXT(A2876,"yy-mm")&amp;"-"&amp;IF(AND(WEEKDAY(A2876)&gt;1,WEEKDAY(A2876)&lt;7),"Wkd",TEXT(A2876,"Ddd"))&amp;"-"&amp;TEXT(A2876,"hh"),LoadTable[],3,FALSE)*0.92</f>
        <v>234.80148</v>
      </c>
      <c r="U2876" s="113">
        <f t="shared" si="3076"/>
        <v>23.480148</v>
      </c>
      <c r="V2876">
        <f t="shared" ref="V2876:W2876" si="3138">V2852</f>
        <v>3.6</v>
      </c>
      <c r="W2876">
        <f t="shared" si="3138"/>
        <v>3</v>
      </c>
      <c r="X2876" s="9">
        <v>-99.464831216669097</v>
      </c>
      <c r="Y2876" s="39"/>
    </row>
    <row r="2877" spans="1:25" ht="15" thickBot="1">
      <c r="A2877" s="149">
        <f t="shared" si="3130"/>
        <v>45955.749999995009</v>
      </c>
      <c r="B2877" s="30">
        <f t="shared" si="3085"/>
        <v>5000</v>
      </c>
      <c r="C2877" s="8">
        <v>25000</v>
      </c>
      <c r="D2877" s="187">
        <v>0</v>
      </c>
      <c r="E2877" s="187">
        <v>700</v>
      </c>
      <c r="F2877" s="187">
        <v>15000</v>
      </c>
      <c r="G2877" s="30">
        <f t="shared" si="3086"/>
        <v>2470</v>
      </c>
      <c r="H2877" s="8">
        <f t="shared" si="3086"/>
        <v>25000</v>
      </c>
      <c r="I2877" s="30">
        <f t="shared" si="3087"/>
        <v>5000</v>
      </c>
      <c r="J2877" s="187">
        <v>40000</v>
      </c>
      <c r="K2877" s="30">
        <f t="shared" si="3088"/>
        <v>5000</v>
      </c>
      <c r="L2877" s="187">
        <v>40000</v>
      </c>
      <c r="M2877" s="110">
        <v>9.5</v>
      </c>
      <c r="N2877" s="9">
        <f>VLOOKUP(DATE(YEAR(A2877),MONTH(A2877),DAY(A2877)),FY24_Temp[],3,FALSE)</f>
        <v>17.5</v>
      </c>
      <c r="O2877" s="110">
        <f t="shared" si="3074"/>
        <v>11.5</v>
      </c>
      <c r="P2877" s="110">
        <f t="shared" si="3075"/>
        <v>19.5</v>
      </c>
      <c r="Q2877" s="79">
        <f>VLOOKUP(VLOOKUP(DATEVALUE(TEXT(A2877,"m/d/yyyy")),FY24_Temp[],5,FALSE)&amp;TEXT(A2877,"-h"),TempDelta[],4,FALSE)</f>
        <v>0.26487499848008156</v>
      </c>
      <c r="R2877">
        <v>10</v>
      </c>
      <c r="S2877" s="112">
        <v>1500</v>
      </c>
      <c r="T2877" s="5">
        <f>VLOOKUP(TEXT(A2877,"yy-mm")&amp;"-"&amp;IF(AND(WEEKDAY(A2877)&gt;1,WEEKDAY(A2877)&lt;7),"Wkd",TEXT(A2877,"Ddd"))&amp;"-"&amp;TEXT(A2877,"hh"),LoadTable[],3,FALSE)*0.92</f>
        <v>303.31295999999998</v>
      </c>
      <c r="U2877" s="113">
        <f t="shared" si="3076"/>
        <v>30.331295999999998</v>
      </c>
      <c r="V2877">
        <f t="shared" ref="V2877:W2877" si="3139">V2853</f>
        <v>2.9</v>
      </c>
      <c r="W2877">
        <f t="shared" si="3139"/>
        <v>3</v>
      </c>
      <c r="X2877" s="9">
        <v>-99.542625766669104</v>
      </c>
      <c r="Y2877" s="39"/>
    </row>
    <row r="2878" spans="1:25" ht="15" thickBot="1">
      <c r="A2878" s="149">
        <f t="shared" si="3130"/>
        <v>45955.791666661673</v>
      </c>
      <c r="B2878" s="30">
        <f t="shared" si="3085"/>
        <v>5000</v>
      </c>
      <c r="C2878" s="8">
        <v>25000</v>
      </c>
      <c r="D2878" s="187">
        <v>0</v>
      </c>
      <c r="E2878" s="187">
        <v>700</v>
      </c>
      <c r="F2878" s="187">
        <v>15000</v>
      </c>
      <c r="G2878" s="30">
        <f t="shared" si="3086"/>
        <v>2470</v>
      </c>
      <c r="H2878" s="8">
        <f t="shared" si="3086"/>
        <v>25000</v>
      </c>
      <c r="I2878" s="30">
        <f t="shared" si="3087"/>
        <v>5000</v>
      </c>
      <c r="J2878" s="187">
        <v>40000</v>
      </c>
      <c r="K2878" s="30">
        <f t="shared" si="3088"/>
        <v>5000</v>
      </c>
      <c r="L2878" s="187">
        <v>40000</v>
      </c>
      <c r="M2878" s="110">
        <v>9.5</v>
      </c>
      <c r="N2878" s="9">
        <f>VLOOKUP(DATE(YEAR(A2878),MONTH(A2878),DAY(A2878)),FY24_Temp[],3,FALSE)</f>
        <v>17.5</v>
      </c>
      <c r="O2878" s="110">
        <f t="shared" si="3074"/>
        <v>11.5</v>
      </c>
      <c r="P2878" s="110">
        <f t="shared" si="3075"/>
        <v>19.5</v>
      </c>
      <c r="Q2878" s="79">
        <f>VLOOKUP(VLOOKUP(DATEVALUE(TEXT(A2878,"m/d/yyyy")),FY24_Temp[],5,FALSE)&amp;TEXT(A2878,"-h"),TempDelta[],4,FALSE)</f>
        <v>0.24249999853782356</v>
      </c>
      <c r="R2878">
        <v>10</v>
      </c>
      <c r="S2878" s="112">
        <v>1500</v>
      </c>
      <c r="T2878" s="5">
        <f>VLOOKUP(TEXT(A2878,"yy-mm")&amp;"-"&amp;IF(AND(WEEKDAY(A2878)&gt;1,WEEKDAY(A2878)&lt;7),"Wkd",TEXT(A2878,"Ddd"))&amp;"-"&amp;TEXT(A2878,"hh"),LoadTable[],3,FALSE)*0.92</f>
        <v>303.31295999999998</v>
      </c>
      <c r="U2878" s="113">
        <f t="shared" si="3076"/>
        <v>30.331295999999998</v>
      </c>
      <c r="V2878">
        <f t="shared" ref="V2878:W2878" si="3140">V2854</f>
        <v>3</v>
      </c>
      <c r="W2878">
        <f t="shared" si="3140"/>
        <v>3</v>
      </c>
      <c r="X2878" s="9">
        <v>-99.620420316669097</v>
      </c>
      <c r="Y2878" s="39"/>
    </row>
    <row r="2879" spans="1:25" ht="15" thickBot="1">
      <c r="A2879" s="149">
        <f t="shared" si="3130"/>
        <v>45955.833333328337</v>
      </c>
      <c r="B2879" s="30">
        <f t="shared" si="3085"/>
        <v>5000</v>
      </c>
      <c r="C2879" s="8">
        <v>25000</v>
      </c>
      <c r="D2879" s="187">
        <v>0</v>
      </c>
      <c r="E2879" s="187">
        <v>700</v>
      </c>
      <c r="F2879" s="187">
        <v>15000</v>
      </c>
      <c r="G2879" s="30">
        <f t="shared" si="3086"/>
        <v>2470</v>
      </c>
      <c r="H2879" s="8">
        <f t="shared" si="3086"/>
        <v>25000</v>
      </c>
      <c r="I2879" s="30">
        <f t="shared" si="3087"/>
        <v>5000</v>
      </c>
      <c r="J2879" s="187">
        <v>40000</v>
      </c>
      <c r="K2879" s="30">
        <f t="shared" si="3088"/>
        <v>5000</v>
      </c>
      <c r="L2879" s="187">
        <v>40000</v>
      </c>
      <c r="M2879" s="110">
        <v>9.5</v>
      </c>
      <c r="N2879" s="9">
        <f>VLOOKUP(DATE(YEAR(A2879),MONTH(A2879),DAY(A2879)),FY24_Temp[],3,FALSE)</f>
        <v>17.5</v>
      </c>
      <c r="O2879" s="110">
        <f t="shared" si="3074"/>
        <v>11.5</v>
      </c>
      <c r="P2879" s="110">
        <f t="shared" si="3075"/>
        <v>19.5</v>
      </c>
      <c r="Q2879" s="79">
        <f>VLOOKUP(VLOOKUP(DATEVALUE(TEXT(A2879,"m/d/yyyy")),FY24_Temp[],5,FALSE)&amp;TEXT(A2879,"-h"),TempDelta[],4,FALSE)</f>
        <v>0.25587500119581819</v>
      </c>
      <c r="R2879">
        <v>10</v>
      </c>
      <c r="S2879" s="112">
        <v>1500</v>
      </c>
      <c r="T2879" s="5">
        <f>VLOOKUP(TEXT(A2879,"yy-mm")&amp;"-"&amp;IF(AND(WEEKDAY(A2879)&gt;1,WEEKDAY(A2879)&lt;7),"Wkd",TEXT(A2879,"Ddd"))&amp;"-"&amp;TEXT(A2879,"hh"),LoadTable[],3,FALSE)*0.92</f>
        <v>303.31295999999998</v>
      </c>
      <c r="U2879" s="113">
        <f t="shared" si="3076"/>
        <v>30.331295999999998</v>
      </c>
      <c r="V2879">
        <f t="shared" ref="V2879:W2879" si="3141">V2855</f>
        <v>2.8</v>
      </c>
      <c r="W2879">
        <f t="shared" si="3141"/>
        <v>3.1</v>
      </c>
      <c r="X2879" s="9">
        <v>-99.698214866669105</v>
      </c>
      <c r="Y2879" s="39"/>
    </row>
    <row r="2880" spans="1:25" ht="15" thickBot="1">
      <c r="A2880" s="149">
        <f t="shared" si="3130"/>
        <v>45955.874999995001</v>
      </c>
      <c r="B2880" s="30">
        <f t="shared" si="3085"/>
        <v>5000</v>
      </c>
      <c r="C2880" s="8">
        <v>25000</v>
      </c>
      <c r="D2880" s="187">
        <v>0</v>
      </c>
      <c r="E2880" s="187">
        <v>700</v>
      </c>
      <c r="F2880" s="187">
        <v>15000</v>
      </c>
      <c r="G2880" s="30">
        <f t="shared" si="3086"/>
        <v>2470</v>
      </c>
      <c r="H2880" s="8">
        <f t="shared" si="3086"/>
        <v>25000</v>
      </c>
      <c r="I2880" s="30">
        <f t="shared" si="3087"/>
        <v>5000</v>
      </c>
      <c r="J2880" s="187">
        <v>40000</v>
      </c>
      <c r="K2880" s="30">
        <f t="shared" si="3088"/>
        <v>5000</v>
      </c>
      <c r="L2880" s="187">
        <v>40000</v>
      </c>
      <c r="M2880" s="110">
        <v>9.5</v>
      </c>
      <c r="N2880" s="9">
        <f>VLOOKUP(DATE(YEAR(A2880),MONTH(A2880),DAY(A2880)),FY24_Temp[],3,FALSE)</f>
        <v>17.5</v>
      </c>
      <c r="O2880" s="110">
        <f t="shared" si="3074"/>
        <v>11.5</v>
      </c>
      <c r="P2880" s="110">
        <f t="shared" si="3075"/>
        <v>19.5</v>
      </c>
      <c r="Q2880" s="79">
        <f>VLOOKUP(VLOOKUP(DATEVALUE(TEXT(A2880,"m/d/yyyy")),FY24_Temp[],5,FALSE)&amp;TEXT(A2880,"-h"),TempDelta[],4,FALSE)</f>
        <v>0.25137499789707363</v>
      </c>
      <c r="R2880">
        <v>10</v>
      </c>
      <c r="S2880" s="112">
        <v>1500</v>
      </c>
      <c r="T2880" s="5">
        <f>VLOOKUP(TEXT(A2880,"yy-mm")&amp;"-"&amp;IF(AND(WEEKDAY(A2880)&gt;1,WEEKDAY(A2880)&lt;7),"Wkd",TEXT(A2880,"Ddd"))&amp;"-"&amp;TEXT(A2880,"hh"),LoadTable[],3,FALSE)*0.92</f>
        <v>229.93744000000001</v>
      </c>
      <c r="U2880" s="113">
        <f t="shared" si="3076"/>
        <v>22.993744</v>
      </c>
      <c r="V2880">
        <f t="shared" ref="V2880:W2880" si="3142">V2856</f>
        <v>3.5</v>
      </c>
      <c r="W2880">
        <f t="shared" si="3142"/>
        <v>3.1</v>
      </c>
      <c r="X2880" s="9">
        <v>-99.776009416669098</v>
      </c>
      <c r="Y2880" s="39"/>
    </row>
    <row r="2881" spans="1:25" ht="15" thickBot="1">
      <c r="A2881" s="149">
        <f t="shared" si="3130"/>
        <v>45955.916666661666</v>
      </c>
      <c r="B2881" s="30">
        <f t="shared" si="3085"/>
        <v>5000</v>
      </c>
      <c r="C2881" s="8">
        <v>25000</v>
      </c>
      <c r="D2881" s="187">
        <v>0</v>
      </c>
      <c r="E2881" s="187">
        <v>700</v>
      </c>
      <c r="F2881" s="187">
        <v>15000</v>
      </c>
      <c r="G2881" s="30">
        <f t="shared" si="3086"/>
        <v>2470</v>
      </c>
      <c r="H2881" s="8">
        <f t="shared" si="3086"/>
        <v>25000</v>
      </c>
      <c r="I2881" s="30">
        <f t="shared" si="3087"/>
        <v>5000</v>
      </c>
      <c r="J2881" s="187">
        <v>40000</v>
      </c>
      <c r="K2881" s="30">
        <f t="shared" si="3088"/>
        <v>5000</v>
      </c>
      <c r="L2881" s="187">
        <v>40000</v>
      </c>
      <c r="M2881" s="110">
        <v>9.5</v>
      </c>
      <c r="N2881" s="9">
        <f>VLOOKUP(DATE(YEAR(A2881),MONTH(A2881),DAY(A2881)),FY24_Temp[],3,FALSE)</f>
        <v>17.5</v>
      </c>
      <c r="O2881" s="110">
        <f t="shared" si="3074"/>
        <v>11.5</v>
      </c>
      <c r="P2881" s="110">
        <f t="shared" si="3075"/>
        <v>19.5</v>
      </c>
      <c r="Q2881" s="79">
        <f>VLOOKUP(VLOOKUP(DATEVALUE(TEXT(A2881,"m/d/yyyy")),FY24_Temp[],5,FALSE)&amp;TEXT(A2881,"-h"),TempDelta[],4,FALSE)</f>
        <v>0.48149999231100082</v>
      </c>
      <c r="R2881">
        <v>10</v>
      </c>
      <c r="S2881" s="112">
        <v>1500</v>
      </c>
      <c r="T2881" s="5">
        <f>VLOOKUP(TEXT(A2881,"yy-mm")&amp;"-"&amp;IF(AND(WEEKDAY(A2881)&gt;1,WEEKDAY(A2881)&lt;7),"Wkd",TEXT(A2881,"Ddd"))&amp;"-"&amp;TEXT(A2881,"hh"),LoadTable[],3,FALSE)*0.92</f>
        <v>176.52040000000002</v>
      </c>
      <c r="U2881" s="113">
        <f t="shared" si="3076"/>
        <v>17.652040000000003</v>
      </c>
      <c r="V2881">
        <f t="shared" ref="V2881:W2881" si="3143">V2857</f>
        <v>2.9</v>
      </c>
      <c r="W2881">
        <f t="shared" si="3143"/>
        <v>3.1</v>
      </c>
      <c r="X2881" s="9">
        <v>-99.853803966669105</v>
      </c>
      <c r="Y2881" s="39"/>
    </row>
    <row r="2882" spans="1:25" ht="15" thickBot="1">
      <c r="A2882" s="149">
        <f t="shared" si="3130"/>
        <v>45955.95833332833</v>
      </c>
      <c r="B2882" s="30">
        <f t="shared" si="3085"/>
        <v>5000</v>
      </c>
      <c r="C2882" s="8">
        <v>25000</v>
      </c>
      <c r="D2882" s="187">
        <v>0</v>
      </c>
      <c r="E2882" s="187">
        <v>700</v>
      </c>
      <c r="F2882" s="187">
        <v>15000</v>
      </c>
      <c r="G2882" s="30">
        <f t="shared" si="3086"/>
        <v>2470</v>
      </c>
      <c r="H2882" s="8">
        <f t="shared" si="3086"/>
        <v>25000</v>
      </c>
      <c r="I2882" s="30">
        <f t="shared" si="3087"/>
        <v>5000</v>
      </c>
      <c r="J2882" s="187">
        <v>40000</v>
      </c>
      <c r="K2882" s="30">
        <f t="shared" si="3088"/>
        <v>5000</v>
      </c>
      <c r="L2882" s="187">
        <v>40000</v>
      </c>
      <c r="M2882" s="110">
        <v>9.5</v>
      </c>
      <c r="N2882" s="9">
        <f>VLOOKUP(DATE(YEAR(A2882),MONTH(A2882),DAY(A2882)),FY24_Temp[],3,FALSE)</f>
        <v>17.5</v>
      </c>
      <c r="O2882" s="110">
        <f t="shared" si="3074"/>
        <v>11.5</v>
      </c>
      <c r="P2882" s="110">
        <f t="shared" si="3075"/>
        <v>19.5</v>
      </c>
      <c r="Q2882" s="79">
        <f>VLOOKUP(VLOOKUP(DATEVALUE(TEXT(A2882,"m/d/yyyy")),FY24_Temp[],5,FALSE)&amp;TEXT(A2882,"-h"),TempDelta[],4,FALSE)</f>
        <v>0.60849998891353607</v>
      </c>
      <c r="R2882">
        <v>10</v>
      </c>
      <c r="S2882" s="112">
        <v>1500</v>
      </c>
      <c r="T2882" s="5">
        <f>VLOOKUP(TEXT(A2882,"yy-mm")&amp;"-"&amp;IF(AND(WEEKDAY(A2882)&gt;1,WEEKDAY(A2882)&lt;7),"Wkd",TEXT(A2882,"Ddd"))&amp;"-"&amp;TEXT(A2882,"hh"),LoadTable[],3,FALSE)*0.92</f>
        <v>176.52040000000002</v>
      </c>
      <c r="U2882" s="113">
        <f t="shared" si="3076"/>
        <v>17.652040000000003</v>
      </c>
      <c r="V2882">
        <f t="shared" ref="V2882:W2882" si="3144">V2858</f>
        <v>3.6</v>
      </c>
      <c r="W2882">
        <f t="shared" si="3144"/>
        <v>3.1</v>
      </c>
      <c r="X2882" s="9">
        <v>-99.931598516669098</v>
      </c>
      <c r="Y2882" s="39"/>
    </row>
    <row r="2883" spans="1:25" ht="15" thickBot="1">
      <c r="A2883" s="149">
        <f t="shared" si="3130"/>
        <v>45955.999999994994</v>
      </c>
      <c r="B2883" s="30">
        <f t="shared" si="3085"/>
        <v>5000</v>
      </c>
      <c r="C2883" s="8">
        <v>25000</v>
      </c>
      <c r="D2883" s="187">
        <v>0</v>
      </c>
      <c r="E2883" s="187">
        <v>700</v>
      </c>
      <c r="F2883" s="187">
        <v>15000</v>
      </c>
      <c r="G2883" s="30">
        <f t="shared" si="3086"/>
        <v>2470</v>
      </c>
      <c r="H2883" s="8">
        <f t="shared" si="3086"/>
        <v>25000</v>
      </c>
      <c r="I2883" s="30">
        <f t="shared" si="3087"/>
        <v>5000</v>
      </c>
      <c r="J2883" s="187">
        <v>40000</v>
      </c>
      <c r="K2883" s="30">
        <f t="shared" si="3088"/>
        <v>5000</v>
      </c>
      <c r="L2883" s="187">
        <v>40000</v>
      </c>
      <c r="M2883" s="110">
        <v>9.5</v>
      </c>
      <c r="N2883" s="9">
        <f>VLOOKUP(DATE(YEAR(A2883),MONTH(A2883),DAY(A2883)),FY24_Temp[],3,FALSE)</f>
        <v>17.5</v>
      </c>
      <c r="O2883" s="110">
        <f t="shared" si="3074"/>
        <v>11.5</v>
      </c>
      <c r="P2883" s="110">
        <f t="shared" si="3075"/>
        <v>19.5</v>
      </c>
      <c r="Q2883" s="79">
        <f>VLOOKUP(VLOOKUP(DATEVALUE(TEXT(A2883,"m/d/yyyy")),FY24_Temp[],5,FALSE)&amp;TEXT(A2883,"-h"),TempDelta[],4,FALSE)</f>
        <v>0.73420000076293945</v>
      </c>
      <c r="R2883">
        <v>10</v>
      </c>
      <c r="S2883" s="112">
        <v>1500</v>
      </c>
      <c r="T2883" s="5">
        <f>VLOOKUP(TEXT(A2883,"yy-mm")&amp;"-"&amp;IF(AND(WEEKDAY(A2883)&gt;1,WEEKDAY(A2883)&lt;7),"Wkd",TEXT(A2883,"Ddd"))&amp;"-"&amp;TEXT(A2883,"hh"),LoadTable[],3,FALSE)*0.92</f>
        <v>176.52040000000002</v>
      </c>
      <c r="U2883" s="113">
        <f t="shared" si="3076"/>
        <v>17.652040000000003</v>
      </c>
      <c r="V2883">
        <f t="shared" ref="V2883:W2883" si="3145">V2859</f>
        <v>3</v>
      </c>
      <c r="W2883">
        <f t="shared" si="3145"/>
        <v>3.2</v>
      </c>
      <c r="X2883" s="9">
        <v>-100.00939306666901</v>
      </c>
      <c r="Y2883" s="39"/>
    </row>
    <row r="2884" spans="1:25" ht="15" thickBot="1">
      <c r="A2884" s="149">
        <f t="shared" si="3130"/>
        <v>45956.041666661658</v>
      </c>
      <c r="B2884" s="30">
        <f t="shared" si="3085"/>
        <v>5000</v>
      </c>
      <c r="C2884" s="8">
        <v>25000</v>
      </c>
      <c r="D2884" s="187">
        <v>0</v>
      </c>
      <c r="E2884" s="187">
        <v>700</v>
      </c>
      <c r="F2884" s="187">
        <v>15000</v>
      </c>
      <c r="G2884" s="30">
        <f t="shared" si="3086"/>
        <v>2470</v>
      </c>
      <c r="H2884" s="8">
        <f t="shared" si="3086"/>
        <v>25000</v>
      </c>
      <c r="I2884" s="30">
        <f t="shared" si="3087"/>
        <v>5000</v>
      </c>
      <c r="J2884" s="187">
        <v>40000</v>
      </c>
      <c r="K2884" s="30">
        <f t="shared" si="3088"/>
        <v>5000</v>
      </c>
      <c r="L2884" s="187">
        <v>40000</v>
      </c>
      <c r="M2884" s="110">
        <v>9.5</v>
      </c>
      <c r="N2884" s="9">
        <f>VLOOKUP(DATE(YEAR(A2884),MONTH(A2884),DAY(A2884)),FY24_Temp[],3,FALSE)</f>
        <v>17.5</v>
      </c>
      <c r="O2884" s="110">
        <f t="shared" ref="O2884:O2947" si="3146">15.5-4</f>
        <v>11.5</v>
      </c>
      <c r="P2884" s="110">
        <f t="shared" ref="P2884:P2947" si="3147">15.5+4</f>
        <v>19.5</v>
      </c>
      <c r="Q2884" s="79">
        <f>VLOOKUP(VLOOKUP(DATEVALUE(TEXT(A2884,"m/d/yyyy")),FY24_Temp[],5,FALSE)&amp;TEXT(A2884,"-h"),TempDelta[],4,FALSE)</f>
        <v>0.69179999828338623</v>
      </c>
      <c r="R2884">
        <v>10</v>
      </c>
      <c r="S2884" s="112">
        <v>1500</v>
      </c>
      <c r="T2884" s="5">
        <f>VLOOKUP(TEXT(A2884,"yy-mm")&amp;"-"&amp;IF(AND(WEEKDAY(A2884)&gt;1,WEEKDAY(A2884)&lt;7),"Wkd",TEXT(A2884,"Ddd"))&amp;"-"&amp;TEXT(A2884,"hh"),LoadTable[],3,FALSE)*0.92</f>
        <v>176.52040000000002</v>
      </c>
      <c r="U2884" s="113">
        <f t="shared" ref="U2884:U2947" si="3148">T2884/10</f>
        <v>17.652040000000003</v>
      </c>
      <c r="V2884">
        <f t="shared" ref="V2884:W2884" si="3149">V2860</f>
        <v>2.6</v>
      </c>
      <c r="W2884">
        <f t="shared" si="3149"/>
        <v>3.2</v>
      </c>
      <c r="X2884" s="9">
        <v>-100.087187616669</v>
      </c>
      <c r="Y2884" s="39"/>
    </row>
    <row r="2885" spans="1:25" ht="15" thickBot="1">
      <c r="A2885" s="149">
        <f t="shared" si="3130"/>
        <v>45956.083333328323</v>
      </c>
      <c r="B2885" s="30">
        <f t="shared" si="3085"/>
        <v>5000</v>
      </c>
      <c r="C2885" s="8">
        <v>25000</v>
      </c>
      <c r="D2885" s="187">
        <v>0</v>
      </c>
      <c r="E2885" s="187">
        <v>700</v>
      </c>
      <c r="F2885" s="187">
        <v>15000</v>
      </c>
      <c r="G2885" s="30">
        <f t="shared" si="3086"/>
        <v>2470</v>
      </c>
      <c r="H2885" s="8">
        <f t="shared" si="3086"/>
        <v>25000</v>
      </c>
      <c r="I2885" s="30">
        <f t="shared" si="3087"/>
        <v>5000</v>
      </c>
      <c r="J2885" s="187">
        <v>40000</v>
      </c>
      <c r="K2885" s="30">
        <f t="shared" si="3088"/>
        <v>5000</v>
      </c>
      <c r="L2885" s="187">
        <v>40000</v>
      </c>
      <c r="M2885" s="110">
        <v>9.5</v>
      </c>
      <c r="N2885" s="9">
        <f>VLOOKUP(DATE(YEAR(A2885),MONTH(A2885),DAY(A2885)),FY24_Temp[],3,FALSE)</f>
        <v>17.5</v>
      </c>
      <c r="O2885" s="110">
        <f t="shared" si="3146"/>
        <v>11.5</v>
      </c>
      <c r="P2885" s="110">
        <f t="shared" si="3147"/>
        <v>19.5</v>
      </c>
      <c r="Q2885" s="79">
        <f>VLOOKUP(VLOOKUP(DATEVALUE(TEXT(A2885,"m/d/yyyy")),FY24_Temp[],5,FALSE)&amp;TEXT(A2885,"-h"),TempDelta[],4,FALSE)</f>
        <v>0.64100000262260437</v>
      </c>
      <c r="R2885">
        <v>10</v>
      </c>
      <c r="S2885" s="112">
        <v>1500</v>
      </c>
      <c r="T2885" s="5">
        <f>VLOOKUP(TEXT(A2885,"yy-mm")&amp;"-"&amp;IF(AND(WEEKDAY(A2885)&gt;1,WEEKDAY(A2885)&lt;7),"Wkd",TEXT(A2885,"Ddd"))&amp;"-"&amp;TEXT(A2885,"hh"),LoadTable[],3,FALSE)*0.92</f>
        <v>176.52040000000002</v>
      </c>
      <c r="U2885" s="113">
        <f t="shared" si="3148"/>
        <v>17.652040000000003</v>
      </c>
      <c r="V2885">
        <f t="shared" ref="V2885:W2885" si="3150">V2861</f>
        <v>2.8</v>
      </c>
      <c r="W2885">
        <f t="shared" si="3150"/>
        <v>3.2</v>
      </c>
      <c r="X2885" s="9">
        <v>-100.16498216666901</v>
      </c>
      <c r="Y2885" s="39"/>
    </row>
    <row r="2886" spans="1:25" ht="15" thickBot="1">
      <c r="A2886" s="149">
        <f t="shared" si="3130"/>
        <v>45956.124999994987</v>
      </c>
      <c r="B2886" s="30">
        <f t="shared" si="3085"/>
        <v>5000</v>
      </c>
      <c r="C2886" s="8">
        <v>25000</v>
      </c>
      <c r="D2886" s="187">
        <v>0</v>
      </c>
      <c r="E2886" s="187">
        <v>700</v>
      </c>
      <c r="F2886" s="187">
        <v>15000</v>
      </c>
      <c r="G2886" s="30">
        <f t="shared" si="3086"/>
        <v>2470</v>
      </c>
      <c r="H2886" s="8">
        <f t="shared" si="3086"/>
        <v>25000</v>
      </c>
      <c r="I2886" s="30">
        <f t="shared" si="3087"/>
        <v>5000</v>
      </c>
      <c r="J2886" s="187">
        <v>40000</v>
      </c>
      <c r="K2886" s="30">
        <f t="shared" si="3088"/>
        <v>5000</v>
      </c>
      <c r="L2886" s="187">
        <v>40000</v>
      </c>
      <c r="M2886" s="110">
        <v>9.5</v>
      </c>
      <c r="N2886" s="9">
        <f>VLOOKUP(DATE(YEAR(A2886),MONTH(A2886),DAY(A2886)),FY24_Temp[],3,FALSE)</f>
        <v>17.5</v>
      </c>
      <c r="O2886" s="110">
        <f t="shared" si="3146"/>
        <v>11.5</v>
      </c>
      <c r="P2886" s="110">
        <f t="shared" si="3147"/>
        <v>19.5</v>
      </c>
      <c r="Q2886" s="79">
        <f>VLOOKUP(VLOOKUP(DATEVALUE(TEXT(A2886,"m/d/yyyy")),FY24_Temp[],5,FALSE)&amp;TEXT(A2886,"-h"),TempDelta[],4,FALSE)</f>
        <v>0.53599998354911804</v>
      </c>
      <c r="R2886">
        <v>10</v>
      </c>
      <c r="S2886" s="112">
        <v>1500</v>
      </c>
      <c r="T2886" s="5">
        <f>VLOOKUP(TEXT(A2886,"yy-mm")&amp;"-"&amp;IF(AND(WEEKDAY(A2886)&gt;1,WEEKDAY(A2886)&lt;7),"Wkd",TEXT(A2886,"Ddd"))&amp;"-"&amp;TEXT(A2886,"hh"),LoadTable[],3,FALSE)*0.92</f>
        <v>176.52040000000002</v>
      </c>
      <c r="U2886" s="113">
        <f t="shared" si="3148"/>
        <v>17.652040000000003</v>
      </c>
      <c r="V2886">
        <f t="shared" ref="V2886:W2886" si="3151">V2862</f>
        <v>2.7</v>
      </c>
      <c r="W2886">
        <f t="shared" si="3151"/>
        <v>3.2</v>
      </c>
      <c r="X2886" s="9">
        <v>-100.242776716669</v>
      </c>
      <c r="Y2886" s="39"/>
    </row>
    <row r="2887" spans="1:25" ht="15" thickBot="1">
      <c r="A2887" s="149">
        <f t="shared" si="3130"/>
        <v>45956.166666661651</v>
      </c>
      <c r="B2887" s="30">
        <f t="shared" si="3085"/>
        <v>5000</v>
      </c>
      <c r="C2887" s="8">
        <v>25000</v>
      </c>
      <c r="D2887" s="187">
        <v>0</v>
      </c>
      <c r="E2887" s="187">
        <v>700</v>
      </c>
      <c r="F2887" s="187">
        <v>15000</v>
      </c>
      <c r="G2887" s="30">
        <f t="shared" si="3086"/>
        <v>2470</v>
      </c>
      <c r="H2887" s="8">
        <f t="shared" si="3086"/>
        <v>25000</v>
      </c>
      <c r="I2887" s="30">
        <f t="shared" si="3087"/>
        <v>5000</v>
      </c>
      <c r="J2887" s="187">
        <v>40000</v>
      </c>
      <c r="K2887" s="30">
        <f t="shared" si="3088"/>
        <v>5000</v>
      </c>
      <c r="L2887" s="187">
        <v>40000</v>
      </c>
      <c r="M2887" s="110">
        <v>9.5</v>
      </c>
      <c r="N2887" s="9">
        <f>VLOOKUP(DATE(YEAR(A2887),MONTH(A2887),DAY(A2887)),FY24_Temp[],3,FALSE)</f>
        <v>17.5</v>
      </c>
      <c r="O2887" s="110">
        <f t="shared" si="3146"/>
        <v>11.5</v>
      </c>
      <c r="P2887" s="110">
        <f t="shared" si="3147"/>
        <v>19.5</v>
      </c>
      <c r="Q2887" s="79">
        <f>VLOOKUP(VLOOKUP(DATEVALUE(TEXT(A2887,"m/d/yyyy")),FY24_Temp[],5,FALSE)&amp;TEXT(A2887,"-h"),TempDelta[],4,FALSE)</f>
        <v>0.43825000524520874</v>
      </c>
      <c r="R2887">
        <v>10</v>
      </c>
      <c r="S2887" s="112">
        <v>1500</v>
      </c>
      <c r="T2887" s="5">
        <f>VLOOKUP(TEXT(A2887,"yy-mm")&amp;"-"&amp;IF(AND(WEEKDAY(A2887)&gt;1,WEEKDAY(A2887)&lt;7),"Wkd",TEXT(A2887,"Ddd"))&amp;"-"&amp;TEXT(A2887,"hh"),LoadTable[],3,FALSE)*0.92</f>
        <v>176.52040000000002</v>
      </c>
      <c r="U2887" s="113">
        <f t="shared" si="3148"/>
        <v>17.652040000000003</v>
      </c>
      <c r="V2887">
        <f t="shared" ref="V2887:W2887" si="3152">V2863</f>
        <v>3</v>
      </c>
      <c r="W2887">
        <f t="shared" si="3152"/>
        <v>3.1</v>
      </c>
      <c r="X2887" s="9">
        <v>-100.32057126666901</v>
      </c>
      <c r="Y2887" s="39"/>
    </row>
    <row r="2888" spans="1:25" ht="15" thickBot="1">
      <c r="A2888" s="149">
        <f t="shared" si="3130"/>
        <v>45956.208333328315</v>
      </c>
      <c r="B2888" s="30">
        <f t="shared" si="3085"/>
        <v>5000</v>
      </c>
      <c r="C2888" s="8">
        <v>25000</v>
      </c>
      <c r="D2888" s="187">
        <v>0</v>
      </c>
      <c r="E2888" s="187">
        <v>700</v>
      </c>
      <c r="F2888" s="187">
        <v>15000</v>
      </c>
      <c r="G2888" s="30">
        <f t="shared" si="3086"/>
        <v>2470</v>
      </c>
      <c r="H2888" s="8">
        <f t="shared" si="3086"/>
        <v>25000</v>
      </c>
      <c r="I2888" s="30">
        <f t="shared" si="3087"/>
        <v>5000</v>
      </c>
      <c r="J2888" s="187">
        <v>40000</v>
      </c>
      <c r="K2888" s="30">
        <f t="shared" si="3088"/>
        <v>5000</v>
      </c>
      <c r="L2888" s="187">
        <v>40000</v>
      </c>
      <c r="M2888" s="110">
        <v>9.5</v>
      </c>
      <c r="N2888" s="9">
        <f>VLOOKUP(DATE(YEAR(A2888),MONTH(A2888),DAY(A2888)),FY24_Temp[],3,FALSE)</f>
        <v>17.5</v>
      </c>
      <c r="O2888" s="110">
        <f t="shared" si="3146"/>
        <v>11.5</v>
      </c>
      <c r="P2888" s="110">
        <f t="shared" si="3147"/>
        <v>19.5</v>
      </c>
      <c r="Q2888" s="79">
        <f>VLOOKUP(VLOOKUP(DATEVALUE(TEXT(A2888,"m/d/yyyy")),FY24_Temp[],5,FALSE)&amp;TEXT(A2888,"-h"),TempDelta[],4,FALSE)</f>
        <v>0.42975000292062759</v>
      </c>
      <c r="R2888">
        <v>10</v>
      </c>
      <c r="S2888" s="112">
        <v>1500</v>
      </c>
      <c r="T2888" s="5">
        <f>VLOOKUP(TEXT(A2888,"yy-mm")&amp;"-"&amp;IF(AND(WEEKDAY(A2888)&gt;1,WEEKDAY(A2888)&lt;7),"Wkd",TEXT(A2888,"Ddd"))&amp;"-"&amp;TEXT(A2888,"hh"),LoadTable[],3,FALSE)*0.92</f>
        <v>176.52040000000002</v>
      </c>
      <c r="U2888" s="113">
        <f t="shared" si="3148"/>
        <v>17.652040000000003</v>
      </c>
      <c r="V2888">
        <f t="shared" ref="V2888:W2888" si="3153">V2864</f>
        <v>2.9</v>
      </c>
      <c r="W2888">
        <f t="shared" si="3153"/>
        <v>3.1</v>
      </c>
      <c r="X2888" s="9">
        <v>-100.398365816669</v>
      </c>
      <c r="Y2888" s="39"/>
    </row>
    <row r="2889" spans="1:25" ht="15" thickBot="1">
      <c r="A2889" s="149">
        <f t="shared" si="3130"/>
        <v>45956.24999999498</v>
      </c>
      <c r="B2889" s="30">
        <f t="shared" si="3085"/>
        <v>8000</v>
      </c>
      <c r="C2889" s="8">
        <v>25000</v>
      </c>
      <c r="D2889" s="187">
        <v>0</v>
      </c>
      <c r="E2889" s="187">
        <v>700</v>
      </c>
      <c r="F2889" s="187">
        <v>15000</v>
      </c>
      <c r="G2889" s="30">
        <f t="shared" si="3086"/>
        <v>2470</v>
      </c>
      <c r="H2889" s="8">
        <f t="shared" si="3086"/>
        <v>25000</v>
      </c>
      <c r="I2889" s="30">
        <f t="shared" si="3087"/>
        <v>8000</v>
      </c>
      <c r="J2889" s="187">
        <v>40000</v>
      </c>
      <c r="K2889" s="30">
        <f t="shared" si="3088"/>
        <v>8000</v>
      </c>
      <c r="L2889" s="187">
        <v>40000</v>
      </c>
      <c r="M2889" s="110">
        <v>9.5</v>
      </c>
      <c r="N2889" s="9">
        <f>VLOOKUP(DATE(YEAR(A2889),MONTH(A2889),DAY(A2889)),FY24_Temp[],3,FALSE)</f>
        <v>17.5</v>
      </c>
      <c r="O2889" s="110">
        <f t="shared" si="3146"/>
        <v>11.5</v>
      </c>
      <c r="P2889" s="110">
        <f t="shared" si="3147"/>
        <v>19.5</v>
      </c>
      <c r="Q2889" s="79">
        <f>VLOOKUP(VLOOKUP(DATEVALUE(TEXT(A2889,"m/d/yyyy")),FY24_Temp[],5,FALSE)&amp;TEXT(A2889,"-h"),TempDelta[],4,FALSE)</f>
        <v>0.32200000062584877</v>
      </c>
      <c r="R2889">
        <v>10</v>
      </c>
      <c r="S2889" s="112">
        <v>1500</v>
      </c>
      <c r="T2889" s="5">
        <f>VLOOKUP(TEXT(A2889,"yy-mm")&amp;"-"&amp;IF(AND(WEEKDAY(A2889)&gt;1,WEEKDAY(A2889)&lt;7),"Wkd",TEXT(A2889,"Ddd"))&amp;"-"&amp;TEXT(A2889,"hh"),LoadTable[],3,FALSE)*0.92</f>
        <v>234.80148</v>
      </c>
      <c r="U2889" s="113">
        <f t="shared" si="3148"/>
        <v>23.480148</v>
      </c>
      <c r="V2889">
        <f t="shared" ref="V2889:W2889" si="3154">V2865</f>
        <v>2.5</v>
      </c>
      <c r="W2889">
        <f t="shared" si="3154"/>
        <v>3.1</v>
      </c>
      <c r="X2889" s="9">
        <v>-100.47616036666901</v>
      </c>
      <c r="Y2889" s="39"/>
    </row>
    <row r="2890" spans="1:25" ht="15" thickBot="1">
      <c r="A2890" s="149">
        <f t="shared" si="3130"/>
        <v>45956.291666661644</v>
      </c>
      <c r="B2890" s="30">
        <f t="shared" si="3085"/>
        <v>8000</v>
      </c>
      <c r="C2890" s="8">
        <v>25000</v>
      </c>
      <c r="D2890" s="187">
        <v>0</v>
      </c>
      <c r="E2890" s="187">
        <v>700</v>
      </c>
      <c r="F2890" s="187">
        <v>15000</v>
      </c>
      <c r="G2890" s="30">
        <f t="shared" si="3086"/>
        <v>2470</v>
      </c>
      <c r="H2890" s="8">
        <f t="shared" si="3086"/>
        <v>25000</v>
      </c>
      <c r="I2890" s="30">
        <f t="shared" si="3087"/>
        <v>8000</v>
      </c>
      <c r="J2890" s="187">
        <v>40000</v>
      </c>
      <c r="K2890" s="30">
        <f t="shared" si="3088"/>
        <v>8000</v>
      </c>
      <c r="L2890" s="187">
        <v>40000</v>
      </c>
      <c r="M2890" s="110">
        <v>9.5</v>
      </c>
      <c r="N2890" s="9">
        <f>VLOOKUP(DATE(YEAR(A2890),MONTH(A2890),DAY(A2890)),FY24_Temp[],3,FALSE)</f>
        <v>17.5</v>
      </c>
      <c r="O2890" s="110">
        <f t="shared" si="3146"/>
        <v>11.5</v>
      </c>
      <c r="P2890" s="110">
        <f t="shared" si="3147"/>
        <v>19.5</v>
      </c>
      <c r="Q2890" s="79">
        <f>VLOOKUP(VLOOKUP(DATEVALUE(TEXT(A2890,"m/d/yyyy")),FY24_Temp[],5,FALSE)&amp;TEXT(A2890,"-h"),TempDelta[],4,FALSE)</f>
        <v>0.13774999789893627</v>
      </c>
      <c r="R2890">
        <v>10</v>
      </c>
      <c r="S2890" s="112">
        <v>1500</v>
      </c>
      <c r="T2890" s="5">
        <f>VLOOKUP(TEXT(A2890,"yy-mm")&amp;"-"&amp;IF(AND(WEEKDAY(A2890)&gt;1,WEEKDAY(A2890)&lt;7),"Wkd",TEXT(A2890,"Ddd"))&amp;"-"&amp;TEXT(A2890,"hh"),LoadTable[],3,FALSE)*0.92</f>
        <v>234.80148</v>
      </c>
      <c r="U2890" s="113">
        <f t="shared" si="3148"/>
        <v>23.480148</v>
      </c>
      <c r="V2890">
        <f t="shared" ref="V2890:W2890" si="3155">V2866</f>
        <v>2.5</v>
      </c>
      <c r="W2890">
        <f t="shared" si="3155"/>
        <v>3.1</v>
      </c>
      <c r="X2890" s="9">
        <v>-100.553954916669</v>
      </c>
      <c r="Y2890" s="39"/>
    </row>
    <row r="2891" spans="1:25" ht="15" thickBot="1">
      <c r="A2891" s="149">
        <f t="shared" si="3130"/>
        <v>45956.333333328308</v>
      </c>
      <c r="B2891" s="30">
        <f t="shared" si="3085"/>
        <v>8000</v>
      </c>
      <c r="C2891" s="8">
        <v>25000</v>
      </c>
      <c r="D2891" s="187">
        <v>0</v>
      </c>
      <c r="E2891" s="187">
        <v>700</v>
      </c>
      <c r="F2891" s="187">
        <v>15000</v>
      </c>
      <c r="G2891" s="30">
        <f t="shared" si="3086"/>
        <v>2470</v>
      </c>
      <c r="H2891" s="8">
        <f t="shared" si="3086"/>
        <v>25000</v>
      </c>
      <c r="I2891" s="30">
        <f t="shared" si="3087"/>
        <v>8000</v>
      </c>
      <c r="J2891" s="187">
        <v>40000</v>
      </c>
      <c r="K2891" s="30">
        <f t="shared" si="3088"/>
        <v>8000</v>
      </c>
      <c r="L2891" s="187">
        <v>40000</v>
      </c>
      <c r="M2891" s="110">
        <v>9.5</v>
      </c>
      <c r="N2891" s="9">
        <f>VLOOKUP(DATE(YEAR(A2891),MONTH(A2891),DAY(A2891)),FY24_Temp[],3,FALSE)</f>
        <v>17.5</v>
      </c>
      <c r="O2891" s="110">
        <f t="shared" si="3146"/>
        <v>11.5</v>
      </c>
      <c r="P2891" s="110">
        <f t="shared" si="3147"/>
        <v>19.5</v>
      </c>
      <c r="Q2891" s="79">
        <f>VLOOKUP(VLOOKUP(DATEVALUE(TEXT(A2891,"m/d/yyyy")),FY24_Temp[],5,FALSE)&amp;TEXT(A2891,"-h"),TempDelta[],4,FALSE)</f>
        <v>2.8249999275431037E-2</v>
      </c>
      <c r="R2891">
        <v>10</v>
      </c>
      <c r="S2891" s="112">
        <v>1500</v>
      </c>
      <c r="T2891" s="5">
        <f>VLOOKUP(TEXT(A2891,"yy-mm")&amp;"-"&amp;IF(AND(WEEKDAY(A2891)&gt;1,WEEKDAY(A2891)&lt;7),"Wkd",TEXT(A2891,"Ddd"))&amp;"-"&amp;TEXT(A2891,"hh"),LoadTable[],3,FALSE)*0.92</f>
        <v>234.80148</v>
      </c>
      <c r="U2891" s="113">
        <f t="shared" si="3148"/>
        <v>23.480148</v>
      </c>
      <c r="V2891">
        <f t="shared" ref="V2891:W2891" si="3156">V2867</f>
        <v>3.2</v>
      </c>
      <c r="W2891">
        <f t="shared" si="3156"/>
        <v>3</v>
      </c>
      <c r="X2891" s="9">
        <v>-100.63174946666901</v>
      </c>
      <c r="Y2891" s="39"/>
    </row>
    <row r="2892" spans="1:25" ht="15" thickBot="1">
      <c r="A2892" s="149">
        <f t="shared" si="3130"/>
        <v>45956.374999994972</v>
      </c>
      <c r="B2892" s="30">
        <f t="shared" ref="B2892:B2955" si="3157">B2868</f>
        <v>8000</v>
      </c>
      <c r="C2892" s="8">
        <v>25000</v>
      </c>
      <c r="D2892" s="187">
        <v>0</v>
      </c>
      <c r="E2892" s="187">
        <v>700</v>
      </c>
      <c r="F2892" s="187">
        <v>15000</v>
      </c>
      <c r="G2892" s="30">
        <f t="shared" ref="G2892:H2955" si="3158">G2868</f>
        <v>2470</v>
      </c>
      <c r="H2892" s="8">
        <f t="shared" si="3158"/>
        <v>25000</v>
      </c>
      <c r="I2892" s="30">
        <f t="shared" ref="I2892:I2955" si="3159">I2868</f>
        <v>8000</v>
      </c>
      <c r="J2892" s="187">
        <v>40000</v>
      </c>
      <c r="K2892" s="30">
        <f t="shared" ref="K2892:K2955" si="3160">K2868</f>
        <v>8000</v>
      </c>
      <c r="L2892" s="187">
        <v>40000</v>
      </c>
      <c r="M2892" s="110">
        <v>9.5</v>
      </c>
      <c r="N2892" s="9">
        <f>VLOOKUP(DATE(YEAR(A2892),MONTH(A2892),DAY(A2892)),FY24_Temp[],3,FALSE)</f>
        <v>17.5</v>
      </c>
      <c r="O2892" s="110">
        <f t="shared" si="3146"/>
        <v>11.5</v>
      </c>
      <c r="P2892" s="110">
        <f t="shared" si="3147"/>
        <v>19.5</v>
      </c>
      <c r="Q2892" s="79">
        <f>VLOOKUP(VLOOKUP(DATEVALUE(TEXT(A2892,"m/d/yyyy")),FY24_Temp[],5,FALSE)&amp;TEXT(A2892,"-h"),TempDelta[],4,FALSE)</f>
        <v>-5.3000001236796379E-2</v>
      </c>
      <c r="R2892">
        <v>10</v>
      </c>
      <c r="S2892" s="112">
        <v>1500</v>
      </c>
      <c r="T2892" s="5">
        <f>VLOOKUP(TEXT(A2892,"yy-mm")&amp;"-"&amp;IF(AND(WEEKDAY(A2892)&gt;1,WEEKDAY(A2892)&lt;7),"Wkd",TEXT(A2892,"Ddd"))&amp;"-"&amp;TEXT(A2892,"hh"),LoadTable[],3,FALSE)*0.92</f>
        <v>234.80148</v>
      </c>
      <c r="U2892" s="113">
        <f t="shared" si="3148"/>
        <v>23.480148</v>
      </c>
      <c r="V2892">
        <f t="shared" ref="V2892:W2892" si="3161">V2868</f>
        <v>2.9</v>
      </c>
      <c r="W2892">
        <f t="shared" si="3161"/>
        <v>3</v>
      </c>
      <c r="X2892" s="9">
        <v>-100.709544016669</v>
      </c>
      <c r="Y2892" s="39"/>
    </row>
    <row r="2893" spans="1:25" ht="15" thickBot="1">
      <c r="A2893" s="149">
        <f t="shared" si="3130"/>
        <v>45956.416666661637</v>
      </c>
      <c r="B2893" s="30">
        <f t="shared" si="3157"/>
        <v>8000</v>
      </c>
      <c r="C2893" s="8">
        <v>25000</v>
      </c>
      <c r="D2893" s="187">
        <v>0</v>
      </c>
      <c r="E2893" s="187">
        <v>700</v>
      </c>
      <c r="F2893" s="187">
        <v>15000</v>
      </c>
      <c r="G2893" s="30">
        <f t="shared" si="3158"/>
        <v>2470</v>
      </c>
      <c r="H2893" s="8">
        <f t="shared" si="3158"/>
        <v>25000</v>
      </c>
      <c r="I2893" s="30">
        <f t="shared" si="3159"/>
        <v>8000</v>
      </c>
      <c r="J2893" s="187">
        <v>40000</v>
      </c>
      <c r="K2893" s="30">
        <f t="shared" si="3160"/>
        <v>8000</v>
      </c>
      <c r="L2893" s="187">
        <v>40000</v>
      </c>
      <c r="M2893" s="110">
        <v>9.5</v>
      </c>
      <c r="N2893" s="9">
        <f>VLOOKUP(DATE(YEAR(A2893),MONTH(A2893),DAY(A2893)),FY24_Temp[],3,FALSE)</f>
        <v>17.5</v>
      </c>
      <c r="O2893" s="110">
        <f t="shared" si="3146"/>
        <v>11.5</v>
      </c>
      <c r="P2893" s="110">
        <f t="shared" si="3147"/>
        <v>19.5</v>
      </c>
      <c r="Q2893" s="79">
        <f>VLOOKUP(VLOOKUP(DATEVALUE(TEXT(A2893,"m/d/yyyy")),FY24_Temp[],5,FALSE)&amp;TEXT(A2893,"-h"),TempDelta[],4,FALSE)</f>
        <v>-0.13824999803910032</v>
      </c>
      <c r="R2893">
        <v>10</v>
      </c>
      <c r="S2893" s="112">
        <v>1500</v>
      </c>
      <c r="T2893" s="5">
        <f>VLOOKUP(TEXT(A2893,"yy-mm")&amp;"-"&amp;IF(AND(WEEKDAY(A2893)&gt;1,WEEKDAY(A2893)&lt;7),"Wkd",TEXT(A2893,"Ddd"))&amp;"-"&amp;TEXT(A2893,"hh"),LoadTable[],3,FALSE)*0.92</f>
        <v>234.80148</v>
      </c>
      <c r="U2893" s="113">
        <f t="shared" si="3148"/>
        <v>23.480148</v>
      </c>
      <c r="V2893">
        <f t="shared" ref="V2893:W2893" si="3162">V2869</f>
        <v>2.9</v>
      </c>
      <c r="W2893">
        <f t="shared" si="3162"/>
        <v>3</v>
      </c>
      <c r="X2893" s="9">
        <v>-100.78733856666901</v>
      </c>
      <c r="Y2893" s="39"/>
    </row>
    <row r="2894" spans="1:25" ht="15" thickBot="1">
      <c r="A2894" s="149">
        <f t="shared" si="3130"/>
        <v>45956.458333328301</v>
      </c>
      <c r="B2894" s="30">
        <f t="shared" si="3157"/>
        <v>8000</v>
      </c>
      <c r="C2894" s="8">
        <v>25000</v>
      </c>
      <c r="D2894" s="187">
        <v>0</v>
      </c>
      <c r="E2894" s="187">
        <v>700</v>
      </c>
      <c r="F2894" s="187">
        <v>15000</v>
      </c>
      <c r="G2894" s="30">
        <f t="shared" si="3158"/>
        <v>2470</v>
      </c>
      <c r="H2894" s="8">
        <f t="shared" si="3158"/>
        <v>25000</v>
      </c>
      <c r="I2894" s="30">
        <f t="shared" si="3159"/>
        <v>8000</v>
      </c>
      <c r="J2894" s="187">
        <v>40000</v>
      </c>
      <c r="K2894" s="30">
        <f t="shared" si="3160"/>
        <v>8000</v>
      </c>
      <c r="L2894" s="187">
        <v>40000</v>
      </c>
      <c r="M2894" s="110">
        <v>9.5</v>
      </c>
      <c r="N2894" s="9">
        <f>VLOOKUP(DATE(YEAR(A2894),MONTH(A2894),DAY(A2894)),FY24_Temp[],3,FALSE)</f>
        <v>17.5</v>
      </c>
      <c r="O2894" s="110">
        <f t="shared" si="3146"/>
        <v>11.5</v>
      </c>
      <c r="P2894" s="110">
        <f t="shared" si="3147"/>
        <v>19.5</v>
      </c>
      <c r="Q2894" s="79">
        <f>VLOOKUP(VLOOKUP(DATEVALUE(TEXT(A2894,"m/d/yyyy")),FY24_Temp[],5,FALSE)&amp;TEXT(A2894,"-h"),TempDelta[],4,FALSE)</f>
        <v>-0.20649999752640724</v>
      </c>
      <c r="R2894">
        <v>10</v>
      </c>
      <c r="S2894" s="112">
        <v>1500</v>
      </c>
      <c r="T2894" s="5">
        <f>VLOOKUP(TEXT(A2894,"yy-mm")&amp;"-"&amp;IF(AND(WEEKDAY(A2894)&gt;1,WEEKDAY(A2894)&lt;7),"Wkd",TEXT(A2894,"Ddd"))&amp;"-"&amp;TEXT(A2894,"hh"),LoadTable[],3,FALSE)*0.92</f>
        <v>234.80148</v>
      </c>
      <c r="U2894" s="113">
        <f t="shared" si="3148"/>
        <v>23.480148</v>
      </c>
      <c r="V2894">
        <f t="shared" ref="V2894:W2894" si="3163">V2870</f>
        <v>3.4</v>
      </c>
      <c r="W2894">
        <f t="shared" si="3163"/>
        <v>3</v>
      </c>
      <c r="X2894" s="9">
        <v>-100.865133116669</v>
      </c>
      <c r="Y2894" s="39"/>
    </row>
    <row r="2895" spans="1:25" ht="15" thickBot="1">
      <c r="A2895" s="149">
        <f t="shared" si="3130"/>
        <v>45956.499999994965</v>
      </c>
      <c r="B2895" s="30">
        <f t="shared" si="3157"/>
        <v>8000</v>
      </c>
      <c r="C2895" s="8">
        <v>25000</v>
      </c>
      <c r="D2895" s="187">
        <v>0</v>
      </c>
      <c r="E2895" s="187">
        <v>700</v>
      </c>
      <c r="F2895" s="187">
        <v>15000</v>
      </c>
      <c r="G2895" s="30">
        <f t="shared" si="3158"/>
        <v>2470</v>
      </c>
      <c r="H2895" s="8">
        <f t="shared" si="3158"/>
        <v>25000</v>
      </c>
      <c r="I2895" s="30">
        <f t="shared" si="3159"/>
        <v>8000</v>
      </c>
      <c r="J2895" s="187">
        <v>40000</v>
      </c>
      <c r="K2895" s="30">
        <f t="shared" si="3160"/>
        <v>8000</v>
      </c>
      <c r="L2895" s="187">
        <v>40000</v>
      </c>
      <c r="M2895" s="110">
        <v>9.5</v>
      </c>
      <c r="N2895" s="9">
        <f>VLOOKUP(DATE(YEAR(A2895),MONTH(A2895),DAY(A2895)),FY24_Temp[],3,FALSE)</f>
        <v>17.5</v>
      </c>
      <c r="O2895" s="110">
        <f t="shared" si="3146"/>
        <v>11.5</v>
      </c>
      <c r="P2895" s="110">
        <f t="shared" si="3147"/>
        <v>19.5</v>
      </c>
      <c r="Q2895" s="79">
        <f>VLOOKUP(VLOOKUP(DATEVALUE(TEXT(A2895,"m/d/yyyy")),FY24_Temp[],5,FALSE)&amp;TEXT(A2895,"-h"),TempDelta[],4,FALSE)</f>
        <v>-0.25474999845027924</v>
      </c>
      <c r="R2895">
        <v>10</v>
      </c>
      <c r="S2895" s="112">
        <v>1500</v>
      </c>
      <c r="T2895" s="5">
        <f>VLOOKUP(TEXT(A2895,"yy-mm")&amp;"-"&amp;IF(AND(WEEKDAY(A2895)&gt;1,WEEKDAY(A2895)&lt;7),"Wkd",TEXT(A2895,"Ddd"))&amp;"-"&amp;TEXT(A2895,"hh"),LoadTable[],3,FALSE)*0.92</f>
        <v>234.80148</v>
      </c>
      <c r="U2895" s="113">
        <f t="shared" si="3148"/>
        <v>23.480148</v>
      </c>
      <c r="V2895">
        <f t="shared" ref="V2895:W2895" si="3164">V2871</f>
        <v>3.1</v>
      </c>
      <c r="W2895">
        <f t="shared" si="3164"/>
        <v>2.9</v>
      </c>
      <c r="X2895" s="9">
        <v>-100.94292766666899</v>
      </c>
      <c r="Y2895" s="39"/>
    </row>
    <row r="2896" spans="1:25" ht="15" thickBot="1">
      <c r="A2896" s="149">
        <f t="shared" si="3130"/>
        <v>45956.541666661629</v>
      </c>
      <c r="B2896" s="30">
        <f t="shared" si="3157"/>
        <v>8000</v>
      </c>
      <c r="C2896" s="8">
        <v>25000</v>
      </c>
      <c r="D2896" s="187">
        <v>0</v>
      </c>
      <c r="E2896" s="187">
        <v>700</v>
      </c>
      <c r="F2896" s="187">
        <v>15000</v>
      </c>
      <c r="G2896" s="30">
        <f t="shared" si="3158"/>
        <v>2470</v>
      </c>
      <c r="H2896" s="8">
        <f t="shared" si="3158"/>
        <v>25000</v>
      </c>
      <c r="I2896" s="30">
        <f t="shared" si="3159"/>
        <v>8000</v>
      </c>
      <c r="J2896" s="187">
        <v>40000</v>
      </c>
      <c r="K2896" s="30">
        <f t="shared" si="3160"/>
        <v>8000</v>
      </c>
      <c r="L2896" s="187">
        <v>40000</v>
      </c>
      <c r="M2896" s="110">
        <v>9.5</v>
      </c>
      <c r="N2896" s="9">
        <f>VLOOKUP(DATE(YEAR(A2896),MONTH(A2896),DAY(A2896)),FY24_Temp[],3,FALSE)</f>
        <v>17.5</v>
      </c>
      <c r="O2896" s="110">
        <f t="shared" si="3146"/>
        <v>11.5</v>
      </c>
      <c r="P2896" s="110">
        <f t="shared" si="3147"/>
        <v>19.5</v>
      </c>
      <c r="Q2896" s="79">
        <f>VLOOKUP(VLOOKUP(DATEVALUE(TEXT(A2896,"m/d/yyyy")),FY24_Temp[],5,FALSE)&amp;TEXT(A2896,"-h"),TempDelta[],4,FALSE)</f>
        <v>-0.27724999561905861</v>
      </c>
      <c r="R2896">
        <v>10</v>
      </c>
      <c r="S2896" s="112">
        <v>1500</v>
      </c>
      <c r="T2896" s="5">
        <f>VLOOKUP(TEXT(A2896,"yy-mm")&amp;"-"&amp;IF(AND(WEEKDAY(A2896)&gt;1,WEEKDAY(A2896)&lt;7),"Wkd",TEXT(A2896,"Ddd"))&amp;"-"&amp;TEXT(A2896,"hh"),LoadTable[],3,FALSE)*0.92</f>
        <v>234.80148</v>
      </c>
      <c r="U2896" s="113">
        <f t="shared" si="3148"/>
        <v>23.480148</v>
      </c>
      <c r="V2896">
        <f t="shared" ref="V2896:W2896" si="3165">V2872</f>
        <v>3.2</v>
      </c>
      <c r="W2896">
        <f t="shared" si="3165"/>
        <v>2.9</v>
      </c>
      <c r="X2896" s="9">
        <v>-101.020722216669</v>
      </c>
      <c r="Y2896" s="39"/>
    </row>
    <row r="2897" spans="1:25" ht="15" thickBot="1">
      <c r="A2897" s="149">
        <f t="shared" si="3130"/>
        <v>45956.583333328294</v>
      </c>
      <c r="B2897" s="30">
        <f t="shared" si="3157"/>
        <v>8000</v>
      </c>
      <c r="C2897" s="8">
        <v>25000</v>
      </c>
      <c r="D2897" s="187">
        <v>0</v>
      </c>
      <c r="E2897" s="187">
        <v>700</v>
      </c>
      <c r="F2897" s="187">
        <v>15000</v>
      </c>
      <c r="G2897" s="30">
        <f t="shared" si="3158"/>
        <v>2470</v>
      </c>
      <c r="H2897" s="8">
        <f t="shared" si="3158"/>
        <v>25000</v>
      </c>
      <c r="I2897" s="30">
        <f t="shared" si="3159"/>
        <v>8000</v>
      </c>
      <c r="J2897" s="187">
        <v>40000</v>
      </c>
      <c r="K2897" s="30">
        <f t="shared" si="3160"/>
        <v>8000</v>
      </c>
      <c r="L2897" s="187">
        <v>40000</v>
      </c>
      <c r="M2897" s="110">
        <v>9.5</v>
      </c>
      <c r="N2897" s="9">
        <f>VLOOKUP(DATE(YEAR(A2897),MONTH(A2897),DAY(A2897)),FY24_Temp[],3,FALSE)</f>
        <v>17.5</v>
      </c>
      <c r="O2897" s="110">
        <f t="shared" si="3146"/>
        <v>11.5</v>
      </c>
      <c r="P2897" s="110">
        <f t="shared" si="3147"/>
        <v>19.5</v>
      </c>
      <c r="Q2897" s="79">
        <f>VLOOKUP(VLOOKUP(DATEVALUE(TEXT(A2897,"m/d/yyyy")),FY24_Temp[],5,FALSE)&amp;TEXT(A2897,"-h"),TempDelta[],4,FALSE)</f>
        <v>-0.23250000178813934</v>
      </c>
      <c r="R2897">
        <v>10</v>
      </c>
      <c r="S2897" s="112">
        <v>1500</v>
      </c>
      <c r="T2897" s="5">
        <f>VLOOKUP(TEXT(A2897,"yy-mm")&amp;"-"&amp;IF(AND(WEEKDAY(A2897)&gt;1,WEEKDAY(A2897)&lt;7),"Wkd",TEXT(A2897,"Ddd"))&amp;"-"&amp;TEXT(A2897,"hh"),LoadTable[],3,FALSE)*0.92</f>
        <v>234.80148</v>
      </c>
      <c r="U2897" s="113">
        <f t="shared" si="3148"/>
        <v>23.480148</v>
      </c>
      <c r="V2897">
        <f t="shared" ref="V2897:W2897" si="3166">V2873</f>
        <v>3.5</v>
      </c>
      <c r="W2897">
        <f t="shared" si="3166"/>
        <v>2.9</v>
      </c>
      <c r="X2897" s="9">
        <v>-101.09851676666899</v>
      </c>
      <c r="Y2897" s="39"/>
    </row>
    <row r="2898" spans="1:25" ht="15" thickBot="1">
      <c r="A2898" s="149">
        <f t="shared" si="3130"/>
        <v>45956.624999994958</v>
      </c>
      <c r="B2898" s="30">
        <f t="shared" si="3157"/>
        <v>8000</v>
      </c>
      <c r="C2898" s="8">
        <v>25000</v>
      </c>
      <c r="D2898" s="187">
        <v>0</v>
      </c>
      <c r="E2898" s="187">
        <v>700</v>
      </c>
      <c r="F2898" s="187">
        <v>15000</v>
      </c>
      <c r="G2898" s="30">
        <f t="shared" si="3158"/>
        <v>2470</v>
      </c>
      <c r="H2898" s="8">
        <f t="shared" si="3158"/>
        <v>25000</v>
      </c>
      <c r="I2898" s="30">
        <f t="shared" si="3159"/>
        <v>8000</v>
      </c>
      <c r="J2898" s="187">
        <v>40000</v>
      </c>
      <c r="K2898" s="30">
        <f t="shared" si="3160"/>
        <v>8000</v>
      </c>
      <c r="L2898" s="187">
        <v>40000</v>
      </c>
      <c r="M2898" s="110">
        <v>9.5</v>
      </c>
      <c r="N2898" s="9">
        <f>VLOOKUP(DATE(YEAR(A2898),MONTH(A2898),DAY(A2898)),FY24_Temp[],3,FALSE)</f>
        <v>17.5</v>
      </c>
      <c r="O2898" s="110">
        <f t="shared" si="3146"/>
        <v>11.5</v>
      </c>
      <c r="P2898" s="110">
        <f t="shared" si="3147"/>
        <v>19.5</v>
      </c>
      <c r="Q2898" s="79">
        <f>VLOOKUP(VLOOKUP(DATEVALUE(TEXT(A2898,"m/d/yyyy")),FY24_Temp[],5,FALSE)&amp;TEXT(A2898,"-h"),TempDelta[],4,FALSE)</f>
        <v>-0.15862499922513962</v>
      </c>
      <c r="R2898">
        <v>10</v>
      </c>
      <c r="S2898" s="112">
        <v>1500</v>
      </c>
      <c r="T2898" s="5">
        <f>VLOOKUP(TEXT(A2898,"yy-mm")&amp;"-"&amp;IF(AND(WEEKDAY(A2898)&gt;1,WEEKDAY(A2898)&lt;7),"Wkd",TEXT(A2898,"Ddd"))&amp;"-"&amp;TEXT(A2898,"hh"),LoadTable[],3,FALSE)*0.92</f>
        <v>234.80148</v>
      </c>
      <c r="U2898" s="113">
        <f t="shared" si="3148"/>
        <v>23.480148</v>
      </c>
      <c r="V2898">
        <f t="shared" ref="V2898:W2898" si="3167">V2874</f>
        <v>3.2</v>
      </c>
      <c r="W2898">
        <f t="shared" si="3167"/>
        <v>2.9</v>
      </c>
      <c r="X2898" s="9">
        <v>-101.176311316669</v>
      </c>
      <c r="Y2898" s="39"/>
    </row>
    <row r="2899" spans="1:25" ht="15" thickBot="1">
      <c r="A2899" s="149">
        <f t="shared" si="3130"/>
        <v>45956.666666661622</v>
      </c>
      <c r="B2899" s="30">
        <f t="shared" si="3157"/>
        <v>8000</v>
      </c>
      <c r="C2899" s="8">
        <v>25000</v>
      </c>
      <c r="D2899" s="187">
        <v>0</v>
      </c>
      <c r="E2899" s="187">
        <v>700</v>
      </c>
      <c r="F2899" s="187">
        <v>15000</v>
      </c>
      <c r="G2899" s="30">
        <f t="shared" si="3158"/>
        <v>2470</v>
      </c>
      <c r="H2899" s="8">
        <f t="shared" si="3158"/>
        <v>25000</v>
      </c>
      <c r="I2899" s="30">
        <f t="shared" si="3159"/>
        <v>8000</v>
      </c>
      <c r="J2899" s="187">
        <v>40000</v>
      </c>
      <c r="K2899" s="30">
        <f t="shared" si="3160"/>
        <v>8000</v>
      </c>
      <c r="L2899" s="187">
        <v>40000</v>
      </c>
      <c r="M2899" s="110">
        <v>9.5</v>
      </c>
      <c r="N2899" s="9">
        <f>VLOOKUP(DATE(YEAR(A2899),MONTH(A2899),DAY(A2899)),FY24_Temp[],3,FALSE)</f>
        <v>17.5</v>
      </c>
      <c r="O2899" s="110">
        <f t="shared" si="3146"/>
        <v>11.5</v>
      </c>
      <c r="P2899" s="110">
        <f t="shared" si="3147"/>
        <v>19.5</v>
      </c>
      <c r="Q2899" s="79">
        <f>VLOOKUP(VLOOKUP(DATEVALUE(TEXT(A2899,"m/d/yyyy")),FY24_Temp[],5,FALSE)&amp;TEXT(A2899,"-h"),TempDelta[],4,FALSE)</f>
        <v>5.487500037997961E-2</v>
      </c>
      <c r="R2899">
        <v>10</v>
      </c>
      <c r="S2899" s="112">
        <v>1500</v>
      </c>
      <c r="T2899" s="5">
        <f>VLOOKUP(TEXT(A2899,"yy-mm")&amp;"-"&amp;IF(AND(WEEKDAY(A2899)&gt;1,WEEKDAY(A2899)&lt;7),"Wkd",TEXT(A2899,"Ddd"))&amp;"-"&amp;TEXT(A2899,"hh"),LoadTable[],3,FALSE)*0.92</f>
        <v>234.80148</v>
      </c>
      <c r="U2899" s="113">
        <f t="shared" si="3148"/>
        <v>23.480148</v>
      </c>
      <c r="V2899">
        <f t="shared" ref="V2899:W2899" si="3168">V2875</f>
        <v>3.5</v>
      </c>
      <c r="W2899">
        <f t="shared" si="3168"/>
        <v>3</v>
      </c>
      <c r="X2899" s="9">
        <v>-101.25410586666899</v>
      </c>
      <c r="Y2899" s="39"/>
    </row>
    <row r="2900" spans="1:25" ht="15" thickBot="1">
      <c r="A2900" s="149">
        <f t="shared" si="3130"/>
        <v>45956.708333328286</v>
      </c>
      <c r="B2900" s="30">
        <f t="shared" si="3157"/>
        <v>8000</v>
      </c>
      <c r="C2900" s="8">
        <v>25000</v>
      </c>
      <c r="D2900" s="187">
        <v>0</v>
      </c>
      <c r="E2900" s="187">
        <v>700</v>
      </c>
      <c r="F2900" s="187">
        <v>15000</v>
      </c>
      <c r="G2900" s="30">
        <f t="shared" si="3158"/>
        <v>2470</v>
      </c>
      <c r="H2900" s="8">
        <f t="shared" si="3158"/>
        <v>25000</v>
      </c>
      <c r="I2900" s="30">
        <f t="shared" si="3159"/>
        <v>8000</v>
      </c>
      <c r="J2900" s="187">
        <v>40000</v>
      </c>
      <c r="K2900" s="30">
        <f t="shared" si="3160"/>
        <v>8000</v>
      </c>
      <c r="L2900" s="187">
        <v>40000</v>
      </c>
      <c r="M2900" s="110">
        <v>9.5</v>
      </c>
      <c r="N2900" s="9">
        <f>VLOOKUP(DATE(YEAR(A2900),MONTH(A2900),DAY(A2900)),FY24_Temp[],3,FALSE)</f>
        <v>17.5</v>
      </c>
      <c r="O2900" s="110">
        <f t="shared" si="3146"/>
        <v>11.5</v>
      </c>
      <c r="P2900" s="110">
        <f t="shared" si="3147"/>
        <v>19.5</v>
      </c>
      <c r="Q2900" s="79">
        <f>VLOOKUP(VLOOKUP(DATEVALUE(TEXT(A2900,"m/d/yyyy")),FY24_Temp[],5,FALSE)&amp;TEXT(A2900,"-h"),TempDelta[],4,FALSE)</f>
        <v>0.14624999904481228</v>
      </c>
      <c r="R2900">
        <v>10</v>
      </c>
      <c r="S2900" s="112">
        <v>1500</v>
      </c>
      <c r="T2900" s="5">
        <f>VLOOKUP(TEXT(A2900,"yy-mm")&amp;"-"&amp;IF(AND(WEEKDAY(A2900)&gt;1,WEEKDAY(A2900)&lt;7),"Wkd",TEXT(A2900,"Ddd"))&amp;"-"&amp;TEXT(A2900,"hh"),LoadTable[],3,FALSE)*0.92</f>
        <v>234.80148</v>
      </c>
      <c r="U2900" s="113">
        <f t="shared" si="3148"/>
        <v>23.480148</v>
      </c>
      <c r="V2900">
        <f t="shared" ref="V2900:W2900" si="3169">V2876</f>
        <v>3.6</v>
      </c>
      <c r="W2900">
        <f t="shared" si="3169"/>
        <v>3</v>
      </c>
      <c r="X2900" s="9">
        <v>-101.331900416669</v>
      </c>
      <c r="Y2900" s="39"/>
    </row>
    <row r="2901" spans="1:25" ht="15" thickBot="1">
      <c r="A2901" s="149">
        <f t="shared" si="3130"/>
        <v>45956.74999999495</v>
      </c>
      <c r="B2901" s="30">
        <f t="shared" si="3157"/>
        <v>5000</v>
      </c>
      <c r="C2901" s="8">
        <v>25000</v>
      </c>
      <c r="D2901" s="187">
        <v>0</v>
      </c>
      <c r="E2901" s="187">
        <v>700</v>
      </c>
      <c r="F2901" s="187">
        <v>15000</v>
      </c>
      <c r="G2901" s="30">
        <f t="shared" si="3158"/>
        <v>2470</v>
      </c>
      <c r="H2901" s="8">
        <f t="shared" si="3158"/>
        <v>25000</v>
      </c>
      <c r="I2901" s="30">
        <f t="shared" si="3159"/>
        <v>5000</v>
      </c>
      <c r="J2901" s="187">
        <v>40000</v>
      </c>
      <c r="K2901" s="30">
        <f t="shared" si="3160"/>
        <v>5000</v>
      </c>
      <c r="L2901" s="187">
        <v>40000</v>
      </c>
      <c r="M2901" s="110">
        <v>9.5</v>
      </c>
      <c r="N2901" s="9">
        <f>VLOOKUP(DATE(YEAR(A2901),MONTH(A2901),DAY(A2901)),FY24_Temp[],3,FALSE)</f>
        <v>17.5</v>
      </c>
      <c r="O2901" s="110">
        <f t="shared" si="3146"/>
        <v>11.5</v>
      </c>
      <c r="P2901" s="110">
        <f t="shared" si="3147"/>
        <v>19.5</v>
      </c>
      <c r="Q2901" s="79">
        <f>VLOOKUP(VLOOKUP(DATEVALUE(TEXT(A2901,"m/d/yyyy")),FY24_Temp[],5,FALSE)&amp;TEXT(A2901,"-h"),TempDelta[],4,FALSE)</f>
        <v>0.26487499848008156</v>
      </c>
      <c r="R2901">
        <v>10</v>
      </c>
      <c r="S2901" s="112">
        <v>1500</v>
      </c>
      <c r="T2901" s="5">
        <f>VLOOKUP(TEXT(A2901,"yy-mm")&amp;"-"&amp;IF(AND(WEEKDAY(A2901)&gt;1,WEEKDAY(A2901)&lt;7),"Wkd",TEXT(A2901,"Ddd"))&amp;"-"&amp;TEXT(A2901,"hh"),LoadTable[],3,FALSE)*0.92</f>
        <v>303.31295999999998</v>
      </c>
      <c r="U2901" s="113">
        <f t="shared" si="3148"/>
        <v>30.331295999999998</v>
      </c>
      <c r="V2901">
        <f t="shared" ref="V2901:W2901" si="3170">V2877</f>
        <v>2.9</v>
      </c>
      <c r="W2901">
        <f t="shared" si="3170"/>
        <v>3</v>
      </c>
      <c r="X2901" s="9">
        <v>-101.40969496666899</v>
      </c>
      <c r="Y2901" s="39"/>
    </row>
    <row r="2902" spans="1:25" ht="15" thickBot="1">
      <c r="A2902" s="149">
        <f t="shared" si="3130"/>
        <v>45956.791666661615</v>
      </c>
      <c r="B2902" s="30">
        <f t="shared" si="3157"/>
        <v>5000</v>
      </c>
      <c r="C2902" s="8">
        <v>25000</v>
      </c>
      <c r="D2902" s="187">
        <v>0</v>
      </c>
      <c r="E2902" s="187">
        <v>700</v>
      </c>
      <c r="F2902" s="187">
        <v>15000</v>
      </c>
      <c r="G2902" s="30">
        <f t="shared" si="3158"/>
        <v>2470</v>
      </c>
      <c r="H2902" s="8">
        <f t="shared" si="3158"/>
        <v>25000</v>
      </c>
      <c r="I2902" s="30">
        <f t="shared" si="3159"/>
        <v>5000</v>
      </c>
      <c r="J2902" s="187">
        <v>40000</v>
      </c>
      <c r="K2902" s="30">
        <f t="shared" si="3160"/>
        <v>5000</v>
      </c>
      <c r="L2902" s="187">
        <v>40000</v>
      </c>
      <c r="M2902" s="110">
        <v>9.5</v>
      </c>
      <c r="N2902" s="9">
        <f>VLOOKUP(DATE(YEAR(A2902),MONTH(A2902),DAY(A2902)),FY24_Temp[],3,FALSE)</f>
        <v>17.5</v>
      </c>
      <c r="O2902" s="110">
        <f t="shared" si="3146"/>
        <v>11.5</v>
      </c>
      <c r="P2902" s="110">
        <f t="shared" si="3147"/>
        <v>19.5</v>
      </c>
      <c r="Q2902" s="79">
        <f>VLOOKUP(VLOOKUP(DATEVALUE(TEXT(A2902,"m/d/yyyy")),FY24_Temp[],5,FALSE)&amp;TEXT(A2902,"-h"),TempDelta[],4,FALSE)</f>
        <v>0.24249999853782356</v>
      </c>
      <c r="R2902">
        <v>10</v>
      </c>
      <c r="S2902" s="112">
        <v>1500</v>
      </c>
      <c r="T2902" s="5">
        <f>VLOOKUP(TEXT(A2902,"yy-mm")&amp;"-"&amp;IF(AND(WEEKDAY(A2902)&gt;1,WEEKDAY(A2902)&lt;7),"Wkd",TEXT(A2902,"Ddd"))&amp;"-"&amp;TEXT(A2902,"hh"),LoadTable[],3,FALSE)*0.92</f>
        <v>303.31295999999998</v>
      </c>
      <c r="U2902" s="113">
        <f t="shared" si="3148"/>
        <v>30.331295999999998</v>
      </c>
      <c r="V2902">
        <f t="shared" ref="V2902:W2902" si="3171">V2878</f>
        <v>3</v>
      </c>
      <c r="W2902">
        <f t="shared" si="3171"/>
        <v>3</v>
      </c>
      <c r="X2902" s="9">
        <v>-101.487489516669</v>
      </c>
      <c r="Y2902" s="39"/>
    </row>
    <row r="2903" spans="1:25" ht="15" thickBot="1">
      <c r="A2903" s="149">
        <f t="shared" si="3130"/>
        <v>45956.833333328279</v>
      </c>
      <c r="B2903" s="30">
        <f t="shared" si="3157"/>
        <v>5000</v>
      </c>
      <c r="C2903" s="8">
        <v>25000</v>
      </c>
      <c r="D2903" s="187">
        <v>0</v>
      </c>
      <c r="E2903" s="187">
        <v>700</v>
      </c>
      <c r="F2903" s="187">
        <v>15000</v>
      </c>
      <c r="G2903" s="30">
        <f t="shared" si="3158"/>
        <v>2470</v>
      </c>
      <c r="H2903" s="8">
        <f t="shared" si="3158"/>
        <v>25000</v>
      </c>
      <c r="I2903" s="30">
        <f t="shared" si="3159"/>
        <v>5000</v>
      </c>
      <c r="J2903" s="187">
        <v>40000</v>
      </c>
      <c r="K2903" s="30">
        <f t="shared" si="3160"/>
        <v>5000</v>
      </c>
      <c r="L2903" s="187">
        <v>40000</v>
      </c>
      <c r="M2903" s="110">
        <v>9.5</v>
      </c>
      <c r="N2903" s="9">
        <f>VLOOKUP(DATE(YEAR(A2903),MONTH(A2903),DAY(A2903)),FY24_Temp[],3,FALSE)</f>
        <v>17.5</v>
      </c>
      <c r="O2903" s="110">
        <f t="shared" si="3146"/>
        <v>11.5</v>
      </c>
      <c r="P2903" s="110">
        <f t="shared" si="3147"/>
        <v>19.5</v>
      </c>
      <c r="Q2903" s="79">
        <f>VLOOKUP(VLOOKUP(DATEVALUE(TEXT(A2903,"m/d/yyyy")),FY24_Temp[],5,FALSE)&amp;TEXT(A2903,"-h"),TempDelta[],4,FALSE)</f>
        <v>0.25587500119581819</v>
      </c>
      <c r="R2903">
        <v>10</v>
      </c>
      <c r="S2903" s="112">
        <v>1500</v>
      </c>
      <c r="T2903" s="5">
        <f>VLOOKUP(TEXT(A2903,"yy-mm")&amp;"-"&amp;IF(AND(WEEKDAY(A2903)&gt;1,WEEKDAY(A2903)&lt;7),"Wkd",TEXT(A2903,"Ddd"))&amp;"-"&amp;TEXT(A2903,"hh"),LoadTable[],3,FALSE)*0.92</f>
        <v>303.31295999999998</v>
      </c>
      <c r="U2903" s="113">
        <f t="shared" si="3148"/>
        <v>30.331295999999998</v>
      </c>
      <c r="V2903">
        <f t="shared" ref="V2903:W2903" si="3172">V2879</f>
        <v>2.8</v>
      </c>
      <c r="W2903">
        <f t="shared" si="3172"/>
        <v>3.1</v>
      </c>
      <c r="X2903" s="9">
        <v>-101.56528406666899</v>
      </c>
      <c r="Y2903" s="39"/>
    </row>
    <row r="2904" spans="1:25" ht="15" thickBot="1">
      <c r="A2904" s="149">
        <f t="shared" si="3130"/>
        <v>45956.874999994943</v>
      </c>
      <c r="B2904" s="30">
        <f t="shared" si="3157"/>
        <v>5000</v>
      </c>
      <c r="C2904" s="8">
        <v>25000</v>
      </c>
      <c r="D2904" s="187">
        <v>0</v>
      </c>
      <c r="E2904" s="187">
        <v>700</v>
      </c>
      <c r="F2904" s="187">
        <v>15000</v>
      </c>
      <c r="G2904" s="30">
        <f t="shared" si="3158"/>
        <v>2470</v>
      </c>
      <c r="H2904" s="8">
        <f t="shared" si="3158"/>
        <v>25000</v>
      </c>
      <c r="I2904" s="30">
        <f t="shared" si="3159"/>
        <v>5000</v>
      </c>
      <c r="J2904" s="187">
        <v>40000</v>
      </c>
      <c r="K2904" s="30">
        <f t="shared" si="3160"/>
        <v>5000</v>
      </c>
      <c r="L2904" s="187">
        <v>40000</v>
      </c>
      <c r="M2904" s="110">
        <v>9.5</v>
      </c>
      <c r="N2904" s="9">
        <f>VLOOKUP(DATE(YEAR(A2904),MONTH(A2904),DAY(A2904)),FY24_Temp[],3,FALSE)</f>
        <v>17.5</v>
      </c>
      <c r="O2904" s="110">
        <f t="shared" si="3146"/>
        <v>11.5</v>
      </c>
      <c r="P2904" s="110">
        <f t="shared" si="3147"/>
        <v>19.5</v>
      </c>
      <c r="Q2904" s="79">
        <f>VLOOKUP(VLOOKUP(DATEVALUE(TEXT(A2904,"m/d/yyyy")),FY24_Temp[],5,FALSE)&amp;TEXT(A2904,"-h"),TempDelta[],4,FALSE)</f>
        <v>0.25137499789707363</v>
      </c>
      <c r="R2904">
        <v>10</v>
      </c>
      <c r="S2904" s="112">
        <v>1500</v>
      </c>
      <c r="T2904" s="5">
        <f>VLOOKUP(TEXT(A2904,"yy-mm")&amp;"-"&amp;IF(AND(WEEKDAY(A2904)&gt;1,WEEKDAY(A2904)&lt;7),"Wkd",TEXT(A2904,"Ddd"))&amp;"-"&amp;TEXT(A2904,"hh"),LoadTable[],3,FALSE)*0.92</f>
        <v>229.93744000000001</v>
      </c>
      <c r="U2904" s="113">
        <f t="shared" si="3148"/>
        <v>22.993744</v>
      </c>
      <c r="V2904">
        <f t="shared" ref="V2904:W2904" si="3173">V2880</f>
        <v>3.5</v>
      </c>
      <c r="W2904">
        <f t="shared" si="3173"/>
        <v>3.1</v>
      </c>
      <c r="X2904" s="9">
        <v>-101.643078616669</v>
      </c>
      <c r="Y2904" s="39"/>
    </row>
    <row r="2905" spans="1:25" ht="15" thickBot="1">
      <c r="A2905" s="149">
        <f t="shared" si="3130"/>
        <v>45956.916666661607</v>
      </c>
      <c r="B2905" s="30">
        <f t="shared" si="3157"/>
        <v>5000</v>
      </c>
      <c r="C2905" s="8">
        <v>25000</v>
      </c>
      <c r="D2905" s="187">
        <v>0</v>
      </c>
      <c r="E2905" s="187">
        <v>700</v>
      </c>
      <c r="F2905" s="187">
        <v>15000</v>
      </c>
      <c r="G2905" s="30">
        <f t="shared" si="3158"/>
        <v>2470</v>
      </c>
      <c r="H2905" s="8">
        <f t="shared" si="3158"/>
        <v>25000</v>
      </c>
      <c r="I2905" s="30">
        <f t="shared" si="3159"/>
        <v>5000</v>
      </c>
      <c r="J2905" s="187">
        <v>40000</v>
      </c>
      <c r="K2905" s="30">
        <f t="shared" si="3160"/>
        <v>5000</v>
      </c>
      <c r="L2905" s="187">
        <v>40000</v>
      </c>
      <c r="M2905" s="110">
        <v>9.5</v>
      </c>
      <c r="N2905" s="9">
        <f>VLOOKUP(DATE(YEAR(A2905),MONTH(A2905),DAY(A2905)),FY24_Temp[],3,FALSE)</f>
        <v>17.5</v>
      </c>
      <c r="O2905" s="110">
        <f t="shared" si="3146"/>
        <v>11.5</v>
      </c>
      <c r="P2905" s="110">
        <f t="shared" si="3147"/>
        <v>19.5</v>
      </c>
      <c r="Q2905" s="79">
        <f>VLOOKUP(VLOOKUP(DATEVALUE(TEXT(A2905,"m/d/yyyy")),FY24_Temp[],5,FALSE)&amp;TEXT(A2905,"-h"),TempDelta[],4,FALSE)</f>
        <v>0.48149999231100082</v>
      </c>
      <c r="R2905">
        <v>10</v>
      </c>
      <c r="S2905" s="112">
        <v>1500</v>
      </c>
      <c r="T2905" s="5">
        <f>VLOOKUP(TEXT(A2905,"yy-mm")&amp;"-"&amp;IF(AND(WEEKDAY(A2905)&gt;1,WEEKDAY(A2905)&lt;7),"Wkd",TEXT(A2905,"Ddd"))&amp;"-"&amp;TEXT(A2905,"hh"),LoadTable[],3,FALSE)*0.92</f>
        <v>176.52040000000002</v>
      </c>
      <c r="U2905" s="113">
        <f t="shared" si="3148"/>
        <v>17.652040000000003</v>
      </c>
      <c r="V2905">
        <f t="shared" ref="V2905:W2905" si="3174">V2881</f>
        <v>2.9</v>
      </c>
      <c r="W2905">
        <f t="shared" si="3174"/>
        <v>3.1</v>
      </c>
      <c r="X2905" s="9">
        <v>-101.72087316666899</v>
      </c>
      <c r="Y2905" s="39"/>
    </row>
    <row r="2906" spans="1:25" ht="15" thickBot="1">
      <c r="A2906" s="149">
        <f t="shared" si="3130"/>
        <v>45956.958333328272</v>
      </c>
      <c r="B2906" s="30">
        <f t="shared" si="3157"/>
        <v>5000</v>
      </c>
      <c r="C2906" s="8">
        <v>25000</v>
      </c>
      <c r="D2906" s="187">
        <v>0</v>
      </c>
      <c r="E2906" s="187">
        <v>700</v>
      </c>
      <c r="F2906" s="187">
        <v>15000</v>
      </c>
      <c r="G2906" s="30">
        <f t="shared" si="3158"/>
        <v>2470</v>
      </c>
      <c r="H2906" s="8">
        <f t="shared" si="3158"/>
        <v>25000</v>
      </c>
      <c r="I2906" s="30">
        <f t="shared" si="3159"/>
        <v>5000</v>
      </c>
      <c r="J2906" s="187">
        <v>40000</v>
      </c>
      <c r="K2906" s="30">
        <f t="shared" si="3160"/>
        <v>5000</v>
      </c>
      <c r="L2906" s="187">
        <v>40000</v>
      </c>
      <c r="M2906" s="110">
        <v>9.5</v>
      </c>
      <c r="N2906" s="9">
        <f>VLOOKUP(DATE(YEAR(A2906),MONTH(A2906),DAY(A2906)),FY24_Temp[],3,FALSE)</f>
        <v>17.5</v>
      </c>
      <c r="O2906" s="110">
        <f t="shared" si="3146"/>
        <v>11.5</v>
      </c>
      <c r="P2906" s="110">
        <f t="shared" si="3147"/>
        <v>19.5</v>
      </c>
      <c r="Q2906" s="79">
        <f>VLOOKUP(VLOOKUP(DATEVALUE(TEXT(A2906,"m/d/yyyy")),FY24_Temp[],5,FALSE)&amp;TEXT(A2906,"-h"),TempDelta[],4,FALSE)</f>
        <v>0.60849998891353607</v>
      </c>
      <c r="R2906">
        <v>10</v>
      </c>
      <c r="S2906" s="112">
        <v>1500</v>
      </c>
      <c r="T2906" s="5">
        <f>VLOOKUP(TEXT(A2906,"yy-mm")&amp;"-"&amp;IF(AND(WEEKDAY(A2906)&gt;1,WEEKDAY(A2906)&lt;7),"Wkd",TEXT(A2906,"Ddd"))&amp;"-"&amp;TEXT(A2906,"hh"),LoadTable[],3,FALSE)*0.92</f>
        <v>176.52040000000002</v>
      </c>
      <c r="U2906" s="113">
        <f t="shared" si="3148"/>
        <v>17.652040000000003</v>
      </c>
      <c r="V2906">
        <f t="shared" ref="V2906:W2906" si="3175">V2882</f>
        <v>3.6</v>
      </c>
      <c r="W2906">
        <f t="shared" si="3175"/>
        <v>3.1</v>
      </c>
      <c r="X2906" s="9">
        <v>-101.798667716669</v>
      </c>
      <c r="Y2906" s="39"/>
    </row>
    <row r="2907" spans="1:25" ht="15" thickBot="1">
      <c r="A2907" s="149">
        <f t="shared" si="3130"/>
        <v>45956.999999994936</v>
      </c>
      <c r="B2907" s="30">
        <f t="shared" si="3157"/>
        <v>5000</v>
      </c>
      <c r="C2907" s="8">
        <v>25000</v>
      </c>
      <c r="D2907" s="187">
        <v>0</v>
      </c>
      <c r="E2907" s="187">
        <v>700</v>
      </c>
      <c r="F2907" s="187">
        <v>15000</v>
      </c>
      <c r="G2907" s="30">
        <f t="shared" si="3158"/>
        <v>2470</v>
      </c>
      <c r="H2907" s="8">
        <f t="shared" si="3158"/>
        <v>25000</v>
      </c>
      <c r="I2907" s="30">
        <f t="shared" si="3159"/>
        <v>5000</v>
      </c>
      <c r="J2907" s="187">
        <v>40000</v>
      </c>
      <c r="K2907" s="30">
        <f t="shared" si="3160"/>
        <v>5000</v>
      </c>
      <c r="L2907" s="187">
        <v>40000</v>
      </c>
      <c r="M2907" s="110">
        <v>9.5</v>
      </c>
      <c r="N2907" s="9">
        <f>VLOOKUP(DATE(YEAR(A2907),MONTH(A2907),DAY(A2907)),FY24_Temp[],3,FALSE)</f>
        <v>17.5</v>
      </c>
      <c r="O2907" s="110">
        <f t="shared" si="3146"/>
        <v>11.5</v>
      </c>
      <c r="P2907" s="110">
        <f t="shared" si="3147"/>
        <v>19.5</v>
      </c>
      <c r="Q2907" s="79">
        <f>VLOOKUP(VLOOKUP(DATEVALUE(TEXT(A2907,"m/d/yyyy")),FY24_Temp[],5,FALSE)&amp;TEXT(A2907,"-h"),TempDelta[],4,FALSE)</f>
        <v>0.73420000076293945</v>
      </c>
      <c r="R2907">
        <v>10</v>
      </c>
      <c r="S2907" s="112">
        <v>1500</v>
      </c>
      <c r="T2907" s="5">
        <f>VLOOKUP(TEXT(A2907,"yy-mm")&amp;"-"&amp;IF(AND(WEEKDAY(A2907)&gt;1,WEEKDAY(A2907)&lt;7),"Wkd",TEXT(A2907,"Ddd"))&amp;"-"&amp;TEXT(A2907,"hh"),LoadTable[],3,FALSE)*0.92</f>
        <v>209.6772</v>
      </c>
      <c r="U2907" s="113">
        <f t="shared" si="3148"/>
        <v>20.96772</v>
      </c>
      <c r="V2907">
        <f t="shared" ref="V2907:W2907" si="3176">V2883</f>
        <v>3</v>
      </c>
      <c r="W2907">
        <f t="shared" si="3176"/>
        <v>3.2</v>
      </c>
      <c r="X2907" s="9">
        <v>-101.87646226666899</v>
      </c>
      <c r="Y2907" s="39"/>
    </row>
    <row r="2908" spans="1:25" ht="15" thickBot="1">
      <c r="A2908" s="149">
        <f t="shared" si="3130"/>
        <v>45957.0416666616</v>
      </c>
      <c r="B2908" s="30">
        <f t="shared" si="3157"/>
        <v>5000</v>
      </c>
      <c r="C2908" s="8">
        <v>25000</v>
      </c>
      <c r="D2908" s="187">
        <v>0</v>
      </c>
      <c r="E2908" s="187">
        <v>700</v>
      </c>
      <c r="F2908" s="187">
        <v>15000</v>
      </c>
      <c r="G2908" s="30">
        <f t="shared" si="3158"/>
        <v>2470</v>
      </c>
      <c r="H2908" s="8">
        <f t="shared" si="3158"/>
        <v>25000</v>
      </c>
      <c r="I2908" s="30">
        <f t="shared" si="3159"/>
        <v>5000</v>
      </c>
      <c r="J2908" s="187">
        <v>40000</v>
      </c>
      <c r="K2908" s="30">
        <f t="shared" si="3160"/>
        <v>5000</v>
      </c>
      <c r="L2908" s="187">
        <v>40000</v>
      </c>
      <c r="M2908" s="110">
        <v>9.5</v>
      </c>
      <c r="N2908" s="9">
        <f>VLOOKUP(DATE(YEAR(A2908),MONTH(A2908),DAY(A2908)),FY24_Temp[],3,FALSE)</f>
        <v>17.5</v>
      </c>
      <c r="O2908" s="110">
        <f t="shared" si="3146"/>
        <v>11.5</v>
      </c>
      <c r="P2908" s="110">
        <f t="shared" si="3147"/>
        <v>19.5</v>
      </c>
      <c r="Q2908" s="79">
        <f>VLOOKUP(VLOOKUP(DATEVALUE(TEXT(A2908,"m/d/yyyy")),FY24_Temp[],5,FALSE)&amp;TEXT(A2908,"-h"),TempDelta[],4,FALSE)</f>
        <v>0.69179999828338623</v>
      </c>
      <c r="R2908">
        <v>10</v>
      </c>
      <c r="S2908" s="112">
        <v>1500</v>
      </c>
      <c r="T2908" s="5">
        <f>VLOOKUP(TEXT(A2908,"yy-mm")&amp;"-"&amp;IF(AND(WEEKDAY(A2908)&gt;1,WEEKDAY(A2908)&lt;7),"Wkd",TEXT(A2908,"Ddd"))&amp;"-"&amp;TEXT(A2908,"hh"),LoadTable[],3,FALSE)*0.92</f>
        <v>209.6772</v>
      </c>
      <c r="U2908" s="113">
        <f t="shared" si="3148"/>
        <v>20.96772</v>
      </c>
      <c r="V2908">
        <f t="shared" ref="V2908:W2908" si="3177">V2884</f>
        <v>2.6</v>
      </c>
      <c r="W2908">
        <f t="shared" si="3177"/>
        <v>3.2</v>
      </c>
      <c r="X2908" s="9">
        <v>-101.954256816669</v>
      </c>
      <c r="Y2908" s="39"/>
    </row>
    <row r="2909" spans="1:25" ht="15" thickBot="1">
      <c r="A2909" s="149">
        <f t="shared" si="3130"/>
        <v>45957.083333328264</v>
      </c>
      <c r="B2909" s="30">
        <f t="shared" si="3157"/>
        <v>5000</v>
      </c>
      <c r="C2909" s="8">
        <v>25000</v>
      </c>
      <c r="D2909" s="187">
        <v>0</v>
      </c>
      <c r="E2909" s="187">
        <v>700</v>
      </c>
      <c r="F2909" s="187">
        <v>15000</v>
      </c>
      <c r="G2909" s="30">
        <f t="shared" si="3158"/>
        <v>2470</v>
      </c>
      <c r="H2909" s="8">
        <f t="shared" si="3158"/>
        <v>25000</v>
      </c>
      <c r="I2909" s="30">
        <f t="shared" si="3159"/>
        <v>5000</v>
      </c>
      <c r="J2909" s="187">
        <v>40000</v>
      </c>
      <c r="K2909" s="30">
        <f t="shared" si="3160"/>
        <v>5000</v>
      </c>
      <c r="L2909" s="187">
        <v>40000</v>
      </c>
      <c r="M2909" s="110">
        <v>9.5</v>
      </c>
      <c r="N2909" s="9">
        <f>VLOOKUP(DATE(YEAR(A2909),MONTH(A2909),DAY(A2909)),FY24_Temp[],3,FALSE)</f>
        <v>17.5</v>
      </c>
      <c r="O2909" s="110">
        <f t="shared" si="3146"/>
        <v>11.5</v>
      </c>
      <c r="P2909" s="110">
        <f t="shared" si="3147"/>
        <v>19.5</v>
      </c>
      <c r="Q2909" s="79">
        <f>VLOOKUP(VLOOKUP(DATEVALUE(TEXT(A2909,"m/d/yyyy")),FY24_Temp[],5,FALSE)&amp;TEXT(A2909,"-h"),TempDelta[],4,FALSE)</f>
        <v>0.64100000262260437</v>
      </c>
      <c r="R2909">
        <v>10</v>
      </c>
      <c r="S2909" s="112">
        <v>1500</v>
      </c>
      <c r="T2909" s="5">
        <f>VLOOKUP(TEXT(A2909,"yy-mm")&amp;"-"&amp;IF(AND(WEEKDAY(A2909)&gt;1,WEEKDAY(A2909)&lt;7),"Wkd",TEXT(A2909,"Ddd"))&amp;"-"&amp;TEXT(A2909,"hh"),LoadTable[],3,FALSE)*0.92</f>
        <v>209.6772</v>
      </c>
      <c r="U2909" s="113">
        <f t="shared" si="3148"/>
        <v>20.96772</v>
      </c>
      <c r="V2909">
        <f t="shared" ref="V2909:W2909" si="3178">V2885</f>
        <v>2.8</v>
      </c>
      <c r="W2909">
        <f t="shared" si="3178"/>
        <v>3.2</v>
      </c>
      <c r="X2909" s="9">
        <v>-102.03205136666899</v>
      </c>
      <c r="Y2909" s="39"/>
    </row>
    <row r="2910" spans="1:25" ht="15" thickBot="1">
      <c r="A2910" s="149">
        <f t="shared" si="3130"/>
        <v>45957.124999994929</v>
      </c>
      <c r="B2910" s="30">
        <f t="shared" si="3157"/>
        <v>5000</v>
      </c>
      <c r="C2910" s="8">
        <v>25000</v>
      </c>
      <c r="D2910" s="187">
        <v>0</v>
      </c>
      <c r="E2910" s="187">
        <v>700</v>
      </c>
      <c r="F2910" s="187">
        <v>15000</v>
      </c>
      <c r="G2910" s="30">
        <f t="shared" si="3158"/>
        <v>2470</v>
      </c>
      <c r="H2910" s="8">
        <f t="shared" si="3158"/>
        <v>25000</v>
      </c>
      <c r="I2910" s="30">
        <f t="shared" si="3159"/>
        <v>5000</v>
      </c>
      <c r="J2910" s="187">
        <v>40000</v>
      </c>
      <c r="K2910" s="30">
        <f t="shared" si="3160"/>
        <v>5000</v>
      </c>
      <c r="L2910" s="187">
        <v>40000</v>
      </c>
      <c r="M2910" s="110">
        <v>9.5</v>
      </c>
      <c r="N2910" s="9">
        <f>VLOOKUP(DATE(YEAR(A2910),MONTH(A2910),DAY(A2910)),FY24_Temp[],3,FALSE)</f>
        <v>17.5</v>
      </c>
      <c r="O2910" s="110">
        <f t="shared" si="3146"/>
        <v>11.5</v>
      </c>
      <c r="P2910" s="110">
        <f t="shared" si="3147"/>
        <v>19.5</v>
      </c>
      <c r="Q2910" s="79">
        <f>VLOOKUP(VLOOKUP(DATEVALUE(TEXT(A2910,"m/d/yyyy")),FY24_Temp[],5,FALSE)&amp;TEXT(A2910,"-h"),TempDelta[],4,FALSE)</f>
        <v>0.53599998354911804</v>
      </c>
      <c r="R2910">
        <v>10</v>
      </c>
      <c r="S2910" s="112">
        <v>1500</v>
      </c>
      <c r="T2910" s="5">
        <f>VLOOKUP(TEXT(A2910,"yy-mm")&amp;"-"&amp;IF(AND(WEEKDAY(A2910)&gt;1,WEEKDAY(A2910)&lt;7),"Wkd",TEXT(A2910,"Ddd"))&amp;"-"&amp;TEXT(A2910,"hh"),LoadTable[],3,FALSE)*0.92</f>
        <v>209.6772</v>
      </c>
      <c r="U2910" s="113">
        <f t="shared" si="3148"/>
        <v>20.96772</v>
      </c>
      <c r="V2910">
        <f t="shared" ref="V2910:W2910" si="3179">V2886</f>
        <v>2.7</v>
      </c>
      <c r="W2910">
        <f t="shared" si="3179"/>
        <v>3.2</v>
      </c>
      <c r="X2910" s="9">
        <v>-102.109845916669</v>
      </c>
      <c r="Y2910" s="39"/>
    </row>
    <row r="2911" spans="1:25" ht="15" thickBot="1">
      <c r="A2911" s="149">
        <f t="shared" si="3130"/>
        <v>45957.166666661593</v>
      </c>
      <c r="B2911" s="30">
        <f t="shared" si="3157"/>
        <v>5000</v>
      </c>
      <c r="C2911" s="8">
        <v>25000</v>
      </c>
      <c r="D2911" s="187">
        <v>0</v>
      </c>
      <c r="E2911" s="187">
        <v>700</v>
      </c>
      <c r="F2911" s="187">
        <v>15000</v>
      </c>
      <c r="G2911" s="30">
        <f t="shared" si="3158"/>
        <v>2470</v>
      </c>
      <c r="H2911" s="8">
        <f t="shared" si="3158"/>
        <v>25000</v>
      </c>
      <c r="I2911" s="30">
        <f t="shared" si="3159"/>
        <v>5000</v>
      </c>
      <c r="J2911" s="187">
        <v>40000</v>
      </c>
      <c r="K2911" s="30">
        <f t="shared" si="3160"/>
        <v>5000</v>
      </c>
      <c r="L2911" s="187">
        <v>40000</v>
      </c>
      <c r="M2911" s="110">
        <v>9.5</v>
      </c>
      <c r="N2911" s="9">
        <f>VLOOKUP(DATE(YEAR(A2911),MONTH(A2911),DAY(A2911)),FY24_Temp[],3,FALSE)</f>
        <v>17.5</v>
      </c>
      <c r="O2911" s="110">
        <f t="shared" si="3146"/>
        <v>11.5</v>
      </c>
      <c r="P2911" s="110">
        <f t="shared" si="3147"/>
        <v>19.5</v>
      </c>
      <c r="Q2911" s="79">
        <f>VLOOKUP(VLOOKUP(DATEVALUE(TEXT(A2911,"m/d/yyyy")),FY24_Temp[],5,FALSE)&amp;TEXT(A2911,"-h"),TempDelta[],4,FALSE)</f>
        <v>0.43825000524520874</v>
      </c>
      <c r="R2911">
        <v>10</v>
      </c>
      <c r="S2911" s="112">
        <v>1500</v>
      </c>
      <c r="T2911" s="5">
        <f>VLOOKUP(TEXT(A2911,"yy-mm")&amp;"-"&amp;IF(AND(WEEKDAY(A2911)&gt;1,WEEKDAY(A2911)&lt;7),"Wkd",TEXT(A2911,"Ddd"))&amp;"-"&amp;TEXT(A2911,"hh"),LoadTable[],3,FALSE)*0.92</f>
        <v>209.6772</v>
      </c>
      <c r="U2911" s="113">
        <f t="shared" si="3148"/>
        <v>20.96772</v>
      </c>
      <c r="V2911">
        <f t="shared" ref="V2911:W2911" si="3180">V2887</f>
        <v>3</v>
      </c>
      <c r="W2911">
        <f t="shared" si="3180"/>
        <v>3.1</v>
      </c>
      <c r="X2911" s="9">
        <v>-102.187640466669</v>
      </c>
      <c r="Y2911" s="39"/>
    </row>
    <row r="2912" spans="1:25" ht="15" thickBot="1">
      <c r="A2912" s="149">
        <f t="shared" si="3130"/>
        <v>45957.208333328257</v>
      </c>
      <c r="B2912" s="30">
        <f t="shared" si="3157"/>
        <v>5000</v>
      </c>
      <c r="C2912" s="8">
        <v>25000</v>
      </c>
      <c r="D2912" s="187">
        <v>0</v>
      </c>
      <c r="E2912" s="187">
        <v>700</v>
      </c>
      <c r="F2912" s="187">
        <v>15000</v>
      </c>
      <c r="G2912" s="30">
        <f t="shared" si="3158"/>
        <v>2470</v>
      </c>
      <c r="H2912" s="8">
        <f t="shared" si="3158"/>
        <v>25000</v>
      </c>
      <c r="I2912" s="30">
        <f t="shared" si="3159"/>
        <v>5000</v>
      </c>
      <c r="J2912" s="187">
        <v>40000</v>
      </c>
      <c r="K2912" s="30">
        <f t="shared" si="3160"/>
        <v>5000</v>
      </c>
      <c r="L2912" s="187">
        <v>40000</v>
      </c>
      <c r="M2912" s="110">
        <v>9.5</v>
      </c>
      <c r="N2912" s="9">
        <f>VLOOKUP(DATE(YEAR(A2912),MONTH(A2912),DAY(A2912)),FY24_Temp[],3,FALSE)</f>
        <v>17.5</v>
      </c>
      <c r="O2912" s="110">
        <f t="shared" si="3146"/>
        <v>11.5</v>
      </c>
      <c r="P2912" s="110">
        <f t="shared" si="3147"/>
        <v>19.5</v>
      </c>
      <c r="Q2912" s="79">
        <f>VLOOKUP(VLOOKUP(DATEVALUE(TEXT(A2912,"m/d/yyyy")),FY24_Temp[],5,FALSE)&amp;TEXT(A2912,"-h"),TempDelta[],4,FALSE)</f>
        <v>0.42975000292062759</v>
      </c>
      <c r="R2912">
        <v>10</v>
      </c>
      <c r="S2912" s="112">
        <v>1500</v>
      </c>
      <c r="T2912" s="5">
        <f>VLOOKUP(TEXT(A2912,"yy-mm")&amp;"-"&amp;IF(AND(WEEKDAY(A2912)&gt;1,WEEKDAY(A2912)&lt;7),"Wkd",TEXT(A2912,"Ddd"))&amp;"-"&amp;TEXT(A2912,"hh"),LoadTable[],3,FALSE)*0.92</f>
        <v>209.6772</v>
      </c>
      <c r="U2912" s="113">
        <f t="shared" si="3148"/>
        <v>20.96772</v>
      </c>
      <c r="V2912">
        <f t="shared" ref="V2912:W2912" si="3181">V2888</f>
        <v>2.9</v>
      </c>
      <c r="W2912">
        <f t="shared" si="3181"/>
        <v>3.1</v>
      </c>
      <c r="X2912" s="9">
        <v>-102.265435016669</v>
      </c>
      <c r="Y2912" s="39"/>
    </row>
    <row r="2913" spans="1:25" ht="15" thickBot="1">
      <c r="A2913" s="149">
        <f t="shared" si="3130"/>
        <v>45957.249999994921</v>
      </c>
      <c r="B2913" s="30">
        <f t="shared" si="3157"/>
        <v>8000</v>
      </c>
      <c r="C2913" s="8">
        <v>25000</v>
      </c>
      <c r="D2913" s="187">
        <v>0</v>
      </c>
      <c r="E2913" s="187">
        <v>700</v>
      </c>
      <c r="F2913" s="187">
        <v>15000</v>
      </c>
      <c r="G2913" s="30">
        <f t="shared" si="3158"/>
        <v>2470</v>
      </c>
      <c r="H2913" s="8">
        <f t="shared" si="3158"/>
        <v>25000</v>
      </c>
      <c r="I2913" s="30">
        <f t="shared" si="3159"/>
        <v>8000</v>
      </c>
      <c r="J2913" s="187">
        <v>40000</v>
      </c>
      <c r="K2913" s="30">
        <f t="shared" si="3160"/>
        <v>8000</v>
      </c>
      <c r="L2913" s="187">
        <v>40000</v>
      </c>
      <c r="M2913" s="110">
        <v>9.5</v>
      </c>
      <c r="N2913" s="9">
        <f>VLOOKUP(DATE(YEAR(A2913),MONTH(A2913),DAY(A2913)),FY24_Temp[],3,FALSE)</f>
        <v>17.5</v>
      </c>
      <c r="O2913" s="110">
        <f t="shared" si="3146"/>
        <v>11.5</v>
      </c>
      <c r="P2913" s="110">
        <f t="shared" si="3147"/>
        <v>19.5</v>
      </c>
      <c r="Q2913" s="79">
        <f>VLOOKUP(VLOOKUP(DATEVALUE(TEXT(A2913,"m/d/yyyy")),FY24_Temp[],5,FALSE)&amp;TEXT(A2913,"-h"),TempDelta[],4,FALSE)</f>
        <v>0.32200000062584877</v>
      </c>
      <c r="R2913">
        <v>10</v>
      </c>
      <c r="S2913" s="112">
        <v>1500</v>
      </c>
      <c r="T2913" s="5">
        <f>VLOOKUP(TEXT(A2913,"yy-mm")&amp;"-"&amp;IF(AND(WEEKDAY(A2913)&gt;1,WEEKDAY(A2913)&lt;7),"Wkd",TEXT(A2913,"Ddd"))&amp;"-"&amp;TEXT(A2913,"hh"),LoadTable[],3,FALSE)*0.92</f>
        <v>209.6772</v>
      </c>
      <c r="U2913" s="113">
        <f t="shared" si="3148"/>
        <v>20.96772</v>
      </c>
      <c r="V2913">
        <f t="shared" ref="V2913:W2913" si="3182">V2889</f>
        <v>2.5</v>
      </c>
      <c r="W2913">
        <f t="shared" si="3182"/>
        <v>3.1</v>
      </c>
      <c r="X2913" s="9">
        <v>-102.343229566669</v>
      </c>
      <c r="Y2913" s="39"/>
    </row>
    <row r="2914" spans="1:25" ht="15" thickBot="1">
      <c r="A2914" s="149">
        <f t="shared" si="3130"/>
        <v>45957.291666661586</v>
      </c>
      <c r="B2914" s="30">
        <f t="shared" si="3157"/>
        <v>8000</v>
      </c>
      <c r="C2914" s="8">
        <v>25000</v>
      </c>
      <c r="D2914" s="187">
        <v>0</v>
      </c>
      <c r="E2914" s="187">
        <v>700</v>
      </c>
      <c r="F2914" s="187">
        <v>15000</v>
      </c>
      <c r="G2914" s="30">
        <f t="shared" si="3158"/>
        <v>2470</v>
      </c>
      <c r="H2914" s="8">
        <f t="shared" si="3158"/>
        <v>25000</v>
      </c>
      <c r="I2914" s="30">
        <f t="shared" si="3159"/>
        <v>8000</v>
      </c>
      <c r="J2914" s="187">
        <v>40000</v>
      </c>
      <c r="K2914" s="30">
        <f t="shared" si="3160"/>
        <v>8000</v>
      </c>
      <c r="L2914" s="187">
        <v>40000</v>
      </c>
      <c r="M2914" s="110">
        <v>9.5</v>
      </c>
      <c r="N2914" s="9">
        <f>VLOOKUP(DATE(YEAR(A2914),MONTH(A2914),DAY(A2914)),FY24_Temp[],3,FALSE)</f>
        <v>17.5</v>
      </c>
      <c r="O2914" s="110">
        <f t="shared" si="3146"/>
        <v>11.5</v>
      </c>
      <c r="P2914" s="110">
        <f t="shared" si="3147"/>
        <v>19.5</v>
      </c>
      <c r="Q2914" s="79">
        <f>VLOOKUP(VLOOKUP(DATEVALUE(TEXT(A2914,"m/d/yyyy")),FY24_Temp[],5,FALSE)&amp;TEXT(A2914,"-h"),TempDelta[],4,FALSE)</f>
        <v>0.13774999789893627</v>
      </c>
      <c r="R2914">
        <v>10</v>
      </c>
      <c r="S2914" s="112">
        <v>1500</v>
      </c>
      <c r="T2914" s="5">
        <f>VLOOKUP(TEXT(A2914,"yy-mm")&amp;"-"&amp;IF(AND(WEEKDAY(A2914)&gt;1,WEEKDAY(A2914)&lt;7),"Wkd",TEXT(A2914,"Ddd"))&amp;"-"&amp;TEXT(A2914,"hh"),LoadTable[],3,FALSE)*0.92</f>
        <v>234.80148</v>
      </c>
      <c r="U2914" s="113">
        <f t="shared" si="3148"/>
        <v>23.480148</v>
      </c>
      <c r="V2914">
        <f t="shared" ref="V2914:W2914" si="3183">V2890</f>
        <v>2.5</v>
      </c>
      <c r="W2914">
        <f t="shared" si="3183"/>
        <v>3.1</v>
      </c>
      <c r="X2914" s="9">
        <v>-102.421024116669</v>
      </c>
      <c r="Y2914" s="39"/>
    </row>
    <row r="2915" spans="1:25" ht="15" thickBot="1">
      <c r="A2915" s="149">
        <f t="shared" si="3130"/>
        <v>45957.33333332825</v>
      </c>
      <c r="B2915" s="30">
        <f t="shared" si="3157"/>
        <v>8000</v>
      </c>
      <c r="C2915" s="8">
        <v>25000</v>
      </c>
      <c r="D2915" s="187">
        <v>0</v>
      </c>
      <c r="E2915" s="187">
        <v>700</v>
      </c>
      <c r="F2915" s="187">
        <v>15000</v>
      </c>
      <c r="G2915" s="30">
        <f t="shared" si="3158"/>
        <v>2470</v>
      </c>
      <c r="H2915" s="8">
        <f t="shared" si="3158"/>
        <v>25000</v>
      </c>
      <c r="I2915" s="30">
        <f t="shared" si="3159"/>
        <v>8000</v>
      </c>
      <c r="J2915" s="187">
        <v>40000</v>
      </c>
      <c r="K2915" s="30">
        <f t="shared" si="3160"/>
        <v>8000</v>
      </c>
      <c r="L2915" s="187">
        <v>40000</v>
      </c>
      <c r="M2915" s="110">
        <v>9.5</v>
      </c>
      <c r="N2915" s="9">
        <f>VLOOKUP(DATE(YEAR(A2915),MONTH(A2915),DAY(A2915)),FY24_Temp[],3,FALSE)</f>
        <v>17.5</v>
      </c>
      <c r="O2915" s="110">
        <f t="shared" si="3146"/>
        <v>11.5</v>
      </c>
      <c r="P2915" s="110">
        <f t="shared" si="3147"/>
        <v>19.5</v>
      </c>
      <c r="Q2915" s="79">
        <f>VLOOKUP(VLOOKUP(DATEVALUE(TEXT(A2915,"m/d/yyyy")),FY24_Temp[],5,FALSE)&amp;TEXT(A2915,"-h"),TempDelta[],4,FALSE)</f>
        <v>2.8249999275431037E-2</v>
      </c>
      <c r="R2915">
        <v>10</v>
      </c>
      <c r="S2915" s="112">
        <v>1500</v>
      </c>
      <c r="T2915" s="5">
        <f>VLOOKUP(TEXT(A2915,"yy-mm")&amp;"-"&amp;IF(AND(WEEKDAY(A2915)&gt;1,WEEKDAY(A2915)&lt;7),"Wkd",TEXT(A2915,"Ddd"))&amp;"-"&amp;TEXT(A2915,"hh"),LoadTable[],3,FALSE)*0.92</f>
        <v>234.80148</v>
      </c>
      <c r="U2915" s="113">
        <f t="shared" si="3148"/>
        <v>23.480148</v>
      </c>
      <c r="V2915">
        <f t="shared" ref="V2915:W2915" si="3184">V2891</f>
        <v>3.2</v>
      </c>
      <c r="W2915">
        <f t="shared" si="3184"/>
        <v>3</v>
      </c>
      <c r="X2915" s="9">
        <v>-102.498818666669</v>
      </c>
      <c r="Y2915" s="39"/>
    </row>
    <row r="2916" spans="1:25" ht="15" thickBot="1">
      <c r="A2916" s="149">
        <f t="shared" si="3130"/>
        <v>45957.374999994914</v>
      </c>
      <c r="B2916" s="30">
        <f t="shared" si="3157"/>
        <v>8000</v>
      </c>
      <c r="C2916" s="8">
        <v>25000</v>
      </c>
      <c r="D2916" s="187">
        <v>0</v>
      </c>
      <c r="E2916" s="187">
        <v>700</v>
      </c>
      <c r="F2916" s="187">
        <v>15000</v>
      </c>
      <c r="G2916" s="30">
        <f t="shared" si="3158"/>
        <v>2470</v>
      </c>
      <c r="H2916" s="8">
        <f t="shared" si="3158"/>
        <v>25000</v>
      </c>
      <c r="I2916" s="30">
        <f t="shared" si="3159"/>
        <v>8000</v>
      </c>
      <c r="J2916" s="187">
        <v>40000</v>
      </c>
      <c r="K2916" s="30">
        <f t="shared" si="3160"/>
        <v>8000</v>
      </c>
      <c r="L2916" s="187">
        <v>40000</v>
      </c>
      <c r="M2916" s="110">
        <v>9.5</v>
      </c>
      <c r="N2916" s="9">
        <f>VLOOKUP(DATE(YEAR(A2916),MONTH(A2916),DAY(A2916)),FY24_Temp[],3,FALSE)</f>
        <v>17.5</v>
      </c>
      <c r="O2916" s="110">
        <f t="shared" si="3146"/>
        <v>11.5</v>
      </c>
      <c r="P2916" s="110">
        <f t="shared" si="3147"/>
        <v>19.5</v>
      </c>
      <c r="Q2916" s="79">
        <f>VLOOKUP(VLOOKUP(DATEVALUE(TEXT(A2916,"m/d/yyyy")),FY24_Temp[],5,FALSE)&amp;TEXT(A2916,"-h"),TempDelta[],4,FALSE)</f>
        <v>-5.3000001236796379E-2</v>
      </c>
      <c r="R2916">
        <v>10</v>
      </c>
      <c r="S2916" s="112">
        <v>1500</v>
      </c>
      <c r="T2916" s="5">
        <f>VLOOKUP(TEXT(A2916,"yy-mm")&amp;"-"&amp;IF(AND(WEEKDAY(A2916)&gt;1,WEEKDAY(A2916)&lt;7),"Wkd",TEXT(A2916,"Ddd"))&amp;"-"&amp;TEXT(A2916,"hh"),LoadTable[],3,FALSE)*0.92</f>
        <v>234.80148</v>
      </c>
      <c r="U2916" s="113">
        <f t="shared" si="3148"/>
        <v>23.480148</v>
      </c>
      <c r="V2916">
        <f t="shared" ref="V2916:W2916" si="3185">V2892</f>
        <v>2.9</v>
      </c>
      <c r="W2916">
        <f t="shared" si="3185"/>
        <v>3</v>
      </c>
      <c r="X2916" s="9">
        <v>-102.576613216669</v>
      </c>
      <c r="Y2916" s="39"/>
    </row>
    <row r="2917" spans="1:25" ht="15" thickBot="1">
      <c r="A2917" s="149">
        <f t="shared" si="3130"/>
        <v>45957.416666661578</v>
      </c>
      <c r="B2917" s="30">
        <f t="shared" si="3157"/>
        <v>8000</v>
      </c>
      <c r="C2917" s="8">
        <v>25000</v>
      </c>
      <c r="D2917" s="187">
        <v>0</v>
      </c>
      <c r="E2917" s="187">
        <v>700</v>
      </c>
      <c r="F2917" s="187">
        <v>15000</v>
      </c>
      <c r="G2917" s="30">
        <f t="shared" si="3158"/>
        <v>2470</v>
      </c>
      <c r="H2917" s="8">
        <f t="shared" si="3158"/>
        <v>25000</v>
      </c>
      <c r="I2917" s="30">
        <f t="shared" si="3159"/>
        <v>8000</v>
      </c>
      <c r="J2917" s="187">
        <v>40000</v>
      </c>
      <c r="K2917" s="30">
        <f t="shared" si="3160"/>
        <v>8000</v>
      </c>
      <c r="L2917" s="187">
        <v>40000</v>
      </c>
      <c r="M2917" s="110">
        <v>9.5</v>
      </c>
      <c r="N2917" s="9">
        <f>VLOOKUP(DATE(YEAR(A2917),MONTH(A2917),DAY(A2917)),FY24_Temp[],3,FALSE)</f>
        <v>17.5</v>
      </c>
      <c r="O2917" s="110">
        <f t="shared" si="3146"/>
        <v>11.5</v>
      </c>
      <c r="P2917" s="110">
        <f t="shared" si="3147"/>
        <v>19.5</v>
      </c>
      <c r="Q2917" s="79">
        <f>VLOOKUP(VLOOKUP(DATEVALUE(TEXT(A2917,"m/d/yyyy")),FY24_Temp[],5,FALSE)&amp;TEXT(A2917,"-h"),TempDelta[],4,FALSE)</f>
        <v>-0.13824999803910032</v>
      </c>
      <c r="R2917">
        <v>10</v>
      </c>
      <c r="S2917" s="112">
        <v>1500</v>
      </c>
      <c r="T2917" s="5">
        <f>VLOOKUP(TEXT(A2917,"yy-mm")&amp;"-"&amp;IF(AND(WEEKDAY(A2917)&gt;1,WEEKDAY(A2917)&lt;7),"Wkd",TEXT(A2917,"Ddd"))&amp;"-"&amp;TEXT(A2917,"hh"),LoadTable[],3,FALSE)*0.92</f>
        <v>234.80148</v>
      </c>
      <c r="U2917" s="113">
        <f t="shared" si="3148"/>
        <v>23.480148</v>
      </c>
      <c r="V2917">
        <f t="shared" ref="V2917:W2917" si="3186">V2893</f>
        <v>2.9</v>
      </c>
      <c r="W2917">
        <f t="shared" si="3186"/>
        <v>3</v>
      </c>
      <c r="X2917" s="9">
        <v>-102.654407766669</v>
      </c>
      <c r="Y2917" s="39"/>
    </row>
    <row r="2918" spans="1:25" ht="15" thickBot="1">
      <c r="A2918" s="149">
        <f t="shared" si="3130"/>
        <v>45957.458333328243</v>
      </c>
      <c r="B2918" s="30">
        <f t="shared" si="3157"/>
        <v>8000</v>
      </c>
      <c r="C2918" s="8">
        <v>25000</v>
      </c>
      <c r="D2918" s="187">
        <v>0</v>
      </c>
      <c r="E2918" s="187">
        <v>700</v>
      </c>
      <c r="F2918" s="187">
        <v>15000</v>
      </c>
      <c r="G2918" s="30">
        <f t="shared" si="3158"/>
        <v>2470</v>
      </c>
      <c r="H2918" s="8">
        <f t="shared" si="3158"/>
        <v>25000</v>
      </c>
      <c r="I2918" s="30">
        <f t="shared" si="3159"/>
        <v>8000</v>
      </c>
      <c r="J2918" s="187">
        <v>40000</v>
      </c>
      <c r="K2918" s="30">
        <f t="shared" si="3160"/>
        <v>8000</v>
      </c>
      <c r="L2918" s="187">
        <v>40000</v>
      </c>
      <c r="M2918" s="110">
        <v>9.5</v>
      </c>
      <c r="N2918" s="9">
        <f>VLOOKUP(DATE(YEAR(A2918),MONTH(A2918),DAY(A2918)),FY24_Temp[],3,FALSE)</f>
        <v>17.5</v>
      </c>
      <c r="O2918" s="110">
        <f t="shared" si="3146"/>
        <v>11.5</v>
      </c>
      <c r="P2918" s="110">
        <f t="shared" si="3147"/>
        <v>19.5</v>
      </c>
      <c r="Q2918" s="79">
        <f>VLOOKUP(VLOOKUP(DATEVALUE(TEXT(A2918,"m/d/yyyy")),FY24_Temp[],5,FALSE)&amp;TEXT(A2918,"-h"),TempDelta[],4,FALSE)</f>
        <v>-0.20649999752640724</v>
      </c>
      <c r="R2918">
        <v>10</v>
      </c>
      <c r="S2918" s="112">
        <v>1500</v>
      </c>
      <c r="T2918" s="5">
        <f>VLOOKUP(TEXT(A2918,"yy-mm")&amp;"-"&amp;IF(AND(WEEKDAY(A2918)&gt;1,WEEKDAY(A2918)&lt;7),"Wkd",TEXT(A2918,"Ddd"))&amp;"-"&amp;TEXT(A2918,"hh"),LoadTable[],3,FALSE)*0.92</f>
        <v>234.80148</v>
      </c>
      <c r="U2918" s="113">
        <f t="shared" si="3148"/>
        <v>23.480148</v>
      </c>
      <c r="V2918">
        <f t="shared" ref="V2918:W2918" si="3187">V2894</f>
        <v>3.4</v>
      </c>
      <c r="W2918">
        <f t="shared" si="3187"/>
        <v>3</v>
      </c>
      <c r="X2918" s="9">
        <v>-102.732202316669</v>
      </c>
      <c r="Y2918" s="39"/>
    </row>
    <row r="2919" spans="1:25" ht="15" thickBot="1">
      <c r="A2919" s="149">
        <f t="shared" si="3130"/>
        <v>45957.499999994907</v>
      </c>
      <c r="B2919" s="30">
        <f t="shared" si="3157"/>
        <v>8000</v>
      </c>
      <c r="C2919" s="8">
        <v>25000</v>
      </c>
      <c r="D2919" s="187">
        <v>0</v>
      </c>
      <c r="E2919" s="187">
        <v>700</v>
      </c>
      <c r="F2919" s="187">
        <v>15000</v>
      </c>
      <c r="G2919" s="30">
        <f t="shared" si="3158"/>
        <v>2470</v>
      </c>
      <c r="H2919" s="8">
        <f t="shared" si="3158"/>
        <v>25000</v>
      </c>
      <c r="I2919" s="30">
        <f t="shared" si="3159"/>
        <v>8000</v>
      </c>
      <c r="J2919" s="187">
        <v>40000</v>
      </c>
      <c r="K2919" s="30">
        <f t="shared" si="3160"/>
        <v>8000</v>
      </c>
      <c r="L2919" s="187">
        <v>40000</v>
      </c>
      <c r="M2919" s="110">
        <v>9.5</v>
      </c>
      <c r="N2919" s="9">
        <f>VLOOKUP(DATE(YEAR(A2919),MONTH(A2919),DAY(A2919)),FY24_Temp[],3,FALSE)</f>
        <v>17.5</v>
      </c>
      <c r="O2919" s="110">
        <f t="shared" si="3146"/>
        <v>11.5</v>
      </c>
      <c r="P2919" s="110">
        <f t="shared" si="3147"/>
        <v>19.5</v>
      </c>
      <c r="Q2919" s="79">
        <f>VLOOKUP(VLOOKUP(DATEVALUE(TEXT(A2919,"m/d/yyyy")),FY24_Temp[],5,FALSE)&amp;TEXT(A2919,"-h"),TempDelta[],4,FALSE)</f>
        <v>-0.25474999845027924</v>
      </c>
      <c r="R2919">
        <v>10</v>
      </c>
      <c r="S2919" s="112">
        <v>1500</v>
      </c>
      <c r="T2919" s="5">
        <f>VLOOKUP(TEXT(A2919,"yy-mm")&amp;"-"&amp;IF(AND(WEEKDAY(A2919)&gt;1,WEEKDAY(A2919)&lt;7),"Wkd",TEXT(A2919,"Ddd"))&amp;"-"&amp;TEXT(A2919,"hh"),LoadTable[],3,FALSE)*0.92</f>
        <v>234.80148</v>
      </c>
      <c r="U2919" s="113">
        <f t="shared" si="3148"/>
        <v>23.480148</v>
      </c>
      <c r="V2919">
        <f t="shared" ref="V2919:W2919" si="3188">V2895</f>
        <v>3.1</v>
      </c>
      <c r="W2919">
        <f t="shared" si="3188"/>
        <v>2.9</v>
      </c>
      <c r="X2919" s="9">
        <v>-102.809996866669</v>
      </c>
      <c r="Y2919" s="39"/>
    </row>
    <row r="2920" spans="1:25" ht="15" thickBot="1">
      <c r="A2920" s="149">
        <f t="shared" si="3130"/>
        <v>45957.541666661571</v>
      </c>
      <c r="B2920" s="30">
        <f t="shared" si="3157"/>
        <v>8000</v>
      </c>
      <c r="C2920" s="8">
        <v>25000</v>
      </c>
      <c r="D2920" s="187">
        <v>0</v>
      </c>
      <c r="E2920" s="187">
        <v>700</v>
      </c>
      <c r="F2920" s="187">
        <v>15000</v>
      </c>
      <c r="G2920" s="30">
        <f t="shared" si="3158"/>
        <v>2470</v>
      </c>
      <c r="H2920" s="8">
        <f t="shared" si="3158"/>
        <v>25000</v>
      </c>
      <c r="I2920" s="30">
        <f t="shared" si="3159"/>
        <v>8000</v>
      </c>
      <c r="J2920" s="187">
        <v>40000</v>
      </c>
      <c r="K2920" s="30">
        <f t="shared" si="3160"/>
        <v>8000</v>
      </c>
      <c r="L2920" s="187">
        <v>40000</v>
      </c>
      <c r="M2920" s="110">
        <v>9.5</v>
      </c>
      <c r="N2920" s="9">
        <f>VLOOKUP(DATE(YEAR(A2920),MONTH(A2920),DAY(A2920)),FY24_Temp[],3,FALSE)</f>
        <v>17.5</v>
      </c>
      <c r="O2920" s="110">
        <f t="shared" si="3146"/>
        <v>11.5</v>
      </c>
      <c r="P2920" s="110">
        <f t="shared" si="3147"/>
        <v>19.5</v>
      </c>
      <c r="Q2920" s="79">
        <f>VLOOKUP(VLOOKUP(DATEVALUE(TEXT(A2920,"m/d/yyyy")),FY24_Temp[],5,FALSE)&amp;TEXT(A2920,"-h"),TempDelta[],4,FALSE)</f>
        <v>-0.27724999561905861</v>
      </c>
      <c r="R2920">
        <v>10</v>
      </c>
      <c r="S2920" s="112">
        <v>1500</v>
      </c>
      <c r="T2920" s="5">
        <f>VLOOKUP(TEXT(A2920,"yy-mm")&amp;"-"&amp;IF(AND(WEEKDAY(A2920)&gt;1,WEEKDAY(A2920)&lt;7),"Wkd",TEXT(A2920,"Ddd"))&amp;"-"&amp;TEXT(A2920,"hh"),LoadTable[],3,FALSE)*0.92</f>
        <v>234.80148</v>
      </c>
      <c r="U2920" s="113">
        <f t="shared" si="3148"/>
        <v>23.480148</v>
      </c>
      <c r="V2920">
        <f t="shared" ref="V2920:W2920" si="3189">V2896</f>
        <v>3.2</v>
      </c>
      <c r="W2920">
        <f t="shared" si="3189"/>
        <v>2.9</v>
      </c>
      <c r="X2920" s="9">
        <v>-102.887791416669</v>
      </c>
      <c r="Y2920" s="39"/>
    </row>
    <row r="2921" spans="1:25" ht="15" thickBot="1">
      <c r="A2921" s="149">
        <f t="shared" si="3130"/>
        <v>45957.583333328235</v>
      </c>
      <c r="B2921" s="30">
        <f t="shared" si="3157"/>
        <v>8000</v>
      </c>
      <c r="C2921" s="8">
        <v>25000</v>
      </c>
      <c r="D2921" s="187">
        <v>0</v>
      </c>
      <c r="E2921" s="187">
        <v>700</v>
      </c>
      <c r="F2921" s="187">
        <v>15000</v>
      </c>
      <c r="G2921" s="30">
        <f t="shared" si="3158"/>
        <v>2470</v>
      </c>
      <c r="H2921" s="8">
        <f t="shared" si="3158"/>
        <v>25000</v>
      </c>
      <c r="I2921" s="30">
        <f t="shared" si="3159"/>
        <v>8000</v>
      </c>
      <c r="J2921" s="187">
        <v>40000</v>
      </c>
      <c r="K2921" s="30">
        <f t="shared" si="3160"/>
        <v>8000</v>
      </c>
      <c r="L2921" s="187">
        <v>40000</v>
      </c>
      <c r="M2921" s="110">
        <v>9.5</v>
      </c>
      <c r="N2921" s="9">
        <f>VLOOKUP(DATE(YEAR(A2921),MONTH(A2921),DAY(A2921)),FY24_Temp[],3,FALSE)</f>
        <v>17.5</v>
      </c>
      <c r="O2921" s="110">
        <f t="shared" si="3146"/>
        <v>11.5</v>
      </c>
      <c r="P2921" s="110">
        <f t="shared" si="3147"/>
        <v>19.5</v>
      </c>
      <c r="Q2921" s="79">
        <f>VLOOKUP(VLOOKUP(DATEVALUE(TEXT(A2921,"m/d/yyyy")),FY24_Temp[],5,FALSE)&amp;TEXT(A2921,"-h"),TempDelta[],4,FALSE)</f>
        <v>-0.23250000178813934</v>
      </c>
      <c r="R2921">
        <v>10</v>
      </c>
      <c r="S2921" s="112">
        <v>1500</v>
      </c>
      <c r="T2921" s="5">
        <f>VLOOKUP(TEXT(A2921,"yy-mm")&amp;"-"&amp;IF(AND(WEEKDAY(A2921)&gt;1,WEEKDAY(A2921)&lt;7),"Wkd",TEXT(A2921,"Ddd"))&amp;"-"&amp;TEXT(A2921,"hh"),LoadTable[],3,FALSE)*0.92</f>
        <v>234.80148</v>
      </c>
      <c r="U2921" s="113">
        <f t="shared" si="3148"/>
        <v>23.480148</v>
      </c>
      <c r="V2921">
        <f t="shared" ref="V2921:W2921" si="3190">V2897</f>
        <v>3.5</v>
      </c>
      <c r="W2921">
        <f t="shared" si="3190"/>
        <v>2.9</v>
      </c>
      <c r="X2921" s="9">
        <v>-102.965585966669</v>
      </c>
      <c r="Y2921" s="39"/>
    </row>
    <row r="2922" spans="1:25" ht="15" thickBot="1">
      <c r="A2922" s="149">
        <f t="shared" si="3130"/>
        <v>45957.6249999949</v>
      </c>
      <c r="B2922" s="30">
        <f t="shared" si="3157"/>
        <v>8000</v>
      </c>
      <c r="C2922" s="8">
        <v>25000</v>
      </c>
      <c r="D2922" s="187">
        <v>0</v>
      </c>
      <c r="E2922" s="187">
        <v>700</v>
      </c>
      <c r="F2922" s="187">
        <v>15000</v>
      </c>
      <c r="G2922" s="30">
        <f t="shared" si="3158"/>
        <v>2470</v>
      </c>
      <c r="H2922" s="8">
        <f t="shared" si="3158"/>
        <v>25000</v>
      </c>
      <c r="I2922" s="30">
        <f t="shared" si="3159"/>
        <v>8000</v>
      </c>
      <c r="J2922" s="187">
        <v>40000</v>
      </c>
      <c r="K2922" s="30">
        <f t="shared" si="3160"/>
        <v>8000</v>
      </c>
      <c r="L2922" s="187">
        <v>40000</v>
      </c>
      <c r="M2922" s="110">
        <v>9.5</v>
      </c>
      <c r="N2922" s="9">
        <f>VLOOKUP(DATE(YEAR(A2922),MONTH(A2922),DAY(A2922)),FY24_Temp[],3,FALSE)</f>
        <v>17.5</v>
      </c>
      <c r="O2922" s="110">
        <f t="shared" si="3146"/>
        <v>11.5</v>
      </c>
      <c r="P2922" s="110">
        <f t="shared" si="3147"/>
        <v>19.5</v>
      </c>
      <c r="Q2922" s="79">
        <f>VLOOKUP(VLOOKUP(DATEVALUE(TEXT(A2922,"m/d/yyyy")),FY24_Temp[],5,FALSE)&amp;TEXT(A2922,"-h"),TempDelta[],4,FALSE)</f>
        <v>-0.15862499922513962</v>
      </c>
      <c r="R2922">
        <v>10</v>
      </c>
      <c r="S2922" s="112">
        <v>1500</v>
      </c>
      <c r="T2922" s="5">
        <f>VLOOKUP(TEXT(A2922,"yy-mm")&amp;"-"&amp;IF(AND(WEEKDAY(A2922)&gt;1,WEEKDAY(A2922)&lt;7),"Wkd",TEXT(A2922,"Ddd"))&amp;"-"&amp;TEXT(A2922,"hh"),LoadTable[],3,FALSE)*0.92</f>
        <v>234.80148</v>
      </c>
      <c r="U2922" s="113">
        <f t="shared" si="3148"/>
        <v>23.480148</v>
      </c>
      <c r="V2922">
        <f t="shared" ref="V2922:W2922" si="3191">V2898</f>
        <v>3.2</v>
      </c>
      <c r="W2922">
        <f t="shared" si="3191"/>
        <v>2.9</v>
      </c>
      <c r="X2922" s="9">
        <v>-103.043380516669</v>
      </c>
      <c r="Y2922" s="39"/>
    </row>
    <row r="2923" spans="1:25" ht="15" thickBot="1">
      <c r="A2923" s="149">
        <f t="shared" si="3130"/>
        <v>45957.666666661564</v>
      </c>
      <c r="B2923" s="30">
        <f t="shared" si="3157"/>
        <v>8000</v>
      </c>
      <c r="C2923" s="8">
        <v>25000</v>
      </c>
      <c r="D2923" s="187">
        <v>0</v>
      </c>
      <c r="E2923" s="187">
        <v>700</v>
      </c>
      <c r="F2923" s="187">
        <v>15000</v>
      </c>
      <c r="G2923" s="30">
        <f t="shared" si="3158"/>
        <v>2470</v>
      </c>
      <c r="H2923" s="8">
        <f t="shared" si="3158"/>
        <v>25000</v>
      </c>
      <c r="I2923" s="30">
        <f t="shared" si="3159"/>
        <v>8000</v>
      </c>
      <c r="J2923" s="187">
        <v>40000</v>
      </c>
      <c r="K2923" s="30">
        <f t="shared" si="3160"/>
        <v>8000</v>
      </c>
      <c r="L2923" s="187">
        <v>40000</v>
      </c>
      <c r="M2923" s="110">
        <v>9.5</v>
      </c>
      <c r="N2923" s="9">
        <f>VLOOKUP(DATE(YEAR(A2923),MONTH(A2923),DAY(A2923)),FY24_Temp[],3,FALSE)</f>
        <v>17.5</v>
      </c>
      <c r="O2923" s="110">
        <f t="shared" si="3146"/>
        <v>11.5</v>
      </c>
      <c r="P2923" s="110">
        <f t="shared" si="3147"/>
        <v>19.5</v>
      </c>
      <c r="Q2923" s="79">
        <f>VLOOKUP(VLOOKUP(DATEVALUE(TEXT(A2923,"m/d/yyyy")),FY24_Temp[],5,FALSE)&amp;TEXT(A2923,"-h"),TempDelta[],4,FALSE)</f>
        <v>5.487500037997961E-2</v>
      </c>
      <c r="R2923">
        <v>10</v>
      </c>
      <c r="S2923" s="112">
        <v>1500</v>
      </c>
      <c r="T2923" s="5">
        <f>VLOOKUP(TEXT(A2923,"yy-mm")&amp;"-"&amp;IF(AND(WEEKDAY(A2923)&gt;1,WEEKDAY(A2923)&lt;7),"Wkd",TEXT(A2923,"Ddd"))&amp;"-"&amp;TEXT(A2923,"hh"),LoadTable[],3,FALSE)*0.92</f>
        <v>234.80148</v>
      </c>
      <c r="U2923" s="113">
        <f t="shared" si="3148"/>
        <v>23.480148</v>
      </c>
      <c r="V2923">
        <f t="shared" ref="V2923:W2923" si="3192">V2899</f>
        <v>3.5</v>
      </c>
      <c r="W2923">
        <f t="shared" si="3192"/>
        <v>3</v>
      </c>
      <c r="X2923" s="9">
        <v>-103.121175066669</v>
      </c>
      <c r="Y2923" s="39"/>
    </row>
    <row r="2924" spans="1:25" ht="15" thickBot="1">
      <c r="A2924" s="149">
        <f t="shared" si="3130"/>
        <v>45957.708333328228</v>
      </c>
      <c r="B2924" s="30">
        <f t="shared" si="3157"/>
        <v>8000</v>
      </c>
      <c r="C2924" s="8">
        <v>25000</v>
      </c>
      <c r="D2924" s="187">
        <v>0</v>
      </c>
      <c r="E2924" s="187">
        <v>700</v>
      </c>
      <c r="F2924" s="187">
        <v>15000</v>
      </c>
      <c r="G2924" s="30">
        <f t="shared" si="3158"/>
        <v>2470</v>
      </c>
      <c r="H2924" s="8">
        <f t="shared" si="3158"/>
        <v>25000</v>
      </c>
      <c r="I2924" s="30">
        <f t="shared" si="3159"/>
        <v>8000</v>
      </c>
      <c r="J2924" s="187">
        <v>40000</v>
      </c>
      <c r="K2924" s="30">
        <f t="shared" si="3160"/>
        <v>8000</v>
      </c>
      <c r="L2924" s="187">
        <v>40000</v>
      </c>
      <c r="M2924" s="110">
        <v>9.5</v>
      </c>
      <c r="N2924" s="9">
        <f>VLOOKUP(DATE(YEAR(A2924),MONTH(A2924),DAY(A2924)),FY24_Temp[],3,FALSE)</f>
        <v>17.5</v>
      </c>
      <c r="O2924" s="110">
        <f t="shared" si="3146"/>
        <v>11.5</v>
      </c>
      <c r="P2924" s="110">
        <f t="shared" si="3147"/>
        <v>19.5</v>
      </c>
      <c r="Q2924" s="79">
        <f>VLOOKUP(VLOOKUP(DATEVALUE(TEXT(A2924,"m/d/yyyy")),FY24_Temp[],5,FALSE)&amp;TEXT(A2924,"-h"),TempDelta[],4,FALSE)</f>
        <v>0.14624999904481228</v>
      </c>
      <c r="R2924">
        <v>10</v>
      </c>
      <c r="S2924" s="112">
        <v>1500</v>
      </c>
      <c r="T2924" s="5">
        <f>VLOOKUP(TEXT(A2924,"yy-mm")&amp;"-"&amp;IF(AND(WEEKDAY(A2924)&gt;1,WEEKDAY(A2924)&lt;7),"Wkd",TEXT(A2924,"Ddd"))&amp;"-"&amp;TEXT(A2924,"hh"),LoadTable[],3,FALSE)*0.92</f>
        <v>234.80148</v>
      </c>
      <c r="U2924" s="113">
        <f t="shared" si="3148"/>
        <v>23.480148</v>
      </c>
      <c r="V2924">
        <f t="shared" ref="V2924:W2924" si="3193">V2900</f>
        <v>3.6</v>
      </c>
      <c r="W2924">
        <f t="shared" si="3193"/>
        <v>3</v>
      </c>
      <c r="X2924" s="9">
        <v>-103.198969616669</v>
      </c>
      <c r="Y2924" s="39"/>
    </row>
    <row r="2925" spans="1:25" ht="15" thickBot="1">
      <c r="A2925" s="149">
        <f t="shared" si="3130"/>
        <v>45957.749999994892</v>
      </c>
      <c r="B2925" s="30">
        <f t="shared" si="3157"/>
        <v>5000</v>
      </c>
      <c r="C2925" s="8">
        <v>25000</v>
      </c>
      <c r="D2925" s="187">
        <v>0</v>
      </c>
      <c r="E2925" s="187">
        <v>700</v>
      </c>
      <c r="F2925" s="187">
        <v>15000</v>
      </c>
      <c r="G2925" s="30">
        <f t="shared" si="3158"/>
        <v>2470</v>
      </c>
      <c r="H2925" s="8">
        <f t="shared" si="3158"/>
        <v>25000</v>
      </c>
      <c r="I2925" s="30">
        <f t="shared" si="3159"/>
        <v>5000</v>
      </c>
      <c r="J2925" s="187">
        <v>40000</v>
      </c>
      <c r="K2925" s="30">
        <f t="shared" si="3160"/>
        <v>5000</v>
      </c>
      <c r="L2925" s="187">
        <v>40000</v>
      </c>
      <c r="M2925" s="110">
        <v>9.5</v>
      </c>
      <c r="N2925" s="9">
        <f>VLOOKUP(DATE(YEAR(A2925),MONTH(A2925),DAY(A2925)),FY24_Temp[],3,FALSE)</f>
        <v>17.5</v>
      </c>
      <c r="O2925" s="110">
        <f t="shared" si="3146"/>
        <v>11.5</v>
      </c>
      <c r="P2925" s="110">
        <f t="shared" si="3147"/>
        <v>19.5</v>
      </c>
      <c r="Q2925" s="79">
        <f>VLOOKUP(VLOOKUP(DATEVALUE(TEXT(A2925,"m/d/yyyy")),FY24_Temp[],5,FALSE)&amp;TEXT(A2925,"-h"),TempDelta[],4,FALSE)</f>
        <v>0.26487499848008156</v>
      </c>
      <c r="R2925">
        <v>10</v>
      </c>
      <c r="S2925" s="112">
        <v>1500</v>
      </c>
      <c r="T2925" s="5">
        <f>VLOOKUP(TEXT(A2925,"yy-mm")&amp;"-"&amp;IF(AND(WEEKDAY(A2925)&gt;1,WEEKDAY(A2925)&lt;7),"Wkd",TEXT(A2925,"Ddd"))&amp;"-"&amp;TEXT(A2925,"hh"),LoadTable[],3,FALSE)*0.92</f>
        <v>303.31295999999998</v>
      </c>
      <c r="U2925" s="113">
        <f t="shared" si="3148"/>
        <v>30.331295999999998</v>
      </c>
      <c r="V2925">
        <f t="shared" ref="V2925:W2925" si="3194">V2901</f>
        <v>2.9</v>
      </c>
      <c r="W2925">
        <f t="shared" si="3194"/>
        <v>3</v>
      </c>
      <c r="X2925" s="9">
        <v>-103.276764166669</v>
      </c>
      <c r="Y2925" s="39"/>
    </row>
    <row r="2926" spans="1:25" ht="15" thickBot="1">
      <c r="A2926" s="149">
        <f t="shared" si="3130"/>
        <v>45957.791666661557</v>
      </c>
      <c r="B2926" s="30">
        <f t="shared" si="3157"/>
        <v>5000</v>
      </c>
      <c r="C2926" s="8">
        <v>25000</v>
      </c>
      <c r="D2926" s="187">
        <v>0</v>
      </c>
      <c r="E2926" s="187">
        <v>700</v>
      </c>
      <c r="F2926" s="187">
        <v>15000</v>
      </c>
      <c r="G2926" s="30">
        <f t="shared" si="3158"/>
        <v>2470</v>
      </c>
      <c r="H2926" s="8">
        <f t="shared" si="3158"/>
        <v>25000</v>
      </c>
      <c r="I2926" s="30">
        <f t="shared" si="3159"/>
        <v>5000</v>
      </c>
      <c r="J2926" s="187">
        <v>40000</v>
      </c>
      <c r="K2926" s="30">
        <f t="shared" si="3160"/>
        <v>5000</v>
      </c>
      <c r="L2926" s="187">
        <v>40000</v>
      </c>
      <c r="M2926" s="110">
        <v>9.5</v>
      </c>
      <c r="N2926" s="9">
        <f>VLOOKUP(DATE(YEAR(A2926),MONTH(A2926),DAY(A2926)),FY24_Temp[],3,FALSE)</f>
        <v>17.5</v>
      </c>
      <c r="O2926" s="110">
        <f t="shared" si="3146"/>
        <v>11.5</v>
      </c>
      <c r="P2926" s="110">
        <f t="shared" si="3147"/>
        <v>19.5</v>
      </c>
      <c r="Q2926" s="79">
        <f>VLOOKUP(VLOOKUP(DATEVALUE(TEXT(A2926,"m/d/yyyy")),FY24_Temp[],5,FALSE)&amp;TEXT(A2926,"-h"),TempDelta[],4,FALSE)</f>
        <v>0.24249999853782356</v>
      </c>
      <c r="R2926">
        <v>10</v>
      </c>
      <c r="S2926" s="112">
        <v>1500</v>
      </c>
      <c r="T2926" s="5">
        <f>VLOOKUP(TEXT(A2926,"yy-mm")&amp;"-"&amp;IF(AND(WEEKDAY(A2926)&gt;1,WEEKDAY(A2926)&lt;7),"Wkd",TEXT(A2926,"Ddd"))&amp;"-"&amp;TEXT(A2926,"hh"),LoadTable[],3,FALSE)*0.92</f>
        <v>303.31295999999998</v>
      </c>
      <c r="U2926" s="113">
        <f t="shared" si="3148"/>
        <v>30.331295999999998</v>
      </c>
      <c r="V2926">
        <f t="shared" ref="V2926:W2926" si="3195">V2902</f>
        <v>3</v>
      </c>
      <c r="W2926">
        <f t="shared" si="3195"/>
        <v>3</v>
      </c>
      <c r="X2926" s="9">
        <v>-103.354558716669</v>
      </c>
      <c r="Y2926" s="39"/>
    </row>
    <row r="2927" spans="1:25" ht="15" thickBot="1">
      <c r="A2927" s="149">
        <f t="shared" si="3130"/>
        <v>45957.833333328221</v>
      </c>
      <c r="B2927" s="30">
        <f t="shared" si="3157"/>
        <v>5000</v>
      </c>
      <c r="C2927" s="8">
        <v>25000</v>
      </c>
      <c r="D2927" s="187">
        <v>0</v>
      </c>
      <c r="E2927" s="187">
        <v>700</v>
      </c>
      <c r="F2927" s="187">
        <v>15000</v>
      </c>
      <c r="G2927" s="30">
        <f t="shared" si="3158"/>
        <v>2470</v>
      </c>
      <c r="H2927" s="8">
        <f t="shared" si="3158"/>
        <v>25000</v>
      </c>
      <c r="I2927" s="30">
        <f t="shared" si="3159"/>
        <v>5000</v>
      </c>
      <c r="J2927" s="187">
        <v>40000</v>
      </c>
      <c r="K2927" s="30">
        <f t="shared" si="3160"/>
        <v>5000</v>
      </c>
      <c r="L2927" s="187">
        <v>40000</v>
      </c>
      <c r="M2927" s="110">
        <v>9.5</v>
      </c>
      <c r="N2927" s="9">
        <f>VLOOKUP(DATE(YEAR(A2927),MONTH(A2927),DAY(A2927)),FY24_Temp[],3,FALSE)</f>
        <v>17.5</v>
      </c>
      <c r="O2927" s="110">
        <f t="shared" si="3146"/>
        <v>11.5</v>
      </c>
      <c r="P2927" s="110">
        <f t="shared" si="3147"/>
        <v>19.5</v>
      </c>
      <c r="Q2927" s="79">
        <f>VLOOKUP(VLOOKUP(DATEVALUE(TEXT(A2927,"m/d/yyyy")),FY24_Temp[],5,FALSE)&amp;TEXT(A2927,"-h"),TempDelta[],4,FALSE)</f>
        <v>0.25587500119581819</v>
      </c>
      <c r="R2927">
        <v>10</v>
      </c>
      <c r="S2927" s="112">
        <v>1500</v>
      </c>
      <c r="T2927" s="5">
        <f>VLOOKUP(TEXT(A2927,"yy-mm")&amp;"-"&amp;IF(AND(WEEKDAY(A2927)&gt;1,WEEKDAY(A2927)&lt;7),"Wkd",TEXT(A2927,"Ddd"))&amp;"-"&amp;TEXT(A2927,"hh"),LoadTable[],3,FALSE)*0.92</f>
        <v>303.31295999999998</v>
      </c>
      <c r="U2927" s="113">
        <f t="shared" si="3148"/>
        <v>30.331295999999998</v>
      </c>
      <c r="V2927">
        <f t="shared" ref="V2927:W2927" si="3196">V2903</f>
        <v>2.8</v>
      </c>
      <c r="W2927">
        <f t="shared" si="3196"/>
        <v>3.1</v>
      </c>
      <c r="X2927" s="9">
        <v>-103.432353266669</v>
      </c>
      <c r="Y2927" s="39"/>
    </row>
    <row r="2928" spans="1:25" ht="15" thickBot="1">
      <c r="A2928" s="149">
        <f t="shared" si="3130"/>
        <v>45957.874999994885</v>
      </c>
      <c r="B2928" s="30">
        <f t="shared" si="3157"/>
        <v>5000</v>
      </c>
      <c r="C2928" s="8">
        <v>25000</v>
      </c>
      <c r="D2928" s="187">
        <v>0</v>
      </c>
      <c r="E2928" s="187">
        <v>700</v>
      </c>
      <c r="F2928" s="187">
        <v>15000</v>
      </c>
      <c r="G2928" s="30">
        <f t="shared" si="3158"/>
        <v>2470</v>
      </c>
      <c r="H2928" s="8">
        <f t="shared" si="3158"/>
        <v>25000</v>
      </c>
      <c r="I2928" s="30">
        <f t="shared" si="3159"/>
        <v>5000</v>
      </c>
      <c r="J2928" s="187">
        <v>40000</v>
      </c>
      <c r="K2928" s="30">
        <f t="shared" si="3160"/>
        <v>5000</v>
      </c>
      <c r="L2928" s="187">
        <v>40000</v>
      </c>
      <c r="M2928" s="110">
        <v>9.5</v>
      </c>
      <c r="N2928" s="9">
        <f>VLOOKUP(DATE(YEAR(A2928),MONTH(A2928),DAY(A2928)),FY24_Temp[],3,FALSE)</f>
        <v>17.5</v>
      </c>
      <c r="O2928" s="110">
        <f t="shared" si="3146"/>
        <v>11.5</v>
      </c>
      <c r="P2928" s="110">
        <f t="shared" si="3147"/>
        <v>19.5</v>
      </c>
      <c r="Q2928" s="79">
        <f>VLOOKUP(VLOOKUP(DATEVALUE(TEXT(A2928,"m/d/yyyy")),FY24_Temp[],5,FALSE)&amp;TEXT(A2928,"-h"),TempDelta[],4,FALSE)</f>
        <v>0.25137499789707363</v>
      </c>
      <c r="R2928">
        <v>10</v>
      </c>
      <c r="S2928" s="112">
        <v>1500</v>
      </c>
      <c r="T2928" s="5">
        <f>VLOOKUP(TEXT(A2928,"yy-mm")&amp;"-"&amp;IF(AND(WEEKDAY(A2928)&gt;1,WEEKDAY(A2928)&lt;7),"Wkd",TEXT(A2928,"Ddd"))&amp;"-"&amp;TEXT(A2928,"hh"),LoadTable[],3,FALSE)*0.92</f>
        <v>229.93744000000001</v>
      </c>
      <c r="U2928" s="113">
        <f t="shared" si="3148"/>
        <v>22.993744</v>
      </c>
      <c r="V2928">
        <f t="shared" ref="V2928:W2928" si="3197">V2904</f>
        <v>3.5</v>
      </c>
      <c r="W2928">
        <f t="shared" si="3197"/>
        <v>3.1</v>
      </c>
      <c r="X2928" s="9">
        <v>-103.51014781667</v>
      </c>
      <c r="Y2928" s="39"/>
    </row>
    <row r="2929" spans="1:25" ht="15" thickBot="1">
      <c r="A2929" s="149">
        <f t="shared" si="3130"/>
        <v>45957.916666661549</v>
      </c>
      <c r="B2929" s="30">
        <f t="shared" si="3157"/>
        <v>5000</v>
      </c>
      <c r="C2929" s="8">
        <v>25000</v>
      </c>
      <c r="D2929" s="187">
        <v>0</v>
      </c>
      <c r="E2929" s="187">
        <v>700</v>
      </c>
      <c r="F2929" s="187">
        <v>15000</v>
      </c>
      <c r="G2929" s="30">
        <f t="shared" si="3158"/>
        <v>2470</v>
      </c>
      <c r="H2929" s="8">
        <f t="shared" si="3158"/>
        <v>25000</v>
      </c>
      <c r="I2929" s="30">
        <f t="shared" si="3159"/>
        <v>5000</v>
      </c>
      <c r="J2929" s="187">
        <v>40000</v>
      </c>
      <c r="K2929" s="30">
        <f t="shared" si="3160"/>
        <v>5000</v>
      </c>
      <c r="L2929" s="187">
        <v>40000</v>
      </c>
      <c r="M2929" s="110">
        <v>9.5</v>
      </c>
      <c r="N2929" s="9">
        <f>VLOOKUP(DATE(YEAR(A2929),MONTH(A2929),DAY(A2929)),FY24_Temp[],3,FALSE)</f>
        <v>17.5</v>
      </c>
      <c r="O2929" s="110">
        <f t="shared" si="3146"/>
        <v>11.5</v>
      </c>
      <c r="P2929" s="110">
        <f t="shared" si="3147"/>
        <v>19.5</v>
      </c>
      <c r="Q2929" s="79">
        <f>VLOOKUP(VLOOKUP(DATEVALUE(TEXT(A2929,"m/d/yyyy")),FY24_Temp[],5,FALSE)&amp;TEXT(A2929,"-h"),TempDelta[],4,FALSE)</f>
        <v>0.48149999231100082</v>
      </c>
      <c r="R2929">
        <v>10</v>
      </c>
      <c r="S2929" s="112">
        <v>1500</v>
      </c>
      <c r="T2929" s="5">
        <f>VLOOKUP(TEXT(A2929,"yy-mm")&amp;"-"&amp;IF(AND(WEEKDAY(A2929)&gt;1,WEEKDAY(A2929)&lt;7),"Wkd",TEXT(A2929,"Ddd"))&amp;"-"&amp;TEXT(A2929,"hh"),LoadTable[],3,FALSE)*0.92</f>
        <v>176.52040000000002</v>
      </c>
      <c r="U2929" s="113">
        <f t="shared" si="3148"/>
        <v>17.652040000000003</v>
      </c>
      <c r="V2929">
        <f t="shared" ref="V2929:W2929" si="3198">V2905</f>
        <v>2.9</v>
      </c>
      <c r="W2929">
        <f t="shared" si="3198"/>
        <v>3.1</v>
      </c>
      <c r="X2929" s="9">
        <v>-103.587942366669</v>
      </c>
      <c r="Y2929" s="39"/>
    </row>
    <row r="2930" spans="1:25" ht="15" thickBot="1">
      <c r="A2930" s="149">
        <f t="shared" si="3130"/>
        <v>45957.958333328213</v>
      </c>
      <c r="B2930" s="30">
        <f t="shared" si="3157"/>
        <v>5000</v>
      </c>
      <c r="C2930" s="8">
        <v>25000</v>
      </c>
      <c r="D2930" s="187">
        <v>0</v>
      </c>
      <c r="E2930" s="187">
        <v>700</v>
      </c>
      <c r="F2930" s="187">
        <v>15000</v>
      </c>
      <c r="G2930" s="30">
        <f t="shared" si="3158"/>
        <v>2470</v>
      </c>
      <c r="H2930" s="8">
        <f t="shared" si="3158"/>
        <v>25000</v>
      </c>
      <c r="I2930" s="30">
        <f t="shared" si="3159"/>
        <v>5000</v>
      </c>
      <c r="J2930" s="187">
        <v>40000</v>
      </c>
      <c r="K2930" s="30">
        <f t="shared" si="3160"/>
        <v>5000</v>
      </c>
      <c r="L2930" s="187">
        <v>40000</v>
      </c>
      <c r="M2930" s="110">
        <v>9.5</v>
      </c>
      <c r="N2930" s="9">
        <f>VLOOKUP(DATE(YEAR(A2930),MONTH(A2930),DAY(A2930)),FY24_Temp[],3,FALSE)</f>
        <v>17.5</v>
      </c>
      <c r="O2930" s="110">
        <f t="shared" si="3146"/>
        <v>11.5</v>
      </c>
      <c r="P2930" s="110">
        <f t="shared" si="3147"/>
        <v>19.5</v>
      </c>
      <c r="Q2930" s="79">
        <f>VLOOKUP(VLOOKUP(DATEVALUE(TEXT(A2930,"m/d/yyyy")),FY24_Temp[],5,FALSE)&amp;TEXT(A2930,"-h"),TempDelta[],4,FALSE)</f>
        <v>0.60849998891353607</v>
      </c>
      <c r="R2930">
        <v>10</v>
      </c>
      <c r="S2930" s="112">
        <v>1500</v>
      </c>
      <c r="T2930" s="5">
        <f>VLOOKUP(TEXT(A2930,"yy-mm")&amp;"-"&amp;IF(AND(WEEKDAY(A2930)&gt;1,WEEKDAY(A2930)&lt;7),"Wkd",TEXT(A2930,"Ddd"))&amp;"-"&amp;TEXT(A2930,"hh"),LoadTable[],3,FALSE)*0.92</f>
        <v>176.52040000000002</v>
      </c>
      <c r="U2930" s="113">
        <f t="shared" si="3148"/>
        <v>17.652040000000003</v>
      </c>
      <c r="V2930">
        <f t="shared" ref="V2930:W2930" si="3199">V2906</f>
        <v>3.6</v>
      </c>
      <c r="W2930">
        <f t="shared" si="3199"/>
        <v>3.1</v>
      </c>
      <c r="X2930" s="9">
        <v>-103.665736916669</v>
      </c>
      <c r="Y2930" s="39"/>
    </row>
    <row r="2931" spans="1:25" ht="15" thickBot="1">
      <c r="A2931" s="149">
        <f t="shared" si="3130"/>
        <v>45957.999999994878</v>
      </c>
      <c r="B2931" s="30">
        <f t="shared" si="3157"/>
        <v>5000</v>
      </c>
      <c r="C2931" s="8">
        <v>25000</v>
      </c>
      <c r="D2931" s="187">
        <v>0</v>
      </c>
      <c r="E2931" s="187">
        <v>700</v>
      </c>
      <c r="F2931" s="187">
        <v>15000</v>
      </c>
      <c r="G2931" s="30">
        <f t="shared" si="3158"/>
        <v>2470</v>
      </c>
      <c r="H2931" s="8">
        <f t="shared" si="3158"/>
        <v>25000</v>
      </c>
      <c r="I2931" s="30">
        <f t="shared" si="3159"/>
        <v>5000</v>
      </c>
      <c r="J2931" s="187">
        <v>40000</v>
      </c>
      <c r="K2931" s="30">
        <f t="shared" si="3160"/>
        <v>5000</v>
      </c>
      <c r="L2931" s="187">
        <v>40000</v>
      </c>
      <c r="M2931" s="110">
        <v>9.5</v>
      </c>
      <c r="N2931" s="9">
        <f>VLOOKUP(DATE(YEAR(A2931),MONTH(A2931),DAY(A2931)),FY24_Temp[],3,FALSE)</f>
        <v>17.5</v>
      </c>
      <c r="O2931" s="110">
        <f t="shared" si="3146"/>
        <v>11.5</v>
      </c>
      <c r="P2931" s="110">
        <f t="shared" si="3147"/>
        <v>19.5</v>
      </c>
      <c r="Q2931" s="79">
        <f>VLOOKUP(VLOOKUP(DATEVALUE(TEXT(A2931,"m/d/yyyy")),FY24_Temp[],5,FALSE)&amp;TEXT(A2931,"-h"),TempDelta[],4,FALSE)</f>
        <v>0.73420000076293945</v>
      </c>
      <c r="R2931">
        <v>10</v>
      </c>
      <c r="S2931" s="112">
        <v>1500</v>
      </c>
      <c r="T2931" s="5">
        <f>VLOOKUP(TEXT(A2931,"yy-mm")&amp;"-"&amp;IF(AND(WEEKDAY(A2931)&gt;1,WEEKDAY(A2931)&lt;7),"Wkd",TEXT(A2931,"Ddd"))&amp;"-"&amp;TEXT(A2931,"hh"),LoadTable[],3,FALSE)*0.92</f>
        <v>209.6772</v>
      </c>
      <c r="U2931" s="113">
        <f t="shared" si="3148"/>
        <v>20.96772</v>
      </c>
      <c r="V2931">
        <f t="shared" ref="V2931:W2931" si="3200">V2907</f>
        <v>3</v>
      </c>
      <c r="W2931">
        <f t="shared" si="3200"/>
        <v>3.2</v>
      </c>
      <c r="X2931" s="9">
        <v>-103.743531466669</v>
      </c>
      <c r="Y2931" s="39"/>
    </row>
    <row r="2932" spans="1:25" ht="15" thickBot="1">
      <c r="A2932" s="149">
        <f t="shared" si="3130"/>
        <v>45958.041666661542</v>
      </c>
      <c r="B2932" s="30">
        <f t="shared" si="3157"/>
        <v>5000</v>
      </c>
      <c r="C2932" s="8">
        <v>25000</v>
      </c>
      <c r="D2932" s="187">
        <v>0</v>
      </c>
      <c r="E2932" s="187">
        <v>700</v>
      </c>
      <c r="F2932" s="187">
        <v>15000</v>
      </c>
      <c r="G2932" s="30">
        <f t="shared" si="3158"/>
        <v>2470</v>
      </c>
      <c r="H2932" s="8">
        <f t="shared" si="3158"/>
        <v>25000</v>
      </c>
      <c r="I2932" s="30">
        <f t="shared" si="3159"/>
        <v>5000</v>
      </c>
      <c r="J2932" s="187">
        <v>40000</v>
      </c>
      <c r="K2932" s="30">
        <f t="shared" si="3160"/>
        <v>5000</v>
      </c>
      <c r="L2932" s="187">
        <v>40000</v>
      </c>
      <c r="M2932" s="110">
        <v>9.5</v>
      </c>
      <c r="N2932" s="9">
        <f>VLOOKUP(DATE(YEAR(A2932),MONTH(A2932),DAY(A2932)),FY24_Temp[],3,FALSE)</f>
        <v>17.5</v>
      </c>
      <c r="O2932" s="110">
        <f t="shared" si="3146"/>
        <v>11.5</v>
      </c>
      <c r="P2932" s="110">
        <f t="shared" si="3147"/>
        <v>19.5</v>
      </c>
      <c r="Q2932" s="79">
        <f>VLOOKUP(VLOOKUP(DATEVALUE(TEXT(A2932,"m/d/yyyy")),FY24_Temp[],5,FALSE)&amp;TEXT(A2932,"-h"),TempDelta[],4,FALSE)</f>
        <v>0.69179999828338623</v>
      </c>
      <c r="R2932">
        <v>10</v>
      </c>
      <c r="S2932" s="112">
        <v>1500</v>
      </c>
      <c r="T2932" s="5">
        <f>VLOOKUP(TEXT(A2932,"yy-mm")&amp;"-"&amp;IF(AND(WEEKDAY(A2932)&gt;1,WEEKDAY(A2932)&lt;7),"Wkd",TEXT(A2932,"Ddd"))&amp;"-"&amp;TEXT(A2932,"hh"),LoadTable[],3,FALSE)*0.92</f>
        <v>209.6772</v>
      </c>
      <c r="U2932" s="113">
        <f t="shared" si="3148"/>
        <v>20.96772</v>
      </c>
      <c r="V2932">
        <f t="shared" ref="V2932:W2932" si="3201">V2908</f>
        <v>2.6</v>
      </c>
      <c r="W2932">
        <f t="shared" si="3201"/>
        <v>3.2</v>
      </c>
      <c r="X2932" s="9">
        <v>-103.82132601667</v>
      </c>
      <c r="Y2932" s="39"/>
    </row>
    <row r="2933" spans="1:25" ht="15" thickBot="1">
      <c r="A2933" s="149">
        <f t="shared" ref="A2933:A2996" si="3202">A2932+TIME(1,0,0)</f>
        <v>45958.083333328206</v>
      </c>
      <c r="B2933" s="30">
        <f t="shared" si="3157"/>
        <v>5000</v>
      </c>
      <c r="C2933" s="8">
        <v>25000</v>
      </c>
      <c r="D2933" s="187">
        <v>0</v>
      </c>
      <c r="E2933" s="187">
        <v>700</v>
      </c>
      <c r="F2933" s="187">
        <v>15000</v>
      </c>
      <c r="G2933" s="30">
        <f t="shared" si="3158"/>
        <v>2470</v>
      </c>
      <c r="H2933" s="8">
        <f t="shared" si="3158"/>
        <v>25000</v>
      </c>
      <c r="I2933" s="30">
        <f t="shared" si="3159"/>
        <v>5000</v>
      </c>
      <c r="J2933" s="187">
        <v>40000</v>
      </c>
      <c r="K2933" s="30">
        <f t="shared" si="3160"/>
        <v>5000</v>
      </c>
      <c r="L2933" s="187">
        <v>40000</v>
      </c>
      <c r="M2933" s="110">
        <v>9.5</v>
      </c>
      <c r="N2933" s="9">
        <f>VLOOKUP(DATE(YEAR(A2933),MONTH(A2933),DAY(A2933)),FY24_Temp[],3,FALSE)</f>
        <v>17.5</v>
      </c>
      <c r="O2933" s="110">
        <f t="shared" si="3146"/>
        <v>11.5</v>
      </c>
      <c r="P2933" s="110">
        <f t="shared" si="3147"/>
        <v>19.5</v>
      </c>
      <c r="Q2933" s="79">
        <f>VLOOKUP(VLOOKUP(DATEVALUE(TEXT(A2933,"m/d/yyyy")),FY24_Temp[],5,FALSE)&amp;TEXT(A2933,"-h"),TempDelta[],4,FALSE)</f>
        <v>0.64100000262260437</v>
      </c>
      <c r="R2933">
        <v>10</v>
      </c>
      <c r="S2933" s="112">
        <v>1500</v>
      </c>
      <c r="T2933" s="5">
        <f>VLOOKUP(TEXT(A2933,"yy-mm")&amp;"-"&amp;IF(AND(WEEKDAY(A2933)&gt;1,WEEKDAY(A2933)&lt;7),"Wkd",TEXT(A2933,"Ddd"))&amp;"-"&amp;TEXT(A2933,"hh"),LoadTable[],3,FALSE)*0.92</f>
        <v>209.6772</v>
      </c>
      <c r="U2933" s="113">
        <f t="shared" si="3148"/>
        <v>20.96772</v>
      </c>
      <c r="V2933">
        <f t="shared" ref="V2933:W2933" si="3203">V2909</f>
        <v>2.8</v>
      </c>
      <c r="W2933">
        <f t="shared" si="3203"/>
        <v>3.2</v>
      </c>
      <c r="X2933" s="9">
        <v>-103.899120566669</v>
      </c>
      <c r="Y2933" s="39"/>
    </row>
    <row r="2934" spans="1:25" ht="15" thickBot="1">
      <c r="A2934" s="149">
        <f t="shared" si="3202"/>
        <v>45958.12499999487</v>
      </c>
      <c r="B2934" s="30">
        <f t="shared" si="3157"/>
        <v>5000</v>
      </c>
      <c r="C2934" s="8">
        <v>25000</v>
      </c>
      <c r="D2934" s="187">
        <v>0</v>
      </c>
      <c r="E2934" s="187">
        <v>700</v>
      </c>
      <c r="F2934" s="187">
        <v>15000</v>
      </c>
      <c r="G2934" s="30">
        <f t="shared" si="3158"/>
        <v>2470</v>
      </c>
      <c r="H2934" s="8">
        <f t="shared" si="3158"/>
        <v>25000</v>
      </c>
      <c r="I2934" s="30">
        <f t="shared" si="3159"/>
        <v>5000</v>
      </c>
      <c r="J2934" s="187">
        <v>40000</v>
      </c>
      <c r="K2934" s="30">
        <f t="shared" si="3160"/>
        <v>5000</v>
      </c>
      <c r="L2934" s="187">
        <v>40000</v>
      </c>
      <c r="M2934" s="110">
        <v>9.5</v>
      </c>
      <c r="N2934" s="9">
        <f>VLOOKUP(DATE(YEAR(A2934),MONTH(A2934),DAY(A2934)),FY24_Temp[],3,FALSE)</f>
        <v>17.5</v>
      </c>
      <c r="O2934" s="110">
        <f t="shared" si="3146"/>
        <v>11.5</v>
      </c>
      <c r="P2934" s="110">
        <f t="shared" si="3147"/>
        <v>19.5</v>
      </c>
      <c r="Q2934" s="79">
        <f>VLOOKUP(VLOOKUP(DATEVALUE(TEXT(A2934,"m/d/yyyy")),FY24_Temp[],5,FALSE)&amp;TEXT(A2934,"-h"),TempDelta[],4,FALSE)</f>
        <v>0.53599998354911804</v>
      </c>
      <c r="R2934">
        <v>10</v>
      </c>
      <c r="S2934" s="112">
        <v>1500</v>
      </c>
      <c r="T2934" s="5">
        <f>VLOOKUP(TEXT(A2934,"yy-mm")&amp;"-"&amp;IF(AND(WEEKDAY(A2934)&gt;1,WEEKDAY(A2934)&lt;7),"Wkd",TEXT(A2934,"Ddd"))&amp;"-"&amp;TEXT(A2934,"hh"),LoadTable[],3,FALSE)*0.92</f>
        <v>209.6772</v>
      </c>
      <c r="U2934" s="113">
        <f t="shared" si="3148"/>
        <v>20.96772</v>
      </c>
      <c r="V2934">
        <f t="shared" ref="V2934:W2934" si="3204">V2910</f>
        <v>2.7</v>
      </c>
      <c r="W2934">
        <f t="shared" si="3204"/>
        <v>3.2</v>
      </c>
      <c r="X2934" s="9">
        <v>-103.97691511666901</v>
      </c>
      <c r="Y2934" s="39"/>
    </row>
    <row r="2935" spans="1:25" ht="15" thickBot="1">
      <c r="A2935" s="149">
        <f t="shared" si="3202"/>
        <v>45958.166666661535</v>
      </c>
      <c r="B2935" s="30">
        <f t="shared" si="3157"/>
        <v>5000</v>
      </c>
      <c r="C2935" s="8">
        <v>25000</v>
      </c>
      <c r="D2935" s="187">
        <v>0</v>
      </c>
      <c r="E2935" s="187">
        <v>700</v>
      </c>
      <c r="F2935" s="187">
        <v>15000</v>
      </c>
      <c r="G2935" s="30">
        <f t="shared" si="3158"/>
        <v>2470</v>
      </c>
      <c r="H2935" s="8">
        <f t="shared" si="3158"/>
        <v>25000</v>
      </c>
      <c r="I2935" s="30">
        <f t="shared" si="3159"/>
        <v>5000</v>
      </c>
      <c r="J2935" s="187">
        <v>40000</v>
      </c>
      <c r="K2935" s="30">
        <f t="shared" si="3160"/>
        <v>5000</v>
      </c>
      <c r="L2935" s="187">
        <v>40000</v>
      </c>
      <c r="M2935" s="110">
        <v>9.5</v>
      </c>
      <c r="N2935" s="9">
        <f>VLOOKUP(DATE(YEAR(A2935),MONTH(A2935),DAY(A2935)),FY24_Temp[],3,FALSE)</f>
        <v>17.5</v>
      </c>
      <c r="O2935" s="110">
        <f t="shared" si="3146"/>
        <v>11.5</v>
      </c>
      <c r="P2935" s="110">
        <f t="shared" si="3147"/>
        <v>19.5</v>
      </c>
      <c r="Q2935" s="79">
        <f>VLOOKUP(VLOOKUP(DATEVALUE(TEXT(A2935,"m/d/yyyy")),FY24_Temp[],5,FALSE)&amp;TEXT(A2935,"-h"),TempDelta[],4,FALSE)</f>
        <v>0.43825000524520874</v>
      </c>
      <c r="R2935">
        <v>10</v>
      </c>
      <c r="S2935" s="112">
        <v>1500</v>
      </c>
      <c r="T2935" s="5">
        <f>VLOOKUP(TEXT(A2935,"yy-mm")&amp;"-"&amp;IF(AND(WEEKDAY(A2935)&gt;1,WEEKDAY(A2935)&lt;7),"Wkd",TEXT(A2935,"Ddd"))&amp;"-"&amp;TEXT(A2935,"hh"),LoadTable[],3,FALSE)*0.92</f>
        <v>209.6772</v>
      </c>
      <c r="U2935" s="113">
        <f t="shared" si="3148"/>
        <v>20.96772</v>
      </c>
      <c r="V2935">
        <f t="shared" ref="V2935:W2935" si="3205">V2911</f>
        <v>3</v>
      </c>
      <c r="W2935">
        <f t="shared" si="3205"/>
        <v>3.1</v>
      </c>
      <c r="X2935" s="9">
        <v>-104.054709666669</v>
      </c>
      <c r="Y2935" s="39"/>
    </row>
    <row r="2936" spans="1:25" ht="15" thickBot="1">
      <c r="A2936" s="149">
        <f t="shared" si="3202"/>
        <v>45958.208333328199</v>
      </c>
      <c r="B2936" s="30">
        <f t="shared" si="3157"/>
        <v>5000</v>
      </c>
      <c r="C2936" s="8">
        <v>25000</v>
      </c>
      <c r="D2936" s="187">
        <v>0</v>
      </c>
      <c r="E2936" s="187">
        <v>700</v>
      </c>
      <c r="F2936" s="187">
        <v>15000</v>
      </c>
      <c r="G2936" s="30">
        <f t="shared" si="3158"/>
        <v>2470</v>
      </c>
      <c r="H2936" s="8">
        <f t="shared" si="3158"/>
        <v>25000</v>
      </c>
      <c r="I2936" s="30">
        <f t="shared" si="3159"/>
        <v>5000</v>
      </c>
      <c r="J2936" s="187">
        <v>40000</v>
      </c>
      <c r="K2936" s="30">
        <f t="shared" si="3160"/>
        <v>5000</v>
      </c>
      <c r="L2936" s="187">
        <v>40000</v>
      </c>
      <c r="M2936" s="110">
        <v>9.5</v>
      </c>
      <c r="N2936" s="9">
        <f>VLOOKUP(DATE(YEAR(A2936),MONTH(A2936),DAY(A2936)),FY24_Temp[],3,FALSE)</f>
        <v>17.5</v>
      </c>
      <c r="O2936" s="110">
        <f t="shared" si="3146"/>
        <v>11.5</v>
      </c>
      <c r="P2936" s="110">
        <f t="shared" si="3147"/>
        <v>19.5</v>
      </c>
      <c r="Q2936" s="79">
        <f>VLOOKUP(VLOOKUP(DATEVALUE(TEXT(A2936,"m/d/yyyy")),FY24_Temp[],5,FALSE)&amp;TEXT(A2936,"-h"),TempDelta[],4,FALSE)</f>
        <v>0.42975000292062759</v>
      </c>
      <c r="R2936">
        <v>10</v>
      </c>
      <c r="S2936" s="112">
        <v>1500</v>
      </c>
      <c r="T2936" s="5">
        <f>VLOOKUP(TEXT(A2936,"yy-mm")&amp;"-"&amp;IF(AND(WEEKDAY(A2936)&gt;1,WEEKDAY(A2936)&lt;7),"Wkd",TEXT(A2936,"Ddd"))&amp;"-"&amp;TEXT(A2936,"hh"),LoadTable[],3,FALSE)*0.92</f>
        <v>209.6772</v>
      </c>
      <c r="U2936" s="113">
        <f t="shared" si="3148"/>
        <v>20.96772</v>
      </c>
      <c r="V2936">
        <f t="shared" ref="V2936:W2936" si="3206">V2912</f>
        <v>2.9</v>
      </c>
      <c r="W2936">
        <f t="shared" si="3206"/>
        <v>3.1</v>
      </c>
      <c r="X2936" s="9">
        <v>-104.13250421667</v>
      </c>
      <c r="Y2936" s="39"/>
    </row>
    <row r="2937" spans="1:25" ht="15" thickBot="1">
      <c r="A2937" s="149">
        <f t="shared" si="3202"/>
        <v>45958.249999994863</v>
      </c>
      <c r="B2937" s="30">
        <f t="shared" si="3157"/>
        <v>8000</v>
      </c>
      <c r="C2937" s="8">
        <v>25000</v>
      </c>
      <c r="D2937" s="187">
        <v>0</v>
      </c>
      <c r="E2937" s="187">
        <v>700</v>
      </c>
      <c r="F2937" s="187">
        <v>15000</v>
      </c>
      <c r="G2937" s="30">
        <f t="shared" si="3158"/>
        <v>2470</v>
      </c>
      <c r="H2937" s="8">
        <f t="shared" si="3158"/>
        <v>25000</v>
      </c>
      <c r="I2937" s="30">
        <f t="shared" si="3159"/>
        <v>8000</v>
      </c>
      <c r="J2937" s="187">
        <v>40000</v>
      </c>
      <c r="K2937" s="30">
        <f t="shared" si="3160"/>
        <v>8000</v>
      </c>
      <c r="L2937" s="187">
        <v>40000</v>
      </c>
      <c r="M2937" s="110">
        <v>9.5</v>
      </c>
      <c r="N2937" s="9">
        <f>VLOOKUP(DATE(YEAR(A2937),MONTH(A2937),DAY(A2937)),FY24_Temp[],3,FALSE)</f>
        <v>17.5</v>
      </c>
      <c r="O2937" s="110">
        <f t="shared" si="3146"/>
        <v>11.5</v>
      </c>
      <c r="P2937" s="110">
        <f t="shared" si="3147"/>
        <v>19.5</v>
      </c>
      <c r="Q2937" s="79">
        <f>VLOOKUP(VLOOKUP(DATEVALUE(TEXT(A2937,"m/d/yyyy")),FY24_Temp[],5,FALSE)&amp;TEXT(A2937,"-h"),TempDelta[],4,FALSE)</f>
        <v>0.32200000062584877</v>
      </c>
      <c r="R2937">
        <v>10</v>
      </c>
      <c r="S2937" s="112">
        <v>1500</v>
      </c>
      <c r="T2937" s="5">
        <f>VLOOKUP(TEXT(A2937,"yy-mm")&amp;"-"&amp;IF(AND(WEEKDAY(A2937)&gt;1,WEEKDAY(A2937)&lt;7),"Wkd",TEXT(A2937,"Ddd"))&amp;"-"&amp;TEXT(A2937,"hh"),LoadTable[],3,FALSE)*0.92</f>
        <v>209.6772</v>
      </c>
      <c r="U2937" s="113">
        <f t="shared" si="3148"/>
        <v>20.96772</v>
      </c>
      <c r="V2937">
        <f t="shared" ref="V2937:W2937" si="3207">V2913</f>
        <v>2.5</v>
      </c>
      <c r="W2937">
        <f t="shared" si="3207"/>
        <v>3.1</v>
      </c>
      <c r="X2937" s="9">
        <v>-104.210298766669</v>
      </c>
      <c r="Y2937" s="39"/>
    </row>
    <row r="2938" spans="1:25" ht="15" thickBot="1">
      <c r="A2938" s="149">
        <f t="shared" si="3202"/>
        <v>45958.291666661527</v>
      </c>
      <c r="B2938" s="30">
        <f t="shared" si="3157"/>
        <v>8000</v>
      </c>
      <c r="C2938" s="8">
        <v>25000</v>
      </c>
      <c r="D2938" s="187">
        <v>0</v>
      </c>
      <c r="E2938" s="187">
        <v>700</v>
      </c>
      <c r="F2938" s="187">
        <v>15000</v>
      </c>
      <c r="G2938" s="30">
        <f t="shared" si="3158"/>
        <v>2470</v>
      </c>
      <c r="H2938" s="8">
        <f t="shared" si="3158"/>
        <v>25000</v>
      </c>
      <c r="I2938" s="30">
        <f t="shared" si="3159"/>
        <v>8000</v>
      </c>
      <c r="J2938" s="187">
        <v>40000</v>
      </c>
      <c r="K2938" s="30">
        <f t="shared" si="3160"/>
        <v>8000</v>
      </c>
      <c r="L2938" s="187">
        <v>40000</v>
      </c>
      <c r="M2938" s="110">
        <v>9.5</v>
      </c>
      <c r="N2938" s="9">
        <f>VLOOKUP(DATE(YEAR(A2938),MONTH(A2938),DAY(A2938)),FY24_Temp[],3,FALSE)</f>
        <v>17.5</v>
      </c>
      <c r="O2938" s="110">
        <f t="shared" si="3146"/>
        <v>11.5</v>
      </c>
      <c r="P2938" s="110">
        <f t="shared" si="3147"/>
        <v>19.5</v>
      </c>
      <c r="Q2938" s="79">
        <f>VLOOKUP(VLOOKUP(DATEVALUE(TEXT(A2938,"m/d/yyyy")),FY24_Temp[],5,FALSE)&amp;TEXT(A2938,"-h"),TempDelta[],4,FALSE)</f>
        <v>0.13774999789893627</v>
      </c>
      <c r="R2938">
        <v>10</v>
      </c>
      <c r="S2938" s="112">
        <v>1500</v>
      </c>
      <c r="T2938" s="5">
        <f>VLOOKUP(TEXT(A2938,"yy-mm")&amp;"-"&amp;IF(AND(WEEKDAY(A2938)&gt;1,WEEKDAY(A2938)&lt;7),"Wkd",TEXT(A2938,"Ddd"))&amp;"-"&amp;TEXT(A2938,"hh"),LoadTable[],3,FALSE)*0.92</f>
        <v>234.80148</v>
      </c>
      <c r="U2938" s="113">
        <f t="shared" si="3148"/>
        <v>23.480148</v>
      </c>
      <c r="V2938">
        <f t="shared" ref="V2938:W2938" si="3208">V2914</f>
        <v>2.5</v>
      </c>
      <c r="W2938">
        <f t="shared" si="3208"/>
        <v>3.1</v>
      </c>
      <c r="X2938" s="9">
        <v>-104.28809331666901</v>
      </c>
      <c r="Y2938" s="39"/>
    </row>
    <row r="2939" spans="1:25" ht="15" thickBot="1">
      <c r="A2939" s="149">
        <f t="shared" si="3202"/>
        <v>45958.333333328192</v>
      </c>
      <c r="B2939" s="30">
        <f t="shared" si="3157"/>
        <v>8000</v>
      </c>
      <c r="C2939" s="8">
        <v>25000</v>
      </c>
      <c r="D2939" s="187">
        <v>0</v>
      </c>
      <c r="E2939" s="187">
        <v>700</v>
      </c>
      <c r="F2939" s="187">
        <v>15000</v>
      </c>
      <c r="G2939" s="30">
        <f t="shared" si="3158"/>
        <v>2470</v>
      </c>
      <c r="H2939" s="8">
        <f t="shared" si="3158"/>
        <v>25000</v>
      </c>
      <c r="I2939" s="30">
        <f t="shared" si="3159"/>
        <v>8000</v>
      </c>
      <c r="J2939" s="187">
        <v>40000</v>
      </c>
      <c r="K2939" s="30">
        <f t="shared" si="3160"/>
        <v>8000</v>
      </c>
      <c r="L2939" s="187">
        <v>40000</v>
      </c>
      <c r="M2939" s="110">
        <v>9.5</v>
      </c>
      <c r="N2939" s="9">
        <f>VLOOKUP(DATE(YEAR(A2939),MONTH(A2939),DAY(A2939)),FY24_Temp[],3,FALSE)</f>
        <v>17.5</v>
      </c>
      <c r="O2939" s="110">
        <f t="shared" si="3146"/>
        <v>11.5</v>
      </c>
      <c r="P2939" s="110">
        <f t="shared" si="3147"/>
        <v>19.5</v>
      </c>
      <c r="Q2939" s="79">
        <f>VLOOKUP(VLOOKUP(DATEVALUE(TEXT(A2939,"m/d/yyyy")),FY24_Temp[],5,FALSE)&amp;TEXT(A2939,"-h"),TempDelta[],4,FALSE)</f>
        <v>2.8249999275431037E-2</v>
      </c>
      <c r="R2939">
        <v>10</v>
      </c>
      <c r="S2939" s="112">
        <v>1500</v>
      </c>
      <c r="T2939" s="5">
        <f>VLOOKUP(TEXT(A2939,"yy-mm")&amp;"-"&amp;IF(AND(WEEKDAY(A2939)&gt;1,WEEKDAY(A2939)&lt;7),"Wkd",TEXT(A2939,"Ddd"))&amp;"-"&amp;TEXT(A2939,"hh"),LoadTable[],3,FALSE)*0.92</f>
        <v>234.80148</v>
      </c>
      <c r="U2939" s="113">
        <f t="shared" si="3148"/>
        <v>23.480148</v>
      </c>
      <c r="V2939">
        <f t="shared" ref="V2939:W2939" si="3209">V2915</f>
        <v>3.2</v>
      </c>
      <c r="W2939">
        <f t="shared" si="3209"/>
        <v>3</v>
      </c>
      <c r="X2939" s="9">
        <v>-104.365887866669</v>
      </c>
      <c r="Y2939" s="39"/>
    </row>
    <row r="2940" spans="1:25" ht="15" thickBot="1">
      <c r="A2940" s="149">
        <f t="shared" si="3202"/>
        <v>45958.374999994856</v>
      </c>
      <c r="B2940" s="30">
        <f t="shared" si="3157"/>
        <v>8000</v>
      </c>
      <c r="C2940" s="8">
        <v>25000</v>
      </c>
      <c r="D2940" s="187">
        <v>0</v>
      </c>
      <c r="E2940" s="187">
        <v>700</v>
      </c>
      <c r="F2940" s="187">
        <v>15000</v>
      </c>
      <c r="G2940" s="30">
        <f t="shared" si="3158"/>
        <v>2470</v>
      </c>
      <c r="H2940" s="8">
        <f t="shared" si="3158"/>
        <v>25000</v>
      </c>
      <c r="I2940" s="30">
        <f t="shared" si="3159"/>
        <v>8000</v>
      </c>
      <c r="J2940" s="187">
        <v>40000</v>
      </c>
      <c r="K2940" s="30">
        <f t="shared" si="3160"/>
        <v>8000</v>
      </c>
      <c r="L2940" s="187">
        <v>40000</v>
      </c>
      <c r="M2940" s="110">
        <v>9.5</v>
      </c>
      <c r="N2940" s="9">
        <f>VLOOKUP(DATE(YEAR(A2940),MONTH(A2940),DAY(A2940)),FY24_Temp[],3,FALSE)</f>
        <v>17.5</v>
      </c>
      <c r="O2940" s="110">
        <f t="shared" si="3146"/>
        <v>11.5</v>
      </c>
      <c r="P2940" s="110">
        <f t="shared" si="3147"/>
        <v>19.5</v>
      </c>
      <c r="Q2940" s="79">
        <f>VLOOKUP(VLOOKUP(DATEVALUE(TEXT(A2940,"m/d/yyyy")),FY24_Temp[],5,FALSE)&amp;TEXT(A2940,"-h"),TempDelta[],4,FALSE)</f>
        <v>-5.3000001236796379E-2</v>
      </c>
      <c r="R2940">
        <v>10</v>
      </c>
      <c r="S2940" s="112">
        <v>1500</v>
      </c>
      <c r="T2940" s="5">
        <f>VLOOKUP(TEXT(A2940,"yy-mm")&amp;"-"&amp;IF(AND(WEEKDAY(A2940)&gt;1,WEEKDAY(A2940)&lt;7),"Wkd",TEXT(A2940,"Ddd"))&amp;"-"&amp;TEXT(A2940,"hh"),LoadTable[],3,FALSE)*0.92</f>
        <v>234.80148</v>
      </c>
      <c r="U2940" s="113">
        <f t="shared" si="3148"/>
        <v>23.480148</v>
      </c>
      <c r="V2940">
        <f t="shared" ref="V2940:W2940" si="3210">V2916</f>
        <v>2.9</v>
      </c>
      <c r="W2940">
        <f t="shared" si="3210"/>
        <v>3</v>
      </c>
      <c r="X2940" s="9">
        <v>-104.44368241667</v>
      </c>
      <c r="Y2940" s="39"/>
    </row>
    <row r="2941" spans="1:25" ht="15" thickBot="1">
      <c r="A2941" s="149">
        <f t="shared" si="3202"/>
        <v>45958.41666666152</v>
      </c>
      <c r="B2941" s="30">
        <f t="shared" si="3157"/>
        <v>8000</v>
      </c>
      <c r="C2941" s="8">
        <v>25000</v>
      </c>
      <c r="D2941" s="187">
        <v>0</v>
      </c>
      <c r="E2941" s="187">
        <v>700</v>
      </c>
      <c r="F2941" s="187">
        <v>15000</v>
      </c>
      <c r="G2941" s="30">
        <f t="shared" si="3158"/>
        <v>2470</v>
      </c>
      <c r="H2941" s="8">
        <f t="shared" si="3158"/>
        <v>25000</v>
      </c>
      <c r="I2941" s="30">
        <f t="shared" si="3159"/>
        <v>8000</v>
      </c>
      <c r="J2941" s="187">
        <v>40000</v>
      </c>
      <c r="K2941" s="30">
        <f t="shared" si="3160"/>
        <v>8000</v>
      </c>
      <c r="L2941" s="187">
        <v>40000</v>
      </c>
      <c r="M2941" s="110">
        <v>9.5</v>
      </c>
      <c r="N2941" s="9">
        <f>VLOOKUP(DATE(YEAR(A2941),MONTH(A2941),DAY(A2941)),FY24_Temp[],3,FALSE)</f>
        <v>17.5</v>
      </c>
      <c r="O2941" s="110">
        <f t="shared" si="3146"/>
        <v>11.5</v>
      </c>
      <c r="P2941" s="110">
        <f t="shared" si="3147"/>
        <v>19.5</v>
      </c>
      <c r="Q2941" s="79">
        <f>VLOOKUP(VLOOKUP(DATEVALUE(TEXT(A2941,"m/d/yyyy")),FY24_Temp[],5,FALSE)&amp;TEXT(A2941,"-h"),TempDelta[],4,FALSE)</f>
        <v>-0.13824999803910032</v>
      </c>
      <c r="R2941">
        <v>10</v>
      </c>
      <c r="S2941" s="112">
        <v>1500</v>
      </c>
      <c r="T2941" s="5">
        <f>VLOOKUP(TEXT(A2941,"yy-mm")&amp;"-"&amp;IF(AND(WEEKDAY(A2941)&gt;1,WEEKDAY(A2941)&lt;7),"Wkd",TEXT(A2941,"Ddd"))&amp;"-"&amp;TEXT(A2941,"hh"),LoadTable[],3,FALSE)*0.92</f>
        <v>234.80148</v>
      </c>
      <c r="U2941" s="113">
        <f t="shared" si="3148"/>
        <v>23.480148</v>
      </c>
      <c r="V2941">
        <f t="shared" ref="V2941:W2941" si="3211">V2917</f>
        <v>2.9</v>
      </c>
      <c r="W2941">
        <f t="shared" si="3211"/>
        <v>3</v>
      </c>
      <c r="X2941" s="9">
        <v>-104.52147696666999</v>
      </c>
      <c r="Y2941" s="39"/>
    </row>
    <row r="2942" spans="1:25" ht="15" thickBot="1">
      <c r="A2942" s="149">
        <f t="shared" si="3202"/>
        <v>45958.458333328184</v>
      </c>
      <c r="B2942" s="30">
        <f t="shared" si="3157"/>
        <v>8000</v>
      </c>
      <c r="C2942" s="8">
        <v>25000</v>
      </c>
      <c r="D2942" s="187">
        <v>0</v>
      </c>
      <c r="E2942" s="187">
        <v>700</v>
      </c>
      <c r="F2942" s="187">
        <v>15000</v>
      </c>
      <c r="G2942" s="30">
        <f t="shared" si="3158"/>
        <v>2470</v>
      </c>
      <c r="H2942" s="8">
        <f t="shared" si="3158"/>
        <v>25000</v>
      </c>
      <c r="I2942" s="30">
        <f t="shared" si="3159"/>
        <v>8000</v>
      </c>
      <c r="J2942" s="187">
        <v>40000</v>
      </c>
      <c r="K2942" s="30">
        <f t="shared" si="3160"/>
        <v>8000</v>
      </c>
      <c r="L2942" s="187">
        <v>40000</v>
      </c>
      <c r="M2942" s="110">
        <v>9.5</v>
      </c>
      <c r="N2942" s="9">
        <f>VLOOKUP(DATE(YEAR(A2942),MONTH(A2942),DAY(A2942)),FY24_Temp[],3,FALSE)</f>
        <v>17.5</v>
      </c>
      <c r="O2942" s="110">
        <f t="shared" si="3146"/>
        <v>11.5</v>
      </c>
      <c r="P2942" s="110">
        <f t="shared" si="3147"/>
        <v>19.5</v>
      </c>
      <c r="Q2942" s="79">
        <f>VLOOKUP(VLOOKUP(DATEVALUE(TEXT(A2942,"m/d/yyyy")),FY24_Temp[],5,FALSE)&amp;TEXT(A2942,"-h"),TempDelta[],4,FALSE)</f>
        <v>-0.20649999752640724</v>
      </c>
      <c r="R2942">
        <v>10</v>
      </c>
      <c r="S2942" s="112">
        <v>1500</v>
      </c>
      <c r="T2942" s="5">
        <f>VLOOKUP(TEXT(A2942,"yy-mm")&amp;"-"&amp;IF(AND(WEEKDAY(A2942)&gt;1,WEEKDAY(A2942)&lt;7),"Wkd",TEXT(A2942,"Ddd"))&amp;"-"&amp;TEXT(A2942,"hh"),LoadTable[],3,FALSE)*0.92</f>
        <v>234.80148</v>
      </c>
      <c r="U2942" s="113">
        <f t="shared" si="3148"/>
        <v>23.480148</v>
      </c>
      <c r="V2942">
        <f t="shared" ref="V2942:W2942" si="3212">V2918</f>
        <v>3.4</v>
      </c>
      <c r="W2942">
        <f t="shared" si="3212"/>
        <v>3</v>
      </c>
      <c r="X2942" s="9">
        <v>-104.59927151667</v>
      </c>
      <c r="Y2942" s="39"/>
    </row>
    <row r="2943" spans="1:25" ht="15" thickBot="1">
      <c r="A2943" s="149">
        <f t="shared" si="3202"/>
        <v>45958.499999994849</v>
      </c>
      <c r="B2943" s="30">
        <f t="shared" si="3157"/>
        <v>8000</v>
      </c>
      <c r="C2943" s="8">
        <v>25000</v>
      </c>
      <c r="D2943" s="187">
        <v>0</v>
      </c>
      <c r="E2943" s="187">
        <v>700</v>
      </c>
      <c r="F2943" s="187">
        <v>15000</v>
      </c>
      <c r="G2943" s="30">
        <f t="shared" si="3158"/>
        <v>2470</v>
      </c>
      <c r="H2943" s="8">
        <f t="shared" si="3158"/>
        <v>25000</v>
      </c>
      <c r="I2943" s="30">
        <f t="shared" si="3159"/>
        <v>8000</v>
      </c>
      <c r="J2943" s="187">
        <v>40000</v>
      </c>
      <c r="K2943" s="30">
        <f t="shared" si="3160"/>
        <v>8000</v>
      </c>
      <c r="L2943" s="187">
        <v>40000</v>
      </c>
      <c r="M2943" s="110">
        <v>9.5</v>
      </c>
      <c r="N2943" s="9">
        <f>VLOOKUP(DATE(YEAR(A2943),MONTH(A2943),DAY(A2943)),FY24_Temp[],3,FALSE)</f>
        <v>17.5</v>
      </c>
      <c r="O2943" s="110">
        <f t="shared" si="3146"/>
        <v>11.5</v>
      </c>
      <c r="P2943" s="110">
        <f t="shared" si="3147"/>
        <v>19.5</v>
      </c>
      <c r="Q2943" s="79">
        <f>VLOOKUP(VLOOKUP(DATEVALUE(TEXT(A2943,"m/d/yyyy")),FY24_Temp[],5,FALSE)&amp;TEXT(A2943,"-h"),TempDelta[],4,FALSE)</f>
        <v>-0.25474999845027924</v>
      </c>
      <c r="R2943">
        <v>10</v>
      </c>
      <c r="S2943" s="112">
        <v>1500</v>
      </c>
      <c r="T2943" s="5">
        <f>VLOOKUP(TEXT(A2943,"yy-mm")&amp;"-"&amp;IF(AND(WEEKDAY(A2943)&gt;1,WEEKDAY(A2943)&lt;7),"Wkd",TEXT(A2943,"Ddd"))&amp;"-"&amp;TEXT(A2943,"hh"),LoadTable[],3,FALSE)*0.92</f>
        <v>234.80148</v>
      </c>
      <c r="U2943" s="113">
        <f t="shared" si="3148"/>
        <v>23.480148</v>
      </c>
      <c r="V2943">
        <f t="shared" ref="V2943:W2943" si="3213">V2919</f>
        <v>3.1</v>
      </c>
      <c r="W2943">
        <f t="shared" si="3213"/>
        <v>2.9</v>
      </c>
      <c r="X2943" s="9">
        <v>-104.67706606666999</v>
      </c>
      <c r="Y2943" s="39"/>
    </row>
    <row r="2944" spans="1:25" ht="15" thickBot="1">
      <c r="A2944" s="149">
        <f t="shared" si="3202"/>
        <v>45958.541666661513</v>
      </c>
      <c r="B2944" s="30">
        <f t="shared" si="3157"/>
        <v>8000</v>
      </c>
      <c r="C2944" s="8">
        <v>25000</v>
      </c>
      <c r="D2944" s="187">
        <v>0</v>
      </c>
      <c r="E2944" s="187">
        <v>700</v>
      </c>
      <c r="F2944" s="187">
        <v>15000</v>
      </c>
      <c r="G2944" s="30">
        <f t="shared" si="3158"/>
        <v>2470</v>
      </c>
      <c r="H2944" s="8">
        <f t="shared" si="3158"/>
        <v>25000</v>
      </c>
      <c r="I2944" s="30">
        <f t="shared" si="3159"/>
        <v>8000</v>
      </c>
      <c r="J2944" s="187">
        <v>40000</v>
      </c>
      <c r="K2944" s="30">
        <f t="shared" si="3160"/>
        <v>8000</v>
      </c>
      <c r="L2944" s="187">
        <v>40000</v>
      </c>
      <c r="M2944" s="110">
        <v>9.5</v>
      </c>
      <c r="N2944" s="9">
        <f>VLOOKUP(DATE(YEAR(A2944),MONTH(A2944),DAY(A2944)),FY24_Temp[],3,FALSE)</f>
        <v>17.5</v>
      </c>
      <c r="O2944" s="110">
        <f t="shared" si="3146"/>
        <v>11.5</v>
      </c>
      <c r="P2944" s="110">
        <f t="shared" si="3147"/>
        <v>19.5</v>
      </c>
      <c r="Q2944" s="79">
        <f>VLOOKUP(VLOOKUP(DATEVALUE(TEXT(A2944,"m/d/yyyy")),FY24_Temp[],5,FALSE)&amp;TEXT(A2944,"-h"),TempDelta[],4,FALSE)</f>
        <v>-0.27724999561905861</v>
      </c>
      <c r="R2944">
        <v>10</v>
      </c>
      <c r="S2944" s="112">
        <v>1500</v>
      </c>
      <c r="T2944" s="5">
        <f>VLOOKUP(TEXT(A2944,"yy-mm")&amp;"-"&amp;IF(AND(WEEKDAY(A2944)&gt;1,WEEKDAY(A2944)&lt;7),"Wkd",TEXT(A2944,"Ddd"))&amp;"-"&amp;TEXT(A2944,"hh"),LoadTable[],3,FALSE)*0.92</f>
        <v>234.80148</v>
      </c>
      <c r="U2944" s="113">
        <f t="shared" si="3148"/>
        <v>23.480148</v>
      </c>
      <c r="V2944">
        <f t="shared" ref="V2944:W2944" si="3214">V2920</f>
        <v>3.2</v>
      </c>
      <c r="W2944">
        <f t="shared" si="3214"/>
        <v>2.9</v>
      </c>
      <c r="X2944" s="9">
        <v>-104.75486061667</v>
      </c>
      <c r="Y2944" s="39"/>
    </row>
    <row r="2945" spans="1:25" ht="15" thickBot="1">
      <c r="A2945" s="149">
        <f t="shared" si="3202"/>
        <v>45958.583333328177</v>
      </c>
      <c r="B2945" s="30">
        <f t="shared" si="3157"/>
        <v>8000</v>
      </c>
      <c r="C2945" s="8">
        <v>25000</v>
      </c>
      <c r="D2945" s="187">
        <v>0</v>
      </c>
      <c r="E2945" s="187">
        <v>700</v>
      </c>
      <c r="F2945" s="187">
        <v>15000</v>
      </c>
      <c r="G2945" s="30">
        <f t="shared" si="3158"/>
        <v>2470</v>
      </c>
      <c r="H2945" s="8">
        <f t="shared" si="3158"/>
        <v>25000</v>
      </c>
      <c r="I2945" s="30">
        <f t="shared" si="3159"/>
        <v>8000</v>
      </c>
      <c r="J2945" s="187">
        <v>40000</v>
      </c>
      <c r="K2945" s="30">
        <f t="shared" si="3160"/>
        <v>8000</v>
      </c>
      <c r="L2945" s="187">
        <v>40000</v>
      </c>
      <c r="M2945" s="110">
        <v>9.5</v>
      </c>
      <c r="N2945" s="9">
        <f>VLOOKUP(DATE(YEAR(A2945),MONTH(A2945),DAY(A2945)),FY24_Temp[],3,FALSE)</f>
        <v>17.5</v>
      </c>
      <c r="O2945" s="110">
        <f t="shared" si="3146"/>
        <v>11.5</v>
      </c>
      <c r="P2945" s="110">
        <f t="shared" si="3147"/>
        <v>19.5</v>
      </c>
      <c r="Q2945" s="79">
        <f>VLOOKUP(VLOOKUP(DATEVALUE(TEXT(A2945,"m/d/yyyy")),FY24_Temp[],5,FALSE)&amp;TEXT(A2945,"-h"),TempDelta[],4,FALSE)</f>
        <v>-0.23250000178813934</v>
      </c>
      <c r="R2945">
        <v>10</v>
      </c>
      <c r="S2945" s="112">
        <v>1500</v>
      </c>
      <c r="T2945" s="5">
        <f>VLOOKUP(TEXT(A2945,"yy-mm")&amp;"-"&amp;IF(AND(WEEKDAY(A2945)&gt;1,WEEKDAY(A2945)&lt;7),"Wkd",TEXT(A2945,"Ddd"))&amp;"-"&amp;TEXT(A2945,"hh"),LoadTable[],3,FALSE)*0.92</f>
        <v>234.80148</v>
      </c>
      <c r="U2945" s="113">
        <f t="shared" si="3148"/>
        <v>23.480148</v>
      </c>
      <c r="V2945">
        <f t="shared" ref="V2945:W2945" si="3215">V2921</f>
        <v>3.5</v>
      </c>
      <c r="W2945">
        <f t="shared" si="3215"/>
        <v>2.9</v>
      </c>
      <c r="X2945" s="9">
        <v>-104.83265516666999</v>
      </c>
      <c r="Y2945" s="39"/>
    </row>
    <row r="2946" spans="1:25" ht="15" thickBot="1">
      <c r="A2946" s="149">
        <f t="shared" si="3202"/>
        <v>45958.624999994841</v>
      </c>
      <c r="B2946" s="30">
        <f t="shared" si="3157"/>
        <v>8000</v>
      </c>
      <c r="C2946" s="8">
        <v>25000</v>
      </c>
      <c r="D2946" s="187">
        <v>0</v>
      </c>
      <c r="E2946" s="187">
        <v>700</v>
      </c>
      <c r="F2946" s="187">
        <v>15000</v>
      </c>
      <c r="G2946" s="30">
        <f t="shared" si="3158"/>
        <v>2470</v>
      </c>
      <c r="H2946" s="8">
        <f t="shared" si="3158"/>
        <v>25000</v>
      </c>
      <c r="I2946" s="30">
        <f t="shared" si="3159"/>
        <v>8000</v>
      </c>
      <c r="J2946" s="187">
        <v>40000</v>
      </c>
      <c r="K2946" s="30">
        <f t="shared" si="3160"/>
        <v>8000</v>
      </c>
      <c r="L2946" s="187">
        <v>40000</v>
      </c>
      <c r="M2946" s="110">
        <v>9.5</v>
      </c>
      <c r="N2946" s="9">
        <f>VLOOKUP(DATE(YEAR(A2946),MONTH(A2946),DAY(A2946)),FY24_Temp[],3,FALSE)</f>
        <v>17.5</v>
      </c>
      <c r="O2946" s="110">
        <f t="shared" si="3146"/>
        <v>11.5</v>
      </c>
      <c r="P2946" s="110">
        <f t="shared" si="3147"/>
        <v>19.5</v>
      </c>
      <c r="Q2946" s="79">
        <f>VLOOKUP(VLOOKUP(DATEVALUE(TEXT(A2946,"m/d/yyyy")),FY24_Temp[],5,FALSE)&amp;TEXT(A2946,"-h"),TempDelta[],4,FALSE)</f>
        <v>-0.15862499922513962</v>
      </c>
      <c r="R2946">
        <v>10</v>
      </c>
      <c r="S2946" s="112">
        <v>1500</v>
      </c>
      <c r="T2946" s="5">
        <f>VLOOKUP(TEXT(A2946,"yy-mm")&amp;"-"&amp;IF(AND(WEEKDAY(A2946)&gt;1,WEEKDAY(A2946)&lt;7),"Wkd",TEXT(A2946,"Ddd"))&amp;"-"&amp;TEXT(A2946,"hh"),LoadTable[],3,FALSE)*0.92</f>
        <v>234.80148</v>
      </c>
      <c r="U2946" s="113">
        <f t="shared" si="3148"/>
        <v>23.480148</v>
      </c>
      <c r="V2946">
        <f t="shared" ref="V2946:W2946" si="3216">V2922</f>
        <v>3.2</v>
      </c>
      <c r="W2946">
        <f t="shared" si="3216"/>
        <v>2.9</v>
      </c>
      <c r="X2946" s="9">
        <v>-104.91044971667</v>
      </c>
      <c r="Y2946" s="39"/>
    </row>
    <row r="2947" spans="1:25" ht="15" thickBot="1">
      <c r="A2947" s="149">
        <f t="shared" si="3202"/>
        <v>45958.666666661506</v>
      </c>
      <c r="B2947" s="30">
        <f t="shared" si="3157"/>
        <v>8000</v>
      </c>
      <c r="C2947" s="8">
        <v>25000</v>
      </c>
      <c r="D2947" s="187">
        <v>0</v>
      </c>
      <c r="E2947" s="187">
        <v>700</v>
      </c>
      <c r="F2947" s="187">
        <v>15000</v>
      </c>
      <c r="G2947" s="30">
        <f t="shared" si="3158"/>
        <v>2470</v>
      </c>
      <c r="H2947" s="8">
        <f t="shared" si="3158"/>
        <v>25000</v>
      </c>
      <c r="I2947" s="30">
        <f t="shared" si="3159"/>
        <v>8000</v>
      </c>
      <c r="J2947" s="187">
        <v>40000</v>
      </c>
      <c r="K2947" s="30">
        <f t="shared" si="3160"/>
        <v>8000</v>
      </c>
      <c r="L2947" s="187">
        <v>40000</v>
      </c>
      <c r="M2947" s="110">
        <v>9.5</v>
      </c>
      <c r="N2947" s="9">
        <f>VLOOKUP(DATE(YEAR(A2947),MONTH(A2947),DAY(A2947)),FY24_Temp[],3,FALSE)</f>
        <v>17.5</v>
      </c>
      <c r="O2947" s="110">
        <f t="shared" si="3146"/>
        <v>11.5</v>
      </c>
      <c r="P2947" s="110">
        <f t="shared" si="3147"/>
        <v>19.5</v>
      </c>
      <c r="Q2947" s="79">
        <f>VLOOKUP(VLOOKUP(DATEVALUE(TEXT(A2947,"m/d/yyyy")),FY24_Temp[],5,FALSE)&amp;TEXT(A2947,"-h"),TempDelta[],4,FALSE)</f>
        <v>5.487500037997961E-2</v>
      </c>
      <c r="R2947">
        <v>10</v>
      </c>
      <c r="S2947" s="112">
        <v>1500</v>
      </c>
      <c r="T2947" s="5">
        <f>VLOOKUP(TEXT(A2947,"yy-mm")&amp;"-"&amp;IF(AND(WEEKDAY(A2947)&gt;1,WEEKDAY(A2947)&lt;7),"Wkd",TEXT(A2947,"Ddd"))&amp;"-"&amp;TEXT(A2947,"hh"),LoadTable[],3,FALSE)*0.92</f>
        <v>234.80148</v>
      </c>
      <c r="U2947" s="113">
        <f t="shared" si="3148"/>
        <v>23.480148</v>
      </c>
      <c r="V2947">
        <f t="shared" ref="V2947:W2947" si="3217">V2923</f>
        <v>3.5</v>
      </c>
      <c r="W2947">
        <f t="shared" si="3217"/>
        <v>3</v>
      </c>
      <c r="X2947" s="9">
        <v>-104.98824426666999</v>
      </c>
      <c r="Y2947" s="39"/>
    </row>
    <row r="2948" spans="1:25" ht="15" thickBot="1">
      <c r="A2948" s="149">
        <f t="shared" si="3202"/>
        <v>45958.70833332817</v>
      </c>
      <c r="B2948" s="30">
        <f t="shared" si="3157"/>
        <v>8000</v>
      </c>
      <c r="C2948" s="8">
        <v>25000</v>
      </c>
      <c r="D2948" s="187">
        <v>0</v>
      </c>
      <c r="E2948" s="187">
        <v>700</v>
      </c>
      <c r="F2948" s="187">
        <v>15000</v>
      </c>
      <c r="G2948" s="30">
        <f t="shared" si="3158"/>
        <v>2470</v>
      </c>
      <c r="H2948" s="8">
        <f t="shared" si="3158"/>
        <v>25000</v>
      </c>
      <c r="I2948" s="30">
        <f t="shared" si="3159"/>
        <v>8000</v>
      </c>
      <c r="J2948" s="187">
        <v>40000</v>
      </c>
      <c r="K2948" s="30">
        <f t="shared" si="3160"/>
        <v>8000</v>
      </c>
      <c r="L2948" s="187">
        <v>40000</v>
      </c>
      <c r="M2948" s="110">
        <v>9.5</v>
      </c>
      <c r="N2948" s="9">
        <f>VLOOKUP(DATE(YEAR(A2948),MONTH(A2948),DAY(A2948)),FY24_Temp[],3,FALSE)</f>
        <v>17.5</v>
      </c>
      <c r="O2948" s="110">
        <f t="shared" ref="O2948:O3011" si="3218">15.5-4</f>
        <v>11.5</v>
      </c>
      <c r="P2948" s="110">
        <f t="shared" ref="P2948:P3011" si="3219">15.5+4</f>
        <v>19.5</v>
      </c>
      <c r="Q2948" s="79">
        <f>VLOOKUP(VLOOKUP(DATEVALUE(TEXT(A2948,"m/d/yyyy")),FY24_Temp[],5,FALSE)&amp;TEXT(A2948,"-h"),TempDelta[],4,FALSE)</f>
        <v>0.14624999904481228</v>
      </c>
      <c r="R2948">
        <v>10</v>
      </c>
      <c r="S2948" s="112">
        <v>1500</v>
      </c>
      <c r="T2948" s="5">
        <f>VLOOKUP(TEXT(A2948,"yy-mm")&amp;"-"&amp;IF(AND(WEEKDAY(A2948)&gt;1,WEEKDAY(A2948)&lt;7),"Wkd",TEXT(A2948,"Ddd"))&amp;"-"&amp;TEXT(A2948,"hh"),LoadTable[],3,FALSE)*0.92</f>
        <v>234.80148</v>
      </c>
      <c r="U2948" s="113">
        <f t="shared" ref="U2948:U3011" si="3220">T2948/10</f>
        <v>23.480148</v>
      </c>
      <c r="V2948">
        <f t="shared" ref="V2948:W2948" si="3221">V2924</f>
        <v>3.6</v>
      </c>
      <c r="W2948">
        <f t="shared" si="3221"/>
        <v>3</v>
      </c>
      <c r="X2948" s="9">
        <v>-105.06603881667</v>
      </c>
      <c r="Y2948" s="39"/>
    </row>
    <row r="2949" spans="1:25" ht="15" thickBot="1">
      <c r="A2949" s="149">
        <f t="shared" si="3202"/>
        <v>45958.749999994834</v>
      </c>
      <c r="B2949" s="30">
        <f t="shared" si="3157"/>
        <v>5000</v>
      </c>
      <c r="C2949" s="8">
        <v>25000</v>
      </c>
      <c r="D2949" s="187">
        <v>0</v>
      </c>
      <c r="E2949" s="187">
        <v>700</v>
      </c>
      <c r="F2949" s="187">
        <v>15000</v>
      </c>
      <c r="G2949" s="30">
        <f t="shared" si="3158"/>
        <v>2470</v>
      </c>
      <c r="H2949" s="8">
        <f t="shared" si="3158"/>
        <v>25000</v>
      </c>
      <c r="I2949" s="30">
        <f t="shared" si="3159"/>
        <v>5000</v>
      </c>
      <c r="J2949" s="187">
        <v>40000</v>
      </c>
      <c r="K2949" s="30">
        <f t="shared" si="3160"/>
        <v>5000</v>
      </c>
      <c r="L2949" s="187">
        <v>40000</v>
      </c>
      <c r="M2949" s="110">
        <v>9.5</v>
      </c>
      <c r="N2949" s="9">
        <f>VLOOKUP(DATE(YEAR(A2949),MONTH(A2949),DAY(A2949)),FY24_Temp[],3,FALSE)</f>
        <v>17.5</v>
      </c>
      <c r="O2949" s="110">
        <f t="shared" si="3218"/>
        <v>11.5</v>
      </c>
      <c r="P2949" s="110">
        <f t="shared" si="3219"/>
        <v>19.5</v>
      </c>
      <c r="Q2949" s="79">
        <f>VLOOKUP(VLOOKUP(DATEVALUE(TEXT(A2949,"m/d/yyyy")),FY24_Temp[],5,FALSE)&amp;TEXT(A2949,"-h"),TempDelta[],4,FALSE)</f>
        <v>0.26487499848008156</v>
      </c>
      <c r="R2949">
        <v>10</v>
      </c>
      <c r="S2949" s="112">
        <v>1500</v>
      </c>
      <c r="T2949" s="5">
        <f>VLOOKUP(TEXT(A2949,"yy-mm")&amp;"-"&amp;IF(AND(WEEKDAY(A2949)&gt;1,WEEKDAY(A2949)&lt;7),"Wkd",TEXT(A2949,"Ddd"))&amp;"-"&amp;TEXT(A2949,"hh"),LoadTable[],3,FALSE)*0.92</f>
        <v>303.31295999999998</v>
      </c>
      <c r="U2949" s="113">
        <f t="shared" si="3220"/>
        <v>30.331295999999998</v>
      </c>
      <c r="V2949">
        <f t="shared" ref="V2949:W2949" si="3222">V2925</f>
        <v>2.9</v>
      </c>
      <c r="W2949">
        <f t="shared" si="3222"/>
        <v>3</v>
      </c>
      <c r="X2949" s="9">
        <v>-105.14383336666999</v>
      </c>
      <c r="Y2949" s="39"/>
    </row>
    <row r="2950" spans="1:25" ht="15" thickBot="1">
      <c r="A2950" s="149">
        <f t="shared" si="3202"/>
        <v>45958.791666661498</v>
      </c>
      <c r="B2950" s="30">
        <f t="shared" si="3157"/>
        <v>5000</v>
      </c>
      <c r="C2950" s="8">
        <v>25000</v>
      </c>
      <c r="D2950" s="187">
        <v>0</v>
      </c>
      <c r="E2950" s="187">
        <v>700</v>
      </c>
      <c r="F2950" s="187">
        <v>15000</v>
      </c>
      <c r="G2950" s="30">
        <f t="shared" si="3158"/>
        <v>2470</v>
      </c>
      <c r="H2950" s="8">
        <f t="shared" si="3158"/>
        <v>25000</v>
      </c>
      <c r="I2950" s="30">
        <f t="shared" si="3159"/>
        <v>5000</v>
      </c>
      <c r="J2950" s="187">
        <v>40000</v>
      </c>
      <c r="K2950" s="30">
        <f t="shared" si="3160"/>
        <v>5000</v>
      </c>
      <c r="L2950" s="187">
        <v>40000</v>
      </c>
      <c r="M2950" s="110">
        <v>9.5</v>
      </c>
      <c r="N2950" s="9">
        <f>VLOOKUP(DATE(YEAR(A2950),MONTH(A2950),DAY(A2950)),FY24_Temp[],3,FALSE)</f>
        <v>17.5</v>
      </c>
      <c r="O2950" s="110">
        <f t="shared" si="3218"/>
        <v>11.5</v>
      </c>
      <c r="P2950" s="110">
        <f t="shared" si="3219"/>
        <v>19.5</v>
      </c>
      <c r="Q2950" s="79">
        <f>VLOOKUP(VLOOKUP(DATEVALUE(TEXT(A2950,"m/d/yyyy")),FY24_Temp[],5,FALSE)&amp;TEXT(A2950,"-h"),TempDelta[],4,FALSE)</f>
        <v>0.24249999853782356</v>
      </c>
      <c r="R2950">
        <v>10</v>
      </c>
      <c r="S2950" s="112">
        <v>1500</v>
      </c>
      <c r="T2950" s="5">
        <f>VLOOKUP(TEXT(A2950,"yy-mm")&amp;"-"&amp;IF(AND(WEEKDAY(A2950)&gt;1,WEEKDAY(A2950)&lt;7),"Wkd",TEXT(A2950,"Ddd"))&amp;"-"&amp;TEXT(A2950,"hh"),LoadTable[],3,FALSE)*0.92</f>
        <v>303.31295999999998</v>
      </c>
      <c r="U2950" s="113">
        <f t="shared" si="3220"/>
        <v>30.331295999999998</v>
      </c>
      <c r="V2950">
        <f t="shared" ref="V2950:W2950" si="3223">V2926</f>
        <v>3</v>
      </c>
      <c r="W2950">
        <f t="shared" si="3223"/>
        <v>3</v>
      </c>
      <c r="X2950" s="9">
        <v>-105.22162791667</v>
      </c>
      <c r="Y2950" s="39"/>
    </row>
    <row r="2951" spans="1:25" ht="15" thickBot="1">
      <c r="A2951" s="149">
        <f t="shared" si="3202"/>
        <v>45958.833333328163</v>
      </c>
      <c r="B2951" s="30">
        <f t="shared" si="3157"/>
        <v>5000</v>
      </c>
      <c r="C2951" s="8">
        <v>25000</v>
      </c>
      <c r="D2951" s="187">
        <v>0</v>
      </c>
      <c r="E2951" s="187">
        <v>700</v>
      </c>
      <c r="F2951" s="187">
        <v>15000</v>
      </c>
      <c r="G2951" s="30">
        <f t="shared" si="3158"/>
        <v>2470</v>
      </c>
      <c r="H2951" s="8">
        <f t="shared" si="3158"/>
        <v>25000</v>
      </c>
      <c r="I2951" s="30">
        <f t="shared" si="3159"/>
        <v>5000</v>
      </c>
      <c r="J2951" s="187">
        <v>40000</v>
      </c>
      <c r="K2951" s="30">
        <f t="shared" si="3160"/>
        <v>5000</v>
      </c>
      <c r="L2951" s="187">
        <v>40000</v>
      </c>
      <c r="M2951" s="110">
        <v>9.5</v>
      </c>
      <c r="N2951" s="9">
        <f>VLOOKUP(DATE(YEAR(A2951),MONTH(A2951),DAY(A2951)),FY24_Temp[],3,FALSE)</f>
        <v>17.5</v>
      </c>
      <c r="O2951" s="110">
        <f t="shared" si="3218"/>
        <v>11.5</v>
      </c>
      <c r="P2951" s="110">
        <f t="shared" si="3219"/>
        <v>19.5</v>
      </c>
      <c r="Q2951" s="79">
        <f>VLOOKUP(VLOOKUP(DATEVALUE(TEXT(A2951,"m/d/yyyy")),FY24_Temp[],5,FALSE)&amp;TEXT(A2951,"-h"),TempDelta[],4,FALSE)</f>
        <v>0.25587500119581819</v>
      </c>
      <c r="R2951">
        <v>10</v>
      </c>
      <c r="S2951" s="112">
        <v>1500</v>
      </c>
      <c r="T2951" s="5">
        <f>VLOOKUP(TEXT(A2951,"yy-mm")&amp;"-"&amp;IF(AND(WEEKDAY(A2951)&gt;1,WEEKDAY(A2951)&lt;7),"Wkd",TEXT(A2951,"Ddd"))&amp;"-"&amp;TEXT(A2951,"hh"),LoadTable[],3,FALSE)*0.92</f>
        <v>303.31295999999998</v>
      </c>
      <c r="U2951" s="113">
        <f t="shared" si="3220"/>
        <v>30.331295999999998</v>
      </c>
      <c r="V2951">
        <f t="shared" ref="V2951:W2951" si="3224">V2927</f>
        <v>2.8</v>
      </c>
      <c r="W2951">
        <f t="shared" si="3224"/>
        <v>3.1</v>
      </c>
      <c r="X2951" s="9">
        <v>-105.29942246666999</v>
      </c>
      <c r="Y2951" s="39"/>
    </row>
    <row r="2952" spans="1:25" ht="15" thickBot="1">
      <c r="A2952" s="149">
        <f t="shared" si="3202"/>
        <v>45958.874999994827</v>
      </c>
      <c r="B2952" s="30">
        <f t="shared" si="3157"/>
        <v>5000</v>
      </c>
      <c r="C2952" s="8">
        <v>25000</v>
      </c>
      <c r="D2952" s="187">
        <v>0</v>
      </c>
      <c r="E2952" s="187">
        <v>700</v>
      </c>
      <c r="F2952" s="187">
        <v>15000</v>
      </c>
      <c r="G2952" s="30">
        <f t="shared" si="3158"/>
        <v>2470</v>
      </c>
      <c r="H2952" s="8">
        <f t="shared" si="3158"/>
        <v>25000</v>
      </c>
      <c r="I2952" s="30">
        <f t="shared" si="3159"/>
        <v>5000</v>
      </c>
      <c r="J2952" s="187">
        <v>40000</v>
      </c>
      <c r="K2952" s="30">
        <f t="shared" si="3160"/>
        <v>5000</v>
      </c>
      <c r="L2952" s="187">
        <v>40000</v>
      </c>
      <c r="M2952" s="110">
        <v>9.5</v>
      </c>
      <c r="N2952" s="9">
        <f>VLOOKUP(DATE(YEAR(A2952),MONTH(A2952),DAY(A2952)),FY24_Temp[],3,FALSE)</f>
        <v>17.5</v>
      </c>
      <c r="O2952" s="110">
        <f t="shared" si="3218"/>
        <v>11.5</v>
      </c>
      <c r="P2952" s="110">
        <f t="shared" si="3219"/>
        <v>19.5</v>
      </c>
      <c r="Q2952" s="79">
        <f>VLOOKUP(VLOOKUP(DATEVALUE(TEXT(A2952,"m/d/yyyy")),FY24_Temp[],5,FALSE)&amp;TEXT(A2952,"-h"),TempDelta[],4,FALSE)</f>
        <v>0.25137499789707363</v>
      </c>
      <c r="R2952">
        <v>10</v>
      </c>
      <c r="S2952" s="112">
        <v>1500</v>
      </c>
      <c r="T2952" s="5">
        <f>VLOOKUP(TEXT(A2952,"yy-mm")&amp;"-"&amp;IF(AND(WEEKDAY(A2952)&gt;1,WEEKDAY(A2952)&lt;7),"Wkd",TEXT(A2952,"Ddd"))&amp;"-"&amp;TEXT(A2952,"hh"),LoadTable[],3,FALSE)*0.92</f>
        <v>229.93744000000001</v>
      </c>
      <c r="U2952" s="113">
        <f t="shared" si="3220"/>
        <v>22.993744</v>
      </c>
      <c r="V2952">
        <f t="shared" ref="V2952:W2952" si="3225">V2928</f>
        <v>3.5</v>
      </c>
      <c r="W2952">
        <f t="shared" si="3225"/>
        <v>3.1</v>
      </c>
      <c r="X2952" s="9">
        <v>-105.37721701667</v>
      </c>
      <c r="Y2952" s="39"/>
    </row>
    <row r="2953" spans="1:25" ht="15" thickBot="1">
      <c r="A2953" s="149">
        <f t="shared" si="3202"/>
        <v>45958.916666661491</v>
      </c>
      <c r="B2953" s="30">
        <f t="shared" si="3157"/>
        <v>5000</v>
      </c>
      <c r="C2953" s="8">
        <v>25000</v>
      </c>
      <c r="D2953" s="187">
        <v>0</v>
      </c>
      <c r="E2953" s="187">
        <v>700</v>
      </c>
      <c r="F2953" s="187">
        <v>15000</v>
      </c>
      <c r="G2953" s="30">
        <f t="shared" si="3158"/>
        <v>2470</v>
      </c>
      <c r="H2953" s="8">
        <f t="shared" si="3158"/>
        <v>25000</v>
      </c>
      <c r="I2953" s="30">
        <f t="shared" si="3159"/>
        <v>5000</v>
      </c>
      <c r="J2953" s="187">
        <v>40000</v>
      </c>
      <c r="K2953" s="30">
        <f t="shared" si="3160"/>
        <v>5000</v>
      </c>
      <c r="L2953" s="187">
        <v>40000</v>
      </c>
      <c r="M2953" s="110">
        <v>9.5</v>
      </c>
      <c r="N2953" s="9">
        <f>VLOOKUP(DATE(YEAR(A2953),MONTH(A2953),DAY(A2953)),FY24_Temp[],3,FALSE)</f>
        <v>17.5</v>
      </c>
      <c r="O2953" s="110">
        <f t="shared" si="3218"/>
        <v>11.5</v>
      </c>
      <c r="P2953" s="110">
        <f t="shared" si="3219"/>
        <v>19.5</v>
      </c>
      <c r="Q2953" s="79">
        <f>VLOOKUP(VLOOKUP(DATEVALUE(TEXT(A2953,"m/d/yyyy")),FY24_Temp[],5,FALSE)&amp;TEXT(A2953,"-h"),TempDelta[],4,FALSE)</f>
        <v>0.48149999231100082</v>
      </c>
      <c r="R2953">
        <v>10</v>
      </c>
      <c r="S2953" s="112">
        <v>1500</v>
      </c>
      <c r="T2953" s="5">
        <f>VLOOKUP(TEXT(A2953,"yy-mm")&amp;"-"&amp;IF(AND(WEEKDAY(A2953)&gt;1,WEEKDAY(A2953)&lt;7),"Wkd",TEXT(A2953,"Ddd"))&amp;"-"&amp;TEXT(A2953,"hh"),LoadTable[],3,FALSE)*0.92</f>
        <v>176.52040000000002</v>
      </c>
      <c r="U2953" s="113">
        <f t="shared" si="3220"/>
        <v>17.652040000000003</v>
      </c>
      <c r="V2953">
        <f t="shared" ref="V2953:W2953" si="3226">V2929</f>
        <v>2.9</v>
      </c>
      <c r="W2953">
        <f t="shared" si="3226"/>
        <v>3.1</v>
      </c>
      <c r="X2953" s="9">
        <v>-105.45501156667</v>
      </c>
      <c r="Y2953" s="39"/>
    </row>
    <row r="2954" spans="1:25" ht="15" thickBot="1">
      <c r="A2954" s="149">
        <f t="shared" si="3202"/>
        <v>45958.958333328155</v>
      </c>
      <c r="B2954" s="30">
        <f t="shared" si="3157"/>
        <v>5000</v>
      </c>
      <c r="C2954" s="8">
        <v>25000</v>
      </c>
      <c r="D2954" s="187">
        <v>0</v>
      </c>
      <c r="E2954" s="187">
        <v>700</v>
      </c>
      <c r="F2954" s="187">
        <v>15000</v>
      </c>
      <c r="G2954" s="30">
        <f t="shared" si="3158"/>
        <v>2470</v>
      </c>
      <c r="H2954" s="8">
        <f t="shared" si="3158"/>
        <v>25000</v>
      </c>
      <c r="I2954" s="30">
        <f t="shared" si="3159"/>
        <v>5000</v>
      </c>
      <c r="J2954" s="187">
        <v>40000</v>
      </c>
      <c r="K2954" s="30">
        <f t="shared" si="3160"/>
        <v>5000</v>
      </c>
      <c r="L2954" s="187">
        <v>40000</v>
      </c>
      <c r="M2954" s="110">
        <v>9.5</v>
      </c>
      <c r="N2954" s="9">
        <f>VLOOKUP(DATE(YEAR(A2954),MONTH(A2954),DAY(A2954)),FY24_Temp[],3,FALSE)</f>
        <v>17.5</v>
      </c>
      <c r="O2954" s="110">
        <f t="shared" si="3218"/>
        <v>11.5</v>
      </c>
      <c r="P2954" s="110">
        <f t="shared" si="3219"/>
        <v>19.5</v>
      </c>
      <c r="Q2954" s="79">
        <f>VLOOKUP(VLOOKUP(DATEVALUE(TEXT(A2954,"m/d/yyyy")),FY24_Temp[],5,FALSE)&amp;TEXT(A2954,"-h"),TempDelta[],4,FALSE)</f>
        <v>0.60849998891353607</v>
      </c>
      <c r="R2954">
        <v>10</v>
      </c>
      <c r="S2954" s="112">
        <v>1500</v>
      </c>
      <c r="T2954" s="5">
        <f>VLOOKUP(TEXT(A2954,"yy-mm")&amp;"-"&amp;IF(AND(WEEKDAY(A2954)&gt;1,WEEKDAY(A2954)&lt;7),"Wkd",TEXT(A2954,"Ddd"))&amp;"-"&amp;TEXT(A2954,"hh"),LoadTable[],3,FALSE)*0.92</f>
        <v>176.52040000000002</v>
      </c>
      <c r="U2954" s="113">
        <f t="shared" si="3220"/>
        <v>17.652040000000003</v>
      </c>
      <c r="V2954">
        <f t="shared" ref="V2954:W2954" si="3227">V2930</f>
        <v>3.6</v>
      </c>
      <c r="W2954">
        <f t="shared" si="3227"/>
        <v>3.1</v>
      </c>
      <c r="X2954" s="9">
        <v>-105.53280611667</v>
      </c>
      <c r="Y2954" s="39"/>
    </row>
    <row r="2955" spans="1:25" ht="15" thickBot="1">
      <c r="A2955" s="149">
        <f t="shared" si="3202"/>
        <v>45958.99999999482</v>
      </c>
      <c r="B2955" s="30">
        <f t="shared" si="3157"/>
        <v>5000</v>
      </c>
      <c r="C2955" s="8">
        <v>25000</v>
      </c>
      <c r="D2955" s="187">
        <v>0</v>
      </c>
      <c r="E2955" s="187">
        <v>700</v>
      </c>
      <c r="F2955" s="187">
        <v>15000</v>
      </c>
      <c r="G2955" s="30">
        <f t="shared" si="3158"/>
        <v>2470</v>
      </c>
      <c r="H2955" s="8">
        <f t="shared" si="3158"/>
        <v>25000</v>
      </c>
      <c r="I2955" s="30">
        <f t="shared" si="3159"/>
        <v>5000</v>
      </c>
      <c r="J2955" s="187">
        <v>40000</v>
      </c>
      <c r="K2955" s="30">
        <f t="shared" si="3160"/>
        <v>5000</v>
      </c>
      <c r="L2955" s="187">
        <v>40000</v>
      </c>
      <c r="M2955" s="110">
        <v>9.5</v>
      </c>
      <c r="N2955" s="9">
        <f>VLOOKUP(DATE(YEAR(A2955),MONTH(A2955),DAY(A2955)),FY24_Temp[],3,FALSE)</f>
        <v>17.5</v>
      </c>
      <c r="O2955" s="110">
        <f t="shared" si="3218"/>
        <v>11.5</v>
      </c>
      <c r="P2955" s="110">
        <f t="shared" si="3219"/>
        <v>19.5</v>
      </c>
      <c r="Q2955" s="79">
        <f>VLOOKUP(VLOOKUP(DATEVALUE(TEXT(A2955,"m/d/yyyy")),FY24_Temp[],5,FALSE)&amp;TEXT(A2955,"-h"),TempDelta[],4,FALSE)</f>
        <v>0.73420000076293945</v>
      </c>
      <c r="R2955">
        <v>10</v>
      </c>
      <c r="S2955" s="112">
        <v>1500</v>
      </c>
      <c r="T2955" s="5">
        <f>VLOOKUP(TEXT(A2955,"yy-mm")&amp;"-"&amp;IF(AND(WEEKDAY(A2955)&gt;1,WEEKDAY(A2955)&lt;7),"Wkd",TEXT(A2955,"Ddd"))&amp;"-"&amp;TEXT(A2955,"hh"),LoadTable[],3,FALSE)*0.92</f>
        <v>209.6772</v>
      </c>
      <c r="U2955" s="113">
        <f t="shared" si="3220"/>
        <v>20.96772</v>
      </c>
      <c r="V2955">
        <f t="shared" ref="V2955:W2955" si="3228">V2931</f>
        <v>3</v>
      </c>
      <c r="W2955">
        <f t="shared" si="3228"/>
        <v>3.2</v>
      </c>
      <c r="X2955" s="9">
        <v>-105.61060066667</v>
      </c>
      <c r="Y2955" s="39"/>
    </row>
    <row r="2956" spans="1:25" ht="15" thickBot="1">
      <c r="A2956" s="149">
        <f t="shared" si="3202"/>
        <v>45959.041666661484</v>
      </c>
      <c r="B2956" s="30">
        <f t="shared" ref="B2956:B3019" si="3229">B2932</f>
        <v>5000</v>
      </c>
      <c r="C2956" s="8">
        <v>25000</v>
      </c>
      <c r="D2956" s="187">
        <v>0</v>
      </c>
      <c r="E2956" s="187">
        <v>700</v>
      </c>
      <c r="F2956" s="187">
        <v>15000</v>
      </c>
      <c r="G2956" s="30">
        <f t="shared" ref="G2956:H3019" si="3230">G2932</f>
        <v>2470</v>
      </c>
      <c r="H2956" s="8">
        <f t="shared" si="3230"/>
        <v>25000</v>
      </c>
      <c r="I2956" s="30">
        <f t="shared" ref="I2956:I3019" si="3231">I2932</f>
        <v>5000</v>
      </c>
      <c r="J2956" s="187">
        <v>40000</v>
      </c>
      <c r="K2956" s="30">
        <f t="shared" ref="K2956:K3019" si="3232">K2932</f>
        <v>5000</v>
      </c>
      <c r="L2956" s="187">
        <v>40000</v>
      </c>
      <c r="M2956" s="110">
        <v>9.5</v>
      </c>
      <c r="N2956" s="9">
        <f>VLOOKUP(DATE(YEAR(A2956),MONTH(A2956),DAY(A2956)),FY24_Temp[],3,FALSE)</f>
        <v>17.5</v>
      </c>
      <c r="O2956" s="110">
        <f t="shared" si="3218"/>
        <v>11.5</v>
      </c>
      <c r="P2956" s="110">
        <f t="shared" si="3219"/>
        <v>19.5</v>
      </c>
      <c r="Q2956" s="79">
        <f>VLOOKUP(VLOOKUP(DATEVALUE(TEXT(A2956,"m/d/yyyy")),FY24_Temp[],5,FALSE)&amp;TEXT(A2956,"-h"),TempDelta[],4,FALSE)</f>
        <v>0.69179999828338623</v>
      </c>
      <c r="R2956">
        <v>10</v>
      </c>
      <c r="S2956" s="112">
        <v>1500</v>
      </c>
      <c r="T2956" s="5">
        <f>VLOOKUP(TEXT(A2956,"yy-mm")&amp;"-"&amp;IF(AND(WEEKDAY(A2956)&gt;1,WEEKDAY(A2956)&lt;7),"Wkd",TEXT(A2956,"Ddd"))&amp;"-"&amp;TEXT(A2956,"hh"),LoadTable[],3,FALSE)*0.92</f>
        <v>209.6772</v>
      </c>
      <c r="U2956" s="113">
        <f t="shared" si="3220"/>
        <v>20.96772</v>
      </c>
      <c r="V2956">
        <f t="shared" ref="V2956:W2956" si="3233">V2932</f>
        <v>2.6</v>
      </c>
      <c r="W2956">
        <f t="shared" si="3233"/>
        <v>3.2</v>
      </c>
      <c r="X2956" s="9">
        <v>-105.68839521667</v>
      </c>
      <c r="Y2956" s="39"/>
    </row>
    <row r="2957" spans="1:25" ht="15" thickBot="1">
      <c r="A2957" s="149">
        <f t="shared" si="3202"/>
        <v>45959.083333328148</v>
      </c>
      <c r="B2957" s="30">
        <f t="shared" si="3229"/>
        <v>5000</v>
      </c>
      <c r="C2957" s="8">
        <v>25000</v>
      </c>
      <c r="D2957" s="187">
        <v>0</v>
      </c>
      <c r="E2957" s="187">
        <v>700</v>
      </c>
      <c r="F2957" s="187">
        <v>15000</v>
      </c>
      <c r="G2957" s="30">
        <f t="shared" si="3230"/>
        <v>2470</v>
      </c>
      <c r="H2957" s="8">
        <f t="shared" si="3230"/>
        <v>25000</v>
      </c>
      <c r="I2957" s="30">
        <f t="shared" si="3231"/>
        <v>5000</v>
      </c>
      <c r="J2957" s="187">
        <v>40000</v>
      </c>
      <c r="K2957" s="30">
        <f t="shared" si="3232"/>
        <v>5000</v>
      </c>
      <c r="L2957" s="187">
        <v>40000</v>
      </c>
      <c r="M2957" s="110">
        <v>9.5</v>
      </c>
      <c r="N2957" s="9">
        <f>VLOOKUP(DATE(YEAR(A2957),MONTH(A2957),DAY(A2957)),FY24_Temp[],3,FALSE)</f>
        <v>17.5</v>
      </c>
      <c r="O2957" s="110">
        <f t="shared" si="3218"/>
        <v>11.5</v>
      </c>
      <c r="P2957" s="110">
        <f t="shared" si="3219"/>
        <v>19.5</v>
      </c>
      <c r="Q2957" s="79">
        <f>VLOOKUP(VLOOKUP(DATEVALUE(TEXT(A2957,"m/d/yyyy")),FY24_Temp[],5,FALSE)&amp;TEXT(A2957,"-h"),TempDelta[],4,FALSE)</f>
        <v>0.64100000262260437</v>
      </c>
      <c r="R2957">
        <v>10</v>
      </c>
      <c r="S2957" s="112">
        <v>1500</v>
      </c>
      <c r="T2957" s="5">
        <f>VLOOKUP(TEXT(A2957,"yy-mm")&amp;"-"&amp;IF(AND(WEEKDAY(A2957)&gt;1,WEEKDAY(A2957)&lt;7),"Wkd",TEXT(A2957,"Ddd"))&amp;"-"&amp;TEXT(A2957,"hh"),LoadTable[],3,FALSE)*0.92</f>
        <v>209.6772</v>
      </c>
      <c r="U2957" s="113">
        <f t="shared" si="3220"/>
        <v>20.96772</v>
      </c>
      <c r="V2957">
        <f t="shared" ref="V2957:W2957" si="3234">V2933</f>
        <v>2.8</v>
      </c>
      <c r="W2957">
        <f t="shared" si="3234"/>
        <v>3.2</v>
      </c>
      <c r="X2957" s="9">
        <v>-105.76618976667</v>
      </c>
      <c r="Y2957" s="39"/>
    </row>
    <row r="2958" spans="1:25" ht="15" thickBot="1">
      <c r="A2958" s="149">
        <f t="shared" si="3202"/>
        <v>45959.124999994812</v>
      </c>
      <c r="B2958" s="30">
        <f t="shared" si="3229"/>
        <v>5000</v>
      </c>
      <c r="C2958" s="8">
        <v>25000</v>
      </c>
      <c r="D2958" s="187">
        <v>0</v>
      </c>
      <c r="E2958" s="187">
        <v>700</v>
      </c>
      <c r="F2958" s="187">
        <v>15000</v>
      </c>
      <c r="G2958" s="30">
        <f t="shared" si="3230"/>
        <v>2470</v>
      </c>
      <c r="H2958" s="8">
        <f t="shared" si="3230"/>
        <v>25000</v>
      </c>
      <c r="I2958" s="30">
        <f t="shared" si="3231"/>
        <v>5000</v>
      </c>
      <c r="J2958" s="187">
        <v>40000</v>
      </c>
      <c r="K2958" s="30">
        <f t="shared" si="3232"/>
        <v>5000</v>
      </c>
      <c r="L2958" s="187">
        <v>40000</v>
      </c>
      <c r="M2958" s="110">
        <v>9.5</v>
      </c>
      <c r="N2958" s="9">
        <f>VLOOKUP(DATE(YEAR(A2958),MONTH(A2958),DAY(A2958)),FY24_Temp[],3,FALSE)</f>
        <v>17.5</v>
      </c>
      <c r="O2958" s="110">
        <f t="shared" si="3218"/>
        <v>11.5</v>
      </c>
      <c r="P2958" s="110">
        <f t="shared" si="3219"/>
        <v>19.5</v>
      </c>
      <c r="Q2958" s="79">
        <f>VLOOKUP(VLOOKUP(DATEVALUE(TEXT(A2958,"m/d/yyyy")),FY24_Temp[],5,FALSE)&amp;TEXT(A2958,"-h"),TempDelta[],4,FALSE)</f>
        <v>0.53599998354911804</v>
      </c>
      <c r="R2958">
        <v>10</v>
      </c>
      <c r="S2958" s="112">
        <v>1500</v>
      </c>
      <c r="T2958" s="5">
        <f>VLOOKUP(TEXT(A2958,"yy-mm")&amp;"-"&amp;IF(AND(WEEKDAY(A2958)&gt;1,WEEKDAY(A2958)&lt;7),"Wkd",TEXT(A2958,"Ddd"))&amp;"-"&amp;TEXT(A2958,"hh"),LoadTable[],3,FALSE)*0.92</f>
        <v>209.6772</v>
      </c>
      <c r="U2958" s="113">
        <f t="shared" si="3220"/>
        <v>20.96772</v>
      </c>
      <c r="V2958">
        <f t="shared" ref="V2958:W2958" si="3235">V2934</f>
        <v>2.7</v>
      </c>
      <c r="W2958">
        <f t="shared" si="3235"/>
        <v>3.2</v>
      </c>
      <c r="X2958" s="9">
        <v>-105.84398431667</v>
      </c>
      <c r="Y2958" s="39"/>
    </row>
    <row r="2959" spans="1:25" ht="15" thickBot="1">
      <c r="A2959" s="149">
        <f t="shared" si="3202"/>
        <v>45959.166666661476</v>
      </c>
      <c r="B2959" s="30">
        <f t="shared" si="3229"/>
        <v>5000</v>
      </c>
      <c r="C2959" s="8">
        <v>25000</v>
      </c>
      <c r="D2959" s="187">
        <v>0</v>
      </c>
      <c r="E2959" s="187">
        <v>700</v>
      </c>
      <c r="F2959" s="187">
        <v>15000</v>
      </c>
      <c r="G2959" s="30">
        <f t="shared" si="3230"/>
        <v>2470</v>
      </c>
      <c r="H2959" s="8">
        <f t="shared" si="3230"/>
        <v>25000</v>
      </c>
      <c r="I2959" s="30">
        <f t="shared" si="3231"/>
        <v>5000</v>
      </c>
      <c r="J2959" s="187">
        <v>40000</v>
      </c>
      <c r="K2959" s="30">
        <f t="shared" si="3232"/>
        <v>5000</v>
      </c>
      <c r="L2959" s="187">
        <v>40000</v>
      </c>
      <c r="M2959" s="110">
        <v>9.5</v>
      </c>
      <c r="N2959" s="9">
        <f>VLOOKUP(DATE(YEAR(A2959),MONTH(A2959),DAY(A2959)),FY24_Temp[],3,FALSE)</f>
        <v>17.5</v>
      </c>
      <c r="O2959" s="110">
        <f t="shared" si="3218"/>
        <v>11.5</v>
      </c>
      <c r="P2959" s="110">
        <f t="shared" si="3219"/>
        <v>19.5</v>
      </c>
      <c r="Q2959" s="79">
        <f>VLOOKUP(VLOOKUP(DATEVALUE(TEXT(A2959,"m/d/yyyy")),FY24_Temp[],5,FALSE)&amp;TEXT(A2959,"-h"),TempDelta[],4,FALSE)</f>
        <v>0.43825000524520874</v>
      </c>
      <c r="R2959">
        <v>10</v>
      </c>
      <c r="S2959" s="112">
        <v>1500</v>
      </c>
      <c r="T2959" s="5">
        <f>VLOOKUP(TEXT(A2959,"yy-mm")&amp;"-"&amp;IF(AND(WEEKDAY(A2959)&gt;1,WEEKDAY(A2959)&lt;7),"Wkd",TEXT(A2959,"Ddd"))&amp;"-"&amp;TEXT(A2959,"hh"),LoadTable[],3,FALSE)*0.92</f>
        <v>209.6772</v>
      </c>
      <c r="U2959" s="113">
        <f t="shared" si="3220"/>
        <v>20.96772</v>
      </c>
      <c r="V2959">
        <f t="shared" ref="V2959:W2959" si="3236">V2935</f>
        <v>3</v>
      </c>
      <c r="W2959">
        <f t="shared" si="3236"/>
        <v>3.1</v>
      </c>
      <c r="X2959" s="9">
        <v>-105.92177886667</v>
      </c>
      <c r="Y2959" s="39"/>
    </row>
    <row r="2960" spans="1:25" ht="15" thickBot="1">
      <c r="A2960" s="149">
        <f t="shared" si="3202"/>
        <v>45959.208333328141</v>
      </c>
      <c r="B2960" s="30">
        <f t="shared" si="3229"/>
        <v>5000</v>
      </c>
      <c r="C2960" s="8">
        <v>25000</v>
      </c>
      <c r="D2960" s="187">
        <v>0</v>
      </c>
      <c r="E2960" s="187">
        <v>700</v>
      </c>
      <c r="F2960" s="187">
        <v>15000</v>
      </c>
      <c r="G2960" s="30">
        <f t="shared" si="3230"/>
        <v>2470</v>
      </c>
      <c r="H2960" s="8">
        <f t="shared" si="3230"/>
        <v>25000</v>
      </c>
      <c r="I2960" s="30">
        <f t="shared" si="3231"/>
        <v>5000</v>
      </c>
      <c r="J2960" s="187">
        <v>40000</v>
      </c>
      <c r="K2960" s="30">
        <f t="shared" si="3232"/>
        <v>5000</v>
      </c>
      <c r="L2960" s="187">
        <v>40000</v>
      </c>
      <c r="M2960" s="110">
        <v>9.5</v>
      </c>
      <c r="N2960" s="9">
        <f>VLOOKUP(DATE(YEAR(A2960),MONTH(A2960),DAY(A2960)),FY24_Temp[],3,FALSE)</f>
        <v>17.5</v>
      </c>
      <c r="O2960" s="110">
        <f t="shared" si="3218"/>
        <v>11.5</v>
      </c>
      <c r="P2960" s="110">
        <f t="shared" si="3219"/>
        <v>19.5</v>
      </c>
      <c r="Q2960" s="79">
        <f>VLOOKUP(VLOOKUP(DATEVALUE(TEXT(A2960,"m/d/yyyy")),FY24_Temp[],5,FALSE)&amp;TEXT(A2960,"-h"),TempDelta[],4,FALSE)</f>
        <v>0.42975000292062759</v>
      </c>
      <c r="R2960">
        <v>10</v>
      </c>
      <c r="S2960" s="112">
        <v>1500</v>
      </c>
      <c r="T2960" s="5">
        <f>VLOOKUP(TEXT(A2960,"yy-mm")&amp;"-"&amp;IF(AND(WEEKDAY(A2960)&gt;1,WEEKDAY(A2960)&lt;7),"Wkd",TEXT(A2960,"Ddd"))&amp;"-"&amp;TEXT(A2960,"hh"),LoadTable[],3,FALSE)*0.92</f>
        <v>209.6772</v>
      </c>
      <c r="U2960" s="113">
        <f t="shared" si="3220"/>
        <v>20.96772</v>
      </c>
      <c r="V2960">
        <f t="shared" ref="V2960:W2960" si="3237">V2936</f>
        <v>2.9</v>
      </c>
      <c r="W2960">
        <f t="shared" si="3237"/>
        <v>3.1</v>
      </c>
      <c r="X2960" s="9">
        <v>-105.99957341667</v>
      </c>
      <c r="Y2960" s="39"/>
    </row>
    <row r="2961" spans="1:25" ht="15" thickBot="1">
      <c r="A2961" s="149">
        <f t="shared" si="3202"/>
        <v>45959.249999994805</v>
      </c>
      <c r="B2961" s="30">
        <f t="shared" si="3229"/>
        <v>8000</v>
      </c>
      <c r="C2961" s="8">
        <v>25000</v>
      </c>
      <c r="D2961" s="187">
        <v>0</v>
      </c>
      <c r="E2961" s="187">
        <v>700</v>
      </c>
      <c r="F2961" s="187">
        <v>15000</v>
      </c>
      <c r="G2961" s="30">
        <f t="shared" si="3230"/>
        <v>2470</v>
      </c>
      <c r="H2961" s="8">
        <f t="shared" si="3230"/>
        <v>25000</v>
      </c>
      <c r="I2961" s="30">
        <f t="shared" si="3231"/>
        <v>8000</v>
      </c>
      <c r="J2961" s="187">
        <v>40000</v>
      </c>
      <c r="K2961" s="30">
        <f t="shared" si="3232"/>
        <v>8000</v>
      </c>
      <c r="L2961" s="187">
        <v>40000</v>
      </c>
      <c r="M2961" s="110">
        <v>9.5</v>
      </c>
      <c r="N2961" s="9">
        <f>VLOOKUP(DATE(YEAR(A2961),MONTH(A2961),DAY(A2961)),FY24_Temp[],3,FALSE)</f>
        <v>17.5</v>
      </c>
      <c r="O2961" s="110">
        <f t="shared" si="3218"/>
        <v>11.5</v>
      </c>
      <c r="P2961" s="110">
        <f t="shared" si="3219"/>
        <v>19.5</v>
      </c>
      <c r="Q2961" s="79">
        <f>VLOOKUP(VLOOKUP(DATEVALUE(TEXT(A2961,"m/d/yyyy")),FY24_Temp[],5,FALSE)&amp;TEXT(A2961,"-h"),TempDelta[],4,FALSE)</f>
        <v>0.32200000062584877</v>
      </c>
      <c r="R2961">
        <v>10</v>
      </c>
      <c r="S2961" s="112">
        <v>1500</v>
      </c>
      <c r="T2961" s="5">
        <f>VLOOKUP(TEXT(A2961,"yy-mm")&amp;"-"&amp;IF(AND(WEEKDAY(A2961)&gt;1,WEEKDAY(A2961)&lt;7),"Wkd",TEXT(A2961,"Ddd"))&amp;"-"&amp;TEXT(A2961,"hh"),LoadTable[],3,FALSE)*0.92</f>
        <v>209.6772</v>
      </c>
      <c r="U2961" s="113">
        <f t="shared" si="3220"/>
        <v>20.96772</v>
      </c>
      <c r="V2961">
        <f t="shared" ref="V2961:W2961" si="3238">V2937</f>
        <v>2.5</v>
      </c>
      <c r="W2961">
        <f t="shared" si="3238"/>
        <v>3.1</v>
      </c>
      <c r="X2961" s="9">
        <v>-106.07736796667</v>
      </c>
      <c r="Y2961" s="39"/>
    </row>
    <row r="2962" spans="1:25" ht="15" thickBot="1">
      <c r="A2962" s="149">
        <f t="shared" si="3202"/>
        <v>45959.291666661469</v>
      </c>
      <c r="B2962" s="30">
        <f t="shared" si="3229"/>
        <v>8000</v>
      </c>
      <c r="C2962" s="8">
        <v>25000</v>
      </c>
      <c r="D2962" s="187">
        <v>0</v>
      </c>
      <c r="E2962" s="187">
        <v>700</v>
      </c>
      <c r="F2962" s="187">
        <v>15000</v>
      </c>
      <c r="G2962" s="30">
        <f t="shared" si="3230"/>
        <v>2470</v>
      </c>
      <c r="H2962" s="8">
        <f t="shared" si="3230"/>
        <v>25000</v>
      </c>
      <c r="I2962" s="30">
        <f t="shared" si="3231"/>
        <v>8000</v>
      </c>
      <c r="J2962" s="187">
        <v>40000</v>
      </c>
      <c r="K2962" s="30">
        <f t="shared" si="3232"/>
        <v>8000</v>
      </c>
      <c r="L2962" s="187">
        <v>40000</v>
      </c>
      <c r="M2962" s="110">
        <v>9.5</v>
      </c>
      <c r="N2962" s="9">
        <f>VLOOKUP(DATE(YEAR(A2962),MONTH(A2962),DAY(A2962)),FY24_Temp[],3,FALSE)</f>
        <v>17.5</v>
      </c>
      <c r="O2962" s="110">
        <f t="shared" si="3218"/>
        <v>11.5</v>
      </c>
      <c r="P2962" s="110">
        <f t="shared" si="3219"/>
        <v>19.5</v>
      </c>
      <c r="Q2962" s="79">
        <f>VLOOKUP(VLOOKUP(DATEVALUE(TEXT(A2962,"m/d/yyyy")),FY24_Temp[],5,FALSE)&amp;TEXT(A2962,"-h"),TempDelta[],4,FALSE)</f>
        <v>0.13774999789893627</v>
      </c>
      <c r="R2962">
        <v>10</v>
      </c>
      <c r="S2962" s="112">
        <v>1500</v>
      </c>
      <c r="T2962" s="5">
        <f>VLOOKUP(TEXT(A2962,"yy-mm")&amp;"-"&amp;IF(AND(WEEKDAY(A2962)&gt;1,WEEKDAY(A2962)&lt;7),"Wkd",TEXT(A2962,"Ddd"))&amp;"-"&amp;TEXT(A2962,"hh"),LoadTable[],3,FALSE)*0.92</f>
        <v>234.80148</v>
      </c>
      <c r="U2962" s="113">
        <f t="shared" si="3220"/>
        <v>23.480148</v>
      </c>
      <c r="V2962">
        <f t="shared" ref="V2962:W2962" si="3239">V2938</f>
        <v>2.5</v>
      </c>
      <c r="W2962">
        <f t="shared" si="3239"/>
        <v>3.1</v>
      </c>
      <c r="X2962" s="9">
        <v>-106.15516251667</v>
      </c>
      <c r="Y2962" s="39"/>
    </row>
    <row r="2963" spans="1:25" ht="15" thickBot="1">
      <c r="A2963" s="149">
        <f t="shared" si="3202"/>
        <v>45959.333333328133</v>
      </c>
      <c r="B2963" s="30">
        <f t="shared" si="3229"/>
        <v>8000</v>
      </c>
      <c r="C2963" s="8">
        <v>25000</v>
      </c>
      <c r="D2963" s="187">
        <v>0</v>
      </c>
      <c r="E2963" s="187">
        <v>700</v>
      </c>
      <c r="F2963" s="187">
        <v>15000</v>
      </c>
      <c r="G2963" s="30">
        <f t="shared" si="3230"/>
        <v>2470</v>
      </c>
      <c r="H2963" s="8">
        <f t="shared" si="3230"/>
        <v>25000</v>
      </c>
      <c r="I2963" s="30">
        <f t="shared" si="3231"/>
        <v>8000</v>
      </c>
      <c r="J2963" s="187">
        <v>40000</v>
      </c>
      <c r="K2963" s="30">
        <f t="shared" si="3232"/>
        <v>8000</v>
      </c>
      <c r="L2963" s="187">
        <v>40000</v>
      </c>
      <c r="M2963" s="110">
        <v>9.5</v>
      </c>
      <c r="N2963" s="9">
        <f>VLOOKUP(DATE(YEAR(A2963),MONTH(A2963),DAY(A2963)),FY24_Temp[],3,FALSE)</f>
        <v>17.5</v>
      </c>
      <c r="O2963" s="110">
        <f t="shared" si="3218"/>
        <v>11.5</v>
      </c>
      <c r="P2963" s="110">
        <f t="shared" si="3219"/>
        <v>19.5</v>
      </c>
      <c r="Q2963" s="79">
        <f>VLOOKUP(VLOOKUP(DATEVALUE(TEXT(A2963,"m/d/yyyy")),FY24_Temp[],5,FALSE)&amp;TEXT(A2963,"-h"),TempDelta[],4,FALSE)</f>
        <v>2.8249999275431037E-2</v>
      </c>
      <c r="R2963">
        <v>10</v>
      </c>
      <c r="S2963" s="112">
        <v>1500</v>
      </c>
      <c r="T2963" s="5">
        <f>VLOOKUP(TEXT(A2963,"yy-mm")&amp;"-"&amp;IF(AND(WEEKDAY(A2963)&gt;1,WEEKDAY(A2963)&lt;7),"Wkd",TEXT(A2963,"Ddd"))&amp;"-"&amp;TEXT(A2963,"hh"),LoadTable[],3,FALSE)*0.92</f>
        <v>234.80148</v>
      </c>
      <c r="U2963" s="113">
        <f t="shared" si="3220"/>
        <v>23.480148</v>
      </c>
      <c r="V2963">
        <f t="shared" ref="V2963:W2963" si="3240">V2939</f>
        <v>3.2</v>
      </c>
      <c r="W2963">
        <f t="shared" si="3240"/>
        <v>3</v>
      </c>
      <c r="X2963" s="9">
        <v>-106.23295706667</v>
      </c>
      <c r="Y2963" s="39"/>
    </row>
    <row r="2964" spans="1:25" ht="15" thickBot="1">
      <c r="A2964" s="149">
        <f t="shared" si="3202"/>
        <v>45959.374999994798</v>
      </c>
      <c r="B2964" s="30">
        <f t="shared" si="3229"/>
        <v>8000</v>
      </c>
      <c r="C2964" s="8">
        <v>25000</v>
      </c>
      <c r="D2964" s="187">
        <v>0</v>
      </c>
      <c r="E2964" s="187">
        <v>700</v>
      </c>
      <c r="F2964" s="187">
        <v>15000</v>
      </c>
      <c r="G2964" s="30">
        <f t="shared" si="3230"/>
        <v>2470</v>
      </c>
      <c r="H2964" s="8">
        <f t="shared" si="3230"/>
        <v>25000</v>
      </c>
      <c r="I2964" s="30">
        <f t="shared" si="3231"/>
        <v>8000</v>
      </c>
      <c r="J2964" s="187">
        <v>40000</v>
      </c>
      <c r="K2964" s="30">
        <f t="shared" si="3232"/>
        <v>8000</v>
      </c>
      <c r="L2964" s="187">
        <v>40000</v>
      </c>
      <c r="M2964" s="110">
        <v>9.5</v>
      </c>
      <c r="N2964" s="9">
        <f>VLOOKUP(DATE(YEAR(A2964),MONTH(A2964),DAY(A2964)),FY24_Temp[],3,FALSE)</f>
        <v>17.5</v>
      </c>
      <c r="O2964" s="110">
        <f t="shared" si="3218"/>
        <v>11.5</v>
      </c>
      <c r="P2964" s="110">
        <f t="shared" si="3219"/>
        <v>19.5</v>
      </c>
      <c r="Q2964" s="79">
        <f>VLOOKUP(VLOOKUP(DATEVALUE(TEXT(A2964,"m/d/yyyy")),FY24_Temp[],5,FALSE)&amp;TEXT(A2964,"-h"),TempDelta[],4,FALSE)</f>
        <v>-5.3000001236796379E-2</v>
      </c>
      <c r="R2964">
        <v>10</v>
      </c>
      <c r="S2964" s="112">
        <v>1500</v>
      </c>
      <c r="T2964" s="5">
        <f>VLOOKUP(TEXT(A2964,"yy-mm")&amp;"-"&amp;IF(AND(WEEKDAY(A2964)&gt;1,WEEKDAY(A2964)&lt;7),"Wkd",TEXT(A2964,"Ddd"))&amp;"-"&amp;TEXT(A2964,"hh"),LoadTable[],3,FALSE)*0.92</f>
        <v>234.80148</v>
      </c>
      <c r="U2964" s="113">
        <f t="shared" si="3220"/>
        <v>23.480148</v>
      </c>
      <c r="V2964">
        <f t="shared" ref="V2964:W2964" si="3241">V2940</f>
        <v>2.9</v>
      </c>
      <c r="W2964">
        <f t="shared" si="3241"/>
        <v>3</v>
      </c>
      <c r="X2964" s="9">
        <v>-106.31075161667</v>
      </c>
      <c r="Y2964" s="39"/>
    </row>
    <row r="2965" spans="1:25" ht="15" thickBot="1">
      <c r="A2965" s="149">
        <f t="shared" si="3202"/>
        <v>45959.416666661462</v>
      </c>
      <c r="B2965" s="30">
        <f t="shared" si="3229"/>
        <v>8000</v>
      </c>
      <c r="C2965" s="8">
        <v>25000</v>
      </c>
      <c r="D2965" s="187">
        <v>0</v>
      </c>
      <c r="E2965" s="187">
        <v>700</v>
      </c>
      <c r="F2965" s="187">
        <v>15000</v>
      </c>
      <c r="G2965" s="30">
        <f t="shared" si="3230"/>
        <v>2470</v>
      </c>
      <c r="H2965" s="8">
        <f t="shared" si="3230"/>
        <v>25000</v>
      </c>
      <c r="I2965" s="30">
        <f t="shared" si="3231"/>
        <v>8000</v>
      </c>
      <c r="J2965" s="187">
        <v>40000</v>
      </c>
      <c r="K2965" s="30">
        <f t="shared" si="3232"/>
        <v>8000</v>
      </c>
      <c r="L2965" s="187">
        <v>40000</v>
      </c>
      <c r="M2965" s="110">
        <v>9.5</v>
      </c>
      <c r="N2965" s="9">
        <f>VLOOKUP(DATE(YEAR(A2965),MONTH(A2965),DAY(A2965)),FY24_Temp[],3,FALSE)</f>
        <v>17.5</v>
      </c>
      <c r="O2965" s="110">
        <f t="shared" si="3218"/>
        <v>11.5</v>
      </c>
      <c r="P2965" s="110">
        <f t="shared" si="3219"/>
        <v>19.5</v>
      </c>
      <c r="Q2965" s="79">
        <f>VLOOKUP(VLOOKUP(DATEVALUE(TEXT(A2965,"m/d/yyyy")),FY24_Temp[],5,FALSE)&amp;TEXT(A2965,"-h"),TempDelta[],4,FALSE)</f>
        <v>-0.13824999803910032</v>
      </c>
      <c r="R2965">
        <v>10</v>
      </c>
      <c r="S2965" s="112">
        <v>1500</v>
      </c>
      <c r="T2965" s="5">
        <f>VLOOKUP(TEXT(A2965,"yy-mm")&amp;"-"&amp;IF(AND(WEEKDAY(A2965)&gt;1,WEEKDAY(A2965)&lt;7),"Wkd",TEXT(A2965,"Ddd"))&amp;"-"&amp;TEXT(A2965,"hh"),LoadTable[],3,FALSE)*0.92</f>
        <v>234.80148</v>
      </c>
      <c r="U2965" s="113">
        <f t="shared" si="3220"/>
        <v>23.480148</v>
      </c>
      <c r="V2965">
        <f t="shared" ref="V2965:W2965" si="3242">V2941</f>
        <v>2.9</v>
      </c>
      <c r="W2965">
        <f t="shared" si="3242"/>
        <v>3</v>
      </c>
      <c r="X2965" s="9">
        <v>-106.38854616667</v>
      </c>
      <c r="Y2965" s="39"/>
    </row>
    <row r="2966" spans="1:25" ht="15" thickBot="1">
      <c r="A2966" s="149">
        <f t="shared" si="3202"/>
        <v>45959.458333328126</v>
      </c>
      <c r="B2966" s="30">
        <f t="shared" si="3229"/>
        <v>8000</v>
      </c>
      <c r="C2966" s="8">
        <v>25000</v>
      </c>
      <c r="D2966" s="187">
        <v>0</v>
      </c>
      <c r="E2966" s="187">
        <v>700</v>
      </c>
      <c r="F2966" s="187">
        <v>15000</v>
      </c>
      <c r="G2966" s="30">
        <f t="shared" si="3230"/>
        <v>2470</v>
      </c>
      <c r="H2966" s="8">
        <f t="shared" si="3230"/>
        <v>25000</v>
      </c>
      <c r="I2966" s="30">
        <f t="shared" si="3231"/>
        <v>8000</v>
      </c>
      <c r="J2966" s="187">
        <v>40000</v>
      </c>
      <c r="K2966" s="30">
        <f t="shared" si="3232"/>
        <v>8000</v>
      </c>
      <c r="L2966" s="187">
        <v>40000</v>
      </c>
      <c r="M2966" s="110">
        <v>9.5</v>
      </c>
      <c r="N2966" s="9">
        <f>VLOOKUP(DATE(YEAR(A2966),MONTH(A2966),DAY(A2966)),FY24_Temp[],3,FALSE)</f>
        <v>17.5</v>
      </c>
      <c r="O2966" s="110">
        <f t="shared" si="3218"/>
        <v>11.5</v>
      </c>
      <c r="P2966" s="110">
        <f t="shared" si="3219"/>
        <v>19.5</v>
      </c>
      <c r="Q2966" s="79">
        <f>VLOOKUP(VLOOKUP(DATEVALUE(TEXT(A2966,"m/d/yyyy")),FY24_Temp[],5,FALSE)&amp;TEXT(A2966,"-h"),TempDelta[],4,FALSE)</f>
        <v>-0.20649999752640724</v>
      </c>
      <c r="R2966">
        <v>10</v>
      </c>
      <c r="S2966" s="112">
        <v>1500</v>
      </c>
      <c r="T2966" s="5">
        <f>VLOOKUP(TEXT(A2966,"yy-mm")&amp;"-"&amp;IF(AND(WEEKDAY(A2966)&gt;1,WEEKDAY(A2966)&lt;7),"Wkd",TEXT(A2966,"Ddd"))&amp;"-"&amp;TEXT(A2966,"hh"),LoadTable[],3,FALSE)*0.92</f>
        <v>234.80148</v>
      </c>
      <c r="U2966" s="113">
        <f t="shared" si="3220"/>
        <v>23.480148</v>
      </c>
      <c r="V2966">
        <f t="shared" ref="V2966:W2966" si="3243">V2942</f>
        <v>3.4</v>
      </c>
      <c r="W2966">
        <f t="shared" si="3243"/>
        <v>3</v>
      </c>
      <c r="X2966" s="9">
        <v>-106.46634071667</v>
      </c>
      <c r="Y2966" s="39"/>
    </row>
    <row r="2967" spans="1:25" ht="15" thickBot="1">
      <c r="A2967" s="149">
        <f t="shared" si="3202"/>
        <v>45959.49999999479</v>
      </c>
      <c r="B2967" s="30">
        <f t="shared" si="3229"/>
        <v>8000</v>
      </c>
      <c r="C2967" s="8">
        <v>25000</v>
      </c>
      <c r="D2967" s="187">
        <v>0</v>
      </c>
      <c r="E2967" s="187">
        <v>700</v>
      </c>
      <c r="F2967" s="187">
        <v>15000</v>
      </c>
      <c r="G2967" s="30">
        <f t="shared" si="3230"/>
        <v>2470</v>
      </c>
      <c r="H2967" s="8">
        <f t="shared" si="3230"/>
        <v>25000</v>
      </c>
      <c r="I2967" s="30">
        <f t="shared" si="3231"/>
        <v>8000</v>
      </c>
      <c r="J2967" s="187">
        <v>40000</v>
      </c>
      <c r="K2967" s="30">
        <f t="shared" si="3232"/>
        <v>8000</v>
      </c>
      <c r="L2967" s="187">
        <v>40000</v>
      </c>
      <c r="M2967" s="110">
        <v>9.5</v>
      </c>
      <c r="N2967" s="9">
        <f>VLOOKUP(DATE(YEAR(A2967),MONTH(A2967),DAY(A2967)),FY24_Temp[],3,FALSE)</f>
        <v>17.5</v>
      </c>
      <c r="O2967" s="110">
        <f t="shared" si="3218"/>
        <v>11.5</v>
      </c>
      <c r="P2967" s="110">
        <f t="shared" si="3219"/>
        <v>19.5</v>
      </c>
      <c r="Q2967" s="79">
        <f>VLOOKUP(VLOOKUP(DATEVALUE(TEXT(A2967,"m/d/yyyy")),FY24_Temp[],5,FALSE)&amp;TEXT(A2967,"-h"),TempDelta[],4,FALSE)</f>
        <v>-0.25474999845027924</v>
      </c>
      <c r="R2967">
        <v>10</v>
      </c>
      <c r="S2967" s="112">
        <v>1500</v>
      </c>
      <c r="T2967" s="5">
        <f>VLOOKUP(TEXT(A2967,"yy-mm")&amp;"-"&amp;IF(AND(WEEKDAY(A2967)&gt;1,WEEKDAY(A2967)&lt;7),"Wkd",TEXT(A2967,"Ddd"))&amp;"-"&amp;TEXT(A2967,"hh"),LoadTable[],3,FALSE)*0.92</f>
        <v>234.80148</v>
      </c>
      <c r="U2967" s="113">
        <f t="shared" si="3220"/>
        <v>23.480148</v>
      </c>
      <c r="V2967">
        <f t="shared" ref="V2967:W2967" si="3244">V2943</f>
        <v>3.1</v>
      </c>
      <c r="W2967">
        <f t="shared" si="3244"/>
        <v>2.9</v>
      </c>
      <c r="X2967" s="9">
        <v>-106.54413526667</v>
      </c>
      <c r="Y2967" s="39"/>
    </row>
    <row r="2968" spans="1:25" ht="15" thickBot="1">
      <c r="A2968" s="149">
        <f t="shared" si="3202"/>
        <v>45959.541666661455</v>
      </c>
      <c r="B2968" s="30">
        <f t="shared" si="3229"/>
        <v>8000</v>
      </c>
      <c r="C2968" s="8">
        <v>25000</v>
      </c>
      <c r="D2968" s="187">
        <v>0</v>
      </c>
      <c r="E2968" s="187">
        <v>700</v>
      </c>
      <c r="F2968" s="187">
        <v>15000</v>
      </c>
      <c r="G2968" s="30">
        <f t="shared" si="3230"/>
        <v>2470</v>
      </c>
      <c r="H2968" s="8">
        <f t="shared" si="3230"/>
        <v>25000</v>
      </c>
      <c r="I2968" s="30">
        <f t="shared" si="3231"/>
        <v>8000</v>
      </c>
      <c r="J2968" s="187">
        <v>40000</v>
      </c>
      <c r="K2968" s="30">
        <f t="shared" si="3232"/>
        <v>8000</v>
      </c>
      <c r="L2968" s="187">
        <v>40000</v>
      </c>
      <c r="M2968" s="110">
        <v>9.5</v>
      </c>
      <c r="N2968" s="9">
        <f>VLOOKUP(DATE(YEAR(A2968),MONTH(A2968),DAY(A2968)),FY24_Temp[],3,FALSE)</f>
        <v>17.5</v>
      </c>
      <c r="O2968" s="110">
        <f t="shared" si="3218"/>
        <v>11.5</v>
      </c>
      <c r="P2968" s="110">
        <f t="shared" si="3219"/>
        <v>19.5</v>
      </c>
      <c r="Q2968" s="79">
        <f>VLOOKUP(VLOOKUP(DATEVALUE(TEXT(A2968,"m/d/yyyy")),FY24_Temp[],5,FALSE)&amp;TEXT(A2968,"-h"),TempDelta[],4,FALSE)</f>
        <v>-0.27724999561905861</v>
      </c>
      <c r="R2968">
        <v>10</v>
      </c>
      <c r="S2968" s="112">
        <v>1500</v>
      </c>
      <c r="T2968" s="5">
        <f>VLOOKUP(TEXT(A2968,"yy-mm")&amp;"-"&amp;IF(AND(WEEKDAY(A2968)&gt;1,WEEKDAY(A2968)&lt;7),"Wkd",TEXT(A2968,"Ddd"))&amp;"-"&amp;TEXT(A2968,"hh"),LoadTable[],3,FALSE)*0.92</f>
        <v>234.80148</v>
      </c>
      <c r="U2968" s="113">
        <f t="shared" si="3220"/>
        <v>23.480148</v>
      </c>
      <c r="V2968">
        <f t="shared" ref="V2968:W2968" si="3245">V2944</f>
        <v>3.2</v>
      </c>
      <c r="W2968">
        <f t="shared" si="3245"/>
        <v>2.9</v>
      </c>
      <c r="X2968" s="9">
        <v>-106.62192981667</v>
      </c>
      <c r="Y2968" s="39"/>
    </row>
    <row r="2969" spans="1:25" ht="15" thickBot="1">
      <c r="A2969" s="149">
        <f t="shared" si="3202"/>
        <v>45959.583333328119</v>
      </c>
      <c r="B2969" s="30">
        <f t="shared" si="3229"/>
        <v>8000</v>
      </c>
      <c r="C2969" s="8">
        <v>25000</v>
      </c>
      <c r="D2969" s="187">
        <v>0</v>
      </c>
      <c r="E2969" s="187">
        <v>700</v>
      </c>
      <c r="F2969" s="187">
        <v>15000</v>
      </c>
      <c r="G2969" s="30">
        <f t="shared" si="3230"/>
        <v>2470</v>
      </c>
      <c r="H2969" s="8">
        <f t="shared" si="3230"/>
        <v>25000</v>
      </c>
      <c r="I2969" s="30">
        <f t="shared" si="3231"/>
        <v>8000</v>
      </c>
      <c r="J2969" s="187">
        <v>40000</v>
      </c>
      <c r="K2969" s="30">
        <f t="shared" si="3232"/>
        <v>8000</v>
      </c>
      <c r="L2969" s="187">
        <v>40000</v>
      </c>
      <c r="M2969" s="110">
        <v>9.5</v>
      </c>
      <c r="N2969" s="9">
        <f>VLOOKUP(DATE(YEAR(A2969),MONTH(A2969),DAY(A2969)),FY24_Temp[],3,FALSE)</f>
        <v>17.5</v>
      </c>
      <c r="O2969" s="110">
        <f t="shared" si="3218"/>
        <v>11.5</v>
      </c>
      <c r="P2969" s="110">
        <f t="shared" si="3219"/>
        <v>19.5</v>
      </c>
      <c r="Q2969" s="79">
        <f>VLOOKUP(VLOOKUP(DATEVALUE(TEXT(A2969,"m/d/yyyy")),FY24_Temp[],5,FALSE)&amp;TEXT(A2969,"-h"),TempDelta[],4,FALSE)</f>
        <v>-0.23250000178813934</v>
      </c>
      <c r="R2969">
        <v>10</v>
      </c>
      <c r="S2969" s="112">
        <v>1500</v>
      </c>
      <c r="T2969" s="5">
        <f>VLOOKUP(TEXT(A2969,"yy-mm")&amp;"-"&amp;IF(AND(WEEKDAY(A2969)&gt;1,WEEKDAY(A2969)&lt;7),"Wkd",TEXT(A2969,"Ddd"))&amp;"-"&amp;TEXT(A2969,"hh"),LoadTable[],3,FALSE)*0.92</f>
        <v>234.80148</v>
      </c>
      <c r="U2969" s="113">
        <f t="shared" si="3220"/>
        <v>23.480148</v>
      </c>
      <c r="V2969">
        <f t="shared" ref="V2969:W2969" si="3246">V2945</f>
        <v>3.5</v>
      </c>
      <c r="W2969">
        <f t="shared" si="3246"/>
        <v>2.9</v>
      </c>
      <c r="X2969" s="9">
        <v>-106.69972436667</v>
      </c>
      <c r="Y2969" s="39"/>
    </row>
    <row r="2970" spans="1:25" ht="15" thickBot="1">
      <c r="A2970" s="149">
        <f t="shared" si="3202"/>
        <v>45959.624999994783</v>
      </c>
      <c r="B2970" s="30">
        <f t="shared" si="3229"/>
        <v>8000</v>
      </c>
      <c r="C2970" s="8">
        <v>25000</v>
      </c>
      <c r="D2970" s="187">
        <v>0</v>
      </c>
      <c r="E2970" s="187">
        <v>700</v>
      </c>
      <c r="F2970" s="187">
        <v>15000</v>
      </c>
      <c r="G2970" s="30">
        <f t="shared" si="3230"/>
        <v>2470</v>
      </c>
      <c r="H2970" s="8">
        <f t="shared" si="3230"/>
        <v>25000</v>
      </c>
      <c r="I2970" s="30">
        <f t="shared" si="3231"/>
        <v>8000</v>
      </c>
      <c r="J2970" s="187">
        <v>40000</v>
      </c>
      <c r="K2970" s="30">
        <f t="shared" si="3232"/>
        <v>8000</v>
      </c>
      <c r="L2970" s="187">
        <v>40000</v>
      </c>
      <c r="M2970" s="110">
        <v>9.5</v>
      </c>
      <c r="N2970" s="9">
        <f>VLOOKUP(DATE(YEAR(A2970),MONTH(A2970),DAY(A2970)),FY24_Temp[],3,FALSE)</f>
        <v>17.5</v>
      </c>
      <c r="O2970" s="110">
        <f t="shared" si="3218"/>
        <v>11.5</v>
      </c>
      <c r="P2970" s="110">
        <f t="shared" si="3219"/>
        <v>19.5</v>
      </c>
      <c r="Q2970" s="79">
        <f>VLOOKUP(VLOOKUP(DATEVALUE(TEXT(A2970,"m/d/yyyy")),FY24_Temp[],5,FALSE)&amp;TEXT(A2970,"-h"),TempDelta[],4,FALSE)</f>
        <v>-0.15862499922513962</v>
      </c>
      <c r="R2970">
        <v>10</v>
      </c>
      <c r="S2970" s="112">
        <v>1500</v>
      </c>
      <c r="T2970" s="5">
        <f>VLOOKUP(TEXT(A2970,"yy-mm")&amp;"-"&amp;IF(AND(WEEKDAY(A2970)&gt;1,WEEKDAY(A2970)&lt;7),"Wkd",TEXT(A2970,"Ddd"))&amp;"-"&amp;TEXT(A2970,"hh"),LoadTable[],3,FALSE)*0.92</f>
        <v>234.80148</v>
      </c>
      <c r="U2970" s="113">
        <f t="shared" si="3220"/>
        <v>23.480148</v>
      </c>
      <c r="V2970">
        <f t="shared" ref="V2970:W2970" si="3247">V2946</f>
        <v>3.2</v>
      </c>
      <c r="W2970">
        <f t="shared" si="3247"/>
        <v>2.9</v>
      </c>
      <c r="X2970" s="9">
        <v>-106.77751891667</v>
      </c>
      <c r="Y2970" s="39"/>
    </row>
    <row r="2971" spans="1:25" ht="15" thickBot="1">
      <c r="A2971" s="149">
        <f t="shared" si="3202"/>
        <v>45959.666666661447</v>
      </c>
      <c r="B2971" s="30">
        <f t="shared" si="3229"/>
        <v>8000</v>
      </c>
      <c r="C2971" s="8">
        <v>25000</v>
      </c>
      <c r="D2971" s="187">
        <v>0</v>
      </c>
      <c r="E2971" s="187">
        <v>700</v>
      </c>
      <c r="F2971" s="187">
        <v>15000</v>
      </c>
      <c r="G2971" s="30">
        <f t="shared" si="3230"/>
        <v>2470</v>
      </c>
      <c r="H2971" s="8">
        <f t="shared" si="3230"/>
        <v>25000</v>
      </c>
      <c r="I2971" s="30">
        <f t="shared" si="3231"/>
        <v>8000</v>
      </c>
      <c r="J2971" s="187">
        <v>40000</v>
      </c>
      <c r="K2971" s="30">
        <f t="shared" si="3232"/>
        <v>8000</v>
      </c>
      <c r="L2971" s="187">
        <v>40000</v>
      </c>
      <c r="M2971" s="110">
        <v>9.5</v>
      </c>
      <c r="N2971" s="9">
        <f>VLOOKUP(DATE(YEAR(A2971),MONTH(A2971),DAY(A2971)),FY24_Temp[],3,FALSE)</f>
        <v>17.5</v>
      </c>
      <c r="O2971" s="110">
        <f t="shared" si="3218"/>
        <v>11.5</v>
      </c>
      <c r="P2971" s="110">
        <f t="shared" si="3219"/>
        <v>19.5</v>
      </c>
      <c r="Q2971" s="79">
        <f>VLOOKUP(VLOOKUP(DATEVALUE(TEXT(A2971,"m/d/yyyy")),FY24_Temp[],5,FALSE)&amp;TEXT(A2971,"-h"),TempDelta[],4,FALSE)</f>
        <v>5.487500037997961E-2</v>
      </c>
      <c r="R2971">
        <v>10</v>
      </c>
      <c r="S2971" s="112">
        <v>1500</v>
      </c>
      <c r="T2971" s="5">
        <f>VLOOKUP(TEXT(A2971,"yy-mm")&amp;"-"&amp;IF(AND(WEEKDAY(A2971)&gt;1,WEEKDAY(A2971)&lt;7),"Wkd",TEXT(A2971,"Ddd"))&amp;"-"&amp;TEXT(A2971,"hh"),LoadTable[],3,FALSE)*0.92</f>
        <v>234.80148</v>
      </c>
      <c r="U2971" s="113">
        <f t="shared" si="3220"/>
        <v>23.480148</v>
      </c>
      <c r="V2971">
        <f t="shared" ref="V2971:W2971" si="3248">V2947</f>
        <v>3.5</v>
      </c>
      <c r="W2971">
        <f t="shared" si="3248"/>
        <v>3</v>
      </c>
      <c r="X2971" s="9">
        <v>-106.85531346667</v>
      </c>
      <c r="Y2971" s="39"/>
    </row>
    <row r="2972" spans="1:25" ht="15" thickBot="1">
      <c r="A2972" s="149">
        <f t="shared" si="3202"/>
        <v>45959.708333328112</v>
      </c>
      <c r="B2972" s="30">
        <f t="shared" si="3229"/>
        <v>8000</v>
      </c>
      <c r="C2972" s="8">
        <v>25000</v>
      </c>
      <c r="D2972" s="187">
        <v>0</v>
      </c>
      <c r="E2972" s="187">
        <v>700</v>
      </c>
      <c r="F2972" s="187">
        <v>15000</v>
      </c>
      <c r="G2972" s="30">
        <f t="shared" si="3230"/>
        <v>2470</v>
      </c>
      <c r="H2972" s="8">
        <f t="shared" si="3230"/>
        <v>25000</v>
      </c>
      <c r="I2972" s="30">
        <f t="shared" si="3231"/>
        <v>8000</v>
      </c>
      <c r="J2972" s="187">
        <v>40000</v>
      </c>
      <c r="K2972" s="30">
        <f t="shared" si="3232"/>
        <v>8000</v>
      </c>
      <c r="L2972" s="187">
        <v>40000</v>
      </c>
      <c r="M2972" s="110">
        <v>9.5</v>
      </c>
      <c r="N2972" s="9">
        <f>VLOOKUP(DATE(YEAR(A2972),MONTH(A2972),DAY(A2972)),FY24_Temp[],3,FALSE)</f>
        <v>17.5</v>
      </c>
      <c r="O2972" s="110">
        <f t="shared" si="3218"/>
        <v>11.5</v>
      </c>
      <c r="P2972" s="110">
        <f t="shared" si="3219"/>
        <v>19.5</v>
      </c>
      <c r="Q2972" s="79">
        <f>VLOOKUP(VLOOKUP(DATEVALUE(TEXT(A2972,"m/d/yyyy")),FY24_Temp[],5,FALSE)&amp;TEXT(A2972,"-h"),TempDelta[],4,FALSE)</f>
        <v>0.14624999904481228</v>
      </c>
      <c r="R2972">
        <v>10</v>
      </c>
      <c r="S2972" s="112">
        <v>1500</v>
      </c>
      <c r="T2972" s="5">
        <f>VLOOKUP(TEXT(A2972,"yy-mm")&amp;"-"&amp;IF(AND(WEEKDAY(A2972)&gt;1,WEEKDAY(A2972)&lt;7),"Wkd",TEXT(A2972,"Ddd"))&amp;"-"&amp;TEXT(A2972,"hh"),LoadTable[],3,FALSE)*0.92</f>
        <v>234.80148</v>
      </c>
      <c r="U2972" s="113">
        <f t="shared" si="3220"/>
        <v>23.480148</v>
      </c>
      <c r="V2972">
        <f t="shared" ref="V2972:W2972" si="3249">V2948</f>
        <v>3.6</v>
      </c>
      <c r="W2972">
        <f t="shared" si="3249"/>
        <v>3</v>
      </c>
      <c r="X2972" s="9">
        <v>-106.93310801667</v>
      </c>
      <c r="Y2972" s="39"/>
    </row>
    <row r="2973" spans="1:25" ht="15" thickBot="1">
      <c r="A2973" s="149">
        <f t="shared" si="3202"/>
        <v>45959.749999994776</v>
      </c>
      <c r="B2973" s="30">
        <f t="shared" si="3229"/>
        <v>5000</v>
      </c>
      <c r="C2973" s="8">
        <v>25000</v>
      </c>
      <c r="D2973" s="187">
        <v>0</v>
      </c>
      <c r="E2973" s="187">
        <v>700</v>
      </c>
      <c r="F2973" s="187">
        <v>15000</v>
      </c>
      <c r="G2973" s="30">
        <f t="shared" si="3230"/>
        <v>2470</v>
      </c>
      <c r="H2973" s="8">
        <f t="shared" si="3230"/>
        <v>25000</v>
      </c>
      <c r="I2973" s="30">
        <f t="shared" si="3231"/>
        <v>5000</v>
      </c>
      <c r="J2973" s="187">
        <v>40000</v>
      </c>
      <c r="K2973" s="30">
        <f t="shared" si="3232"/>
        <v>5000</v>
      </c>
      <c r="L2973" s="187">
        <v>40000</v>
      </c>
      <c r="M2973" s="110">
        <v>9.5</v>
      </c>
      <c r="N2973" s="9">
        <f>VLOOKUP(DATE(YEAR(A2973),MONTH(A2973),DAY(A2973)),FY24_Temp[],3,FALSE)</f>
        <v>17.5</v>
      </c>
      <c r="O2973" s="110">
        <f t="shared" si="3218"/>
        <v>11.5</v>
      </c>
      <c r="P2973" s="110">
        <f t="shared" si="3219"/>
        <v>19.5</v>
      </c>
      <c r="Q2973" s="79">
        <f>VLOOKUP(VLOOKUP(DATEVALUE(TEXT(A2973,"m/d/yyyy")),FY24_Temp[],5,FALSE)&amp;TEXT(A2973,"-h"),TempDelta[],4,FALSE)</f>
        <v>0.26487499848008156</v>
      </c>
      <c r="R2973">
        <v>10</v>
      </c>
      <c r="S2973" s="112">
        <v>1500</v>
      </c>
      <c r="T2973" s="5">
        <f>VLOOKUP(TEXT(A2973,"yy-mm")&amp;"-"&amp;IF(AND(WEEKDAY(A2973)&gt;1,WEEKDAY(A2973)&lt;7),"Wkd",TEXT(A2973,"Ddd"))&amp;"-"&amp;TEXT(A2973,"hh"),LoadTable[],3,FALSE)*0.92</f>
        <v>303.31295999999998</v>
      </c>
      <c r="U2973" s="113">
        <f t="shared" si="3220"/>
        <v>30.331295999999998</v>
      </c>
      <c r="V2973">
        <f t="shared" ref="V2973:W2973" si="3250">V2949</f>
        <v>2.9</v>
      </c>
      <c r="W2973">
        <f t="shared" si="3250"/>
        <v>3</v>
      </c>
      <c r="X2973" s="9">
        <v>-107.01090256667</v>
      </c>
      <c r="Y2973" s="39"/>
    </row>
    <row r="2974" spans="1:25" ht="15" thickBot="1">
      <c r="A2974" s="149">
        <f t="shared" si="3202"/>
        <v>45959.79166666144</v>
      </c>
      <c r="B2974" s="30">
        <f t="shared" si="3229"/>
        <v>5000</v>
      </c>
      <c r="C2974" s="8">
        <v>25000</v>
      </c>
      <c r="D2974" s="187">
        <v>0</v>
      </c>
      <c r="E2974" s="187">
        <v>700</v>
      </c>
      <c r="F2974" s="187">
        <v>15000</v>
      </c>
      <c r="G2974" s="30">
        <f t="shared" si="3230"/>
        <v>2470</v>
      </c>
      <c r="H2974" s="8">
        <f t="shared" si="3230"/>
        <v>25000</v>
      </c>
      <c r="I2974" s="30">
        <f t="shared" si="3231"/>
        <v>5000</v>
      </c>
      <c r="J2974" s="187">
        <v>40000</v>
      </c>
      <c r="K2974" s="30">
        <f t="shared" si="3232"/>
        <v>5000</v>
      </c>
      <c r="L2974" s="187">
        <v>40000</v>
      </c>
      <c r="M2974" s="110">
        <v>9.5</v>
      </c>
      <c r="N2974" s="9">
        <f>VLOOKUP(DATE(YEAR(A2974),MONTH(A2974),DAY(A2974)),FY24_Temp[],3,FALSE)</f>
        <v>17.5</v>
      </c>
      <c r="O2974" s="110">
        <f t="shared" si="3218"/>
        <v>11.5</v>
      </c>
      <c r="P2974" s="110">
        <f t="shared" si="3219"/>
        <v>19.5</v>
      </c>
      <c r="Q2974" s="79">
        <f>VLOOKUP(VLOOKUP(DATEVALUE(TEXT(A2974,"m/d/yyyy")),FY24_Temp[],5,FALSE)&amp;TEXT(A2974,"-h"),TempDelta[],4,FALSE)</f>
        <v>0.24249999853782356</v>
      </c>
      <c r="R2974">
        <v>10</v>
      </c>
      <c r="S2974" s="112">
        <v>1500</v>
      </c>
      <c r="T2974" s="5">
        <f>VLOOKUP(TEXT(A2974,"yy-mm")&amp;"-"&amp;IF(AND(WEEKDAY(A2974)&gt;1,WEEKDAY(A2974)&lt;7),"Wkd",TEXT(A2974,"Ddd"))&amp;"-"&amp;TEXT(A2974,"hh"),LoadTable[],3,FALSE)*0.92</f>
        <v>303.31295999999998</v>
      </c>
      <c r="U2974" s="113">
        <f t="shared" si="3220"/>
        <v>30.331295999999998</v>
      </c>
      <c r="V2974">
        <f t="shared" ref="V2974:W2974" si="3251">V2950</f>
        <v>3</v>
      </c>
      <c r="W2974">
        <f t="shared" si="3251"/>
        <v>3</v>
      </c>
      <c r="X2974" s="9">
        <v>-107.08869711667001</v>
      </c>
      <c r="Y2974" s="39"/>
    </row>
    <row r="2975" spans="1:25" ht="15" thickBot="1">
      <c r="A2975" s="149">
        <f t="shared" si="3202"/>
        <v>45959.833333328104</v>
      </c>
      <c r="B2975" s="30">
        <f t="shared" si="3229"/>
        <v>5000</v>
      </c>
      <c r="C2975" s="8">
        <v>25000</v>
      </c>
      <c r="D2975" s="187">
        <v>0</v>
      </c>
      <c r="E2975" s="187">
        <v>700</v>
      </c>
      <c r="F2975" s="187">
        <v>15000</v>
      </c>
      <c r="G2975" s="30">
        <f t="shared" si="3230"/>
        <v>2470</v>
      </c>
      <c r="H2975" s="8">
        <f t="shared" si="3230"/>
        <v>25000</v>
      </c>
      <c r="I2975" s="30">
        <f t="shared" si="3231"/>
        <v>5000</v>
      </c>
      <c r="J2975" s="187">
        <v>40000</v>
      </c>
      <c r="K2975" s="30">
        <f t="shared" si="3232"/>
        <v>5000</v>
      </c>
      <c r="L2975" s="187">
        <v>40000</v>
      </c>
      <c r="M2975" s="110">
        <v>9.5</v>
      </c>
      <c r="N2975" s="9">
        <f>VLOOKUP(DATE(YEAR(A2975),MONTH(A2975),DAY(A2975)),FY24_Temp[],3,FALSE)</f>
        <v>17.5</v>
      </c>
      <c r="O2975" s="110">
        <f t="shared" si="3218"/>
        <v>11.5</v>
      </c>
      <c r="P2975" s="110">
        <f t="shared" si="3219"/>
        <v>19.5</v>
      </c>
      <c r="Q2975" s="79">
        <f>VLOOKUP(VLOOKUP(DATEVALUE(TEXT(A2975,"m/d/yyyy")),FY24_Temp[],5,FALSE)&amp;TEXT(A2975,"-h"),TempDelta[],4,FALSE)</f>
        <v>0.25587500119581819</v>
      </c>
      <c r="R2975">
        <v>10</v>
      </c>
      <c r="S2975" s="112">
        <v>1500</v>
      </c>
      <c r="T2975" s="5">
        <f>VLOOKUP(TEXT(A2975,"yy-mm")&amp;"-"&amp;IF(AND(WEEKDAY(A2975)&gt;1,WEEKDAY(A2975)&lt;7),"Wkd",TEXT(A2975,"Ddd"))&amp;"-"&amp;TEXT(A2975,"hh"),LoadTable[],3,FALSE)*0.92</f>
        <v>303.31295999999998</v>
      </c>
      <c r="U2975" s="113">
        <f t="shared" si="3220"/>
        <v>30.331295999999998</v>
      </c>
      <c r="V2975">
        <f t="shared" ref="V2975:W2975" si="3252">V2951</f>
        <v>2.8</v>
      </c>
      <c r="W2975">
        <f t="shared" si="3252"/>
        <v>3.1</v>
      </c>
      <c r="X2975" s="9">
        <v>-107.16649166667</v>
      </c>
      <c r="Y2975" s="39"/>
    </row>
    <row r="2976" spans="1:25" ht="15" thickBot="1">
      <c r="A2976" s="149">
        <f t="shared" si="3202"/>
        <v>45959.874999994769</v>
      </c>
      <c r="B2976" s="30">
        <f t="shared" si="3229"/>
        <v>5000</v>
      </c>
      <c r="C2976" s="8">
        <v>25000</v>
      </c>
      <c r="D2976" s="187">
        <v>0</v>
      </c>
      <c r="E2976" s="187">
        <v>700</v>
      </c>
      <c r="F2976" s="187">
        <v>15000</v>
      </c>
      <c r="G2976" s="30">
        <f t="shared" si="3230"/>
        <v>2470</v>
      </c>
      <c r="H2976" s="8">
        <f t="shared" si="3230"/>
        <v>25000</v>
      </c>
      <c r="I2976" s="30">
        <f t="shared" si="3231"/>
        <v>5000</v>
      </c>
      <c r="J2976" s="187">
        <v>40000</v>
      </c>
      <c r="K2976" s="30">
        <f t="shared" si="3232"/>
        <v>5000</v>
      </c>
      <c r="L2976" s="187">
        <v>40000</v>
      </c>
      <c r="M2976" s="110">
        <v>9.5</v>
      </c>
      <c r="N2976" s="9">
        <f>VLOOKUP(DATE(YEAR(A2976),MONTH(A2976),DAY(A2976)),FY24_Temp[],3,FALSE)</f>
        <v>17.5</v>
      </c>
      <c r="O2976" s="110">
        <f t="shared" si="3218"/>
        <v>11.5</v>
      </c>
      <c r="P2976" s="110">
        <f t="shared" si="3219"/>
        <v>19.5</v>
      </c>
      <c r="Q2976" s="79">
        <f>VLOOKUP(VLOOKUP(DATEVALUE(TEXT(A2976,"m/d/yyyy")),FY24_Temp[],5,FALSE)&amp;TEXT(A2976,"-h"),TempDelta[],4,FALSE)</f>
        <v>0.25137499789707363</v>
      </c>
      <c r="R2976">
        <v>10</v>
      </c>
      <c r="S2976" s="112">
        <v>1500</v>
      </c>
      <c r="T2976" s="5">
        <f>VLOOKUP(TEXT(A2976,"yy-mm")&amp;"-"&amp;IF(AND(WEEKDAY(A2976)&gt;1,WEEKDAY(A2976)&lt;7),"Wkd",TEXT(A2976,"Ddd"))&amp;"-"&amp;TEXT(A2976,"hh"),LoadTable[],3,FALSE)*0.92</f>
        <v>229.93744000000001</v>
      </c>
      <c r="U2976" s="113">
        <f t="shared" si="3220"/>
        <v>22.993744</v>
      </c>
      <c r="V2976">
        <f t="shared" ref="V2976:W2976" si="3253">V2952</f>
        <v>3.5</v>
      </c>
      <c r="W2976">
        <f t="shared" si="3253"/>
        <v>3.1</v>
      </c>
      <c r="X2976" s="9">
        <v>-107.24428621667001</v>
      </c>
      <c r="Y2976" s="39"/>
    </row>
    <row r="2977" spans="1:25" ht="15" thickBot="1">
      <c r="A2977" s="149">
        <f t="shared" si="3202"/>
        <v>45959.916666661433</v>
      </c>
      <c r="B2977" s="30">
        <f t="shared" si="3229"/>
        <v>5000</v>
      </c>
      <c r="C2977" s="8">
        <v>25000</v>
      </c>
      <c r="D2977" s="187">
        <v>0</v>
      </c>
      <c r="E2977" s="187">
        <v>700</v>
      </c>
      <c r="F2977" s="187">
        <v>15000</v>
      </c>
      <c r="G2977" s="30">
        <f t="shared" si="3230"/>
        <v>2470</v>
      </c>
      <c r="H2977" s="8">
        <f t="shared" si="3230"/>
        <v>25000</v>
      </c>
      <c r="I2977" s="30">
        <f t="shared" si="3231"/>
        <v>5000</v>
      </c>
      <c r="J2977" s="187">
        <v>40000</v>
      </c>
      <c r="K2977" s="30">
        <f t="shared" si="3232"/>
        <v>5000</v>
      </c>
      <c r="L2977" s="187">
        <v>40000</v>
      </c>
      <c r="M2977" s="110">
        <v>9.5</v>
      </c>
      <c r="N2977" s="9">
        <f>VLOOKUP(DATE(YEAR(A2977),MONTH(A2977),DAY(A2977)),FY24_Temp[],3,FALSE)</f>
        <v>17.5</v>
      </c>
      <c r="O2977" s="110">
        <f t="shared" si="3218"/>
        <v>11.5</v>
      </c>
      <c r="P2977" s="110">
        <f t="shared" si="3219"/>
        <v>19.5</v>
      </c>
      <c r="Q2977" s="79">
        <f>VLOOKUP(VLOOKUP(DATEVALUE(TEXT(A2977,"m/d/yyyy")),FY24_Temp[],5,FALSE)&amp;TEXT(A2977,"-h"),TempDelta[],4,FALSE)</f>
        <v>0.48149999231100082</v>
      </c>
      <c r="R2977">
        <v>10</v>
      </c>
      <c r="S2977" s="112">
        <v>1500</v>
      </c>
      <c r="T2977" s="5">
        <f>VLOOKUP(TEXT(A2977,"yy-mm")&amp;"-"&amp;IF(AND(WEEKDAY(A2977)&gt;1,WEEKDAY(A2977)&lt;7),"Wkd",TEXT(A2977,"Ddd"))&amp;"-"&amp;TEXT(A2977,"hh"),LoadTable[],3,FALSE)*0.92</f>
        <v>176.52040000000002</v>
      </c>
      <c r="U2977" s="113">
        <f t="shared" si="3220"/>
        <v>17.652040000000003</v>
      </c>
      <c r="V2977">
        <f t="shared" ref="V2977:W2977" si="3254">V2953</f>
        <v>2.9</v>
      </c>
      <c r="W2977">
        <f t="shared" si="3254"/>
        <v>3.1</v>
      </c>
      <c r="X2977" s="9">
        <v>-107.32208076667</v>
      </c>
      <c r="Y2977" s="39"/>
    </row>
    <row r="2978" spans="1:25" ht="15" thickBot="1">
      <c r="A2978" s="149">
        <f t="shared" si="3202"/>
        <v>45959.958333328097</v>
      </c>
      <c r="B2978" s="30">
        <f t="shared" si="3229"/>
        <v>5000</v>
      </c>
      <c r="C2978" s="41">
        <v>25000</v>
      </c>
      <c r="D2978" s="187">
        <v>0</v>
      </c>
      <c r="E2978" s="187">
        <v>700</v>
      </c>
      <c r="F2978" s="187">
        <v>15000</v>
      </c>
      <c r="G2978" s="30">
        <f t="shared" si="3230"/>
        <v>2470</v>
      </c>
      <c r="H2978" s="8">
        <f t="shared" si="3230"/>
        <v>25000</v>
      </c>
      <c r="I2978" s="30">
        <f t="shared" si="3231"/>
        <v>5000</v>
      </c>
      <c r="J2978" s="187">
        <v>40000</v>
      </c>
      <c r="K2978" s="30">
        <f t="shared" si="3232"/>
        <v>5000</v>
      </c>
      <c r="L2978" s="187">
        <v>40000</v>
      </c>
      <c r="M2978" s="110">
        <v>9.5</v>
      </c>
      <c r="N2978" s="9">
        <f>VLOOKUP(DATE(YEAR(A2978),MONTH(A2978),DAY(A2978)),FY24_Temp[],3,FALSE)</f>
        <v>17.5</v>
      </c>
      <c r="O2978" s="110">
        <f t="shared" si="3218"/>
        <v>11.5</v>
      </c>
      <c r="P2978" s="110">
        <f t="shared" si="3219"/>
        <v>19.5</v>
      </c>
      <c r="Q2978" s="85">
        <f>VLOOKUP(VLOOKUP(DATEVALUE(TEXT(A2978,"m/d/yyyy")),FY24_Temp[],5,FALSE)&amp;TEXT(A2978,"-h"),TempDelta[],4,FALSE)</f>
        <v>0.60849998891353607</v>
      </c>
      <c r="R2978">
        <v>10</v>
      </c>
      <c r="S2978" s="112">
        <v>1500</v>
      </c>
      <c r="T2978" s="97">
        <f>VLOOKUP(TEXT(A2978,"yy-mm")&amp;"-"&amp;IF(AND(WEEKDAY(A2978)&gt;1,WEEKDAY(A2978)&lt;7),"Wkd",TEXT(A2978,"Ddd"))&amp;"-"&amp;TEXT(A2978,"hh"),LoadTable[],3,FALSE)*0.92</f>
        <v>176.52040000000002</v>
      </c>
      <c r="U2978" s="113">
        <f t="shared" si="3220"/>
        <v>17.652040000000003</v>
      </c>
      <c r="V2978">
        <f t="shared" ref="V2978:W2978" si="3255">V2954</f>
        <v>3.6</v>
      </c>
      <c r="W2978">
        <f t="shared" si="3255"/>
        <v>3.1</v>
      </c>
      <c r="X2978" s="84">
        <v>-107.39987531667001</v>
      </c>
      <c r="Y2978" s="39"/>
    </row>
    <row r="2979" spans="1:25" ht="15" thickBot="1">
      <c r="A2979" s="149">
        <f t="shared" si="3202"/>
        <v>45959.999999994761</v>
      </c>
      <c r="B2979" s="30">
        <f t="shared" si="3229"/>
        <v>5000</v>
      </c>
      <c r="C2979" s="8">
        <v>25000</v>
      </c>
      <c r="D2979" s="187">
        <v>0</v>
      </c>
      <c r="E2979" s="187">
        <v>700</v>
      </c>
      <c r="F2979" s="187">
        <v>15000</v>
      </c>
      <c r="G2979" s="30">
        <f t="shared" si="3230"/>
        <v>2470</v>
      </c>
      <c r="H2979" s="8">
        <f t="shared" si="3230"/>
        <v>25000</v>
      </c>
      <c r="I2979" s="30">
        <f t="shared" si="3231"/>
        <v>5000</v>
      </c>
      <c r="J2979" s="187">
        <v>40000</v>
      </c>
      <c r="K2979" s="30">
        <f t="shared" si="3232"/>
        <v>5000</v>
      </c>
      <c r="L2979" s="187">
        <v>40000</v>
      </c>
      <c r="M2979" s="110">
        <v>9.5</v>
      </c>
      <c r="N2979" s="9">
        <f>VLOOKUP(DATE(YEAR(A2979),MONTH(A2979),DAY(A2979)),FY24_Temp[],3,FALSE)</f>
        <v>17.5</v>
      </c>
      <c r="O2979" s="110">
        <f t="shared" si="3218"/>
        <v>11.5</v>
      </c>
      <c r="P2979" s="110">
        <f t="shared" si="3219"/>
        <v>19.5</v>
      </c>
      <c r="Q2979" s="79">
        <f>VLOOKUP(VLOOKUP(DATEVALUE(TEXT(A2979,"m/d/yyyy")),FY24_Temp[],5,FALSE)&amp;TEXT(A2979,"-h"),TempDelta[],4,FALSE)</f>
        <v>0.73420000076293945</v>
      </c>
      <c r="R2979">
        <v>10</v>
      </c>
      <c r="S2979" s="112">
        <v>1500</v>
      </c>
      <c r="T2979" s="5">
        <f>VLOOKUP(TEXT(A2979,"yy-mm")&amp;"-"&amp;IF(AND(WEEKDAY(A2979)&gt;1,WEEKDAY(A2979)&lt;7),"Wkd",TEXT(A2979,"Ddd"))&amp;"-"&amp;TEXT(A2979,"hh"),LoadTable[],3,FALSE)*0.92</f>
        <v>209.6772</v>
      </c>
      <c r="U2979" s="113">
        <f t="shared" si="3220"/>
        <v>20.96772</v>
      </c>
      <c r="V2979">
        <f t="shared" ref="V2979:W2979" si="3256">V2955</f>
        <v>3</v>
      </c>
      <c r="W2979">
        <f t="shared" si="3256"/>
        <v>3.2</v>
      </c>
      <c r="X2979" s="9">
        <v>-107.47766986667</v>
      </c>
      <c r="Y2979" s="39"/>
    </row>
    <row r="2980" spans="1:25" ht="15" thickBot="1">
      <c r="A2980" s="149">
        <f t="shared" si="3202"/>
        <v>45960.041666661426</v>
      </c>
      <c r="B2980" s="30">
        <f t="shared" si="3229"/>
        <v>5000</v>
      </c>
      <c r="C2980" s="42">
        <v>25000</v>
      </c>
      <c r="D2980" s="187">
        <v>0</v>
      </c>
      <c r="E2980" s="187">
        <v>700</v>
      </c>
      <c r="F2980" s="187">
        <v>15000</v>
      </c>
      <c r="G2980" s="30">
        <f t="shared" si="3230"/>
        <v>2470</v>
      </c>
      <c r="H2980" s="8">
        <f t="shared" si="3230"/>
        <v>25000</v>
      </c>
      <c r="I2980" s="30">
        <f t="shared" si="3231"/>
        <v>5000</v>
      </c>
      <c r="J2980" s="187">
        <v>40000</v>
      </c>
      <c r="K2980" s="30">
        <f t="shared" si="3232"/>
        <v>5000</v>
      </c>
      <c r="L2980" s="187">
        <v>40000</v>
      </c>
      <c r="M2980" s="110">
        <v>9.5</v>
      </c>
      <c r="N2980" s="9">
        <f>VLOOKUP(DATE(YEAR(A2980),MONTH(A2980),DAY(A2980)),FY24_Temp[],3,FALSE)</f>
        <v>17.5</v>
      </c>
      <c r="O2980" s="110">
        <f t="shared" si="3218"/>
        <v>11.5</v>
      </c>
      <c r="P2980" s="110">
        <f t="shared" si="3219"/>
        <v>19.5</v>
      </c>
      <c r="Q2980" s="87">
        <f>VLOOKUP(VLOOKUP(DATEVALUE(TEXT(A2980,"m/d/yyyy")),FY24_Temp[],5,FALSE)&amp;TEXT(A2980,"-h"),TempDelta[],4,FALSE)</f>
        <v>0.69179999828338623</v>
      </c>
      <c r="R2980">
        <v>10</v>
      </c>
      <c r="S2980" s="112">
        <v>1500</v>
      </c>
      <c r="T2980" s="98">
        <f>VLOOKUP(TEXT(A2980,"yy-mm")&amp;"-"&amp;IF(AND(WEEKDAY(A2980)&gt;1,WEEKDAY(A2980)&lt;7),"Wkd",TEXT(A2980,"Ddd"))&amp;"-"&amp;TEXT(A2980,"hh"),LoadTable[],3,FALSE)*0.92</f>
        <v>209.6772</v>
      </c>
      <c r="U2980" s="113">
        <f t="shared" si="3220"/>
        <v>20.96772</v>
      </c>
      <c r="V2980">
        <f t="shared" ref="V2980:W2980" si="3257">V2956</f>
        <v>2.6</v>
      </c>
      <c r="W2980">
        <f t="shared" si="3257"/>
        <v>3.2</v>
      </c>
      <c r="X2980" s="86">
        <v>-107.55546441667001</v>
      </c>
      <c r="Y2980" s="39"/>
    </row>
    <row r="2981" spans="1:25" ht="15" thickBot="1">
      <c r="A2981" s="149">
        <f t="shared" si="3202"/>
        <v>45960.08333332809</v>
      </c>
      <c r="B2981" s="30">
        <f t="shared" si="3229"/>
        <v>5000</v>
      </c>
      <c r="C2981" s="8">
        <v>25000</v>
      </c>
      <c r="D2981" s="187">
        <v>0</v>
      </c>
      <c r="E2981" s="187">
        <v>700</v>
      </c>
      <c r="F2981" s="187">
        <v>15000</v>
      </c>
      <c r="G2981" s="30">
        <f t="shared" si="3230"/>
        <v>2470</v>
      </c>
      <c r="H2981" s="8">
        <f t="shared" si="3230"/>
        <v>25000</v>
      </c>
      <c r="I2981" s="30">
        <f t="shared" si="3231"/>
        <v>5000</v>
      </c>
      <c r="J2981" s="187">
        <v>40000</v>
      </c>
      <c r="K2981" s="30">
        <f t="shared" si="3232"/>
        <v>5000</v>
      </c>
      <c r="L2981" s="187">
        <v>40000</v>
      </c>
      <c r="M2981" s="110">
        <v>9.5</v>
      </c>
      <c r="N2981" s="9">
        <f>VLOOKUP(DATE(YEAR(A2981),MONTH(A2981),DAY(A2981)),FY24_Temp[],3,FALSE)</f>
        <v>17.5</v>
      </c>
      <c r="O2981" s="110">
        <f t="shared" si="3218"/>
        <v>11.5</v>
      </c>
      <c r="P2981" s="110">
        <f t="shared" si="3219"/>
        <v>19.5</v>
      </c>
      <c r="Q2981" s="79">
        <f>VLOOKUP(VLOOKUP(DATEVALUE(TEXT(A2981,"m/d/yyyy")),FY24_Temp[],5,FALSE)&amp;TEXT(A2981,"-h"),TempDelta[],4,FALSE)</f>
        <v>0.64100000262260437</v>
      </c>
      <c r="R2981">
        <v>10</v>
      </c>
      <c r="S2981" s="112">
        <v>1500</v>
      </c>
      <c r="T2981" s="5">
        <f>VLOOKUP(TEXT(A2981,"yy-mm")&amp;"-"&amp;IF(AND(WEEKDAY(A2981)&gt;1,WEEKDAY(A2981)&lt;7),"Wkd",TEXT(A2981,"Ddd"))&amp;"-"&amp;TEXT(A2981,"hh"),LoadTable[],3,FALSE)*0.92</f>
        <v>209.6772</v>
      </c>
      <c r="U2981" s="113">
        <f t="shared" si="3220"/>
        <v>20.96772</v>
      </c>
      <c r="V2981">
        <f t="shared" ref="V2981:W2981" si="3258">V2957</f>
        <v>2.8</v>
      </c>
      <c r="W2981">
        <f t="shared" si="3258"/>
        <v>3.2</v>
      </c>
      <c r="X2981" s="9">
        <v>-107.63325896667</v>
      </c>
      <c r="Y2981" s="39"/>
    </row>
    <row r="2982" spans="1:25" ht="15" thickBot="1">
      <c r="A2982" s="149">
        <f t="shared" si="3202"/>
        <v>45960.124999994754</v>
      </c>
      <c r="B2982" s="30">
        <f t="shared" si="3229"/>
        <v>5000</v>
      </c>
      <c r="C2982" s="8">
        <v>25000</v>
      </c>
      <c r="D2982" s="187">
        <v>0</v>
      </c>
      <c r="E2982" s="187">
        <v>700</v>
      </c>
      <c r="F2982" s="187">
        <v>15000</v>
      </c>
      <c r="G2982" s="30">
        <f t="shared" si="3230"/>
        <v>2470</v>
      </c>
      <c r="H2982" s="8">
        <f t="shared" si="3230"/>
        <v>25000</v>
      </c>
      <c r="I2982" s="30">
        <f t="shared" si="3231"/>
        <v>5000</v>
      </c>
      <c r="J2982" s="187">
        <v>40000</v>
      </c>
      <c r="K2982" s="30">
        <f t="shared" si="3232"/>
        <v>5000</v>
      </c>
      <c r="L2982" s="187">
        <v>40000</v>
      </c>
      <c r="M2982" s="110">
        <v>9.5</v>
      </c>
      <c r="N2982" s="9">
        <f>VLOOKUP(DATE(YEAR(A2982),MONTH(A2982),DAY(A2982)),FY24_Temp[],3,FALSE)</f>
        <v>17.5</v>
      </c>
      <c r="O2982" s="110">
        <f t="shared" si="3218"/>
        <v>11.5</v>
      </c>
      <c r="P2982" s="110">
        <f t="shared" si="3219"/>
        <v>19.5</v>
      </c>
      <c r="Q2982" s="79">
        <f>VLOOKUP(VLOOKUP(DATEVALUE(TEXT(A2982,"m/d/yyyy")),FY24_Temp[],5,FALSE)&amp;TEXT(A2982,"-h"),TempDelta[],4,FALSE)</f>
        <v>0.53599998354911804</v>
      </c>
      <c r="R2982">
        <v>10</v>
      </c>
      <c r="S2982" s="112">
        <v>1500</v>
      </c>
      <c r="T2982" s="5">
        <f>VLOOKUP(TEXT(A2982,"yy-mm")&amp;"-"&amp;IF(AND(WEEKDAY(A2982)&gt;1,WEEKDAY(A2982)&lt;7),"Wkd",TEXT(A2982,"Ddd"))&amp;"-"&amp;TEXT(A2982,"hh"),LoadTable[],3,FALSE)*0.92</f>
        <v>209.6772</v>
      </c>
      <c r="U2982" s="113">
        <f t="shared" si="3220"/>
        <v>20.96772</v>
      </c>
      <c r="V2982">
        <f t="shared" ref="V2982:W2982" si="3259">V2958</f>
        <v>2.7</v>
      </c>
      <c r="W2982">
        <f t="shared" si="3259"/>
        <v>3.2</v>
      </c>
      <c r="X2982" s="9">
        <v>-107.71105351667001</v>
      </c>
      <c r="Y2982" s="39"/>
    </row>
    <row r="2983" spans="1:25" ht="15" thickBot="1">
      <c r="A2983" s="149">
        <f t="shared" si="3202"/>
        <v>45960.166666661418</v>
      </c>
      <c r="B2983" s="30">
        <f t="shared" si="3229"/>
        <v>5000</v>
      </c>
      <c r="C2983" s="8">
        <v>25000</v>
      </c>
      <c r="D2983" s="187">
        <v>0</v>
      </c>
      <c r="E2983" s="187">
        <v>700</v>
      </c>
      <c r="F2983" s="187">
        <v>15000</v>
      </c>
      <c r="G2983" s="30">
        <f t="shared" si="3230"/>
        <v>2470</v>
      </c>
      <c r="H2983" s="8">
        <f t="shared" si="3230"/>
        <v>25000</v>
      </c>
      <c r="I2983" s="30">
        <f t="shared" si="3231"/>
        <v>5000</v>
      </c>
      <c r="J2983" s="187">
        <v>40000</v>
      </c>
      <c r="K2983" s="30">
        <f t="shared" si="3232"/>
        <v>5000</v>
      </c>
      <c r="L2983" s="187">
        <v>40000</v>
      </c>
      <c r="M2983" s="110">
        <v>9.5</v>
      </c>
      <c r="N2983" s="9">
        <f>VLOOKUP(DATE(YEAR(A2983),MONTH(A2983),DAY(A2983)),FY24_Temp[],3,FALSE)</f>
        <v>17.5</v>
      </c>
      <c r="O2983" s="110">
        <f t="shared" si="3218"/>
        <v>11.5</v>
      </c>
      <c r="P2983" s="110">
        <f t="shared" si="3219"/>
        <v>19.5</v>
      </c>
      <c r="Q2983" s="79">
        <f>VLOOKUP(VLOOKUP(DATEVALUE(TEXT(A2983,"m/d/yyyy")),FY24_Temp[],5,FALSE)&amp;TEXT(A2983,"-h"),TempDelta[],4,FALSE)</f>
        <v>0.43825000524520874</v>
      </c>
      <c r="R2983">
        <v>10</v>
      </c>
      <c r="S2983" s="112">
        <v>1500</v>
      </c>
      <c r="T2983" s="5">
        <f>VLOOKUP(TEXT(A2983,"yy-mm")&amp;"-"&amp;IF(AND(WEEKDAY(A2983)&gt;1,WEEKDAY(A2983)&lt;7),"Wkd",TEXT(A2983,"Ddd"))&amp;"-"&amp;TEXT(A2983,"hh"),LoadTable[],3,FALSE)*0.92</f>
        <v>209.6772</v>
      </c>
      <c r="U2983" s="113">
        <f t="shared" si="3220"/>
        <v>20.96772</v>
      </c>
      <c r="V2983">
        <f t="shared" ref="V2983:W2983" si="3260">V2959</f>
        <v>3</v>
      </c>
      <c r="W2983">
        <f t="shared" si="3260"/>
        <v>3.1</v>
      </c>
      <c r="X2983" s="9">
        <v>-107.78884806667</v>
      </c>
      <c r="Y2983" s="39"/>
    </row>
    <row r="2984" spans="1:25" ht="15" thickBot="1">
      <c r="A2984" s="149">
        <f t="shared" si="3202"/>
        <v>45960.208333328083</v>
      </c>
      <c r="B2984" s="30">
        <f t="shared" si="3229"/>
        <v>5000</v>
      </c>
      <c r="C2984" s="8">
        <v>25000</v>
      </c>
      <c r="D2984" s="187">
        <v>0</v>
      </c>
      <c r="E2984" s="187">
        <v>700</v>
      </c>
      <c r="F2984" s="187">
        <v>15000</v>
      </c>
      <c r="G2984" s="30">
        <f t="shared" si="3230"/>
        <v>2470</v>
      </c>
      <c r="H2984" s="8">
        <f t="shared" si="3230"/>
        <v>25000</v>
      </c>
      <c r="I2984" s="30">
        <f t="shared" si="3231"/>
        <v>5000</v>
      </c>
      <c r="J2984" s="187">
        <v>40000</v>
      </c>
      <c r="K2984" s="30">
        <f t="shared" si="3232"/>
        <v>5000</v>
      </c>
      <c r="L2984" s="187">
        <v>40000</v>
      </c>
      <c r="M2984" s="110">
        <v>9.5</v>
      </c>
      <c r="N2984" s="9">
        <f>VLOOKUP(DATE(YEAR(A2984),MONTH(A2984),DAY(A2984)),FY24_Temp[],3,FALSE)</f>
        <v>17.5</v>
      </c>
      <c r="O2984" s="110">
        <f t="shared" si="3218"/>
        <v>11.5</v>
      </c>
      <c r="P2984" s="110">
        <f t="shared" si="3219"/>
        <v>19.5</v>
      </c>
      <c r="Q2984" s="79">
        <f>VLOOKUP(VLOOKUP(DATEVALUE(TEXT(A2984,"m/d/yyyy")),FY24_Temp[],5,FALSE)&amp;TEXT(A2984,"-h"),TempDelta[],4,FALSE)</f>
        <v>0.42975000292062759</v>
      </c>
      <c r="R2984">
        <v>10</v>
      </c>
      <c r="S2984" s="112">
        <v>1500</v>
      </c>
      <c r="T2984" s="5">
        <f>VLOOKUP(TEXT(A2984,"yy-mm")&amp;"-"&amp;IF(AND(WEEKDAY(A2984)&gt;1,WEEKDAY(A2984)&lt;7),"Wkd",TEXT(A2984,"Ddd"))&amp;"-"&amp;TEXT(A2984,"hh"),LoadTable[],3,FALSE)*0.92</f>
        <v>209.6772</v>
      </c>
      <c r="U2984" s="113">
        <f t="shared" si="3220"/>
        <v>20.96772</v>
      </c>
      <c r="V2984">
        <f t="shared" ref="V2984:W2984" si="3261">V2960</f>
        <v>2.9</v>
      </c>
      <c r="W2984">
        <f t="shared" si="3261"/>
        <v>3.1</v>
      </c>
      <c r="X2984" s="9">
        <v>-107.86664261667001</v>
      </c>
      <c r="Y2984" s="39"/>
    </row>
    <row r="2985" spans="1:25" ht="15" thickBot="1">
      <c r="A2985" s="149">
        <f t="shared" si="3202"/>
        <v>45960.249999994747</v>
      </c>
      <c r="B2985" s="30">
        <f t="shared" si="3229"/>
        <v>8000</v>
      </c>
      <c r="C2985" s="8">
        <v>25000</v>
      </c>
      <c r="D2985" s="187">
        <v>0</v>
      </c>
      <c r="E2985" s="187">
        <v>700</v>
      </c>
      <c r="F2985" s="187">
        <v>15000</v>
      </c>
      <c r="G2985" s="30">
        <f t="shared" si="3230"/>
        <v>2470</v>
      </c>
      <c r="H2985" s="8">
        <f t="shared" si="3230"/>
        <v>25000</v>
      </c>
      <c r="I2985" s="30">
        <f t="shared" si="3231"/>
        <v>8000</v>
      </c>
      <c r="J2985" s="187">
        <v>40000</v>
      </c>
      <c r="K2985" s="30">
        <f t="shared" si="3232"/>
        <v>8000</v>
      </c>
      <c r="L2985" s="187">
        <v>40000</v>
      </c>
      <c r="M2985" s="110">
        <v>9.5</v>
      </c>
      <c r="N2985" s="9">
        <f>VLOOKUP(DATE(YEAR(A2985),MONTH(A2985),DAY(A2985)),FY24_Temp[],3,FALSE)</f>
        <v>17.5</v>
      </c>
      <c r="O2985" s="110">
        <f t="shared" si="3218"/>
        <v>11.5</v>
      </c>
      <c r="P2985" s="110">
        <f t="shared" si="3219"/>
        <v>19.5</v>
      </c>
      <c r="Q2985" s="79">
        <f>VLOOKUP(VLOOKUP(DATEVALUE(TEXT(A2985,"m/d/yyyy")),FY24_Temp[],5,FALSE)&amp;TEXT(A2985,"-h"),TempDelta[],4,FALSE)</f>
        <v>0.32200000062584877</v>
      </c>
      <c r="R2985">
        <v>10</v>
      </c>
      <c r="S2985" s="112">
        <v>1500</v>
      </c>
      <c r="T2985" s="5">
        <f>VLOOKUP(TEXT(A2985,"yy-mm")&amp;"-"&amp;IF(AND(WEEKDAY(A2985)&gt;1,WEEKDAY(A2985)&lt;7),"Wkd",TEXT(A2985,"Ddd"))&amp;"-"&amp;TEXT(A2985,"hh"),LoadTable[],3,FALSE)*0.92</f>
        <v>209.6772</v>
      </c>
      <c r="U2985" s="113">
        <f t="shared" si="3220"/>
        <v>20.96772</v>
      </c>
      <c r="V2985">
        <f t="shared" ref="V2985:W2985" si="3262">V2961</f>
        <v>2.5</v>
      </c>
      <c r="W2985">
        <f t="shared" si="3262"/>
        <v>3.1</v>
      </c>
      <c r="X2985" s="9">
        <v>-107.94443716667</v>
      </c>
      <c r="Y2985" s="39"/>
    </row>
    <row r="2986" spans="1:25" ht="15" thickBot="1">
      <c r="A2986" s="149">
        <f t="shared" si="3202"/>
        <v>45960.291666661411</v>
      </c>
      <c r="B2986" s="30">
        <f t="shared" si="3229"/>
        <v>8000</v>
      </c>
      <c r="C2986" s="8">
        <v>25000</v>
      </c>
      <c r="D2986" s="187">
        <v>0</v>
      </c>
      <c r="E2986" s="187">
        <v>700</v>
      </c>
      <c r="F2986" s="187">
        <v>15000</v>
      </c>
      <c r="G2986" s="30">
        <f t="shared" si="3230"/>
        <v>2470</v>
      </c>
      <c r="H2986" s="8">
        <f t="shared" si="3230"/>
        <v>25000</v>
      </c>
      <c r="I2986" s="30">
        <f t="shared" si="3231"/>
        <v>8000</v>
      </c>
      <c r="J2986" s="187">
        <v>40000</v>
      </c>
      <c r="K2986" s="30">
        <f t="shared" si="3232"/>
        <v>8000</v>
      </c>
      <c r="L2986" s="187">
        <v>40000</v>
      </c>
      <c r="M2986" s="110">
        <v>9.5</v>
      </c>
      <c r="N2986" s="9">
        <f>VLOOKUP(DATE(YEAR(A2986),MONTH(A2986),DAY(A2986)),FY24_Temp[],3,FALSE)</f>
        <v>17.5</v>
      </c>
      <c r="O2986" s="110">
        <f t="shared" si="3218"/>
        <v>11.5</v>
      </c>
      <c r="P2986" s="110">
        <f t="shared" si="3219"/>
        <v>19.5</v>
      </c>
      <c r="Q2986" s="79">
        <f>VLOOKUP(VLOOKUP(DATEVALUE(TEXT(A2986,"m/d/yyyy")),FY24_Temp[],5,FALSE)&amp;TEXT(A2986,"-h"),TempDelta[],4,FALSE)</f>
        <v>0.13774999789893627</v>
      </c>
      <c r="R2986">
        <v>10</v>
      </c>
      <c r="S2986" s="112">
        <v>1500</v>
      </c>
      <c r="T2986" s="5">
        <f>VLOOKUP(TEXT(A2986,"yy-mm")&amp;"-"&amp;IF(AND(WEEKDAY(A2986)&gt;1,WEEKDAY(A2986)&lt;7),"Wkd",TEXT(A2986,"Ddd"))&amp;"-"&amp;TEXT(A2986,"hh"),LoadTable[],3,FALSE)*0.92</f>
        <v>234.80148</v>
      </c>
      <c r="U2986" s="113">
        <f t="shared" si="3220"/>
        <v>23.480148</v>
      </c>
      <c r="V2986">
        <f t="shared" ref="V2986:W2986" si="3263">V2962</f>
        <v>2.5</v>
      </c>
      <c r="W2986">
        <f t="shared" si="3263"/>
        <v>3.1</v>
      </c>
      <c r="X2986" s="9">
        <v>-108.02223171667001</v>
      </c>
      <c r="Y2986" s="39"/>
    </row>
    <row r="2987" spans="1:25" ht="15" thickBot="1">
      <c r="A2987" s="149">
        <f t="shared" si="3202"/>
        <v>45960.333333328075</v>
      </c>
      <c r="B2987" s="30">
        <f t="shared" si="3229"/>
        <v>8000</v>
      </c>
      <c r="C2987" s="8">
        <v>25000</v>
      </c>
      <c r="D2987" s="187">
        <v>0</v>
      </c>
      <c r="E2987" s="187">
        <v>700</v>
      </c>
      <c r="F2987" s="187">
        <v>15000</v>
      </c>
      <c r="G2987" s="30">
        <f t="shared" si="3230"/>
        <v>2470</v>
      </c>
      <c r="H2987" s="8">
        <f t="shared" si="3230"/>
        <v>25000</v>
      </c>
      <c r="I2987" s="30">
        <f t="shared" si="3231"/>
        <v>8000</v>
      </c>
      <c r="J2987" s="187">
        <v>40000</v>
      </c>
      <c r="K2987" s="30">
        <f t="shared" si="3232"/>
        <v>8000</v>
      </c>
      <c r="L2987" s="187">
        <v>40000</v>
      </c>
      <c r="M2987" s="110">
        <v>9.5</v>
      </c>
      <c r="N2987" s="9">
        <f>VLOOKUP(DATE(YEAR(A2987),MONTH(A2987),DAY(A2987)),FY24_Temp[],3,FALSE)</f>
        <v>17.5</v>
      </c>
      <c r="O2987" s="110">
        <f t="shared" si="3218"/>
        <v>11.5</v>
      </c>
      <c r="P2987" s="110">
        <f t="shared" si="3219"/>
        <v>19.5</v>
      </c>
      <c r="Q2987" s="79">
        <f>VLOOKUP(VLOOKUP(DATEVALUE(TEXT(A2987,"m/d/yyyy")),FY24_Temp[],5,FALSE)&amp;TEXT(A2987,"-h"),TempDelta[],4,FALSE)</f>
        <v>2.8249999275431037E-2</v>
      </c>
      <c r="R2987">
        <v>10</v>
      </c>
      <c r="S2987" s="112">
        <v>1500</v>
      </c>
      <c r="T2987" s="5">
        <f>VLOOKUP(TEXT(A2987,"yy-mm")&amp;"-"&amp;IF(AND(WEEKDAY(A2987)&gt;1,WEEKDAY(A2987)&lt;7),"Wkd",TEXT(A2987,"Ddd"))&amp;"-"&amp;TEXT(A2987,"hh"),LoadTable[],3,FALSE)*0.92</f>
        <v>234.80148</v>
      </c>
      <c r="U2987" s="113">
        <f t="shared" si="3220"/>
        <v>23.480148</v>
      </c>
      <c r="V2987">
        <f t="shared" ref="V2987:W2987" si="3264">V2963</f>
        <v>3.2</v>
      </c>
      <c r="W2987">
        <f t="shared" si="3264"/>
        <v>3</v>
      </c>
      <c r="X2987" s="9">
        <v>-108.10002626667</v>
      </c>
      <c r="Y2987" s="39"/>
    </row>
    <row r="2988" spans="1:25" ht="15" thickBot="1">
      <c r="A2988" s="149">
        <f t="shared" si="3202"/>
        <v>45960.374999994739</v>
      </c>
      <c r="B2988" s="30">
        <f t="shared" si="3229"/>
        <v>8000</v>
      </c>
      <c r="C2988" s="8">
        <v>25000</v>
      </c>
      <c r="D2988" s="187">
        <v>0</v>
      </c>
      <c r="E2988" s="187">
        <v>700</v>
      </c>
      <c r="F2988" s="187">
        <v>15000</v>
      </c>
      <c r="G2988" s="30">
        <f t="shared" si="3230"/>
        <v>2470</v>
      </c>
      <c r="H2988" s="8">
        <f t="shared" si="3230"/>
        <v>25000</v>
      </c>
      <c r="I2988" s="30">
        <f t="shared" si="3231"/>
        <v>8000</v>
      </c>
      <c r="J2988" s="187">
        <v>40000</v>
      </c>
      <c r="K2988" s="30">
        <f t="shared" si="3232"/>
        <v>8000</v>
      </c>
      <c r="L2988" s="187">
        <v>40000</v>
      </c>
      <c r="M2988" s="110">
        <v>9.5</v>
      </c>
      <c r="N2988" s="9">
        <f>VLOOKUP(DATE(YEAR(A2988),MONTH(A2988),DAY(A2988)),FY24_Temp[],3,FALSE)</f>
        <v>17.5</v>
      </c>
      <c r="O2988" s="110">
        <f t="shared" si="3218"/>
        <v>11.5</v>
      </c>
      <c r="P2988" s="110">
        <f t="shared" si="3219"/>
        <v>19.5</v>
      </c>
      <c r="Q2988" s="79">
        <f>VLOOKUP(VLOOKUP(DATEVALUE(TEXT(A2988,"m/d/yyyy")),FY24_Temp[],5,FALSE)&amp;TEXT(A2988,"-h"),TempDelta[],4,FALSE)</f>
        <v>-5.3000001236796379E-2</v>
      </c>
      <c r="R2988">
        <v>10</v>
      </c>
      <c r="S2988" s="112">
        <v>1500</v>
      </c>
      <c r="T2988" s="5">
        <f>VLOOKUP(TEXT(A2988,"yy-mm")&amp;"-"&amp;IF(AND(WEEKDAY(A2988)&gt;1,WEEKDAY(A2988)&lt;7),"Wkd",TEXT(A2988,"Ddd"))&amp;"-"&amp;TEXT(A2988,"hh"),LoadTable[],3,FALSE)*0.92</f>
        <v>234.80148</v>
      </c>
      <c r="U2988" s="113">
        <f t="shared" si="3220"/>
        <v>23.480148</v>
      </c>
      <c r="V2988">
        <f t="shared" ref="V2988:W2988" si="3265">V2964</f>
        <v>2.9</v>
      </c>
      <c r="W2988">
        <f t="shared" si="3265"/>
        <v>3</v>
      </c>
      <c r="X2988" s="9">
        <v>-108.17782081667001</v>
      </c>
      <c r="Y2988" s="39"/>
    </row>
    <row r="2989" spans="1:25" ht="15" thickBot="1">
      <c r="A2989" s="149">
        <f t="shared" si="3202"/>
        <v>45960.416666661404</v>
      </c>
      <c r="B2989" s="30">
        <f t="shared" si="3229"/>
        <v>8000</v>
      </c>
      <c r="C2989" s="8">
        <v>25000</v>
      </c>
      <c r="D2989" s="187">
        <v>0</v>
      </c>
      <c r="E2989" s="187">
        <v>700</v>
      </c>
      <c r="F2989" s="187">
        <v>15000</v>
      </c>
      <c r="G2989" s="30">
        <f t="shared" si="3230"/>
        <v>2470</v>
      </c>
      <c r="H2989" s="8">
        <f t="shared" si="3230"/>
        <v>25000</v>
      </c>
      <c r="I2989" s="30">
        <f t="shared" si="3231"/>
        <v>8000</v>
      </c>
      <c r="J2989" s="187">
        <v>40000</v>
      </c>
      <c r="K2989" s="30">
        <f t="shared" si="3232"/>
        <v>8000</v>
      </c>
      <c r="L2989" s="187">
        <v>40000</v>
      </c>
      <c r="M2989" s="110">
        <v>9.5</v>
      </c>
      <c r="N2989" s="9">
        <f>VLOOKUP(DATE(YEAR(A2989),MONTH(A2989),DAY(A2989)),FY24_Temp[],3,FALSE)</f>
        <v>17.5</v>
      </c>
      <c r="O2989" s="110">
        <f t="shared" si="3218"/>
        <v>11.5</v>
      </c>
      <c r="P2989" s="110">
        <f t="shared" si="3219"/>
        <v>19.5</v>
      </c>
      <c r="Q2989" s="79">
        <f>VLOOKUP(VLOOKUP(DATEVALUE(TEXT(A2989,"m/d/yyyy")),FY24_Temp[],5,FALSE)&amp;TEXT(A2989,"-h"),TempDelta[],4,FALSE)</f>
        <v>-0.13824999803910032</v>
      </c>
      <c r="R2989">
        <v>10</v>
      </c>
      <c r="S2989" s="112">
        <v>1500</v>
      </c>
      <c r="T2989" s="5">
        <f>VLOOKUP(TEXT(A2989,"yy-mm")&amp;"-"&amp;IF(AND(WEEKDAY(A2989)&gt;1,WEEKDAY(A2989)&lt;7),"Wkd",TEXT(A2989,"Ddd"))&amp;"-"&amp;TEXT(A2989,"hh"),LoadTable[],3,FALSE)*0.92</f>
        <v>234.80148</v>
      </c>
      <c r="U2989" s="113">
        <f t="shared" si="3220"/>
        <v>23.480148</v>
      </c>
      <c r="V2989">
        <f t="shared" ref="V2989:W2989" si="3266">V2965</f>
        <v>2.9</v>
      </c>
      <c r="W2989">
        <f t="shared" si="3266"/>
        <v>3</v>
      </c>
      <c r="X2989" s="9">
        <v>-108.25561536667</v>
      </c>
      <c r="Y2989" s="39"/>
    </row>
    <row r="2990" spans="1:25" ht="15" thickBot="1">
      <c r="A2990" s="149">
        <f t="shared" si="3202"/>
        <v>45960.458333328068</v>
      </c>
      <c r="B2990" s="30">
        <f t="shared" si="3229"/>
        <v>8000</v>
      </c>
      <c r="C2990" s="8">
        <v>25000</v>
      </c>
      <c r="D2990" s="187">
        <v>0</v>
      </c>
      <c r="E2990" s="187">
        <v>700</v>
      </c>
      <c r="F2990" s="187">
        <v>15000</v>
      </c>
      <c r="G2990" s="30">
        <f t="shared" si="3230"/>
        <v>2470</v>
      </c>
      <c r="H2990" s="8">
        <f t="shared" si="3230"/>
        <v>25000</v>
      </c>
      <c r="I2990" s="30">
        <f t="shared" si="3231"/>
        <v>8000</v>
      </c>
      <c r="J2990" s="187">
        <v>40000</v>
      </c>
      <c r="K2990" s="30">
        <f t="shared" si="3232"/>
        <v>8000</v>
      </c>
      <c r="L2990" s="187">
        <v>40000</v>
      </c>
      <c r="M2990" s="110">
        <v>9.5</v>
      </c>
      <c r="N2990" s="9">
        <f>VLOOKUP(DATE(YEAR(A2990),MONTH(A2990),DAY(A2990)),FY24_Temp[],3,FALSE)</f>
        <v>17.5</v>
      </c>
      <c r="O2990" s="110">
        <f t="shared" si="3218"/>
        <v>11.5</v>
      </c>
      <c r="P2990" s="110">
        <f t="shared" si="3219"/>
        <v>19.5</v>
      </c>
      <c r="Q2990" s="79">
        <f>VLOOKUP(VLOOKUP(DATEVALUE(TEXT(A2990,"m/d/yyyy")),FY24_Temp[],5,FALSE)&amp;TEXT(A2990,"-h"),TempDelta[],4,FALSE)</f>
        <v>-0.20649999752640724</v>
      </c>
      <c r="R2990">
        <v>10</v>
      </c>
      <c r="S2990" s="112">
        <v>1500</v>
      </c>
      <c r="T2990" s="5">
        <f>VLOOKUP(TEXT(A2990,"yy-mm")&amp;"-"&amp;IF(AND(WEEKDAY(A2990)&gt;1,WEEKDAY(A2990)&lt;7),"Wkd",TEXT(A2990,"Ddd"))&amp;"-"&amp;TEXT(A2990,"hh"),LoadTable[],3,FALSE)*0.92</f>
        <v>234.80148</v>
      </c>
      <c r="U2990" s="113">
        <f t="shared" si="3220"/>
        <v>23.480148</v>
      </c>
      <c r="V2990">
        <f t="shared" ref="V2990:W2990" si="3267">V2966</f>
        <v>3.4</v>
      </c>
      <c r="W2990">
        <f t="shared" si="3267"/>
        <v>3</v>
      </c>
      <c r="X2990" s="9">
        <v>-108.33340991667001</v>
      </c>
      <c r="Y2990" s="39"/>
    </row>
    <row r="2991" spans="1:25" ht="15" thickBot="1">
      <c r="A2991" s="149">
        <f t="shared" si="3202"/>
        <v>45960.499999994732</v>
      </c>
      <c r="B2991" s="30">
        <f t="shared" si="3229"/>
        <v>8000</v>
      </c>
      <c r="C2991" s="8">
        <v>25000</v>
      </c>
      <c r="D2991" s="187">
        <v>0</v>
      </c>
      <c r="E2991" s="187">
        <v>700</v>
      </c>
      <c r="F2991" s="187">
        <v>15000</v>
      </c>
      <c r="G2991" s="30">
        <f t="shared" si="3230"/>
        <v>2470</v>
      </c>
      <c r="H2991" s="8">
        <f t="shared" si="3230"/>
        <v>25000</v>
      </c>
      <c r="I2991" s="30">
        <f t="shared" si="3231"/>
        <v>8000</v>
      </c>
      <c r="J2991" s="187">
        <v>40000</v>
      </c>
      <c r="K2991" s="30">
        <f t="shared" si="3232"/>
        <v>8000</v>
      </c>
      <c r="L2991" s="187">
        <v>40000</v>
      </c>
      <c r="M2991" s="110">
        <v>9.5</v>
      </c>
      <c r="N2991" s="9">
        <f>VLOOKUP(DATE(YEAR(A2991),MONTH(A2991),DAY(A2991)),FY24_Temp[],3,FALSE)</f>
        <v>17.5</v>
      </c>
      <c r="O2991" s="110">
        <f t="shared" si="3218"/>
        <v>11.5</v>
      </c>
      <c r="P2991" s="110">
        <f t="shared" si="3219"/>
        <v>19.5</v>
      </c>
      <c r="Q2991" s="79">
        <f>VLOOKUP(VLOOKUP(DATEVALUE(TEXT(A2991,"m/d/yyyy")),FY24_Temp[],5,FALSE)&amp;TEXT(A2991,"-h"),TempDelta[],4,FALSE)</f>
        <v>-0.25474999845027924</v>
      </c>
      <c r="R2991">
        <v>10</v>
      </c>
      <c r="S2991" s="112">
        <v>1500</v>
      </c>
      <c r="T2991" s="5">
        <f>VLOOKUP(TEXT(A2991,"yy-mm")&amp;"-"&amp;IF(AND(WEEKDAY(A2991)&gt;1,WEEKDAY(A2991)&lt;7),"Wkd",TEXT(A2991,"Ddd"))&amp;"-"&amp;TEXT(A2991,"hh"),LoadTable[],3,FALSE)*0.92</f>
        <v>234.80148</v>
      </c>
      <c r="U2991" s="113">
        <f t="shared" si="3220"/>
        <v>23.480148</v>
      </c>
      <c r="V2991">
        <f t="shared" ref="V2991:W2991" si="3268">V2967</f>
        <v>3.1</v>
      </c>
      <c r="W2991">
        <f t="shared" si="3268"/>
        <v>2.9</v>
      </c>
      <c r="X2991" s="9">
        <v>-108.41120446667</v>
      </c>
      <c r="Y2991" s="39"/>
    </row>
    <row r="2992" spans="1:25" ht="15" thickBot="1">
      <c r="A2992" s="149">
        <f t="shared" si="3202"/>
        <v>45960.541666661396</v>
      </c>
      <c r="B2992" s="30">
        <f t="shared" si="3229"/>
        <v>8000</v>
      </c>
      <c r="C2992" s="8">
        <v>25000</v>
      </c>
      <c r="D2992" s="187">
        <v>0</v>
      </c>
      <c r="E2992" s="187">
        <v>700</v>
      </c>
      <c r="F2992" s="187">
        <v>15000</v>
      </c>
      <c r="G2992" s="30">
        <f t="shared" si="3230"/>
        <v>2470</v>
      </c>
      <c r="H2992" s="8">
        <f t="shared" si="3230"/>
        <v>25000</v>
      </c>
      <c r="I2992" s="30">
        <f t="shared" si="3231"/>
        <v>8000</v>
      </c>
      <c r="J2992" s="187">
        <v>40000</v>
      </c>
      <c r="K2992" s="30">
        <f t="shared" si="3232"/>
        <v>8000</v>
      </c>
      <c r="L2992" s="187">
        <v>40000</v>
      </c>
      <c r="M2992" s="110">
        <v>9.5</v>
      </c>
      <c r="N2992" s="9">
        <f>VLOOKUP(DATE(YEAR(A2992),MONTH(A2992),DAY(A2992)),FY24_Temp[],3,FALSE)</f>
        <v>17.5</v>
      </c>
      <c r="O2992" s="110">
        <f t="shared" si="3218"/>
        <v>11.5</v>
      </c>
      <c r="P2992" s="110">
        <f t="shared" si="3219"/>
        <v>19.5</v>
      </c>
      <c r="Q2992" s="79">
        <f>VLOOKUP(VLOOKUP(DATEVALUE(TEXT(A2992,"m/d/yyyy")),FY24_Temp[],5,FALSE)&amp;TEXT(A2992,"-h"),TempDelta[],4,FALSE)</f>
        <v>-0.27724999561905861</v>
      </c>
      <c r="R2992">
        <v>10</v>
      </c>
      <c r="S2992" s="112">
        <v>1500</v>
      </c>
      <c r="T2992" s="5">
        <f>VLOOKUP(TEXT(A2992,"yy-mm")&amp;"-"&amp;IF(AND(WEEKDAY(A2992)&gt;1,WEEKDAY(A2992)&lt;7),"Wkd",TEXT(A2992,"Ddd"))&amp;"-"&amp;TEXT(A2992,"hh"),LoadTable[],3,FALSE)*0.92</f>
        <v>234.80148</v>
      </c>
      <c r="U2992" s="113">
        <f t="shared" si="3220"/>
        <v>23.480148</v>
      </c>
      <c r="V2992">
        <f t="shared" ref="V2992:W2992" si="3269">V2968</f>
        <v>3.2</v>
      </c>
      <c r="W2992">
        <f t="shared" si="3269"/>
        <v>2.9</v>
      </c>
      <c r="X2992" s="9">
        <v>-108.48899901666999</v>
      </c>
      <c r="Y2992" s="39"/>
    </row>
    <row r="2993" spans="1:25" ht="15" thickBot="1">
      <c r="A2993" s="149">
        <f t="shared" si="3202"/>
        <v>45960.583333328061</v>
      </c>
      <c r="B2993" s="30">
        <f t="shared" si="3229"/>
        <v>8000</v>
      </c>
      <c r="C2993" s="8">
        <v>25000</v>
      </c>
      <c r="D2993" s="187">
        <v>0</v>
      </c>
      <c r="E2993" s="187">
        <v>700</v>
      </c>
      <c r="F2993" s="187">
        <v>15000</v>
      </c>
      <c r="G2993" s="30">
        <f t="shared" si="3230"/>
        <v>2470</v>
      </c>
      <c r="H2993" s="8">
        <f t="shared" si="3230"/>
        <v>25000</v>
      </c>
      <c r="I2993" s="30">
        <f t="shared" si="3231"/>
        <v>8000</v>
      </c>
      <c r="J2993" s="187">
        <v>40000</v>
      </c>
      <c r="K2993" s="30">
        <f t="shared" si="3232"/>
        <v>8000</v>
      </c>
      <c r="L2993" s="187">
        <v>40000</v>
      </c>
      <c r="M2993" s="110">
        <v>9.5</v>
      </c>
      <c r="N2993" s="9">
        <f>VLOOKUP(DATE(YEAR(A2993),MONTH(A2993),DAY(A2993)),FY24_Temp[],3,FALSE)</f>
        <v>17.5</v>
      </c>
      <c r="O2993" s="110">
        <f t="shared" si="3218"/>
        <v>11.5</v>
      </c>
      <c r="P2993" s="110">
        <f t="shared" si="3219"/>
        <v>19.5</v>
      </c>
      <c r="Q2993" s="79">
        <f>VLOOKUP(VLOOKUP(DATEVALUE(TEXT(A2993,"m/d/yyyy")),FY24_Temp[],5,FALSE)&amp;TEXT(A2993,"-h"),TempDelta[],4,FALSE)</f>
        <v>-0.23250000178813934</v>
      </c>
      <c r="R2993">
        <v>10</v>
      </c>
      <c r="S2993" s="112">
        <v>1500</v>
      </c>
      <c r="T2993" s="5">
        <f>VLOOKUP(TEXT(A2993,"yy-mm")&amp;"-"&amp;IF(AND(WEEKDAY(A2993)&gt;1,WEEKDAY(A2993)&lt;7),"Wkd",TEXT(A2993,"Ddd"))&amp;"-"&amp;TEXT(A2993,"hh"),LoadTable[],3,FALSE)*0.92</f>
        <v>234.80148</v>
      </c>
      <c r="U2993" s="113">
        <f t="shared" si="3220"/>
        <v>23.480148</v>
      </c>
      <c r="V2993">
        <f t="shared" ref="V2993:W2993" si="3270">V2969</f>
        <v>3.5</v>
      </c>
      <c r="W2993">
        <f t="shared" si="3270"/>
        <v>2.9</v>
      </c>
      <c r="X2993" s="9">
        <v>-108.56679356667</v>
      </c>
      <c r="Y2993" s="39"/>
    </row>
    <row r="2994" spans="1:25" ht="15" thickBot="1">
      <c r="A2994" s="149">
        <f t="shared" si="3202"/>
        <v>45960.624999994725</v>
      </c>
      <c r="B2994" s="30">
        <f t="shared" si="3229"/>
        <v>8000</v>
      </c>
      <c r="C2994" s="8">
        <v>25000</v>
      </c>
      <c r="D2994" s="187">
        <v>0</v>
      </c>
      <c r="E2994" s="187">
        <v>700</v>
      </c>
      <c r="F2994" s="187">
        <v>15000</v>
      </c>
      <c r="G2994" s="30">
        <f t="shared" si="3230"/>
        <v>2470</v>
      </c>
      <c r="H2994" s="8">
        <f t="shared" si="3230"/>
        <v>25000</v>
      </c>
      <c r="I2994" s="30">
        <f t="shared" si="3231"/>
        <v>8000</v>
      </c>
      <c r="J2994" s="187">
        <v>40000</v>
      </c>
      <c r="K2994" s="30">
        <f t="shared" si="3232"/>
        <v>8000</v>
      </c>
      <c r="L2994" s="187">
        <v>40000</v>
      </c>
      <c r="M2994" s="110">
        <v>9.5</v>
      </c>
      <c r="N2994" s="9">
        <f>VLOOKUP(DATE(YEAR(A2994),MONTH(A2994),DAY(A2994)),FY24_Temp[],3,FALSE)</f>
        <v>17.5</v>
      </c>
      <c r="O2994" s="110">
        <f t="shared" si="3218"/>
        <v>11.5</v>
      </c>
      <c r="P2994" s="110">
        <f t="shared" si="3219"/>
        <v>19.5</v>
      </c>
      <c r="Q2994" s="79">
        <f>VLOOKUP(VLOOKUP(DATEVALUE(TEXT(A2994,"m/d/yyyy")),FY24_Temp[],5,FALSE)&amp;TEXT(A2994,"-h"),TempDelta[],4,FALSE)</f>
        <v>-0.15862499922513962</v>
      </c>
      <c r="R2994">
        <v>10</v>
      </c>
      <c r="S2994" s="112">
        <v>1500</v>
      </c>
      <c r="T2994" s="5">
        <f>VLOOKUP(TEXT(A2994,"yy-mm")&amp;"-"&amp;IF(AND(WEEKDAY(A2994)&gt;1,WEEKDAY(A2994)&lt;7),"Wkd",TEXT(A2994,"Ddd"))&amp;"-"&amp;TEXT(A2994,"hh"),LoadTable[],3,FALSE)*0.92</f>
        <v>234.80148</v>
      </c>
      <c r="U2994" s="113">
        <f t="shared" si="3220"/>
        <v>23.480148</v>
      </c>
      <c r="V2994">
        <f t="shared" ref="V2994:W2994" si="3271">V2970</f>
        <v>3.2</v>
      </c>
      <c r="W2994">
        <f t="shared" si="3271"/>
        <v>2.9</v>
      </c>
      <c r="X2994" s="9">
        <v>-108.64458811666999</v>
      </c>
      <c r="Y2994" s="39"/>
    </row>
    <row r="2995" spans="1:25" ht="15" thickBot="1">
      <c r="A2995" s="149">
        <f t="shared" si="3202"/>
        <v>45960.666666661389</v>
      </c>
      <c r="B2995" s="30">
        <f t="shared" si="3229"/>
        <v>8000</v>
      </c>
      <c r="C2995" s="8">
        <v>25000</v>
      </c>
      <c r="D2995" s="187">
        <v>0</v>
      </c>
      <c r="E2995" s="187">
        <v>700</v>
      </c>
      <c r="F2995" s="187">
        <v>15000</v>
      </c>
      <c r="G2995" s="30">
        <f t="shared" si="3230"/>
        <v>2470</v>
      </c>
      <c r="H2995" s="8">
        <f t="shared" si="3230"/>
        <v>25000</v>
      </c>
      <c r="I2995" s="30">
        <f t="shared" si="3231"/>
        <v>8000</v>
      </c>
      <c r="J2995" s="187">
        <v>40000</v>
      </c>
      <c r="K2995" s="30">
        <f t="shared" si="3232"/>
        <v>8000</v>
      </c>
      <c r="L2995" s="187">
        <v>40000</v>
      </c>
      <c r="M2995" s="110">
        <v>9.5</v>
      </c>
      <c r="N2995" s="9">
        <f>VLOOKUP(DATE(YEAR(A2995),MONTH(A2995),DAY(A2995)),FY24_Temp[],3,FALSE)</f>
        <v>17.5</v>
      </c>
      <c r="O2995" s="110">
        <f t="shared" si="3218"/>
        <v>11.5</v>
      </c>
      <c r="P2995" s="110">
        <f t="shared" si="3219"/>
        <v>19.5</v>
      </c>
      <c r="Q2995" s="79">
        <f>VLOOKUP(VLOOKUP(DATEVALUE(TEXT(A2995,"m/d/yyyy")),FY24_Temp[],5,FALSE)&amp;TEXT(A2995,"-h"),TempDelta[],4,FALSE)</f>
        <v>5.487500037997961E-2</v>
      </c>
      <c r="R2995">
        <v>10</v>
      </c>
      <c r="S2995" s="112">
        <v>1500</v>
      </c>
      <c r="T2995" s="5">
        <f>VLOOKUP(TEXT(A2995,"yy-mm")&amp;"-"&amp;IF(AND(WEEKDAY(A2995)&gt;1,WEEKDAY(A2995)&lt;7),"Wkd",TEXT(A2995,"Ddd"))&amp;"-"&amp;TEXT(A2995,"hh"),LoadTable[],3,FALSE)*0.92</f>
        <v>234.80148</v>
      </c>
      <c r="U2995" s="113">
        <f t="shared" si="3220"/>
        <v>23.480148</v>
      </c>
      <c r="V2995">
        <f t="shared" ref="V2995:W2995" si="3272">V2971</f>
        <v>3.5</v>
      </c>
      <c r="W2995">
        <f t="shared" si="3272"/>
        <v>3</v>
      </c>
      <c r="X2995" s="9">
        <v>-108.72238266667</v>
      </c>
      <c r="Y2995" s="39"/>
    </row>
    <row r="2996" spans="1:25" ht="15" thickBot="1">
      <c r="A2996" s="149">
        <f t="shared" si="3202"/>
        <v>45960.708333328053</v>
      </c>
      <c r="B2996" s="30">
        <f t="shared" si="3229"/>
        <v>8000</v>
      </c>
      <c r="C2996" s="8">
        <v>25000</v>
      </c>
      <c r="D2996" s="187">
        <v>0</v>
      </c>
      <c r="E2996" s="187">
        <v>700</v>
      </c>
      <c r="F2996" s="187">
        <v>15000</v>
      </c>
      <c r="G2996" s="30">
        <f t="shared" si="3230"/>
        <v>2470</v>
      </c>
      <c r="H2996" s="8">
        <f t="shared" si="3230"/>
        <v>25000</v>
      </c>
      <c r="I2996" s="30">
        <f t="shared" si="3231"/>
        <v>8000</v>
      </c>
      <c r="J2996" s="187">
        <v>40000</v>
      </c>
      <c r="K2996" s="30">
        <f t="shared" si="3232"/>
        <v>8000</v>
      </c>
      <c r="L2996" s="187">
        <v>40000</v>
      </c>
      <c r="M2996" s="110">
        <v>9.5</v>
      </c>
      <c r="N2996" s="9">
        <f>VLOOKUP(DATE(YEAR(A2996),MONTH(A2996),DAY(A2996)),FY24_Temp[],3,FALSE)</f>
        <v>17.5</v>
      </c>
      <c r="O2996" s="110">
        <f t="shared" si="3218"/>
        <v>11.5</v>
      </c>
      <c r="P2996" s="110">
        <f t="shared" si="3219"/>
        <v>19.5</v>
      </c>
      <c r="Q2996" s="79">
        <f>VLOOKUP(VLOOKUP(DATEVALUE(TEXT(A2996,"m/d/yyyy")),FY24_Temp[],5,FALSE)&amp;TEXT(A2996,"-h"),TempDelta[],4,FALSE)</f>
        <v>0.14624999904481228</v>
      </c>
      <c r="R2996">
        <v>10</v>
      </c>
      <c r="S2996" s="112">
        <v>1500</v>
      </c>
      <c r="T2996" s="5">
        <f>VLOOKUP(TEXT(A2996,"yy-mm")&amp;"-"&amp;IF(AND(WEEKDAY(A2996)&gt;1,WEEKDAY(A2996)&lt;7),"Wkd",TEXT(A2996,"Ddd"))&amp;"-"&amp;TEXT(A2996,"hh"),LoadTable[],3,FALSE)*0.92</f>
        <v>234.80148</v>
      </c>
      <c r="U2996" s="113">
        <f t="shared" si="3220"/>
        <v>23.480148</v>
      </c>
      <c r="V2996">
        <f t="shared" ref="V2996:W2996" si="3273">V2972</f>
        <v>3.6</v>
      </c>
      <c r="W2996">
        <f t="shared" si="3273"/>
        <v>3</v>
      </c>
      <c r="X2996" s="9">
        <v>-108.80017721666999</v>
      </c>
      <c r="Y2996" s="39"/>
    </row>
    <row r="2997" spans="1:25" ht="15" thickBot="1">
      <c r="A2997" s="149">
        <f t="shared" ref="A2997:A3026" si="3274">A2996+TIME(1,0,0)</f>
        <v>45960.749999994718</v>
      </c>
      <c r="B2997" s="30">
        <f t="shared" si="3229"/>
        <v>5000</v>
      </c>
      <c r="C2997" s="8">
        <v>25000</v>
      </c>
      <c r="D2997" s="187">
        <v>0</v>
      </c>
      <c r="E2997" s="187">
        <v>700</v>
      </c>
      <c r="F2997" s="187">
        <v>15000</v>
      </c>
      <c r="G2997" s="30">
        <f t="shared" si="3230"/>
        <v>2470</v>
      </c>
      <c r="H2997" s="8">
        <f t="shared" si="3230"/>
        <v>25000</v>
      </c>
      <c r="I2997" s="30">
        <f t="shared" si="3231"/>
        <v>5000</v>
      </c>
      <c r="J2997" s="187">
        <v>40000</v>
      </c>
      <c r="K2997" s="30">
        <f t="shared" si="3232"/>
        <v>5000</v>
      </c>
      <c r="L2997" s="187">
        <v>40000</v>
      </c>
      <c r="M2997" s="110">
        <v>9.5</v>
      </c>
      <c r="N2997" s="9">
        <f>VLOOKUP(DATE(YEAR(A2997),MONTH(A2997),DAY(A2997)),FY24_Temp[],3,FALSE)</f>
        <v>17.5</v>
      </c>
      <c r="O2997" s="110">
        <f t="shared" si="3218"/>
        <v>11.5</v>
      </c>
      <c r="P2997" s="110">
        <f t="shared" si="3219"/>
        <v>19.5</v>
      </c>
      <c r="Q2997" s="79">
        <f>VLOOKUP(VLOOKUP(DATEVALUE(TEXT(A2997,"m/d/yyyy")),FY24_Temp[],5,FALSE)&amp;TEXT(A2997,"-h"),TempDelta[],4,FALSE)</f>
        <v>0.26487499848008156</v>
      </c>
      <c r="R2997">
        <v>10</v>
      </c>
      <c r="S2997" s="112">
        <v>1500</v>
      </c>
      <c r="T2997" s="5">
        <f>VLOOKUP(TEXT(A2997,"yy-mm")&amp;"-"&amp;IF(AND(WEEKDAY(A2997)&gt;1,WEEKDAY(A2997)&lt;7),"Wkd",TEXT(A2997,"Ddd"))&amp;"-"&amp;TEXT(A2997,"hh"),LoadTable[],3,FALSE)*0.92</f>
        <v>303.31295999999998</v>
      </c>
      <c r="U2997" s="113">
        <f t="shared" si="3220"/>
        <v>30.331295999999998</v>
      </c>
      <c r="V2997">
        <f t="shared" ref="V2997:W2997" si="3275">V2973</f>
        <v>2.9</v>
      </c>
      <c r="W2997">
        <f t="shared" si="3275"/>
        <v>3</v>
      </c>
      <c r="X2997" s="9">
        <v>-108.87797176667</v>
      </c>
      <c r="Y2997" s="39"/>
    </row>
    <row r="2998" spans="1:25" ht="15" thickBot="1">
      <c r="A2998" s="149">
        <f t="shared" si="3274"/>
        <v>45960.791666661382</v>
      </c>
      <c r="B2998" s="30">
        <f t="shared" si="3229"/>
        <v>5000</v>
      </c>
      <c r="C2998" s="8">
        <v>25000</v>
      </c>
      <c r="D2998" s="187">
        <v>0</v>
      </c>
      <c r="E2998" s="187">
        <v>700</v>
      </c>
      <c r="F2998" s="187">
        <v>15000</v>
      </c>
      <c r="G2998" s="30">
        <f t="shared" si="3230"/>
        <v>2470</v>
      </c>
      <c r="H2998" s="8">
        <f t="shared" si="3230"/>
        <v>25000</v>
      </c>
      <c r="I2998" s="30">
        <f t="shared" si="3231"/>
        <v>5000</v>
      </c>
      <c r="J2998" s="187">
        <v>40000</v>
      </c>
      <c r="K2998" s="30">
        <f t="shared" si="3232"/>
        <v>5000</v>
      </c>
      <c r="L2998" s="187">
        <v>40000</v>
      </c>
      <c r="M2998" s="110">
        <v>9.5</v>
      </c>
      <c r="N2998" s="9">
        <f>VLOOKUP(DATE(YEAR(A2998),MONTH(A2998),DAY(A2998)),FY24_Temp[],3,FALSE)</f>
        <v>17.5</v>
      </c>
      <c r="O2998" s="110">
        <f t="shared" si="3218"/>
        <v>11.5</v>
      </c>
      <c r="P2998" s="110">
        <f t="shared" si="3219"/>
        <v>19.5</v>
      </c>
      <c r="Q2998" s="79">
        <f>VLOOKUP(VLOOKUP(DATEVALUE(TEXT(A2998,"m/d/yyyy")),FY24_Temp[],5,FALSE)&amp;TEXT(A2998,"-h"),TempDelta[],4,FALSE)</f>
        <v>0.24249999853782356</v>
      </c>
      <c r="R2998">
        <v>10</v>
      </c>
      <c r="S2998" s="112">
        <v>1500</v>
      </c>
      <c r="T2998" s="5">
        <f>VLOOKUP(TEXT(A2998,"yy-mm")&amp;"-"&amp;IF(AND(WEEKDAY(A2998)&gt;1,WEEKDAY(A2998)&lt;7),"Wkd",TEXT(A2998,"Ddd"))&amp;"-"&amp;TEXT(A2998,"hh"),LoadTable[],3,FALSE)*0.92</f>
        <v>303.31295999999998</v>
      </c>
      <c r="U2998" s="113">
        <f t="shared" si="3220"/>
        <v>30.331295999999998</v>
      </c>
      <c r="V2998">
        <f t="shared" ref="V2998:W2998" si="3276">V2974</f>
        <v>3</v>
      </c>
      <c r="W2998">
        <f t="shared" si="3276"/>
        <v>3</v>
      </c>
      <c r="X2998" s="9">
        <v>-108.95576631666999</v>
      </c>
      <c r="Y2998" s="39"/>
    </row>
    <row r="2999" spans="1:25" ht="15" thickBot="1">
      <c r="A2999" s="149">
        <f t="shared" si="3274"/>
        <v>45960.833333328046</v>
      </c>
      <c r="B2999" s="30">
        <f t="shared" si="3229"/>
        <v>5000</v>
      </c>
      <c r="C2999" s="8">
        <v>25000</v>
      </c>
      <c r="D2999" s="187">
        <v>0</v>
      </c>
      <c r="E2999" s="187">
        <v>700</v>
      </c>
      <c r="F2999" s="187">
        <v>15000</v>
      </c>
      <c r="G2999" s="30">
        <f t="shared" si="3230"/>
        <v>2470</v>
      </c>
      <c r="H2999" s="8">
        <f t="shared" si="3230"/>
        <v>25000</v>
      </c>
      <c r="I2999" s="30">
        <f t="shared" si="3231"/>
        <v>5000</v>
      </c>
      <c r="J2999" s="187">
        <v>40000</v>
      </c>
      <c r="K2999" s="30">
        <f t="shared" si="3232"/>
        <v>5000</v>
      </c>
      <c r="L2999" s="187">
        <v>40000</v>
      </c>
      <c r="M2999" s="110">
        <v>9.5</v>
      </c>
      <c r="N2999" s="9">
        <f>VLOOKUP(DATE(YEAR(A2999),MONTH(A2999),DAY(A2999)),FY24_Temp[],3,FALSE)</f>
        <v>17.5</v>
      </c>
      <c r="O2999" s="110">
        <f t="shared" si="3218"/>
        <v>11.5</v>
      </c>
      <c r="P2999" s="110">
        <f t="shared" si="3219"/>
        <v>19.5</v>
      </c>
      <c r="Q2999" s="79">
        <f>VLOOKUP(VLOOKUP(DATEVALUE(TEXT(A2999,"m/d/yyyy")),FY24_Temp[],5,FALSE)&amp;TEXT(A2999,"-h"),TempDelta[],4,FALSE)</f>
        <v>0.25587500119581819</v>
      </c>
      <c r="R2999">
        <v>10</v>
      </c>
      <c r="S2999" s="112">
        <v>1500</v>
      </c>
      <c r="T2999" s="5">
        <f>VLOOKUP(TEXT(A2999,"yy-mm")&amp;"-"&amp;IF(AND(WEEKDAY(A2999)&gt;1,WEEKDAY(A2999)&lt;7),"Wkd",TEXT(A2999,"Ddd"))&amp;"-"&amp;TEXT(A2999,"hh"),LoadTable[],3,FALSE)*0.92</f>
        <v>303.31295999999998</v>
      </c>
      <c r="U2999" s="113">
        <f t="shared" si="3220"/>
        <v>30.331295999999998</v>
      </c>
      <c r="V2999">
        <f t="shared" ref="V2999:W2999" si="3277">V2975</f>
        <v>2.8</v>
      </c>
      <c r="W2999">
        <f t="shared" si="3277"/>
        <v>3.1</v>
      </c>
      <c r="X2999" s="9">
        <v>-109.03356086667</v>
      </c>
      <c r="Y2999" s="39"/>
    </row>
    <row r="3000" spans="1:25" ht="15" thickBot="1">
      <c r="A3000" s="149">
        <f t="shared" si="3274"/>
        <v>45960.87499999471</v>
      </c>
      <c r="B3000" s="30">
        <f t="shared" si="3229"/>
        <v>5000</v>
      </c>
      <c r="C3000" s="8">
        <v>25000</v>
      </c>
      <c r="D3000" s="187">
        <v>0</v>
      </c>
      <c r="E3000" s="187">
        <v>700</v>
      </c>
      <c r="F3000" s="187">
        <v>15000</v>
      </c>
      <c r="G3000" s="30">
        <f t="shared" si="3230"/>
        <v>2470</v>
      </c>
      <c r="H3000" s="8">
        <f t="shared" si="3230"/>
        <v>25000</v>
      </c>
      <c r="I3000" s="30">
        <f t="shared" si="3231"/>
        <v>5000</v>
      </c>
      <c r="J3000" s="187">
        <v>40000</v>
      </c>
      <c r="K3000" s="30">
        <f t="shared" si="3232"/>
        <v>5000</v>
      </c>
      <c r="L3000" s="187">
        <v>40000</v>
      </c>
      <c r="M3000" s="110">
        <v>9.5</v>
      </c>
      <c r="N3000" s="9">
        <f>VLOOKUP(DATE(YEAR(A3000),MONTH(A3000),DAY(A3000)),FY24_Temp[],3,FALSE)</f>
        <v>17.5</v>
      </c>
      <c r="O3000" s="110">
        <f t="shared" si="3218"/>
        <v>11.5</v>
      </c>
      <c r="P3000" s="110">
        <f t="shared" si="3219"/>
        <v>19.5</v>
      </c>
      <c r="Q3000" s="79">
        <f>VLOOKUP(VLOOKUP(DATEVALUE(TEXT(A3000,"m/d/yyyy")),FY24_Temp[],5,FALSE)&amp;TEXT(A3000,"-h"),TempDelta[],4,FALSE)</f>
        <v>0.25137499789707363</v>
      </c>
      <c r="R3000">
        <v>10</v>
      </c>
      <c r="S3000" s="112">
        <v>1500</v>
      </c>
      <c r="T3000" s="5">
        <f>VLOOKUP(TEXT(A3000,"yy-mm")&amp;"-"&amp;IF(AND(WEEKDAY(A3000)&gt;1,WEEKDAY(A3000)&lt;7),"Wkd",TEXT(A3000,"Ddd"))&amp;"-"&amp;TEXT(A3000,"hh"),LoadTable[],3,FALSE)*0.92</f>
        <v>229.93744000000001</v>
      </c>
      <c r="U3000" s="113">
        <f t="shared" si="3220"/>
        <v>22.993744</v>
      </c>
      <c r="V3000">
        <f t="shared" ref="V3000:W3000" si="3278">V2976</f>
        <v>3.5</v>
      </c>
      <c r="W3000">
        <f t="shared" si="3278"/>
        <v>3.1</v>
      </c>
      <c r="X3000" s="9">
        <v>-109.11135541666999</v>
      </c>
      <c r="Y3000" s="39"/>
    </row>
    <row r="3001" spans="1:25" ht="15" thickBot="1">
      <c r="A3001" s="149">
        <f t="shared" si="3274"/>
        <v>45960.916666661375</v>
      </c>
      <c r="B3001" s="30">
        <f t="shared" si="3229"/>
        <v>5000</v>
      </c>
      <c r="C3001" s="8">
        <v>25000</v>
      </c>
      <c r="D3001" s="187">
        <v>0</v>
      </c>
      <c r="E3001" s="187">
        <v>700</v>
      </c>
      <c r="F3001" s="187">
        <v>15000</v>
      </c>
      <c r="G3001" s="30">
        <f t="shared" si="3230"/>
        <v>2470</v>
      </c>
      <c r="H3001" s="8">
        <f t="shared" si="3230"/>
        <v>25000</v>
      </c>
      <c r="I3001" s="30">
        <f t="shared" si="3231"/>
        <v>5000</v>
      </c>
      <c r="J3001" s="187">
        <v>40000</v>
      </c>
      <c r="K3001" s="30">
        <f t="shared" si="3232"/>
        <v>5000</v>
      </c>
      <c r="L3001" s="187">
        <v>40000</v>
      </c>
      <c r="M3001" s="110">
        <v>9.5</v>
      </c>
      <c r="N3001" s="9">
        <f>VLOOKUP(DATE(YEAR(A3001),MONTH(A3001),DAY(A3001)),FY24_Temp[],3,FALSE)</f>
        <v>17.5</v>
      </c>
      <c r="O3001" s="110">
        <f t="shared" si="3218"/>
        <v>11.5</v>
      </c>
      <c r="P3001" s="110">
        <f t="shared" si="3219"/>
        <v>19.5</v>
      </c>
      <c r="Q3001" s="79">
        <f>VLOOKUP(VLOOKUP(DATEVALUE(TEXT(A3001,"m/d/yyyy")),FY24_Temp[],5,FALSE)&amp;TEXT(A3001,"-h"),TempDelta[],4,FALSE)</f>
        <v>0.48149999231100082</v>
      </c>
      <c r="R3001">
        <v>10</v>
      </c>
      <c r="S3001" s="112">
        <v>1500</v>
      </c>
      <c r="T3001" s="5">
        <f>VLOOKUP(TEXT(A3001,"yy-mm")&amp;"-"&amp;IF(AND(WEEKDAY(A3001)&gt;1,WEEKDAY(A3001)&lt;7),"Wkd",TEXT(A3001,"Ddd"))&amp;"-"&amp;TEXT(A3001,"hh"),LoadTable[],3,FALSE)*0.92</f>
        <v>176.52040000000002</v>
      </c>
      <c r="U3001" s="113">
        <f t="shared" si="3220"/>
        <v>17.652040000000003</v>
      </c>
      <c r="V3001">
        <f t="shared" ref="V3001:W3001" si="3279">V2977</f>
        <v>2.9</v>
      </c>
      <c r="W3001">
        <f t="shared" si="3279"/>
        <v>3.1</v>
      </c>
      <c r="X3001" s="9">
        <v>-109.18914996667</v>
      </c>
      <c r="Y3001" s="39"/>
    </row>
    <row r="3002" spans="1:25" ht="15" thickBot="1">
      <c r="A3002" s="149">
        <f t="shared" si="3274"/>
        <v>45960.958333328039</v>
      </c>
      <c r="B3002" s="30">
        <f t="shared" si="3229"/>
        <v>5000</v>
      </c>
      <c r="C3002" s="8">
        <v>25000</v>
      </c>
      <c r="D3002" s="187">
        <v>0</v>
      </c>
      <c r="E3002" s="187">
        <v>700</v>
      </c>
      <c r="F3002" s="187">
        <v>15000</v>
      </c>
      <c r="G3002" s="30">
        <f t="shared" si="3230"/>
        <v>2470</v>
      </c>
      <c r="H3002" s="8">
        <f t="shared" si="3230"/>
        <v>25000</v>
      </c>
      <c r="I3002" s="30">
        <f t="shared" si="3231"/>
        <v>5000</v>
      </c>
      <c r="J3002" s="187">
        <v>40000</v>
      </c>
      <c r="K3002" s="30">
        <f t="shared" si="3232"/>
        <v>5000</v>
      </c>
      <c r="L3002" s="187">
        <v>40000</v>
      </c>
      <c r="M3002" s="110">
        <v>9.5</v>
      </c>
      <c r="N3002" s="9">
        <f>VLOOKUP(DATE(YEAR(A3002),MONTH(A3002),DAY(A3002)),FY24_Temp[],3,FALSE)</f>
        <v>17.5</v>
      </c>
      <c r="O3002" s="110">
        <f t="shared" si="3218"/>
        <v>11.5</v>
      </c>
      <c r="P3002" s="110">
        <f t="shared" si="3219"/>
        <v>19.5</v>
      </c>
      <c r="Q3002" s="79">
        <f>VLOOKUP(VLOOKUP(DATEVALUE(TEXT(A3002,"m/d/yyyy")),FY24_Temp[],5,FALSE)&amp;TEXT(A3002,"-h"),TempDelta[],4,FALSE)</f>
        <v>0.60849998891353607</v>
      </c>
      <c r="R3002">
        <v>10</v>
      </c>
      <c r="S3002" s="112">
        <v>1500</v>
      </c>
      <c r="T3002" s="5">
        <f>VLOOKUP(TEXT(A3002,"yy-mm")&amp;"-"&amp;IF(AND(WEEKDAY(A3002)&gt;1,WEEKDAY(A3002)&lt;7),"Wkd",TEXT(A3002,"Ddd"))&amp;"-"&amp;TEXT(A3002,"hh"),LoadTable[],3,FALSE)*0.92</f>
        <v>176.52040000000002</v>
      </c>
      <c r="U3002" s="113">
        <f t="shared" si="3220"/>
        <v>17.652040000000003</v>
      </c>
      <c r="V3002">
        <f t="shared" ref="V3002:W3002" si="3280">V2978</f>
        <v>3.6</v>
      </c>
      <c r="W3002">
        <f t="shared" si="3280"/>
        <v>3.1</v>
      </c>
      <c r="X3002" s="9">
        <v>-109.26694451666999</v>
      </c>
      <c r="Y3002" s="39"/>
    </row>
    <row r="3003" spans="1:25" ht="15" thickBot="1">
      <c r="A3003" s="148">
        <f t="shared" si="3274"/>
        <v>45960.999999994703</v>
      </c>
      <c r="B3003" s="116">
        <f t="shared" si="3229"/>
        <v>5000</v>
      </c>
      <c r="C3003" s="109">
        <v>25000</v>
      </c>
      <c r="D3003" s="187">
        <v>0</v>
      </c>
      <c r="E3003" s="187">
        <v>700</v>
      </c>
      <c r="F3003" s="187">
        <v>15000</v>
      </c>
      <c r="G3003" s="109">
        <f t="shared" si="3230"/>
        <v>2470</v>
      </c>
      <c r="H3003" s="8">
        <f t="shared" si="3230"/>
        <v>25000</v>
      </c>
      <c r="I3003" s="30">
        <f t="shared" si="3231"/>
        <v>5000</v>
      </c>
      <c r="J3003" s="187">
        <v>40000</v>
      </c>
      <c r="K3003" s="109">
        <f t="shared" si="3232"/>
        <v>5000</v>
      </c>
      <c r="L3003" s="187">
        <v>40000</v>
      </c>
      <c r="M3003" s="110">
        <v>9.5</v>
      </c>
      <c r="N3003" s="110">
        <f>VLOOKUP(DATE(YEAR(A3003),MONTH(A3003),DAY(A3003)),FY24_Temp[],3,FALSE)</f>
        <v>17.5</v>
      </c>
      <c r="O3003" s="110">
        <f t="shared" si="3218"/>
        <v>11.5</v>
      </c>
      <c r="P3003" s="110">
        <f t="shared" si="3219"/>
        <v>19.5</v>
      </c>
      <c r="Q3003" s="111">
        <f>VLOOKUP(VLOOKUP(DATEVALUE(TEXT(A3003,"m/d/yyyy")),FY24_Temp[],5,FALSE)&amp;TEXT(A3003,"-h"),TempDelta[],4,FALSE)</f>
        <v>0.73420000076293945</v>
      </c>
      <c r="R3003" s="112">
        <v>10</v>
      </c>
      <c r="S3003" s="112">
        <v>1500</v>
      </c>
      <c r="T3003" s="99">
        <f>VLOOKUP(TEXT(A3003,"yy-mm")&amp;"-"&amp;IF(AND(WEEKDAY(A3003)&gt;1,WEEKDAY(A3003)&lt;7),"Wkd",TEXT(A3003,"Ddd"))&amp;"-"&amp;TEXT(A3003,"hh"),LoadTable[],3,FALSE)*0.92</f>
        <v>209.6772</v>
      </c>
      <c r="U3003" s="113">
        <f t="shared" si="3220"/>
        <v>20.96772</v>
      </c>
      <c r="V3003" s="112">
        <f t="shared" ref="V3003:W3003" si="3281">V2979</f>
        <v>3</v>
      </c>
      <c r="W3003" s="112">
        <f t="shared" si="3281"/>
        <v>3.2</v>
      </c>
      <c r="X3003" s="114">
        <v>-109.34473906667</v>
      </c>
      <c r="Y3003" s="39"/>
    </row>
    <row r="3004" spans="1:25" ht="15" thickBot="1">
      <c r="A3004" s="149">
        <f t="shared" si="3274"/>
        <v>45961.041666661367</v>
      </c>
      <c r="B3004" s="30">
        <f t="shared" si="3229"/>
        <v>5000</v>
      </c>
      <c r="C3004" s="8">
        <v>25000</v>
      </c>
      <c r="D3004" s="187">
        <v>0</v>
      </c>
      <c r="E3004" s="187">
        <v>700</v>
      </c>
      <c r="F3004" s="187">
        <v>15000</v>
      </c>
      <c r="G3004" s="30">
        <f t="shared" si="3230"/>
        <v>2470</v>
      </c>
      <c r="H3004" s="8">
        <f t="shared" si="3230"/>
        <v>25000</v>
      </c>
      <c r="I3004" s="30">
        <f t="shared" si="3231"/>
        <v>5000</v>
      </c>
      <c r="J3004" s="187">
        <v>40000</v>
      </c>
      <c r="K3004" s="30">
        <f t="shared" si="3232"/>
        <v>5000</v>
      </c>
      <c r="L3004" s="187">
        <v>40000</v>
      </c>
      <c r="M3004" s="110">
        <v>9.5</v>
      </c>
      <c r="N3004" s="9">
        <f>VLOOKUP(DATE(YEAR(A3004),MONTH(A3004),DAY(A3004)),FY24_Temp[],3,FALSE)</f>
        <v>17.5</v>
      </c>
      <c r="O3004" s="110">
        <f t="shared" si="3218"/>
        <v>11.5</v>
      </c>
      <c r="P3004" s="110">
        <f t="shared" si="3219"/>
        <v>19.5</v>
      </c>
      <c r="Q3004" s="79">
        <f>VLOOKUP(VLOOKUP(DATEVALUE(TEXT(A3004,"m/d/yyyy")),FY24_Temp[],5,FALSE)&amp;TEXT(A3004,"-h"),TempDelta[],4,FALSE)</f>
        <v>0.69179999828338623</v>
      </c>
      <c r="R3004">
        <v>10</v>
      </c>
      <c r="S3004" s="112">
        <v>1500</v>
      </c>
      <c r="T3004" s="5">
        <f>VLOOKUP(TEXT(A3004,"yy-mm")&amp;"-"&amp;IF(AND(WEEKDAY(A3004)&gt;1,WEEKDAY(A3004)&lt;7),"Wkd",TEXT(A3004,"Ddd"))&amp;"-"&amp;TEXT(A3004,"hh"),LoadTable[],3,FALSE)*0.92</f>
        <v>209.6772</v>
      </c>
      <c r="U3004" s="113">
        <f t="shared" si="3220"/>
        <v>20.96772</v>
      </c>
      <c r="V3004">
        <f t="shared" ref="V3004:W3004" si="3282">V2980</f>
        <v>2.6</v>
      </c>
      <c r="W3004">
        <f t="shared" si="3282"/>
        <v>3.2</v>
      </c>
      <c r="X3004" s="9">
        <v>-109.42253361666999</v>
      </c>
      <c r="Y3004" s="39"/>
    </row>
    <row r="3005" spans="1:25" ht="15" thickBot="1">
      <c r="A3005" s="149">
        <f t="shared" si="3274"/>
        <v>45961.083333328032</v>
      </c>
      <c r="B3005" s="30">
        <f t="shared" si="3229"/>
        <v>5000</v>
      </c>
      <c r="C3005" s="8">
        <v>25000</v>
      </c>
      <c r="D3005" s="187">
        <v>0</v>
      </c>
      <c r="E3005" s="187">
        <v>700</v>
      </c>
      <c r="F3005" s="187">
        <v>15000</v>
      </c>
      <c r="G3005" s="30">
        <f t="shared" si="3230"/>
        <v>2470</v>
      </c>
      <c r="H3005" s="8">
        <f t="shared" si="3230"/>
        <v>25000</v>
      </c>
      <c r="I3005" s="30">
        <f t="shared" si="3231"/>
        <v>5000</v>
      </c>
      <c r="J3005" s="187">
        <v>40000</v>
      </c>
      <c r="K3005" s="30">
        <f t="shared" si="3232"/>
        <v>5000</v>
      </c>
      <c r="L3005" s="187">
        <v>40000</v>
      </c>
      <c r="M3005" s="110">
        <v>9.5</v>
      </c>
      <c r="N3005" s="9">
        <f>VLOOKUP(DATE(YEAR(A3005),MONTH(A3005),DAY(A3005)),FY24_Temp[],3,FALSE)</f>
        <v>17.5</v>
      </c>
      <c r="O3005" s="110">
        <f t="shared" si="3218"/>
        <v>11.5</v>
      </c>
      <c r="P3005" s="110">
        <f t="shared" si="3219"/>
        <v>19.5</v>
      </c>
      <c r="Q3005" s="79">
        <f>VLOOKUP(VLOOKUP(DATEVALUE(TEXT(A3005,"m/d/yyyy")),FY24_Temp[],5,FALSE)&amp;TEXT(A3005,"-h"),TempDelta[],4,FALSE)</f>
        <v>0.64100000262260437</v>
      </c>
      <c r="R3005">
        <v>10</v>
      </c>
      <c r="S3005" s="112">
        <v>1500</v>
      </c>
      <c r="T3005" s="5">
        <f>VLOOKUP(TEXT(A3005,"yy-mm")&amp;"-"&amp;IF(AND(WEEKDAY(A3005)&gt;1,WEEKDAY(A3005)&lt;7),"Wkd",TEXT(A3005,"Ddd"))&amp;"-"&amp;TEXT(A3005,"hh"),LoadTable[],3,FALSE)*0.92</f>
        <v>209.6772</v>
      </c>
      <c r="U3005" s="113">
        <f t="shared" si="3220"/>
        <v>20.96772</v>
      </c>
      <c r="V3005">
        <f t="shared" ref="V3005:W3005" si="3283">V2981</f>
        <v>2.8</v>
      </c>
      <c r="W3005">
        <f t="shared" si="3283"/>
        <v>3.2</v>
      </c>
      <c r="X3005" s="9">
        <v>-109.50032816667</v>
      </c>
      <c r="Y3005" s="39"/>
    </row>
    <row r="3006" spans="1:25" ht="15" thickBot="1">
      <c r="A3006" s="149">
        <f t="shared" si="3274"/>
        <v>45961.124999994696</v>
      </c>
      <c r="B3006" s="30">
        <f t="shared" si="3229"/>
        <v>5000</v>
      </c>
      <c r="C3006" s="8">
        <v>25000</v>
      </c>
      <c r="D3006" s="187">
        <v>0</v>
      </c>
      <c r="E3006" s="187">
        <v>700</v>
      </c>
      <c r="F3006" s="187">
        <v>15000</v>
      </c>
      <c r="G3006" s="30">
        <f t="shared" si="3230"/>
        <v>2470</v>
      </c>
      <c r="H3006" s="8">
        <f t="shared" si="3230"/>
        <v>25000</v>
      </c>
      <c r="I3006" s="30">
        <f t="shared" si="3231"/>
        <v>5000</v>
      </c>
      <c r="J3006" s="187">
        <v>40000</v>
      </c>
      <c r="K3006" s="30">
        <f t="shared" si="3232"/>
        <v>5000</v>
      </c>
      <c r="L3006" s="187">
        <v>40000</v>
      </c>
      <c r="M3006" s="110">
        <v>9.5</v>
      </c>
      <c r="N3006" s="9">
        <f>VLOOKUP(DATE(YEAR(A3006),MONTH(A3006),DAY(A3006)),FY24_Temp[],3,FALSE)</f>
        <v>17.5</v>
      </c>
      <c r="O3006" s="110">
        <f t="shared" si="3218"/>
        <v>11.5</v>
      </c>
      <c r="P3006" s="110">
        <f t="shared" si="3219"/>
        <v>19.5</v>
      </c>
      <c r="Q3006" s="79">
        <f>VLOOKUP(VLOOKUP(DATEVALUE(TEXT(A3006,"m/d/yyyy")),FY24_Temp[],5,FALSE)&amp;TEXT(A3006,"-h"),TempDelta[],4,FALSE)</f>
        <v>0.53599998354911804</v>
      </c>
      <c r="R3006">
        <v>10</v>
      </c>
      <c r="S3006" s="112">
        <v>1500</v>
      </c>
      <c r="T3006" s="5">
        <f>VLOOKUP(TEXT(A3006,"yy-mm")&amp;"-"&amp;IF(AND(WEEKDAY(A3006)&gt;1,WEEKDAY(A3006)&lt;7),"Wkd",TEXT(A3006,"Ddd"))&amp;"-"&amp;TEXT(A3006,"hh"),LoadTable[],3,FALSE)*0.92</f>
        <v>209.6772</v>
      </c>
      <c r="U3006" s="113">
        <f t="shared" si="3220"/>
        <v>20.96772</v>
      </c>
      <c r="V3006">
        <f t="shared" ref="V3006:W3006" si="3284">V2982</f>
        <v>2.7</v>
      </c>
      <c r="W3006">
        <f t="shared" si="3284"/>
        <v>3.2</v>
      </c>
      <c r="X3006" s="9">
        <v>-109.57812271666999</v>
      </c>
      <c r="Y3006" s="39"/>
    </row>
    <row r="3007" spans="1:25" ht="15" thickBot="1">
      <c r="A3007" s="149">
        <f t="shared" si="3274"/>
        <v>45961.16666666136</v>
      </c>
      <c r="B3007" s="30">
        <f t="shared" si="3229"/>
        <v>5000</v>
      </c>
      <c r="C3007" s="8">
        <v>25000</v>
      </c>
      <c r="D3007" s="187">
        <v>0</v>
      </c>
      <c r="E3007" s="187">
        <v>700</v>
      </c>
      <c r="F3007" s="187">
        <v>15000</v>
      </c>
      <c r="G3007" s="30">
        <f t="shared" si="3230"/>
        <v>2470</v>
      </c>
      <c r="H3007" s="8">
        <f t="shared" si="3230"/>
        <v>25000</v>
      </c>
      <c r="I3007" s="30">
        <f t="shared" si="3231"/>
        <v>5000</v>
      </c>
      <c r="J3007" s="187">
        <v>40000</v>
      </c>
      <c r="K3007" s="30">
        <f t="shared" si="3232"/>
        <v>5000</v>
      </c>
      <c r="L3007" s="187">
        <v>40000</v>
      </c>
      <c r="M3007" s="110">
        <v>9.5</v>
      </c>
      <c r="N3007" s="9">
        <f>VLOOKUP(DATE(YEAR(A3007),MONTH(A3007),DAY(A3007)),FY24_Temp[],3,FALSE)</f>
        <v>17.5</v>
      </c>
      <c r="O3007" s="110">
        <f t="shared" si="3218"/>
        <v>11.5</v>
      </c>
      <c r="P3007" s="110">
        <f t="shared" si="3219"/>
        <v>19.5</v>
      </c>
      <c r="Q3007" s="79">
        <f>VLOOKUP(VLOOKUP(DATEVALUE(TEXT(A3007,"m/d/yyyy")),FY24_Temp[],5,FALSE)&amp;TEXT(A3007,"-h"),TempDelta[],4,FALSE)</f>
        <v>0.43825000524520874</v>
      </c>
      <c r="R3007">
        <v>10</v>
      </c>
      <c r="S3007" s="112">
        <v>1500</v>
      </c>
      <c r="T3007" s="5">
        <f>VLOOKUP(TEXT(A3007,"yy-mm")&amp;"-"&amp;IF(AND(WEEKDAY(A3007)&gt;1,WEEKDAY(A3007)&lt;7),"Wkd",TEXT(A3007,"Ddd"))&amp;"-"&amp;TEXT(A3007,"hh"),LoadTable[],3,FALSE)*0.92</f>
        <v>209.6772</v>
      </c>
      <c r="U3007" s="113">
        <f t="shared" si="3220"/>
        <v>20.96772</v>
      </c>
      <c r="V3007">
        <f t="shared" ref="V3007:W3007" si="3285">V2983</f>
        <v>3</v>
      </c>
      <c r="W3007">
        <f t="shared" si="3285"/>
        <v>3.1</v>
      </c>
      <c r="X3007" s="9">
        <v>-109.65591726667</v>
      </c>
      <c r="Y3007" s="39"/>
    </row>
    <row r="3008" spans="1:25" ht="15" thickBot="1">
      <c r="A3008" s="149">
        <f t="shared" si="3274"/>
        <v>45961.208333328024</v>
      </c>
      <c r="B3008" s="30">
        <f t="shared" si="3229"/>
        <v>5000</v>
      </c>
      <c r="C3008" s="8">
        <v>25000</v>
      </c>
      <c r="D3008" s="187">
        <v>0</v>
      </c>
      <c r="E3008" s="187">
        <v>700</v>
      </c>
      <c r="F3008" s="187">
        <v>15000</v>
      </c>
      <c r="G3008" s="30">
        <f t="shared" si="3230"/>
        <v>2470</v>
      </c>
      <c r="H3008" s="8">
        <f t="shared" si="3230"/>
        <v>25000</v>
      </c>
      <c r="I3008" s="30">
        <f t="shared" si="3231"/>
        <v>5000</v>
      </c>
      <c r="J3008" s="187">
        <v>40000</v>
      </c>
      <c r="K3008" s="30">
        <f t="shared" si="3232"/>
        <v>5000</v>
      </c>
      <c r="L3008" s="187">
        <v>40000</v>
      </c>
      <c r="M3008" s="110">
        <v>9.5</v>
      </c>
      <c r="N3008" s="9">
        <f>VLOOKUP(DATE(YEAR(A3008),MONTH(A3008),DAY(A3008)),FY24_Temp[],3,FALSE)</f>
        <v>17.5</v>
      </c>
      <c r="O3008" s="110">
        <f t="shared" si="3218"/>
        <v>11.5</v>
      </c>
      <c r="P3008" s="110">
        <f t="shared" si="3219"/>
        <v>19.5</v>
      </c>
      <c r="Q3008" s="79">
        <f>VLOOKUP(VLOOKUP(DATEVALUE(TEXT(A3008,"m/d/yyyy")),FY24_Temp[],5,FALSE)&amp;TEXT(A3008,"-h"),TempDelta[],4,FALSE)</f>
        <v>0.42975000292062759</v>
      </c>
      <c r="R3008">
        <v>10</v>
      </c>
      <c r="S3008" s="112">
        <v>1500</v>
      </c>
      <c r="T3008" s="5">
        <f>VLOOKUP(TEXT(A3008,"yy-mm")&amp;"-"&amp;IF(AND(WEEKDAY(A3008)&gt;1,WEEKDAY(A3008)&lt;7),"Wkd",TEXT(A3008,"Ddd"))&amp;"-"&amp;TEXT(A3008,"hh"),LoadTable[],3,FALSE)*0.92</f>
        <v>209.6772</v>
      </c>
      <c r="U3008" s="113">
        <f t="shared" si="3220"/>
        <v>20.96772</v>
      </c>
      <c r="V3008">
        <f t="shared" ref="V3008:W3008" si="3286">V2984</f>
        <v>2.9</v>
      </c>
      <c r="W3008">
        <f t="shared" si="3286"/>
        <v>3.1</v>
      </c>
      <c r="X3008" s="9">
        <v>-109.73371181667</v>
      </c>
      <c r="Y3008" s="39"/>
    </row>
    <row r="3009" spans="1:25" ht="15" thickBot="1">
      <c r="A3009" s="149">
        <f t="shared" si="3274"/>
        <v>45961.249999994689</v>
      </c>
      <c r="B3009" s="30">
        <f t="shared" si="3229"/>
        <v>8000</v>
      </c>
      <c r="C3009" s="8">
        <v>25000</v>
      </c>
      <c r="D3009" s="187">
        <v>0</v>
      </c>
      <c r="E3009" s="187">
        <v>700</v>
      </c>
      <c r="F3009" s="187">
        <v>15000</v>
      </c>
      <c r="G3009" s="30">
        <f t="shared" si="3230"/>
        <v>2470</v>
      </c>
      <c r="H3009" s="8">
        <f t="shared" si="3230"/>
        <v>25000</v>
      </c>
      <c r="I3009" s="30">
        <f t="shared" si="3231"/>
        <v>8000</v>
      </c>
      <c r="J3009" s="187">
        <v>40000</v>
      </c>
      <c r="K3009" s="30">
        <f t="shared" si="3232"/>
        <v>8000</v>
      </c>
      <c r="L3009" s="187">
        <v>40000</v>
      </c>
      <c r="M3009" s="110">
        <v>9.5</v>
      </c>
      <c r="N3009" s="9">
        <f>VLOOKUP(DATE(YEAR(A3009),MONTH(A3009),DAY(A3009)),FY24_Temp[],3,FALSE)</f>
        <v>17.5</v>
      </c>
      <c r="O3009" s="110">
        <f t="shared" si="3218"/>
        <v>11.5</v>
      </c>
      <c r="P3009" s="110">
        <f t="shared" si="3219"/>
        <v>19.5</v>
      </c>
      <c r="Q3009" s="79">
        <f>VLOOKUP(VLOOKUP(DATEVALUE(TEXT(A3009,"m/d/yyyy")),FY24_Temp[],5,FALSE)&amp;TEXT(A3009,"-h"),TempDelta[],4,FALSE)</f>
        <v>0.32200000062584877</v>
      </c>
      <c r="R3009">
        <v>10</v>
      </c>
      <c r="S3009" s="112">
        <v>1500</v>
      </c>
      <c r="T3009" s="5">
        <f>VLOOKUP(TEXT(A3009,"yy-mm")&amp;"-"&amp;IF(AND(WEEKDAY(A3009)&gt;1,WEEKDAY(A3009)&lt;7),"Wkd",TEXT(A3009,"Ddd"))&amp;"-"&amp;TEXT(A3009,"hh"),LoadTable[],3,FALSE)*0.92</f>
        <v>209.6772</v>
      </c>
      <c r="U3009" s="113">
        <f t="shared" si="3220"/>
        <v>20.96772</v>
      </c>
      <c r="V3009">
        <f t="shared" ref="V3009:W3009" si="3287">V2985</f>
        <v>2.5</v>
      </c>
      <c r="W3009">
        <f t="shared" si="3287"/>
        <v>3.1</v>
      </c>
      <c r="X3009" s="9">
        <v>-109.81150636667</v>
      </c>
      <c r="Y3009" s="39"/>
    </row>
    <row r="3010" spans="1:25" ht="15" thickBot="1">
      <c r="A3010" s="149">
        <f t="shared" si="3274"/>
        <v>45961.291666661353</v>
      </c>
      <c r="B3010" s="30">
        <f t="shared" si="3229"/>
        <v>8000</v>
      </c>
      <c r="C3010" s="8">
        <v>25000</v>
      </c>
      <c r="D3010" s="187">
        <v>0</v>
      </c>
      <c r="E3010" s="187">
        <v>700</v>
      </c>
      <c r="F3010" s="187">
        <v>15000</v>
      </c>
      <c r="G3010" s="30">
        <f t="shared" si="3230"/>
        <v>2470</v>
      </c>
      <c r="H3010" s="8">
        <f t="shared" si="3230"/>
        <v>25000</v>
      </c>
      <c r="I3010" s="30">
        <f t="shared" si="3231"/>
        <v>8000</v>
      </c>
      <c r="J3010" s="187">
        <v>40000</v>
      </c>
      <c r="K3010" s="30">
        <f t="shared" si="3232"/>
        <v>8000</v>
      </c>
      <c r="L3010" s="187">
        <v>40000</v>
      </c>
      <c r="M3010" s="110">
        <v>9.5</v>
      </c>
      <c r="N3010" s="9">
        <f>VLOOKUP(DATE(YEAR(A3010),MONTH(A3010),DAY(A3010)),FY24_Temp[],3,FALSE)</f>
        <v>17.5</v>
      </c>
      <c r="O3010" s="110">
        <f t="shared" si="3218"/>
        <v>11.5</v>
      </c>
      <c r="P3010" s="110">
        <f t="shared" si="3219"/>
        <v>19.5</v>
      </c>
      <c r="Q3010" s="79">
        <f>VLOOKUP(VLOOKUP(DATEVALUE(TEXT(A3010,"m/d/yyyy")),FY24_Temp[],5,FALSE)&amp;TEXT(A3010,"-h"),TempDelta[],4,FALSE)</f>
        <v>0.13774999789893627</v>
      </c>
      <c r="R3010">
        <v>10</v>
      </c>
      <c r="S3010" s="112">
        <v>1500</v>
      </c>
      <c r="T3010" s="5">
        <f>VLOOKUP(TEXT(A3010,"yy-mm")&amp;"-"&amp;IF(AND(WEEKDAY(A3010)&gt;1,WEEKDAY(A3010)&lt;7),"Wkd",TEXT(A3010,"Ddd"))&amp;"-"&amp;TEXT(A3010,"hh"),LoadTable[],3,FALSE)*0.92</f>
        <v>234.80148</v>
      </c>
      <c r="U3010" s="113">
        <f t="shared" si="3220"/>
        <v>23.480148</v>
      </c>
      <c r="V3010">
        <f t="shared" ref="V3010:W3010" si="3288">V2986</f>
        <v>2.5</v>
      </c>
      <c r="W3010">
        <f t="shared" si="3288"/>
        <v>3.1</v>
      </c>
      <c r="X3010" s="9">
        <v>-109.88930091667</v>
      </c>
      <c r="Y3010" s="39"/>
    </row>
    <row r="3011" spans="1:25" ht="15" thickBot="1">
      <c r="A3011" s="149">
        <f t="shared" si="3274"/>
        <v>45961.333333328017</v>
      </c>
      <c r="B3011" s="30">
        <f t="shared" si="3229"/>
        <v>8000</v>
      </c>
      <c r="C3011" s="8">
        <v>25000</v>
      </c>
      <c r="D3011" s="187">
        <v>0</v>
      </c>
      <c r="E3011" s="187">
        <v>700</v>
      </c>
      <c r="F3011" s="187">
        <v>15000</v>
      </c>
      <c r="G3011" s="30">
        <f t="shared" si="3230"/>
        <v>2470</v>
      </c>
      <c r="H3011" s="8">
        <f t="shared" si="3230"/>
        <v>25000</v>
      </c>
      <c r="I3011" s="30">
        <f t="shared" si="3231"/>
        <v>8000</v>
      </c>
      <c r="J3011" s="187">
        <v>40000</v>
      </c>
      <c r="K3011" s="30">
        <f t="shared" si="3232"/>
        <v>8000</v>
      </c>
      <c r="L3011" s="187">
        <v>40000</v>
      </c>
      <c r="M3011" s="110">
        <v>9.5</v>
      </c>
      <c r="N3011" s="9">
        <f>VLOOKUP(DATE(YEAR(A3011),MONTH(A3011),DAY(A3011)),FY24_Temp[],3,FALSE)</f>
        <v>17.5</v>
      </c>
      <c r="O3011" s="110">
        <f t="shared" si="3218"/>
        <v>11.5</v>
      </c>
      <c r="P3011" s="110">
        <f t="shared" si="3219"/>
        <v>19.5</v>
      </c>
      <c r="Q3011" s="79">
        <f>VLOOKUP(VLOOKUP(DATEVALUE(TEXT(A3011,"m/d/yyyy")),FY24_Temp[],5,FALSE)&amp;TEXT(A3011,"-h"),TempDelta[],4,FALSE)</f>
        <v>2.8249999275431037E-2</v>
      </c>
      <c r="R3011">
        <v>10</v>
      </c>
      <c r="S3011" s="112">
        <v>1500</v>
      </c>
      <c r="T3011" s="5">
        <f>VLOOKUP(TEXT(A3011,"yy-mm")&amp;"-"&amp;IF(AND(WEEKDAY(A3011)&gt;1,WEEKDAY(A3011)&lt;7),"Wkd",TEXT(A3011,"Ddd"))&amp;"-"&amp;TEXT(A3011,"hh"),LoadTable[],3,FALSE)*0.92</f>
        <v>234.80148</v>
      </c>
      <c r="U3011" s="113">
        <f t="shared" si="3220"/>
        <v>23.480148</v>
      </c>
      <c r="V3011">
        <f t="shared" ref="V3011:W3011" si="3289">V2987</f>
        <v>3.2</v>
      </c>
      <c r="W3011">
        <f t="shared" si="3289"/>
        <v>3</v>
      </c>
      <c r="X3011" s="9">
        <v>-109.96709546667</v>
      </c>
      <c r="Y3011" s="39"/>
    </row>
    <row r="3012" spans="1:25" ht="15" thickBot="1">
      <c r="A3012" s="149">
        <f t="shared" si="3274"/>
        <v>45961.374999994681</v>
      </c>
      <c r="B3012" s="30">
        <f t="shared" si="3229"/>
        <v>8000</v>
      </c>
      <c r="C3012" s="8">
        <v>25000</v>
      </c>
      <c r="D3012" s="187">
        <v>0</v>
      </c>
      <c r="E3012" s="187">
        <v>700</v>
      </c>
      <c r="F3012" s="187">
        <v>15000</v>
      </c>
      <c r="G3012" s="30">
        <f t="shared" si="3230"/>
        <v>2470</v>
      </c>
      <c r="H3012" s="8">
        <f t="shared" si="3230"/>
        <v>25000</v>
      </c>
      <c r="I3012" s="30">
        <f t="shared" si="3231"/>
        <v>8000</v>
      </c>
      <c r="J3012" s="187">
        <v>40000</v>
      </c>
      <c r="K3012" s="30">
        <f t="shared" si="3232"/>
        <v>8000</v>
      </c>
      <c r="L3012" s="187">
        <v>40000</v>
      </c>
      <c r="M3012" s="110">
        <v>9.5</v>
      </c>
      <c r="N3012" s="9">
        <f>VLOOKUP(DATE(YEAR(A3012),MONTH(A3012),DAY(A3012)),FY24_Temp[],3,FALSE)</f>
        <v>17.5</v>
      </c>
      <c r="O3012" s="110">
        <f t="shared" ref="O3012:O3026" si="3290">15.5-4</f>
        <v>11.5</v>
      </c>
      <c r="P3012" s="110">
        <f t="shared" ref="P3012:P3026" si="3291">15.5+4</f>
        <v>19.5</v>
      </c>
      <c r="Q3012" s="79">
        <f>VLOOKUP(VLOOKUP(DATEVALUE(TEXT(A3012,"m/d/yyyy")),FY24_Temp[],5,FALSE)&amp;TEXT(A3012,"-h"),TempDelta[],4,FALSE)</f>
        <v>-5.3000001236796379E-2</v>
      </c>
      <c r="R3012">
        <v>10</v>
      </c>
      <c r="S3012" s="112">
        <v>1500</v>
      </c>
      <c r="T3012" s="5">
        <f>VLOOKUP(TEXT(A3012,"yy-mm")&amp;"-"&amp;IF(AND(WEEKDAY(A3012)&gt;1,WEEKDAY(A3012)&lt;7),"Wkd",TEXT(A3012,"Ddd"))&amp;"-"&amp;TEXT(A3012,"hh"),LoadTable[],3,FALSE)*0.92</f>
        <v>234.80148</v>
      </c>
      <c r="U3012" s="113">
        <f t="shared" ref="U3012:U3026" si="3292">T3012/10</f>
        <v>23.480148</v>
      </c>
      <c r="V3012">
        <f t="shared" ref="V3012:W3012" si="3293">V2988</f>
        <v>2.9</v>
      </c>
      <c r="W3012">
        <f t="shared" si="3293"/>
        <v>3</v>
      </c>
      <c r="X3012" s="9">
        <v>-110.04489001667</v>
      </c>
      <c r="Y3012" s="39"/>
    </row>
    <row r="3013" spans="1:25" ht="15" thickBot="1">
      <c r="A3013" s="149">
        <f t="shared" si="3274"/>
        <v>45961.416666661346</v>
      </c>
      <c r="B3013" s="30">
        <f t="shared" si="3229"/>
        <v>8000</v>
      </c>
      <c r="C3013" s="8">
        <v>25000</v>
      </c>
      <c r="D3013" s="187">
        <v>0</v>
      </c>
      <c r="E3013" s="187">
        <v>700</v>
      </c>
      <c r="F3013" s="187">
        <v>15000</v>
      </c>
      <c r="G3013" s="30">
        <f t="shared" si="3230"/>
        <v>2470</v>
      </c>
      <c r="H3013" s="8">
        <f t="shared" si="3230"/>
        <v>25000</v>
      </c>
      <c r="I3013" s="30">
        <f t="shared" si="3231"/>
        <v>8000</v>
      </c>
      <c r="J3013" s="187">
        <v>40000</v>
      </c>
      <c r="K3013" s="30">
        <f t="shared" si="3232"/>
        <v>8000</v>
      </c>
      <c r="L3013" s="187">
        <v>40000</v>
      </c>
      <c r="M3013" s="110">
        <v>9.5</v>
      </c>
      <c r="N3013" s="9">
        <f>VLOOKUP(DATE(YEAR(A3013),MONTH(A3013),DAY(A3013)),FY24_Temp[],3,FALSE)</f>
        <v>17.5</v>
      </c>
      <c r="O3013" s="110">
        <f t="shared" si="3290"/>
        <v>11.5</v>
      </c>
      <c r="P3013" s="110">
        <f t="shared" si="3291"/>
        <v>19.5</v>
      </c>
      <c r="Q3013" s="79">
        <f>VLOOKUP(VLOOKUP(DATEVALUE(TEXT(A3013,"m/d/yyyy")),FY24_Temp[],5,FALSE)&amp;TEXT(A3013,"-h"),TempDelta[],4,FALSE)</f>
        <v>-0.13824999803910032</v>
      </c>
      <c r="R3013">
        <v>10</v>
      </c>
      <c r="S3013" s="112">
        <v>1500</v>
      </c>
      <c r="T3013" s="5">
        <f>VLOOKUP(TEXT(A3013,"yy-mm")&amp;"-"&amp;IF(AND(WEEKDAY(A3013)&gt;1,WEEKDAY(A3013)&lt;7),"Wkd",TEXT(A3013,"Ddd"))&amp;"-"&amp;TEXT(A3013,"hh"),LoadTable[],3,FALSE)*0.92</f>
        <v>234.80148</v>
      </c>
      <c r="U3013" s="113">
        <f t="shared" si="3292"/>
        <v>23.480148</v>
      </c>
      <c r="V3013">
        <f t="shared" ref="V3013:W3013" si="3294">V2989</f>
        <v>2.9</v>
      </c>
      <c r="W3013">
        <f t="shared" si="3294"/>
        <v>3</v>
      </c>
      <c r="X3013" s="9">
        <v>-110.12268456667</v>
      </c>
      <c r="Y3013" s="39"/>
    </row>
    <row r="3014" spans="1:25" ht="15" thickBot="1">
      <c r="A3014" s="149">
        <f t="shared" si="3274"/>
        <v>45961.45833332801</v>
      </c>
      <c r="B3014" s="30">
        <f t="shared" si="3229"/>
        <v>8000</v>
      </c>
      <c r="C3014" s="8">
        <v>25000</v>
      </c>
      <c r="D3014" s="187">
        <v>0</v>
      </c>
      <c r="E3014" s="187">
        <v>700</v>
      </c>
      <c r="F3014" s="187">
        <v>15000</v>
      </c>
      <c r="G3014" s="30">
        <f t="shared" si="3230"/>
        <v>2470</v>
      </c>
      <c r="H3014" s="8">
        <f t="shared" si="3230"/>
        <v>25000</v>
      </c>
      <c r="I3014" s="30">
        <f t="shared" si="3231"/>
        <v>8000</v>
      </c>
      <c r="J3014" s="187">
        <v>40000</v>
      </c>
      <c r="K3014" s="30">
        <f t="shared" si="3232"/>
        <v>8000</v>
      </c>
      <c r="L3014" s="187">
        <v>40000</v>
      </c>
      <c r="M3014" s="110">
        <v>9.5</v>
      </c>
      <c r="N3014" s="9">
        <f>VLOOKUP(DATE(YEAR(A3014),MONTH(A3014),DAY(A3014)),FY24_Temp[],3,FALSE)</f>
        <v>17.5</v>
      </c>
      <c r="O3014" s="110">
        <f t="shared" si="3290"/>
        <v>11.5</v>
      </c>
      <c r="P3014" s="110">
        <f t="shared" si="3291"/>
        <v>19.5</v>
      </c>
      <c r="Q3014" s="79">
        <f>VLOOKUP(VLOOKUP(DATEVALUE(TEXT(A3014,"m/d/yyyy")),FY24_Temp[],5,FALSE)&amp;TEXT(A3014,"-h"),TempDelta[],4,FALSE)</f>
        <v>-0.20649999752640724</v>
      </c>
      <c r="R3014">
        <v>10</v>
      </c>
      <c r="S3014" s="112">
        <v>1500</v>
      </c>
      <c r="T3014" s="5">
        <f>VLOOKUP(TEXT(A3014,"yy-mm")&amp;"-"&amp;IF(AND(WEEKDAY(A3014)&gt;1,WEEKDAY(A3014)&lt;7),"Wkd",TEXT(A3014,"Ddd"))&amp;"-"&amp;TEXT(A3014,"hh"),LoadTable[],3,FALSE)*0.92</f>
        <v>234.80148</v>
      </c>
      <c r="U3014" s="113">
        <f t="shared" si="3292"/>
        <v>23.480148</v>
      </c>
      <c r="V3014">
        <f t="shared" ref="V3014:W3014" si="3295">V2990</f>
        <v>3.4</v>
      </c>
      <c r="W3014">
        <f t="shared" si="3295"/>
        <v>3</v>
      </c>
      <c r="X3014" s="9">
        <v>-110.20047911667</v>
      </c>
      <c r="Y3014" s="39"/>
    </row>
    <row r="3015" spans="1:25" ht="15" thickBot="1">
      <c r="A3015" s="149">
        <f t="shared" si="3274"/>
        <v>45961.499999994674</v>
      </c>
      <c r="B3015" s="30">
        <f t="shared" si="3229"/>
        <v>8000</v>
      </c>
      <c r="C3015" s="8">
        <v>25000</v>
      </c>
      <c r="D3015" s="187">
        <v>0</v>
      </c>
      <c r="E3015" s="187">
        <v>700</v>
      </c>
      <c r="F3015" s="187">
        <v>15000</v>
      </c>
      <c r="G3015" s="30">
        <f t="shared" si="3230"/>
        <v>2470</v>
      </c>
      <c r="H3015" s="8">
        <f t="shared" si="3230"/>
        <v>25000</v>
      </c>
      <c r="I3015" s="30">
        <f t="shared" si="3231"/>
        <v>8000</v>
      </c>
      <c r="J3015" s="187">
        <v>40000</v>
      </c>
      <c r="K3015" s="30">
        <f t="shared" si="3232"/>
        <v>8000</v>
      </c>
      <c r="L3015" s="187">
        <v>40000</v>
      </c>
      <c r="M3015" s="110">
        <v>9.5</v>
      </c>
      <c r="N3015" s="9">
        <f>VLOOKUP(DATE(YEAR(A3015),MONTH(A3015),DAY(A3015)),FY24_Temp[],3,FALSE)</f>
        <v>17.5</v>
      </c>
      <c r="O3015" s="110">
        <f t="shared" si="3290"/>
        <v>11.5</v>
      </c>
      <c r="P3015" s="110">
        <f t="shared" si="3291"/>
        <v>19.5</v>
      </c>
      <c r="Q3015" s="79">
        <f>VLOOKUP(VLOOKUP(DATEVALUE(TEXT(A3015,"m/d/yyyy")),FY24_Temp[],5,FALSE)&amp;TEXT(A3015,"-h"),TempDelta[],4,FALSE)</f>
        <v>-0.25474999845027924</v>
      </c>
      <c r="R3015">
        <v>10</v>
      </c>
      <c r="S3015" s="112">
        <v>1500</v>
      </c>
      <c r="T3015" s="5">
        <f>VLOOKUP(TEXT(A3015,"yy-mm")&amp;"-"&amp;IF(AND(WEEKDAY(A3015)&gt;1,WEEKDAY(A3015)&lt;7),"Wkd",TEXT(A3015,"Ddd"))&amp;"-"&amp;TEXT(A3015,"hh"),LoadTable[],3,FALSE)*0.92</f>
        <v>234.80148</v>
      </c>
      <c r="U3015" s="113">
        <f t="shared" si="3292"/>
        <v>23.480148</v>
      </c>
      <c r="V3015">
        <f t="shared" ref="V3015:W3015" si="3296">V2991</f>
        <v>3.1</v>
      </c>
      <c r="W3015">
        <f t="shared" si="3296"/>
        <v>2.9</v>
      </c>
      <c r="X3015" s="9">
        <v>-110.27827366667</v>
      </c>
      <c r="Y3015" s="39"/>
    </row>
    <row r="3016" spans="1:25" ht="15" thickBot="1">
      <c r="A3016" s="149">
        <f t="shared" si="3274"/>
        <v>45961.541666661338</v>
      </c>
      <c r="B3016" s="30">
        <f t="shared" si="3229"/>
        <v>8000</v>
      </c>
      <c r="C3016" s="8">
        <v>25000</v>
      </c>
      <c r="D3016" s="187">
        <v>0</v>
      </c>
      <c r="E3016" s="187">
        <v>700</v>
      </c>
      <c r="F3016" s="187">
        <v>15000</v>
      </c>
      <c r="G3016" s="30">
        <f t="shared" si="3230"/>
        <v>2470</v>
      </c>
      <c r="H3016" s="8">
        <f t="shared" si="3230"/>
        <v>25000</v>
      </c>
      <c r="I3016" s="30">
        <f t="shared" si="3231"/>
        <v>8000</v>
      </c>
      <c r="J3016" s="187">
        <v>40000</v>
      </c>
      <c r="K3016" s="30">
        <f t="shared" si="3232"/>
        <v>8000</v>
      </c>
      <c r="L3016" s="187">
        <v>40000</v>
      </c>
      <c r="M3016" s="110">
        <v>9.5</v>
      </c>
      <c r="N3016" s="9">
        <f>VLOOKUP(DATE(YEAR(A3016),MONTH(A3016),DAY(A3016)),FY24_Temp[],3,FALSE)</f>
        <v>17.5</v>
      </c>
      <c r="O3016" s="110">
        <f t="shared" si="3290"/>
        <v>11.5</v>
      </c>
      <c r="P3016" s="110">
        <f t="shared" si="3291"/>
        <v>19.5</v>
      </c>
      <c r="Q3016" s="79">
        <f>VLOOKUP(VLOOKUP(DATEVALUE(TEXT(A3016,"m/d/yyyy")),FY24_Temp[],5,FALSE)&amp;TEXT(A3016,"-h"),TempDelta[],4,FALSE)</f>
        <v>-0.27724999561905861</v>
      </c>
      <c r="R3016">
        <v>10</v>
      </c>
      <c r="S3016" s="112">
        <v>1500</v>
      </c>
      <c r="T3016" s="5">
        <f>VLOOKUP(TEXT(A3016,"yy-mm")&amp;"-"&amp;IF(AND(WEEKDAY(A3016)&gt;1,WEEKDAY(A3016)&lt;7),"Wkd",TEXT(A3016,"Ddd"))&amp;"-"&amp;TEXT(A3016,"hh"),LoadTable[],3,FALSE)*0.92</f>
        <v>234.80148</v>
      </c>
      <c r="U3016" s="113">
        <f t="shared" si="3292"/>
        <v>23.480148</v>
      </c>
      <c r="V3016">
        <f t="shared" ref="V3016:W3016" si="3297">V2992</f>
        <v>3.2</v>
      </c>
      <c r="W3016">
        <f t="shared" si="3297"/>
        <v>2.9</v>
      </c>
      <c r="X3016" s="9">
        <v>-110.35606821667</v>
      </c>
      <c r="Y3016" s="39"/>
    </row>
    <row r="3017" spans="1:25" ht="15" thickBot="1">
      <c r="A3017" s="149">
        <f t="shared" si="3274"/>
        <v>45961.583333328002</v>
      </c>
      <c r="B3017" s="30">
        <f t="shared" si="3229"/>
        <v>8000</v>
      </c>
      <c r="C3017" s="8">
        <v>25000</v>
      </c>
      <c r="D3017" s="187">
        <v>0</v>
      </c>
      <c r="E3017" s="187">
        <v>700</v>
      </c>
      <c r="F3017" s="187">
        <v>15000</v>
      </c>
      <c r="G3017" s="30">
        <f t="shared" si="3230"/>
        <v>2470</v>
      </c>
      <c r="H3017" s="8">
        <f t="shared" si="3230"/>
        <v>25000</v>
      </c>
      <c r="I3017" s="30">
        <f t="shared" si="3231"/>
        <v>8000</v>
      </c>
      <c r="J3017" s="187">
        <v>40000</v>
      </c>
      <c r="K3017" s="30">
        <f t="shared" si="3232"/>
        <v>8000</v>
      </c>
      <c r="L3017" s="187">
        <v>40000</v>
      </c>
      <c r="M3017" s="110">
        <v>9.5</v>
      </c>
      <c r="N3017" s="9">
        <f>VLOOKUP(DATE(YEAR(A3017),MONTH(A3017),DAY(A3017)),FY24_Temp[],3,FALSE)</f>
        <v>17.5</v>
      </c>
      <c r="O3017" s="110">
        <f t="shared" si="3290"/>
        <v>11.5</v>
      </c>
      <c r="P3017" s="110">
        <f t="shared" si="3291"/>
        <v>19.5</v>
      </c>
      <c r="Q3017" s="79">
        <f>VLOOKUP(VLOOKUP(DATEVALUE(TEXT(A3017,"m/d/yyyy")),FY24_Temp[],5,FALSE)&amp;TEXT(A3017,"-h"),TempDelta[],4,FALSE)</f>
        <v>-0.23250000178813934</v>
      </c>
      <c r="R3017">
        <v>10</v>
      </c>
      <c r="S3017" s="112">
        <v>1500</v>
      </c>
      <c r="T3017" s="5">
        <f>VLOOKUP(TEXT(A3017,"yy-mm")&amp;"-"&amp;IF(AND(WEEKDAY(A3017)&gt;1,WEEKDAY(A3017)&lt;7),"Wkd",TEXT(A3017,"Ddd"))&amp;"-"&amp;TEXT(A3017,"hh"),LoadTable[],3,FALSE)*0.92</f>
        <v>234.80148</v>
      </c>
      <c r="U3017" s="113">
        <f t="shared" si="3292"/>
        <v>23.480148</v>
      </c>
      <c r="V3017">
        <f t="shared" ref="V3017:W3017" si="3298">V2993</f>
        <v>3.5</v>
      </c>
      <c r="W3017">
        <f t="shared" si="3298"/>
        <v>2.9</v>
      </c>
      <c r="X3017" s="9">
        <v>-110.43386276667</v>
      </c>
      <c r="Y3017" s="39"/>
    </row>
    <row r="3018" spans="1:25" ht="15" thickBot="1">
      <c r="A3018" s="149">
        <f t="shared" si="3274"/>
        <v>45961.624999994667</v>
      </c>
      <c r="B3018" s="30">
        <f t="shared" si="3229"/>
        <v>8000</v>
      </c>
      <c r="C3018" s="8">
        <v>25000</v>
      </c>
      <c r="D3018" s="187">
        <v>0</v>
      </c>
      <c r="E3018" s="187">
        <v>700</v>
      </c>
      <c r="F3018" s="187">
        <v>15000</v>
      </c>
      <c r="G3018" s="30">
        <f t="shared" si="3230"/>
        <v>2470</v>
      </c>
      <c r="H3018" s="8">
        <f t="shared" si="3230"/>
        <v>25000</v>
      </c>
      <c r="I3018" s="30">
        <f t="shared" si="3231"/>
        <v>8000</v>
      </c>
      <c r="J3018" s="187">
        <v>40000</v>
      </c>
      <c r="K3018" s="30">
        <f t="shared" si="3232"/>
        <v>8000</v>
      </c>
      <c r="L3018" s="187">
        <v>40000</v>
      </c>
      <c r="M3018" s="110">
        <v>9.5</v>
      </c>
      <c r="N3018" s="9">
        <f>VLOOKUP(DATE(YEAR(A3018),MONTH(A3018),DAY(A3018)),FY24_Temp[],3,FALSE)</f>
        <v>17.5</v>
      </c>
      <c r="O3018" s="110">
        <f t="shared" si="3290"/>
        <v>11.5</v>
      </c>
      <c r="P3018" s="110">
        <f t="shared" si="3291"/>
        <v>19.5</v>
      </c>
      <c r="Q3018" s="79">
        <f>VLOOKUP(VLOOKUP(DATEVALUE(TEXT(A3018,"m/d/yyyy")),FY24_Temp[],5,FALSE)&amp;TEXT(A3018,"-h"),TempDelta[],4,FALSE)</f>
        <v>-0.15862499922513962</v>
      </c>
      <c r="R3018">
        <v>10</v>
      </c>
      <c r="S3018" s="112">
        <v>1500</v>
      </c>
      <c r="T3018" s="5">
        <f>VLOOKUP(TEXT(A3018,"yy-mm")&amp;"-"&amp;IF(AND(WEEKDAY(A3018)&gt;1,WEEKDAY(A3018)&lt;7),"Wkd",TEXT(A3018,"Ddd"))&amp;"-"&amp;TEXT(A3018,"hh"),LoadTable[],3,FALSE)*0.92</f>
        <v>234.80148</v>
      </c>
      <c r="U3018" s="113">
        <f t="shared" si="3292"/>
        <v>23.480148</v>
      </c>
      <c r="V3018">
        <f t="shared" ref="V3018:W3018" si="3299">V2994</f>
        <v>3.2</v>
      </c>
      <c r="W3018">
        <f t="shared" si="3299"/>
        <v>2.9</v>
      </c>
      <c r="X3018" s="9">
        <v>-110.51165731667</v>
      </c>
      <c r="Y3018" s="39"/>
    </row>
    <row r="3019" spans="1:25" ht="15" thickBot="1">
      <c r="A3019" s="149">
        <f t="shared" si="3274"/>
        <v>45961.666666661331</v>
      </c>
      <c r="B3019" s="30">
        <f t="shared" si="3229"/>
        <v>8000</v>
      </c>
      <c r="C3019" s="8">
        <v>25000</v>
      </c>
      <c r="D3019" s="187">
        <v>0</v>
      </c>
      <c r="E3019" s="187">
        <v>700</v>
      </c>
      <c r="F3019" s="187">
        <v>15000</v>
      </c>
      <c r="G3019" s="30">
        <f t="shared" si="3230"/>
        <v>2470</v>
      </c>
      <c r="H3019" s="8">
        <f t="shared" si="3230"/>
        <v>25000</v>
      </c>
      <c r="I3019" s="30">
        <f t="shared" si="3231"/>
        <v>8000</v>
      </c>
      <c r="J3019" s="187">
        <v>40000</v>
      </c>
      <c r="K3019" s="30">
        <f t="shared" si="3232"/>
        <v>8000</v>
      </c>
      <c r="L3019" s="187">
        <v>40000</v>
      </c>
      <c r="M3019" s="110">
        <v>9.5</v>
      </c>
      <c r="N3019" s="9">
        <f>VLOOKUP(DATE(YEAR(A3019),MONTH(A3019),DAY(A3019)),FY24_Temp[],3,FALSE)</f>
        <v>17.5</v>
      </c>
      <c r="O3019" s="110">
        <f t="shared" si="3290"/>
        <v>11.5</v>
      </c>
      <c r="P3019" s="110">
        <f t="shared" si="3291"/>
        <v>19.5</v>
      </c>
      <c r="Q3019" s="79">
        <f>VLOOKUP(VLOOKUP(DATEVALUE(TEXT(A3019,"m/d/yyyy")),FY24_Temp[],5,FALSE)&amp;TEXT(A3019,"-h"),TempDelta[],4,FALSE)</f>
        <v>5.487500037997961E-2</v>
      </c>
      <c r="R3019">
        <v>10</v>
      </c>
      <c r="S3019" s="112">
        <v>1500</v>
      </c>
      <c r="T3019" s="5">
        <f>VLOOKUP(TEXT(A3019,"yy-mm")&amp;"-"&amp;IF(AND(WEEKDAY(A3019)&gt;1,WEEKDAY(A3019)&lt;7),"Wkd",TEXT(A3019,"Ddd"))&amp;"-"&amp;TEXT(A3019,"hh"),LoadTable[],3,FALSE)*0.92</f>
        <v>234.80148</v>
      </c>
      <c r="U3019" s="113">
        <f t="shared" si="3292"/>
        <v>23.480148</v>
      </c>
      <c r="V3019">
        <f t="shared" ref="V3019:W3019" si="3300">V2995</f>
        <v>3.5</v>
      </c>
      <c r="W3019">
        <f t="shared" si="3300"/>
        <v>3</v>
      </c>
      <c r="X3019" s="9">
        <v>-110.58945186667</v>
      </c>
      <c r="Y3019" s="39"/>
    </row>
    <row r="3020" spans="1:25" ht="15" thickBot="1">
      <c r="A3020" s="149">
        <f t="shared" si="3274"/>
        <v>45961.708333327995</v>
      </c>
      <c r="B3020" s="30">
        <f t="shared" ref="B3020:B3026" si="3301">B2996</f>
        <v>8000</v>
      </c>
      <c r="C3020" s="8">
        <v>25000</v>
      </c>
      <c r="D3020" s="187">
        <v>0</v>
      </c>
      <c r="E3020" s="187">
        <v>700</v>
      </c>
      <c r="F3020" s="187">
        <v>15000</v>
      </c>
      <c r="G3020" s="30">
        <f t="shared" ref="G3020:H3026" si="3302">G2996</f>
        <v>2470</v>
      </c>
      <c r="H3020" s="8">
        <f t="shared" si="3302"/>
        <v>25000</v>
      </c>
      <c r="I3020" s="30">
        <f t="shared" ref="I3020:I3026" si="3303">I2996</f>
        <v>8000</v>
      </c>
      <c r="J3020" s="187">
        <v>40000</v>
      </c>
      <c r="K3020" s="30">
        <f t="shared" ref="K3020:K3026" si="3304">K2996</f>
        <v>8000</v>
      </c>
      <c r="L3020" s="187">
        <v>40000</v>
      </c>
      <c r="M3020" s="110">
        <v>9.5</v>
      </c>
      <c r="N3020" s="9">
        <f>VLOOKUP(DATE(YEAR(A3020),MONTH(A3020),DAY(A3020)),FY24_Temp[],3,FALSE)</f>
        <v>17.5</v>
      </c>
      <c r="O3020" s="110">
        <f t="shared" si="3290"/>
        <v>11.5</v>
      </c>
      <c r="P3020" s="110">
        <f t="shared" si="3291"/>
        <v>19.5</v>
      </c>
      <c r="Q3020" s="79">
        <f>VLOOKUP(VLOOKUP(DATEVALUE(TEXT(A3020,"m/d/yyyy")),FY24_Temp[],5,FALSE)&amp;TEXT(A3020,"-h"),TempDelta[],4,FALSE)</f>
        <v>0.14624999904481228</v>
      </c>
      <c r="R3020">
        <v>10</v>
      </c>
      <c r="S3020" s="112">
        <v>1500</v>
      </c>
      <c r="T3020" s="5">
        <f>VLOOKUP(TEXT(A3020,"yy-mm")&amp;"-"&amp;IF(AND(WEEKDAY(A3020)&gt;1,WEEKDAY(A3020)&lt;7),"Wkd",TEXT(A3020,"Ddd"))&amp;"-"&amp;TEXT(A3020,"hh"),LoadTable[],3,FALSE)*0.92</f>
        <v>234.80148</v>
      </c>
      <c r="U3020" s="113">
        <f t="shared" si="3292"/>
        <v>23.480148</v>
      </c>
      <c r="V3020">
        <f t="shared" ref="V3020:W3020" si="3305">V2996</f>
        <v>3.6</v>
      </c>
      <c r="W3020">
        <f t="shared" si="3305"/>
        <v>3</v>
      </c>
      <c r="X3020" s="9">
        <v>-110.66724641667</v>
      </c>
      <c r="Y3020" s="39"/>
    </row>
    <row r="3021" spans="1:25" ht="15" thickBot="1">
      <c r="A3021" s="149">
        <f t="shared" si="3274"/>
        <v>45961.749999994659</v>
      </c>
      <c r="B3021" s="30">
        <f t="shared" si="3301"/>
        <v>5000</v>
      </c>
      <c r="C3021" s="8">
        <v>25000</v>
      </c>
      <c r="D3021" s="187">
        <v>0</v>
      </c>
      <c r="E3021" s="187">
        <v>700</v>
      </c>
      <c r="F3021" s="187">
        <v>15000</v>
      </c>
      <c r="G3021" s="30">
        <f t="shared" si="3302"/>
        <v>2470</v>
      </c>
      <c r="H3021" s="8">
        <f t="shared" si="3302"/>
        <v>25000</v>
      </c>
      <c r="I3021" s="30">
        <f t="shared" si="3303"/>
        <v>5000</v>
      </c>
      <c r="J3021" s="187">
        <v>40000</v>
      </c>
      <c r="K3021" s="30">
        <f t="shared" si="3304"/>
        <v>5000</v>
      </c>
      <c r="L3021" s="187">
        <v>40000</v>
      </c>
      <c r="M3021" s="110">
        <v>9.5</v>
      </c>
      <c r="N3021" s="9">
        <f>VLOOKUP(DATE(YEAR(A3021),MONTH(A3021),DAY(A3021)),FY24_Temp[],3,FALSE)</f>
        <v>17.5</v>
      </c>
      <c r="O3021" s="110">
        <f t="shared" si="3290"/>
        <v>11.5</v>
      </c>
      <c r="P3021" s="110">
        <f t="shared" si="3291"/>
        <v>19.5</v>
      </c>
      <c r="Q3021" s="79">
        <f>VLOOKUP(VLOOKUP(DATEVALUE(TEXT(A3021,"m/d/yyyy")),FY24_Temp[],5,FALSE)&amp;TEXT(A3021,"-h"),TempDelta[],4,FALSE)</f>
        <v>0.26487499848008156</v>
      </c>
      <c r="R3021">
        <v>10</v>
      </c>
      <c r="S3021" s="112">
        <v>1500</v>
      </c>
      <c r="T3021" s="5">
        <f>VLOOKUP(TEXT(A3021,"yy-mm")&amp;"-"&amp;IF(AND(WEEKDAY(A3021)&gt;1,WEEKDAY(A3021)&lt;7),"Wkd",TEXT(A3021,"Ddd"))&amp;"-"&amp;TEXT(A3021,"hh"),LoadTable[],3,FALSE)*0.92</f>
        <v>303.31295999999998</v>
      </c>
      <c r="U3021" s="113">
        <f t="shared" si="3292"/>
        <v>30.331295999999998</v>
      </c>
      <c r="V3021">
        <f t="shared" ref="V3021:W3021" si="3306">V2997</f>
        <v>2.9</v>
      </c>
      <c r="W3021">
        <f t="shared" si="3306"/>
        <v>3</v>
      </c>
      <c r="X3021" s="9">
        <v>-110.74504096667</v>
      </c>
      <c r="Y3021" s="39"/>
    </row>
    <row r="3022" spans="1:25" ht="15" thickBot="1">
      <c r="A3022" s="149">
        <f t="shared" si="3274"/>
        <v>45961.791666661324</v>
      </c>
      <c r="B3022" s="30">
        <f t="shared" si="3301"/>
        <v>5000</v>
      </c>
      <c r="C3022" s="8">
        <v>25000</v>
      </c>
      <c r="D3022" s="187">
        <v>0</v>
      </c>
      <c r="E3022" s="187">
        <v>700</v>
      </c>
      <c r="F3022" s="187">
        <v>15000</v>
      </c>
      <c r="G3022" s="30">
        <f t="shared" si="3302"/>
        <v>2470</v>
      </c>
      <c r="H3022" s="8">
        <f t="shared" si="3302"/>
        <v>25000</v>
      </c>
      <c r="I3022" s="30">
        <f t="shared" si="3303"/>
        <v>5000</v>
      </c>
      <c r="J3022" s="187">
        <v>40000</v>
      </c>
      <c r="K3022" s="30">
        <f t="shared" si="3304"/>
        <v>5000</v>
      </c>
      <c r="L3022" s="187">
        <v>40000</v>
      </c>
      <c r="M3022" s="110">
        <v>9.5</v>
      </c>
      <c r="N3022" s="9">
        <f>VLOOKUP(DATE(YEAR(A3022),MONTH(A3022),DAY(A3022)),FY24_Temp[],3,FALSE)</f>
        <v>17.5</v>
      </c>
      <c r="O3022" s="110">
        <f t="shared" si="3290"/>
        <v>11.5</v>
      </c>
      <c r="P3022" s="110">
        <f t="shared" si="3291"/>
        <v>19.5</v>
      </c>
      <c r="Q3022" s="79">
        <f>VLOOKUP(VLOOKUP(DATEVALUE(TEXT(A3022,"m/d/yyyy")),FY24_Temp[],5,FALSE)&amp;TEXT(A3022,"-h"),TempDelta[],4,FALSE)</f>
        <v>0.24249999853782356</v>
      </c>
      <c r="R3022">
        <v>10</v>
      </c>
      <c r="S3022" s="112">
        <v>1500</v>
      </c>
      <c r="T3022" s="5">
        <f>VLOOKUP(TEXT(A3022,"yy-mm")&amp;"-"&amp;IF(AND(WEEKDAY(A3022)&gt;1,WEEKDAY(A3022)&lt;7),"Wkd",TEXT(A3022,"Ddd"))&amp;"-"&amp;TEXT(A3022,"hh"),LoadTable[],3,FALSE)*0.92</f>
        <v>303.31295999999998</v>
      </c>
      <c r="U3022" s="113">
        <f t="shared" si="3292"/>
        <v>30.331295999999998</v>
      </c>
      <c r="V3022">
        <f t="shared" ref="V3022:W3022" si="3307">V2998</f>
        <v>3</v>
      </c>
      <c r="W3022">
        <f t="shared" si="3307"/>
        <v>3</v>
      </c>
      <c r="X3022" s="9">
        <v>-110.82283551667</v>
      </c>
      <c r="Y3022" s="39"/>
    </row>
    <row r="3023" spans="1:25" ht="15" thickBot="1">
      <c r="A3023" s="149">
        <f t="shared" si="3274"/>
        <v>45961.833333327988</v>
      </c>
      <c r="B3023" s="30">
        <f t="shared" si="3301"/>
        <v>5000</v>
      </c>
      <c r="C3023" s="8">
        <v>25000</v>
      </c>
      <c r="D3023" s="187">
        <v>0</v>
      </c>
      <c r="E3023" s="187">
        <v>700</v>
      </c>
      <c r="F3023" s="187">
        <v>15000</v>
      </c>
      <c r="G3023" s="30">
        <f t="shared" si="3302"/>
        <v>2470</v>
      </c>
      <c r="H3023" s="8">
        <f t="shared" si="3302"/>
        <v>25000</v>
      </c>
      <c r="I3023" s="30">
        <f t="shared" si="3303"/>
        <v>5000</v>
      </c>
      <c r="J3023" s="187">
        <v>40000</v>
      </c>
      <c r="K3023" s="30">
        <f t="shared" si="3304"/>
        <v>5000</v>
      </c>
      <c r="L3023" s="187">
        <v>40000</v>
      </c>
      <c r="M3023" s="110">
        <v>9.5</v>
      </c>
      <c r="N3023" s="9">
        <f>VLOOKUP(DATE(YEAR(A3023),MONTH(A3023),DAY(A3023)),FY24_Temp[],3,FALSE)</f>
        <v>17.5</v>
      </c>
      <c r="O3023" s="110">
        <f t="shared" si="3290"/>
        <v>11.5</v>
      </c>
      <c r="P3023" s="110">
        <f t="shared" si="3291"/>
        <v>19.5</v>
      </c>
      <c r="Q3023" s="79">
        <f>VLOOKUP(VLOOKUP(DATEVALUE(TEXT(A3023,"m/d/yyyy")),FY24_Temp[],5,FALSE)&amp;TEXT(A3023,"-h"),TempDelta[],4,FALSE)</f>
        <v>0.25587500119581819</v>
      </c>
      <c r="R3023">
        <v>10</v>
      </c>
      <c r="S3023" s="112">
        <v>1500</v>
      </c>
      <c r="T3023" s="5">
        <f>VLOOKUP(TEXT(A3023,"yy-mm")&amp;"-"&amp;IF(AND(WEEKDAY(A3023)&gt;1,WEEKDAY(A3023)&lt;7),"Wkd",TEXT(A3023,"Ddd"))&amp;"-"&amp;TEXT(A3023,"hh"),LoadTable[],3,FALSE)*0.92</f>
        <v>303.31295999999998</v>
      </c>
      <c r="U3023" s="113">
        <f t="shared" si="3292"/>
        <v>30.331295999999998</v>
      </c>
      <c r="V3023">
        <f t="shared" ref="V3023:W3023" si="3308">V2999</f>
        <v>2.8</v>
      </c>
      <c r="W3023">
        <f t="shared" si="3308"/>
        <v>3.1</v>
      </c>
      <c r="X3023" s="9">
        <v>-110.90063006667</v>
      </c>
      <c r="Y3023" s="39"/>
    </row>
    <row r="3024" spans="1:25" ht="15" thickBot="1">
      <c r="A3024" s="149">
        <f t="shared" si="3274"/>
        <v>45961.874999994652</v>
      </c>
      <c r="B3024" s="30">
        <f t="shared" si="3301"/>
        <v>5000</v>
      </c>
      <c r="C3024" s="8">
        <v>25000</v>
      </c>
      <c r="D3024" s="187">
        <v>0</v>
      </c>
      <c r="E3024" s="187">
        <v>700</v>
      </c>
      <c r="F3024" s="187">
        <v>15000</v>
      </c>
      <c r="G3024" s="30">
        <f t="shared" si="3302"/>
        <v>2470</v>
      </c>
      <c r="H3024" s="8">
        <f t="shared" si="3302"/>
        <v>25000</v>
      </c>
      <c r="I3024" s="30">
        <f t="shared" si="3303"/>
        <v>5000</v>
      </c>
      <c r="J3024" s="187">
        <v>40000</v>
      </c>
      <c r="K3024" s="30">
        <f t="shared" si="3304"/>
        <v>5000</v>
      </c>
      <c r="L3024" s="187">
        <v>40000</v>
      </c>
      <c r="M3024" s="110">
        <v>9.5</v>
      </c>
      <c r="N3024" s="9">
        <f>VLOOKUP(DATE(YEAR(A3024),MONTH(A3024),DAY(A3024)),FY24_Temp[],3,FALSE)</f>
        <v>17.5</v>
      </c>
      <c r="O3024" s="110">
        <f t="shared" si="3290"/>
        <v>11.5</v>
      </c>
      <c r="P3024" s="110">
        <f t="shared" si="3291"/>
        <v>19.5</v>
      </c>
      <c r="Q3024" s="79">
        <f>VLOOKUP(VLOOKUP(DATEVALUE(TEXT(A3024,"m/d/yyyy")),FY24_Temp[],5,FALSE)&amp;TEXT(A3024,"-h"),TempDelta[],4,FALSE)</f>
        <v>0.25137499789707363</v>
      </c>
      <c r="R3024">
        <v>10</v>
      </c>
      <c r="S3024" s="112">
        <v>1500</v>
      </c>
      <c r="T3024" s="5">
        <f>VLOOKUP(TEXT(A3024,"yy-mm")&amp;"-"&amp;IF(AND(WEEKDAY(A3024)&gt;1,WEEKDAY(A3024)&lt;7),"Wkd",TEXT(A3024,"Ddd"))&amp;"-"&amp;TEXT(A3024,"hh"),LoadTable[],3,FALSE)*0.92</f>
        <v>229.93744000000001</v>
      </c>
      <c r="U3024" s="113">
        <f t="shared" si="3292"/>
        <v>22.993744</v>
      </c>
      <c r="V3024">
        <f t="shared" ref="V3024:W3024" si="3309">V3000</f>
        <v>3.5</v>
      </c>
      <c r="W3024">
        <f t="shared" si="3309"/>
        <v>3.1</v>
      </c>
      <c r="X3024" s="9">
        <v>-110.97842461667</v>
      </c>
      <c r="Y3024" s="39"/>
    </row>
    <row r="3025" spans="1:25" ht="15" thickBot="1">
      <c r="A3025" s="149">
        <f t="shared" si="3274"/>
        <v>45961.916666661316</v>
      </c>
      <c r="B3025" s="30">
        <f t="shared" si="3301"/>
        <v>5000</v>
      </c>
      <c r="C3025" s="8">
        <v>25000</v>
      </c>
      <c r="D3025" s="187">
        <v>0</v>
      </c>
      <c r="E3025" s="187">
        <v>700</v>
      </c>
      <c r="F3025" s="187">
        <v>15000</v>
      </c>
      <c r="G3025" s="30">
        <f t="shared" si="3302"/>
        <v>2470</v>
      </c>
      <c r="H3025" s="8">
        <f t="shared" si="3302"/>
        <v>25000</v>
      </c>
      <c r="I3025" s="30">
        <f t="shared" si="3303"/>
        <v>5000</v>
      </c>
      <c r="J3025" s="187">
        <v>40000</v>
      </c>
      <c r="K3025" s="30">
        <f t="shared" si="3304"/>
        <v>5000</v>
      </c>
      <c r="L3025" s="187">
        <v>40000</v>
      </c>
      <c r="M3025" s="110">
        <v>9.5</v>
      </c>
      <c r="N3025" s="9">
        <f>VLOOKUP(DATE(YEAR(A3025),MONTH(A3025),DAY(A3025)),FY24_Temp[],3,FALSE)</f>
        <v>17.5</v>
      </c>
      <c r="O3025" s="110">
        <f t="shared" si="3290"/>
        <v>11.5</v>
      </c>
      <c r="P3025" s="110">
        <f t="shared" si="3291"/>
        <v>19.5</v>
      </c>
      <c r="Q3025" s="79">
        <f>VLOOKUP(VLOOKUP(DATEVALUE(TEXT(A3025,"m/d/yyyy")),FY24_Temp[],5,FALSE)&amp;TEXT(A3025,"-h"),TempDelta[],4,FALSE)</f>
        <v>0.48149999231100082</v>
      </c>
      <c r="R3025">
        <v>10</v>
      </c>
      <c r="S3025" s="112">
        <v>1500</v>
      </c>
      <c r="T3025" s="5">
        <f>VLOOKUP(TEXT(A3025,"yy-mm")&amp;"-"&amp;IF(AND(WEEKDAY(A3025)&gt;1,WEEKDAY(A3025)&lt;7),"Wkd",TEXT(A3025,"Ddd"))&amp;"-"&amp;TEXT(A3025,"hh"),LoadTable[],3,FALSE)*0.92</f>
        <v>176.52040000000002</v>
      </c>
      <c r="U3025" s="113">
        <f t="shared" si="3292"/>
        <v>17.652040000000003</v>
      </c>
      <c r="V3025">
        <f t="shared" ref="V3025:W3025" si="3310">V3001</f>
        <v>2.9</v>
      </c>
      <c r="W3025">
        <f t="shared" si="3310"/>
        <v>3.1</v>
      </c>
      <c r="X3025" s="9">
        <v>-111.05621916667</v>
      </c>
      <c r="Y3025" s="39"/>
    </row>
    <row r="3026" spans="1:25" ht="15" thickBot="1">
      <c r="A3026" s="149">
        <f t="shared" si="3274"/>
        <v>45961.958333327981</v>
      </c>
      <c r="B3026" s="30">
        <f t="shared" si="3301"/>
        <v>5000</v>
      </c>
      <c r="C3026" s="8">
        <v>25000</v>
      </c>
      <c r="D3026" s="187">
        <v>0</v>
      </c>
      <c r="E3026" s="187">
        <v>700</v>
      </c>
      <c r="F3026" s="187">
        <v>15000</v>
      </c>
      <c r="G3026" s="30">
        <f t="shared" si="3302"/>
        <v>2470</v>
      </c>
      <c r="H3026" s="8">
        <f t="shared" si="3302"/>
        <v>25000</v>
      </c>
      <c r="I3026" s="30">
        <f t="shared" si="3303"/>
        <v>5000</v>
      </c>
      <c r="J3026" s="187">
        <v>40000</v>
      </c>
      <c r="K3026" s="30">
        <f t="shared" si="3304"/>
        <v>5000</v>
      </c>
      <c r="L3026" s="187">
        <v>40000</v>
      </c>
      <c r="M3026" s="110">
        <v>9.5</v>
      </c>
      <c r="N3026" s="9">
        <f>VLOOKUP(DATE(YEAR(A3026),MONTH(A3026),DAY(A3026)),FY24_Temp[],3,FALSE)</f>
        <v>17.5</v>
      </c>
      <c r="O3026" s="110">
        <f t="shared" si="3290"/>
        <v>11.5</v>
      </c>
      <c r="P3026" s="110">
        <f t="shared" si="3291"/>
        <v>19.5</v>
      </c>
      <c r="Q3026" s="79">
        <f>VLOOKUP(VLOOKUP(DATEVALUE(TEXT(A3026,"m/d/yyyy")),FY24_Temp[],5,FALSE)&amp;TEXT(A3026,"-h"),TempDelta[],4,FALSE)</f>
        <v>0.60849998891353607</v>
      </c>
      <c r="R3026">
        <v>10</v>
      </c>
      <c r="S3026" s="112">
        <v>1500</v>
      </c>
      <c r="T3026" s="5">
        <f>VLOOKUP(TEXT(A3026,"yy-mm")&amp;"-"&amp;IF(AND(WEEKDAY(A3026)&gt;1,WEEKDAY(A3026)&lt;7),"Wkd",TEXT(A3026,"Ddd"))&amp;"-"&amp;TEXT(A3026,"hh"),LoadTable[],3,FALSE)*0.92</f>
        <v>176.52040000000002</v>
      </c>
      <c r="U3026" s="113">
        <f t="shared" si="3292"/>
        <v>17.652040000000003</v>
      </c>
      <c r="V3026">
        <f t="shared" ref="V3026:W3026" si="3311">V3002</f>
        <v>3.6</v>
      </c>
      <c r="W3026">
        <f t="shared" si="3311"/>
        <v>3.1</v>
      </c>
      <c r="X3026" s="9">
        <v>-111.13401371667</v>
      </c>
      <c r="Y3026" s="39"/>
    </row>
    <row r="3027" spans="1:25">
      <c r="A3027" s="29"/>
      <c r="B3027" s="30"/>
      <c r="C3027" s="8"/>
      <c r="D3027" s="8"/>
      <c r="E3027" s="8"/>
      <c r="F3027" s="8"/>
      <c r="G3027" s="30"/>
      <c r="H3027" s="8"/>
      <c r="I3027" s="30"/>
      <c r="J3027" s="8"/>
      <c r="K3027" s="30"/>
      <c r="L3027" s="8"/>
      <c r="M3027" s="9"/>
      <c r="N3027" s="9"/>
      <c r="O3027" s="9"/>
      <c r="P3027" s="9"/>
      <c r="Q3027" s="79"/>
      <c r="T3027" s="5"/>
      <c r="U3027" s="102"/>
      <c r="X3027" s="9"/>
    </row>
    <row r="3028" spans="1:25">
      <c r="A3028" s="29"/>
      <c r="B3028" s="30"/>
      <c r="C3028" s="8"/>
      <c r="D3028" s="8"/>
      <c r="E3028" s="8"/>
      <c r="F3028" s="8"/>
      <c r="G3028" s="30"/>
      <c r="H3028" s="8"/>
      <c r="I3028" s="30"/>
      <c r="J3028" s="8"/>
      <c r="K3028" s="30"/>
      <c r="L3028" s="8"/>
      <c r="M3028" s="9"/>
      <c r="N3028" s="9"/>
      <c r="O3028" s="9"/>
      <c r="P3028" s="9"/>
      <c r="Q3028" s="79"/>
      <c r="T3028" s="5"/>
      <c r="U3028" s="102"/>
      <c r="X3028" s="9"/>
    </row>
    <row r="3029" spans="1:25">
      <c r="A3029" s="29"/>
      <c r="B3029" s="30"/>
      <c r="C3029" s="8"/>
      <c r="D3029" s="8"/>
      <c r="E3029" s="8"/>
      <c r="F3029" s="8"/>
      <c r="G3029" s="30"/>
      <c r="H3029" s="8"/>
      <c r="I3029" s="30"/>
      <c r="J3029" s="8"/>
      <c r="K3029" s="30"/>
      <c r="L3029" s="8"/>
      <c r="M3029" s="9"/>
      <c r="N3029" s="9"/>
      <c r="O3029" s="9"/>
      <c r="P3029" s="9"/>
      <c r="Q3029" s="79"/>
      <c r="T3029" s="5"/>
      <c r="U3029" s="102"/>
      <c r="X3029" s="9"/>
    </row>
    <row r="3030" spans="1:25">
      <c r="A3030" s="29"/>
      <c r="B3030" s="30"/>
      <c r="C3030" s="8"/>
      <c r="D3030" s="8"/>
      <c r="E3030" s="8"/>
      <c r="F3030" s="8"/>
      <c r="G3030" s="30"/>
      <c r="H3030" s="8"/>
      <c r="I3030" s="30"/>
      <c r="J3030" s="8"/>
      <c r="K3030" s="30"/>
      <c r="L3030" s="8"/>
      <c r="M3030" s="9"/>
      <c r="N3030" s="9"/>
      <c r="O3030" s="9"/>
      <c r="P3030" s="9"/>
      <c r="Q3030" s="79"/>
      <c r="T3030" s="5"/>
      <c r="U3030" s="102"/>
      <c r="X3030" s="9"/>
    </row>
    <row r="3031" spans="1:25">
      <c r="A3031" s="29"/>
      <c r="B3031" s="30"/>
      <c r="C3031" s="8"/>
      <c r="D3031" s="8"/>
      <c r="E3031" s="8"/>
      <c r="F3031" s="8"/>
      <c r="G3031" s="30"/>
      <c r="H3031" s="8"/>
      <c r="I3031" s="30"/>
      <c r="J3031" s="8"/>
      <c r="K3031" s="30"/>
      <c r="L3031" s="8"/>
      <c r="M3031" s="9"/>
      <c r="N3031" s="9"/>
      <c r="O3031" s="9"/>
      <c r="P3031" s="9"/>
      <c r="Q3031" s="79"/>
      <c r="T3031" s="5"/>
      <c r="U3031" s="102"/>
      <c r="X3031" s="9"/>
    </row>
    <row r="3032" spans="1:25">
      <c r="A3032" s="29"/>
      <c r="B3032" s="30"/>
      <c r="C3032" s="8"/>
      <c r="D3032" s="8"/>
      <c r="E3032" s="8"/>
      <c r="F3032" s="8"/>
      <c r="G3032" s="30"/>
      <c r="H3032" s="8"/>
      <c r="I3032" s="30"/>
      <c r="J3032" s="8"/>
      <c r="K3032" s="30"/>
      <c r="L3032" s="8"/>
      <c r="M3032" s="9"/>
      <c r="N3032" s="9"/>
      <c r="O3032" s="9"/>
      <c r="P3032" s="9"/>
      <c r="Q3032" s="79"/>
      <c r="T3032" s="5"/>
      <c r="U3032" s="102"/>
      <c r="X3032" s="9"/>
    </row>
    <row r="3033" spans="1:25">
      <c r="A3033" s="29"/>
      <c r="B3033" s="30"/>
      <c r="C3033" s="8"/>
      <c r="D3033" s="8"/>
      <c r="E3033" s="8"/>
      <c r="F3033" s="8"/>
      <c r="G3033" s="30"/>
      <c r="H3033" s="8"/>
      <c r="I3033" s="30"/>
      <c r="J3033" s="8"/>
      <c r="K3033" s="30"/>
      <c r="L3033" s="8"/>
      <c r="M3033" s="9"/>
      <c r="N3033" s="9"/>
      <c r="O3033" s="9"/>
      <c r="P3033" s="9"/>
      <c r="Q3033" s="79"/>
      <c r="T3033" s="5"/>
      <c r="U3033" s="102"/>
      <c r="X3033" s="9"/>
    </row>
    <row r="3034" spans="1:25">
      <c r="A3034" s="29"/>
      <c r="B3034" s="30"/>
      <c r="C3034" s="8"/>
      <c r="D3034" s="8"/>
      <c r="E3034" s="8"/>
      <c r="F3034" s="8"/>
      <c r="G3034" s="30"/>
      <c r="H3034" s="8"/>
      <c r="I3034" s="30"/>
      <c r="J3034" s="8"/>
      <c r="K3034" s="30"/>
      <c r="L3034" s="8"/>
      <c r="M3034" s="9"/>
      <c r="N3034" s="9"/>
      <c r="O3034" s="9"/>
      <c r="P3034" s="9"/>
      <c r="Q3034" s="79"/>
      <c r="T3034" s="5"/>
      <c r="U3034" s="102"/>
      <c r="X3034" s="9"/>
    </row>
    <row r="3035" spans="1:25">
      <c r="A3035" s="29"/>
      <c r="B3035" s="30"/>
      <c r="C3035" s="8"/>
      <c r="D3035" s="8"/>
      <c r="E3035" s="8"/>
      <c r="F3035" s="8"/>
      <c r="G3035" s="30"/>
      <c r="H3035" s="8"/>
      <c r="I3035" s="30"/>
      <c r="J3035" s="8"/>
      <c r="K3035" s="30"/>
      <c r="L3035" s="8"/>
      <c r="M3035" s="9"/>
      <c r="N3035" s="9"/>
      <c r="O3035" s="9"/>
      <c r="P3035" s="9"/>
      <c r="Q3035" s="79"/>
      <c r="T3035" s="5"/>
      <c r="U3035" s="102"/>
      <c r="X3035" s="9"/>
    </row>
    <row r="3036" spans="1:25">
      <c r="A3036" s="29"/>
      <c r="B3036" s="30"/>
      <c r="C3036" s="8"/>
      <c r="D3036" s="8"/>
      <c r="E3036" s="8"/>
      <c r="F3036" s="8"/>
      <c r="G3036" s="30"/>
      <c r="H3036" s="8"/>
      <c r="I3036" s="30"/>
      <c r="J3036" s="8"/>
      <c r="K3036" s="30"/>
      <c r="L3036" s="8"/>
      <c r="M3036" s="9"/>
      <c r="N3036" s="9"/>
      <c r="O3036" s="9"/>
      <c r="P3036" s="9"/>
      <c r="Q3036" s="79"/>
      <c r="T3036" s="5"/>
      <c r="U3036" s="102"/>
      <c r="X3036" s="9"/>
    </row>
    <row r="3037" spans="1:25">
      <c r="A3037" s="29"/>
      <c r="B3037" s="30"/>
      <c r="C3037" s="8"/>
      <c r="D3037" s="8"/>
      <c r="E3037" s="8"/>
      <c r="F3037" s="8"/>
      <c r="G3037" s="30"/>
      <c r="H3037" s="8"/>
      <c r="I3037" s="30"/>
      <c r="J3037" s="8"/>
      <c r="K3037" s="30"/>
      <c r="L3037" s="8"/>
      <c r="M3037" s="9"/>
      <c r="N3037" s="9"/>
      <c r="O3037" s="9"/>
      <c r="P3037" s="9"/>
      <c r="Q3037" s="79"/>
      <c r="T3037" s="5"/>
      <c r="U3037" s="102"/>
      <c r="X3037" s="9"/>
    </row>
    <row r="3038" spans="1:25">
      <c r="A3038" s="29"/>
      <c r="B3038" s="30"/>
      <c r="C3038" s="8"/>
      <c r="D3038" s="8"/>
      <c r="E3038" s="8"/>
      <c r="F3038" s="8"/>
      <c r="G3038" s="30"/>
      <c r="H3038" s="8"/>
      <c r="I3038" s="30"/>
      <c r="J3038" s="8"/>
      <c r="K3038" s="30"/>
      <c r="L3038" s="8"/>
      <c r="M3038" s="9"/>
      <c r="N3038" s="9"/>
      <c r="O3038" s="9"/>
      <c r="P3038" s="9"/>
      <c r="Q3038" s="79"/>
      <c r="T3038" s="5"/>
      <c r="U3038" s="102"/>
      <c r="X3038" s="9"/>
    </row>
    <row r="3039" spans="1:25">
      <c r="A3039" s="29"/>
      <c r="B3039" s="30"/>
      <c r="C3039" s="8"/>
      <c r="D3039" s="8"/>
      <c r="E3039" s="8"/>
      <c r="F3039" s="8"/>
      <c r="G3039" s="30"/>
      <c r="H3039" s="8"/>
      <c r="I3039" s="30"/>
      <c r="J3039" s="8"/>
      <c r="K3039" s="30"/>
      <c r="L3039" s="8"/>
      <c r="M3039" s="9"/>
      <c r="N3039" s="9"/>
      <c r="O3039" s="9"/>
      <c r="P3039" s="9"/>
      <c r="Q3039" s="79"/>
      <c r="T3039" s="5"/>
      <c r="U3039" s="102"/>
      <c r="X3039" s="9"/>
    </row>
    <row r="3040" spans="1:25">
      <c r="A3040" s="29"/>
      <c r="B3040" s="30"/>
      <c r="C3040" s="8"/>
      <c r="D3040" s="8"/>
      <c r="E3040" s="8"/>
      <c r="F3040" s="8"/>
      <c r="G3040" s="30"/>
      <c r="H3040" s="8"/>
      <c r="I3040" s="30"/>
      <c r="J3040" s="8"/>
      <c r="K3040" s="30"/>
      <c r="L3040" s="8"/>
      <c r="M3040" s="9"/>
      <c r="N3040" s="9"/>
      <c r="O3040" s="9"/>
      <c r="P3040" s="9"/>
      <c r="Q3040" s="79"/>
      <c r="T3040" s="5"/>
      <c r="U3040" s="102"/>
      <c r="X3040" s="9"/>
    </row>
    <row r="3041" spans="1:24">
      <c r="A3041" s="29"/>
      <c r="B3041" s="30"/>
      <c r="C3041" s="8"/>
      <c r="D3041" s="8"/>
      <c r="E3041" s="8"/>
      <c r="F3041" s="8"/>
      <c r="G3041" s="30"/>
      <c r="H3041" s="8"/>
      <c r="I3041" s="30"/>
      <c r="J3041" s="8"/>
      <c r="K3041" s="30"/>
      <c r="L3041" s="8"/>
      <c r="M3041" s="9"/>
      <c r="N3041" s="9"/>
      <c r="O3041" s="9"/>
      <c r="P3041" s="9"/>
      <c r="Q3041" s="79"/>
      <c r="T3041" s="5"/>
      <c r="U3041" s="102"/>
      <c r="X3041" s="9"/>
    </row>
    <row r="3042" spans="1:24">
      <c r="A3042" s="29"/>
      <c r="B3042" s="30"/>
      <c r="C3042" s="8"/>
      <c r="D3042" s="8"/>
      <c r="E3042" s="8"/>
      <c r="F3042" s="8"/>
      <c r="G3042" s="30"/>
      <c r="H3042" s="8"/>
      <c r="I3042" s="30"/>
      <c r="J3042" s="8"/>
      <c r="K3042" s="30"/>
      <c r="L3042" s="8"/>
      <c r="M3042" s="9"/>
      <c r="N3042" s="9"/>
      <c r="O3042" s="9"/>
      <c r="P3042" s="9"/>
      <c r="Q3042" s="79"/>
      <c r="T3042" s="5"/>
      <c r="U3042" s="102"/>
      <c r="X3042" s="9"/>
    </row>
    <row r="3043" spans="1:24">
      <c r="A3043" s="29"/>
      <c r="B3043" s="30"/>
      <c r="C3043" s="8"/>
      <c r="D3043" s="8"/>
      <c r="E3043" s="8"/>
      <c r="F3043" s="8"/>
      <c r="G3043" s="30"/>
      <c r="H3043" s="8"/>
      <c r="I3043" s="30"/>
      <c r="J3043" s="8"/>
      <c r="K3043" s="30"/>
      <c r="L3043" s="8"/>
      <c r="M3043" s="9"/>
      <c r="N3043" s="9"/>
      <c r="O3043" s="9"/>
      <c r="P3043" s="9"/>
      <c r="Q3043" s="79"/>
      <c r="T3043" s="5"/>
      <c r="U3043" s="102"/>
      <c r="X3043" s="9"/>
    </row>
    <row r="3044" spans="1:24">
      <c r="A3044" s="29"/>
      <c r="B3044" s="30"/>
      <c r="C3044" s="8"/>
      <c r="D3044" s="8"/>
      <c r="E3044" s="8"/>
      <c r="F3044" s="8"/>
      <c r="G3044" s="30"/>
      <c r="H3044" s="8"/>
      <c r="I3044" s="30"/>
      <c r="J3044" s="8"/>
      <c r="K3044" s="30"/>
      <c r="L3044" s="8"/>
      <c r="M3044" s="9"/>
      <c r="N3044" s="9"/>
      <c r="O3044" s="9"/>
      <c r="P3044" s="9"/>
      <c r="Q3044" s="79"/>
      <c r="T3044" s="5"/>
      <c r="U3044" s="102"/>
      <c r="X3044" s="9"/>
    </row>
    <row r="3045" spans="1:24">
      <c r="A3045" s="29"/>
      <c r="B3045" s="30"/>
      <c r="C3045" s="8"/>
      <c r="D3045" s="8"/>
      <c r="E3045" s="8"/>
      <c r="F3045" s="8"/>
      <c r="G3045" s="30"/>
      <c r="H3045" s="8"/>
      <c r="I3045" s="30"/>
      <c r="J3045" s="8"/>
      <c r="K3045" s="30"/>
      <c r="L3045" s="8"/>
      <c r="M3045" s="9"/>
      <c r="N3045" s="9"/>
      <c r="O3045" s="9"/>
      <c r="P3045" s="9"/>
      <c r="Q3045" s="79"/>
      <c r="T3045" s="5"/>
      <c r="U3045" s="102"/>
      <c r="X3045" s="9"/>
    </row>
    <row r="3046" spans="1:24">
      <c r="A3046" s="29"/>
      <c r="B3046" s="30"/>
      <c r="C3046" s="8"/>
      <c r="D3046" s="8"/>
      <c r="E3046" s="8"/>
      <c r="F3046" s="8"/>
      <c r="G3046" s="30"/>
      <c r="H3046" s="8"/>
      <c r="I3046" s="30"/>
      <c r="J3046" s="8"/>
      <c r="K3046" s="30"/>
      <c r="L3046" s="8"/>
      <c r="M3046" s="9"/>
      <c r="N3046" s="9"/>
      <c r="O3046" s="9"/>
      <c r="P3046" s="9"/>
      <c r="Q3046" s="79"/>
      <c r="T3046" s="5"/>
      <c r="U3046" s="102"/>
      <c r="X3046" s="9"/>
    </row>
    <row r="3047" spans="1:24">
      <c r="A3047" s="29"/>
      <c r="B3047" s="30"/>
      <c r="C3047" s="8"/>
      <c r="D3047" s="8"/>
      <c r="E3047" s="8"/>
      <c r="F3047" s="8"/>
      <c r="G3047" s="30"/>
      <c r="H3047" s="8"/>
      <c r="I3047" s="30"/>
      <c r="J3047" s="8"/>
      <c r="K3047" s="30"/>
      <c r="L3047" s="8"/>
      <c r="M3047" s="9"/>
      <c r="N3047" s="9"/>
      <c r="O3047" s="9"/>
      <c r="P3047" s="9"/>
      <c r="Q3047" s="79"/>
      <c r="T3047" s="5"/>
      <c r="U3047" s="102"/>
      <c r="X3047" s="9"/>
    </row>
    <row r="3048" spans="1:24">
      <c r="A3048" s="29"/>
      <c r="B3048" s="30"/>
      <c r="C3048" s="8"/>
      <c r="D3048" s="8"/>
      <c r="E3048" s="8"/>
      <c r="F3048" s="8"/>
      <c r="G3048" s="30"/>
      <c r="H3048" s="8"/>
      <c r="I3048" s="30"/>
      <c r="J3048" s="8"/>
      <c r="K3048" s="30"/>
      <c r="L3048" s="8"/>
      <c r="M3048" s="9"/>
      <c r="N3048" s="9"/>
      <c r="O3048" s="9"/>
      <c r="P3048" s="9"/>
      <c r="Q3048" s="79"/>
      <c r="T3048" s="5"/>
      <c r="U3048" s="102"/>
      <c r="X3048" s="9"/>
    </row>
    <row r="3049" spans="1:24">
      <c r="A3049" s="29"/>
      <c r="B3049" s="30"/>
      <c r="C3049" s="8"/>
      <c r="D3049" s="8"/>
      <c r="E3049" s="8"/>
      <c r="F3049" s="8"/>
      <c r="G3049" s="30"/>
      <c r="H3049" s="8"/>
      <c r="I3049" s="30"/>
      <c r="J3049" s="8"/>
      <c r="K3049" s="30"/>
      <c r="L3049" s="8"/>
      <c r="M3049" s="9"/>
      <c r="N3049" s="9"/>
      <c r="O3049" s="9"/>
      <c r="P3049" s="9"/>
      <c r="Q3049" s="79"/>
      <c r="T3049" s="5"/>
      <c r="U3049" s="102"/>
      <c r="X3049" s="9"/>
    </row>
    <row r="3050" spans="1:24">
      <c r="A3050" s="29"/>
      <c r="B3050" s="30"/>
      <c r="C3050" s="8"/>
      <c r="D3050" s="8"/>
      <c r="E3050" s="8"/>
      <c r="F3050" s="8"/>
      <c r="G3050" s="30"/>
      <c r="H3050" s="8"/>
      <c r="I3050" s="30"/>
      <c r="J3050" s="8"/>
      <c r="K3050" s="30"/>
      <c r="L3050" s="8"/>
      <c r="M3050" s="9"/>
      <c r="N3050" s="9"/>
      <c r="O3050" s="9"/>
      <c r="P3050" s="9"/>
      <c r="Q3050" s="79"/>
      <c r="T3050" s="5"/>
      <c r="U3050" s="102"/>
      <c r="X3050" s="9"/>
    </row>
    <row r="3051" spans="1:24">
      <c r="A3051" s="29"/>
      <c r="B3051" s="30"/>
      <c r="C3051" s="8"/>
      <c r="D3051" s="8"/>
      <c r="E3051" s="8"/>
      <c r="F3051" s="8"/>
      <c r="G3051" s="30"/>
      <c r="H3051" s="8"/>
      <c r="I3051" s="30"/>
      <c r="J3051" s="8"/>
      <c r="K3051" s="30"/>
      <c r="L3051" s="8"/>
      <c r="M3051" s="9"/>
      <c r="N3051" s="9"/>
      <c r="O3051" s="9"/>
      <c r="P3051" s="9"/>
      <c r="Q3051" s="79"/>
      <c r="T3051" s="5"/>
      <c r="U3051" s="102"/>
      <c r="X3051" s="9"/>
    </row>
    <row r="3052" spans="1:24">
      <c r="A3052" s="29"/>
      <c r="B3052" s="30"/>
      <c r="C3052" s="8"/>
      <c r="D3052" s="8"/>
      <c r="E3052" s="8"/>
      <c r="F3052" s="8"/>
      <c r="G3052" s="30"/>
      <c r="H3052" s="8"/>
      <c r="I3052" s="30"/>
      <c r="J3052" s="8"/>
      <c r="K3052" s="30"/>
      <c r="L3052" s="8"/>
      <c r="M3052" s="9"/>
      <c r="N3052" s="9"/>
      <c r="O3052" s="9"/>
      <c r="P3052" s="9"/>
      <c r="Q3052" s="79"/>
      <c r="T3052" s="5"/>
      <c r="U3052" s="102"/>
      <c r="X3052" s="9"/>
    </row>
    <row r="3053" spans="1:24">
      <c r="A3053" s="29"/>
      <c r="B3053" s="30"/>
      <c r="C3053" s="8"/>
      <c r="D3053" s="8"/>
      <c r="E3053" s="8"/>
      <c r="F3053" s="8"/>
      <c r="G3053" s="30"/>
      <c r="H3053" s="8"/>
      <c r="I3053" s="30"/>
      <c r="J3053" s="8"/>
      <c r="K3053" s="30"/>
      <c r="L3053" s="8"/>
      <c r="M3053" s="9"/>
      <c r="N3053" s="9"/>
      <c r="O3053" s="9"/>
      <c r="P3053" s="9"/>
      <c r="Q3053" s="79"/>
      <c r="T3053" s="5"/>
      <c r="U3053" s="102"/>
      <c r="X3053" s="9"/>
    </row>
    <row r="3054" spans="1:24">
      <c r="A3054" s="29"/>
      <c r="B3054" s="30"/>
      <c r="C3054" s="8"/>
      <c r="D3054" s="8"/>
      <c r="E3054" s="8"/>
      <c r="F3054" s="8"/>
      <c r="G3054" s="30"/>
      <c r="H3054" s="8"/>
      <c r="I3054" s="30"/>
      <c r="J3054" s="8"/>
      <c r="K3054" s="30"/>
      <c r="L3054" s="8"/>
      <c r="M3054" s="9"/>
      <c r="N3054" s="9"/>
      <c r="O3054" s="9"/>
      <c r="P3054" s="9"/>
      <c r="Q3054" s="79"/>
      <c r="T3054" s="5"/>
      <c r="U3054" s="102"/>
      <c r="X3054" s="9"/>
    </row>
    <row r="3055" spans="1:24">
      <c r="A3055" s="29"/>
      <c r="B3055" s="30"/>
      <c r="C3055" s="8"/>
      <c r="D3055" s="8"/>
      <c r="E3055" s="8"/>
      <c r="F3055" s="8"/>
      <c r="G3055" s="30"/>
      <c r="H3055" s="8"/>
      <c r="I3055" s="30"/>
      <c r="J3055" s="8"/>
      <c r="K3055" s="30"/>
      <c r="L3055" s="8"/>
      <c r="M3055" s="9"/>
      <c r="N3055" s="9"/>
      <c r="O3055" s="9"/>
      <c r="P3055" s="9"/>
      <c r="Q3055" s="79"/>
      <c r="T3055" s="5"/>
      <c r="U3055" s="102"/>
      <c r="X3055" s="9"/>
    </row>
    <row r="3056" spans="1:24">
      <c r="A3056" s="29"/>
      <c r="B3056" s="30"/>
      <c r="C3056" s="8"/>
      <c r="D3056" s="8"/>
      <c r="E3056" s="8"/>
      <c r="F3056" s="8"/>
      <c r="G3056" s="30"/>
      <c r="H3056" s="8"/>
      <c r="I3056" s="30"/>
      <c r="J3056" s="8"/>
      <c r="K3056" s="30"/>
      <c r="L3056" s="8"/>
      <c r="M3056" s="9"/>
      <c r="N3056" s="9"/>
      <c r="O3056" s="9"/>
      <c r="P3056" s="9"/>
      <c r="Q3056" s="79"/>
      <c r="T3056" s="5"/>
      <c r="U3056" s="102"/>
      <c r="X3056" s="9"/>
    </row>
    <row r="3057" spans="1:24">
      <c r="A3057" s="29"/>
      <c r="B3057" s="30"/>
      <c r="C3057" s="8"/>
      <c r="D3057" s="8"/>
      <c r="E3057" s="8"/>
      <c r="F3057" s="8"/>
      <c r="G3057" s="30"/>
      <c r="H3057" s="8"/>
      <c r="I3057" s="30"/>
      <c r="J3057" s="8"/>
      <c r="K3057" s="30"/>
      <c r="L3057" s="8"/>
      <c r="M3057" s="9"/>
      <c r="N3057" s="9"/>
      <c r="O3057" s="9"/>
      <c r="P3057" s="9"/>
      <c r="Q3057" s="79"/>
      <c r="T3057" s="5"/>
      <c r="U3057" s="102"/>
      <c r="X3057" s="9"/>
    </row>
    <row r="3058" spans="1:24">
      <c r="A3058" s="29"/>
      <c r="B3058" s="30"/>
      <c r="C3058" s="8"/>
      <c r="D3058" s="8"/>
      <c r="E3058" s="8"/>
      <c r="F3058" s="8"/>
      <c r="G3058" s="30"/>
      <c r="H3058" s="8"/>
      <c r="I3058" s="30"/>
      <c r="J3058" s="8"/>
      <c r="K3058" s="30"/>
      <c r="L3058" s="8"/>
      <c r="M3058" s="9"/>
      <c r="N3058" s="9"/>
      <c r="O3058" s="9"/>
      <c r="P3058" s="9"/>
      <c r="Q3058" s="79"/>
      <c r="T3058" s="5"/>
      <c r="U3058" s="102"/>
      <c r="X3058" s="9"/>
    </row>
    <row r="3059" spans="1:24">
      <c r="A3059" s="29"/>
      <c r="B3059" s="30"/>
      <c r="C3059" s="8"/>
      <c r="D3059" s="8"/>
      <c r="E3059" s="8"/>
      <c r="F3059" s="8"/>
      <c r="G3059" s="30"/>
      <c r="H3059" s="8"/>
      <c r="I3059" s="30"/>
      <c r="J3059" s="8"/>
      <c r="K3059" s="30"/>
      <c r="L3059" s="8"/>
      <c r="M3059" s="9"/>
      <c r="N3059" s="9"/>
      <c r="O3059" s="9"/>
      <c r="P3059" s="9"/>
      <c r="Q3059" s="79"/>
      <c r="T3059" s="5"/>
      <c r="U3059" s="102"/>
      <c r="X3059" s="9"/>
    </row>
    <row r="3060" spans="1:24">
      <c r="A3060" s="29"/>
      <c r="B3060" s="30"/>
      <c r="C3060" s="8"/>
      <c r="D3060" s="8"/>
      <c r="E3060" s="8"/>
      <c r="F3060" s="8"/>
      <c r="G3060" s="30"/>
      <c r="H3060" s="8"/>
      <c r="I3060" s="30"/>
      <c r="J3060" s="8"/>
      <c r="K3060" s="30"/>
      <c r="L3060" s="8"/>
      <c r="M3060" s="9"/>
      <c r="N3060" s="9"/>
      <c r="O3060" s="9"/>
      <c r="P3060" s="9"/>
      <c r="Q3060" s="79"/>
      <c r="T3060" s="5"/>
      <c r="U3060" s="102"/>
      <c r="X3060" s="9"/>
    </row>
    <row r="3061" spans="1:24">
      <c r="A3061" s="29"/>
      <c r="B3061" s="30"/>
      <c r="C3061" s="8"/>
      <c r="D3061" s="8"/>
      <c r="E3061" s="8"/>
      <c r="F3061" s="8"/>
      <c r="G3061" s="30"/>
      <c r="H3061" s="8"/>
      <c r="I3061" s="30"/>
      <c r="J3061" s="8"/>
      <c r="K3061" s="30"/>
      <c r="L3061" s="8"/>
      <c r="M3061" s="9"/>
      <c r="N3061" s="9"/>
      <c r="O3061" s="9"/>
      <c r="P3061" s="9"/>
      <c r="Q3061" s="79"/>
      <c r="T3061" s="5"/>
      <c r="U3061" s="102"/>
      <c r="X3061" s="9"/>
    </row>
    <row r="3062" spans="1:24">
      <c r="A3062" s="29"/>
      <c r="B3062" s="30"/>
      <c r="C3062" s="8"/>
      <c r="D3062" s="8"/>
      <c r="E3062" s="8"/>
      <c r="F3062" s="8"/>
      <c r="G3062" s="30"/>
      <c r="H3062" s="8"/>
      <c r="I3062" s="30"/>
      <c r="J3062" s="8"/>
      <c r="K3062" s="30"/>
      <c r="L3062" s="8"/>
      <c r="M3062" s="9"/>
      <c r="N3062" s="9"/>
      <c r="O3062" s="9"/>
      <c r="P3062" s="9"/>
      <c r="Q3062" s="79"/>
      <c r="T3062" s="5"/>
      <c r="U3062" s="102"/>
      <c r="X3062" s="9"/>
    </row>
    <row r="3063" spans="1:24">
      <c r="A3063" s="29"/>
      <c r="B3063" s="30"/>
      <c r="C3063" s="8"/>
      <c r="D3063" s="8"/>
      <c r="E3063" s="8"/>
      <c r="F3063" s="8"/>
      <c r="G3063" s="30"/>
      <c r="H3063" s="8"/>
      <c r="I3063" s="30"/>
      <c r="J3063" s="8"/>
      <c r="K3063" s="30"/>
      <c r="L3063" s="8"/>
      <c r="M3063" s="9"/>
      <c r="N3063" s="9"/>
      <c r="O3063" s="9"/>
      <c r="P3063" s="9"/>
      <c r="Q3063" s="79"/>
      <c r="T3063" s="5"/>
      <c r="U3063" s="102"/>
      <c r="X3063" s="9"/>
    </row>
    <row r="3064" spans="1:24">
      <c r="A3064" s="29"/>
      <c r="B3064" s="30"/>
      <c r="C3064" s="8"/>
      <c r="D3064" s="8"/>
      <c r="E3064" s="8"/>
      <c r="F3064" s="8"/>
      <c r="G3064" s="30"/>
      <c r="H3064" s="8"/>
      <c r="I3064" s="30"/>
      <c r="J3064" s="8"/>
      <c r="K3064" s="30"/>
      <c r="L3064" s="8"/>
      <c r="M3064" s="9"/>
      <c r="N3064" s="9"/>
      <c r="O3064" s="9"/>
      <c r="P3064" s="9"/>
      <c r="Q3064" s="79"/>
      <c r="T3064" s="5"/>
      <c r="U3064" s="102"/>
      <c r="X3064" s="9"/>
    </row>
    <row r="3065" spans="1:24">
      <c r="A3065" s="29"/>
      <c r="B3065" s="30"/>
      <c r="C3065" s="8"/>
      <c r="D3065" s="8"/>
      <c r="E3065" s="8"/>
      <c r="F3065" s="8"/>
      <c r="G3065" s="30"/>
      <c r="H3065" s="8"/>
      <c r="I3065" s="30"/>
      <c r="J3065" s="8"/>
      <c r="K3065" s="30"/>
      <c r="L3065" s="8"/>
      <c r="M3065" s="9"/>
      <c r="N3065" s="9"/>
      <c r="O3065" s="9"/>
      <c r="P3065" s="9"/>
      <c r="Q3065" s="79"/>
      <c r="T3065" s="5"/>
      <c r="U3065" s="102"/>
      <c r="X3065" s="9"/>
    </row>
    <row r="3066" spans="1:24">
      <c r="A3066" s="29"/>
      <c r="B3066" s="30"/>
      <c r="C3066" s="8"/>
      <c r="D3066" s="8"/>
      <c r="E3066" s="8"/>
      <c r="F3066" s="8"/>
      <c r="G3066" s="30"/>
      <c r="H3066" s="8"/>
      <c r="I3066" s="30"/>
      <c r="J3066" s="8"/>
      <c r="K3066" s="30"/>
      <c r="L3066" s="8"/>
      <c r="M3066" s="9"/>
      <c r="N3066" s="9"/>
      <c r="O3066" s="9"/>
      <c r="P3066" s="9"/>
      <c r="Q3066" s="79"/>
      <c r="T3066" s="5"/>
      <c r="U3066" s="102"/>
      <c r="X3066" s="9"/>
    </row>
    <row r="3067" spans="1:24">
      <c r="A3067" s="29"/>
      <c r="B3067" s="30"/>
      <c r="C3067" s="8"/>
      <c r="D3067" s="8"/>
      <c r="E3067" s="8"/>
      <c r="F3067" s="8"/>
      <c r="G3067" s="30"/>
      <c r="H3067" s="8"/>
      <c r="I3067" s="30"/>
      <c r="J3067" s="8"/>
      <c r="K3067" s="30"/>
      <c r="L3067" s="8"/>
      <c r="M3067" s="9"/>
      <c r="N3067" s="9"/>
      <c r="O3067" s="9"/>
      <c r="P3067" s="9"/>
      <c r="Q3067" s="79"/>
      <c r="T3067" s="5"/>
      <c r="U3067" s="102"/>
      <c r="X3067" s="9"/>
    </row>
    <row r="3068" spans="1:24">
      <c r="A3068" s="29"/>
      <c r="B3068" s="30"/>
      <c r="C3068" s="8"/>
      <c r="D3068" s="8"/>
      <c r="E3068" s="8"/>
      <c r="F3068" s="8"/>
      <c r="G3068" s="30"/>
      <c r="H3068" s="8"/>
      <c r="I3068" s="30"/>
      <c r="J3068" s="8"/>
      <c r="K3068" s="30"/>
      <c r="L3068" s="8"/>
      <c r="M3068" s="9"/>
      <c r="N3068" s="9"/>
      <c r="O3068" s="9"/>
      <c r="P3068" s="9"/>
      <c r="Q3068" s="79"/>
      <c r="T3068" s="5"/>
      <c r="U3068" s="102"/>
      <c r="X3068" s="9"/>
    </row>
    <row r="3069" spans="1:24">
      <c r="A3069" s="29"/>
      <c r="B3069" s="30"/>
      <c r="C3069" s="8"/>
      <c r="D3069" s="8"/>
      <c r="E3069" s="8"/>
      <c r="F3069" s="8"/>
      <c r="G3069" s="30"/>
      <c r="H3069" s="8"/>
      <c r="I3069" s="30"/>
      <c r="J3069" s="8"/>
      <c r="K3069" s="30"/>
      <c r="L3069" s="8"/>
      <c r="M3069" s="9"/>
      <c r="N3069" s="9"/>
      <c r="O3069" s="9"/>
      <c r="P3069" s="9"/>
      <c r="Q3069" s="79"/>
      <c r="T3069" s="5"/>
      <c r="U3069" s="102"/>
      <c r="X3069" s="9"/>
    </row>
    <row r="3070" spans="1:24">
      <c r="A3070" s="29"/>
      <c r="B3070" s="30"/>
      <c r="C3070" s="8"/>
      <c r="D3070" s="8"/>
      <c r="E3070" s="8"/>
      <c r="F3070" s="8"/>
      <c r="G3070" s="30"/>
      <c r="H3070" s="8"/>
      <c r="I3070" s="30"/>
      <c r="J3070" s="8"/>
      <c r="K3070" s="30"/>
      <c r="L3070" s="8"/>
      <c r="M3070" s="9"/>
      <c r="N3070" s="9"/>
      <c r="O3070" s="9"/>
      <c r="P3070" s="9"/>
      <c r="Q3070" s="79"/>
      <c r="T3070" s="5"/>
      <c r="U3070" s="102"/>
      <c r="X3070" s="9"/>
    </row>
    <row r="3071" spans="1:24">
      <c r="A3071" s="29"/>
      <c r="B3071" s="30"/>
      <c r="C3071" s="41"/>
      <c r="D3071" s="41"/>
      <c r="E3071" s="41"/>
      <c r="F3071" s="41"/>
      <c r="G3071" s="30"/>
      <c r="H3071" s="41"/>
      <c r="I3071" s="30"/>
      <c r="J3071" s="41"/>
      <c r="K3071" s="30"/>
      <c r="L3071" s="41"/>
      <c r="M3071" s="9"/>
      <c r="N3071" s="9"/>
      <c r="O3071" s="84"/>
      <c r="P3071" s="84"/>
      <c r="Q3071" s="85"/>
      <c r="T3071" s="97"/>
      <c r="U3071" s="102"/>
      <c r="X3071" s="84"/>
    </row>
    <row r="3072" spans="1:24">
      <c r="A3072" s="29"/>
      <c r="B3072" s="30"/>
      <c r="C3072" s="8"/>
      <c r="D3072" s="8"/>
      <c r="E3072" s="8"/>
      <c r="F3072" s="8"/>
      <c r="G3072" s="30"/>
      <c r="H3072" s="8"/>
      <c r="I3072" s="30"/>
      <c r="J3072" s="8"/>
      <c r="K3072" s="30"/>
      <c r="L3072" s="8"/>
      <c r="M3072" s="9"/>
      <c r="N3072" s="9"/>
      <c r="O3072" s="9"/>
      <c r="P3072" s="9"/>
      <c r="Q3072" s="79"/>
      <c r="T3072" s="5"/>
      <c r="U3072" s="102"/>
      <c r="X3072" s="9"/>
    </row>
    <row r="3073" spans="1:24">
      <c r="A3073" s="29"/>
      <c r="B3073" s="30"/>
      <c r="C3073" s="42"/>
      <c r="D3073" s="42"/>
      <c r="E3073" s="42"/>
      <c r="F3073" s="42"/>
      <c r="G3073" s="30"/>
      <c r="H3073" s="42"/>
      <c r="I3073" s="30"/>
      <c r="J3073" s="42"/>
      <c r="K3073" s="30"/>
      <c r="L3073" s="42"/>
      <c r="M3073" s="9"/>
      <c r="N3073" s="9"/>
      <c r="O3073" s="86"/>
      <c r="P3073" s="86"/>
      <c r="Q3073" s="87"/>
      <c r="T3073" s="98"/>
      <c r="U3073" s="102"/>
      <c r="X3073" s="86"/>
    </row>
    <row r="3074" spans="1:24">
      <c r="A3074" s="29"/>
      <c r="B3074" s="30"/>
      <c r="C3074" s="8"/>
      <c r="D3074" s="8"/>
      <c r="E3074" s="8"/>
      <c r="F3074" s="8"/>
      <c r="G3074" s="30"/>
      <c r="H3074" s="8"/>
      <c r="I3074" s="30"/>
      <c r="J3074" s="8"/>
      <c r="K3074" s="30"/>
      <c r="L3074" s="8"/>
      <c r="M3074" s="9"/>
      <c r="N3074" s="9"/>
      <c r="O3074" s="9"/>
      <c r="P3074" s="9"/>
      <c r="Q3074" s="79"/>
      <c r="T3074" s="5"/>
      <c r="U3074" s="102"/>
      <c r="X3074" s="9"/>
    </row>
    <row r="3075" spans="1:24">
      <c r="A3075" s="29"/>
      <c r="B3075" s="30"/>
      <c r="C3075" s="8"/>
      <c r="D3075" s="8"/>
      <c r="E3075" s="8"/>
      <c r="F3075" s="8"/>
      <c r="G3075" s="30"/>
      <c r="H3075" s="8"/>
      <c r="I3075" s="30"/>
      <c r="J3075" s="8"/>
      <c r="K3075" s="30"/>
      <c r="L3075" s="8"/>
      <c r="M3075" s="9"/>
      <c r="N3075" s="9"/>
      <c r="O3075" s="9"/>
      <c r="P3075" s="9"/>
      <c r="Q3075" s="79"/>
      <c r="T3075" s="5"/>
      <c r="U3075" s="102"/>
      <c r="X3075" s="9"/>
    </row>
    <row r="3076" spans="1:24">
      <c r="A3076" s="29"/>
      <c r="B3076" s="30"/>
      <c r="C3076" s="8"/>
      <c r="D3076" s="8"/>
      <c r="E3076" s="8"/>
      <c r="F3076" s="8"/>
      <c r="G3076" s="30"/>
      <c r="H3076" s="8"/>
      <c r="I3076" s="30"/>
      <c r="J3076" s="8"/>
      <c r="K3076" s="30"/>
      <c r="L3076" s="8"/>
      <c r="M3076" s="9"/>
      <c r="N3076" s="9"/>
      <c r="O3076" s="9"/>
      <c r="P3076" s="9"/>
      <c r="Q3076" s="79"/>
      <c r="T3076" s="5"/>
      <c r="U3076" s="102"/>
      <c r="X3076" s="9"/>
    </row>
    <row r="3077" spans="1:24">
      <c r="A3077" s="29"/>
      <c r="B3077" s="30"/>
      <c r="C3077" s="8"/>
      <c r="D3077" s="8"/>
      <c r="E3077" s="8"/>
      <c r="F3077" s="8"/>
      <c r="G3077" s="30"/>
      <c r="H3077" s="8"/>
      <c r="I3077" s="30"/>
      <c r="J3077" s="8"/>
      <c r="K3077" s="30"/>
      <c r="L3077" s="8"/>
      <c r="M3077" s="9"/>
      <c r="N3077" s="9"/>
      <c r="O3077" s="9"/>
      <c r="P3077" s="9"/>
      <c r="Q3077" s="79"/>
      <c r="T3077" s="5"/>
      <c r="U3077" s="102"/>
      <c r="X3077" s="9"/>
    </row>
    <row r="3078" spans="1:24">
      <c r="A3078" s="29"/>
      <c r="B3078" s="30"/>
      <c r="C3078" s="8"/>
      <c r="D3078" s="8"/>
      <c r="E3078" s="8"/>
      <c r="F3078" s="8"/>
      <c r="G3078" s="30"/>
      <c r="H3078" s="8"/>
      <c r="I3078" s="30"/>
      <c r="J3078" s="8"/>
      <c r="K3078" s="30"/>
      <c r="L3078" s="8"/>
      <c r="M3078" s="9"/>
      <c r="N3078" s="9"/>
      <c r="O3078" s="9"/>
      <c r="P3078" s="9"/>
      <c r="Q3078" s="79"/>
      <c r="T3078" s="5"/>
      <c r="U3078" s="102"/>
      <c r="X3078" s="9"/>
    </row>
    <row r="3079" spans="1:24">
      <c r="A3079" s="29"/>
      <c r="B3079" s="30"/>
      <c r="C3079" s="8"/>
      <c r="D3079" s="8"/>
      <c r="E3079" s="8"/>
      <c r="F3079" s="8"/>
      <c r="G3079" s="30"/>
      <c r="H3079" s="8"/>
      <c r="I3079" s="30"/>
      <c r="J3079" s="8"/>
      <c r="K3079" s="30"/>
      <c r="L3079" s="8"/>
      <c r="M3079" s="9"/>
      <c r="N3079" s="9"/>
      <c r="O3079" s="9"/>
      <c r="P3079" s="9"/>
      <c r="Q3079" s="79"/>
      <c r="T3079" s="5"/>
      <c r="U3079" s="102"/>
      <c r="X3079" s="9"/>
    </row>
    <row r="3080" spans="1:24">
      <c r="A3080" s="29"/>
      <c r="B3080" s="30"/>
      <c r="C3080" s="8"/>
      <c r="D3080" s="8"/>
      <c r="E3080" s="8"/>
      <c r="F3080" s="8"/>
      <c r="G3080" s="30"/>
      <c r="H3080" s="8"/>
      <c r="I3080" s="30"/>
      <c r="J3080" s="8"/>
      <c r="K3080" s="30"/>
      <c r="L3080" s="8"/>
      <c r="M3080" s="9"/>
      <c r="N3080" s="9"/>
      <c r="O3080" s="9"/>
      <c r="P3080" s="9"/>
      <c r="Q3080" s="79"/>
      <c r="T3080" s="5"/>
      <c r="U3080" s="102"/>
      <c r="X3080" s="9"/>
    </row>
    <row r="3081" spans="1:24">
      <c r="A3081" s="29"/>
      <c r="B3081" s="30"/>
      <c r="C3081" s="8"/>
      <c r="D3081" s="8"/>
      <c r="E3081" s="8"/>
      <c r="F3081" s="8"/>
      <c r="G3081" s="30"/>
      <c r="H3081" s="8"/>
      <c r="I3081" s="30"/>
      <c r="J3081" s="8"/>
      <c r="K3081" s="30"/>
      <c r="L3081" s="8"/>
      <c r="M3081" s="9"/>
      <c r="N3081" s="9"/>
      <c r="O3081" s="9"/>
      <c r="P3081" s="9"/>
      <c r="Q3081" s="79"/>
      <c r="T3081" s="5"/>
      <c r="U3081" s="102"/>
      <c r="X3081" s="9"/>
    </row>
    <row r="3082" spans="1:24">
      <c r="A3082" s="29"/>
      <c r="B3082" s="30"/>
      <c r="C3082" s="8"/>
      <c r="D3082" s="8"/>
      <c r="E3082" s="8"/>
      <c r="F3082" s="8"/>
      <c r="G3082" s="30"/>
      <c r="H3082" s="8"/>
      <c r="I3082" s="30"/>
      <c r="J3082" s="8"/>
      <c r="K3082" s="30"/>
      <c r="L3082" s="8"/>
      <c r="M3082" s="9"/>
      <c r="N3082" s="9"/>
      <c r="O3082" s="9"/>
      <c r="P3082" s="9"/>
      <c r="Q3082" s="79"/>
      <c r="T3082" s="5"/>
      <c r="U3082" s="102"/>
      <c r="X3082" s="9"/>
    </row>
    <row r="3083" spans="1:24">
      <c r="A3083" s="29"/>
      <c r="B3083" s="30"/>
      <c r="C3083" s="8"/>
      <c r="D3083" s="8"/>
      <c r="E3083" s="8"/>
      <c r="F3083" s="8"/>
      <c r="G3083" s="30"/>
      <c r="H3083" s="8"/>
      <c r="I3083" s="30"/>
      <c r="J3083" s="8"/>
      <c r="K3083" s="30"/>
      <c r="L3083" s="8"/>
      <c r="M3083" s="9"/>
      <c r="N3083" s="9"/>
      <c r="O3083" s="9"/>
      <c r="P3083" s="9"/>
      <c r="Q3083" s="79"/>
      <c r="T3083" s="5"/>
      <c r="U3083" s="102"/>
      <c r="X3083" s="9"/>
    </row>
    <row r="3084" spans="1:24">
      <c r="A3084" s="29"/>
      <c r="B3084" s="30"/>
      <c r="C3084" s="8"/>
      <c r="D3084" s="8"/>
      <c r="E3084" s="8"/>
      <c r="F3084" s="8"/>
      <c r="G3084" s="30"/>
      <c r="H3084" s="8"/>
      <c r="I3084" s="30"/>
      <c r="J3084" s="8"/>
      <c r="K3084" s="30"/>
      <c r="L3084" s="8"/>
      <c r="M3084" s="9"/>
      <c r="N3084" s="9"/>
      <c r="O3084" s="9"/>
      <c r="P3084" s="9"/>
      <c r="Q3084" s="79"/>
      <c r="T3084" s="5"/>
      <c r="U3084" s="102"/>
      <c r="X3084" s="9"/>
    </row>
    <row r="3085" spans="1:24">
      <c r="A3085" s="29"/>
      <c r="B3085" s="30"/>
      <c r="C3085" s="8"/>
      <c r="D3085" s="8"/>
      <c r="E3085" s="8"/>
      <c r="F3085" s="8"/>
      <c r="G3085" s="30"/>
      <c r="H3085" s="8"/>
      <c r="I3085" s="30"/>
      <c r="J3085" s="8"/>
      <c r="K3085" s="30"/>
      <c r="L3085" s="8"/>
      <c r="M3085" s="9"/>
      <c r="N3085" s="9"/>
      <c r="O3085" s="9"/>
      <c r="P3085" s="9"/>
      <c r="Q3085" s="79"/>
      <c r="T3085" s="5"/>
      <c r="U3085" s="102"/>
      <c r="X3085" s="9"/>
    </row>
    <row r="3086" spans="1:24">
      <c r="A3086" s="29"/>
      <c r="B3086" s="30"/>
      <c r="C3086" s="8"/>
      <c r="D3086" s="8"/>
      <c r="E3086" s="8"/>
      <c r="F3086" s="8"/>
      <c r="G3086" s="30"/>
      <c r="H3086" s="8"/>
      <c r="I3086" s="30"/>
      <c r="J3086" s="8"/>
      <c r="K3086" s="30"/>
      <c r="L3086" s="8"/>
      <c r="M3086" s="9"/>
      <c r="N3086" s="9"/>
      <c r="O3086" s="9"/>
      <c r="P3086" s="9"/>
      <c r="Q3086" s="79"/>
      <c r="T3086" s="5"/>
      <c r="U3086" s="102"/>
      <c r="X3086" s="9"/>
    </row>
    <row r="3087" spans="1:24">
      <c r="A3087" s="29"/>
      <c r="B3087" s="30"/>
      <c r="C3087" s="8"/>
      <c r="D3087" s="8"/>
      <c r="E3087" s="8"/>
      <c r="F3087" s="8"/>
      <c r="G3087" s="30"/>
      <c r="H3087" s="8"/>
      <c r="I3087" s="30"/>
      <c r="J3087" s="8"/>
      <c r="K3087" s="30"/>
      <c r="L3087" s="8"/>
      <c r="M3087" s="9"/>
      <c r="N3087" s="9"/>
      <c r="O3087" s="9"/>
      <c r="P3087" s="9"/>
      <c r="Q3087" s="79"/>
      <c r="T3087" s="5"/>
      <c r="U3087" s="102"/>
      <c r="X3087" s="9"/>
    </row>
    <row r="3088" spans="1:24">
      <c r="A3088" s="29"/>
      <c r="B3088" s="30"/>
      <c r="C3088" s="8"/>
      <c r="D3088" s="8"/>
      <c r="E3088" s="8"/>
      <c r="F3088" s="8"/>
      <c r="G3088" s="30"/>
      <c r="H3088" s="8"/>
      <c r="I3088" s="30"/>
      <c r="J3088" s="8"/>
      <c r="K3088" s="30"/>
      <c r="L3088" s="8"/>
      <c r="M3088" s="9"/>
      <c r="N3088" s="9"/>
      <c r="O3088" s="9"/>
      <c r="P3088" s="9"/>
      <c r="Q3088" s="79"/>
      <c r="T3088" s="5"/>
      <c r="U3088" s="102"/>
      <c r="X3088" s="9"/>
    </row>
    <row r="3089" spans="1:24">
      <c r="A3089" s="29"/>
      <c r="B3089" s="30"/>
      <c r="C3089" s="8"/>
      <c r="D3089" s="8"/>
      <c r="E3089" s="8"/>
      <c r="F3089" s="8"/>
      <c r="G3089" s="30"/>
      <c r="H3089" s="8"/>
      <c r="I3089" s="30"/>
      <c r="J3089" s="8"/>
      <c r="K3089" s="30"/>
      <c r="L3089" s="8"/>
      <c r="M3089" s="9"/>
      <c r="N3089" s="9"/>
      <c r="O3089" s="9"/>
      <c r="P3089" s="9"/>
      <c r="Q3089" s="79"/>
      <c r="T3089" s="5"/>
      <c r="U3089" s="102"/>
      <c r="X3089" s="9"/>
    </row>
    <row r="3090" spans="1:24">
      <c r="A3090" s="29"/>
      <c r="B3090" s="30"/>
      <c r="C3090" s="8"/>
      <c r="D3090" s="8"/>
      <c r="E3090" s="8"/>
      <c r="F3090" s="8"/>
      <c r="G3090" s="30"/>
      <c r="H3090" s="8"/>
      <c r="I3090" s="30"/>
      <c r="J3090" s="8"/>
      <c r="K3090" s="30"/>
      <c r="L3090" s="8"/>
      <c r="M3090" s="9"/>
      <c r="N3090" s="9"/>
      <c r="O3090" s="9"/>
      <c r="P3090" s="9"/>
      <c r="Q3090" s="79"/>
      <c r="T3090" s="5"/>
      <c r="U3090" s="102"/>
      <c r="X3090" s="9"/>
    </row>
    <row r="3091" spans="1:24">
      <c r="A3091" s="29"/>
      <c r="B3091" s="30"/>
      <c r="C3091" s="8"/>
      <c r="D3091" s="8"/>
      <c r="E3091" s="8"/>
      <c r="F3091" s="8"/>
      <c r="G3091" s="30"/>
      <c r="H3091" s="8"/>
      <c r="I3091" s="30"/>
      <c r="J3091" s="8"/>
      <c r="K3091" s="30"/>
      <c r="L3091" s="8"/>
      <c r="M3091" s="9"/>
      <c r="N3091" s="9"/>
      <c r="O3091" s="9"/>
      <c r="P3091" s="9"/>
      <c r="Q3091" s="79"/>
      <c r="T3091" s="5"/>
      <c r="U3091" s="102"/>
      <c r="X3091" s="9"/>
    </row>
    <row r="3092" spans="1:24">
      <c r="A3092" s="29"/>
      <c r="B3092" s="30"/>
      <c r="C3092" s="8"/>
      <c r="D3092" s="8"/>
      <c r="E3092" s="8"/>
      <c r="F3092" s="8"/>
      <c r="G3092" s="30"/>
      <c r="H3092" s="8"/>
      <c r="I3092" s="30"/>
      <c r="J3092" s="8"/>
      <c r="K3092" s="30"/>
      <c r="L3092" s="8"/>
      <c r="M3092" s="9"/>
      <c r="N3092" s="9"/>
      <c r="O3092" s="9"/>
      <c r="P3092" s="9"/>
      <c r="Q3092" s="79"/>
      <c r="T3092" s="5"/>
      <c r="U3092" s="102"/>
      <c r="X3092" s="9"/>
    </row>
    <row r="3093" spans="1:24">
      <c r="A3093" s="29"/>
      <c r="B3093" s="30"/>
      <c r="C3093" s="8"/>
      <c r="D3093" s="8"/>
      <c r="E3093" s="8"/>
      <c r="F3093" s="8"/>
      <c r="G3093" s="30"/>
      <c r="H3093" s="8"/>
      <c r="I3093" s="30"/>
      <c r="J3093" s="8"/>
      <c r="K3093" s="30"/>
      <c r="L3093" s="8"/>
      <c r="M3093" s="9"/>
      <c r="N3093" s="9"/>
      <c r="O3093" s="9"/>
      <c r="P3093" s="9"/>
      <c r="Q3093" s="79"/>
      <c r="T3093" s="5"/>
      <c r="U3093" s="102"/>
      <c r="X3093" s="9"/>
    </row>
    <row r="3094" spans="1:24">
      <c r="A3094" s="29"/>
      <c r="B3094" s="30"/>
      <c r="C3094" s="8"/>
      <c r="D3094" s="8"/>
      <c r="E3094" s="8"/>
      <c r="F3094" s="8"/>
      <c r="G3094" s="30"/>
      <c r="H3094" s="8"/>
      <c r="I3094" s="30"/>
      <c r="J3094" s="8"/>
      <c r="K3094" s="30"/>
      <c r="L3094" s="8"/>
      <c r="M3094" s="9"/>
      <c r="N3094" s="9"/>
      <c r="O3094" s="9"/>
      <c r="P3094" s="9"/>
      <c r="Q3094" s="79"/>
      <c r="T3094" s="5"/>
      <c r="U3094" s="102"/>
      <c r="X3094" s="9"/>
    </row>
    <row r="3095" spans="1:24">
      <c r="A3095" s="29"/>
      <c r="B3095" s="30"/>
      <c r="C3095" s="8"/>
      <c r="D3095" s="8"/>
      <c r="E3095" s="8"/>
      <c r="F3095" s="8"/>
      <c r="G3095" s="30"/>
      <c r="H3095" s="8"/>
      <c r="I3095" s="30"/>
      <c r="J3095" s="8"/>
      <c r="K3095" s="30"/>
      <c r="L3095" s="8"/>
      <c r="M3095" s="9"/>
      <c r="N3095" s="9"/>
      <c r="O3095" s="9"/>
      <c r="P3095" s="9"/>
      <c r="Q3095" s="79"/>
      <c r="T3095" s="5"/>
      <c r="U3095" s="102"/>
      <c r="X3095" s="9"/>
    </row>
  </sheetData>
  <autoFilter ref="A2:X1562" xr:uid="{D9832D21-A55A-4C6D-95D4-9ECEEB248DED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BD39-09F7-40A3-A7E8-FC85942D30B0}">
  <dimension ref="A1:T128"/>
  <sheetViews>
    <sheetView zoomScale="85" zoomScaleNormal="85" workbookViewId="0">
      <selection activeCell="E3" sqref="E3"/>
    </sheetView>
  </sheetViews>
  <sheetFormatPr defaultColWidth="8.6640625" defaultRowHeight="14.4"/>
  <cols>
    <col min="1" max="1" width="10.44140625" bestFit="1" customWidth="1"/>
    <col min="2" max="4" width="10.6640625" style="32" customWidth="1"/>
    <col min="5" max="5" width="11.88671875" bestFit="1" customWidth="1"/>
    <col min="14" max="14" width="9" bestFit="1" customWidth="1"/>
    <col min="17" max="17" width="11" bestFit="1" customWidth="1"/>
    <col min="20" max="20" width="15" bestFit="1" customWidth="1"/>
  </cols>
  <sheetData>
    <row r="1" spans="1:20" ht="115.2">
      <c r="B1" s="32" t="s">
        <v>120</v>
      </c>
      <c r="C1" s="32" t="s">
        <v>61</v>
      </c>
      <c r="D1" s="32" t="s">
        <v>38</v>
      </c>
      <c r="E1" s="32" t="s">
        <v>57</v>
      </c>
      <c r="M1" s="31" t="s">
        <v>422</v>
      </c>
      <c r="N1" s="31" t="s">
        <v>423</v>
      </c>
      <c r="O1" s="31" t="s">
        <v>424</v>
      </c>
      <c r="P1" s="31" t="s">
        <v>425</v>
      </c>
      <c r="Q1" s="31" t="s">
        <v>452</v>
      </c>
      <c r="T1" t="s">
        <v>474</v>
      </c>
    </row>
    <row r="2" spans="1:20">
      <c r="A2" t="s">
        <v>372</v>
      </c>
      <c r="B2" s="38" t="s">
        <v>133</v>
      </c>
      <c r="C2" s="38" t="s">
        <v>133</v>
      </c>
      <c r="D2" s="38" t="s">
        <v>135</v>
      </c>
      <c r="E2" s="40" t="s">
        <v>133</v>
      </c>
      <c r="M2" t="s">
        <v>458</v>
      </c>
      <c r="N2" s="94">
        <v>676000</v>
      </c>
      <c r="O2" s="95">
        <f>1/1000*10</f>
        <v>0.01</v>
      </c>
      <c r="P2" s="94">
        <f t="shared" ref="P2:P6" si="0">N2*O2</f>
        <v>6760</v>
      </c>
      <c r="Q2" s="101">
        <v>3.2963928860399852E-2</v>
      </c>
      <c r="T2">
        <v>3.2963928860399852E-2</v>
      </c>
    </row>
    <row r="3" spans="1:20">
      <c r="A3" s="152">
        <v>45836</v>
      </c>
      <c r="B3" s="153">
        <v>23027.996446280995</v>
      </c>
      <c r="C3" s="153">
        <f>VLOOKUP(TEXT(A3,"Mmm"),Table2[],4, FALSE)</f>
        <v>6760</v>
      </c>
      <c r="D3" s="154">
        <v>15.5</v>
      </c>
      <c r="E3" s="155">
        <f>VLOOKUP(TEXT(A3,"Mmm"),Table2[],5, FALSE)</f>
        <v>3.2963928860399852E-2</v>
      </c>
      <c r="M3" t="s">
        <v>447</v>
      </c>
      <c r="N3" s="94">
        <v>710000</v>
      </c>
      <c r="O3" s="95">
        <f>1/1000*10</f>
        <v>0.01</v>
      </c>
      <c r="P3" s="94">
        <f t="shared" si="0"/>
        <v>7100</v>
      </c>
      <c r="Q3" s="101">
        <v>3.2963928860399852E-2</v>
      </c>
      <c r="T3">
        <v>3.2963928860399852E-2</v>
      </c>
    </row>
    <row r="4" spans="1:20">
      <c r="A4" s="152">
        <v>45837</v>
      </c>
      <c r="B4" s="153">
        <v>23027.996446280995</v>
      </c>
      <c r="C4" s="153">
        <f>VLOOKUP(TEXT(A4,"Mmm"),Table2[],4, FALSE)</f>
        <v>6760</v>
      </c>
      <c r="D4" s="154">
        <v>15.5</v>
      </c>
      <c r="E4" s="155">
        <f>VLOOKUP(TEXT(A4,"Mmm"),Table2[],5, FALSE)</f>
        <v>3.2963928860399852E-2</v>
      </c>
      <c r="M4" t="s">
        <v>448</v>
      </c>
      <c r="N4" s="94">
        <v>763000</v>
      </c>
      <c r="O4" s="95">
        <f>1/1000*10</f>
        <v>0.01</v>
      </c>
      <c r="P4" s="94">
        <f t="shared" si="0"/>
        <v>7630</v>
      </c>
      <c r="Q4" s="101">
        <v>3.2410003650263315E-2</v>
      </c>
      <c r="T4">
        <v>3.2565162051417691E-2</v>
      </c>
    </row>
    <row r="5" spans="1:20">
      <c r="A5" s="152">
        <v>45838</v>
      </c>
      <c r="B5" s="153">
        <v>23027.996446280995</v>
      </c>
      <c r="C5" s="153">
        <f>VLOOKUP(TEXT(A5,"Mmm"),Table2[],4, FALSE)</f>
        <v>6760</v>
      </c>
      <c r="D5" s="154">
        <v>15.5</v>
      </c>
      <c r="E5" s="155">
        <f>VLOOKUP(TEXT(A5,"Mmm"),Table2[],5, FALSE)</f>
        <v>3.2963928860399852E-2</v>
      </c>
      <c r="M5" t="s">
        <v>449</v>
      </c>
      <c r="N5" s="94">
        <v>564400</v>
      </c>
      <c r="O5" s="95">
        <f>1/1000*9</f>
        <v>9.0000000000000011E-3</v>
      </c>
      <c r="P5" s="94">
        <f>N5*O5</f>
        <v>5079.6000000000004</v>
      </c>
      <c r="Q5" s="101">
        <v>3.2068251854267288E-2</v>
      </c>
      <c r="T5">
        <v>3.2236148876389689E-2</v>
      </c>
    </row>
    <row r="6" spans="1:20">
      <c r="A6" s="152">
        <v>45839</v>
      </c>
      <c r="B6" s="153">
        <v>23027.996446280995</v>
      </c>
      <c r="C6" s="153">
        <f>VLOOKUP(TEXT(A6,"Mmm"),Table2[],4, FALSE)</f>
        <v>7100</v>
      </c>
      <c r="D6" s="154">
        <v>15.5</v>
      </c>
      <c r="E6" s="155">
        <f>VLOOKUP(TEXT(A6,"Mmm"),Table2[],5, FALSE)</f>
        <v>3.2963928860399852E-2</v>
      </c>
      <c r="M6" t="s">
        <v>450</v>
      </c>
      <c r="N6" s="94">
        <v>480000</v>
      </c>
      <c r="O6" s="95">
        <f>1/1000*9</f>
        <v>9.0000000000000011E-3</v>
      </c>
      <c r="P6" s="94">
        <f t="shared" si="0"/>
        <v>4320.0000000000009</v>
      </c>
      <c r="Q6" s="101">
        <v>3.1902388503327155E-2</v>
      </c>
      <c r="T6">
        <v>3.2079905917616398E-2</v>
      </c>
    </row>
    <row r="7" spans="1:20">
      <c r="A7" s="152">
        <v>45840</v>
      </c>
      <c r="B7" s="153">
        <v>23027.996446280995</v>
      </c>
      <c r="C7" s="153">
        <f>VLOOKUP(TEXT(A7,"Mmm"),Table2[],4, FALSE)</f>
        <v>7100</v>
      </c>
      <c r="D7" s="154">
        <v>15.5</v>
      </c>
      <c r="E7" s="155">
        <f>VLOOKUP(TEXT(A7,"Mmm"),Table2[],5, FALSE)</f>
        <v>3.2963928860399852E-2</v>
      </c>
      <c r="M7" t="s">
        <v>451</v>
      </c>
      <c r="N7" s="94">
        <v>500000</v>
      </c>
      <c r="O7" s="95">
        <f>1/1000*9</f>
        <v>9.0000000000000011E-3</v>
      </c>
      <c r="P7" s="94">
        <f>N7*O7</f>
        <v>4500.0000000000009</v>
      </c>
      <c r="Q7" s="101"/>
    </row>
    <row r="8" spans="1:20">
      <c r="A8" s="152">
        <v>45841</v>
      </c>
      <c r="B8" s="153">
        <v>23027.996446280995</v>
      </c>
      <c r="C8" s="153">
        <f>VLOOKUP(TEXT(A8,"Mmm"),Table2[],4, FALSE)</f>
        <v>7100</v>
      </c>
      <c r="D8" s="154">
        <v>15.5</v>
      </c>
      <c r="E8" s="155">
        <f>VLOOKUP(TEXT(A8,"Mmm"),Table2[],5, FALSE)</f>
        <v>3.2963928860399852E-2</v>
      </c>
    </row>
    <row r="9" spans="1:20">
      <c r="A9" s="152">
        <v>45842</v>
      </c>
      <c r="B9" s="153">
        <v>22483.541322314057</v>
      </c>
      <c r="C9" s="153">
        <f>VLOOKUP(TEXT(A9,"Mmm"),Table2[],4, FALSE)</f>
        <v>7100</v>
      </c>
      <c r="D9" s="154">
        <v>15.5</v>
      </c>
      <c r="E9" s="155">
        <f>VLOOKUP(TEXT(A9,"Mmm"),Table2[],5, FALSE)</f>
        <v>3.2963928860399852E-2</v>
      </c>
    </row>
    <row r="10" spans="1:20">
      <c r="A10" s="152">
        <v>45843</v>
      </c>
      <c r="B10" s="153">
        <v>22741.587190082653</v>
      </c>
      <c r="C10" s="153">
        <f>VLOOKUP(TEXT(A10,"Mmm"),Table2[],4, FALSE)</f>
        <v>7100</v>
      </c>
      <c r="D10" s="154">
        <v>15.5</v>
      </c>
      <c r="E10" s="155">
        <f>VLOOKUP(TEXT(A10,"Mmm"),Table2[],5, FALSE)</f>
        <v>3.2963928860399852E-2</v>
      </c>
    </row>
    <row r="11" spans="1:20">
      <c r="A11" s="152">
        <v>45844</v>
      </c>
      <c r="B11" s="153">
        <v>22483.541322314057</v>
      </c>
      <c r="C11" s="153">
        <f>VLOOKUP(TEXT(A11,"Mmm"),Table2[],4, FALSE)</f>
        <v>7100</v>
      </c>
      <c r="D11" s="154">
        <v>15.5</v>
      </c>
      <c r="E11" s="155">
        <f>VLOOKUP(TEXT(A11,"Mmm"),Table2[],5, FALSE)</f>
        <v>3.2963928860399852E-2</v>
      </c>
    </row>
    <row r="12" spans="1:20">
      <c r="A12" s="152">
        <v>45845</v>
      </c>
      <c r="B12" s="153">
        <v>23027.996446280995</v>
      </c>
      <c r="C12" s="153">
        <f>VLOOKUP(TEXT(A12,"Mmm"),Table2[],4, FALSE)</f>
        <v>7100</v>
      </c>
      <c r="D12" s="154">
        <v>15.5</v>
      </c>
      <c r="E12" s="155">
        <f>VLOOKUP(TEXT(A12,"Mmm"),Table2[],5, FALSE)</f>
        <v>3.2963928860399852E-2</v>
      </c>
    </row>
    <row r="13" spans="1:20">
      <c r="A13" s="152">
        <v>45846</v>
      </c>
      <c r="B13" s="153">
        <v>23027.996446280995</v>
      </c>
      <c r="C13" s="153">
        <f>VLOOKUP(TEXT(A13,"Mmm"),Table2[],4, FALSE)</f>
        <v>7100</v>
      </c>
      <c r="D13" s="154">
        <v>15.5</v>
      </c>
      <c r="E13" s="155">
        <f>VLOOKUP(TEXT(A13,"Mmm"),Table2[],5, FALSE)</f>
        <v>3.2963928860399852E-2</v>
      </c>
    </row>
    <row r="14" spans="1:20">
      <c r="A14" s="152">
        <v>45847</v>
      </c>
      <c r="B14" s="153">
        <v>23027.996446280995</v>
      </c>
      <c r="C14" s="153">
        <f>VLOOKUP(TEXT(A14,"Mmm"),Table2[],4, FALSE)</f>
        <v>7100</v>
      </c>
      <c r="D14" s="154">
        <v>15.5</v>
      </c>
      <c r="E14" s="155">
        <f>VLOOKUP(TEXT(A14,"Mmm"),Table2[],5, FALSE)</f>
        <v>3.2963928860399852E-2</v>
      </c>
    </row>
    <row r="15" spans="1:20">
      <c r="A15" s="152">
        <v>45848</v>
      </c>
      <c r="B15" s="153">
        <v>23027.996446280995</v>
      </c>
      <c r="C15" s="153">
        <f>VLOOKUP(TEXT(A15,"Mmm"),Table2[],4, FALSE)</f>
        <v>7100</v>
      </c>
      <c r="D15" s="154">
        <v>15.5</v>
      </c>
      <c r="E15" s="155">
        <f>VLOOKUP(TEXT(A15,"Mmm"),Table2[],5, FALSE)</f>
        <v>3.2963928860399852E-2</v>
      </c>
    </row>
    <row r="16" spans="1:20">
      <c r="A16" s="152">
        <v>45849</v>
      </c>
      <c r="B16" s="153">
        <v>23027.996446280995</v>
      </c>
      <c r="C16" s="153">
        <f>VLOOKUP(TEXT(A16,"Mmm"),Table2[],4, FALSE)</f>
        <v>7100</v>
      </c>
      <c r="D16" s="154">
        <v>15.5</v>
      </c>
      <c r="E16" s="155">
        <f>VLOOKUP(TEXT(A16,"Mmm"),Table2[],5, FALSE)</f>
        <v>3.2963928860399852E-2</v>
      </c>
    </row>
    <row r="17" spans="1:5">
      <c r="A17" s="152">
        <v>45850</v>
      </c>
      <c r="B17" s="153">
        <v>22741.587190082653</v>
      </c>
      <c r="C17" s="153">
        <f>VLOOKUP(TEXT(A17,"Mmm"),Table2[],4, FALSE)</f>
        <v>7100</v>
      </c>
      <c r="D17" s="154">
        <v>15.5</v>
      </c>
      <c r="E17" s="155">
        <f>VLOOKUP(TEXT(A17,"Mmm"),Table2[],5, FALSE)</f>
        <v>3.2963928860399852E-2</v>
      </c>
    </row>
    <row r="18" spans="1:5">
      <c r="A18" s="152">
        <v>45851</v>
      </c>
      <c r="B18" s="153">
        <v>22483.541322314057</v>
      </c>
      <c r="C18" s="153">
        <f>VLOOKUP(TEXT(A18,"Mmm"),Table2[],4, FALSE)</f>
        <v>7100</v>
      </c>
      <c r="D18" s="154">
        <v>15.5</v>
      </c>
      <c r="E18" s="155">
        <f>VLOOKUP(TEXT(A18,"Mmm"),Table2[],5, FALSE)</f>
        <v>3.2963928860399852E-2</v>
      </c>
    </row>
    <row r="19" spans="1:5">
      <c r="A19" s="152">
        <v>45852</v>
      </c>
      <c r="B19" s="153">
        <v>23027.996446280995</v>
      </c>
      <c r="C19" s="153">
        <f>VLOOKUP(TEXT(A19,"Mmm"),Table2[],4, FALSE)</f>
        <v>7100</v>
      </c>
      <c r="D19" s="154">
        <v>15.5</v>
      </c>
      <c r="E19" s="155">
        <f>VLOOKUP(TEXT(A19,"Mmm"),Table2[],5, FALSE)</f>
        <v>3.2963928860399852E-2</v>
      </c>
    </row>
    <row r="20" spans="1:5">
      <c r="A20" s="152">
        <v>45853</v>
      </c>
      <c r="B20" s="153">
        <v>23027.996446280995</v>
      </c>
      <c r="C20" s="153">
        <f>VLOOKUP(TEXT(A20,"Mmm"),Table2[],4, FALSE)</f>
        <v>7100</v>
      </c>
      <c r="D20" s="154">
        <v>15.5</v>
      </c>
      <c r="E20" s="155">
        <f>VLOOKUP(TEXT(A20,"Mmm"),Table2[],5, FALSE)</f>
        <v>3.2963928860399852E-2</v>
      </c>
    </row>
    <row r="21" spans="1:5">
      <c r="A21" s="152">
        <v>45854</v>
      </c>
      <c r="B21" s="153">
        <v>23027.996446280995</v>
      </c>
      <c r="C21" s="153">
        <f>VLOOKUP(TEXT(A21,"Mmm"),Table2[],4, FALSE)</f>
        <v>7100</v>
      </c>
      <c r="D21" s="154">
        <v>15.5</v>
      </c>
      <c r="E21" s="155">
        <f>VLOOKUP(TEXT(A21,"Mmm"),Table2[],5, FALSE)</f>
        <v>3.2963928860399852E-2</v>
      </c>
    </row>
    <row r="22" spans="1:5">
      <c r="A22" s="152">
        <v>45855</v>
      </c>
      <c r="B22" s="153">
        <v>23027.996446280995</v>
      </c>
      <c r="C22" s="153">
        <f>VLOOKUP(TEXT(A22,"Mmm"),Table2[],4, FALSE)</f>
        <v>7100</v>
      </c>
      <c r="D22" s="154">
        <v>15.5</v>
      </c>
      <c r="E22" s="155">
        <f>VLOOKUP(TEXT(A22,"Mmm"),Table2[],5, FALSE)</f>
        <v>3.2963928860399852E-2</v>
      </c>
    </row>
    <row r="23" spans="1:5">
      <c r="A23" s="152">
        <v>45856</v>
      </c>
      <c r="B23" s="153">
        <v>23027.996446280995</v>
      </c>
      <c r="C23" s="153">
        <f>VLOOKUP(TEXT(A23,"Mmm"),Table2[],4, FALSE)</f>
        <v>7100</v>
      </c>
      <c r="D23" s="154">
        <v>15.5</v>
      </c>
      <c r="E23" s="155">
        <f>VLOOKUP(TEXT(A23,"Mmm"),Table2[],5, FALSE)</f>
        <v>3.2963928860399852E-2</v>
      </c>
    </row>
    <row r="24" spans="1:5">
      <c r="A24" s="152">
        <v>45857</v>
      </c>
      <c r="B24" s="153">
        <v>22741.587190082653</v>
      </c>
      <c r="C24" s="153">
        <f>VLOOKUP(TEXT(A24,"Mmm"),Table2[],4, FALSE)</f>
        <v>7100</v>
      </c>
      <c r="D24" s="154">
        <v>15.5</v>
      </c>
      <c r="E24" s="155">
        <f>VLOOKUP(TEXT(A24,"Mmm"),Table2[],5, FALSE)</f>
        <v>3.2963928860399852E-2</v>
      </c>
    </row>
    <row r="25" spans="1:5">
      <c r="A25" s="152">
        <v>45858</v>
      </c>
      <c r="B25" s="153">
        <v>22483.541322314057</v>
      </c>
      <c r="C25" s="153">
        <f>VLOOKUP(TEXT(A25,"Mmm"),Table2[],4, FALSE)</f>
        <v>7100</v>
      </c>
      <c r="D25" s="154">
        <v>15.5</v>
      </c>
      <c r="E25" s="155">
        <f>VLOOKUP(TEXT(A25,"Mmm"),Table2[],5, FALSE)</f>
        <v>3.2963928860399852E-2</v>
      </c>
    </row>
    <row r="26" spans="1:5">
      <c r="A26" s="152">
        <v>45859</v>
      </c>
      <c r="B26" s="153">
        <v>23027.996446280995</v>
      </c>
      <c r="C26" s="153">
        <f>VLOOKUP(TEXT(A26,"Mmm"),Table2[],4, FALSE)</f>
        <v>7100</v>
      </c>
      <c r="D26" s="154">
        <v>15.5</v>
      </c>
      <c r="E26" s="155">
        <f>VLOOKUP(TEXT(A26,"Mmm"),Table2[],5, FALSE)</f>
        <v>3.2963928860399852E-2</v>
      </c>
    </row>
    <row r="27" spans="1:5">
      <c r="A27" s="152">
        <v>45860</v>
      </c>
      <c r="B27" s="153">
        <v>23027.996446280995</v>
      </c>
      <c r="C27" s="153">
        <f>VLOOKUP(TEXT(A27,"Mmm"),Table2[],4, FALSE)</f>
        <v>7100</v>
      </c>
      <c r="D27" s="154">
        <v>15.5</v>
      </c>
      <c r="E27" s="155">
        <f>VLOOKUP(TEXT(A27,"Mmm"),Table2[],5, FALSE)</f>
        <v>3.2963928860399852E-2</v>
      </c>
    </row>
    <row r="28" spans="1:5">
      <c r="A28" s="152">
        <v>45861</v>
      </c>
      <c r="B28" s="153">
        <v>23027.996446280995</v>
      </c>
      <c r="C28" s="153">
        <f>VLOOKUP(TEXT(A28,"Mmm"),Table2[],4, FALSE)</f>
        <v>7100</v>
      </c>
      <c r="D28" s="154">
        <v>15.5</v>
      </c>
      <c r="E28" s="155">
        <f>VLOOKUP(TEXT(A28,"Mmm"),Table2[],5, FALSE)</f>
        <v>3.2963928860399852E-2</v>
      </c>
    </row>
    <row r="29" spans="1:5">
      <c r="A29" s="152">
        <v>45862</v>
      </c>
      <c r="B29" s="153">
        <v>23027.996446280995</v>
      </c>
      <c r="C29" s="153">
        <f>VLOOKUP(TEXT(A29,"Mmm"),Table2[],4, FALSE)</f>
        <v>7100</v>
      </c>
      <c r="D29" s="154">
        <v>15.5</v>
      </c>
      <c r="E29" s="155">
        <f>VLOOKUP(TEXT(A29,"Mmm"),Table2[],5, FALSE)</f>
        <v>3.2963928860399852E-2</v>
      </c>
    </row>
    <row r="30" spans="1:5">
      <c r="A30" s="152">
        <v>45863</v>
      </c>
      <c r="B30" s="153">
        <v>23027.996446280995</v>
      </c>
      <c r="C30" s="153">
        <f>VLOOKUP(TEXT(A30,"Mmm"),Table2[],4, FALSE)</f>
        <v>7100</v>
      </c>
      <c r="D30" s="154">
        <v>15.5</v>
      </c>
      <c r="E30" s="155">
        <f>VLOOKUP(TEXT(A30,"Mmm"),Table2[],5, FALSE)</f>
        <v>3.2963928860399852E-2</v>
      </c>
    </row>
    <row r="31" spans="1:5">
      <c r="A31" s="152">
        <v>45864</v>
      </c>
      <c r="B31" s="153">
        <v>22741.587190082653</v>
      </c>
      <c r="C31" s="153">
        <f>VLOOKUP(TEXT(A31,"Mmm"),Table2[],4, FALSE)</f>
        <v>7100</v>
      </c>
      <c r="D31" s="154">
        <v>15.5</v>
      </c>
      <c r="E31" s="155">
        <f>VLOOKUP(TEXT(A31,"Mmm"),Table2[],5, FALSE)</f>
        <v>3.2963928860399852E-2</v>
      </c>
    </row>
    <row r="32" spans="1:5">
      <c r="A32" s="152">
        <v>45865</v>
      </c>
      <c r="B32" s="153">
        <v>22483.541322314057</v>
      </c>
      <c r="C32" s="153">
        <f>VLOOKUP(TEXT(A32,"Mmm"),Table2[],4, FALSE)</f>
        <v>7100</v>
      </c>
      <c r="D32" s="154">
        <v>15.5</v>
      </c>
      <c r="E32" s="155">
        <f>VLOOKUP(TEXT(A32,"Mmm"),Table2[],5, FALSE)</f>
        <v>3.2963928860399852E-2</v>
      </c>
    </row>
    <row r="33" spans="1:5">
      <c r="A33" s="152">
        <v>45866</v>
      </c>
      <c r="B33" s="153">
        <v>23027.996446280995</v>
      </c>
      <c r="C33" s="153">
        <f>VLOOKUP(TEXT(A33,"Mmm"),Table2[],4, FALSE)</f>
        <v>7100</v>
      </c>
      <c r="D33" s="154">
        <v>15.5</v>
      </c>
      <c r="E33" s="155">
        <f>VLOOKUP(TEXT(A33,"Mmm"),Table2[],5, FALSE)</f>
        <v>3.2963928860399852E-2</v>
      </c>
    </row>
    <row r="34" spans="1:5">
      <c r="A34" s="152">
        <v>45867</v>
      </c>
      <c r="B34" s="153">
        <v>23027.996446280995</v>
      </c>
      <c r="C34" s="153">
        <f>VLOOKUP(TEXT(A34,"Mmm"),Table2[],4, FALSE)</f>
        <v>7100</v>
      </c>
      <c r="D34" s="154">
        <v>15.5</v>
      </c>
      <c r="E34" s="155">
        <f>VLOOKUP(TEXT(A34,"Mmm"),Table2[],5, FALSE)</f>
        <v>3.2963928860399852E-2</v>
      </c>
    </row>
    <row r="35" spans="1:5">
      <c r="A35" s="152">
        <v>45868</v>
      </c>
      <c r="B35" s="153">
        <v>23027.996446280995</v>
      </c>
      <c r="C35" s="153">
        <f>VLOOKUP(TEXT(A35,"Mmm"),Table2[],4, FALSE)</f>
        <v>7100</v>
      </c>
      <c r="D35" s="154">
        <v>15.5</v>
      </c>
      <c r="E35" s="155">
        <f>VLOOKUP(TEXT(A35,"Mmm"),Table2[],5, FALSE)</f>
        <v>3.2963928860399852E-2</v>
      </c>
    </row>
    <row r="36" spans="1:5">
      <c r="A36" s="152">
        <v>45869</v>
      </c>
      <c r="B36" s="153">
        <v>23027.996446280995</v>
      </c>
      <c r="C36" s="153">
        <f>VLOOKUP(TEXT(A36,"Mmm"),Table2[],4, FALSE)</f>
        <v>7100</v>
      </c>
      <c r="D36" s="154">
        <v>15.5</v>
      </c>
      <c r="E36" s="155">
        <f>VLOOKUP(TEXT(A36,"Mmm"),Table2[],5, FALSE)</f>
        <v>3.2963928860399852E-2</v>
      </c>
    </row>
    <row r="37" spans="1:5">
      <c r="A37" s="169">
        <v>45870</v>
      </c>
      <c r="B37" s="170">
        <v>24466.131818181835</v>
      </c>
      <c r="C37" s="170">
        <f>VLOOKUP(TEXT(A37,"Mmm"),Table2[],4, FALSE)</f>
        <v>7630</v>
      </c>
      <c r="D37" s="171">
        <v>15.5</v>
      </c>
      <c r="E37" s="172">
        <f>VLOOKUP(TEXT(A37,"Mmm"),Table2[],5, FALSE)</f>
        <v>3.2410003650263315E-2</v>
      </c>
    </row>
    <row r="38" spans="1:5">
      <c r="A38" s="169">
        <v>45871</v>
      </c>
      <c r="B38" s="170">
        <v>24321.125950413239</v>
      </c>
      <c r="C38" s="170">
        <f>VLOOKUP(TEXT(A38,"Mmm"),Table2[],4, FALSE)</f>
        <v>7630</v>
      </c>
      <c r="D38" s="171">
        <v>15.5</v>
      </c>
      <c r="E38" s="172">
        <f>VLOOKUP(TEXT(A38,"Mmm"),Table2[],5, FALSE)</f>
        <v>3.2410003650263315E-2</v>
      </c>
    </row>
    <row r="39" spans="1:5">
      <c r="A39" s="169">
        <v>45872</v>
      </c>
      <c r="B39" s="170">
        <v>24321.125950413239</v>
      </c>
      <c r="C39" s="170">
        <f>VLOOKUP(TEXT(A39,"Mmm"),Table2[],4, FALSE)</f>
        <v>7630</v>
      </c>
      <c r="D39" s="171">
        <v>15.5</v>
      </c>
      <c r="E39" s="172">
        <f>VLOOKUP(TEXT(A39,"Mmm"),Table2[],5, FALSE)</f>
        <v>3.2410003650263315E-2</v>
      </c>
    </row>
    <row r="40" spans="1:5">
      <c r="A40" s="169">
        <v>45873</v>
      </c>
      <c r="B40" s="170">
        <v>24466.131818181835</v>
      </c>
      <c r="C40" s="170">
        <f>VLOOKUP(TEXT(A40,"Mmm"),Table2[],4, FALSE)</f>
        <v>7630</v>
      </c>
      <c r="D40" s="171">
        <v>15.5</v>
      </c>
      <c r="E40" s="172">
        <f>VLOOKUP(TEXT(A40,"Mmm"),Table2[],5, FALSE)</f>
        <v>3.2410003650263315E-2</v>
      </c>
    </row>
    <row r="41" spans="1:5">
      <c r="A41" s="169">
        <v>45874</v>
      </c>
      <c r="B41" s="170">
        <v>24466.131818181835</v>
      </c>
      <c r="C41" s="170">
        <f>VLOOKUP(TEXT(A41,"Mmm"),Table2[],4, FALSE)</f>
        <v>7630</v>
      </c>
      <c r="D41" s="171">
        <v>15.5</v>
      </c>
      <c r="E41" s="172">
        <f>VLOOKUP(TEXT(A41,"Mmm"),Table2[],5, FALSE)</f>
        <v>3.2410003650263315E-2</v>
      </c>
    </row>
    <row r="42" spans="1:5">
      <c r="A42" s="169">
        <v>45875</v>
      </c>
      <c r="B42" s="170">
        <v>24466.131818181835</v>
      </c>
      <c r="C42" s="170">
        <f>VLOOKUP(TEXT(A42,"Mmm"),Table2[],4, FALSE)</f>
        <v>7630</v>
      </c>
      <c r="D42" s="171">
        <v>15.5</v>
      </c>
      <c r="E42" s="172">
        <f>VLOOKUP(TEXT(A42,"Mmm"),Table2[],5, FALSE)</f>
        <v>3.2410003650263315E-2</v>
      </c>
    </row>
    <row r="43" spans="1:5">
      <c r="A43" s="169">
        <v>45876</v>
      </c>
      <c r="B43" s="170">
        <v>24466.131818181835</v>
      </c>
      <c r="C43" s="170">
        <f>VLOOKUP(TEXT(A43,"Mmm"),Table2[],4, FALSE)</f>
        <v>7630</v>
      </c>
      <c r="D43" s="171">
        <v>15.5</v>
      </c>
      <c r="E43" s="172">
        <f>VLOOKUP(TEXT(A43,"Mmm"),Table2[],5, FALSE)</f>
        <v>3.2410003650263315E-2</v>
      </c>
    </row>
    <row r="44" spans="1:5">
      <c r="A44" s="169">
        <v>45877</v>
      </c>
      <c r="B44" s="170">
        <v>24466.131818181835</v>
      </c>
      <c r="C44" s="170">
        <f>VLOOKUP(TEXT(A44,"Mmm"),Table2[],4, FALSE)</f>
        <v>7630</v>
      </c>
      <c r="D44" s="171">
        <v>15.5</v>
      </c>
      <c r="E44" s="172">
        <f>VLOOKUP(TEXT(A44,"Mmm"),Table2[],5, FALSE)</f>
        <v>3.2410003650263315E-2</v>
      </c>
    </row>
    <row r="45" spans="1:5">
      <c r="A45" s="169">
        <v>45878</v>
      </c>
      <c r="B45" s="170">
        <v>24321.125950413239</v>
      </c>
      <c r="C45" s="170">
        <f>VLOOKUP(TEXT(A45,"Mmm"),Table2[],4, FALSE)</f>
        <v>7630</v>
      </c>
      <c r="D45" s="171">
        <v>15.5</v>
      </c>
      <c r="E45" s="172">
        <f>VLOOKUP(TEXT(A45,"Mmm"),Table2[],5, FALSE)</f>
        <v>3.2410003650263315E-2</v>
      </c>
    </row>
    <row r="46" spans="1:5">
      <c r="A46" s="169">
        <v>45879</v>
      </c>
      <c r="B46" s="170">
        <v>24321.125950413239</v>
      </c>
      <c r="C46" s="170">
        <f>VLOOKUP(TEXT(A46,"Mmm"),Table2[],4, FALSE)</f>
        <v>7630</v>
      </c>
      <c r="D46" s="171">
        <v>15.5</v>
      </c>
      <c r="E46" s="172">
        <f>VLOOKUP(TEXT(A46,"Mmm"),Table2[],5, FALSE)</f>
        <v>3.2410003650263315E-2</v>
      </c>
    </row>
    <row r="47" spans="1:5">
      <c r="A47" s="169">
        <v>45880</v>
      </c>
      <c r="B47" s="170">
        <v>24466.131818181835</v>
      </c>
      <c r="C47" s="170">
        <f>VLOOKUP(TEXT(A47,"Mmm"),Table2[],4, FALSE)</f>
        <v>7630</v>
      </c>
      <c r="D47" s="171">
        <v>15.5</v>
      </c>
      <c r="E47" s="172">
        <f>VLOOKUP(TEXT(A47,"Mmm"),Table2[],5, FALSE)</f>
        <v>3.2410003650263315E-2</v>
      </c>
    </row>
    <row r="48" spans="1:5">
      <c r="A48" s="169">
        <v>45881</v>
      </c>
      <c r="B48" s="170">
        <v>24466.131818181835</v>
      </c>
      <c r="C48" s="170">
        <f>VLOOKUP(TEXT(A48,"Mmm"),Table2[],4, FALSE)</f>
        <v>7630</v>
      </c>
      <c r="D48" s="171">
        <v>15.5</v>
      </c>
      <c r="E48" s="172">
        <f>VLOOKUP(TEXT(A48,"Mmm"),Table2[],5, FALSE)</f>
        <v>3.2410003650263315E-2</v>
      </c>
    </row>
    <row r="49" spans="1:5">
      <c r="A49" s="169">
        <v>45882</v>
      </c>
      <c r="B49" s="170">
        <v>24466.131818181835</v>
      </c>
      <c r="C49" s="170">
        <f>VLOOKUP(TEXT(A49,"Mmm"),Table2[],4, FALSE)</f>
        <v>7630</v>
      </c>
      <c r="D49" s="171">
        <v>15.5</v>
      </c>
      <c r="E49" s="172">
        <f>VLOOKUP(TEXT(A49,"Mmm"),Table2[],5, FALSE)</f>
        <v>3.2410003650263315E-2</v>
      </c>
    </row>
    <row r="50" spans="1:5">
      <c r="A50" s="169">
        <v>45883</v>
      </c>
      <c r="B50" s="170">
        <v>24466.131818181835</v>
      </c>
      <c r="C50" s="170">
        <f>VLOOKUP(TEXT(A50,"Mmm"),Table2[],4, FALSE)</f>
        <v>7630</v>
      </c>
      <c r="D50" s="171">
        <v>15.5</v>
      </c>
      <c r="E50" s="172">
        <f>VLOOKUP(TEXT(A50,"Mmm"),Table2[],5, FALSE)</f>
        <v>3.2410003650263315E-2</v>
      </c>
    </row>
    <row r="51" spans="1:5">
      <c r="A51" s="169">
        <v>45884</v>
      </c>
      <c r="B51" s="170">
        <v>24466.131818181835</v>
      </c>
      <c r="C51" s="170">
        <f>VLOOKUP(TEXT(A51,"Mmm"),Table2[],4, FALSE)</f>
        <v>7630</v>
      </c>
      <c r="D51" s="171">
        <v>15.5</v>
      </c>
      <c r="E51" s="172">
        <f>VLOOKUP(TEXT(A51,"Mmm"),Table2[],5, FALSE)</f>
        <v>3.2410003650263315E-2</v>
      </c>
    </row>
    <row r="52" spans="1:5">
      <c r="A52" s="169">
        <v>45885</v>
      </c>
      <c r="B52" s="170">
        <v>24321.125950413239</v>
      </c>
      <c r="C52" s="170">
        <f>VLOOKUP(TEXT(A52,"Mmm"),Table2[],4, FALSE)</f>
        <v>7630</v>
      </c>
      <c r="D52" s="171">
        <v>15.5</v>
      </c>
      <c r="E52" s="172">
        <f>VLOOKUP(TEXT(A52,"Mmm"),Table2[],5, FALSE)</f>
        <v>3.2410003650263315E-2</v>
      </c>
    </row>
    <row r="53" spans="1:5">
      <c r="A53" s="169">
        <v>45886</v>
      </c>
      <c r="B53" s="170">
        <v>24321.125950413239</v>
      </c>
      <c r="C53" s="170">
        <f>VLOOKUP(TEXT(A53,"Mmm"),Table2[],4, FALSE)</f>
        <v>7630</v>
      </c>
      <c r="D53" s="171">
        <v>15.5</v>
      </c>
      <c r="E53" s="172">
        <f>VLOOKUP(TEXT(A53,"Mmm"),Table2[],5, FALSE)</f>
        <v>3.2410003650263315E-2</v>
      </c>
    </row>
    <row r="54" spans="1:5">
      <c r="A54" s="169">
        <v>45887</v>
      </c>
      <c r="B54" s="170">
        <v>24466.131818181835</v>
      </c>
      <c r="C54" s="170">
        <f>VLOOKUP(TEXT(A54,"Mmm"),Table2[],4, FALSE)</f>
        <v>7630</v>
      </c>
      <c r="D54" s="171">
        <v>15.5</v>
      </c>
      <c r="E54" s="172">
        <f>VLOOKUP(TEXT(A54,"Mmm"),Table2[],5, FALSE)</f>
        <v>3.2410003650263315E-2</v>
      </c>
    </row>
    <row r="55" spans="1:5">
      <c r="A55" s="169">
        <v>45888</v>
      </c>
      <c r="B55" s="170">
        <v>24466.131818181835</v>
      </c>
      <c r="C55" s="170">
        <f>VLOOKUP(TEXT(A55,"Mmm"),Table2[],4, FALSE)</f>
        <v>7630</v>
      </c>
      <c r="D55" s="171">
        <v>15.5</v>
      </c>
      <c r="E55" s="172">
        <f>VLOOKUP(TEXT(A55,"Mmm"),Table2[],5, FALSE)</f>
        <v>3.2410003650263315E-2</v>
      </c>
    </row>
    <row r="56" spans="1:5">
      <c r="A56" s="169">
        <v>45889</v>
      </c>
      <c r="B56" s="170">
        <v>24466.131818181835</v>
      </c>
      <c r="C56" s="170">
        <f>VLOOKUP(TEXT(A56,"Mmm"),Table2[],4, FALSE)</f>
        <v>7630</v>
      </c>
      <c r="D56" s="171">
        <v>15.5</v>
      </c>
      <c r="E56" s="172">
        <f>VLOOKUP(TEXT(A56,"Mmm"),Table2[],5, FALSE)</f>
        <v>3.2410003650263315E-2</v>
      </c>
    </row>
    <row r="57" spans="1:5">
      <c r="A57" s="169">
        <v>45890</v>
      </c>
      <c r="B57" s="170">
        <v>24466.131818181835</v>
      </c>
      <c r="C57" s="170">
        <f>VLOOKUP(TEXT(A57,"Mmm"),Table2[],4, FALSE)</f>
        <v>7630</v>
      </c>
      <c r="D57" s="171">
        <v>15.5</v>
      </c>
      <c r="E57" s="172">
        <f>VLOOKUP(TEXT(A57,"Mmm"),Table2[],5, FALSE)</f>
        <v>3.2410003650263315E-2</v>
      </c>
    </row>
    <row r="58" spans="1:5">
      <c r="A58" s="169">
        <v>45891</v>
      </c>
      <c r="B58" s="170">
        <v>24466.131818181835</v>
      </c>
      <c r="C58" s="170">
        <f>VLOOKUP(TEXT(A58,"Mmm"),Table2[],4, FALSE)</f>
        <v>7630</v>
      </c>
      <c r="D58" s="171">
        <v>15.5</v>
      </c>
      <c r="E58" s="172">
        <f>VLOOKUP(TEXT(A58,"Mmm"),Table2[],5, FALSE)</f>
        <v>3.2410003650263315E-2</v>
      </c>
    </row>
    <row r="59" spans="1:5">
      <c r="A59" s="169">
        <v>45892</v>
      </c>
      <c r="B59" s="170">
        <v>24321.125950413239</v>
      </c>
      <c r="C59" s="170">
        <f>VLOOKUP(TEXT(A59,"Mmm"),Table2[],4, FALSE)</f>
        <v>7630</v>
      </c>
      <c r="D59" s="171">
        <v>15.5</v>
      </c>
      <c r="E59" s="172">
        <f>VLOOKUP(TEXT(A59,"Mmm"),Table2[],5, FALSE)</f>
        <v>3.2410003650263315E-2</v>
      </c>
    </row>
    <row r="60" spans="1:5">
      <c r="A60" s="169">
        <v>45893</v>
      </c>
      <c r="B60" s="170">
        <v>24321.125950413239</v>
      </c>
      <c r="C60" s="170">
        <f>VLOOKUP(TEXT(A60,"Mmm"),Table2[],4, FALSE)</f>
        <v>7630</v>
      </c>
      <c r="D60" s="171">
        <v>15.5</v>
      </c>
      <c r="E60" s="172">
        <f>VLOOKUP(TEXT(A60,"Mmm"),Table2[],5, FALSE)</f>
        <v>3.2410003650263315E-2</v>
      </c>
    </row>
    <row r="61" spans="1:5">
      <c r="A61" s="169">
        <v>45894</v>
      </c>
      <c r="B61" s="170">
        <v>24466.131818181835</v>
      </c>
      <c r="C61" s="170">
        <f>VLOOKUP(TEXT(A61,"Mmm"),Table2[],4, FALSE)</f>
        <v>7630</v>
      </c>
      <c r="D61" s="171">
        <v>15.5</v>
      </c>
      <c r="E61" s="172">
        <f>VLOOKUP(TEXT(A61,"Mmm"),Table2[],5, FALSE)</f>
        <v>3.2410003650263315E-2</v>
      </c>
    </row>
    <row r="62" spans="1:5">
      <c r="A62" s="169">
        <v>45895</v>
      </c>
      <c r="B62" s="170">
        <v>24466.131818181835</v>
      </c>
      <c r="C62" s="170">
        <f>VLOOKUP(TEXT(A62,"Mmm"),Table2[],4, FALSE)</f>
        <v>7630</v>
      </c>
      <c r="D62" s="171">
        <v>15.5</v>
      </c>
      <c r="E62" s="172">
        <f>VLOOKUP(TEXT(A62,"Mmm"),Table2[],5, FALSE)</f>
        <v>3.2410003650263315E-2</v>
      </c>
    </row>
    <row r="63" spans="1:5">
      <c r="A63" s="169">
        <v>45896</v>
      </c>
      <c r="B63" s="170">
        <v>24466.131818181835</v>
      </c>
      <c r="C63" s="170">
        <f>VLOOKUP(TEXT(A63,"Mmm"),Table2[],4, FALSE)</f>
        <v>7630</v>
      </c>
      <c r="D63" s="171">
        <v>15.5</v>
      </c>
      <c r="E63" s="172">
        <f>VLOOKUP(TEXT(A63,"Mmm"),Table2[],5, FALSE)</f>
        <v>3.2410003650263315E-2</v>
      </c>
    </row>
    <row r="64" spans="1:5">
      <c r="A64" s="169">
        <v>45897</v>
      </c>
      <c r="B64" s="170">
        <v>24466.131818181835</v>
      </c>
      <c r="C64" s="170">
        <f>VLOOKUP(TEXT(A64,"Mmm"),Table2[],4, FALSE)</f>
        <v>7630</v>
      </c>
      <c r="D64" s="171">
        <v>15.5</v>
      </c>
      <c r="E64" s="172">
        <f>VLOOKUP(TEXT(A64,"Mmm"),Table2[],5, FALSE)</f>
        <v>3.2410003650263315E-2</v>
      </c>
    </row>
    <row r="65" spans="1:5">
      <c r="A65" s="169">
        <v>45898</v>
      </c>
      <c r="B65" s="170">
        <v>24466.131818181835</v>
      </c>
      <c r="C65" s="170">
        <f>VLOOKUP(TEXT(A65,"Mmm"),Table2[],4, FALSE)</f>
        <v>7630</v>
      </c>
      <c r="D65" s="171">
        <v>15.5</v>
      </c>
      <c r="E65" s="172">
        <f>VLOOKUP(TEXT(A65,"Mmm"),Table2[],5, FALSE)</f>
        <v>3.2410003650263315E-2</v>
      </c>
    </row>
    <row r="66" spans="1:5">
      <c r="A66" s="169">
        <v>45899</v>
      </c>
      <c r="B66" s="170">
        <v>24321.125950413239</v>
      </c>
      <c r="C66" s="170">
        <f>VLOOKUP(TEXT(A66,"Mmm"),Table2[],4, FALSE)</f>
        <v>7630</v>
      </c>
      <c r="D66" s="171">
        <v>15.5</v>
      </c>
      <c r="E66" s="172">
        <f>VLOOKUP(TEXT(A66,"Mmm"),Table2[],5, FALSE)</f>
        <v>3.2410003650263315E-2</v>
      </c>
    </row>
    <row r="67" spans="1:5">
      <c r="A67" s="169">
        <v>45900</v>
      </c>
      <c r="B67" s="170">
        <v>24321.125950413239</v>
      </c>
      <c r="C67" s="170">
        <f>VLOOKUP(TEXT(A67,"Mmm"),Table2[],4, FALSE)</f>
        <v>7630</v>
      </c>
      <c r="D67" s="171">
        <v>15.5</v>
      </c>
      <c r="E67" s="172">
        <f>VLOOKUP(TEXT(A67,"Mmm"),Table2[],5, FALSE)</f>
        <v>3.2410003650263315E-2</v>
      </c>
    </row>
    <row r="68" spans="1:5">
      <c r="A68" s="169">
        <v>45901</v>
      </c>
      <c r="B68" s="170">
        <v>18287.503223140498</v>
      </c>
      <c r="C68" s="170">
        <f>VLOOKUP(TEXT(A68,"Mmm"),Table2[],4, FALSE)</f>
        <v>5079.6000000000004</v>
      </c>
      <c r="D68" s="171">
        <v>15.5</v>
      </c>
      <c r="E68" s="172">
        <f>VLOOKUP(TEXT(A68,"Mmm"),Table2[],5, FALSE)</f>
        <v>3.2068251854267288E-2</v>
      </c>
    </row>
    <row r="69" spans="1:5">
      <c r="A69" s="169">
        <v>45902</v>
      </c>
      <c r="B69" s="170">
        <v>19038.684545454547</v>
      </c>
      <c r="C69" s="170">
        <f>VLOOKUP(TEXT(A69,"Mmm"),Table2[],4, FALSE)</f>
        <v>5079.6000000000004</v>
      </c>
      <c r="D69" s="171">
        <v>15.5</v>
      </c>
      <c r="E69" s="172">
        <f>VLOOKUP(TEXT(A69,"Mmm"),Table2[],5, FALSE)</f>
        <v>3.2068251854267288E-2</v>
      </c>
    </row>
    <row r="70" spans="1:5">
      <c r="A70" s="169">
        <v>45903</v>
      </c>
      <c r="B70" s="170">
        <v>19038.684545454547</v>
      </c>
      <c r="C70" s="170">
        <f>VLOOKUP(TEXT(A70,"Mmm"),Table2[],4, FALSE)</f>
        <v>5079.6000000000004</v>
      </c>
      <c r="D70" s="171">
        <v>15.5</v>
      </c>
      <c r="E70" s="172">
        <f>VLOOKUP(TEXT(A70,"Mmm"),Table2[],5, FALSE)</f>
        <v>3.2068251854267288E-2</v>
      </c>
    </row>
    <row r="71" spans="1:5">
      <c r="A71" s="169">
        <v>45904</v>
      </c>
      <c r="B71" s="170">
        <v>19038.684545454547</v>
      </c>
      <c r="C71" s="170">
        <f>VLOOKUP(TEXT(A71,"Mmm"),Table2[],4, FALSE)</f>
        <v>5079.6000000000004</v>
      </c>
      <c r="D71" s="171">
        <v>15.5</v>
      </c>
      <c r="E71" s="172">
        <f>VLOOKUP(TEXT(A71,"Mmm"),Table2[],5, FALSE)</f>
        <v>3.2068251854267288E-2</v>
      </c>
    </row>
    <row r="72" spans="1:5" ht="15" thickBot="1">
      <c r="A72" s="169">
        <v>45905</v>
      </c>
      <c r="B72" s="177">
        <v>19038.684545454547</v>
      </c>
      <c r="C72" s="177">
        <f>VLOOKUP(TEXT(A72,"Mmm"),Table2[],4, FALSE)</f>
        <v>5079.6000000000004</v>
      </c>
      <c r="D72" s="178">
        <v>15.5</v>
      </c>
      <c r="E72" s="179">
        <f>VLOOKUP(TEXT(A72,"Mmm"),Table2[],5, FALSE)</f>
        <v>3.2068251854267288E-2</v>
      </c>
    </row>
    <row r="73" spans="1:5" ht="15" thickBot="1">
      <c r="A73" s="180">
        <v>45906</v>
      </c>
      <c r="B73" s="181">
        <v>18287.503223140498</v>
      </c>
      <c r="C73" s="181">
        <f>VLOOKUP(TEXT(A73,"Mmm"),Table2[],4, FALSE)</f>
        <v>5079.6000000000004</v>
      </c>
      <c r="D73" s="182">
        <v>15.5</v>
      </c>
      <c r="E73" s="183">
        <f>VLOOKUP(TEXT(A73,"Mmm"),Table2[],5, FALSE)</f>
        <v>3.2068251854267288E-2</v>
      </c>
    </row>
    <row r="74" spans="1:5">
      <c r="A74" s="169">
        <v>45907</v>
      </c>
      <c r="B74" s="184">
        <v>18287.503223140498</v>
      </c>
      <c r="C74" s="184">
        <f>VLOOKUP(TEXT(A74,"Mmm"),Table2[],4, FALSE)</f>
        <v>5079.6000000000004</v>
      </c>
      <c r="D74" s="185">
        <v>15.5</v>
      </c>
      <c r="E74" s="186">
        <f>VLOOKUP(TEXT(A74,"Mmm"),Table2[],5, FALSE)</f>
        <v>3.2068251854267288E-2</v>
      </c>
    </row>
    <row r="75" spans="1:5">
      <c r="A75" s="169">
        <v>45908</v>
      </c>
      <c r="B75" s="170">
        <v>19038.684545454547</v>
      </c>
      <c r="C75" s="170">
        <f>VLOOKUP(TEXT(A75,"Mmm"),Table2[],4, FALSE)</f>
        <v>5079.6000000000004</v>
      </c>
      <c r="D75" s="171">
        <v>15.5</v>
      </c>
      <c r="E75" s="172">
        <f>VLOOKUP(TEXT(A75,"Mmm"),Table2[],5, FALSE)</f>
        <v>3.2068251854267288E-2</v>
      </c>
    </row>
    <row r="76" spans="1:5">
      <c r="A76" s="169">
        <v>45909</v>
      </c>
      <c r="B76" s="170">
        <v>19038.684545454547</v>
      </c>
      <c r="C76" s="170">
        <f>VLOOKUP(TEXT(A76,"Mmm"),Table2[],4, FALSE)</f>
        <v>5079.6000000000004</v>
      </c>
      <c r="D76" s="171">
        <v>15.5</v>
      </c>
      <c r="E76" s="172">
        <f>VLOOKUP(TEXT(A76,"Mmm"),Table2[],5, FALSE)</f>
        <v>3.2068251854267288E-2</v>
      </c>
    </row>
    <row r="77" spans="1:5">
      <c r="A77" s="169">
        <v>45910</v>
      </c>
      <c r="B77" s="170">
        <v>19038.684545454547</v>
      </c>
      <c r="C77" s="170">
        <f>VLOOKUP(TEXT(A77,"Mmm"),Table2[],4, FALSE)</f>
        <v>5079.6000000000004</v>
      </c>
      <c r="D77" s="171">
        <v>15.5</v>
      </c>
      <c r="E77" s="172">
        <f>VLOOKUP(TEXT(A77,"Mmm"),Table2[],5, FALSE)</f>
        <v>3.2068251854267288E-2</v>
      </c>
    </row>
    <row r="78" spans="1:5">
      <c r="A78" s="169">
        <v>45911</v>
      </c>
      <c r="B78" s="170">
        <v>19038.684545454547</v>
      </c>
      <c r="C78" s="170">
        <f>VLOOKUP(TEXT(A78,"Mmm"),Table2[],4, FALSE)</f>
        <v>5079.6000000000004</v>
      </c>
      <c r="D78" s="171">
        <v>15.5</v>
      </c>
      <c r="E78" s="172">
        <f>VLOOKUP(TEXT(A78,"Mmm"),Table2[],5, FALSE)</f>
        <v>3.2068251854267288E-2</v>
      </c>
    </row>
    <row r="79" spans="1:5" ht="15" thickBot="1">
      <c r="A79" s="169">
        <v>45912</v>
      </c>
      <c r="B79" s="170">
        <v>19038.684545454547</v>
      </c>
      <c r="C79" s="170">
        <f>VLOOKUP(TEXT(A79,"Mmm"),Table2[],4, FALSE)</f>
        <v>5079.6000000000004</v>
      </c>
      <c r="D79" s="171">
        <v>15.5</v>
      </c>
      <c r="E79" s="172">
        <f>VLOOKUP(TEXT(A79,"Mmm"),Table2[],5, FALSE)</f>
        <v>3.2068251854267288E-2</v>
      </c>
    </row>
    <row r="80" spans="1:5" ht="15" thickBot="1">
      <c r="A80" s="180">
        <v>45913</v>
      </c>
      <c r="B80" s="181">
        <v>18287.503223140498</v>
      </c>
      <c r="C80" s="181">
        <f>VLOOKUP(TEXT(A80,"Mmm"),Table2[],4, FALSE)</f>
        <v>5079.6000000000004</v>
      </c>
      <c r="D80" s="182">
        <v>15.5</v>
      </c>
      <c r="E80" s="183">
        <f>VLOOKUP(TEXT(A80,"Mmm"),Table2[],5, FALSE)</f>
        <v>3.2068251854267288E-2</v>
      </c>
    </row>
    <row r="81" spans="1:5">
      <c r="A81" s="169">
        <v>45914</v>
      </c>
      <c r="B81" s="170">
        <v>18287.503223140498</v>
      </c>
      <c r="C81" s="170">
        <f>VLOOKUP(TEXT(A81,"Mmm"),Table2[],4, FALSE)</f>
        <v>5079.6000000000004</v>
      </c>
      <c r="D81" s="171">
        <v>15.5</v>
      </c>
      <c r="E81" s="172">
        <f>VLOOKUP(TEXT(A81,"Mmm"),Table2[],5, FALSE)</f>
        <v>3.2068251854267288E-2</v>
      </c>
    </row>
    <row r="82" spans="1:5">
      <c r="A82" s="169">
        <v>45915</v>
      </c>
      <c r="B82" s="170">
        <v>19038.684545454547</v>
      </c>
      <c r="C82" s="170">
        <f>VLOOKUP(TEXT(A82,"Mmm"),Table2[],4, FALSE)</f>
        <v>5079.6000000000004</v>
      </c>
      <c r="D82" s="171">
        <v>15.5</v>
      </c>
      <c r="E82" s="172">
        <f>VLOOKUP(TEXT(A82,"Mmm"),Table2[],5, FALSE)</f>
        <v>3.2068251854267288E-2</v>
      </c>
    </row>
    <row r="83" spans="1:5">
      <c r="A83" s="169">
        <v>45916</v>
      </c>
      <c r="B83" s="170">
        <v>19038.684545454547</v>
      </c>
      <c r="C83" s="170">
        <f>VLOOKUP(TEXT(A83,"Mmm"),Table2[],4, FALSE)</f>
        <v>5079.6000000000004</v>
      </c>
      <c r="D83" s="171">
        <v>15.5</v>
      </c>
      <c r="E83" s="172">
        <f>VLOOKUP(TEXT(A83,"Mmm"),Table2[],5, FALSE)</f>
        <v>3.2068251854267288E-2</v>
      </c>
    </row>
    <row r="84" spans="1:5">
      <c r="A84" s="169">
        <v>45917</v>
      </c>
      <c r="B84" s="170">
        <v>19038.684545454547</v>
      </c>
      <c r="C84" s="170">
        <f>VLOOKUP(TEXT(A84,"Mmm"),Table2[],4, FALSE)</f>
        <v>5079.6000000000004</v>
      </c>
      <c r="D84" s="171">
        <v>15.5</v>
      </c>
      <c r="E84" s="172">
        <f>VLOOKUP(TEXT(A84,"Mmm"),Table2[],5, FALSE)</f>
        <v>3.2068251854267288E-2</v>
      </c>
    </row>
    <row r="85" spans="1:5">
      <c r="A85" s="169">
        <v>45918</v>
      </c>
      <c r="B85" s="170">
        <v>19038.684545454547</v>
      </c>
      <c r="C85" s="170">
        <f>VLOOKUP(TEXT(A85,"Mmm"),Table2[],4, FALSE)</f>
        <v>5079.6000000000004</v>
      </c>
      <c r="D85" s="171">
        <v>15.5</v>
      </c>
      <c r="E85" s="172">
        <f>VLOOKUP(TEXT(A85,"Mmm"),Table2[],5, FALSE)</f>
        <v>3.2068251854267288E-2</v>
      </c>
    </row>
    <row r="86" spans="1:5" ht="15" thickBot="1">
      <c r="A86" s="169">
        <v>45919</v>
      </c>
      <c r="B86" s="170">
        <v>19038.684545454547</v>
      </c>
      <c r="C86" s="170">
        <f>VLOOKUP(TEXT(A86,"Mmm"),Table2[],4, FALSE)</f>
        <v>5079.6000000000004</v>
      </c>
      <c r="D86" s="171">
        <v>15.5</v>
      </c>
      <c r="E86" s="172">
        <f>VLOOKUP(TEXT(A86,"Mmm"),Table2[],5, FALSE)</f>
        <v>3.2068251854267288E-2</v>
      </c>
    </row>
    <row r="87" spans="1:5" ht="15" thickBot="1">
      <c r="A87" s="173">
        <v>45920</v>
      </c>
      <c r="B87" s="109">
        <v>18287.503223140498</v>
      </c>
      <c r="C87" s="109">
        <f>VLOOKUP(TEXT(A87,"Mmm"),Table2[],4, FALSE)</f>
        <v>5079.6000000000004</v>
      </c>
      <c r="D87" s="110">
        <v>15.5</v>
      </c>
      <c r="E87" s="174">
        <f>VLOOKUP(TEXT(A87,"Mmm"),Table2[],5, FALSE)</f>
        <v>3.2068251854267288E-2</v>
      </c>
    </row>
    <row r="88" spans="1:5">
      <c r="A88" s="39">
        <v>45921</v>
      </c>
      <c r="B88" s="8">
        <v>18287.503223140498</v>
      </c>
      <c r="C88" s="8">
        <f>VLOOKUP(TEXT(A88,"Mmm"),Table2[],4, FALSE)</f>
        <v>5079.6000000000004</v>
      </c>
      <c r="D88" s="9">
        <v>15.5</v>
      </c>
      <c r="E88" s="129">
        <f>VLOOKUP(TEXT(A88,"Mmm"),Table2[],5, FALSE)</f>
        <v>3.2068251854267288E-2</v>
      </c>
    </row>
    <row r="89" spans="1:5">
      <c r="A89" s="39">
        <v>45922</v>
      </c>
      <c r="B89" s="8">
        <v>19038.684545454547</v>
      </c>
      <c r="C89" s="8">
        <f>VLOOKUP(TEXT(A89,"Mmm"),Table2[],4, FALSE)</f>
        <v>5079.6000000000004</v>
      </c>
      <c r="D89" s="9">
        <v>15.5</v>
      </c>
      <c r="E89" s="129">
        <f>VLOOKUP(TEXT(A89,"Mmm"),Table2[],5, FALSE)</f>
        <v>3.2068251854267288E-2</v>
      </c>
    </row>
    <row r="90" spans="1:5">
      <c r="A90" s="39">
        <v>45923</v>
      </c>
      <c r="B90" s="8">
        <v>19038.684545454547</v>
      </c>
      <c r="C90" s="8">
        <f>VLOOKUP(TEXT(A90,"Mmm"),Table2[],4, FALSE)</f>
        <v>5079.6000000000004</v>
      </c>
      <c r="D90" s="9">
        <v>15.5</v>
      </c>
      <c r="E90" s="129">
        <f>VLOOKUP(TEXT(A90,"Mmm"),Table2[],5, FALSE)</f>
        <v>3.2068251854267288E-2</v>
      </c>
    </row>
    <row r="91" spans="1:5">
      <c r="A91" s="39">
        <v>45924</v>
      </c>
      <c r="B91" s="8">
        <v>19038.684545454547</v>
      </c>
      <c r="C91" s="8">
        <f>VLOOKUP(TEXT(A91,"Mmm"),Table2[],4, FALSE)</f>
        <v>5079.6000000000004</v>
      </c>
      <c r="D91" s="9">
        <v>15.5</v>
      </c>
      <c r="E91" s="129">
        <f>VLOOKUP(TEXT(A91,"Mmm"),Table2[],5, FALSE)</f>
        <v>3.2068251854267288E-2</v>
      </c>
    </row>
    <row r="92" spans="1:5">
      <c r="A92" s="39">
        <v>45925</v>
      </c>
      <c r="B92" s="8">
        <v>19038.684545454547</v>
      </c>
      <c r="C92" s="8">
        <f>VLOOKUP(TEXT(A92,"Mmm"),Table2[],4, FALSE)</f>
        <v>5079.6000000000004</v>
      </c>
      <c r="D92" s="9">
        <v>15.5</v>
      </c>
      <c r="E92" s="129">
        <f>VLOOKUP(TEXT(A92,"Mmm"),Table2[],5, FALSE)</f>
        <v>3.2068251854267288E-2</v>
      </c>
    </row>
    <row r="93" spans="1:5" ht="15" thickBot="1">
      <c r="A93" s="39">
        <v>45926</v>
      </c>
      <c r="B93" s="8">
        <v>19038.684545454547</v>
      </c>
      <c r="C93" s="8">
        <f>VLOOKUP(TEXT(A93,"Mmm"),Table2[],4, FALSE)</f>
        <v>5079.6000000000004</v>
      </c>
      <c r="D93" s="9">
        <v>15.5</v>
      </c>
      <c r="E93" s="129">
        <f>VLOOKUP(TEXT(A93,"Mmm"),Table2[],5, FALSE)</f>
        <v>3.2068251854267288E-2</v>
      </c>
    </row>
    <row r="94" spans="1:5" ht="15" thickBot="1">
      <c r="A94" s="173">
        <v>45927</v>
      </c>
      <c r="B94" s="109">
        <v>18287.503223140498</v>
      </c>
      <c r="C94" s="109">
        <f>VLOOKUP(TEXT(A94,"Mmm"),Table2[],4, FALSE)</f>
        <v>5079.6000000000004</v>
      </c>
      <c r="D94" s="110">
        <v>15.5</v>
      </c>
      <c r="E94" s="174">
        <f>VLOOKUP(TEXT(A94,"Mmm"),Table2[],5, FALSE)</f>
        <v>3.2068251854267288E-2</v>
      </c>
    </row>
    <row r="95" spans="1:5">
      <c r="A95" s="39">
        <v>45928</v>
      </c>
      <c r="B95" s="8">
        <v>18287.503223140498</v>
      </c>
      <c r="C95" s="8">
        <f>VLOOKUP(TEXT(A95,"Mmm"),Table2[],4, FALSE)</f>
        <v>5079.6000000000004</v>
      </c>
      <c r="D95" s="9">
        <v>15.5</v>
      </c>
      <c r="E95" s="129">
        <f>VLOOKUP(TEXT(A95,"Mmm"),Table2[],5, FALSE)</f>
        <v>3.2068251854267288E-2</v>
      </c>
    </row>
    <row r="96" spans="1:5">
      <c r="A96" s="39">
        <v>45929</v>
      </c>
      <c r="B96" s="8">
        <v>19038.684545454547</v>
      </c>
      <c r="C96" s="8">
        <f>VLOOKUP(TEXT(A96,"Mmm"),Table2[],4, FALSE)</f>
        <v>5079.6000000000004</v>
      </c>
      <c r="D96" s="9">
        <v>15.5</v>
      </c>
      <c r="E96" s="129">
        <f>VLOOKUP(TEXT(A96,"Mmm"),Table2[],5, FALSE)</f>
        <v>3.2068251854267288E-2</v>
      </c>
    </row>
    <row r="97" spans="1:5">
      <c r="A97" s="39">
        <v>45930</v>
      </c>
      <c r="B97" s="8">
        <v>19038.684545454547</v>
      </c>
      <c r="C97" s="8">
        <f>VLOOKUP(TEXT(A97,"Mmm"),Table2[],4, FALSE)</f>
        <v>5079.6000000000004</v>
      </c>
      <c r="D97" s="9">
        <v>15.5</v>
      </c>
      <c r="E97" s="129">
        <f>VLOOKUP(TEXT(A97,"Mmm"),Table2[],5, FALSE)</f>
        <v>3.2068251854267288E-2</v>
      </c>
    </row>
    <row r="98" spans="1:5">
      <c r="A98" s="39">
        <v>45931</v>
      </c>
      <c r="B98" s="8">
        <v>15515.563057851243</v>
      </c>
      <c r="C98" s="8">
        <f>VLOOKUP(TEXT(A98,"Mmm"),Table2[],4, FALSE)</f>
        <v>4320.0000000000009</v>
      </c>
      <c r="D98" s="9">
        <v>15.5</v>
      </c>
      <c r="E98" s="129">
        <f>VLOOKUP(TEXT(A98,"Mmm"),Table2[],5, FALSE)</f>
        <v>3.1902388503327155E-2</v>
      </c>
    </row>
    <row r="99" spans="1:5">
      <c r="A99" s="39">
        <v>45932</v>
      </c>
      <c r="B99" s="8">
        <v>15515.563057851243</v>
      </c>
      <c r="C99" s="8">
        <f>VLOOKUP(TEXT(A99,"Mmm"),Table2[],4, FALSE)</f>
        <v>4320.0000000000009</v>
      </c>
      <c r="D99" s="9">
        <v>15.5</v>
      </c>
      <c r="E99" s="129">
        <f>VLOOKUP(TEXT(A99,"Mmm"),Table2[],5, FALSE)</f>
        <v>3.1902388503327155E-2</v>
      </c>
    </row>
    <row r="100" spans="1:5" ht="15" thickBot="1">
      <c r="A100" s="39">
        <v>45933</v>
      </c>
      <c r="B100" s="8">
        <v>15515.563057851243</v>
      </c>
      <c r="C100" s="8">
        <f>VLOOKUP(TEXT(A100,"Mmm"),Table2[],4, FALSE)</f>
        <v>4320.0000000000009</v>
      </c>
      <c r="D100" s="9">
        <v>15.5</v>
      </c>
      <c r="E100" s="129">
        <f>VLOOKUP(TEXT(A100,"Mmm"),Table2[],5, FALSE)</f>
        <v>3.1902388503327155E-2</v>
      </c>
    </row>
    <row r="101" spans="1:5" ht="15" thickBot="1">
      <c r="A101" s="173">
        <v>45934</v>
      </c>
      <c r="B101" s="109">
        <v>15392.754462809924</v>
      </c>
      <c r="C101" s="109">
        <f>VLOOKUP(TEXT(A101,"Mmm"),Table2[],4, FALSE)</f>
        <v>4320.0000000000009</v>
      </c>
      <c r="D101" s="110">
        <v>15.5</v>
      </c>
      <c r="E101" s="174">
        <f>VLOOKUP(TEXT(A101,"Mmm"),Table2[],5, FALSE)</f>
        <v>3.1902388503327155E-2</v>
      </c>
    </row>
    <row r="102" spans="1:5">
      <c r="A102" s="39">
        <v>45935</v>
      </c>
      <c r="B102" s="8">
        <v>15392.754462809924</v>
      </c>
      <c r="C102" s="8">
        <f>VLOOKUP(TEXT(A102,"Mmm"),Table2[],4, FALSE)</f>
        <v>4320.0000000000009</v>
      </c>
      <c r="D102" s="9">
        <v>15.5</v>
      </c>
      <c r="E102" s="129">
        <f>VLOOKUP(TEXT(A102,"Mmm"),Table2[],5, FALSE)</f>
        <v>3.1902388503327155E-2</v>
      </c>
    </row>
    <row r="103" spans="1:5">
      <c r="A103" s="39">
        <v>45936</v>
      </c>
      <c r="B103" s="8">
        <v>15515.563057851243</v>
      </c>
      <c r="C103" s="8">
        <f>VLOOKUP(TEXT(A103,"Mmm"),Table2[],4, FALSE)</f>
        <v>4320.0000000000009</v>
      </c>
      <c r="D103" s="9">
        <v>15.5</v>
      </c>
      <c r="E103" s="129">
        <f>VLOOKUP(TEXT(A103,"Mmm"),Table2[],5, FALSE)</f>
        <v>3.1902388503327155E-2</v>
      </c>
    </row>
    <row r="104" spans="1:5">
      <c r="A104" s="39">
        <v>45937</v>
      </c>
      <c r="B104" s="8">
        <v>15515.563057851243</v>
      </c>
      <c r="C104" s="8">
        <f>VLOOKUP(TEXT(A104,"Mmm"),Table2[],4, FALSE)</f>
        <v>4320.0000000000009</v>
      </c>
      <c r="D104" s="9">
        <v>15.5</v>
      </c>
      <c r="E104" s="129">
        <f>VLOOKUP(TEXT(A104,"Mmm"),Table2[],5, FALSE)</f>
        <v>3.1902388503327155E-2</v>
      </c>
    </row>
    <row r="105" spans="1:5">
      <c r="A105" s="39">
        <v>45938</v>
      </c>
      <c r="B105" s="8">
        <v>15515.563057851243</v>
      </c>
      <c r="C105" s="8">
        <f>VLOOKUP(TEXT(A105,"Mmm"),Table2[],4, FALSE)</f>
        <v>4320.0000000000009</v>
      </c>
      <c r="D105" s="9">
        <v>15.5</v>
      </c>
      <c r="E105" s="129">
        <f>VLOOKUP(TEXT(A105,"Mmm"),Table2[],5, FALSE)</f>
        <v>3.1902388503327155E-2</v>
      </c>
    </row>
    <row r="106" spans="1:5">
      <c r="A106" s="39">
        <v>45939</v>
      </c>
      <c r="B106" s="8">
        <v>15515.563057851243</v>
      </c>
      <c r="C106" s="8">
        <f>VLOOKUP(TEXT(A106,"Mmm"),Table2[],4, FALSE)</f>
        <v>4320.0000000000009</v>
      </c>
      <c r="D106" s="9">
        <v>15.5</v>
      </c>
      <c r="E106" s="129">
        <f>VLOOKUP(TEXT(A106,"Mmm"),Table2[],5, FALSE)</f>
        <v>3.1902388503327155E-2</v>
      </c>
    </row>
    <row r="107" spans="1:5" ht="15" thickBot="1">
      <c r="A107" s="39">
        <v>45940</v>
      </c>
      <c r="B107" s="8">
        <v>15515.563057851243</v>
      </c>
      <c r="C107" s="8">
        <f>VLOOKUP(TEXT(A107,"Mmm"),Table2[],4, FALSE)</f>
        <v>4320.0000000000009</v>
      </c>
      <c r="D107" s="9">
        <v>15.5</v>
      </c>
      <c r="E107" s="129">
        <f>VLOOKUP(TEXT(A107,"Mmm"),Table2[],5, FALSE)</f>
        <v>3.1902388503327155E-2</v>
      </c>
    </row>
    <row r="108" spans="1:5" ht="15" thickBot="1">
      <c r="A108" s="173">
        <v>45941</v>
      </c>
      <c r="B108" s="109">
        <v>15392.754462809924</v>
      </c>
      <c r="C108" s="109">
        <f>VLOOKUP(TEXT(A108,"Mmm"),Table2[],4, FALSE)</f>
        <v>4320.0000000000009</v>
      </c>
      <c r="D108" s="110">
        <v>15.5</v>
      </c>
      <c r="E108" s="174">
        <f>VLOOKUP(TEXT(A108,"Mmm"),Table2[],5, FALSE)</f>
        <v>3.1902388503327155E-2</v>
      </c>
    </row>
    <row r="109" spans="1:5">
      <c r="A109" s="39">
        <v>45942</v>
      </c>
      <c r="B109" s="8">
        <v>15392.754462809924</v>
      </c>
      <c r="C109" s="8">
        <f>VLOOKUP(TEXT(A109,"Mmm"),Table2[],4, FALSE)</f>
        <v>4320.0000000000009</v>
      </c>
      <c r="D109" s="9">
        <v>15.5</v>
      </c>
      <c r="E109" s="129">
        <f>VLOOKUP(TEXT(A109,"Mmm"),Table2[],5, FALSE)</f>
        <v>3.1902388503327155E-2</v>
      </c>
    </row>
    <row r="110" spans="1:5">
      <c r="A110" s="39">
        <v>45943</v>
      </c>
      <c r="B110" s="8">
        <v>15515.563057851243</v>
      </c>
      <c r="C110" s="8">
        <f>VLOOKUP(TEXT(A110,"Mmm"),Table2[],4, FALSE)</f>
        <v>4320.0000000000009</v>
      </c>
      <c r="D110" s="9">
        <v>15.5</v>
      </c>
      <c r="E110" s="129">
        <f>VLOOKUP(TEXT(A110,"Mmm"),Table2[],5, FALSE)</f>
        <v>3.1902388503327155E-2</v>
      </c>
    </row>
    <row r="111" spans="1:5">
      <c r="A111" s="39">
        <v>45944</v>
      </c>
      <c r="B111" s="8">
        <v>15515.563057851243</v>
      </c>
      <c r="C111" s="8">
        <f>VLOOKUP(TEXT(A111,"Mmm"),Table2[],4, FALSE)</f>
        <v>4320.0000000000009</v>
      </c>
      <c r="D111" s="9">
        <v>15.5</v>
      </c>
      <c r="E111" s="129">
        <f>VLOOKUP(TEXT(A111,"Mmm"),Table2[],5, FALSE)</f>
        <v>3.1902388503327155E-2</v>
      </c>
    </row>
    <row r="112" spans="1:5">
      <c r="A112" s="39">
        <v>45945</v>
      </c>
      <c r="B112" s="8">
        <v>15515.563057851243</v>
      </c>
      <c r="C112" s="8">
        <f>VLOOKUP(TEXT(A112,"Mmm"),Table2[],4, FALSE)</f>
        <v>4320.0000000000009</v>
      </c>
      <c r="D112" s="9">
        <v>15.5</v>
      </c>
      <c r="E112" s="129">
        <f>VLOOKUP(TEXT(A112,"Mmm"),Table2[],5, FALSE)</f>
        <v>3.1902388503327155E-2</v>
      </c>
    </row>
    <row r="113" spans="1:5">
      <c r="A113" s="39">
        <v>45946</v>
      </c>
      <c r="B113" s="8">
        <v>15515.563057851243</v>
      </c>
      <c r="C113" s="8">
        <f>VLOOKUP(TEXT(A113,"Mmm"),Table2[],4, FALSE)</f>
        <v>4320.0000000000009</v>
      </c>
      <c r="D113" s="9">
        <v>15.5</v>
      </c>
      <c r="E113" s="129">
        <f>VLOOKUP(TEXT(A113,"Mmm"),Table2[],5, FALSE)</f>
        <v>3.1902388503327155E-2</v>
      </c>
    </row>
    <row r="114" spans="1:5">
      <c r="A114" s="39">
        <v>45947</v>
      </c>
      <c r="B114" s="8">
        <v>15515.563057851243</v>
      </c>
      <c r="C114" s="8">
        <f>VLOOKUP(TEXT(A114,"Mmm"),Table2[],4, FALSE)</f>
        <v>4320.0000000000009</v>
      </c>
      <c r="D114" s="9">
        <v>15.5</v>
      </c>
      <c r="E114" s="129">
        <f>VLOOKUP(TEXT(A114,"Mmm"),Table2[],5, FALSE)</f>
        <v>3.1902388503327155E-2</v>
      </c>
    </row>
    <row r="115" spans="1:5">
      <c r="A115" s="39">
        <v>45948</v>
      </c>
      <c r="B115" s="8">
        <v>15392.754462809924</v>
      </c>
      <c r="C115" s="8">
        <f>VLOOKUP(TEXT(A115,"Mmm"),Table2[],4, FALSE)</f>
        <v>4320.0000000000009</v>
      </c>
      <c r="D115" s="9">
        <v>15.5</v>
      </c>
      <c r="E115" s="129">
        <f>VLOOKUP(TEXT(A115,"Mmm"),Table2[],5, FALSE)</f>
        <v>3.1902388503327155E-2</v>
      </c>
    </row>
    <row r="116" spans="1:5">
      <c r="A116" s="39">
        <v>45949</v>
      </c>
      <c r="B116" s="8">
        <v>15392.754462809924</v>
      </c>
      <c r="C116" s="8">
        <f>VLOOKUP(TEXT(A116,"Mmm"),Table2[],4, FALSE)</f>
        <v>4320.0000000000009</v>
      </c>
      <c r="D116" s="9">
        <v>15.5</v>
      </c>
      <c r="E116" s="129">
        <f>VLOOKUP(TEXT(A116,"Mmm"),Table2[],5, FALSE)</f>
        <v>3.1902388503327155E-2</v>
      </c>
    </row>
    <row r="117" spans="1:5">
      <c r="A117" s="39">
        <v>45950</v>
      </c>
      <c r="B117" s="8">
        <v>15515.563057851243</v>
      </c>
      <c r="C117" s="8">
        <f>VLOOKUP(TEXT(A117,"Mmm"),Table2[],4, FALSE)</f>
        <v>4320.0000000000009</v>
      </c>
      <c r="D117" s="9">
        <v>15.5</v>
      </c>
      <c r="E117" s="129">
        <f>VLOOKUP(TEXT(A117,"Mmm"),Table2[],5, FALSE)</f>
        <v>3.1902388503327155E-2</v>
      </c>
    </row>
    <row r="118" spans="1:5">
      <c r="A118" s="39">
        <v>45951</v>
      </c>
      <c r="B118" s="8">
        <v>15515.563057851243</v>
      </c>
      <c r="C118" s="8">
        <f>VLOOKUP(TEXT(A118,"Mmm"),Table2[],4, FALSE)</f>
        <v>4320.0000000000009</v>
      </c>
      <c r="D118" s="9">
        <v>15.5</v>
      </c>
      <c r="E118" s="129">
        <f>VLOOKUP(TEXT(A118,"Mmm"),Table2[],5, FALSE)</f>
        <v>3.1902388503327155E-2</v>
      </c>
    </row>
    <row r="119" spans="1:5">
      <c r="A119" s="39">
        <v>45952</v>
      </c>
      <c r="B119" s="8">
        <v>15515.563057851243</v>
      </c>
      <c r="C119" s="8">
        <f>VLOOKUP(TEXT(A119,"Mmm"),Table2[],4, FALSE)</f>
        <v>4320.0000000000009</v>
      </c>
      <c r="D119" s="9">
        <v>15.5</v>
      </c>
      <c r="E119" s="129">
        <f>VLOOKUP(TEXT(A119,"Mmm"),Table2[],5, FALSE)</f>
        <v>3.1902388503327155E-2</v>
      </c>
    </row>
    <row r="120" spans="1:5">
      <c r="A120" s="39">
        <v>45953</v>
      </c>
      <c r="B120" s="8">
        <v>15515.563057851243</v>
      </c>
      <c r="C120" s="8">
        <f>VLOOKUP(TEXT(A120,"Mmm"),Table2[],4, FALSE)</f>
        <v>4320.0000000000009</v>
      </c>
      <c r="D120" s="9">
        <v>15.5</v>
      </c>
      <c r="E120" s="129">
        <f>VLOOKUP(TEXT(A120,"Mmm"),Table2[],5, FALSE)</f>
        <v>3.1902388503327155E-2</v>
      </c>
    </row>
    <row r="121" spans="1:5">
      <c r="A121" s="39">
        <v>45954</v>
      </c>
      <c r="B121" s="8">
        <v>15515.563057851243</v>
      </c>
      <c r="C121" s="8">
        <f>VLOOKUP(TEXT(A121,"Mmm"),Table2[],4, FALSE)</f>
        <v>4320.0000000000009</v>
      </c>
      <c r="D121" s="9">
        <v>15.5</v>
      </c>
      <c r="E121" s="129">
        <f>VLOOKUP(TEXT(A121,"Mmm"),Table2[],5, FALSE)</f>
        <v>3.1902388503327155E-2</v>
      </c>
    </row>
    <row r="122" spans="1:5">
      <c r="A122" s="39">
        <v>45955</v>
      </c>
      <c r="B122" s="8">
        <v>15392.754462809924</v>
      </c>
      <c r="C122" s="8">
        <f>VLOOKUP(TEXT(A122,"Mmm"),Table2[],4, FALSE)</f>
        <v>4320.0000000000009</v>
      </c>
      <c r="D122" s="9">
        <v>15.5</v>
      </c>
      <c r="E122" s="129">
        <f>VLOOKUP(TEXT(A122,"Mmm"),Table2[],5, FALSE)</f>
        <v>3.1902388503327155E-2</v>
      </c>
    </row>
    <row r="123" spans="1:5">
      <c r="A123" s="39">
        <v>45956</v>
      </c>
      <c r="B123" s="8">
        <v>15392.754462809924</v>
      </c>
      <c r="C123" s="8">
        <f>VLOOKUP(TEXT(A123,"Mmm"),Table2[],4, FALSE)</f>
        <v>4320.0000000000009</v>
      </c>
      <c r="D123" s="9">
        <v>15.5</v>
      </c>
      <c r="E123" s="129">
        <f>VLOOKUP(TEXT(A123,"Mmm"),Table2[],5, FALSE)</f>
        <v>3.1902388503327155E-2</v>
      </c>
    </row>
    <row r="124" spans="1:5">
      <c r="A124" s="39">
        <v>45957</v>
      </c>
      <c r="B124" s="8">
        <v>15515.563057851243</v>
      </c>
      <c r="C124" s="8">
        <f>VLOOKUP(TEXT(A124,"Mmm"),Table2[],4, FALSE)</f>
        <v>4320.0000000000009</v>
      </c>
      <c r="D124" s="9">
        <v>15.5</v>
      </c>
      <c r="E124" s="129">
        <f>VLOOKUP(TEXT(A124,"Mmm"),Table2[],5, FALSE)</f>
        <v>3.1902388503327155E-2</v>
      </c>
    </row>
    <row r="125" spans="1:5">
      <c r="A125" s="39">
        <v>45958</v>
      </c>
      <c r="B125" s="8">
        <v>15515.563057851243</v>
      </c>
      <c r="C125" s="8">
        <f>VLOOKUP(TEXT(A125,"Mmm"),Table2[],4, FALSE)</f>
        <v>4320.0000000000009</v>
      </c>
      <c r="D125" s="9">
        <v>15.5</v>
      </c>
      <c r="E125" s="129">
        <f>VLOOKUP(TEXT(A125,"Mmm"),Table2[],5, FALSE)</f>
        <v>3.1902388503327155E-2</v>
      </c>
    </row>
    <row r="126" spans="1:5">
      <c r="A126" s="39">
        <v>45959</v>
      </c>
      <c r="B126" s="8">
        <v>15515.563057851243</v>
      </c>
      <c r="C126" s="8">
        <f>VLOOKUP(TEXT(A126,"Mmm"),Table2[],4, FALSE)</f>
        <v>4320.0000000000009</v>
      </c>
      <c r="D126" s="9">
        <v>15.5</v>
      </c>
      <c r="E126" s="129">
        <f>VLOOKUP(TEXT(A126,"Mmm"),Table2[],5, FALSE)</f>
        <v>3.1902388503327155E-2</v>
      </c>
    </row>
    <row r="127" spans="1:5">
      <c r="A127" s="39">
        <v>45960</v>
      </c>
      <c r="B127" s="8">
        <v>15515.563057851243</v>
      </c>
      <c r="C127" s="8">
        <f>VLOOKUP(TEXT(A127,"Mmm"),Table2[],4, FALSE)</f>
        <v>4320.0000000000009</v>
      </c>
      <c r="D127" s="9">
        <v>15.5</v>
      </c>
      <c r="E127" s="129">
        <f>VLOOKUP(TEXT(A127,"Mmm"),Table2[],5, FALSE)</f>
        <v>3.1902388503327155E-2</v>
      </c>
    </row>
    <row r="128" spans="1:5">
      <c r="A128" s="39">
        <v>45961</v>
      </c>
      <c r="B128" s="8">
        <v>15515.563057851243</v>
      </c>
      <c r="C128" s="8">
        <f>VLOOKUP(TEXT(A128,"Mmm"),Table2[],4, FALSE)</f>
        <v>4320.0000000000009</v>
      </c>
      <c r="D128" s="9">
        <v>15.5</v>
      </c>
      <c r="E128" s="129">
        <f>VLOOKUP(TEXT(A128,"Mmm"),Table2[],5, FALSE)</f>
        <v>3.1902388503327155E-2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6F15-1F49-744C-BD1C-C7D735420503}">
  <dimension ref="B2:B4"/>
  <sheetViews>
    <sheetView workbookViewId="0">
      <selection activeCell="F32" sqref="F32"/>
    </sheetView>
  </sheetViews>
  <sheetFormatPr defaultColWidth="11.44140625" defaultRowHeight="14.4"/>
  <sheetData>
    <row r="2" spans="2:2">
      <c r="B2" s="80" t="s">
        <v>381</v>
      </c>
    </row>
    <row r="3" spans="2:2">
      <c r="B3" s="81" t="s">
        <v>133</v>
      </c>
    </row>
    <row r="4" spans="2:2">
      <c r="B4" s="82" t="s">
        <v>135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56C4B-34F3-457E-934C-C5473DCFF36A}">
  <dimension ref="A1:AF387"/>
  <sheetViews>
    <sheetView workbookViewId="0">
      <selection activeCell="T9" sqref="T9"/>
    </sheetView>
  </sheetViews>
  <sheetFormatPr defaultColWidth="8.6640625" defaultRowHeight="14.4"/>
  <cols>
    <col min="1" max="1" width="13.109375" bestFit="1" customWidth="1"/>
    <col min="2" max="2" width="12.44140625" bestFit="1" customWidth="1"/>
    <col min="3" max="3" width="11" bestFit="1" customWidth="1"/>
    <col min="4" max="4" width="11.33203125" bestFit="1" customWidth="1"/>
    <col min="5" max="8" width="6.6640625" customWidth="1"/>
    <col min="9" max="9" width="10.5546875" bestFit="1" customWidth="1"/>
    <col min="10" max="10" width="10.44140625" bestFit="1" customWidth="1"/>
    <col min="11" max="13" width="8.88671875" bestFit="1" customWidth="1"/>
    <col min="14" max="15" width="10.44140625" bestFit="1" customWidth="1"/>
    <col min="16" max="16" width="7.6640625" customWidth="1"/>
    <col min="17" max="19" width="6.6640625" customWidth="1"/>
    <col min="20" max="20" width="30.6640625" bestFit="1" customWidth="1"/>
    <col min="21" max="21" width="20" bestFit="1" customWidth="1"/>
    <col min="25" max="25" width="10.6640625" customWidth="1"/>
    <col min="27" max="27" width="23" customWidth="1"/>
    <col min="29" max="29" width="11.44140625" bestFit="1" customWidth="1"/>
  </cols>
  <sheetData>
    <row r="1" spans="1:29">
      <c r="A1" s="142" t="s">
        <v>475</v>
      </c>
      <c r="B1" s="143"/>
      <c r="I1" s="142" t="s">
        <v>476</v>
      </c>
      <c r="J1" s="143"/>
      <c r="T1" s="142" t="s">
        <v>477</v>
      </c>
      <c r="U1" s="143"/>
      <c r="Y1" s="142" t="s">
        <v>478</v>
      </c>
      <c r="Z1" s="143"/>
    </row>
    <row r="2" spans="1:29">
      <c r="A2">
        <v>1</v>
      </c>
      <c r="B2">
        <v>2</v>
      </c>
      <c r="C2">
        <v>5</v>
      </c>
      <c r="D2">
        <v>6</v>
      </c>
      <c r="I2">
        <v>1</v>
      </c>
      <c r="J2">
        <v>2</v>
      </c>
      <c r="K2">
        <v>3</v>
      </c>
      <c r="L2">
        <v>4</v>
      </c>
      <c r="M2">
        <v>5</v>
      </c>
    </row>
    <row r="3" spans="1:29" ht="43.2">
      <c r="A3" s="31" t="s">
        <v>420</v>
      </c>
      <c r="B3" s="31" t="s">
        <v>417</v>
      </c>
      <c r="C3" s="31" t="s">
        <v>419</v>
      </c>
      <c r="D3" s="31" t="s">
        <v>421</v>
      </c>
      <c r="I3" s="31" t="s">
        <v>426</v>
      </c>
      <c r="J3" s="31" t="s">
        <v>427</v>
      </c>
      <c r="K3" s="31" t="s">
        <v>428</v>
      </c>
      <c r="L3" s="31" t="s">
        <v>429</v>
      </c>
      <c r="M3" s="31" t="s">
        <v>430</v>
      </c>
      <c r="N3" s="31" t="s">
        <v>455</v>
      </c>
      <c r="O3" s="31" t="s">
        <v>456</v>
      </c>
      <c r="P3" s="31" t="s">
        <v>457</v>
      </c>
      <c r="T3" t="s">
        <v>431</v>
      </c>
      <c r="U3" t="s">
        <v>433</v>
      </c>
      <c r="V3" t="s">
        <v>432</v>
      </c>
      <c r="X3" s="142"/>
      <c r="Y3" s="143" t="s">
        <v>460</v>
      </c>
      <c r="Z3" t="s">
        <v>461</v>
      </c>
      <c r="AA3" t="s">
        <v>459</v>
      </c>
      <c r="AB3" t="s">
        <v>462</v>
      </c>
      <c r="AC3" t="s">
        <v>512</v>
      </c>
    </row>
    <row r="4" spans="1:29">
      <c r="A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25-07-Wkd-00</v>
      </c>
      <c r="B4" s="92">
        <v>45856</v>
      </c>
      <c r="C4" s="130">
        <v>303.536</v>
      </c>
      <c r="D4" s="131">
        <v>53.341000000000001</v>
      </c>
      <c r="I4" s="135">
        <v>45836</v>
      </c>
      <c r="J4" s="136">
        <v>10.5</v>
      </c>
      <c r="K4" s="136">
        <v>12.8</v>
      </c>
      <c r="L4" s="137">
        <v>8.4</v>
      </c>
      <c r="M4" s="136">
        <v>0</v>
      </c>
      <c r="N4" s="136" t="str">
        <f>TEXT(FY24_Temp[[#This Row],[Date_Simple]],"Ddd")</f>
        <v>Sat</v>
      </c>
      <c r="O4" s="138"/>
      <c r="P4" s="136" t="str">
        <f>TEXT(FY24_Temp[[#This Row],[Old_Date]],"Ddd")</f>
        <v>Sat</v>
      </c>
      <c r="T4" t="str">
        <f>BypassWeeks[[#This Row],[Week No]]&amp;"_"&amp;TEXT(BypassWeeks[[#This Row],[Start Date]],"mm")&amp;TEXT(BypassWeeks[[#This Row],[Start Date]],"-dd")</f>
        <v>Week00_06-28</v>
      </c>
      <c r="U4" t="s">
        <v>446</v>
      </c>
      <c r="V4" s="100">
        <v>45836</v>
      </c>
      <c r="Y4" s="117" t="str">
        <f>TempDelta[[#This Row],[WeekNo]]&amp;"-"&amp;TempDelta[[#This Row],[HR]]</f>
        <v>0-0</v>
      </c>
      <c r="Z4">
        <v>0</v>
      </c>
      <c r="AA4">
        <v>0</v>
      </c>
      <c r="AB4" s="119">
        <v>3.0441428933824812</v>
      </c>
    </row>
    <row r="5" spans="1:29">
      <c r="A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25-07-Wkd-01</v>
      </c>
      <c r="B5" s="92">
        <v>45856.041666666664</v>
      </c>
      <c r="C5" s="130">
        <v>303.536</v>
      </c>
      <c r="D5" s="131">
        <v>51.82</v>
      </c>
      <c r="I5" s="135">
        <v>45837</v>
      </c>
      <c r="J5" s="136">
        <v>10.5</v>
      </c>
      <c r="K5" s="136">
        <v>12.8</v>
      </c>
      <c r="L5" s="137">
        <v>8.4</v>
      </c>
      <c r="M5" s="136">
        <v>0</v>
      </c>
      <c r="N5" s="136" t="str">
        <f>TEXT(FY24_Temp[[#This Row],[Date_Simple]],"Ddd")</f>
        <v>Sun</v>
      </c>
      <c r="O5" s="138"/>
      <c r="P5" s="136" t="str">
        <f>TEXT(FY24_Temp[[#This Row],[Old_Date]],"Ddd")</f>
        <v>Sat</v>
      </c>
      <c r="T5" t="str">
        <f>BypassWeeks[[#This Row],[Week No]]&amp;"_"&amp;TEXT(BypassWeeks[[#This Row],[Start Date]],"mm")&amp;TEXT(BypassWeeks[[#This Row],[Start Date]],"-dd")</f>
        <v>Week00_07-05</v>
      </c>
      <c r="U5" t="s">
        <v>446</v>
      </c>
      <c r="V5" s="100">
        <v>45843</v>
      </c>
      <c r="Y5" s="117" t="str">
        <f>TempDelta[[#This Row],[WeekNo]]&amp;"-"&amp;TempDelta[[#This Row],[HR]]</f>
        <v>0-1</v>
      </c>
      <c r="Z5">
        <v>0</v>
      </c>
      <c r="AA5">
        <v>1</v>
      </c>
      <c r="AB5" s="119">
        <v>3.0992857047489712</v>
      </c>
    </row>
    <row r="6" spans="1:29">
      <c r="A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25-07-Wkd-02</v>
      </c>
      <c r="B6" s="92">
        <v>45856.083333333336</v>
      </c>
      <c r="C6" s="130">
        <v>303.536</v>
      </c>
      <c r="D6" s="131">
        <v>50.686999999999998</v>
      </c>
      <c r="I6" s="135">
        <v>45838</v>
      </c>
      <c r="J6" s="136">
        <v>10.5</v>
      </c>
      <c r="K6" s="139">
        <v>12.8</v>
      </c>
      <c r="L6" s="140">
        <v>8.4</v>
      </c>
      <c r="M6" s="136">
        <v>0</v>
      </c>
      <c r="N6" s="139" t="str">
        <f>TEXT(FY24_Temp[[#This Row],[Date_Simple]],"Ddd")</f>
        <v>Mon</v>
      </c>
      <c r="O6" s="141">
        <v>45474</v>
      </c>
      <c r="P6" s="139" t="str">
        <f>TEXT(FY24_Temp[[#This Row],[Old_Date]],"Ddd")</f>
        <v>Mon</v>
      </c>
      <c r="T6" t="str">
        <f>BypassWeeks[[#This Row],[Week No]]&amp;"_"&amp;TEXT(BypassWeeks[[#This Row],[Start Date]],"mm")&amp;TEXT(BypassWeeks[[#This Row],[Start Date]],"-dd")</f>
        <v>Week00_07-12</v>
      </c>
      <c r="U6" t="s">
        <v>446</v>
      </c>
      <c r="V6" s="100">
        <v>45850</v>
      </c>
      <c r="Y6" s="117" t="str">
        <f>TempDelta[[#This Row],[WeekNo]]&amp;"-"&amp;TempDelta[[#This Row],[HR]]</f>
        <v>0-2</v>
      </c>
      <c r="Z6">
        <v>0</v>
      </c>
      <c r="AA6">
        <v>2</v>
      </c>
      <c r="AB6" s="119">
        <v>3.1050000190734863</v>
      </c>
    </row>
    <row r="7" spans="1:29">
      <c r="A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25-07-Wkd-03</v>
      </c>
      <c r="B7" s="92">
        <v>45856.125</v>
      </c>
      <c r="C7" s="130">
        <v>303.536</v>
      </c>
      <c r="D7" s="131">
        <v>50.872999999999998</v>
      </c>
      <c r="I7" s="135">
        <v>45839</v>
      </c>
      <c r="J7" s="136">
        <v>10.5</v>
      </c>
      <c r="K7" s="139">
        <v>12.8</v>
      </c>
      <c r="L7" s="140">
        <v>8.4</v>
      </c>
      <c r="M7" s="136">
        <v>0</v>
      </c>
      <c r="N7" s="139" t="str">
        <f>TEXT(FY24_Temp[[#This Row],[Date_Simple]],"Ddd")</f>
        <v>Tue</v>
      </c>
      <c r="O7" s="141">
        <v>45475</v>
      </c>
      <c r="P7" s="139" t="str">
        <f>TEXT(FY24_Temp[[#This Row],[Old_Date]],"Ddd")</f>
        <v>Tue</v>
      </c>
      <c r="T7" t="str">
        <f>BypassWeeks[[#This Row],[Week No]]&amp;"_"&amp;TEXT(BypassWeeks[[#This Row],[Start Date]],"mm")&amp;TEXT(BypassWeeks[[#This Row],[Start Date]],"-dd")</f>
        <v>Week00_07-19</v>
      </c>
      <c r="U7" t="s">
        <v>446</v>
      </c>
      <c r="V7" s="100">
        <v>45857</v>
      </c>
      <c r="Y7" s="117" t="str">
        <f>TempDelta[[#This Row],[WeekNo]]&amp;"-"&amp;TempDelta[[#This Row],[HR]]</f>
        <v>0-3</v>
      </c>
      <c r="Z7">
        <v>0</v>
      </c>
      <c r="AA7">
        <v>3</v>
      </c>
      <c r="AB7" s="119">
        <v>3.0428571701049805</v>
      </c>
    </row>
    <row r="8" spans="1:29">
      <c r="A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25-07-Wkd-04</v>
      </c>
      <c r="B8" s="92">
        <v>45856.166666666664</v>
      </c>
      <c r="C8" s="130">
        <v>303.536</v>
      </c>
      <c r="D8" s="131">
        <v>50.954000000000001</v>
      </c>
      <c r="I8" s="135">
        <v>45840</v>
      </c>
      <c r="J8" s="136">
        <v>10.5</v>
      </c>
      <c r="K8" s="139">
        <v>12.8</v>
      </c>
      <c r="L8" s="140">
        <v>8.4</v>
      </c>
      <c r="M8" s="136">
        <v>0</v>
      </c>
      <c r="N8" s="139" t="str">
        <f>TEXT(FY24_Temp[[#This Row],[Date_Simple]],"Ddd")</f>
        <v>Wed</v>
      </c>
      <c r="O8" s="141">
        <v>45476</v>
      </c>
      <c r="P8" s="139" t="str">
        <f>TEXT(FY24_Temp[[#This Row],[Old_Date]],"Ddd")</f>
        <v>Wed</v>
      </c>
      <c r="T8" t="str">
        <f>BypassWeeks[[#This Row],[Week No]]&amp;"_"&amp;TEXT(BypassWeeks[[#This Row],[Start Date]],"mm")&amp;TEXT(BypassWeeks[[#This Row],[Start Date]],"-dd")</f>
        <v>Week00_07-26</v>
      </c>
      <c r="U8" t="s">
        <v>446</v>
      </c>
      <c r="V8" s="100">
        <v>45864</v>
      </c>
      <c r="Y8" s="117" t="str">
        <f>TempDelta[[#This Row],[WeekNo]]&amp;"-"&amp;TempDelta[[#This Row],[HR]]</f>
        <v>0-4</v>
      </c>
      <c r="Z8">
        <v>0</v>
      </c>
      <c r="AA8">
        <v>4</v>
      </c>
      <c r="AB8" s="119">
        <v>2.9580000468662808</v>
      </c>
    </row>
    <row r="9" spans="1:29">
      <c r="A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25-07-Wkd-05</v>
      </c>
      <c r="B9" s="92">
        <v>45856.208333333336</v>
      </c>
      <c r="C9" s="130">
        <v>303.536</v>
      </c>
      <c r="D9" s="131">
        <v>52.765999999999998</v>
      </c>
      <c r="I9" s="135">
        <v>45841</v>
      </c>
      <c r="J9" s="136">
        <v>10.5</v>
      </c>
      <c r="K9" s="139">
        <v>12.8</v>
      </c>
      <c r="L9" s="140">
        <v>8.4</v>
      </c>
      <c r="M9" s="136">
        <v>0</v>
      </c>
      <c r="N9" s="139" t="str">
        <f>TEXT(FY24_Temp[[#This Row],[Date_Simple]],"Ddd")</f>
        <v>Thu</v>
      </c>
      <c r="O9" s="141">
        <v>45477</v>
      </c>
      <c r="P9" s="139" t="str">
        <f>TEXT(FY24_Temp[[#This Row],[Old_Date]],"Ddd")</f>
        <v>Thu</v>
      </c>
      <c r="T9" t="str">
        <f>BypassWeeks[[#This Row],[Week No]]&amp;"_"&amp;TEXT(BypassWeeks[[#This Row],[Start Date]],"mm")&amp;TEXT(BypassWeeks[[#This Row],[Start Date]],"-dd")</f>
        <v>Week01_08-02</v>
      </c>
      <c r="U9" t="s">
        <v>434</v>
      </c>
      <c r="V9" s="100">
        <f t="shared" ref="V9:V20" si="0">V8+7</f>
        <v>45871</v>
      </c>
      <c r="Y9" s="117" t="str">
        <f>TempDelta[[#This Row],[WeekNo]]&amp;"-"&amp;TempDelta[[#This Row],[HR]]</f>
        <v>0-5</v>
      </c>
      <c r="Z9">
        <v>0</v>
      </c>
      <c r="AA9">
        <v>5</v>
      </c>
      <c r="AB9" s="119">
        <v>2.8608571801866804</v>
      </c>
    </row>
    <row r="10" spans="1:29">
      <c r="A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25-07-Wkd-06</v>
      </c>
      <c r="B10" s="92">
        <v>45856.25</v>
      </c>
      <c r="C10" s="130">
        <v>303.536</v>
      </c>
      <c r="D10" s="131">
        <v>93.960999999999999</v>
      </c>
      <c r="I10" s="135">
        <v>45842</v>
      </c>
      <c r="J10" s="136">
        <v>10.5</v>
      </c>
      <c r="K10" s="139">
        <v>12.8</v>
      </c>
      <c r="L10" s="140">
        <v>8.4</v>
      </c>
      <c r="M10" s="136">
        <v>0</v>
      </c>
      <c r="N10" s="139" t="str">
        <f>TEXT(FY24_Temp[[#This Row],[Date_Simple]],"Ddd")</f>
        <v>Fri</v>
      </c>
      <c r="O10" s="141">
        <v>45478</v>
      </c>
      <c r="P10" s="139" t="str">
        <f>TEXT(FY24_Temp[[#This Row],[Old_Date]],"Ddd")</f>
        <v>Fri</v>
      </c>
      <c r="T10" t="str">
        <f>BypassWeeks[[#This Row],[Week No]]&amp;"_"&amp;TEXT(BypassWeeks[[#This Row],[Start Date]],"mm")&amp;TEXT(BypassWeeks[[#This Row],[Start Date]],"-dd")</f>
        <v>Week02_08-09</v>
      </c>
      <c r="U10" t="s">
        <v>435</v>
      </c>
      <c r="V10" s="100">
        <f t="shared" si="0"/>
        <v>45878</v>
      </c>
      <c r="Y10" s="117" t="str">
        <f>TempDelta[[#This Row],[WeekNo]]&amp;"-"&amp;TempDelta[[#This Row],[HR]]</f>
        <v>0-6</v>
      </c>
      <c r="Z10">
        <v>0</v>
      </c>
      <c r="AA10">
        <v>6</v>
      </c>
      <c r="AB10" s="119">
        <v>2.7405714307512556</v>
      </c>
    </row>
    <row r="11" spans="1:29">
      <c r="A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25-07-Wkd-07</v>
      </c>
      <c r="B11" s="92">
        <v>45856.291666666664</v>
      </c>
      <c r="C11" s="130">
        <v>303.536</v>
      </c>
      <c r="D11" s="131">
        <v>79.301000000000002</v>
      </c>
      <c r="I11" s="135">
        <v>45843</v>
      </c>
      <c r="J11" s="136">
        <v>10.5</v>
      </c>
      <c r="K11" s="139">
        <v>12.8</v>
      </c>
      <c r="L11" s="140">
        <v>8.4</v>
      </c>
      <c r="M11" s="136">
        <v>0</v>
      </c>
      <c r="N11" s="139" t="str">
        <f>TEXT(FY24_Temp[[#This Row],[Date_Simple]],"Ddd")</f>
        <v>Sat</v>
      </c>
      <c r="O11" s="141">
        <v>45479</v>
      </c>
      <c r="P11" s="139" t="str">
        <f>TEXT(FY24_Temp[[#This Row],[Old_Date]],"Ddd")</f>
        <v>Sat</v>
      </c>
      <c r="T11" t="str">
        <f>BypassWeeks[[#This Row],[Week No]]&amp;"_"&amp;TEXT(BypassWeeks[[#This Row],[Start Date]],"mm")&amp;TEXT(BypassWeeks[[#This Row],[Start Date]],"-dd")</f>
        <v>Week03_08-16</v>
      </c>
      <c r="U11" t="s">
        <v>436</v>
      </c>
      <c r="V11" s="100">
        <f t="shared" si="0"/>
        <v>45885</v>
      </c>
      <c r="Y11" s="117" t="str">
        <f>TempDelta[[#This Row],[WeekNo]]&amp;"-"&amp;TempDelta[[#This Row],[HR]]</f>
        <v>0-7</v>
      </c>
      <c r="Z11">
        <v>0</v>
      </c>
      <c r="AA11">
        <v>7</v>
      </c>
      <c r="AB11" s="119">
        <v>2.6134285245622908</v>
      </c>
    </row>
    <row r="12" spans="1:29">
      <c r="A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25-07-Wkd-08</v>
      </c>
      <c r="B12" s="92">
        <v>45856.333333333336</v>
      </c>
      <c r="C12" s="130">
        <v>303.536</v>
      </c>
      <c r="D12" s="131">
        <v>63.335999999999999</v>
      </c>
      <c r="I12" s="135">
        <v>45844</v>
      </c>
      <c r="J12" s="136">
        <v>10.5</v>
      </c>
      <c r="K12" s="139">
        <v>12.8</v>
      </c>
      <c r="L12" s="140">
        <v>8.4</v>
      </c>
      <c r="M12" s="136">
        <v>0</v>
      </c>
      <c r="N12" s="139" t="str">
        <f>TEXT(FY24_Temp[[#This Row],[Date_Simple]],"Ddd")</f>
        <v>Sun</v>
      </c>
      <c r="O12" s="141">
        <v>45480</v>
      </c>
      <c r="P12" s="139" t="str">
        <f>TEXT(FY24_Temp[[#This Row],[Old_Date]],"Ddd")</f>
        <v>Sun</v>
      </c>
      <c r="T12" t="str">
        <f>BypassWeeks[[#This Row],[Week No]]&amp;"_"&amp;TEXT(BypassWeeks[[#This Row],[Start Date]],"mm")&amp;TEXT(BypassWeeks[[#This Row],[Start Date]],"-dd")</f>
        <v>Week04_08-23</v>
      </c>
      <c r="U12" t="s">
        <v>437</v>
      </c>
      <c r="V12" s="100">
        <f t="shared" si="0"/>
        <v>45892</v>
      </c>
      <c r="Y12" s="117" t="str">
        <f>TempDelta[[#This Row],[WeekNo]]&amp;"-"&amp;TempDelta[[#This Row],[HR]]</f>
        <v>0-8</v>
      </c>
      <c r="Z12">
        <v>0</v>
      </c>
      <c r="AA12">
        <v>8</v>
      </c>
      <c r="AB12" s="119">
        <v>2.44985716683524</v>
      </c>
    </row>
    <row r="13" spans="1:29">
      <c r="A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25-07-Wkd-09</v>
      </c>
      <c r="B13" s="92">
        <v>45856.375</v>
      </c>
      <c r="C13" s="130">
        <v>303.536</v>
      </c>
      <c r="D13" s="131">
        <v>51.085999999999999</v>
      </c>
      <c r="I13" s="135">
        <v>45845</v>
      </c>
      <c r="J13" s="136">
        <v>10.5</v>
      </c>
      <c r="K13" s="139">
        <v>12.8</v>
      </c>
      <c r="L13" s="140">
        <v>8.4</v>
      </c>
      <c r="M13" s="136">
        <v>0</v>
      </c>
      <c r="N13" s="139" t="str">
        <f>TEXT(FY24_Temp[[#This Row],[Date_Simple]],"Ddd")</f>
        <v>Mon</v>
      </c>
      <c r="O13" s="141">
        <v>45481</v>
      </c>
      <c r="P13" s="139" t="str">
        <f>TEXT(FY24_Temp[[#This Row],[Old_Date]],"Ddd")</f>
        <v>Mon</v>
      </c>
      <c r="T13" t="str">
        <f>BypassWeeks[[#This Row],[Week No]]&amp;"_"&amp;TEXT(BypassWeeks[[#This Row],[Start Date]],"mm")&amp;TEXT(BypassWeeks[[#This Row],[Start Date]],"-dd")</f>
        <v>Week05_08-30</v>
      </c>
      <c r="U13" t="s">
        <v>438</v>
      </c>
      <c r="V13" s="100">
        <f t="shared" si="0"/>
        <v>45899</v>
      </c>
      <c r="Y13" s="117" t="str">
        <f>TempDelta[[#This Row],[WeekNo]]&amp;"-"&amp;TempDelta[[#This Row],[HR]]</f>
        <v>0-9</v>
      </c>
      <c r="Z13">
        <v>0</v>
      </c>
      <c r="AA13">
        <v>9</v>
      </c>
      <c r="AB13" s="119">
        <v>2.2458571025303433</v>
      </c>
    </row>
    <row r="14" spans="1:29">
      <c r="A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25-07-Wkd-10</v>
      </c>
      <c r="B14" s="92">
        <v>45856.416666666664</v>
      </c>
      <c r="C14" s="130">
        <v>303.536</v>
      </c>
      <c r="D14" s="131">
        <v>48.877000000000002</v>
      </c>
      <c r="I14" s="135">
        <v>45846</v>
      </c>
      <c r="J14" s="139">
        <v>10.5</v>
      </c>
      <c r="K14" s="139">
        <v>12.8</v>
      </c>
      <c r="L14" s="140">
        <v>8.4</v>
      </c>
      <c r="M14" s="139">
        <v>0</v>
      </c>
      <c r="N14" s="139" t="str">
        <f>TEXT(FY24_Temp[[#This Row],[Date_Simple]],"Ddd")</f>
        <v>Tue</v>
      </c>
      <c r="O14" s="141">
        <v>45482</v>
      </c>
      <c r="P14" s="139" t="str">
        <f>TEXT(FY24_Temp[[#This Row],[Old_Date]],"Ddd")</f>
        <v>Tue</v>
      </c>
      <c r="T14" t="str">
        <f>BypassWeeks[[#This Row],[Week No]]&amp;"_"&amp;TEXT(BypassWeeks[[#This Row],[Start Date]],"mm")&amp;TEXT(BypassWeeks[[#This Row],[Start Date]],"-dd")</f>
        <v>Week06_09-06</v>
      </c>
      <c r="U14" t="s">
        <v>439</v>
      </c>
      <c r="V14" s="100">
        <f t="shared" si="0"/>
        <v>45906</v>
      </c>
      <c r="Y14" s="117" t="str">
        <f>TempDelta[[#This Row],[WeekNo]]&amp;"-"&amp;TempDelta[[#This Row],[HR]]</f>
        <v>0-10</v>
      </c>
      <c r="Z14">
        <v>0</v>
      </c>
      <c r="AA14">
        <v>10</v>
      </c>
      <c r="AB14" s="119">
        <v>2.0832857234137401</v>
      </c>
    </row>
    <row r="15" spans="1:29">
      <c r="A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25-07-Wkd-11</v>
      </c>
      <c r="B15" s="92">
        <v>45856.458333333336</v>
      </c>
      <c r="C15" s="130">
        <v>303.536</v>
      </c>
      <c r="D15" s="131">
        <v>47.103999999999999</v>
      </c>
      <c r="I15" s="135">
        <v>45847</v>
      </c>
      <c r="J15" s="139">
        <v>10.5</v>
      </c>
      <c r="K15" s="139">
        <v>12.8</v>
      </c>
      <c r="L15" s="140">
        <v>8.4</v>
      </c>
      <c r="M15" s="139">
        <v>0</v>
      </c>
      <c r="N15" s="139" t="str">
        <f>TEXT(FY24_Temp[[#This Row],[Date_Simple]],"Ddd")</f>
        <v>Wed</v>
      </c>
      <c r="O15" s="141">
        <v>45483</v>
      </c>
      <c r="P15" s="139" t="str">
        <f>TEXT(FY24_Temp[[#This Row],[Old_Date]],"Ddd")</f>
        <v>Wed</v>
      </c>
      <c r="T15" t="str">
        <f>BypassWeeks[[#This Row],[Week No]]&amp;"_"&amp;TEXT(BypassWeeks[[#This Row],[Start Date]],"mm")&amp;TEXT(BypassWeeks[[#This Row],[Start Date]],"-dd")</f>
        <v>Week07_09-13</v>
      </c>
      <c r="U15" t="s">
        <v>440</v>
      </c>
      <c r="V15" s="100">
        <f t="shared" si="0"/>
        <v>45913</v>
      </c>
      <c r="Y15" s="117" t="str">
        <f>TempDelta[[#This Row],[WeekNo]]&amp;"-"&amp;TempDelta[[#This Row],[HR]]</f>
        <v>0-11</v>
      </c>
      <c r="Z15">
        <v>0</v>
      </c>
      <c r="AA15">
        <v>11</v>
      </c>
      <c r="AB15" s="119">
        <v>1.8928571258272444</v>
      </c>
    </row>
    <row r="16" spans="1:29">
      <c r="A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25-07-Wkd-12</v>
      </c>
      <c r="B16" s="92">
        <v>45856.5</v>
      </c>
      <c r="C16" s="130">
        <v>303.536</v>
      </c>
      <c r="D16" s="131">
        <v>49.77</v>
      </c>
      <c r="I16" s="135">
        <v>45848</v>
      </c>
      <c r="J16" s="139">
        <v>10.5</v>
      </c>
      <c r="K16" s="139">
        <v>12.8</v>
      </c>
      <c r="L16" s="140">
        <v>8.4</v>
      </c>
      <c r="M16" s="139">
        <v>0</v>
      </c>
      <c r="N16" s="139" t="str">
        <f>TEXT(FY24_Temp[[#This Row],[Date_Simple]],"Ddd")</f>
        <v>Thu</v>
      </c>
      <c r="O16" s="141">
        <v>45484</v>
      </c>
      <c r="P16" s="139" t="str">
        <f>TEXT(FY24_Temp[[#This Row],[Old_Date]],"Ddd")</f>
        <v>Thu</v>
      </c>
      <c r="T16" t="str">
        <f>BypassWeeks[[#This Row],[Week No]]&amp;"_"&amp;TEXT(BypassWeeks[[#This Row],[Start Date]],"mm")&amp;TEXT(BypassWeeks[[#This Row],[Start Date]],"-dd")</f>
        <v>Week08_09-20</v>
      </c>
      <c r="U16" t="s">
        <v>441</v>
      </c>
      <c r="V16" s="100">
        <f t="shared" si="0"/>
        <v>45920</v>
      </c>
      <c r="Y16" s="117" t="str">
        <f>TempDelta[[#This Row],[WeekNo]]&amp;"-"&amp;TempDelta[[#This Row],[HR]]</f>
        <v>0-12</v>
      </c>
      <c r="Z16">
        <v>0</v>
      </c>
      <c r="AA16">
        <v>12</v>
      </c>
      <c r="AB16" s="119">
        <v>1.665857127734593</v>
      </c>
    </row>
    <row r="17" spans="1:28">
      <c r="A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25-07-Wkd-13</v>
      </c>
      <c r="B17" s="92">
        <v>45856.541666666664</v>
      </c>
      <c r="C17" s="130">
        <v>303.536</v>
      </c>
      <c r="D17" s="131">
        <v>59.18</v>
      </c>
      <c r="I17" s="135">
        <v>45849</v>
      </c>
      <c r="J17" s="139">
        <v>10.5</v>
      </c>
      <c r="K17" s="139">
        <v>12.8</v>
      </c>
      <c r="L17" s="140">
        <v>8.4</v>
      </c>
      <c r="M17" s="139">
        <v>0</v>
      </c>
      <c r="N17" s="139" t="str">
        <f>TEXT(FY24_Temp[[#This Row],[Date_Simple]],"Ddd")</f>
        <v>Fri</v>
      </c>
      <c r="O17" s="141">
        <v>45485</v>
      </c>
      <c r="P17" s="139" t="str">
        <f>TEXT(FY24_Temp[[#This Row],[Old_Date]],"Ddd")</f>
        <v>Fri</v>
      </c>
      <c r="T17" t="str">
        <f>BypassWeeks[[#This Row],[Week No]]&amp;"_"&amp;TEXT(BypassWeeks[[#This Row],[Start Date]],"mm")&amp;TEXT(BypassWeeks[[#This Row],[Start Date]],"-dd")</f>
        <v>Week09_09-27</v>
      </c>
      <c r="U17" t="s">
        <v>442</v>
      </c>
      <c r="V17" s="100">
        <f t="shared" si="0"/>
        <v>45927</v>
      </c>
      <c r="Y17" s="117" t="str">
        <f>TempDelta[[#This Row],[WeekNo]]&amp;"-"&amp;TempDelta[[#This Row],[HR]]</f>
        <v>0-13</v>
      </c>
      <c r="Z17">
        <v>0</v>
      </c>
      <c r="AA17">
        <v>13</v>
      </c>
      <c r="AB17" s="119">
        <v>1.4252856969833374</v>
      </c>
    </row>
    <row r="18" spans="1:28">
      <c r="A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25-07-Wkd-14</v>
      </c>
      <c r="B18" s="92">
        <v>45856.583333333336</v>
      </c>
      <c r="C18" s="130">
        <v>405.72399999999999</v>
      </c>
      <c r="D18" s="131">
        <v>72.688999999999993</v>
      </c>
      <c r="I18" s="135">
        <v>45850</v>
      </c>
      <c r="J18" s="139">
        <v>10.5</v>
      </c>
      <c r="K18" s="139">
        <v>12.8</v>
      </c>
      <c r="L18" s="140">
        <v>8.4</v>
      </c>
      <c r="M18" s="139">
        <v>0</v>
      </c>
      <c r="N18" s="139" t="str">
        <f>TEXT(FY24_Temp[[#This Row],[Date_Simple]],"Ddd")</f>
        <v>Sat</v>
      </c>
      <c r="O18" s="141">
        <v>45486</v>
      </c>
      <c r="P18" s="139" t="str">
        <f>TEXT(FY24_Temp[[#This Row],[Old_Date]],"Ddd")</f>
        <v>Sat</v>
      </c>
      <c r="T18" t="str">
        <f>BypassWeeks[[#This Row],[Week No]]&amp;"_"&amp;TEXT(BypassWeeks[[#This Row],[Start Date]],"mm")&amp;TEXT(BypassWeeks[[#This Row],[Start Date]],"-dd")</f>
        <v>Week10_10-04</v>
      </c>
      <c r="U18" t="s">
        <v>443</v>
      </c>
      <c r="V18" s="100">
        <f t="shared" si="0"/>
        <v>45934</v>
      </c>
      <c r="Y18" s="117" t="str">
        <f>TempDelta[[#This Row],[WeekNo]]&amp;"-"&amp;TempDelta[[#This Row],[HR]]</f>
        <v>0-14</v>
      </c>
      <c r="Z18">
        <v>0</v>
      </c>
      <c r="AA18">
        <v>14</v>
      </c>
      <c r="AB18" s="119">
        <v>1.2351428781236922</v>
      </c>
    </row>
    <row r="19" spans="1:28">
      <c r="A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25-07-Wkd-15</v>
      </c>
      <c r="B19" s="92">
        <v>45856.625</v>
      </c>
      <c r="C19" s="130">
        <v>537.58000000000004</v>
      </c>
      <c r="D19" s="131">
        <v>85.55</v>
      </c>
      <c r="I19" s="135">
        <v>45851</v>
      </c>
      <c r="J19" s="139">
        <v>10</v>
      </c>
      <c r="K19" s="139">
        <v>12.8</v>
      </c>
      <c r="L19" s="140">
        <v>8.4</v>
      </c>
      <c r="M19" s="139">
        <v>0</v>
      </c>
      <c r="N19" s="139" t="str">
        <f>TEXT(FY24_Temp[[#This Row],[Date_Simple]],"Ddd")</f>
        <v>Sun</v>
      </c>
      <c r="O19" s="141">
        <v>45487</v>
      </c>
      <c r="P19" s="139" t="str">
        <f>TEXT(FY24_Temp[[#This Row],[Old_Date]],"Ddd")</f>
        <v>Sun</v>
      </c>
      <c r="T19" t="str">
        <f>BypassWeeks[[#This Row],[Week No]]&amp;"_"&amp;TEXT(BypassWeeks[[#This Row],[Start Date]],"mm")&amp;TEXT(BypassWeeks[[#This Row],[Start Date]],"-dd")</f>
        <v>Week11_10-11</v>
      </c>
      <c r="U19" t="s">
        <v>444</v>
      </c>
      <c r="V19" s="100">
        <f t="shared" si="0"/>
        <v>45941</v>
      </c>
      <c r="Y19" s="117" t="str">
        <f>TempDelta[[#This Row],[WeekNo]]&amp;"-"&amp;TempDelta[[#This Row],[HR]]</f>
        <v>0-15</v>
      </c>
      <c r="Z19">
        <v>0</v>
      </c>
      <c r="AA19">
        <v>15</v>
      </c>
      <c r="AB19" s="119">
        <v>0.97514284508568905</v>
      </c>
    </row>
    <row r="20" spans="1:28">
      <c r="A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25-07-Wkd-16</v>
      </c>
      <c r="B20" s="92">
        <v>45856.666666666664</v>
      </c>
      <c r="C20" s="130">
        <v>537.58000000000004</v>
      </c>
      <c r="D20" s="131">
        <v>102.501</v>
      </c>
      <c r="I20" s="135">
        <v>45852</v>
      </c>
      <c r="J20" s="139">
        <v>10</v>
      </c>
      <c r="K20" s="139">
        <v>12.8</v>
      </c>
      <c r="L20" s="140">
        <v>8.4</v>
      </c>
      <c r="M20" s="139">
        <v>0</v>
      </c>
      <c r="N20" s="139" t="str">
        <f>TEXT(FY24_Temp[[#This Row],[Date_Simple]],"Ddd")</f>
        <v>Mon</v>
      </c>
      <c r="O20" s="141">
        <v>45488</v>
      </c>
      <c r="P20" s="139" t="str">
        <f>TEXT(FY24_Temp[[#This Row],[Old_Date]],"Ddd")</f>
        <v>Mon</v>
      </c>
      <c r="T20" t="str">
        <f>BypassWeeks[[#This Row],[Week No]]&amp;"_"&amp;TEXT(BypassWeeks[[#This Row],[Start Date]],"mm")&amp;TEXT(BypassWeeks[[#This Row],[Start Date]],"-dd")</f>
        <v>Week12_10-18</v>
      </c>
      <c r="U20" t="s">
        <v>445</v>
      </c>
      <c r="V20" s="100">
        <f t="shared" si="0"/>
        <v>45948</v>
      </c>
      <c r="Y20" s="117" t="str">
        <f>TempDelta[[#This Row],[WeekNo]]&amp;"-"&amp;TempDelta[[#This Row],[HR]]</f>
        <v>0-16</v>
      </c>
      <c r="Z20">
        <v>0</v>
      </c>
      <c r="AA20">
        <v>16</v>
      </c>
      <c r="AB20" s="119">
        <v>0.88578571166310993</v>
      </c>
    </row>
    <row r="21" spans="1:28">
      <c r="A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25-07-Wkd-17</v>
      </c>
      <c r="B21" s="92">
        <v>45856.708333333336</v>
      </c>
      <c r="C21" s="130">
        <v>537.58000000000004</v>
      </c>
      <c r="D21" s="131">
        <v>113.28100000000001</v>
      </c>
      <c r="I21" s="135">
        <v>45853</v>
      </c>
      <c r="J21" s="139">
        <v>10</v>
      </c>
      <c r="K21" s="139">
        <v>12.8</v>
      </c>
      <c r="L21" s="140">
        <v>8.4</v>
      </c>
      <c r="M21" s="139">
        <v>0</v>
      </c>
      <c r="N21" s="139" t="str">
        <f>TEXT(FY24_Temp[[#This Row],[Date_Simple]],"Ddd")</f>
        <v>Tue</v>
      </c>
      <c r="O21" s="141">
        <v>45489</v>
      </c>
      <c r="P21" s="139" t="str">
        <f>TEXT(FY24_Temp[[#This Row],[Old_Date]],"Ddd")</f>
        <v>Tue</v>
      </c>
      <c r="T21" t="str">
        <f>BypassWeeks[[#This Row],[Week No]]&amp;"_"&amp;TEXT(BypassWeeks[[#This Row],[Start Date]],"mm")&amp;TEXT(BypassWeeks[[#This Row],[Start Date]],"-dd")</f>
        <v>TEST_08-23</v>
      </c>
      <c r="U21" t="s">
        <v>453</v>
      </c>
      <c r="V21" s="100">
        <v>45892</v>
      </c>
      <c r="Y21" s="117" t="str">
        <f>TempDelta[[#This Row],[WeekNo]]&amp;"-"&amp;TempDelta[[#This Row],[HR]]</f>
        <v>0-17</v>
      </c>
      <c r="Z21">
        <v>0</v>
      </c>
      <c r="AA21">
        <v>17</v>
      </c>
      <c r="AB21" s="119">
        <v>1.0356428495475225</v>
      </c>
    </row>
    <row r="22" spans="1:28">
      <c r="A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25-07-Wkd-18</v>
      </c>
      <c r="B22" s="92">
        <v>45856.75</v>
      </c>
      <c r="C22" s="130">
        <v>537.58000000000004</v>
      </c>
      <c r="D22" s="131">
        <v>121.649</v>
      </c>
      <c r="I22" s="135">
        <v>45854</v>
      </c>
      <c r="J22" s="139">
        <v>10</v>
      </c>
      <c r="K22" s="139">
        <v>12.8</v>
      </c>
      <c r="L22" s="140">
        <v>8.4</v>
      </c>
      <c r="M22" s="139">
        <v>0</v>
      </c>
      <c r="N22" s="139" t="str">
        <f>TEXT(FY24_Temp[[#This Row],[Date_Simple]],"Ddd")</f>
        <v>Wed</v>
      </c>
      <c r="O22" s="141">
        <v>45490</v>
      </c>
      <c r="P22" s="139" t="str">
        <f>TEXT(FY24_Temp[[#This Row],[Old_Date]],"Ddd")</f>
        <v>Wed</v>
      </c>
      <c r="Y22" s="117" t="str">
        <f>TempDelta[[#This Row],[WeekNo]]&amp;"-"&amp;TempDelta[[#This Row],[HR]]</f>
        <v>0-18</v>
      </c>
      <c r="Z22">
        <v>0</v>
      </c>
      <c r="AA22">
        <v>18</v>
      </c>
      <c r="AB22" s="119">
        <v>1.3991428358214242</v>
      </c>
    </row>
    <row r="23" spans="1:28">
      <c r="A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25-07-Wkd-19</v>
      </c>
      <c r="B23" s="92">
        <v>45856.791666666664</v>
      </c>
      <c r="C23" s="130">
        <v>537.58000000000004</v>
      </c>
      <c r="D23" s="131">
        <v>122.425</v>
      </c>
      <c r="I23" s="135">
        <v>45855</v>
      </c>
      <c r="J23" s="139">
        <v>10</v>
      </c>
      <c r="K23" s="139">
        <v>12.8</v>
      </c>
      <c r="L23" s="140">
        <v>8.4</v>
      </c>
      <c r="M23" s="139">
        <v>0</v>
      </c>
      <c r="N23" s="139" t="str">
        <f>TEXT(FY24_Temp[[#This Row],[Date_Simple]],"Ddd")</f>
        <v>Thu</v>
      </c>
      <c r="O23" s="141">
        <v>45491</v>
      </c>
      <c r="P23" s="139" t="str">
        <f>TEXT(FY24_Temp[[#This Row],[Old_Date]],"Ddd")</f>
        <v>Thu</v>
      </c>
      <c r="Y23" s="117" t="str">
        <f>TempDelta[[#This Row],[WeekNo]]&amp;"-"&amp;TempDelta[[#This Row],[HR]]</f>
        <v>0-19</v>
      </c>
      <c r="Z23">
        <v>0</v>
      </c>
      <c r="AA23">
        <v>19</v>
      </c>
      <c r="AB23" s="119">
        <v>1.8638571415628706</v>
      </c>
    </row>
    <row r="24" spans="1:28">
      <c r="A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25-07-Wkd-20</v>
      </c>
      <c r="B24" s="92">
        <v>45856.833333333336</v>
      </c>
      <c r="C24" s="130">
        <v>537.58000000000004</v>
      </c>
      <c r="D24" s="131">
        <v>122.393</v>
      </c>
      <c r="I24" s="135">
        <v>45856</v>
      </c>
      <c r="J24" s="139">
        <v>10</v>
      </c>
      <c r="K24" s="139">
        <v>12.8</v>
      </c>
      <c r="L24" s="140">
        <v>8.4</v>
      </c>
      <c r="M24" s="139">
        <v>0</v>
      </c>
      <c r="N24" s="139" t="str">
        <f>TEXT(FY24_Temp[[#This Row],[Date_Simple]],"Ddd")</f>
        <v>Fri</v>
      </c>
      <c r="O24" s="141">
        <v>45492</v>
      </c>
      <c r="P24" s="139" t="str">
        <f>TEXT(FY24_Temp[[#This Row],[Old_Date]],"Ddd")</f>
        <v>Fri</v>
      </c>
      <c r="Y24" s="117" t="str">
        <f>TempDelta[[#This Row],[WeekNo]]&amp;"-"&amp;TempDelta[[#This Row],[HR]]</f>
        <v>0-20</v>
      </c>
      <c r="Z24">
        <v>0</v>
      </c>
      <c r="AA24">
        <v>20</v>
      </c>
      <c r="AB24" s="119">
        <v>2.300714305468968</v>
      </c>
    </row>
    <row r="25" spans="1:28">
      <c r="A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25-07-Wkd-21</v>
      </c>
      <c r="B25" s="92">
        <v>45856.875</v>
      </c>
      <c r="C25" s="130">
        <v>537.58000000000004</v>
      </c>
      <c r="D25" s="131">
        <v>118.246</v>
      </c>
      <c r="I25" s="135">
        <v>45857</v>
      </c>
      <c r="J25" s="139">
        <v>10</v>
      </c>
      <c r="K25" s="139">
        <v>12.8</v>
      </c>
      <c r="L25" s="140">
        <v>8.4</v>
      </c>
      <c r="M25" s="139">
        <v>0</v>
      </c>
      <c r="N25" s="139" t="str">
        <f>TEXT(FY24_Temp[[#This Row],[Date_Simple]],"Ddd")</f>
        <v>Sat</v>
      </c>
      <c r="O25" s="141">
        <v>45493</v>
      </c>
      <c r="P25" s="139" t="str">
        <f>TEXT(FY24_Temp[[#This Row],[Old_Date]],"Ddd")</f>
        <v>Sat</v>
      </c>
      <c r="Y25" s="117" t="str">
        <f>TempDelta[[#This Row],[WeekNo]]&amp;"-"&amp;TempDelta[[#This Row],[HR]]</f>
        <v>0-21</v>
      </c>
      <c r="Z25">
        <v>0</v>
      </c>
      <c r="AA25">
        <v>21</v>
      </c>
      <c r="AB25" s="119">
        <v>2.554214222090585</v>
      </c>
    </row>
    <row r="26" spans="1:28">
      <c r="A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25-07-Wkd-22</v>
      </c>
      <c r="B26" s="92">
        <v>45856.916666666664</v>
      </c>
      <c r="C26" s="130">
        <v>455.17</v>
      </c>
      <c r="D26" s="131">
        <v>65.784999999999997</v>
      </c>
      <c r="I26" s="135">
        <v>45858</v>
      </c>
      <c r="J26" s="139">
        <v>10</v>
      </c>
      <c r="K26" s="139">
        <v>12.8</v>
      </c>
      <c r="L26" s="140">
        <v>8.4</v>
      </c>
      <c r="M26" s="139">
        <v>0</v>
      </c>
      <c r="N26" s="139" t="str">
        <f>TEXT(FY24_Temp[[#This Row],[Date_Simple]],"Ddd")</f>
        <v>Sun</v>
      </c>
      <c r="O26" s="141">
        <v>45494</v>
      </c>
      <c r="P26" s="139" t="str">
        <f>TEXT(FY24_Temp[[#This Row],[Old_Date]],"Ddd")</f>
        <v>Sun</v>
      </c>
      <c r="T26" s="90" t="s">
        <v>418</v>
      </c>
      <c r="U26" s="88" t="s">
        <v>417</v>
      </c>
      <c r="Y26" s="117" t="str">
        <f>TempDelta[[#This Row],[WeekNo]]&amp;"-"&amp;TempDelta[[#This Row],[HR]]</f>
        <v>0-22</v>
      </c>
      <c r="Z26">
        <v>0</v>
      </c>
      <c r="AA26">
        <v>22</v>
      </c>
      <c r="AB26" s="119">
        <v>2.7827142647334506</v>
      </c>
    </row>
    <row r="27" spans="1:28" ht="15.6">
      <c r="A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25-07-Wkd-23</v>
      </c>
      <c r="B27" s="92">
        <v>45856.958333333336</v>
      </c>
      <c r="C27" s="130">
        <v>372.76</v>
      </c>
      <c r="D27" s="131">
        <v>57.951000000000001</v>
      </c>
      <c r="I27" s="135">
        <v>45859</v>
      </c>
      <c r="J27" s="139">
        <v>10</v>
      </c>
      <c r="K27" s="139">
        <v>12.8</v>
      </c>
      <c r="L27" s="140">
        <v>8.4</v>
      </c>
      <c r="M27" s="139">
        <v>0</v>
      </c>
      <c r="N27" s="139" t="str">
        <f>TEXT(FY24_Temp[[#This Row],[Date_Simple]],"Ddd")</f>
        <v>Mon</v>
      </c>
      <c r="O27" s="141">
        <v>45495</v>
      </c>
      <c r="P27" s="139" t="str">
        <f>TEXT(FY24_Temp[[#This Row],[Old_Date]],"Ddd")</f>
        <v>Mon</v>
      </c>
      <c r="T27" s="89" t="s">
        <v>382</v>
      </c>
      <c r="U27" s="89" t="s">
        <v>383</v>
      </c>
      <c r="Y27" s="117" t="str">
        <f>TempDelta[[#This Row],[WeekNo]]&amp;"-"&amp;TempDelta[[#This Row],[HR]]</f>
        <v>0-23</v>
      </c>
      <c r="Z27">
        <v>0</v>
      </c>
      <c r="AA27">
        <v>23</v>
      </c>
      <c r="AB27" s="119">
        <v>2.8792857101985385</v>
      </c>
    </row>
    <row r="28" spans="1:28" ht="15.6">
      <c r="A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25-07-Sat-00</v>
      </c>
      <c r="B28" s="92">
        <v>45857</v>
      </c>
      <c r="C28" s="130">
        <v>303.536</v>
      </c>
      <c r="D28" s="131">
        <v>49.581000000000003</v>
      </c>
      <c r="I28" s="135">
        <v>45860</v>
      </c>
      <c r="J28" s="139">
        <v>10</v>
      </c>
      <c r="K28" s="139">
        <v>12.8</v>
      </c>
      <c r="L28" s="140">
        <v>8.4</v>
      </c>
      <c r="M28" s="139">
        <v>0</v>
      </c>
      <c r="N28" s="139" t="str">
        <f>TEXT(FY24_Temp[[#This Row],[Date_Simple]],"Ddd")</f>
        <v>Tue</v>
      </c>
      <c r="O28" s="141">
        <v>45496</v>
      </c>
      <c r="P28" s="139" t="str">
        <f>TEXT(FY24_Temp[[#This Row],[Old_Date]],"Ddd")</f>
        <v>Tue</v>
      </c>
      <c r="T28" s="89" t="s">
        <v>384</v>
      </c>
      <c r="U28" s="89" t="s">
        <v>385</v>
      </c>
      <c r="X28" s="156">
        <v>45871</v>
      </c>
      <c r="Y28" s="157" t="str">
        <f>TempDelta[[#This Row],[WeekNo]]&amp;"-"&amp;TempDelta[[#This Row],[HR]]</f>
        <v>1-0</v>
      </c>
      <c r="Z28" s="158">
        <f>Z4+1</f>
        <v>1</v>
      </c>
      <c r="AA28" s="158">
        <v>0</v>
      </c>
      <c r="AB28" s="158">
        <v>2.6947143077850342</v>
      </c>
    </row>
    <row r="29" spans="1:28" ht="15.6">
      <c r="A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25-07-Sat-01</v>
      </c>
      <c r="B29" s="92">
        <v>45857.041666666664</v>
      </c>
      <c r="C29" s="130">
        <v>303.536</v>
      </c>
      <c r="D29" s="131">
        <v>49.042000000000002</v>
      </c>
      <c r="I29" s="135">
        <v>45861</v>
      </c>
      <c r="J29" s="139">
        <v>10</v>
      </c>
      <c r="K29" s="139">
        <v>12.8</v>
      </c>
      <c r="L29" s="140">
        <v>8.4</v>
      </c>
      <c r="M29" s="139">
        <v>0</v>
      </c>
      <c r="N29" s="139" t="str">
        <f>TEXT(FY24_Temp[[#This Row],[Date_Simple]],"Ddd")</f>
        <v>Wed</v>
      </c>
      <c r="O29" s="141">
        <v>45497</v>
      </c>
      <c r="P29" s="139" t="str">
        <f>TEXT(FY24_Temp[[#This Row],[Old_Date]],"Ddd")</f>
        <v>Wed</v>
      </c>
      <c r="T29" s="89" t="s">
        <v>386</v>
      </c>
      <c r="U29" s="89" t="s">
        <v>387</v>
      </c>
      <c r="Y29" s="117" t="str">
        <f>TempDelta[[#This Row],[WeekNo]]&amp;"-"&amp;TempDelta[[#This Row],[HR]]</f>
        <v>1-1</v>
      </c>
      <c r="Z29">
        <f t="shared" ref="Z29:Z92" si="1">Z5+1</f>
        <v>1</v>
      </c>
      <c r="AA29">
        <v>1</v>
      </c>
      <c r="AB29">
        <v>2.746142796107701</v>
      </c>
    </row>
    <row r="30" spans="1:28" ht="15.6">
      <c r="A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25-07-Sat-02</v>
      </c>
      <c r="B30" s="92">
        <v>45857.083333333336</v>
      </c>
      <c r="C30" s="130">
        <v>303.536</v>
      </c>
      <c r="D30" s="131">
        <v>49.152999999999999</v>
      </c>
      <c r="I30" s="135">
        <v>45862</v>
      </c>
      <c r="J30" s="139">
        <v>10</v>
      </c>
      <c r="K30" s="139">
        <v>12.8</v>
      </c>
      <c r="L30" s="140">
        <v>8.4</v>
      </c>
      <c r="M30" s="139">
        <v>0</v>
      </c>
      <c r="N30" s="139" t="str">
        <f>TEXT(FY24_Temp[[#This Row],[Date_Simple]],"Ddd")</f>
        <v>Thu</v>
      </c>
      <c r="O30" s="141">
        <v>45498</v>
      </c>
      <c r="P30" s="139" t="str">
        <f>TEXT(FY24_Temp[[#This Row],[Old_Date]],"Ddd")</f>
        <v>Thu</v>
      </c>
      <c r="T30" s="89" t="s">
        <v>388</v>
      </c>
      <c r="U30" s="89" t="s">
        <v>389</v>
      </c>
      <c r="Y30" s="117" t="str">
        <f>TempDelta[[#This Row],[WeekNo]]&amp;"-"&amp;TempDelta[[#This Row],[HR]]</f>
        <v>1-2</v>
      </c>
      <c r="Z30">
        <f t="shared" si="1"/>
        <v>1</v>
      </c>
      <c r="AA30">
        <v>2</v>
      </c>
      <c r="AB30">
        <v>2.7678571428571428</v>
      </c>
    </row>
    <row r="31" spans="1:28" ht="15.6">
      <c r="A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25-07-Sat-03</v>
      </c>
      <c r="B31" s="92">
        <v>45857.125</v>
      </c>
      <c r="C31" s="130">
        <v>303.536</v>
      </c>
      <c r="D31" s="131">
        <v>49.261000000000003</v>
      </c>
      <c r="I31" s="135">
        <v>45863</v>
      </c>
      <c r="J31" s="139">
        <v>10</v>
      </c>
      <c r="K31" s="139">
        <v>12.8</v>
      </c>
      <c r="L31" s="140">
        <v>8.4</v>
      </c>
      <c r="M31" s="139">
        <v>0</v>
      </c>
      <c r="N31" s="139" t="str">
        <f>TEXT(FY24_Temp[[#This Row],[Date_Simple]],"Ddd")</f>
        <v>Fri</v>
      </c>
      <c r="O31" s="141">
        <v>45499</v>
      </c>
      <c r="P31" s="139" t="str">
        <f>TEXT(FY24_Temp[[#This Row],[Old_Date]],"Ddd")</f>
        <v>Fri</v>
      </c>
      <c r="T31" s="89" t="s">
        <v>390</v>
      </c>
      <c r="U31" s="89" t="s">
        <v>391</v>
      </c>
      <c r="Y31" s="117" t="str">
        <f>TempDelta[[#This Row],[WeekNo]]&amp;"-"&amp;TempDelta[[#This Row],[HR]]</f>
        <v>1-3</v>
      </c>
      <c r="Z31">
        <f t="shared" si="1"/>
        <v>1</v>
      </c>
      <c r="AA31">
        <v>3</v>
      </c>
      <c r="AB31">
        <v>2.7691428320748463</v>
      </c>
    </row>
    <row r="32" spans="1:28" ht="15.6">
      <c r="A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25-07-Sat-04</v>
      </c>
      <c r="B32" s="92">
        <v>45857.166666666664</v>
      </c>
      <c r="C32" s="130">
        <v>303.536</v>
      </c>
      <c r="D32" s="131">
        <v>49.161999999999999</v>
      </c>
      <c r="I32" s="144">
        <v>45864</v>
      </c>
      <c r="J32" s="145">
        <v>10</v>
      </c>
      <c r="K32" s="145">
        <v>13.5</v>
      </c>
      <c r="L32" s="146">
        <v>8</v>
      </c>
      <c r="M32" s="145">
        <v>0</v>
      </c>
      <c r="N32" s="145" t="str">
        <f>TEXT(FY24_Temp[[#This Row],[Date_Simple]],"Ddd")</f>
        <v>Sat</v>
      </c>
      <c r="O32" s="147">
        <v>45500</v>
      </c>
      <c r="P32" s="145" t="str">
        <f>TEXT(FY24_Temp[[#This Row],[Old_Date]],"Ddd")</f>
        <v>Sat</v>
      </c>
      <c r="T32" s="89" t="s">
        <v>392</v>
      </c>
      <c r="U32" s="89" t="s">
        <v>393</v>
      </c>
      <c r="Y32" s="117" t="str">
        <f>TempDelta[[#This Row],[WeekNo]]&amp;"-"&amp;TempDelta[[#This Row],[HR]]</f>
        <v>1-4</v>
      </c>
      <c r="Z32">
        <f t="shared" si="1"/>
        <v>1</v>
      </c>
      <c r="AA32">
        <v>4</v>
      </c>
      <c r="AB32">
        <v>2.7731428486960277</v>
      </c>
    </row>
    <row r="33" spans="1:28" ht="15.6">
      <c r="A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25-07-Sat-05</v>
      </c>
      <c r="B33" s="92">
        <v>45857.208333333336</v>
      </c>
      <c r="C33" s="130">
        <v>303.536</v>
      </c>
      <c r="D33" s="131">
        <v>49.518999999999998</v>
      </c>
      <c r="I33" s="144">
        <v>45865</v>
      </c>
      <c r="J33" s="145">
        <v>10</v>
      </c>
      <c r="K33" s="145">
        <v>13.5</v>
      </c>
      <c r="L33" s="146">
        <v>8</v>
      </c>
      <c r="M33" s="145">
        <v>0</v>
      </c>
      <c r="N33" s="145" t="str">
        <f>TEXT(FY24_Temp[[#This Row],[Date_Simple]],"Ddd")</f>
        <v>Sun</v>
      </c>
      <c r="O33" s="147">
        <v>45501</v>
      </c>
      <c r="P33" s="145" t="str">
        <f>TEXT(FY24_Temp[[#This Row],[Old_Date]],"Ddd")</f>
        <v>Sun</v>
      </c>
      <c r="T33" s="89" t="s">
        <v>394</v>
      </c>
      <c r="U33" s="89" t="s">
        <v>395</v>
      </c>
      <c r="Y33" s="117" t="str">
        <f>TempDelta[[#This Row],[WeekNo]]&amp;"-"&amp;TempDelta[[#This Row],[HR]]</f>
        <v>1-5</v>
      </c>
      <c r="Z33">
        <f t="shared" si="1"/>
        <v>1</v>
      </c>
      <c r="AA33">
        <v>5</v>
      </c>
      <c r="AB33">
        <v>2.8117143426622664</v>
      </c>
    </row>
    <row r="34" spans="1:28" ht="15.6">
      <c r="A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25-07-Sat-06</v>
      </c>
      <c r="B34" s="92">
        <v>45857.25</v>
      </c>
      <c r="C34" s="130">
        <v>303.536</v>
      </c>
      <c r="D34" s="131">
        <v>78.53</v>
      </c>
      <c r="I34" s="144">
        <v>45866</v>
      </c>
      <c r="J34" s="145">
        <v>10</v>
      </c>
      <c r="K34" s="145">
        <v>13.5</v>
      </c>
      <c r="L34" s="146">
        <v>8</v>
      </c>
      <c r="M34" s="145">
        <v>0</v>
      </c>
      <c r="N34" s="145" t="str">
        <f>TEXT(FY24_Temp[[#This Row],[Date_Simple]],"Ddd")</f>
        <v>Mon</v>
      </c>
      <c r="O34" s="147">
        <v>45502</v>
      </c>
      <c r="P34" s="145" t="str">
        <f>TEXT(FY24_Temp[[#This Row],[Old_Date]],"Ddd")</f>
        <v>Mon</v>
      </c>
      <c r="T34" s="89" t="s">
        <v>396</v>
      </c>
      <c r="U34" s="89" t="s">
        <v>397</v>
      </c>
      <c r="Y34" s="117" t="str">
        <f>TempDelta[[#This Row],[WeekNo]]&amp;"-"&amp;TempDelta[[#This Row],[HR]]</f>
        <v>1-6</v>
      </c>
      <c r="Z34">
        <f t="shared" si="1"/>
        <v>1</v>
      </c>
      <c r="AA34">
        <v>6</v>
      </c>
      <c r="AB34">
        <v>2.8184285845075334</v>
      </c>
    </row>
    <row r="35" spans="1:28" ht="15.6">
      <c r="A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25-07-Sat-07</v>
      </c>
      <c r="B35" s="92">
        <v>45857.291666666664</v>
      </c>
      <c r="C35" s="130">
        <v>303.536</v>
      </c>
      <c r="D35" s="131">
        <v>71.353999999999999</v>
      </c>
      <c r="I35" s="144">
        <v>45867</v>
      </c>
      <c r="J35" s="145">
        <v>10</v>
      </c>
      <c r="K35" s="145">
        <v>13.5</v>
      </c>
      <c r="L35" s="146">
        <v>8</v>
      </c>
      <c r="M35" s="145">
        <v>0</v>
      </c>
      <c r="N35" s="145" t="str">
        <f>TEXT(FY24_Temp[[#This Row],[Date_Simple]],"Ddd")</f>
        <v>Tue</v>
      </c>
      <c r="O35" s="147">
        <v>45503</v>
      </c>
      <c r="P35" s="145" t="str">
        <f>TEXT(FY24_Temp[[#This Row],[Old_Date]],"Ddd")</f>
        <v>Tue</v>
      </c>
      <c r="T35" s="91" t="s">
        <v>398</v>
      </c>
      <c r="U35" s="91" t="s">
        <v>399</v>
      </c>
      <c r="Y35" s="117" t="str">
        <f>TempDelta[[#This Row],[WeekNo]]&amp;"-"&amp;TempDelta[[#This Row],[HR]]</f>
        <v>1-7</v>
      </c>
      <c r="Z35">
        <f t="shared" si="1"/>
        <v>1</v>
      </c>
      <c r="AA35">
        <v>7</v>
      </c>
      <c r="AB35">
        <v>2.7782857418060303</v>
      </c>
    </row>
    <row r="36" spans="1:28" ht="15.6">
      <c r="A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25-07-Sat-08</v>
      </c>
      <c r="B36" s="92">
        <v>45857.333333333336</v>
      </c>
      <c r="C36" s="130">
        <v>303.536</v>
      </c>
      <c r="D36" s="131">
        <v>56.476999999999997</v>
      </c>
      <c r="I36" s="144">
        <v>45868</v>
      </c>
      <c r="J36" s="145">
        <v>10</v>
      </c>
      <c r="K36" s="145">
        <v>13.5</v>
      </c>
      <c r="L36" s="146">
        <v>8</v>
      </c>
      <c r="M36" s="145">
        <v>0</v>
      </c>
      <c r="N36" s="145" t="str">
        <f>TEXT(FY24_Temp[[#This Row],[Date_Simple]],"Ddd")</f>
        <v>Wed</v>
      </c>
      <c r="O36" s="147">
        <v>45504</v>
      </c>
      <c r="P36" s="145" t="str">
        <f>TEXT(FY24_Temp[[#This Row],[Old_Date]],"Ddd")</f>
        <v>Wed</v>
      </c>
      <c r="T36" s="91" t="s">
        <v>400</v>
      </c>
      <c r="U36" s="91" t="s">
        <v>401</v>
      </c>
      <c r="Y36" s="117" t="str">
        <f>TempDelta[[#This Row],[WeekNo]]&amp;"-"&amp;TempDelta[[#This Row],[HR]]</f>
        <v>1-8</v>
      </c>
      <c r="Z36">
        <f t="shared" si="1"/>
        <v>1</v>
      </c>
      <c r="AA36">
        <v>8</v>
      </c>
      <c r="AB36">
        <v>2.6682857104710171</v>
      </c>
    </row>
    <row r="37" spans="1:28" ht="15.6">
      <c r="A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25-07-Sat-09</v>
      </c>
      <c r="B37" s="92">
        <v>45857.375</v>
      </c>
      <c r="C37" s="130">
        <v>303.536</v>
      </c>
      <c r="D37" s="131">
        <v>47.485999999999997</v>
      </c>
      <c r="I37" s="144">
        <v>45869</v>
      </c>
      <c r="J37" s="145">
        <v>10</v>
      </c>
      <c r="K37" s="145">
        <v>13.5</v>
      </c>
      <c r="L37" s="146">
        <v>8</v>
      </c>
      <c r="M37" s="145">
        <v>0</v>
      </c>
      <c r="N37" s="145" t="str">
        <f>TEXT(FY24_Temp[[#This Row],[Date_Simple]],"Ddd")</f>
        <v>Thu</v>
      </c>
      <c r="O37" s="147">
        <v>45505</v>
      </c>
      <c r="P37" s="145" t="str">
        <f>TEXT(FY24_Temp[[#This Row],[Old_Date]],"Ddd")</f>
        <v>Thu</v>
      </c>
      <c r="T37" s="89" t="s">
        <v>402</v>
      </c>
      <c r="U37" s="89" t="s">
        <v>403</v>
      </c>
      <c r="Y37" s="117" t="str">
        <f>TempDelta[[#This Row],[WeekNo]]&amp;"-"&amp;TempDelta[[#This Row],[HR]]</f>
        <v>1-9</v>
      </c>
      <c r="Z37">
        <f t="shared" si="1"/>
        <v>1</v>
      </c>
      <c r="AA37">
        <v>9</v>
      </c>
      <c r="AB37">
        <v>2.4805714062282016</v>
      </c>
    </row>
    <row r="38" spans="1:28" ht="15.6">
      <c r="A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25-07-Sat-10</v>
      </c>
      <c r="B38" s="92">
        <v>45857.416666666664</v>
      </c>
      <c r="C38" s="130">
        <v>303.536</v>
      </c>
      <c r="D38" s="131">
        <v>46.225000000000001</v>
      </c>
      <c r="I38" s="144">
        <v>45870</v>
      </c>
      <c r="J38" s="145">
        <v>10</v>
      </c>
      <c r="K38" s="145">
        <v>13.5</v>
      </c>
      <c r="L38" s="146">
        <v>8</v>
      </c>
      <c r="M38" s="145">
        <v>0</v>
      </c>
      <c r="N38" s="145" t="str">
        <f>TEXT(FY24_Temp[[#This Row],[Date_Simple]],"Ddd")</f>
        <v>Fri</v>
      </c>
      <c r="O38" s="147">
        <v>45506</v>
      </c>
      <c r="P38" s="145" t="str">
        <f>TEXT(FY24_Temp[[#This Row],[Old_Date]],"Ddd")</f>
        <v>Fri</v>
      </c>
      <c r="T38" s="89" t="s">
        <v>404</v>
      </c>
      <c r="U38" s="89" t="s">
        <v>405</v>
      </c>
      <c r="Y38" s="117" t="str">
        <f>TempDelta[[#This Row],[WeekNo]]&amp;"-"&amp;TempDelta[[#This Row],[HR]]</f>
        <v>1-10</v>
      </c>
      <c r="Z38">
        <f t="shared" si="1"/>
        <v>1</v>
      </c>
      <c r="AA38">
        <v>10</v>
      </c>
      <c r="AB38">
        <v>2.2650000027247836</v>
      </c>
    </row>
    <row r="39" spans="1:28" ht="15.6">
      <c r="A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25-07-Sat-11</v>
      </c>
      <c r="B39" s="92">
        <v>45857.458333333336</v>
      </c>
      <c r="C39" s="130">
        <v>303.536</v>
      </c>
      <c r="D39" s="131">
        <v>46.170999999999999</v>
      </c>
      <c r="I39" s="104">
        <v>45871</v>
      </c>
      <c r="J39" s="105">
        <v>10</v>
      </c>
      <c r="K39" s="105">
        <v>13.7</v>
      </c>
      <c r="L39" s="118">
        <v>8</v>
      </c>
      <c r="M39" s="105">
        <v>1</v>
      </c>
      <c r="N39" s="105" t="str">
        <f>TEXT(FY24_Temp[[#This Row],[Date_Simple]],"Ddd")</f>
        <v>Sat</v>
      </c>
      <c r="O39" s="106">
        <v>45507</v>
      </c>
      <c r="P39" s="105" t="str">
        <f>TEXT(FY24_Temp[[#This Row],[Old_Date]],"Ddd")</f>
        <v>Sat</v>
      </c>
      <c r="T39" s="89" t="s">
        <v>406</v>
      </c>
      <c r="U39" s="89" t="s">
        <v>407</v>
      </c>
      <c r="Y39" s="117" t="str">
        <f>TempDelta[[#This Row],[WeekNo]]&amp;"-"&amp;TempDelta[[#This Row],[HR]]</f>
        <v>1-11</v>
      </c>
      <c r="Z39">
        <f t="shared" si="1"/>
        <v>1</v>
      </c>
      <c r="AA39">
        <v>11</v>
      </c>
      <c r="AB39">
        <v>2.0114285605294362</v>
      </c>
    </row>
    <row r="40" spans="1:28" ht="15.6">
      <c r="A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25-07-Sat-12</v>
      </c>
      <c r="B40" s="92">
        <v>45857.5</v>
      </c>
      <c r="C40" s="130">
        <v>303.536</v>
      </c>
      <c r="D40" s="131">
        <v>46.154000000000003</v>
      </c>
      <c r="I40" s="96">
        <v>45872</v>
      </c>
      <c r="J40">
        <v>10</v>
      </c>
      <c r="K40">
        <v>13.7</v>
      </c>
      <c r="L40" s="102">
        <v>8</v>
      </c>
      <c r="M40">
        <v>1</v>
      </c>
      <c r="N40" t="str">
        <f>TEXT(FY24_Temp[[#This Row],[Date_Simple]],"Ddd")</f>
        <v>Sun</v>
      </c>
      <c r="O40" s="39">
        <v>45508</v>
      </c>
      <c r="P40" t="str">
        <f>TEXT(FY24_Temp[[#This Row],[Old_Date]],"Ddd")</f>
        <v>Sun</v>
      </c>
      <c r="T40" s="89" t="s">
        <v>408</v>
      </c>
      <c r="U40" s="89" t="s">
        <v>409</v>
      </c>
      <c r="Y40" s="117" t="str">
        <f>TempDelta[[#This Row],[WeekNo]]&amp;"-"&amp;TempDelta[[#This Row],[HR]]</f>
        <v>1-12</v>
      </c>
      <c r="Z40">
        <f t="shared" si="1"/>
        <v>1</v>
      </c>
      <c r="AA40">
        <v>12</v>
      </c>
      <c r="AB40">
        <v>1.7541428463799613</v>
      </c>
    </row>
    <row r="41" spans="1:28" ht="15.6">
      <c r="A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25-07-Sat-13</v>
      </c>
      <c r="B41" s="92">
        <v>45857.541666666664</v>
      </c>
      <c r="C41" s="130">
        <v>303.536</v>
      </c>
      <c r="D41" s="131">
        <v>46.168999999999997</v>
      </c>
      <c r="I41" s="96">
        <v>45873</v>
      </c>
      <c r="J41">
        <v>10</v>
      </c>
      <c r="K41">
        <v>13.7</v>
      </c>
      <c r="L41" s="102">
        <v>8</v>
      </c>
      <c r="M41">
        <v>1</v>
      </c>
      <c r="N41" t="str">
        <f>TEXT(FY24_Temp[[#This Row],[Date_Simple]],"Ddd")</f>
        <v>Mon</v>
      </c>
      <c r="O41" s="39">
        <v>45509</v>
      </c>
      <c r="P41" t="str">
        <f>TEXT(FY24_Temp[[#This Row],[Old_Date]],"Ddd")</f>
        <v>Mon</v>
      </c>
      <c r="T41" s="89" t="s">
        <v>410</v>
      </c>
      <c r="U41" s="89" t="s">
        <v>411</v>
      </c>
      <c r="Y41" s="117" t="str">
        <f>TempDelta[[#This Row],[WeekNo]]&amp;"-"&amp;TempDelta[[#This Row],[HR]]</f>
        <v>1-13</v>
      </c>
      <c r="Z41">
        <f t="shared" si="1"/>
        <v>1</v>
      </c>
      <c r="AA41">
        <v>13</v>
      </c>
      <c r="AB41">
        <v>1.4955714430127824</v>
      </c>
    </row>
    <row r="42" spans="1:28" ht="15.6">
      <c r="A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25-07-Sat-14</v>
      </c>
      <c r="B42" s="92">
        <v>45857.583333333336</v>
      </c>
      <c r="C42" s="130">
        <v>303.536</v>
      </c>
      <c r="D42" s="131">
        <v>46.209000000000003</v>
      </c>
      <c r="I42" s="96">
        <v>45874</v>
      </c>
      <c r="J42">
        <v>10</v>
      </c>
      <c r="K42">
        <v>13.7</v>
      </c>
      <c r="L42" s="102">
        <v>8</v>
      </c>
      <c r="M42">
        <v>1</v>
      </c>
      <c r="N42" t="str">
        <f>TEXT(FY24_Temp[[#This Row],[Date_Simple]],"Ddd")</f>
        <v>Tue</v>
      </c>
      <c r="O42" s="39">
        <v>45510</v>
      </c>
      <c r="P42" t="str">
        <f>TEXT(FY24_Temp[[#This Row],[Old_Date]],"Ddd")</f>
        <v>Tue</v>
      </c>
      <c r="T42" s="89" t="s">
        <v>412</v>
      </c>
      <c r="U42" s="89" t="s">
        <v>413</v>
      </c>
      <c r="Y42" s="117" t="str">
        <f>TempDelta[[#This Row],[WeekNo]]&amp;"-"&amp;TempDelta[[#This Row],[HR]]</f>
        <v>1-14</v>
      </c>
      <c r="Z42">
        <f t="shared" si="1"/>
        <v>1</v>
      </c>
      <c r="AA42">
        <v>14</v>
      </c>
      <c r="AB42">
        <v>1.0822857235159193</v>
      </c>
    </row>
    <row r="43" spans="1:28" ht="15.6">
      <c r="A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25-07-Sat-15</v>
      </c>
      <c r="B43" s="92">
        <v>45857.625</v>
      </c>
      <c r="C43" s="130">
        <v>435.392</v>
      </c>
      <c r="D43" s="131">
        <v>49.128999999999998</v>
      </c>
      <c r="I43" s="96">
        <v>45875</v>
      </c>
      <c r="J43">
        <v>10</v>
      </c>
      <c r="K43">
        <v>13.7</v>
      </c>
      <c r="L43" s="102">
        <v>8</v>
      </c>
      <c r="M43">
        <v>1</v>
      </c>
      <c r="N43" t="str">
        <f>TEXT(FY24_Temp[[#This Row],[Date_Simple]],"Ddd")</f>
        <v>Wed</v>
      </c>
      <c r="O43" s="39">
        <v>45511</v>
      </c>
      <c r="P43" t="str">
        <f>TEXT(FY24_Temp[[#This Row],[Old_Date]],"Ddd")</f>
        <v>Wed</v>
      </c>
      <c r="T43" s="89" t="s">
        <v>414</v>
      </c>
      <c r="U43" s="89" t="s">
        <v>415</v>
      </c>
      <c r="Y43" s="117" t="str">
        <f>TempDelta[[#This Row],[WeekNo]]&amp;"-"&amp;TempDelta[[#This Row],[HR]]</f>
        <v>1-15</v>
      </c>
      <c r="Z43">
        <f t="shared" si="1"/>
        <v>1</v>
      </c>
      <c r="AA43">
        <v>15</v>
      </c>
      <c r="AB43">
        <v>0.86314284375735695</v>
      </c>
    </row>
    <row r="44" spans="1:28" ht="15.6">
      <c r="A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25-07-Sat-16</v>
      </c>
      <c r="B44" s="92">
        <v>45857.666666666664</v>
      </c>
      <c r="C44" s="130">
        <v>486.928</v>
      </c>
      <c r="D44" s="131">
        <v>63.250999999999998</v>
      </c>
      <c r="I44" s="96">
        <v>45876</v>
      </c>
      <c r="J44">
        <v>10</v>
      </c>
      <c r="K44">
        <v>13.7</v>
      </c>
      <c r="L44" s="102">
        <v>8</v>
      </c>
      <c r="M44">
        <v>1</v>
      </c>
      <c r="N44" t="str">
        <f>TEXT(FY24_Temp[[#This Row],[Date_Simple]],"Ddd")</f>
        <v>Thu</v>
      </c>
      <c r="O44" s="39">
        <v>45512</v>
      </c>
      <c r="P44" t="str">
        <f>TEXT(FY24_Temp[[#This Row],[Old_Date]],"Ddd")</f>
        <v>Thu</v>
      </c>
      <c r="T44" s="89" t="s">
        <v>382</v>
      </c>
      <c r="U44" s="89" t="s">
        <v>416</v>
      </c>
      <c r="Y44" s="117" t="str">
        <f>TempDelta[[#This Row],[WeekNo]]&amp;"-"&amp;TempDelta[[#This Row],[HR]]</f>
        <v>1-16</v>
      </c>
      <c r="Z44">
        <f t="shared" si="1"/>
        <v>1</v>
      </c>
      <c r="AA44">
        <v>16</v>
      </c>
      <c r="AB44">
        <v>0.71478571849209926</v>
      </c>
    </row>
    <row r="45" spans="1:28">
      <c r="A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25-07-Sat-17</v>
      </c>
      <c r="B45" s="92">
        <v>45857.708333333336</v>
      </c>
      <c r="C45" s="130">
        <v>537.58000000000004</v>
      </c>
      <c r="D45" s="131">
        <v>84.153000000000006</v>
      </c>
      <c r="I45" s="96">
        <v>45877</v>
      </c>
      <c r="J45">
        <v>10</v>
      </c>
      <c r="K45">
        <v>13.7</v>
      </c>
      <c r="L45" s="102">
        <v>8</v>
      </c>
      <c r="M45">
        <v>1</v>
      </c>
      <c r="N45" t="str">
        <f>TEXT(FY24_Temp[[#This Row],[Date_Simple]],"Ddd")</f>
        <v>Fri</v>
      </c>
      <c r="O45" s="39">
        <v>45513</v>
      </c>
      <c r="P45" t="str">
        <f>TEXT(FY24_Temp[[#This Row],[Old_Date]],"Ddd")</f>
        <v>Fri</v>
      </c>
      <c r="Y45" s="117" t="str">
        <f>TempDelta[[#This Row],[WeekNo]]&amp;"-"&amp;TempDelta[[#This Row],[HR]]</f>
        <v>1-17</v>
      </c>
      <c r="Z45">
        <f t="shared" si="1"/>
        <v>1</v>
      </c>
      <c r="AA45">
        <v>17</v>
      </c>
      <c r="AB45">
        <v>0.73571428656578064</v>
      </c>
    </row>
    <row r="46" spans="1:28">
      <c r="A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25-07-Sat-18</v>
      </c>
      <c r="B46" s="92">
        <v>45857.75</v>
      </c>
      <c r="C46" s="130">
        <v>537.58000000000004</v>
      </c>
      <c r="D46" s="131">
        <v>106.764</v>
      </c>
      <c r="H46" s="119" t="s">
        <v>503</v>
      </c>
      <c r="I46" s="104">
        <v>45878</v>
      </c>
      <c r="J46" s="105">
        <v>10</v>
      </c>
      <c r="K46" s="105">
        <v>14.4</v>
      </c>
      <c r="L46" s="118">
        <v>8.1999999999999993</v>
      </c>
      <c r="M46" s="105">
        <f>M39+1</f>
        <v>2</v>
      </c>
      <c r="N46" s="105" t="str">
        <f>TEXT(FY24_Temp[[#This Row],[Date_Simple]],"Ddd")</f>
        <v>Sat</v>
      </c>
      <c r="O46" s="106">
        <v>45514</v>
      </c>
      <c r="P46" s="105" t="str">
        <f>TEXT(FY24_Temp[[#This Row],[Old_Date]],"Ddd")</f>
        <v>Sat</v>
      </c>
      <c r="Y46" s="117" t="str">
        <f>TempDelta[[#This Row],[WeekNo]]&amp;"-"&amp;TempDelta[[#This Row],[HR]]</f>
        <v>1-18</v>
      </c>
      <c r="Z46">
        <f t="shared" si="1"/>
        <v>1</v>
      </c>
      <c r="AA46">
        <v>18</v>
      </c>
      <c r="AB46">
        <v>0.95992857217788696</v>
      </c>
    </row>
    <row r="47" spans="1:28">
      <c r="A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25-07-Sat-19</v>
      </c>
      <c r="B47" s="92">
        <v>45857.791666666664</v>
      </c>
      <c r="C47" s="130">
        <v>537.58000000000004</v>
      </c>
      <c r="D47" s="131">
        <v>114.77800000000001</v>
      </c>
      <c r="I47" s="96">
        <v>45879</v>
      </c>
      <c r="J47">
        <v>10</v>
      </c>
      <c r="K47">
        <v>14.4</v>
      </c>
      <c r="L47" s="102">
        <v>8.1999999999999993</v>
      </c>
      <c r="M47">
        <f t="shared" ref="M47:M110" si="2">M40+1</f>
        <v>2</v>
      </c>
      <c r="N47" t="str">
        <f>TEXT(FY24_Temp[[#This Row],[Date_Simple]],"Ddd")</f>
        <v>Sun</v>
      </c>
      <c r="O47" s="39">
        <v>45515</v>
      </c>
      <c r="P47" t="str">
        <f>TEXT(FY24_Temp[[#This Row],[Old_Date]],"Ddd")</f>
        <v>Sun</v>
      </c>
      <c r="Y47" s="117" t="str">
        <f>TempDelta[[#This Row],[WeekNo]]&amp;"-"&amp;TempDelta[[#This Row],[HR]]</f>
        <v>1-19</v>
      </c>
      <c r="Z47">
        <f t="shared" si="1"/>
        <v>1</v>
      </c>
      <c r="AA47">
        <v>19</v>
      </c>
      <c r="AB47">
        <v>1.2718571509633745</v>
      </c>
    </row>
    <row r="48" spans="1:28">
      <c r="A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25-07-Sat-20</v>
      </c>
      <c r="B48" s="92">
        <v>45857.833333333336</v>
      </c>
      <c r="C48" s="130">
        <v>537.58000000000004</v>
      </c>
      <c r="D48" s="131">
        <v>119.196</v>
      </c>
      <c r="I48" s="96">
        <v>45880</v>
      </c>
      <c r="J48">
        <v>10</v>
      </c>
      <c r="K48">
        <v>14.4</v>
      </c>
      <c r="L48" s="102">
        <v>8.1999999999999993</v>
      </c>
      <c r="M48">
        <f t="shared" si="2"/>
        <v>2</v>
      </c>
      <c r="N48" t="str">
        <f>TEXT(FY24_Temp[[#This Row],[Date_Simple]],"Ddd")</f>
        <v>Mon</v>
      </c>
      <c r="O48" s="39">
        <v>45516</v>
      </c>
      <c r="P48" t="str">
        <f>TEXT(FY24_Temp[[#This Row],[Old_Date]],"Ddd")</f>
        <v>Mon</v>
      </c>
      <c r="Y48" s="117" t="str">
        <f>TempDelta[[#This Row],[WeekNo]]&amp;"-"&amp;TempDelta[[#This Row],[HR]]</f>
        <v>1-20</v>
      </c>
      <c r="Z48">
        <f t="shared" si="1"/>
        <v>1</v>
      </c>
      <c r="AA48">
        <v>20</v>
      </c>
      <c r="AB48">
        <v>1.6933571355683463</v>
      </c>
    </row>
    <row r="49" spans="1:28">
      <c r="A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25-07-Sat-21</v>
      </c>
      <c r="B49" s="92">
        <v>45857.875</v>
      </c>
      <c r="C49" s="130">
        <v>537.58000000000004</v>
      </c>
      <c r="D49" s="131">
        <v>112.533</v>
      </c>
      <c r="I49" s="96">
        <v>45881</v>
      </c>
      <c r="J49">
        <v>10</v>
      </c>
      <c r="K49">
        <v>14.4</v>
      </c>
      <c r="L49" s="102">
        <v>8.1999999999999993</v>
      </c>
      <c r="M49">
        <f t="shared" si="2"/>
        <v>2</v>
      </c>
      <c r="N49" t="str">
        <f>TEXT(FY24_Temp[[#This Row],[Date_Simple]],"Ddd")</f>
        <v>Tue</v>
      </c>
      <c r="O49" s="39">
        <v>45517</v>
      </c>
      <c r="P49" t="str">
        <f>TEXT(FY24_Temp[[#This Row],[Old_Date]],"Ddd")</f>
        <v>Tue</v>
      </c>
      <c r="Y49" s="117" t="str">
        <f>TempDelta[[#This Row],[WeekNo]]&amp;"-"&amp;TempDelta[[#This Row],[HR]]</f>
        <v>1-21</v>
      </c>
      <c r="Z49">
        <f t="shared" si="1"/>
        <v>1</v>
      </c>
      <c r="AA49">
        <v>21</v>
      </c>
      <c r="AB49">
        <v>2.0325714520045688</v>
      </c>
    </row>
    <row r="50" spans="1:28">
      <c r="A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25-07-Sat-22</v>
      </c>
      <c r="B50" s="92">
        <v>45857.916666666664</v>
      </c>
      <c r="C50" s="130">
        <v>455.17</v>
      </c>
      <c r="D50" s="131">
        <v>60.777000000000001</v>
      </c>
      <c r="I50" s="96">
        <v>45882</v>
      </c>
      <c r="J50">
        <v>10</v>
      </c>
      <c r="K50">
        <v>14.4</v>
      </c>
      <c r="L50" s="102">
        <v>8.1999999999999993</v>
      </c>
      <c r="M50">
        <f t="shared" si="2"/>
        <v>2</v>
      </c>
      <c r="N50" t="str">
        <f>TEXT(FY24_Temp[[#This Row],[Date_Simple]],"Ddd")</f>
        <v>Wed</v>
      </c>
      <c r="O50" s="39">
        <v>45518</v>
      </c>
      <c r="P50" t="str">
        <f>TEXT(FY24_Temp[[#This Row],[Old_Date]],"Ddd")</f>
        <v>Wed</v>
      </c>
      <c r="Y50" s="117" t="str">
        <f>TempDelta[[#This Row],[WeekNo]]&amp;"-"&amp;TempDelta[[#This Row],[HR]]</f>
        <v>1-22</v>
      </c>
      <c r="Z50">
        <f t="shared" si="1"/>
        <v>1</v>
      </c>
      <c r="AA50">
        <v>22</v>
      </c>
      <c r="AB50">
        <v>2.3954285553523471</v>
      </c>
    </row>
    <row r="51" spans="1:28">
      <c r="A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25-07-Sat-23</v>
      </c>
      <c r="B51" s="92">
        <v>45857.958333333336</v>
      </c>
      <c r="C51" s="130">
        <v>372.76</v>
      </c>
      <c r="D51" s="131">
        <v>56.433999999999997</v>
      </c>
      <c r="I51" s="96">
        <v>45883</v>
      </c>
      <c r="J51">
        <v>10</v>
      </c>
      <c r="K51">
        <v>14.4</v>
      </c>
      <c r="L51" s="102">
        <v>8.1999999999999993</v>
      </c>
      <c r="M51">
        <f t="shared" si="2"/>
        <v>2</v>
      </c>
      <c r="N51" t="str">
        <f>TEXT(FY24_Temp[[#This Row],[Date_Simple]],"Ddd")</f>
        <v>Thu</v>
      </c>
      <c r="O51" s="39">
        <v>45519</v>
      </c>
      <c r="P51" t="str">
        <f>TEXT(FY24_Temp[[#This Row],[Old_Date]],"Ddd")</f>
        <v>Thu</v>
      </c>
      <c r="Y51" s="117" t="str">
        <f>TempDelta[[#This Row],[WeekNo]]&amp;"-"&amp;TempDelta[[#This Row],[HR]]</f>
        <v>1-23</v>
      </c>
      <c r="Z51">
        <f t="shared" si="1"/>
        <v>1</v>
      </c>
      <c r="AA51">
        <v>23</v>
      </c>
      <c r="AB51">
        <v>2.5458571229662215</v>
      </c>
    </row>
    <row r="52" spans="1:28">
      <c r="A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25-07-Sun-00</v>
      </c>
      <c r="B52" s="92">
        <v>45858</v>
      </c>
      <c r="C52" s="130">
        <v>303.536</v>
      </c>
      <c r="D52" s="131">
        <v>48.893999999999998</v>
      </c>
      <c r="I52" s="96">
        <v>45884</v>
      </c>
      <c r="J52">
        <v>10</v>
      </c>
      <c r="K52">
        <v>14.4</v>
      </c>
      <c r="L52" s="102">
        <v>8.1999999999999993</v>
      </c>
      <c r="M52">
        <f t="shared" si="2"/>
        <v>2</v>
      </c>
      <c r="N52" t="str">
        <f>TEXT(FY24_Temp[[#This Row],[Date_Simple]],"Ddd")</f>
        <v>Fri</v>
      </c>
      <c r="O52" s="39">
        <v>45520</v>
      </c>
      <c r="P52" t="str">
        <f>TEXT(FY24_Temp[[#This Row],[Old_Date]],"Ddd")</f>
        <v>Fri</v>
      </c>
      <c r="Y52" s="117" t="str">
        <f>TempDelta[[#This Row],[WeekNo]]&amp;"-"&amp;TempDelta[[#This Row],[HR]]</f>
        <v>2-0</v>
      </c>
      <c r="Z52">
        <f t="shared" si="1"/>
        <v>2</v>
      </c>
      <c r="AA52">
        <v>0</v>
      </c>
      <c r="AB52">
        <v>2.4882856777736118</v>
      </c>
    </row>
    <row r="53" spans="1:28">
      <c r="A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25-07-Sun-01</v>
      </c>
      <c r="B53" s="92">
        <v>45858.041666666664</v>
      </c>
      <c r="C53" s="130">
        <v>303.536</v>
      </c>
      <c r="D53" s="131">
        <v>48.759</v>
      </c>
      <c r="H53" t="s">
        <v>504</v>
      </c>
      <c r="I53" s="104">
        <v>45885</v>
      </c>
      <c r="J53" s="105">
        <v>10</v>
      </c>
      <c r="K53" s="105">
        <v>14.5</v>
      </c>
      <c r="L53" s="118">
        <v>8.5</v>
      </c>
      <c r="M53" s="105">
        <f t="shared" si="2"/>
        <v>3</v>
      </c>
      <c r="N53" s="105" t="str">
        <f>TEXT(FY24_Temp[[#This Row],[Date_Simple]],"Ddd")</f>
        <v>Sat</v>
      </c>
      <c r="O53" s="106">
        <v>45521</v>
      </c>
      <c r="P53" s="105" t="str">
        <f>TEXT(FY24_Temp[[#This Row],[Old_Date]],"Ddd")</f>
        <v>Sat</v>
      </c>
      <c r="Y53" s="117" t="str">
        <f>TempDelta[[#This Row],[WeekNo]]&amp;"-"&amp;TempDelta[[#This Row],[HR]]</f>
        <v>2-1</v>
      </c>
      <c r="Z53">
        <f t="shared" si="1"/>
        <v>2</v>
      </c>
      <c r="AA53">
        <v>1</v>
      </c>
      <c r="AB53">
        <v>2.5384285790579662</v>
      </c>
    </row>
    <row r="54" spans="1:28">
      <c r="A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25-07-Sun-02</v>
      </c>
      <c r="B54" s="92">
        <v>45858.083333333336</v>
      </c>
      <c r="C54" s="130">
        <v>303.536</v>
      </c>
      <c r="D54" s="131">
        <v>48.32</v>
      </c>
      <c r="I54" s="96">
        <v>45886</v>
      </c>
      <c r="J54">
        <v>10</v>
      </c>
      <c r="K54">
        <v>14.5</v>
      </c>
      <c r="L54" s="102">
        <v>8.5</v>
      </c>
      <c r="M54">
        <f t="shared" si="2"/>
        <v>3</v>
      </c>
      <c r="N54" t="str">
        <f>TEXT(FY24_Temp[[#This Row],[Date_Simple]],"Ddd")</f>
        <v>Sun</v>
      </c>
      <c r="O54" s="39">
        <v>45522</v>
      </c>
      <c r="P54" t="str">
        <f>TEXT(FY24_Temp[[#This Row],[Old_Date]],"Ddd")</f>
        <v>Sun</v>
      </c>
      <c r="Y54" s="117" t="str">
        <f>TempDelta[[#This Row],[WeekNo]]&amp;"-"&amp;TempDelta[[#This Row],[HR]]</f>
        <v>2-2</v>
      </c>
      <c r="Z54">
        <f t="shared" si="1"/>
        <v>2</v>
      </c>
      <c r="AA54">
        <v>2</v>
      </c>
      <c r="AB54">
        <v>2.5558571474892751</v>
      </c>
    </row>
    <row r="55" spans="1:28">
      <c r="A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25-07-Sun-03</v>
      </c>
      <c r="B55" s="92">
        <v>45858.125</v>
      </c>
      <c r="C55" s="130">
        <v>303.536</v>
      </c>
      <c r="D55" s="131">
        <v>48.072000000000003</v>
      </c>
      <c r="I55" s="96">
        <v>45887</v>
      </c>
      <c r="J55">
        <v>10</v>
      </c>
      <c r="K55">
        <v>14.5</v>
      </c>
      <c r="L55" s="102">
        <v>8.5</v>
      </c>
      <c r="M55">
        <f t="shared" si="2"/>
        <v>3</v>
      </c>
      <c r="N55" t="str">
        <f>TEXT(FY24_Temp[[#This Row],[Date_Simple]],"Ddd")</f>
        <v>Mon</v>
      </c>
      <c r="O55" s="39">
        <v>45523</v>
      </c>
      <c r="P55" t="str">
        <f>TEXT(FY24_Temp[[#This Row],[Old_Date]],"Ddd")</f>
        <v>Mon</v>
      </c>
      <c r="Y55" s="117" t="str">
        <f>TempDelta[[#This Row],[WeekNo]]&amp;"-"&amp;TempDelta[[#This Row],[HR]]</f>
        <v>2-3</v>
      </c>
      <c r="Z55">
        <f t="shared" si="1"/>
        <v>2</v>
      </c>
      <c r="AA55">
        <v>3</v>
      </c>
      <c r="AB55">
        <v>2.5525713988712857</v>
      </c>
    </row>
    <row r="56" spans="1:28">
      <c r="A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25-07-Sun-04</v>
      </c>
      <c r="B56" s="92">
        <v>45858.166666666664</v>
      </c>
      <c r="C56" s="130">
        <v>303.536</v>
      </c>
      <c r="D56" s="131">
        <v>48.481000000000002</v>
      </c>
      <c r="I56" s="96">
        <v>45888</v>
      </c>
      <c r="J56">
        <v>10</v>
      </c>
      <c r="K56">
        <v>14.5</v>
      </c>
      <c r="L56" s="102">
        <v>8.5</v>
      </c>
      <c r="M56">
        <f t="shared" si="2"/>
        <v>3</v>
      </c>
      <c r="N56" t="str">
        <f>TEXT(FY24_Temp[[#This Row],[Date_Simple]],"Ddd")</f>
        <v>Tue</v>
      </c>
      <c r="O56" s="39">
        <v>45524</v>
      </c>
      <c r="P56" t="str">
        <f>TEXT(FY24_Temp[[#This Row],[Old_Date]],"Ddd")</f>
        <v>Tue</v>
      </c>
      <c r="Y56" s="117" t="str">
        <f>TempDelta[[#This Row],[WeekNo]]&amp;"-"&amp;TempDelta[[#This Row],[HR]]</f>
        <v>2-4</v>
      </c>
      <c r="Z56">
        <f t="shared" si="1"/>
        <v>2</v>
      </c>
      <c r="AA56">
        <v>4</v>
      </c>
      <c r="AB56">
        <v>2.5564285346439908</v>
      </c>
    </row>
    <row r="57" spans="1:28">
      <c r="A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25-07-Sun-05</v>
      </c>
      <c r="B57" s="92">
        <v>45858.208333333336</v>
      </c>
      <c r="C57" s="130">
        <v>303.536</v>
      </c>
      <c r="D57" s="131">
        <v>48.835999999999999</v>
      </c>
      <c r="I57" s="96">
        <v>45889</v>
      </c>
      <c r="J57">
        <v>10</v>
      </c>
      <c r="K57">
        <v>14.5</v>
      </c>
      <c r="L57" s="102">
        <v>8.5</v>
      </c>
      <c r="M57">
        <f t="shared" si="2"/>
        <v>3</v>
      </c>
      <c r="N57" t="str">
        <f>TEXT(FY24_Temp[[#This Row],[Date_Simple]],"Ddd")</f>
        <v>Wed</v>
      </c>
      <c r="O57" s="39">
        <v>45525</v>
      </c>
      <c r="P57" t="str">
        <f>TEXT(FY24_Temp[[#This Row],[Old_Date]],"Ddd")</f>
        <v>Wed</v>
      </c>
      <c r="Y57" s="117" t="str">
        <f>TempDelta[[#This Row],[WeekNo]]&amp;"-"&amp;TempDelta[[#This Row],[HR]]</f>
        <v>2-5</v>
      </c>
      <c r="Z57">
        <f t="shared" si="1"/>
        <v>2</v>
      </c>
      <c r="AA57">
        <v>5</v>
      </c>
      <c r="AB57">
        <v>2.6032857554299489</v>
      </c>
    </row>
    <row r="58" spans="1:28">
      <c r="A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25-07-Sun-06</v>
      </c>
      <c r="B58" s="92">
        <v>45858.25</v>
      </c>
      <c r="C58" s="130">
        <v>303.536</v>
      </c>
      <c r="D58" s="131">
        <v>53.771999999999998</v>
      </c>
      <c r="I58" s="96">
        <v>45890</v>
      </c>
      <c r="J58">
        <v>10</v>
      </c>
      <c r="K58">
        <v>14.5</v>
      </c>
      <c r="L58" s="102">
        <v>8.5</v>
      </c>
      <c r="M58">
        <f t="shared" si="2"/>
        <v>3</v>
      </c>
      <c r="N58" t="str">
        <f>TEXT(FY24_Temp[[#This Row],[Date_Simple]],"Ddd")</f>
        <v>Thu</v>
      </c>
      <c r="O58" s="39">
        <v>45526</v>
      </c>
      <c r="P58" t="str">
        <f>TEXT(FY24_Temp[[#This Row],[Old_Date]],"Ddd")</f>
        <v>Thu</v>
      </c>
      <c r="Y58" s="117" t="str">
        <f>TempDelta[[#This Row],[WeekNo]]&amp;"-"&amp;TempDelta[[#This Row],[HR]]</f>
        <v>2-6</v>
      </c>
      <c r="Z58">
        <f t="shared" si="1"/>
        <v>2</v>
      </c>
      <c r="AA58">
        <v>6</v>
      </c>
      <c r="AB58">
        <v>2.6161428519657681</v>
      </c>
    </row>
    <row r="59" spans="1:28">
      <c r="A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25-07-Sun-07</v>
      </c>
      <c r="B59" s="92">
        <v>45858.291666666664</v>
      </c>
      <c r="C59" s="130">
        <v>303.536</v>
      </c>
      <c r="D59" s="131">
        <v>47.149000000000001</v>
      </c>
      <c r="I59" s="96">
        <v>45891</v>
      </c>
      <c r="J59">
        <v>10</v>
      </c>
      <c r="K59">
        <v>14.5</v>
      </c>
      <c r="L59" s="102">
        <v>8.5</v>
      </c>
      <c r="M59">
        <f t="shared" si="2"/>
        <v>3</v>
      </c>
      <c r="N59" t="str">
        <f>TEXT(FY24_Temp[[#This Row],[Date_Simple]],"Ddd")</f>
        <v>Fri</v>
      </c>
      <c r="O59" s="39">
        <v>45527</v>
      </c>
      <c r="P59" t="str">
        <f>TEXT(FY24_Temp[[#This Row],[Old_Date]],"Ddd")</f>
        <v>Fri</v>
      </c>
      <c r="Y59" s="117" t="str">
        <f>TempDelta[[#This Row],[WeekNo]]&amp;"-"&amp;TempDelta[[#This Row],[HR]]</f>
        <v>2-7</v>
      </c>
      <c r="Z59">
        <f t="shared" si="1"/>
        <v>2</v>
      </c>
      <c r="AA59">
        <v>7</v>
      </c>
      <c r="AB59">
        <v>2.582714251109532</v>
      </c>
    </row>
    <row r="60" spans="1:28">
      <c r="A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25-07-Sun-08</v>
      </c>
      <c r="B60" s="92">
        <v>45858.333333333336</v>
      </c>
      <c r="C60" s="130">
        <v>303.536</v>
      </c>
      <c r="D60" s="131">
        <v>46.155999999999999</v>
      </c>
      <c r="H60" s="119" t="s">
        <v>505</v>
      </c>
      <c r="I60" s="104">
        <v>45892</v>
      </c>
      <c r="J60" s="105">
        <v>10</v>
      </c>
      <c r="K60" s="105">
        <v>14.71</v>
      </c>
      <c r="L60" s="118">
        <v>8.5</v>
      </c>
      <c r="M60" s="105">
        <f t="shared" si="2"/>
        <v>4</v>
      </c>
      <c r="N60" s="105" t="str">
        <f>TEXT(FY24_Temp[[#This Row],[Date_Simple]],"Ddd")</f>
        <v>Sat</v>
      </c>
      <c r="O60" s="106">
        <v>45528</v>
      </c>
      <c r="P60" s="105" t="str">
        <f>TEXT(FY24_Temp[[#This Row],[Old_Date]],"Ddd")</f>
        <v>Sat</v>
      </c>
      <c r="Y60" s="117" t="str">
        <f>TempDelta[[#This Row],[WeekNo]]&amp;"-"&amp;TempDelta[[#This Row],[HR]]</f>
        <v>2-8</v>
      </c>
      <c r="Z60">
        <f t="shared" si="1"/>
        <v>2</v>
      </c>
      <c r="AA60">
        <v>8</v>
      </c>
      <c r="AB60">
        <v>2.4768571172441756</v>
      </c>
    </row>
    <row r="61" spans="1:28">
      <c r="A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25-07-Sun-09</v>
      </c>
      <c r="B61" s="92">
        <v>45858.375</v>
      </c>
      <c r="C61" s="130">
        <v>303.536</v>
      </c>
      <c r="D61" s="131">
        <v>46.026000000000003</v>
      </c>
      <c r="I61" s="96">
        <v>45893</v>
      </c>
      <c r="J61">
        <v>10</v>
      </c>
      <c r="K61">
        <v>14.71</v>
      </c>
      <c r="L61" s="102">
        <v>8.5</v>
      </c>
      <c r="M61">
        <f t="shared" si="2"/>
        <v>4</v>
      </c>
      <c r="N61" t="str">
        <f>TEXT(FY24_Temp[[#This Row],[Date_Simple]],"Ddd")</f>
        <v>Sun</v>
      </c>
      <c r="O61" s="39">
        <v>45529</v>
      </c>
      <c r="P61" t="str">
        <f>TEXT(FY24_Temp[[#This Row],[Old_Date]],"Ddd")</f>
        <v>Sun</v>
      </c>
      <c r="Y61" s="117" t="str">
        <f>TempDelta[[#This Row],[WeekNo]]&amp;"-"&amp;TempDelta[[#This Row],[HR]]</f>
        <v>2-9</v>
      </c>
      <c r="Z61">
        <f t="shared" si="1"/>
        <v>2</v>
      </c>
      <c r="AA61">
        <v>9</v>
      </c>
      <c r="AB61">
        <v>2.293428523199899</v>
      </c>
    </row>
    <row r="62" spans="1:28">
      <c r="A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25-07-Sun-10</v>
      </c>
      <c r="B62" s="92">
        <v>45858.416666666664</v>
      </c>
      <c r="C62" s="130">
        <v>303.536</v>
      </c>
      <c r="D62" s="131">
        <v>45.988999999999997</v>
      </c>
      <c r="I62" s="96">
        <v>45894</v>
      </c>
      <c r="J62">
        <v>10</v>
      </c>
      <c r="K62">
        <v>14.71</v>
      </c>
      <c r="L62" s="102">
        <v>8.5</v>
      </c>
      <c r="M62">
        <f t="shared" si="2"/>
        <v>4</v>
      </c>
      <c r="N62" t="str">
        <f>TEXT(FY24_Temp[[#This Row],[Date_Simple]],"Ddd")</f>
        <v>Mon</v>
      </c>
      <c r="O62" s="39">
        <v>45530</v>
      </c>
      <c r="P62" t="str">
        <f>TEXT(FY24_Temp[[#This Row],[Old_Date]],"Ddd")</f>
        <v>Mon</v>
      </c>
      <c r="Y62" s="117" t="str">
        <f>TempDelta[[#This Row],[WeekNo]]&amp;"-"&amp;TempDelta[[#This Row],[HR]]</f>
        <v>2-10</v>
      </c>
      <c r="Z62">
        <f t="shared" si="1"/>
        <v>2</v>
      </c>
      <c r="AA62">
        <v>10</v>
      </c>
      <c r="AB62">
        <v>2.0822856766836986</v>
      </c>
    </row>
    <row r="63" spans="1:28">
      <c r="A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25-07-Sun-11</v>
      </c>
      <c r="B63" s="92">
        <v>45858.458333333336</v>
      </c>
      <c r="C63" s="130">
        <v>303.536</v>
      </c>
      <c r="D63" s="131">
        <v>45.936999999999998</v>
      </c>
      <c r="I63" s="96">
        <v>45895</v>
      </c>
      <c r="J63">
        <v>10</v>
      </c>
      <c r="K63">
        <v>14.71</v>
      </c>
      <c r="L63" s="102">
        <v>8.5</v>
      </c>
      <c r="M63">
        <f t="shared" si="2"/>
        <v>4</v>
      </c>
      <c r="N63" t="str">
        <f>TEXT(FY24_Temp[[#This Row],[Date_Simple]],"Ddd")</f>
        <v>Tue</v>
      </c>
      <c r="O63" s="39">
        <v>45531</v>
      </c>
      <c r="P63" t="str">
        <f>TEXT(FY24_Temp[[#This Row],[Old_Date]],"Ddd")</f>
        <v>Tue</v>
      </c>
      <c r="Y63" s="117" t="str">
        <f>TempDelta[[#This Row],[WeekNo]]&amp;"-"&amp;TempDelta[[#This Row],[HR]]</f>
        <v>2-11</v>
      </c>
      <c r="Z63">
        <f t="shared" si="1"/>
        <v>2</v>
      </c>
      <c r="AA63">
        <v>11</v>
      </c>
      <c r="AB63">
        <v>1.8338571105684554</v>
      </c>
    </row>
    <row r="64" spans="1:28">
      <c r="A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25-07-Sun-12</v>
      </c>
      <c r="B64" s="92">
        <v>45858.5</v>
      </c>
      <c r="C64" s="130">
        <v>303.536</v>
      </c>
      <c r="D64" s="131">
        <v>45.923000000000002</v>
      </c>
      <c r="I64" s="96">
        <v>45896</v>
      </c>
      <c r="J64">
        <v>10</v>
      </c>
      <c r="K64">
        <v>14.71</v>
      </c>
      <c r="L64" s="102">
        <v>8.5</v>
      </c>
      <c r="M64">
        <f t="shared" si="2"/>
        <v>4</v>
      </c>
      <c r="N64" t="str">
        <f>TEXT(FY24_Temp[[#This Row],[Date_Simple]],"Ddd")</f>
        <v>Wed</v>
      </c>
      <c r="O64" s="39">
        <v>45532</v>
      </c>
      <c r="P64" t="str">
        <f>TEXT(FY24_Temp[[#This Row],[Old_Date]],"Ddd")</f>
        <v>Wed</v>
      </c>
      <c r="Y64" s="117" t="str">
        <f>TempDelta[[#This Row],[WeekNo]]&amp;"-"&amp;TempDelta[[#This Row],[HR]]</f>
        <v>2-12</v>
      </c>
      <c r="Z64">
        <f t="shared" si="1"/>
        <v>2</v>
      </c>
      <c r="AA64">
        <v>12</v>
      </c>
      <c r="AB64">
        <v>1.5831428595951624</v>
      </c>
    </row>
    <row r="65" spans="1:28">
      <c r="A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25-07-Sun-13</v>
      </c>
      <c r="B65" s="92">
        <v>45858.541666666664</v>
      </c>
      <c r="C65" s="130">
        <v>303.536</v>
      </c>
      <c r="D65" s="131">
        <v>45.948999999999998</v>
      </c>
      <c r="I65" s="96">
        <v>45897</v>
      </c>
      <c r="J65">
        <v>10</v>
      </c>
      <c r="K65">
        <v>14.71</v>
      </c>
      <c r="L65" s="102">
        <v>8.5</v>
      </c>
      <c r="M65">
        <f t="shared" si="2"/>
        <v>4</v>
      </c>
      <c r="N65" t="str">
        <f>TEXT(FY24_Temp[[#This Row],[Date_Simple]],"Ddd")</f>
        <v>Thu</v>
      </c>
      <c r="O65" s="39">
        <v>45533</v>
      </c>
      <c r="P65" t="str">
        <f>TEXT(FY24_Temp[[#This Row],[Old_Date]],"Ddd")</f>
        <v>Thu</v>
      </c>
      <c r="Y65" s="117" t="str">
        <f>TempDelta[[#This Row],[WeekNo]]&amp;"-"&amp;TempDelta[[#This Row],[HR]]</f>
        <v>2-13</v>
      </c>
      <c r="Z65">
        <f t="shared" si="1"/>
        <v>2</v>
      </c>
      <c r="AA65">
        <v>13</v>
      </c>
      <c r="AB65">
        <v>1.3324285575321742</v>
      </c>
    </row>
    <row r="66" spans="1:28">
      <c r="A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25-07-Sun-14</v>
      </c>
      <c r="B66" s="92">
        <v>45858.583333333336</v>
      </c>
      <c r="C66" s="130">
        <v>303.536</v>
      </c>
      <c r="D66" s="131">
        <v>46.037999999999997</v>
      </c>
      <c r="I66" s="96">
        <v>45898</v>
      </c>
      <c r="J66">
        <v>10</v>
      </c>
      <c r="K66">
        <v>14.71</v>
      </c>
      <c r="L66" s="102">
        <v>8.5</v>
      </c>
      <c r="M66">
        <f t="shared" si="2"/>
        <v>4</v>
      </c>
      <c r="N66" t="str">
        <f>TEXT(FY24_Temp[[#This Row],[Date_Simple]],"Ddd")</f>
        <v>Fri</v>
      </c>
      <c r="O66" s="39">
        <v>45534</v>
      </c>
      <c r="P66" t="str">
        <f>TEXT(FY24_Temp[[#This Row],[Old_Date]],"Ddd")</f>
        <v>Fri</v>
      </c>
      <c r="Y66" s="117" t="str">
        <f>TempDelta[[#This Row],[WeekNo]]&amp;"-"&amp;TempDelta[[#This Row],[HR]]</f>
        <v>2-14</v>
      </c>
      <c r="Z66">
        <f t="shared" si="1"/>
        <v>2</v>
      </c>
      <c r="AA66">
        <v>14</v>
      </c>
      <c r="AB66">
        <v>1.096000007220677</v>
      </c>
    </row>
    <row r="67" spans="1:28">
      <c r="A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25-07-Sun-15</v>
      </c>
      <c r="B67" s="92">
        <v>45858.625</v>
      </c>
      <c r="C67" s="130">
        <v>435.392</v>
      </c>
      <c r="D67" s="131">
        <v>46.131</v>
      </c>
      <c r="H67" t="s">
        <v>506</v>
      </c>
      <c r="I67" s="104">
        <v>45899</v>
      </c>
      <c r="J67" s="105">
        <v>10</v>
      </c>
      <c r="K67" s="105">
        <v>14.95</v>
      </c>
      <c r="L67" s="118">
        <v>8.5</v>
      </c>
      <c r="M67" s="105">
        <f t="shared" si="2"/>
        <v>5</v>
      </c>
      <c r="N67" s="105" t="str">
        <f>TEXT(FY24_Temp[[#This Row],[Date_Simple]],"Ddd")</f>
        <v>Sat</v>
      </c>
      <c r="O67" s="106">
        <v>45535</v>
      </c>
      <c r="P67" s="105" t="str">
        <f>TEXT(FY24_Temp[[#This Row],[Old_Date]],"Ddd")</f>
        <v>Sat</v>
      </c>
      <c r="Y67" s="117" t="str">
        <f>TempDelta[[#This Row],[WeekNo]]&amp;"-"&amp;TempDelta[[#This Row],[HR]]</f>
        <v>2-15</v>
      </c>
      <c r="Z67">
        <f t="shared" si="1"/>
        <v>2</v>
      </c>
      <c r="AA67">
        <v>15</v>
      </c>
      <c r="AB67">
        <v>0.78178571377481731</v>
      </c>
    </row>
    <row r="68" spans="1:28">
      <c r="A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25-07-Sun-16</v>
      </c>
      <c r="B68" s="92">
        <v>45858.666666666664</v>
      </c>
      <c r="C68" s="130">
        <v>514.80499999999995</v>
      </c>
      <c r="D68" s="131">
        <v>47.345999999999997</v>
      </c>
      <c r="I68" s="96">
        <v>45900</v>
      </c>
      <c r="J68">
        <v>10</v>
      </c>
      <c r="K68">
        <v>14.95</v>
      </c>
      <c r="L68" s="102">
        <v>8.5</v>
      </c>
      <c r="M68">
        <f t="shared" si="2"/>
        <v>5</v>
      </c>
      <c r="N68" t="str">
        <f>TEXT(FY24_Temp[[#This Row],[Date_Simple]],"Ddd")</f>
        <v>Sun</v>
      </c>
      <c r="O68" s="39">
        <v>45536</v>
      </c>
      <c r="P68" t="str">
        <f>TEXT(FY24_Temp[[#This Row],[Old_Date]],"Ddd")</f>
        <v>Sun</v>
      </c>
      <c r="Y68" s="117" t="str">
        <f>TempDelta[[#This Row],[WeekNo]]&amp;"-"&amp;TempDelta[[#This Row],[HR]]</f>
        <v>2-16</v>
      </c>
      <c r="Z68">
        <f t="shared" si="1"/>
        <v>2</v>
      </c>
      <c r="AA68">
        <v>16</v>
      </c>
      <c r="AB68">
        <v>0.64235714290823254</v>
      </c>
    </row>
    <row r="69" spans="1:28">
      <c r="A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25-07-Sun-17</v>
      </c>
      <c r="B69" s="92">
        <v>45858.708333333336</v>
      </c>
      <c r="C69" s="130">
        <v>514.80499999999995</v>
      </c>
      <c r="D69" s="131">
        <v>54.688000000000002</v>
      </c>
      <c r="I69" s="96">
        <v>45901</v>
      </c>
      <c r="J69">
        <v>10</v>
      </c>
      <c r="K69">
        <v>14.95</v>
      </c>
      <c r="L69" s="102">
        <v>8.5</v>
      </c>
      <c r="M69">
        <f t="shared" si="2"/>
        <v>5</v>
      </c>
      <c r="N69" t="str">
        <f>TEXT(FY24_Temp[[#This Row],[Date_Simple]],"Ddd")</f>
        <v>Mon</v>
      </c>
      <c r="O69" s="39">
        <v>45537</v>
      </c>
      <c r="P69" t="str">
        <f>TEXT(FY24_Temp[[#This Row],[Old_Date]],"Ddd")</f>
        <v>Mon</v>
      </c>
      <c r="Y69" s="117" t="str">
        <f>TempDelta[[#This Row],[WeekNo]]&amp;"-"&amp;TempDelta[[#This Row],[HR]]</f>
        <v>2-17</v>
      </c>
      <c r="Z69">
        <f t="shared" si="1"/>
        <v>2</v>
      </c>
      <c r="AA69">
        <v>17</v>
      </c>
      <c r="AB69">
        <v>0.66985713158335003</v>
      </c>
    </row>
    <row r="70" spans="1:28">
      <c r="A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25-07-Sun-18</v>
      </c>
      <c r="B70" s="92">
        <v>45858.75</v>
      </c>
      <c r="C70" s="130">
        <v>537.58000000000004</v>
      </c>
      <c r="D70" s="131">
        <v>70.739000000000004</v>
      </c>
      <c r="I70" s="96">
        <v>45902</v>
      </c>
      <c r="J70">
        <v>10</v>
      </c>
      <c r="K70">
        <v>14.95</v>
      </c>
      <c r="L70" s="102">
        <v>8.5</v>
      </c>
      <c r="M70">
        <f t="shared" si="2"/>
        <v>5</v>
      </c>
      <c r="N70" t="str">
        <f>TEXT(FY24_Temp[[#This Row],[Date_Simple]],"Ddd")</f>
        <v>Tue</v>
      </c>
      <c r="O70" s="39">
        <v>45538</v>
      </c>
      <c r="P70" t="str">
        <f>TEXT(FY24_Temp[[#This Row],[Old_Date]],"Ddd")</f>
        <v>Tue</v>
      </c>
      <c r="Y70" s="117" t="str">
        <f>TempDelta[[#This Row],[WeekNo]]&amp;"-"&amp;TempDelta[[#This Row],[HR]]</f>
        <v>2-18</v>
      </c>
      <c r="Z70">
        <f t="shared" si="1"/>
        <v>2</v>
      </c>
      <c r="AA70">
        <v>18</v>
      </c>
      <c r="AB70">
        <v>0.88785713485309059</v>
      </c>
    </row>
    <row r="71" spans="1:28">
      <c r="A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25-07-Sun-19</v>
      </c>
      <c r="B71" s="92">
        <v>45858.791666666664</v>
      </c>
      <c r="C71" s="130">
        <v>537.58000000000004</v>
      </c>
      <c r="D71" s="131">
        <v>84.899000000000001</v>
      </c>
      <c r="I71" s="96">
        <v>45903</v>
      </c>
      <c r="J71">
        <v>10</v>
      </c>
      <c r="K71">
        <v>14.95</v>
      </c>
      <c r="L71" s="102">
        <v>8.5</v>
      </c>
      <c r="M71">
        <f t="shared" si="2"/>
        <v>5</v>
      </c>
      <c r="N71" t="str">
        <f>TEXT(FY24_Temp[[#This Row],[Date_Simple]],"Ddd")</f>
        <v>Wed</v>
      </c>
      <c r="O71" s="39">
        <v>45539</v>
      </c>
      <c r="P71" t="str">
        <f>TEXT(FY24_Temp[[#This Row],[Old_Date]],"Ddd")</f>
        <v>Wed</v>
      </c>
      <c r="Y71" s="117" t="str">
        <f>TempDelta[[#This Row],[WeekNo]]&amp;"-"&amp;TempDelta[[#This Row],[HR]]</f>
        <v>2-19</v>
      </c>
      <c r="Z71">
        <f t="shared" si="1"/>
        <v>2</v>
      </c>
      <c r="AA71">
        <v>19</v>
      </c>
      <c r="AB71">
        <v>1.1961428693362646</v>
      </c>
    </row>
    <row r="72" spans="1:28">
      <c r="A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25-07-Sun-20</v>
      </c>
      <c r="B72" s="92">
        <v>45858.833333333336</v>
      </c>
      <c r="C72" s="130">
        <v>537.58000000000004</v>
      </c>
      <c r="D72" s="131">
        <v>83.715999999999994</v>
      </c>
      <c r="I72" s="96">
        <v>45904</v>
      </c>
      <c r="J72">
        <v>10</v>
      </c>
      <c r="K72">
        <v>14.95</v>
      </c>
      <c r="L72" s="102">
        <v>8.5</v>
      </c>
      <c r="M72">
        <f t="shared" si="2"/>
        <v>5</v>
      </c>
      <c r="N72" t="str">
        <f>TEXT(FY24_Temp[[#This Row],[Date_Simple]],"Ddd")</f>
        <v>Thu</v>
      </c>
      <c r="O72" s="39">
        <v>45540</v>
      </c>
      <c r="P72" t="str">
        <f>TEXT(FY24_Temp[[#This Row],[Old_Date]],"Ddd")</f>
        <v>Thu</v>
      </c>
      <c r="Y72" s="117" t="str">
        <f>TempDelta[[#This Row],[WeekNo]]&amp;"-"&amp;TempDelta[[#This Row],[HR]]</f>
        <v>2-20</v>
      </c>
      <c r="Z72">
        <f t="shared" si="1"/>
        <v>2</v>
      </c>
      <c r="AA72">
        <v>20</v>
      </c>
      <c r="AB72">
        <v>1.6075714315686906</v>
      </c>
    </row>
    <row r="73" spans="1:28">
      <c r="A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25-07-Sun-21</v>
      </c>
      <c r="B73" s="92">
        <v>45858.875</v>
      </c>
      <c r="C73" s="130">
        <v>455.17</v>
      </c>
      <c r="D73" s="131">
        <v>74.587999999999994</v>
      </c>
      <c r="I73" s="96">
        <v>45905</v>
      </c>
      <c r="J73">
        <v>10</v>
      </c>
      <c r="K73">
        <v>14.95</v>
      </c>
      <c r="L73" s="102">
        <v>8.5</v>
      </c>
      <c r="M73">
        <f t="shared" si="2"/>
        <v>5</v>
      </c>
      <c r="N73" t="str">
        <f>TEXT(FY24_Temp[[#This Row],[Date_Simple]],"Ddd")</f>
        <v>Fri</v>
      </c>
      <c r="O73" s="39">
        <v>45541</v>
      </c>
      <c r="P73" t="str">
        <f>TEXT(FY24_Temp[[#This Row],[Old_Date]],"Ddd")</f>
        <v>Fri</v>
      </c>
      <c r="Y73" s="117" t="str">
        <f>TempDelta[[#This Row],[WeekNo]]&amp;"-"&amp;TempDelta[[#This Row],[HR]]</f>
        <v>2-21</v>
      </c>
      <c r="Z73">
        <f t="shared" si="1"/>
        <v>2</v>
      </c>
      <c r="AA73">
        <v>21</v>
      </c>
      <c r="AB73">
        <v>1.9315714410373144</v>
      </c>
    </row>
    <row r="74" spans="1:28">
      <c r="A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25-07-Sun-22</v>
      </c>
      <c r="B74" s="92">
        <v>45858.916666666664</v>
      </c>
      <c r="C74" s="130">
        <v>372.76</v>
      </c>
      <c r="D74" s="131">
        <v>56.500999999999998</v>
      </c>
      <c r="H74" s="119" t="s">
        <v>507</v>
      </c>
      <c r="I74" s="104">
        <v>45906</v>
      </c>
      <c r="J74" s="105">
        <v>10</v>
      </c>
      <c r="K74" s="105">
        <v>15.21</v>
      </c>
      <c r="L74" s="118">
        <v>8.5</v>
      </c>
      <c r="M74" s="105">
        <f t="shared" si="2"/>
        <v>6</v>
      </c>
      <c r="N74" s="105" t="str">
        <f>TEXT(FY24_Temp[[#This Row],[Date_Simple]],"Ddd")</f>
        <v>Sat</v>
      </c>
      <c r="O74" s="106">
        <v>45542</v>
      </c>
      <c r="P74" s="105" t="str">
        <f>TEXT(FY24_Temp[[#This Row],[Old_Date]],"Ddd")</f>
        <v>Sat</v>
      </c>
      <c r="Y74" s="117" t="str">
        <f>TempDelta[[#This Row],[WeekNo]]&amp;"-"&amp;TempDelta[[#This Row],[HR]]</f>
        <v>2-22</v>
      </c>
      <c r="Z74">
        <f t="shared" si="1"/>
        <v>2</v>
      </c>
      <c r="AA74">
        <v>22</v>
      </c>
      <c r="AB74">
        <v>2.2258571556636264</v>
      </c>
    </row>
    <row r="75" spans="1:28">
      <c r="A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25-07-Sun-23</v>
      </c>
      <c r="B75" s="92">
        <v>45858.958333333336</v>
      </c>
      <c r="C75" s="130">
        <v>303.536</v>
      </c>
      <c r="D75" s="131">
        <v>52.027999999999999</v>
      </c>
      <c r="I75" s="96">
        <v>45907</v>
      </c>
      <c r="J75">
        <v>10</v>
      </c>
      <c r="K75">
        <v>15.21</v>
      </c>
      <c r="L75" s="102">
        <v>8.5</v>
      </c>
      <c r="M75">
        <f t="shared" si="2"/>
        <v>6</v>
      </c>
      <c r="N75" t="str">
        <f>TEXT(FY24_Temp[[#This Row],[Date_Simple]],"Ddd")</f>
        <v>Sun</v>
      </c>
      <c r="O75" s="39">
        <v>45543</v>
      </c>
      <c r="P75" t="str">
        <f>TEXT(FY24_Temp[[#This Row],[Old_Date]],"Ddd")</f>
        <v>Sun</v>
      </c>
      <c r="Q75" t="s">
        <v>454</v>
      </c>
      <c r="Y75" s="117" t="str">
        <f>TempDelta[[#This Row],[WeekNo]]&amp;"-"&amp;TempDelta[[#This Row],[HR]]</f>
        <v>2-23</v>
      </c>
      <c r="Z75">
        <f t="shared" si="1"/>
        <v>2</v>
      </c>
      <c r="AA75">
        <v>23</v>
      </c>
      <c r="AB75">
        <v>2.3604285717010498</v>
      </c>
    </row>
    <row r="76" spans="1:28">
      <c r="A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25-08-Wkd-00</v>
      </c>
      <c r="B76" s="92">
        <v>45870</v>
      </c>
      <c r="C76" s="130">
        <v>404.56699999999995</v>
      </c>
      <c r="D76" s="131">
        <v>49.710999999999999</v>
      </c>
      <c r="I76" s="96">
        <v>45908</v>
      </c>
      <c r="J76">
        <v>10</v>
      </c>
      <c r="K76">
        <v>15.21</v>
      </c>
      <c r="L76" s="102">
        <v>8.5</v>
      </c>
      <c r="M76">
        <f t="shared" si="2"/>
        <v>6</v>
      </c>
      <c r="N76" t="str">
        <f>TEXT(FY24_Temp[[#This Row],[Date_Simple]],"Ddd")</f>
        <v>Mon</v>
      </c>
      <c r="O76" s="39">
        <v>45544</v>
      </c>
      <c r="P76" t="str">
        <f>TEXT(FY24_Temp[[#This Row],[Old_Date]],"Ddd")</f>
        <v>Mon</v>
      </c>
      <c r="Q76" s="103">
        <v>19027.20765</v>
      </c>
      <c r="R76" s="103"/>
      <c r="S76">
        <v>1</v>
      </c>
      <c r="Y76" s="117" t="str">
        <f>TempDelta[[#This Row],[WeekNo]]&amp;"-"&amp;TempDelta[[#This Row],[HR]]</f>
        <v>3-0</v>
      </c>
      <c r="Z76">
        <f t="shared" si="1"/>
        <v>3</v>
      </c>
      <c r="AA76">
        <v>0</v>
      </c>
      <c r="AB76">
        <v>2.4531428813934326</v>
      </c>
    </row>
    <row r="77" spans="1:28">
      <c r="A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25-08-Wkd-01</v>
      </c>
      <c r="B77" s="92">
        <v>45870.041666666664</v>
      </c>
      <c r="C77" s="134">
        <v>394.63299999999992</v>
      </c>
      <c r="D77" s="131">
        <v>49.698</v>
      </c>
      <c r="I77" s="96">
        <v>45909</v>
      </c>
      <c r="J77">
        <v>10</v>
      </c>
      <c r="K77">
        <v>15.21</v>
      </c>
      <c r="L77" s="102">
        <v>8.5</v>
      </c>
      <c r="M77">
        <f t="shared" si="2"/>
        <v>6</v>
      </c>
      <c r="N77" t="str">
        <f>TEXT(FY24_Temp[[#This Row],[Date_Simple]],"Ddd")</f>
        <v>Tue</v>
      </c>
      <c r="O77" s="39">
        <v>45545</v>
      </c>
      <c r="P77" t="str">
        <f>TEXT(FY24_Temp[[#This Row],[Old_Date]],"Ddd")</f>
        <v>Tue</v>
      </c>
      <c r="S77">
        <v>0.5</v>
      </c>
      <c r="T77" s="103">
        <f>$Q$76*S76</f>
        <v>19027.20765</v>
      </c>
      <c r="Y77" s="117" t="str">
        <f>TempDelta[[#This Row],[WeekNo]]&amp;"-"&amp;TempDelta[[#This Row],[HR]]</f>
        <v>3-1</v>
      </c>
      <c r="Z77">
        <f t="shared" si="1"/>
        <v>3</v>
      </c>
      <c r="AA77">
        <v>1</v>
      </c>
      <c r="AB77">
        <v>2.5072856971195767</v>
      </c>
    </row>
    <row r="78" spans="1:28">
      <c r="A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25-08-Wkd-02</v>
      </c>
      <c r="B78" s="92">
        <v>45870.083333333336</v>
      </c>
      <c r="C78" s="134">
        <v>394.63299999999992</v>
      </c>
      <c r="D78" s="131">
        <v>49.698</v>
      </c>
      <c r="I78" s="96">
        <v>45910</v>
      </c>
      <c r="J78">
        <v>10</v>
      </c>
      <c r="K78">
        <v>15.21</v>
      </c>
      <c r="L78" s="102">
        <v>8.5</v>
      </c>
      <c r="M78">
        <f t="shared" si="2"/>
        <v>6</v>
      </c>
      <c r="N78" t="str">
        <f>TEXT(FY24_Temp[[#This Row],[Date_Simple]],"Ddd")</f>
        <v>Wed</v>
      </c>
      <c r="O78" s="39">
        <v>45546</v>
      </c>
      <c r="P78" t="str">
        <f>TEXT(FY24_Temp[[#This Row],[Old_Date]],"Ddd")</f>
        <v>Wed</v>
      </c>
      <c r="S78">
        <v>0.1</v>
      </c>
      <c r="T78" s="103">
        <f>$Q$76*S77</f>
        <v>9513.6038250000001</v>
      </c>
      <c r="Y78" s="117" t="str">
        <f>TempDelta[[#This Row],[WeekNo]]&amp;"-"&amp;TempDelta[[#This Row],[HR]]</f>
        <v>3-2</v>
      </c>
      <c r="Z78">
        <f t="shared" si="1"/>
        <v>3</v>
      </c>
      <c r="AA78">
        <v>2</v>
      </c>
      <c r="AB78">
        <v>2.5261428356170654</v>
      </c>
    </row>
    <row r="79" spans="1:28">
      <c r="A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25-08-Wkd-03</v>
      </c>
      <c r="B79" s="92">
        <v>45870.125</v>
      </c>
      <c r="C79" s="134">
        <v>394.63299999999992</v>
      </c>
      <c r="D79" s="131">
        <v>50.014000000000003</v>
      </c>
      <c r="I79" s="96">
        <v>45911</v>
      </c>
      <c r="J79">
        <v>10</v>
      </c>
      <c r="K79">
        <v>15.21</v>
      </c>
      <c r="L79" s="102">
        <v>8.5</v>
      </c>
      <c r="M79">
        <f t="shared" si="2"/>
        <v>6</v>
      </c>
      <c r="N79" t="str">
        <f>TEXT(FY24_Temp[[#This Row],[Date_Simple]],"Ddd")</f>
        <v>Thu</v>
      </c>
      <c r="O79" s="39">
        <v>45547</v>
      </c>
      <c r="P79" t="str">
        <f>TEXT(FY24_Temp[[#This Row],[Old_Date]],"Ddd")</f>
        <v>Thu</v>
      </c>
      <c r="S79">
        <v>0.01</v>
      </c>
      <c r="T79" s="103">
        <f>$Q$76*S78</f>
        <v>1902.720765</v>
      </c>
      <c r="Y79" s="117" t="str">
        <f>TempDelta[[#This Row],[WeekNo]]&amp;"-"&amp;TempDelta[[#This Row],[HR]]</f>
        <v>3-3</v>
      </c>
      <c r="Z79">
        <f t="shared" si="1"/>
        <v>3</v>
      </c>
      <c r="AA79">
        <v>3</v>
      </c>
      <c r="AB79">
        <v>2.521428550992693</v>
      </c>
    </row>
    <row r="80" spans="1:28">
      <c r="A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25-08-Wkd-04</v>
      </c>
      <c r="B80" s="92">
        <v>45870.166666666664</v>
      </c>
      <c r="C80" s="134">
        <v>394.63299999999992</v>
      </c>
      <c r="D80" s="131">
        <v>50.079000000000001</v>
      </c>
      <c r="I80" s="96">
        <v>45912</v>
      </c>
      <c r="J80">
        <v>10</v>
      </c>
      <c r="K80">
        <v>15.21</v>
      </c>
      <c r="L80" s="102">
        <v>8.5</v>
      </c>
      <c r="M80">
        <f t="shared" si="2"/>
        <v>6</v>
      </c>
      <c r="N80" t="str">
        <f>TEXT(FY24_Temp[[#This Row],[Date_Simple]],"Ddd")</f>
        <v>Fri</v>
      </c>
      <c r="O80" s="39">
        <v>45548</v>
      </c>
      <c r="P80" t="str">
        <f>TEXT(FY24_Temp[[#This Row],[Old_Date]],"Ddd")</f>
        <v>Fri</v>
      </c>
      <c r="S80">
        <v>1E-3</v>
      </c>
      <c r="T80" s="103">
        <f>$Q$76*S79</f>
        <v>190.2720765</v>
      </c>
      <c r="Y80" s="117" t="str">
        <f>TempDelta[[#This Row],[WeekNo]]&amp;"-"&amp;TempDelta[[#This Row],[HR]]</f>
        <v>3-4</v>
      </c>
      <c r="Z80">
        <f t="shared" si="1"/>
        <v>3</v>
      </c>
      <c r="AA80">
        <v>4</v>
      </c>
      <c r="AB80">
        <v>2.5227143423897878</v>
      </c>
    </row>
    <row r="81" spans="1:28">
      <c r="A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25-08-Wkd-05</v>
      </c>
      <c r="B81" s="92">
        <v>45870.208333333336</v>
      </c>
      <c r="C81" s="134">
        <v>394.63299999999992</v>
      </c>
      <c r="D81" s="131">
        <v>54.786999999999999</v>
      </c>
      <c r="H81" t="s">
        <v>508</v>
      </c>
      <c r="I81" s="104">
        <v>45913</v>
      </c>
      <c r="J81" s="105">
        <v>10</v>
      </c>
      <c r="K81" s="105">
        <v>15.49</v>
      </c>
      <c r="L81" s="118">
        <v>8.5</v>
      </c>
      <c r="M81" s="105">
        <f t="shared" si="2"/>
        <v>7</v>
      </c>
      <c r="N81" s="105" t="str">
        <f>TEXT(FY24_Temp[[#This Row],[Date_Simple]],"Ddd")</f>
        <v>Sat</v>
      </c>
      <c r="O81" s="106">
        <v>45549</v>
      </c>
      <c r="P81" s="105" t="str">
        <f>TEXT(FY24_Temp[[#This Row],[Old_Date]],"Ddd")</f>
        <v>Sat</v>
      </c>
      <c r="T81" s="103">
        <f>$Q$76*S80</f>
        <v>19.027207650000001</v>
      </c>
      <c r="Y81" s="117" t="str">
        <f>TempDelta[[#This Row],[WeekNo]]&amp;"-"&amp;TempDelta[[#This Row],[HR]]</f>
        <v>3-5</v>
      </c>
      <c r="Z81">
        <f t="shared" si="1"/>
        <v>3</v>
      </c>
      <c r="AA81">
        <v>5</v>
      </c>
      <c r="AB81">
        <v>2.5675714015960693</v>
      </c>
    </row>
    <row r="82" spans="1:28">
      <c r="A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25-08-Wkd-06</v>
      </c>
      <c r="B82" s="92">
        <v>45870.25</v>
      </c>
      <c r="C82" s="134">
        <v>394.63299999999992</v>
      </c>
      <c r="D82" s="131">
        <v>49.725000000000001</v>
      </c>
      <c r="I82" s="96">
        <v>45914</v>
      </c>
      <c r="J82">
        <v>10</v>
      </c>
      <c r="K82">
        <v>15.49</v>
      </c>
      <c r="L82" s="102">
        <v>8.5</v>
      </c>
      <c r="M82">
        <f t="shared" si="2"/>
        <v>7</v>
      </c>
      <c r="N82" t="str">
        <f>TEXT(FY24_Temp[[#This Row],[Date_Simple]],"Ddd")</f>
        <v>Sun</v>
      </c>
      <c r="O82" s="39">
        <v>45550</v>
      </c>
      <c r="P82" t="str">
        <f>TEXT(FY24_Temp[[#This Row],[Old_Date]],"Ddd")</f>
        <v>Sun</v>
      </c>
      <c r="Y82" s="117" t="str">
        <f>TempDelta[[#This Row],[WeekNo]]&amp;"-"&amp;TempDelta[[#This Row],[HR]]</f>
        <v>3-6</v>
      </c>
      <c r="Z82">
        <f t="shared" si="1"/>
        <v>3</v>
      </c>
      <c r="AA82">
        <v>6</v>
      </c>
      <c r="AB82">
        <v>2.5785714558192661</v>
      </c>
    </row>
    <row r="83" spans="1:28">
      <c r="A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25-08-Wkd-07</v>
      </c>
      <c r="B83" s="92">
        <v>45870.291666666664</v>
      </c>
      <c r="C83" s="134">
        <v>382.83600000000007</v>
      </c>
      <c r="D83" s="131">
        <v>49.652000000000001</v>
      </c>
      <c r="I83" s="96">
        <v>45915</v>
      </c>
      <c r="J83">
        <v>10</v>
      </c>
      <c r="K83">
        <v>15.49</v>
      </c>
      <c r="L83" s="102">
        <v>8.5</v>
      </c>
      <c r="M83">
        <f t="shared" si="2"/>
        <v>7</v>
      </c>
      <c r="N83" t="str">
        <f>TEXT(FY24_Temp[[#This Row],[Date_Simple]],"Ddd")</f>
        <v>Mon</v>
      </c>
      <c r="O83" s="39">
        <v>45551</v>
      </c>
      <c r="P83" t="str">
        <f>TEXT(FY24_Temp[[#This Row],[Old_Date]],"Ddd")</f>
        <v>Mon</v>
      </c>
      <c r="Y83" s="117" t="str">
        <f>TempDelta[[#This Row],[WeekNo]]&amp;"-"&amp;TempDelta[[#This Row],[HR]]</f>
        <v>3-7</v>
      </c>
      <c r="Z83">
        <f t="shared" si="1"/>
        <v>3</v>
      </c>
      <c r="AA83">
        <v>7</v>
      </c>
      <c r="AB83">
        <v>2.5442857401711598</v>
      </c>
    </row>
    <row r="84" spans="1:28">
      <c r="A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25-08-Wkd-08</v>
      </c>
      <c r="B84" s="92">
        <v>45870.333333333336</v>
      </c>
      <c r="C84" s="134">
        <v>382.83600000000007</v>
      </c>
      <c r="D84" s="131">
        <v>49.613</v>
      </c>
      <c r="I84" s="96">
        <v>45916</v>
      </c>
      <c r="J84">
        <v>10</v>
      </c>
      <c r="K84">
        <v>15.49</v>
      </c>
      <c r="L84" s="102">
        <v>8.5</v>
      </c>
      <c r="M84">
        <f t="shared" si="2"/>
        <v>7</v>
      </c>
      <c r="N84" t="str">
        <f>TEXT(FY24_Temp[[#This Row],[Date_Simple]],"Ddd")</f>
        <v>Tue</v>
      </c>
      <c r="O84" s="39">
        <v>45552</v>
      </c>
      <c r="P84" t="str">
        <f>TEXT(FY24_Temp[[#This Row],[Old_Date]],"Ddd")</f>
        <v>Tue</v>
      </c>
      <c r="Y84" s="117" t="str">
        <f>TempDelta[[#This Row],[WeekNo]]&amp;"-"&amp;TempDelta[[#This Row],[HR]]</f>
        <v>3-8</v>
      </c>
      <c r="Z84">
        <f t="shared" si="1"/>
        <v>3</v>
      </c>
      <c r="AA84">
        <v>8</v>
      </c>
      <c r="AB84">
        <v>2.4372856957571849</v>
      </c>
    </row>
    <row r="85" spans="1:28">
      <c r="A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25-08-Wkd-09</v>
      </c>
      <c r="B85" s="92">
        <v>45870.375</v>
      </c>
      <c r="C85" s="134">
        <v>370.2277073680126</v>
      </c>
      <c r="D85" s="131">
        <v>49.539000000000001</v>
      </c>
      <c r="I85" s="96">
        <v>45917</v>
      </c>
      <c r="J85">
        <v>10</v>
      </c>
      <c r="K85">
        <v>15.49</v>
      </c>
      <c r="L85" s="102">
        <v>8.5</v>
      </c>
      <c r="M85">
        <f t="shared" si="2"/>
        <v>7</v>
      </c>
      <c r="N85" t="str">
        <f>TEXT(FY24_Temp[[#This Row],[Date_Simple]],"Ddd")</f>
        <v>Wed</v>
      </c>
      <c r="O85" s="39">
        <v>45553</v>
      </c>
      <c r="P85" t="str">
        <f>TEXT(FY24_Temp[[#This Row],[Old_Date]],"Ddd")</f>
        <v>Wed</v>
      </c>
      <c r="Y85" s="117" t="str">
        <f>TempDelta[[#This Row],[WeekNo]]&amp;"-"&amp;TempDelta[[#This Row],[HR]]</f>
        <v>3-9</v>
      </c>
      <c r="Z85">
        <f t="shared" si="1"/>
        <v>3</v>
      </c>
      <c r="AA85">
        <v>9</v>
      </c>
      <c r="AB85">
        <v>2.254857131413051</v>
      </c>
    </row>
    <row r="86" spans="1:28">
      <c r="A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25-08-Wkd-10</v>
      </c>
      <c r="B86" s="92">
        <v>45870.416666666664</v>
      </c>
      <c r="C86" s="134">
        <v>367.8705815375842</v>
      </c>
      <c r="D86" s="131">
        <v>49.460999999999999</v>
      </c>
      <c r="I86" s="96">
        <v>45918</v>
      </c>
      <c r="J86">
        <v>10</v>
      </c>
      <c r="K86">
        <v>15.49</v>
      </c>
      <c r="L86" s="102">
        <v>8.5</v>
      </c>
      <c r="M86">
        <f t="shared" si="2"/>
        <v>7</v>
      </c>
      <c r="N86" t="str">
        <f>TEXT(FY24_Temp[[#This Row],[Date_Simple]],"Ddd")</f>
        <v>Thu</v>
      </c>
      <c r="O86" s="39">
        <v>45554</v>
      </c>
      <c r="P86" t="str">
        <f>TEXT(FY24_Temp[[#This Row],[Old_Date]],"Ddd")</f>
        <v>Thu</v>
      </c>
      <c r="Y86" s="117" t="str">
        <f>TempDelta[[#This Row],[WeekNo]]&amp;"-"&amp;TempDelta[[#This Row],[HR]]</f>
        <v>3-10</v>
      </c>
      <c r="Z86">
        <f t="shared" si="1"/>
        <v>3</v>
      </c>
      <c r="AA86">
        <v>10</v>
      </c>
      <c r="AB86">
        <v>2.044999991144453</v>
      </c>
    </row>
    <row r="87" spans="1:28">
      <c r="A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25-08-Wkd-11</v>
      </c>
      <c r="B87" s="92">
        <v>45870.458333333336</v>
      </c>
      <c r="C87" s="134">
        <v>367.8705815375842</v>
      </c>
      <c r="D87" s="131">
        <v>49.414999999999999</v>
      </c>
      <c r="I87" s="96">
        <v>45919</v>
      </c>
      <c r="J87">
        <v>10</v>
      </c>
      <c r="K87">
        <v>15.49</v>
      </c>
      <c r="L87" s="102">
        <v>8.5</v>
      </c>
      <c r="M87">
        <f t="shared" si="2"/>
        <v>7</v>
      </c>
      <c r="N87" t="str">
        <f>TEXT(FY24_Temp[[#This Row],[Date_Simple]],"Ddd")</f>
        <v>Fri</v>
      </c>
      <c r="O87" s="39">
        <v>45555</v>
      </c>
      <c r="P87" t="str">
        <f>TEXT(FY24_Temp[[#This Row],[Old_Date]],"Ddd")</f>
        <v>Fri</v>
      </c>
      <c r="Y87" s="117" t="str">
        <f>TempDelta[[#This Row],[WeekNo]]&amp;"-"&amp;TempDelta[[#This Row],[HR]]</f>
        <v>3-11</v>
      </c>
      <c r="Z87">
        <f t="shared" si="1"/>
        <v>3</v>
      </c>
      <c r="AA87">
        <v>11</v>
      </c>
      <c r="AB87">
        <v>1.7985714163099016</v>
      </c>
    </row>
    <row r="88" spans="1:28">
      <c r="A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25-08-Wkd-12</v>
      </c>
      <c r="B88" s="92">
        <v>45870.5</v>
      </c>
      <c r="C88" s="134">
        <v>367.8705815375842</v>
      </c>
      <c r="D88" s="131">
        <v>49.393999999999998</v>
      </c>
      <c r="H88" s="119" t="s">
        <v>509</v>
      </c>
      <c r="I88" s="104">
        <v>45920</v>
      </c>
      <c r="J88" s="105">
        <v>10.5</v>
      </c>
      <c r="K88" s="105">
        <v>16.8</v>
      </c>
      <c r="L88" s="118">
        <v>8.1</v>
      </c>
      <c r="M88" s="105">
        <f t="shared" si="2"/>
        <v>8</v>
      </c>
      <c r="N88" s="105" t="str">
        <f>TEXT(FY24_Temp[[#This Row],[Date_Simple]],"Ddd")</f>
        <v>Sat</v>
      </c>
      <c r="O88" s="106">
        <v>45556</v>
      </c>
      <c r="P88" s="105" t="str">
        <f>TEXT(FY24_Temp[[#This Row],[Old_Date]],"Ddd")</f>
        <v>Sat</v>
      </c>
      <c r="Y88" s="117" t="str">
        <f>TempDelta[[#This Row],[WeekNo]]&amp;"-"&amp;TempDelta[[#This Row],[HR]]</f>
        <v>3-12</v>
      </c>
      <c r="Z88">
        <f t="shared" si="1"/>
        <v>3</v>
      </c>
      <c r="AA88">
        <v>12</v>
      </c>
      <c r="AB88">
        <v>1.5495714289801461</v>
      </c>
    </row>
    <row r="89" spans="1:28">
      <c r="A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25-08-Wkd-13</v>
      </c>
      <c r="B89" s="92">
        <v>45870.541666666664</v>
      </c>
      <c r="C89" s="134">
        <v>423.81500000000023</v>
      </c>
      <c r="D89" s="131">
        <v>49.488</v>
      </c>
      <c r="I89" s="96">
        <v>45921</v>
      </c>
      <c r="J89">
        <v>10.5</v>
      </c>
      <c r="K89">
        <v>16.8</v>
      </c>
      <c r="L89" s="102">
        <v>8.1</v>
      </c>
      <c r="M89">
        <f t="shared" si="2"/>
        <v>8</v>
      </c>
      <c r="N89" t="str">
        <f>TEXT(FY24_Temp[[#This Row],[Date_Simple]],"Ddd")</f>
        <v>Sun</v>
      </c>
      <c r="O89" s="39">
        <v>45557</v>
      </c>
      <c r="P89" t="str">
        <f>TEXT(FY24_Temp[[#This Row],[Old_Date]],"Ddd")</f>
        <v>Sun</v>
      </c>
      <c r="Y89" s="117" t="str">
        <f>TempDelta[[#This Row],[WeekNo]]&amp;"-"&amp;TempDelta[[#This Row],[HR]]</f>
        <v>3-13</v>
      </c>
      <c r="Z89">
        <f t="shared" si="1"/>
        <v>3</v>
      </c>
      <c r="AA89">
        <v>13</v>
      </c>
      <c r="AB89">
        <v>1.3002856969833374</v>
      </c>
    </row>
    <row r="90" spans="1:28">
      <c r="A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25-08-Wkd-14</v>
      </c>
      <c r="B90" s="92">
        <v>45870.583333333336</v>
      </c>
      <c r="C90" s="134">
        <v>679.93100000000027</v>
      </c>
      <c r="D90" s="131">
        <v>51.942</v>
      </c>
      <c r="I90" s="96">
        <v>45922</v>
      </c>
      <c r="J90">
        <v>10.5</v>
      </c>
      <c r="K90">
        <v>16.8</v>
      </c>
      <c r="L90" s="102">
        <v>8.1</v>
      </c>
      <c r="M90">
        <f t="shared" si="2"/>
        <v>8</v>
      </c>
      <c r="N90" t="str">
        <f>TEXT(FY24_Temp[[#This Row],[Date_Simple]],"Ddd")</f>
        <v>Mon</v>
      </c>
      <c r="O90" s="39">
        <v>45558</v>
      </c>
      <c r="P90" t="str">
        <f>TEXT(FY24_Temp[[#This Row],[Old_Date]],"Ddd")</f>
        <v>Mon</v>
      </c>
      <c r="Y90" s="117" t="str">
        <f>TempDelta[[#This Row],[WeekNo]]&amp;"-"&amp;TempDelta[[#This Row],[HR]]</f>
        <v>3-14</v>
      </c>
      <c r="Z90">
        <f t="shared" si="1"/>
        <v>3</v>
      </c>
      <c r="AA90">
        <v>14</v>
      </c>
      <c r="AB90">
        <v>1.065142844404493</v>
      </c>
    </row>
    <row r="91" spans="1:28">
      <c r="A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25-08-Wkd-15</v>
      </c>
      <c r="B91" s="92">
        <v>45870.625</v>
      </c>
      <c r="C91" s="134">
        <v>760.64700000000039</v>
      </c>
      <c r="D91" s="131">
        <v>58.341000000000001</v>
      </c>
      <c r="I91" s="96">
        <v>45923</v>
      </c>
      <c r="J91">
        <v>10.5</v>
      </c>
      <c r="K91">
        <v>16.8</v>
      </c>
      <c r="L91" s="102">
        <v>8.1</v>
      </c>
      <c r="M91">
        <f t="shared" si="2"/>
        <v>8</v>
      </c>
      <c r="N91" t="str">
        <f>TEXT(FY24_Temp[[#This Row],[Date_Simple]],"Ddd")</f>
        <v>Tue</v>
      </c>
      <c r="O91" s="39">
        <v>45559</v>
      </c>
      <c r="P91" t="str">
        <f>TEXT(FY24_Temp[[#This Row],[Old_Date]],"Ddd")</f>
        <v>Tue</v>
      </c>
      <c r="Y91" s="117" t="str">
        <f>TempDelta[[#This Row],[WeekNo]]&amp;"-"&amp;TempDelta[[#This Row],[HR]]</f>
        <v>3-15</v>
      </c>
      <c r="Z91">
        <f t="shared" si="1"/>
        <v>3</v>
      </c>
      <c r="AA91">
        <v>15</v>
      </c>
      <c r="AB91">
        <v>0.74900000010217938</v>
      </c>
    </row>
    <row r="92" spans="1:28">
      <c r="A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25-08-Wkd-16</v>
      </c>
      <c r="B92" s="92">
        <v>45870.666666666664</v>
      </c>
      <c r="C92" s="134">
        <v>854.64279782235462</v>
      </c>
      <c r="D92" s="131">
        <v>74.180000000000007</v>
      </c>
      <c r="I92" s="96">
        <v>45924</v>
      </c>
      <c r="J92">
        <v>10.5</v>
      </c>
      <c r="K92">
        <v>16.8</v>
      </c>
      <c r="L92" s="102">
        <v>8.1</v>
      </c>
      <c r="M92">
        <f t="shared" si="2"/>
        <v>8</v>
      </c>
      <c r="N92" t="str">
        <f>TEXT(FY24_Temp[[#This Row],[Date_Simple]],"Ddd")</f>
        <v>Wed</v>
      </c>
      <c r="O92" s="39">
        <v>45560</v>
      </c>
      <c r="P92" t="str">
        <f>TEXT(FY24_Temp[[#This Row],[Old_Date]],"Ddd")</f>
        <v>Wed</v>
      </c>
      <c r="Y92" s="117" t="str">
        <f>TempDelta[[#This Row],[WeekNo]]&amp;"-"&amp;TempDelta[[#This Row],[HR]]</f>
        <v>3-16</v>
      </c>
      <c r="Z92">
        <f t="shared" si="1"/>
        <v>3</v>
      </c>
      <c r="AA92">
        <v>16</v>
      </c>
      <c r="AB92">
        <v>0.60964286114488331</v>
      </c>
    </row>
    <row r="93" spans="1:28">
      <c r="A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25-08-Wkd-17</v>
      </c>
      <c r="B93" s="92">
        <v>45870.708333333336</v>
      </c>
      <c r="C93" s="134">
        <v>854.64279782235462</v>
      </c>
      <c r="D93" s="131">
        <v>111.334</v>
      </c>
      <c r="I93" s="96">
        <v>45925</v>
      </c>
      <c r="J93">
        <v>10.5</v>
      </c>
      <c r="K93">
        <v>16.8</v>
      </c>
      <c r="L93" s="102">
        <v>8.1</v>
      </c>
      <c r="M93">
        <f t="shared" si="2"/>
        <v>8</v>
      </c>
      <c r="N93" t="str">
        <f>TEXT(FY24_Temp[[#This Row],[Date_Simple]],"Ddd")</f>
        <v>Thu</v>
      </c>
      <c r="O93" s="39">
        <v>45561</v>
      </c>
      <c r="P93" t="str">
        <f>TEXT(FY24_Temp[[#This Row],[Old_Date]],"Ddd")</f>
        <v>Thu</v>
      </c>
      <c r="Y93" s="117" t="str">
        <f>TempDelta[[#This Row],[WeekNo]]&amp;"-"&amp;TempDelta[[#This Row],[HR]]</f>
        <v>3-17</v>
      </c>
      <c r="Z93">
        <f t="shared" ref="Z93:Z156" si="3">Z69+1</f>
        <v>3</v>
      </c>
      <c r="AA93">
        <v>17</v>
      </c>
      <c r="AB93">
        <v>0.63592857335294994</v>
      </c>
    </row>
    <row r="94" spans="1:28">
      <c r="A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25-08-Wkd-18</v>
      </c>
      <c r="B94" s="92">
        <v>45870.75</v>
      </c>
      <c r="C94" s="134">
        <v>854.64279782235485</v>
      </c>
      <c r="D94" s="131">
        <v>117.863</v>
      </c>
      <c r="I94" s="96">
        <v>45926</v>
      </c>
      <c r="J94">
        <v>10.5</v>
      </c>
      <c r="K94">
        <v>16.8</v>
      </c>
      <c r="L94" s="102">
        <v>8.1</v>
      </c>
      <c r="M94">
        <f t="shared" si="2"/>
        <v>8</v>
      </c>
      <c r="N94" t="str">
        <f>TEXT(FY24_Temp[[#This Row],[Date_Simple]],"Ddd")</f>
        <v>Fri</v>
      </c>
      <c r="O94" s="39">
        <v>45562</v>
      </c>
      <c r="P94" t="str">
        <f>TEXT(FY24_Temp[[#This Row],[Old_Date]],"Ddd")</f>
        <v>Fri</v>
      </c>
      <c r="Y94" s="117" t="str">
        <f>TempDelta[[#This Row],[WeekNo]]&amp;"-"&amp;TempDelta[[#This Row],[HR]]</f>
        <v>3-18</v>
      </c>
      <c r="Z94">
        <f t="shared" si="3"/>
        <v>3</v>
      </c>
      <c r="AA94">
        <v>18</v>
      </c>
      <c r="AB94">
        <v>0.84400000316756107</v>
      </c>
    </row>
    <row r="95" spans="1:28">
      <c r="A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25-08-Wkd-19</v>
      </c>
      <c r="B95" s="92">
        <v>45870.791666666664</v>
      </c>
      <c r="C95" s="134">
        <v>854.64279782235485</v>
      </c>
      <c r="D95" s="131">
        <v>117.911</v>
      </c>
      <c r="H95" t="s">
        <v>510</v>
      </c>
      <c r="I95" s="104">
        <v>45927</v>
      </c>
      <c r="J95" s="105">
        <v>10.5</v>
      </c>
      <c r="K95" s="105">
        <v>17.399999999999999</v>
      </c>
      <c r="L95" s="118">
        <v>8.1999999999999993</v>
      </c>
      <c r="M95" s="105">
        <f t="shared" si="2"/>
        <v>9</v>
      </c>
      <c r="N95" s="105" t="str">
        <f>TEXT(FY24_Temp[[#This Row],[Date_Simple]],"Ddd")</f>
        <v>Sat</v>
      </c>
      <c r="O95" s="106">
        <v>45563</v>
      </c>
      <c r="P95" s="105" t="str">
        <f>TEXT(FY24_Temp[[#This Row],[Old_Date]],"Ddd")</f>
        <v>Sat</v>
      </c>
      <c r="Y95" s="117" t="str">
        <f>TempDelta[[#This Row],[WeekNo]]&amp;"-"&amp;TempDelta[[#This Row],[HR]]</f>
        <v>3-19</v>
      </c>
      <c r="Z95">
        <f t="shared" si="3"/>
        <v>3</v>
      </c>
      <c r="AA95">
        <v>19</v>
      </c>
      <c r="AB95">
        <v>1.1514999994209834</v>
      </c>
    </row>
    <row r="96" spans="1:28">
      <c r="A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25-08-Wkd-20</v>
      </c>
      <c r="B96" s="92">
        <v>45870.833333333336</v>
      </c>
      <c r="C96" s="134">
        <v>854.64279782235485</v>
      </c>
      <c r="D96" s="131">
        <v>117.867</v>
      </c>
      <c r="I96" s="96">
        <v>45928</v>
      </c>
      <c r="J96">
        <v>10.5</v>
      </c>
      <c r="K96">
        <v>17.399999999999999</v>
      </c>
      <c r="L96" s="102">
        <v>8.1999999999999993</v>
      </c>
      <c r="M96">
        <f t="shared" si="2"/>
        <v>9</v>
      </c>
      <c r="N96" t="str">
        <f>TEXT(FY24_Temp[[#This Row],[Date_Simple]],"Ddd")</f>
        <v>Sun</v>
      </c>
      <c r="O96" s="39">
        <v>45564</v>
      </c>
      <c r="P96" t="str">
        <f>TEXT(FY24_Temp[[#This Row],[Old_Date]],"Ddd")</f>
        <v>Sun</v>
      </c>
      <c r="Y96" s="117" t="str">
        <f>TempDelta[[#This Row],[WeekNo]]&amp;"-"&amp;TempDelta[[#This Row],[HR]]</f>
        <v>3-20</v>
      </c>
      <c r="Z96">
        <f t="shared" si="3"/>
        <v>3</v>
      </c>
      <c r="AA96">
        <v>20</v>
      </c>
      <c r="AB96">
        <v>1.5629285573959351</v>
      </c>
    </row>
    <row r="97" spans="1:29">
      <c r="A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25-08-Wkd-21</v>
      </c>
      <c r="B97" s="92">
        <v>45870.875</v>
      </c>
      <c r="C97" s="134">
        <v>852.60561115568805</v>
      </c>
      <c r="D97" s="131">
        <v>115.694</v>
      </c>
      <c r="I97" s="96">
        <v>45929</v>
      </c>
      <c r="J97">
        <v>10.5</v>
      </c>
      <c r="K97">
        <v>17.399999999999999</v>
      </c>
      <c r="L97" s="102">
        <v>8.1999999999999993</v>
      </c>
      <c r="M97">
        <f t="shared" si="2"/>
        <v>9</v>
      </c>
      <c r="N97" t="str">
        <f>TEXT(FY24_Temp[[#This Row],[Date_Simple]],"Ddd")</f>
        <v>Mon</v>
      </c>
      <c r="O97" s="39">
        <v>45565</v>
      </c>
      <c r="P97" t="str">
        <f>TEXT(FY24_Temp[[#This Row],[Old_Date]],"Ddd")</f>
        <v>Mon</v>
      </c>
      <c r="Y97" s="117" t="str">
        <f>TempDelta[[#This Row],[WeekNo]]&amp;"-"&amp;TempDelta[[#This Row],[HR]]</f>
        <v>3-21</v>
      </c>
      <c r="Z97">
        <f t="shared" si="3"/>
        <v>3</v>
      </c>
      <c r="AA97">
        <v>21</v>
      </c>
      <c r="AB97">
        <v>1.8850000074931554</v>
      </c>
    </row>
    <row r="98" spans="1:29">
      <c r="A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25-08-Wkd-22</v>
      </c>
      <c r="B98" s="92">
        <v>45870.916666666664</v>
      </c>
      <c r="C98" s="134">
        <v>652.24891308436929</v>
      </c>
      <c r="D98" s="131">
        <v>105.96</v>
      </c>
      <c r="I98" s="96">
        <v>45930</v>
      </c>
      <c r="J98">
        <v>10.5</v>
      </c>
      <c r="K98">
        <v>17.399999999999999</v>
      </c>
      <c r="L98" s="102">
        <v>8.1999999999999993</v>
      </c>
      <c r="M98">
        <f t="shared" si="2"/>
        <v>9</v>
      </c>
      <c r="N98" t="str">
        <f>TEXT(FY24_Temp[[#This Row],[Date_Simple]],"Ddd")</f>
        <v>Tue</v>
      </c>
      <c r="O98" s="39">
        <v>45566</v>
      </c>
      <c r="P98" t="str">
        <f>TEXT(FY24_Temp[[#This Row],[Old_Date]],"Ddd")</f>
        <v>Tue</v>
      </c>
      <c r="Y98" s="117" t="str">
        <f>TempDelta[[#This Row],[WeekNo]]&amp;"-"&amp;TempDelta[[#This Row],[HR]]</f>
        <v>3-22</v>
      </c>
      <c r="Z98">
        <f t="shared" si="3"/>
        <v>3</v>
      </c>
      <c r="AA98">
        <v>22</v>
      </c>
      <c r="AB98">
        <v>2.1824284962245395</v>
      </c>
    </row>
    <row r="99" spans="1:29" ht="15" thickBot="1">
      <c r="A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25-08-Wkd-23</v>
      </c>
      <c r="B99" s="92">
        <v>45870.958333333336</v>
      </c>
      <c r="C99" s="134">
        <v>528.74499999999989</v>
      </c>
      <c r="D99" s="131">
        <v>53.39</v>
      </c>
      <c r="I99" s="96">
        <v>45931</v>
      </c>
      <c r="J99">
        <v>10.5</v>
      </c>
      <c r="K99">
        <v>17.399999999999999</v>
      </c>
      <c r="L99" s="102">
        <v>8.1999999999999993</v>
      </c>
      <c r="M99">
        <f t="shared" si="2"/>
        <v>9</v>
      </c>
      <c r="N99" t="str">
        <f>TEXT(FY24_Temp[[#This Row],[Date_Simple]],"Ddd")</f>
        <v>Wed</v>
      </c>
      <c r="O99" s="39">
        <v>45567</v>
      </c>
      <c r="P99" t="str">
        <f>TEXT(FY24_Temp[[#This Row],[Old_Date]],"Ddd")</f>
        <v>Wed</v>
      </c>
      <c r="Y99" s="117" t="str">
        <f>TempDelta[[#This Row],[WeekNo]]&amp;"-"&amp;TempDelta[[#This Row],[HR]]</f>
        <v>3-23</v>
      </c>
      <c r="Z99">
        <f t="shared" si="3"/>
        <v>3</v>
      </c>
      <c r="AA99">
        <v>23</v>
      </c>
      <c r="AB99">
        <v>2.3112857682364329</v>
      </c>
    </row>
    <row r="100" spans="1:29" ht="15" thickBot="1">
      <c r="A100" s="159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25-08-Sat-00</v>
      </c>
      <c r="B100" s="160">
        <v>45871</v>
      </c>
      <c r="C100" s="161">
        <v>403.67100000000005</v>
      </c>
      <c r="D100" s="162">
        <v>49.710999999999999</v>
      </c>
      <c r="I100" s="96">
        <v>45932</v>
      </c>
      <c r="J100">
        <v>10.5</v>
      </c>
      <c r="K100">
        <v>17.399999999999999</v>
      </c>
      <c r="L100" s="102">
        <v>8.1999999999999993</v>
      </c>
      <c r="M100">
        <f t="shared" si="2"/>
        <v>9</v>
      </c>
      <c r="N100" t="str">
        <f>TEXT(FY24_Temp[[#This Row],[Date_Simple]],"Ddd")</f>
        <v>Thu</v>
      </c>
      <c r="O100" s="39">
        <v>45568</v>
      </c>
      <c r="P100" t="str">
        <f>TEXT(FY24_Temp[[#This Row],[Old_Date]],"Ddd")</f>
        <v>Thu</v>
      </c>
      <c r="V100" s="100">
        <v>45892</v>
      </c>
      <c r="W100" s="100">
        <f>V100+6</f>
        <v>45898</v>
      </c>
      <c r="Y100" s="117" t="str">
        <f>TempDelta[[#This Row],[WeekNo]]&amp;"-"&amp;TempDelta[[#This Row],[HR]]</f>
        <v>4-0</v>
      </c>
      <c r="Z100">
        <f t="shared" si="3"/>
        <v>4</v>
      </c>
      <c r="AA100">
        <v>0</v>
      </c>
      <c r="AB100" s="158">
        <v>2.2534285613468716</v>
      </c>
      <c r="AC100" s="175">
        <v>45892</v>
      </c>
    </row>
    <row r="101" spans="1:29">
      <c r="A1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25-08-Sat-01</v>
      </c>
      <c r="B101" s="92">
        <v>45871.041666666664</v>
      </c>
      <c r="C101" s="134">
        <v>393.94900000000007</v>
      </c>
      <c r="D101" s="131">
        <v>49.698</v>
      </c>
      <c r="I101" s="96">
        <v>45933</v>
      </c>
      <c r="J101">
        <v>10.5</v>
      </c>
      <c r="K101">
        <v>17.399999999999999</v>
      </c>
      <c r="L101" s="102">
        <v>8.1999999999999993</v>
      </c>
      <c r="M101">
        <f t="shared" si="2"/>
        <v>9</v>
      </c>
      <c r="N101" t="str">
        <f>TEXT(FY24_Temp[[#This Row],[Date_Simple]],"Ddd")</f>
        <v>Fri</v>
      </c>
      <c r="O101" s="39">
        <v>45569</v>
      </c>
      <c r="P101" t="str">
        <f>TEXT(FY24_Temp[[#This Row],[Old_Date]],"Ddd")</f>
        <v>Fri</v>
      </c>
      <c r="Y101" s="117" t="str">
        <f>TempDelta[[#This Row],[WeekNo]]&amp;"-"&amp;TempDelta[[#This Row],[HR]]</f>
        <v>4-1</v>
      </c>
      <c r="Z101">
        <f t="shared" si="3"/>
        <v>4</v>
      </c>
      <c r="AA101">
        <v>1</v>
      </c>
      <c r="AB101">
        <v>2.5014285700661794</v>
      </c>
      <c r="AC101" s="39"/>
    </row>
    <row r="102" spans="1:29">
      <c r="A1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25-08-Sat-02</v>
      </c>
      <c r="B102" s="92">
        <v>45871.083333333336</v>
      </c>
      <c r="C102" s="134">
        <v>393.94900000000007</v>
      </c>
      <c r="D102" s="131">
        <v>49.698</v>
      </c>
      <c r="H102" s="119" t="s">
        <v>511</v>
      </c>
      <c r="I102" s="104">
        <v>45934</v>
      </c>
      <c r="J102" s="105">
        <v>10.5</v>
      </c>
      <c r="K102" s="105">
        <v>17.25</v>
      </c>
      <c r="L102" s="118">
        <v>9</v>
      </c>
      <c r="M102" s="105">
        <f t="shared" si="2"/>
        <v>10</v>
      </c>
      <c r="N102" s="105" t="str">
        <f>TEXT(FY24_Temp[[#This Row],[Date_Simple]],"Ddd")</f>
        <v>Sat</v>
      </c>
      <c r="O102" s="106">
        <v>45570</v>
      </c>
      <c r="P102" s="105" t="str">
        <f>TEXT(FY24_Temp[[#This Row],[Old_Date]],"Ddd")</f>
        <v>Sat</v>
      </c>
      <c r="Y102" s="117" t="str">
        <f>TempDelta[[#This Row],[WeekNo]]&amp;"-"&amp;TempDelta[[#This Row],[HR]]</f>
        <v>4-2</v>
      </c>
      <c r="Z102">
        <f t="shared" si="3"/>
        <v>4</v>
      </c>
      <c r="AA102">
        <v>2</v>
      </c>
      <c r="AB102">
        <v>2.5255714144025529</v>
      </c>
      <c r="AC102" s="39"/>
    </row>
    <row r="103" spans="1:29">
      <c r="A1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25-08-Sat-03</v>
      </c>
      <c r="B103" s="92">
        <v>45871.125</v>
      </c>
      <c r="C103" s="134">
        <v>393.94900000000007</v>
      </c>
      <c r="D103" s="131">
        <v>50.014000000000003</v>
      </c>
      <c r="I103" s="96">
        <v>45935</v>
      </c>
      <c r="J103">
        <v>10.5</v>
      </c>
      <c r="K103">
        <v>17.25</v>
      </c>
      <c r="L103" s="102">
        <v>9</v>
      </c>
      <c r="M103">
        <f t="shared" si="2"/>
        <v>10</v>
      </c>
      <c r="N103" t="str">
        <f>TEXT(FY24_Temp[[#This Row],[Date_Simple]],"Ddd")</f>
        <v>Sun</v>
      </c>
      <c r="O103" s="39">
        <v>45571</v>
      </c>
      <c r="P103" t="str">
        <f>TEXT(FY24_Temp[[#This Row],[Old_Date]],"Ddd")</f>
        <v>Sun</v>
      </c>
      <c r="Y103" s="117" t="str">
        <f>TempDelta[[#This Row],[WeekNo]]&amp;"-"&amp;TempDelta[[#This Row],[HR]]</f>
        <v>4-3</v>
      </c>
      <c r="Z103">
        <f t="shared" si="3"/>
        <v>4</v>
      </c>
      <c r="AA103">
        <v>3</v>
      </c>
      <c r="AB103">
        <v>2.5220000403267995</v>
      </c>
      <c r="AC103" s="39"/>
    </row>
    <row r="104" spans="1:29">
      <c r="A1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25-08-Sat-04</v>
      </c>
      <c r="B104" s="92">
        <v>45871.166666666664</v>
      </c>
      <c r="C104" s="134">
        <v>393.94900000000007</v>
      </c>
      <c r="D104" s="131">
        <v>50.079000000000001</v>
      </c>
      <c r="I104" s="96">
        <v>45936</v>
      </c>
      <c r="J104">
        <v>10.5</v>
      </c>
      <c r="K104">
        <v>17.25</v>
      </c>
      <c r="L104" s="102">
        <v>9</v>
      </c>
      <c r="M104">
        <f t="shared" si="2"/>
        <v>10</v>
      </c>
      <c r="N104" t="str">
        <f>TEXT(FY24_Temp[[#This Row],[Date_Simple]],"Ddd")</f>
        <v>Mon</v>
      </c>
      <c r="O104" s="39">
        <v>45572</v>
      </c>
      <c r="P104" t="str">
        <f>TEXT(FY24_Temp[[#This Row],[Old_Date]],"Ddd")</f>
        <v>Mon</v>
      </c>
      <c r="Y104" s="117" t="str">
        <f>TempDelta[[#This Row],[WeekNo]]&amp;"-"&amp;TempDelta[[#This Row],[HR]]</f>
        <v>4-4</v>
      </c>
      <c r="Z104">
        <f t="shared" si="3"/>
        <v>4</v>
      </c>
      <c r="AA104">
        <v>4</v>
      </c>
      <c r="AB104">
        <v>2.5181428364345004</v>
      </c>
      <c r="AC104" s="39"/>
    </row>
    <row r="105" spans="1:29">
      <c r="A1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25-08-Sat-05</v>
      </c>
      <c r="B105" s="92">
        <v>45871.208333333336</v>
      </c>
      <c r="C105" s="134">
        <v>393.94900000000007</v>
      </c>
      <c r="D105" s="131">
        <v>54.786999999999999</v>
      </c>
      <c r="I105" s="96">
        <v>45937</v>
      </c>
      <c r="J105">
        <v>10.5</v>
      </c>
      <c r="K105">
        <v>17.25</v>
      </c>
      <c r="L105" s="102">
        <v>9</v>
      </c>
      <c r="M105">
        <f t="shared" si="2"/>
        <v>10</v>
      </c>
      <c r="N105" t="str">
        <f>TEXT(FY24_Temp[[#This Row],[Date_Simple]],"Ddd")</f>
        <v>Tue</v>
      </c>
      <c r="O105" s="39">
        <v>45573</v>
      </c>
      <c r="P105" t="str">
        <f>TEXT(FY24_Temp[[#This Row],[Old_Date]],"Ddd")</f>
        <v>Tue</v>
      </c>
      <c r="Y105" s="117" t="str">
        <f>TempDelta[[#This Row],[WeekNo]]&amp;"-"&amp;TempDelta[[#This Row],[HR]]</f>
        <v>4-5</v>
      </c>
      <c r="Z105">
        <f t="shared" si="3"/>
        <v>4</v>
      </c>
      <c r="AA105">
        <v>5</v>
      </c>
      <c r="AB105">
        <v>2.5518571649278914</v>
      </c>
      <c r="AC105" s="39"/>
    </row>
    <row r="106" spans="1:29">
      <c r="A1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25-08-Sat-06</v>
      </c>
      <c r="B106" s="92">
        <v>45871.25</v>
      </c>
      <c r="C106" s="134">
        <v>393.94900000000007</v>
      </c>
      <c r="D106" s="131">
        <v>49.725000000000001</v>
      </c>
      <c r="I106" s="96">
        <v>45938</v>
      </c>
      <c r="J106">
        <v>10.5</v>
      </c>
      <c r="K106">
        <v>17.25</v>
      </c>
      <c r="L106" s="102">
        <v>9</v>
      </c>
      <c r="M106">
        <f t="shared" si="2"/>
        <v>10</v>
      </c>
      <c r="N106" t="str">
        <f>TEXT(FY24_Temp[[#This Row],[Date_Simple]],"Ddd")</f>
        <v>Wed</v>
      </c>
      <c r="O106" s="39">
        <v>45574</v>
      </c>
      <c r="P106" t="str">
        <f>TEXT(FY24_Temp[[#This Row],[Old_Date]],"Ddd")</f>
        <v>Wed</v>
      </c>
      <c r="Y106" s="117" t="str">
        <f>TempDelta[[#This Row],[WeekNo]]&amp;"-"&amp;TempDelta[[#This Row],[HR]]</f>
        <v>4-6</v>
      </c>
      <c r="Z106">
        <f t="shared" si="3"/>
        <v>4</v>
      </c>
      <c r="AA106">
        <v>6</v>
      </c>
      <c r="AB106">
        <v>2.5557143007005965</v>
      </c>
      <c r="AC106" s="39"/>
    </row>
    <row r="107" spans="1:29">
      <c r="A1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25-08-Sat-07</v>
      </c>
      <c r="B107" s="92">
        <v>45871.291666666664</v>
      </c>
      <c r="C107" s="134">
        <v>368.73199999999997</v>
      </c>
      <c r="D107" s="131">
        <v>49.652000000000001</v>
      </c>
      <c r="I107" s="96">
        <v>45939</v>
      </c>
      <c r="J107">
        <v>10.5</v>
      </c>
      <c r="K107">
        <v>17.25</v>
      </c>
      <c r="L107" s="102">
        <v>9</v>
      </c>
      <c r="M107">
        <f t="shared" si="2"/>
        <v>10</v>
      </c>
      <c r="N107" t="str">
        <f>TEXT(FY24_Temp[[#This Row],[Date_Simple]],"Ddd")</f>
        <v>Thu</v>
      </c>
      <c r="O107" s="39">
        <v>45575</v>
      </c>
      <c r="P107" t="str">
        <f>TEXT(FY24_Temp[[#This Row],[Old_Date]],"Ddd")</f>
        <v>Thu</v>
      </c>
      <c r="Y107" s="117" t="str">
        <f>TempDelta[[#This Row],[WeekNo]]&amp;"-"&amp;TempDelta[[#This Row],[HR]]</f>
        <v>4-7</v>
      </c>
      <c r="Z107">
        <f t="shared" si="3"/>
        <v>4</v>
      </c>
      <c r="AA107">
        <v>7</v>
      </c>
      <c r="AB107">
        <v>2.5165714536394392</v>
      </c>
      <c r="AC107" s="39"/>
    </row>
    <row r="108" spans="1:29">
      <c r="A1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25-08-Sat-08</v>
      </c>
      <c r="B108" s="92">
        <v>45871.333333333336</v>
      </c>
      <c r="C108" s="134">
        <v>368.73199999999997</v>
      </c>
      <c r="D108" s="131">
        <v>49.613</v>
      </c>
      <c r="I108" s="96">
        <v>45940</v>
      </c>
      <c r="J108">
        <v>10.5</v>
      </c>
      <c r="K108">
        <v>17.25</v>
      </c>
      <c r="L108" s="102">
        <v>9</v>
      </c>
      <c r="M108">
        <f t="shared" si="2"/>
        <v>10</v>
      </c>
      <c r="N108" t="str">
        <f>TEXT(FY24_Temp[[#This Row],[Date_Simple]],"Ddd")</f>
        <v>Fri</v>
      </c>
      <c r="O108" s="39">
        <v>45576</v>
      </c>
      <c r="P108" t="str">
        <f>TEXT(FY24_Temp[[#This Row],[Old_Date]],"Ddd")</f>
        <v>Fri</v>
      </c>
      <c r="Y108" s="117" t="str">
        <f>TempDelta[[#This Row],[WeekNo]]&amp;"-"&amp;TempDelta[[#This Row],[HR]]</f>
        <v>4-8</v>
      </c>
      <c r="Z108">
        <f t="shared" si="3"/>
        <v>4</v>
      </c>
      <c r="AA108">
        <v>8</v>
      </c>
      <c r="AB108">
        <v>2.410571438925607</v>
      </c>
      <c r="AC108" s="39"/>
    </row>
    <row r="109" spans="1:29">
      <c r="A1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25-08-Sat-09</v>
      </c>
      <c r="B109" s="92">
        <v>45871.375</v>
      </c>
      <c r="C109" s="134">
        <v>367.87058153758403</v>
      </c>
      <c r="D109" s="131">
        <v>49.539000000000001</v>
      </c>
      <c r="I109" s="104">
        <v>45941</v>
      </c>
      <c r="J109" s="105">
        <v>11.5</v>
      </c>
      <c r="K109" s="105">
        <v>17.25</v>
      </c>
      <c r="L109" s="118">
        <v>9</v>
      </c>
      <c r="M109" s="105">
        <f t="shared" si="2"/>
        <v>11</v>
      </c>
      <c r="N109" s="105" t="str">
        <f>TEXT(FY24_Temp[[#This Row],[Date_Simple]],"Ddd")</f>
        <v>Sat</v>
      </c>
      <c r="O109" s="106">
        <v>45577</v>
      </c>
      <c r="P109" s="105" t="str">
        <f>TEXT(FY24_Temp[[#This Row],[Old_Date]],"Ddd")</f>
        <v>Sat</v>
      </c>
      <c r="Y109" s="117" t="str">
        <f>TempDelta[[#This Row],[WeekNo]]&amp;"-"&amp;TempDelta[[#This Row],[HR]]</f>
        <v>4-9</v>
      </c>
      <c r="Z109">
        <f t="shared" si="3"/>
        <v>4</v>
      </c>
      <c r="AA109">
        <v>9</v>
      </c>
      <c r="AB109">
        <v>2.2332857336316789</v>
      </c>
      <c r="AC109" s="39"/>
    </row>
    <row r="110" spans="1:29">
      <c r="A1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25-08-Sat-10</v>
      </c>
      <c r="B110" s="92">
        <v>45871.416666666664</v>
      </c>
      <c r="C110" s="134">
        <v>367.87058153758414</v>
      </c>
      <c r="D110" s="131">
        <v>49.460999999999999</v>
      </c>
      <c r="I110" s="96">
        <v>45942</v>
      </c>
      <c r="J110">
        <v>11.5</v>
      </c>
      <c r="K110">
        <v>17.25</v>
      </c>
      <c r="L110" s="102">
        <v>9</v>
      </c>
      <c r="M110">
        <f t="shared" si="2"/>
        <v>11</v>
      </c>
      <c r="N110" t="str">
        <f>TEXT(FY24_Temp[[#This Row],[Date_Simple]],"Ddd")</f>
        <v>Sun</v>
      </c>
      <c r="O110" s="39">
        <v>45578</v>
      </c>
      <c r="P110" t="str">
        <f>TEXT(FY24_Temp[[#This Row],[Old_Date]],"Ddd")</f>
        <v>Sun</v>
      </c>
      <c r="Y110" s="117" t="str">
        <f>TempDelta[[#This Row],[WeekNo]]&amp;"-"&amp;TempDelta[[#This Row],[HR]]</f>
        <v>4-10</v>
      </c>
      <c r="Z110">
        <f t="shared" si="3"/>
        <v>4</v>
      </c>
      <c r="AA110">
        <v>10</v>
      </c>
      <c r="AB110">
        <v>2.0304285798754012</v>
      </c>
      <c r="AC110" s="39"/>
    </row>
    <row r="111" spans="1:29">
      <c r="A1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25-08-Sat-11</v>
      </c>
      <c r="B111" s="92">
        <v>45871.458333333336</v>
      </c>
      <c r="C111" s="134">
        <v>367.87058153758414</v>
      </c>
      <c r="D111" s="131">
        <v>49.414999999999999</v>
      </c>
      <c r="I111" s="96">
        <v>45943</v>
      </c>
      <c r="J111">
        <v>11.5</v>
      </c>
      <c r="K111">
        <v>17.25</v>
      </c>
      <c r="L111" s="102">
        <v>9</v>
      </c>
      <c r="M111">
        <f t="shared" ref="M111:M129" si="4">M104+1</f>
        <v>11</v>
      </c>
      <c r="N111" t="str">
        <f>TEXT(FY24_Temp[[#This Row],[Date_Simple]],"Ddd")</f>
        <v>Mon</v>
      </c>
      <c r="O111" s="39">
        <v>45579</v>
      </c>
      <c r="P111" t="str">
        <f>TEXT(FY24_Temp[[#This Row],[Old_Date]],"Ddd")</f>
        <v>Mon</v>
      </c>
      <c r="Y111" s="117" t="str">
        <f>TempDelta[[#This Row],[WeekNo]]&amp;"-"&amp;TempDelta[[#This Row],[HR]]</f>
        <v>4-11</v>
      </c>
      <c r="Z111">
        <f t="shared" si="3"/>
        <v>4</v>
      </c>
      <c r="AA111">
        <v>11</v>
      </c>
      <c r="AB111">
        <v>1.7931428466524397</v>
      </c>
      <c r="AC111" s="39"/>
    </row>
    <row r="112" spans="1:29">
      <c r="A1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25-08-Sat-12</v>
      </c>
      <c r="B112" s="92">
        <v>45871.5</v>
      </c>
      <c r="C112" s="134">
        <v>367.87058153758426</v>
      </c>
      <c r="D112" s="131">
        <v>49.393999999999998</v>
      </c>
      <c r="I112" s="96">
        <v>45944</v>
      </c>
      <c r="J112">
        <v>11.5</v>
      </c>
      <c r="K112">
        <v>17.25</v>
      </c>
      <c r="L112" s="102">
        <v>9</v>
      </c>
      <c r="M112">
        <f t="shared" si="4"/>
        <v>11</v>
      </c>
      <c r="N112" t="str">
        <f>TEXT(FY24_Temp[[#This Row],[Date_Simple]],"Ddd")</f>
        <v>Tue</v>
      </c>
      <c r="O112" s="39">
        <v>45580</v>
      </c>
      <c r="P112" t="str">
        <f>TEXT(FY24_Temp[[#This Row],[Old_Date]],"Ddd")</f>
        <v>Tue</v>
      </c>
      <c r="Y112" s="117" t="str">
        <f>TempDelta[[#This Row],[WeekNo]]&amp;"-"&amp;TempDelta[[#This Row],[HR]]</f>
        <v>4-12</v>
      </c>
      <c r="Z112">
        <f t="shared" si="3"/>
        <v>4</v>
      </c>
      <c r="AA112">
        <v>12</v>
      </c>
      <c r="AB112">
        <v>1.5527142797197615</v>
      </c>
      <c r="AC112" s="39"/>
    </row>
    <row r="113" spans="1:29">
      <c r="A1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25-08-Sat-13</v>
      </c>
      <c r="B113" s="92">
        <v>45871.541666666664</v>
      </c>
      <c r="C113" s="134">
        <v>455.93000000000012</v>
      </c>
      <c r="D113" s="131">
        <v>49.488</v>
      </c>
      <c r="I113" s="96">
        <v>45945</v>
      </c>
      <c r="J113">
        <v>11.5</v>
      </c>
      <c r="K113">
        <v>17.25</v>
      </c>
      <c r="L113" s="102">
        <v>9</v>
      </c>
      <c r="M113">
        <f t="shared" si="4"/>
        <v>11</v>
      </c>
      <c r="N113" t="str">
        <f>TEXT(FY24_Temp[[#This Row],[Date_Simple]],"Ddd")</f>
        <v>Wed</v>
      </c>
      <c r="O113" s="39">
        <v>45581</v>
      </c>
      <c r="P113" t="str">
        <f>TEXT(FY24_Temp[[#This Row],[Old_Date]],"Ddd")</f>
        <v>Wed</v>
      </c>
      <c r="Y113" s="117" t="str">
        <f>TempDelta[[#This Row],[WeekNo]]&amp;"-"&amp;TempDelta[[#This Row],[HR]]</f>
        <v>4-13</v>
      </c>
      <c r="Z113">
        <f t="shared" si="3"/>
        <v>4</v>
      </c>
      <c r="AA113">
        <v>13</v>
      </c>
      <c r="AB113">
        <v>1.3120000192097254</v>
      </c>
      <c r="AC113" s="39"/>
    </row>
    <row r="114" spans="1:29">
      <c r="A1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25-08-Sat-14</v>
      </c>
      <c r="B114" s="92">
        <v>45871.583333333336</v>
      </c>
      <c r="C114" s="134">
        <v>654.93200000000002</v>
      </c>
      <c r="D114" s="131">
        <v>51.942</v>
      </c>
      <c r="I114" s="96">
        <v>45946</v>
      </c>
      <c r="J114">
        <v>11.5</v>
      </c>
      <c r="K114">
        <v>17.25</v>
      </c>
      <c r="L114" s="102">
        <v>9</v>
      </c>
      <c r="M114">
        <f t="shared" si="4"/>
        <v>11</v>
      </c>
      <c r="N114" t="str">
        <f>TEXT(FY24_Temp[[#This Row],[Date_Simple]],"Ddd")</f>
        <v>Thu</v>
      </c>
      <c r="O114" s="39">
        <v>45582</v>
      </c>
      <c r="P114" t="str">
        <f>TEXT(FY24_Temp[[#This Row],[Old_Date]],"Ddd")</f>
        <v>Thu</v>
      </c>
      <c r="Y114" s="117" t="str">
        <f>TempDelta[[#This Row],[WeekNo]]&amp;"-"&amp;TempDelta[[#This Row],[HR]]</f>
        <v>4-14</v>
      </c>
      <c r="Z114">
        <f t="shared" si="3"/>
        <v>4</v>
      </c>
      <c r="AA114">
        <v>14</v>
      </c>
      <c r="AB114">
        <v>0.87128572378839764</v>
      </c>
      <c r="AC114" s="39"/>
    </row>
    <row r="115" spans="1:29">
      <c r="A1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25-08-Sat-15</v>
      </c>
      <c r="B115" s="92">
        <v>45871.625</v>
      </c>
      <c r="C115" s="134">
        <v>781.01800000000003</v>
      </c>
      <c r="D115" s="131">
        <v>58.341000000000001</v>
      </c>
      <c r="I115" s="96">
        <v>45947</v>
      </c>
      <c r="J115">
        <v>11.5</v>
      </c>
      <c r="K115">
        <v>17.25</v>
      </c>
      <c r="L115" s="102">
        <v>9</v>
      </c>
      <c r="M115">
        <f t="shared" si="4"/>
        <v>11</v>
      </c>
      <c r="N115" t="str">
        <f>TEXT(FY24_Temp[[#This Row],[Date_Simple]],"Ddd")</f>
        <v>Fri</v>
      </c>
      <c r="O115" s="39">
        <v>45583</v>
      </c>
      <c r="P115" t="str">
        <f>TEXT(FY24_Temp[[#This Row],[Old_Date]],"Ddd")</f>
        <v>Fri</v>
      </c>
      <c r="Y115" s="117" t="str">
        <f>TempDelta[[#This Row],[WeekNo]]&amp;"-"&amp;TempDelta[[#This Row],[HR]]</f>
        <v>4-15</v>
      </c>
      <c r="Z115">
        <f t="shared" si="3"/>
        <v>4</v>
      </c>
      <c r="AA115">
        <v>15</v>
      </c>
      <c r="AB115">
        <v>0.66957143161978039</v>
      </c>
      <c r="AC115" s="39"/>
    </row>
    <row r="116" spans="1:29">
      <c r="A1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25-08-Sat-16</v>
      </c>
      <c r="B116" s="92">
        <v>45871.666666666664</v>
      </c>
      <c r="C116" s="134">
        <v>854.64279782235462</v>
      </c>
      <c r="D116" s="131">
        <v>74.180000000000007</v>
      </c>
      <c r="I116" s="104">
        <v>45948</v>
      </c>
      <c r="J116" s="105">
        <v>11.5</v>
      </c>
      <c r="K116" s="105">
        <v>17.399999999999999</v>
      </c>
      <c r="L116" s="118">
        <v>9</v>
      </c>
      <c r="M116" s="105">
        <f t="shared" si="4"/>
        <v>12</v>
      </c>
      <c r="N116" s="105" t="str">
        <f>TEXT(FY24_Temp[[#This Row],[Date_Simple]],"Ddd")</f>
        <v>Sat</v>
      </c>
      <c r="O116" s="106">
        <v>45584</v>
      </c>
      <c r="P116" s="105" t="str">
        <f>TEXT(FY24_Temp[[#This Row],[Old_Date]],"Ddd")</f>
        <v>Sat</v>
      </c>
      <c r="Y116" s="117" t="str">
        <f>TempDelta[[#This Row],[WeekNo]]&amp;"-"&amp;TempDelta[[#This Row],[HR]]</f>
        <v>4-16</v>
      </c>
      <c r="Z116">
        <f t="shared" si="3"/>
        <v>4</v>
      </c>
      <c r="AA116">
        <v>16</v>
      </c>
      <c r="AB116">
        <v>0.5316428627286639</v>
      </c>
      <c r="AC116" s="39"/>
    </row>
    <row r="117" spans="1:29">
      <c r="A1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25-08-Sat-17</v>
      </c>
      <c r="B117" s="92">
        <v>45871.708333333336</v>
      </c>
      <c r="C117" s="134">
        <v>854.64279782235462</v>
      </c>
      <c r="D117" s="131">
        <v>111.334</v>
      </c>
      <c r="I117" s="96">
        <v>45949</v>
      </c>
      <c r="J117">
        <v>11.5</v>
      </c>
      <c r="K117">
        <v>17.399999999999999</v>
      </c>
      <c r="L117" s="102">
        <v>9</v>
      </c>
      <c r="M117">
        <f t="shared" si="4"/>
        <v>12</v>
      </c>
      <c r="N117" t="str">
        <f>TEXT(FY24_Temp[[#This Row],[Date_Simple]],"Ddd")</f>
        <v>Sun</v>
      </c>
      <c r="O117" s="39">
        <v>45585</v>
      </c>
      <c r="P117" t="str">
        <f>TEXT(FY24_Temp[[#This Row],[Old_Date]],"Ddd")</f>
        <v>Sun</v>
      </c>
      <c r="Y117" s="117" t="str">
        <f>TempDelta[[#This Row],[WeekNo]]&amp;"-"&amp;TempDelta[[#This Row],[HR]]</f>
        <v>4-17</v>
      </c>
      <c r="Z117">
        <f t="shared" si="3"/>
        <v>4</v>
      </c>
      <c r="AA117">
        <v>17</v>
      </c>
      <c r="AB117">
        <v>0.55664285378796718</v>
      </c>
      <c r="AC117" s="39"/>
    </row>
    <row r="118" spans="1:29">
      <c r="A1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25-08-Sat-18</v>
      </c>
      <c r="B118" s="92">
        <v>45871.75</v>
      </c>
      <c r="C118" s="134">
        <v>854.64279782235485</v>
      </c>
      <c r="D118" s="131">
        <v>117.863</v>
      </c>
      <c r="I118" s="120">
        <v>45950</v>
      </c>
      <c r="J118" s="121">
        <v>11.5</v>
      </c>
      <c r="K118" s="121">
        <v>17.399999999999999</v>
      </c>
      <c r="L118" s="122">
        <v>9</v>
      </c>
      <c r="M118" s="121">
        <f t="shared" si="4"/>
        <v>12</v>
      </c>
      <c r="N118" s="121" t="str">
        <f>TEXT(FY24_Temp[[#This Row],[Date_Simple]],"Ddd")</f>
        <v>Mon</v>
      </c>
      <c r="O118" s="123">
        <v>45586</v>
      </c>
      <c r="P118" s="121" t="str">
        <f>TEXT(FY24_Temp[[#This Row],[Old_Date]],"Ddd")</f>
        <v>Mon</v>
      </c>
      <c r="Y118" s="117" t="str">
        <f>TempDelta[[#This Row],[WeekNo]]&amp;"-"&amp;TempDelta[[#This Row],[HR]]</f>
        <v>4-18</v>
      </c>
      <c r="Z118">
        <f t="shared" si="3"/>
        <v>4</v>
      </c>
      <c r="AA118">
        <v>18</v>
      </c>
      <c r="AB118">
        <v>0.75757142049925663</v>
      </c>
      <c r="AC118" s="39"/>
    </row>
    <row r="119" spans="1:29">
      <c r="A1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25-08-Sat-19</v>
      </c>
      <c r="B119" s="92">
        <v>45871.791666666664</v>
      </c>
      <c r="C119" s="134">
        <v>854.64279782235462</v>
      </c>
      <c r="D119" s="131">
        <v>117.911</v>
      </c>
      <c r="I119" s="96">
        <v>45951</v>
      </c>
      <c r="J119">
        <v>11.5</v>
      </c>
      <c r="K119">
        <v>17.399999999999999</v>
      </c>
      <c r="L119" s="102">
        <v>9</v>
      </c>
      <c r="M119">
        <f t="shared" si="4"/>
        <v>12</v>
      </c>
      <c r="N119" t="str">
        <f>TEXT(FY24_Temp[[#This Row],[Date_Simple]],"Ddd")</f>
        <v>Tue</v>
      </c>
      <c r="O119" s="39">
        <v>45587</v>
      </c>
      <c r="P119" t="str">
        <f>TEXT(FY24_Temp[[#This Row],[Old_Date]],"Ddd")</f>
        <v>Tue</v>
      </c>
      <c r="Y119" s="117" t="str">
        <f>TempDelta[[#This Row],[WeekNo]]&amp;"-"&amp;TempDelta[[#This Row],[HR]]</f>
        <v>4-19</v>
      </c>
      <c r="Z119">
        <f t="shared" si="3"/>
        <v>4</v>
      </c>
      <c r="AA119">
        <v>19</v>
      </c>
      <c r="AB119">
        <v>1.0640714168548584</v>
      </c>
      <c r="AC119" s="39"/>
    </row>
    <row r="120" spans="1:29">
      <c r="A1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25-08-Sat-20</v>
      </c>
      <c r="B120" s="92">
        <v>45871.833333333336</v>
      </c>
      <c r="C120" s="134">
        <v>845.26978948766248</v>
      </c>
      <c r="D120" s="131">
        <v>117.867</v>
      </c>
      <c r="I120" s="96">
        <v>45952</v>
      </c>
      <c r="J120">
        <v>11.5</v>
      </c>
      <c r="K120">
        <v>17.399999999999999</v>
      </c>
      <c r="L120" s="102">
        <v>9</v>
      </c>
      <c r="M120">
        <f t="shared" si="4"/>
        <v>12</v>
      </c>
      <c r="N120" t="str">
        <f>TEXT(FY24_Temp[[#This Row],[Date_Simple]],"Ddd")</f>
        <v>Wed</v>
      </c>
      <c r="O120" s="39">
        <v>45588</v>
      </c>
      <c r="P120" t="str">
        <f>TEXT(FY24_Temp[[#This Row],[Old_Date]],"Ddd")</f>
        <v>Wed</v>
      </c>
      <c r="Y120" s="117" t="str">
        <f>TempDelta[[#This Row],[WeekNo]]&amp;"-"&amp;TempDelta[[#This Row],[HR]]</f>
        <v>4-20</v>
      </c>
      <c r="Z120">
        <f t="shared" si="3"/>
        <v>4</v>
      </c>
      <c r="AA120">
        <v>20</v>
      </c>
      <c r="AB120">
        <v>1.4742142728396825</v>
      </c>
      <c r="AC120" s="39"/>
    </row>
    <row r="121" spans="1:29">
      <c r="A1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25-08-Sat-21</v>
      </c>
      <c r="B121" s="92">
        <v>45871.875</v>
      </c>
      <c r="C121" s="134">
        <v>702.93169153435474</v>
      </c>
      <c r="D121" s="131">
        <v>115.694</v>
      </c>
      <c r="I121" s="96">
        <v>45953</v>
      </c>
      <c r="J121">
        <v>11.5</v>
      </c>
      <c r="K121">
        <v>17.399999999999999</v>
      </c>
      <c r="L121" s="102">
        <v>9</v>
      </c>
      <c r="M121">
        <f t="shared" si="4"/>
        <v>12</v>
      </c>
      <c r="N121" t="str">
        <f>TEXT(FY24_Temp[[#This Row],[Date_Simple]],"Ddd")</f>
        <v>Thu</v>
      </c>
      <c r="O121" s="39">
        <v>45589</v>
      </c>
      <c r="P121" t="str">
        <f>TEXT(FY24_Temp[[#This Row],[Old_Date]],"Ddd")</f>
        <v>Thu</v>
      </c>
      <c r="Y121" s="117" t="str">
        <f>TempDelta[[#This Row],[WeekNo]]&amp;"-"&amp;TempDelta[[#This Row],[HR]]</f>
        <v>4-21</v>
      </c>
      <c r="Z121">
        <f t="shared" si="3"/>
        <v>4</v>
      </c>
      <c r="AA121">
        <v>21</v>
      </c>
      <c r="AB121">
        <v>1.7937857168061393</v>
      </c>
      <c r="AC121" s="39"/>
    </row>
    <row r="122" spans="1:29">
      <c r="A1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25-08-Sat-22</v>
      </c>
      <c r="B122" s="92">
        <v>45871.916666666664</v>
      </c>
      <c r="C122" s="134">
        <v>635.67166266293259</v>
      </c>
      <c r="D122" s="131">
        <v>105.96</v>
      </c>
      <c r="I122" s="96">
        <v>45954</v>
      </c>
      <c r="J122">
        <v>11.5</v>
      </c>
      <c r="K122">
        <v>17.399999999999999</v>
      </c>
      <c r="L122" s="102">
        <v>9</v>
      </c>
      <c r="M122">
        <f t="shared" si="4"/>
        <v>12</v>
      </c>
      <c r="N122" t="str">
        <f>TEXT(FY24_Temp[[#This Row],[Date_Simple]],"Ddd")</f>
        <v>Fri</v>
      </c>
      <c r="O122" s="39">
        <v>45590</v>
      </c>
      <c r="P122" t="str">
        <f>TEXT(FY24_Temp[[#This Row],[Old_Date]],"Ddd")</f>
        <v>Fri</v>
      </c>
      <c r="Y122" s="117" t="str">
        <f>TempDelta[[#This Row],[WeekNo]]&amp;"-"&amp;TempDelta[[#This Row],[HR]]</f>
        <v>4-22</v>
      </c>
      <c r="Z122">
        <f t="shared" si="3"/>
        <v>4</v>
      </c>
      <c r="AA122">
        <v>22</v>
      </c>
      <c r="AB122">
        <v>2.1767142840794156</v>
      </c>
      <c r="AC122" s="39"/>
    </row>
    <row r="123" spans="1:29">
      <c r="A1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25-08-Sat-23</v>
      </c>
      <c r="B123" s="92">
        <v>45871.958333333336</v>
      </c>
      <c r="C123" s="134">
        <v>517.60500000000002</v>
      </c>
      <c r="D123" s="131">
        <v>53.39</v>
      </c>
      <c r="I123" s="104">
        <v>45955</v>
      </c>
      <c r="J123" s="105">
        <v>11.5</v>
      </c>
      <c r="K123" s="105">
        <v>17.5</v>
      </c>
      <c r="L123" s="118">
        <v>9</v>
      </c>
      <c r="M123" s="105">
        <f t="shared" si="4"/>
        <v>13</v>
      </c>
      <c r="N123" s="105" t="str">
        <f>TEXT(FY24_Temp[[#This Row],[Date_Simple]],"Ddd")</f>
        <v>Sat</v>
      </c>
      <c r="O123" s="106">
        <v>45591</v>
      </c>
      <c r="P123" s="105" t="str">
        <f>TEXT(FY24_Temp[[#This Row],[Old_Date]],"Ddd")</f>
        <v>Sat</v>
      </c>
      <c r="Y123" s="117" t="str">
        <f>TempDelta[[#This Row],[WeekNo]]&amp;"-"&amp;TempDelta[[#This Row],[HR]]</f>
        <v>4-23</v>
      </c>
      <c r="Z123">
        <f t="shared" si="3"/>
        <v>4</v>
      </c>
      <c r="AA123">
        <v>23</v>
      </c>
      <c r="AB123">
        <v>2.3071428367069791</v>
      </c>
      <c r="AC123" s="39"/>
    </row>
    <row r="124" spans="1:29">
      <c r="A1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25-08-Sun-00</v>
      </c>
      <c r="B124" s="92">
        <v>45872</v>
      </c>
      <c r="C124" s="134">
        <v>387.58500000000004</v>
      </c>
      <c r="D124" s="131">
        <v>49.71</v>
      </c>
      <c r="I124" s="96">
        <v>45956</v>
      </c>
      <c r="J124">
        <v>11.5</v>
      </c>
      <c r="K124">
        <v>17.5</v>
      </c>
      <c r="L124" s="102">
        <v>9</v>
      </c>
      <c r="M124">
        <f t="shared" si="4"/>
        <v>13</v>
      </c>
      <c r="N124" t="str">
        <f>TEXT(FY24_Temp[[#This Row],[Date_Simple]],"Ddd")</f>
        <v>Sun</v>
      </c>
      <c r="O124" s="39">
        <v>45592</v>
      </c>
      <c r="P124" t="str">
        <f>TEXT(FY24_Temp[[#This Row],[Old_Date]],"Ddd")</f>
        <v>Sun</v>
      </c>
      <c r="V124" s="100">
        <v>45899</v>
      </c>
      <c r="W124" s="100">
        <f>V124+6</f>
        <v>45905</v>
      </c>
      <c r="Y124" s="117" t="str">
        <f>TempDelta[[#This Row],[WeekNo]]&amp;"-"&amp;TempDelta[[#This Row],[HR]]</f>
        <v>5-0</v>
      </c>
      <c r="Z124">
        <f t="shared" si="3"/>
        <v>5</v>
      </c>
      <c r="AA124">
        <v>0</v>
      </c>
      <c r="AB124" s="158">
        <v>2.160285702773503</v>
      </c>
      <c r="AC124" s="175">
        <f>AC100+7</f>
        <v>45899</v>
      </c>
    </row>
    <row r="125" spans="1:29">
      <c r="A1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25-08-Sun-01</v>
      </c>
      <c r="B125" s="92">
        <v>45872.041666666664</v>
      </c>
      <c r="C125" s="134">
        <v>378.25700000000006</v>
      </c>
      <c r="D125" s="131">
        <v>49.698</v>
      </c>
      <c r="I125" s="96">
        <v>45957</v>
      </c>
      <c r="J125">
        <v>11.5</v>
      </c>
      <c r="K125">
        <v>17.5</v>
      </c>
      <c r="L125" s="102">
        <v>9</v>
      </c>
      <c r="M125">
        <f t="shared" si="4"/>
        <v>13</v>
      </c>
      <c r="N125" t="str">
        <f>TEXT(FY24_Temp[[#This Row],[Date_Simple]],"Ddd")</f>
        <v>Mon</v>
      </c>
      <c r="O125" s="39">
        <v>45593</v>
      </c>
      <c r="P125" t="str">
        <f>TEXT(FY24_Temp[[#This Row],[Old_Date]],"Ddd")</f>
        <v>Mon</v>
      </c>
      <c r="Y125" s="117" t="str">
        <f>TempDelta[[#This Row],[WeekNo]]&amp;"-"&amp;TempDelta[[#This Row],[HR]]</f>
        <v>5-1</v>
      </c>
      <c r="Z125">
        <f t="shared" si="3"/>
        <v>5</v>
      </c>
      <c r="AA125">
        <v>1</v>
      </c>
      <c r="AB125">
        <v>2.4718571390424455</v>
      </c>
      <c r="AC125" s="39"/>
    </row>
    <row r="126" spans="1:29">
      <c r="A1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25-08-Sun-02</v>
      </c>
      <c r="B126" s="92">
        <v>45872.083333333336</v>
      </c>
      <c r="C126" s="134">
        <v>370.96899999999999</v>
      </c>
      <c r="D126" s="131">
        <v>49.698</v>
      </c>
      <c r="I126" s="96">
        <v>45958</v>
      </c>
      <c r="J126">
        <v>11.5</v>
      </c>
      <c r="K126">
        <v>17.5</v>
      </c>
      <c r="L126" s="102">
        <v>9</v>
      </c>
      <c r="M126">
        <f t="shared" si="4"/>
        <v>13</v>
      </c>
      <c r="N126" t="str">
        <f>TEXT(FY24_Temp[[#This Row],[Date_Simple]],"Ddd")</f>
        <v>Tue</v>
      </c>
      <c r="O126" s="39">
        <v>45594</v>
      </c>
      <c r="P126" t="str">
        <f>TEXT(FY24_Temp[[#This Row],[Old_Date]],"Ddd")</f>
        <v>Tue</v>
      </c>
      <c r="Y126" s="117" t="str">
        <f>TempDelta[[#This Row],[WeekNo]]&amp;"-"&amp;TempDelta[[#This Row],[HR]]</f>
        <v>5-2</v>
      </c>
      <c r="Z126">
        <f t="shared" si="3"/>
        <v>5</v>
      </c>
      <c r="AA126">
        <v>2</v>
      </c>
      <c r="AB126">
        <v>2.5034285613468716</v>
      </c>
      <c r="AC126" s="39"/>
    </row>
    <row r="127" spans="1:29">
      <c r="A1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25-08-Sun-03</v>
      </c>
      <c r="B127" s="92">
        <v>45872.125</v>
      </c>
      <c r="C127" s="134">
        <v>370.96900000000005</v>
      </c>
      <c r="D127" s="131">
        <v>49.814</v>
      </c>
      <c r="I127" s="96">
        <v>45959</v>
      </c>
      <c r="J127">
        <v>11.5</v>
      </c>
      <c r="K127">
        <v>17.5</v>
      </c>
      <c r="L127" s="102">
        <v>9</v>
      </c>
      <c r="M127">
        <f t="shared" si="4"/>
        <v>13</v>
      </c>
      <c r="N127" t="str">
        <f>TEXT(FY24_Temp[[#This Row],[Date_Simple]],"Ddd")</f>
        <v>Wed</v>
      </c>
      <c r="O127" s="39">
        <v>45595</v>
      </c>
      <c r="P127" t="str">
        <f>TEXT(FY24_Temp[[#This Row],[Old_Date]],"Ddd")</f>
        <v>Wed</v>
      </c>
      <c r="Y127" s="117" t="str">
        <f>TempDelta[[#This Row],[WeekNo]]&amp;"-"&amp;TempDelta[[#This Row],[HR]]</f>
        <v>5-3</v>
      </c>
      <c r="Z127">
        <f t="shared" si="3"/>
        <v>5</v>
      </c>
      <c r="AA127">
        <v>3</v>
      </c>
      <c r="AB127">
        <v>2.5060000419616699</v>
      </c>
      <c r="AC127" s="39"/>
    </row>
    <row r="128" spans="1:29">
      <c r="A1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25-08-Sun-04</v>
      </c>
      <c r="B128" s="92">
        <v>45872.166666666664</v>
      </c>
      <c r="C128" s="134">
        <v>370.96900000000005</v>
      </c>
      <c r="D128" s="131">
        <v>49.878999999999998</v>
      </c>
      <c r="I128" s="96">
        <v>45960</v>
      </c>
      <c r="J128">
        <v>11.5</v>
      </c>
      <c r="K128">
        <v>17.5</v>
      </c>
      <c r="L128" s="102">
        <v>9</v>
      </c>
      <c r="M128">
        <f t="shared" si="4"/>
        <v>13</v>
      </c>
      <c r="N128" t="str">
        <f>TEXT(FY24_Temp[[#This Row],[Date_Simple]],"Ddd")</f>
        <v>Thu</v>
      </c>
      <c r="O128" s="39">
        <v>45596</v>
      </c>
      <c r="P128" t="str">
        <f>TEXT(FY24_Temp[[#This Row],[Old_Date]],"Ddd")</f>
        <v>Thu</v>
      </c>
      <c r="Y128" s="117" t="str">
        <f>TempDelta[[#This Row],[WeekNo]]&amp;"-"&amp;TempDelta[[#This Row],[HR]]</f>
        <v>5-4</v>
      </c>
      <c r="Z128">
        <f t="shared" si="3"/>
        <v>5</v>
      </c>
      <c r="AA128">
        <v>4</v>
      </c>
      <c r="AB128">
        <v>2.5351428644997731</v>
      </c>
      <c r="AC128" s="39"/>
    </row>
    <row r="129" spans="1:29">
      <c r="A1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25-08-Sun-05</v>
      </c>
      <c r="B129" s="92">
        <v>45872.208333333336</v>
      </c>
      <c r="C129" s="134">
        <v>370.96900000000005</v>
      </c>
      <c r="D129" s="131">
        <v>52.168999999999997</v>
      </c>
      <c r="I129" s="96">
        <v>45961</v>
      </c>
      <c r="J129">
        <v>11.5</v>
      </c>
      <c r="K129">
        <v>17.5</v>
      </c>
      <c r="L129" s="102">
        <v>9</v>
      </c>
      <c r="M129">
        <f t="shared" si="4"/>
        <v>13</v>
      </c>
      <c r="N129" t="str">
        <f>TEXT(FY24_Temp[[#This Row],[Date_Simple]],"Ddd")</f>
        <v>Fri</v>
      </c>
      <c r="O129" s="39">
        <v>45597</v>
      </c>
      <c r="P129" t="str">
        <f>TEXT(FY24_Temp[[#This Row],[Old_Date]],"Ddd")</f>
        <v>Fri</v>
      </c>
      <c r="Y129" s="117" t="str">
        <f>TempDelta[[#This Row],[WeekNo]]&amp;"-"&amp;TempDelta[[#This Row],[HR]]</f>
        <v>5-5</v>
      </c>
      <c r="Z129">
        <f t="shared" si="3"/>
        <v>5</v>
      </c>
      <c r="AA129">
        <v>5</v>
      </c>
      <c r="AB129">
        <v>2.6308570929936002</v>
      </c>
      <c r="AC129" s="39"/>
    </row>
    <row r="130" spans="1:29">
      <c r="A1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25-08-Sun-06</v>
      </c>
      <c r="B130" s="92">
        <v>45872.25</v>
      </c>
      <c r="C130" s="134">
        <v>367.87313799142231</v>
      </c>
      <c r="D130" s="131">
        <v>49.744</v>
      </c>
      <c r="Y130" s="117" t="str">
        <f>TempDelta[[#This Row],[WeekNo]]&amp;"-"&amp;TempDelta[[#This Row],[HR]]</f>
        <v>5-6</v>
      </c>
      <c r="Z130">
        <f t="shared" si="3"/>
        <v>5</v>
      </c>
      <c r="AA130">
        <v>6</v>
      </c>
      <c r="AB130">
        <v>2.6167142391204834</v>
      </c>
      <c r="AC130" s="39"/>
    </row>
    <row r="131" spans="1:29">
      <c r="A1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25-08-Sun-07</v>
      </c>
      <c r="B131" s="92">
        <v>45872.291666666664</v>
      </c>
      <c r="C131" s="134">
        <v>367.87313799142237</v>
      </c>
      <c r="D131" s="131">
        <v>49.643000000000001</v>
      </c>
      <c r="Y131" s="117" t="str">
        <f>TempDelta[[#This Row],[WeekNo]]&amp;"-"&amp;TempDelta[[#This Row],[HR]]</f>
        <v>5-7</v>
      </c>
      <c r="Z131">
        <f t="shared" si="3"/>
        <v>5</v>
      </c>
      <c r="AA131">
        <v>7</v>
      </c>
      <c r="AB131">
        <v>2.5078571183340892</v>
      </c>
      <c r="AC131" s="39"/>
    </row>
    <row r="132" spans="1:29">
      <c r="A1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25-08-Sun-08</v>
      </c>
      <c r="B132" s="92">
        <v>45872.333333333336</v>
      </c>
      <c r="C132" s="134">
        <v>367.87313799142225</v>
      </c>
      <c r="D132" s="131">
        <v>49.600999999999999</v>
      </c>
      <c r="Y132" s="117" t="str">
        <f>TempDelta[[#This Row],[WeekNo]]&amp;"-"&amp;TempDelta[[#This Row],[HR]]</f>
        <v>5-8</v>
      </c>
      <c r="Z132">
        <f t="shared" si="3"/>
        <v>5</v>
      </c>
      <c r="AA132">
        <v>8</v>
      </c>
      <c r="AB132">
        <v>2.3500000068119595</v>
      </c>
      <c r="AC132" s="39"/>
    </row>
    <row r="133" spans="1:29">
      <c r="A1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25-08-Sun-09</v>
      </c>
      <c r="B133" s="92">
        <v>45872.375</v>
      </c>
      <c r="C133" s="134">
        <v>367.87058153758403</v>
      </c>
      <c r="D133" s="131">
        <v>49.527000000000001</v>
      </c>
      <c r="Y133" s="117" t="str">
        <f>TempDelta[[#This Row],[WeekNo]]&amp;"-"&amp;TempDelta[[#This Row],[HR]]</f>
        <v>5-9</v>
      </c>
      <c r="Z133">
        <f t="shared" si="3"/>
        <v>5</v>
      </c>
      <c r="AA133">
        <v>9</v>
      </c>
      <c r="AB133">
        <v>2.1847142832619801</v>
      </c>
      <c r="AC133" s="39"/>
    </row>
    <row r="134" spans="1:29">
      <c r="A1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25-08-Sun-10</v>
      </c>
      <c r="B134" s="92">
        <v>45872.416666666664</v>
      </c>
      <c r="C134" s="134">
        <v>367.87058153758414</v>
      </c>
      <c r="D134" s="131">
        <v>49.448</v>
      </c>
      <c r="Y134" s="117" t="str">
        <f>TempDelta[[#This Row],[WeekNo]]&amp;"-"&amp;TempDelta[[#This Row],[HR]]</f>
        <v>5-10</v>
      </c>
      <c r="Z134">
        <f t="shared" si="3"/>
        <v>5</v>
      </c>
      <c r="AA134">
        <v>10</v>
      </c>
      <c r="AB134">
        <v>2.0077143056052074</v>
      </c>
      <c r="AC134" s="39"/>
    </row>
    <row r="135" spans="1:29">
      <c r="A1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25-08-Sun-11</v>
      </c>
      <c r="B135" s="92">
        <v>45872.458333333336</v>
      </c>
      <c r="C135" s="134">
        <v>367.87058153758414</v>
      </c>
      <c r="D135" s="131">
        <v>49.406999999999996</v>
      </c>
      <c r="Y135" s="117" t="str">
        <f>TempDelta[[#This Row],[WeekNo]]&amp;"-"&amp;TempDelta[[#This Row],[HR]]</f>
        <v>5-11</v>
      </c>
      <c r="Z135">
        <f t="shared" si="3"/>
        <v>5</v>
      </c>
      <c r="AA135">
        <v>11</v>
      </c>
      <c r="AB135">
        <v>1.7969999824251448</v>
      </c>
      <c r="AC135" s="39"/>
    </row>
    <row r="136" spans="1:29">
      <c r="A1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25-08-Sun-12</v>
      </c>
      <c r="B136" s="92">
        <v>45872.5</v>
      </c>
      <c r="C136" s="134">
        <v>367.87058153758414</v>
      </c>
      <c r="D136" s="131">
        <v>49.386000000000003</v>
      </c>
      <c r="Y136" s="117" t="str">
        <f>TempDelta[[#This Row],[WeekNo]]&amp;"-"&amp;TempDelta[[#This Row],[HR]]</f>
        <v>5-12</v>
      </c>
      <c r="Z136">
        <f t="shared" si="3"/>
        <v>5</v>
      </c>
      <c r="AA136">
        <v>12</v>
      </c>
      <c r="AB136">
        <v>1.5904285567147392</v>
      </c>
      <c r="AC136" s="39"/>
    </row>
    <row r="137" spans="1:29">
      <c r="A1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25-08-Sun-13</v>
      </c>
      <c r="B137" s="92">
        <v>45872.541666666664</v>
      </c>
      <c r="C137" s="134">
        <v>383.79600000000005</v>
      </c>
      <c r="D137" s="131">
        <v>49.508000000000003</v>
      </c>
      <c r="Y137" s="117" t="str">
        <f>TempDelta[[#This Row],[WeekNo]]&amp;"-"&amp;TempDelta[[#This Row],[HR]]</f>
        <v>5-13</v>
      </c>
      <c r="Z137">
        <f t="shared" si="3"/>
        <v>5</v>
      </c>
      <c r="AA137">
        <v>13</v>
      </c>
      <c r="AB137">
        <v>1.3895714112690516</v>
      </c>
      <c r="AC137" s="39"/>
    </row>
    <row r="138" spans="1:29">
      <c r="A1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25-08-Sun-14</v>
      </c>
      <c r="B138" s="92">
        <v>45872.583333333336</v>
      </c>
      <c r="C138" s="134">
        <v>601.59473042133243</v>
      </c>
      <c r="D138" s="131">
        <v>51.412999999999997</v>
      </c>
      <c r="Y138" s="117" t="str">
        <f>TempDelta[[#This Row],[WeekNo]]&amp;"-"&amp;TempDelta[[#This Row],[HR]]</f>
        <v>5-14</v>
      </c>
      <c r="Z138">
        <f t="shared" si="3"/>
        <v>5</v>
      </c>
      <c r="AA138">
        <v>14</v>
      </c>
      <c r="AB138">
        <v>0.96357142499514992</v>
      </c>
      <c r="AC138" s="39"/>
    </row>
    <row r="139" spans="1:29">
      <c r="A1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25-08-Sun-15</v>
      </c>
      <c r="B139" s="92">
        <v>45872.625</v>
      </c>
      <c r="C139" s="134">
        <v>701.54800000000012</v>
      </c>
      <c r="D139" s="131">
        <v>59.19</v>
      </c>
      <c r="Y139" s="117" t="str">
        <f>TempDelta[[#This Row],[WeekNo]]&amp;"-"&amp;TempDelta[[#This Row],[HR]]</f>
        <v>5-15</v>
      </c>
      <c r="Z139">
        <f t="shared" si="3"/>
        <v>5</v>
      </c>
      <c r="AA139">
        <v>15</v>
      </c>
      <c r="AB139">
        <v>0.84407143933432438</v>
      </c>
      <c r="AC139" s="39"/>
    </row>
    <row r="140" spans="1:29">
      <c r="A1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25-08-Sun-16</v>
      </c>
      <c r="B140" s="92">
        <v>45872.666666666664</v>
      </c>
      <c r="C140" s="134">
        <v>854.64279782235462</v>
      </c>
      <c r="D140" s="131">
        <v>78.808000000000007</v>
      </c>
      <c r="Y140" s="117" t="str">
        <f>TempDelta[[#This Row],[WeekNo]]&amp;"-"&amp;TempDelta[[#This Row],[HR]]</f>
        <v>5-16</v>
      </c>
      <c r="Z140">
        <f t="shared" si="3"/>
        <v>5</v>
      </c>
      <c r="AA140">
        <v>16</v>
      </c>
      <c r="AB140">
        <v>0.87021427069391522</v>
      </c>
      <c r="AC140" s="39"/>
    </row>
    <row r="141" spans="1:29">
      <c r="A1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25-08-Sun-17</v>
      </c>
      <c r="B141" s="92">
        <v>45872.708333333336</v>
      </c>
      <c r="C141" s="134">
        <v>854.64279782235462</v>
      </c>
      <c r="D141" s="131">
        <v>114.123</v>
      </c>
      <c r="Y141" s="117" t="str">
        <f>TempDelta[[#This Row],[WeekNo]]&amp;"-"&amp;TempDelta[[#This Row],[HR]]</f>
        <v>5-17</v>
      </c>
      <c r="Z141">
        <f t="shared" si="3"/>
        <v>5</v>
      </c>
      <c r="AA141">
        <v>17</v>
      </c>
      <c r="AB141">
        <v>1.0735000031335014</v>
      </c>
      <c r="AC141" s="39"/>
    </row>
    <row r="142" spans="1:29">
      <c r="A1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25-08-Sun-18</v>
      </c>
      <c r="B142" s="92">
        <v>45872.75</v>
      </c>
      <c r="C142" s="134">
        <v>854.64279782235485</v>
      </c>
      <c r="D142" s="131">
        <v>117.83799999999999</v>
      </c>
      <c r="Y142" s="117" t="str">
        <f>TempDelta[[#This Row],[WeekNo]]&amp;"-"&amp;TempDelta[[#This Row],[HR]]</f>
        <v>5-18</v>
      </c>
      <c r="Z142">
        <f t="shared" si="3"/>
        <v>5</v>
      </c>
      <c r="AA142">
        <v>18</v>
      </c>
      <c r="AB142">
        <v>1.3760714275496346</v>
      </c>
      <c r="AC142" s="39"/>
    </row>
    <row r="143" spans="1:29">
      <c r="A1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25-08-Sun-19</v>
      </c>
      <c r="B143" s="92">
        <v>45872.791666666664</v>
      </c>
      <c r="C143" s="134">
        <v>854.64279782235462</v>
      </c>
      <c r="D143" s="131">
        <v>117.884</v>
      </c>
      <c r="Y143" s="117" t="str">
        <f>TempDelta[[#This Row],[WeekNo]]&amp;"-"&amp;TempDelta[[#This Row],[HR]]</f>
        <v>5-19</v>
      </c>
      <c r="Z143">
        <f t="shared" si="3"/>
        <v>5</v>
      </c>
      <c r="AA143">
        <v>19</v>
      </c>
      <c r="AB143">
        <v>1.5774285623005457</v>
      </c>
      <c r="AC143" s="39"/>
    </row>
    <row r="144" spans="1:29">
      <c r="A1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25-08-Sun-20</v>
      </c>
      <c r="B144" s="92">
        <v>45872.833333333336</v>
      </c>
      <c r="C144" s="134">
        <v>854.64279782235485</v>
      </c>
      <c r="D144" s="131">
        <v>117.846</v>
      </c>
      <c r="Y144" s="117" t="str">
        <f>TempDelta[[#This Row],[WeekNo]]&amp;"-"&amp;TempDelta[[#This Row],[HR]]</f>
        <v>5-20</v>
      </c>
      <c r="Z144">
        <f t="shared" si="3"/>
        <v>5</v>
      </c>
      <c r="AA144">
        <v>20</v>
      </c>
      <c r="AB144">
        <v>1.776142852646964</v>
      </c>
      <c r="AC144" s="39"/>
    </row>
    <row r="145" spans="1:29">
      <c r="A1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25-08-Sun-21</v>
      </c>
      <c r="B145" s="92">
        <v>45872.875</v>
      </c>
      <c r="C145" s="134">
        <v>716.49472951970779</v>
      </c>
      <c r="D145" s="131">
        <v>113.148</v>
      </c>
      <c r="Y145" s="117" t="str">
        <f>TempDelta[[#This Row],[WeekNo]]&amp;"-"&amp;TempDelta[[#This Row],[HR]]</f>
        <v>5-21</v>
      </c>
      <c r="Z145">
        <f t="shared" si="3"/>
        <v>5</v>
      </c>
      <c r="AA145">
        <v>21</v>
      </c>
      <c r="AB145">
        <v>1.8817142588751656</v>
      </c>
      <c r="AC145" s="39"/>
    </row>
    <row r="146" spans="1:29">
      <c r="A1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25-08-Sun-22</v>
      </c>
      <c r="B146" s="92">
        <v>45872.916666666664</v>
      </c>
      <c r="C146" s="134">
        <v>650.86101040509834</v>
      </c>
      <c r="D146" s="131">
        <v>99.046999999999997</v>
      </c>
      <c r="Y146" s="117" t="str">
        <f>TempDelta[[#This Row],[WeekNo]]&amp;"-"&amp;TempDelta[[#This Row],[HR]]</f>
        <v>5-22</v>
      </c>
      <c r="Z146">
        <f t="shared" si="3"/>
        <v>5</v>
      </c>
      <c r="AA146">
        <v>22</v>
      </c>
      <c r="AB146">
        <v>2.2282856873103549</v>
      </c>
      <c r="AC146" s="39"/>
    </row>
    <row r="147" spans="1:29">
      <c r="A1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25-08-Sun-23</v>
      </c>
      <c r="B147" s="92">
        <v>45872.958333333336</v>
      </c>
      <c r="C147" s="134">
        <v>496.904</v>
      </c>
      <c r="D147" s="131">
        <v>53.154000000000003</v>
      </c>
      <c r="Y147" s="117" t="str">
        <f>TempDelta[[#This Row],[WeekNo]]&amp;"-"&amp;TempDelta[[#This Row],[HR]]</f>
        <v>5-23</v>
      </c>
      <c r="Z147">
        <f t="shared" si="3"/>
        <v>5</v>
      </c>
      <c r="AA147">
        <v>23</v>
      </c>
      <c r="AB147">
        <v>2.3557142189570834</v>
      </c>
      <c r="AC147" s="39"/>
    </row>
    <row r="148" spans="1:29">
      <c r="A148" s="12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25-09-Wkd-00</v>
      </c>
      <c r="B148" s="125">
        <v>45905</v>
      </c>
      <c r="C148" s="132">
        <v>314.1983464222202</v>
      </c>
      <c r="D148" s="133">
        <v>37.493000000000002</v>
      </c>
      <c r="F148" t="s">
        <v>502</v>
      </c>
      <c r="V148" s="100">
        <f>V124+7</f>
        <v>45906</v>
      </c>
      <c r="W148" s="100">
        <f>V148+6</f>
        <v>45912</v>
      </c>
      <c r="Y148" s="117" t="str">
        <f>TempDelta[[#This Row],[WeekNo]]&amp;"-"&amp;TempDelta[[#This Row],[HR]]</f>
        <v>6-0</v>
      </c>
      <c r="Z148">
        <f t="shared" si="3"/>
        <v>6</v>
      </c>
      <c r="AA148">
        <v>0</v>
      </c>
      <c r="AB148" s="158">
        <v>2.2215714454650879</v>
      </c>
      <c r="AC148" s="175">
        <f>AC124+7</f>
        <v>45906</v>
      </c>
    </row>
    <row r="149" spans="1:29">
      <c r="A1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25-09-Wkd-01</v>
      </c>
      <c r="B149" s="92">
        <v>45905.041666666664</v>
      </c>
      <c r="C149" s="134">
        <v>314.1983464222202</v>
      </c>
      <c r="D149" s="131">
        <v>37.493000000000002</v>
      </c>
      <c r="Y149" s="117" t="str">
        <f>TempDelta[[#This Row],[WeekNo]]&amp;"-"&amp;TempDelta[[#This Row],[HR]]</f>
        <v>6-1</v>
      </c>
      <c r="Z149">
        <f t="shared" si="3"/>
        <v>6</v>
      </c>
      <c r="AA149">
        <v>1</v>
      </c>
      <c r="AB149">
        <v>2.2935714381081715</v>
      </c>
      <c r="AC149" s="39"/>
    </row>
    <row r="150" spans="1:29">
      <c r="A1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25-09-Wkd-02</v>
      </c>
      <c r="B150" s="92">
        <v>45905.083333333336</v>
      </c>
      <c r="C150" s="134">
        <v>314.1983464222202</v>
      </c>
      <c r="D150" s="131">
        <v>37.493000000000002</v>
      </c>
      <c r="Y150" s="117" t="str">
        <f>TempDelta[[#This Row],[WeekNo]]&amp;"-"&amp;TempDelta[[#This Row],[HR]]</f>
        <v>6-2</v>
      </c>
      <c r="Z150">
        <f t="shared" si="3"/>
        <v>6</v>
      </c>
      <c r="AA150">
        <v>2</v>
      </c>
      <c r="AB150">
        <v>2.3212857246398926</v>
      </c>
      <c r="AC150" s="39"/>
    </row>
    <row r="151" spans="1:29">
      <c r="A1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25-09-Wkd-03</v>
      </c>
      <c r="B151" s="92">
        <v>45905.125</v>
      </c>
      <c r="C151" s="134">
        <v>314.19450165673635</v>
      </c>
      <c r="D151" s="131">
        <v>37.493000000000002</v>
      </c>
      <c r="Y151" s="117" t="str">
        <f>TempDelta[[#This Row],[WeekNo]]&amp;"-"&amp;TempDelta[[#This Row],[HR]]</f>
        <v>6-3</v>
      </c>
      <c r="Z151">
        <f t="shared" si="3"/>
        <v>6</v>
      </c>
      <c r="AA151">
        <v>3</v>
      </c>
      <c r="AB151">
        <v>2.3239999498639787</v>
      </c>
      <c r="AC151" s="39"/>
    </row>
    <row r="152" spans="1:29">
      <c r="A1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25-09-Wkd-04</v>
      </c>
      <c r="B152" s="92">
        <v>45905.166666666664</v>
      </c>
      <c r="C152" s="134">
        <v>314.19450165673635</v>
      </c>
      <c r="D152" s="131">
        <v>37.493000000000002</v>
      </c>
      <c r="Y152" s="117" t="str">
        <f>TempDelta[[#This Row],[WeekNo]]&amp;"-"&amp;TempDelta[[#This Row],[HR]]</f>
        <v>6-4</v>
      </c>
      <c r="Z152">
        <f t="shared" si="3"/>
        <v>6</v>
      </c>
      <c r="AA152">
        <v>4</v>
      </c>
      <c r="AB152">
        <v>2.3638571671077182</v>
      </c>
      <c r="AC152" s="39"/>
    </row>
    <row r="153" spans="1:29">
      <c r="A1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25-09-Wkd-05</v>
      </c>
      <c r="B153" s="92">
        <v>45905.208333333336</v>
      </c>
      <c r="C153" s="134">
        <v>314.19450165673635</v>
      </c>
      <c r="D153" s="131">
        <v>37.493000000000002</v>
      </c>
      <c r="Y153" s="117" t="str">
        <f>TempDelta[[#This Row],[WeekNo]]&amp;"-"&amp;TempDelta[[#This Row],[HR]]</f>
        <v>6-5</v>
      </c>
      <c r="Z153">
        <f t="shared" si="3"/>
        <v>6</v>
      </c>
      <c r="AA153">
        <v>5</v>
      </c>
      <c r="AB153">
        <v>2.4734285558973039</v>
      </c>
      <c r="AC153" s="39"/>
    </row>
    <row r="154" spans="1:29">
      <c r="A1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25-09-Wkd-06</v>
      </c>
      <c r="B154" s="92">
        <v>45905.25</v>
      </c>
      <c r="C154" s="134">
        <v>316.44</v>
      </c>
      <c r="D154" s="131">
        <v>37.46</v>
      </c>
      <c r="Y154" s="117" t="str">
        <f>TempDelta[[#This Row],[WeekNo]]&amp;"-"&amp;TempDelta[[#This Row],[HR]]</f>
        <v>6-6</v>
      </c>
      <c r="Z154">
        <f t="shared" si="3"/>
        <v>6</v>
      </c>
      <c r="AA154">
        <v>6</v>
      </c>
      <c r="AB154">
        <v>2.4392857210976735</v>
      </c>
      <c r="AC154" s="39"/>
    </row>
    <row r="155" spans="1:29">
      <c r="A1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25-09-Wkd-07</v>
      </c>
      <c r="B155" s="92">
        <v>45905.291666666664</v>
      </c>
      <c r="C155" s="134">
        <v>316.44</v>
      </c>
      <c r="D155" s="131">
        <v>37.46</v>
      </c>
      <c r="Y155" s="117" t="str">
        <f>TempDelta[[#This Row],[WeekNo]]&amp;"-"&amp;TempDelta[[#This Row],[HR]]</f>
        <v>6-7</v>
      </c>
      <c r="Z155">
        <f t="shared" si="3"/>
        <v>6</v>
      </c>
      <c r="AA155">
        <v>7</v>
      </c>
      <c r="AB155">
        <v>2.3079999514988492</v>
      </c>
      <c r="AC155" s="39"/>
    </row>
    <row r="156" spans="1:29">
      <c r="A1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25-09-Wkd-08</v>
      </c>
      <c r="B156" s="92">
        <v>45905.333333333336</v>
      </c>
      <c r="C156" s="134">
        <v>316.44</v>
      </c>
      <c r="D156" s="131">
        <v>37.46</v>
      </c>
      <c r="Y156" s="117" t="str">
        <f>TempDelta[[#This Row],[WeekNo]]&amp;"-"&amp;TempDelta[[#This Row],[HR]]</f>
        <v>6-8</v>
      </c>
      <c r="Z156">
        <f t="shared" si="3"/>
        <v>6</v>
      </c>
      <c r="AA156">
        <v>8</v>
      </c>
      <c r="AB156">
        <v>2.1418571812765941</v>
      </c>
      <c r="AC156" s="39"/>
    </row>
    <row r="157" spans="1:29">
      <c r="A1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25-09-Wkd-09</v>
      </c>
      <c r="B157" s="92">
        <v>45905.375</v>
      </c>
      <c r="C157" s="134">
        <v>316.44</v>
      </c>
      <c r="D157" s="131">
        <v>37.46</v>
      </c>
      <c r="Y157" s="117" t="str">
        <f>TempDelta[[#This Row],[WeekNo]]&amp;"-"&amp;TempDelta[[#This Row],[HR]]</f>
        <v>6-9</v>
      </c>
      <c r="Z157">
        <f t="shared" ref="Z157:Z220" si="5">Z133+1</f>
        <v>6</v>
      </c>
      <c r="AA157">
        <v>9</v>
      </c>
      <c r="AB157">
        <v>1.9845714058194841</v>
      </c>
      <c r="AC157" s="39"/>
    </row>
    <row r="158" spans="1:29">
      <c r="A1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25-09-Wkd-10</v>
      </c>
      <c r="B158" s="92">
        <v>45905.416666666664</v>
      </c>
      <c r="C158" s="134">
        <v>316.03213215598458</v>
      </c>
      <c r="D158" s="131">
        <v>37.363999999999997</v>
      </c>
      <c r="Y158" s="117" t="str">
        <f>TempDelta[[#This Row],[WeekNo]]&amp;"-"&amp;TempDelta[[#This Row],[HR]]</f>
        <v>6-10</v>
      </c>
      <c r="Z158">
        <f t="shared" si="5"/>
        <v>6</v>
      </c>
      <c r="AA158">
        <v>10</v>
      </c>
      <c r="AB158">
        <v>1.8231428350721086</v>
      </c>
      <c r="AC158" s="39"/>
    </row>
    <row r="159" spans="1:29">
      <c r="A1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25-09-Wkd-11</v>
      </c>
      <c r="B159" s="92">
        <v>45905.458333333336</v>
      </c>
      <c r="C159" s="134">
        <v>316.03213215598458</v>
      </c>
      <c r="D159" s="131">
        <v>37.332999999999998</v>
      </c>
      <c r="Y159" s="117" t="str">
        <f>TempDelta[[#This Row],[WeekNo]]&amp;"-"&amp;TempDelta[[#This Row],[HR]]</f>
        <v>6-11</v>
      </c>
      <c r="Z159">
        <f t="shared" si="5"/>
        <v>6</v>
      </c>
      <c r="AA159">
        <v>11</v>
      </c>
      <c r="AB159">
        <v>1.6317142759050642</v>
      </c>
      <c r="AC159" s="39"/>
    </row>
    <row r="160" spans="1:29">
      <c r="A1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25-09-Wkd-12</v>
      </c>
      <c r="B160" s="92">
        <v>45905.5</v>
      </c>
      <c r="C160" s="134">
        <v>316.03213215598458</v>
      </c>
      <c r="D160" s="131">
        <v>37.314999999999998</v>
      </c>
      <c r="Y160" s="117" t="str">
        <f>TempDelta[[#This Row],[WeekNo]]&amp;"-"&amp;TempDelta[[#This Row],[HR]]</f>
        <v>6-12</v>
      </c>
      <c r="Z160">
        <f t="shared" si="5"/>
        <v>6</v>
      </c>
      <c r="AA160">
        <v>12</v>
      </c>
      <c r="AB160">
        <v>1.4472857202802385</v>
      </c>
      <c r="AC160" s="39"/>
    </row>
    <row r="161" spans="1:29">
      <c r="A1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25-09-Wkd-13</v>
      </c>
      <c r="B161" s="92">
        <v>45905.541666666664</v>
      </c>
      <c r="C161" s="134">
        <v>316.00222739407985</v>
      </c>
      <c r="D161" s="131">
        <v>37.31</v>
      </c>
      <c r="Y161" s="117" t="str">
        <f>TempDelta[[#This Row],[WeekNo]]&amp;"-"&amp;TempDelta[[#This Row],[HR]]</f>
        <v>6-13</v>
      </c>
      <c r="Z161">
        <f t="shared" si="5"/>
        <v>6</v>
      </c>
      <c r="AA161">
        <v>13</v>
      </c>
      <c r="AB161">
        <v>1.2702857085636683</v>
      </c>
      <c r="AC161" s="39"/>
    </row>
    <row r="162" spans="1:29">
      <c r="A1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25-09-Wkd-14</v>
      </c>
      <c r="B162" s="92">
        <v>45905.583333333336</v>
      </c>
      <c r="C162" s="134">
        <v>394.87100000000004</v>
      </c>
      <c r="D162" s="131">
        <v>37.417999999999999</v>
      </c>
      <c r="Y162" s="117" t="str">
        <f>TempDelta[[#This Row],[WeekNo]]&amp;"-"&amp;TempDelta[[#This Row],[HR]]</f>
        <v>6-14</v>
      </c>
      <c r="Z162">
        <f t="shared" si="5"/>
        <v>6</v>
      </c>
      <c r="AA162">
        <v>14</v>
      </c>
      <c r="AB162">
        <v>1.1090000016348702</v>
      </c>
      <c r="AC162" s="39"/>
    </row>
    <row r="163" spans="1:29">
      <c r="A1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25-09-Wkd-15</v>
      </c>
      <c r="B163" s="92">
        <v>45905.625</v>
      </c>
      <c r="C163" s="134">
        <v>619.92391352610855</v>
      </c>
      <c r="D163" s="131">
        <v>54.901000000000003</v>
      </c>
      <c r="Y163" s="117" t="str">
        <f>TempDelta[[#This Row],[WeekNo]]&amp;"-"&amp;TempDelta[[#This Row],[HR]]</f>
        <v>6-15</v>
      </c>
      <c r="Z163">
        <f t="shared" si="5"/>
        <v>6</v>
      </c>
      <c r="AA163">
        <v>15</v>
      </c>
      <c r="AB163">
        <v>0.62785714651857105</v>
      </c>
      <c r="AC163" s="39"/>
    </row>
    <row r="164" spans="1:29">
      <c r="A1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25-09-Wkd-16</v>
      </c>
      <c r="B164" s="92">
        <v>45905.666666666664</v>
      </c>
      <c r="C164" s="134">
        <v>654.53126837099558</v>
      </c>
      <c r="D164" s="131">
        <v>60.77</v>
      </c>
      <c r="Y164" s="117" t="str">
        <f>TempDelta[[#This Row],[WeekNo]]&amp;"-"&amp;TempDelta[[#This Row],[HR]]</f>
        <v>6-16</v>
      </c>
      <c r="Z164">
        <f t="shared" si="5"/>
        <v>6</v>
      </c>
      <c r="AA164">
        <v>16</v>
      </c>
      <c r="AB164">
        <v>0.70735713200909756</v>
      </c>
      <c r="AC164" s="39"/>
    </row>
    <row r="165" spans="1:29">
      <c r="A1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25-09-Wkd-17</v>
      </c>
      <c r="B165" s="92">
        <v>45905.708333333336</v>
      </c>
      <c r="C165" s="134">
        <v>654.53126837099558</v>
      </c>
      <c r="D165" s="131">
        <v>62.991</v>
      </c>
      <c r="Y165" s="117" t="str">
        <f>TempDelta[[#This Row],[WeekNo]]&amp;"-"&amp;TempDelta[[#This Row],[HR]]</f>
        <v>6-17</v>
      </c>
      <c r="Z165">
        <f t="shared" si="5"/>
        <v>6</v>
      </c>
      <c r="AA165">
        <v>17</v>
      </c>
      <c r="AB165">
        <v>0.97692857256957466</v>
      </c>
      <c r="AC165" s="39"/>
    </row>
    <row r="166" spans="1:29">
      <c r="A1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25-09-Wkd-18</v>
      </c>
      <c r="B166" s="92">
        <v>45905.75</v>
      </c>
      <c r="C166" s="134">
        <v>654.53126837099558</v>
      </c>
      <c r="D166" s="131">
        <v>64.385000000000005</v>
      </c>
      <c r="Y166" s="117" t="str">
        <f>TempDelta[[#This Row],[WeekNo]]&amp;"-"&amp;TempDelta[[#This Row],[HR]]</f>
        <v>6-18</v>
      </c>
      <c r="Z166">
        <f t="shared" si="5"/>
        <v>6</v>
      </c>
      <c r="AA166">
        <v>18</v>
      </c>
      <c r="AB166">
        <v>1.2994285779339927</v>
      </c>
      <c r="AC166" s="39"/>
    </row>
    <row r="167" spans="1:29">
      <c r="A1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25-09-Wkd-19</v>
      </c>
      <c r="B167" s="92">
        <v>45905.791666666664</v>
      </c>
      <c r="C167" s="134">
        <v>652.33328716977405</v>
      </c>
      <c r="D167" s="131">
        <v>64.346999999999994</v>
      </c>
      <c r="Y167" s="117" t="str">
        <f>TempDelta[[#This Row],[WeekNo]]&amp;"-"&amp;TempDelta[[#This Row],[HR]]</f>
        <v>6-19</v>
      </c>
      <c r="Z167">
        <f t="shared" si="5"/>
        <v>6</v>
      </c>
      <c r="AA167">
        <v>19</v>
      </c>
      <c r="AB167">
        <v>1.4374285723481859</v>
      </c>
      <c r="AC167" s="39"/>
    </row>
    <row r="168" spans="1:29">
      <c r="A1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25-09-Wkd-20</v>
      </c>
      <c r="B168" s="92">
        <v>45905.833333333336</v>
      </c>
      <c r="C168" s="134">
        <v>652.33328716977405</v>
      </c>
      <c r="D168" s="131">
        <v>63.06</v>
      </c>
      <c r="Y168" s="117" t="str">
        <f>TempDelta[[#This Row],[WeekNo]]&amp;"-"&amp;TempDelta[[#This Row],[HR]]</f>
        <v>6-20</v>
      </c>
      <c r="Z168">
        <f t="shared" si="5"/>
        <v>6</v>
      </c>
      <c r="AA168">
        <v>20</v>
      </c>
      <c r="AB168">
        <v>1.5300714543887548</v>
      </c>
      <c r="AC168" s="39"/>
    </row>
    <row r="169" spans="1:29">
      <c r="A1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25-09-Wkd-21</v>
      </c>
      <c r="B169" s="92">
        <v>45905.875</v>
      </c>
      <c r="C169" s="134">
        <v>569.50955590188516</v>
      </c>
      <c r="D169" s="131">
        <v>53.856000000000002</v>
      </c>
      <c r="Y169" s="117" t="str">
        <f>TempDelta[[#This Row],[WeekNo]]&amp;"-"&amp;TempDelta[[#This Row],[HR]]</f>
        <v>6-21</v>
      </c>
      <c r="Z169">
        <f t="shared" si="5"/>
        <v>6</v>
      </c>
      <c r="AA169">
        <v>21</v>
      </c>
      <c r="AB169">
        <v>1.5475714121546065</v>
      </c>
      <c r="AC169" s="39"/>
    </row>
    <row r="170" spans="1:29">
      <c r="A1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25-09-Wkd-22</v>
      </c>
      <c r="B170" s="92">
        <v>45905.916666666664</v>
      </c>
      <c r="C170" s="134">
        <v>458.60715726347553</v>
      </c>
      <c r="D170" s="131">
        <v>38.607999999999997</v>
      </c>
      <c r="Y170" s="117" t="str">
        <f>TempDelta[[#This Row],[WeekNo]]&amp;"-"&amp;TempDelta[[#This Row],[HR]]</f>
        <v>6-22</v>
      </c>
      <c r="Z170">
        <f t="shared" si="5"/>
        <v>6</v>
      </c>
      <c r="AA170">
        <v>22</v>
      </c>
      <c r="AB170">
        <v>2.0112857137407576</v>
      </c>
      <c r="AC170" s="39"/>
    </row>
    <row r="171" spans="1:29">
      <c r="A1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25-09-Wkd-23</v>
      </c>
      <c r="B171" s="92">
        <v>45905.958333333336</v>
      </c>
      <c r="C171" s="134">
        <v>314.49485993383922</v>
      </c>
      <c r="D171" s="131">
        <v>37.624000000000002</v>
      </c>
      <c r="Y171" s="117" t="str">
        <f>TempDelta[[#This Row],[WeekNo]]&amp;"-"&amp;TempDelta[[#This Row],[HR]]</f>
        <v>6-23</v>
      </c>
      <c r="Z171">
        <f t="shared" si="5"/>
        <v>6</v>
      </c>
      <c r="AA171">
        <v>23</v>
      </c>
      <c r="AB171">
        <v>2.1388571432658603</v>
      </c>
      <c r="AC171" s="39"/>
    </row>
    <row r="172" spans="1:29">
      <c r="A1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25-09-Sat-00</v>
      </c>
      <c r="B172" s="92">
        <v>45906</v>
      </c>
      <c r="C172" s="134">
        <v>314.48909343556204</v>
      </c>
      <c r="D172" s="131">
        <v>37.493000000000002</v>
      </c>
      <c r="V172" s="100">
        <f>V148+7</f>
        <v>45913</v>
      </c>
      <c r="W172" s="100">
        <f>V172+6</f>
        <v>45919</v>
      </c>
      <c r="Y172" s="117" t="str">
        <f>TempDelta[[#This Row],[WeekNo]]&amp;"-"&amp;TempDelta[[#This Row],[HR]]</f>
        <v>7-0</v>
      </c>
      <c r="Z172">
        <f t="shared" si="5"/>
        <v>7</v>
      </c>
      <c r="AA172">
        <v>0</v>
      </c>
      <c r="AB172" s="158">
        <v>2.099285670689174</v>
      </c>
      <c r="AC172" s="175">
        <f>AC148+7</f>
        <v>45913</v>
      </c>
    </row>
    <row r="173" spans="1:29">
      <c r="A1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25-09-Sat-01</v>
      </c>
      <c r="B173" s="92">
        <v>45906.041666666664</v>
      </c>
      <c r="C173" s="134">
        <v>314.48909343556204</v>
      </c>
      <c r="D173" s="131">
        <v>37.493000000000002</v>
      </c>
      <c r="Y173" s="117" t="str">
        <f>TempDelta[[#This Row],[WeekNo]]&amp;"-"&amp;TempDelta[[#This Row],[HR]]</f>
        <v>7-1</v>
      </c>
      <c r="Z173">
        <f t="shared" si="5"/>
        <v>7</v>
      </c>
      <c r="AA173">
        <v>1</v>
      </c>
      <c r="AB173">
        <v>2.1752857140132358</v>
      </c>
      <c r="AC173" s="39"/>
    </row>
    <row r="174" spans="1:29">
      <c r="A1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25-09-Sat-02</v>
      </c>
      <c r="B174" s="92">
        <v>45906.083333333336</v>
      </c>
      <c r="C174" s="134">
        <v>314.48909343556204</v>
      </c>
      <c r="D174" s="131">
        <v>38.511000000000003</v>
      </c>
      <c r="Y174" s="117" t="str">
        <f>TempDelta[[#This Row],[WeekNo]]&amp;"-"&amp;TempDelta[[#This Row],[HR]]</f>
        <v>7-2</v>
      </c>
      <c r="Z174">
        <f t="shared" si="5"/>
        <v>7</v>
      </c>
      <c r="AA174">
        <v>2</v>
      </c>
      <c r="AB174">
        <v>2.2037143026079451</v>
      </c>
      <c r="AC174" s="39"/>
    </row>
    <row r="175" spans="1:29">
      <c r="A1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25-09-Sat-03</v>
      </c>
      <c r="B175" s="92">
        <v>45906.125</v>
      </c>
      <c r="C175" s="134">
        <v>314.48524867007802</v>
      </c>
      <c r="D175" s="131">
        <v>38.511000000000003</v>
      </c>
      <c r="Y175" s="117" t="str">
        <f>TempDelta[[#This Row],[WeekNo]]&amp;"-"&amp;TempDelta[[#This Row],[HR]]</f>
        <v>7-3</v>
      </c>
      <c r="Z175">
        <f t="shared" si="5"/>
        <v>7</v>
      </c>
      <c r="AA175">
        <v>3</v>
      </c>
      <c r="AB175">
        <v>2.2029999664851596</v>
      </c>
      <c r="AC175" s="39"/>
    </row>
    <row r="176" spans="1:29">
      <c r="A1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25-09-Sat-04</v>
      </c>
      <c r="B176" s="92">
        <v>45906.166666666664</v>
      </c>
      <c r="C176" s="134">
        <v>314.48524867007802</v>
      </c>
      <c r="D176" s="131">
        <v>38.511000000000003</v>
      </c>
      <c r="Y176" s="117" t="str">
        <f>TempDelta[[#This Row],[WeekNo]]&amp;"-"&amp;TempDelta[[#This Row],[HR]]</f>
        <v>7-4</v>
      </c>
      <c r="Z176">
        <f t="shared" si="5"/>
        <v>7</v>
      </c>
      <c r="AA176">
        <v>4</v>
      </c>
      <c r="AB176">
        <v>2.2338571548461914</v>
      </c>
      <c r="AC176" s="39"/>
    </row>
    <row r="177" spans="1:29">
      <c r="A1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25-09-Sat-05</v>
      </c>
      <c r="B177" s="92">
        <v>45906.208333333336</v>
      </c>
      <c r="C177" s="134">
        <v>314.48524867007802</v>
      </c>
      <c r="D177" s="131">
        <v>38.228000000000002</v>
      </c>
      <c r="Y177" s="117" t="str">
        <f>TempDelta[[#This Row],[WeekNo]]&amp;"-"&amp;TempDelta[[#This Row],[HR]]</f>
        <v>7-5</v>
      </c>
      <c r="Z177">
        <f t="shared" si="5"/>
        <v>7</v>
      </c>
      <c r="AA177">
        <v>5</v>
      </c>
      <c r="AB177">
        <v>2.3308571066175188</v>
      </c>
      <c r="AC177" s="39"/>
    </row>
    <row r="178" spans="1:29">
      <c r="A1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25-09-Sat-06</v>
      </c>
      <c r="B178" s="92">
        <v>45906.25</v>
      </c>
      <c r="C178" s="134">
        <v>314.48524867007802</v>
      </c>
      <c r="D178" s="131">
        <v>38.228000000000002</v>
      </c>
      <c r="Y178" s="117" t="str">
        <f>TempDelta[[#This Row],[WeekNo]]&amp;"-"&amp;TempDelta[[#This Row],[HR]]</f>
        <v>7-6</v>
      </c>
      <c r="Z178">
        <f t="shared" si="5"/>
        <v>7</v>
      </c>
      <c r="AA178">
        <v>6</v>
      </c>
      <c r="AB178">
        <v>2.2878571578434537</v>
      </c>
      <c r="AC178" s="39"/>
    </row>
    <row r="179" spans="1:29">
      <c r="A1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25-09-Sat-07</v>
      </c>
      <c r="B179" s="92">
        <v>45906.291666666664</v>
      </c>
      <c r="C179" s="134">
        <v>314.48524867007802</v>
      </c>
      <c r="D179" s="131">
        <v>37.524000000000001</v>
      </c>
      <c r="Y179" s="117" t="str">
        <f>TempDelta[[#This Row],[WeekNo]]&amp;"-"&amp;TempDelta[[#This Row],[HR]]</f>
        <v>7-7</v>
      </c>
      <c r="Z179">
        <f t="shared" si="5"/>
        <v>7</v>
      </c>
      <c r="AA179">
        <v>7</v>
      </c>
      <c r="AB179">
        <v>2.1535714353833879</v>
      </c>
      <c r="AC179" s="39"/>
    </row>
    <row r="180" spans="1:29">
      <c r="A1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25-09-Sat-08</v>
      </c>
      <c r="B180" s="92">
        <v>45906.333333333336</v>
      </c>
      <c r="C180" s="134">
        <v>314.48909343556204</v>
      </c>
      <c r="D180" s="131">
        <v>37.460999999999999</v>
      </c>
      <c r="Y180" s="117" t="str">
        <f>TempDelta[[#This Row],[WeekNo]]&amp;"-"&amp;TempDelta[[#This Row],[HR]]</f>
        <v>7-8</v>
      </c>
      <c r="Z180">
        <f t="shared" si="5"/>
        <v>7</v>
      </c>
      <c r="AA180">
        <v>8</v>
      </c>
      <c r="AB180">
        <v>1.9890000138963972</v>
      </c>
      <c r="AC180" s="39"/>
    </row>
    <row r="181" spans="1:29">
      <c r="A1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25-09-Sat-09</v>
      </c>
      <c r="B181" s="92">
        <v>45906.375</v>
      </c>
      <c r="C181" s="134">
        <v>314.48909343556204</v>
      </c>
      <c r="D181" s="131">
        <v>37.408000000000001</v>
      </c>
      <c r="Y181" s="117" t="str">
        <f>TempDelta[[#This Row],[WeekNo]]&amp;"-"&amp;TempDelta[[#This Row],[HR]]</f>
        <v>7-9</v>
      </c>
      <c r="Z181">
        <f t="shared" si="5"/>
        <v>7</v>
      </c>
      <c r="AA181">
        <v>9</v>
      </c>
      <c r="AB181">
        <v>1.8358571359089442</v>
      </c>
      <c r="AC181" s="39"/>
    </row>
    <row r="182" spans="1:29">
      <c r="A1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25-09-Sat-10</v>
      </c>
      <c r="B182" s="92">
        <v>45906.416666666664</v>
      </c>
      <c r="C182" s="134">
        <v>314.48909343556204</v>
      </c>
      <c r="D182" s="131">
        <v>37.365000000000002</v>
      </c>
      <c r="Y182" s="117" t="str">
        <f>TempDelta[[#This Row],[WeekNo]]&amp;"-"&amp;TempDelta[[#This Row],[HR]]</f>
        <v>7-10</v>
      </c>
      <c r="Z182">
        <f t="shared" si="5"/>
        <v>7</v>
      </c>
      <c r="AA182">
        <v>10</v>
      </c>
      <c r="AB182">
        <v>1.6792856965746199</v>
      </c>
      <c r="AC182" s="39"/>
    </row>
    <row r="183" spans="1:29">
      <c r="A1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25-09-Sat-11</v>
      </c>
      <c r="B183" s="92">
        <v>45906.458333333336</v>
      </c>
      <c r="C183" s="134">
        <v>314.48909343556204</v>
      </c>
      <c r="D183" s="131">
        <v>37.338000000000001</v>
      </c>
      <c r="Y183" s="117" t="str">
        <f>TempDelta[[#This Row],[WeekNo]]&amp;"-"&amp;TempDelta[[#This Row],[HR]]</f>
        <v>7-11</v>
      </c>
      <c r="Z183">
        <f t="shared" si="5"/>
        <v>7</v>
      </c>
      <c r="AA183">
        <v>11</v>
      </c>
      <c r="AB183">
        <v>1.4937142814908708</v>
      </c>
      <c r="AC183" s="39"/>
    </row>
    <row r="184" spans="1:29">
      <c r="A1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25-09-Sat-12</v>
      </c>
      <c r="B184" s="92">
        <v>45906.5</v>
      </c>
      <c r="C184" s="134">
        <v>314.48909343556204</v>
      </c>
      <c r="D184" s="131">
        <v>37.319000000000003</v>
      </c>
      <c r="Y184" s="117" t="str">
        <f>TempDelta[[#This Row],[WeekNo]]&amp;"-"&amp;TempDelta[[#This Row],[HR]]</f>
        <v>7-12</v>
      </c>
      <c r="Z184">
        <f t="shared" si="5"/>
        <v>7</v>
      </c>
      <c r="AA184">
        <v>12</v>
      </c>
      <c r="AB184">
        <v>1.3148571423121862</v>
      </c>
      <c r="AC184" s="39"/>
    </row>
    <row r="185" spans="1:29">
      <c r="A1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25-09-Sat-13</v>
      </c>
      <c r="B185" s="92">
        <v>45906.541666666664</v>
      </c>
      <c r="C185" s="134">
        <v>314.48909343556204</v>
      </c>
      <c r="D185" s="131">
        <v>37.314</v>
      </c>
      <c r="Y185" s="117" t="str">
        <f>TempDelta[[#This Row],[WeekNo]]&amp;"-"&amp;TempDelta[[#This Row],[HR]]</f>
        <v>7-13</v>
      </c>
      <c r="Z185">
        <f t="shared" si="5"/>
        <v>7</v>
      </c>
      <c r="AA185">
        <v>13</v>
      </c>
      <c r="AB185">
        <v>1.1432857002530779</v>
      </c>
      <c r="AC185" s="39"/>
    </row>
    <row r="186" spans="1:29">
      <c r="A1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25-09-Sat-14</v>
      </c>
      <c r="B186" s="92">
        <v>45906.583333333336</v>
      </c>
      <c r="C186" s="134">
        <v>389.16100000000006</v>
      </c>
      <c r="D186" s="131">
        <v>37.393999999999998</v>
      </c>
      <c r="Y186" s="117" t="str">
        <f>TempDelta[[#This Row],[WeekNo]]&amp;"-"&amp;TempDelta[[#This Row],[HR]]</f>
        <v>7-14</v>
      </c>
      <c r="Z186">
        <f t="shared" si="5"/>
        <v>7</v>
      </c>
      <c r="AA186">
        <v>14</v>
      </c>
      <c r="AB186">
        <v>0.98585713761193416</v>
      </c>
      <c r="AC186" s="39"/>
    </row>
    <row r="187" spans="1:29">
      <c r="A1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25-09-Sat-15</v>
      </c>
      <c r="B187" s="92">
        <v>45906.625</v>
      </c>
      <c r="C187" s="134">
        <v>620.08495920241387</v>
      </c>
      <c r="D187" s="131">
        <v>55.389000000000003</v>
      </c>
      <c r="Y187" s="117" t="str">
        <f>TempDelta[[#This Row],[WeekNo]]&amp;"-"&amp;TempDelta[[#This Row],[HR]]</f>
        <v>7-15</v>
      </c>
      <c r="Z187">
        <f t="shared" si="5"/>
        <v>7</v>
      </c>
      <c r="AA187">
        <v>15</v>
      </c>
      <c r="AB187">
        <v>0.49378571685935768</v>
      </c>
      <c r="AC187" s="39"/>
    </row>
    <row r="188" spans="1:29">
      <c r="A1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25-09-Sat-16</v>
      </c>
      <c r="B188" s="92">
        <v>45906.666666666664</v>
      </c>
      <c r="C188" s="134">
        <v>652.73068762074797</v>
      </c>
      <c r="D188" s="131">
        <v>63.73</v>
      </c>
      <c r="Y188" s="117" t="str">
        <f>TempDelta[[#This Row],[WeekNo]]&amp;"-"&amp;TempDelta[[#This Row],[HR]]</f>
        <v>7-16</v>
      </c>
      <c r="Z188">
        <f t="shared" si="5"/>
        <v>7</v>
      </c>
      <c r="AA188">
        <v>16</v>
      </c>
      <c r="AB188">
        <v>0.57192856445908546</v>
      </c>
      <c r="AC188" s="39"/>
    </row>
    <row r="189" spans="1:29">
      <c r="A1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25-09-Sat-17</v>
      </c>
      <c r="B189" s="92">
        <v>45906.708333333336</v>
      </c>
      <c r="C189" s="134">
        <v>652.73068762074797</v>
      </c>
      <c r="D189" s="131">
        <v>64.86</v>
      </c>
      <c r="Y189" s="117" t="str">
        <f>TempDelta[[#This Row],[WeekNo]]&amp;"-"&amp;TempDelta[[#This Row],[HR]]</f>
        <v>7-17</v>
      </c>
      <c r="Z189">
        <f t="shared" si="5"/>
        <v>7</v>
      </c>
      <c r="AA189">
        <v>17</v>
      </c>
      <c r="AB189">
        <v>0.84400000103882378</v>
      </c>
      <c r="AC189" s="39"/>
    </row>
    <row r="190" spans="1:29">
      <c r="A1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25-09-Sat-18</v>
      </c>
      <c r="B190" s="92">
        <v>45906.75</v>
      </c>
      <c r="C190" s="134">
        <v>652.73068762074797</v>
      </c>
      <c r="D190" s="131">
        <v>65.174000000000007</v>
      </c>
      <c r="Y190" s="117" t="str">
        <f>TempDelta[[#This Row],[WeekNo]]&amp;"-"&amp;TempDelta[[#This Row],[HR]]</f>
        <v>7-18</v>
      </c>
      <c r="Z190">
        <f t="shared" si="5"/>
        <v>7</v>
      </c>
      <c r="AA190">
        <v>18</v>
      </c>
      <c r="AB190">
        <v>1.1615714260510035</v>
      </c>
      <c r="AC190" s="39"/>
    </row>
    <row r="191" spans="1:29">
      <c r="A1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25-09-Sat-19</v>
      </c>
      <c r="B191" s="92">
        <v>45906.791666666664</v>
      </c>
      <c r="C191" s="134">
        <v>627.24992232269858</v>
      </c>
      <c r="D191" s="131">
        <v>65.203999999999994</v>
      </c>
      <c r="Y191" s="117" t="str">
        <f>TempDelta[[#This Row],[WeekNo]]&amp;"-"&amp;TempDelta[[#This Row],[HR]]</f>
        <v>7-19</v>
      </c>
      <c r="Z191">
        <f t="shared" si="5"/>
        <v>7</v>
      </c>
      <c r="AA191">
        <v>19</v>
      </c>
      <c r="AB191">
        <v>1.2906428532941001</v>
      </c>
      <c r="AC191" s="39"/>
    </row>
    <row r="192" spans="1:29">
      <c r="A1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25-09-Sat-20</v>
      </c>
      <c r="B192" s="92">
        <v>45906.833333333336</v>
      </c>
      <c r="C192" s="134">
        <v>593.43548937078231</v>
      </c>
      <c r="D192" s="131">
        <v>64.81</v>
      </c>
      <c r="Y192" s="117" t="str">
        <f>TempDelta[[#This Row],[WeekNo]]&amp;"-"&amp;TempDelta[[#This Row],[HR]]</f>
        <v>7-20</v>
      </c>
      <c r="Z192">
        <f t="shared" si="5"/>
        <v>7</v>
      </c>
      <c r="AA192">
        <v>20</v>
      </c>
      <c r="AB192">
        <v>1.3774285869938987</v>
      </c>
      <c r="AC192" s="39"/>
    </row>
    <row r="193" spans="1:29">
      <c r="A1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25-09-Sat-21</v>
      </c>
      <c r="B193" s="92">
        <v>45906.875</v>
      </c>
      <c r="C193" s="134">
        <v>498.1502810756063</v>
      </c>
      <c r="D193" s="131">
        <v>60.628999999999998</v>
      </c>
      <c r="Y193" s="117" t="str">
        <f>TempDelta[[#This Row],[WeekNo]]&amp;"-"&amp;TempDelta[[#This Row],[HR]]</f>
        <v>7-21</v>
      </c>
      <c r="Z193">
        <f t="shared" si="5"/>
        <v>7</v>
      </c>
      <c r="AA193">
        <v>21</v>
      </c>
      <c r="AB193">
        <v>1.3976428466183799</v>
      </c>
      <c r="AC193" s="39"/>
    </row>
    <row r="194" spans="1:29">
      <c r="A1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25-09-Sat-22</v>
      </c>
      <c r="B194" s="92">
        <v>45906.916666666664</v>
      </c>
      <c r="C194" s="134">
        <v>346.73139456608635</v>
      </c>
      <c r="D194" s="131">
        <v>41.076999999999998</v>
      </c>
      <c r="Y194" s="117" t="str">
        <f>TempDelta[[#This Row],[WeekNo]]&amp;"-"&amp;TempDelta[[#This Row],[HR]]</f>
        <v>7-22</v>
      </c>
      <c r="Z194">
        <f t="shared" si="5"/>
        <v>7</v>
      </c>
      <c r="AA194">
        <v>22</v>
      </c>
      <c r="AB194">
        <v>1.873142855507987</v>
      </c>
      <c r="AC194" s="39"/>
    </row>
    <row r="195" spans="1:29">
      <c r="A1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25-09-Sat-23</v>
      </c>
      <c r="B195" s="92">
        <v>45906.958333333336</v>
      </c>
      <c r="C195" s="134">
        <v>320.65309343556203</v>
      </c>
      <c r="D195" s="131">
        <v>38.511000000000003</v>
      </c>
      <c r="Y195" s="117" t="str">
        <f>TempDelta[[#This Row],[WeekNo]]&amp;"-"&amp;TempDelta[[#This Row],[HR]]</f>
        <v>7-23</v>
      </c>
      <c r="Z195">
        <f t="shared" si="5"/>
        <v>7</v>
      </c>
      <c r="AA195">
        <v>23</v>
      </c>
      <c r="AB195">
        <v>2.0031428507396152</v>
      </c>
      <c r="AC195" s="39"/>
    </row>
    <row r="196" spans="1:29">
      <c r="A1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25-09-Sun-00</v>
      </c>
      <c r="B196" s="92">
        <v>45907</v>
      </c>
      <c r="C196" s="134">
        <v>314.48909343556204</v>
      </c>
      <c r="D196" s="131">
        <v>37.493000000000002</v>
      </c>
      <c r="V196" s="100">
        <f>V172+7</f>
        <v>45920</v>
      </c>
      <c r="W196" s="100">
        <f>V196+6</f>
        <v>45926</v>
      </c>
      <c r="Y196" s="117" t="str">
        <f>TempDelta[[#This Row],[WeekNo]]&amp;"-"&amp;TempDelta[[#This Row],[HR]]</f>
        <v>8-0</v>
      </c>
      <c r="Z196">
        <f t="shared" si="5"/>
        <v>8</v>
      </c>
      <c r="AA196">
        <v>0</v>
      </c>
      <c r="AB196" s="158">
        <v>1.8245714221681868</v>
      </c>
      <c r="AC196" s="175">
        <f>AC172+7</f>
        <v>45920</v>
      </c>
    </row>
    <row r="197" spans="1:29">
      <c r="A1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25-09-Sun-01</v>
      </c>
      <c r="B197" s="92">
        <v>45907.041666666664</v>
      </c>
      <c r="C197" s="134">
        <v>314.48909343556204</v>
      </c>
      <c r="D197" s="131">
        <v>37.493000000000002</v>
      </c>
      <c r="Y197" s="117" t="str">
        <f>TempDelta[[#This Row],[WeekNo]]&amp;"-"&amp;TempDelta[[#This Row],[HR]]</f>
        <v>8-1</v>
      </c>
      <c r="Z197">
        <f t="shared" si="5"/>
        <v>8</v>
      </c>
      <c r="AA197">
        <v>1</v>
      </c>
      <c r="AB197">
        <v>1.8974285977227348</v>
      </c>
      <c r="AC197" s="39"/>
    </row>
    <row r="198" spans="1:29">
      <c r="A1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25-09-Sun-02</v>
      </c>
      <c r="B198" s="92">
        <v>45907.083333333336</v>
      </c>
      <c r="C198" s="134">
        <v>344.17300112192999</v>
      </c>
      <c r="D198" s="131">
        <v>38.511000000000003</v>
      </c>
      <c r="Y198" s="117" t="str">
        <f>TempDelta[[#This Row],[WeekNo]]&amp;"-"&amp;TempDelta[[#This Row],[HR]]</f>
        <v>8-2</v>
      </c>
      <c r="Z198">
        <f t="shared" si="5"/>
        <v>8</v>
      </c>
      <c r="AA198">
        <v>2</v>
      </c>
      <c r="AB198">
        <v>1.9182857445308141</v>
      </c>
      <c r="AC198" s="39"/>
    </row>
    <row r="199" spans="1:29">
      <c r="A1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25-09-Sun-03</v>
      </c>
      <c r="B199" s="92">
        <v>45907.125</v>
      </c>
      <c r="C199" s="134">
        <v>344.16915635644602</v>
      </c>
      <c r="D199" s="131">
        <v>38.511000000000003</v>
      </c>
      <c r="Y199" s="117" t="str">
        <f>TempDelta[[#This Row],[WeekNo]]&amp;"-"&amp;TempDelta[[#This Row],[HR]]</f>
        <v>8-3</v>
      </c>
      <c r="Z199">
        <f t="shared" si="5"/>
        <v>8</v>
      </c>
      <c r="AA199">
        <v>3</v>
      </c>
      <c r="AB199">
        <v>1.9078571796417236</v>
      </c>
      <c r="AC199" s="39"/>
    </row>
    <row r="200" spans="1:29">
      <c r="A2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25-09-Sun-04</v>
      </c>
      <c r="B200" s="92">
        <v>45907.166666666664</v>
      </c>
      <c r="C200" s="134">
        <v>344.16915635644602</v>
      </c>
      <c r="D200" s="131">
        <v>38.511000000000003</v>
      </c>
      <c r="Y200" s="117" t="str">
        <f>TempDelta[[#This Row],[WeekNo]]&amp;"-"&amp;TempDelta[[#This Row],[HR]]</f>
        <v>8-4</v>
      </c>
      <c r="Z200">
        <f t="shared" si="5"/>
        <v>8</v>
      </c>
      <c r="AA200">
        <v>4</v>
      </c>
      <c r="AB200">
        <v>1.9279999732971191</v>
      </c>
      <c r="AC200" s="39"/>
    </row>
    <row r="201" spans="1:29">
      <c r="A2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25-09-Sun-05</v>
      </c>
      <c r="B201" s="92">
        <v>45907.208333333336</v>
      </c>
      <c r="C201" s="134">
        <v>336.67167874117376</v>
      </c>
      <c r="D201" s="131">
        <v>38.228000000000002</v>
      </c>
      <c r="Y201" s="117" t="str">
        <f>TempDelta[[#This Row],[WeekNo]]&amp;"-"&amp;TempDelta[[#This Row],[HR]]</f>
        <v>8-5</v>
      </c>
      <c r="Z201">
        <f t="shared" si="5"/>
        <v>8</v>
      </c>
      <c r="AA201">
        <v>5</v>
      </c>
      <c r="AB201">
        <v>2.012714283806937</v>
      </c>
      <c r="AC201" s="39"/>
    </row>
    <row r="202" spans="1:29">
      <c r="A2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25-09-Sun-06</v>
      </c>
      <c r="B202" s="92">
        <v>45907.25</v>
      </c>
      <c r="C202" s="134">
        <v>336.67167874117376</v>
      </c>
      <c r="D202" s="131">
        <v>38.228000000000002</v>
      </c>
      <c r="Y202" s="117" t="str">
        <f>TempDelta[[#This Row],[WeekNo]]&amp;"-"&amp;TempDelta[[#This Row],[HR]]</f>
        <v>8-6</v>
      </c>
      <c r="Z202">
        <f t="shared" si="5"/>
        <v>8</v>
      </c>
      <c r="AA202">
        <v>6</v>
      </c>
      <c r="AB202">
        <v>1.9665714332035609</v>
      </c>
      <c r="AC202" s="39"/>
    </row>
    <row r="203" spans="1:29">
      <c r="A2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25-09-Sun-07</v>
      </c>
      <c r="B203" s="92">
        <v>45907.291666666664</v>
      </c>
      <c r="C203" s="134">
        <v>323.80022998296556</v>
      </c>
      <c r="D203" s="131">
        <v>37.524000000000001</v>
      </c>
      <c r="Y203" s="117" t="str">
        <f>TempDelta[[#This Row],[WeekNo]]&amp;"-"&amp;TempDelta[[#This Row],[HR]]</f>
        <v>8-7</v>
      </c>
      <c r="Z203">
        <f t="shared" si="5"/>
        <v>8</v>
      </c>
      <c r="AA203">
        <v>7</v>
      </c>
      <c r="AB203">
        <v>1.8381428548267909</v>
      </c>
      <c r="AC203" s="39"/>
    </row>
    <row r="204" spans="1:29">
      <c r="A2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25-09-Sun-08</v>
      </c>
      <c r="B204" s="92">
        <v>45907.333333333336</v>
      </c>
      <c r="C204" s="134">
        <v>323.80407474844958</v>
      </c>
      <c r="D204" s="131">
        <v>37.460999999999999</v>
      </c>
      <c r="Y204" s="117" t="str">
        <f>TempDelta[[#This Row],[WeekNo]]&amp;"-"&amp;TempDelta[[#This Row],[HR]]</f>
        <v>8-8</v>
      </c>
      <c r="Z204">
        <f t="shared" si="5"/>
        <v>8</v>
      </c>
      <c r="AA204">
        <v>8</v>
      </c>
      <c r="AB204">
        <v>1.6827142919812883</v>
      </c>
      <c r="AC204" s="39"/>
    </row>
    <row r="205" spans="1:29">
      <c r="A2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25-09-Sun-09</v>
      </c>
      <c r="B205" s="92">
        <v>45907.375</v>
      </c>
      <c r="C205" s="134">
        <v>317.25787474844958</v>
      </c>
      <c r="D205" s="131">
        <v>37.408000000000001</v>
      </c>
      <c r="Y205" s="117" t="str">
        <f>TempDelta[[#This Row],[WeekNo]]&amp;"-"&amp;TempDelta[[#This Row],[HR]]</f>
        <v>8-9</v>
      </c>
      <c r="Z205">
        <f t="shared" si="5"/>
        <v>8</v>
      </c>
      <c r="AA205">
        <v>9</v>
      </c>
      <c r="AB205">
        <v>1.5467142888477869</v>
      </c>
      <c r="AC205" s="39"/>
    </row>
    <row r="206" spans="1:29">
      <c r="A2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25-09-Sun-10</v>
      </c>
      <c r="B206" s="92">
        <v>45907.416666666664</v>
      </c>
      <c r="C206" s="134">
        <v>315.26287474844963</v>
      </c>
      <c r="D206" s="131">
        <v>37.365000000000002</v>
      </c>
      <c r="Y206" s="117" t="str">
        <f>TempDelta[[#This Row],[WeekNo]]&amp;"-"&amp;TempDelta[[#This Row],[HR]]</f>
        <v>8-10</v>
      </c>
      <c r="Z206">
        <f t="shared" si="5"/>
        <v>8</v>
      </c>
      <c r="AA206">
        <v>10</v>
      </c>
      <c r="AB206">
        <v>1.4074285881859916</v>
      </c>
      <c r="AC206" s="39"/>
    </row>
    <row r="207" spans="1:29">
      <c r="A2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25-09-Sun-11</v>
      </c>
      <c r="B207" s="92">
        <v>45907.458333333336</v>
      </c>
      <c r="C207" s="134">
        <v>318.10920000000004</v>
      </c>
      <c r="D207" s="131">
        <v>37.338000000000001</v>
      </c>
      <c r="Y207" s="117" t="str">
        <f>TempDelta[[#This Row],[WeekNo]]&amp;"-"&amp;TempDelta[[#This Row],[HR]]</f>
        <v>8-11</v>
      </c>
      <c r="Z207">
        <f t="shared" si="5"/>
        <v>8</v>
      </c>
      <c r="AA207">
        <v>11</v>
      </c>
      <c r="AB207">
        <v>1.2401428733553206</v>
      </c>
      <c r="AC207" s="39"/>
    </row>
    <row r="208" spans="1:29">
      <c r="A2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25-09-Sun-12</v>
      </c>
      <c r="B208" s="92">
        <v>45907.5</v>
      </c>
      <c r="C208" s="134">
        <v>318.10920000000004</v>
      </c>
      <c r="D208" s="131">
        <v>37.319000000000003</v>
      </c>
      <c r="Y208" s="117" t="str">
        <f>TempDelta[[#This Row],[WeekNo]]&amp;"-"&amp;TempDelta[[#This Row],[HR]]</f>
        <v>8-12</v>
      </c>
      <c r="Z208">
        <f t="shared" si="5"/>
        <v>8</v>
      </c>
      <c r="AA208">
        <v>12</v>
      </c>
      <c r="AB208">
        <v>1.0797142812183924</v>
      </c>
      <c r="AC208" s="39"/>
    </row>
    <row r="209" spans="1:32">
      <c r="A2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25-09-Sun-13</v>
      </c>
      <c r="B209" s="92">
        <v>45907.541666666664</v>
      </c>
      <c r="C209" s="134">
        <v>318.04700000000008</v>
      </c>
      <c r="D209" s="131">
        <v>37.314</v>
      </c>
      <c r="Y209" s="117" t="str">
        <f>TempDelta[[#This Row],[WeekNo]]&amp;"-"&amp;TempDelta[[#This Row],[HR]]</f>
        <v>8-13</v>
      </c>
      <c r="Z209">
        <f t="shared" si="5"/>
        <v>8</v>
      </c>
      <c r="AA209">
        <v>13</v>
      </c>
      <c r="AB209">
        <v>0.92499999489103046</v>
      </c>
      <c r="AC209" s="39"/>
    </row>
    <row r="210" spans="1:32">
      <c r="A2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25-09-Sun-14</v>
      </c>
      <c r="B210" s="92">
        <v>45907.583333333336</v>
      </c>
      <c r="C210" s="134">
        <v>371.04000000000008</v>
      </c>
      <c r="D210" s="131">
        <v>37.393999999999998</v>
      </c>
      <c r="Y210" s="117" t="str">
        <f>TempDelta[[#This Row],[WeekNo]]&amp;"-"&amp;TempDelta[[#This Row],[HR]]</f>
        <v>8-14</v>
      </c>
      <c r="Z210">
        <f t="shared" si="5"/>
        <v>8</v>
      </c>
      <c r="AA210">
        <v>14</v>
      </c>
      <c r="AB210">
        <v>0.77985713311604088</v>
      </c>
      <c r="AC210" s="39"/>
    </row>
    <row r="211" spans="1:32">
      <c r="A2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25-09-Sun-15</v>
      </c>
      <c r="B211" s="92">
        <v>45907.625</v>
      </c>
      <c r="C211" s="134">
        <v>624.50578368096512</v>
      </c>
      <c r="D211" s="131">
        <v>55.389000000000003</v>
      </c>
      <c r="Y211" s="117" t="str">
        <f>TempDelta[[#This Row],[WeekNo]]&amp;"-"&amp;TempDelta[[#This Row],[HR]]</f>
        <v>8-15</v>
      </c>
      <c r="Z211">
        <f t="shared" si="5"/>
        <v>8</v>
      </c>
      <c r="AA211">
        <v>15</v>
      </c>
      <c r="AB211">
        <v>0.30699999923152582</v>
      </c>
      <c r="AC211" s="39"/>
    </row>
    <row r="212" spans="1:32">
      <c r="A2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25-09-Sun-16</v>
      </c>
      <c r="B212" s="92">
        <v>45907.666666666664</v>
      </c>
      <c r="C212" s="134">
        <v>697.25654915029997</v>
      </c>
      <c r="D212" s="131">
        <v>63.73</v>
      </c>
      <c r="Y212" s="117" t="str">
        <f>TempDelta[[#This Row],[WeekNo]]&amp;"-"&amp;TempDelta[[#This Row],[HR]]</f>
        <v>8-16</v>
      </c>
      <c r="Z212">
        <f t="shared" si="5"/>
        <v>8</v>
      </c>
      <c r="AA212">
        <v>16</v>
      </c>
      <c r="AB212">
        <v>0.38057142476152095</v>
      </c>
      <c r="AC212" s="39"/>
    </row>
    <row r="213" spans="1:32">
      <c r="A2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25-09-Sun-17</v>
      </c>
      <c r="B213" s="92">
        <v>45907.708333333336</v>
      </c>
      <c r="C213" s="134">
        <v>697.25654915029997</v>
      </c>
      <c r="D213" s="131">
        <v>64.86</v>
      </c>
      <c r="Y213" s="117" t="str">
        <f>TempDelta[[#This Row],[WeekNo]]&amp;"-"&amp;TempDelta[[#This Row],[HR]]</f>
        <v>8-17</v>
      </c>
      <c r="Z213">
        <f t="shared" si="5"/>
        <v>8</v>
      </c>
      <c r="AA213">
        <v>17</v>
      </c>
      <c r="AB213">
        <v>0.65464284856404575</v>
      </c>
      <c r="AC213" s="39"/>
    </row>
    <row r="214" spans="1:32">
      <c r="A2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25-09-Sun-18</v>
      </c>
      <c r="B214" s="92">
        <v>45907.75</v>
      </c>
      <c r="C214" s="134">
        <v>697.25654915029997</v>
      </c>
      <c r="D214" s="131">
        <v>65.174000000000007</v>
      </c>
      <c r="Y214" s="117" t="str">
        <f>TempDelta[[#This Row],[WeekNo]]&amp;"-"&amp;TempDelta[[#This Row],[HR]]</f>
        <v>8-18</v>
      </c>
      <c r="Z214">
        <f t="shared" si="5"/>
        <v>8</v>
      </c>
      <c r="AA214">
        <v>18</v>
      </c>
      <c r="AB214">
        <v>0.96042857638427193</v>
      </c>
      <c r="AC214" s="39"/>
    </row>
    <row r="215" spans="1:32">
      <c r="A2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25-09-Sun-19</v>
      </c>
      <c r="B215" s="92">
        <v>45907.791666666664</v>
      </c>
      <c r="C215" s="134">
        <v>695.05856794907822</v>
      </c>
      <c r="D215" s="131">
        <v>65.203999999999994</v>
      </c>
      <c r="Y215" s="117" t="str">
        <f>TempDelta[[#This Row],[WeekNo]]&amp;"-"&amp;TempDelta[[#This Row],[HR]]</f>
        <v>8-19</v>
      </c>
      <c r="Z215">
        <f t="shared" si="5"/>
        <v>8</v>
      </c>
      <c r="AA215">
        <v>19</v>
      </c>
      <c r="AB215">
        <v>1.0787142855780465</v>
      </c>
      <c r="AC215" s="39"/>
    </row>
    <row r="216" spans="1:32">
      <c r="A2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25-09-Sun-20</v>
      </c>
      <c r="B216" s="92">
        <v>45907.833333333336</v>
      </c>
      <c r="C216" s="134">
        <v>635.69075257634233</v>
      </c>
      <c r="D216" s="131">
        <v>64.81</v>
      </c>
      <c r="Y216" s="117" t="str">
        <f>TempDelta[[#This Row],[WeekNo]]&amp;"-"&amp;TempDelta[[#This Row],[HR]]</f>
        <v>8-20</v>
      </c>
      <c r="Z216">
        <f t="shared" si="5"/>
        <v>8</v>
      </c>
      <c r="AA216">
        <v>20</v>
      </c>
      <c r="AB216">
        <v>1.1579285774912154</v>
      </c>
      <c r="AC216" s="39"/>
    </row>
    <row r="217" spans="1:32">
      <c r="A2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25-09-Sun-21</v>
      </c>
      <c r="B217" s="92">
        <v>45907.875</v>
      </c>
      <c r="C217" s="134">
        <v>560.63148832034233</v>
      </c>
      <c r="D217" s="131">
        <v>60.628999999999998</v>
      </c>
      <c r="Y217" s="117" t="str">
        <f>TempDelta[[#This Row],[WeekNo]]&amp;"-"&amp;TempDelta[[#This Row],[HR]]</f>
        <v>8-21</v>
      </c>
      <c r="Z217">
        <f t="shared" si="5"/>
        <v>8</v>
      </c>
      <c r="AA217">
        <v>21</v>
      </c>
      <c r="AB217">
        <v>1.1765714372907365</v>
      </c>
      <c r="AC217" s="39"/>
    </row>
    <row r="218" spans="1:32">
      <c r="A2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25-09-Sun-22</v>
      </c>
      <c r="B218" s="92">
        <v>45907.916666666664</v>
      </c>
      <c r="C218" s="134">
        <v>388.54461857515827</v>
      </c>
      <c r="D218" s="131">
        <v>41.076999999999998</v>
      </c>
      <c r="Y218" s="117" t="str">
        <f>TempDelta[[#This Row],[WeekNo]]&amp;"-"&amp;TempDelta[[#This Row],[HR]]</f>
        <v>8-22</v>
      </c>
      <c r="Z218">
        <f t="shared" si="5"/>
        <v>8</v>
      </c>
      <c r="AA218">
        <v>22</v>
      </c>
      <c r="AB218">
        <v>1.6277142763137817</v>
      </c>
      <c r="AC218" s="39"/>
    </row>
    <row r="219" spans="1:32">
      <c r="A2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25-09-Sun-23</v>
      </c>
      <c r="B219" s="92">
        <v>45907.958333333336</v>
      </c>
      <c r="C219" s="134">
        <v>344.17300112193004</v>
      </c>
      <c r="D219" s="131">
        <v>38.511000000000003</v>
      </c>
      <c r="Y219" s="117" t="str">
        <f>TempDelta[[#This Row],[WeekNo]]&amp;"-"&amp;TempDelta[[#This Row],[HR]]</f>
        <v>8-23</v>
      </c>
      <c r="Z219">
        <f t="shared" si="5"/>
        <v>8</v>
      </c>
      <c r="AA219">
        <v>23</v>
      </c>
      <c r="AB219">
        <v>1.758285709789821</v>
      </c>
      <c r="AC219" s="39"/>
    </row>
    <row r="220" spans="1:32">
      <c r="A220" s="126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25-10-Wkd-00</v>
      </c>
      <c r="B220" s="127">
        <v>45933</v>
      </c>
      <c r="C220" s="130">
        <v>227.91</v>
      </c>
      <c r="D220" s="131">
        <v>29.414000000000001</v>
      </c>
      <c r="V220" s="100">
        <f>V196+7</f>
        <v>45927</v>
      </c>
      <c r="W220" s="100">
        <f>V220+6</f>
        <v>45933</v>
      </c>
      <c r="Y220" s="117" t="str">
        <f>TempDelta[[#This Row],[WeekNo]]&amp;"-"&amp;TempDelta[[#This Row],[HR]]</f>
        <v>9-0</v>
      </c>
      <c r="Z220">
        <f t="shared" si="5"/>
        <v>9</v>
      </c>
      <c r="AA220">
        <v>0</v>
      </c>
      <c r="AB220" s="158">
        <v>1.804142855</v>
      </c>
      <c r="AC220" s="175">
        <f>AC196+7</f>
        <v>45927</v>
      </c>
      <c r="AF220">
        <v>1.8245714051382882</v>
      </c>
    </row>
    <row r="221" spans="1:32">
      <c r="A2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25-10-Wkd-01</v>
      </c>
      <c r="B221" s="92">
        <v>45933.041666666664</v>
      </c>
      <c r="C221" s="130">
        <v>227.91</v>
      </c>
      <c r="D221" s="131">
        <v>29.39</v>
      </c>
      <c r="Y221" s="117" t="str">
        <f>TempDelta[[#This Row],[WeekNo]]&amp;"-"&amp;TempDelta[[#This Row],[HR]]</f>
        <v>9-1</v>
      </c>
      <c r="Z221">
        <f t="shared" ref="Z221:Z284" si="6">Z197+1</f>
        <v>9</v>
      </c>
      <c r="AA221">
        <v>1</v>
      </c>
      <c r="AB221">
        <v>1.804142855</v>
      </c>
      <c r="AC221" s="39"/>
      <c r="AF221">
        <v>1.8625714438302177</v>
      </c>
    </row>
    <row r="222" spans="1:32">
      <c r="A2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25-10-Wkd-02</v>
      </c>
      <c r="B222" s="92">
        <v>45933.083333333336</v>
      </c>
      <c r="C222" s="130">
        <v>227.91</v>
      </c>
      <c r="D222" s="131">
        <v>29.378</v>
      </c>
      <c r="Y222" s="117" t="str">
        <f>TempDelta[[#This Row],[WeekNo]]&amp;"-"&amp;TempDelta[[#This Row],[HR]]</f>
        <v>9-2</v>
      </c>
      <c r="Z222">
        <f t="shared" si="6"/>
        <v>9</v>
      </c>
      <c r="AA222">
        <v>2</v>
      </c>
      <c r="AB222">
        <v>1.804142855</v>
      </c>
      <c r="AC222" s="39"/>
      <c r="AF222">
        <v>1.8359999997275216</v>
      </c>
    </row>
    <row r="223" spans="1:32">
      <c r="A2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25-10-Wkd-03</v>
      </c>
      <c r="B223" s="92">
        <v>45933.125</v>
      </c>
      <c r="C223" s="130">
        <v>227.91</v>
      </c>
      <c r="D223" s="131">
        <v>29.378</v>
      </c>
      <c r="Y223" s="117" t="str">
        <f>TempDelta[[#This Row],[WeekNo]]&amp;"-"&amp;TempDelta[[#This Row],[HR]]</f>
        <v>9-3</v>
      </c>
      <c r="Z223">
        <f t="shared" si="6"/>
        <v>9</v>
      </c>
      <c r="AA223">
        <v>3</v>
      </c>
      <c r="AB223">
        <v>1.804142855</v>
      </c>
      <c r="AC223" s="39"/>
      <c r="AF223">
        <v>1.7775714227131434</v>
      </c>
    </row>
    <row r="224" spans="1:32">
      <c r="A2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25-10-Wkd-04</v>
      </c>
      <c r="B224" s="92">
        <v>45933.166666666664</v>
      </c>
      <c r="C224" s="130">
        <v>227.91</v>
      </c>
      <c r="D224" s="131">
        <v>29.934999999999999</v>
      </c>
      <c r="Y224" s="117" t="str">
        <f>TempDelta[[#This Row],[WeekNo]]&amp;"-"&amp;TempDelta[[#This Row],[HR]]</f>
        <v>9-4</v>
      </c>
      <c r="Z224">
        <f t="shared" si="6"/>
        <v>9</v>
      </c>
      <c r="AA224">
        <v>4</v>
      </c>
      <c r="AB224">
        <v>1.804142855</v>
      </c>
      <c r="AC224" s="39"/>
      <c r="AF224">
        <v>1.7430000134876795</v>
      </c>
    </row>
    <row r="225" spans="1:32">
      <c r="A2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25-10-Wkd-05</v>
      </c>
      <c r="B225" s="92">
        <v>45933.208333333336</v>
      </c>
      <c r="C225" s="130">
        <v>227.91</v>
      </c>
      <c r="D225" s="131">
        <v>34.212000000000003</v>
      </c>
      <c r="Y225" s="117" t="str">
        <f>TempDelta[[#This Row],[WeekNo]]&amp;"-"&amp;TempDelta[[#This Row],[HR]]</f>
        <v>9-5</v>
      </c>
      <c r="Z225">
        <f t="shared" si="6"/>
        <v>9</v>
      </c>
      <c r="AA225">
        <v>5</v>
      </c>
      <c r="AB225">
        <v>1.804142855</v>
      </c>
      <c r="AC225" s="39"/>
      <c r="AF225">
        <v>1.7811428478785925</v>
      </c>
    </row>
    <row r="226" spans="1:32">
      <c r="A2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25-10-Wkd-06</v>
      </c>
      <c r="B226" s="92">
        <v>45933.25</v>
      </c>
      <c r="C226" s="130">
        <v>227.91</v>
      </c>
      <c r="D226" s="131">
        <v>37.209000000000003</v>
      </c>
      <c r="Y226" s="117" t="str">
        <f>TempDelta[[#This Row],[WeekNo]]&amp;"-"&amp;TempDelta[[#This Row],[HR]]</f>
        <v>9-6</v>
      </c>
      <c r="Z226">
        <f t="shared" si="6"/>
        <v>9</v>
      </c>
      <c r="AA226">
        <v>6</v>
      </c>
      <c r="AB226">
        <v>1.6668571404048376</v>
      </c>
      <c r="AC226" s="39"/>
      <c r="AF226">
        <v>1.6668571404048376</v>
      </c>
    </row>
    <row r="227" spans="1:32">
      <c r="A2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25-10-Wkd-07</v>
      </c>
      <c r="B227" s="92">
        <v>45933.291666666664</v>
      </c>
      <c r="C227" s="130">
        <v>255.21899999999999</v>
      </c>
      <c r="D227" s="131">
        <v>29.638000000000002</v>
      </c>
      <c r="Y227" s="117" t="str">
        <f>TempDelta[[#This Row],[WeekNo]]&amp;"-"&amp;TempDelta[[#This Row],[HR]]</f>
        <v>9-7</v>
      </c>
      <c r="Z227">
        <f t="shared" si="6"/>
        <v>9</v>
      </c>
      <c r="AA227">
        <v>7</v>
      </c>
      <c r="AB227">
        <v>1.5237142699105399</v>
      </c>
      <c r="AC227" s="39"/>
      <c r="AF227">
        <v>1.5237142699105399</v>
      </c>
    </row>
    <row r="228" spans="1:32">
      <c r="A2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25-10-Wkd-08</v>
      </c>
      <c r="B228" s="92">
        <v>45933.333333333336</v>
      </c>
      <c r="C228" s="130">
        <v>255.21899999999999</v>
      </c>
      <c r="D228" s="131">
        <v>29.405000000000001</v>
      </c>
      <c r="Y228" s="117" t="str">
        <f>TempDelta[[#This Row],[WeekNo]]&amp;"-"&amp;TempDelta[[#This Row],[HR]]</f>
        <v>9-8</v>
      </c>
      <c r="Z228">
        <f t="shared" si="6"/>
        <v>9</v>
      </c>
      <c r="AA228">
        <v>8</v>
      </c>
      <c r="AB228">
        <v>1.3942857129233224</v>
      </c>
      <c r="AC228" s="39"/>
      <c r="AF228">
        <v>1.3942857129233224</v>
      </c>
    </row>
    <row r="229" spans="1:32">
      <c r="A2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25-10-Wkd-09</v>
      </c>
      <c r="B229" s="92">
        <v>45933.375</v>
      </c>
      <c r="C229" s="130">
        <v>255.21899999999999</v>
      </c>
      <c r="D229" s="131">
        <v>29.33</v>
      </c>
      <c r="Y229" s="117" t="str">
        <f>TempDelta[[#This Row],[WeekNo]]&amp;"-"&amp;TempDelta[[#This Row],[HR]]</f>
        <v>9-9</v>
      </c>
      <c r="Z229">
        <f t="shared" si="6"/>
        <v>9</v>
      </c>
      <c r="AA229">
        <v>9</v>
      </c>
      <c r="AB229">
        <v>1.2751428655215673</v>
      </c>
      <c r="AC229" s="39"/>
      <c r="AF229">
        <v>1.2751428655215673</v>
      </c>
    </row>
    <row r="230" spans="1:32">
      <c r="A2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25-10-Wkd-10</v>
      </c>
      <c r="B230" s="92">
        <v>45933.416666666664</v>
      </c>
      <c r="C230" s="130">
        <v>255.21899999999999</v>
      </c>
      <c r="D230" s="131">
        <v>29.294</v>
      </c>
      <c r="Y230" s="117" t="str">
        <f>TempDelta[[#This Row],[WeekNo]]&amp;"-"&amp;TempDelta[[#This Row],[HR]]</f>
        <v>9-10</v>
      </c>
      <c r="Z230">
        <f t="shared" si="6"/>
        <v>9</v>
      </c>
      <c r="AA230">
        <v>10</v>
      </c>
      <c r="AB230">
        <v>1.1441428746495927</v>
      </c>
      <c r="AC230" s="39"/>
      <c r="AF230">
        <v>1.1441428746495927</v>
      </c>
    </row>
    <row r="231" spans="1:32">
      <c r="A2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25-10-Wkd-11</v>
      </c>
      <c r="B231" s="92">
        <v>45933.458333333336</v>
      </c>
      <c r="C231" s="130">
        <v>255.21899999999999</v>
      </c>
      <c r="D231" s="131">
        <v>29.271000000000001</v>
      </c>
      <c r="Y231" s="117" t="str">
        <f>TempDelta[[#This Row],[WeekNo]]&amp;"-"&amp;TempDelta[[#This Row],[HR]]</f>
        <v>9-11</v>
      </c>
      <c r="Z231">
        <f t="shared" si="6"/>
        <v>9</v>
      </c>
      <c r="AA231">
        <v>11</v>
      </c>
      <c r="AB231">
        <v>1.006714301449912</v>
      </c>
      <c r="AC231" s="39"/>
      <c r="AF231">
        <v>1.006714301449912</v>
      </c>
    </row>
    <row r="232" spans="1:32">
      <c r="A2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25-10-Wkd-12</v>
      </c>
      <c r="B232" s="92">
        <v>45933.5</v>
      </c>
      <c r="C232" s="130">
        <v>255.21899999999999</v>
      </c>
      <c r="D232" s="131">
        <v>29.256</v>
      </c>
      <c r="Y232" s="117" t="str">
        <f>TempDelta[[#This Row],[WeekNo]]&amp;"-"&amp;TempDelta[[#This Row],[HR]]</f>
        <v>9-12</v>
      </c>
      <c r="Z232">
        <f t="shared" si="6"/>
        <v>9</v>
      </c>
      <c r="AA232">
        <v>12</v>
      </c>
      <c r="AB232">
        <v>0.87971426759447369</v>
      </c>
      <c r="AC232" s="39"/>
      <c r="AF232">
        <v>0.87971426759447369</v>
      </c>
    </row>
    <row r="233" spans="1:32">
      <c r="A2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25-10-Wkd-13</v>
      </c>
      <c r="B233" s="92">
        <v>45933.541666666664</v>
      </c>
      <c r="C233" s="130">
        <v>255.21899999999999</v>
      </c>
      <c r="D233" s="131">
        <v>29.253</v>
      </c>
      <c r="Y233" s="117" t="str">
        <f>TempDelta[[#This Row],[WeekNo]]&amp;"-"&amp;TempDelta[[#This Row],[HR]]</f>
        <v>9-13</v>
      </c>
      <c r="Z233">
        <f t="shared" si="6"/>
        <v>9</v>
      </c>
      <c r="AA233">
        <v>13</v>
      </c>
      <c r="AB233">
        <v>0.77128570420401432</v>
      </c>
      <c r="AC233" s="39"/>
      <c r="AF233">
        <v>0.77128570420401432</v>
      </c>
    </row>
    <row r="234" spans="1:32">
      <c r="A2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25-10-Wkd-14</v>
      </c>
      <c r="B234" s="92">
        <v>45933.583333333336</v>
      </c>
      <c r="C234" s="130">
        <v>255.21899999999999</v>
      </c>
      <c r="D234" s="131">
        <v>29.295999999999999</v>
      </c>
      <c r="Y234" s="117" t="str">
        <f>TempDelta[[#This Row],[WeekNo]]&amp;"-"&amp;TempDelta[[#This Row],[HR]]</f>
        <v>9-14</v>
      </c>
      <c r="Z234">
        <f t="shared" si="6"/>
        <v>9</v>
      </c>
      <c r="AA234">
        <v>14</v>
      </c>
      <c r="AB234">
        <v>0.72371428353445866</v>
      </c>
      <c r="AC234" s="39"/>
      <c r="AF234">
        <v>0.72371428353445866</v>
      </c>
    </row>
    <row r="235" spans="1:32">
      <c r="A2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25-10-Wkd-15</v>
      </c>
      <c r="B235" s="92">
        <v>45933.625</v>
      </c>
      <c r="C235" s="130">
        <v>255.21899999999999</v>
      </c>
      <c r="D235" s="131">
        <v>29.344000000000001</v>
      </c>
      <c r="Y235" s="117" t="str">
        <f>TempDelta[[#This Row],[WeekNo]]&amp;"-"&amp;TempDelta[[#This Row],[HR]]</f>
        <v>9-15</v>
      </c>
      <c r="Z235">
        <f t="shared" si="6"/>
        <v>9</v>
      </c>
      <c r="AA235">
        <v>15</v>
      </c>
      <c r="AB235">
        <v>0.35007142781146933</v>
      </c>
      <c r="AC235" s="39"/>
      <c r="AF235">
        <v>0.35007142781146933</v>
      </c>
    </row>
    <row r="236" spans="1:32">
      <c r="A2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25-10-Wkd-16</v>
      </c>
      <c r="B236" s="92">
        <v>45933.666666666664</v>
      </c>
      <c r="C236" s="130">
        <v>255.21899999999999</v>
      </c>
      <c r="D236" s="131">
        <v>31.824999999999999</v>
      </c>
      <c r="Y236" s="117" t="str">
        <f>TempDelta[[#This Row],[WeekNo]]&amp;"-"&amp;TempDelta[[#This Row],[HR]]</f>
        <v>9-16</v>
      </c>
      <c r="Z236">
        <f t="shared" si="6"/>
        <v>9</v>
      </c>
      <c r="AA236">
        <v>16</v>
      </c>
      <c r="AB236">
        <v>0.48392857345087187</v>
      </c>
      <c r="AC236" s="39"/>
      <c r="AF236">
        <v>0.48392857345087187</v>
      </c>
    </row>
    <row r="237" spans="1:32">
      <c r="A2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25-10-Wkd-17</v>
      </c>
      <c r="B237" s="92">
        <v>45933.708333333336</v>
      </c>
      <c r="C237" s="130">
        <v>255.21899999999999</v>
      </c>
      <c r="D237" s="131">
        <v>57.912999999999997</v>
      </c>
      <c r="Y237" s="117" t="str">
        <f>TempDelta[[#This Row],[WeekNo]]&amp;"-"&amp;TempDelta[[#This Row],[HR]]</f>
        <v>9-17</v>
      </c>
      <c r="Z237">
        <f t="shared" si="6"/>
        <v>9</v>
      </c>
      <c r="AA237">
        <v>17</v>
      </c>
      <c r="AB237">
        <v>0.71807142613189556</v>
      </c>
      <c r="AC237" s="39"/>
      <c r="AF237">
        <v>0.71807142613189556</v>
      </c>
    </row>
    <row r="238" spans="1:32">
      <c r="A2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25-10-Wkd-18</v>
      </c>
      <c r="B238" s="92">
        <v>45933.75</v>
      </c>
      <c r="C238" s="130">
        <v>329.68799999999999</v>
      </c>
      <c r="D238" s="131">
        <v>58.915999999999997</v>
      </c>
      <c r="Y238" s="117" t="str">
        <f>TempDelta[[#This Row],[WeekNo]]&amp;"-"&amp;TempDelta[[#This Row],[HR]]</f>
        <v>9-18</v>
      </c>
      <c r="Z238">
        <f t="shared" si="6"/>
        <v>9</v>
      </c>
      <c r="AA238">
        <v>18</v>
      </c>
      <c r="AB238">
        <v>0.97985714673995972</v>
      </c>
      <c r="AC238" s="39"/>
      <c r="AF238">
        <v>0.97985714673995972</v>
      </c>
    </row>
    <row r="239" spans="1:32">
      <c r="A2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25-10-Wkd-19</v>
      </c>
      <c r="B239" s="92">
        <v>45933.791666666664</v>
      </c>
      <c r="C239" s="130">
        <v>329.68799999999999</v>
      </c>
      <c r="D239" s="131">
        <v>59.253999999999998</v>
      </c>
      <c r="Y239" s="117" t="str">
        <f>TempDelta[[#This Row],[WeekNo]]&amp;"-"&amp;TempDelta[[#This Row],[HR]]</f>
        <v>9-19</v>
      </c>
      <c r="Z239">
        <f t="shared" si="6"/>
        <v>9</v>
      </c>
      <c r="AA239">
        <v>19</v>
      </c>
      <c r="AB239">
        <v>1.0494285609040941</v>
      </c>
      <c r="AC239" s="39"/>
      <c r="AF239">
        <v>1.0494285609040941</v>
      </c>
    </row>
    <row r="240" spans="1:32">
      <c r="A2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25-10-Wkd-20</v>
      </c>
      <c r="B240" s="92">
        <v>45933.833333333336</v>
      </c>
      <c r="C240" s="130">
        <v>329.68799999999999</v>
      </c>
      <c r="D240" s="131">
        <v>57.323</v>
      </c>
      <c r="Y240" s="117" t="str">
        <f>TempDelta[[#This Row],[WeekNo]]&amp;"-"&amp;TempDelta[[#This Row],[HR]]</f>
        <v>9-20</v>
      </c>
      <c r="Z240">
        <f t="shared" si="6"/>
        <v>9</v>
      </c>
      <c r="AA240">
        <v>20</v>
      </c>
      <c r="AB240">
        <v>1.1053571232727595</v>
      </c>
      <c r="AC240" s="39"/>
      <c r="AF240">
        <v>1.1053571232727595</v>
      </c>
    </row>
    <row r="241" spans="1:32">
      <c r="A2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25-10-Wkd-21</v>
      </c>
      <c r="B241" s="92">
        <v>45933.875</v>
      </c>
      <c r="C241" s="130">
        <v>249.93199999999999</v>
      </c>
      <c r="D241" s="131">
        <v>43.802999999999997</v>
      </c>
      <c r="Y241" s="117" t="str">
        <f>TempDelta[[#This Row],[WeekNo]]&amp;"-"&amp;TempDelta[[#This Row],[HR]]</f>
        <v>9-21</v>
      </c>
      <c r="Z241">
        <f t="shared" si="6"/>
        <v>9</v>
      </c>
      <c r="AA241">
        <v>21</v>
      </c>
      <c r="AB241">
        <v>1.1162857200418199</v>
      </c>
      <c r="AC241" s="39"/>
      <c r="AF241">
        <v>1.1162857200418199</v>
      </c>
    </row>
    <row r="242" spans="1:32">
      <c r="A2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25-10-Wkd-22</v>
      </c>
      <c r="B242" s="92">
        <v>45933.916666666664</v>
      </c>
      <c r="C242" s="130">
        <v>191.87</v>
      </c>
      <c r="D242" s="131">
        <v>30.823</v>
      </c>
      <c r="Y242" s="117" t="str">
        <f>TempDelta[[#This Row],[WeekNo]]&amp;"-"&amp;TempDelta[[#This Row],[HR]]</f>
        <v>9-22</v>
      </c>
      <c r="Z242">
        <f t="shared" si="6"/>
        <v>9</v>
      </c>
      <c r="AA242">
        <v>22</v>
      </c>
      <c r="AB242">
        <v>1.639714275087629</v>
      </c>
      <c r="AC242" s="39"/>
      <c r="AF242">
        <v>1.639714275087629</v>
      </c>
    </row>
    <row r="243" spans="1:32">
      <c r="A2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25-10-Wkd-23</v>
      </c>
      <c r="B243" s="92">
        <v>45933.958333333336</v>
      </c>
      <c r="C243" s="130">
        <v>191.87</v>
      </c>
      <c r="D243" s="131">
        <v>29.978000000000002</v>
      </c>
      <c r="Y243" s="117" t="str">
        <f>TempDelta[[#This Row],[WeekNo]]&amp;"-"&amp;TempDelta[[#This Row],[HR]]</f>
        <v>9-23</v>
      </c>
      <c r="Z243">
        <f t="shared" si="6"/>
        <v>9</v>
      </c>
      <c r="AA243">
        <v>23</v>
      </c>
      <c r="AB243">
        <v>1.7538571187428065</v>
      </c>
      <c r="AC243" s="39"/>
      <c r="AF243">
        <v>1.7538571187428065</v>
      </c>
    </row>
    <row r="244" spans="1:32">
      <c r="A2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25-10-Sat-00</v>
      </c>
      <c r="B244" s="92">
        <v>45934</v>
      </c>
      <c r="C244" s="130">
        <v>191.87</v>
      </c>
      <c r="D244" s="131">
        <v>29.414000000000001</v>
      </c>
      <c r="V244" s="100">
        <f>V220+7</f>
        <v>45934</v>
      </c>
      <c r="W244" s="100">
        <f>V244+6</f>
        <v>45940</v>
      </c>
      <c r="Y244" s="117" t="str">
        <f>TempDelta[[#This Row],[WeekNo]]&amp;"-"&amp;TempDelta[[#This Row],[HR]]</f>
        <v>10-0</v>
      </c>
      <c r="Z244">
        <f t="shared" si="6"/>
        <v>10</v>
      </c>
      <c r="AA244">
        <v>0</v>
      </c>
      <c r="AB244" s="158">
        <v>1.3511428662708826</v>
      </c>
      <c r="AC244" s="175"/>
    </row>
    <row r="245" spans="1:32">
      <c r="A2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25-10-Sat-01</v>
      </c>
      <c r="B245" s="92">
        <v>45934.041666666664</v>
      </c>
      <c r="C245" s="130">
        <v>191.87</v>
      </c>
      <c r="D245" s="131">
        <v>29.39</v>
      </c>
      <c r="Y245" s="117" t="str">
        <f>TempDelta[[#This Row],[WeekNo]]&amp;"-"&amp;TempDelta[[#This Row],[HR]]</f>
        <v>10-1</v>
      </c>
      <c r="Z245">
        <f t="shared" si="6"/>
        <v>10</v>
      </c>
      <c r="AA245">
        <v>1</v>
      </c>
      <c r="AB245">
        <v>1.3058571474892753</v>
      </c>
      <c r="AC245" s="39"/>
    </row>
    <row r="246" spans="1:32">
      <c r="A2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25-10-Sat-02</v>
      </c>
      <c r="B246" s="92">
        <v>45934.083333333336</v>
      </c>
      <c r="C246" s="130">
        <v>191.87</v>
      </c>
      <c r="D246" s="131">
        <v>29.378</v>
      </c>
      <c r="Y246" s="117" t="str">
        <f>TempDelta[[#This Row],[WeekNo]]&amp;"-"&amp;TempDelta[[#This Row],[HR]]</f>
        <v>10-2</v>
      </c>
      <c r="Z246">
        <f t="shared" si="6"/>
        <v>10</v>
      </c>
      <c r="AA246">
        <v>2</v>
      </c>
      <c r="AB246">
        <v>1.217571428843907</v>
      </c>
      <c r="AC246" s="39"/>
    </row>
    <row r="247" spans="1:32">
      <c r="A2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25-10-Sat-03</v>
      </c>
      <c r="B247" s="92">
        <v>45934.125</v>
      </c>
      <c r="C247" s="130">
        <v>191.87</v>
      </c>
      <c r="D247" s="131">
        <v>29.378</v>
      </c>
      <c r="Y247" s="117" t="str">
        <f>TempDelta[[#This Row],[WeekNo]]&amp;"-"&amp;TempDelta[[#This Row],[HR]]</f>
        <v>10-3</v>
      </c>
      <c r="Z247">
        <f t="shared" si="6"/>
        <v>10</v>
      </c>
      <c r="AA247">
        <v>3</v>
      </c>
      <c r="AB247">
        <v>1.1134285586220878</v>
      </c>
      <c r="AC247" s="39"/>
    </row>
    <row r="248" spans="1:32">
      <c r="A2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25-10-Sat-04</v>
      </c>
      <c r="B248" s="92">
        <v>45934.166666666664</v>
      </c>
      <c r="C248" s="130">
        <v>191.87</v>
      </c>
      <c r="D248" s="131">
        <v>29.934999999999999</v>
      </c>
      <c r="Y248" s="117" t="str">
        <f>TempDelta[[#This Row],[WeekNo]]&amp;"-"&amp;TempDelta[[#This Row],[HR]]</f>
        <v>10-4</v>
      </c>
      <c r="Z248">
        <f t="shared" si="6"/>
        <v>10</v>
      </c>
      <c r="AA248">
        <v>4</v>
      </c>
      <c r="AB248">
        <v>1.0284285715648107</v>
      </c>
      <c r="AC248" s="39"/>
    </row>
    <row r="249" spans="1:32">
      <c r="A2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25-10-Sat-05</v>
      </c>
      <c r="B249" s="92">
        <v>45934.208333333336</v>
      </c>
      <c r="C249" s="130">
        <v>191.87</v>
      </c>
      <c r="D249" s="131">
        <v>34.212000000000003</v>
      </c>
      <c r="Y249" s="117" t="str">
        <f>TempDelta[[#This Row],[WeekNo]]&amp;"-"&amp;TempDelta[[#This Row],[HR]]</f>
        <v>10-5</v>
      </c>
      <c r="Z249">
        <f t="shared" si="6"/>
        <v>10</v>
      </c>
      <c r="AA249">
        <v>5</v>
      </c>
      <c r="AB249">
        <v>1.0574285643441337</v>
      </c>
      <c r="AC249" s="39"/>
    </row>
    <row r="250" spans="1:32">
      <c r="A2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25-10-Sat-06</v>
      </c>
      <c r="B250" s="92">
        <v>45934.25</v>
      </c>
      <c r="C250" s="130">
        <v>255.21899999999999</v>
      </c>
      <c r="D250" s="131">
        <v>37.209000000000003</v>
      </c>
      <c r="Y250" s="117" t="str">
        <f>TempDelta[[#This Row],[WeekNo]]&amp;"-"&amp;TempDelta[[#This Row],[HR]]</f>
        <v>10-6</v>
      </c>
      <c r="Z250">
        <f t="shared" si="6"/>
        <v>10</v>
      </c>
      <c r="AA250">
        <v>6</v>
      </c>
      <c r="AB250">
        <v>0.9115714345659528</v>
      </c>
      <c r="AC250" s="39"/>
    </row>
    <row r="251" spans="1:32">
      <c r="A2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25-10-Sat-07</v>
      </c>
      <c r="B251" s="92">
        <v>45934.291666666664</v>
      </c>
      <c r="C251" s="130">
        <v>255.21899999999999</v>
      </c>
      <c r="D251" s="131">
        <v>29.638000000000002</v>
      </c>
      <c r="Y251" s="117" t="str">
        <f>TempDelta[[#This Row],[WeekNo]]&amp;"-"&amp;TempDelta[[#This Row],[HR]]</f>
        <v>10-7</v>
      </c>
      <c r="Z251">
        <f t="shared" si="6"/>
        <v>10</v>
      </c>
      <c r="AA251">
        <v>7</v>
      </c>
      <c r="AB251">
        <v>0.73142857210976742</v>
      </c>
      <c r="AC251" s="39"/>
    </row>
    <row r="252" spans="1:32">
      <c r="A2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25-10-Sat-08</v>
      </c>
      <c r="B252" s="92">
        <v>45934.333333333336</v>
      </c>
      <c r="C252" s="130">
        <v>255.21899999999999</v>
      </c>
      <c r="D252" s="131">
        <v>29.405000000000001</v>
      </c>
      <c r="Y252" s="117" t="str">
        <f>TempDelta[[#This Row],[WeekNo]]&amp;"-"&amp;TempDelta[[#This Row],[HR]]</f>
        <v>10-8</v>
      </c>
      <c r="Z252">
        <f t="shared" si="6"/>
        <v>10</v>
      </c>
      <c r="AA252">
        <v>8</v>
      </c>
      <c r="AB252">
        <v>0.62228572368621826</v>
      </c>
      <c r="AC252" s="39"/>
    </row>
    <row r="253" spans="1:32">
      <c r="A2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25-10-Sat-09</v>
      </c>
      <c r="B253" s="92">
        <v>45934.375</v>
      </c>
      <c r="C253" s="130">
        <v>255.21899999999999</v>
      </c>
      <c r="D253" s="131">
        <v>29.33</v>
      </c>
      <c r="Y253" s="117" t="str">
        <f>TempDelta[[#This Row],[WeekNo]]&amp;"-"&amp;TempDelta[[#This Row],[HR]]</f>
        <v>10-9</v>
      </c>
      <c r="Z253">
        <f t="shared" si="6"/>
        <v>10</v>
      </c>
      <c r="AA253">
        <v>9</v>
      </c>
      <c r="AB253">
        <v>0.53400000504084999</v>
      </c>
      <c r="AC253" s="39"/>
    </row>
    <row r="254" spans="1:32">
      <c r="A2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25-10-Sat-10</v>
      </c>
      <c r="B254" s="92">
        <v>45934.416666666664</v>
      </c>
      <c r="C254" s="130">
        <v>255.21899999999999</v>
      </c>
      <c r="D254" s="131">
        <v>29.294</v>
      </c>
      <c r="Y254" s="117" t="str">
        <f>TempDelta[[#This Row],[WeekNo]]&amp;"-"&amp;TempDelta[[#This Row],[HR]]</f>
        <v>10-10</v>
      </c>
      <c r="Z254">
        <f t="shared" si="6"/>
        <v>10</v>
      </c>
      <c r="AA254">
        <v>10</v>
      </c>
      <c r="AB254">
        <v>0.42900000299726215</v>
      </c>
      <c r="AC254" s="39"/>
    </row>
    <row r="255" spans="1:32">
      <c r="A2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25-10-Sat-11</v>
      </c>
      <c r="B255" s="92">
        <v>45934.458333333336</v>
      </c>
      <c r="C255" s="130">
        <v>255.21899999999999</v>
      </c>
      <c r="D255" s="131">
        <v>29.271000000000001</v>
      </c>
      <c r="Y255" s="117" t="str">
        <f>TempDelta[[#This Row],[WeekNo]]&amp;"-"&amp;TempDelta[[#This Row],[HR]]</f>
        <v>10-11</v>
      </c>
      <c r="Z255">
        <f t="shared" si="6"/>
        <v>10</v>
      </c>
      <c r="AA255">
        <v>11</v>
      </c>
      <c r="AB255">
        <v>0.33714285918644499</v>
      </c>
      <c r="AC255" s="39"/>
    </row>
    <row r="256" spans="1:32">
      <c r="A2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25-10-Sat-12</v>
      </c>
      <c r="B256" s="92">
        <v>45934.5</v>
      </c>
      <c r="C256" s="130">
        <v>255.21899999999999</v>
      </c>
      <c r="D256" s="131">
        <v>29.256</v>
      </c>
      <c r="Y256" s="117" t="str">
        <f>TempDelta[[#This Row],[WeekNo]]&amp;"-"&amp;TempDelta[[#This Row],[HR]]</f>
        <v>10-12</v>
      </c>
      <c r="Z256">
        <f t="shared" si="6"/>
        <v>10</v>
      </c>
      <c r="AA256">
        <v>12</v>
      </c>
      <c r="AB256">
        <v>0.2629999986716679</v>
      </c>
      <c r="AC256" s="39"/>
    </row>
    <row r="257" spans="1:29">
      <c r="A2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25-10-Sat-13</v>
      </c>
      <c r="B257" s="92">
        <v>45934.541666666664</v>
      </c>
      <c r="C257" s="130">
        <v>255.21899999999999</v>
      </c>
      <c r="D257" s="131">
        <v>29.253</v>
      </c>
      <c r="Y257" s="117" t="str">
        <f>TempDelta[[#This Row],[WeekNo]]&amp;"-"&amp;TempDelta[[#This Row],[HR]]</f>
        <v>10-13</v>
      </c>
      <c r="Z257">
        <f t="shared" si="6"/>
        <v>10</v>
      </c>
      <c r="AA257">
        <v>13</v>
      </c>
      <c r="AB257">
        <v>0.22185713904244558</v>
      </c>
      <c r="AC257" s="39"/>
    </row>
    <row r="258" spans="1:29">
      <c r="A2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25-10-Sat-14</v>
      </c>
      <c r="B258" s="92">
        <v>45934.583333333336</v>
      </c>
      <c r="C258" s="130">
        <v>255.21899999999999</v>
      </c>
      <c r="D258" s="131">
        <v>29.295999999999999</v>
      </c>
      <c r="Y258" s="117" t="str">
        <f>TempDelta[[#This Row],[WeekNo]]&amp;"-"&amp;TempDelta[[#This Row],[HR]]</f>
        <v>10-14</v>
      </c>
      <c r="Z258">
        <f t="shared" si="6"/>
        <v>10</v>
      </c>
      <c r="AA258">
        <v>14</v>
      </c>
      <c r="AB258">
        <v>0.29271428287029266</v>
      </c>
      <c r="AC258" s="39"/>
    </row>
    <row r="259" spans="1:29">
      <c r="A2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25-10-Sat-15</v>
      </c>
      <c r="B259" s="92">
        <v>45934.625</v>
      </c>
      <c r="C259" s="130">
        <v>255.21899999999999</v>
      </c>
      <c r="D259" s="131">
        <v>29.344000000000001</v>
      </c>
      <c r="Y259" s="117" t="str">
        <f>TempDelta[[#This Row],[WeekNo]]&amp;"-"&amp;TempDelta[[#This Row],[HR]]</f>
        <v>10-15</v>
      </c>
      <c r="Z259">
        <f t="shared" si="6"/>
        <v>10</v>
      </c>
      <c r="AA259">
        <v>15</v>
      </c>
      <c r="AB259">
        <v>0.3973571445260729</v>
      </c>
      <c r="AC259" s="39"/>
    </row>
    <row r="260" spans="1:29">
      <c r="A2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25-10-Sat-16</v>
      </c>
      <c r="B260" s="92">
        <v>45934.666666666664</v>
      </c>
      <c r="C260" s="130">
        <v>255.21899999999999</v>
      </c>
      <c r="D260" s="131">
        <v>31.824999999999999</v>
      </c>
      <c r="Y260" s="117" t="str">
        <f>TempDelta[[#This Row],[WeekNo]]&amp;"-"&amp;TempDelta[[#This Row],[HR]]</f>
        <v>10-16</v>
      </c>
      <c r="Z260">
        <f t="shared" si="6"/>
        <v>10</v>
      </c>
      <c r="AA260">
        <v>16</v>
      </c>
      <c r="AB260">
        <v>0.63707143068313599</v>
      </c>
      <c r="AC260" s="39"/>
    </row>
    <row r="261" spans="1:29">
      <c r="A2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25-10-Sat-17</v>
      </c>
      <c r="B261" s="92">
        <v>45934.708333333336</v>
      </c>
      <c r="C261" s="130">
        <v>255.21899999999999</v>
      </c>
      <c r="D261" s="131">
        <v>57.912999999999997</v>
      </c>
      <c r="Y261" s="117" t="str">
        <f>TempDelta[[#This Row],[WeekNo]]&amp;"-"&amp;TempDelta[[#This Row],[HR]]</f>
        <v>10-17</v>
      </c>
      <c r="Z261">
        <f t="shared" si="6"/>
        <v>10</v>
      </c>
      <c r="AA261">
        <v>17</v>
      </c>
      <c r="AB261">
        <v>0.76450000064713619</v>
      </c>
      <c r="AC261" s="39"/>
    </row>
    <row r="262" spans="1:29">
      <c r="A2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25-10-Sat-18</v>
      </c>
      <c r="B262" s="92">
        <v>45934.75</v>
      </c>
      <c r="C262" s="130">
        <v>329.68799999999999</v>
      </c>
      <c r="D262" s="131">
        <v>58.915999999999997</v>
      </c>
      <c r="Y262" s="117" t="str">
        <f>TempDelta[[#This Row],[WeekNo]]&amp;"-"&amp;TempDelta[[#This Row],[HR]]</f>
        <v>10-18</v>
      </c>
      <c r="Z262">
        <f t="shared" si="6"/>
        <v>10</v>
      </c>
      <c r="AA262">
        <v>18</v>
      </c>
      <c r="AB262">
        <v>0.91657142128263203</v>
      </c>
      <c r="AC262" s="39"/>
    </row>
    <row r="263" spans="1:29">
      <c r="A2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25-10-Sat-19</v>
      </c>
      <c r="B263" s="92">
        <v>45934.791666666664</v>
      </c>
      <c r="C263" s="130">
        <v>329.68799999999999</v>
      </c>
      <c r="D263" s="131">
        <v>59.253999999999998</v>
      </c>
      <c r="Y263" s="117" t="str">
        <f>TempDelta[[#This Row],[WeekNo]]&amp;"-"&amp;TempDelta[[#This Row],[HR]]</f>
        <v>10-19</v>
      </c>
      <c r="Z263">
        <f t="shared" si="6"/>
        <v>10</v>
      </c>
      <c r="AA263">
        <v>19</v>
      </c>
      <c r="AB263">
        <v>0.91900000827653072</v>
      </c>
      <c r="AC263" s="39"/>
    </row>
    <row r="264" spans="1:29">
      <c r="A2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25-10-Sat-20</v>
      </c>
      <c r="B264" s="92">
        <v>45934.833333333336</v>
      </c>
      <c r="C264" s="130">
        <v>329.68799999999999</v>
      </c>
      <c r="D264" s="131">
        <v>57.323</v>
      </c>
      <c r="Y264" s="117" t="str">
        <f>TempDelta[[#This Row],[WeekNo]]&amp;"-"&amp;TempDelta[[#This Row],[HR]]</f>
        <v>10-20</v>
      </c>
      <c r="Z264">
        <f t="shared" si="6"/>
        <v>10</v>
      </c>
      <c r="AA264">
        <v>20</v>
      </c>
      <c r="AB264">
        <v>0.93314285363469807</v>
      </c>
      <c r="AC264" s="39"/>
    </row>
    <row r="265" spans="1:29">
      <c r="A2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25-10-Sat-21</v>
      </c>
      <c r="B265" s="92">
        <v>45934.875</v>
      </c>
      <c r="C265" s="130">
        <v>249.93199999999999</v>
      </c>
      <c r="D265" s="131">
        <v>43.802999999999997</v>
      </c>
      <c r="Y265" s="117" t="str">
        <f>TempDelta[[#This Row],[WeekNo]]&amp;"-"&amp;TempDelta[[#This Row],[HR]]</f>
        <v>10-21</v>
      </c>
      <c r="Z265">
        <f t="shared" si="6"/>
        <v>10</v>
      </c>
      <c r="AA265">
        <v>21</v>
      </c>
      <c r="AB265">
        <v>0.92385714820453102</v>
      </c>
      <c r="AC265" s="39"/>
    </row>
    <row r="266" spans="1:29">
      <c r="A2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25-10-Sat-22</v>
      </c>
      <c r="B266" s="92">
        <v>45934.916666666664</v>
      </c>
      <c r="C266" s="130">
        <v>191.87</v>
      </c>
      <c r="D266" s="131">
        <v>30.823</v>
      </c>
      <c r="Y266" s="117" t="str">
        <f>TempDelta[[#This Row],[WeekNo]]&amp;"-"&amp;TempDelta[[#This Row],[HR]]</f>
        <v>10-22</v>
      </c>
      <c r="Z266">
        <f t="shared" si="6"/>
        <v>10</v>
      </c>
      <c r="AA266">
        <v>22</v>
      </c>
      <c r="AB266">
        <v>1.1424285514014108</v>
      </c>
      <c r="AC266" s="39"/>
    </row>
    <row r="267" spans="1:29">
      <c r="A2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25-10-Sat-23</v>
      </c>
      <c r="B267" s="92">
        <v>45934.958333333336</v>
      </c>
      <c r="C267" s="130">
        <v>191.87</v>
      </c>
      <c r="D267" s="131">
        <v>29.978000000000002</v>
      </c>
      <c r="Y267" s="117" t="str">
        <f>TempDelta[[#This Row],[WeekNo]]&amp;"-"&amp;TempDelta[[#This Row],[HR]]</f>
        <v>10-23</v>
      </c>
      <c r="Z267">
        <f t="shared" si="6"/>
        <v>10</v>
      </c>
      <c r="AA267">
        <v>23</v>
      </c>
      <c r="AB267">
        <v>1.2597142798560006</v>
      </c>
      <c r="AC267" s="39"/>
    </row>
    <row r="268" spans="1:29">
      <c r="A2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25-10-Sun-00</v>
      </c>
      <c r="B268" s="92">
        <v>45935</v>
      </c>
      <c r="C268" s="130">
        <v>191.87</v>
      </c>
      <c r="D268" s="131">
        <v>29.414000000000001</v>
      </c>
      <c r="Y268" s="117" t="str">
        <f>TempDelta[[#This Row],[WeekNo]]&amp;"-"&amp;TempDelta[[#This Row],[HR]]</f>
        <v>11-0</v>
      </c>
      <c r="Z268">
        <f t="shared" si="6"/>
        <v>11</v>
      </c>
      <c r="AA268">
        <v>0</v>
      </c>
      <c r="AB268">
        <v>1.100857138633728</v>
      </c>
      <c r="AC268" s="39"/>
    </row>
    <row r="269" spans="1:29">
      <c r="A2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25-10-Sun-01</v>
      </c>
      <c r="B269" s="92">
        <v>45935.041666666664</v>
      </c>
      <c r="C269" s="130">
        <v>191.87</v>
      </c>
      <c r="D269" s="131">
        <v>29.39</v>
      </c>
      <c r="Y269" s="117" t="str">
        <f>TempDelta[[#This Row],[WeekNo]]&amp;"-"&amp;TempDelta[[#This Row],[HR]]</f>
        <v>11-1</v>
      </c>
      <c r="Z269">
        <f t="shared" si="6"/>
        <v>11</v>
      </c>
      <c r="AA269">
        <v>1</v>
      </c>
      <c r="AB269">
        <v>1.0574285984039307</v>
      </c>
      <c r="AC269" s="39"/>
    </row>
    <row r="270" spans="1:29">
      <c r="A2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25-10-Sun-02</v>
      </c>
      <c r="B270" s="92">
        <v>45935.083333333336</v>
      </c>
      <c r="C270" s="130">
        <v>191.87</v>
      </c>
      <c r="D270" s="131">
        <v>29.378</v>
      </c>
      <c r="Y270" s="117" t="str">
        <f>TempDelta[[#This Row],[WeekNo]]&amp;"-"&amp;TempDelta[[#This Row],[HR]]</f>
        <v>11-2</v>
      </c>
      <c r="Z270">
        <f t="shared" si="6"/>
        <v>11</v>
      </c>
      <c r="AA270">
        <v>2</v>
      </c>
      <c r="AB270">
        <v>0.96828572239194599</v>
      </c>
      <c r="AC270" s="39"/>
    </row>
    <row r="271" spans="1:29">
      <c r="A2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25-10-Sun-03</v>
      </c>
      <c r="B271" s="92">
        <v>45935.125</v>
      </c>
      <c r="C271" s="130">
        <v>191.87</v>
      </c>
      <c r="D271" s="131">
        <v>29.378</v>
      </c>
      <c r="Y271" s="117" t="str">
        <f>TempDelta[[#This Row],[WeekNo]]&amp;"-"&amp;TempDelta[[#This Row],[HR]]</f>
        <v>11-3</v>
      </c>
      <c r="Z271">
        <f t="shared" si="6"/>
        <v>11</v>
      </c>
      <c r="AA271">
        <v>3</v>
      </c>
      <c r="AB271">
        <v>0.8611428397042411</v>
      </c>
      <c r="AC271" s="39"/>
    </row>
    <row r="272" spans="1:29">
      <c r="A2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25-10-Sun-04</v>
      </c>
      <c r="B272" s="92">
        <v>45935.166666666664</v>
      </c>
      <c r="C272" s="130">
        <v>191.87</v>
      </c>
      <c r="D272" s="131">
        <v>29.934999999999999</v>
      </c>
      <c r="Y272" s="117" t="str">
        <f>TempDelta[[#This Row],[WeekNo]]&amp;"-"&amp;TempDelta[[#This Row],[HR]]</f>
        <v>11-4</v>
      </c>
      <c r="Z272">
        <f t="shared" si="6"/>
        <v>11</v>
      </c>
      <c r="AA272">
        <v>4</v>
      </c>
      <c r="AB272">
        <v>0.76914285761969425</v>
      </c>
      <c r="AC272" s="39"/>
    </row>
    <row r="273" spans="1:29">
      <c r="A2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25-10-Sun-05</v>
      </c>
      <c r="B273" s="92">
        <v>45935.208333333336</v>
      </c>
      <c r="C273" s="130">
        <v>191.87</v>
      </c>
      <c r="D273" s="131">
        <v>34.212000000000003</v>
      </c>
      <c r="Y273" s="117" t="str">
        <f>TempDelta[[#This Row],[WeekNo]]&amp;"-"&amp;TempDelta[[#This Row],[HR]]</f>
        <v>11-5</v>
      </c>
      <c r="Z273">
        <f t="shared" si="6"/>
        <v>11</v>
      </c>
      <c r="AA273">
        <v>5</v>
      </c>
      <c r="AB273">
        <v>0.79885715246200562</v>
      </c>
      <c r="AC273" s="39"/>
    </row>
    <row r="274" spans="1:29">
      <c r="A2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25-10-Sun-06</v>
      </c>
      <c r="B274" s="92">
        <v>45935.25</v>
      </c>
      <c r="C274" s="130">
        <v>255.21899999999999</v>
      </c>
      <c r="D274" s="131">
        <v>37.209000000000003</v>
      </c>
      <c r="Y274" s="117" t="str">
        <f>TempDelta[[#This Row],[WeekNo]]&amp;"-"&amp;TempDelta[[#This Row],[HR]]</f>
        <v>11-6</v>
      </c>
      <c r="Z274">
        <f t="shared" si="6"/>
        <v>11</v>
      </c>
      <c r="AA274">
        <v>6</v>
      </c>
      <c r="AB274">
        <v>0.64628570420401432</v>
      </c>
      <c r="AC274" s="39"/>
    </row>
    <row r="275" spans="1:29">
      <c r="A2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25-10-Sun-07</v>
      </c>
      <c r="B275" s="92">
        <v>45935.291666666664</v>
      </c>
      <c r="C275" s="130">
        <v>255.21899999999999</v>
      </c>
      <c r="D275" s="131">
        <v>29.638000000000002</v>
      </c>
      <c r="Y275" s="117" t="str">
        <f>TempDelta[[#This Row],[WeekNo]]&amp;"-"&amp;TempDelta[[#This Row],[HR]]</f>
        <v>11-7</v>
      </c>
      <c r="Z275">
        <f t="shared" si="6"/>
        <v>11</v>
      </c>
      <c r="AA275">
        <v>7</v>
      </c>
      <c r="AB275">
        <v>0.46642856938498362</v>
      </c>
      <c r="AC275" s="39"/>
    </row>
    <row r="276" spans="1:29">
      <c r="A2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25-10-Sun-08</v>
      </c>
      <c r="B276" s="92">
        <v>45935.333333333336</v>
      </c>
      <c r="C276" s="130">
        <v>255.21899999999999</v>
      </c>
      <c r="D276" s="131">
        <v>29.405000000000001</v>
      </c>
      <c r="Y276" s="117" t="str">
        <f>TempDelta[[#This Row],[WeekNo]]&amp;"-"&amp;TempDelta[[#This Row],[HR]]</f>
        <v>11-8</v>
      </c>
      <c r="Z276">
        <f t="shared" si="6"/>
        <v>11</v>
      </c>
      <c r="AA276">
        <v>8</v>
      </c>
      <c r="AB276">
        <v>0.36357143095561434</v>
      </c>
      <c r="AC276" s="39"/>
    </row>
    <row r="277" spans="1:29">
      <c r="A2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25-10-Sun-09</v>
      </c>
      <c r="B277" s="92">
        <v>45935.375</v>
      </c>
      <c r="C277" s="130">
        <v>255.21899999999999</v>
      </c>
      <c r="D277" s="131">
        <v>29.33</v>
      </c>
      <c r="Y277" s="117" t="str">
        <f>TempDelta[[#This Row],[WeekNo]]&amp;"-"&amp;TempDelta[[#This Row],[HR]]</f>
        <v>11-9</v>
      </c>
      <c r="Z277">
        <f t="shared" si="6"/>
        <v>11</v>
      </c>
      <c r="AA277">
        <v>9</v>
      </c>
      <c r="AB277">
        <v>0.28171428825174061</v>
      </c>
      <c r="AC277" s="39"/>
    </row>
    <row r="278" spans="1:29">
      <c r="A2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25-10-Sun-10</v>
      </c>
      <c r="B278" s="92">
        <v>45935.416666666664</v>
      </c>
      <c r="C278" s="130">
        <v>255.21899999999999</v>
      </c>
      <c r="D278" s="131">
        <v>29.294</v>
      </c>
      <c r="Y278" s="117" t="str">
        <f>TempDelta[[#This Row],[WeekNo]]&amp;"-"&amp;TempDelta[[#This Row],[HR]]</f>
        <v>11-10</v>
      </c>
      <c r="Z278">
        <f t="shared" si="6"/>
        <v>11</v>
      </c>
      <c r="AA278">
        <v>10</v>
      </c>
      <c r="AB278">
        <v>0.18571428209543228</v>
      </c>
      <c r="AC278" s="39"/>
    </row>
    <row r="279" spans="1:29">
      <c r="A2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25-10-Sun-11</v>
      </c>
      <c r="B279" s="92">
        <v>45935.458333333336</v>
      </c>
      <c r="C279" s="130">
        <v>255.21899999999999</v>
      </c>
      <c r="D279" s="131">
        <v>29.271000000000001</v>
      </c>
      <c r="Y279" s="117" t="str">
        <f>TempDelta[[#This Row],[WeekNo]]&amp;"-"&amp;TempDelta[[#This Row],[HR]]</f>
        <v>11-11</v>
      </c>
      <c r="Z279">
        <f t="shared" si="6"/>
        <v>11</v>
      </c>
      <c r="AA279">
        <v>11</v>
      </c>
      <c r="AB279">
        <v>0.10357142758688756</v>
      </c>
      <c r="AC279" s="39"/>
    </row>
    <row r="280" spans="1:29">
      <c r="A2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25-10-Sun-12</v>
      </c>
      <c r="B280" s="92">
        <v>45935.5</v>
      </c>
      <c r="C280" s="130">
        <v>255.21899999999999</v>
      </c>
      <c r="D280" s="131">
        <v>29.256</v>
      </c>
      <c r="Y280" s="117" t="str">
        <f>TempDelta[[#This Row],[WeekNo]]&amp;"-"&amp;TempDelta[[#This Row],[HR]]</f>
        <v>11-12</v>
      </c>
      <c r="Z280">
        <f t="shared" si="6"/>
        <v>11</v>
      </c>
      <c r="AA280">
        <v>12</v>
      </c>
      <c r="AB280">
        <v>3.9142857438751628E-2</v>
      </c>
      <c r="AC280" s="39"/>
    </row>
    <row r="281" spans="1:29">
      <c r="A2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25-10-Sun-13</v>
      </c>
      <c r="B281" s="92">
        <v>45935.541666666664</v>
      </c>
      <c r="C281" s="130">
        <v>255.21899999999999</v>
      </c>
      <c r="D281" s="131">
        <v>29.253</v>
      </c>
      <c r="Y281" s="117" t="str">
        <f>TempDelta[[#This Row],[WeekNo]]&amp;"-"&amp;TempDelta[[#This Row],[HR]]</f>
        <v>11-13</v>
      </c>
      <c r="Z281">
        <f t="shared" si="6"/>
        <v>11</v>
      </c>
      <c r="AA281">
        <v>13</v>
      </c>
      <c r="AB281">
        <v>5.2857138216495514E-3</v>
      </c>
      <c r="AC281" s="39"/>
    </row>
    <row r="282" spans="1:29">
      <c r="A2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25-10-Sun-14</v>
      </c>
      <c r="B282" s="92">
        <v>45935.583333333336</v>
      </c>
      <c r="C282" s="130">
        <v>255.21899999999999</v>
      </c>
      <c r="D282" s="131">
        <v>29.295999999999999</v>
      </c>
      <c r="Y282" s="117" t="str">
        <f>TempDelta[[#This Row],[WeekNo]]&amp;"-"&amp;TempDelta[[#This Row],[HR]]</f>
        <v>11-14</v>
      </c>
      <c r="Z282">
        <f t="shared" si="6"/>
        <v>11</v>
      </c>
      <c r="AA282">
        <v>14</v>
      </c>
      <c r="AB282">
        <v>6.9857144478841546E-2</v>
      </c>
      <c r="AC282" s="39"/>
    </row>
    <row r="283" spans="1:29">
      <c r="A2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25-10-Sun-15</v>
      </c>
      <c r="B283" s="92">
        <v>45935.625</v>
      </c>
      <c r="C283" s="130">
        <v>255.21899999999999</v>
      </c>
      <c r="D283" s="131">
        <v>29.344000000000001</v>
      </c>
      <c r="Y283" s="117" t="str">
        <f>TempDelta[[#This Row],[WeekNo]]&amp;"-"&amp;TempDelta[[#This Row],[HR]]</f>
        <v>11-15</v>
      </c>
      <c r="Z283">
        <f t="shared" si="6"/>
        <v>11</v>
      </c>
      <c r="AA283">
        <v>15</v>
      </c>
      <c r="AB283">
        <v>0.16885714073266303</v>
      </c>
      <c r="AC283" s="39"/>
    </row>
    <row r="284" spans="1:29">
      <c r="A2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25-10-Sun-16</v>
      </c>
      <c r="B284" s="92">
        <v>45935.666666666664</v>
      </c>
      <c r="C284" s="130">
        <v>255.21899999999999</v>
      </c>
      <c r="D284" s="131">
        <v>31.824999999999999</v>
      </c>
      <c r="Y284" s="117" t="str">
        <f>TempDelta[[#This Row],[WeekNo]]&amp;"-"&amp;TempDelta[[#This Row],[HR]]</f>
        <v>11-16</v>
      </c>
      <c r="Z284">
        <f t="shared" si="6"/>
        <v>11</v>
      </c>
      <c r="AA284">
        <v>16</v>
      </c>
      <c r="AB284">
        <v>0.4030000056539263</v>
      </c>
      <c r="AC284" s="39"/>
    </row>
    <row r="285" spans="1:29">
      <c r="A2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25-10-Sun-17</v>
      </c>
      <c r="B285" s="92">
        <v>45935.708333333336</v>
      </c>
      <c r="C285" s="130">
        <v>255.21899999999999</v>
      </c>
      <c r="D285" s="131">
        <v>57.912999999999997</v>
      </c>
      <c r="Y285" s="117" t="str">
        <f>TempDelta[[#This Row],[WeekNo]]&amp;"-"&amp;TempDelta[[#This Row],[HR]]</f>
        <v>11-17</v>
      </c>
      <c r="Z285">
        <f t="shared" ref="Z285:Z348" si="7">Z261+1</f>
        <v>11</v>
      </c>
      <c r="AA285">
        <v>17</v>
      </c>
      <c r="AB285">
        <v>0.51750000034059795</v>
      </c>
      <c r="AC285" s="39"/>
    </row>
    <row r="286" spans="1:29">
      <c r="A2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25-10-Sun-18</v>
      </c>
      <c r="B286" s="92">
        <v>45935.75</v>
      </c>
      <c r="C286" s="130">
        <v>329.68799999999999</v>
      </c>
      <c r="D286" s="131">
        <v>58.915999999999997</v>
      </c>
      <c r="Y286" s="117" t="str">
        <f>TempDelta[[#This Row],[WeekNo]]&amp;"-"&amp;TempDelta[[#This Row],[HR]]</f>
        <v>11-18</v>
      </c>
      <c r="Z286">
        <f t="shared" si="7"/>
        <v>11</v>
      </c>
      <c r="AA286">
        <v>18</v>
      </c>
      <c r="AB286">
        <v>0.66500000017029903</v>
      </c>
      <c r="AC286" s="39"/>
    </row>
    <row r="287" spans="1:29">
      <c r="A2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25-10-Sun-19</v>
      </c>
      <c r="B287" s="92">
        <v>45935.791666666664</v>
      </c>
      <c r="C287" s="130">
        <v>329.68799999999999</v>
      </c>
      <c r="D287" s="131">
        <v>59.253999999999998</v>
      </c>
      <c r="Y287" s="117" t="str">
        <f>TempDelta[[#This Row],[WeekNo]]&amp;"-"&amp;TempDelta[[#This Row],[HR]]</f>
        <v>11-19</v>
      </c>
      <c r="Z287">
        <f t="shared" si="7"/>
        <v>11</v>
      </c>
      <c r="AA287">
        <v>19</v>
      </c>
      <c r="AB287">
        <v>0.66292857485158108</v>
      </c>
      <c r="AC287" s="39"/>
    </row>
    <row r="288" spans="1:29">
      <c r="A2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25-10-Sun-20</v>
      </c>
      <c r="B288" s="92">
        <v>45935.833333333336</v>
      </c>
      <c r="C288" s="130">
        <v>329.68799999999999</v>
      </c>
      <c r="D288" s="131">
        <v>57.323</v>
      </c>
      <c r="Y288" s="117" t="str">
        <f>TempDelta[[#This Row],[WeekNo]]&amp;"-"&amp;TempDelta[[#This Row],[HR]]</f>
        <v>11-20</v>
      </c>
      <c r="Z288">
        <f t="shared" si="7"/>
        <v>11</v>
      </c>
      <c r="AA288">
        <v>20</v>
      </c>
      <c r="AB288">
        <v>0.6834285663706916</v>
      </c>
      <c r="AC288" s="39"/>
    </row>
    <row r="289" spans="1:29">
      <c r="A2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25-10-Sun-21</v>
      </c>
      <c r="B289" s="92">
        <v>45935.875</v>
      </c>
      <c r="C289" s="130">
        <v>249.93199999999999</v>
      </c>
      <c r="D289" s="131">
        <v>43.802999999999997</v>
      </c>
      <c r="Y289" s="117" t="str">
        <f>TempDelta[[#This Row],[WeekNo]]&amp;"-"&amp;TempDelta[[#This Row],[HR]]</f>
        <v>11-21</v>
      </c>
      <c r="Z289">
        <f t="shared" si="7"/>
        <v>11</v>
      </c>
      <c r="AA289">
        <v>21</v>
      </c>
      <c r="AB289">
        <v>0.67971429228782654</v>
      </c>
      <c r="AC289" s="39"/>
    </row>
    <row r="290" spans="1:29">
      <c r="A2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25-10-Sun-22</v>
      </c>
      <c r="B290" s="92">
        <v>45935.916666666664</v>
      </c>
      <c r="C290" s="130">
        <v>191.87</v>
      </c>
      <c r="D290" s="131">
        <v>30.823</v>
      </c>
      <c r="Y290" s="117" t="str">
        <f>TempDelta[[#This Row],[WeekNo]]&amp;"-"&amp;TempDelta[[#This Row],[HR]]</f>
        <v>11-22</v>
      </c>
      <c r="Z290">
        <f t="shared" si="7"/>
        <v>11</v>
      </c>
      <c r="AA290">
        <v>22</v>
      </c>
      <c r="AB290">
        <v>0.9049999969346183</v>
      </c>
      <c r="AC290" s="39"/>
    </row>
    <row r="291" spans="1:29">
      <c r="A2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25-10-Sun-23</v>
      </c>
      <c r="B291" s="92">
        <v>45935.958333333336</v>
      </c>
      <c r="C291" s="130">
        <v>191.87</v>
      </c>
      <c r="D291" s="131">
        <v>29.978000000000002</v>
      </c>
      <c r="Y291" s="117" t="str">
        <f>TempDelta[[#This Row],[WeekNo]]&amp;"-"&amp;TempDelta[[#This Row],[HR]]</f>
        <v>11-23</v>
      </c>
      <c r="Z291">
        <f t="shared" si="7"/>
        <v>11</v>
      </c>
      <c r="AA291">
        <v>23</v>
      </c>
      <c r="AB291">
        <v>1.027285703590938</v>
      </c>
      <c r="AC291" s="39"/>
    </row>
    <row r="292" spans="1:29">
      <c r="A2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25-06-Sat-00</v>
      </c>
      <c r="B292" s="92">
        <v>45836</v>
      </c>
      <c r="C292" s="130">
        <v>303.536</v>
      </c>
      <c r="D292" s="131">
        <v>49.581000000000003</v>
      </c>
      <c r="Y292" s="117" t="str">
        <f>TempDelta[[#This Row],[WeekNo]]&amp;"-"&amp;TempDelta[[#This Row],[HR]]</f>
        <v>12-0</v>
      </c>
      <c r="Z292">
        <f t="shared" si="7"/>
        <v>12</v>
      </c>
      <c r="AA292">
        <v>0</v>
      </c>
      <c r="AB292">
        <v>1.0217142956597465</v>
      </c>
      <c r="AC292" s="39"/>
    </row>
    <row r="293" spans="1:29">
      <c r="A2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25-06-Sat-01</v>
      </c>
      <c r="B293" s="92">
        <v>45836.041666666664</v>
      </c>
      <c r="C293" s="130">
        <v>303.536</v>
      </c>
      <c r="D293" s="131">
        <v>49.042000000000002</v>
      </c>
      <c r="Y293" s="117" t="str">
        <f>TempDelta[[#This Row],[WeekNo]]&amp;"-"&amp;TempDelta[[#This Row],[HR]]</f>
        <v>12-1</v>
      </c>
      <c r="Z293">
        <f t="shared" si="7"/>
        <v>12</v>
      </c>
      <c r="AA293">
        <v>1</v>
      </c>
      <c r="AB293">
        <v>0.97999998501368935</v>
      </c>
      <c r="AC293" s="39"/>
    </row>
    <row r="294" spans="1:29">
      <c r="A2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25-06-Sat-02</v>
      </c>
      <c r="B294" s="92">
        <v>45836.083333333328</v>
      </c>
      <c r="C294" s="130">
        <v>303.536</v>
      </c>
      <c r="D294" s="131">
        <v>49.152999999999999</v>
      </c>
      <c r="Y294" s="117" t="str">
        <f>TempDelta[[#This Row],[WeekNo]]&amp;"-"&amp;TempDelta[[#This Row],[HR]]</f>
        <v>12-2</v>
      </c>
      <c r="Z294">
        <f t="shared" si="7"/>
        <v>12</v>
      </c>
      <c r="AA294">
        <v>2</v>
      </c>
      <c r="AB294">
        <v>0.89157142809459144</v>
      </c>
      <c r="AC294" s="39"/>
    </row>
    <row r="295" spans="1:29">
      <c r="A2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25-06-Sat-03</v>
      </c>
      <c r="B295" s="92">
        <v>45836.124999999993</v>
      </c>
      <c r="C295" s="130">
        <v>303.536</v>
      </c>
      <c r="D295" s="131">
        <v>49.261000000000003</v>
      </c>
      <c r="Y295" s="117" t="str">
        <f>TempDelta[[#This Row],[WeekNo]]&amp;"-"&amp;TempDelta[[#This Row],[HR]]</f>
        <v>12-3</v>
      </c>
      <c r="Z295">
        <f t="shared" si="7"/>
        <v>12</v>
      </c>
      <c r="AA295">
        <v>3</v>
      </c>
      <c r="AB295">
        <v>0.78457142625536236</v>
      </c>
      <c r="AC295" s="39"/>
    </row>
    <row r="296" spans="1:29">
      <c r="A2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25-06-Sat-04</v>
      </c>
      <c r="B296" s="92">
        <v>45836.166666666657</v>
      </c>
      <c r="C296" s="130">
        <v>303.536</v>
      </c>
      <c r="D296" s="131">
        <v>49.161999999999999</v>
      </c>
      <c r="Y296" s="117" t="str">
        <f>TempDelta[[#This Row],[WeekNo]]&amp;"-"&amp;TempDelta[[#This Row],[HR]]</f>
        <v>12-4</v>
      </c>
      <c r="Z296">
        <f t="shared" si="7"/>
        <v>12</v>
      </c>
      <c r="AA296">
        <v>4</v>
      </c>
      <c r="AB296">
        <v>0.69542856727327618</v>
      </c>
      <c r="AC296" s="39"/>
    </row>
    <row r="297" spans="1:29">
      <c r="A2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25-06-Sat-05</v>
      </c>
      <c r="B297" s="92">
        <v>45836.208333333321</v>
      </c>
      <c r="C297" s="130">
        <v>303.536</v>
      </c>
      <c r="D297" s="131">
        <v>49.518999999999998</v>
      </c>
      <c r="Y297" s="117" t="str">
        <f>TempDelta[[#This Row],[WeekNo]]&amp;"-"&amp;TempDelta[[#This Row],[HR]]</f>
        <v>12-5</v>
      </c>
      <c r="Z297">
        <f t="shared" si="7"/>
        <v>12</v>
      </c>
      <c r="AA297">
        <v>5</v>
      </c>
      <c r="AB297">
        <v>0.71114285503114971</v>
      </c>
      <c r="AC297" s="39"/>
    </row>
    <row r="298" spans="1:29">
      <c r="A2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25-06-Sat-06</v>
      </c>
      <c r="B298" s="92">
        <v>45836.249999999985</v>
      </c>
      <c r="C298" s="130">
        <v>303.536</v>
      </c>
      <c r="D298" s="131">
        <v>78.53</v>
      </c>
      <c r="Y298" s="117" t="str">
        <f>TempDelta[[#This Row],[WeekNo]]&amp;"-"&amp;TempDelta[[#This Row],[HR]]</f>
        <v>12-6</v>
      </c>
      <c r="Z298">
        <f t="shared" si="7"/>
        <v>12</v>
      </c>
      <c r="AA298">
        <v>6</v>
      </c>
      <c r="AB298">
        <v>0.56542856778417316</v>
      </c>
      <c r="AC298" s="39"/>
    </row>
    <row r="299" spans="1:29">
      <c r="A2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25-06-Sat-07</v>
      </c>
      <c r="B299" s="92">
        <v>45836.29166666665</v>
      </c>
      <c r="C299" s="130">
        <v>303.536</v>
      </c>
      <c r="D299" s="131">
        <v>71.353999999999999</v>
      </c>
      <c r="Y299" s="117" t="str">
        <f>TempDelta[[#This Row],[WeekNo]]&amp;"-"&amp;TempDelta[[#This Row],[HR]]</f>
        <v>12-7</v>
      </c>
      <c r="Z299">
        <f t="shared" si="7"/>
        <v>12</v>
      </c>
      <c r="AA299">
        <v>7</v>
      </c>
      <c r="AB299">
        <v>0.38785713911056519</v>
      </c>
      <c r="AC299" s="39"/>
    </row>
    <row r="300" spans="1:29">
      <c r="A3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25-06-Sat-08</v>
      </c>
      <c r="B300" s="92">
        <v>45836.333333333314</v>
      </c>
      <c r="C300" s="130">
        <v>303.536</v>
      </c>
      <c r="D300" s="131">
        <v>56.476999999999997</v>
      </c>
      <c r="Y300" s="117" t="str">
        <f>TempDelta[[#This Row],[WeekNo]]&amp;"-"&amp;TempDelta[[#This Row],[HR]]</f>
        <v>12-8</v>
      </c>
      <c r="Z300">
        <f t="shared" si="7"/>
        <v>12</v>
      </c>
      <c r="AA300">
        <v>8</v>
      </c>
      <c r="AB300">
        <v>0.28528571341718945</v>
      </c>
      <c r="AC300" s="39"/>
    </row>
    <row r="301" spans="1:29">
      <c r="A3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25-06-Sat-09</v>
      </c>
      <c r="B301" s="92">
        <v>45836.374999999978</v>
      </c>
      <c r="C301" s="130">
        <v>303.536</v>
      </c>
      <c r="D301" s="131">
        <v>47.485999999999997</v>
      </c>
      <c r="Y301" s="117" t="str">
        <f>TempDelta[[#This Row],[WeekNo]]&amp;"-"&amp;TempDelta[[#This Row],[HR]]</f>
        <v>12-9</v>
      </c>
      <c r="Z301">
        <f t="shared" si="7"/>
        <v>12</v>
      </c>
      <c r="AA301">
        <v>9</v>
      </c>
      <c r="AB301">
        <v>0.20714286076171057</v>
      </c>
      <c r="AC301" s="39"/>
    </row>
    <row r="302" spans="1:29">
      <c r="A3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25-06-Sat-10</v>
      </c>
      <c r="B302" s="92">
        <v>45836.416666666642</v>
      </c>
      <c r="C302" s="130">
        <v>303.536</v>
      </c>
      <c r="D302" s="131">
        <v>46.225000000000001</v>
      </c>
      <c r="Y302" s="117" t="str">
        <f>TempDelta[[#This Row],[WeekNo]]&amp;"-"&amp;TempDelta[[#This Row],[HR]]</f>
        <v>12-10</v>
      </c>
      <c r="Z302">
        <f t="shared" si="7"/>
        <v>12</v>
      </c>
      <c r="AA302">
        <v>10</v>
      </c>
      <c r="AB302">
        <v>0.1155714291547026</v>
      </c>
      <c r="AC302" s="39"/>
    </row>
    <row r="303" spans="1:29">
      <c r="A3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25-06-Sat-11</v>
      </c>
      <c r="B303" s="92">
        <v>45836.458333333307</v>
      </c>
      <c r="C303" s="130">
        <v>303.536</v>
      </c>
      <c r="D303" s="131">
        <v>46.170999999999999</v>
      </c>
      <c r="Y303" s="117" t="str">
        <f>TempDelta[[#This Row],[WeekNo]]&amp;"-"&amp;TempDelta[[#This Row],[HR]]</f>
        <v>12-11</v>
      </c>
      <c r="Z303">
        <f t="shared" si="7"/>
        <v>12</v>
      </c>
      <c r="AA303">
        <v>11</v>
      </c>
      <c r="AB303">
        <v>3.9428572037390301E-2</v>
      </c>
      <c r="AC303" s="39"/>
    </row>
    <row r="304" spans="1:29">
      <c r="A3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25-06-Sat-12</v>
      </c>
      <c r="B304" s="92">
        <v>45836.499999999971</v>
      </c>
      <c r="C304" s="130">
        <v>303.536</v>
      </c>
      <c r="D304" s="131">
        <v>46.154000000000003</v>
      </c>
      <c r="Y304" s="117" t="str">
        <f>TempDelta[[#This Row],[WeekNo]]&amp;"-"&amp;TempDelta[[#This Row],[HR]]</f>
        <v>12-12</v>
      </c>
      <c r="Z304">
        <f t="shared" si="7"/>
        <v>12</v>
      </c>
      <c r="AA304">
        <v>12</v>
      </c>
      <c r="AB304">
        <v>-1.5857143327593803E-2</v>
      </c>
      <c r="AC304" s="39"/>
    </row>
    <row r="305" spans="1:29">
      <c r="A3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25-06-Sat-13</v>
      </c>
      <c r="B305" s="92">
        <v>45836.541666666635</v>
      </c>
      <c r="C305" s="130">
        <v>303.536</v>
      </c>
      <c r="D305" s="131">
        <v>46.168999999999997</v>
      </c>
      <c r="Y305" s="117" t="str">
        <f>TempDelta[[#This Row],[WeekNo]]&amp;"-"&amp;TempDelta[[#This Row],[HR]]</f>
        <v>12-13</v>
      </c>
      <c r="Z305">
        <f t="shared" si="7"/>
        <v>12</v>
      </c>
      <c r="AA305">
        <v>13</v>
      </c>
      <c r="AB305">
        <v>-4.142857076866286E-2</v>
      </c>
      <c r="AC305" s="39"/>
    </row>
    <row r="306" spans="1:29">
      <c r="A3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25-06-Sat-14</v>
      </c>
      <c r="B306" s="92">
        <v>45836.583333333299</v>
      </c>
      <c r="C306" s="130">
        <v>303.536</v>
      </c>
      <c r="D306" s="131">
        <v>46.209000000000003</v>
      </c>
      <c r="Y306" s="117" t="str">
        <f>TempDelta[[#This Row],[WeekNo]]&amp;"-"&amp;TempDelta[[#This Row],[HR]]</f>
        <v>12-14</v>
      </c>
      <c r="Z306">
        <f t="shared" si="7"/>
        <v>12</v>
      </c>
      <c r="AA306">
        <v>14</v>
      </c>
      <c r="AB306">
        <v>1.5142858826688357E-2</v>
      </c>
      <c r="AC306" s="39"/>
    </row>
    <row r="307" spans="1:29">
      <c r="A3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25-06-Sat-15</v>
      </c>
      <c r="B307" s="92">
        <v>45836.624999999964</v>
      </c>
      <c r="C307" s="130">
        <v>435.392</v>
      </c>
      <c r="D307" s="131">
        <v>49.128999999999998</v>
      </c>
      <c r="Y307" s="117" t="str">
        <f>TempDelta[[#This Row],[WeekNo]]&amp;"-"&amp;TempDelta[[#This Row],[HR]]</f>
        <v>12-15</v>
      </c>
      <c r="Z307">
        <f t="shared" si="7"/>
        <v>12</v>
      </c>
      <c r="AA307">
        <v>15</v>
      </c>
      <c r="AB307">
        <v>0.10157142795755394</v>
      </c>
      <c r="AC307" s="39"/>
    </row>
    <row r="308" spans="1:29">
      <c r="A3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25-06-Sat-16</v>
      </c>
      <c r="B308" s="92">
        <v>45836.666666666628</v>
      </c>
      <c r="C308" s="130">
        <v>486.928</v>
      </c>
      <c r="D308" s="131">
        <v>63.250999999999998</v>
      </c>
      <c r="Y308" s="117" t="str">
        <f>TempDelta[[#This Row],[WeekNo]]&amp;"-"&amp;TempDelta[[#This Row],[HR]]</f>
        <v>12-16</v>
      </c>
      <c r="Z308">
        <f t="shared" si="7"/>
        <v>12</v>
      </c>
      <c r="AA308">
        <v>16</v>
      </c>
      <c r="AB308">
        <v>0.33192857301660944</v>
      </c>
      <c r="AC308" s="39"/>
    </row>
    <row r="309" spans="1:29">
      <c r="A3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25-06-Sat-17</v>
      </c>
      <c r="B309" s="92">
        <v>45836.708333333292</v>
      </c>
      <c r="C309" s="130">
        <v>537.58000000000004</v>
      </c>
      <c r="D309" s="131">
        <v>84.153000000000006</v>
      </c>
      <c r="Y309" s="117" t="str">
        <f>TempDelta[[#This Row],[WeekNo]]&amp;"-"&amp;TempDelta[[#This Row],[HR]]</f>
        <v>12-17</v>
      </c>
      <c r="Z309">
        <f t="shared" si="7"/>
        <v>12</v>
      </c>
      <c r="AA309">
        <v>17</v>
      </c>
      <c r="AB309">
        <v>0.44464285565274103</v>
      </c>
      <c r="AC309" s="39"/>
    </row>
    <row r="310" spans="1:29">
      <c r="A3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25-06-Sat-18</v>
      </c>
      <c r="B310" s="92">
        <v>45836.749999999956</v>
      </c>
      <c r="C310" s="130">
        <v>537.58000000000004</v>
      </c>
      <c r="D310" s="131">
        <v>106.764</v>
      </c>
      <c r="Y310" s="117" t="str">
        <f>TempDelta[[#This Row],[WeekNo]]&amp;"-"&amp;TempDelta[[#This Row],[HR]]</f>
        <v>12-18</v>
      </c>
      <c r="Z310">
        <f t="shared" si="7"/>
        <v>12</v>
      </c>
      <c r="AA310">
        <v>18</v>
      </c>
      <c r="AB310">
        <v>0.57671428365366795</v>
      </c>
      <c r="AC310" s="39"/>
    </row>
    <row r="311" spans="1:29">
      <c r="A3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25-06-Sat-19</v>
      </c>
      <c r="B311" s="92">
        <v>45836.791666666621</v>
      </c>
      <c r="C311" s="130">
        <v>537.58000000000004</v>
      </c>
      <c r="D311" s="131">
        <v>114.77800000000001</v>
      </c>
      <c r="Y311" s="117" t="str">
        <f>TempDelta[[#This Row],[WeekNo]]&amp;"-"&amp;TempDelta[[#This Row],[HR]]</f>
        <v>12-19</v>
      </c>
      <c r="Z311">
        <f t="shared" si="7"/>
        <v>12</v>
      </c>
      <c r="AA311">
        <v>19</v>
      </c>
      <c r="AB311">
        <v>0.5747142945017133</v>
      </c>
      <c r="AC311" s="39"/>
    </row>
    <row r="312" spans="1:29">
      <c r="A3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25-06-Sat-20</v>
      </c>
      <c r="B312" s="92">
        <v>45836.833333333285</v>
      </c>
      <c r="C312" s="130">
        <v>537.58000000000004</v>
      </c>
      <c r="D312" s="131">
        <v>119.196</v>
      </c>
      <c r="Y312" s="117" t="str">
        <f>TempDelta[[#This Row],[WeekNo]]&amp;"-"&amp;TempDelta[[#This Row],[HR]]</f>
        <v>12-20</v>
      </c>
      <c r="Z312">
        <f t="shared" si="7"/>
        <v>12</v>
      </c>
      <c r="AA312">
        <v>20</v>
      </c>
      <c r="AB312">
        <v>0.58807142717497685</v>
      </c>
      <c r="AC312" s="39"/>
    </row>
    <row r="313" spans="1:29">
      <c r="A3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25-06-Sat-21</v>
      </c>
      <c r="B313" s="92">
        <v>45836.874999999949</v>
      </c>
      <c r="C313" s="130">
        <v>537.58000000000004</v>
      </c>
      <c r="D313" s="131">
        <v>112.533</v>
      </c>
      <c r="Y313" s="117" t="str">
        <f>TempDelta[[#This Row],[WeekNo]]&amp;"-"&amp;TempDelta[[#This Row],[HR]]</f>
        <v>12-21</v>
      </c>
      <c r="Z313">
        <f t="shared" si="7"/>
        <v>12</v>
      </c>
      <c r="AA313">
        <v>21</v>
      </c>
      <c r="AB313">
        <v>0.58742856766496387</v>
      </c>
      <c r="AC313" s="39"/>
    </row>
    <row r="314" spans="1:29">
      <c r="A3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25-06-Sat-22</v>
      </c>
      <c r="B314" s="92">
        <v>45836.916666666613</v>
      </c>
      <c r="C314" s="130">
        <v>455.17</v>
      </c>
      <c r="D314" s="131">
        <v>60.777000000000001</v>
      </c>
      <c r="Y314" s="117" t="str">
        <f>TempDelta[[#This Row],[WeekNo]]&amp;"-"&amp;TempDelta[[#This Row],[HR]]</f>
        <v>12-22</v>
      </c>
      <c r="Z314">
        <f t="shared" si="7"/>
        <v>12</v>
      </c>
      <c r="AA314">
        <v>22</v>
      </c>
      <c r="AB314">
        <v>0.81528571673801964</v>
      </c>
      <c r="AC314" s="39"/>
    </row>
    <row r="315" spans="1:29">
      <c r="A3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25-06-Sat-23</v>
      </c>
      <c r="B315" s="92">
        <v>45836.958333333278</v>
      </c>
      <c r="C315" s="130">
        <v>372.76</v>
      </c>
      <c r="D315" s="131">
        <v>56.433999999999997</v>
      </c>
      <c r="Y315" s="117" t="str">
        <f>TempDelta[[#This Row],[WeekNo]]&amp;"-"&amp;TempDelta[[#This Row],[HR]]</f>
        <v>12-23</v>
      </c>
      <c r="Z315">
        <f t="shared" si="7"/>
        <v>12</v>
      </c>
      <c r="AA315">
        <v>23</v>
      </c>
      <c r="AB315">
        <v>0.93885714667184017</v>
      </c>
      <c r="AC315" s="39"/>
    </row>
    <row r="316" spans="1:29">
      <c r="A3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25-06-Sun-00</v>
      </c>
      <c r="B316" s="92">
        <v>45836.999999999942</v>
      </c>
      <c r="C316" s="130">
        <v>303.536</v>
      </c>
      <c r="D316" s="131">
        <v>48.893999999999998</v>
      </c>
      <c r="Y316" s="117" t="str">
        <f>TempDelta[[#This Row],[WeekNo]]&amp;"-"&amp;TempDelta[[#This Row],[HR]]</f>
        <v>13-0</v>
      </c>
      <c r="Z316">
        <f t="shared" si="7"/>
        <v>13</v>
      </c>
      <c r="AA316">
        <v>0</v>
      </c>
      <c r="AB316">
        <v>0.73420000076293945</v>
      </c>
      <c r="AC316" s="39"/>
    </row>
    <row r="317" spans="1:29">
      <c r="A3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25-06-Sun-01</v>
      </c>
      <c r="B317" s="92">
        <v>45837.041666666606</v>
      </c>
      <c r="C317" s="130">
        <v>303.536</v>
      </c>
      <c r="D317" s="131">
        <v>48.759</v>
      </c>
      <c r="Y317" s="117" t="str">
        <f>TempDelta[[#This Row],[WeekNo]]&amp;"-"&amp;TempDelta[[#This Row],[HR]]</f>
        <v>13-1</v>
      </c>
      <c r="Z317">
        <f t="shared" si="7"/>
        <v>13</v>
      </c>
      <c r="AA317">
        <v>1</v>
      </c>
      <c r="AB317">
        <v>0.69179999828338623</v>
      </c>
      <c r="AC317" s="39"/>
    </row>
    <row r="318" spans="1:29">
      <c r="A3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25-06-Sun-02</v>
      </c>
      <c r="B318" s="92">
        <v>45837.08333333327</v>
      </c>
      <c r="C318" s="130">
        <v>303.536</v>
      </c>
      <c r="D318" s="131">
        <v>48.32</v>
      </c>
      <c r="Y318" s="117" t="str">
        <f>TempDelta[[#This Row],[WeekNo]]&amp;"-"&amp;TempDelta[[#This Row],[HR]]</f>
        <v>13-2</v>
      </c>
      <c r="Z318">
        <f t="shared" si="7"/>
        <v>13</v>
      </c>
      <c r="AA318">
        <v>2</v>
      </c>
      <c r="AB318">
        <v>0.64100000262260437</v>
      </c>
      <c r="AC318" s="39"/>
    </row>
    <row r="319" spans="1:29">
      <c r="A3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25-06-Sun-03</v>
      </c>
      <c r="B319" s="92">
        <v>45837.124999999935</v>
      </c>
      <c r="C319" s="130">
        <v>303.536</v>
      </c>
      <c r="D319" s="131">
        <v>48.072000000000003</v>
      </c>
      <c r="Y319" s="117" t="str">
        <f>TempDelta[[#This Row],[WeekNo]]&amp;"-"&amp;TempDelta[[#This Row],[HR]]</f>
        <v>13-3</v>
      </c>
      <c r="Z319">
        <f t="shared" si="7"/>
        <v>13</v>
      </c>
      <c r="AA319">
        <v>3</v>
      </c>
      <c r="AB319">
        <v>0.53599998354911804</v>
      </c>
      <c r="AC319" s="39"/>
    </row>
    <row r="320" spans="1:29">
      <c r="A3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25-06-Sun-04</v>
      </c>
      <c r="B320" s="92">
        <v>45837.166666666599</v>
      </c>
      <c r="C320" s="130">
        <v>303.536</v>
      </c>
      <c r="D320" s="131">
        <v>48.481000000000002</v>
      </c>
      <c r="Y320" s="117" t="str">
        <f>TempDelta[[#This Row],[WeekNo]]&amp;"-"&amp;TempDelta[[#This Row],[HR]]</f>
        <v>13-4</v>
      </c>
      <c r="Z320">
        <f t="shared" si="7"/>
        <v>13</v>
      </c>
      <c r="AA320">
        <v>4</v>
      </c>
      <c r="AB320">
        <v>0.43825000524520874</v>
      </c>
      <c r="AC320" s="39"/>
    </row>
    <row r="321" spans="1:29">
      <c r="A3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25-06-Sun-05</v>
      </c>
      <c r="B321" s="92">
        <v>45837.208333333263</v>
      </c>
      <c r="C321" s="130">
        <v>303.536</v>
      </c>
      <c r="D321" s="131">
        <v>48.835999999999999</v>
      </c>
      <c r="Y321" s="117" t="str">
        <f>TempDelta[[#This Row],[WeekNo]]&amp;"-"&amp;TempDelta[[#This Row],[HR]]</f>
        <v>13-5</v>
      </c>
      <c r="Z321">
        <f t="shared" si="7"/>
        <v>13</v>
      </c>
      <c r="AA321">
        <v>5</v>
      </c>
      <c r="AB321">
        <v>0.42975000292062759</v>
      </c>
      <c r="AC321" s="39"/>
    </row>
    <row r="322" spans="1:29">
      <c r="A3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25-06-Sun-06</v>
      </c>
      <c r="B322" s="92">
        <v>45837.249999999927</v>
      </c>
      <c r="C322" s="130">
        <v>303.536</v>
      </c>
      <c r="D322" s="131">
        <v>53.771999999999998</v>
      </c>
      <c r="Y322" s="117" t="str">
        <f>TempDelta[[#This Row],[WeekNo]]&amp;"-"&amp;TempDelta[[#This Row],[HR]]</f>
        <v>13-6</v>
      </c>
      <c r="Z322">
        <f t="shared" si="7"/>
        <v>13</v>
      </c>
      <c r="AA322">
        <v>6</v>
      </c>
      <c r="AB322">
        <v>0.32200000062584877</v>
      </c>
      <c r="AC322" s="39"/>
    </row>
    <row r="323" spans="1:29">
      <c r="A3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25-06-Sun-07</v>
      </c>
      <c r="B323" s="92">
        <v>45837.291666666591</v>
      </c>
      <c r="C323" s="130">
        <v>303.536</v>
      </c>
      <c r="D323" s="131">
        <v>47.149000000000001</v>
      </c>
      <c r="Y323" s="117" t="str">
        <f>TempDelta[[#This Row],[WeekNo]]&amp;"-"&amp;TempDelta[[#This Row],[HR]]</f>
        <v>13-7</v>
      </c>
      <c r="Z323">
        <f t="shared" si="7"/>
        <v>13</v>
      </c>
      <c r="AA323">
        <v>7</v>
      </c>
      <c r="AB323">
        <v>0.13774999789893627</v>
      </c>
      <c r="AC323" s="39"/>
    </row>
    <row r="324" spans="1:29">
      <c r="A3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25-06-Sun-08</v>
      </c>
      <c r="B324" s="92">
        <v>45837.333333333256</v>
      </c>
      <c r="C324" s="130">
        <v>303.536</v>
      </c>
      <c r="D324" s="131">
        <v>46.155999999999999</v>
      </c>
      <c r="Y324" s="117" t="str">
        <f>TempDelta[[#This Row],[WeekNo]]&amp;"-"&amp;TempDelta[[#This Row],[HR]]</f>
        <v>13-8</v>
      </c>
      <c r="Z324">
        <f t="shared" si="7"/>
        <v>13</v>
      </c>
      <c r="AA324">
        <v>8</v>
      </c>
      <c r="AB324">
        <v>2.8249999275431037E-2</v>
      </c>
      <c r="AC324" s="39"/>
    </row>
    <row r="325" spans="1:29">
      <c r="A3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25-06-Sun-09</v>
      </c>
      <c r="B325" s="92">
        <v>45837.37499999992</v>
      </c>
      <c r="C325" s="130">
        <v>303.536</v>
      </c>
      <c r="D325" s="131">
        <v>46.026000000000003</v>
      </c>
      <c r="Y325" s="117" t="str">
        <f>TempDelta[[#This Row],[WeekNo]]&amp;"-"&amp;TempDelta[[#This Row],[HR]]</f>
        <v>13-9</v>
      </c>
      <c r="Z325">
        <f t="shared" si="7"/>
        <v>13</v>
      </c>
      <c r="AA325">
        <v>9</v>
      </c>
      <c r="AB325">
        <v>-5.3000001236796379E-2</v>
      </c>
      <c r="AC325" s="39"/>
    </row>
    <row r="326" spans="1:29">
      <c r="A3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25-06-Sun-10</v>
      </c>
      <c r="B326" s="92">
        <v>45837.416666666584</v>
      </c>
      <c r="C326" s="130">
        <v>303.536</v>
      </c>
      <c r="D326" s="131">
        <v>45.988999999999997</v>
      </c>
      <c r="Y326" s="117" t="str">
        <f>TempDelta[[#This Row],[WeekNo]]&amp;"-"&amp;TempDelta[[#This Row],[HR]]</f>
        <v>13-10</v>
      </c>
      <c r="Z326">
        <f t="shared" si="7"/>
        <v>13</v>
      </c>
      <c r="AA326">
        <v>10</v>
      </c>
      <c r="AB326">
        <v>-0.13824999803910032</v>
      </c>
      <c r="AC326" s="39"/>
    </row>
    <row r="327" spans="1:29">
      <c r="A3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25-06-Sun-11</v>
      </c>
      <c r="B327" s="92">
        <v>45837.458333333248</v>
      </c>
      <c r="C327" s="130">
        <v>303.536</v>
      </c>
      <c r="D327" s="131">
        <v>45.936999999999998</v>
      </c>
      <c r="Y327" s="117" t="str">
        <f>TempDelta[[#This Row],[WeekNo]]&amp;"-"&amp;TempDelta[[#This Row],[HR]]</f>
        <v>13-11</v>
      </c>
      <c r="Z327">
        <f t="shared" si="7"/>
        <v>13</v>
      </c>
      <c r="AA327">
        <v>11</v>
      </c>
      <c r="AB327">
        <v>-0.20649999752640724</v>
      </c>
      <c r="AC327" s="39"/>
    </row>
    <row r="328" spans="1:29">
      <c r="A3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25-06-Sun-12</v>
      </c>
      <c r="B328" s="92">
        <v>45837.499999999913</v>
      </c>
      <c r="C328" s="130">
        <v>303.536</v>
      </c>
      <c r="D328" s="131">
        <v>45.923000000000002</v>
      </c>
      <c r="Y328" s="117" t="str">
        <f>TempDelta[[#This Row],[WeekNo]]&amp;"-"&amp;TempDelta[[#This Row],[HR]]</f>
        <v>13-12</v>
      </c>
      <c r="Z328">
        <f t="shared" si="7"/>
        <v>13</v>
      </c>
      <c r="AA328">
        <v>12</v>
      </c>
      <c r="AB328">
        <v>-0.25474999845027924</v>
      </c>
      <c r="AC328" s="39"/>
    </row>
    <row r="329" spans="1:29">
      <c r="A3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25-06-Sun-13</v>
      </c>
      <c r="B329" s="92">
        <v>45837.541666666577</v>
      </c>
      <c r="C329" s="130">
        <v>303.536</v>
      </c>
      <c r="D329" s="131">
        <v>45.948999999999998</v>
      </c>
      <c r="Y329" s="117" t="str">
        <f>TempDelta[[#This Row],[WeekNo]]&amp;"-"&amp;TempDelta[[#This Row],[HR]]</f>
        <v>13-13</v>
      </c>
      <c r="Z329">
        <f t="shared" si="7"/>
        <v>13</v>
      </c>
      <c r="AA329">
        <v>13</v>
      </c>
      <c r="AB329">
        <v>-0.27724999561905861</v>
      </c>
      <c r="AC329" s="39"/>
    </row>
    <row r="330" spans="1:29">
      <c r="A3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25-06-Sun-14</v>
      </c>
      <c r="B330" s="92">
        <v>45837.583333333241</v>
      </c>
      <c r="C330" s="130">
        <v>303.536</v>
      </c>
      <c r="D330" s="131">
        <v>46.037999999999997</v>
      </c>
      <c r="Y330" s="117" t="str">
        <f>TempDelta[[#This Row],[WeekNo]]&amp;"-"&amp;TempDelta[[#This Row],[HR]]</f>
        <v>13-14</v>
      </c>
      <c r="Z330">
        <f t="shared" si="7"/>
        <v>13</v>
      </c>
      <c r="AA330">
        <v>14</v>
      </c>
      <c r="AB330">
        <v>-0.23250000178813934</v>
      </c>
      <c r="AC330" s="39"/>
    </row>
    <row r="331" spans="1:29">
      <c r="A3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25-06-Sun-15</v>
      </c>
      <c r="B331" s="92">
        <v>45837.624999999905</v>
      </c>
      <c r="C331" s="130">
        <v>435.392</v>
      </c>
      <c r="D331" s="131">
        <v>46.131</v>
      </c>
      <c r="Y331" s="117" t="str">
        <f>TempDelta[[#This Row],[WeekNo]]&amp;"-"&amp;TempDelta[[#This Row],[HR]]</f>
        <v>13-15</v>
      </c>
      <c r="Z331">
        <f t="shared" si="7"/>
        <v>13</v>
      </c>
      <c r="AA331">
        <v>15</v>
      </c>
      <c r="AB331">
        <v>-0.15862499922513962</v>
      </c>
      <c r="AC331" s="39"/>
    </row>
    <row r="332" spans="1:29">
      <c r="A3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25-06-Sun-16</v>
      </c>
      <c r="B332" s="92">
        <v>45837.66666666657</v>
      </c>
      <c r="C332" s="130">
        <v>514.80499999999995</v>
      </c>
      <c r="D332" s="131">
        <v>47.345999999999997</v>
      </c>
      <c r="Y332" s="117" t="str">
        <f>TempDelta[[#This Row],[WeekNo]]&amp;"-"&amp;TempDelta[[#This Row],[HR]]</f>
        <v>13-16</v>
      </c>
      <c r="Z332">
        <f t="shared" si="7"/>
        <v>13</v>
      </c>
      <c r="AA332">
        <v>16</v>
      </c>
      <c r="AB332">
        <v>5.487500037997961E-2</v>
      </c>
      <c r="AC332" s="39"/>
    </row>
    <row r="333" spans="1:29">
      <c r="A3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25-06-Sun-17</v>
      </c>
      <c r="B333" s="92">
        <v>45837.708333333234</v>
      </c>
      <c r="C333" s="130">
        <v>514.80499999999995</v>
      </c>
      <c r="D333" s="131">
        <v>54.688000000000002</v>
      </c>
      <c r="Y333" s="117" t="str">
        <f>TempDelta[[#This Row],[WeekNo]]&amp;"-"&amp;TempDelta[[#This Row],[HR]]</f>
        <v>13-17</v>
      </c>
      <c r="Z333">
        <f t="shared" si="7"/>
        <v>13</v>
      </c>
      <c r="AA333">
        <v>17</v>
      </c>
      <c r="AB333">
        <v>0.14624999904481228</v>
      </c>
      <c r="AC333" s="39"/>
    </row>
    <row r="334" spans="1:29">
      <c r="A3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25-06-Sun-18</v>
      </c>
      <c r="B334" s="92">
        <v>45837.749999999898</v>
      </c>
      <c r="C334" s="130">
        <v>537.58000000000004</v>
      </c>
      <c r="D334" s="131">
        <v>70.739000000000004</v>
      </c>
      <c r="Y334" s="117" t="str">
        <f>TempDelta[[#This Row],[WeekNo]]&amp;"-"&amp;TempDelta[[#This Row],[HR]]</f>
        <v>13-18</v>
      </c>
      <c r="Z334">
        <f t="shared" si="7"/>
        <v>13</v>
      </c>
      <c r="AA334">
        <v>18</v>
      </c>
      <c r="AB334">
        <v>0.26487499848008156</v>
      </c>
      <c r="AC334" s="39"/>
    </row>
    <row r="335" spans="1:29">
      <c r="A3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25-06-Sun-19</v>
      </c>
      <c r="B335" s="92">
        <v>45837.791666666562</v>
      </c>
      <c r="C335" s="130">
        <v>537.58000000000004</v>
      </c>
      <c r="D335" s="131">
        <v>84.899000000000001</v>
      </c>
      <c r="Y335" s="117" t="str">
        <f>TempDelta[[#This Row],[WeekNo]]&amp;"-"&amp;TempDelta[[#This Row],[HR]]</f>
        <v>13-19</v>
      </c>
      <c r="Z335">
        <f t="shared" si="7"/>
        <v>13</v>
      </c>
      <c r="AA335">
        <v>19</v>
      </c>
      <c r="AB335">
        <v>0.24249999853782356</v>
      </c>
      <c r="AC335" s="39"/>
    </row>
    <row r="336" spans="1:29">
      <c r="A3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25-06-Sun-20</v>
      </c>
      <c r="B336" s="92">
        <v>45837.833333333227</v>
      </c>
      <c r="C336" s="130">
        <v>537.58000000000004</v>
      </c>
      <c r="D336" s="131">
        <v>83.715999999999994</v>
      </c>
      <c r="Y336" s="117" t="str">
        <f>TempDelta[[#This Row],[WeekNo]]&amp;"-"&amp;TempDelta[[#This Row],[HR]]</f>
        <v>13-20</v>
      </c>
      <c r="Z336">
        <f t="shared" si="7"/>
        <v>13</v>
      </c>
      <c r="AA336">
        <v>20</v>
      </c>
      <c r="AB336">
        <v>0.25587500119581819</v>
      </c>
      <c r="AC336" s="39"/>
    </row>
    <row r="337" spans="1:29">
      <c r="A3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25-06-Sun-21</v>
      </c>
      <c r="B337" s="92">
        <v>45837.874999999891</v>
      </c>
      <c r="C337" s="130">
        <v>455.17</v>
      </c>
      <c r="D337" s="131">
        <v>74.587999999999994</v>
      </c>
      <c r="Y337" s="117" t="str">
        <f>TempDelta[[#This Row],[WeekNo]]&amp;"-"&amp;TempDelta[[#This Row],[HR]]</f>
        <v>13-21</v>
      </c>
      <c r="Z337">
        <f t="shared" si="7"/>
        <v>13</v>
      </c>
      <c r="AA337">
        <v>21</v>
      </c>
      <c r="AB337">
        <v>0.25137499789707363</v>
      </c>
      <c r="AC337" s="39"/>
    </row>
    <row r="338" spans="1:29">
      <c r="A3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25-06-Sun-22</v>
      </c>
      <c r="B338" s="92">
        <v>45837.916666666555</v>
      </c>
      <c r="C338" s="130">
        <v>372.76</v>
      </c>
      <c r="D338" s="131">
        <v>56.500999999999998</v>
      </c>
      <c r="Y338" s="117" t="str">
        <f>TempDelta[[#This Row],[WeekNo]]&amp;"-"&amp;TempDelta[[#This Row],[HR]]</f>
        <v>13-22</v>
      </c>
      <c r="Z338">
        <f t="shared" si="7"/>
        <v>13</v>
      </c>
      <c r="AA338">
        <v>22</v>
      </c>
      <c r="AB338">
        <v>0.48149999231100082</v>
      </c>
      <c r="AC338" s="39"/>
    </row>
    <row r="339" spans="1:29">
      <c r="A3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25-06-Sun-23</v>
      </c>
      <c r="B339" s="92">
        <v>45837.958333333219</v>
      </c>
      <c r="C339" s="130">
        <v>303.536</v>
      </c>
      <c r="D339" s="131">
        <v>52.027999999999999</v>
      </c>
      <c r="Y339" s="117" t="str">
        <f>TempDelta[[#This Row],[WeekNo]]&amp;"-"&amp;TempDelta[[#This Row],[HR]]</f>
        <v>13-23</v>
      </c>
      <c r="Z339">
        <f t="shared" si="7"/>
        <v>13</v>
      </c>
      <c r="AA339">
        <v>23</v>
      </c>
      <c r="AB339">
        <v>0.60849998891353607</v>
      </c>
      <c r="AC339" s="39"/>
    </row>
    <row r="340" spans="1:29">
      <c r="A3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25-06-Wkd-00</v>
      </c>
      <c r="B340" s="107">
        <v>45838</v>
      </c>
      <c r="C340" s="130">
        <v>303.536</v>
      </c>
      <c r="D340" s="131">
        <v>53.341000000000001</v>
      </c>
      <c r="Y340" s="117" t="str">
        <f>TempDelta[[#This Row],[WeekNo]]&amp;"-"&amp;TempDelta[[#This Row],[HR]]</f>
        <v>14-0</v>
      </c>
      <c r="Z340">
        <f t="shared" si="7"/>
        <v>14</v>
      </c>
      <c r="AA340">
        <v>0</v>
      </c>
      <c r="AB340">
        <v>1.5784285920000001</v>
      </c>
      <c r="AC340" s="39"/>
    </row>
    <row r="341" spans="1:29">
      <c r="A3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25-06-Wkd-01</v>
      </c>
      <c r="B341" s="92">
        <v>45838.041666666664</v>
      </c>
      <c r="C341" s="130">
        <v>303.536</v>
      </c>
      <c r="D341" s="131">
        <v>51.82</v>
      </c>
      <c r="Y341" s="117" t="str">
        <f>TempDelta[[#This Row],[WeekNo]]&amp;"-"&amp;TempDelta[[#This Row],[HR]]</f>
        <v>14-1</v>
      </c>
      <c r="Z341">
        <f t="shared" si="7"/>
        <v>14</v>
      </c>
      <c r="AA341">
        <v>1</v>
      </c>
      <c r="AB341">
        <v>1.5087142842857144</v>
      </c>
      <c r="AC341" s="39"/>
    </row>
    <row r="342" spans="1:29">
      <c r="A3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25-06-Wkd-02</v>
      </c>
      <c r="B342" s="92">
        <v>45838.083333333328</v>
      </c>
      <c r="C342" s="130">
        <v>303.536</v>
      </c>
      <c r="D342" s="131">
        <v>50.686999999999998</v>
      </c>
      <c r="Y342" s="117" t="str">
        <f>TempDelta[[#This Row],[WeekNo]]&amp;"-"&amp;TempDelta[[#This Row],[HR]]</f>
        <v>14-2</v>
      </c>
      <c r="Z342">
        <f t="shared" si="7"/>
        <v>14</v>
      </c>
      <c r="AA342">
        <v>2</v>
      </c>
      <c r="AB342">
        <v>1.393571444857143</v>
      </c>
      <c r="AC342" s="39"/>
    </row>
    <row r="343" spans="1:29">
      <c r="A3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25-06-Wkd-03</v>
      </c>
      <c r="B343" s="92">
        <v>45838.124999999993</v>
      </c>
      <c r="C343" s="130">
        <v>303.536</v>
      </c>
      <c r="D343" s="131">
        <v>50.872999999999998</v>
      </c>
      <c r="Y343" s="117" t="str">
        <f>TempDelta[[#This Row],[WeekNo]]&amp;"-"&amp;TempDelta[[#This Row],[HR]]</f>
        <v>14-3</v>
      </c>
      <c r="Z343">
        <f t="shared" si="7"/>
        <v>14</v>
      </c>
      <c r="AA343">
        <v>3</v>
      </c>
      <c r="AB343">
        <v>1.2625714202857143</v>
      </c>
      <c r="AC343" s="39"/>
    </row>
    <row r="344" spans="1:29">
      <c r="A3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25-06-Wkd-04</v>
      </c>
      <c r="B344" s="92">
        <v>45838.166666666657</v>
      </c>
      <c r="C344" s="130">
        <v>303.536</v>
      </c>
      <c r="D344" s="131">
        <v>50.954000000000001</v>
      </c>
      <c r="Y344" s="117" t="str">
        <f>TempDelta[[#This Row],[WeekNo]]&amp;"-"&amp;TempDelta[[#This Row],[HR]]</f>
        <v>14-4</v>
      </c>
      <c r="Z344">
        <f t="shared" si="7"/>
        <v>14</v>
      </c>
      <c r="AA344">
        <v>4</v>
      </c>
      <c r="AB344">
        <v>1.1234285491428573</v>
      </c>
      <c r="AC344" s="39"/>
    </row>
    <row r="345" spans="1:29">
      <c r="A3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25-06-Wkd-05</v>
      </c>
      <c r="B345" s="92">
        <v>45838.208333333321</v>
      </c>
      <c r="C345" s="130">
        <v>303.536</v>
      </c>
      <c r="D345" s="131">
        <v>52.765999999999998</v>
      </c>
      <c r="Y345" s="117" t="str">
        <f>TempDelta[[#This Row],[WeekNo]]&amp;"-"&amp;TempDelta[[#This Row],[HR]]</f>
        <v>14-5</v>
      </c>
      <c r="Z345">
        <f t="shared" si="7"/>
        <v>14</v>
      </c>
      <c r="AA345">
        <v>5</v>
      </c>
      <c r="AB345">
        <v>0.98857142242857143</v>
      </c>
      <c r="AC345" s="39"/>
    </row>
    <row r="346" spans="1:29">
      <c r="A3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25-06-Wkd-06</v>
      </c>
      <c r="B346" s="92">
        <v>45838.249999999985</v>
      </c>
      <c r="C346" s="130">
        <v>303.536</v>
      </c>
      <c r="D346" s="131">
        <v>93.960999999999999</v>
      </c>
      <c r="Y346" s="117" t="str">
        <f>TempDelta[[#This Row],[WeekNo]]&amp;"-"&amp;TempDelta[[#This Row],[HR]]</f>
        <v>14-6</v>
      </c>
      <c r="Z346">
        <f t="shared" si="7"/>
        <v>14</v>
      </c>
      <c r="AA346">
        <v>6</v>
      </c>
      <c r="AB346">
        <v>0.86557143071428577</v>
      </c>
      <c r="AC346" s="39"/>
    </row>
    <row r="347" spans="1:29">
      <c r="A3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25-06-Wkd-07</v>
      </c>
      <c r="B347" s="92">
        <v>45838.29166666665</v>
      </c>
      <c r="C347" s="130">
        <v>303.536</v>
      </c>
      <c r="D347" s="131">
        <v>79.301000000000002</v>
      </c>
      <c r="Y347" s="117" t="str">
        <f>TempDelta[[#This Row],[WeekNo]]&amp;"-"&amp;TempDelta[[#This Row],[HR]]</f>
        <v>14-7</v>
      </c>
      <c r="Z347">
        <f t="shared" si="7"/>
        <v>14</v>
      </c>
      <c r="AA347">
        <v>7</v>
      </c>
      <c r="AB347">
        <v>0.75871427985714279</v>
      </c>
      <c r="AC347" s="39"/>
    </row>
    <row r="348" spans="1:29">
      <c r="A3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25-06-Wkd-08</v>
      </c>
      <c r="B348" s="92">
        <v>45838.333333333314</v>
      </c>
      <c r="C348" s="130">
        <v>303.536</v>
      </c>
      <c r="D348" s="131">
        <v>63.335999999999999</v>
      </c>
      <c r="Y348" s="117" t="str">
        <f>TempDelta[[#This Row],[WeekNo]]&amp;"-"&amp;TempDelta[[#This Row],[HR]]</f>
        <v>14-8</v>
      </c>
      <c r="Z348">
        <f t="shared" si="7"/>
        <v>14</v>
      </c>
      <c r="AA348">
        <v>8</v>
      </c>
      <c r="AB348">
        <v>0.67285714385714279</v>
      </c>
      <c r="AC348" s="39"/>
    </row>
    <row r="349" spans="1:29">
      <c r="A3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25-06-Wkd-09</v>
      </c>
      <c r="B349" s="92">
        <v>45838.374999999978</v>
      </c>
      <c r="C349" s="130">
        <v>303.536</v>
      </c>
      <c r="D349" s="131">
        <v>51.085999999999999</v>
      </c>
      <c r="Y349" s="117" t="str">
        <f>TempDelta[[#This Row],[WeekNo]]&amp;"-"&amp;TempDelta[[#This Row],[HR]]</f>
        <v>14-9</v>
      </c>
      <c r="Z349">
        <f t="shared" ref="Z349:Z387" si="8">Z325+1</f>
        <v>14</v>
      </c>
      <c r="AA349">
        <v>9</v>
      </c>
      <c r="AB349">
        <v>0.60857142499999994</v>
      </c>
      <c r="AC349" s="39"/>
    </row>
    <row r="350" spans="1:29">
      <c r="A3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25-06-Wkd-10</v>
      </c>
      <c r="B350" s="92">
        <v>45838.416666666642</v>
      </c>
      <c r="C350" s="130">
        <v>303.536</v>
      </c>
      <c r="D350" s="131">
        <v>48.877000000000002</v>
      </c>
      <c r="Y350" s="117" t="str">
        <f>TempDelta[[#This Row],[WeekNo]]&amp;"-"&amp;TempDelta[[#This Row],[HR]]</f>
        <v>14-10</v>
      </c>
      <c r="Z350">
        <f t="shared" si="8"/>
        <v>14</v>
      </c>
      <c r="AA350">
        <v>10</v>
      </c>
      <c r="AB350">
        <v>0.55842857057142858</v>
      </c>
      <c r="AC350" s="39"/>
    </row>
    <row r="351" spans="1:29">
      <c r="A3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25-06-Wkd-11</v>
      </c>
      <c r="B351" s="92">
        <v>45838.458333333307</v>
      </c>
      <c r="C351" s="130">
        <v>303.536</v>
      </c>
      <c r="D351" s="131">
        <v>47.103999999999999</v>
      </c>
      <c r="Y351" s="117" t="str">
        <f>TempDelta[[#This Row],[WeekNo]]&amp;"-"&amp;TempDelta[[#This Row],[HR]]</f>
        <v>14-11</v>
      </c>
      <c r="Z351">
        <f t="shared" si="8"/>
        <v>14</v>
      </c>
      <c r="AA351">
        <v>11</v>
      </c>
      <c r="AB351">
        <v>0.51114285628571432</v>
      </c>
      <c r="AC351" s="39"/>
    </row>
    <row r="352" spans="1:29">
      <c r="A3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25-06-Wkd-12</v>
      </c>
      <c r="B352" s="92">
        <v>45838.499999999971</v>
      </c>
      <c r="C352" s="130">
        <v>303.536</v>
      </c>
      <c r="D352" s="131">
        <v>49.77</v>
      </c>
      <c r="Y352" s="117" t="str">
        <f>TempDelta[[#This Row],[WeekNo]]&amp;"-"&amp;TempDelta[[#This Row],[HR]]</f>
        <v>14-12</v>
      </c>
      <c r="Z352">
        <f t="shared" si="8"/>
        <v>14</v>
      </c>
      <c r="AA352">
        <v>12</v>
      </c>
      <c r="AB352">
        <v>0.46342857814285715</v>
      </c>
      <c r="AC352" s="39"/>
    </row>
    <row r="353" spans="1:29">
      <c r="A3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25-06-Wkd-13</v>
      </c>
      <c r="B353" s="92">
        <v>45838.541666666635</v>
      </c>
      <c r="C353" s="130">
        <v>303.536</v>
      </c>
      <c r="D353" s="131">
        <v>59.18</v>
      </c>
      <c r="Y353" s="117" t="str">
        <f>TempDelta[[#This Row],[WeekNo]]&amp;"-"&amp;TempDelta[[#This Row],[HR]]</f>
        <v>14-13</v>
      </c>
      <c r="Z353">
        <f t="shared" si="8"/>
        <v>14</v>
      </c>
      <c r="AA353">
        <v>13</v>
      </c>
      <c r="AB353">
        <v>0.4270000052857143</v>
      </c>
      <c r="AC353" s="39"/>
    </row>
    <row r="354" spans="1:29">
      <c r="A3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25-06-Wkd-14</v>
      </c>
      <c r="B354" s="92">
        <v>45838.583333333299</v>
      </c>
      <c r="C354" s="130">
        <v>405.72399999999999</v>
      </c>
      <c r="D354" s="131">
        <v>72.688999999999993</v>
      </c>
      <c r="Y354" s="117" t="str">
        <f>TempDelta[[#This Row],[WeekNo]]&amp;"-"&amp;TempDelta[[#This Row],[HR]]</f>
        <v>14-14</v>
      </c>
      <c r="Z354">
        <f t="shared" si="8"/>
        <v>14</v>
      </c>
      <c r="AA354">
        <v>14</v>
      </c>
      <c r="AB354">
        <v>0.45342856214285715</v>
      </c>
      <c r="AC354" s="39"/>
    </row>
    <row r="355" spans="1:29">
      <c r="A3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25-06-Wkd-15</v>
      </c>
      <c r="B355" s="92">
        <v>45838.624999999964</v>
      </c>
      <c r="C355" s="130">
        <v>537.58000000000004</v>
      </c>
      <c r="D355" s="131">
        <v>85.55</v>
      </c>
      <c r="Y355" s="117" t="str">
        <f>TempDelta[[#This Row],[WeekNo]]&amp;"-"&amp;TempDelta[[#This Row],[HR]]</f>
        <v>14-15</v>
      </c>
      <c r="Z355">
        <f t="shared" si="8"/>
        <v>14</v>
      </c>
      <c r="AA355">
        <v>15</v>
      </c>
      <c r="AB355">
        <v>0.57742857442857143</v>
      </c>
      <c r="AC355" s="39"/>
    </row>
    <row r="356" spans="1:29">
      <c r="A3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25-06-Wkd-16</v>
      </c>
      <c r="B356" s="92">
        <v>45838.666666666628</v>
      </c>
      <c r="C356" s="130">
        <v>537.58000000000004</v>
      </c>
      <c r="D356" s="131">
        <v>102.501</v>
      </c>
      <c r="Y356" s="117" t="str">
        <f>TempDelta[[#This Row],[WeekNo]]&amp;"-"&amp;TempDelta[[#This Row],[HR]]</f>
        <v>14-16</v>
      </c>
      <c r="Z356">
        <f t="shared" si="8"/>
        <v>14</v>
      </c>
      <c r="AA356">
        <v>16</v>
      </c>
      <c r="AB356">
        <v>0.73742856928571421</v>
      </c>
      <c r="AC356" s="39"/>
    </row>
    <row r="357" spans="1:29">
      <c r="A3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25-06-Wkd-17</v>
      </c>
      <c r="B357" s="92">
        <v>45838.708333333292</v>
      </c>
      <c r="C357" s="130">
        <v>537.58000000000004</v>
      </c>
      <c r="D357" s="131">
        <v>113.28100000000001</v>
      </c>
      <c r="Y357" s="117" t="str">
        <f>TempDelta[[#This Row],[WeekNo]]&amp;"-"&amp;TempDelta[[#This Row],[HR]]</f>
        <v>14-17</v>
      </c>
      <c r="Z357">
        <f t="shared" si="8"/>
        <v>14</v>
      </c>
      <c r="AA357">
        <v>17</v>
      </c>
      <c r="AB357">
        <v>0.91628573200000007</v>
      </c>
      <c r="AC357" s="39"/>
    </row>
    <row r="358" spans="1:29">
      <c r="A3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25-06-Wkd-18</v>
      </c>
      <c r="B358" s="92">
        <v>45838.749999999956</v>
      </c>
      <c r="C358" s="130">
        <v>537.58000000000004</v>
      </c>
      <c r="D358" s="131">
        <v>121.649</v>
      </c>
      <c r="Y358" s="117" t="str">
        <f>TempDelta[[#This Row],[WeekNo]]&amp;"-"&amp;TempDelta[[#This Row],[HR]]</f>
        <v>14-18</v>
      </c>
      <c r="Z358">
        <f t="shared" si="8"/>
        <v>14</v>
      </c>
      <c r="AA358">
        <v>18</v>
      </c>
      <c r="AB358">
        <v>1.086285723</v>
      </c>
      <c r="AC358" s="39"/>
    </row>
    <row r="359" spans="1:29">
      <c r="A3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25-06-Wkd-19</v>
      </c>
      <c r="B359" s="92">
        <v>45838.791666666621</v>
      </c>
      <c r="C359" s="130">
        <v>537.58000000000004</v>
      </c>
      <c r="D359" s="131">
        <v>122.425</v>
      </c>
      <c r="Y359" s="117" t="str">
        <f>TempDelta[[#This Row],[WeekNo]]&amp;"-"&amp;TempDelta[[#This Row],[HR]]</f>
        <v>14-19</v>
      </c>
      <c r="Z359">
        <f t="shared" si="8"/>
        <v>14</v>
      </c>
      <c r="AA359">
        <v>19</v>
      </c>
      <c r="AB359">
        <v>1.1839999898571427</v>
      </c>
      <c r="AC359" s="39"/>
    </row>
    <row r="360" spans="1:29">
      <c r="A3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25-06-Wkd-20</v>
      </c>
      <c r="B360" s="92">
        <v>45838.833333333285</v>
      </c>
      <c r="C360" s="130">
        <v>537.58000000000004</v>
      </c>
      <c r="D360" s="131">
        <v>122.393</v>
      </c>
      <c r="Y360" s="117" t="str">
        <f>TempDelta[[#This Row],[WeekNo]]&amp;"-"&amp;TempDelta[[#This Row],[HR]]</f>
        <v>14-20</v>
      </c>
      <c r="Z360">
        <f t="shared" si="8"/>
        <v>14</v>
      </c>
      <c r="AA360">
        <v>20</v>
      </c>
      <c r="AB360">
        <v>1.2420000010000003</v>
      </c>
      <c r="AC360" s="39"/>
    </row>
    <row r="361" spans="1:29">
      <c r="A3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25-06-Wkd-21</v>
      </c>
      <c r="B361" s="92">
        <v>45838.874999999949</v>
      </c>
      <c r="C361" s="130">
        <v>537.58000000000004</v>
      </c>
      <c r="D361" s="131">
        <v>118.246</v>
      </c>
      <c r="Y361" s="117" t="str">
        <f>TempDelta[[#This Row],[WeekNo]]&amp;"-"&amp;TempDelta[[#This Row],[HR]]</f>
        <v>14-21</v>
      </c>
      <c r="Z361">
        <f t="shared" si="8"/>
        <v>14</v>
      </c>
      <c r="AA361">
        <v>21</v>
      </c>
      <c r="AB361">
        <v>1.2934285488571429</v>
      </c>
      <c r="AC361" s="39"/>
    </row>
    <row r="362" spans="1:29">
      <c r="A3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25-06-Wkd-22</v>
      </c>
      <c r="B362" s="92">
        <v>45838.916666666613</v>
      </c>
      <c r="C362" s="130">
        <v>455.17</v>
      </c>
      <c r="D362" s="131">
        <v>65.784999999999997</v>
      </c>
      <c r="Y362" s="117" t="str">
        <f>TempDelta[[#This Row],[WeekNo]]&amp;"-"&amp;TempDelta[[#This Row],[HR]]</f>
        <v>14-22</v>
      </c>
      <c r="Z362">
        <f t="shared" si="8"/>
        <v>14</v>
      </c>
      <c r="AA362">
        <v>22</v>
      </c>
      <c r="AB362">
        <v>1.3798571400000001</v>
      </c>
      <c r="AC362" s="39"/>
    </row>
    <row r="363" spans="1:29">
      <c r="A3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25-06-Wkd-23</v>
      </c>
      <c r="B363" s="92">
        <v>45838.958333333278</v>
      </c>
      <c r="C363" s="130">
        <v>372.76</v>
      </c>
      <c r="D363" s="131">
        <v>57.951000000000001</v>
      </c>
      <c r="Y363" s="117" t="str">
        <f>TempDelta[[#This Row],[WeekNo]]&amp;"-"&amp;TempDelta[[#This Row],[HR]]</f>
        <v>14-23</v>
      </c>
      <c r="Z363">
        <f t="shared" si="8"/>
        <v>14</v>
      </c>
      <c r="AA363">
        <v>23</v>
      </c>
      <c r="AB363">
        <v>1.509714279857143</v>
      </c>
      <c r="AC363" s="39"/>
    </row>
    <row r="364" spans="1:29">
      <c r="Y364" s="117" t="str">
        <f>TempDelta[[#This Row],[WeekNo]]&amp;"-"&amp;TempDelta[[#This Row],[HR]]</f>
        <v>15-0</v>
      </c>
      <c r="Z364">
        <f t="shared" si="8"/>
        <v>15</v>
      </c>
      <c r="AA364">
        <v>0</v>
      </c>
      <c r="AB364">
        <v>0.5</v>
      </c>
      <c r="AC364" s="39"/>
    </row>
    <row r="365" spans="1:29">
      <c r="Y365" s="117" t="str">
        <f>TempDelta[[#This Row],[WeekNo]]&amp;"-"&amp;TempDelta[[#This Row],[HR]]</f>
        <v>15-1</v>
      </c>
      <c r="Z365">
        <f t="shared" si="8"/>
        <v>15</v>
      </c>
      <c r="AA365">
        <v>1</v>
      </c>
      <c r="AB365">
        <v>0.5</v>
      </c>
      <c r="AC365" s="39"/>
    </row>
    <row r="366" spans="1:29">
      <c r="Y366" s="117" t="str">
        <f>TempDelta[[#This Row],[WeekNo]]&amp;"-"&amp;TempDelta[[#This Row],[HR]]</f>
        <v>15-2</v>
      </c>
      <c r="Z366">
        <f t="shared" si="8"/>
        <v>15</v>
      </c>
      <c r="AA366">
        <v>2</v>
      </c>
      <c r="AB366">
        <v>0.5</v>
      </c>
      <c r="AC366" s="39"/>
    </row>
    <row r="367" spans="1:29">
      <c r="Y367" s="117" t="str">
        <f>TempDelta[[#This Row],[WeekNo]]&amp;"-"&amp;TempDelta[[#This Row],[HR]]</f>
        <v>15-3</v>
      </c>
      <c r="Z367">
        <f t="shared" si="8"/>
        <v>15</v>
      </c>
      <c r="AA367">
        <v>3</v>
      </c>
      <c r="AB367">
        <v>0.5</v>
      </c>
      <c r="AC367" s="39"/>
    </row>
    <row r="368" spans="1:29">
      <c r="Y368" s="117" t="str">
        <f>TempDelta[[#This Row],[WeekNo]]&amp;"-"&amp;TempDelta[[#This Row],[HR]]</f>
        <v>15-4</v>
      </c>
      <c r="Z368">
        <f t="shared" si="8"/>
        <v>15</v>
      </c>
      <c r="AA368">
        <v>4</v>
      </c>
      <c r="AB368">
        <v>0.5</v>
      </c>
      <c r="AC368" s="39"/>
    </row>
    <row r="369" spans="25:29">
      <c r="Y369" s="117" t="str">
        <f>TempDelta[[#This Row],[WeekNo]]&amp;"-"&amp;TempDelta[[#This Row],[HR]]</f>
        <v>15-5</v>
      </c>
      <c r="Z369">
        <f t="shared" si="8"/>
        <v>15</v>
      </c>
      <c r="AA369">
        <v>5</v>
      </c>
      <c r="AB369">
        <v>0.5</v>
      </c>
      <c r="AC369" s="39"/>
    </row>
    <row r="370" spans="25:29">
      <c r="Y370" s="117" t="str">
        <f>TempDelta[[#This Row],[WeekNo]]&amp;"-"&amp;TempDelta[[#This Row],[HR]]</f>
        <v>15-6</v>
      </c>
      <c r="Z370">
        <f t="shared" si="8"/>
        <v>15</v>
      </c>
      <c r="AA370">
        <v>6</v>
      </c>
      <c r="AB370">
        <v>0.5</v>
      </c>
      <c r="AC370" s="39"/>
    </row>
    <row r="371" spans="25:29">
      <c r="Y371" s="117" t="str">
        <f>TempDelta[[#This Row],[WeekNo]]&amp;"-"&amp;TempDelta[[#This Row],[HR]]</f>
        <v>15-7</v>
      </c>
      <c r="Z371">
        <f t="shared" si="8"/>
        <v>15</v>
      </c>
      <c r="AA371">
        <v>7</v>
      </c>
      <c r="AB371">
        <v>0.5</v>
      </c>
      <c r="AC371" s="39"/>
    </row>
    <row r="372" spans="25:29">
      <c r="Y372" s="117" t="str">
        <f>TempDelta[[#This Row],[WeekNo]]&amp;"-"&amp;TempDelta[[#This Row],[HR]]</f>
        <v>15-8</v>
      </c>
      <c r="Z372">
        <f t="shared" si="8"/>
        <v>15</v>
      </c>
      <c r="AA372">
        <v>8</v>
      </c>
      <c r="AB372">
        <v>0.5</v>
      </c>
      <c r="AC372" s="39"/>
    </row>
    <row r="373" spans="25:29">
      <c r="Y373" s="117" t="str">
        <f>TempDelta[[#This Row],[WeekNo]]&amp;"-"&amp;TempDelta[[#This Row],[HR]]</f>
        <v>15-9</v>
      </c>
      <c r="Z373">
        <f t="shared" si="8"/>
        <v>15</v>
      </c>
      <c r="AA373">
        <v>9</v>
      </c>
      <c r="AB373">
        <v>0.5</v>
      </c>
      <c r="AC373" s="39"/>
    </row>
    <row r="374" spans="25:29">
      <c r="Y374" s="117" t="str">
        <f>TempDelta[[#This Row],[WeekNo]]&amp;"-"&amp;TempDelta[[#This Row],[HR]]</f>
        <v>15-10</v>
      </c>
      <c r="Z374">
        <f t="shared" si="8"/>
        <v>15</v>
      </c>
      <c r="AA374">
        <v>10</v>
      </c>
      <c r="AB374">
        <v>0.5</v>
      </c>
      <c r="AC374" s="39"/>
    </row>
    <row r="375" spans="25:29">
      <c r="Y375" s="117" t="str">
        <f>TempDelta[[#This Row],[WeekNo]]&amp;"-"&amp;TempDelta[[#This Row],[HR]]</f>
        <v>15-11</v>
      </c>
      <c r="Z375">
        <f t="shared" si="8"/>
        <v>15</v>
      </c>
      <c r="AA375">
        <v>11</v>
      </c>
      <c r="AB375">
        <v>0.5</v>
      </c>
      <c r="AC375" s="39"/>
    </row>
    <row r="376" spans="25:29">
      <c r="Y376" s="117" t="str">
        <f>TempDelta[[#This Row],[WeekNo]]&amp;"-"&amp;TempDelta[[#This Row],[HR]]</f>
        <v>15-12</v>
      </c>
      <c r="Z376">
        <f t="shared" si="8"/>
        <v>15</v>
      </c>
      <c r="AA376">
        <v>12</v>
      </c>
      <c r="AB376">
        <v>0.5</v>
      </c>
      <c r="AC376" s="39"/>
    </row>
    <row r="377" spans="25:29">
      <c r="Y377" s="117" t="str">
        <f>TempDelta[[#This Row],[WeekNo]]&amp;"-"&amp;TempDelta[[#This Row],[HR]]</f>
        <v>15-13</v>
      </c>
      <c r="Z377">
        <f t="shared" si="8"/>
        <v>15</v>
      </c>
      <c r="AA377">
        <v>13</v>
      </c>
      <c r="AB377">
        <v>0.5</v>
      </c>
      <c r="AC377" s="39"/>
    </row>
    <row r="378" spans="25:29">
      <c r="Y378" s="117" t="str">
        <f>TempDelta[[#This Row],[WeekNo]]&amp;"-"&amp;TempDelta[[#This Row],[HR]]</f>
        <v>15-14</v>
      </c>
      <c r="Z378">
        <f t="shared" si="8"/>
        <v>15</v>
      </c>
      <c r="AA378">
        <v>14</v>
      </c>
      <c r="AB378">
        <v>0.5</v>
      </c>
      <c r="AC378" s="39"/>
    </row>
    <row r="379" spans="25:29">
      <c r="Y379" s="117" t="str">
        <f>TempDelta[[#This Row],[WeekNo]]&amp;"-"&amp;TempDelta[[#This Row],[HR]]</f>
        <v>15-15</v>
      </c>
      <c r="Z379">
        <f t="shared" si="8"/>
        <v>15</v>
      </c>
      <c r="AA379">
        <v>15</v>
      </c>
      <c r="AB379">
        <v>0.5</v>
      </c>
      <c r="AC379" s="39"/>
    </row>
    <row r="380" spans="25:29">
      <c r="Y380" s="117" t="str">
        <f>TempDelta[[#This Row],[WeekNo]]&amp;"-"&amp;TempDelta[[#This Row],[HR]]</f>
        <v>15-16</v>
      </c>
      <c r="Z380">
        <f t="shared" si="8"/>
        <v>15</v>
      </c>
      <c r="AA380">
        <v>16</v>
      </c>
      <c r="AB380">
        <v>0.5</v>
      </c>
      <c r="AC380" s="39"/>
    </row>
    <row r="381" spans="25:29">
      <c r="Y381" s="117" t="str">
        <f>TempDelta[[#This Row],[WeekNo]]&amp;"-"&amp;TempDelta[[#This Row],[HR]]</f>
        <v>15-17</v>
      </c>
      <c r="Z381">
        <f t="shared" si="8"/>
        <v>15</v>
      </c>
      <c r="AA381">
        <v>17</v>
      </c>
      <c r="AB381">
        <v>0.5</v>
      </c>
      <c r="AC381" s="39"/>
    </row>
    <row r="382" spans="25:29">
      <c r="Y382" s="117" t="str">
        <f>TempDelta[[#This Row],[WeekNo]]&amp;"-"&amp;TempDelta[[#This Row],[HR]]</f>
        <v>15-18</v>
      </c>
      <c r="Z382">
        <f t="shared" si="8"/>
        <v>15</v>
      </c>
      <c r="AA382">
        <v>18</v>
      </c>
      <c r="AB382">
        <v>0.5</v>
      </c>
      <c r="AC382" s="39"/>
    </row>
    <row r="383" spans="25:29">
      <c r="Y383" s="117" t="str">
        <f>TempDelta[[#This Row],[WeekNo]]&amp;"-"&amp;TempDelta[[#This Row],[HR]]</f>
        <v>15-19</v>
      </c>
      <c r="Z383">
        <f t="shared" si="8"/>
        <v>15</v>
      </c>
      <c r="AA383">
        <v>19</v>
      </c>
      <c r="AB383">
        <v>0.5</v>
      </c>
      <c r="AC383" s="39"/>
    </row>
    <row r="384" spans="25:29">
      <c r="Y384" s="117" t="str">
        <f>TempDelta[[#This Row],[WeekNo]]&amp;"-"&amp;TempDelta[[#This Row],[HR]]</f>
        <v>15-20</v>
      </c>
      <c r="Z384">
        <f t="shared" si="8"/>
        <v>15</v>
      </c>
      <c r="AA384">
        <v>20</v>
      </c>
      <c r="AB384">
        <v>0.5</v>
      </c>
      <c r="AC384" s="39"/>
    </row>
    <row r="385" spans="25:29">
      <c r="Y385" s="117" t="str">
        <f>TempDelta[[#This Row],[WeekNo]]&amp;"-"&amp;TempDelta[[#This Row],[HR]]</f>
        <v>15-21</v>
      </c>
      <c r="Z385">
        <f t="shared" si="8"/>
        <v>15</v>
      </c>
      <c r="AA385">
        <v>21</v>
      </c>
      <c r="AB385">
        <v>0.5</v>
      </c>
      <c r="AC385" s="39"/>
    </row>
    <row r="386" spans="25:29">
      <c r="Y386" s="117" t="str">
        <f>TempDelta[[#This Row],[WeekNo]]&amp;"-"&amp;TempDelta[[#This Row],[HR]]</f>
        <v>15-22</v>
      </c>
      <c r="Z386">
        <f t="shared" si="8"/>
        <v>15</v>
      </c>
      <c r="AA386">
        <v>22</v>
      </c>
      <c r="AB386">
        <v>0.5</v>
      </c>
      <c r="AC386" s="39"/>
    </row>
    <row r="387" spans="25:29">
      <c r="Y387" s="117" t="str">
        <f>TempDelta[[#This Row],[WeekNo]]&amp;"-"&amp;TempDelta[[#This Row],[HR]]</f>
        <v>15-23</v>
      </c>
      <c r="Z387">
        <f t="shared" si="8"/>
        <v>15</v>
      </c>
      <c r="AA387">
        <v>23</v>
      </c>
      <c r="AB387">
        <v>0.5</v>
      </c>
      <c r="AC387" s="39"/>
    </row>
  </sheetData>
  <phoneticPr fontId="7" type="noConversion"/>
  <pageMargins left="0.7" right="0.7" top="0.75" bottom="0.75" header="0.3" footer="0.3"/>
  <drawing r:id="rId1"/>
  <legacyDrawing r:id="rId2"/>
  <tableParts count="4"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HourlyTimeseries</vt:lpstr>
      <vt:lpstr>DailyTimeseries</vt:lpstr>
      <vt:lpstr>Settings</vt:lpstr>
      <vt:lpstr>Supporting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2026-02-05T00:52:41Z</dcterms:modified>
</cp:coreProperties>
</file>